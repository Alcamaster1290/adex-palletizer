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ables/table1.xml" ContentType="application/vnd.openxmlformats-officedocument.spreadsheetml.tab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OneDrive\Desktop\"/>
    </mc:Choice>
  </mc:AlternateContent>
  <xr:revisionPtr revIDLastSave="0" documentId="8_{950315F8-B886-4ED1-B338-88C76A77F03E}" xr6:coauthVersionLast="47" xr6:coauthVersionMax="47" xr10:uidLastSave="{00000000-0000-0000-0000-000000000000}"/>
  <bookViews>
    <workbookView xWindow="-120" yWindow="-120" windowWidth="20730" windowHeight="11040" tabRatio="896" xr2:uid="{00000000-000D-0000-FFFF-FFFF00000000}"/>
  </bookViews>
  <sheets>
    <sheet name="🏠 PORTADA" sheetId="1" r:id="rId1"/>
    <sheet name="📖 Instrucciones" sheetId="2" r:id="rId2"/>
    <sheet name="Doc. Necesarios" sheetId="17" r:id="rId3"/>
    <sheet name="📋 Datos Generales" sheetId="3" r:id="rId4"/>
    <sheet name="🧾 Factura Comercial" sheetId="4" r:id="rId5"/>
    <sheet name="📦 Gastos Importación" sheetId="5" r:id="rId6"/>
    <sheet name="🧾 Tributos Aduana" sheetId="6" r:id="rId7"/>
    <sheet name="🧮 Costos x Producto" sheetId="7" r:id="rId8"/>
    <sheet name="💰 Precio de Venta" sheetId="8" r:id="rId9"/>
    <sheet name="🏦 Crédito Fiscal" sheetId="9" r:id="rId10"/>
    <sheet name="Detallado por producto" sheetId="16" r:id="rId11"/>
    <sheet name="📊 Dashboard" sheetId="10" state="hidden" r:id="rId12"/>
    <sheet name="📊 Dashboard General" sheetId="12" r:id="rId13"/>
    <sheet name="🏦Detallado por Producto" sheetId="14" state="hidden" r:id="rId14"/>
    <sheet name="📊 KPI x Producto" sheetId="13" r:id="rId15"/>
  </sheets>
  <externalReferences>
    <externalReference r:id="rId16"/>
  </externalReferences>
  <definedNames>
    <definedName name="_xlnm._FilterDatabase" localSheetId="8" hidden="1">'💰 Precio de Venta'!$D$7:$K$520</definedName>
    <definedName name="_xlnm._FilterDatabase" localSheetId="7" hidden="1">'🧮 Costos x Producto'!$D$6:$K$505</definedName>
    <definedName name="_xlnm._FilterDatabase" localSheetId="4" hidden="1">'🧾 Factura Comercial'!$E$6:$L$507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3" i="10" l="1"/>
  <c r="P65" i="10"/>
  <c r="AV3" i="16"/>
  <c r="AW3" i="16"/>
  <c r="AU3" i="16"/>
  <c r="AR22" i="13"/>
  <c r="AD32" i="13"/>
  <c r="AD25" i="13"/>
  <c r="AB23" i="13"/>
  <c r="AO3" i="16"/>
  <c r="AP3" i="16" s="1"/>
  <c r="AD33" i="13"/>
  <c r="N22" i="13"/>
  <c r="F20" i="6"/>
  <c r="E28" i="5"/>
  <c r="F14" i="6"/>
  <c r="K22" i="13"/>
  <c r="H22" i="13"/>
  <c r="F8" i="6"/>
  <c r="E26" i="5"/>
  <c r="E27" i="5"/>
  <c r="BB11" i="16"/>
  <c r="AS502" i="16"/>
  <c r="AU502" i="16"/>
  <c r="AV502" i="16"/>
  <c r="AX502" i="16"/>
  <c r="AY502" i="16"/>
  <c r="AZ502" i="16"/>
  <c r="AR12" i="16"/>
  <c r="AR13" i="16"/>
  <c r="BB13" i="16" s="1"/>
  <c r="AR14" i="16"/>
  <c r="BB14" i="16" s="1"/>
  <c r="AR15" i="16"/>
  <c r="BB15" i="16" s="1"/>
  <c r="AR16" i="16"/>
  <c r="BB16" i="16" s="1"/>
  <c r="AR17" i="16"/>
  <c r="BB17" i="16" s="1"/>
  <c r="AR18" i="16"/>
  <c r="BB18" i="16" s="1"/>
  <c r="AR19" i="16"/>
  <c r="BB19" i="16" s="1"/>
  <c r="AR20" i="16"/>
  <c r="BB20" i="16" s="1"/>
  <c r="AR21" i="16"/>
  <c r="BB21" i="16" s="1"/>
  <c r="AR22" i="16"/>
  <c r="BB22" i="16" s="1"/>
  <c r="AR23" i="16"/>
  <c r="BB23" i="16" s="1"/>
  <c r="AR24" i="16"/>
  <c r="BB24" i="16" s="1"/>
  <c r="AR25" i="16"/>
  <c r="BB25" i="16" s="1"/>
  <c r="AR26" i="16"/>
  <c r="BB26" i="16" s="1"/>
  <c r="AR27" i="16"/>
  <c r="BB27" i="16" s="1"/>
  <c r="AR28" i="16"/>
  <c r="BB28" i="16" s="1"/>
  <c r="AR29" i="16"/>
  <c r="BB29" i="16" s="1"/>
  <c r="AR30" i="16"/>
  <c r="BB30" i="16" s="1"/>
  <c r="AR31" i="16"/>
  <c r="BB31" i="16" s="1"/>
  <c r="AR32" i="16"/>
  <c r="BB32" i="16" s="1"/>
  <c r="AR33" i="16"/>
  <c r="BB33" i="16" s="1"/>
  <c r="AR34" i="16"/>
  <c r="BB34" i="16" s="1"/>
  <c r="AR35" i="16"/>
  <c r="BB35" i="16" s="1"/>
  <c r="AR36" i="16"/>
  <c r="BB36" i="16" s="1"/>
  <c r="AR37" i="16"/>
  <c r="BB37" i="16" s="1"/>
  <c r="AR38" i="16"/>
  <c r="BB38" i="16" s="1"/>
  <c r="AR39" i="16"/>
  <c r="BB39" i="16" s="1"/>
  <c r="AR40" i="16"/>
  <c r="BB40" i="16" s="1"/>
  <c r="AR41" i="16"/>
  <c r="BB41" i="16" s="1"/>
  <c r="AR42" i="16"/>
  <c r="BB42" i="16" s="1"/>
  <c r="AR43" i="16"/>
  <c r="BB43" i="16" s="1"/>
  <c r="AR44" i="16"/>
  <c r="BB44" i="16" s="1"/>
  <c r="AR45" i="16"/>
  <c r="BB45" i="16" s="1"/>
  <c r="AR46" i="16"/>
  <c r="BB46" i="16" s="1"/>
  <c r="AR47" i="16"/>
  <c r="BB47" i="16" s="1"/>
  <c r="AR48" i="16"/>
  <c r="BB48" i="16" s="1"/>
  <c r="AR49" i="16"/>
  <c r="BB49" i="16" s="1"/>
  <c r="AR50" i="16"/>
  <c r="BB50" i="16" s="1"/>
  <c r="AR51" i="16"/>
  <c r="BB51" i="16" s="1"/>
  <c r="AR52" i="16"/>
  <c r="BB52" i="16" s="1"/>
  <c r="AR53" i="16"/>
  <c r="BB53" i="16" s="1"/>
  <c r="AR54" i="16"/>
  <c r="BB54" i="16" s="1"/>
  <c r="AR55" i="16"/>
  <c r="BB55" i="16" s="1"/>
  <c r="AR56" i="16"/>
  <c r="BB56" i="16" s="1"/>
  <c r="AR57" i="16"/>
  <c r="BB57" i="16" s="1"/>
  <c r="AR58" i="16"/>
  <c r="BB58" i="16" s="1"/>
  <c r="AR59" i="16"/>
  <c r="BB59" i="16" s="1"/>
  <c r="AR60" i="16"/>
  <c r="BB60" i="16" s="1"/>
  <c r="AR61" i="16"/>
  <c r="BB61" i="16" s="1"/>
  <c r="AR62" i="16"/>
  <c r="BB62" i="16" s="1"/>
  <c r="AR63" i="16"/>
  <c r="BB63" i="16" s="1"/>
  <c r="AR64" i="16"/>
  <c r="BB64" i="16" s="1"/>
  <c r="AR65" i="16"/>
  <c r="BB65" i="16" s="1"/>
  <c r="AR66" i="16"/>
  <c r="BB66" i="16" s="1"/>
  <c r="AR67" i="16"/>
  <c r="BB67" i="16" s="1"/>
  <c r="AR68" i="16"/>
  <c r="BB68" i="16" s="1"/>
  <c r="AR69" i="16"/>
  <c r="BB69" i="16" s="1"/>
  <c r="AR70" i="16"/>
  <c r="BB70" i="16" s="1"/>
  <c r="AR71" i="16"/>
  <c r="BB71" i="16" s="1"/>
  <c r="AR72" i="16"/>
  <c r="BB72" i="16" s="1"/>
  <c r="AR73" i="16"/>
  <c r="BB73" i="16" s="1"/>
  <c r="AR74" i="16"/>
  <c r="BB74" i="16" s="1"/>
  <c r="AR75" i="16"/>
  <c r="BB75" i="16" s="1"/>
  <c r="AR76" i="16"/>
  <c r="BB76" i="16" s="1"/>
  <c r="AR77" i="16"/>
  <c r="BB77" i="16" s="1"/>
  <c r="AR78" i="16"/>
  <c r="BB78" i="16" s="1"/>
  <c r="AR79" i="16"/>
  <c r="BB79" i="16" s="1"/>
  <c r="AR80" i="16"/>
  <c r="BB80" i="16" s="1"/>
  <c r="AR81" i="16"/>
  <c r="BB81" i="16" s="1"/>
  <c r="AR82" i="16"/>
  <c r="BB82" i="16" s="1"/>
  <c r="AR83" i="16"/>
  <c r="BB83" i="16" s="1"/>
  <c r="AR84" i="16"/>
  <c r="BB84" i="16" s="1"/>
  <c r="AR85" i="16"/>
  <c r="BB85" i="16" s="1"/>
  <c r="AR86" i="16"/>
  <c r="BB86" i="16" s="1"/>
  <c r="AR87" i="16"/>
  <c r="BB87" i="16" s="1"/>
  <c r="AR88" i="16"/>
  <c r="BB88" i="16" s="1"/>
  <c r="AR89" i="16"/>
  <c r="BB89" i="16" s="1"/>
  <c r="AR90" i="16"/>
  <c r="BB90" i="16" s="1"/>
  <c r="AR91" i="16"/>
  <c r="BB91" i="16" s="1"/>
  <c r="AR92" i="16"/>
  <c r="BB92" i="16" s="1"/>
  <c r="AR93" i="16"/>
  <c r="BB93" i="16" s="1"/>
  <c r="AR94" i="16"/>
  <c r="BB94" i="16" s="1"/>
  <c r="AR95" i="16"/>
  <c r="BB95" i="16" s="1"/>
  <c r="AR96" i="16"/>
  <c r="BB96" i="16" s="1"/>
  <c r="AR97" i="16"/>
  <c r="BB97" i="16" s="1"/>
  <c r="AR98" i="16"/>
  <c r="BB98" i="16" s="1"/>
  <c r="AR99" i="16"/>
  <c r="BB99" i="16" s="1"/>
  <c r="AR100" i="16"/>
  <c r="BB100" i="16" s="1"/>
  <c r="AR101" i="16"/>
  <c r="BB101" i="16" s="1"/>
  <c r="AR102" i="16"/>
  <c r="BB102" i="16" s="1"/>
  <c r="AR103" i="16"/>
  <c r="BB103" i="16" s="1"/>
  <c r="AR104" i="16"/>
  <c r="BB104" i="16" s="1"/>
  <c r="AR105" i="16"/>
  <c r="BB105" i="16" s="1"/>
  <c r="AR106" i="16"/>
  <c r="BB106" i="16" s="1"/>
  <c r="AR107" i="16"/>
  <c r="BB107" i="16" s="1"/>
  <c r="AR108" i="16"/>
  <c r="BB108" i="16" s="1"/>
  <c r="AR109" i="16"/>
  <c r="BB109" i="16" s="1"/>
  <c r="AR110" i="16"/>
  <c r="BB110" i="16" s="1"/>
  <c r="AR111" i="16"/>
  <c r="BB111" i="16" s="1"/>
  <c r="AR112" i="16"/>
  <c r="BB112" i="16" s="1"/>
  <c r="AR113" i="16"/>
  <c r="BB113" i="16" s="1"/>
  <c r="AR114" i="16"/>
  <c r="BB114" i="16" s="1"/>
  <c r="AR115" i="16"/>
  <c r="BB115" i="16" s="1"/>
  <c r="AR116" i="16"/>
  <c r="BB116" i="16" s="1"/>
  <c r="AR117" i="16"/>
  <c r="BB117" i="16" s="1"/>
  <c r="AR118" i="16"/>
  <c r="BB118" i="16" s="1"/>
  <c r="AR119" i="16"/>
  <c r="BB119" i="16" s="1"/>
  <c r="AR120" i="16"/>
  <c r="BB120" i="16" s="1"/>
  <c r="AR121" i="16"/>
  <c r="BB121" i="16" s="1"/>
  <c r="AR122" i="16"/>
  <c r="BB122" i="16" s="1"/>
  <c r="AR123" i="16"/>
  <c r="BB123" i="16" s="1"/>
  <c r="AR124" i="16"/>
  <c r="BB124" i="16" s="1"/>
  <c r="AR125" i="16"/>
  <c r="BB125" i="16" s="1"/>
  <c r="AR126" i="16"/>
  <c r="BB126" i="16" s="1"/>
  <c r="AR127" i="16"/>
  <c r="BB127" i="16" s="1"/>
  <c r="AR128" i="16"/>
  <c r="BB128" i="16" s="1"/>
  <c r="AR129" i="16"/>
  <c r="BB129" i="16" s="1"/>
  <c r="AR130" i="16"/>
  <c r="BB130" i="16" s="1"/>
  <c r="AR131" i="16"/>
  <c r="BB131" i="16" s="1"/>
  <c r="AR132" i="16"/>
  <c r="BB132" i="16" s="1"/>
  <c r="AR133" i="16"/>
  <c r="BB133" i="16" s="1"/>
  <c r="AR134" i="16"/>
  <c r="BB134" i="16" s="1"/>
  <c r="AR135" i="16"/>
  <c r="BB135" i="16" s="1"/>
  <c r="AR136" i="16"/>
  <c r="BB136" i="16" s="1"/>
  <c r="AR137" i="16"/>
  <c r="BB137" i="16" s="1"/>
  <c r="AR138" i="16"/>
  <c r="BB138" i="16" s="1"/>
  <c r="AR139" i="16"/>
  <c r="BB139" i="16" s="1"/>
  <c r="AR140" i="16"/>
  <c r="BB140" i="16" s="1"/>
  <c r="AR141" i="16"/>
  <c r="BB141" i="16" s="1"/>
  <c r="AR142" i="16"/>
  <c r="BB142" i="16" s="1"/>
  <c r="AR143" i="16"/>
  <c r="BB143" i="16" s="1"/>
  <c r="AR144" i="16"/>
  <c r="BB144" i="16" s="1"/>
  <c r="AR145" i="16"/>
  <c r="BB145" i="16" s="1"/>
  <c r="AR146" i="16"/>
  <c r="BB146" i="16" s="1"/>
  <c r="AR147" i="16"/>
  <c r="BB147" i="16" s="1"/>
  <c r="AR148" i="16"/>
  <c r="BB148" i="16" s="1"/>
  <c r="AR149" i="16"/>
  <c r="BB149" i="16" s="1"/>
  <c r="AR150" i="16"/>
  <c r="BB150" i="16" s="1"/>
  <c r="AR151" i="16"/>
  <c r="BB151" i="16" s="1"/>
  <c r="AR152" i="16"/>
  <c r="BB152" i="16" s="1"/>
  <c r="AR153" i="16"/>
  <c r="BB153" i="16" s="1"/>
  <c r="AR154" i="16"/>
  <c r="BB154" i="16" s="1"/>
  <c r="AR155" i="16"/>
  <c r="BB155" i="16" s="1"/>
  <c r="AR156" i="16"/>
  <c r="BB156" i="16" s="1"/>
  <c r="AR157" i="16"/>
  <c r="BB157" i="16" s="1"/>
  <c r="AR158" i="16"/>
  <c r="BB158" i="16" s="1"/>
  <c r="AR159" i="16"/>
  <c r="BB159" i="16" s="1"/>
  <c r="AR160" i="16"/>
  <c r="BB160" i="16" s="1"/>
  <c r="AR161" i="16"/>
  <c r="BB161" i="16" s="1"/>
  <c r="AR162" i="16"/>
  <c r="BB162" i="16" s="1"/>
  <c r="AR163" i="16"/>
  <c r="BB163" i="16" s="1"/>
  <c r="AR164" i="16"/>
  <c r="BB164" i="16" s="1"/>
  <c r="AR165" i="16"/>
  <c r="BB165" i="16" s="1"/>
  <c r="AR166" i="16"/>
  <c r="BB166" i="16" s="1"/>
  <c r="AR167" i="16"/>
  <c r="BB167" i="16" s="1"/>
  <c r="AR168" i="16"/>
  <c r="BB168" i="16" s="1"/>
  <c r="AR169" i="16"/>
  <c r="BB169" i="16" s="1"/>
  <c r="AR170" i="16"/>
  <c r="BB170" i="16" s="1"/>
  <c r="AR171" i="16"/>
  <c r="BB171" i="16" s="1"/>
  <c r="AR172" i="16"/>
  <c r="BB172" i="16" s="1"/>
  <c r="AR173" i="16"/>
  <c r="BB173" i="16" s="1"/>
  <c r="AR174" i="16"/>
  <c r="BB174" i="16" s="1"/>
  <c r="AR175" i="16"/>
  <c r="BB175" i="16" s="1"/>
  <c r="AR176" i="16"/>
  <c r="BB176" i="16" s="1"/>
  <c r="AR177" i="16"/>
  <c r="BB177" i="16" s="1"/>
  <c r="AR178" i="16"/>
  <c r="BB178" i="16" s="1"/>
  <c r="AR179" i="16"/>
  <c r="BB179" i="16" s="1"/>
  <c r="AR180" i="16"/>
  <c r="BB180" i="16" s="1"/>
  <c r="AR181" i="16"/>
  <c r="BB181" i="16" s="1"/>
  <c r="AR182" i="16"/>
  <c r="BB182" i="16" s="1"/>
  <c r="AR183" i="16"/>
  <c r="BB183" i="16" s="1"/>
  <c r="AR184" i="16"/>
  <c r="BB184" i="16" s="1"/>
  <c r="AR185" i="16"/>
  <c r="BB185" i="16" s="1"/>
  <c r="AR186" i="16"/>
  <c r="BB186" i="16" s="1"/>
  <c r="AR187" i="16"/>
  <c r="BB187" i="16" s="1"/>
  <c r="AR188" i="16"/>
  <c r="BB188" i="16" s="1"/>
  <c r="AR189" i="16"/>
  <c r="BB189" i="16" s="1"/>
  <c r="AR190" i="16"/>
  <c r="BB190" i="16" s="1"/>
  <c r="AR191" i="16"/>
  <c r="BB191" i="16" s="1"/>
  <c r="AR192" i="16"/>
  <c r="BB192" i="16" s="1"/>
  <c r="AR193" i="16"/>
  <c r="BB193" i="16" s="1"/>
  <c r="AR194" i="16"/>
  <c r="BB194" i="16" s="1"/>
  <c r="AR195" i="16"/>
  <c r="BB195" i="16" s="1"/>
  <c r="AR196" i="16"/>
  <c r="BB196" i="16" s="1"/>
  <c r="AR197" i="16"/>
  <c r="BB197" i="16" s="1"/>
  <c r="AR198" i="16"/>
  <c r="BB198" i="16" s="1"/>
  <c r="AR199" i="16"/>
  <c r="BB199" i="16" s="1"/>
  <c r="AR200" i="16"/>
  <c r="BB200" i="16" s="1"/>
  <c r="AR201" i="16"/>
  <c r="BB201" i="16" s="1"/>
  <c r="AR202" i="16"/>
  <c r="BB202" i="16" s="1"/>
  <c r="AR203" i="16"/>
  <c r="BB203" i="16" s="1"/>
  <c r="AR204" i="16"/>
  <c r="BB204" i="16" s="1"/>
  <c r="AR205" i="16"/>
  <c r="BB205" i="16" s="1"/>
  <c r="AR206" i="16"/>
  <c r="BB206" i="16" s="1"/>
  <c r="AR207" i="16"/>
  <c r="BB207" i="16" s="1"/>
  <c r="AR208" i="16"/>
  <c r="BB208" i="16" s="1"/>
  <c r="AR209" i="16"/>
  <c r="BB209" i="16" s="1"/>
  <c r="AR210" i="16"/>
  <c r="BB210" i="16" s="1"/>
  <c r="AR211" i="16"/>
  <c r="BB211" i="16" s="1"/>
  <c r="AR212" i="16"/>
  <c r="BB212" i="16" s="1"/>
  <c r="AR213" i="16"/>
  <c r="BB213" i="16" s="1"/>
  <c r="AR214" i="16"/>
  <c r="BB214" i="16" s="1"/>
  <c r="AR215" i="16"/>
  <c r="BB215" i="16" s="1"/>
  <c r="AR216" i="16"/>
  <c r="BB216" i="16" s="1"/>
  <c r="AR217" i="16"/>
  <c r="BB217" i="16" s="1"/>
  <c r="AR218" i="16"/>
  <c r="BB218" i="16" s="1"/>
  <c r="AR219" i="16"/>
  <c r="BB219" i="16" s="1"/>
  <c r="AR220" i="16"/>
  <c r="BB220" i="16" s="1"/>
  <c r="AR221" i="16"/>
  <c r="BB221" i="16" s="1"/>
  <c r="AR222" i="16"/>
  <c r="BB222" i="16" s="1"/>
  <c r="AR223" i="16"/>
  <c r="BB223" i="16" s="1"/>
  <c r="AR224" i="16"/>
  <c r="BB224" i="16" s="1"/>
  <c r="AR225" i="16"/>
  <c r="BB225" i="16" s="1"/>
  <c r="AR226" i="16"/>
  <c r="BB226" i="16" s="1"/>
  <c r="AR227" i="16"/>
  <c r="BB227" i="16" s="1"/>
  <c r="AR228" i="16"/>
  <c r="BB228" i="16" s="1"/>
  <c r="AR229" i="16"/>
  <c r="BB229" i="16" s="1"/>
  <c r="AR230" i="16"/>
  <c r="BB230" i="16" s="1"/>
  <c r="AR231" i="16"/>
  <c r="BB231" i="16" s="1"/>
  <c r="AR232" i="16"/>
  <c r="BB232" i="16" s="1"/>
  <c r="AR233" i="16"/>
  <c r="BB233" i="16" s="1"/>
  <c r="AR234" i="16"/>
  <c r="BB234" i="16" s="1"/>
  <c r="AR235" i="16"/>
  <c r="BB235" i="16" s="1"/>
  <c r="AR236" i="16"/>
  <c r="BB236" i="16" s="1"/>
  <c r="AR237" i="16"/>
  <c r="BB237" i="16" s="1"/>
  <c r="AR238" i="16"/>
  <c r="BB238" i="16" s="1"/>
  <c r="AR239" i="16"/>
  <c r="BB239" i="16" s="1"/>
  <c r="AR240" i="16"/>
  <c r="BB240" i="16" s="1"/>
  <c r="AR241" i="16"/>
  <c r="BB241" i="16" s="1"/>
  <c r="AR242" i="16"/>
  <c r="BB242" i="16" s="1"/>
  <c r="AR243" i="16"/>
  <c r="BB243" i="16" s="1"/>
  <c r="AR244" i="16"/>
  <c r="BB244" i="16" s="1"/>
  <c r="AR245" i="16"/>
  <c r="BB245" i="16" s="1"/>
  <c r="AR246" i="16"/>
  <c r="BB246" i="16" s="1"/>
  <c r="AR247" i="16"/>
  <c r="BB247" i="16" s="1"/>
  <c r="AR248" i="16"/>
  <c r="BB248" i="16" s="1"/>
  <c r="AR249" i="16"/>
  <c r="BB249" i="16" s="1"/>
  <c r="AR250" i="16"/>
  <c r="BB250" i="16" s="1"/>
  <c r="AR251" i="16"/>
  <c r="BB251" i="16" s="1"/>
  <c r="AR252" i="16"/>
  <c r="BB252" i="16" s="1"/>
  <c r="AR253" i="16"/>
  <c r="BB253" i="16" s="1"/>
  <c r="AR254" i="16"/>
  <c r="BB254" i="16" s="1"/>
  <c r="AR255" i="16"/>
  <c r="BB255" i="16" s="1"/>
  <c r="AR256" i="16"/>
  <c r="BB256" i="16" s="1"/>
  <c r="AR257" i="16"/>
  <c r="BB257" i="16" s="1"/>
  <c r="AR258" i="16"/>
  <c r="BB258" i="16" s="1"/>
  <c r="AR259" i="16"/>
  <c r="BB259" i="16" s="1"/>
  <c r="AR260" i="16"/>
  <c r="BB260" i="16" s="1"/>
  <c r="AR261" i="16"/>
  <c r="BB261" i="16" s="1"/>
  <c r="AR262" i="16"/>
  <c r="BB262" i="16" s="1"/>
  <c r="AR263" i="16"/>
  <c r="BB263" i="16" s="1"/>
  <c r="AR264" i="16"/>
  <c r="BB264" i="16" s="1"/>
  <c r="AR265" i="16"/>
  <c r="BB265" i="16" s="1"/>
  <c r="AR266" i="16"/>
  <c r="BB266" i="16" s="1"/>
  <c r="AR267" i="16"/>
  <c r="BB267" i="16" s="1"/>
  <c r="AR268" i="16"/>
  <c r="BB268" i="16" s="1"/>
  <c r="AR269" i="16"/>
  <c r="BB269" i="16" s="1"/>
  <c r="AR270" i="16"/>
  <c r="BB270" i="16" s="1"/>
  <c r="AR271" i="16"/>
  <c r="BB271" i="16" s="1"/>
  <c r="AR272" i="16"/>
  <c r="BB272" i="16" s="1"/>
  <c r="AR273" i="16"/>
  <c r="BB273" i="16" s="1"/>
  <c r="AR274" i="16"/>
  <c r="BB274" i="16" s="1"/>
  <c r="AR275" i="16"/>
  <c r="BB275" i="16" s="1"/>
  <c r="AR276" i="16"/>
  <c r="BB276" i="16" s="1"/>
  <c r="AR277" i="16"/>
  <c r="BB277" i="16" s="1"/>
  <c r="AR278" i="16"/>
  <c r="BB278" i="16" s="1"/>
  <c r="AR279" i="16"/>
  <c r="BB279" i="16" s="1"/>
  <c r="AR280" i="16"/>
  <c r="BB280" i="16" s="1"/>
  <c r="AR281" i="16"/>
  <c r="BB281" i="16" s="1"/>
  <c r="AR282" i="16"/>
  <c r="BB282" i="16" s="1"/>
  <c r="AR283" i="16"/>
  <c r="BB283" i="16" s="1"/>
  <c r="AR284" i="16"/>
  <c r="BB284" i="16" s="1"/>
  <c r="AR285" i="16"/>
  <c r="BB285" i="16" s="1"/>
  <c r="AR286" i="16"/>
  <c r="BB286" i="16" s="1"/>
  <c r="AR287" i="16"/>
  <c r="BB287" i="16" s="1"/>
  <c r="AR288" i="16"/>
  <c r="BB288" i="16" s="1"/>
  <c r="AR289" i="16"/>
  <c r="BB289" i="16" s="1"/>
  <c r="AR290" i="16"/>
  <c r="BB290" i="16" s="1"/>
  <c r="AR291" i="16"/>
  <c r="BB291" i="16" s="1"/>
  <c r="AR292" i="16"/>
  <c r="BB292" i="16" s="1"/>
  <c r="AR293" i="16"/>
  <c r="BB293" i="16" s="1"/>
  <c r="AR294" i="16"/>
  <c r="BB294" i="16" s="1"/>
  <c r="AR295" i="16"/>
  <c r="BB295" i="16" s="1"/>
  <c r="AR296" i="16"/>
  <c r="BB296" i="16" s="1"/>
  <c r="AR297" i="16"/>
  <c r="BB297" i="16" s="1"/>
  <c r="AR298" i="16"/>
  <c r="BB298" i="16" s="1"/>
  <c r="AR299" i="16"/>
  <c r="BB299" i="16" s="1"/>
  <c r="AR300" i="16"/>
  <c r="BB300" i="16" s="1"/>
  <c r="AR301" i="16"/>
  <c r="BB301" i="16" s="1"/>
  <c r="AR302" i="16"/>
  <c r="BB302" i="16" s="1"/>
  <c r="AR303" i="16"/>
  <c r="BB303" i="16" s="1"/>
  <c r="AR304" i="16"/>
  <c r="BB304" i="16" s="1"/>
  <c r="AR305" i="16"/>
  <c r="BB305" i="16" s="1"/>
  <c r="AR306" i="16"/>
  <c r="BB306" i="16" s="1"/>
  <c r="AR307" i="16"/>
  <c r="BB307" i="16" s="1"/>
  <c r="AR308" i="16"/>
  <c r="BB308" i="16" s="1"/>
  <c r="AR309" i="16"/>
  <c r="BB309" i="16" s="1"/>
  <c r="AR310" i="16"/>
  <c r="BB310" i="16" s="1"/>
  <c r="AR311" i="16"/>
  <c r="BB311" i="16" s="1"/>
  <c r="AR312" i="16"/>
  <c r="BB312" i="16" s="1"/>
  <c r="AR313" i="16"/>
  <c r="BB313" i="16" s="1"/>
  <c r="AR314" i="16"/>
  <c r="BB314" i="16" s="1"/>
  <c r="AR315" i="16"/>
  <c r="BB315" i="16" s="1"/>
  <c r="AR316" i="16"/>
  <c r="BB316" i="16" s="1"/>
  <c r="AR317" i="16"/>
  <c r="BB317" i="16" s="1"/>
  <c r="AR318" i="16"/>
  <c r="BB318" i="16" s="1"/>
  <c r="AR319" i="16"/>
  <c r="BB319" i="16" s="1"/>
  <c r="AR320" i="16"/>
  <c r="BB320" i="16" s="1"/>
  <c r="AR321" i="16"/>
  <c r="BB321" i="16" s="1"/>
  <c r="AR322" i="16"/>
  <c r="BB322" i="16" s="1"/>
  <c r="AR323" i="16"/>
  <c r="BB323" i="16" s="1"/>
  <c r="AR324" i="16"/>
  <c r="BB324" i="16" s="1"/>
  <c r="AR325" i="16"/>
  <c r="BB325" i="16" s="1"/>
  <c r="AR326" i="16"/>
  <c r="BB326" i="16" s="1"/>
  <c r="AR327" i="16"/>
  <c r="BB327" i="16" s="1"/>
  <c r="AR328" i="16"/>
  <c r="BB328" i="16" s="1"/>
  <c r="AR329" i="16"/>
  <c r="BB329" i="16" s="1"/>
  <c r="AR330" i="16"/>
  <c r="BB330" i="16" s="1"/>
  <c r="AR331" i="16"/>
  <c r="BB331" i="16" s="1"/>
  <c r="AR332" i="16"/>
  <c r="BB332" i="16" s="1"/>
  <c r="AR333" i="16"/>
  <c r="BB333" i="16" s="1"/>
  <c r="AR334" i="16"/>
  <c r="BB334" i="16" s="1"/>
  <c r="AR335" i="16"/>
  <c r="BB335" i="16" s="1"/>
  <c r="AR336" i="16"/>
  <c r="BB336" i="16" s="1"/>
  <c r="AR337" i="16"/>
  <c r="BB337" i="16" s="1"/>
  <c r="AR338" i="16"/>
  <c r="BB338" i="16" s="1"/>
  <c r="AR339" i="16"/>
  <c r="BB339" i="16" s="1"/>
  <c r="AR340" i="16"/>
  <c r="BB340" i="16" s="1"/>
  <c r="AR341" i="16"/>
  <c r="BB341" i="16" s="1"/>
  <c r="AR342" i="16"/>
  <c r="BB342" i="16" s="1"/>
  <c r="AR343" i="16"/>
  <c r="BB343" i="16" s="1"/>
  <c r="AR344" i="16"/>
  <c r="BB344" i="16" s="1"/>
  <c r="AR345" i="16"/>
  <c r="BB345" i="16" s="1"/>
  <c r="AR346" i="16"/>
  <c r="BB346" i="16" s="1"/>
  <c r="AR347" i="16"/>
  <c r="BB347" i="16" s="1"/>
  <c r="AR348" i="16"/>
  <c r="BB348" i="16" s="1"/>
  <c r="AR349" i="16"/>
  <c r="BB349" i="16" s="1"/>
  <c r="AR350" i="16"/>
  <c r="BB350" i="16" s="1"/>
  <c r="AR351" i="16"/>
  <c r="BB351" i="16" s="1"/>
  <c r="AR352" i="16"/>
  <c r="BB352" i="16" s="1"/>
  <c r="AR353" i="16"/>
  <c r="BB353" i="16" s="1"/>
  <c r="AR354" i="16"/>
  <c r="BB354" i="16" s="1"/>
  <c r="AR355" i="16"/>
  <c r="BB355" i="16" s="1"/>
  <c r="AR356" i="16"/>
  <c r="BB356" i="16" s="1"/>
  <c r="AR357" i="16"/>
  <c r="BB357" i="16" s="1"/>
  <c r="AR358" i="16"/>
  <c r="BB358" i="16" s="1"/>
  <c r="AR359" i="16"/>
  <c r="BB359" i="16" s="1"/>
  <c r="AR360" i="16"/>
  <c r="BB360" i="16" s="1"/>
  <c r="AR361" i="16"/>
  <c r="BB361" i="16" s="1"/>
  <c r="AR362" i="16"/>
  <c r="BB362" i="16" s="1"/>
  <c r="AR363" i="16"/>
  <c r="BB363" i="16" s="1"/>
  <c r="AR364" i="16"/>
  <c r="BB364" i="16" s="1"/>
  <c r="AR365" i="16"/>
  <c r="BB365" i="16" s="1"/>
  <c r="AR366" i="16"/>
  <c r="BB366" i="16" s="1"/>
  <c r="AR367" i="16"/>
  <c r="BB367" i="16" s="1"/>
  <c r="AR368" i="16"/>
  <c r="BB368" i="16" s="1"/>
  <c r="AR369" i="16"/>
  <c r="BB369" i="16" s="1"/>
  <c r="AR370" i="16"/>
  <c r="BB370" i="16" s="1"/>
  <c r="AR371" i="16"/>
  <c r="BB371" i="16" s="1"/>
  <c r="AR372" i="16"/>
  <c r="BB372" i="16" s="1"/>
  <c r="AR373" i="16"/>
  <c r="BB373" i="16" s="1"/>
  <c r="AR374" i="16"/>
  <c r="BB374" i="16" s="1"/>
  <c r="AR375" i="16"/>
  <c r="BB375" i="16" s="1"/>
  <c r="AR376" i="16"/>
  <c r="BB376" i="16" s="1"/>
  <c r="AR377" i="16"/>
  <c r="BB377" i="16" s="1"/>
  <c r="AR378" i="16"/>
  <c r="BB378" i="16" s="1"/>
  <c r="AR379" i="16"/>
  <c r="BB379" i="16" s="1"/>
  <c r="AR380" i="16"/>
  <c r="BB380" i="16" s="1"/>
  <c r="AR381" i="16"/>
  <c r="BB381" i="16" s="1"/>
  <c r="AR382" i="16"/>
  <c r="BB382" i="16" s="1"/>
  <c r="AR383" i="16"/>
  <c r="BB383" i="16" s="1"/>
  <c r="AR384" i="16"/>
  <c r="BB384" i="16" s="1"/>
  <c r="AR385" i="16"/>
  <c r="BB385" i="16" s="1"/>
  <c r="AR386" i="16"/>
  <c r="BB386" i="16" s="1"/>
  <c r="AR387" i="16"/>
  <c r="BB387" i="16" s="1"/>
  <c r="AR388" i="16"/>
  <c r="BB388" i="16" s="1"/>
  <c r="AR389" i="16"/>
  <c r="BB389" i="16" s="1"/>
  <c r="AR390" i="16"/>
  <c r="BB390" i="16" s="1"/>
  <c r="AR391" i="16"/>
  <c r="BB391" i="16" s="1"/>
  <c r="AR392" i="16"/>
  <c r="BB392" i="16" s="1"/>
  <c r="AR393" i="16"/>
  <c r="BB393" i="16" s="1"/>
  <c r="AR394" i="16"/>
  <c r="BB394" i="16" s="1"/>
  <c r="AR395" i="16"/>
  <c r="BB395" i="16" s="1"/>
  <c r="AR396" i="16"/>
  <c r="BB396" i="16" s="1"/>
  <c r="AR397" i="16"/>
  <c r="BB397" i="16" s="1"/>
  <c r="AR398" i="16"/>
  <c r="BB398" i="16" s="1"/>
  <c r="AR399" i="16"/>
  <c r="BB399" i="16" s="1"/>
  <c r="AR400" i="16"/>
  <c r="BB400" i="16" s="1"/>
  <c r="AR401" i="16"/>
  <c r="BB401" i="16" s="1"/>
  <c r="AR402" i="16"/>
  <c r="BB402" i="16" s="1"/>
  <c r="AR403" i="16"/>
  <c r="BB403" i="16" s="1"/>
  <c r="AR404" i="16"/>
  <c r="BB404" i="16" s="1"/>
  <c r="AR405" i="16"/>
  <c r="BB405" i="16" s="1"/>
  <c r="AR406" i="16"/>
  <c r="BB406" i="16" s="1"/>
  <c r="AR407" i="16"/>
  <c r="BB407" i="16" s="1"/>
  <c r="AR408" i="16"/>
  <c r="BB408" i="16" s="1"/>
  <c r="AR409" i="16"/>
  <c r="BB409" i="16" s="1"/>
  <c r="AR410" i="16"/>
  <c r="BB410" i="16" s="1"/>
  <c r="AR411" i="16"/>
  <c r="BB411" i="16" s="1"/>
  <c r="AR412" i="16"/>
  <c r="BB412" i="16" s="1"/>
  <c r="AR413" i="16"/>
  <c r="BB413" i="16" s="1"/>
  <c r="AR414" i="16"/>
  <c r="BB414" i="16" s="1"/>
  <c r="AR415" i="16"/>
  <c r="BB415" i="16" s="1"/>
  <c r="AR416" i="16"/>
  <c r="BB416" i="16" s="1"/>
  <c r="AR417" i="16"/>
  <c r="BB417" i="16" s="1"/>
  <c r="AR418" i="16"/>
  <c r="BB418" i="16" s="1"/>
  <c r="AR419" i="16"/>
  <c r="BB419" i="16" s="1"/>
  <c r="AR420" i="16"/>
  <c r="BB420" i="16" s="1"/>
  <c r="AR421" i="16"/>
  <c r="BB421" i="16" s="1"/>
  <c r="AR422" i="16"/>
  <c r="BB422" i="16" s="1"/>
  <c r="AR423" i="16"/>
  <c r="BB423" i="16" s="1"/>
  <c r="AR424" i="16"/>
  <c r="BB424" i="16" s="1"/>
  <c r="AR425" i="16"/>
  <c r="BB425" i="16" s="1"/>
  <c r="AR426" i="16"/>
  <c r="BB426" i="16" s="1"/>
  <c r="AR427" i="16"/>
  <c r="BB427" i="16" s="1"/>
  <c r="AR428" i="16"/>
  <c r="BB428" i="16" s="1"/>
  <c r="AR429" i="16"/>
  <c r="BB429" i="16" s="1"/>
  <c r="AR430" i="16"/>
  <c r="BB430" i="16" s="1"/>
  <c r="AR431" i="16"/>
  <c r="BB431" i="16" s="1"/>
  <c r="AR432" i="16"/>
  <c r="BB432" i="16" s="1"/>
  <c r="AR433" i="16"/>
  <c r="BB433" i="16" s="1"/>
  <c r="AR434" i="16"/>
  <c r="BB434" i="16" s="1"/>
  <c r="AR435" i="16"/>
  <c r="BB435" i="16" s="1"/>
  <c r="AR436" i="16"/>
  <c r="BB436" i="16" s="1"/>
  <c r="AR437" i="16"/>
  <c r="BB437" i="16" s="1"/>
  <c r="AR438" i="16"/>
  <c r="BB438" i="16" s="1"/>
  <c r="AR439" i="16"/>
  <c r="BB439" i="16" s="1"/>
  <c r="AR440" i="16"/>
  <c r="BB440" i="16" s="1"/>
  <c r="AR441" i="16"/>
  <c r="BB441" i="16" s="1"/>
  <c r="AR442" i="16"/>
  <c r="BB442" i="16" s="1"/>
  <c r="AR443" i="16"/>
  <c r="BB443" i="16" s="1"/>
  <c r="AR444" i="16"/>
  <c r="BB444" i="16" s="1"/>
  <c r="AR445" i="16"/>
  <c r="BB445" i="16" s="1"/>
  <c r="AR446" i="16"/>
  <c r="BB446" i="16" s="1"/>
  <c r="AR447" i="16"/>
  <c r="BB447" i="16" s="1"/>
  <c r="AR448" i="16"/>
  <c r="BB448" i="16" s="1"/>
  <c r="AR449" i="16"/>
  <c r="BB449" i="16" s="1"/>
  <c r="AR450" i="16"/>
  <c r="BB450" i="16" s="1"/>
  <c r="AR451" i="16"/>
  <c r="BB451" i="16" s="1"/>
  <c r="AR452" i="16"/>
  <c r="BB452" i="16" s="1"/>
  <c r="AR453" i="16"/>
  <c r="BB453" i="16" s="1"/>
  <c r="AR454" i="16"/>
  <c r="BB454" i="16" s="1"/>
  <c r="AR455" i="16"/>
  <c r="BB455" i="16" s="1"/>
  <c r="AR456" i="16"/>
  <c r="BB456" i="16" s="1"/>
  <c r="AR457" i="16"/>
  <c r="BB457" i="16" s="1"/>
  <c r="AR458" i="16"/>
  <c r="BB458" i="16" s="1"/>
  <c r="AR459" i="16"/>
  <c r="BB459" i="16" s="1"/>
  <c r="AR460" i="16"/>
  <c r="BB460" i="16" s="1"/>
  <c r="AR461" i="16"/>
  <c r="BB461" i="16" s="1"/>
  <c r="AR462" i="16"/>
  <c r="BB462" i="16" s="1"/>
  <c r="AR463" i="16"/>
  <c r="BB463" i="16" s="1"/>
  <c r="AR464" i="16"/>
  <c r="BB464" i="16" s="1"/>
  <c r="AR465" i="16"/>
  <c r="BB465" i="16" s="1"/>
  <c r="AR466" i="16"/>
  <c r="BB466" i="16" s="1"/>
  <c r="AR467" i="16"/>
  <c r="BB467" i="16" s="1"/>
  <c r="AR468" i="16"/>
  <c r="BB468" i="16" s="1"/>
  <c r="AR469" i="16"/>
  <c r="BB469" i="16" s="1"/>
  <c r="AR470" i="16"/>
  <c r="BB470" i="16" s="1"/>
  <c r="AR471" i="16"/>
  <c r="BB471" i="16" s="1"/>
  <c r="AR472" i="16"/>
  <c r="BB472" i="16" s="1"/>
  <c r="AR473" i="16"/>
  <c r="BB473" i="16" s="1"/>
  <c r="AR474" i="16"/>
  <c r="BB474" i="16" s="1"/>
  <c r="AR475" i="16"/>
  <c r="BB475" i="16" s="1"/>
  <c r="AR476" i="16"/>
  <c r="BB476" i="16" s="1"/>
  <c r="AR477" i="16"/>
  <c r="BB477" i="16" s="1"/>
  <c r="AR478" i="16"/>
  <c r="BB478" i="16" s="1"/>
  <c r="AR479" i="16"/>
  <c r="BB479" i="16" s="1"/>
  <c r="AR480" i="16"/>
  <c r="BB480" i="16" s="1"/>
  <c r="AR481" i="16"/>
  <c r="BB481" i="16" s="1"/>
  <c r="AR482" i="16"/>
  <c r="BB482" i="16" s="1"/>
  <c r="AR483" i="16"/>
  <c r="BB483" i="16" s="1"/>
  <c r="AR484" i="16"/>
  <c r="BB484" i="16" s="1"/>
  <c r="AR485" i="16"/>
  <c r="BB485" i="16" s="1"/>
  <c r="AR486" i="16"/>
  <c r="BB486" i="16" s="1"/>
  <c r="AR487" i="16"/>
  <c r="BB487" i="16" s="1"/>
  <c r="AR488" i="16"/>
  <c r="BB488" i="16" s="1"/>
  <c r="AR489" i="16"/>
  <c r="BB489" i="16" s="1"/>
  <c r="AR490" i="16"/>
  <c r="BB490" i="16" s="1"/>
  <c r="AR491" i="16"/>
  <c r="BB491" i="16" s="1"/>
  <c r="AR492" i="16"/>
  <c r="BB492" i="16" s="1"/>
  <c r="AR493" i="16"/>
  <c r="BB493" i="16" s="1"/>
  <c r="AR494" i="16"/>
  <c r="BB494" i="16" s="1"/>
  <c r="AR495" i="16"/>
  <c r="BB495" i="16" s="1"/>
  <c r="AR496" i="16"/>
  <c r="BB496" i="16" s="1"/>
  <c r="AR497" i="16"/>
  <c r="BB497" i="16" s="1"/>
  <c r="AR498" i="16"/>
  <c r="BB498" i="16" s="1"/>
  <c r="AR499" i="16"/>
  <c r="BB499" i="16" s="1"/>
  <c r="AR500" i="16"/>
  <c r="BB500" i="16" s="1"/>
  <c r="AR501" i="16"/>
  <c r="BB501" i="16" s="1"/>
  <c r="AR502" i="16"/>
  <c r="BB502" i="16" s="1"/>
  <c r="AG31" i="16"/>
  <c r="AI31" i="16"/>
  <c r="AN31" i="16"/>
  <c r="AO31" i="16"/>
  <c r="AP31" i="16" s="1"/>
  <c r="AG32" i="16"/>
  <c r="AI32" i="16"/>
  <c r="AN32" i="16"/>
  <c r="AO32" i="16"/>
  <c r="AP32" i="16" s="1"/>
  <c r="AG33" i="16"/>
  <c r="AI33" i="16"/>
  <c r="AN33" i="16"/>
  <c r="AO33" i="16"/>
  <c r="AP33" i="16"/>
  <c r="AG34" i="16"/>
  <c r="AI34" i="16"/>
  <c r="AN34" i="16"/>
  <c r="AO34" i="16"/>
  <c r="AP34" i="16"/>
  <c r="AG35" i="16"/>
  <c r="AI35" i="16"/>
  <c r="AN35" i="16"/>
  <c r="AO35" i="16"/>
  <c r="AP35" i="16"/>
  <c r="AG36" i="16"/>
  <c r="AI36" i="16"/>
  <c r="AN36" i="16"/>
  <c r="AO36" i="16"/>
  <c r="AP36" i="16"/>
  <c r="AG37" i="16"/>
  <c r="AI37" i="16"/>
  <c r="AN37" i="16"/>
  <c r="AO37" i="16"/>
  <c r="AP37" i="16"/>
  <c r="AG38" i="16"/>
  <c r="AI38" i="16"/>
  <c r="AN38" i="16"/>
  <c r="AO38" i="16"/>
  <c r="AP38" i="16" s="1"/>
  <c r="AG39" i="16"/>
  <c r="AI39" i="16"/>
  <c r="AN39" i="16"/>
  <c r="AO39" i="16"/>
  <c r="AP39" i="16"/>
  <c r="AG40" i="16"/>
  <c r="AI40" i="16"/>
  <c r="AN40" i="16"/>
  <c r="AO40" i="16"/>
  <c r="AP40" i="16"/>
  <c r="AG41" i="16"/>
  <c r="AI41" i="16"/>
  <c r="AN41" i="16"/>
  <c r="AO41" i="16"/>
  <c r="AP41" i="16"/>
  <c r="AG42" i="16"/>
  <c r="AI42" i="16"/>
  <c r="AN42" i="16"/>
  <c r="AO42" i="16"/>
  <c r="AP42" i="16" s="1"/>
  <c r="AG43" i="16"/>
  <c r="AI43" i="16"/>
  <c r="AN43" i="16"/>
  <c r="AO43" i="16"/>
  <c r="AP43" i="16"/>
  <c r="AG44" i="16"/>
  <c r="AI44" i="16"/>
  <c r="AN44" i="16"/>
  <c r="AO44" i="16"/>
  <c r="AP44" i="16"/>
  <c r="AG45" i="16"/>
  <c r="AI45" i="16"/>
  <c r="AN45" i="16"/>
  <c r="AO45" i="16"/>
  <c r="AP45" i="16" s="1"/>
  <c r="AG46" i="16"/>
  <c r="AI46" i="16"/>
  <c r="AN46" i="16"/>
  <c r="AO46" i="16"/>
  <c r="AP46" i="16"/>
  <c r="AG47" i="16"/>
  <c r="AI47" i="16"/>
  <c r="AN47" i="16"/>
  <c r="AO47" i="16"/>
  <c r="AP47" i="16"/>
  <c r="AG48" i="16"/>
  <c r="AI48" i="16"/>
  <c r="AN48" i="16"/>
  <c r="AO48" i="16"/>
  <c r="AP48" i="16"/>
  <c r="AG49" i="16"/>
  <c r="AI49" i="16"/>
  <c r="AN49" i="16"/>
  <c r="AO49" i="16"/>
  <c r="AP49" i="16"/>
  <c r="AG50" i="16"/>
  <c r="AI50" i="16"/>
  <c r="AN50" i="16"/>
  <c r="AO50" i="16"/>
  <c r="AP50" i="16"/>
  <c r="AG51" i="16"/>
  <c r="AI51" i="16"/>
  <c r="AN51" i="16"/>
  <c r="AO51" i="16"/>
  <c r="AP51" i="16"/>
  <c r="AG52" i="16"/>
  <c r="AI52" i="16"/>
  <c r="AN52" i="16"/>
  <c r="AO52" i="16"/>
  <c r="AP52" i="16" s="1"/>
  <c r="AG53" i="16"/>
  <c r="AI53" i="16"/>
  <c r="AN53" i="16"/>
  <c r="AO53" i="16"/>
  <c r="AP53" i="16"/>
  <c r="AG54" i="16"/>
  <c r="AI54" i="16" s="1"/>
  <c r="AN54" i="16"/>
  <c r="AO54" i="16"/>
  <c r="AP54" i="16"/>
  <c r="AG55" i="16"/>
  <c r="AI55" i="16"/>
  <c r="AN55" i="16"/>
  <c r="AO55" i="16"/>
  <c r="AP55" i="16" s="1"/>
  <c r="AG56" i="16"/>
  <c r="AI56" i="16"/>
  <c r="AN56" i="16"/>
  <c r="AO56" i="16"/>
  <c r="AP56" i="16" s="1"/>
  <c r="AG57" i="16"/>
  <c r="AI57" i="16"/>
  <c r="AN57" i="16"/>
  <c r="AO57" i="16"/>
  <c r="AP57" i="16"/>
  <c r="AG58" i="16"/>
  <c r="AI58" i="16"/>
  <c r="AN58" i="16"/>
  <c r="AO58" i="16"/>
  <c r="AP58" i="16"/>
  <c r="AG59" i="16"/>
  <c r="AI59" i="16"/>
  <c r="AN59" i="16"/>
  <c r="AO59" i="16"/>
  <c r="AP59" i="16" s="1"/>
  <c r="AG60" i="16"/>
  <c r="AI60" i="16"/>
  <c r="AN60" i="16"/>
  <c r="AO60" i="16"/>
  <c r="AP60" i="16"/>
  <c r="AG61" i="16"/>
  <c r="AI61" i="16"/>
  <c r="AN61" i="16"/>
  <c r="AO61" i="16"/>
  <c r="AP61" i="16" s="1"/>
  <c r="AG62" i="16"/>
  <c r="AI62" i="16"/>
  <c r="AN62" i="16"/>
  <c r="AO62" i="16"/>
  <c r="AP62" i="16"/>
  <c r="AG63" i="16"/>
  <c r="AI63" i="16"/>
  <c r="AN63" i="16"/>
  <c r="AO63" i="16"/>
  <c r="AP63" i="16"/>
  <c r="AG64" i="16"/>
  <c r="AI64" i="16"/>
  <c r="AN64" i="16"/>
  <c r="AO64" i="16"/>
  <c r="AP64" i="16" s="1"/>
  <c r="AG65" i="16"/>
  <c r="AI65" i="16"/>
  <c r="AN65" i="16"/>
  <c r="AO65" i="16"/>
  <c r="AP65" i="16" s="1"/>
  <c r="AG66" i="16"/>
  <c r="AI66" i="16" s="1"/>
  <c r="AN66" i="16"/>
  <c r="AO66" i="16"/>
  <c r="AP66" i="16"/>
  <c r="AG67" i="16"/>
  <c r="AI67" i="16"/>
  <c r="AN67" i="16"/>
  <c r="AO67" i="16"/>
  <c r="AP67" i="16"/>
  <c r="AG68" i="16"/>
  <c r="AI68" i="16"/>
  <c r="AN68" i="16"/>
  <c r="AO68" i="16"/>
  <c r="AP68" i="16" s="1"/>
  <c r="AG69" i="16"/>
  <c r="AI69" i="16"/>
  <c r="AN69" i="16"/>
  <c r="AO69" i="16"/>
  <c r="AP69" i="16" s="1"/>
  <c r="AG70" i="16"/>
  <c r="AI70" i="16"/>
  <c r="AN70" i="16"/>
  <c r="AO70" i="16"/>
  <c r="AP70" i="16" s="1"/>
  <c r="AG71" i="16"/>
  <c r="AI71" i="16"/>
  <c r="AN71" i="16"/>
  <c r="AO71" i="16"/>
  <c r="AP71" i="16" s="1"/>
  <c r="AG72" i="16"/>
  <c r="AI72" i="16"/>
  <c r="AN72" i="16"/>
  <c r="AO72" i="16"/>
  <c r="AP72" i="16"/>
  <c r="AG73" i="16"/>
  <c r="AI73" i="16"/>
  <c r="AN73" i="16"/>
  <c r="AO73" i="16"/>
  <c r="AP73" i="16" s="1"/>
  <c r="AG74" i="16"/>
  <c r="AI74" i="16"/>
  <c r="AN74" i="16"/>
  <c r="AO74" i="16"/>
  <c r="AP74" i="16"/>
  <c r="AG75" i="16"/>
  <c r="AI75" i="16"/>
  <c r="AN75" i="16"/>
  <c r="AO75" i="16"/>
  <c r="AP75" i="16" s="1"/>
  <c r="AG76" i="16"/>
  <c r="AI76" i="16"/>
  <c r="AN76" i="16"/>
  <c r="AO76" i="16"/>
  <c r="AP76" i="16" s="1"/>
  <c r="AG77" i="16"/>
  <c r="AI77" i="16"/>
  <c r="AN77" i="16"/>
  <c r="AO77" i="16"/>
  <c r="AP77" i="16" s="1"/>
  <c r="AG78" i="16"/>
  <c r="AI78" i="16"/>
  <c r="AN78" i="16"/>
  <c r="AO78" i="16"/>
  <c r="AP78" i="16"/>
  <c r="AG79" i="16"/>
  <c r="AI79" i="16"/>
  <c r="AN79" i="16"/>
  <c r="AO79" i="16"/>
  <c r="AP79" i="16"/>
  <c r="AG80" i="16"/>
  <c r="AI80" i="16"/>
  <c r="AN80" i="16"/>
  <c r="AO80" i="16"/>
  <c r="AP80" i="16"/>
  <c r="AG81" i="16"/>
  <c r="AI81" i="16"/>
  <c r="AN81" i="16"/>
  <c r="AO81" i="16"/>
  <c r="AP81" i="16"/>
  <c r="AG82" i="16"/>
  <c r="AI82" i="16"/>
  <c r="AN82" i="16"/>
  <c r="AO82" i="16"/>
  <c r="AP82" i="16"/>
  <c r="AG83" i="16"/>
  <c r="AI83" i="16" s="1"/>
  <c r="AN83" i="16"/>
  <c r="AO83" i="16"/>
  <c r="AP83" i="16"/>
  <c r="AG84" i="16"/>
  <c r="AI84" i="16"/>
  <c r="AN84" i="16"/>
  <c r="AO84" i="16"/>
  <c r="AP84" i="16" s="1"/>
  <c r="AG85" i="16"/>
  <c r="AI85" i="16"/>
  <c r="AN85" i="16"/>
  <c r="AO85" i="16"/>
  <c r="AP85" i="16"/>
  <c r="AG86" i="16"/>
  <c r="AI86" i="16"/>
  <c r="AN86" i="16"/>
  <c r="AO86" i="16"/>
  <c r="AP86" i="16"/>
  <c r="AG87" i="16"/>
  <c r="AI87" i="16"/>
  <c r="AN87" i="16"/>
  <c r="AO87" i="16"/>
  <c r="AP87" i="16"/>
  <c r="AG88" i="16"/>
  <c r="AI88" i="16"/>
  <c r="AN88" i="16"/>
  <c r="AO88" i="16"/>
  <c r="AP88" i="16" s="1"/>
  <c r="AG89" i="16"/>
  <c r="AI89" i="16"/>
  <c r="AN89" i="16"/>
  <c r="AO89" i="16"/>
  <c r="AP89" i="16" s="1"/>
  <c r="AG90" i="16"/>
  <c r="AI90" i="16"/>
  <c r="AN90" i="16"/>
  <c r="AO90" i="16"/>
  <c r="AP90" i="16" s="1"/>
  <c r="AG91" i="16"/>
  <c r="AI91" i="16" s="1"/>
  <c r="AN91" i="16"/>
  <c r="AO91" i="16"/>
  <c r="AP91" i="16"/>
  <c r="AG92" i="16"/>
  <c r="AI92" i="16" s="1"/>
  <c r="AN92" i="16"/>
  <c r="AO92" i="16"/>
  <c r="AP92" i="16" s="1"/>
  <c r="AG93" i="16"/>
  <c r="AI93" i="16"/>
  <c r="AN93" i="16"/>
  <c r="AO93" i="16"/>
  <c r="AP93" i="16" s="1"/>
  <c r="AG94" i="16"/>
  <c r="AI94" i="16"/>
  <c r="AN94" i="16"/>
  <c r="AO94" i="16"/>
  <c r="AP94" i="16" s="1"/>
  <c r="AG95" i="16"/>
  <c r="AI95" i="16"/>
  <c r="AN95" i="16"/>
  <c r="AO95" i="16"/>
  <c r="AP95" i="16" s="1"/>
  <c r="AG96" i="16"/>
  <c r="AI96" i="16" s="1"/>
  <c r="AN96" i="16"/>
  <c r="AO96" i="16"/>
  <c r="AP96" i="16"/>
  <c r="AG97" i="16"/>
  <c r="AI97" i="16"/>
  <c r="AN97" i="16"/>
  <c r="AO97" i="16"/>
  <c r="AP97" i="16" s="1"/>
  <c r="AG98" i="16"/>
  <c r="AI98" i="16"/>
  <c r="AN98" i="16"/>
  <c r="AO98" i="16"/>
  <c r="AP98" i="16" s="1"/>
  <c r="AG99" i="16"/>
  <c r="AI99" i="16"/>
  <c r="AN99" i="16"/>
  <c r="AO99" i="16"/>
  <c r="AP99" i="16"/>
  <c r="AG100" i="16"/>
  <c r="AI100" i="16"/>
  <c r="AN100" i="16"/>
  <c r="AO100" i="16"/>
  <c r="AP100" i="16"/>
  <c r="AG101" i="16"/>
  <c r="AI101" i="16" s="1"/>
  <c r="AN101" i="16"/>
  <c r="AO101" i="16"/>
  <c r="AP101" i="16"/>
  <c r="AG102" i="16"/>
  <c r="AI102" i="16"/>
  <c r="AN102" i="16"/>
  <c r="AO102" i="16"/>
  <c r="AP102" i="16" s="1"/>
  <c r="AG103" i="16"/>
  <c r="AI103" i="16"/>
  <c r="AN103" i="16"/>
  <c r="AO103" i="16"/>
  <c r="AP103" i="16" s="1"/>
  <c r="AG104" i="16"/>
  <c r="AI104" i="16" s="1"/>
  <c r="AN104" i="16"/>
  <c r="AO104" i="16"/>
  <c r="AP104" i="16" s="1"/>
  <c r="AG105" i="16"/>
  <c r="AI105" i="16"/>
  <c r="AN105" i="16"/>
  <c r="AO105" i="16"/>
  <c r="AP105" i="16" s="1"/>
  <c r="AG106" i="16"/>
  <c r="AI106" i="16" s="1"/>
  <c r="AN106" i="16"/>
  <c r="AO106" i="16"/>
  <c r="AP106" i="16"/>
  <c r="AG107" i="16"/>
  <c r="AI107" i="16" s="1"/>
  <c r="AN107" i="16"/>
  <c r="AO107" i="16"/>
  <c r="AP107" i="16" s="1"/>
  <c r="AG108" i="16"/>
  <c r="AI108" i="16"/>
  <c r="AN108" i="16"/>
  <c r="AO108" i="16"/>
  <c r="AP108" i="16" s="1"/>
  <c r="AG109" i="16"/>
  <c r="AI109" i="16"/>
  <c r="AN109" i="16"/>
  <c r="AO109" i="16"/>
  <c r="AP109" i="16" s="1"/>
  <c r="AG110" i="16"/>
  <c r="AI110" i="16"/>
  <c r="AN110" i="16"/>
  <c r="AO110" i="16"/>
  <c r="AP110" i="16"/>
  <c r="AG111" i="16"/>
  <c r="AI111" i="16"/>
  <c r="AN111" i="16"/>
  <c r="AO111" i="16"/>
  <c r="AP111" i="16"/>
  <c r="AG112" i="16"/>
  <c r="AI112" i="16"/>
  <c r="AN112" i="16"/>
  <c r="AO112" i="16"/>
  <c r="AP112" i="16"/>
  <c r="AG113" i="16"/>
  <c r="AI113" i="16"/>
  <c r="AN113" i="16"/>
  <c r="AO113" i="16"/>
  <c r="AP113" i="16"/>
  <c r="AG114" i="16"/>
  <c r="AI114" i="16" s="1"/>
  <c r="AN114" i="16"/>
  <c r="AO114" i="16"/>
  <c r="AP114" i="16" s="1"/>
  <c r="AG115" i="16"/>
  <c r="AI115" i="16"/>
  <c r="AN115" i="16"/>
  <c r="AO115" i="16"/>
  <c r="AP115" i="16" s="1"/>
  <c r="AG116" i="16"/>
  <c r="AI116" i="16"/>
  <c r="AN116" i="16"/>
  <c r="AO116" i="16"/>
  <c r="AP116" i="16"/>
  <c r="AG117" i="16"/>
  <c r="AI117" i="16"/>
  <c r="AN117" i="16"/>
  <c r="AO117" i="16"/>
  <c r="AP117" i="16" s="1"/>
  <c r="AG118" i="16"/>
  <c r="AI118" i="16"/>
  <c r="AN118" i="16"/>
  <c r="AO118" i="16"/>
  <c r="AP118" i="16" s="1"/>
  <c r="AG119" i="16"/>
  <c r="AI119" i="16" s="1"/>
  <c r="AN119" i="16"/>
  <c r="AO119" i="16"/>
  <c r="AP119" i="16" s="1"/>
  <c r="AG120" i="16"/>
  <c r="AI120" i="16" s="1"/>
  <c r="AN120" i="16"/>
  <c r="AO120" i="16"/>
  <c r="AP120" i="16"/>
  <c r="AG121" i="16"/>
  <c r="AI121" i="16" s="1"/>
  <c r="AN121" i="16"/>
  <c r="AO121" i="16"/>
  <c r="AP121" i="16" s="1"/>
  <c r="AG122" i="16"/>
  <c r="AI122" i="16"/>
  <c r="AN122" i="16"/>
  <c r="AO122" i="16"/>
  <c r="AP122" i="16" s="1"/>
  <c r="AG123" i="16"/>
  <c r="AI123" i="16"/>
  <c r="AN123" i="16"/>
  <c r="AO123" i="16"/>
  <c r="AP123" i="16"/>
  <c r="AG124" i="16"/>
  <c r="AI124" i="16"/>
  <c r="AN124" i="16"/>
  <c r="AO124" i="16"/>
  <c r="AP124" i="16"/>
  <c r="AG125" i="16"/>
  <c r="AI125" i="16" s="1"/>
  <c r="AN125" i="16"/>
  <c r="AO125" i="16"/>
  <c r="AP125" i="16" s="1"/>
  <c r="AG126" i="16"/>
  <c r="AI126" i="16"/>
  <c r="AN126" i="16"/>
  <c r="AO126" i="16"/>
  <c r="AP126" i="16" s="1"/>
  <c r="AG127" i="16"/>
  <c r="AN127" i="16"/>
  <c r="AO127" i="16"/>
  <c r="AP127" i="16" s="1"/>
  <c r="AG128" i="16"/>
  <c r="AI128" i="16"/>
  <c r="AN128" i="16"/>
  <c r="AO128" i="16"/>
  <c r="AP128" i="16"/>
  <c r="AG129" i="16"/>
  <c r="AI129" i="16"/>
  <c r="AN129" i="16"/>
  <c r="AO129" i="16"/>
  <c r="AP129" i="16"/>
  <c r="AG130" i="16"/>
  <c r="AI130" i="16"/>
  <c r="AN130" i="16"/>
  <c r="AO130" i="16"/>
  <c r="AP130" i="16" s="1"/>
  <c r="AG131" i="16"/>
  <c r="AN131" i="16"/>
  <c r="AO131" i="16"/>
  <c r="AP131" i="16" s="1"/>
  <c r="AG132" i="16"/>
  <c r="AI132" i="16" s="1"/>
  <c r="AN132" i="16"/>
  <c r="AO132" i="16"/>
  <c r="AP132" i="16" s="1"/>
  <c r="AG133" i="16"/>
  <c r="AI133" i="16" s="1"/>
  <c r="AN133" i="16"/>
  <c r="AO133" i="16"/>
  <c r="AP133" i="16"/>
  <c r="AG134" i="16"/>
  <c r="AI134" i="16"/>
  <c r="AN134" i="16"/>
  <c r="AO134" i="16"/>
  <c r="AP134" i="16" s="1"/>
  <c r="AG135" i="16"/>
  <c r="AI135" i="16"/>
  <c r="AN135" i="16"/>
  <c r="AO135" i="16"/>
  <c r="AP135" i="16" s="1"/>
  <c r="AG136" i="16"/>
  <c r="AI136" i="16" s="1"/>
  <c r="AN136" i="16"/>
  <c r="AO136" i="16"/>
  <c r="AP136" i="16"/>
  <c r="AG137" i="16"/>
  <c r="AI137" i="16"/>
  <c r="AN137" i="16"/>
  <c r="AO137" i="16"/>
  <c r="AP137" i="16"/>
  <c r="AG138" i="16"/>
  <c r="AI138" i="16" s="1"/>
  <c r="AN138" i="16"/>
  <c r="AO138" i="16"/>
  <c r="AP138" i="16"/>
  <c r="AG139" i="16"/>
  <c r="AI139" i="16"/>
  <c r="AN139" i="16"/>
  <c r="AO139" i="16"/>
  <c r="AP139" i="16"/>
  <c r="AG140" i="16"/>
  <c r="AI140" i="16" s="1"/>
  <c r="AN140" i="16"/>
  <c r="AO140" i="16"/>
  <c r="AP140" i="16" s="1"/>
  <c r="AG141" i="16"/>
  <c r="AI141" i="16" s="1"/>
  <c r="AN141" i="16"/>
  <c r="AO141" i="16"/>
  <c r="AP141" i="16"/>
  <c r="AG142" i="16"/>
  <c r="AI142" i="16"/>
  <c r="AN142" i="16"/>
  <c r="AO142" i="16"/>
  <c r="AP142" i="16"/>
  <c r="AG143" i="16"/>
  <c r="AI143" i="16"/>
  <c r="AN143" i="16"/>
  <c r="AO143" i="16"/>
  <c r="AP143" i="16"/>
  <c r="AG144" i="16"/>
  <c r="AI144" i="16" s="1"/>
  <c r="AN144" i="16"/>
  <c r="AO144" i="16"/>
  <c r="AP144" i="16" s="1"/>
  <c r="AG145" i="16"/>
  <c r="AI145" i="16"/>
  <c r="AN145" i="16"/>
  <c r="AO145" i="16"/>
  <c r="AP145" i="16"/>
  <c r="AG146" i="16"/>
  <c r="AI146" i="16"/>
  <c r="AN146" i="16"/>
  <c r="AO146" i="16"/>
  <c r="AP146" i="16"/>
  <c r="AG147" i="16"/>
  <c r="AI147" i="16"/>
  <c r="AN147" i="16"/>
  <c r="AO147" i="16"/>
  <c r="AP147" i="16" s="1"/>
  <c r="AG148" i="16"/>
  <c r="AI148" i="16"/>
  <c r="AN148" i="16"/>
  <c r="AO148" i="16"/>
  <c r="AP148" i="16"/>
  <c r="AG149" i="16"/>
  <c r="AI149" i="16"/>
  <c r="AN149" i="16"/>
  <c r="AO149" i="16"/>
  <c r="AP149" i="16" s="1"/>
  <c r="AG150" i="16"/>
  <c r="AI150" i="16"/>
  <c r="AN150" i="16"/>
  <c r="AO150" i="16"/>
  <c r="AP150" i="16"/>
  <c r="AG151" i="16"/>
  <c r="AI151" i="16"/>
  <c r="AN151" i="16"/>
  <c r="AO151" i="16"/>
  <c r="AP151" i="16"/>
  <c r="AG152" i="16"/>
  <c r="AI152" i="16"/>
  <c r="AN152" i="16"/>
  <c r="AO152" i="16"/>
  <c r="AP152" i="16"/>
  <c r="AG153" i="16"/>
  <c r="AI153" i="16" s="1"/>
  <c r="AN153" i="16"/>
  <c r="AO153" i="16"/>
  <c r="AP153" i="16" s="1"/>
  <c r="AG154" i="16"/>
  <c r="AI154" i="16" s="1"/>
  <c r="AN154" i="16"/>
  <c r="AO154" i="16"/>
  <c r="AP154" i="16"/>
  <c r="AG155" i="16"/>
  <c r="AI155" i="16" s="1"/>
  <c r="AN155" i="16"/>
  <c r="AO155" i="16"/>
  <c r="AP155" i="16" s="1"/>
  <c r="AG156" i="16"/>
  <c r="AI156" i="16"/>
  <c r="AN156" i="16"/>
  <c r="AO156" i="16"/>
  <c r="AP156" i="16" s="1"/>
  <c r="AG157" i="16"/>
  <c r="AI157" i="16"/>
  <c r="AN157" i="16"/>
  <c r="AO157" i="16"/>
  <c r="AP157" i="16" s="1"/>
  <c r="AG158" i="16"/>
  <c r="AI158" i="16"/>
  <c r="AN158" i="16"/>
  <c r="AO158" i="16"/>
  <c r="AP158" i="16" s="1"/>
  <c r="AG159" i="16"/>
  <c r="AI159" i="16"/>
  <c r="AN159" i="16"/>
  <c r="AO159" i="16"/>
  <c r="AP159" i="16"/>
  <c r="AG160" i="16"/>
  <c r="AI160" i="16"/>
  <c r="AN160" i="16"/>
  <c r="AO160" i="16"/>
  <c r="AP160" i="16" s="1"/>
  <c r="AG161" i="16"/>
  <c r="AI161" i="16"/>
  <c r="AN161" i="16"/>
  <c r="AO161" i="16"/>
  <c r="AP161" i="16"/>
  <c r="AG162" i="16"/>
  <c r="AI162" i="16"/>
  <c r="AN162" i="16"/>
  <c r="AO162" i="16"/>
  <c r="AP162" i="16"/>
  <c r="AG163" i="16"/>
  <c r="AI163" i="16"/>
  <c r="AN163" i="16"/>
  <c r="AO163" i="16"/>
  <c r="AP163" i="16" s="1"/>
  <c r="AG164" i="16"/>
  <c r="AN164" i="16"/>
  <c r="AO164" i="16"/>
  <c r="AP164" i="16"/>
  <c r="AG165" i="16"/>
  <c r="AI165" i="16"/>
  <c r="AN165" i="16"/>
  <c r="AO165" i="16"/>
  <c r="AP165" i="16"/>
  <c r="AG166" i="16"/>
  <c r="AI166" i="16"/>
  <c r="AN166" i="16"/>
  <c r="AO166" i="16"/>
  <c r="AP166" i="16"/>
  <c r="AG167" i="16"/>
  <c r="AI167" i="16"/>
  <c r="AN167" i="16"/>
  <c r="AO167" i="16"/>
  <c r="AP167" i="16" s="1"/>
  <c r="AG168" i="16"/>
  <c r="AI168" i="16" s="1"/>
  <c r="AN168" i="16"/>
  <c r="AO168" i="16"/>
  <c r="AP168" i="16"/>
  <c r="AG169" i="16"/>
  <c r="AI169" i="16" s="1"/>
  <c r="AN169" i="16"/>
  <c r="AO169" i="16"/>
  <c r="AP169" i="16" s="1"/>
  <c r="AG170" i="16"/>
  <c r="AI170" i="16"/>
  <c r="AN170" i="16"/>
  <c r="AO170" i="16"/>
  <c r="AP170" i="16" s="1"/>
  <c r="AG171" i="16"/>
  <c r="AI171" i="16"/>
  <c r="AN171" i="16"/>
  <c r="AO171" i="16"/>
  <c r="AP171" i="16"/>
  <c r="AG172" i="16"/>
  <c r="AI172" i="16" s="1"/>
  <c r="AN172" i="16"/>
  <c r="AO172" i="16"/>
  <c r="AP172" i="16"/>
  <c r="AG173" i="16"/>
  <c r="AI173" i="16"/>
  <c r="AN173" i="16"/>
  <c r="AO173" i="16"/>
  <c r="AP173" i="16"/>
  <c r="AG174" i="16"/>
  <c r="AI174" i="16"/>
  <c r="AN174" i="16"/>
  <c r="AO174" i="16"/>
  <c r="AP174" i="16" s="1"/>
  <c r="AG175" i="16"/>
  <c r="AI175" i="16" s="1"/>
  <c r="AN175" i="16"/>
  <c r="AO175" i="16"/>
  <c r="AP175" i="16" s="1"/>
  <c r="AG176" i="16"/>
  <c r="AI176" i="16"/>
  <c r="AN176" i="16"/>
  <c r="AO176" i="16"/>
  <c r="AP176" i="16"/>
  <c r="AG177" i="16"/>
  <c r="AI177" i="16" s="1"/>
  <c r="AN177" i="16"/>
  <c r="AO177" i="16"/>
  <c r="AP177" i="16" s="1"/>
  <c r="AG178" i="16"/>
  <c r="AI178" i="16"/>
  <c r="AN178" i="16"/>
  <c r="AO178" i="16"/>
  <c r="AP178" i="16" s="1"/>
  <c r="AG179" i="16"/>
  <c r="AI179" i="16"/>
  <c r="AN179" i="16"/>
  <c r="AO179" i="16"/>
  <c r="AP179" i="16" s="1"/>
  <c r="AG180" i="16"/>
  <c r="AI180" i="16"/>
  <c r="AN180" i="16"/>
  <c r="AO180" i="16"/>
  <c r="AP180" i="16"/>
  <c r="AG181" i="16"/>
  <c r="AI181" i="16"/>
  <c r="AN181" i="16"/>
  <c r="AO181" i="16"/>
  <c r="AP181" i="16" s="1"/>
  <c r="AG182" i="16"/>
  <c r="AI182" i="16"/>
  <c r="AN182" i="16"/>
  <c r="AO182" i="16"/>
  <c r="AP182" i="16"/>
  <c r="AG183" i="16"/>
  <c r="AI183" i="16"/>
  <c r="AN183" i="16"/>
  <c r="AO183" i="16"/>
  <c r="AP183" i="16"/>
  <c r="AG184" i="16"/>
  <c r="AI184" i="16"/>
  <c r="AN184" i="16"/>
  <c r="AO184" i="16"/>
  <c r="AP184" i="16"/>
  <c r="AG185" i="16"/>
  <c r="AI185" i="16"/>
  <c r="AN185" i="16"/>
  <c r="AO185" i="16"/>
  <c r="AP185" i="16" s="1"/>
  <c r="AG186" i="16"/>
  <c r="AI186" i="16"/>
  <c r="AN186" i="16"/>
  <c r="AO186" i="16"/>
  <c r="AP186" i="16" s="1"/>
  <c r="AG187" i="16"/>
  <c r="AI187" i="16" s="1"/>
  <c r="AN187" i="16"/>
  <c r="AO187" i="16"/>
  <c r="AP187" i="16"/>
  <c r="AG188" i="16"/>
  <c r="AI188" i="16"/>
  <c r="AN188" i="16"/>
  <c r="AO188" i="16"/>
  <c r="AP188" i="16"/>
  <c r="AG189" i="16"/>
  <c r="AI189" i="16"/>
  <c r="AN189" i="16"/>
  <c r="AO189" i="16"/>
  <c r="AP189" i="16" s="1"/>
  <c r="AG190" i="16"/>
  <c r="AI190" i="16"/>
  <c r="AN190" i="16"/>
  <c r="AO190" i="16"/>
  <c r="AP190" i="16"/>
  <c r="AG191" i="16"/>
  <c r="AI191" i="16" s="1"/>
  <c r="AN191" i="16"/>
  <c r="AO191" i="16"/>
  <c r="AP191" i="16" s="1"/>
  <c r="AG192" i="16"/>
  <c r="AI192" i="16"/>
  <c r="AN192" i="16"/>
  <c r="AO192" i="16"/>
  <c r="AP192" i="16" s="1"/>
  <c r="AG193" i="16"/>
  <c r="AI193" i="16"/>
  <c r="AN193" i="16"/>
  <c r="AO193" i="16"/>
  <c r="AP193" i="16"/>
  <c r="AG194" i="16"/>
  <c r="AI194" i="16"/>
  <c r="AN194" i="16"/>
  <c r="AO194" i="16"/>
  <c r="AP194" i="16"/>
  <c r="AG195" i="16"/>
  <c r="AI195" i="16"/>
  <c r="AN195" i="16"/>
  <c r="AO195" i="16"/>
  <c r="AP195" i="16" s="1"/>
  <c r="AG196" i="16"/>
  <c r="AI196" i="16" s="1"/>
  <c r="AN196" i="16"/>
  <c r="AO196" i="16"/>
  <c r="AP196" i="16"/>
  <c r="AG197" i="16"/>
  <c r="AI197" i="16"/>
  <c r="AN197" i="16"/>
  <c r="AO197" i="16"/>
  <c r="AP197" i="16"/>
  <c r="AG198" i="16"/>
  <c r="AI198" i="16"/>
  <c r="AN198" i="16"/>
  <c r="AO198" i="16"/>
  <c r="AP198" i="16"/>
  <c r="AG199" i="16"/>
  <c r="AI199" i="16"/>
  <c r="AN199" i="16"/>
  <c r="AO199" i="16"/>
  <c r="AP199" i="16"/>
  <c r="AG200" i="16"/>
  <c r="AI200" i="16"/>
  <c r="AN200" i="16"/>
  <c r="AO200" i="16"/>
  <c r="AP200" i="16" s="1"/>
  <c r="AG201" i="16"/>
  <c r="AI201" i="16"/>
  <c r="AN201" i="16"/>
  <c r="AO201" i="16"/>
  <c r="AP201" i="16"/>
  <c r="AG202" i="16"/>
  <c r="AI202" i="16"/>
  <c r="AN202" i="16"/>
  <c r="AO202" i="16"/>
  <c r="AP202" i="16" s="1"/>
  <c r="AG203" i="16"/>
  <c r="AI203" i="16"/>
  <c r="AN203" i="16"/>
  <c r="AO203" i="16"/>
  <c r="AP203" i="16"/>
  <c r="AG204" i="16"/>
  <c r="AI204" i="16"/>
  <c r="AN204" i="16"/>
  <c r="AO204" i="16"/>
  <c r="AP204" i="16"/>
  <c r="AG205" i="16"/>
  <c r="AI205" i="16"/>
  <c r="AN205" i="16"/>
  <c r="AO205" i="16"/>
  <c r="AP205" i="16" s="1"/>
  <c r="AG206" i="16"/>
  <c r="AI206" i="16" s="1"/>
  <c r="AN206" i="16"/>
  <c r="AO206" i="16"/>
  <c r="AP206" i="16" s="1"/>
  <c r="AG207" i="16"/>
  <c r="AI207" i="16" s="1"/>
  <c r="AN207" i="16"/>
  <c r="AO207" i="16"/>
  <c r="AP207" i="16"/>
  <c r="AG208" i="16"/>
  <c r="AI208" i="16"/>
  <c r="AN208" i="16"/>
  <c r="AO208" i="16"/>
  <c r="AP208" i="16"/>
  <c r="AG209" i="16"/>
  <c r="AI209" i="16"/>
  <c r="AN209" i="16"/>
  <c r="AO209" i="16"/>
  <c r="AP209" i="16" s="1"/>
  <c r="AG210" i="16"/>
  <c r="AI210" i="16"/>
  <c r="AN210" i="16"/>
  <c r="AO210" i="16"/>
  <c r="AP210" i="16" s="1"/>
  <c r="AG211" i="16"/>
  <c r="AI211" i="16"/>
  <c r="AN211" i="16"/>
  <c r="AO211" i="16"/>
  <c r="AP211" i="16" s="1"/>
  <c r="AG212" i="16"/>
  <c r="AI212" i="16"/>
  <c r="AN212" i="16"/>
  <c r="AO212" i="16"/>
  <c r="AP212" i="16"/>
  <c r="AG213" i="16"/>
  <c r="AI213" i="16" s="1"/>
  <c r="AN213" i="16"/>
  <c r="AO213" i="16"/>
  <c r="AP213" i="16"/>
  <c r="AG214" i="16"/>
  <c r="AI214" i="16"/>
  <c r="AN214" i="16"/>
  <c r="AO214" i="16"/>
  <c r="AP214" i="16"/>
  <c r="AG215" i="16"/>
  <c r="AI215" i="16" s="1"/>
  <c r="AN215" i="16"/>
  <c r="AO215" i="16"/>
  <c r="AP215" i="16"/>
  <c r="AG216" i="16"/>
  <c r="AI216" i="16"/>
  <c r="AN216" i="16"/>
  <c r="AO216" i="16"/>
  <c r="AP216" i="16" s="1"/>
  <c r="AG217" i="16"/>
  <c r="AI217" i="16"/>
  <c r="AN217" i="16"/>
  <c r="AO217" i="16"/>
  <c r="AP217" i="16"/>
  <c r="AG218" i="16"/>
  <c r="AI218" i="16"/>
  <c r="AN218" i="16"/>
  <c r="AO218" i="16"/>
  <c r="AP218" i="16" s="1"/>
  <c r="AG219" i="16"/>
  <c r="AI219" i="16"/>
  <c r="AN219" i="16"/>
  <c r="AO219" i="16"/>
  <c r="AP219" i="16"/>
  <c r="AG220" i="16"/>
  <c r="AI220" i="16"/>
  <c r="AN220" i="16"/>
  <c r="AO220" i="16"/>
  <c r="AP220" i="16"/>
  <c r="AG221" i="16"/>
  <c r="AI221" i="16"/>
  <c r="AN221" i="16"/>
  <c r="AO221" i="16"/>
  <c r="AP221" i="16"/>
  <c r="AG222" i="16"/>
  <c r="AI222" i="16"/>
  <c r="AN222" i="16"/>
  <c r="AO222" i="16"/>
  <c r="AP222" i="16" s="1"/>
  <c r="AG223" i="16"/>
  <c r="AI223" i="16"/>
  <c r="AN223" i="16"/>
  <c r="AO223" i="16"/>
  <c r="AP223" i="16" s="1"/>
  <c r="AG224" i="16"/>
  <c r="AI224" i="16"/>
  <c r="AN224" i="16"/>
  <c r="AO224" i="16"/>
  <c r="AP224" i="16"/>
  <c r="AG225" i="16"/>
  <c r="AI225" i="16"/>
  <c r="AN225" i="16"/>
  <c r="AO225" i="16"/>
  <c r="AP225" i="16"/>
  <c r="AG226" i="16"/>
  <c r="AI226" i="16"/>
  <c r="AN226" i="16"/>
  <c r="AO226" i="16"/>
  <c r="AP226" i="16" s="1"/>
  <c r="AG227" i="16"/>
  <c r="AI227" i="16"/>
  <c r="AN227" i="16"/>
  <c r="AO227" i="16"/>
  <c r="AP227" i="16" s="1"/>
  <c r="AG228" i="16"/>
  <c r="AI228" i="16" s="1"/>
  <c r="AN228" i="16"/>
  <c r="AO228" i="16"/>
  <c r="AP228" i="16" s="1"/>
  <c r="AG229" i="16"/>
  <c r="AI229" i="16"/>
  <c r="AN229" i="16"/>
  <c r="AO229" i="16"/>
  <c r="AP229" i="16" s="1"/>
  <c r="AG230" i="16"/>
  <c r="AI230" i="16"/>
  <c r="AN230" i="16"/>
  <c r="AO230" i="16"/>
  <c r="AP230" i="16" s="1"/>
  <c r="AG231" i="16"/>
  <c r="AI231" i="16"/>
  <c r="AN231" i="16"/>
  <c r="AO231" i="16"/>
  <c r="AP231" i="16" s="1"/>
  <c r="AG232" i="16"/>
  <c r="AI232" i="16"/>
  <c r="AN232" i="16"/>
  <c r="AO232" i="16"/>
  <c r="AP232" i="16"/>
  <c r="AG233" i="16"/>
  <c r="AI233" i="16"/>
  <c r="AN233" i="16"/>
  <c r="AO233" i="16"/>
  <c r="AP233" i="16" s="1"/>
  <c r="AG234" i="16"/>
  <c r="AI234" i="16"/>
  <c r="AN234" i="16"/>
  <c r="AO234" i="16"/>
  <c r="AP234" i="16"/>
  <c r="AG235" i="16"/>
  <c r="AI235" i="16"/>
  <c r="AN235" i="16"/>
  <c r="AO235" i="16"/>
  <c r="AP235" i="16" s="1"/>
  <c r="AG236" i="16"/>
  <c r="AI236" i="16"/>
  <c r="AN236" i="16"/>
  <c r="AO236" i="16"/>
  <c r="AP236" i="16"/>
  <c r="AG237" i="16"/>
  <c r="AI237" i="16"/>
  <c r="AN237" i="16"/>
  <c r="AO237" i="16"/>
  <c r="AP237" i="16"/>
  <c r="AG238" i="16"/>
  <c r="AI238" i="16"/>
  <c r="AN238" i="16"/>
  <c r="AO238" i="16"/>
  <c r="AP238" i="16"/>
  <c r="AG239" i="16"/>
  <c r="AI239" i="16"/>
  <c r="AN239" i="16"/>
  <c r="AO239" i="16"/>
  <c r="AP239" i="16"/>
  <c r="AG240" i="16"/>
  <c r="AI240" i="16"/>
  <c r="AN240" i="16"/>
  <c r="AO240" i="16"/>
  <c r="AP240" i="16" s="1"/>
  <c r="AG241" i="16"/>
  <c r="AI241" i="16"/>
  <c r="AN241" i="16"/>
  <c r="AO241" i="16"/>
  <c r="AP241" i="16"/>
  <c r="AG242" i="16"/>
  <c r="AI242" i="16"/>
  <c r="AN242" i="16"/>
  <c r="AO242" i="16"/>
  <c r="AP242" i="16"/>
  <c r="AG243" i="16"/>
  <c r="AI243" i="16" s="1"/>
  <c r="AN243" i="16"/>
  <c r="AO243" i="16"/>
  <c r="AP243" i="16"/>
  <c r="AG244" i="16"/>
  <c r="AI244" i="16"/>
  <c r="AN244" i="16"/>
  <c r="AO244" i="16"/>
  <c r="AP244" i="16"/>
  <c r="AG245" i="16"/>
  <c r="AI245" i="16"/>
  <c r="AN245" i="16"/>
  <c r="AO245" i="16"/>
  <c r="AP245" i="16"/>
  <c r="AG246" i="16"/>
  <c r="AI246" i="16"/>
  <c r="AN246" i="16"/>
  <c r="AO246" i="16"/>
  <c r="AP246" i="16"/>
  <c r="AG247" i="16"/>
  <c r="AI247" i="16"/>
  <c r="AN247" i="16"/>
  <c r="AO247" i="16"/>
  <c r="AP247" i="16" s="1"/>
  <c r="AG248" i="16"/>
  <c r="AI248" i="16" s="1"/>
  <c r="AN248" i="16"/>
  <c r="AO248" i="16"/>
  <c r="AP248" i="16"/>
  <c r="AG249" i="16"/>
  <c r="AI249" i="16"/>
  <c r="AN249" i="16"/>
  <c r="AO249" i="16"/>
  <c r="AP249" i="16"/>
  <c r="AG250" i="16"/>
  <c r="AI250" i="16"/>
  <c r="AN250" i="16"/>
  <c r="AO250" i="16"/>
  <c r="AP250" i="16" s="1"/>
  <c r="AG251" i="16"/>
  <c r="AI251" i="16"/>
  <c r="AN251" i="16"/>
  <c r="AO251" i="16"/>
  <c r="AP251" i="16" s="1"/>
  <c r="AG252" i="16"/>
  <c r="AI252" i="16"/>
  <c r="AN252" i="16"/>
  <c r="AO252" i="16"/>
  <c r="AP252" i="16" s="1"/>
  <c r="AG253" i="16"/>
  <c r="AI253" i="16"/>
  <c r="AN253" i="16"/>
  <c r="AO253" i="16"/>
  <c r="AP253" i="16" s="1"/>
  <c r="AG254" i="16"/>
  <c r="AI254" i="16" s="1"/>
  <c r="AN254" i="16"/>
  <c r="AO254" i="16"/>
  <c r="AP254" i="16" s="1"/>
  <c r="AG255" i="16"/>
  <c r="AI255" i="16" s="1"/>
  <c r="AN255" i="16"/>
  <c r="AO255" i="16"/>
  <c r="AP255" i="16" s="1"/>
  <c r="AG256" i="16"/>
  <c r="AI256" i="16"/>
  <c r="AN256" i="16"/>
  <c r="AO256" i="16"/>
  <c r="AP256" i="16"/>
  <c r="AG257" i="16"/>
  <c r="AI257" i="16"/>
  <c r="AN257" i="16"/>
  <c r="AO257" i="16"/>
  <c r="AP257" i="16"/>
  <c r="AG258" i="16"/>
  <c r="AI258" i="16"/>
  <c r="AN258" i="16"/>
  <c r="AO258" i="16"/>
  <c r="AP258" i="16" s="1"/>
  <c r="AG259" i="16"/>
  <c r="AI259" i="16"/>
  <c r="AN259" i="16"/>
  <c r="AO259" i="16"/>
  <c r="AP259" i="16" s="1"/>
  <c r="AG260" i="16"/>
  <c r="AI260" i="16"/>
  <c r="AN260" i="16"/>
  <c r="AO260" i="16"/>
  <c r="AP260" i="16" s="1"/>
  <c r="AG261" i="16"/>
  <c r="AI261" i="16"/>
  <c r="AN261" i="16"/>
  <c r="AO261" i="16"/>
  <c r="AP261" i="16"/>
  <c r="AG262" i="16"/>
  <c r="AI262" i="16"/>
  <c r="AN262" i="16"/>
  <c r="AO262" i="16"/>
  <c r="AP262" i="16" s="1"/>
  <c r="AG263" i="16"/>
  <c r="AI263" i="16" s="1"/>
  <c r="AN263" i="16"/>
  <c r="AO263" i="16"/>
  <c r="AP263" i="16" s="1"/>
  <c r="AG264" i="16"/>
  <c r="AI264" i="16"/>
  <c r="AN264" i="16"/>
  <c r="AO264" i="16"/>
  <c r="AP264" i="16"/>
  <c r="AG265" i="16"/>
  <c r="AI265" i="16"/>
  <c r="AN265" i="16"/>
  <c r="AO265" i="16"/>
  <c r="AP265" i="16"/>
  <c r="AG266" i="16"/>
  <c r="AI266" i="16"/>
  <c r="AN266" i="16"/>
  <c r="AO266" i="16"/>
  <c r="AP266" i="16"/>
  <c r="AG267" i="16"/>
  <c r="AI267" i="16"/>
  <c r="AN267" i="16"/>
  <c r="AO267" i="16"/>
  <c r="AP267" i="16"/>
  <c r="AG268" i="16"/>
  <c r="AI268" i="16" s="1"/>
  <c r="AN268" i="16"/>
  <c r="AO268" i="16"/>
  <c r="AP268" i="16"/>
  <c r="AG269" i="16"/>
  <c r="AI269" i="16"/>
  <c r="AN269" i="16"/>
  <c r="AO269" i="16"/>
  <c r="AP269" i="16" s="1"/>
  <c r="AG270" i="16"/>
  <c r="AI270" i="16"/>
  <c r="AN270" i="16"/>
  <c r="AO270" i="16"/>
  <c r="AP270" i="16"/>
  <c r="AG271" i="16"/>
  <c r="AI271" i="16" s="1"/>
  <c r="AN271" i="16"/>
  <c r="AO271" i="16"/>
  <c r="AP271" i="16"/>
  <c r="AG272" i="16"/>
  <c r="AI272" i="16"/>
  <c r="AN272" i="16"/>
  <c r="AO272" i="16"/>
  <c r="AP272" i="16"/>
  <c r="AG273" i="16"/>
  <c r="AI273" i="16"/>
  <c r="AN273" i="16"/>
  <c r="AO273" i="16"/>
  <c r="AP273" i="16"/>
  <c r="AG274" i="16"/>
  <c r="AI274" i="16"/>
  <c r="AN274" i="16"/>
  <c r="AO274" i="16"/>
  <c r="AP274" i="16"/>
  <c r="AG275" i="16"/>
  <c r="AI275" i="16"/>
  <c r="AN275" i="16"/>
  <c r="AO275" i="16"/>
  <c r="AP275" i="16"/>
  <c r="AG276" i="16"/>
  <c r="AI276" i="16"/>
  <c r="AN276" i="16"/>
  <c r="AO276" i="16"/>
  <c r="AP276" i="16" s="1"/>
  <c r="AG277" i="16"/>
  <c r="AI277" i="16" s="1"/>
  <c r="AN277" i="16"/>
  <c r="AO277" i="16"/>
  <c r="AP277" i="16" s="1"/>
  <c r="AG278" i="16"/>
  <c r="AI278" i="16"/>
  <c r="AN278" i="16"/>
  <c r="AO278" i="16"/>
  <c r="AP278" i="16" s="1"/>
  <c r="AG279" i="16"/>
  <c r="AI279" i="16" s="1"/>
  <c r="AN279" i="16"/>
  <c r="AO279" i="16"/>
  <c r="AP279" i="16"/>
  <c r="AG280" i="16"/>
  <c r="AI280" i="16" s="1"/>
  <c r="AN280" i="16"/>
  <c r="AO280" i="16"/>
  <c r="AP280" i="16"/>
  <c r="AG281" i="16"/>
  <c r="AI281" i="16" s="1"/>
  <c r="AN281" i="16"/>
  <c r="AO281" i="16"/>
  <c r="AP281" i="16"/>
  <c r="AG282" i="16"/>
  <c r="AI282" i="16"/>
  <c r="AN282" i="16"/>
  <c r="AO282" i="16"/>
  <c r="AP282" i="16" s="1"/>
  <c r="AG283" i="16"/>
  <c r="AI283" i="16"/>
  <c r="AN283" i="16"/>
  <c r="AO283" i="16"/>
  <c r="AP283" i="16" s="1"/>
  <c r="AG284" i="16"/>
  <c r="AI284" i="16"/>
  <c r="AN284" i="16"/>
  <c r="AO284" i="16"/>
  <c r="AP284" i="16"/>
  <c r="AG285" i="16"/>
  <c r="AI285" i="16"/>
  <c r="AN285" i="16"/>
  <c r="AO285" i="16"/>
  <c r="AP285" i="16" s="1"/>
  <c r="AG286" i="16"/>
  <c r="AI286" i="16"/>
  <c r="AN286" i="16"/>
  <c r="AO286" i="16"/>
  <c r="AP286" i="16" s="1"/>
  <c r="AG287" i="16"/>
  <c r="AI287" i="16"/>
  <c r="AN287" i="16"/>
  <c r="AO287" i="16"/>
  <c r="AP287" i="16"/>
  <c r="AG288" i="16"/>
  <c r="AI288" i="16"/>
  <c r="AN288" i="16"/>
  <c r="AO288" i="16"/>
  <c r="AP288" i="16"/>
  <c r="AG289" i="16"/>
  <c r="AI289" i="16"/>
  <c r="AN289" i="16"/>
  <c r="AO289" i="16"/>
  <c r="AP289" i="16"/>
  <c r="AG290" i="16"/>
  <c r="AI290" i="16"/>
  <c r="AN290" i="16"/>
  <c r="AO290" i="16"/>
  <c r="AP290" i="16"/>
  <c r="AG291" i="16"/>
  <c r="AI291" i="16"/>
  <c r="AN291" i="16"/>
  <c r="AO291" i="16"/>
  <c r="AP291" i="16"/>
  <c r="AG292" i="16"/>
  <c r="AI292" i="16"/>
  <c r="AN292" i="16"/>
  <c r="AO292" i="16"/>
  <c r="AP292" i="16"/>
  <c r="AG293" i="16"/>
  <c r="AI293" i="16" s="1"/>
  <c r="AN293" i="16"/>
  <c r="AO293" i="16"/>
  <c r="AP293" i="16" s="1"/>
  <c r="AG294" i="16"/>
  <c r="AI294" i="16"/>
  <c r="AN294" i="16"/>
  <c r="AO294" i="16"/>
  <c r="AP294" i="16"/>
  <c r="AG295" i="16"/>
  <c r="AI295" i="16"/>
  <c r="AN295" i="16"/>
  <c r="AO295" i="16"/>
  <c r="AP295" i="16"/>
  <c r="AG296" i="16"/>
  <c r="AI296" i="16"/>
  <c r="AN296" i="16"/>
  <c r="AO296" i="16"/>
  <c r="AP296" i="16" s="1"/>
  <c r="AG297" i="16"/>
  <c r="AI297" i="16" s="1"/>
  <c r="AN297" i="16"/>
  <c r="AO297" i="16"/>
  <c r="AP297" i="16" s="1"/>
  <c r="AG298" i="16"/>
  <c r="AI298" i="16"/>
  <c r="AN298" i="16"/>
  <c r="AO298" i="16"/>
  <c r="AP298" i="16" s="1"/>
  <c r="AG299" i="16"/>
  <c r="AI299" i="16"/>
  <c r="AN299" i="16"/>
  <c r="AO299" i="16"/>
  <c r="AP299" i="16" s="1"/>
  <c r="AG300" i="16"/>
  <c r="AI300" i="16"/>
  <c r="AN300" i="16"/>
  <c r="AO300" i="16"/>
  <c r="AP300" i="16"/>
  <c r="AG301" i="16"/>
  <c r="AI301" i="16"/>
  <c r="AN301" i="16"/>
  <c r="AO301" i="16"/>
  <c r="AP301" i="16" s="1"/>
  <c r="AG302" i="16"/>
  <c r="AI302" i="16"/>
  <c r="AN302" i="16"/>
  <c r="AO302" i="16"/>
  <c r="AP302" i="16" s="1"/>
  <c r="AG303" i="16"/>
  <c r="AN303" i="16"/>
  <c r="AO303" i="16"/>
  <c r="AP303" i="16" s="1"/>
  <c r="AG304" i="16"/>
  <c r="AI304" i="16"/>
  <c r="AN304" i="16"/>
  <c r="AO304" i="16"/>
  <c r="AP304" i="16"/>
  <c r="AG305" i="16"/>
  <c r="AI305" i="16"/>
  <c r="AN305" i="16"/>
  <c r="AO305" i="16"/>
  <c r="AP305" i="16"/>
  <c r="AG306" i="16"/>
  <c r="AI306" i="16"/>
  <c r="AN306" i="16"/>
  <c r="AO306" i="16"/>
  <c r="AP306" i="16" s="1"/>
  <c r="AG307" i="16"/>
  <c r="AI307" i="16"/>
  <c r="AN307" i="16"/>
  <c r="AO307" i="16"/>
  <c r="AP307" i="16" s="1"/>
  <c r="AG308" i="16"/>
  <c r="AI308" i="16"/>
  <c r="AN308" i="16"/>
  <c r="AO308" i="16"/>
  <c r="AP308" i="16"/>
  <c r="AG309" i="16"/>
  <c r="AI309" i="16"/>
  <c r="AN309" i="16"/>
  <c r="AO309" i="16"/>
  <c r="AP309" i="16"/>
  <c r="AG310" i="16"/>
  <c r="AI310" i="16"/>
  <c r="AN310" i="16"/>
  <c r="AO310" i="16"/>
  <c r="AP310" i="16" s="1"/>
  <c r="AG311" i="16"/>
  <c r="AI311" i="16"/>
  <c r="AN311" i="16"/>
  <c r="AO311" i="16"/>
  <c r="AP311" i="16"/>
  <c r="AG312" i="16"/>
  <c r="AI312" i="16" s="1"/>
  <c r="AN312" i="16"/>
  <c r="AO312" i="16"/>
  <c r="AP312" i="16" s="1"/>
  <c r="AG313" i="16"/>
  <c r="AI313" i="16"/>
  <c r="AN313" i="16"/>
  <c r="AO313" i="16"/>
  <c r="AP313" i="16" s="1"/>
  <c r="AG314" i="16"/>
  <c r="AI314" i="16"/>
  <c r="AN314" i="16"/>
  <c r="AO314" i="16"/>
  <c r="AP314" i="16" s="1"/>
  <c r="AG315" i="16"/>
  <c r="AI315" i="16" s="1"/>
  <c r="AN315" i="16"/>
  <c r="AO315" i="16"/>
  <c r="AP315" i="16"/>
  <c r="AG316" i="16"/>
  <c r="AI316" i="16"/>
  <c r="AN316" i="16"/>
  <c r="AO316" i="16"/>
  <c r="AP316" i="16" s="1"/>
  <c r="AG317" i="16"/>
  <c r="AI317" i="16" s="1"/>
  <c r="AN317" i="16"/>
  <c r="AO317" i="16"/>
  <c r="AP317" i="16" s="1"/>
  <c r="AG318" i="16"/>
  <c r="AI318" i="16"/>
  <c r="AN318" i="16"/>
  <c r="AO318" i="16"/>
  <c r="AP318" i="16" s="1"/>
  <c r="AG319" i="16"/>
  <c r="AI319" i="16"/>
  <c r="AN319" i="16"/>
  <c r="AO319" i="16"/>
  <c r="AP319" i="16"/>
  <c r="AG320" i="16"/>
  <c r="AI320" i="16"/>
  <c r="AN320" i="16"/>
  <c r="AO320" i="16"/>
  <c r="AP320" i="16"/>
  <c r="AG321" i="16"/>
  <c r="AI321" i="16"/>
  <c r="AN321" i="16"/>
  <c r="AO321" i="16"/>
  <c r="AP321" i="16" s="1"/>
  <c r="AG322" i="16"/>
  <c r="AI322" i="16"/>
  <c r="AN322" i="16"/>
  <c r="AO322" i="16"/>
  <c r="AP322" i="16" s="1"/>
  <c r="AG323" i="16"/>
  <c r="AI323" i="16"/>
  <c r="AN323" i="16"/>
  <c r="AO323" i="16"/>
  <c r="AP323" i="16"/>
  <c r="AG324" i="16"/>
  <c r="AI324" i="16"/>
  <c r="AN324" i="16"/>
  <c r="AO324" i="16"/>
  <c r="AP324" i="16"/>
  <c r="AG325" i="16"/>
  <c r="AI325" i="16" s="1"/>
  <c r="AN325" i="16"/>
  <c r="AO325" i="16"/>
  <c r="AP325" i="16" s="1"/>
  <c r="AG326" i="16"/>
  <c r="AI326" i="16"/>
  <c r="AN326" i="16"/>
  <c r="AO326" i="16"/>
  <c r="AP326" i="16"/>
  <c r="AG327" i="16"/>
  <c r="AI327" i="16"/>
  <c r="AN327" i="16"/>
  <c r="AO327" i="16"/>
  <c r="AP327" i="16" s="1"/>
  <c r="AG328" i="16"/>
  <c r="AI328" i="16"/>
  <c r="AN328" i="16"/>
  <c r="AO328" i="16"/>
  <c r="AP328" i="16" s="1"/>
  <c r="AG329" i="16"/>
  <c r="AI329" i="16"/>
  <c r="AN329" i="16"/>
  <c r="AO329" i="16"/>
  <c r="AP329" i="16" s="1"/>
  <c r="AG330" i="16"/>
  <c r="AI330" i="16"/>
  <c r="AN330" i="16"/>
  <c r="AO330" i="16"/>
  <c r="AP330" i="16"/>
  <c r="AG331" i="16"/>
  <c r="AI331" i="16"/>
  <c r="AN331" i="16"/>
  <c r="AO331" i="16"/>
  <c r="AP331" i="16"/>
  <c r="AG332" i="16"/>
  <c r="AI332" i="16"/>
  <c r="AN332" i="16"/>
  <c r="AO332" i="16"/>
  <c r="AP332" i="16"/>
  <c r="AG333" i="16"/>
  <c r="AI333" i="16"/>
  <c r="AN333" i="16"/>
  <c r="AO333" i="16"/>
  <c r="AP333" i="16"/>
  <c r="AG334" i="16"/>
  <c r="AI334" i="16" s="1"/>
  <c r="AN334" i="16"/>
  <c r="AO334" i="16"/>
  <c r="AP334" i="16"/>
  <c r="AG335" i="16"/>
  <c r="AI335" i="16"/>
  <c r="AN335" i="16"/>
  <c r="AO335" i="16"/>
  <c r="AP335" i="16" s="1"/>
  <c r="AG336" i="16"/>
  <c r="AI336" i="16" s="1"/>
  <c r="AN336" i="16"/>
  <c r="AO336" i="16"/>
  <c r="AP336" i="16"/>
  <c r="AG337" i="16"/>
  <c r="AI337" i="16" s="1"/>
  <c r="AN337" i="16"/>
  <c r="AO337" i="16"/>
  <c r="AP337" i="16" s="1"/>
  <c r="AG338" i="16"/>
  <c r="AI338" i="16"/>
  <c r="AN338" i="16"/>
  <c r="AO338" i="16"/>
  <c r="AP338" i="16"/>
  <c r="AG339" i="16"/>
  <c r="AI339" i="16"/>
  <c r="AN339" i="16"/>
  <c r="AO339" i="16"/>
  <c r="AP339" i="16" s="1"/>
  <c r="AG340" i="16"/>
  <c r="AI340" i="16"/>
  <c r="AN340" i="16"/>
  <c r="AO340" i="16"/>
  <c r="AP340" i="16"/>
  <c r="AG341" i="16"/>
  <c r="AI341" i="16"/>
  <c r="AN341" i="16"/>
  <c r="AO341" i="16"/>
  <c r="AP341" i="16"/>
  <c r="AG342" i="16"/>
  <c r="AI342" i="16" s="1"/>
  <c r="AN342" i="16"/>
  <c r="AO342" i="16"/>
  <c r="AP342" i="16" s="1"/>
  <c r="AG343" i="16"/>
  <c r="AI343" i="16"/>
  <c r="AN343" i="16"/>
  <c r="AO343" i="16"/>
  <c r="AP343" i="16" s="1"/>
  <c r="AG344" i="16"/>
  <c r="AI344" i="16"/>
  <c r="AN344" i="16"/>
  <c r="AO344" i="16"/>
  <c r="AP344" i="16" s="1"/>
  <c r="AG345" i="16"/>
  <c r="AI345" i="16" s="1"/>
  <c r="AN345" i="16"/>
  <c r="AO345" i="16"/>
  <c r="AP345" i="16"/>
  <c r="AG346" i="16"/>
  <c r="AI346" i="16"/>
  <c r="AN346" i="16"/>
  <c r="AO346" i="16"/>
  <c r="AP346" i="16" s="1"/>
  <c r="AG347" i="16"/>
  <c r="AI347" i="16" s="1"/>
  <c r="AN347" i="16"/>
  <c r="AO347" i="16"/>
  <c r="AP347" i="16" s="1"/>
  <c r="AG348" i="16"/>
  <c r="AI348" i="16" s="1"/>
  <c r="AN348" i="16"/>
  <c r="AO348" i="16"/>
  <c r="AP348" i="16" s="1"/>
  <c r="AG349" i="16"/>
  <c r="AI349" i="16" s="1"/>
  <c r="AN349" i="16"/>
  <c r="AO349" i="16"/>
  <c r="AP349" i="16" s="1"/>
  <c r="AG350" i="16"/>
  <c r="AI350" i="16" s="1"/>
  <c r="AN350" i="16"/>
  <c r="AO350" i="16"/>
  <c r="AP350" i="16"/>
  <c r="AG351" i="16"/>
  <c r="AI351" i="16"/>
  <c r="AN351" i="16"/>
  <c r="AO351" i="16"/>
  <c r="AP351" i="16"/>
  <c r="AG352" i="16"/>
  <c r="AI352" i="16" s="1"/>
  <c r="AN352" i="16"/>
  <c r="AO352" i="16"/>
  <c r="AP352" i="16"/>
  <c r="AG353" i="16"/>
  <c r="AI353" i="16"/>
  <c r="AN353" i="16"/>
  <c r="AO353" i="16"/>
  <c r="AP353" i="16" s="1"/>
  <c r="AG354" i="16"/>
  <c r="AI354" i="16" s="1"/>
  <c r="AN354" i="16"/>
  <c r="AO354" i="16"/>
  <c r="AP354" i="16" s="1"/>
  <c r="AG355" i="16"/>
  <c r="AI355" i="16" s="1"/>
  <c r="AN355" i="16"/>
  <c r="AO355" i="16"/>
  <c r="AP355" i="16" s="1"/>
  <c r="AG356" i="16"/>
  <c r="AI356" i="16"/>
  <c r="AN356" i="16"/>
  <c r="AO356" i="16"/>
  <c r="AP356" i="16" s="1"/>
  <c r="AG357" i="16"/>
  <c r="AI357" i="16" s="1"/>
  <c r="AN357" i="16"/>
  <c r="AO357" i="16"/>
  <c r="AP357" i="16"/>
  <c r="AG358" i="16"/>
  <c r="AI358" i="16"/>
  <c r="AN358" i="16"/>
  <c r="AO358" i="16"/>
  <c r="AP358" i="16" s="1"/>
  <c r="AG359" i="16"/>
  <c r="AI359" i="16"/>
  <c r="AN359" i="16"/>
  <c r="AO359" i="16"/>
  <c r="AP359" i="16"/>
  <c r="AG360" i="16"/>
  <c r="AI360" i="16"/>
  <c r="AN360" i="16"/>
  <c r="AO360" i="16"/>
  <c r="AP360" i="16"/>
  <c r="AG361" i="16"/>
  <c r="AI361" i="16"/>
  <c r="AN361" i="16"/>
  <c r="AO361" i="16"/>
  <c r="AP361" i="16"/>
  <c r="AG362" i="16"/>
  <c r="AI362" i="16"/>
  <c r="AN362" i="16"/>
  <c r="AO362" i="16"/>
  <c r="AP362" i="16"/>
  <c r="AG363" i="16"/>
  <c r="AI363" i="16"/>
  <c r="AN363" i="16"/>
  <c r="AO363" i="16"/>
  <c r="AP363" i="16"/>
  <c r="AG364" i="16"/>
  <c r="AI364" i="16"/>
  <c r="AN364" i="16"/>
  <c r="AO364" i="16"/>
  <c r="AP364" i="16" s="1"/>
  <c r="AG365" i="16"/>
  <c r="AI365" i="16"/>
  <c r="AN365" i="16"/>
  <c r="AO365" i="16"/>
  <c r="AP365" i="16"/>
  <c r="AG366" i="16"/>
  <c r="AI366" i="16"/>
  <c r="AN366" i="16"/>
  <c r="AO366" i="16"/>
  <c r="AP366" i="16"/>
  <c r="AG367" i="16"/>
  <c r="AI367" i="16" s="1"/>
  <c r="AN367" i="16"/>
  <c r="AO367" i="16"/>
  <c r="AP367" i="16"/>
  <c r="AG368" i="16"/>
  <c r="AI368" i="16"/>
  <c r="AN368" i="16"/>
  <c r="AO368" i="16"/>
  <c r="AP368" i="16" s="1"/>
  <c r="AG369" i="16"/>
  <c r="AN369" i="16"/>
  <c r="AO369" i="16"/>
  <c r="AP369" i="16" s="1"/>
  <c r="AG370" i="16"/>
  <c r="AI370" i="16"/>
  <c r="AN370" i="16"/>
  <c r="AO370" i="16"/>
  <c r="AP370" i="16" s="1"/>
  <c r="AG371" i="16"/>
  <c r="AI371" i="16"/>
  <c r="AN371" i="16"/>
  <c r="AO371" i="16"/>
  <c r="AP371" i="16"/>
  <c r="AG372" i="16"/>
  <c r="AI372" i="16"/>
  <c r="AN372" i="16"/>
  <c r="AO372" i="16"/>
  <c r="AP372" i="16" s="1"/>
  <c r="AG373" i="16"/>
  <c r="AI373" i="16"/>
  <c r="AN373" i="16"/>
  <c r="AO373" i="16"/>
  <c r="AP373" i="16"/>
  <c r="AG374" i="16"/>
  <c r="AI374" i="16"/>
  <c r="AN374" i="16"/>
  <c r="AO374" i="16"/>
  <c r="AP374" i="16" s="1"/>
  <c r="AG375" i="16"/>
  <c r="AI375" i="16"/>
  <c r="AN375" i="16"/>
  <c r="AO375" i="16"/>
  <c r="AP375" i="16" s="1"/>
  <c r="AG376" i="16"/>
  <c r="AI376" i="16" s="1"/>
  <c r="AN376" i="16"/>
  <c r="AO376" i="16"/>
  <c r="AP376" i="16" s="1"/>
  <c r="AG377" i="16"/>
  <c r="AI377" i="16"/>
  <c r="AN377" i="16"/>
  <c r="AO377" i="16"/>
  <c r="AP377" i="16"/>
  <c r="AG378" i="16"/>
  <c r="AI378" i="16"/>
  <c r="AN378" i="16"/>
  <c r="AO378" i="16"/>
  <c r="AP378" i="16"/>
  <c r="AG379" i="16"/>
  <c r="AI379" i="16"/>
  <c r="AN379" i="16"/>
  <c r="AO379" i="16"/>
  <c r="AP379" i="16"/>
  <c r="AG380" i="16"/>
  <c r="AI380" i="16" s="1"/>
  <c r="AN380" i="16"/>
  <c r="AO380" i="16"/>
  <c r="AP380" i="16" s="1"/>
  <c r="AG381" i="16"/>
  <c r="AI381" i="16"/>
  <c r="AN381" i="16"/>
  <c r="AO381" i="16"/>
  <c r="AP381" i="16"/>
  <c r="AG382" i="16"/>
  <c r="AI382" i="16" s="1"/>
  <c r="AN382" i="16"/>
  <c r="AO382" i="16"/>
  <c r="AP382" i="16" s="1"/>
  <c r="AG383" i="16"/>
  <c r="AI383" i="16"/>
  <c r="AN383" i="16"/>
  <c r="AO383" i="16"/>
  <c r="AP383" i="16"/>
  <c r="AG384" i="16"/>
  <c r="AI384" i="16" s="1"/>
  <c r="AN384" i="16"/>
  <c r="AO384" i="16"/>
  <c r="AP384" i="16" s="1"/>
  <c r="AG385" i="16"/>
  <c r="AI385" i="16"/>
  <c r="AN385" i="16"/>
  <c r="AO385" i="16"/>
  <c r="AP385" i="16"/>
  <c r="AG386" i="16"/>
  <c r="AI386" i="16"/>
  <c r="AN386" i="16"/>
  <c r="AO386" i="16"/>
  <c r="AP386" i="16"/>
  <c r="AG387" i="16"/>
  <c r="AI387" i="16"/>
  <c r="AN387" i="16"/>
  <c r="AO387" i="16"/>
  <c r="AP387" i="16"/>
  <c r="AG388" i="16"/>
  <c r="AI388" i="16"/>
  <c r="AN388" i="16"/>
  <c r="AO388" i="16"/>
  <c r="AP388" i="16" s="1"/>
  <c r="AG389" i="16"/>
  <c r="AI389" i="16"/>
  <c r="AN389" i="16"/>
  <c r="AO389" i="16"/>
  <c r="AP389" i="16" s="1"/>
  <c r="AG390" i="16"/>
  <c r="AI390" i="16"/>
  <c r="AN390" i="16"/>
  <c r="AO390" i="16"/>
  <c r="AP390" i="16" s="1"/>
  <c r="AG391" i="16"/>
  <c r="AI391" i="16"/>
  <c r="AN391" i="16"/>
  <c r="AO391" i="16"/>
  <c r="AP391" i="16"/>
  <c r="AG392" i="16"/>
  <c r="AI392" i="16"/>
  <c r="AN392" i="16"/>
  <c r="AO392" i="16"/>
  <c r="AP392" i="16" s="1"/>
  <c r="AG393" i="16"/>
  <c r="AI393" i="16"/>
  <c r="AN393" i="16"/>
  <c r="AO393" i="16"/>
  <c r="AP393" i="16"/>
  <c r="AG394" i="16"/>
  <c r="AI394" i="16"/>
  <c r="AN394" i="16"/>
  <c r="AO394" i="16"/>
  <c r="AP394" i="16"/>
  <c r="AG395" i="16"/>
  <c r="AI395" i="16" s="1"/>
  <c r="AN395" i="16"/>
  <c r="AO395" i="16"/>
  <c r="AP395" i="16"/>
  <c r="AG396" i="16"/>
  <c r="AI396" i="16"/>
  <c r="AN396" i="16"/>
  <c r="AO396" i="16"/>
  <c r="AP396" i="16"/>
  <c r="AG397" i="16"/>
  <c r="AI397" i="16" s="1"/>
  <c r="AN397" i="16"/>
  <c r="AO397" i="16"/>
  <c r="AP397" i="16"/>
  <c r="AG398" i="16"/>
  <c r="AI398" i="16"/>
  <c r="AN398" i="16"/>
  <c r="AO398" i="16"/>
  <c r="AP398" i="16" s="1"/>
  <c r="AG399" i="16"/>
  <c r="AI399" i="16"/>
  <c r="AN399" i="16"/>
  <c r="AO399" i="16"/>
  <c r="AP399" i="16"/>
  <c r="AG400" i="16"/>
  <c r="AI400" i="16"/>
  <c r="AN400" i="16"/>
  <c r="AO400" i="16"/>
  <c r="AP400" i="16"/>
  <c r="AG401" i="16"/>
  <c r="AI401" i="16"/>
  <c r="AN401" i="16"/>
  <c r="AO401" i="16"/>
  <c r="AP401" i="16" s="1"/>
  <c r="AG402" i="16"/>
  <c r="AI402" i="16"/>
  <c r="AN402" i="16"/>
  <c r="AO402" i="16"/>
  <c r="AP402" i="16"/>
  <c r="AG403" i="16"/>
  <c r="AI403" i="16" s="1"/>
  <c r="AN403" i="16"/>
  <c r="AO403" i="16"/>
  <c r="AP403" i="16"/>
  <c r="AG404" i="16"/>
  <c r="AI404" i="16"/>
  <c r="AN404" i="16"/>
  <c r="AO404" i="16"/>
  <c r="AP404" i="16"/>
  <c r="AG405" i="16"/>
  <c r="AI405" i="16"/>
  <c r="AN405" i="16"/>
  <c r="AO405" i="16"/>
  <c r="AP405" i="16" s="1"/>
  <c r="AG406" i="16"/>
  <c r="AI406" i="16"/>
  <c r="AN406" i="16"/>
  <c r="AO406" i="16"/>
  <c r="AP406" i="16" s="1"/>
  <c r="AG407" i="16"/>
  <c r="AI407" i="16"/>
  <c r="AN407" i="16"/>
  <c r="AO407" i="16"/>
  <c r="AP407" i="16" s="1"/>
  <c r="AG408" i="16"/>
  <c r="AI408" i="16"/>
  <c r="AN408" i="16"/>
  <c r="AO408" i="16"/>
  <c r="AP408" i="16" s="1"/>
  <c r="AG409" i="16"/>
  <c r="AI409" i="16"/>
  <c r="AN409" i="16"/>
  <c r="AO409" i="16"/>
  <c r="AP409" i="16"/>
  <c r="AG410" i="16"/>
  <c r="AI410" i="16"/>
  <c r="AN410" i="16"/>
  <c r="AO410" i="16"/>
  <c r="AP410" i="16"/>
  <c r="AG411" i="16"/>
  <c r="AI411" i="16"/>
  <c r="AN411" i="16"/>
  <c r="AO411" i="16"/>
  <c r="AP411" i="16" s="1"/>
  <c r="AG412" i="16"/>
  <c r="AI412" i="16"/>
  <c r="AN412" i="16"/>
  <c r="AO412" i="16"/>
  <c r="AP412" i="16"/>
  <c r="AG413" i="16"/>
  <c r="AI413" i="16"/>
  <c r="AN413" i="16"/>
  <c r="AO413" i="16"/>
  <c r="AP413" i="16"/>
  <c r="AG414" i="16"/>
  <c r="AI414" i="16" s="1"/>
  <c r="AN414" i="16"/>
  <c r="AO414" i="16"/>
  <c r="AP414" i="16" s="1"/>
  <c r="AG415" i="16"/>
  <c r="AI415" i="16"/>
  <c r="AN415" i="16"/>
  <c r="AO415" i="16"/>
  <c r="AP415" i="16"/>
  <c r="AG416" i="16"/>
  <c r="AI416" i="16"/>
  <c r="AN416" i="16"/>
  <c r="AO416" i="16"/>
  <c r="AP416" i="16"/>
  <c r="AG417" i="16"/>
  <c r="AI417" i="16"/>
  <c r="AN417" i="16"/>
  <c r="AO417" i="16"/>
  <c r="AP417" i="16" s="1"/>
  <c r="AG418" i="16"/>
  <c r="AI418" i="16"/>
  <c r="AN418" i="16"/>
  <c r="AO418" i="16"/>
  <c r="AP418" i="16"/>
  <c r="AG419" i="16"/>
  <c r="AI419" i="16"/>
  <c r="AN419" i="16"/>
  <c r="AO419" i="16"/>
  <c r="AP419" i="16" s="1"/>
  <c r="AG420" i="16"/>
  <c r="AI420" i="16"/>
  <c r="AN420" i="16"/>
  <c r="AO420" i="16"/>
  <c r="AP420" i="16"/>
  <c r="AG421" i="16"/>
  <c r="AI421" i="16"/>
  <c r="AN421" i="16"/>
  <c r="AO421" i="16"/>
  <c r="AP421" i="16"/>
  <c r="AG422" i="16"/>
  <c r="AI422" i="16"/>
  <c r="AN422" i="16"/>
  <c r="AO422" i="16"/>
  <c r="AP422" i="16"/>
  <c r="AG423" i="16"/>
  <c r="AI423" i="16" s="1"/>
  <c r="AN423" i="16"/>
  <c r="AO423" i="16"/>
  <c r="AP423" i="16"/>
  <c r="AG424" i="16"/>
  <c r="AI424" i="16"/>
  <c r="AN424" i="16"/>
  <c r="AO424" i="16"/>
  <c r="AP424" i="16"/>
  <c r="AG425" i="16"/>
  <c r="AI425" i="16"/>
  <c r="AN425" i="16"/>
  <c r="AO425" i="16"/>
  <c r="AP425" i="16"/>
  <c r="AG426" i="16"/>
  <c r="AI426" i="16"/>
  <c r="AN426" i="16"/>
  <c r="AO426" i="16"/>
  <c r="AP426" i="16" s="1"/>
  <c r="AG427" i="16"/>
  <c r="AI427" i="16"/>
  <c r="AN427" i="16"/>
  <c r="AO427" i="16"/>
  <c r="AP427" i="16" s="1"/>
  <c r="AG428" i="16"/>
  <c r="AI428" i="16"/>
  <c r="AN428" i="16"/>
  <c r="AO428" i="16"/>
  <c r="AP428" i="16" s="1"/>
  <c r="AG429" i="16"/>
  <c r="AI429" i="16"/>
  <c r="AN429" i="16"/>
  <c r="AO429" i="16"/>
  <c r="AP429" i="16"/>
  <c r="AG430" i="16"/>
  <c r="AI430" i="16"/>
  <c r="AN430" i="16"/>
  <c r="AO430" i="16"/>
  <c r="AP430" i="16" s="1"/>
  <c r="AG431" i="16"/>
  <c r="AI431" i="16" s="1"/>
  <c r="AN431" i="16"/>
  <c r="AO431" i="16"/>
  <c r="AP431" i="16" s="1"/>
  <c r="AG432" i="16"/>
  <c r="AI432" i="16"/>
  <c r="AN432" i="16"/>
  <c r="AO432" i="16"/>
  <c r="AP432" i="16" s="1"/>
  <c r="AG433" i="16"/>
  <c r="AI433" i="16"/>
  <c r="AN433" i="16"/>
  <c r="AO433" i="16"/>
  <c r="AP433" i="16"/>
  <c r="AG434" i="16"/>
  <c r="AI434" i="16"/>
  <c r="AN434" i="16"/>
  <c r="AO434" i="16"/>
  <c r="AP434" i="16" s="1"/>
  <c r="AG435" i="16"/>
  <c r="AI435" i="16"/>
  <c r="AN435" i="16"/>
  <c r="AO435" i="16"/>
  <c r="AP435" i="16" s="1"/>
  <c r="AG436" i="16"/>
  <c r="AI436" i="16"/>
  <c r="AN436" i="16"/>
  <c r="AO436" i="16"/>
  <c r="AP436" i="16"/>
  <c r="AG437" i="16"/>
  <c r="AI437" i="16"/>
  <c r="AN437" i="16"/>
  <c r="AO437" i="16"/>
  <c r="AP437" i="16"/>
  <c r="AG438" i="16"/>
  <c r="AI438" i="16"/>
  <c r="AN438" i="16"/>
  <c r="AO438" i="16"/>
  <c r="AP438" i="16"/>
  <c r="AG439" i="16"/>
  <c r="AI439" i="16"/>
  <c r="AN439" i="16"/>
  <c r="AO439" i="16"/>
  <c r="AP439" i="16" s="1"/>
  <c r="AG440" i="16"/>
  <c r="AI440" i="16"/>
  <c r="AN440" i="16"/>
  <c r="AO440" i="16"/>
  <c r="AP440" i="16" s="1"/>
  <c r="AG441" i="16"/>
  <c r="AI441" i="16"/>
  <c r="AN441" i="16"/>
  <c r="AO441" i="16"/>
  <c r="AP441" i="16"/>
  <c r="AG442" i="16"/>
  <c r="AI442" i="16"/>
  <c r="AN442" i="16"/>
  <c r="AO442" i="16"/>
  <c r="AP442" i="16"/>
  <c r="AG443" i="16"/>
  <c r="AI443" i="16"/>
  <c r="AN443" i="16"/>
  <c r="AO443" i="16"/>
  <c r="AP443" i="16"/>
  <c r="AG444" i="16"/>
  <c r="AI444" i="16"/>
  <c r="AN444" i="16"/>
  <c r="AO444" i="16"/>
  <c r="AP444" i="16"/>
  <c r="AG445" i="16"/>
  <c r="AI445" i="16"/>
  <c r="AN445" i="16"/>
  <c r="AO445" i="16"/>
  <c r="AP445" i="16"/>
  <c r="AG446" i="16"/>
  <c r="AI446" i="16"/>
  <c r="AN446" i="16"/>
  <c r="AO446" i="16"/>
  <c r="AP446" i="16"/>
  <c r="AG447" i="16"/>
  <c r="AI447" i="16"/>
  <c r="AN447" i="16"/>
  <c r="AO447" i="16"/>
  <c r="AP447" i="16"/>
  <c r="AG448" i="16"/>
  <c r="AI448" i="16"/>
  <c r="AN448" i="16"/>
  <c r="AO448" i="16"/>
  <c r="AP448" i="16"/>
  <c r="AG449" i="16"/>
  <c r="AI449" i="16"/>
  <c r="AN449" i="16"/>
  <c r="AO449" i="16"/>
  <c r="AP449" i="16"/>
  <c r="AG450" i="16"/>
  <c r="AI450" i="16"/>
  <c r="AN450" i="16"/>
  <c r="AO450" i="16"/>
  <c r="AP450" i="16"/>
  <c r="AG451" i="16"/>
  <c r="AI451" i="16" s="1"/>
  <c r="AN451" i="16"/>
  <c r="AO451" i="16"/>
  <c r="AP451" i="16"/>
  <c r="AG452" i="16"/>
  <c r="AI452" i="16"/>
  <c r="AN452" i="16"/>
  <c r="AO452" i="16"/>
  <c r="AP452" i="16" s="1"/>
  <c r="AG453" i="16"/>
  <c r="AI453" i="16"/>
  <c r="AN453" i="16"/>
  <c r="AO453" i="16"/>
  <c r="AP453" i="16"/>
  <c r="AG454" i="16"/>
  <c r="AI454" i="16"/>
  <c r="AN454" i="16"/>
  <c r="AO454" i="16"/>
  <c r="AP454" i="16"/>
  <c r="AG455" i="16"/>
  <c r="AI455" i="16"/>
  <c r="AN455" i="16"/>
  <c r="AO455" i="16"/>
  <c r="AP455" i="16"/>
  <c r="AG456" i="16"/>
  <c r="AI456" i="16"/>
  <c r="AN456" i="16"/>
  <c r="AO456" i="16"/>
  <c r="AP456" i="16"/>
  <c r="AG457" i="16"/>
  <c r="AI457" i="16"/>
  <c r="AN457" i="16"/>
  <c r="AO457" i="16"/>
  <c r="AP457" i="16"/>
  <c r="AG458" i="16"/>
  <c r="AI458" i="16" s="1"/>
  <c r="AN458" i="16"/>
  <c r="AO458" i="16"/>
  <c r="AP458" i="16" s="1"/>
  <c r="AG459" i="16"/>
  <c r="AI459" i="16"/>
  <c r="AN459" i="16"/>
  <c r="AO459" i="16"/>
  <c r="AP459" i="16"/>
  <c r="AG460" i="16"/>
  <c r="AI460" i="16"/>
  <c r="AN460" i="16"/>
  <c r="AO460" i="16"/>
  <c r="AP460" i="16"/>
  <c r="AG461" i="16"/>
  <c r="AI461" i="16" s="1"/>
  <c r="AN461" i="16"/>
  <c r="AO461" i="16"/>
  <c r="AP461" i="16" s="1"/>
  <c r="AG462" i="16"/>
  <c r="AI462" i="16"/>
  <c r="AN462" i="16"/>
  <c r="AO462" i="16"/>
  <c r="AP462" i="16" s="1"/>
  <c r="AG463" i="16"/>
  <c r="AI463" i="16"/>
  <c r="AN463" i="16"/>
  <c r="AO463" i="16"/>
  <c r="AP463" i="16"/>
  <c r="AG464" i="16"/>
  <c r="AI464" i="16"/>
  <c r="AN464" i="16"/>
  <c r="AO464" i="16"/>
  <c r="AP464" i="16"/>
  <c r="AG465" i="16"/>
  <c r="AI465" i="16"/>
  <c r="AN465" i="16"/>
  <c r="AO465" i="16"/>
  <c r="AP465" i="16" s="1"/>
  <c r="AG466" i="16"/>
  <c r="AI466" i="16"/>
  <c r="AN466" i="16"/>
  <c r="AO466" i="16"/>
  <c r="AP466" i="16"/>
  <c r="AG467" i="16"/>
  <c r="AI467" i="16"/>
  <c r="AN467" i="16"/>
  <c r="AO467" i="16"/>
  <c r="AP467" i="16"/>
  <c r="AG468" i="16"/>
  <c r="AI468" i="16"/>
  <c r="AN468" i="16"/>
  <c r="AO468" i="16"/>
  <c r="AP468" i="16"/>
  <c r="AG469" i="16"/>
  <c r="AI469" i="16"/>
  <c r="AN469" i="16"/>
  <c r="AO469" i="16"/>
  <c r="AP469" i="16"/>
  <c r="AG470" i="16"/>
  <c r="AI470" i="16"/>
  <c r="AN470" i="16"/>
  <c r="AO470" i="16"/>
  <c r="AP470" i="16"/>
  <c r="AG471" i="16"/>
  <c r="AI471" i="16"/>
  <c r="AN471" i="16"/>
  <c r="AO471" i="16"/>
  <c r="AP471" i="16" s="1"/>
  <c r="AG472" i="16"/>
  <c r="AI472" i="16"/>
  <c r="AN472" i="16"/>
  <c r="AO472" i="16"/>
  <c r="AP472" i="16"/>
  <c r="AG473" i="16"/>
  <c r="AI473" i="16"/>
  <c r="AN473" i="16"/>
  <c r="AO473" i="16"/>
  <c r="AP473" i="16" s="1"/>
  <c r="AG474" i="16"/>
  <c r="AI474" i="16"/>
  <c r="AN474" i="16"/>
  <c r="AO474" i="16"/>
  <c r="AP474" i="16" s="1"/>
  <c r="AG475" i="16"/>
  <c r="AI475" i="16"/>
  <c r="AN475" i="16"/>
  <c r="AO475" i="16"/>
  <c r="AP475" i="16"/>
  <c r="AG476" i="16"/>
  <c r="AI476" i="16"/>
  <c r="AN476" i="16"/>
  <c r="AO476" i="16"/>
  <c r="AP476" i="16"/>
  <c r="AG477" i="16"/>
  <c r="AI477" i="16"/>
  <c r="AN477" i="16"/>
  <c r="AO477" i="16"/>
  <c r="AP477" i="16"/>
  <c r="AG478" i="16"/>
  <c r="AI478" i="16"/>
  <c r="AN478" i="16"/>
  <c r="AO478" i="16"/>
  <c r="AP478" i="16"/>
  <c r="AG479" i="16"/>
  <c r="AI479" i="16"/>
  <c r="AN479" i="16"/>
  <c r="AO479" i="16"/>
  <c r="AP479" i="16"/>
  <c r="AG480" i="16"/>
  <c r="AI480" i="16"/>
  <c r="AN480" i="16"/>
  <c r="AO480" i="16"/>
  <c r="AP480" i="16"/>
  <c r="AG481" i="16"/>
  <c r="AI481" i="16"/>
  <c r="AN481" i="16"/>
  <c r="AO481" i="16"/>
  <c r="AP481" i="16"/>
  <c r="AG482" i="16"/>
  <c r="AI482" i="16"/>
  <c r="AN482" i="16"/>
  <c r="AO482" i="16"/>
  <c r="AP482" i="16"/>
  <c r="AG483" i="16"/>
  <c r="AI483" i="16" s="1"/>
  <c r="AN483" i="16"/>
  <c r="AO483" i="16"/>
  <c r="AP483" i="16"/>
  <c r="AG484" i="16"/>
  <c r="AI484" i="16"/>
  <c r="AN484" i="16"/>
  <c r="AO484" i="16"/>
  <c r="AP484" i="16"/>
  <c r="AG485" i="16"/>
  <c r="AI485" i="16"/>
  <c r="AN485" i="16"/>
  <c r="AO485" i="16"/>
  <c r="AP485" i="16" s="1"/>
  <c r="AG486" i="16"/>
  <c r="AI486" i="16"/>
  <c r="AN486" i="16"/>
  <c r="AO486" i="16"/>
  <c r="AP486" i="16"/>
  <c r="AG487" i="16"/>
  <c r="AI487" i="16" s="1"/>
  <c r="AN487" i="16"/>
  <c r="AO487" i="16"/>
  <c r="AP487" i="16" s="1"/>
  <c r="AG488" i="16"/>
  <c r="AI488" i="16"/>
  <c r="AN488" i="16"/>
  <c r="AO488" i="16"/>
  <c r="AP488" i="16"/>
  <c r="AG489" i="16"/>
  <c r="AI489" i="16"/>
  <c r="AN489" i="16"/>
  <c r="AO489" i="16"/>
  <c r="AP489" i="16"/>
  <c r="AG490" i="16"/>
  <c r="AI490" i="16"/>
  <c r="AN490" i="16"/>
  <c r="AO490" i="16"/>
  <c r="AP490" i="16"/>
  <c r="AG491" i="16"/>
  <c r="AI491" i="16"/>
  <c r="AN491" i="16"/>
  <c r="AO491" i="16"/>
  <c r="AP491" i="16"/>
  <c r="AG492" i="16"/>
  <c r="AI492" i="16"/>
  <c r="AN492" i="16"/>
  <c r="AO492" i="16"/>
  <c r="AP492" i="16"/>
  <c r="AG493" i="16"/>
  <c r="AI493" i="16" s="1"/>
  <c r="AN493" i="16"/>
  <c r="AO493" i="16"/>
  <c r="AP493" i="16"/>
  <c r="AG494" i="16"/>
  <c r="AI494" i="16"/>
  <c r="AN494" i="16"/>
  <c r="AO494" i="16"/>
  <c r="AP494" i="16"/>
  <c r="AG495" i="16"/>
  <c r="AI495" i="16"/>
  <c r="AN495" i="16"/>
  <c r="AO495" i="16"/>
  <c r="AP495" i="16"/>
  <c r="AG496" i="16"/>
  <c r="AI496" i="16"/>
  <c r="AN496" i="16"/>
  <c r="AO496" i="16"/>
  <c r="AP496" i="16"/>
  <c r="AG497" i="16"/>
  <c r="AI497" i="16"/>
  <c r="AN497" i="16"/>
  <c r="AO497" i="16"/>
  <c r="AP497" i="16"/>
  <c r="AG498" i="16"/>
  <c r="AI498" i="16"/>
  <c r="AN498" i="16"/>
  <c r="AO498" i="16"/>
  <c r="AP498" i="16"/>
  <c r="AG499" i="16"/>
  <c r="AI499" i="16"/>
  <c r="AN499" i="16"/>
  <c r="AO499" i="16"/>
  <c r="AP499" i="16"/>
  <c r="AG500" i="16"/>
  <c r="AI500" i="16"/>
  <c r="AN500" i="16"/>
  <c r="AO500" i="16"/>
  <c r="AP500" i="16"/>
  <c r="AG501" i="16"/>
  <c r="AI501" i="16"/>
  <c r="AN501" i="16"/>
  <c r="AO501" i="16"/>
  <c r="AP501" i="16"/>
  <c r="AG502" i="16"/>
  <c r="AI502" i="16"/>
  <c r="AK502" i="16"/>
  <c r="AL502" i="16"/>
  <c r="AN502" i="16"/>
  <c r="AO502" i="16"/>
  <c r="AP502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489" i="16"/>
  <c r="G490" i="16"/>
  <c r="G491" i="16"/>
  <c r="G492" i="16"/>
  <c r="G493" i="16"/>
  <c r="G494" i="16"/>
  <c r="G495" i="16"/>
  <c r="G496" i="16"/>
  <c r="G497" i="16"/>
  <c r="G498" i="16"/>
  <c r="G499" i="16"/>
  <c r="G500" i="16"/>
  <c r="G501" i="16"/>
  <c r="G502" i="16"/>
  <c r="C12" i="16"/>
  <c r="D12" i="16"/>
  <c r="C13" i="16"/>
  <c r="D13" i="16"/>
  <c r="C14" i="16"/>
  <c r="D14" i="16"/>
  <c r="C15" i="16"/>
  <c r="D15" i="16"/>
  <c r="C16" i="16"/>
  <c r="D16" i="16"/>
  <c r="C17" i="16"/>
  <c r="D17" i="16"/>
  <c r="C18" i="16"/>
  <c r="D18" i="16"/>
  <c r="C19" i="16"/>
  <c r="D19" i="16"/>
  <c r="C20" i="16"/>
  <c r="D20" i="16"/>
  <c r="C21" i="16"/>
  <c r="D21" i="16"/>
  <c r="C22" i="16"/>
  <c r="D22" i="16"/>
  <c r="C23" i="16"/>
  <c r="D23" i="16"/>
  <c r="C24" i="16"/>
  <c r="D24" i="16"/>
  <c r="C25" i="16"/>
  <c r="D25" i="16"/>
  <c r="C26" i="16"/>
  <c r="D26" i="16"/>
  <c r="C27" i="16"/>
  <c r="D27" i="16"/>
  <c r="C28" i="16"/>
  <c r="D28" i="16"/>
  <c r="C29" i="16"/>
  <c r="D29" i="16"/>
  <c r="C30" i="16"/>
  <c r="D30" i="16"/>
  <c r="C31" i="16"/>
  <c r="D31" i="16"/>
  <c r="C32" i="16"/>
  <c r="D32" i="16"/>
  <c r="C33" i="16"/>
  <c r="D33" i="16"/>
  <c r="C34" i="16"/>
  <c r="D34" i="16"/>
  <c r="C35" i="16"/>
  <c r="D35" i="16"/>
  <c r="C36" i="16"/>
  <c r="D36" i="16"/>
  <c r="C37" i="16"/>
  <c r="D37" i="16"/>
  <c r="C38" i="16"/>
  <c r="D38" i="16"/>
  <c r="C39" i="16"/>
  <c r="D39" i="16"/>
  <c r="C40" i="16"/>
  <c r="D40" i="16"/>
  <c r="C41" i="16"/>
  <c r="D41" i="16"/>
  <c r="C42" i="16"/>
  <c r="D42" i="16"/>
  <c r="C43" i="16"/>
  <c r="D43" i="16"/>
  <c r="C44" i="16"/>
  <c r="D44" i="16"/>
  <c r="C45" i="16"/>
  <c r="D45" i="16"/>
  <c r="C46" i="16"/>
  <c r="D46" i="16"/>
  <c r="C47" i="16"/>
  <c r="D47" i="16"/>
  <c r="C48" i="16"/>
  <c r="D48" i="16"/>
  <c r="C49" i="16"/>
  <c r="D49" i="16"/>
  <c r="C50" i="16"/>
  <c r="D50" i="16"/>
  <c r="C51" i="16"/>
  <c r="D51" i="16"/>
  <c r="C52" i="16"/>
  <c r="D52" i="16"/>
  <c r="C53" i="16"/>
  <c r="D53" i="16"/>
  <c r="C54" i="16"/>
  <c r="D54" i="16"/>
  <c r="C55" i="16"/>
  <c r="D55" i="16"/>
  <c r="C56" i="16"/>
  <c r="D56" i="16"/>
  <c r="C57" i="16"/>
  <c r="D57" i="16"/>
  <c r="C58" i="16"/>
  <c r="D58" i="16"/>
  <c r="C59" i="16"/>
  <c r="D59" i="16"/>
  <c r="C60" i="16"/>
  <c r="D60" i="16"/>
  <c r="C61" i="16"/>
  <c r="D61" i="16"/>
  <c r="C62" i="16"/>
  <c r="D62" i="16"/>
  <c r="C63" i="16"/>
  <c r="D63" i="16"/>
  <c r="C64" i="16"/>
  <c r="D64" i="16"/>
  <c r="C65" i="16"/>
  <c r="D65" i="16"/>
  <c r="C66" i="16"/>
  <c r="D66" i="16"/>
  <c r="C67" i="16"/>
  <c r="D67" i="16"/>
  <c r="C68" i="16"/>
  <c r="D68" i="16"/>
  <c r="C69" i="16"/>
  <c r="D69" i="16"/>
  <c r="C70" i="16"/>
  <c r="D70" i="16"/>
  <c r="C71" i="16"/>
  <c r="D71" i="16"/>
  <c r="C72" i="16"/>
  <c r="D72" i="16"/>
  <c r="C73" i="16"/>
  <c r="D73" i="16"/>
  <c r="C74" i="16"/>
  <c r="D74" i="16"/>
  <c r="C75" i="16"/>
  <c r="D75" i="16"/>
  <c r="C76" i="16"/>
  <c r="D76" i="16"/>
  <c r="C77" i="16"/>
  <c r="D77" i="16"/>
  <c r="C78" i="16"/>
  <c r="D78" i="16"/>
  <c r="C79" i="16"/>
  <c r="D79" i="16"/>
  <c r="C80" i="16"/>
  <c r="D80" i="16"/>
  <c r="C81" i="16"/>
  <c r="D81" i="16"/>
  <c r="C82" i="16"/>
  <c r="D82" i="16"/>
  <c r="C83" i="16"/>
  <c r="D83" i="16"/>
  <c r="C84" i="16"/>
  <c r="D84" i="16"/>
  <c r="C85" i="16"/>
  <c r="D85" i="16"/>
  <c r="C86" i="16"/>
  <c r="D86" i="16"/>
  <c r="C87" i="16"/>
  <c r="D87" i="16"/>
  <c r="C88" i="16"/>
  <c r="D88" i="16"/>
  <c r="C89" i="16"/>
  <c r="D89" i="16"/>
  <c r="C90" i="16"/>
  <c r="D90" i="16"/>
  <c r="C91" i="16"/>
  <c r="D91" i="16"/>
  <c r="C92" i="16"/>
  <c r="D92" i="16"/>
  <c r="C93" i="16"/>
  <c r="D93" i="16"/>
  <c r="C94" i="16"/>
  <c r="D94" i="16"/>
  <c r="C95" i="16"/>
  <c r="D95" i="16"/>
  <c r="C96" i="16"/>
  <c r="D96" i="16"/>
  <c r="C97" i="16"/>
  <c r="D97" i="16"/>
  <c r="C98" i="16"/>
  <c r="D98" i="16"/>
  <c r="C99" i="16"/>
  <c r="D99" i="16"/>
  <c r="C100" i="16"/>
  <c r="D100" i="16"/>
  <c r="C101" i="16"/>
  <c r="D101" i="16"/>
  <c r="C102" i="16"/>
  <c r="D102" i="16"/>
  <c r="C103" i="16"/>
  <c r="D103" i="16"/>
  <c r="C104" i="16"/>
  <c r="D104" i="16"/>
  <c r="C105" i="16"/>
  <c r="D105" i="16"/>
  <c r="C106" i="16"/>
  <c r="D106" i="16"/>
  <c r="C107" i="16"/>
  <c r="D107" i="16"/>
  <c r="C108" i="16"/>
  <c r="D108" i="16"/>
  <c r="C109" i="16"/>
  <c r="D109" i="16"/>
  <c r="C110" i="16"/>
  <c r="D110" i="16"/>
  <c r="C111" i="16"/>
  <c r="D111" i="16"/>
  <c r="C112" i="16"/>
  <c r="D112" i="16"/>
  <c r="C113" i="16"/>
  <c r="D113" i="16"/>
  <c r="C114" i="16"/>
  <c r="D114" i="16"/>
  <c r="C115" i="16"/>
  <c r="D115" i="16"/>
  <c r="C116" i="16"/>
  <c r="D116" i="16"/>
  <c r="C117" i="16"/>
  <c r="D117" i="16"/>
  <c r="C118" i="16"/>
  <c r="D118" i="16"/>
  <c r="C119" i="16"/>
  <c r="D119" i="16"/>
  <c r="C120" i="16"/>
  <c r="D120" i="16"/>
  <c r="C121" i="16"/>
  <c r="D121" i="16"/>
  <c r="C122" i="16"/>
  <c r="D122" i="16"/>
  <c r="C123" i="16"/>
  <c r="D123" i="16"/>
  <c r="C124" i="16"/>
  <c r="D124" i="16"/>
  <c r="C125" i="16"/>
  <c r="D125" i="16"/>
  <c r="C126" i="16"/>
  <c r="D126" i="16"/>
  <c r="C127" i="16"/>
  <c r="D127" i="16"/>
  <c r="C128" i="16"/>
  <c r="D128" i="16"/>
  <c r="C129" i="16"/>
  <c r="D129" i="16"/>
  <c r="C130" i="16"/>
  <c r="D130" i="16"/>
  <c r="C131" i="16"/>
  <c r="D131" i="16"/>
  <c r="C132" i="16"/>
  <c r="D132" i="16"/>
  <c r="C133" i="16"/>
  <c r="D133" i="16"/>
  <c r="C134" i="16"/>
  <c r="D134" i="16"/>
  <c r="C135" i="16"/>
  <c r="D135" i="16"/>
  <c r="C136" i="16"/>
  <c r="D136" i="16"/>
  <c r="C137" i="16"/>
  <c r="D137" i="16"/>
  <c r="C138" i="16"/>
  <c r="D138" i="16"/>
  <c r="C139" i="16"/>
  <c r="D139" i="16"/>
  <c r="C140" i="16"/>
  <c r="D140" i="16"/>
  <c r="C141" i="16"/>
  <c r="D141" i="16"/>
  <c r="C142" i="16"/>
  <c r="D142" i="16"/>
  <c r="C143" i="16"/>
  <c r="D143" i="16"/>
  <c r="C144" i="16"/>
  <c r="D144" i="16"/>
  <c r="C145" i="16"/>
  <c r="D145" i="16"/>
  <c r="C146" i="16"/>
  <c r="D146" i="16"/>
  <c r="C147" i="16"/>
  <c r="D147" i="16"/>
  <c r="C148" i="16"/>
  <c r="D148" i="16"/>
  <c r="C149" i="16"/>
  <c r="D149" i="16"/>
  <c r="C150" i="16"/>
  <c r="D150" i="16"/>
  <c r="C151" i="16"/>
  <c r="D151" i="16"/>
  <c r="C152" i="16"/>
  <c r="D152" i="16"/>
  <c r="C153" i="16"/>
  <c r="D153" i="16"/>
  <c r="C154" i="16"/>
  <c r="D154" i="16"/>
  <c r="C155" i="16"/>
  <c r="D155" i="16"/>
  <c r="C156" i="16"/>
  <c r="D156" i="16"/>
  <c r="C157" i="16"/>
  <c r="D157" i="16"/>
  <c r="C158" i="16"/>
  <c r="D158" i="16"/>
  <c r="C159" i="16"/>
  <c r="D159" i="16"/>
  <c r="C160" i="16"/>
  <c r="D160" i="16"/>
  <c r="C161" i="16"/>
  <c r="D161" i="16"/>
  <c r="C162" i="16"/>
  <c r="D162" i="16"/>
  <c r="C163" i="16"/>
  <c r="D163" i="16"/>
  <c r="C164" i="16"/>
  <c r="D164" i="16"/>
  <c r="C165" i="16"/>
  <c r="D165" i="16"/>
  <c r="C166" i="16"/>
  <c r="D166" i="16"/>
  <c r="C167" i="16"/>
  <c r="D167" i="16"/>
  <c r="C168" i="16"/>
  <c r="D168" i="16"/>
  <c r="C169" i="16"/>
  <c r="D169" i="16"/>
  <c r="C170" i="16"/>
  <c r="D170" i="16"/>
  <c r="C171" i="16"/>
  <c r="D171" i="16"/>
  <c r="C172" i="16"/>
  <c r="D172" i="16"/>
  <c r="C173" i="16"/>
  <c r="D173" i="16"/>
  <c r="C174" i="16"/>
  <c r="D174" i="16"/>
  <c r="C175" i="16"/>
  <c r="D175" i="16"/>
  <c r="C176" i="16"/>
  <c r="D176" i="16"/>
  <c r="C177" i="16"/>
  <c r="D177" i="16"/>
  <c r="C178" i="16"/>
  <c r="D178" i="16"/>
  <c r="C179" i="16"/>
  <c r="D179" i="16"/>
  <c r="C180" i="16"/>
  <c r="D180" i="16"/>
  <c r="C181" i="16"/>
  <c r="D181" i="16"/>
  <c r="C182" i="16"/>
  <c r="D182" i="16"/>
  <c r="C183" i="16"/>
  <c r="D183" i="16"/>
  <c r="C184" i="16"/>
  <c r="D184" i="16"/>
  <c r="C185" i="16"/>
  <c r="D185" i="16"/>
  <c r="C186" i="16"/>
  <c r="D186" i="16"/>
  <c r="C187" i="16"/>
  <c r="D187" i="16"/>
  <c r="C188" i="16"/>
  <c r="D188" i="16"/>
  <c r="C189" i="16"/>
  <c r="D189" i="16"/>
  <c r="C190" i="16"/>
  <c r="D190" i="16"/>
  <c r="C191" i="16"/>
  <c r="D191" i="16"/>
  <c r="C192" i="16"/>
  <c r="D192" i="16"/>
  <c r="C193" i="16"/>
  <c r="D193" i="16"/>
  <c r="C194" i="16"/>
  <c r="D194" i="16"/>
  <c r="C195" i="16"/>
  <c r="D195" i="16"/>
  <c r="C196" i="16"/>
  <c r="D196" i="16"/>
  <c r="C197" i="16"/>
  <c r="D197" i="16"/>
  <c r="C198" i="16"/>
  <c r="D198" i="16"/>
  <c r="C199" i="16"/>
  <c r="D199" i="16"/>
  <c r="C200" i="16"/>
  <c r="D200" i="16"/>
  <c r="C201" i="16"/>
  <c r="D201" i="16"/>
  <c r="C202" i="16"/>
  <c r="D202" i="16"/>
  <c r="C203" i="16"/>
  <c r="D203" i="16"/>
  <c r="C204" i="16"/>
  <c r="D204" i="16"/>
  <c r="C205" i="16"/>
  <c r="D205" i="16"/>
  <c r="C206" i="16"/>
  <c r="D206" i="16"/>
  <c r="C207" i="16"/>
  <c r="D207" i="16"/>
  <c r="C208" i="16"/>
  <c r="D208" i="16"/>
  <c r="C209" i="16"/>
  <c r="D209" i="16"/>
  <c r="C210" i="16"/>
  <c r="D210" i="16"/>
  <c r="C211" i="16"/>
  <c r="D211" i="16"/>
  <c r="C212" i="16"/>
  <c r="D212" i="16"/>
  <c r="C213" i="16"/>
  <c r="D213" i="16"/>
  <c r="C214" i="16"/>
  <c r="D214" i="16"/>
  <c r="C215" i="16"/>
  <c r="D215" i="16"/>
  <c r="C216" i="16"/>
  <c r="D216" i="16"/>
  <c r="C217" i="16"/>
  <c r="D217" i="16"/>
  <c r="C218" i="16"/>
  <c r="D218" i="16"/>
  <c r="C219" i="16"/>
  <c r="D219" i="16"/>
  <c r="C220" i="16"/>
  <c r="D220" i="16"/>
  <c r="C221" i="16"/>
  <c r="D221" i="16"/>
  <c r="C222" i="16"/>
  <c r="D222" i="16"/>
  <c r="C223" i="16"/>
  <c r="D223" i="16"/>
  <c r="C224" i="16"/>
  <c r="D224" i="16"/>
  <c r="C225" i="16"/>
  <c r="D225" i="16"/>
  <c r="C226" i="16"/>
  <c r="D226" i="16"/>
  <c r="C227" i="16"/>
  <c r="D227" i="16"/>
  <c r="C228" i="16"/>
  <c r="D228" i="16"/>
  <c r="C229" i="16"/>
  <c r="D229" i="16"/>
  <c r="C230" i="16"/>
  <c r="D230" i="16"/>
  <c r="C231" i="16"/>
  <c r="D231" i="16"/>
  <c r="C232" i="16"/>
  <c r="D232" i="16"/>
  <c r="C233" i="16"/>
  <c r="D233" i="16"/>
  <c r="C234" i="16"/>
  <c r="D234" i="16"/>
  <c r="C235" i="16"/>
  <c r="D235" i="16"/>
  <c r="C236" i="16"/>
  <c r="D236" i="16"/>
  <c r="C237" i="16"/>
  <c r="D237" i="16"/>
  <c r="C238" i="16"/>
  <c r="D238" i="16"/>
  <c r="C239" i="16"/>
  <c r="D239" i="16"/>
  <c r="C240" i="16"/>
  <c r="D240" i="16"/>
  <c r="C241" i="16"/>
  <c r="D241" i="16"/>
  <c r="C242" i="16"/>
  <c r="D242" i="16"/>
  <c r="C243" i="16"/>
  <c r="D243" i="16"/>
  <c r="C244" i="16"/>
  <c r="D244" i="16"/>
  <c r="C245" i="16"/>
  <c r="D245" i="16"/>
  <c r="C246" i="16"/>
  <c r="D246" i="16"/>
  <c r="C247" i="16"/>
  <c r="D247" i="16"/>
  <c r="C248" i="16"/>
  <c r="D248" i="16"/>
  <c r="C249" i="16"/>
  <c r="D249" i="16"/>
  <c r="C250" i="16"/>
  <c r="D250" i="16"/>
  <c r="C251" i="16"/>
  <c r="D251" i="16"/>
  <c r="C252" i="16"/>
  <c r="D252" i="16"/>
  <c r="C253" i="16"/>
  <c r="D253" i="16"/>
  <c r="C254" i="16"/>
  <c r="D254" i="16"/>
  <c r="C255" i="16"/>
  <c r="D255" i="16"/>
  <c r="C256" i="16"/>
  <c r="D256" i="16"/>
  <c r="C257" i="16"/>
  <c r="D257" i="16"/>
  <c r="C258" i="16"/>
  <c r="D258" i="16"/>
  <c r="C259" i="16"/>
  <c r="D259" i="16"/>
  <c r="C260" i="16"/>
  <c r="D260" i="16"/>
  <c r="C261" i="16"/>
  <c r="D261" i="16"/>
  <c r="C262" i="16"/>
  <c r="D262" i="16"/>
  <c r="C263" i="16"/>
  <c r="D263" i="16"/>
  <c r="C264" i="16"/>
  <c r="D264" i="16"/>
  <c r="C265" i="16"/>
  <c r="D265" i="16"/>
  <c r="C266" i="16"/>
  <c r="D266" i="16"/>
  <c r="C267" i="16"/>
  <c r="D267" i="16"/>
  <c r="C268" i="16"/>
  <c r="D268" i="16"/>
  <c r="C269" i="16"/>
  <c r="D269" i="16"/>
  <c r="C270" i="16"/>
  <c r="D270" i="16"/>
  <c r="C271" i="16"/>
  <c r="D271" i="16"/>
  <c r="C272" i="16"/>
  <c r="D272" i="16"/>
  <c r="C273" i="16"/>
  <c r="D273" i="16"/>
  <c r="C274" i="16"/>
  <c r="D274" i="16"/>
  <c r="C275" i="16"/>
  <c r="D275" i="16"/>
  <c r="C276" i="16"/>
  <c r="D276" i="16"/>
  <c r="C277" i="16"/>
  <c r="D277" i="16"/>
  <c r="C278" i="16"/>
  <c r="D278" i="16"/>
  <c r="C279" i="16"/>
  <c r="D279" i="16"/>
  <c r="C280" i="16"/>
  <c r="D280" i="16"/>
  <c r="C281" i="16"/>
  <c r="D281" i="16"/>
  <c r="C282" i="16"/>
  <c r="D282" i="16"/>
  <c r="C283" i="16"/>
  <c r="D283" i="16"/>
  <c r="C284" i="16"/>
  <c r="D284" i="16"/>
  <c r="C285" i="16"/>
  <c r="D285" i="16"/>
  <c r="C286" i="16"/>
  <c r="D286" i="16"/>
  <c r="C287" i="16"/>
  <c r="D287" i="16"/>
  <c r="C288" i="16"/>
  <c r="D288" i="16"/>
  <c r="C289" i="16"/>
  <c r="D289" i="16"/>
  <c r="C290" i="16"/>
  <c r="D290" i="16"/>
  <c r="C291" i="16"/>
  <c r="D291" i="16"/>
  <c r="C292" i="16"/>
  <c r="D292" i="16"/>
  <c r="C293" i="16"/>
  <c r="D293" i="16"/>
  <c r="C294" i="16"/>
  <c r="D294" i="16"/>
  <c r="C295" i="16"/>
  <c r="D295" i="16"/>
  <c r="C296" i="16"/>
  <c r="D296" i="16"/>
  <c r="C297" i="16"/>
  <c r="D297" i="16"/>
  <c r="C298" i="16"/>
  <c r="D298" i="16"/>
  <c r="C299" i="16"/>
  <c r="D299" i="16"/>
  <c r="C300" i="16"/>
  <c r="D300" i="16"/>
  <c r="C301" i="16"/>
  <c r="D301" i="16"/>
  <c r="C302" i="16"/>
  <c r="D302" i="16"/>
  <c r="C303" i="16"/>
  <c r="D303" i="16"/>
  <c r="C304" i="16"/>
  <c r="D304" i="16"/>
  <c r="C305" i="16"/>
  <c r="D305" i="16"/>
  <c r="C306" i="16"/>
  <c r="D306" i="16"/>
  <c r="C307" i="16"/>
  <c r="D307" i="16"/>
  <c r="C308" i="16"/>
  <c r="D308" i="16"/>
  <c r="C309" i="16"/>
  <c r="D309" i="16"/>
  <c r="C310" i="16"/>
  <c r="D310" i="16"/>
  <c r="C311" i="16"/>
  <c r="D311" i="16"/>
  <c r="C312" i="16"/>
  <c r="D312" i="16"/>
  <c r="C313" i="16"/>
  <c r="D313" i="16"/>
  <c r="C314" i="16"/>
  <c r="D314" i="16"/>
  <c r="C315" i="16"/>
  <c r="D315" i="16"/>
  <c r="C316" i="16"/>
  <c r="D316" i="16"/>
  <c r="C317" i="16"/>
  <c r="D317" i="16"/>
  <c r="C318" i="16"/>
  <c r="D318" i="16"/>
  <c r="C319" i="16"/>
  <c r="D319" i="16"/>
  <c r="C320" i="16"/>
  <c r="D320" i="16"/>
  <c r="C321" i="16"/>
  <c r="D321" i="16"/>
  <c r="C322" i="16"/>
  <c r="D322" i="16"/>
  <c r="C323" i="16"/>
  <c r="D323" i="16"/>
  <c r="C324" i="16"/>
  <c r="D324" i="16"/>
  <c r="C325" i="16"/>
  <c r="D325" i="16"/>
  <c r="C326" i="16"/>
  <c r="D326" i="16"/>
  <c r="C327" i="16"/>
  <c r="D327" i="16"/>
  <c r="C328" i="16"/>
  <c r="D328" i="16"/>
  <c r="C329" i="16"/>
  <c r="D329" i="16"/>
  <c r="C330" i="16"/>
  <c r="D330" i="16"/>
  <c r="C331" i="16"/>
  <c r="D331" i="16"/>
  <c r="C332" i="16"/>
  <c r="D332" i="16"/>
  <c r="C333" i="16"/>
  <c r="D333" i="16"/>
  <c r="C334" i="16"/>
  <c r="D334" i="16"/>
  <c r="C335" i="16"/>
  <c r="D335" i="16"/>
  <c r="C336" i="16"/>
  <c r="D336" i="16"/>
  <c r="C337" i="16"/>
  <c r="D337" i="16"/>
  <c r="C338" i="16"/>
  <c r="D338" i="16"/>
  <c r="C339" i="16"/>
  <c r="D339" i="16"/>
  <c r="C340" i="16"/>
  <c r="D340" i="16"/>
  <c r="C341" i="16"/>
  <c r="D341" i="16"/>
  <c r="C342" i="16"/>
  <c r="D342" i="16"/>
  <c r="C343" i="16"/>
  <c r="D343" i="16"/>
  <c r="C344" i="16"/>
  <c r="D344" i="16"/>
  <c r="C345" i="16"/>
  <c r="D345" i="16"/>
  <c r="C346" i="16"/>
  <c r="D346" i="16"/>
  <c r="C347" i="16"/>
  <c r="D347" i="16"/>
  <c r="C348" i="16"/>
  <c r="D348" i="16"/>
  <c r="C349" i="16"/>
  <c r="D349" i="16"/>
  <c r="C350" i="16"/>
  <c r="D350" i="16"/>
  <c r="C351" i="16"/>
  <c r="D351" i="16"/>
  <c r="C352" i="16"/>
  <c r="D352" i="16"/>
  <c r="C353" i="16"/>
  <c r="D353" i="16"/>
  <c r="C354" i="16"/>
  <c r="D354" i="16"/>
  <c r="C355" i="16"/>
  <c r="D355" i="16"/>
  <c r="C356" i="16"/>
  <c r="D356" i="16"/>
  <c r="C357" i="16"/>
  <c r="D357" i="16"/>
  <c r="C358" i="16"/>
  <c r="D358" i="16"/>
  <c r="C359" i="16"/>
  <c r="D359" i="16"/>
  <c r="C360" i="16"/>
  <c r="D360" i="16"/>
  <c r="C361" i="16"/>
  <c r="D361" i="16"/>
  <c r="C362" i="16"/>
  <c r="D362" i="16"/>
  <c r="C363" i="16"/>
  <c r="D363" i="16"/>
  <c r="C364" i="16"/>
  <c r="D364" i="16"/>
  <c r="C365" i="16"/>
  <c r="D365" i="16"/>
  <c r="C366" i="16"/>
  <c r="D366" i="16"/>
  <c r="C367" i="16"/>
  <c r="D367" i="16"/>
  <c r="C368" i="16"/>
  <c r="D368" i="16"/>
  <c r="C369" i="16"/>
  <c r="D369" i="16"/>
  <c r="C370" i="16"/>
  <c r="D370" i="16"/>
  <c r="C371" i="16"/>
  <c r="D371" i="16"/>
  <c r="C372" i="16"/>
  <c r="D372" i="16"/>
  <c r="C373" i="16"/>
  <c r="D373" i="16"/>
  <c r="C374" i="16"/>
  <c r="D374" i="16"/>
  <c r="C375" i="16"/>
  <c r="D375" i="16"/>
  <c r="C376" i="16"/>
  <c r="D376" i="16"/>
  <c r="C377" i="16"/>
  <c r="D377" i="16"/>
  <c r="C378" i="16"/>
  <c r="D378" i="16"/>
  <c r="C379" i="16"/>
  <c r="D379" i="16"/>
  <c r="C380" i="16"/>
  <c r="D380" i="16"/>
  <c r="C381" i="16"/>
  <c r="D381" i="16"/>
  <c r="C382" i="16"/>
  <c r="D382" i="16"/>
  <c r="C383" i="16"/>
  <c r="D383" i="16"/>
  <c r="C384" i="16"/>
  <c r="D384" i="16"/>
  <c r="C385" i="16"/>
  <c r="D385" i="16"/>
  <c r="C386" i="16"/>
  <c r="D386" i="16"/>
  <c r="C387" i="16"/>
  <c r="D387" i="16"/>
  <c r="C388" i="16"/>
  <c r="D388" i="16"/>
  <c r="C389" i="16"/>
  <c r="D389" i="16"/>
  <c r="C390" i="16"/>
  <c r="D390" i="16"/>
  <c r="C391" i="16"/>
  <c r="D391" i="16"/>
  <c r="C392" i="16"/>
  <c r="D392" i="16"/>
  <c r="C393" i="16"/>
  <c r="D393" i="16"/>
  <c r="C394" i="16"/>
  <c r="D394" i="16"/>
  <c r="C395" i="16"/>
  <c r="D395" i="16"/>
  <c r="C396" i="16"/>
  <c r="D396" i="16"/>
  <c r="C397" i="16"/>
  <c r="D397" i="16"/>
  <c r="C398" i="16"/>
  <c r="D398" i="16"/>
  <c r="C399" i="16"/>
  <c r="D399" i="16"/>
  <c r="C400" i="16"/>
  <c r="D400" i="16"/>
  <c r="C401" i="16"/>
  <c r="D401" i="16"/>
  <c r="C402" i="16"/>
  <c r="D402" i="16"/>
  <c r="C403" i="16"/>
  <c r="D403" i="16"/>
  <c r="C404" i="16"/>
  <c r="D404" i="16"/>
  <c r="C405" i="16"/>
  <c r="D405" i="16"/>
  <c r="C406" i="16"/>
  <c r="D406" i="16"/>
  <c r="C407" i="16"/>
  <c r="D407" i="16"/>
  <c r="C408" i="16"/>
  <c r="D408" i="16"/>
  <c r="C409" i="16"/>
  <c r="D409" i="16"/>
  <c r="C410" i="16"/>
  <c r="D410" i="16"/>
  <c r="C411" i="16"/>
  <c r="D411" i="16"/>
  <c r="C412" i="16"/>
  <c r="D412" i="16"/>
  <c r="C413" i="16"/>
  <c r="D413" i="16"/>
  <c r="C414" i="16"/>
  <c r="D414" i="16"/>
  <c r="C415" i="16"/>
  <c r="D415" i="16"/>
  <c r="C416" i="16"/>
  <c r="D416" i="16"/>
  <c r="C417" i="16"/>
  <c r="D417" i="16"/>
  <c r="C418" i="16"/>
  <c r="D418" i="16"/>
  <c r="C419" i="16"/>
  <c r="D419" i="16"/>
  <c r="C420" i="16"/>
  <c r="D420" i="16"/>
  <c r="C421" i="16"/>
  <c r="D421" i="16"/>
  <c r="C422" i="16"/>
  <c r="D422" i="16"/>
  <c r="C423" i="16"/>
  <c r="D423" i="16"/>
  <c r="C424" i="16"/>
  <c r="D424" i="16"/>
  <c r="C425" i="16"/>
  <c r="D425" i="16"/>
  <c r="C426" i="16"/>
  <c r="D426" i="16"/>
  <c r="C427" i="16"/>
  <c r="D427" i="16"/>
  <c r="C428" i="16"/>
  <c r="D428" i="16"/>
  <c r="C429" i="16"/>
  <c r="D429" i="16"/>
  <c r="C430" i="16"/>
  <c r="D430" i="16"/>
  <c r="C431" i="16"/>
  <c r="D431" i="16"/>
  <c r="C432" i="16"/>
  <c r="D432" i="16"/>
  <c r="C433" i="16"/>
  <c r="D433" i="16"/>
  <c r="C434" i="16"/>
  <c r="D434" i="16"/>
  <c r="C435" i="16"/>
  <c r="D435" i="16"/>
  <c r="C436" i="16"/>
  <c r="D436" i="16"/>
  <c r="C437" i="16"/>
  <c r="D437" i="16"/>
  <c r="C438" i="16"/>
  <c r="D438" i="16"/>
  <c r="C439" i="16"/>
  <c r="D439" i="16"/>
  <c r="C440" i="16"/>
  <c r="D440" i="16"/>
  <c r="C441" i="16"/>
  <c r="D441" i="16"/>
  <c r="C442" i="16"/>
  <c r="D442" i="16"/>
  <c r="C443" i="16"/>
  <c r="D443" i="16"/>
  <c r="C444" i="16"/>
  <c r="D444" i="16"/>
  <c r="C445" i="16"/>
  <c r="D445" i="16"/>
  <c r="C446" i="16"/>
  <c r="D446" i="16"/>
  <c r="C447" i="16"/>
  <c r="D447" i="16"/>
  <c r="C448" i="16"/>
  <c r="D448" i="16"/>
  <c r="C449" i="16"/>
  <c r="D449" i="16"/>
  <c r="C450" i="16"/>
  <c r="D450" i="16"/>
  <c r="C451" i="16"/>
  <c r="D451" i="16"/>
  <c r="C452" i="16"/>
  <c r="D452" i="16"/>
  <c r="C453" i="16"/>
  <c r="D453" i="16"/>
  <c r="C454" i="16"/>
  <c r="D454" i="16"/>
  <c r="C455" i="16"/>
  <c r="D455" i="16"/>
  <c r="C456" i="16"/>
  <c r="D456" i="16"/>
  <c r="C457" i="16"/>
  <c r="D457" i="16"/>
  <c r="C458" i="16"/>
  <c r="D458" i="16"/>
  <c r="C459" i="16"/>
  <c r="D459" i="16"/>
  <c r="C460" i="16"/>
  <c r="D460" i="16"/>
  <c r="C461" i="16"/>
  <c r="D461" i="16"/>
  <c r="C462" i="16"/>
  <c r="D462" i="16"/>
  <c r="C463" i="16"/>
  <c r="D463" i="16"/>
  <c r="C464" i="16"/>
  <c r="D464" i="16"/>
  <c r="C465" i="16"/>
  <c r="D465" i="16"/>
  <c r="C466" i="16"/>
  <c r="D466" i="16"/>
  <c r="C467" i="16"/>
  <c r="D467" i="16"/>
  <c r="C468" i="16"/>
  <c r="D468" i="16"/>
  <c r="C469" i="16"/>
  <c r="D469" i="16"/>
  <c r="C470" i="16"/>
  <c r="D470" i="16"/>
  <c r="C471" i="16"/>
  <c r="D471" i="16"/>
  <c r="C472" i="16"/>
  <c r="D472" i="16"/>
  <c r="C473" i="16"/>
  <c r="D473" i="16"/>
  <c r="C474" i="16"/>
  <c r="D474" i="16"/>
  <c r="C475" i="16"/>
  <c r="D475" i="16"/>
  <c r="C476" i="16"/>
  <c r="D476" i="16"/>
  <c r="C477" i="16"/>
  <c r="D477" i="16"/>
  <c r="C478" i="16"/>
  <c r="D478" i="16"/>
  <c r="C479" i="16"/>
  <c r="D479" i="16"/>
  <c r="C480" i="16"/>
  <c r="D480" i="16"/>
  <c r="C481" i="16"/>
  <c r="D481" i="16"/>
  <c r="C482" i="16"/>
  <c r="D482" i="16"/>
  <c r="C483" i="16"/>
  <c r="D483" i="16"/>
  <c r="C484" i="16"/>
  <c r="D484" i="16"/>
  <c r="C485" i="16"/>
  <c r="D485" i="16"/>
  <c r="C486" i="16"/>
  <c r="D486" i="16"/>
  <c r="C487" i="16"/>
  <c r="D487" i="16"/>
  <c r="C488" i="16"/>
  <c r="D488" i="16"/>
  <c r="C489" i="16"/>
  <c r="D489" i="16"/>
  <c r="C490" i="16"/>
  <c r="D490" i="16"/>
  <c r="C491" i="16"/>
  <c r="D491" i="16"/>
  <c r="C492" i="16"/>
  <c r="D492" i="16"/>
  <c r="C493" i="16"/>
  <c r="D493" i="16"/>
  <c r="C494" i="16"/>
  <c r="D494" i="16"/>
  <c r="C495" i="16"/>
  <c r="D495" i="16"/>
  <c r="C496" i="16"/>
  <c r="D496" i="16"/>
  <c r="C497" i="16"/>
  <c r="D497" i="16"/>
  <c r="C498" i="16"/>
  <c r="D498" i="16"/>
  <c r="C499" i="16"/>
  <c r="D499" i="16"/>
  <c r="C500" i="16"/>
  <c r="D500" i="16"/>
  <c r="C501" i="16"/>
  <c r="D501" i="16"/>
  <c r="C502" i="16"/>
  <c r="D502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501" i="16"/>
  <c r="B502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E17" i="8"/>
  <c r="G17" i="8"/>
  <c r="E18" i="8"/>
  <c r="G18" i="8"/>
  <c r="E19" i="8"/>
  <c r="G19" i="8"/>
  <c r="E20" i="8"/>
  <c r="G20" i="8"/>
  <c r="E21" i="8"/>
  <c r="G21" i="8"/>
  <c r="E22" i="8"/>
  <c r="G22" i="8"/>
  <c r="E23" i="8"/>
  <c r="G23" i="8"/>
  <c r="E24" i="8"/>
  <c r="G24" i="8"/>
  <c r="E25" i="8"/>
  <c r="G25" i="8"/>
  <c r="E26" i="8"/>
  <c r="G26" i="8"/>
  <c r="E27" i="8"/>
  <c r="G27" i="8"/>
  <c r="E28" i="8"/>
  <c r="G28" i="8"/>
  <c r="E29" i="8"/>
  <c r="G29" i="8"/>
  <c r="E30" i="8"/>
  <c r="G30" i="8"/>
  <c r="E31" i="8"/>
  <c r="G31" i="8"/>
  <c r="E32" i="8"/>
  <c r="G32" i="8"/>
  <c r="E33" i="8"/>
  <c r="G33" i="8"/>
  <c r="E34" i="8"/>
  <c r="G34" i="8"/>
  <c r="E35" i="8"/>
  <c r="G35" i="8"/>
  <c r="E36" i="8"/>
  <c r="G36" i="8"/>
  <c r="E37" i="8"/>
  <c r="G37" i="8"/>
  <c r="E38" i="8"/>
  <c r="G38" i="8"/>
  <c r="E39" i="8"/>
  <c r="G39" i="8"/>
  <c r="E40" i="8"/>
  <c r="G40" i="8"/>
  <c r="E41" i="8"/>
  <c r="G41" i="8"/>
  <c r="E42" i="8"/>
  <c r="G42" i="8"/>
  <c r="E43" i="8"/>
  <c r="G43" i="8"/>
  <c r="E44" i="8"/>
  <c r="G44" i="8"/>
  <c r="E45" i="8"/>
  <c r="G45" i="8"/>
  <c r="E46" i="8"/>
  <c r="G46" i="8"/>
  <c r="E47" i="8"/>
  <c r="G47" i="8"/>
  <c r="E48" i="8"/>
  <c r="G48" i="8"/>
  <c r="E49" i="8"/>
  <c r="G49" i="8"/>
  <c r="E50" i="8"/>
  <c r="G50" i="8"/>
  <c r="E51" i="8"/>
  <c r="G51" i="8"/>
  <c r="E52" i="8"/>
  <c r="G52" i="8"/>
  <c r="E53" i="8"/>
  <c r="G53" i="8"/>
  <c r="E54" i="8"/>
  <c r="G54" i="8"/>
  <c r="E55" i="8"/>
  <c r="G55" i="8"/>
  <c r="E56" i="8"/>
  <c r="G56" i="8"/>
  <c r="E57" i="8"/>
  <c r="G57" i="8"/>
  <c r="E58" i="8"/>
  <c r="G58" i="8"/>
  <c r="E59" i="8"/>
  <c r="G59" i="8"/>
  <c r="E60" i="8"/>
  <c r="G60" i="8"/>
  <c r="E61" i="8"/>
  <c r="G61" i="8"/>
  <c r="E62" i="8"/>
  <c r="G62" i="8"/>
  <c r="E63" i="8"/>
  <c r="G63" i="8"/>
  <c r="E64" i="8"/>
  <c r="G64" i="8"/>
  <c r="E65" i="8"/>
  <c r="G65" i="8"/>
  <c r="E66" i="8"/>
  <c r="G66" i="8"/>
  <c r="E67" i="8"/>
  <c r="G67" i="8"/>
  <c r="E68" i="8"/>
  <c r="G68" i="8"/>
  <c r="E69" i="8"/>
  <c r="G69" i="8"/>
  <c r="E70" i="8"/>
  <c r="G70" i="8"/>
  <c r="E71" i="8"/>
  <c r="G71" i="8"/>
  <c r="E72" i="8"/>
  <c r="G72" i="8"/>
  <c r="E73" i="8"/>
  <c r="G73" i="8"/>
  <c r="E74" i="8"/>
  <c r="G74" i="8"/>
  <c r="E75" i="8"/>
  <c r="G75" i="8"/>
  <c r="E76" i="8"/>
  <c r="G76" i="8"/>
  <c r="E77" i="8"/>
  <c r="G77" i="8"/>
  <c r="E78" i="8"/>
  <c r="G78" i="8"/>
  <c r="E79" i="8"/>
  <c r="G79" i="8"/>
  <c r="E80" i="8"/>
  <c r="G80" i="8"/>
  <c r="E81" i="8"/>
  <c r="G81" i="8"/>
  <c r="E82" i="8"/>
  <c r="G82" i="8"/>
  <c r="E83" i="8"/>
  <c r="G83" i="8"/>
  <c r="E84" i="8"/>
  <c r="G84" i="8"/>
  <c r="E85" i="8"/>
  <c r="G85" i="8"/>
  <c r="E86" i="8"/>
  <c r="G86" i="8"/>
  <c r="E87" i="8"/>
  <c r="G87" i="8"/>
  <c r="E88" i="8"/>
  <c r="G88" i="8"/>
  <c r="E89" i="8"/>
  <c r="G89" i="8"/>
  <c r="E90" i="8"/>
  <c r="G90" i="8"/>
  <c r="E91" i="8"/>
  <c r="G91" i="8"/>
  <c r="E92" i="8"/>
  <c r="G92" i="8"/>
  <c r="E93" i="8"/>
  <c r="G93" i="8"/>
  <c r="E94" i="8"/>
  <c r="G94" i="8"/>
  <c r="E95" i="8"/>
  <c r="G95" i="8"/>
  <c r="E96" i="8"/>
  <c r="G96" i="8"/>
  <c r="E97" i="8"/>
  <c r="G97" i="8"/>
  <c r="E98" i="8"/>
  <c r="G98" i="8"/>
  <c r="E99" i="8"/>
  <c r="G99" i="8"/>
  <c r="E100" i="8"/>
  <c r="G100" i="8"/>
  <c r="E101" i="8"/>
  <c r="G101" i="8"/>
  <c r="E102" i="8"/>
  <c r="G102" i="8"/>
  <c r="E103" i="8"/>
  <c r="G103" i="8"/>
  <c r="E104" i="8"/>
  <c r="G104" i="8"/>
  <c r="E105" i="8"/>
  <c r="G105" i="8"/>
  <c r="E106" i="8"/>
  <c r="G106" i="8"/>
  <c r="E107" i="8"/>
  <c r="G107" i="8"/>
  <c r="E108" i="8"/>
  <c r="G108" i="8"/>
  <c r="E109" i="8"/>
  <c r="G109" i="8"/>
  <c r="E110" i="8"/>
  <c r="G110" i="8"/>
  <c r="E111" i="8"/>
  <c r="G111" i="8"/>
  <c r="E112" i="8"/>
  <c r="G112" i="8"/>
  <c r="E113" i="8"/>
  <c r="G113" i="8"/>
  <c r="E114" i="8"/>
  <c r="G114" i="8"/>
  <c r="E115" i="8"/>
  <c r="G115" i="8"/>
  <c r="E116" i="8"/>
  <c r="G116" i="8"/>
  <c r="E117" i="8"/>
  <c r="G117" i="8"/>
  <c r="E118" i="8"/>
  <c r="G118" i="8"/>
  <c r="E119" i="8"/>
  <c r="G119" i="8"/>
  <c r="E120" i="8"/>
  <c r="G120" i="8"/>
  <c r="E121" i="8"/>
  <c r="G121" i="8"/>
  <c r="E122" i="8"/>
  <c r="G122" i="8"/>
  <c r="E123" i="8"/>
  <c r="G123" i="8"/>
  <c r="E124" i="8"/>
  <c r="G124" i="8"/>
  <c r="E125" i="8"/>
  <c r="G125" i="8"/>
  <c r="E126" i="8"/>
  <c r="G126" i="8"/>
  <c r="E127" i="8"/>
  <c r="G127" i="8"/>
  <c r="E128" i="8"/>
  <c r="G128" i="8"/>
  <c r="E129" i="8"/>
  <c r="G129" i="8"/>
  <c r="E130" i="8"/>
  <c r="G130" i="8"/>
  <c r="E131" i="8"/>
  <c r="G131" i="8"/>
  <c r="E132" i="8"/>
  <c r="G132" i="8"/>
  <c r="E133" i="8"/>
  <c r="G133" i="8"/>
  <c r="E134" i="8"/>
  <c r="G134" i="8"/>
  <c r="E135" i="8"/>
  <c r="G135" i="8"/>
  <c r="E136" i="8"/>
  <c r="G136" i="8"/>
  <c r="E137" i="8"/>
  <c r="G137" i="8"/>
  <c r="E138" i="8"/>
  <c r="G138" i="8"/>
  <c r="E139" i="8"/>
  <c r="G139" i="8"/>
  <c r="E140" i="8"/>
  <c r="G140" i="8"/>
  <c r="E141" i="8"/>
  <c r="G141" i="8"/>
  <c r="E142" i="8"/>
  <c r="G142" i="8"/>
  <c r="E143" i="8"/>
  <c r="G143" i="8"/>
  <c r="E144" i="8"/>
  <c r="G144" i="8"/>
  <c r="E145" i="8"/>
  <c r="G145" i="8"/>
  <c r="E146" i="8"/>
  <c r="G146" i="8"/>
  <c r="E147" i="8"/>
  <c r="G147" i="8"/>
  <c r="E148" i="8"/>
  <c r="G148" i="8"/>
  <c r="E149" i="8"/>
  <c r="G149" i="8"/>
  <c r="E150" i="8"/>
  <c r="G150" i="8"/>
  <c r="E151" i="8"/>
  <c r="G151" i="8"/>
  <c r="E152" i="8"/>
  <c r="G152" i="8"/>
  <c r="E153" i="8"/>
  <c r="G153" i="8"/>
  <c r="E154" i="8"/>
  <c r="G154" i="8"/>
  <c r="E155" i="8"/>
  <c r="G155" i="8"/>
  <c r="E156" i="8"/>
  <c r="G156" i="8"/>
  <c r="E157" i="8"/>
  <c r="G157" i="8"/>
  <c r="E158" i="8"/>
  <c r="G158" i="8"/>
  <c r="E159" i="8"/>
  <c r="G159" i="8"/>
  <c r="E160" i="8"/>
  <c r="G160" i="8"/>
  <c r="E161" i="8"/>
  <c r="G161" i="8"/>
  <c r="E162" i="8"/>
  <c r="G162" i="8"/>
  <c r="E163" i="8"/>
  <c r="G163" i="8"/>
  <c r="E164" i="8"/>
  <c r="G164" i="8"/>
  <c r="E165" i="8"/>
  <c r="G165" i="8"/>
  <c r="E166" i="8"/>
  <c r="G166" i="8"/>
  <c r="E167" i="8"/>
  <c r="G167" i="8"/>
  <c r="E168" i="8"/>
  <c r="G168" i="8"/>
  <c r="E169" i="8"/>
  <c r="G169" i="8"/>
  <c r="E170" i="8"/>
  <c r="G170" i="8"/>
  <c r="E171" i="8"/>
  <c r="G171" i="8"/>
  <c r="E172" i="8"/>
  <c r="G172" i="8"/>
  <c r="E173" i="8"/>
  <c r="G173" i="8"/>
  <c r="E174" i="8"/>
  <c r="G174" i="8"/>
  <c r="E175" i="8"/>
  <c r="G175" i="8"/>
  <c r="E176" i="8"/>
  <c r="G176" i="8"/>
  <c r="E177" i="8"/>
  <c r="G177" i="8"/>
  <c r="E178" i="8"/>
  <c r="G178" i="8"/>
  <c r="E179" i="8"/>
  <c r="G179" i="8"/>
  <c r="E180" i="8"/>
  <c r="G180" i="8"/>
  <c r="E181" i="8"/>
  <c r="G181" i="8"/>
  <c r="E182" i="8"/>
  <c r="G182" i="8"/>
  <c r="E183" i="8"/>
  <c r="G183" i="8"/>
  <c r="E184" i="8"/>
  <c r="G184" i="8"/>
  <c r="E185" i="8"/>
  <c r="G185" i="8"/>
  <c r="E186" i="8"/>
  <c r="G186" i="8"/>
  <c r="E187" i="8"/>
  <c r="G187" i="8"/>
  <c r="E188" i="8"/>
  <c r="G188" i="8"/>
  <c r="E189" i="8"/>
  <c r="G189" i="8"/>
  <c r="E190" i="8"/>
  <c r="G190" i="8"/>
  <c r="E191" i="8"/>
  <c r="G191" i="8"/>
  <c r="E192" i="8"/>
  <c r="G192" i="8"/>
  <c r="E193" i="8"/>
  <c r="G193" i="8"/>
  <c r="E194" i="8"/>
  <c r="G194" i="8"/>
  <c r="E195" i="8"/>
  <c r="G195" i="8"/>
  <c r="E196" i="8"/>
  <c r="G196" i="8"/>
  <c r="E197" i="8"/>
  <c r="G197" i="8"/>
  <c r="E198" i="8"/>
  <c r="G198" i="8"/>
  <c r="E199" i="8"/>
  <c r="G199" i="8"/>
  <c r="E200" i="8"/>
  <c r="G200" i="8"/>
  <c r="E201" i="8"/>
  <c r="G201" i="8"/>
  <c r="E202" i="8"/>
  <c r="G202" i="8"/>
  <c r="E203" i="8"/>
  <c r="G203" i="8"/>
  <c r="E204" i="8"/>
  <c r="G204" i="8"/>
  <c r="E205" i="8"/>
  <c r="G205" i="8"/>
  <c r="E206" i="8"/>
  <c r="G206" i="8"/>
  <c r="E207" i="8"/>
  <c r="G207" i="8"/>
  <c r="E208" i="8"/>
  <c r="G208" i="8"/>
  <c r="E209" i="8"/>
  <c r="G209" i="8"/>
  <c r="E210" i="8"/>
  <c r="G210" i="8"/>
  <c r="E211" i="8"/>
  <c r="G211" i="8"/>
  <c r="E212" i="8"/>
  <c r="G212" i="8"/>
  <c r="E213" i="8"/>
  <c r="G213" i="8"/>
  <c r="E214" i="8"/>
  <c r="G214" i="8"/>
  <c r="E215" i="8"/>
  <c r="G215" i="8"/>
  <c r="E216" i="8"/>
  <c r="G216" i="8"/>
  <c r="E217" i="8"/>
  <c r="G217" i="8"/>
  <c r="E218" i="8"/>
  <c r="G218" i="8"/>
  <c r="E219" i="8"/>
  <c r="G219" i="8"/>
  <c r="E220" i="8"/>
  <c r="G220" i="8"/>
  <c r="E221" i="8"/>
  <c r="G221" i="8"/>
  <c r="E222" i="8"/>
  <c r="G222" i="8"/>
  <c r="E223" i="8"/>
  <c r="G223" i="8"/>
  <c r="E224" i="8"/>
  <c r="G224" i="8"/>
  <c r="E225" i="8"/>
  <c r="G225" i="8"/>
  <c r="E226" i="8"/>
  <c r="G226" i="8"/>
  <c r="E227" i="8"/>
  <c r="G227" i="8"/>
  <c r="E228" i="8"/>
  <c r="G228" i="8"/>
  <c r="E229" i="8"/>
  <c r="G229" i="8"/>
  <c r="E230" i="8"/>
  <c r="G230" i="8"/>
  <c r="E231" i="8"/>
  <c r="G231" i="8"/>
  <c r="E232" i="8"/>
  <c r="G232" i="8"/>
  <c r="E233" i="8"/>
  <c r="G233" i="8"/>
  <c r="E234" i="8"/>
  <c r="G234" i="8"/>
  <c r="E235" i="8"/>
  <c r="G235" i="8"/>
  <c r="E236" i="8"/>
  <c r="G236" i="8"/>
  <c r="E237" i="8"/>
  <c r="G237" i="8"/>
  <c r="E238" i="8"/>
  <c r="G238" i="8"/>
  <c r="E239" i="8"/>
  <c r="G239" i="8"/>
  <c r="E240" i="8"/>
  <c r="G240" i="8"/>
  <c r="E241" i="8"/>
  <c r="G241" i="8"/>
  <c r="E242" i="8"/>
  <c r="G242" i="8"/>
  <c r="E243" i="8"/>
  <c r="G243" i="8"/>
  <c r="E244" i="8"/>
  <c r="G244" i="8"/>
  <c r="E245" i="8"/>
  <c r="G245" i="8"/>
  <c r="E246" i="8"/>
  <c r="G246" i="8"/>
  <c r="E247" i="8"/>
  <c r="G247" i="8"/>
  <c r="E248" i="8"/>
  <c r="G248" i="8"/>
  <c r="E249" i="8"/>
  <c r="G249" i="8"/>
  <c r="E250" i="8"/>
  <c r="G250" i="8"/>
  <c r="E251" i="8"/>
  <c r="G251" i="8"/>
  <c r="E252" i="8"/>
  <c r="G252" i="8"/>
  <c r="E253" i="8"/>
  <c r="G253" i="8"/>
  <c r="E254" i="8"/>
  <c r="G254" i="8"/>
  <c r="E255" i="8"/>
  <c r="G255" i="8"/>
  <c r="E256" i="8"/>
  <c r="G256" i="8"/>
  <c r="E257" i="8"/>
  <c r="G257" i="8"/>
  <c r="E258" i="8"/>
  <c r="G258" i="8"/>
  <c r="E259" i="8"/>
  <c r="G259" i="8"/>
  <c r="E260" i="8"/>
  <c r="G260" i="8"/>
  <c r="E261" i="8"/>
  <c r="G261" i="8"/>
  <c r="E262" i="8"/>
  <c r="G262" i="8"/>
  <c r="E263" i="8"/>
  <c r="G263" i="8"/>
  <c r="E264" i="8"/>
  <c r="G264" i="8"/>
  <c r="E265" i="8"/>
  <c r="G265" i="8"/>
  <c r="E266" i="8"/>
  <c r="G266" i="8"/>
  <c r="E267" i="8"/>
  <c r="G267" i="8"/>
  <c r="E268" i="8"/>
  <c r="G268" i="8"/>
  <c r="E269" i="8"/>
  <c r="G269" i="8"/>
  <c r="E270" i="8"/>
  <c r="G270" i="8"/>
  <c r="E271" i="8"/>
  <c r="G271" i="8"/>
  <c r="E272" i="8"/>
  <c r="G272" i="8"/>
  <c r="E273" i="8"/>
  <c r="G273" i="8"/>
  <c r="E274" i="8"/>
  <c r="G274" i="8"/>
  <c r="E275" i="8"/>
  <c r="G275" i="8"/>
  <c r="E276" i="8"/>
  <c r="G276" i="8"/>
  <c r="E277" i="8"/>
  <c r="G277" i="8"/>
  <c r="E278" i="8"/>
  <c r="G278" i="8"/>
  <c r="E279" i="8"/>
  <c r="G279" i="8"/>
  <c r="E280" i="8"/>
  <c r="G280" i="8"/>
  <c r="E281" i="8"/>
  <c r="G281" i="8"/>
  <c r="E282" i="8"/>
  <c r="G282" i="8"/>
  <c r="E283" i="8"/>
  <c r="G283" i="8"/>
  <c r="E284" i="8"/>
  <c r="G284" i="8"/>
  <c r="E285" i="8"/>
  <c r="G285" i="8"/>
  <c r="E286" i="8"/>
  <c r="G286" i="8"/>
  <c r="E287" i="8"/>
  <c r="G287" i="8"/>
  <c r="E288" i="8"/>
  <c r="G288" i="8"/>
  <c r="E289" i="8"/>
  <c r="G289" i="8"/>
  <c r="E290" i="8"/>
  <c r="G290" i="8"/>
  <c r="E291" i="8"/>
  <c r="G291" i="8"/>
  <c r="E292" i="8"/>
  <c r="G292" i="8"/>
  <c r="E293" i="8"/>
  <c r="G293" i="8"/>
  <c r="E294" i="8"/>
  <c r="G294" i="8"/>
  <c r="E295" i="8"/>
  <c r="G295" i="8"/>
  <c r="E296" i="8"/>
  <c r="G296" i="8"/>
  <c r="E297" i="8"/>
  <c r="G297" i="8"/>
  <c r="E298" i="8"/>
  <c r="G298" i="8"/>
  <c r="E299" i="8"/>
  <c r="G299" i="8"/>
  <c r="E300" i="8"/>
  <c r="G300" i="8"/>
  <c r="E301" i="8"/>
  <c r="G301" i="8"/>
  <c r="E302" i="8"/>
  <c r="G302" i="8"/>
  <c r="E303" i="8"/>
  <c r="G303" i="8"/>
  <c r="E304" i="8"/>
  <c r="G304" i="8"/>
  <c r="E305" i="8"/>
  <c r="G305" i="8"/>
  <c r="E306" i="8"/>
  <c r="G306" i="8"/>
  <c r="E307" i="8"/>
  <c r="G307" i="8"/>
  <c r="E308" i="8"/>
  <c r="G308" i="8"/>
  <c r="E309" i="8"/>
  <c r="G309" i="8"/>
  <c r="E310" i="8"/>
  <c r="G310" i="8"/>
  <c r="E311" i="8"/>
  <c r="G311" i="8"/>
  <c r="E312" i="8"/>
  <c r="G312" i="8"/>
  <c r="E313" i="8"/>
  <c r="G313" i="8"/>
  <c r="E314" i="8"/>
  <c r="G314" i="8"/>
  <c r="E315" i="8"/>
  <c r="G315" i="8"/>
  <c r="E316" i="8"/>
  <c r="G316" i="8"/>
  <c r="E317" i="8"/>
  <c r="G317" i="8"/>
  <c r="E318" i="8"/>
  <c r="G318" i="8"/>
  <c r="E319" i="8"/>
  <c r="G319" i="8"/>
  <c r="E320" i="8"/>
  <c r="G320" i="8"/>
  <c r="E321" i="8"/>
  <c r="G321" i="8"/>
  <c r="E322" i="8"/>
  <c r="G322" i="8"/>
  <c r="E323" i="8"/>
  <c r="G323" i="8"/>
  <c r="E324" i="8"/>
  <c r="G324" i="8"/>
  <c r="E325" i="8"/>
  <c r="G325" i="8"/>
  <c r="E326" i="8"/>
  <c r="G326" i="8"/>
  <c r="E327" i="8"/>
  <c r="G327" i="8"/>
  <c r="E328" i="8"/>
  <c r="G328" i="8"/>
  <c r="E329" i="8"/>
  <c r="G329" i="8"/>
  <c r="E330" i="8"/>
  <c r="G330" i="8"/>
  <c r="E331" i="8"/>
  <c r="G331" i="8"/>
  <c r="E332" i="8"/>
  <c r="G332" i="8"/>
  <c r="E333" i="8"/>
  <c r="G333" i="8"/>
  <c r="E334" i="8"/>
  <c r="G334" i="8"/>
  <c r="E335" i="8"/>
  <c r="G335" i="8"/>
  <c r="E336" i="8"/>
  <c r="G336" i="8"/>
  <c r="E337" i="8"/>
  <c r="G337" i="8"/>
  <c r="E338" i="8"/>
  <c r="G338" i="8"/>
  <c r="E339" i="8"/>
  <c r="G339" i="8"/>
  <c r="E340" i="8"/>
  <c r="G340" i="8"/>
  <c r="E341" i="8"/>
  <c r="G341" i="8"/>
  <c r="E342" i="8"/>
  <c r="G342" i="8"/>
  <c r="E343" i="8"/>
  <c r="G343" i="8"/>
  <c r="E344" i="8"/>
  <c r="G344" i="8"/>
  <c r="E345" i="8"/>
  <c r="G345" i="8"/>
  <c r="E346" i="8"/>
  <c r="G346" i="8"/>
  <c r="E347" i="8"/>
  <c r="G347" i="8"/>
  <c r="E348" i="8"/>
  <c r="G348" i="8"/>
  <c r="E349" i="8"/>
  <c r="G349" i="8"/>
  <c r="E350" i="8"/>
  <c r="G350" i="8"/>
  <c r="E351" i="8"/>
  <c r="G351" i="8"/>
  <c r="E352" i="8"/>
  <c r="G352" i="8"/>
  <c r="E353" i="8"/>
  <c r="G353" i="8"/>
  <c r="E354" i="8"/>
  <c r="G354" i="8"/>
  <c r="E355" i="8"/>
  <c r="G355" i="8"/>
  <c r="E356" i="8"/>
  <c r="G356" i="8"/>
  <c r="E357" i="8"/>
  <c r="G357" i="8"/>
  <c r="E358" i="8"/>
  <c r="G358" i="8"/>
  <c r="E359" i="8"/>
  <c r="G359" i="8"/>
  <c r="E360" i="8"/>
  <c r="G360" i="8"/>
  <c r="E361" i="8"/>
  <c r="G361" i="8"/>
  <c r="E362" i="8"/>
  <c r="G362" i="8"/>
  <c r="E363" i="8"/>
  <c r="G363" i="8"/>
  <c r="E364" i="8"/>
  <c r="G364" i="8"/>
  <c r="E365" i="8"/>
  <c r="G365" i="8"/>
  <c r="E366" i="8"/>
  <c r="G366" i="8"/>
  <c r="E367" i="8"/>
  <c r="G367" i="8"/>
  <c r="E368" i="8"/>
  <c r="G368" i="8"/>
  <c r="E369" i="8"/>
  <c r="G369" i="8"/>
  <c r="E370" i="8"/>
  <c r="G370" i="8"/>
  <c r="E371" i="8"/>
  <c r="G371" i="8"/>
  <c r="E372" i="8"/>
  <c r="G372" i="8"/>
  <c r="E373" i="8"/>
  <c r="G373" i="8"/>
  <c r="E374" i="8"/>
  <c r="G374" i="8"/>
  <c r="E375" i="8"/>
  <c r="G375" i="8"/>
  <c r="E376" i="8"/>
  <c r="G376" i="8"/>
  <c r="E377" i="8"/>
  <c r="G377" i="8"/>
  <c r="E378" i="8"/>
  <c r="G378" i="8"/>
  <c r="E379" i="8"/>
  <c r="G379" i="8"/>
  <c r="E380" i="8"/>
  <c r="G380" i="8"/>
  <c r="E381" i="8"/>
  <c r="G381" i="8"/>
  <c r="E382" i="8"/>
  <c r="G382" i="8"/>
  <c r="E383" i="8"/>
  <c r="G383" i="8"/>
  <c r="E384" i="8"/>
  <c r="G384" i="8"/>
  <c r="E385" i="8"/>
  <c r="G385" i="8"/>
  <c r="E386" i="8"/>
  <c r="G386" i="8"/>
  <c r="E387" i="8"/>
  <c r="G387" i="8"/>
  <c r="E388" i="8"/>
  <c r="G388" i="8"/>
  <c r="E389" i="8"/>
  <c r="G389" i="8"/>
  <c r="E390" i="8"/>
  <c r="G390" i="8"/>
  <c r="E391" i="8"/>
  <c r="G391" i="8"/>
  <c r="E392" i="8"/>
  <c r="G392" i="8"/>
  <c r="E393" i="8"/>
  <c r="G393" i="8"/>
  <c r="E394" i="8"/>
  <c r="G394" i="8"/>
  <c r="E395" i="8"/>
  <c r="G395" i="8"/>
  <c r="E396" i="8"/>
  <c r="G396" i="8"/>
  <c r="E397" i="8"/>
  <c r="G397" i="8"/>
  <c r="E398" i="8"/>
  <c r="G398" i="8"/>
  <c r="E399" i="8"/>
  <c r="G399" i="8"/>
  <c r="E400" i="8"/>
  <c r="G400" i="8"/>
  <c r="E401" i="8"/>
  <c r="G401" i="8"/>
  <c r="E402" i="8"/>
  <c r="G402" i="8"/>
  <c r="E403" i="8"/>
  <c r="G403" i="8"/>
  <c r="E404" i="8"/>
  <c r="G404" i="8"/>
  <c r="E405" i="8"/>
  <c r="G405" i="8"/>
  <c r="E406" i="8"/>
  <c r="G406" i="8"/>
  <c r="E407" i="8"/>
  <c r="G407" i="8"/>
  <c r="E408" i="8"/>
  <c r="G408" i="8"/>
  <c r="E409" i="8"/>
  <c r="G409" i="8"/>
  <c r="E410" i="8"/>
  <c r="G410" i="8"/>
  <c r="E411" i="8"/>
  <c r="G411" i="8"/>
  <c r="E412" i="8"/>
  <c r="G412" i="8"/>
  <c r="E413" i="8"/>
  <c r="G413" i="8"/>
  <c r="E414" i="8"/>
  <c r="G414" i="8"/>
  <c r="E415" i="8"/>
  <c r="G415" i="8"/>
  <c r="E416" i="8"/>
  <c r="G416" i="8"/>
  <c r="E417" i="8"/>
  <c r="G417" i="8"/>
  <c r="E418" i="8"/>
  <c r="G418" i="8"/>
  <c r="E419" i="8"/>
  <c r="G419" i="8"/>
  <c r="E420" i="8"/>
  <c r="G420" i="8"/>
  <c r="E421" i="8"/>
  <c r="G421" i="8"/>
  <c r="E422" i="8"/>
  <c r="G422" i="8"/>
  <c r="E423" i="8"/>
  <c r="G423" i="8"/>
  <c r="E424" i="8"/>
  <c r="G424" i="8"/>
  <c r="E425" i="8"/>
  <c r="G425" i="8"/>
  <c r="E426" i="8"/>
  <c r="G426" i="8"/>
  <c r="E427" i="8"/>
  <c r="G427" i="8"/>
  <c r="E428" i="8"/>
  <c r="G428" i="8"/>
  <c r="E429" i="8"/>
  <c r="G429" i="8"/>
  <c r="E430" i="8"/>
  <c r="G430" i="8"/>
  <c r="E431" i="8"/>
  <c r="G431" i="8"/>
  <c r="E432" i="8"/>
  <c r="G432" i="8"/>
  <c r="E433" i="8"/>
  <c r="G433" i="8"/>
  <c r="E434" i="8"/>
  <c r="G434" i="8"/>
  <c r="E435" i="8"/>
  <c r="G435" i="8"/>
  <c r="E436" i="8"/>
  <c r="G436" i="8"/>
  <c r="E437" i="8"/>
  <c r="G437" i="8"/>
  <c r="E438" i="8"/>
  <c r="G438" i="8"/>
  <c r="E439" i="8"/>
  <c r="G439" i="8"/>
  <c r="E440" i="8"/>
  <c r="G440" i="8"/>
  <c r="E441" i="8"/>
  <c r="G441" i="8"/>
  <c r="E442" i="8"/>
  <c r="G442" i="8"/>
  <c r="E443" i="8"/>
  <c r="G443" i="8"/>
  <c r="E444" i="8"/>
  <c r="G444" i="8"/>
  <c r="E445" i="8"/>
  <c r="G445" i="8"/>
  <c r="E446" i="8"/>
  <c r="G446" i="8"/>
  <c r="E447" i="8"/>
  <c r="G447" i="8"/>
  <c r="E448" i="8"/>
  <c r="G448" i="8"/>
  <c r="E449" i="8"/>
  <c r="G449" i="8"/>
  <c r="E450" i="8"/>
  <c r="G450" i="8"/>
  <c r="E451" i="8"/>
  <c r="G451" i="8"/>
  <c r="E452" i="8"/>
  <c r="G452" i="8"/>
  <c r="E453" i="8"/>
  <c r="G453" i="8"/>
  <c r="E454" i="8"/>
  <c r="G454" i="8"/>
  <c r="E455" i="8"/>
  <c r="G455" i="8"/>
  <c r="E456" i="8"/>
  <c r="G456" i="8"/>
  <c r="E457" i="8"/>
  <c r="G457" i="8"/>
  <c r="E458" i="8"/>
  <c r="G458" i="8"/>
  <c r="E459" i="8"/>
  <c r="G459" i="8"/>
  <c r="E460" i="8"/>
  <c r="G460" i="8"/>
  <c r="E461" i="8"/>
  <c r="G461" i="8"/>
  <c r="E462" i="8"/>
  <c r="G462" i="8"/>
  <c r="E463" i="8"/>
  <c r="G463" i="8"/>
  <c r="E464" i="8"/>
  <c r="G464" i="8"/>
  <c r="E465" i="8"/>
  <c r="G465" i="8"/>
  <c r="E466" i="8"/>
  <c r="G466" i="8"/>
  <c r="E467" i="8"/>
  <c r="G467" i="8"/>
  <c r="E468" i="8"/>
  <c r="G468" i="8"/>
  <c r="E469" i="8"/>
  <c r="G469" i="8"/>
  <c r="E470" i="8"/>
  <c r="G470" i="8"/>
  <c r="E471" i="8"/>
  <c r="G471" i="8"/>
  <c r="E472" i="8"/>
  <c r="G472" i="8"/>
  <c r="E473" i="8"/>
  <c r="G473" i="8"/>
  <c r="E474" i="8"/>
  <c r="G474" i="8"/>
  <c r="E475" i="8"/>
  <c r="G475" i="8"/>
  <c r="E476" i="8"/>
  <c r="G476" i="8"/>
  <c r="E477" i="8"/>
  <c r="G477" i="8"/>
  <c r="E478" i="8"/>
  <c r="G478" i="8"/>
  <c r="E479" i="8"/>
  <c r="G479" i="8"/>
  <c r="E480" i="8"/>
  <c r="G480" i="8"/>
  <c r="E481" i="8"/>
  <c r="G481" i="8"/>
  <c r="E482" i="8"/>
  <c r="G482" i="8"/>
  <c r="E483" i="8"/>
  <c r="G483" i="8"/>
  <c r="E484" i="8"/>
  <c r="G484" i="8"/>
  <c r="E485" i="8"/>
  <c r="G485" i="8"/>
  <c r="E486" i="8"/>
  <c r="G486" i="8"/>
  <c r="E487" i="8"/>
  <c r="G487" i="8"/>
  <c r="E488" i="8"/>
  <c r="G488" i="8"/>
  <c r="E489" i="8"/>
  <c r="G489" i="8"/>
  <c r="E490" i="8"/>
  <c r="G490" i="8"/>
  <c r="E491" i="8"/>
  <c r="G491" i="8"/>
  <c r="E492" i="8"/>
  <c r="G492" i="8"/>
  <c r="E493" i="8"/>
  <c r="G493" i="8"/>
  <c r="E494" i="8"/>
  <c r="G494" i="8"/>
  <c r="E495" i="8"/>
  <c r="G495" i="8"/>
  <c r="E496" i="8"/>
  <c r="G496" i="8"/>
  <c r="E497" i="8"/>
  <c r="G497" i="8"/>
  <c r="E498" i="8"/>
  <c r="G498" i="8"/>
  <c r="E499" i="8"/>
  <c r="G499" i="8"/>
  <c r="E500" i="8"/>
  <c r="G500" i="8"/>
  <c r="E501" i="8"/>
  <c r="G501" i="8"/>
  <c r="E502" i="8"/>
  <c r="G502" i="8"/>
  <c r="E503" i="8"/>
  <c r="G503" i="8"/>
  <c r="E504" i="8"/>
  <c r="G504" i="8"/>
  <c r="E505" i="8"/>
  <c r="G505" i="8"/>
  <c r="E506" i="8"/>
  <c r="G506" i="8"/>
  <c r="E507" i="8"/>
  <c r="F507" i="8"/>
  <c r="G507" i="8"/>
  <c r="H507" i="8"/>
  <c r="I507" i="8"/>
  <c r="J507" i="8"/>
  <c r="K507" i="8"/>
  <c r="E508" i="8"/>
  <c r="F508" i="8"/>
  <c r="G508" i="8"/>
  <c r="H508" i="8"/>
  <c r="I508" i="8"/>
  <c r="J508" i="8"/>
  <c r="K508" i="8"/>
  <c r="E509" i="8"/>
  <c r="F509" i="8"/>
  <c r="G509" i="8"/>
  <c r="H509" i="8"/>
  <c r="I509" i="8"/>
  <c r="J509" i="8"/>
  <c r="K509" i="8"/>
  <c r="E510" i="8"/>
  <c r="F510" i="8"/>
  <c r="G510" i="8"/>
  <c r="H510" i="8"/>
  <c r="I510" i="8"/>
  <c r="J510" i="8"/>
  <c r="K510" i="8"/>
  <c r="E511" i="8"/>
  <c r="F511" i="8"/>
  <c r="G511" i="8"/>
  <c r="H511" i="8"/>
  <c r="I511" i="8"/>
  <c r="J511" i="8"/>
  <c r="K511" i="8"/>
  <c r="E512" i="8"/>
  <c r="F512" i="8"/>
  <c r="G512" i="8"/>
  <c r="H512" i="8"/>
  <c r="I512" i="8"/>
  <c r="J512" i="8"/>
  <c r="K512" i="8"/>
  <c r="E513" i="8"/>
  <c r="F513" i="8"/>
  <c r="G513" i="8"/>
  <c r="H513" i="8"/>
  <c r="I513" i="8"/>
  <c r="J513" i="8"/>
  <c r="K513" i="8"/>
  <c r="E514" i="8"/>
  <c r="F514" i="8"/>
  <c r="G514" i="8"/>
  <c r="H514" i="8"/>
  <c r="I514" i="8"/>
  <c r="J514" i="8"/>
  <c r="K514" i="8"/>
  <c r="E515" i="8"/>
  <c r="F515" i="8"/>
  <c r="G515" i="8"/>
  <c r="H515" i="8"/>
  <c r="I515" i="8"/>
  <c r="J515" i="8"/>
  <c r="K515" i="8"/>
  <c r="E516" i="8"/>
  <c r="F516" i="8"/>
  <c r="G516" i="8"/>
  <c r="H516" i="8"/>
  <c r="I516" i="8"/>
  <c r="J516" i="8"/>
  <c r="K516" i="8"/>
  <c r="E517" i="8"/>
  <c r="F517" i="8"/>
  <c r="G517" i="8"/>
  <c r="H517" i="8"/>
  <c r="I517" i="8"/>
  <c r="J517" i="8"/>
  <c r="K517" i="8"/>
  <c r="E518" i="8"/>
  <c r="F518" i="8"/>
  <c r="G518" i="8"/>
  <c r="H518" i="8"/>
  <c r="I518" i="8"/>
  <c r="J518" i="8"/>
  <c r="K518" i="8"/>
  <c r="E519" i="8"/>
  <c r="F519" i="8"/>
  <c r="G519" i="8"/>
  <c r="H519" i="8"/>
  <c r="I519" i="8"/>
  <c r="J519" i="8"/>
  <c r="K519" i="8"/>
  <c r="E520" i="8"/>
  <c r="F520" i="8"/>
  <c r="G520" i="8"/>
  <c r="H520" i="8"/>
  <c r="I520" i="8"/>
  <c r="J520" i="8"/>
  <c r="K520" i="8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7" i="7"/>
  <c r="K506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E313" i="16" s="1"/>
  <c r="I316" i="4"/>
  <c r="E312" i="16" s="1"/>
  <c r="I315" i="4"/>
  <c r="E311" i="16" s="1"/>
  <c r="I314" i="4"/>
  <c r="E310" i="16" s="1"/>
  <c r="I313" i="4"/>
  <c r="E309" i="16" s="1"/>
  <c r="I312" i="4"/>
  <c r="E308" i="16" s="1"/>
  <c r="I311" i="4"/>
  <c r="E307" i="16" s="1"/>
  <c r="I310" i="4"/>
  <c r="E306" i="16" s="1"/>
  <c r="I309" i="4"/>
  <c r="E305" i="16" s="1"/>
  <c r="I308" i="4"/>
  <c r="E304" i="16" s="1"/>
  <c r="I307" i="4"/>
  <c r="E303" i="16" s="1"/>
  <c r="I306" i="4"/>
  <c r="E302" i="16" s="1"/>
  <c r="I305" i="4"/>
  <c r="E301" i="16" s="1"/>
  <c r="I304" i="4"/>
  <c r="E300" i="16" s="1"/>
  <c r="I303" i="4"/>
  <c r="E299" i="16" s="1"/>
  <c r="I302" i="4"/>
  <c r="E298" i="16" s="1"/>
  <c r="I301" i="4"/>
  <c r="E297" i="16" s="1"/>
  <c r="I300" i="4"/>
  <c r="E296" i="16" s="1"/>
  <c r="I299" i="4"/>
  <c r="E295" i="16" s="1"/>
  <c r="I298" i="4"/>
  <c r="E294" i="16" s="1"/>
  <c r="I297" i="4"/>
  <c r="E293" i="16" s="1"/>
  <c r="I296" i="4"/>
  <c r="E292" i="16" s="1"/>
  <c r="I295" i="4"/>
  <c r="E291" i="16" s="1"/>
  <c r="I294" i="4"/>
  <c r="E290" i="16" s="1"/>
  <c r="I293" i="4"/>
  <c r="E289" i="16" s="1"/>
  <c r="I292" i="4"/>
  <c r="E288" i="16" s="1"/>
  <c r="I291" i="4"/>
  <c r="E287" i="16" s="1"/>
  <c r="I290" i="4"/>
  <c r="E286" i="16" s="1"/>
  <c r="I289" i="4"/>
  <c r="E285" i="16" s="1"/>
  <c r="I288" i="4"/>
  <c r="E284" i="16" s="1"/>
  <c r="I287" i="4"/>
  <c r="E283" i="16" s="1"/>
  <c r="I286" i="4"/>
  <c r="E282" i="16" s="1"/>
  <c r="I285" i="4"/>
  <c r="E281" i="16" s="1"/>
  <c r="I284" i="4"/>
  <c r="E280" i="16" s="1"/>
  <c r="I283" i="4"/>
  <c r="E279" i="16" s="1"/>
  <c r="I282" i="4"/>
  <c r="E278" i="16" s="1"/>
  <c r="I281" i="4"/>
  <c r="E277" i="16" s="1"/>
  <c r="I280" i="4"/>
  <c r="E276" i="16" s="1"/>
  <c r="I279" i="4"/>
  <c r="E275" i="16" s="1"/>
  <c r="I278" i="4"/>
  <c r="E274" i="16" s="1"/>
  <c r="I277" i="4"/>
  <c r="E273" i="16" s="1"/>
  <c r="I276" i="4"/>
  <c r="E272" i="16" s="1"/>
  <c r="I275" i="4"/>
  <c r="E271" i="16" s="1"/>
  <c r="I274" i="4"/>
  <c r="E270" i="16" s="1"/>
  <c r="I273" i="4"/>
  <c r="E269" i="16" s="1"/>
  <c r="I272" i="4"/>
  <c r="E268" i="16" s="1"/>
  <c r="I271" i="4"/>
  <c r="E267" i="16" s="1"/>
  <c r="I270" i="4"/>
  <c r="E266" i="16" s="1"/>
  <c r="I269" i="4"/>
  <c r="E265" i="16" s="1"/>
  <c r="I268" i="4"/>
  <c r="E264" i="16" s="1"/>
  <c r="I267" i="4"/>
  <c r="E263" i="16" s="1"/>
  <c r="I266" i="4"/>
  <c r="E262" i="16" s="1"/>
  <c r="I265" i="4"/>
  <c r="E261" i="16" s="1"/>
  <c r="I264" i="4"/>
  <c r="E260" i="16" s="1"/>
  <c r="I263" i="4"/>
  <c r="E259" i="16" s="1"/>
  <c r="I262" i="4"/>
  <c r="E258" i="16" s="1"/>
  <c r="I261" i="4"/>
  <c r="E257" i="16" s="1"/>
  <c r="I260" i="4"/>
  <c r="E256" i="16" s="1"/>
  <c r="I259" i="4"/>
  <c r="E255" i="16" s="1"/>
  <c r="I258" i="4"/>
  <c r="E254" i="16" s="1"/>
  <c r="I257" i="4"/>
  <c r="E253" i="16" s="1"/>
  <c r="I256" i="4"/>
  <c r="E252" i="16" s="1"/>
  <c r="I255" i="4"/>
  <c r="E251" i="16" s="1"/>
  <c r="I254" i="4"/>
  <c r="E250" i="16" s="1"/>
  <c r="I253" i="4"/>
  <c r="E249" i="16" s="1"/>
  <c r="I252" i="4"/>
  <c r="E248" i="16" s="1"/>
  <c r="I251" i="4"/>
  <c r="E247" i="16" s="1"/>
  <c r="I250" i="4"/>
  <c r="E246" i="16" s="1"/>
  <c r="I249" i="4"/>
  <c r="E245" i="16" s="1"/>
  <c r="I248" i="4"/>
  <c r="E244" i="16" s="1"/>
  <c r="I247" i="4"/>
  <c r="E243" i="16" s="1"/>
  <c r="I246" i="4"/>
  <c r="E242" i="16" s="1"/>
  <c r="I245" i="4"/>
  <c r="E241" i="16" s="1"/>
  <c r="I244" i="4"/>
  <c r="E240" i="16" s="1"/>
  <c r="I243" i="4"/>
  <c r="E239" i="16" s="1"/>
  <c r="I242" i="4"/>
  <c r="E238" i="16" s="1"/>
  <c r="I241" i="4"/>
  <c r="E237" i="16" s="1"/>
  <c r="I240" i="4"/>
  <c r="E236" i="16" s="1"/>
  <c r="I239" i="4"/>
  <c r="E235" i="16" s="1"/>
  <c r="I238" i="4"/>
  <c r="E234" i="16" s="1"/>
  <c r="I237" i="4"/>
  <c r="E233" i="16" s="1"/>
  <c r="I236" i="4"/>
  <c r="E232" i="16" s="1"/>
  <c r="I235" i="4"/>
  <c r="E231" i="16" s="1"/>
  <c r="I234" i="4"/>
  <c r="E230" i="16" s="1"/>
  <c r="I233" i="4"/>
  <c r="E229" i="16" s="1"/>
  <c r="I232" i="4"/>
  <c r="E228" i="16" s="1"/>
  <c r="I231" i="4"/>
  <c r="E227" i="16" s="1"/>
  <c r="I230" i="4"/>
  <c r="E226" i="16" s="1"/>
  <c r="I229" i="4"/>
  <c r="E225" i="16" s="1"/>
  <c r="I228" i="4"/>
  <c r="E224" i="16" s="1"/>
  <c r="I227" i="4"/>
  <c r="E223" i="16" s="1"/>
  <c r="I226" i="4"/>
  <c r="E222" i="16" s="1"/>
  <c r="I225" i="4"/>
  <c r="E221" i="16" s="1"/>
  <c r="I224" i="4"/>
  <c r="E220" i="16" s="1"/>
  <c r="I223" i="4"/>
  <c r="E219" i="16" s="1"/>
  <c r="I222" i="4"/>
  <c r="E218" i="16" s="1"/>
  <c r="I221" i="4"/>
  <c r="E217" i="16" s="1"/>
  <c r="I220" i="4"/>
  <c r="E216" i="16" s="1"/>
  <c r="I219" i="4"/>
  <c r="E215" i="16" s="1"/>
  <c r="I218" i="4"/>
  <c r="E214" i="16" s="1"/>
  <c r="I217" i="4"/>
  <c r="E213" i="16" s="1"/>
  <c r="I216" i="4"/>
  <c r="E212" i="16" s="1"/>
  <c r="I215" i="4"/>
  <c r="E211" i="16" s="1"/>
  <c r="I214" i="4"/>
  <c r="E210" i="16" s="1"/>
  <c r="I213" i="4"/>
  <c r="E209" i="16" s="1"/>
  <c r="I212" i="4"/>
  <c r="E208" i="16" s="1"/>
  <c r="I211" i="4"/>
  <c r="E207" i="16" s="1"/>
  <c r="I210" i="4"/>
  <c r="E206" i="16" s="1"/>
  <c r="I209" i="4"/>
  <c r="E205" i="16" s="1"/>
  <c r="I208" i="4"/>
  <c r="E204" i="16" s="1"/>
  <c r="I207" i="4"/>
  <c r="E203" i="16" s="1"/>
  <c r="I206" i="4"/>
  <c r="E202" i="16" s="1"/>
  <c r="I205" i="4"/>
  <c r="E201" i="16" s="1"/>
  <c r="I204" i="4"/>
  <c r="E200" i="16" s="1"/>
  <c r="I203" i="4"/>
  <c r="E199" i="16" s="1"/>
  <c r="I202" i="4"/>
  <c r="E198" i="16" s="1"/>
  <c r="I201" i="4"/>
  <c r="E197" i="16" s="1"/>
  <c r="I200" i="4"/>
  <c r="E196" i="16" s="1"/>
  <c r="I199" i="4"/>
  <c r="E195" i="16" s="1"/>
  <c r="I198" i="4"/>
  <c r="E194" i="16" s="1"/>
  <c r="I197" i="4"/>
  <c r="E193" i="16" s="1"/>
  <c r="I196" i="4"/>
  <c r="E192" i="16" s="1"/>
  <c r="I195" i="4"/>
  <c r="E191" i="16" s="1"/>
  <c r="I194" i="4"/>
  <c r="E190" i="16" s="1"/>
  <c r="I193" i="4"/>
  <c r="E189" i="16" s="1"/>
  <c r="I192" i="4"/>
  <c r="E188" i="16" s="1"/>
  <c r="I191" i="4"/>
  <c r="E187" i="16" s="1"/>
  <c r="I190" i="4"/>
  <c r="E186" i="16" s="1"/>
  <c r="I189" i="4"/>
  <c r="E185" i="16" s="1"/>
  <c r="I188" i="4"/>
  <c r="E184" i="16" s="1"/>
  <c r="I187" i="4"/>
  <c r="E183" i="16" s="1"/>
  <c r="I186" i="4"/>
  <c r="E182" i="16" s="1"/>
  <c r="I185" i="4"/>
  <c r="E181" i="16" s="1"/>
  <c r="I184" i="4"/>
  <c r="E180" i="16" s="1"/>
  <c r="I183" i="4"/>
  <c r="E179" i="16" s="1"/>
  <c r="I182" i="4"/>
  <c r="E178" i="16" s="1"/>
  <c r="I181" i="4"/>
  <c r="E177" i="16" s="1"/>
  <c r="I180" i="4"/>
  <c r="E176" i="16" s="1"/>
  <c r="I179" i="4"/>
  <c r="E175" i="16" s="1"/>
  <c r="I178" i="4"/>
  <c r="E174" i="16" s="1"/>
  <c r="I177" i="4"/>
  <c r="E173" i="16" s="1"/>
  <c r="I176" i="4"/>
  <c r="E172" i="16" s="1"/>
  <c r="I175" i="4"/>
  <c r="E171" i="16" s="1"/>
  <c r="I174" i="4"/>
  <c r="E170" i="16" s="1"/>
  <c r="I173" i="4"/>
  <c r="E169" i="16" s="1"/>
  <c r="I172" i="4"/>
  <c r="E168" i="16" s="1"/>
  <c r="I171" i="4"/>
  <c r="E167" i="16" s="1"/>
  <c r="I170" i="4"/>
  <c r="E166" i="16" s="1"/>
  <c r="I169" i="4"/>
  <c r="E165" i="16" s="1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E5" i="5"/>
  <c r="F13" i="6"/>
  <c r="G12" i="8"/>
  <c r="G8" i="8"/>
  <c r="G3" i="16"/>
  <c r="G9" i="8"/>
  <c r="F7" i="7"/>
  <c r="G7" i="7"/>
  <c r="I7" i="4"/>
  <c r="F26" i="5"/>
  <c r="O66" i="10"/>
  <c r="P66" i="10"/>
  <c r="G4" i="16"/>
  <c r="G5" i="16"/>
  <c r="G6" i="16"/>
  <c r="G7" i="16"/>
  <c r="G8" i="16"/>
  <c r="G9" i="16"/>
  <c r="G10" i="16"/>
  <c r="G11" i="16"/>
  <c r="H8" i="14"/>
  <c r="E3" i="16"/>
  <c r="D4" i="16"/>
  <c r="D5" i="16"/>
  <c r="D6" i="16"/>
  <c r="D7" i="16"/>
  <c r="D8" i="16"/>
  <c r="D9" i="16"/>
  <c r="D10" i="16"/>
  <c r="D11" i="16"/>
  <c r="D3" i="16"/>
  <c r="C4" i="16"/>
  <c r="C5" i="16"/>
  <c r="C6" i="16"/>
  <c r="C7" i="16"/>
  <c r="C8" i="16"/>
  <c r="C9" i="16"/>
  <c r="C10" i="16"/>
  <c r="C11" i="16"/>
  <c r="C3" i="16"/>
  <c r="B4" i="16"/>
  <c r="B5" i="16"/>
  <c r="B6" i="16"/>
  <c r="B7" i="16"/>
  <c r="B8" i="16"/>
  <c r="B9" i="16"/>
  <c r="B10" i="16"/>
  <c r="B11" i="16"/>
  <c r="B3" i="16"/>
  <c r="A4" i="16"/>
  <c r="A5" i="16"/>
  <c r="A6" i="16"/>
  <c r="A7" i="16"/>
  <c r="A8" i="16"/>
  <c r="A9" i="16"/>
  <c r="A10" i="16"/>
  <c r="A11" i="16"/>
  <c r="A3" i="16"/>
  <c r="B13" i="13"/>
  <c r="E209" i="14"/>
  <c r="D209" i="14"/>
  <c r="B209" i="14"/>
  <c r="E208" i="14"/>
  <c r="D208" i="14"/>
  <c r="B208" i="14"/>
  <c r="E207" i="14"/>
  <c r="D207" i="14"/>
  <c r="B207" i="14"/>
  <c r="E206" i="14"/>
  <c r="D206" i="14"/>
  <c r="B206" i="14"/>
  <c r="E205" i="14"/>
  <c r="D205" i="14"/>
  <c r="B205" i="14"/>
  <c r="E204" i="14"/>
  <c r="D204" i="14"/>
  <c r="B204" i="14"/>
  <c r="E203" i="14"/>
  <c r="D203" i="14"/>
  <c r="B203" i="14"/>
  <c r="E202" i="14"/>
  <c r="D202" i="14"/>
  <c r="B202" i="14"/>
  <c r="E201" i="14"/>
  <c r="D201" i="14"/>
  <c r="B201" i="14"/>
  <c r="S52" i="14"/>
  <c r="Q52" i="14"/>
  <c r="O52" i="14"/>
  <c r="M52" i="14"/>
  <c r="K52" i="14"/>
  <c r="I52" i="14"/>
  <c r="G52" i="14"/>
  <c r="E52" i="14"/>
  <c r="C52" i="14"/>
  <c r="S51" i="14"/>
  <c r="Q51" i="14"/>
  <c r="O51" i="14"/>
  <c r="M51" i="14"/>
  <c r="K51" i="14"/>
  <c r="I51" i="14"/>
  <c r="G51" i="14"/>
  <c r="E51" i="14"/>
  <c r="C51" i="14"/>
  <c r="S50" i="14"/>
  <c r="Q50" i="14"/>
  <c r="O50" i="14"/>
  <c r="M50" i="14"/>
  <c r="K50" i="14"/>
  <c r="I50" i="14"/>
  <c r="G50" i="14"/>
  <c r="E50" i="14"/>
  <c r="C50" i="14"/>
  <c r="S49" i="14"/>
  <c r="Q49" i="14"/>
  <c r="O49" i="14"/>
  <c r="M49" i="14"/>
  <c r="K49" i="14"/>
  <c r="I49" i="14"/>
  <c r="G49" i="14"/>
  <c r="E49" i="14"/>
  <c r="C49" i="14"/>
  <c r="S48" i="14"/>
  <c r="Q48" i="14"/>
  <c r="O48" i="14"/>
  <c r="M48" i="14"/>
  <c r="K48" i="14"/>
  <c r="I48" i="14"/>
  <c r="G48" i="14"/>
  <c r="E48" i="14"/>
  <c r="C48" i="14"/>
  <c r="R47" i="14"/>
  <c r="P47" i="14"/>
  <c r="N47" i="14"/>
  <c r="L47" i="14"/>
  <c r="J47" i="14"/>
  <c r="H47" i="14"/>
  <c r="F47" i="14"/>
  <c r="D47" i="14"/>
  <c r="B47" i="14"/>
  <c r="K43" i="14"/>
  <c r="J43" i="14"/>
  <c r="I43" i="14"/>
  <c r="H43" i="14"/>
  <c r="G43" i="14"/>
  <c r="F43" i="14"/>
  <c r="O42" i="14"/>
  <c r="N42" i="14"/>
  <c r="M42" i="14"/>
  <c r="L42" i="14"/>
  <c r="K42" i="14"/>
  <c r="I42" i="14"/>
  <c r="H42" i="14"/>
  <c r="G42" i="14"/>
  <c r="F42" i="14"/>
  <c r="D42" i="14"/>
  <c r="C42" i="14"/>
  <c r="B42" i="14"/>
  <c r="O41" i="14"/>
  <c r="N41" i="14"/>
  <c r="M41" i="14"/>
  <c r="L41" i="14"/>
  <c r="K41" i="14"/>
  <c r="I41" i="14"/>
  <c r="H41" i="14"/>
  <c r="G41" i="14"/>
  <c r="F41" i="14"/>
  <c r="D41" i="14"/>
  <c r="C41" i="14"/>
  <c r="B41" i="14"/>
  <c r="O40" i="14"/>
  <c r="N40" i="14"/>
  <c r="M40" i="14"/>
  <c r="L40" i="14"/>
  <c r="K40" i="14"/>
  <c r="I40" i="14"/>
  <c r="H40" i="14"/>
  <c r="G40" i="14"/>
  <c r="F40" i="14"/>
  <c r="D40" i="14"/>
  <c r="C40" i="14"/>
  <c r="B40" i="14"/>
  <c r="O39" i="14"/>
  <c r="N39" i="14"/>
  <c r="M39" i="14"/>
  <c r="L39" i="14"/>
  <c r="K39" i="14"/>
  <c r="I39" i="14"/>
  <c r="H39" i="14"/>
  <c r="G39" i="14"/>
  <c r="F39" i="14"/>
  <c r="D39" i="14"/>
  <c r="C39" i="14"/>
  <c r="B39" i="14"/>
  <c r="O38" i="14"/>
  <c r="N38" i="14"/>
  <c r="M38" i="14"/>
  <c r="L38" i="14"/>
  <c r="K38" i="14"/>
  <c r="I38" i="14"/>
  <c r="H38" i="14"/>
  <c r="G38" i="14"/>
  <c r="F38" i="14"/>
  <c r="D38" i="14"/>
  <c r="C38" i="14"/>
  <c r="B38" i="14"/>
  <c r="O37" i="14"/>
  <c r="N37" i="14"/>
  <c r="M37" i="14"/>
  <c r="L37" i="14"/>
  <c r="K37" i="14"/>
  <c r="I37" i="14"/>
  <c r="H37" i="14"/>
  <c r="G37" i="14"/>
  <c r="F37" i="14"/>
  <c r="D37" i="14"/>
  <c r="C37" i="14"/>
  <c r="B37" i="14"/>
  <c r="O36" i="14"/>
  <c r="N36" i="14"/>
  <c r="M36" i="14"/>
  <c r="L36" i="14"/>
  <c r="K36" i="14"/>
  <c r="I36" i="14"/>
  <c r="H36" i="14"/>
  <c r="G36" i="14"/>
  <c r="F36" i="14"/>
  <c r="D36" i="14"/>
  <c r="C36" i="14"/>
  <c r="B36" i="14"/>
  <c r="O35" i="14"/>
  <c r="N35" i="14"/>
  <c r="M35" i="14"/>
  <c r="L35" i="14"/>
  <c r="K35" i="14"/>
  <c r="I35" i="14"/>
  <c r="H35" i="14"/>
  <c r="G35" i="14"/>
  <c r="F35" i="14"/>
  <c r="D35" i="14"/>
  <c r="C35" i="14"/>
  <c r="B35" i="14"/>
  <c r="O34" i="14"/>
  <c r="N34" i="14"/>
  <c r="M34" i="14"/>
  <c r="L34" i="14"/>
  <c r="K34" i="14"/>
  <c r="I34" i="14"/>
  <c r="H34" i="14"/>
  <c r="G34" i="14"/>
  <c r="F34" i="14"/>
  <c r="D34" i="14"/>
  <c r="C34" i="14"/>
  <c r="B34" i="14"/>
  <c r="O30" i="14"/>
  <c r="N30" i="14"/>
  <c r="I30" i="14"/>
  <c r="H30" i="14"/>
  <c r="G30" i="14"/>
  <c r="F30" i="14"/>
  <c r="E30" i="14"/>
  <c r="H29" i="14"/>
  <c r="G29" i="14"/>
  <c r="F29" i="14"/>
  <c r="E29" i="14"/>
  <c r="D29" i="14"/>
  <c r="C29" i="14"/>
  <c r="B29" i="14"/>
  <c r="H28" i="14"/>
  <c r="G28" i="14"/>
  <c r="F28" i="14"/>
  <c r="E28" i="14"/>
  <c r="D28" i="14"/>
  <c r="C28" i="14"/>
  <c r="B28" i="14"/>
  <c r="H27" i="14"/>
  <c r="G27" i="14"/>
  <c r="F27" i="14"/>
  <c r="E27" i="14"/>
  <c r="D27" i="14"/>
  <c r="C27" i="14"/>
  <c r="B27" i="14"/>
  <c r="H26" i="14"/>
  <c r="G26" i="14"/>
  <c r="F26" i="14"/>
  <c r="E26" i="14"/>
  <c r="D26" i="14"/>
  <c r="C26" i="14"/>
  <c r="B26" i="14"/>
  <c r="H25" i="14"/>
  <c r="G25" i="14"/>
  <c r="F25" i="14"/>
  <c r="E25" i="14"/>
  <c r="D25" i="14"/>
  <c r="C25" i="14"/>
  <c r="B25" i="14"/>
  <c r="H24" i="14"/>
  <c r="G24" i="14"/>
  <c r="F24" i="14"/>
  <c r="E24" i="14"/>
  <c r="D24" i="14"/>
  <c r="C24" i="14"/>
  <c r="B24" i="14"/>
  <c r="H23" i="14"/>
  <c r="G23" i="14"/>
  <c r="F23" i="14"/>
  <c r="E23" i="14"/>
  <c r="D23" i="14"/>
  <c r="C23" i="14"/>
  <c r="B23" i="14"/>
  <c r="H22" i="14"/>
  <c r="G22" i="14"/>
  <c r="F22" i="14"/>
  <c r="E22" i="14"/>
  <c r="D22" i="14"/>
  <c r="C22" i="14"/>
  <c r="B22" i="14"/>
  <c r="H21" i="14"/>
  <c r="G21" i="14"/>
  <c r="F21" i="14"/>
  <c r="E21" i="14"/>
  <c r="D21" i="14"/>
  <c r="C21" i="14"/>
  <c r="B21" i="14"/>
  <c r="J17" i="14"/>
  <c r="H17" i="14"/>
  <c r="G17" i="14"/>
  <c r="E17" i="14"/>
  <c r="J16" i="14"/>
  <c r="I16" i="14"/>
  <c r="H16" i="14"/>
  <c r="G16" i="14"/>
  <c r="F16" i="14"/>
  <c r="E16" i="14"/>
  <c r="D16" i="14"/>
  <c r="C16" i="14"/>
  <c r="B16" i="14"/>
  <c r="J15" i="14"/>
  <c r="I15" i="14"/>
  <c r="H15" i="14"/>
  <c r="G15" i="14"/>
  <c r="F15" i="14"/>
  <c r="E15" i="14"/>
  <c r="D15" i="14"/>
  <c r="C15" i="14"/>
  <c r="B15" i="14"/>
  <c r="J14" i="14"/>
  <c r="I14" i="14"/>
  <c r="H14" i="14"/>
  <c r="G14" i="14"/>
  <c r="F14" i="14"/>
  <c r="E14" i="14"/>
  <c r="D14" i="14"/>
  <c r="C14" i="14"/>
  <c r="B14" i="14"/>
  <c r="J13" i="14"/>
  <c r="I13" i="14"/>
  <c r="H13" i="14"/>
  <c r="G13" i="14"/>
  <c r="F13" i="14"/>
  <c r="E13" i="14"/>
  <c r="D13" i="14"/>
  <c r="C13" i="14"/>
  <c r="B13" i="14"/>
  <c r="J12" i="14"/>
  <c r="I12" i="14"/>
  <c r="H12" i="14"/>
  <c r="G12" i="14"/>
  <c r="F12" i="14"/>
  <c r="E12" i="14"/>
  <c r="D12" i="14"/>
  <c r="C12" i="14"/>
  <c r="B12" i="14"/>
  <c r="J11" i="14"/>
  <c r="I11" i="14"/>
  <c r="H11" i="14"/>
  <c r="G11" i="14"/>
  <c r="F11" i="14"/>
  <c r="E11" i="14"/>
  <c r="D11" i="14"/>
  <c r="C11" i="14"/>
  <c r="B11" i="14"/>
  <c r="J10" i="14"/>
  <c r="I10" i="14"/>
  <c r="H10" i="14"/>
  <c r="G10" i="14"/>
  <c r="F10" i="14"/>
  <c r="E10" i="14"/>
  <c r="D10" i="14"/>
  <c r="C10" i="14"/>
  <c r="B10" i="14"/>
  <c r="J9" i="14"/>
  <c r="I9" i="14"/>
  <c r="H9" i="14"/>
  <c r="G9" i="14"/>
  <c r="F9" i="14"/>
  <c r="E9" i="14"/>
  <c r="D9" i="14"/>
  <c r="C9" i="14"/>
  <c r="B9" i="14"/>
  <c r="J8" i="14"/>
  <c r="I8" i="14"/>
  <c r="G8" i="14"/>
  <c r="F8" i="14"/>
  <c r="E8" i="14"/>
  <c r="D8" i="14"/>
  <c r="B8" i="14"/>
  <c r="R4" i="14"/>
  <c r="O4" i="14"/>
  <c r="L4" i="14"/>
  <c r="I4" i="14"/>
  <c r="F4" i="14"/>
  <c r="C4" i="14"/>
  <c r="C13" i="12"/>
  <c r="N89" i="10"/>
  <c r="N88" i="10"/>
  <c r="N87" i="10"/>
  <c r="N86" i="10"/>
  <c r="N85" i="10"/>
  <c r="N84" i="10"/>
  <c r="N83" i="10"/>
  <c r="N82" i="10"/>
  <c r="N81" i="10"/>
  <c r="O62" i="10"/>
  <c r="P62" i="10" s="1"/>
  <c r="K28" i="10"/>
  <c r="F15" i="10"/>
  <c r="G15" i="10" s="1"/>
  <c r="H9" i="10"/>
  <c r="G9" i="10"/>
  <c r="F9" i="10"/>
  <c r="E2" i="10"/>
  <c r="G16" i="8"/>
  <c r="AR11" i="16" s="1"/>
  <c r="E16" i="8"/>
  <c r="G15" i="8"/>
  <c r="AR10" i="16" s="1"/>
  <c r="BB10" i="16" s="1"/>
  <c r="E15" i="8"/>
  <c r="G14" i="8"/>
  <c r="AR9" i="16" s="1"/>
  <c r="BB9" i="16" s="1"/>
  <c r="E14" i="8"/>
  <c r="G13" i="8"/>
  <c r="AR8" i="16" s="1"/>
  <c r="BB8" i="16" s="1"/>
  <c r="E13" i="8"/>
  <c r="AR7" i="16"/>
  <c r="BB7" i="16" s="1"/>
  <c r="E12" i="8"/>
  <c r="G11" i="8"/>
  <c r="AR6" i="16" s="1"/>
  <c r="BB6" i="16" s="1"/>
  <c r="E11" i="8"/>
  <c r="AR5" i="16"/>
  <c r="BB5" i="16" s="1"/>
  <c r="E10" i="8"/>
  <c r="AR4" i="16"/>
  <c r="BB4" i="16" s="1"/>
  <c r="E9" i="8"/>
  <c r="AR3" i="16"/>
  <c r="E8" i="8"/>
  <c r="F15" i="7"/>
  <c r="E15" i="7"/>
  <c r="F14" i="7"/>
  <c r="E14" i="7"/>
  <c r="G13" i="7"/>
  <c r="F13" i="7"/>
  <c r="E13" i="7"/>
  <c r="G12" i="7"/>
  <c r="F12" i="7"/>
  <c r="E12" i="7"/>
  <c r="G11" i="7"/>
  <c r="F11" i="7"/>
  <c r="E11" i="7"/>
  <c r="G10" i="7"/>
  <c r="F10" i="7"/>
  <c r="E10" i="7"/>
  <c r="G9" i="7"/>
  <c r="F9" i="7"/>
  <c r="E9" i="7"/>
  <c r="G8" i="7"/>
  <c r="F8" i="7"/>
  <c r="E8" i="7"/>
  <c r="G44" i="6"/>
  <c r="I32" i="5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H15" i="7" s="1"/>
  <c r="I14" i="4"/>
  <c r="H14" i="7" s="1"/>
  <c r="I13" i="4"/>
  <c r="H13" i="7" s="1"/>
  <c r="I12" i="4"/>
  <c r="H12" i="7" s="1"/>
  <c r="I11" i="4"/>
  <c r="I10" i="4"/>
  <c r="I9" i="4"/>
  <c r="I8" i="4"/>
  <c r="AQ3" i="16" l="1"/>
  <c r="AF35" i="13" s="1"/>
  <c r="AD35" i="13"/>
  <c r="AW502" i="16"/>
  <c r="AT502" i="16"/>
  <c r="BA502" i="16"/>
  <c r="AM502" i="16"/>
  <c r="H469" i="16"/>
  <c r="H475" i="16"/>
  <c r="H476" i="16"/>
  <c r="H477" i="16"/>
  <c r="H490" i="16"/>
  <c r="J506" i="4"/>
  <c r="E502" i="16"/>
  <c r="J505" i="4"/>
  <c r="I505" i="7" s="1"/>
  <c r="E501" i="16"/>
  <c r="H505" i="7"/>
  <c r="J504" i="4"/>
  <c r="I504" i="7" s="1"/>
  <c r="E500" i="16"/>
  <c r="H504" i="7"/>
  <c r="J503" i="4"/>
  <c r="I503" i="7" s="1"/>
  <c r="E499" i="16"/>
  <c r="H503" i="7"/>
  <c r="J502" i="4"/>
  <c r="I502" i="7" s="1"/>
  <c r="E498" i="16"/>
  <c r="H502" i="7"/>
  <c r="J501" i="4"/>
  <c r="I501" i="7" s="1"/>
  <c r="H501" i="7"/>
  <c r="E497" i="16"/>
  <c r="J500" i="4"/>
  <c r="I500" i="7" s="1"/>
  <c r="E496" i="16"/>
  <c r="H500" i="7"/>
  <c r="J499" i="4"/>
  <c r="I499" i="7" s="1"/>
  <c r="H499" i="7"/>
  <c r="E495" i="16"/>
  <c r="J498" i="4"/>
  <c r="I498" i="7" s="1"/>
  <c r="H498" i="7"/>
  <c r="E494" i="16"/>
  <c r="J497" i="4"/>
  <c r="I497" i="7" s="1"/>
  <c r="H497" i="7"/>
  <c r="E493" i="16"/>
  <c r="J496" i="4"/>
  <c r="I496" i="7" s="1"/>
  <c r="E492" i="16"/>
  <c r="H496" i="7"/>
  <c r="J495" i="4"/>
  <c r="I495" i="7" s="1"/>
  <c r="E491" i="16"/>
  <c r="H495" i="7"/>
  <c r="J494" i="4"/>
  <c r="I494" i="7" s="1"/>
  <c r="E490" i="16"/>
  <c r="H494" i="7"/>
  <c r="J493" i="4"/>
  <c r="I493" i="7" s="1"/>
  <c r="H493" i="7"/>
  <c r="E489" i="16"/>
  <c r="J492" i="4"/>
  <c r="I492" i="7" s="1"/>
  <c r="H492" i="7"/>
  <c r="E488" i="16"/>
  <c r="J491" i="4"/>
  <c r="I491" i="7" s="1"/>
  <c r="H491" i="7"/>
  <c r="E487" i="16"/>
  <c r="J490" i="4"/>
  <c r="I490" i="7" s="1"/>
  <c r="H490" i="7"/>
  <c r="E486" i="16"/>
  <c r="J489" i="4"/>
  <c r="I489" i="7" s="1"/>
  <c r="H489" i="7"/>
  <c r="E485" i="16"/>
  <c r="J488" i="4"/>
  <c r="I488" i="7" s="1"/>
  <c r="H488" i="7"/>
  <c r="E484" i="16"/>
  <c r="J487" i="4"/>
  <c r="I487" i="7" s="1"/>
  <c r="H487" i="7"/>
  <c r="E483" i="16"/>
  <c r="J486" i="4"/>
  <c r="I486" i="7" s="1"/>
  <c r="E482" i="16"/>
  <c r="H486" i="7"/>
  <c r="J485" i="4"/>
  <c r="I485" i="7" s="1"/>
  <c r="E481" i="16"/>
  <c r="H485" i="7"/>
  <c r="J484" i="4"/>
  <c r="I484" i="7" s="1"/>
  <c r="E480" i="16"/>
  <c r="H484" i="7"/>
  <c r="J483" i="4"/>
  <c r="I483" i="7" s="1"/>
  <c r="E479" i="16"/>
  <c r="H483" i="7"/>
  <c r="J482" i="4"/>
  <c r="I482" i="7" s="1"/>
  <c r="E478" i="16"/>
  <c r="H482" i="7"/>
  <c r="J481" i="4"/>
  <c r="I481" i="7" s="1"/>
  <c r="H481" i="7"/>
  <c r="E477" i="16"/>
  <c r="J480" i="4"/>
  <c r="I480" i="7" s="1"/>
  <c r="E476" i="16"/>
  <c r="H480" i="7"/>
  <c r="J479" i="4"/>
  <c r="I479" i="7" s="1"/>
  <c r="E475" i="16"/>
  <c r="H479" i="7"/>
  <c r="J478" i="4"/>
  <c r="I478" i="7" s="1"/>
  <c r="H478" i="7"/>
  <c r="E474" i="16"/>
  <c r="J477" i="4"/>
  <c r="I477" i="7" s="1"/>
  <c r="E473" i="16"/>
  <c r="H477" i="7"/>
  <c r="J476" i="4"/>
  <c r="I476" i="7" s="1"/>
  <c r="E472" i="16"/>
  <c r="H476" i="7"/>
  <c r="J475" i="4"/>
  <c r="I475" i="7" s="1"/>
  <c r="E471" i="16"/>
  <c r="H475" i="7"/>
  <c r="J474" i="4"/>
  <c r="I474" i="7" s="1"/>
  <c r="H474" i="7"/>
  <c r="E470" i="16"/>
  <c r="J473" i="4"/>
  <c r="I473" i="7" s="1"/>
  <c r="H473" i="7"/>
  <c r="E469" i="16"/>
  <c r="J472" i="4"/>
  <c r="I472" i="7" s="1"/>
  <c r="H472" i="7"/>
  <c r="E468" i="16"/>
  <c r="J471" i="4"/>
  <c r="I471" i="7" s="1"/>
  <c r="H471" i="7"/>
  <c r="E467" i="16"/>
  <c r="J470" i="4"/>
  <c r="I470" i="7" s="1"/>
  <c r="H470" i="7"/>
  <c r="E466" i="16"/>
  <c r="J469" i="4"/>
  <c r="I469" i="7" s="1"/>
  <c r="H469" i="7"/>
  <c r="E465" i="16"/>
  <c r="J468" i="4"/>
  <c r="I468" i="7" s="1"/>
  <c r="H468" i="7"/>
  <c r="E464" i="16"/>
  <c r="J467" i="4"/>
  <c r="I467" i="7" s="1"/>
  <c r="E463" i="16"/>
  <c r="H467" i="7"/>
  <c r="J466" i="4"/>
  <c r="I466" i="7" s="1"/>
  <c r="E462" i="16"/>
  <c r="H466" i="7"/>
  <c r="J465" i="4"/>
  <c r="I465" i="7" s="1"/>
  <c r="H465" i="7"/>
  <c r="E461" i="16"/>
  <c r="J464" i="4"/>
  <c r="I464" i="7" s="1"/>
  <c r="H464" i="7"/>
  <c r="E460" i="16"/>
  <c r="J463" i="4"/>
  <c r="I463" i="7" s="1"/>
  <c r="H463" i="7"/>
  <c r="E459" i="16"/>
  <c r="J462" i="4"/>
  <c r="I462" i="7" s="1"/>
  <c r="E458" i="16"/>
  <c r="H462" i="7"/>
  <c r="J461" i="4"/>
  <c r="I461" i="7" s="1"/>
  <c r="H461" i="7"/>
  <c r="E457" i="16"/>
  <c r="J460" i="4"/>
  <c r="I460" i="7" s="1"/>
  <c r="H460" i="7"/>
  <c r="E456" i="16"/>
  <c r="J459" i="4"/>
  <c r="I459" i="7" s="1"/>
  <c r="E455" i="16"/>
  <c r="H459" i="7"/>
  <c r="J458" i="4"/>
  <c r="I458" i="7" s="1"/>
  <c r="H458" i="7"/>
  <c r="E454" i="16"/>
  <c r="J457" i="4"/>
  <c r="I457" i="7" s="1"/>
  <c r="H457" i="7"/>
  <c r="E453" i="16"/>
  <c r="J456" i="4"/>
  <c r="I456" i="7" s="1"/>
  <c r="E452" i="16"/>
  <c r="H456" i="7"/>
  <c r="J455" i="4"/>
  <c r="I455" i="7" s="1"/>
  <c r="E451" i="16"/>
  <c r="H455" i="7"/>
  <c r="J454" i="4"/>
  <c r="I454" i="7" s="1"/>
  <c r="E450" i="16"/>
  <c r="H454" i="7"/>
  <c r="J453" i="4"/>
  <c r="I453" i="7" s="1"/>
  <c r="E449" i="16"/>
  <c r="H453" i="7"/>
  <c r="J452" i="4"/>
  <c r="I452" i="7" s="1"/>
  <c r="E448" i="16"/>
  <c r="H452" i="7"/>
  <c r="J451" i="4"/>
  <c r="I451" i="7" s="1"/>
  <c r="E447" i="16"/>
  <c r="H451" i="7"/>
  <c r="J450" i="4"/>
  <c r="I450" i="7" s="1"/>
  <c r="E446" i="16"/>
  <c r="H450" i="7"/>
  <c r="J449" i="4"/>
  <c r="I449" i="7" s="1"/>
  <c r="E445" i="16"/>
  <c r="H449" i="7"/>
  <c r="J448" i="4"/>
  <c r="I448" i="7" s="1"/>
  <c r="H448" i="7"/>
  <c r="E444" i="16"/>
  <c r="J447" i="4"/>
  <c r="I447" i="7" s="1"/>
  <c r="H447" i="7"/>
  <c r="E443" i="16"/>
  <c r="J446" i="4"/>
  <c r="I446" i="7" s="1"/>
  <c r="H446" i="7"/>
  <c r="E442" i="16"/>
  <c r="J445" i="4"/>
  <c r="I445" i="7" s="1"/>
  <c r="H445" i="7"/>
  <c r="E441" i="16"/>
  <c r="J444" i="4"/>
  <c r="I444" i="7" s="1"/>
  <c r="H444" i="7"/>
  <c r="E440" i="16"/>
  <c r="J443" i="4"/>
  <c r="I443" i="7" s="1"/>
  <c r="H443" i="7"/>
  <c r="E439" i="16"/>
  <c r="J442" i="4"/>
  <c r="I442" i="7" s="1"/>
  <c r="E438" i="16"/>
  <c r="H442" i="7"/>
  <c r="J441" i="4"/>
  <c r="I441" i="7" s="1"/>
  <c r="H441" i="7"/>
  <c r="E437" i="16"/>
  <c r="J440" i="4"/>
  <c r="I440" i="7" s="1"/>
  <c r="E436" i="16"/>
  <c r="H440" i="7"/>
  <c r="J439" i="4"/>
  <c r="I439" i="7" s="1"/>
  <c r="H439" i="7"/>
  <c r="E435" i="16"/>
  <c r="J438" i="4"/>
  <c r="I438" i="7" s="1"/>
  <c r="E434" i="16"/>
  <c r="H438" i="7"/>
  <c r="J437" i="4"/>
  <c r="I437" i="7" s="1"/>
  <c r="H437" i="7"/>
  <c r="E433" i="16"/>
  <c r="J436" i="4"/>
  <c r="I436" i="7" s="1"/>
  <c r="H436" i="7"/>
  <c r="E432" i="16"/>
  <c r="J435" i="4"/>
  <c r="I435" i="7" s="1"/>
  <c r="H435" i="7"/>
  <c r="E431" i="16"/>
  <c r="J434" i="4"/>
  <c r="I434" i="7" s="1"/>
  <c r="H434" i="7"/>
  <c r="E430" i="16"/>
  <c r="J433" i="4"/>
  <c r="I433" i="7" s="1"/>
  <c r="H433" i="7"/>
  <c r="E429" i="16"/>
  <c r="J432" i="4"/>
  <c r="I432" i="7" s="1"/>
  <c r="H432" i="7"/>
  <c r="E428" i="16"/>
  <c r="J431" i="4"/>
  <c r="I431" i="7" s="1"/>
  <c r="H431" i="7"/>
  <c r="E427" i="16"/>
  <c r="J430" i="4"/>
  <c r="I430" i="7" s="1"/>
  <c r="H430" i="7"/>
  <c r="E426" i="16"/>
  <c r="J429" i="4"/>
  <c r="I429" i="7" s="1"/>
  <c r="H429" i="7"/>
  <c r="E425" i="16"/>
  <c r="J428" i="4"/>
  <c r="I428" i="7" s="1"/>
  <c r="H428" i="7"/>
  <c r="E424" i="16"/>
  <c r="J427" i="4"/>
  <c r="I427" i="7" s="1"/>
  <c r="H427" i="7"/>
  <c r="E423" i="16"/>
  <c r="J426" i="4"/>
  <c r="I426" i="7" s="1"/>
  <c r="E422" i="16"/>
  <c r="H426" i="7"/>
  <c r="J425" i="4"/>
  <c r="I425" i="7" s="1"/>
  <c r="H425" i="7"/>
  <c r="E421" i="16"/>
  <c r="J424" i="4"/>
  <c r="I424" i="7" s="1"/>
  <c r="H424" i="7"/>
  <c r="E420" i="16"/>
  <c r="J423" i="4"/>
  <c r="I423" i="7" s="1"/>
  <c r="H423" i="7"/>
  <c r="E419" i="16"/>
  <c r="J422" i="4"/>
  <c r="I422" i="7" s="1"/>
  <c r="H422" i="7"/>
  <c r="E418" i="16"/>
  <c r="J421" i="4"/>
  <c r="I421" i="7" s="1"/>
  <c r="H421" i="7"/>
  <c r="E417" i="16"/>
  <c r="J420" i="4"/>
  <c r="I420" i="7" s="1"/>
  <c r="H420" i="7"/>
  <c r="E416" i="16"/>
  <c r="J419" i="4"/>
  <c r="I419" i="7" s="1"/>
  <c r="H419" i="7"/>
  <c r="E415" i="16"/>
  <c r="J418" i="4"/>
  <c r="I418" i="7" s="1"/>
  <c r="H418" i="7"/>
  <c r="E414" i="16"/>
  <c r="J417" i="4"/>
  <c r="I417" i="7" s="1"/>
  <c r="H417" i="7"/>
  <c r="E413" i="16"/>
  <c r="J416" i="4"/>
  <c r="I416" i="7" s="1"/>
  <c r="H416" i="7"/>
  <c r="E412" i="16"/>
  <c r="J415" i="4"/>
  <c r="I415" i="7" s="1"/>
  <c r="E411" i="16"/>
  <c r="H415" i="7"/>
  <c r="J414" i="4"/>
  <c r="I414" i="7" s="1"/>
  <c r="E410" i="16"/>
  <c r="H414" i="7"/>
  <c r="J413" i="4"/>
  <c r="I413" i="7" s="1"/>
  <c r="E409" i="16"/>
  <c r="H413" i="7"/>
  <c r="J412" i="4"/>
  <c r="I412" i="7" s="1"/>
  <c r="E408" i="16"/>
  <c r="H412" i="7"/>
  <c r="J411" i="4"/>
  <c r="I411" i="7" s="1"/>
  <c r="H411" i="7"/>
  <c r="E407" i="16"/>
  <c r="J410" i="4"/>
  <c r="I410" i="7" s="1"/>
  <c r="E406" i="16"/>
  <c r="H410" i="7"/>
  <c r="J409" i="4"/>
  <c r="I409" i="7" s="1"/>
  <c r="E405" i="16"/>
  <c r="H409" i="7"/>
  <c r="J408" i="4"/>
  <c r="I408" i="7" s="1"/>
  <c r="H408" i="7"/>
  <c r="E404" i="16"/>
  <c r="J407" i="4"/>
  <c r="I407" i="7" s="1"/>
  <c r="E403" i="16"/>
  <c r="H407" i="7"/>
  <c r="J406" i="4"/>
  <c r="I406" i="7" s="1"/>
  <c r="E402" i="16"/>
  <c r="H406" i="7"/>
  <c r="J405" i="4"/>
  <c r="I405" i="7" s="1"/>
  <c r="E401" i="16"/>
  <c r="H405" i="7"/>
  <c r="J404" i="4"/>
  <c r="I404" i="7" s="1"/>
  <c r="E400" i="16"/>
  <c r="H404" i="7"/>
  <c r="J403" i="4"/>
  <c r="I403" i="7" s="1"/>
  <c r="E399" i="16"/>
  <c r="H403" i="7"/>
  <c r="J402" i="4"/>
  <c r="I402" i="7" s="1"/>
  <c r="E398" i="16"/>
  <c r="H402" i="7"/>
  <c r="J401" i="4"/>
  <c r="I401" i="7" s="1"/>
  <c r="E397" i="16"/>
  <c r="H401" i="7"/>
  <c r="J400" i="4"/>
  <c r="I400" i="7" s="1"/>
  <c r="E396" i="16"/>
  <c r="H400" i="7"/>
  <c r="J399" i="4"/>
  <c r="I399" i="7" s="1"/>
  <c r="E395" i="16"/>
  <c r="H399" i="7"/>
  <c r="J398" i="4"/>
  <c r="I398" i="7" s="1"/>
  <c r="E394" i="16"/>
  <c r="H398" i="7"/>
  <c r="J397" i="4"/>
  <c r="I397" i="7" s="1"/>
  <c r="E393" i="16"/>
  <c r="H397" i="7"/>
  <c r="J396" i="4"/>
  <c r="I396" i="7" s="1"/>
  <c r="E392" i="16"/>
  <c r="H396" i="7"/>
  <c r="J395" i="4"/>
  <c r="I395" i="7" s="1"/>
  <c r="E391" i="16"/>
  <c r="H395" i="7"/>
  <c r="J394" i="4"/>
  <c r="I394" i="7" s="1"/>
  <c r="E390" i="16"/>
  <c r="H394" i="7"/>
  <c r="J393" i="4"/>
  <c r="I393" i="7" s="1"/>
  <c r="E389" i="16"/>
  <c r="H393" i="7"/>
  <c r="J392" i="4"/>
  <c r="I392" i="7" s="1"/>
  <c r="H392" i="7"/>
  <c r="E388" i="16"/>
  <c r="J391" i="4"/>
  <c r="I391" i="7" s="1"/>
  <c r="E387" i="16"/>
  <c r="H391" i="7"/>
  <c r="J390" i="4"/>
  <c r="I390" i="7" s="1"/>
  <c r="E386" i="16"/>
  <c r="H390" i="7"/>
  <c r="J389" i="4"/>
  <c r="I389" i="7" s="1"/>
  <c r="E385" i="16"/>
  <c r="H389" i="7"/>
  <c r="J388" i="4"/>
  <c r="I388" i="7" s="1"/>
  <c r="E384" i="16"/>
  <c r="H388" i="7"/>
  <c r="J387" i="4"/>
  <c r="I387" i="7" s="1"/>
  <c r="E383" i="16"/>
  <c r="H387" i="7"/>
  <c r="J386" i="4"/>
  <c r="I386" i="7" s="1"/>
  <c r="H386" i="7"/>
  <c r="E382" i="16"/>
  <c r="J385" i="4"/>
  <c r="I385" i="7" s="1"/>
  <c r="E381" i="16"/>
  <c r="H385" i="7"/>
  <c r="J384" i="4"/>
  <c r="I384" i="7" s="1"/>
  <c r="H384" i="7"/>
  <c r="E380" i="16"/>
  <c r="J383" i="4"/>
  <c r="I383" i="7" s="1"/>
  <c r="H383" i="7"/>
  <c r="E379" i="16"/>
  <c r="J382" i="4"/>
  <c r="I382" i="7" s="1"/>
  <c r="H382" i="7"/>
  <c r="E378" i="16"/>
  <c r="J381" i="4"/>
  <c r="I381" i="7" s="1"/>
  <c r="H381" i="7"/>
  <c r="E377" i="16"/>
  <c r="J380" i="4"/>
  <c r="I380" i="7" s="1"/>
  <c r="H380" i="7"/>
  <c r="E376" i="16"/>
  <c r="J379" i="4"/>
  <c r="I379" i="7" s="1"/>
  <c r="H379" i="7"/>
  <c r="E375" i="16"/>
  <c r="J378" i="4"/>
  <c r="I378" i="7" s="1"/>
  <c r="H378" i="7"/>
  <c r="E374" i="16"/>
  <c r="J377" i="4"/>
  <c r="I377" i="7" s="1"/>
  <c r="H377" i="7"/>
  <c r="E373" i="16"/>
  <c r="J376" i="4"/>
  <c r="I376" i="7" s="1"/>
  <c r="E372" i="16"/>
  <c r="H376" i="7"/>
  <c r="J375" i="4"/>
  <c r="I375" i="7" s="1"/>
  <c r="H375" i="7"/>
  <c r="E371" i="16"/>
  <c r="J374" i="4"/>
  <c r="I374" i="7" s="1"/>
  <c r="H374" i="7"/>
  <c r="E370" i="16"/>
  <c r="J373" i="4"/>
  <c r="I373" i="7" s="1"/>
  <c r="H373" i="7"/>
  <c r="E369" i="16"/>
  <c r="J372" i="4"/>
  <c r="I372" i="7" s="1"/>
  <c r="E368" i="16"/>
  <c r="H372" i="7"/>
  <c r="J371" i="4"/>
  <c r="I371" i="7" s="1"/>
  <c r="E367" i="16"/>
  <c r="H371" i="7"/>
  <c r="J370" i="4"/>
  <c r="I370" i="7" s="1"/>
  <c r="E366" i="16"/>
  <c r="H370" i="7"/>
  <c r="J369" i="4"/>
  <c r="I369" i="7" s="1"/>
  <c r="E365" i="16"/>
  <c r="H369" i="7"/>
  <c r="J368" i="4"/>
  <c r="I368" i="7" s="1"/>
  <c r="E364" i="16"/>
  <c r="H368" i="7"/>
  <c r="J367" i="4"/>
  <c r="I367" i="7" s="1"/>
  <c r="E363" i="16"/>
  <c r="H367" i="7"/>
  <c r="J366" i="4"/>
  <c r="I366" i="7" s="1"/>
  <c r="E362" i="16"/>
  <c r="H366" i="7"/>
  <c r="J365" i="4"/>
  <c r="I365" i="7" s="1"/>
  <c r="H365" i="7"/>
  <c r="E361" i="16"/>
  <c r="J364" i="4"/>
  <c r="I364" i="7" s="1"/>
  <c r="H364" i="7"/>
  <c r="E360" i="16"/>
  <c r="J363" i="4"/>
  <c r="I363" i="7" s="1"/>
  <c r="H363" i="7"/>
  <c r="E359" i="16"/>
  <c r="J362" i="4"/>
  <c r="I362" i="7" s="1"/>
  <c r="H362" i="7"/>
  <c r="E358" i="16"/>
  <c r="J361" i="4"/>
  <c r="I361" i="7" s="1"/>
  <c r="E357" i="16"/>
  <c r="H361" i="7"/>
  <c r="J360" i="4"/>
  <c r="I360" i="7" s="1"/>
  <c r="E356" i="16"/>
  <c r="H360" i="7"/>
  <c r="J359" i="4"/>
  <c r="I359" i="7" s="1"/>
  <c r="H359" i="7"/>
  <c r="E355" i="16"/>
  <c r="J358" i="4"/>
  <c r="I358" i="7" s="1"/>
  <c r="H358" i="7"/>
  <c r="E354" i="16"/>
  <c r="J357" i="4"/>
  <c r="I357" i="7" s="1"/>
  <c r="H357" i="7"/>
  <c r="E353" i="16"/>
  <c r="J356" i="4"/>
  <c r="I356" i="7" s="1"/>
  <c r="E352" i="16"/>
  <c r="H356" i="7"/>
  <c r="J355" i="4"/>
  <c r="I355" i="7" s="1"/>
  <c r="H355" i="7"/>
  <c r="E351" i="16"/>
  <c r="J354" i="4"/>
  <c r="I354" i="7" s="1"/>
  <c r="H354" i="7"/>
  <c r="E350" i="16"/>
  <c r="J353" i="4"/>
  <c r="I353" i="7" s="1"/>
  <c r="H353" i="7"/>
  <c r="E349" i="16"/>
  <c r="J352" i="4"/>
  <c r="I352" i="7" s="1"/>
  <c r="H352" i="7"/>
  <c r="E348" i="16"/>
  <c r="J351" i="4"/>
  <c r="I351" i="7" s="1"/>
  <c r="H351" i="7"/>
  <c r="E347" i="16"/>
  <c r="J350" i="4"/>
  <c r="I350" i="7" s="1"/>
  <c r="E346" i="16"/>
  <c r="H350" i="7"/>
  <c r="J349" i="4"/>
  <c r="I349" i="7" s="1"/>
  <c r="H349" i="7"/>
  <c r="E345" i="16"/>
  <c r="J348" i="4"/>
  <c r="I348" i="7" s="1"/>
  <c r="E344" i="16"/>
  <c r="H348" i="7"/>
  <c r="J347" i="4"/>
  <c r="I347" i="7" s="1"/>
  <c r="H347" i="7"/>
  <c r="E343" i="16"/>
  <c r="J346" i="4"/>
  <c r="I346" i="7" s="1"/>
  <c r="H346" i="7"/>
  <c r="E342" i="16"/>
  <c r="J345" i="4"/>
  <c r="I345" i="7" s="1"/>
  <c r="E341" i="16"/>
  <c r="H345" i="7"/>
  <c r="J344" i="4"/>
  <c r="I344" i="7" s="1"/>
  <c r="E340" i="16"/>
  <c r="H344" i="7"/>
  <c r="J343" i="4"/>
  <c r="I343" i="7" s="1"/>
  <c r="E339" i="16"/>
  <c r="H343" i="7"/>
  <c r="J342" i="4"/>
  <c r="I342" i="7" s="1"/>
  <c r="E338" i="16"/>
  <c r="H342" i="7"/>
  <c r="J341" i="4"/>
  <c r="I341" i="7" s="1"/>
  <c r="E337" i="16"/>
  <c r="H341" i="7"/>
  <c r="J340" i="4"/>
  <c r="I340" i="7" s="1"/>
  <c r="E336" i="16"/>
  <c r="H340" i="7"/>
  <c r="J339" i="4"/>
  <c r="I339" i="7" s="1"/>
  <c r="H339" i="7"/>
  <c r="E335" i="16"/>
  <c r="J338" i="4"/>
  <c r="I338" i="7" s="1"/>
  <c r="H338" i="7"/>
  <c r="E334" i="16"/>
  <c r="J337" i="4"/>
  <c r="I337" i="7" s="1"/>
  <c r="H337" i="7"/>
  <c r="E333" i="16"/>
  <c r="J336" i="4"/>
  <c r="I336" i="7" s="1"/>
  <c r="E332" i="16"/>
  <c r="H336" i="7"/>
  <c r="J335" i="4"/>
  <c r="I335" i="7" s="1"/>
  <c r="E331" i="16"/>
  <c r="H335" i="7"/>
  <c r="J334" i="4"/>
  <c r="I334" i="7" s="1"/>
  <c r="E330" i="16"/>
  <c r="H334" i="7"/>
  <c r="J333" i="4"/>
  <c r="I333" i="7" s="1"/>
  <c r="E329" i="16"/>
  <c r="H333" i="7"/>
  <c r="J332" i="4"/>
  <c r="I332" i="7" s="1"/>
  <c r="E328" i="16"/>
  <c r="H332" i="7"/>
  <c r="J331" i="4"/>
  <c r="I331" i="7" s="1"/>
  <c r="E327" i="16"/>
  <c r="H331" i="7"/>
  <c r="J330" i="4"/>
  <c r="I330" i="7" s="1"/>
  <c r="E326" i="16"/>
  <c r="H330" i="7"/>
  <c r="J329" i="4"/>
  <c r="I329" i="7" s="1"/>
  <c r="E325" i="16"/>
  <c r="H329" i="7"/>
  <c r="J328" i="4"/>
  <c r="I328" i="7" s="1"/>
  <c r="E324" i="16"/>
  <c r="H328" i="7"/>
  <c r="J327" i="4"/>
  <c r="I327" i="7" s="1"/>
  <c r="H327" i="7"/>
  <c r="E323" i="16"/>
  <c r="J326" i="4"/>
  <c r="I326" i="7" s="1"/>
  <c r="H326" i="7"/>
  <c r="E322" i="16"/>
  <c r="J325" i="4"/>
  <c r="I325" i="7" s="1"/>
  <c r="H325" i="7"/>
  <c r="E321" i="16"/>
  <c r="J324" i="4"/>
  <c r="I324" i="7" s="1"/>
  <c r="H324" i="7"/>
  <c r="E320" i="16"/>
  <c r="J323" i="4"/>
  <c r="I323" i="7" s="1"/>
  <c r="H323" i="7"/>
  <c r="E319" i="16"/>
  <c r="J322" i="4"/>
  <c r="I322" i="7" s="1"/>
  <c r="E318" i="16"/>
  <c r="H322" i="7"/>
  <c r="J321" i="4"/>
  <c r="I321" i="7" s="1"/>
  <c r="H321" i="7"/>
  <c r="E317" i="16"/>
  <c r="J320" i="4"/>
  <c r="I320" i="7" s="1"/>
  <c r="E316" i="16"/>
  <c r="H320" i="7"/>
  <c r="J319" i="4"/>
  <c r="I319" i="7" s="1"/>
  <c r="H319" i="7"/>
  <c r="E315" i="16"/>
  <c r="J318" i="4"/>
  <c r="I318" i="7" s="1"/>
  <c r="H318" i="7"/>
  <c r="E314" i="16"/>
  <c r="G503" i="16"/>
  <c r="H80" i="16"/>
  <c r="H86" i="16"/>
  <c r="H95" i="16"/>
  <c r="H99" i="16"/>
  <c r="H102" i="16"/>
  <c r="H109" i="16"/>
  <c r="H120" i="16"/>
  <c r="H124" i="16"/>
  <c r="H128" i="16"/>
  <c r="H149" i="16"/>
  <c r="H153" i="16"/>
  <c r="H219" i="16"/>
  <c r="H221" i="16"/>
  <c r="H223" i="16"/>
  <c r="H280" i="16"/>
  <c r="H282" i="16"/>
  <c r="H337" i="16"/>
  <c r="H342" i="16"/>
  <c r="H357" i="16"/>
  <c r="H384" i="16"/>
  <c r="H404" i="16"/>
  <c r="H423" i="16"/>
  <c r="H450" i="16"/>
  <c r="C503" i="16"/>
  <c r="J317" i="4"/>
  <c r="I317" i="7" s="1"/>
  <c r="H317" i="7"/>
  <c r="J316" i="4"/>
  <c r="I316" i="7" s="1"/>
  <c r="H316" i="7"/>
  <c r="J315" i="4"/>
  <c r="I315" i="7" s="1"/>
  <c r="H315" i="7"/>
  <c r="J314" i="4"/>
  <c r="I314" i="7" s="1"/>
  <c r="H314" i="7"/>
  <c r="J313" i="4"/>
  <c r="I313" i="7" s="1"/>
  <c r="H313" i="7"/>
  <c r="J312" i="4"/>
  <c r="I312" i="7" s="1"/>
  <c r="H312" i="7"/>
  <c r="J311" i="4"/>
  <c r="I311" i="7" s="1"/>
  <c r="H311" i="7"/>
  <c r="J310" i="4"/>
  <c r="I310" i="7" s="1"/>
  <c r="H310" i="7"/>
  <c r="J309" i="4"/>
  <c r="I309" i="7" s="1"/>
  <c r="H309" i="7"/>
  <c r="J308" i="4"/>
  <c r="I308" i="7" s="1"/>
  <c r="H308" i="7"/>
  <c r="J307" i="4"/>
  <c r="I307" i="7" s="1"/>
  <c r="H307" i="7"/>
  <c r="J306" i="4"/>
  <c r="I306" i="7" s="1"/>
  <c r="H306" i="7"/>
  <c r="J305" i="4"/>
  <c r="I305" i="7" s="1"/>
  <c r="H305" i="7"/>
  <c r="J304" i="4"/>
  <c r="I304" i="7" s="1"/>
  <c r="H304" i="7"/>
  <c r="J303" i="4"/>
  <c r="I303" i="7" s="1"/>
  <c r="H303" i="7"/>
  <c r="J302" i="4"/>
  <c r="I302" i="7" s="1"/>
  <c r="H302" i="7"/>
  <c r="J301" i="4"/>
  <c r="I301" i="7" s="1"/>
  <c r="H301" i="7"/>
  <c r="J300" i="4"/>
  <c r="I300" i="7" s="1"/>
  <c r="H300" i="7"/>
  <c r="J299" i="4"/>
  <c r="I299" i="7" s="1"/>
  <c r="H299" i="7"/>
  <c r="J298" i="4"/>
  <c r="I298" i="7" s="1"/>
  <c r="H298" i="7"/>
  <c r="J297" i="4"/>
  <c r="I297" i="7" s="1"/>
  <c r="H297" i="7"/>
  <c r="J296" i="4"/>
  <c r="I296" i="7" s="1"/>
  <c r="H296" i="7"/>
  <c r="J295" i="4"/>
  <c r="I295" i="7" s="1"/>
  <c r="H295" i="7"/>
  <c r="J294" i="4"/>
  <c r="I294" i="7" s="1"/>
  <c r="H294" i="7"/>
  <c r="J293" i="4"/>
  <c r="I293" i="7" s="1"/>
  <c r="H293" i="7"/>
  <c r="J292" i="4"/>
  <c r="I292" i="7" s="1"/>
  <c r="H292" i="7"/>
  <c r="J291" i="4"/>
  <c r="I291" i="7" s="1"/>
  <c r="H291" i="7"/>
  <c r="J290" i="4"/>
  <c r="I290" i="7" s="1"/>
  <c r="H290" i="7"/>
  <c r="J289" i="4"/>
  <c r="I289" i="7" s="1"/>
  <c r="H289" i="7"/>
  <c r="J288" i="4"/>
  <c r="I288" i="7" s="1"/>
  <c r="H288" i="7"/>
  <c r="J287" i="4"/>
  <c r="I287" i="7" s="1"/>
  <c r="H287" i="7"/>
  <c r="J286" i="4"/>
  <c r="I286" i="7" s="1"/>
  <c r="H286" i="7"/>
  <c r="J285" i="4"/>
  <c r="I285" i="7" s="1"/>
  <c r="H285" i="7"/>
  <c r="J284" i="4"/>
  <c r="I284" i="7" s="1"/>
  <c r="H284" i="7"/>
  <c r="J283" i="4"/>
  <c r="I283" i="7" s="1"/>
  <c r="H283" i="7"/>
  <c r="J282" i="4"/>
  <c r="I282" i="7" s="1"/>
  <c r="H282" i="7"/>
  <c r="J281" i="4"/>
  <c r="I281" i="7" s="1"/>
  <c r="H281" i="7"/>
  <c r="J280" i="4"/>
  <c r="I280" i="7" s="1"/>
  <c r="H280" i="7"/>
  <c r="J279" i="4"/>
  <c r="I279" i="7" s="1"/>
  <c r="H279" i="7"/>
  <c r="J278" i="4"/>
  <c r="I278" i="7" s="1"/>
  <c r="H278" i="7"/>
  <c r="J277" i="4"/>
  <c r="I277" i="7" s="1"/>
  <c r="H277" i="7"/>
  <c r="J276" i="4"/>
  <c r="I276" i="7" s="1"/>
  <c r="H276" i="7"/>
  <c r="J275" i="4"/>
  <c r="I275" i="7" s="1"/>
  <c r="H275" i="7"/>
  <c r="J274" i="4"/>
  <c r="I274" i="7" s="1"/>
  <c r="H274" i="7"/>
  <c r="J273" i="4"/>
  <c r="I273" i="7" s="1"/>
  <c r="H273" i="7"/>
  <c r="J272" i="4"/>
  <c r="I272" i="7" s="1"/>
  <c r="H272" i="7"/>
  <c r="J271" i="4"/>
  <c r="I271" i="7" s="1"/>
  <c r="H271" i="7"/>
  <c r="J270" i="4"/>
  <c r="I270" i="7" s="1"/>
  <c r="H270" i="7"/>
  <c r="J269" i="4"/>
  <c r="I269" i="7" s="1"/>
  <c r="H269" i="7"/>
  <c r="J268" i="4"/>
  <c r="I268" i="7" s="1"/>
  <c r="H268" i="7"/>
  <c r="J267" i="4"/>
  <c r="I267" i="7" s="1"/>
  <c r="H267" i="7"/>
  <c r="J266" i="4"/>
  <c r="I266" i="7" s="1"/>
  <c r="H266" i="7"/>
  <c r="J265" i="4"/>
  <c r="I265" i="7" s="1"/>
  <c r="H265" i="7"/>
  <c r="J264" i="4"/>
  <c r="I264" i="7" s="1"/>
  <c r="H264" i="7"/>
  <c r="J263" i="4"/>
  <c r="I263" i="7" s="1"/>
  <c r="H263" i="7"/>
  <c r="J262" i="4"/>
  <c r="I262" i="7" s="1"/>
  <c r="H262" i="7"/>
  <c r="J261" i="4"/>
  <c r="I261" i="7" s="1"/>
  <c r="H261" i="7"/>
  <c r="J260" i="4"/>
  <c r="I260" i="7" s="1"/>
  <c r="H260" i="7"/>
  <c r="J259" i="4"/>
  <c r="I259" i="7" s="1"/>
  <c r="H259" i="7"/>
  <c r="J258" i="4"/>
  <c r="I258" i="7" s="1"/>
  <c r="H258" i="7"/>
  <c r="J257" i="4"/>
  <c r="I257" i="7" s="1"/>
  <c r="H257" i="7"/>
  <c r="J256" i="4"/>
  <c r="I256" i="7" s="1"/>
  <c r="H256" i="7"/>
  <c r="J255" i="4"/>
  <c r="I255" i="7" s="1"/>
  <c r="H255" i="7"/>
  <c r="J254" i="4"/>
  <c r="I254" i="7" s="1"/>
  <c r="H254" i="7"/>
  <c r="J253" i="4"/>
  <c r="I253" i="7" s="1"/>
  <c r="H253" i="7"/>
  <c r="J252" i="4"/>
  <c r="I252" i="7" s="1"/>
  <c r="H252" i="7"/>
  <c r="J251" i="4"/>
  <c r="I251" i="7" s="1"/>
  <c r="H251" i="7"/>
  <c r="J250" i="4"/>
  <c r="I250" i="7" s="1"/>
  <c r="H250" i="7"/>
  <c r="J249" i="4"/>
  <c r="I249" i="7" s="1"/>
  <c r="H249" i="7"/>
  <c r="J248" i="4"/>
  <c r="I248" i="7" s="1"/>
  <c r="H248" i="7"/>
  <c r="J247" i="4"/>
  <c r="I247" i="7" s="1"/>
  <c r="H247" i="7"/>
  <c r="J246" i="4"/>
  <c r="I246" i="7" s="1"/>
  <c r="H246" i="7"/>
  <c r="J245" i="4"/>
  <c r="I245" i="7" s="1"/>
  <c r="H245" i="7"/>
  <c r="J244" i="4"/>
  <c r="I244" i="7" s="1"/>
  <c r="H244" i="7"/>
  <c r="J243" i="4"/>
  <c r="I243" i="7" s="1"/>
  <c r="H243" i="7"/>
  <c r="J242" i="4"/>
  <c r="I242" i="7" s="1"/>
  <c r="H242" i="7"/>
  <c r="J241" i="4"/>
  <c r="I241" i="7" s="1"/>
  <c r="H241" i="7"/>
  <c r="J240" i="4"/>
  <c r="I240" i="7" s="1"/>
  <c r="H240" i="7"/>
  <c r="J239" i="4"/>
  <c r="I239" i="7" s="1"/>
  <c r="H239" i="7"/>
  <c r="J238" i="4"/>
  <c r="I238" i="7" s="1"/>
  <c r="H238" i="7"/>
  <c r="J237" i="4"/>
  <c r="I237" i="7" s="1"/>
  <c r="H237" i="7"/>
  <c r="J236" i="4"/>
  <c r="I236" i="7" s="1"/>
  <c r="H236" i="7"/>
  <c r="J235" i="4"/>
  <c r="I235" i="7" s="1"/>
  <c r="H235" i="7"/>
  <c r="J234" i="4"/>
  <c r="I234" i="7" s="1"/>
  <c r="H234" i="7"/>
  <c r="J233" i="4"/>
  <c r="I233" i="7" s="1"/>
  <c r="H233" i="7"/>
  <c r="J232" i="4"/>
  <c r="I232" i="7" s="1"/>
  <c r="H232" i="7"/>
  <c r="J231" i="4"/>
  <c r="I231" i="7" s="1"/>
  <c r="H231" i="7"/>
  <c r="J230" i="4"/>
  <c r="I230" i="7" s="1"/>
  <c r="H230" i="7"/>
  <c r="J229" i="4"/>
  <c r="I229" i="7" s="1"/>
  <c r="H229" i="7"/>
  <c r="J228" i="4"/>
  <c r="I228" i="7" s="1"/>
  <c r="H228" i="7"/>
  <c r="J227" i="4"/>
  <c r="I227" i="7" s="1"/>
  <c r="H227" i="7"/>
  <c r="J226" i="4"/>
  <c r="I226" i="7" s="1"/>
  <c r="H226" i="7"/>
  <c r="J225" i="4"/>
  <c r="I225" i="7" s="1"/>
  <c r="H225" i="7"/>
  <c r="J224" i="4"/>
  <c r="I224" i="7" s="1"/>
  <c r="H224" i="7"/>
  <c r="J223" i="4"/>
  <c r="I223" i="7" s="1"/>
  <c r="H223" i="7"/>
  <c r="J222" i="4"/>
  <c r="I222" i="7" s="1"/>
  <c r="H222" i="7"/>
  <c r="J221" i="4"/>
  <c r="I221" i="7" s="1"/>
  <c r="H221" i="7"/>
  <c r="J220" i="4"/>
  <c r="I220" i="7" s="1"/>
  <c r="H220" i="7"/>
  <c r="J219" i="4"/>
  <c r="I219" i="7" s="1"/>
  <c r="H219" i="7"/>
  <c r="J218" i="4"/>
  <c r="I218" i="7" s="1"/>
  <c r="H218" i="7"/>
  <c r="J217" i="4"/>
  <c r="I217" i="7" s="1"/>
  <c r="H217" i="7"/>
  <c r="J216" i="4"/>
  <c r="I216" i="7" s="1"/>
  <c r="H216" i="7"/>
  <c r="J215" i="4"/>
  <c r="I215" i="7" s="1"/>
  <c r="H215" i="7"/>
  <c r="J214" i="4"/>
  <c r="I214" i="7" s="1"/>
  <c r="H214" i="7"/>
  <c r="J213" i="4"/>
  <c r="I213" i="7" s="1"/>
  <c r="H213" i="7"/>
  <c r="J212" i="4"/>
  <c r="I212" i="7" s="1"/>
  <c r="H212" i="7"/>
  <c r="J211" i="4"/>
  <c r="I211" i="7" s="1"/>
  <c r="H211" i="7"/>
  <c r="J210" i="4"/>
  <c r="I210" i="7" s="1"/>
  <c r="H210" i="7"/>
  <c r="J209" i="4"/>
  <c r="I209" i="7" s="1"/>
  <c r="H209" i="7"/>
  <c r="J208" i="4"/>
  <c r="I208" i="7" s="1"/>
  <c r="H208" i="7"/>
  <c r="J207" i="4"/>
  <c r="I207" i="7" s="1"/>
  <c r="H207" i="7"/>
  <c r="J206" i="4"/>
  <c r="I206" i="7" s="1"/>
  <c r="H206" i="7"/>
  <c r="J205" i="4"/>
  <c r="I205" i="7" s="1"/>
  <c r="H205" i="7"/>
  <c r="J204" i="4"/>
  <c r="I204" i="7" s="1"/>
  <c r="H204" i="7"/>
  <c r="J203" i="4"/>
  <c r="I203" i="7" s="1"/>
  <c r="H203" i="7"/>
  <c r="J202" i="4"/>
  <c r="I202" i="7" s="1"/>
  <c r="H202" i="7"/>
  <c r="J201" i="4"/>
  <c r="I201" i="7" s="1"/>
  <c r="H201" i="7"/>
  <c r="J200" i="4"/>
  <c r="I200" i="7" s="1"/>
  <c r="H200" i="7"/>
  <c r="J199" i="4"/>
  <c r="I199" i="7" s="1"/>
  <c r="H199" i="7"/>
  <c r="J198" i="4"/>
  <c r="I198" i="7" s="1"/>
  <c r="H198" i="7"/>
  <c r="J197" i="4"/>
  <c r="I197" i="7" s="1"/>
  <c r="H197" i="7"/>
  <c r="J196" i="4"/>
  <c r="I196" i="7" s="1"/>
  <c r="H196" i="7"/>
  <c r="J195" i="4"/>
  <c r="I195" i="7" s="1"/>
  <c r="H195" i="7"/>
  <c r="J194" i="4"/>
  <c r="I194" i="7" s="1"/>
  <c r="H194" i="7"/>
  <c r="J193" i="4"/>
  <c r="I193" i="7" s="1"/>
  <c r="H193" i="7"/>
  <c r="J192" i="4"/>
  <c r="I192" i="7" s="1"/>
  <c r="H192" i="7"/>
  <c r="J191" i="4"/>
  <c r="I191" i="7" s="1"/>
  <c r="H191" i="7"/>
  <c r="J190" i="4"/>
  <c r="I190" i="7" s="1"/>
  <c r="H190" i="7"/>
  <c r="J189" i="4"/>
  <c r="I189" i="7" s="1"/>
  <c r="H189" i="7"/>
  <c r="J188" i="4"/>
  <c r="I188" i="7" s="1"/>
  <c r="H188" i="7"/>
  <c r="J187" i="4"/>
  <c r="I187" i="7" s="1"/>
  <c r="H187" i="7"/>
  <c r="J186" i="4"/>
  <c r="I186" i="7" s="1"/>
  <c r="H186" i="7"/>
  <c r="J185" i="4"/>
  <c r="I185" i="7" s="1"/>
  <c r="H185" i="7"/>
  <c r="J184" i="4"/>
  <c r="I184" i="7" s="1"/>
  <c r="H184" i="7"/>
  <c r="J183" i="4"/>
  <c r="I183" i="7" s="1"/>
  <c r="H183" i="7"/>
  <c r="J182" i="4"/>
  <c r="I182" i="7" s="1"/>
  <c r="H182" i="7"/>
  <c r="J181" i="4"/>
  <c r="I181" i="7" s="1"/>
  <c r="H181" i="7"/>
  <c r="J180" i="4"/>
  <c r="I180" i="7" s="1"/>
  <c r="H180" i="7"/>
  <c r="J179" i="4"/>
  <c r="I179" i="7" s="1"/>
  <c r="H179" i="7"/>
  <c r="J178" i="4"/>
  <c r="I178" i="7" s="1"/>
  <c r="H178" i="7"/>
  <c r="J177" i="4"/>
  <c r="I177" i="7" s="1"/>
  <c r="H177" i="7"/>
  <c r="J176" i="4"/>
  <c r="I176" i="7" s="1"/>
  <c r="H176" i="7"/>
  <c r="J175" i="4"/>
  <c r="I175" i="7" s="1"/>
  <c r="H175" i="7"/>
  <c r="J174" i="4"/>
  <c r="I174" i="7" s="1"/>
  <c r="H174" i="7"/>
  <c r="J173" i="4"/>
  <c r="I173" i="7" s="1"/>
  <c r="H173" i="7"/>
  <c r="J172" i="4"/>
  <c r="I172" i="7" s="1"/>
  <c r="H172" i="7"/>
  <c r="J171" i="4"/>
  <c r="I171" i="7" s="1"/>
  <c r="H171" i="7"/>
  <c r="J170" i="4"/>
  <c r="I170" i="7" s="1"/>
  <c r="H170" i="7"/>
  <c r="J169" i="4"/>
  <c r="I169" i="7" s="1"/>
  <c r="H169" i="7"/>
  <c r="J168" i="4"/>
  <c r="I168" i="7" s="1"/>
  <c r="E164" i="16"/>
  <c r="H168" i="7"/>
  <c r="J167" i="4"/>
  <c r="I167" i="7" s="1"/>
  <c r="H167" i="7"/>
  <c r="E163" i="16"/>
  <c r="J166" i="4"/>
  <c r="I166" i="7" s="1"/>
  <c r="H166" i="7"/>
  <c r="E162" i="16"/>
  <c r="J165" i="4"/>
  <c r="I165" i="7" s="1"/>
  <c r="H165" i="7"/>
  <c r="E161" i="16"/>
  <c r="J164" i="4"/>
  <c r="I164" i="7" s="1"/>
  <c r="H164" i="7"/>
  <c r="E160" i="16"/>
  <c r="J163" i="4"/>
  <c r="I163" i="7" s="1"/>
  <c r="E159" i="16"/>
  <c r="H163" i="7"/>
  <c r="J162" i="4"/>
  <c r="I162" i="7" s="1"/>
  <c r="H162" i="7"/>
  <c r="E158" i="16"/>
  <c r="J161" i="4"/>
  <c r="I161" i="7" s="1"/>
  <c r="H161" i="7"/>
  <c r="E157" i="16"/>
  <c r="J160" i="4"/>
  <c r="I160" i="7" s="1"/>
  <c r="H160" i="7"/>
  <c r="E156" i="16"/>
  <c r="J159" i="4"/>
  <c r="I159" i="7" s="1"/>
  <c r="E155" i="16"/>
  <c r="H159" i="7"/>
  <c r="J158" i="4"/>
  <c r="I158" i="7" s="1"/>
  <c r="H158" i="7"/>
  <c r="E154" i="16"/>
  <c r="J157" i="4"/>
  <c r="I157" i="7" s="1"/>
  <c r="H157" i="7"/>
  <c r="E153" i="16"/>
  <c r="J156" i="4"/>
  <c r="I156" i="7" s="1"/>
  <c r="E152" i="16"/>
  <c r="H156" i="7"/>
  <c r="J155" i="4"/>
  <c r="I155" i="7" s="1"/>
  <c r="E151" i="16"/>
  <c r="H155" i="7"/>
  <c r="J154" i="4"/>
  <c r="I154" i="7" s="1"/>
  <c r="H154" i="7"/>
  <c r="E150" i="16"/>
  <c r="J153" i="4"/>
  <c r="I153" i="7" s="1"/>
  <c r="H153" i="7"/>
  <c r="E149" i="16"/>
  <c r="J152" i="4"/>
  <c r="I152" i="7" s="1"/>
  <c r="H152" i="7"/>
  <c r="E148" i="16"/>
  <c r="J151" i="4"/>
  <c r="I151" i="7" s="1"/>
  <c r="E147" i="16"/>
  <c r="H151" i="7"/>
  <c r="J150" i="4"/>
  <c r="I150" i="7" s="1"/>
  <c r="E146" i="16"/>
  <c r="H150" i="7"/>
  <c r="J149" i="4"/>
  <c r="I149" i="7" s="1"/>
  <c r="E145" i="16"/>
  <c r="H149" i="7"/>
  <c r="J148" i="4"/>
  <c r="I148" i="7" s="1"/>
  <c r="E144" i="16"/>
  <c r="H148" i="7"/>
  <c r="J147" i="4"/>
  <c r="I147" i="7" s="1"/>
  <c r="H147" i="7"/>
  <c r="E143" i="16"/>
  <c r="J146" i="4"/>
  <c r="I146" i="7" s="1"/>
  <c r="H146" i="7"/>
  <c r="E142" i="16"/>
  <c r="J145" i="4"/>
  <c r="I145" i="7" s="1"/>
  <c r="H145" i="7"/>
  <c r="E141" i="16"/>
  <c r="J144" i="4"/>
  <c r="I144" i="7" s="1"/>
  <c r="H144" i="7"/>
  <c r="E140" i="16"/>
  <c r="J143" i="4"/>
  <c r="I143" i="7" s="1"/>
  <c r="H143" i="7"/>
  <c r="E139" i="16"/>
  <c r="J142" i="4"/>
  <c r="I142" i="7" s="1"/>
  <c r="E138" i="16"/>
  <c r="H142" i="7"/>
  <c r="J141" i="4"/>
  <c r="I141" i="7" s="1"/>
  <c r="H141" i="7"/>
  <c r="E137" i="16"/>
  <c r="J140" i="4"/>
  <c r="I140" i="7" s="1"/>
  <c r="E136" i="16"/>
  <c r="H140" i="7"/>
  <c r="J139" i="4"/>
  <c r="I139" i="7" s="1"/>
  <c r="H139" i="7"/>
  <c r="E135" i="16"/>
  <c r="J138" i="4"/>
  <c r="I138" i="7" s="1"/>
  <c r="H138" i="7"/>
  <c r="E134" i="16"/>
  <c r="J137" i="4"/>
  <c r="I137" i="7" s="1"/>
  <c r="E133" i="16"/>
  <c r="H137" i="7"/>
  <c r="J136" i="4"/>
  <c r="I136" i="7" s="1"/>
  <c r="H136" i="7"/>
  <c r="E132" i="16"/>
  <c r="J135" i="4"/>
  <c r="I135" i="7" s="1"/>
  <c r="E131" i="16"/>
  <c r="H135" i="7"/>
  <c r="J134" i="4"/>
  <c r="I134" i="7" s="1"/>
  <c r="E130" i="16"/>
  <c r="H134" i="7"/>
  <c r="J133" i="4"/>
  <c r="I133" i="7" s="1"/>
  <c r="E129" i="16"/>
  <c r="H133" i="7"/>
  <c r="J132" i="4"/>
  <c r="I132" i="7" s="1"/>
  <c r="E128" i="16"/>
  <c r="H132" i="7"/>
  <c r="J131" i="4"/>
  <c r="I131" i="7" s="1"/>
  <c r="H131" i="7"/>
  <c r="E127" i="16"/>
  <c r="J130" i="4"/>
  <c r="I130" i="7" s="1"/>
  <c r="H130" i="7"/>
  <c r="E126" i="16"/>
  <c r="J129" i="4"/>
  <c r="I129" i="7" s="1"/>
  <c r="H129" i="7"/>
  <c r="E125" i="16"/>
  <c r="J128" i="4"/>
  <c r="I128" i="7" s="1"/>
  <c r="H128" i="7"/>
  <c r="E124" i="16"/>
  <c r="J127" i="4"/>
  <c r="I127" i="7" s="1"/>
  <c r="H127" i="7"/>
  <c r="E123" i="16"/>
  <c r="J126" i="4"/>
  <c r="I126" i="7" s="1"/>
  <c r="H126" i="7"/>
  <c r="E122" i="16"/>
  <c r="J125" i="4"/>
  <c r="I125" i="7" s="1"/>
  <c r="H125" i="7"/>
  <c r="E121" i="16"/>
  <c r="J124" i="4"/>
  <c r="I124" i="7" s="1"/>
  <c r="H124" i="7"/>
  <c r="E120" i="16"/>
  <c r="J123" i="4"/>
  <c r="I123" i="7" s="1"/>
  <c r="H123" i="7"/>
  <c r="E119" i="16"/>
  <c r="J122" i="4"/>
  <c r="I122" i="7" s="1"/>
  <c r="H122" i="7"/>
  <c r="E118" i="16"/>
  <c r="J121" i="4"/>
  <c r="I121" i="7" s="1"/>
  <c r="H121" i="7"/>
  <c r="E117" i="16"/>
  <c r="J120" i="4"/>
  <c r="I120" i="7" s="1"/>
  <c r="E116" i="16"/>
  <c r="H120" i="7"/>
  <c r="J119" i="4"/>
  <c r="I119" i="7" s="1"/>
  <c r="E115" i="16"/>
  <c r="H119" i="7"/>
  <c r="J118" i="4"/>
  <c r="I118" i="7" s="1"/>
  <c r="E114" i="16"/>
  <c r="H118" i="7"/>
  <c r="J117" i="4"/>
  <c r="I117" i="7" s="1"/>
  <c r="H117" i="7"/>
  <c r="E113" i="16"/>
  <c r="J116" i="4"/>
  <c r="I116" i="7" s="1"/>
  <c r="E112" i="16"/>
  <c r="H116" i="7"/>
  <c r="J115" i="4"/>
  <c r="I115" i="7" s="1"/>
  <c r="H115" i="7"/>
  <c r="E111" i="16"/>
  <c r="J114" i="4"/>
  <c r="I114" i="7" s="1"/>
  <c r="H114" i="7"/>
  <c r="E110" i="16"/>
  <c r="J113" i="4"/>
  <c r="I113" i="7" s="1"/>
  <c r="H113" i="7"/>
  <c r="E109" i="16"/>
  <c r="J112" i="4"/>
  <c r="I112" i="7" s="1"/>
  <c r="H112" i="7"/>
  <c r="E108" i="16"/>
  <c r="J111" i="4"/>
  <c r="I111" i="7" s="1"/>
  <c r="H111" i="7"/>
  <c r="E107" i="16"/>
  <c r="J110" i="4"/>
  <c r="I110" i="7" s="1"/>
  <c r="H110" i="7"/>
  <c r="E106" i="16"/>
  <c r="J109" i="4"/>
  <c r="I109" i="7" s="1"/>
  <c r="H109" i="7"/>
  <c r="E105" i="16"/>
  <c r="J108" i="4"/>
  <c r="I108" i="7" s="1"/>
  <c r="H108" i="7"/>
  <c r="E104" i="16"/>
  <c r="J107" i="4"/>
  <c r="I107" i="7" s="1"/>
  <c r="H107" i="7"/>
  <c r="E103" i="16"/>
  <c r="J106" i="4"/>
  <c r="I106" i="7" s="1"/>
  <c r="H106" i="7"/>
  <c r="E102" i="16"/>
  <c r="J105" i="4"/>
  <c r="I105" i="7" s="1"/>
  <c r="H105" i="7"/>
  <c r="E101" i="16"/>
  <c r="J104" i="4"/>
  <c r="I104" i="7" s="1"/>
  <c r="E100" i="16"/>
  <c r="H104" i="7"/>
  <c r="J103" i="4"/>
  <c r="I103" i="7" s="1"/>
  <c r="H103" i="7"/>
  <c r="E99" i="16"/>
  <c r="J102" i="4"/>
  <c r="I102" i="7" s="1"/>
  <c r="E98" i="16"/>
  <c r="H102" i="7"/>
  <c r="J101" i="4"/>
  <c r="I101" i="7" s="1"/>
  <c r="H101" i="7"/>
  <c r="E97" i="16"/>
  <c r="J100" i="4"/>
  <c r="I100" i="7" s="1"/>
  <c r="H100" i="7"/>
  <c r="E96" i="16"/>
  <c r="J99" i="4"/>
  <c r="I99" i="7" s="1"/>
  <c r="H99" i="7"/>
  <c r="E95" i="16"/>
  <c r="J98" i="4"/>
  <c r="I98" i="7" s="1"/>
  <c r="E94" i="16"/>
  <c r="H98" i="7"/>
  <c r="J97" i="4"/>
  <c r="I97" i="7" s="1"/>
  <c r="E93" i="16"/>
  <c r="H97" i="7"/>
  <c r="J96" i="4"/>
  <c r="I96" i="7" s="1"/>
  <c r="E92" i="16"/>
  <c r="H96" i="7"/>
  <c r="J95" i="4"/>
  <c r="I95" i="7" s="1"/>
  <c r="E91" i="16"/>
  <c r="H95" i="7"/>
  <c r="J94" i="4"/>
  <c r="I94" i="7" s="1"/>
  <c r="H94" i="7"/>
  <c r="E90" i="16"/>
  <c r="J93" i="4"/>
  <c r="I93" i="7" s="1"/>
  <c r="H93" i="7"/>
  <c r="E89" i="16"/>
  <c r="J92" i="4"/>
  <c r="I92" i="7" s="1"/>
  <c r="H92" i="7"/>
  <c r="E88" i="16"/>
  <c r="J91" i="4"/>
  <c r="I91" i="7" s="1"/>
  <c r="H91" i="7"/>
  <c r="E87" i="16"/>
  <c r="J90" i="4"/>
  <c r="I90" i="7" s="1"/>
  <c r="H90" i="7"/>
  <c r="E86" i="16"/>
  <c r="J89" i="4"/>
  <c r="I89" i="7" s="1"/>
  <c r="H89" i="7"/>
  <c r="E85" i="16"/>
  <c r="J88" i="4"/>
  <c r="I88" i="7" s="1"/>
  <c r="H88" i="7"/>
  <c r="E84" i="16"/>
  <c r="J87" i="4"/>
  <c r="I87" i="7" s="1"/>
  <c r="H87" i="7"/>
  <c r="E83" i="16"/>
  <c r="J86" i="4"/>
  <c r="I86" i="7" s="1"/>
  <c r="E82" i="16"/>
  <c r="H86" i="7"/>
  <c r="J85" i="4"/>
  <c r="I85" i="7" s="1"/>
  <c r="E81" i="16"/>
  <c r="H85" i="7"/>
  <c r="J84" i="4"/>
  <c r="I84" i="7" s="1"/>
  <c r="H84" i="7"/>
  <c r="E80" i="16"/>
  <c r="J83" i="4"/>
  <c r="I83" i="7" s="1"/>
  <c r="H83" i="7"/>
  <c r="E79" i="16"/>
  <c r="J82" i="4"/>
  <c r="I82" i="7" s="1"/>
  <c r="E78" i="16"/>
  <c r="H82" i="7"/>
  <c r="J81" i="4"/>
  <c r="I81" i="7" s="1"/>
  <c r="E77" i="16"/>
  <c r="H81" i="7"/>
  <c r="J80" i="4"/>
  <c r="I80" i="7" s="1"/>
  <c r="H80" i="7"/>
  <c r="E76" i="16"/>
  <c r="J79" i="4"/>
  <c r="I79" i="7" s="1"/>
  <c r="E75" i="16"/>
  <c r="H79" i="7"/>
  <c r="J78" i="4"/>
  <c r="I78" i="7" s="1"/>
  <c r="E74" i="16"/>
  <c r="H78" i="7"/>
  <c r="J77" i="4"/>
  <c r="I77" i="7" s="1"/>
  <c r="E73" i="16"/>
  <c r="H77" i="7"/>
  <c r="J76" i="4"/>
  <c r="I76" i="7" s="1"/>
  <c r="E72" i="16"/>
  <c r="H76" i="7"/>
  <c r="J75" i="4"/>
  <c r="I75" i="7" s="1"/>
  <c r="E71" i="16"/>
  <c r="H75" i="7"/>
  <c r="J74" i="4"/>
  <c r="I74" i="7" s="1"/>
  <c r="H74" i="7"/>
  <c r="E70" i="16"/>
  <c r="J73" i="4"/>
  <c r="I73" i="7" s="1"/>
  <c r="H73" i="7"/>
  <c r="E69" i="16"/>
  <c r="J72" i="4"/>
  <c r="I72" i="7" s="1"/>
  <c r="H72" i="7"/>
  <c r="E68" i="16"/>
  <c r="H71" i="7"/>
  <c r="E67" i="16"/>
  <c r="E66" i="16"/>
  <c r="H70" i="7"/>
  <c r="H69" i="7"/>
  <c r="E65" i="16"/>
  <c r="E64" i="16"/>
  <c r="H68" i="7"/>
  <c r="E63" i="16"/>
  <c r="H67" i="7"/>
  <c r="E62" i="16"/>
  <c r="H66" i="7"/>
  <c r="E61" i="16"/>
  <c r="H65" i="7"/>
  <c r="H64" i="7"/>
  <c r="E60" i="16"/>
  <c r="H63" i="7"/>
  <c r="E59" i="16"/>
  <c r="H62" i="7"/>
  <c r="E58" i="16"/>
  <c r="E57" i="16"/>
  <c r="H61" i="7"/>
  <c r="H60" i="7"/>
  <c r="E56" i="16"/>
  <c r="H59" i="7"/>
  <c r="E55" i="16"/>
  <c r="H58" i="7"/>
  <c r="E54" i="16"/>
  <c r="E53" i="16"/>
  <c r="H57" i="7"/>
  <c r="E52" i="16"/>
  <c r="H56" i="7"/>
  <c r="E51" i="16"/>
  <c r="H55" i="7"/>
  <c r="E50" i="16"/>
  <c r="H54" i="7"/>
  <c r="E49" i="16"/>
  <c r="H53" i="7"/>
  <c r="E48" i="16"/>
  <c r="H52" i="7"/>
  <c r="E47" i="16"/>
  <c r="H51" i="7"/>
  <c r="E46" i="16"/>
  <c r="H50" i="7"/>
  <c r="E45" i="16"/>
  <c r="H49" i="7"/>
  <c r="E44" i="16"/>
  <c r="H48" i="7"/>
  <c r="E43" i="16"/>
  <c r="H47" i="7"/>
  <c r="E42" i="16"/>
  <c r="H46" i="7"/>
  <c r="E41" i="16"/>
  <c r="H45" i="7"/>
  <c r="E40" i="16"/>
  <c r="H44" i="7"/>
  <c r="E39" i="16"/>
  <c r="H43" i="7"/>
  <c r="E38" i="16"/>
  <c r="H42" i="7"/>
  <c r="E37" i="16"/>
  <c r="H41" i="7"/>
  <c r="E36" i="16"/>
  <c r="H40" i="7"/>
  <c r="E35" i="16"/>
  <c r="H39" i="7"/>
  <c r="E34" i="16"/>
  <c r="H38" i="7"/>
  <c r="J37" i="4"/>
  <c r="I37" i="7" s="1"/>
  <c r="H37" i="7"/>
  <c r="E33" i="16"/>
  <c r="H36" i="7"/>
  <c r="E32" i="16"/>
  <c r="H35" i="7"/>
  <c r="E31" i="16"/>
  <c r="H34" i="7"/>
  <c r="E30" i="16"/>
  <c r="H33" i="7"/>
  <c r="E29" i="16"/>
  <c r="E28" i="16"/>
  <c r="H32" i="7"/>
  <c r="H31" i="7"/>
  <c r="E27" i="16"/>
  <c r="E26" i="16"/>
  <c r="H30" i="7"/>
  <c r="E25" i="16"/>
  <c r="H29" i="7"/>
  <c r="E24" i="16"/>
  <c r="H28" i="7"/>
  <c r="E23" i="16"/>
  <c r="H27" i="7"/>
  <c r="E22" i="16"/>
  <c r="H26" i="7"/>
  <c r="E21" i="16"/>
  <c r="H25" i="7"/>
  <c r="E20" i="16"/>
  <c r="H24" i="7"/>
  <c r="E19" i="16"/>
  <c r="H23" i="7"/>
  <c r="E18" i="16"/>
  <c r="H22" i="7"/>
  <c r="E17" i="16"/>
  <c r="H21" i="7"/>
  <c r="E16" i="16"/>
  <c r="H20" i="7"/>
  <c r="E15" i="16"/>
  <c r="H19" i="7"/>
  <c r="E14" i="16"/>
  <c r="H18" i="7"/>
  <c r="E13" i="16"/>
  <c r="H17" i="7"/>
  <c r="AQ316" i="16"/>
  <c r="AQ322" i="16"/>
  <c r="AQ345" i="16"/>
  <c r="AH390" i="16"/>
  <c r="AH408" i="16"/>
  <c r="AH435" i="16"/>
  <c r="AH439" i="16"/>
  <c r="AH450" i="16"/>
  <c r="AH454" i="16"/>
  <c r="AH468" i="16"/>
  <c r="AH473" i="16"/>
  <c r="AH483" i="16"/>
  <c r="AH494" i="16"/>
  <c r="E12" i="16"/>
  <c r="H16" i="7"/>
  <c r="AQ401" i="16"/>
  <c r="AJ426" i="16"/>
  <c r="AJ337" i="16"/>
  <c r="H468" i="16"/>
  <c r="H494" i="16"/>
  <c r="AJ86" i="16"/>
  <c r="AH95" i="16"/>
  <c r="H119" i="16"/>
  <c r="AH128" i="16"/>
  <c r="H163" i="16"/>
  <c r="H164" i="16"/>
  <c r="AH170" i="16"/>
  <c r="AH172" i="16"/>
  <c r="AH174" i="16"/>
  <c r="AH181" i="16"/>
  <c r="AH183" i="16"/>
  <c r="H185" i="16"/>
  <c r="H201" i="16"/>
  <c r="H202" i="16"/>
  <c r="AJ203" i="16"/>
  <c r="H217" i="16"/>
  <c r="AH222" i="16"/>
  <c r="AQ223" i="16"/>
  <c r="H233" i="16"/>
  <c r="H250" i="16"/>
  <c r="AH254" i="16"/>
  <c r="AH266" i="16"/>
  <c r="H286" i="16"/>
  <c r="H292" i="16"/>
  <c r="H302" i="16"/>
  <c r="H303" i="16"/>
  <c r="H306" i="16"/>
  <c r="H343" i="16"/>
  <c r="H354" i="16"/>
  <c r="H355" i="16"/>
  <c r="H391" i="16"/>
  <c r="H393" i="16"/>
  <c r="H432" i="16"/>
  <c r="H434" i="16"/>
  <c r="H441" i="16"/>
  <c r="H451" i="16"/>
  <c r="BB12" i="16"/>
  <c r="AR503" i="16"/>
  <c r="AJ338" i="16"/>
  <c r="AQ338" i="16"/>
  <c r="AH339" i="16"/>
  <c r="AJ339" i="16"/>
  <c r="AQ339" i="16"/>
  <c r="AJ340" i="16"/>
  <c r="AQ340" i="16"/>
  <c r="AH341" i="16"/>
  <c r="AJ341" i="16"/>
  <c r="AQ341" i="16"/>
  <c r="AH342" i="16"/>
  <c r="AJ342" i="16"/>
  <c r="AQ342" i="16"/>
  <c r="AH343" i="16"/>
  <c r="AJ343" i="16"/>
  <c r="AQ343" i="16"/>
  <c r="AH344" i="16"/>
  <c r="AQ344" i="16"/>
  <c r="AH345" i="16"/>
  <c r="AJ345" i="16"/>
  <c r="AJ346" i="16"/>
  <c r="AQ346" i="16"/>
  <c r="AJ347" i="16"/>
  <c r="AQ347" i="16"/>
  <c r="AH348" i="16"/>
  <c r="AQ348" i="16"/>
  <c r="AH349" i="16"/>
  <c r="AJ349" i="16"/>
  <c r="AQ349" i="16"/>
  <c r="AJ350" i="16"/>
  <c r="AQ350" i="16"/>
  <c r="AJ351" i="16"/>
  <c r="AJ352" i="16"/>
  <c r="AQ352" i="16"/>
  <c r="AH353" i="16"/>
  <c r="AJ353" i="16"/>
  <c r="AQ353" i="16"/>
  <c r="AH354" i="16"/>
  <c r="AJ354" i="16"/>
  <c r="AQ354" i="16"/>
  <c r="AH355" i="16"/>
  <c r="AJ355" i="16"/>
  <c r="AQ355" i="16"/>
  <c r="AJ356" i="16"/>
  <c r="AQ356" i="16"/>
  <c r="AH357" i="16"/>
  <c r="AJ357" i="16"/>
  <c r="AQ357" i="16"/>
  <c r="AJ358" i="16"/>
  <c r="AQ358" i="16"/>
  <c r="AH359" i="16"/>
  <c r="AJ359" i="16"/>
  <c r="AJ360" i="16"/>
  <c r="AQ360" i="16"/>
  <c r="AQ361" i="16"/>
  <c r="AJ362" i="16"/>
  <c r="AQ362" i="16"/>
  <c r="AH363" i="16"/>
  <c r="AJ363" i="16"/>
  <c r="AQ363" i="16"/>
  <c r="AH364" i="16"/>
  <c r="AJ364" i="16"/>
  <c r="AQ364" i="16"/>
  <c r="AH365" i="16"/>
  <c r="AJ365" i="16"/>
  <c r="AQ365" i="16"/>
  <c r="AH366" i="16"/>
  <c r="AJ366" i="16"/>
  <c r="AQ366" i="16"/>
  <c r="AH367" i="16"/>
  <c r="AQ367" i="16"/>
  <c r="AH368" i="16"/>
  <c r="AJ368" i="16"/>
  <c r="AQ368" i="16"/>
  <c r="AQ369" i="16"/>
  <c r="AH370" i="16"/>
  <c r="AJ370" i="16"/>
  <c r="AQ370" i="16"/>
  <c r="AJ371" i="16"/>
  <c r="AQ371" i="16"/>
  <c r="AH372" i="16"/>
  <c r="AJ372" i="16"/>
  <c r="AQ372" i="16"/>
  <c r="AQ373" i="16"/>
  <c r="AQ374" i="16"/>
  <c r="AQ375" i="16"/>
  <c r="AQ377" i="16"/>
  <c r="AQ378" i="16"/>
  <c r="AH385" i="16"/>
  <c r="AJ386" i="16"/>
  <c r="AQ386" i="16"/>
  <c r="AJ387" i="16"/>
  <c r="AQ388" i="16"/>
  <c r="AJ390" i="16"/>
  <c r="AQ390" i="16"/>
  <c r="AH391" i="16"/>
  <c r="AJ391" i="16"/>
  <c r="AQ391" i="16"/>
  <c r="AH392" i="16"/>
  <c r="AJ392" i="16"/>
  <c r="AQ392" i="16"/>
  <c r="AH393" i="16"/>
  <c r="AJ393" i="16"/>
  <c r="AQ393" i="16"/>
  <c r="AH394" i="16"/>
  <c r="AJ394" i="16"/>
  <c r="AQ394" i="16"/>
  <c r="AJ395" i="16"/>
  <c r="AQ395" i="16"/>
  <c r="AH396" i="16"/>
  <c r="AJ396" i="16"/>
  <c r="AJ397" i="16"/>
  <c r="AJ398" i="16"/>
  <c r="AQ398" i="16"/>
  <c r="AH399" i="16"/>
  <c r="AJ399" i="16"/>
  <c r="AQ399" i="16"/>
  <c r="AH400" i="16"/>
  <c r="AJ400" i="16"/>
  <c r="AQ400" i="16"/>
  <c r="AH401" i="16"/>
  <c r="AJ401" i="16"/>
  <c r="AJ402" i="16"/>
  <c r="AQ402" i="16"/>
  <c r="AQ403" i="16"/>
  <c r="AJ405" i="16"/>
  <c r="AQ405" i="16"/>
  <c r="AH406" i="16"/>
  <c r="AJ406" i="16"/>
  <c r="AQ406" i="16"/>
  <c r="AH407" i="16"/>
  <c r="AQ407" i="16"/>
  <c r="AJ408" i="16"/>
  <c r="AQ408" i="16"/>
  <c r="AJ410" i="16"/>
  <c r="AQ410" i="16"/>
  <c r="AH411" i="16"/>
  <c r="AQ411" i="16"/>
  <c r="AQ412" i="16"/>
  <c r="AH413" i="16"/>
  <c r="AJ413" i="16"/>
  <c r="AQ413" i="16"/>
  <c r="AH414" i="16"/>
  <c r="AQ414" i="16"/>
  <c r="AH415" i="16"/>
  <c r="AJ415" i="16"/>
  <c r="AQ415" i="16"/>
  <c r="AJ416" i="16"/>
  <c r="AQ416" i="16"/>
  <c r="AH417" i="16"/>
  <c r="AJ417" i="16"/>
  <c r="AQ417" i="16"/>
  <c r="AH418" i="16"/>
  <c r="AQ418" i="16"/>
  <c r="AJ419" i="16"/>
  <c r="AQ419" i="16"/>
  <c r="AH420" i="16"/>
  <c r="AJ420" i="16"/>
  <c r="AQ420" i="16"/>
  <c r="AH421" i="16"/>
  <c r="AJ421" i="16"/>
  <c r="AQ421" i="16"/>
  <c r="AH422" i="16"/>
  <c r="AJ422" i="16"/>
  <c r="AQ422" i="16"/>
  <c r="AH423" i="16"/>
  <c r="AJ423" i="16"/>
  <c r="AQ423" i="16"/>
  <c r="AQ425" i="16"/>
  <c r="AH426" i="16"/>
  <c r="AQ426" i="16"/>
  <c r="AJ427" i="16"/>
  <c r="AQ427" i="16"/>
  <c r="AH428" i="16"/>
  <c r="AJ428" i="16"/>
  <c r="AQ428" i="16"/>
  <c r="AH429" i="16"/>
  <c r="AJ429" i="16"/>
  <c r="AQ429" i="16"/>
  <c r="AJ430" i="16"/>
  <c r="AQ430" i="16"/>
  <c r="AH431" i="16"/>
  <c r="AJ431" i="16"/>
  <c r="AQ431" i="16"/>
  <c r="AH432" i="16"/>
  <c r="AJ432" i="16"/>
  <c r="AQ432" i="16"/>
  <c r="AJ433" i="16"/>
  <c r="AQ433" i="16"/>
  <c r="AH434" i="16"/>
  <c r="AJ434" i="16"/>
  <c r="AQ434" i="16"/>
  <c r="AJ435" i="16"/>
  <c r="AQ435" i="16"/>
  <c r="AJ436" i="16"/>
  <c r="AQ436" i="16"/>
  <c r="AH437" i="16"/>
  <c r="AJ437" i="16"/>
  <c r="AJ439" i="16"/>
  <c r="AQ439" i="16"/>
  <c r="AJ440" i="16"/>
  <c r="AQ440" i="16"/>
  <c r="AH441" i="16"/>
  <c r="AJ441" i="16"/>
  <c r="AQ441" i="16"/>
  <c r="AJ443" i="16"/>
  <c r="AQ443" i="16"/>
  <c r="AH444" i="16"/>
  <c r="AJ444" i="16"/>
  <c r="AQ444" i="16"/>
  <c r="AH445" i="16"/>
  <c r="AJ445" i="16"/>
  <c r="AQ445" i="16"/>
  <c r="AH446" i="16"/>
  <c r="AJ446" i="16"/>
  <c r="AQ446" i="16"/>
  <c r="AH447" i="16"/>
  <c r="AQ447" i="16"/>
  <c r="AH448" i="16"/>
  <c r="AJ448" i="16"/>
  <c r="AJ449" i="16"/>
  <c r="AJ450" i="16"/>
  <c r="AQ450" i="16"/>
  <c r="AH451" i="16"/>
  <c r="AJ451" i="16"/>
  <c r="AQ451" i="16"/>
  <c r="AJ452" i="16"/>
  <c r="AQ452" i="16"/>
  <c r="AJ453" i="16"/>
  <c r="AJ454" i="16"/>
  <c r="AQ454" i="16"/>
  <c r="AH455" i="16"/>
  <c r="AJ455" i="16"/>
  <c r="AQ455" i="16"/>
  <c r="AJ456" i="16"/>
  <c r="AJ458" i="16"/>
  <c r="AQ458" i="16"/>
  <c r="AJ459" i="16"/>
  <c r="AQ459" i="16"/>
  <c r="AH460" i="16"/>
  <c r="AJ460" i="16"/>
  <c r="AJ461" i="16"/>
  <c r="AQ461" i="16"/>
  <c r="AH462" i="16"/>
  <c r="AJ462" i="16"/>
  <c r="AQ462" i="16"/>
  <c r="AJ463" i="16"/>
  <c r="AQ463" i="16"/>
  <c r="AH464" i="16"/>
  <c r="AJ464" i="16"/>
  <c r="AQ465" i="16"/>
  <c r="AJ467" i="16"/>
  <c r="AQ467" i="16"/>
  <c r="AJ468" i="16"/>
  <c r="AQ468" i="16"/>
  <c r="AH469" i="16"/>
  <c r="AJ469" i="16"/>
  <c r="AQ469" i="16"/>
  <c r="AH470" i="16"/>
  <c r="AJ470" i="16"/>
  <c r="AJ471" i="16"/>
  <c r="AQ471" i="16"/>
  <c r="AH472" i="16"/>
  <c r="AJ472" i="16"/>
  <c r="AQ472" i="16"/>
  <c r="AJ473" i="16"/>
  <c r="AQ473" i="16"/>
  <c r="AH474" i="16"/>
  <c r="AJ474" i="16"/>
  <c r="AQ474" i="16"/>
  <c r="AH475" i="16"/>
  <c r="AJ475" i="16"/>
  <c r="AQ475" i="16"/>
  <c r="AH476" i="16"/>
  <c r="AJ476" i="16"/>
  <c r="AQ476" i="16"/>
  <c r="AH477" i="16"/>
  <c r="AJ477" i="16"/>
  <c r="AQ477" i="16"/>
  <c r="AJ478" i="16"/>
  <c r="AQ478" i="16"/>
  <c r="AH479" i="16"/>
  <c r="AJ479" i="16"/>
  <c r="AQ479" i="16"/>
  <c r="AH480" i="16"/>
  <c r="AJ480" i="16"/>
  <c r="AQ480" i="16"/>
  <c r="AH481" i="16"/>
  <c r="AQ481" i="16"/>
  <c r="AJ482" i="16"/>
  <c r="AQ482" i="16"/>
  <c r="AJ483" i="16"/>
  <c r="AQ483" i="16"/>
  <c r="AH484" i="16"/>
  <c r="AQ484" i="16"/>
  <c r="AJ485" i="16"/>
  <c r="AQ485" i="16"/>
  <c r="AJ486" i="16"/>
  <c r="AJ487" i="16"/>
  <c r="AQ487" i="16"/>
  <c r="AJ488" i="16"/>
  <c r="AQ488" i="16"/>
  <c r="AH489" i="16"/>
  <c r="AQ489" i="16"/>
  <c r="AH490" i="16"/>
  <c r="AJ490" i="16"/>
  <c r="AQ490" i="16"/>
  <c r="AH491" i="16"/>
  <c r="AJ492" i="16"/>
  <c r="AQ492" i="16"/>
  <c r="AH493" i="16"/>
  <c r="AJ493" i="16"/>
  <c r="AQ493" i="16"/>
  <c r="AJ494" i="16"/>
  <c r="AQ494" i="16"/>
  <c r="AH495" i="16"/>
  <c r="AJ495" i="16"/>
  <c r="AQ495" i="16"/>
  <c r="AH496" i="16"/>
  <c r="AQ496" i="16"/>
  <c r="AH497" i="16"/>
  <c r="AJ497" i="16"/>
  <c r="AJ498" i="16"/>
  <c r="AQ498" i="16"/>
  <c r="AJ499" i="16"/>
  <c r="AQ499" i="16"/>
  <c r="AJ500" i="16"/>
  <c r="AQ500" i="16"/>
  <c r="AJ501" i="16"/>
  <c r="AQ501" i="16"/>
  <c r="AH502" i="16"/>
  <c r="H162" i="16"/>
  <c r="H168" i="16"/>
  <c r="H172" i="16"/>
  <c r="H181" i="16"/>
  <c r="H183" i="16"/>
  <c r="H188" i="16"/>
  <c r="H189" i="16"/>
  <c r="H204" i="16"/>
  <c r="H208" i="16"/>
  <c r="H213" i="16"/>
  <c r="H215" i="16"/>
  <c r="H222" i="16"/>
  <c r="H229" i="16"/>
  <c r="H239" i="16"/>
  <c r="H241" i="16"/>
  <c r="H245" i="16"/>
  <c r="H249" i="16"/>
  <c r="H253" i="16"/>
  <c r="H256" i="16"/>
  <c r="H262" i="16"/>
  <c r="H275" i="16"/>
  <c r="H278" i="16"/>
  <c r="H279" i="16"/>
  <c r="H283" i="16"/>
  <c r="H287" i="16"/>
  <c r="H300" i="16"/>
  <c r="H312" i="16"/>
  <c r="H315" i="16"/>
  <c r="H322" i="16"/>
  <c r="H328" i="16"/>
  <c r="H329" i="16"/>
  <c r="H331" i="16"/>
  <c r="H332" i="16"/>
  <c r="H334" i="16"/>
  <c r="H349" i="16"/>
  <c r="H353" i="16"/>
  <c r="H363" i="16"/>
  <c r="H366" i="16"/>
  <c r="H370" i="16"/>
  <c r="H372" i="16"/>
  <c r="H379" i="16"/>
  <c r="H381" i="16"/>
  <c r="H385" i="16"/>
  <c r="H387" i="16"/>
  <c r="H390" i="16"/>
  <c r="H397" i="16"/>
  <c r="H406" i="16"/>
  <c r="H409" i="16"/>
  <c r="H410" i="16"/>
  <c r="H413" i="16"/>
  <c r="H422" i="16"/>
  <c r="H426" i="16"/>
  <c r="H428" i="16"/>
  <c r="H430" i="16"/>
  <c r="H439" i="16"/>
  <c r="H442" i="16"/>
  <c r="H452" i="16"/>
  <c r="H455" i="16"/>
  <c r="H457" i="16"/>
  <c r="H462" i="16"/>
  <c r="H465" i="16"/>
  <c r="H473" i="16"/>
  <c r="H474" i="16"/>
  <c r="H483" i="16"/>
  <c r="H491" i="16"/>
  <c r="H496" i="16"/>
  <c r="H501" i="16"/>
  <c r="H167" i="16"/>
  <c r="H169" i="16"/>
  <c r="H170" i="16"/>
  <c r="H171" i="16"/>
  <c r="H174" i="16"/>
  <c r="H186" i="16"/>
  <c r="H192" i="16"/>
  <c r="H199" i="16"/>
  <c r="H203" i="16"/>
  <c r="H207" i="16"/>
  <c r="H220" i="16"/>
  <c r="H228" i="16"/>
  <c r="H240" i="16"/>
  <c r="H247" i="16"/>
  <c r="H248" i="16"/>
  <c r="H252" i="16"/>
  <c r="H254" i="16"/>
  <c r="H260" i="16"/>
  <c r="H261" i="16"/>
  <c r="H263" i="16"/>
  <c r="H264" i="16"/>
  <c r="H266" i="16"/>
  <c r="H267" i="16"/>
  <c r="H270" i="16"/>
  <c r="H273" i="16"/>
  <c r="H274" i="16"/>
  <c r="H277" i="16"/>
  <c r="H285" i="16"/>
  <c r="H288" i="16"/>
  <c r="H291" i="16"/>
  <c r="H295" i="16"/>
  <c r="H297" i="16"/>
  <c r="H298" i="16"/>
  <c r="H305" i="16"/>
  <c r="H308" i="16"/>
  <c r="H311" i="16"/>
  <c r="H313" i="16"/>
  <c r="H316" i="16"/>
  <c r="H319" i="16"/>
  <c r="H338" i="16"/>
  <c r="H339" i="16"/>
  <c r="H341" i="16"/>
  <c r="H345" i="16"/>
  <c r="H360" i="16"/>
  <c r="H365" i="16"/>
  <c r="H368" i="16"/>
  <c r="H371" i="16"/>
  <c r="H373" i="16"/>
  <c r="H374" i="16"/>
  <c r="H375" i="16"/>
  <c r="H383" i="16"/>
  <c r="H392" i="16"/>
  <c r="H398" i="16"/>
  <c r="H401" i="16"/>
  <c r="H405" i="16"/>
  <c r="H408" i="16"/>
  <c r="H411" i="16"/>
  <c r="H412" i="16"/>
  <c r="H415" i="16"/>
  <c r="H425" i="16"/>
  <c r="H427" i="16"/>
  <c r="H435" i="16"/>
  <c r="H444" i="16"/>
  <c r="H446" i="16"/>
  <c r="H454" i="16"/>
  <c r="H461" i="16"/>
  <c r="H464" i="16"/>
  <c r="H467" i="16"/>
  <c r="AQ39" i="16"/>
  <c r="AH40" i="16"/>
  <c r="AJ40" i="16"/>
  <c r="AQ40" i="16"/>
  <c r="AJ41" i="16"/>
  <c r="AJ42" i="16"/>
  <c r="AQ42" i="16"/>
  <c r="AJ43" i="16"/>
  <c r="AQ43" i="16"/>
  <c r="AH44" i="16"/>
  <c r="AJ44" i="16"/>
  <c r="AJ45" i="16"/>
  <c r="AQ45" i="16"/>
  <c r="AJ47" i="16"/>
  <c r="AQ47" i="16"/>
  <c r="AH48" i="16"/>
  <c r="AJ48" i="16"/>
  <c r="AQ48" i="16"/>
  <c r="AH49" i="16"/>
  <c r="AJ49" i="16"/>
  <c r="AQ49" i="16"/>
  <c r="AH50" i="16"/>
  <c r="AJ50" i="16"/>
  <c r="AQ51" i="16"/>
  <c r="AH52" i="16"/>
  <c r="AJ52" i="16"/>
  <c r="AQ52" i="16"/>
  <c r="AH53" i="16"/>
  <c r="AJ53" i="16"/>
  <c r="AQ53" i="16"/>
  <c r="AH54" i="16"/>
  <c r="AJ54" i="16"/>
  <c r="AJ55" i="16"/>
  <c r="AQ55" i="16"/>
  <c r="AJ56" i="16"/>
  <c r="AQ56" i="16"/>
  <c r="AH57" i="16"/>
  <c r="AJ57" i="16"/>
  <c r="AQ57" i="16"/>
  <c r="AH58" i="16"/>
  <c r="AJ58" i="16"/>
  <c r="AQ58" i="16"/>
  <c r="AH59" i="16"/>
  <c r="AJ59" i="16"/>
  <c r="AQ59" i="16"/>
  <c r="AH60" i="16"/>
  <c r="AJ60" i="16"/>
  <c r="AQ60" i="16"/>
  <c r="AJ61" i="16"/>
  <c r="AQ61" i="16"/>
  <c r="AJ62" i="16"/>
  <c r="AQ62" i="16"/>
  <c r="AJ63" i="16"/>
  <c r="AQ63" i="16"/>
  <c r="AJ64" i="16"/>
  <c r="AQ64" i="16"/>
  <c r="AJ65" i="16"/>
  <c r="AQ65" i="16"/>
  <c r="AH66" i="16"/>
  <c r="AJ66" i="16"/>
  <c r="AQ66" i="16"/>
  <c r="AQ68" i="16"/>
  <c r="AJ70" i="16"/>
  <c r="AQ70" i="16"/>
  <c r="AJ71" i="16"/>
  <c r="AQ71" i="16"/>
  <c r="AH72" i="16"/>
  <c r="AJ72" i="16"/>
  <c r="AJ73" i="16"/>
  <c r="AQ73" i="16"/>
  <c r="AH74" i="16"/>
  <c r="AJ74" i="16"/>
  <c r="AQ74" i="16"/>
  <c r="AJ75" i="16"/>
  <c r="AQ75" i="16"/>
  <c r="AH76" i="16"/>
  <c r="AJ76" i="16"/>
  <c r="AQ76" i="16"/>
  <c r="AH77" i="16"/>
  <c r="AJ77" i="16"/>
  <c r="AJ78" i="16"/>
  <c r="AQ78" i="16"/>
  <c r="AH79" i="16"/>
  <c r="AJ79" i="16"/>
  <c r="AJ80" i="16"/>
  <c r="AJ81" i="16"/>
  <c r="AQ81" i="16"/>
  <c r="AH82" i="16"/>
  <c r="AJ82" i="16"/>
  <c r="AQ82" i="16"/>
  <c r="AH83" i="16"/>
  <c r="AJ83" i="16"/>
  <c r="AQ83" i="16"/>
  <c r="AJ84" i="16"/>
  <c r="AQ84" i="16"/>
  <c r="AH85" i="16"/>
  <c r="AJ85" i="16"/>
  <c r="AQ85" i="16"/>
  <c r="AH86" i="16"/>
  <c r="AQ86" i="16"/>
  <c r="AH87" i="16"/>
  <c r="AJ87" i="16"/>
  <c r="AQ87" i="16"/>
  <c r="AJ88" i="16"/>
  <c r="AQ88" i="16"/>
  <c r="AJ89" i="16"/>
  <c r="AQ89" i="16"/>
  <c r="AH90" i="16"/>
  <c r="AJ90" i="16"/>
  <c r="AQ90" i="16"/>
  <c r="AH91" i="16"/>
  <c r="AJ91" i="16"/>
  <c r="AQ91" i="16"/>
  <c r="AJ92" i="16"/>
  <c r="AQ92" i="16"/>
  <c r="AJ93" i="16"/>
  <c r="AQ93" i="16"/>
  <c r="AH94" i="16"/>
  <c r="AJ94" i="16"/>
  <c r="AJ95" i="16"/>
  <c r="AQ95" i="16"/>
  <c r="AJ96" i="16"/>
  <c r="AQ96" i="16"/>
  <c r="AH97" i="16"/>
  <c r="AJ97" i="16"/>
  <c r="AQ97" i="16"/>
  <c r="AH98" i="16"/>
  <c r="AQ98" i="16"/>
  <c r="AH99" i="16"/>
  <c r="AJ99" i="16"/>
  <c r="AJ100" i="16"/>
  <c r="AQ100" i="16"/>
  <c r="AH101" i="16"/>
  <c r="AJ101" i="16"/>
  <c r="AJ102" i="16"/>
  <c r="AQ102" i="16"/>
  <c r="AH103" i="16"/>
  <c r="AJ103" i="16"/>
  <c r="AQ103" i="16"/>
  <c r="AH104" i="16"/>
  <c r="AQ104" i="16"/>
  <c r="AH105" i="16"/>
  <c r="AQ105" i="16"/>
  <c r="AQ106" i="16"/>
  <c r="AJ107" i="16"/>
  <c r="AQ107" i="16"/>
  <c r="AJ108" i="16"/>
  <c r="AQ108" i="16"/>
  <c r="AH109" i="16"/>
  <c r="AJ109" i="16"/>
  <c r="AQ109" i="16"/>
  <c r="AJ111" i="16"/>
  <c r="AQ111" i="16"/>
  <c r="AQ112" i="16"/>
  <c r="AH113" i="16"/>
  <c r="AJ113" i="16"/>
  <c r="AJ114" i="16"/>
  <c r="AQ114" i="16"/>
  <c r="AH115" i="16"/>
  <c r="AJ115" i="16"/>
  <c r="AQ115" i="16"/>
  <c r="AJ116" i="16"/>
  <c r="AQ116" i="16"/>
  <c r="AJ117" i="16"/>
  <c r="AQ117" i="16"/>
  <c r="AH118" i="16"/>
  <c r="AJ118" i="16"/>
  <c r="AQ118" i="16"/>
  <c r="AH119" i="16"/>
  <c r="AJ119" i="16"/>
  <c r="AQ119" i="16"/>
  <c r="AH120" i="16"/>
  <c r="AJ120" i="16"/>
  <c r="AQ120" i="16"/>
  <c r="AH121" i="16"/>
  <c r="AJ121" i="16"/>
  <c r="AQ121" i="16"/>
  <c r="AJ122" i="16"/>
  <c r="AQ122" i="16"/>
  <c r="AH123" i="16"/>
  <c r="AJ123" i="16"/>
  <c r="AQ123" i="16"/>
  <c r="AJ124" i="16"/>
  <c r="AQ125" i="16"/>
  <c r="AQ126" i="16"/>
  <c r="AQ127" i="16"/>
  <c r="AJ128" i="16"/>
  <c r="AQ128" i="16"/>
  <c r="AQ129" i="16"/>
  <c r="AH130" i="16"/>
  <c r="AJ130" i="16"/>
  <c r="AQ130" i="16"/>
  <c r="AQ131" i="16"/>
  <c r="AJ132" i="16"/>
  <c r="AQ132" i="16"/>
  <c r="AH133" i="16"/>
  <c r="AJ133" i="16"/>
  <c r="AQ133" i="16"/>
  <c r="AJ134" i="16"/>
  <c r="AQ134" i="16"/>
  <c r="AH135" i="16"/>
  <c r="AJ135" i="16"/>
  <c r="AQ135" i="16"/>
  <c r="AH136" i="16"/>
  <c r="AJ136" i="16"/>
  <c r="AQ136" i="16"/>
  <c r="AH137" i="16"/>
  <c r="AJ137" i="16"/>
  <c r="AQ137" i="16"/>
  <c r="AH138" i="16"/>
  <c r="AJ138" i="16"/>
  <c r="AQ138" i="16"/>
  <c r="AH139" i="16"/>
  <c r="AJ139" i="16"/>
  <c r="AJ140" i="16"/>
  <c r="AQ140" i="16"/>
  <c r="AH141" i="16"/>
  <c r="AJ141" i="16"/>
  <c r="AJ142" i="16"/>
  <c r="AQ142" i="16"/>
  <c r="AH143" i="16"/>
  <c r="AJ143" i="16"/>
  <c r="AQ143" i="16"/>
  <c r="AH144" i="16"/>
  <c r="AJ145" i="16"/>
  <c r="AQ145" i="16"/>
  <c r="AH147" i="16"/>
  <c r="AJ147" i="16"/>
  <c r="AQ148" i="16"/>
  <c r="AJ149" i="16"/>
  <c r="AQ149" i="16"/>
  <c r="AJ153" i="16"/>
  <c r="AH154" i="16"/>
  <c r="AJ154" i="16"/>
  <c r="AQ154" i="16"/>
  <c r="AQ155" i="16"/>
  <c r="AJ156" i="16"/>
  <c r="AQ156" i="16"/>
  <c r="AJ157" i="16"/>
  <c r="AQ157" i="16"/>
  <c r="AH159" i="16"/>
  <c r="AJ160" i="16"/>
  <c r="AQ160" i="16"/>
  <c r="AH161" i="16"/>
  <c r="AJ161" i="16"/>
  <c r="AQ161" i="16"/>
  <c r="AJ162" i="16"/>
  <c r="AQ162" i="16"/>
  <c r="AH163" i="16"/>
  <c r="AJ163" i="16"/>
  <c r="AQ163" i="16"/>
  <c r="AQ164" i="16"/>
  <c r="AQ167" i="16"/>
  <c r="AH168" i="16"/>
  <c r="AJ168" i="16"/>
  <c r="AQ168" i="16"/>
  <c r="AH169" i="16"/>
  <c r="AJ170" i="16"/>
  <c r="AQ170" i="16"/>
  <c r="AH171" i="16"/>
  <c r="AJ171" i="16"/>
  <c r="AQ171" i="16"/>
  <c r="AJ172" i="16"/>
  <c r="AQ172" i="16"/>
  <c r="AJ173" i="16"/>
  <c r="AQ173" i="16"/>
  <c r="AJ174" i="16"/>
  <c r="AQ174" i="16"/>
  <c r="AH175" i="16"/>
  <c r="AH176" i="16"/>
  <c r="AJ177" i="16"/>
  <c r="AQ177" i="16"/>
  <c r="AH178" i="16"/>
  <c r="AQ178" i="16"/>
  <c r="AH179" i="16"/>
  <c r="AJ179" i="16"/>
  <c r="AQ179" i="16"/>
  <c r="AJ180" i="16"/>
  <c r="AJ181" i="16"/>
  <c r="AQ181" i="16"/>
  <c r="AJ183" i="16"/>
  <c r="AQ183" i="16"/>
  <c r="AQ184" i="16"/>
  <c r="AH185" i="16"/>
  <c r="AJ185" i="16"/>
  <c r="AQ185" i="16"/>
  <c r="AH186" i="16"/>
  <c r="AJ186" i="16"/>
  <c r="AQ186" i="16"/>
  <c r="AJ187" i="16"/>
  <c r="AQ187" i="16"/>
  <c r="AH188" i="16"/>
  <c r="AJ188" i="16"/>
  <c r="AQ188" i="16"/>
  <c r="AQ189" i="16"/>
  <c r="AJ191" i="16"/>
  <c r="AQ191" i="16"/>
  <c r="AJ193" i="16"/>
  <c r="AJ195" i="16"/>
  <c r="AQ195" i="16"/>
  <c r="AH196" i="16"/>
  <c r="AJ196" i="16"/>
  <c r="AQ196" i="16"/>
  <c r="AH197" i="16"/>
  <c r="AJ197" i="16"/>
  <c r="AQ197" i="16"/>
  <c r="AH198" i="16"/>
  <c r="AJ198" i="16"/>
  <c r="AQ198" i="16"/>
  <c r="AH199" i="16"/>
  <c r="AJ199" i="16"/>
  <c r="AQ199" i="16"/>
  <c r="AH200" i="16"/>
  <c r="AJ200" i="16"/>
  <c r="AQ200" i="16"/>
  <c r="AH201" i="16"/>
  <c r="AJ201" i="16"/>
  <c r="AQ201" i="16"/>
  <c r="AH202" i="16"/>
  <c r="AJ202" i="16"/>
  <c r="AQ202" i="16"/>
  <c r="AH203" i="16"/>
  <c r="AQ203" i="16"/>
  <c r="AH204" i="16"/>
  <c r="AJ204" i="16"/>
  <c r="AQ204" i="16"/>
  <c r="AH205" i="16"/>
  <c r="AJ205" i="16"/>
  <c r="AQ205" i="16"/>
  <c r="AH206" i="16"/>
  <c r="AJ206" i="16"/>
  <c r="AQ206" i="16"/>
  <c r="AH207" i="16"/>
  <c r="AJ207" i="16"/>
  <c r="AQ207" i="16"/>
  <c r="AH208" i="16"/>
  <c r="AJ208" i="16"/>
  <c r="AQ208" i="16"/>
  <c r="AQ209" i="16"/>
  <c r="AH210" i="16"/>
  <c r="AJ210" i="16"/>
  <c r="AQ210" i="16"/>
  <c r="AJ211" i="16"/>
  <c r="AQ211" i="16"/>
  <c r="AJ212" i="16"/>
  <c r="AQ212" i="16"/>
  <c r="AH213" i="16"/>
  <c r="AJ213" i="16"/>
  <c r="AQ213" i="16"/>
  <c r="AJ214" i="16"/>
  <c r="AQ214" i="16"/>
  <c r="AH215" i="16"/>
  <c r="AJ215" i="16"/>
  <c r="AQ215" i="16"/>
  <c r="AH216" i="16"/>
  <c r="AJ216" i="16"/>
  <c r="AQ216" i="16"/>
  <c r="AH217" i="16"/>
  <c r="AJ217" i="16"/>
  <c r="AQ217" i="16"/>
  <c r="AJ218" i="16"/>
  <c r="AQ218" i="16"/>
  <c r="AH219" i="16"/>
  <c r="AJ219" i="16"/>
  <c r="AQ219" i="16"/>
  <c r="AH220" i="16"/>
  <c r="AJ222" i="16"/>
  <c r="AQ222" i="16"/>
  <c r="AH223" i="16"/>
  <c r="AJ223" i="16"/>
  <c r="AJ224" i="16"/>
  <c r="AQ225" i="16"/>
  <c r="AH226" i="16"/>
  <c r="AQ226" i="16"/>
  <c r="AQ227" i="16"/>
  <c r="AJ228" i="16"/>
  <c r="AQ228" i="16"/>
  <c r="AJ229" i="16"/>
  <c r="AQ229" i="16"/>
  <c r="AJ230" i="16"/>
  <c r="AQ230" i="16"/>
  <c r="AJ231" i="16"/>
  <c r="AQ231" i="16"/>
  <c r="AQ232" i="16"/>
  <c r="AH233" i="16"/>
  <c r="AJ233" i="16"/>
  <c r="AQ233" i="16"/>
  <c r="AH234" i="16"/>
  <c r="AJ234" i="16"/>
  <c r="AJ235" i="16"/>
  <c r="AQ235" i="16"/>
  <c r="AJ237" i="16"/>
  <c r="AQ237" i="16"/>
  <c r="AH238" i="16"/>
  <c r="AJ239" i="16"/>
  <c r="AQ239" i="16"/>
  <c r="AJ240" i="16"/>
  <c r="AQ240" i="16"/>
  <c r="AJ242" i="16"/>
  <c r="AQ242" i="16"/>
  <c r="AJ243" i="16"/>
  <c r="AQ243" i="16"/>
  <c r="AJ246" i="16"/>
  <c r="AJ248" i="16"/>
  <c r="AJ249" i="16"/>
  <c r="AQ249" i="16"/>
  <c r="AH250" i="16"/>
  <c r="AJ250" i="16"/>
  <c r="AQ250" i="16"/>
  <c r="AH251" i="16"/>
  <c r="AJ251" i="16"/>
  <c r="AQ251" i="16"/>
  <c r="AH252" i="16"/>
  <c r="AJ252" i="16"/>
  <c r="AQ252" i="16"/>
  <c r="AH253" i="16"/>
  <c r="AJ253" i="16"/>
  <c r="AQ253" i="16"/>
  <c r="AJ254" i="16"/>
  <c r="AQ254" i="16"/>
  <c r="AJ255" i="16"/>
  <c r="AQ255" i="16"/>
  <c r="AH256" i="16"/>
  <c r="AJ256" i="16"/>
  <c r="AJ257" i="16"/>
  <c r="AQ257" i="16"/>
  <c r="AH258" i="16"/>
  <c r="AQ258" i="16"/>
  <c r="AQ259" i="16"/>
  <c r="AH260" i="16"/>
  <c r="AJ260" i="16"/>
  <c r="AQ260" i="16"/>
  <c r="AJ261" i="16"/>
  <c r="AQ261" i="16"/>
  <c r="AH262" i="16"/>
  <c r="AJ262" i="16"/>
  <c r="AQ262" i="16"/>
  <c r="AH263" i="16"/>
  <c r="AQ263" i="16"/>
  <c r="AJ266" i="16"/>
  <c r="AQ266" i="16"/>
  <c r="AH267" i="16"/>
  <c r="AJ267" i="16"/>
  <c r="AQ267" i="16"/>
  <c r="AJ268" i="16"/>
  <c r="AQ268" i="16"/>
  <c r="AH269" i="16"/>
  <c r="AJ269" i="16"/>
  <c r="AQ269" i="16"/>
  <c r="AH270" i="16"/>
  <c r="AJ270" i="16"/>
  <c r="AQ270" i="16"/>
  <c r="AH271" i="16"/>
  <c r="AJ271" i="16"/>
  <c r="AQ271" i="16"/>
  <c r="AH272" i="16"/>
  <c r="AQ273" i="16"/>
  <c r="AH274" i="16"/>
  <c r="AJ274" i="16"/>
  <c r="AQ274" i="16"/>
  <c r="AH275" i="16"/>
  <c r="AJ275" i="16"/>
  <c r="AQ275" i="16"/>
  <c r="AH276" i="16"/>
  <c r="AJ276" i="16"/>
  <c r="AQ276" i="16"/>
  <c r="AH277" i="16"/>
  <c r="AJ277" i="16"/>
  <c r="AQ277" i="16"/>
  <c r="AH278" i="16"/>
  <c r="AJ278" i="16"/>
  <c r="AQ278" i="16"/>
  <c r="AH279" i="16"/>
  <c r="AJ279" i="16"/>
  <c r="AQ279" i="16"/>
  <c r="AH280" i="16"/>
  <c r="AJ280" i="16"/>
  <c r="AQ280" i="16"/>
  <c r="AJ281" i="16"/>
  <c r="AQ281" i="16"/>
  <c r="AH282" i="16"/>
  <c r="AJ282" i="16"/>
  <c r="AQ282" i="16"/>
  <c r="AJ283" i="16"/>
  <c r="AQ283" i="16"/>
  <c r="AH284" i="16"/>
  <c r="AJ284" i="16"/>
  <c r="AQ284" i="16"/>
  <c r="AH285" i="16"/>
  <c r="AJ285" i="16"/>
  <c r="AQ285" i="16"/>
  <c r="AH286" i="16"/>
  <c r="AJ286" i="16"/>
  <c r="AQ286" i="16"/>
  <c r="AJ287" i="16"/>
  <c r="AJ288" i="16"/>
  <c r="AQ288" i="16"/>
  <c r="AJ289" i="16"/>
  <c r="AQ289" i="16"/>
  <c r="AJ290" i="16"/>
  <c r="AQ290" i="16"/>
  <c r="AH291" i="16"/>
  <c r="AJ291" i="16"/>
  <c r="AQ291" i="16"/>
  <c r="AH292" i="16"/>
  <c r="AJ292" i="16"/>
  <c r="AQ292" i="16"/>
  <c r="AH293" i="16"/>
  <c r="AQ293" i="16"/>
  <c r="AH294" i="16"/>
  <c r="AJ294" i="16"/>
  <c r="AQ294" i="16"/>
  <c r="AH295" i="16"/>
  <c r="AJ295" i="16"/>
  <c r="AQ295" i="16"/>
  <c r="AH296" i="16"/>
  <c r="AJ296" i="16"/>
  <c r="AQ296" i="16"/>
  <c r="AH297" i="16"/>
  <c r="AJ297" i="16"/>
  <c r="AQ297" i="16"/>
  <c r="AJ298" i="16"/>
  <c r="AJ299" i="16"/>
  <c r="AQ299" i="16"/>
  <c r="AH300" i="16"/>
  <c r="AJ300" i="16"/>
  <c r="AQ300" i="16"/>
  <c r="AH301" i="16"/>
  <c r="AJ301" i="16"/>
  <c r="AQ301" i="16"/>
  <c r="AH302" i="16"/>
  <c r="AJ302" i="16"/>
  <c r="AQ302" i="16"/>
  <c r="AQ303" i="16"/>
  <c r="AJ304" i="16"/>
  <c r="AQ304" i="16"/>
  <c r="AH305" i="16"/>
  <c r="AJ305" i="16"/>
  <c r="AQ305" i="16"/>
  <c r="AH306" i="16"/>
  <c r="AJ306" i="16"/>
  <c r="AQ306" i="16"/>
  <c r="AH307" i="16"/>
  <c r="AJ307" i="16"/>
  <c r="AQ307" i="16"/>
  <c r="AJ309" i="16"/>
  <c r="AJ310" i="16"/>
  <c r="AJ311" i="16"/>
  <c r="AQ311" i="16"/>
  <c r="AH312" i="16"/>
  <c r="AJ312" i="16"/>
  <c r="AQ312" i="16"/>
  <c r="AH313" i="16"/>
  <c r="AJ313" i="16"/>
  <c r="AQ313" i="16"/>
  <c r="AJ315" i="16"/>
  <c r="AQ315" i="16"/>
  <c r="AH316" i="16"/>
  <c r="AJ316" i="16"/>
  <c r="AJ317" i="16"/>
  <c r="AQ317" i="16"/>
  <c r="AJ318" i="16"/>
  <c r="AQ318" i="16"/>
  <c r="AH319" i="16"/>
  <c r="AJ319" i="16"/>
  <c r="AQ320" i="16"/>
  <c r="AJ321" i="16"/>
  <c r="AQ321" i="16"/>
  <c r="AH322" i="16"/>
  <c r="AJ322" i="16"/>
  <c r="AJ323" i="16"/>
  <c r="AQ323" i="16"/>
  <c r="AJ324" i="16"/>
  <c r="AJ325" i="16"/>
  <c r="AQ325" i="16"/>
  <c r="AH326" i="16"/>
  <c r="AJ326" i="16"/>
  <c r="AJ327" i="16"/>
  <c r="AJ328" i="16"/>
  <c r="AQ328" i="16"/>
  <c r="AQ329" i="16"/>
  <c r="AH330" i="16"/>
  <c r="AJ330" i="16"/>
  <c r="AQ330" i="16"/>
  <c r="AH331" i="16"/>
  <c r="AJ331" i="16"/>
  <c r="AQ331" i="16"/>
  <c r="AH332" i="16"/>
  <c r="AJ332" i="16"/>
  <c r="AQ332" i="16"/>
  <c r="AH333" i="16"/>
  <c r="AJ333" i="16"/>
  <c r="AQ333" i="16"/>
  <c r="AH334" i="16"/>
  <c r="AJ335" i="16"/>
  <c r="AQ335" i="16"/>
  <c r="AH336" i="16"/>
  <c r="AQ336" i="16"/>
  <c r="H431" i="16"/>
  <c r="H456" i="16"/>
  <c r="H479" i="16"/>
  <c r="H480" i="16"/>
  <c r="H486" i="16"/>
  <c r="H489" i="16"/>
  <c r="D503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AQ31" i="16"/>
  <c r="AJ31" i="16"/>
  <c r="AH31" i="16"/>
  <c r="H32" i="16"/>
  <c r="AH32" i="16"/>
  <c r="AQ32" i="16"/>
  <c r="AJ32" i="16"/>
  <c r="H33" i="16"/>
  <c r="AQ33" i="16"/>
  <c r="AJ33" i="16"/>
  <c r="AH33" i="16"/>
  <c r="H34" i="16"/>
  <c r="AH34" i="16"/>
  <c r="AQ34" i="16"/>
  <c r="AJ34" i="16"/>
  <c r="H35" i="16"/>
  <c r="AJ35" i="16"/>
  <c r="AQ35" i="16"/>
  <c r="AH35" i="16"/>
  <c r="H36" i="16"/>
  <c r="AQ36" i="16"/>
  <c r="AH36" i="16"/>
  <c r="AJ36" i="16"/>
  <c r="AQ37" i="16"/>
  <c r="AH37" i="16"/>
  <c r="H37" i="16"/>
  <c r="AJ37" i="16"/>
  <c r="AQ38" i="16"/>
  <c r="H38" i="16"/>
  <c r="AJ38" i="16"/>
  <c r="AH38" i="16"/>
  <c r="H39" i="16"/>
  <c r="AH39" i="16"/>
  <c r="AJ39" i="16"/>
  <c r="H40" i="16"/>
  <c r="AQ41" i="16"/>
  <c r="AH41" i="16"/>
  <c r="H41" i="16"/>
  <c r="H42" i="16"/>
  <c r="AH42" i="16"/>
  <c r="AH43" i="16"/>
  <c r="H43" i="16"/>
  <c r="AQ44" i="16"/>
  <c r="H44" i="16"/>
  <c r="H45" i="16"/>
  <c r="AH45" i="16"/>
  <c r="H46" i="16"/>
  <c r="AQ46" i="16"/>
  <c r="AH46" i="16"/>
  <c r="AJ46" i="16"/>
  <c r="H47" i="16"/>
  <c r="AH47" i="16"/>
  <c r="H48" i="16"/>
  <c r="H49" i="16"/>
  <c r="AQ50" i="16"/>
  <c r="H50" i="16"/>
  <c r="H51" i="16"/>
  <c r="AH51" i="16"/>
  <c r="AJ51" i="16"/>
  <c r="H52" i="16"/>
  <c r="H53" i="16"/>
  <c r="AQ54" i="16"/>
  <c r="H54" i="16"/>
  <c r="H55" i="16"/>
  <c r="AH55" i="16"/>
  <c r="H56" i="16"/>
  <c r="AH56" i="16"/>
  <c r="H57" i="16"/>
  <c r="H58" i="16"/>
  <c r="H59" i="16"/>
  <c r="H60" i="16"/>
  <c r="AH61" i="16"/>
  <c r="H61" i="16"/>
  <c r="AH62" i="16"/>
  <c r="H62" i="16"/>
  <c r="AH63" i="16"/>
  <c r="H63" i="16"/>
  <c r="H64" i="16"/>
  <c r="AH64" i="16"/>
  <c r="AH65" i="16"/>
  <c r="H65" i="16"/>
  <c r="H66" i="16"/>
  <c r="AH67" i="16"/>
  <c r="AQ67" i="16"/>
  <c r="AJ67" i="16"/>
  <c r="H67" i="16"/>
  <c r="AJ68" i="16"/>
  <c r="H68" i="16"/>
  <c r="AH68" i="16"/>
  <c r="AH69" i="16"/>
  <c r="H69" i="16"/>
  <c r="AQ69" i="16"/>
  <c r="AJ69" i="16"/>
  <c r="AH70" i="16"/>
  <c r="H70" i="16"/>
  <c r="H71" i="16"/>
  <c r="AH71" i="16"/>
  <c r="AQ72" i="16"/>
  <c r="H72" i="16"/>
  <c r="AH73" i="16"/>
  <c r="H73" i="16"/>
  <c r="H74" i="16"/>
  <c r="H75" i="16"/>
  <c r="AH75" i="16"/>
  <c r="H76" i="16"/>
  <c r="H77" i="16"/>
  <c r="AQ77" i="16"/>
  <c r="H78" i="16"/>
  <c r="AH78" i="16"/>
  <c r="AQ79" i="16"/>
  <c r="H79" i="16"/>
  <c r="AQ80" i="16"/>
  <c r="AH80" i="16"/>
  <c r="H81" i="16"/>
  <c r="AH81" i="16"/>
  <c r="H82" i="16"/>
  <c r="H83" i="16"/>
  <c r="H84" i="16"/>
  <c r="AH84" i="16"/>
  <c r="H85" i="16"/>
  <c r="H87" i="16"/>
  <c r="H88" i="16"/>
  <c r="AH88" i="16"/>
  <c r="AH89" i="16"/>
  <c r="H89" i="16"/>
  <c r="H90" i="16"/>
  <c r="H91" i="16"/>
  <c r="AH92" i="16"/>
  <c r="H92" i="16"/>
  <c r="H93" i="16"/>
  <c r="AH93" i="16"/>
  <c r="H94" i="16"/>
  <c r="AQ94" i="16"/>
  <c r="H96" i="16"/>
  <c r="AH96" i="16"/>
  <c r="H97" i="16"/>
  <c r="H98" i="16"/>
  <c r="AJ98" i="16"/>
  <c r="AQ99" i="16"/>
  <c r="AH100" i="16"/>
  <c r="H100" i="16"/>
  <c r="H101" i="16"/>
  <c r="AQ101" i="16"/>
  <c r="AH102" i="16"/>
  <c r="H103" i="16"/>
  <c r="H104" i="16"/>
  <c r="AJ104" i="16"/>
  <c r="H105" i="16"/>
  <c r="AJ105" i="16"/>
  <c r="AH106" i="16"/>
  <c r="H106" i="16"/>
  <c r="AJ106" i="16"/>
  <c r="AH107" i="16"/>
  <c r="H107" i="16"/>
  <c r="H108" i="16"/>
  <c r="AH108" i="16"/>
  <c r="H110" i="16"/>
  <c r="AH110" i="16"/>
  <c r="AJ110" i="16"/>
  <c r="AQ110" i="16"/>
  <c r="AH111" i="16"/>
  <c r="H111" i="16"/>
  <c r="AH112" i="16"/>
  <c r="AJ112" i="16"/>
  <c r="H112" i="16"/>
  <c r="AQ113" i="16"/>
  <c r="H113" i="16"/>
  <c r="AH114" i="16"/>
  <c r="H114" i="16"/>
  <c r="H115" i="16"/>
  <c r="AH116" i="16"/>
  <c r="H116" i="16"/>
  <c r="AH117" i="16"/>
  <c r="H117" i="16"/>
  <c r="H118" i="16"/>
  <c r="H121" i="16"/>
  <c r="H122" i="16"/>
  <c r="AH122" i="16"/>
  <c r="H123" i="16"/>
  <c r="AQ124" i="16"/>
  <c r="AH124" i="16"/>
  <c r="AJ125" i="16"/>
  <c r="AH125" i="16"/>
  <c r="H125" i="16"/>
  <c r="H126" i="16"/>
  <c r="AJ126" i="16"/>
  <c r="AH126" i="16"/>
  <c r="H127" i="16"/>
  <c r="AJ129" i="16"/>
  <c r="AH129" i="16"/>
  <c r="H129" i="16"/>
  <c r="H130" i="16"/>
  <c r="H131" i="16"/>
  <c r="AH132" i="16"/>
  <c r="H132" i="16"/>
  <c r="H133" i="16"/>
  <c r="H134" i="16"/>
  <c r="AH134" i="16"/>
  <c r="H135" i="16"/>
  <c r="H136" i="16"/>
  <c r="H137" i="16"/>
  <c r="H138" i="16"/>
  <c r="AQ139" i="16"/>
  <c r="H139" i="16"/>
  <c r="H140" i="16"/>
  <c r="AH140" i="16"/>
  <c r="AQ141" i="16"/>
  <c r="H141" i="16"/>
  <c r="H142" i="16"/>
  <c r="AH142" i="16"/>
  <c r="H143" i="16"/>
  <c r="AJ144" i="16"/>
  <c r="H144" i="16"/>
  <c r="AQ144" i="16"/>
  <c r="AH145" i="16"/>
  <c r="H145" i="16"/>
  <c r="AQ146" i="16"/>
  <c r="AJ146" i="16"/>
  <c r="AH146" i="16"/>
  <c r="H146" i="16"/>
  <c r="AQ147" i="16"/>
  <c r="H147" i="16"/>
  <c r="AH148" i="16"/>
  <c r="H148" i="16"/>
  <c r="AJ148" i="16"/>
  <c r="AH149" i="16"/>
  <c r="H150" i="16"/>
  <c r="AH150" i="16"/>
  <c r="AQ150" i="16"/>
  <c r="AJ150" i="16"/>
  <c r="AQ151" i="16"/>
  <c r="H151" i="16"/>
  <c r="AJ151" i="16"/>
  <c r="AH151" i="16"/>
  <c r="AQ152" i="16"/>
  <c r="AJ152" i="16"/>
  <c r="H152" i="16"/>
  <c r="AH152" i="16"/>
  <c r="AH153" i="16"/>
  <c r="AQ153" i="16"/>
  <c r="H154" i="16"/>
  <c r="AH155" i="16"/>
  <c r="AJ155" i="16"/>
  <c r="H155" i="16"/>
  <c r="AH156" i="16"/>
  <c r="H156" i="16"/>
  <c r="H157" i="16"/>
  <c r="AH157" i="16"/>
  <c r="AQ158" i="16"/>
  <c r="H158" i="16"/>
  <c r="AJ158" i="16"/>
  <c r="AH158" i="16"/>
  <c r="AQ159" i="16"/>
  <c r="H159" i="16"/>
  <c r="AJ159" i="16"/>
  <c r="AH160" i="16"/>
  <c r="H160" i="16"/>
  <c r="H161" i="16"/>
  <c r="AH162" i="16"/>
  <c r="AH165" i="16"/>
  <c r="H165" i="16"/>
  <c r="AJ165" i="16"/>
  <c r="AQ165" i="16"/>
  <c r="AJ166" i="16"/>
  <c r="AQ166" i="16"/>
  <c r="H166" i="16"/>
  <c r="AH166" i="16"/>
  <c r="AJ167" i="16"/>
  <c r="AH167" i="16"/>
  <c r="AJ169" i="16"/>
  <c r="AQ169" i="16"/>
  <c r="H173" i="16"/>
  <c r="AH173" i="16"/>
  <c r="AQ175" i="16"/>
  <c r="AJ175" i="16"/>
  <c r="H175" i="16"/>
  <c r="AQ176" i="16"/>
  <c r="AJ176" i="16"/>
  <c r="H176" i="16"/>
  <c r="AH177" i="16"/>
  <c r="H177" i="16"/>
  <c r="AJ178" i="16"/>
  <c r="H178" i="16"/>
  <c r="H179" i="16"/>
  <c r="AH180" i="16"/>
  <c r="H180" i="16"/>
  <c r="AQ180" i="16"/>
  <c r="AQ182" i="16"/>
  <c r="H182" i="16"/>
  <c r="AJ182" i="16"/>
  <c r="AH182" i="16"/>
  <c r="H184" i="16"/>
  <c r="AH184" i="16"/>
  <c r="AJ184" i="16"/>
  <c r="H187" i="16"/>
  <c r="AH187" i="16"/>
  <c r="AH189" i="16"/>
  <c r="AJ189" i="16"/>
  <c r="H190" i="16"/>
  <c r="AQ190" i="16"/>
  <c r="AJ190" i="16"/>
  <c r="AH190" i="16"/>
  <c r="AH191" i="16"/>
  <c r="H191" i="16"/>
  <c r="AH192" i="16"/>
  <c r="AJ192" i="16"/>
  <c r="AQ192" i="16"/>
  <c r="H193" i="16"/>
  <c r="AH193" i="16"/>
  <c r="AQ193" i="16"/>
  <c r="AJ194" i="16"/>
  <c r="AH194" i="16"/>
  <c r="H194" i="16"/>
  <c r="AQ194" i="16"/>
  <c r="AH195" i="16"/>
  <c r="H195" i="16"/>
  <c r="H196" i="16"/>
  <c r="H197" i="16"/>
  <c r="H198" i="16"/>
  <c r="H200" i="16"/>
  <c r="H205" i="16"/>
  <c r="H206" i="16"/>
  <c r="H209" i="16"/>
  <c r="AJ209" i="16"/>
  <c r="AH209" i="16"/>
  <c r="H210" i="16"/>
  <c r="AH211" i="16"/>
  <c r="H211" i="16"/>
  <c r="H212" i="16"/>
  <c r="AH212" i="16"/>
  <c r="AH214" i="16"/>
  <c r="H214" i="16"/>
  <c r="H216" i="16"/>
  <c r="H218" i="16"/>
  <c r="AH218" i="16"/>
  <c r="AJ220" i="16"/>
  <c r="AQ220" i="16"/>
  <c r="AH221" i="16"/>
  <c r="AJ221" i="16"/>
  <c r="AQ221" i="16"/>
  <c r="H224" i="16"/>
  <c r="AQ224" i="16"/>
  <c r="AH224" i="16"/>
  <c r="H225" i="16"/>
  <c r="AH225" i="16"/>
  <c r="AJ225" i="16"/>
  <c r="AJ226" i="16"/>
  <c r="H226" i="16"/>
  <c r="H227" i="16"/>
  <c r="AJ227" i="16"/>
  <c r="AH227" i="16"/>
  <c r="AH228" i="16"/>
  <c r="AH229" i="16"/>
  <c r="AH230" i="16"/>
  <c r="H230" i="16"/>
  <c r="H231" i="16"/>
  <c r="AH231" i="16"/>
  <c r="AJ232" i="16"/>
  <c r="AH232" i="16"/>
  <c r="H232" i="16"/>
  <c r="AQ234" i="16"/>
  <c r="H234" i="16"/>
  <c r="AH235" i="16"/>
  <c r="H235" i="16"/>
  <c r="AQ236" i="16"/>
  <c r="AJ236" i="16"/>
  <c r="AH236" i="16"/>
  <c r="H236" i="16"/>
  <c r="H237" i="16"/>
  <c r="AH237" i="16"/>
  <c r="AQ238" i="16"/>
  <c r="H238" i="16"/>
  <c r="AJ238" i="16"/>
  <c r="AH239" i="16"/>
  <c r="AH240" i="16"/>
  <c r="AQ241" i="16"/>
  <c r="AJ241" i="16"/>
  <c r="AH241" i="16"/>
  <c r="H242" i="16"/>
  <c r="AH242" i="16"/>
  <c r="H243" i="16"/>
  <c r="AH243" i="16"/>
  <c r="H244" i="16"/>
  <c r="AQ244" i="16"/>
  <c r="AJ244" i="16"/>
  <c r="AH244" i="16"/>
  <c r="AJ245" i="16"/>
  <c r="AQ245" i="16"/>
  <c r="AH245" i="16"/>
  <c r="AQ246" i="16"/>
  <c r="AH246" i="16"/>
  <c r="H246" i="16"/>
  <c r="AQ247" i="16"/>
  <c r="AJ247" i="16"/>
  <c r="AH247" i="16"/>
  <c r="AH248" i="16"/>
  <c r="AQ248" i="16"/>
  <c r="AH249" i="16"/>
  <c r="H251" i="16"/>
  <c r="AH255" i="16"/>
  <c r="H255" i="16"/>
  <c r="AQ256" i="16"/>
  <c r="AH257" i="16"/>
  <c r="H257" i="16"/>
  <c r="AJ258" i="16"/>
  <c r="H258" i="16"/>
  <c r="AH259" i="16"/>
  <c r="AJ259" i="16"/>
  <c r="H259" i="16"/>
  <c r="AH261" i="16"/>
  <c r="AJ263" i="16"/>
  <c r="AJ264" i="16"/>
  <c r="AQ264" i="16"/>
  <c r="AH264" i="16"/>
  <c r="H265" i="16"/>
  <c r="AQ265" i="16"/>
  <c r="AJ265" i="16"/>
  <c r="AH265" i="16"/>
  <c r="H268" i="16"/>
  <c r="AH268" i="16"/>
  <c r="H269" i="16"/>
  <c r="H271" i="16"/>
  <c r="H272" i="16"/>
  <c r="AQ272" i="16"/>
  <c r="AJ272" i="16"/>
  <c r="AJ273" i="16"/>
  <c r="AH273" i="16"/>
  <c r="H276" i="16"/>
  <c r="AH281" i="16"/>
  <c r="H281" i="16"/>
  <c r="AH283" i="16"/>
  <c r="H284" i="16"/>
  <c r="AQ287" i="16"/>
  <c r="AH287" i="16"/>
  <c r="AH288" i="16"/>
  <c r="H289" i="16"/>
  <c r="AH289" i="16"/>
  <c r="H290" i="16"/>
  <c r="AH290" i="16"/>
  <c r="AJ293" i="16"/>
  <c r="H293" i="16"/>
  <c r="H294" i="16"/>
  <c r="H296" i="16"/>
  <c r="AQ298" i="16"/>
  <c r="AH298" i="16"/>
  <c r="H299" i="16"/>
  <c r="AH299" i="16"/>
  <c r="H301" i="16"/>
  <c r="H304" i="16"/>
  <c r="AH304" i="16"/>
  <c r="H307" i="16"/>
  <c r="AQ308" i="16"/>
  <c r="AH308" i="16"/>
  <c r="AJ308" i="16"/>
  <c r="AH309" i="16"/>
  <c r="H309" i="16"/>
  <c r="AQ309" i="16"/>
  <c r="AQ310" i="16"/>
  <c r="AH310" i="16"/>
  <c r="H310" i="16"/>
  <c r="AH311" i="16"/>
  <c r="AQ314" i="16"/>
  <c r="AJ314" i="16"/>
  <c r="AH314" i="16"/>
  <c r="H314" i="16"/>
  <c r="AH315" i="16"/>
  <c r="AH317" i="16"/>
  <c r="H317" i="16"/>
  <c r="H318" i="16"/>
  <c r="AH318" i="16"/>
  <c r="AQ319" i="16"/>
  <c r="H320" i="16"/>
  <c r="AH320" i="16"/>
  <c r="AJ320" i="16"/>
  <c r="H321" i="16"/>
  <c r="AH321" i="16"/>
  <c r="H323" i="16"/>
  <c r="AH323" i="16"/>
  <c r="H324" i="16"/>
  <c r="AH324" i="16"/>
  <c r="AQ324" i="16"/>
  <c r="H325" i="16"/>
  <c r="AH325" i="16"/>
  <c r="H326" i="16"/>
  <c r="AQ326" i="16"/>
  <c r="AQ327" i="16"/>
  <c r="H327" i="16"/>
  <c r="AH327" i="16"/>
  <c r="AH328" i="16"/>
  <c r="AH329" i="16"/>
  <c r="AJ329" i="16"/>
  <c r="H330" i="16"/>
  <c r="H333" i="16"/>
  <c r="AJ334" i="16"/>
  <c r="AQ334" i="16"/>
  <c r="H335" i="16"/>
  <c r="AH335" i="16"/>
  <c r="H336" i="16"/>
  <c r="AJ336" i="16"/>
  <c r="AQ337" i="16"/>
  <c r="AH337" i="16"/>
  <c r="AH338" i="16"/>
  <c r="AH340" i="16"/>
  <c r="H340" i="16"/>
  <c r="AJ344" i="16"/>
  <c r="H344" i="16"/>
  <c r="H346" i="16"/>
  <c r="AH346" i="16"/>
  <c r="AH347" i="16"/>
  <c r="H347" i="16"/>
  <c r="AJ348" i="16"/>
  <c r="H348" i="16"/>
  <c r="H350" i="16"/>
  <c r="AH350" i="16"/>
  <c r="AQ351" i="16"/>
  <c r="AH351" i="16"/>
  <c r="H351" i="16"/>
  <c r="AH352" i="16"/>
  <c r="H352" i="16"/>
  <c r="AH356" i="16"/>
  <c r="H356" i="16"/>
  <c r="AH358" i="16"/>
  <c r="H358" i="16"/>
  <c r="H359" i="16"/>
  <c r="AQ359" i="16"/>
  <c r="AH360" i="16"/>
  <c r="AJ361" i="16"/>
  <c r="AH361" i="16"/>
  <c r="H361" i="16"/>
  <c r="H362" i="16"/>
  <c r="AH362" i="16"/>
  <c r="H364" i="16"/>
  <c r="H367" i="16"/>
  <c r="AJ367" i="16"/>
  <c r="H369" i="16"/>
  <c r="AH371" i="16"/>
  <c r="AJ373" i="16"/>
  <c r="AH373" i="16"/>
  <c r="AJ374" i="16"/>
  <c r="AH374" i="16"/>
  <c r="AH375" i="16"/>
  <c r="AJ375" i="16"/>
  <c r="AH376" i="16"/>
  <c r="AJ376" i="16"/>
  <c r="AQ376" i="16"/>
  <c r="H376" i="16"/>
  <c r="AJ377" i="16"/>
  <c r="AH377" i="16"/>
  <c r="H377" i="16"/>
  <c r="AJ378" i="16"/>
  <c r="AH378" i="16"/>
  <c r="H378" i="16"/>
  <c r="AH379" i="16"/>
  <c r="AJ379" i="16"/>
  <c r="AQ379" i="16"/>
  <c r="AH380" i="16"/>
  <c r="AJ380" i="16"/>
  <c r="AQ380" i="16"/>
  <c r="H380" i="16"/>
  <c r="AH381" i="16"/>
  <c r="AJ381" i="16"/>
  <c r="AQ381" i="16"/>
  <c r="H382" i="16"/>
  <c r="AH382" i="16"/>
  <c r="AJ382" i="16"/>
  <c r="AQ382" i="16"/>
  <c r="AQ383" i="16"/>
  <c r="AH383" i="16"/>
  <c r="AJ383" i="16"/>
  <c r="AH384" i="16"/>
  <c r="AJ384" i="16"/>
  <c r="AQ384" i="16"/>
  <c r="AQ385" i="16"/>
  <c r="AJ385" i="16"/>
  <c r="H386" i="16"/>
  <c r="AH386" i="16"/>
  <c r="AH387" i="16"/>
  <c r="AQ387" i="16"/>
  <c r="AH388" i="16"/>
  <c r="AJ388" i="16"/>
  <c r="H388" i="16"/>
  <c r="AH389" i="16"/>
  <c r="AJ389" i="16"/>
  <c r="H389" i="16"/>
  <c r="AQ389" i="16"/>
  <c r="H394" i="16"/>
  <c r="H395" i="16"/>
  <c r="AH395" i="16"/>
  <c r="AQ396" i="16"/>
  <c r="H396" i="16"/>
  <c r="AQ397" i="16"/>
  <c r="AH397" i="16"/>
  <c r="AH398" i="16"/>
  <c r="H399" i="16"/>
  <c r="H400" i="16"/>
  <c r="AH402" i="16"/>
  <c r="H402" i="16"/>
  <c r="H403" i="16"/>
  <c r="AJ403" i="16"/>
  <c r="AH403" i="16"/>
  <c r="AQ404" i="16"/>
  <c r="AJ404" i="16"/>
  <c r="AH404" i="16"/>
  <c r="AH405" i="16"/>
  <c r="AJ407" i="16"/>
  <c r="H407" i="16"/>
  <c r="AQ409" i="16"/>
  <c r="AJ409" i="16"/>
  <c r="AH409" i="16"/>
  <c r="AH410" i="16"/>
  <c r="AJ411" i="16"/>
  <c r="AH412" i="16"/>
  <c r="AJ412" i="16"/>
  <c r="AJ414" i="16"/>
  <c r="H414" i="16"/>
  <c r="H416" i="16"/>
  <c r="AH416" i="16"/>
  <c r="H417" i="16"/>
  <c r="H418" i="16"/>
  <c r="AJ418" i="16"/>
  <c r="H419" i="16"/>
  <c r="AH419" i="16"/>
  <c r="H420" i="16"/>
  <c r="H421" i="16"/>
  <c r="H424" i="16"/>
  <c r="AQ424" i="16"/>
  <c r="AH424" i="16"/>
  <c r="AJ424" i="16"/>
  <c r="AH425" i="16"/>
  <c r="AJ425" i="16"/>
  <c r="AH427" i="16"/>
  <c r="H429" i="16"/>
  <c r="AH430" i="16"/>
  <c r="H433" i="16"/>
  <c r="AH433" i="16"/>
  <c r="AH436" i="16"/>
  <c r="H436" i="16"/>
  <c r="AQ437" i="16"/>
  <c r="H437" i="16"/>
  <c r="AQ438" i="16"/>
  <c r="AJ438" i="16"/>
  <c r="AH438" i="16"/>
  <c r="H438" i="16"/>
  <c r="H440" i="16"/>
  <c r="AH440" i="16"/>
  <c r="AQ442" i="16"/>
  <c r="AH442" i="16"/>
  <c r="AJ442" i="16"/>
  <c r="H443" i="16"/>
  <c r="AH443" i="16"/>
  <c r="H445" i="16"/>
  <c r="H447" i="16"/>
  <c r="AJ447" i="16"/>
  <c r="H448" i="16"/>
  <c r="AQ448" i="16"/>
  <c r="H449" i="16"/>
  <c r="AQ449" i="16"/>
  <c r="AH449" i="16"/>
  <c r="AH452" i="16"/>
  <c r="H453" i="16"/>
  <c r="AQ453" i="16"/>
  <c r="AH453" i="16"/>
  <c r="AH456" i="16"/>
  <c r="AQ456" i="16"/>
  <c r="AQ457" i="16"/>
  <c r="AJ457" i="16"/>
  <c r="AH457" i="16"/>
  <c r="H458" i="16"/>
  <c r="AH458" i="16"/>
  <c r="H459" i="16"/>
  <c r="AH459" i="16"/>
  <c r="H460" i="16"/>
  <c r="AQ460" i="16"/>
  <c r="AH461" i="16"/>
  <c r="AH463" i="16"/>
  <c r="H463" i="16"/>
  <c r="AQ464" i="16"/>
  <c r="AH465" i="16"/>
  <c r="AJ465" i="16"/>
  <c r="AQ466" i="16"/>
  <c r="H466" i="16"/>
  <c r="AJ466" i="16"/>
  <c r="AH466" i="16"/>
  <c r="AH467" i="16"/>
  <c r="H470" i="16"/>
  <c r="AQ470" i="16"/>
  <c r="H471" i="16"/>
  <c r="AH471" i="16"/>
  <c r="H472" i="16"/>
  <c r="H478" i="16"/>
  <c r="AH478" i="16"/>
  <c r="AJ481" i="16"/>
  <c r="H481" i="16"/>
  <c r="AH482" i="16"/>
  <c r="H482" i="16"/>
  <c r="H484" i="16"/>
  <c r="AJ484" i="16"/>
  <c r="AH485" i="16"/>
  <c r="H485" i="16"/>
  <c r="AQ486" i="16"/>
  <c r="AH486" i="16"/>
  <c r="AH487" i="16"/>
  <c r="H487" i="16"/>
  <c r="H488" i="16"/>
  <c r="AH488" i="16"/>
  <c r="AJ489" i="16"/>
  <c r="AJ491" i="16"/>
  <c r="AQ491" i="16"/>
  <c r="H492" i="16"/>
  <c r="AH492" i="16"/>
  <c r="H493" i="16"/>
  <c r="H495" i="16"/>
  <c r="AJ496" i="16"/>
  <c r="H497" i="16"/>
  <c r="AQ497" i="16"/>
  <c r="H498" i="16"/>
  <c r="AH498" i="16"/>
  <c r="AH499" i="16"/>
  <c r="H499" i="16"/>
  <c r="AH500" i="16"/>
  <c r="H500" i="16"/>
  <c r="AH501" i="16"/>
  <c r="AJ502" i="16"/>
  <c r="AQ502" i="16"/>
  <c r="H502" i="16"/>
  <c r="AH127" i="16"/>
  <c r="AI127" i="16"/>
  <c r="AJ127" i="16" s="1"/>
  <c r="AH131" i="16"/>
  <c r="AI131" i="16"/>
  <c r="AJ131" i="16" s="1"/>
  <c r="AH164" i="16"/>
  <c r="AI164" i="16"/>
  <c r="AJ164" i="16" s="1"/>
  <c r="AI303" i="16"/>
  <c r="AJ303" i="16" s="1"/>
  <c r="AH303" i="16"/>
  <c r="AH369" i="16"/>
  <c r="AI369" i="16"/>
  <c r="AJ369" i="16" s="1"/>
  <c r="L506" i="4"/>
  <c r="J36" i="4"/>
  <c r="I36" i="7" s="1"/>
  <c r="J35" i="4"/>
  <c r="I35" i="7" s="1"/>
  <c r="J71" i="4"/>
  <c r="I71" i="7" s="1"/>
  <c r="J70" i="4"/>
  <c r="I70" i="7" s="1"/>
  <c r="J69" i="4"/>
  <c r="I69" i="7" s="1"/>
  <c r="J68" i="4"/>
  <c r="I68" i="7" s="1"/>
  <c r="J67" i="4"/>
  <c r="I67" i="7" s="1"/>
  <c r="J66" i="4"/>
  <c r="I66" i="7" s="1"/>
  <c r="J65" i="4"/>
  <c r="I65" i="7" s="1"/>
  <c r="J64" i="4"/>
  <c r="I64" i="7" s="1"/>
  <c r="J63" i="4"/>
  <c r="I63" i="7" s="1"/>
  <c r="J62" i="4"/>
  <c r="I62" i="7" s="1"/>
  <c r="J61" i="4"/>
  <c r="I61" i="7" s="1"/>
  <c r="J60" i="4"/>
  <c r="I60" i="7" s="1"/>
  <c r="J59" i="4"/>
  <c r="I59" i="7" s="1"/>
  <c r="J58" i="4"/>
  <c r="I58" i="7" s="1"/>
  <c r="J57" i="4"/>
  <c r="I57" i="7" s="1"/>
  <c r="J56" i="4"/>
  <c r="I56" i="7" s="1"/>
  <c r="J55" i="4"/>
  <c r="I55" i="7" s="1"/>
  <c r="J54" i="4"/>
  <c r="I54" i="7" s="1"/>
  <c r="J53" i="4"/>
  <c r="I53" i="7" s="1"/>
  <c r="J52" i="4"/>
  <c r="I52" i="7" s="1"/>
  <c r="J51" i="4"/>
  <c r="I51" i="7" s="1"/>
  <c r="J50" i="4"/>
  <c r="I50" i="7" s="1"/>
  <c r="J49" i="4"/>
  <c r="I49" i="7" s="1"/>
  <c r="J48" i="4"/>
  <c r="I48" i="7" s="1"/>
  <c r="J47" i="4"/>
  <c r="I47" i="7" s="1"/>
  <c r="J46" i="4"/>
  <c r="I46" i="7" s="1"/>
  <c r="J45" i="4"/>
  <c r="I45" i="7" s="1"/>
  <c r="J44" i="4"/>
  <c r="I44" i="7" s="1"/>
  <c r="J43" i="4"/>
  <c r="I43" i="7" s="1"/>
  <c r="J42" i="4"/>
  <c r="I42" i="7" s="1"/>
  <c r="J41" i="4"/>
  <c r="I41" i="7" s="1"/>
  <c r="J40" i="4"/>
  <c r="I40" i="7" s="1"/>
  <c r="I507" i="4"/>
  <c r="F2" i="4" s="1"/>
  <c r="J39" i="4"/>
  <c r="I39" i="7" s="1"/>
  <c r="J38" i="4"/>
  <c r="I38" i="7" s="1"/>
  <c r="H7" i="7"/>
  <c r="E11" i="16"/>
  <c r="T23" i="13" s="1"/>
  <c r="E10" i="16"/>
  <c r="E9" i="16"/>
  <c r="E8" i="16"/>
  <c r="E7" i="16"/>
  <c r="H11" i="7"/>
  <c r="E6" i="16"/>
  <c r="E5" i="16"/>
  <c r="E4" i="16"/>
  <c r="F11" i="6"/>
  <c r="F12" i="6" s="1"/>
  <c r="BB3" i="16"/>
  <c r="H3" i="16"/>
  <c r="H4" i="16"/>
  <c r="H5" i="16"/>
  <c r="H6" i="16"/>
  <c r="H7" i="16"/>
  <c r="H8" i="16"/>
  <c r="H9" i="16"/>
  <c r="H10" i="16"/>
  <c r="H11" i="16"/>
  <c r="T22" i="13" s="1"/>
  <c r="O89" i="10"/>
  <c r="O88" i="10"/>
  <c r="O87" i="10"/>
  <c r="O86" i="10"/>
  <c r="O85" i="10"/>
  <c r="H10" i="7"/>
  <c r="O84" i="10"/>
  <c r="O83" i="10"/>
  <c r="H9" i="7"/>
  <c r="H8" i="7"/>
  <c r="O82" i="10"/>
  <c r="P42" i="14"/>
  <c r="Q42" i="14"/>
  <c r="S42" i="14"/>
  <c r="J42" i="14"/>
  <c r="R42" i="14"/>
  <c r="E42" i="14"/>
  <c r="P41" i="14"/>
  <c r="Q41" i="14"/>
  <c r="S41" i="14"/>
  <c r="J41" i="14"/>
  <c r="R41" i="14"/>
  <c r="E41" i="14"/>
  <c r="P40" i="14"/>
  <c r="Q40" i="14"/>
  <c r="S40" i="14"/>
  <c r="J40" i="14"/>
  <c r="R40" i="14"/>
  <c r="E40" i="14"/>
  <c r="P39" i="14"/>
  <c r="Q39" i="14"/>
  <c r="S39" i="14"/>
  <c r="J39" i="14"/>
  <c r="R39" i="14"/>
  <c r="E39" i="14"/>
  <c r="P38" i="14"/>
  <c r="Q38" i="14"/>
  <c r="S38" i="14"/>
  <c r="J38" i="14"/>
  <c r="R38" i="14"/>
  <c r="E38" i="14"/>
  <c r="P37" i="14"/>
  <c r="Q37" i="14"/>
  <c r="S37" i="14"/>
  <c r="J37" i="14"/>
  <c r="R37" i="14"/>
  <c r="E37" i="14"/>
  <c r="P36" i="14"/>
  <c r="Q36" i="14"/>
  <c r="S36" i="14"/>
  <c r="J36" i="14"/>
  <c r="R36" i="14"/>
  <c r="E36" i="14"/>
  <c r="P35" i="14"/>
  <c r="Q35" i="14"/>
  <c r="S35" i="14"/>
  <c r="J35" i="14"/>
  <c r="R35" i="14"/>
  <c r="E35" i="14"/>
  <c r="N43" i="14"/>
  <c r="P34" i="14"/>
  <c r="Q34" i="14"/>
  <c r="S34" i="14"/>
  <c r="J34" i="14"/>
  <c r="R34" i="14"/>
  <c r="E34" i="14"/>
  <c r="M29" i="14"/>
  <c r="L29" i="14"/>
  <c r="K29" i="14"/>
  <c r="N29" i="14"/>
  <c r="I29" i="14"/>
  <c r="J29" i="14"/>
  <c r="M28" i="14"/>
  <c r="L28" i="14"/>
  <c r="K28" i="14"/>
  <c r="I28" i="14"/>
  <c r="J28" i="14"/>
  <c r="N28" i="14"/>
  <c r="M27" i="14"/>
  <c r="L27" i="14"/>
  <c r="K27" i="14"/>
  <c r="N27" i="14"/>
  <c r="J27" i="14"/>
  <c r="I27" i="14"/>
  <c r="M26" i="14"/>
  <c r="L26" i="14"/>
  <c r="K26" i="14"/>
  <c r="N26" i="14"/>
  <c r="J26" i="14"/>
  <c r="I26" i="14"/>
  <c r="M25" i="14"/>
  <c r="L25" i="14"/>
  <c r="K25" i="14"/>
  <c r="N25" i="14"/>
  <c r="J25" i="14"/>
  <c r="I25" i="14"/>
  <c r="M24" i="14"/>
  <c r="L24" i="14"/>
  <c r="K24" i="14"/>
  <c r="N24" i="14"/>
  <c r="J24" i="14"/>
  <c r="I24" i="14"/>
  <c r="M23" i="14"/>
  <c r="L23" i="14"/>
  <c r="K23" i="14"/>
  <c r="N23" i="14"/>
  <c r="J23" i="14"/>
  <c r="I23" i="14"/>
  <c r="M22" i="14"/>
  <c r="L22" i="14"/>
  <c r="K22" i="14"/>
  <c r="J22" i="14"/>
  <c r="I22" i="14"/>
  <c r="N22" i="14"/>
  <c r="M21" i="14"/>
  <c r="L21" i="14"/>
  <c r="K21" i="14"/>
  <c r="N21" i="14"/>
  <c r="I21" i="14"/>
  <c r="J21" i="14"/>
  <c r="O81" i="10"/>
  <c r="BB503" i="16" l="1"/>
  <c r="J32" i="4"/>
  <c r="I32" i="7" s="1"/>
  <c r="J30" i="4"/>
  <c r="I30" i="7" s="1"/>
  <c r="J28" i="4"/>
  <c r="I28" i="7" s="1"/>
  <c r="J27" i="4"/>
  <c r="I27" i="7" s="1"/>
  <c r="J25" i="4"/>
  <c r="I25" i="7" s="1"/>
  <c r="J24" i="4"/>
  <c r="I24" i="7" s="1"/>
  <c r="J22" i="4"/>
  <c r="I22" i="7" s="1"/>
  <c r="J20" i="4"/>
  <c r="I20" i="7" s="1"/>
  <c r="J18" i="4"/>
  <c r="I18" i="7" s="1"/>
  <c r="J17" i="4"/>
  <c r="I17" i="7" s="1"/>
  <c r="J31" i="4"/>
  <c r="I31" i="7" s="1"/>
  <c r="J29" i="4"/>
  <c r="I29" i="7" s="1"/>
  <c r="J26" i="4"/>
  <c r="I26" i="7" s="1"/>
  <c r="J23" i="4"/>
  <c r="I23" i="7" s="1"/>
  <c r="J21" i="4"/>
  <c r="I21" i="7" s="1"/>
  <c r="J19" i="4"/>
  <c r="I19" i="7" s="1"/>
  <c r="J16" i="4"/>
  <c r="I16" i="7" s="1"/>
  <c r="F6" i="6"/>
  <c r="J34" i="4"/>
  <c r="I34" i="7" s="1"/>
  <c r="J33" i="4"/>
  <c r="I33" i="7" s="1"/>
  <c r="E503" i="16"/>
  <c r="H503" i="16"/>
  <c r="J7" i="4"/>
  <c r="I7" i="7" s="1"/>
  <c r="J15" i="4"/>
  <c r="I15" i="7" s="1"/>
  <c r="J14" i="4"/>
  <c r="I14" i="7" s="1"/>
  <c r="J13" i="4"/>
  <c r="I13" i="7" s="1"/>
  <c r="J12" i="4"/>
  <c r="I12" i="7" s="1"/>
  <c r="J11" i="4"/>
  <c r="I11" i="7" s="1"/>
  <c r="J10" i="4"/>
  <c r="I10" i="7" s="1"/>
  <c r="J9" i="4"/>
  <c r="I9" i="7" s="1"/>
  <c r="J8" i="4"/>
  <c r="I8" i="7" s="1"/>
  <c r="C209" i="14"/>
  <c r="C208" i="14"/>
  <c r="C207" i="14"/>
  <c r="C206" i="14"/>
  <c r="C205" i="14"/>
  <c r="C204" i="14"/>
  <c r="C203" i="14"/>
  <c r="C202" i="14"/>
  <c r="P43" i="14"/>
  <c r="C201" i="14"/>
  <c r="Q43" i="14"/>
  <c r="R43" i="14"/>
  <c r="O29" i="14"/>
  <c r="O28" i="14"/>
  <c r="O27" i="14"/>
  <c r="O26" i="14"/>
  <c r="O25" i="14"/>
  <c r="O24" i="14"/>
  <c r="O23" i="14"/>
  <c r="O22" i="14"/>
  <c r="O21" i="14"/>
  <c r="L28" i="10"/>
  <c r="F12" i="16" l="1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0" i="16"/>
  <c r="F501" i="16"/>
  <c r="F502" i="16"/>
  <c r="F198" i="16"/>
  <c r="F3" i="16"/>
  <c r="F4" i="16"/>
  <c r="F5" i="16"/>
  <c r="F6" i="16"/>
  <c r="F7" i="16"/>
  <c r="F8" i="16"/>
  <c r="F9" i="16"/>
  <c r="F10" i="16"/>
  <c r="F11" i="16"/>
  <c r="X21" i="13" s="1"/>
  <c r="G43" i="6"/>
  <c r="F14" i="10"/>
  <c r="G14" i="10" s="1"/>
  <c r="O61" i="10"/>
  <c r="P61" i="10" s="1"/>
  <c r="I31" i="5" l="1"/>
  <c r="O65" i="10"/>
  <c r="G45" i="6"/>
  <c r="F16" i="10"/>
  <c r="G16" i="10" s="1"/>
  <c r="O63" i="10"/>
  <c r="P63" i="10" s="1"/>
  <c r="F17" i="6" l="1"/>
  <c r="C15" i="9"/>
  <c r="F55" i="10"/>
  <c r="G55" i="10" s="1"/>
  <c r="O96" i="10"/>
  <c r="I9" i="10"/>
  <c r="F5" i="10"/>
  <c r="F25" i="6"/>
  <c r="C11" i="9"/>
  <c r="F54" i="10"/>
  <c r="G54" i="10" s="1"/>
  <c r="O75" i="10"/>
  <c r="O95" i="10"/>
  <c r="AN28" i="16" l="1"/>
  <c r="AN29" i="16"/>
  <c r="AN22" i="16"/>
  <c r="AN23" i="16"/>
  <c r="AN24" i="16"/>
  <c r="AN25" i="16"/>
  <c r="AN26" i="16"/>
  <c r="AN27" i="16"/>
  <c r="AN30" i="16"/>
  <c r="AN13" i="16"/>
  <c r="AN14" i="16"/>
  <c r="AN15" i="16"/>
  <c r="AN16" i="16"/>
  <c r="AN17" i="16"/>
  <c r="AN18" i="16"/>
  <c r="AN19" i="16"/>
  <c r="AN20" i="16"/>
  <c r="AN21" i="16"/>
  <c r="AN12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I418" i="16"/>
  <c r="I419" i="16"/>
  <c r="I420" i="16"/>
  <c r="I421" i="16"/>
  <c r="I422" i="16"/>
  <c r="I423" i="16"/>
  <c r="I424" i="16"/>
  <c r="I425" i="16"/>
  <c r="I426" i="16"/>
  <c r="I427" i="16"/>
  <c r="I428" i="16"/>
  <c r="I429" i="16"/>
  <c r="I430" i="16"/>
  <c r="I431" i="16"/>
  <c r="I432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446" i="16"/>
  <c r="I447" i="16"/>
  <c r="I448" i="16"/>
  <c r="I449" i="16"/>
  <c r="I450" i="16"/>
  <c r="I451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64" i="16"/>
  <c r="I465" i="16"/>
  <c r="I466" i="16"/>
  <c r="I467" i="16"/>
  <c r="I468" i="16"/>
  <c r="I469" i="16"/>
  <c r="I470" i="16"/>
  <c r="I471" i="16"/>
  <c r="I472" i="16"/>
  <c r="I1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13" i="16"/>
  <c r="I14" i="16"/>
  <c r="I15" i="16"/>
  <c r="I16" i="16"/>
  <c r="I17" i="16"/>
  <c r="I18" i="16"/>
  <c r="I19" i="16"/>
  <c r="I20" i="16"/>
  <c r="I21" i="16"/>
  <c r="I22" i="16"/>
  <c r="I30" i="16"/>
  <c r="I31" i="16"/>
  <c r="I32" i="16"/>
  <c r="I33" i="16"/>
  <c r="I34" i="16"/>
  <c r="I35" i="16"/>
  <c r="I36" i="16"/>
  <c r="I41" i="16"/>
  <c r="I44" i="16"/>
  <c r="I45" i="16"/>
  <c r="I46" i="16"/>
  <c r="I47" i="16"/>
  <c r="I48" i="16"/>
  <c r="I55" i="16"/>
  <c r="I56" i="16"/>
  <c r="I57" i="16"/>
  <c r="I58" i="16"/>
  <c r="I59" i="16"/>
  <c r="I67" i="16"/>
  <c r="I68" i="16"/>
  <c r="I69" i="16"/>
  <c r="I70" i="16"/>
  <c r="I71" i="16"/>
  <c r="I72" i="16"/>
  <c r="I73" i="16"/>
  <c r="I74" i="16"/>
  <c r="I75" i="16"/>
  <c r="I76" i="16"/>
  <c r="I79" i="16"/>
  <c r="I86" i="16"/>
  <c r="I87" i="16"/>
  <c r="I88" i="16"/>
  <c r="I89" i="16"/>
  <c r="I90" i="16"/>
  <c r="I91" i="16"/>
  <c r="I92" i="16"/>
  <c r="I93" i="16"/>
  <c r="I94" i="16"/>
  <c r="I95" i="16"/>
  <c r="I96" i="16"/>
  <c r="I104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8" i="16"/>
  <c r="I129" i="16"/>
  <c r="I130" i="16"/>
  <c r="I131" i="16"/>
  <c r="I132" i="16"/>
  <c r="I133" i="16"/>
  <c r="I134" i="16"/>
  <c r="I135" i="16"/>
  <c r="I136" i="16"/>
  <c r="I137" i="16"/>
  <c r="I138" i="16"/>
  <c r="I147" i="16"/>
  <c r="I148" i="16"/>
  <c r="I149" i="16"/>
  <c r="I167" i="16"/>
  <c r="I168" i="16"/>
  <c r="I169" i="16"/>
  <c r="I170" i="16"/>
  <c r="I171" i="16"/>
  <c r="I172" i="16"/>
  <c r="I173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9" i="16"/>
  <c r="I210" i="16"/>
  <c r="I211" i="16"/>
  <c r="I212" i="16"/>
  <c r="I213" i="16"/>
  <c r="I216" i="16"/>
  <c r="I217" i="16"/>
  <c r="I224" i="16"/>
  <c r="I225" i="16"/>
  <c r="I228" i="16"/>
  <c r="I229" i="16"/>
  <c r="I231" i="16"/>
  <c r="I234" i="16"/>
  <c r="I235" i="16"/>
  <c r="I236" i="16"/>
  <c r="I237" i="16"/>
  <c r="I239" i="16"/>
  <c r="I242" i="16"/>
  <c r="I243" i="16"/>
  <c r="I245" i="16"/>
  <c r="I246" i="16"/>
  <c r="I247" i="16"/>
  <c r="I248" i="16"/>
  <c r="I253" i="16"/>
  <c r="I254" i="16"/>
  <c r="I255" i="16"/>
  <c r="I256" i="16"/>
  <c r="I257" i="16"/>
  <c r="I258" i="16"/>
  <c r="I259" i="16"/>
  <c r="I263" i="16"/>
  <c r="I267" i="16"/>
  <c r="I268" i="16"/>
  <c r="I269" i="16"/>
  <c r="I270" i="16"/>
  <c r="I271" i="16"/>
  <c r="I274" i="16"/>
  <c r="I275" i="16"/>
  <c r="I276" i="16"/>
  <c r="I277" i="16"/>
  <c r="I283" i="16"/>
  <c r="I285" i="16"/>
  <c r="I286" i="16"/>
  <c r="I287" i="16"/>
  <c r="I288" i="16"/>
  <c r="I289" i="16"/>
  <c r="I290" i="16"/>
  <c r="I291" i="16"/>
  <c r="I297" i="16"/>
  <c r="I298" i="16"/>
  <c r="I305" i="16"/>
  <c r="I306" i="16"/>
  <c r="I307" i="16"/>
  <c r="I308" i="16"/>
  <c r="I310" i="16"/>
  <c r="I311" i="16"/>
  <c r="I312" i="16"/>
  <c r="I313" i="16"/>
  <c r="I316" i="16"/>
  <c r="I317" i="16"/>
  <c r="I322" i="16"/>
  <c r="I323" i="16"/>
  <c r="I326" i="16"/>
  <c r="I328" i="16"/>
  <c r="I329" i="16"/>
  <c r="I498" i="16"/>
  <c r="I499" i="16"/>
  <c r="I500" i="16"/>
  <c r="I501" i="16"/>
  <c r="I502" i="16"/>
  <c r="I23" i="16"/>
  <c r="I24" i="16"/>
  <c r="I25" i="16"/>
  <c r="I26" i="16"/>
  <c r="I27" i="16"/>
  <c r="I28" i="16"/>
  <c r="I29" i="16"/>
  <c r="I37" i="16"/>
  <c r="I38" i="16"/>
  <c r="I39" i="16"/>
  <c r="I40" i="16"/>
  <c r="I42" i="16"/>
  <c r="I43" i="16"/>
  <c r="I49" i="16"/>
  <c r="I50" i="16"/>
  <c r="I51" i="16"/>
  <c r="I52" i="16"/>
  <c r="I53" i="16"/>
  <c r="I54" i="16"/>
  <c r="I60" i="16"/>
  <c r="I61" i="16"/>
  <c r="I62" i="16"/>
  <c r="I63" i="16"/>
  <c r="I64" i="16"/>
  <c r="I65" i="16"/>
  <c r="I66" i="16"/>
  <c r="I77" i="16"/>
  <c r="I78" i="16"/>
  <c r="I80" i="16"/>
  <c r="I81" i="16"/>
  <c r="I82" i="16"/>
  <c r="I83" i="16"/>
  <c r="I84" i="16"/>
  <c r="I85" i="16"/>
  <c r="I97" i="16"/>
  <c r="I98" i="16"/>
  <c r="I99" i="16"/>
  <c r="I100" i="16"/>
  <c r="I101" i="16"/>
  <c r="I102" i="16"/>
  <c r="I103" i="16"/>
  <c r="I105" i="16"/>
  <c r="I120" i="16"/>
  <c r="I121" i="16"/>
  <c r="I122" i="16"/>
  <c r="I123" i="16"/>
  <c r="I124" i="16"/>
  <c r="I125" i="16"/>
  <c r="I126" i="16"/>
  <c r="I127" i="16"/>
  <c r="I139" i="16"/>
  <c r="I140" i="16"/>
  <c r="I141" i="16"/>
  <c r="I142" i="16"/>
  <c r="I143" i="16"/>
  <c r="I144" i="16"/>
  <c r="I145" i="16"/>
  <c r="I146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74" i="16"/>
  <c r="I175" i="16"/>
  <c r="I189" i="16"/>
  <c r="I205" i="16"/>
  <c r="I206" i="16"/>
  <c r="I207" i="16"/>
  <c r="I208" i="16"/>
  <c r="I214" i="16"/>
  <c r="I215" i="16"/>
  <c r="I218" i="16"/>
  <c r="I219" i="16"/>
  <c r="I220" i="16"/>
  <c r="I221" i="16"/>
  <c r="I222" i="16"/>
  <c r="I223" i="16"/>
  <c r="I226" i="16"/>
  <c r="I227" i="16"/>
  <c r="I230" i="16"/>
  <c r="I232" i="16"/>
  <c r="I233" i="16"/>
  <c r="I238" i="16"/>
  <c r="I240" i="16"/>
  <c r="I241" i="16"/>
  <c r="I244" i="16"/>
  <c r="I249" i="16"/>
  <c r="I250" i="16"/>
  <c r="I251" i="16"/>
  <c r="I252" i="16"/>
  <c r="I260" i="16"/>
  <c r="I261" i="16"/>
  <c r="I262" i="16"/>
  <c r="I264" i="16"/>
  <c r="I265" i="16"/>
  <c r="I266" i="16"/>
  <c r="I272" i="16"/>
  <c r="I273" i="16"/>
  <c r="I278" i="16"/>
  <c r="I279" i="16"/>
  <c r="I280" i="16"/>
  <c r="I281" i="16"/>
  <c r="I282" i="16"/>
  <c r="I284" i="16"/>
  <c r="I292" i="16"/>
  <c r="I293" i="16"/>
  <c r="I294" i="16"/>
  <c r="I295" i="16"/>
  <c r="I296" i="16"/>
  <c r="I299" i="16"/>
  <c r="I300" i="16"/>
  <c r="I301" i="16"/>
  <c r="I302" i="16"/>
  <c r="I303" i="16"/>
  <c r="I304" i="16"/>
  <c r="I309" i="16"/>
  <c r="I314" i="16"/>
  <c r="I315" i="16"/>
  <c r="I318" i="16"/>
  <c r="I319" i="16"/>
  <c r="I320" i="16"/>
  <c r="I321" i="16"/>
  <c r="I324" i="16"/>
  <c r="I325" i="16"/>
  <c r="I327" i="16"/>
  <c r="I330" i="16"/>
  <c r="I331" i="16"/>
  <c r="I332" i="16"/>
  <c r="I333" i="16"/>
  <c r="I334" i="16"/>
  <c r="I335" i="16"/>
  <c r="G4" i="7"/>
  <c r="F18" i="6"/>
  <c r="F19" i="6"/>
  <c r="I3" i="16"/>
  <c r="AG10" i="16"/>
  <c r="AG8" i="16"/>
  <c r="AG5" i="16"/>
  <c r="AG9" i="16"/>
  <c r="AG4" i="16"/>
  <c r="F20" i="10"/>
  <c r="G20" i="10" s="1"/>
  <c r="AN5" i="16"/>
  <c r="AN6" i="16"/>
  <c r="AN9" i="16"/>
  <c r="AN10" i="16"/>
  <c r="AN3" i="16"/>
  <c r="I4" i="16"/>
  <c r="I7" i="16"/>
  <c r="J7" i="16" s="1"/>
  <c r="I10" i="16"/>
  <c r="J10" i="16" s="1"/>
  <c r="I6" i="16"/>
  <c r="I9" i="16"/>
  <c r="J9" i="16" s="1"/>
  <c r="AN4" i="16"/>
  <c r="AN7" i="16"/>
  <c r="AN8" i="16"/>
  <c r="AN11" i="16"/>
  <c r="I5" i="16"/>
  <c r="J5" i="16" s="1"/>
  <c r="I8" i="16"/>
  <c r="J8" i="16" s="1"/>
  <c r="I11" i="16"/>
  <c r="J11" i="16" s="1"/>
  <c r="F24" i="6"/>
  <c r="G36" i="6"/>
  <c r="G5" i="10"/>
  <c r="F17" i="10"/>
  <c r="G17" i="10" s="1"/>
  <c r="F50" i="10"/>
  <c r="G50" i="10" s="1"/>
  <c r="O64" i="10"/>
  <c r="P64" i="10" s="1"/>
  <c r="O71" i="10"/>
  <c r="O91" i="10"/>
  <c r="O101" i="10"/>
  <c r="I4" i="7" l="1"/>
  <c r="G5" i="7"/>
  <c r="AG27" i="16"/>
  <c r="AG29" i="16"/>
  <c r="AG22" i="16"/>
  <c r="AG23" i="16"/>
  <c r="AG24" i="16"/>
  <c r="AG25" i="16"/>
  <c r="AG26" i="16"/>
  <c r="AG28" i="16"/>
  <c r="AG30" i="16"/>
  <c r="AG13" i="16"/>
  <c r="AG14" i="16"/>
  <c r="AG15" i="16"/>
  <c r="AG16" i="16"/>
  <c r="AG17" i="16"/>
  <c r="AG18" i="16"/>
  <c r="AG20" i="16"/>
  <c r="AG21" i="16"/>
  <c r="AG19" i="16"/>
  <c r="U336" i="16"/>
  <c r="V336" i="16" s="1"/>
  <c r="J336" i="16"/>
  <c r="U337" i="16"/>
  <c r="V337" i="16" s="1"/>
  <c r="J337" i="16"/>
  <c r="U338" i="16"/>
  <c r="V338" i="16" s="1"/>
  <c r="J338" i="16"/>
  <c r="U339" i="16"/>
  <c r="V339" i="16" s="1"/>
  <c r="J339" i="16"/>
  <c r="U340" i="16"/>
  <c r="V340" i="16" s="1"/>
  <c r="J340" i="16"/>
  <c r="U341" i="16"/>
  <c r="V341" i="16" s="1"/>
  <c r="J341" i="16"/>
  <c r="U342" i="16"/>
  <c r="V342" i="16" s="1"/>
  <c r="J342" i="16"/>
  <c r="U343" i="16"/>
  <c r="V343" i="16" s="1"/>
  <c r="J343" i="16"/>
  <c r="U344" i="16"/>
  <c r="V344" i="16" s="1"/>
  <c r="J344" i="16"/>
  <c r="U345" i="16"/>
  <c r="V345" i="16" s="1"/>
  <c r="J345" i="16"/>
  <c r="U346" i="16"/>
  <c r="V346" i="16" s="1"/>
  <c r="J346" i="16"/>
  <c r="U347" i="16"/>
  <c r="V347" i="16" s="1"/>
  <c r="J347" i="16"/>
  <c r="U348" i="16"/>
  <c r="V348" i="16" s="1"/>
  <c r="J348" i="16"/>
  <c r="U349" i="16"/>
  <c r="V349" i="16" s="1"/>
  <c r="J349" i="16"/>
  <c r="U350" i="16"/>
  <c r="V350" i="16" s="1"/>
  <c r="J350" i="16"/>
  <c r="U351" i="16"/>
  <c r="V351" i="16" s="1"/>
  <c r="J351" i="16"/>
  <c r="U352" i="16"/>
  <c r="V352" i="16" s="1"/>
  <c r="J352" i="16"/>
  <c r="U353" i="16"/>
  <c r="V353" i="16" s="1"/>
  <c r="J353" i="16"/>
  <c r="U354" i="16"/>
  <c r="V354" i="16" s="1"/>
  <c r="J354" i="16"/>
  <c r="U355" i="16"/>
  <c r="V355" i="16" s="1"/>
  <c r="J355" i="16"/>
  <c r="U356" i="16"/>
  <c r="V356" i="16" s="1"/>
  <c r="J356" i="16"/>
  <c r="U357" i="16"/>
  <c r="V357" i="16" s="1"/>
  <c r="J357" i="16"/>
  <c r="U358" i="16"/>
  <c r="V358" i="16" s="1"/>
  <c r="J358" i="16"/>
  <c r="U359" i="16"/>
  <c r="V359" i="16" s="1"/>
  <c r="J359" i="16"/>
  <c r="U360" i="16"/>
  <c r="V360" i="16" s="1"/>
  <c r="J360" i="16"/>
  <c r="U361" i="16"/>
  <c r="V361" i="16" s="1"/>
  <c r="J361" i="16"/>
  <c r="U362" i="16"/>
  <c r="V362" i="16" s="1"/>
  <c r="J362" i="16"/>
  <c r="U363" i="16"/>
  <c r="V363" i="16" s="1"/>
  <c r="J363" i="16"/>
  <c r="U364" i="16"/>
  <c r="V364" i="16" s="1"/>
  <c r="J364" i="16"/>
  <c r="U365" i="16"/>
  <c r="V365" i="16" s="1"/>
  <c r="J365" i="16"/>
  <c r="U366" i="16"/>
  <c r="V366" i="16" s="1"/>
  <c r="J366" i="16"/>
  <c r="U367" i="16"/>
  <c r="V367" i="16" s="1"/>
  <c r="J367" i="16"/>
  <c r="U368" i="16"/>
  <c r="V368" i="16" s="1"/>
  <c r="J368" i="16"/>
  <c r="U369" i="16"/>
  <c r="V369" i="16" s="1"/>
  <c r="J369" i="16"/>
  <c r="U370" i="16"/>
  <c r="V370" i="16" s="1"/>
  <c r="J370" i="16"/>
  <c r="U371" i="16"/>
  <c r="V371" i="16" s="1"/>
  <c r="J371" i="16"/>
  <c r="U372" i="16"/>
  <c r="V372" i="16" s="1"/>
  <c r="J372" i="16"/>
  <c r="U373" i="16"/>
  <c r="V373" i="16" s="1"/>
  <c r="J373" i="16"/>
  <c r="U374" i="16"/>
  <c r="V374" i="16" s="1"/>
  <c r="J374" i="16"/>
  <c r="U375" i="16"/>
  <c r="V375" i="16" s="1"/>
  <c r="J375" i="16"/>
  <c r="U376" i="16"/>
  <c r="V376" i="16" s="1"/>
  <c r="J376" i="16"/>
  <c r="U377" i="16"/>
  <c r="V377" i="16" s="1"/>
  <c r="J377" i="16"/>
  <c r="U378" i="16"/>
  <c r="V378" i="16" s="1"/>
  <c r="J378" i="16"/>
  <c r="U379" i="16"/>
  <c r="V379" i="16" s="1"/>
  <c r="J379" i="16"/>
  <c r="U380" i="16"/>
  <c r="V380" i="16" s="1"/>
  <c r="J380" i="16"/>
  <c r="U381" i="16"/>
  <c r="V381" i="16" s="1"/>
  <c r="J381" i="16"/>
  <c r="U382" i="16"/>
  <c r="V382" i="16" s="1"/>
  <c r="J382" i="16"/>
  <c r="U383" i="16"/>
  <c r="V383" i="16" s="1"/>
  <c r="J383" i="16"/>
  <c r="U384" i="16"/>
  <c r="V384" i="16" s="1"/>
  <c r="J384" i="16"/>
  <c r="U385" i="16"/>
  <c r="V385" i="16" s="1"/>
  <c r="J385" i="16"/>
  <c r="U386" i="16"/>
  <c r="V386" i="16" s="1"/>
  <c r="J386" i="16"/>
  <c r="U387" i="16"/>
  <c r="V387" i="16" s="1"/>
  <c r="J387" i="16"/>
  <c r="U388" i="16"/>
  <c r="V388" i="16" s="1"/>
  <c r="J388" i="16"/>
  <c r="U389" i="16"/>
  <c r="V389" i="16" s="1"/>
  <c r="J389" i="16"/>
  <c r="U390" i="16"/>
  <c r="V390" i="16" s="1"/>
  <c r="J390" i="16"/>
  <c r="U391" i="16"/>
  <c r="V391" i="16" s="1"/>
  <c r="J391" i="16"/>
  <c r="U392" i="16"/>
  <c r="V392" i="16" s="1"/>
  <c r="J392" i="16"/>
  <c r="U393" i="16"/>
  <c r="V393" i="16" s="1"/>
  <c r="J393" i="16"/>
  <c r="U394" i="16"/>
  <c r="V394" i="16" s="1"/>
  <c r="J394" i="16"/>
  <c r="J395" i="16"/>
  <c r="U395" i="16"/>
  <c r="V395" i="16" s="1"/>
  <c r="U396" i="16"/>
  <c r="V396" i="16" s="1"/>
  <c r="J396" i="16"/>
  <c r="U397" i="16"/>
  <c r="V397" i="16" s="1"/>
  <c r="J397" i="16"/>
  <c r="U398" i="16"/>
  <c r="V398" i="16" s="1"/>
  <c r="J398" i="16"/>
  <c r="U399" i="16"/>
  <c r="V399" i="16" s="1"/>
  <c r="J399" i="16"/>
  <c r="U400" i="16"/>
  <c r="V400" i="16" s="1"/>
  <c r="J400" i="16"/>
  <c r="U401" i="16"/>
  <c r="V401" i="16" s="1"/>
  <c r="J401" i="16"/>
  <c r="U402" i="16"/>
  <c r="V402" i="16" s="1"/>
  <c r="J402" i="16"/>
  <c r="J403" i="16"/>
  <c r="U403" i="16"/>
  <c r="V403" i="16" s="1"/>
  <c r="U404" i="16"/>
  <c r="V404" i="16" s="1"/>
  <c r="J404" i="16"/>
  <c r="U405" i="16"/>
  <c r="V405" i="16" s="1"/>
  <c r="J405" i="16"/>
  <c r="U406" i="16"/>
  <c r="V406" i="16" s="1"/>
  <c r="J406" i="16"/>
  <c r="U407" i="16"/>
  <c r="V407" i="16" s="1"/>
  <c r="J407" i="16"/>
  <c r="U408" i="16"/>
  <c r="V408" i="16" s="1"/>
  <c r="J408" i="16"/>
  <c r="U409" i="16"/>
  <c r="V409" i="16" s="1"/>
  <c r="J409" i="16"/>
  <c r="U410" i="16"/>
  <c r="V410" i="16" s="1"/>
  <c r="J410" i="16"/>
  <c r="U411" i="16"/>
  <c r="V411" i="16" s="1"/>
  <c r="J411" i="16"/>
  <c r="U412" i="16"/>
  <c r="V412" i="16" s="1"/>
  <c r="J412" i="16"/>
  <c r="U413" i="16"/>
  <c r="V413" i="16" s="1"/>
  <c r="J413" i="16"/>
  <c r="U414" i="16"/>
  <c r="V414" i="16" s="1"/>
  <c r="J414" i="16"/>
  <c r="U415" i="16"/>
  <c r="V415" i="16" s="1"/>
  <c r="J415" i="16"/>
  <c r="U416" i="16"/>
  <c r="V416" i="16" s="1"/>
  <c r="J416" i="16"/>
  <c r="U417" i="16"/>
  <c r="V417" i="16" s="1"/>
  <c r="J417" i="16"/>
  <c r="U418" i="16"/>
  <c r="V418" i="16" s="1"/>
  <c r="J418" i="16"/>
  <c r="U419" i="16"/>
  <c r="V419" i="16" s="1"/>
  <c r="J419" i="16"/>
  <c r="U420" i="16"/>
  <c r="V420" i="16" s="1"/>
  <c r="J420" i="16"/>
  <c r="U421" i="16"/>
  <c r="V421" i="16" s="1"/>
  <c r="J421" i="16"/>
  <c r="U422" i="16"/>
  <c r="V422" i="16" s="1"/>
  <c r="J422" i="16"/>
  <c r="U423" i="16"/>
  <c r="V423" i="16" s="1"/>
  <c r="J423" i="16"/>
  <c r="U424" i="16"/>
  <c r="V424" i="16" s="1"/>
  <c r="J424" i="16"/>
  <c r="U425" i="16"/>
  <c r="V425" i="16" s="1"/>
  <c r="J425" i="16"/>
  <c r="U426" i="16"/>
  <c r="V426" i="16" s="1"/>
  <c r="J426" i="16"/>
  <c r="U427" i="16"/>
  <c r="V427" i="16" s="1"/>
  <c r="J427" i="16"/>
  <c r="U428" i="16"/>
  <c r="V428" i="16" s="1"/>
  <c r="J428" i="16"/>
  <c r="U429" i="16"/>
  <c r="V429" i="16" s="1"/>
  <c r="J429" i="16"/>
  <c r="U430" i="16"/>
  <c r="V430" i="16" s="1"/>
  <c r="J430" i="16"/>
  <c r="U431" i="16"/>
  <c r="V431" i="16" s="1"/>
  <c r="J431" i="16"/>
  <c r="U432" i="16"/>
  <c r="V432" i="16" s="1"/>
  <c r="J432" i="16"/>
  <c r="U433" i="16"/>
  <c r="V433" i="16" s="1"/>
  <c r="J433" i="16"/>
  <c r="U434" i="16"/>
  <c r="V434" i="16" s="1"/>
  <c r="J434" i="16"/>
  <c r="U435" i="16"/>
  <c r="V435" i="16" s="1"/>
  <c r="J435" i="16"/>
  <c r="U436" i="16"/>
  <c r="V436" i="16" s="1"/>
  <c r="J436" i="16"/>
  <c r="U437" i="16"/>
  <c r="V437" i="16" s="1"/>
  <c r="J437" i="16"/>
  <c r="U438" i="16"/>
  <c r="V438" i="16" s="1"/>
  <c r="J438" i="16"/>
  <c r="U439" i="16"/>
  <c r="V439" i="16" s="1"/>
  <c r="J439" i="16"/>
  <c r="U440" i="16"/>
  <c r="V440" i="16" s="1"/>
  <c r="J440" i="16"/>
  <c r="U441" i="16"/>
  <c r="V441" i="16" s="1"/>
  <c r="J441" i="16"/>
  <c r="U442" i="16"/>
  <c r="V442" i="16" s="1"/>
  <c r="J442" i="16"/>
  <c r="U443" i="16"/>
  <c r="V443" i="16" s="1"/>
  <c r="J443" i="16"/>
  <c r="U444" i="16"/>
  <c r="V444" i="16" s="1"/>
  <c r="J444" i="16"/>
  <c r="U445" i="16"/>
  <c r="V445" i="16" s="1"/>
  <c r="J445" i="16"/>
  <c r="U446" i="16"/>
  <c r="V446" i="16" s="1"/>
  <c r="J446" i="16"/>
  <c r="U447" i="16"/>
  <c r="V447" i="16" s="1"/>
  <c r="J447" i="16"/>
  <c r="U448" i="16"/>
  <c r="V448" i="16" s="1"/>
  <c r="J448" i="16"/>
  <c r="U449" i="16"/>
  <c r="V449" i="16" s="1"/>
  <c r="J449" i="16"/>
  <c r="U450" i="16"/>
  <c r="V450" i="16" s="1"/>
  <c r="J450" i="16"/>
  <c r="U451" i="16"/>
  <c r="V451" i="16" s="1"/>
  <c r="J451" i="16"/>
  <c r="U452" i="16"/>
  <c r="V452" i="16" s="1"/>
  <c r="J452" i="16"/>
  <c r="U453" i="16"/>
  <c r="V453" i="16" s="1"/>
  <c r="J453" i="16"/>
  <c r="U454" i="16"/>
  <c r="V454" i="16" s="1"/>
  <c r="J454" i="16"/>
  <c r="U455" i="16"/>
  <c r="V455" i="16" s="1"/>
  <c r="J455" i="16"/>
  <c r="U456" i="16"/>
  <c r="V456" i="16" s="1"/>
  <c r="J456" i="16"/>
  <c r="U457" i="16"/>
  <c r="V457" i="16" s="1"/>
  <c r="J457" i="16"/>
  <c r="U458" i="16"/>
  <c r="V458" i="16" s="1"/>
  <c r="J458" i="16"/>
  <c r="U459" i="16"/>
  <c r="V459" i="16" s="1"/>
  <c r="J459" i="16"/>
  <c r="U460" i="16"/>
  <c r="V460" i="16" s="1"/>
  <c r="J460" i="16"/>
  <c r="U461" i="16"/>
  <c r="V461" i="16" s="1"/>
  <c r="J461" i="16"/>
  <c r="U462" i="16"/>
  <c r="V462" i="16" s="1"/>
  <c r="J462" i="16"/>
  <c r="U463" i="16"/>
  <c r="V463" i="16" s="1"/>
  <c r="J463" i="16"/>
  <c r="U464" i="16"/>
  <c r="V464" i="16" s="1"/>
  <c r="J464" i="16"/>
  <c r="U465" i="16"/>
  <c r="V465" i="16" s="1"/>
  <c r="J465" i="16"/>
  <c r="U466" i="16"/>
  <c r="V466" i="16" s="1"/>
  <c r="J466" i="16"/>
  <c r="J467" i="16"/>
  <c r="U467" i="16"/>
  <c r="V467" i="16" s="1"/>
  <c r="U468" i="16"/>
  <c r="V468" i="16" s="1"/>
  <c r="J468" i="16"/>
  <c r="U469" i="16"/>
  <c r="V469" i="16" s="1"/>
  <c r="J469" i="16"/>
  <c r="U470" i="16"/>
  <c r="V470" i="16" s="1"/>
  <c r="J470" i="16"/>
  <c r="U471" i="16"/>
  <c r="V471" i="16" s="1"/>
  <c r="J471" i="16"/>
  <c r="U472" i="16"/>
  <c r="V472" i="16" s="1"/>
  <c r="J472" i="16"/>
  <c r="J12" i="16"/>
  <c r="U12" i="16"/>
  <c r="V12" i="16" s="1"/>
  <c r="U473" i="16"/>
  <c r="V473" i="16" s="1"/>
  <c r="J473" i="16"/>
  <c r="U474" i="16"/>
  <c r="V474" i="16" s="1"/>
  <c r="J474" i="16"/>
  <c r="U475" i="16"/>
  <c r="V475" i="16" s="1"/>
  <c r="J475" i="16"/>
  <c r="U476" i="16"/>
  <c r="V476" i="16" s="1"/>
  <c r="J476" i="16"/>
  <c r="U477" i="16"/>
  <c r="V477" i="16" s="1"/>
  <c r="J477" i="16"/>
  <c r="U478" i="16"/>
  <c r="V478" i="16" s="1"/>
  <c r="J478" i="16"/>
  <c r="U479" i="16"/>
  <c r="V479" i="16" s="1"/>
  <c r="J479" i="16"/>
  <c r="U480" i="16"/>
  <c r="V480" i="16" s="1"/>
  <c r="J480" i="16"/>
  <c r="U481" i="16"/>
  <c r="V481" i="16" s="1"/>
  <c r="J481" i="16"/>
  <c r="U482" i="16"/>
  <c r="V482" i="16" s="1"/>
  <c r="J482" i="16"/>
  <c r="U483" i="16"/>
  <c r="V483" i="16" s="1"/>
  <c r="J483" i="16"/>
  <c r="U484" i="16"/>
  <c r="V484" i="16" s="1"/>
  <c r="J484" i="16"/>
  <c r="U485" i="16"/>
  <c r="V485" i="16" s="1"/>
  <c r="J485" i="16"/>
  <c r="U486" i="16"/>
  <c r="V486" i="16" s="1"/>
  <c r="J486" i="16"/>
  <c r="U487" i="16"/>
  <c r="V487" i="16" s="1"/>
  <c r="J487" i="16"/>
  <c r="U488" i="16"/>
  <c r="V488" i="16" s="1"/>
  <c r="J488" i="16"/>
  <c r="U489" i="16"/>
  <c r="V489" i="16" s="1"/>
  <c r="J489" i="16"/>
  <c r="U490" i="16"/>
  <c r="V490" i="16" s="1"/>
  <c r="J490" i="16"/>
  <c r="J491" i="16"/>
  <c r="U491" i="16"/>
  <c r="V491" i="16" s="1"/>
  <c r="U492" i="16"/>
  <c r="V492" i="16" s="1"/>
  <c r="J492" i="16"/>
  <c r="U493" i="16"/>
  <c r="V493" i="16" s="1"/>
  <c r="J493" i="16"/>
  <c r="U494" i="16"/>
  <c r="V494" i="16" s="1"/>
  <c r="J494" i="16"/>
  <c r="U495" i="16"/>
  <c r="V495" i="16" s="1"/>
  <c r="J495" i="16"/>
  <c r="U496" i="16"/>
  <c r="V496" i="16" s="1"/>
  <c r="J496" i="16"/>
  <c r="U497" i="16"/>
  <c r="V497" i="16" s="1"/>
  <c r="J497" i="16"/>
  <c r="J13" i="16"/>
  <c r="U13" i="16"/>
  <c r="V13" i="16" s="1"/>
  <c r="J14" i="16"/>
  <c r="U14" i="16"/>
  <c r="V14" i="16" s="1"/>
  <c r="J15" i="16"/>
  <c r="U15" i="16"/>
  <c r="V15" i="16" s="1"/>
  <c r="J16" i="16"/>
  <c r="U16" i="16"/>
  <c r="V16" i="16" s="1"/>
  <c r="J17" i="16"/>
  <c r="U17" i="16"/>
  <c r="V17" i="16" s="1"/>
  <c r="J18" i="16"/>
  <c r="U18" i="16"/>
  <c r="V18" i="16" s="1"/>
  <c r="U19" i="16"/>
  <c r="V19" i="16" s="1"/>
  <c r="J19" i="16"/>
  <c r="J20" i="16"/>
  <c r="U20" i="16"/>
  <c r="V20" i="16" s="1"/>
  <c r="J21" i="16"/>
  <c r="U21" i="16"/>
  <c r="V21" i="16" s="1"/>
  <c r="J22" i="16"/>
  <c r="U22" i="16"/>
  <c r="V22" i="16" s="1"/>
  <c r="U30" i="16"/>
  <c r="V30" i="16" s="1"/>
  <c r="J30" i="16"/>
  <c r="J31" i="16"/>
  <c r="U31" i="16"/>
  <c r="V31" i="16" s="1"/>
  <c r="J32" i="16"/>
  <c r="U32" i="16"/>
  <c r="V32" i="16" s="1"/>
  <c r="U33" i="16"/>
  <c r="V33" i="16" s="1"/>
  <c r="J33" i="16"/>
  <c r="J34" i="16"/>
  <c r="U34" i="16"/>
  <c r="V34" i="16" s="1"/>
  <c r="J35" i="16"/>
  <c r="U35" i="16"/>
  <c r="V35" i="16" s="1"/>
  <c r="U36" i="16"/>
  <c r="V36" i="16" s="1"/>
  <c r="J36" i="16"/>
  <c r="J41" i="16"/>
  <c r="U41" i="16"/>
  <c r="V41" i="16" s="1"/>
  <c r="J44" i="16"/>
  <c r="U44" i="16"/>
  <c r="V44" i="16" s="1"/>
  <c r="U45" i="16"/>
  <c r="V45" i="16" s="1"/>
  <c r="J45" i="16"/>
  <c r="J46" i="16"/>
  <c r="U46" i="16"/>
  <c r="V46" i="16" s="1"/>
  <c r="J47" i="16"/>
  <c r="U47" i="16"/>
  <c r="V47" i="16" s="1"/>
  <c r="J48" i="16"/>
  <c r="U48" i="16"/>
  <c r="V48" i="16" s="1"/>
  <c r="J55" i="16"/>
  <c r="U55" i="16"/>
  <c r="V55" i="16" s="1"/>
  <c r="U56" i="16"/>
  <c r="V56" i="16" s="1"/>
  <c r="J56" i="16"/>
  <c r="U57" i="16"/>
  <c r="V57" i="16" s="1"/>
  <c r="J57" i="16"/>
  <c r="J58" i="16"/>
  <c r="U58" i="16"/>
  <c r="V58" i="16" s="1"/>
  <c r="J59" i="16"/>
  <c r="U59" i="16"/>
  <c r="V59" i="16" s="1"/>
  <c r="J67" i="16"/>
  <c r="U67" i="16"/>
  <c r="V67" i="16" s="1"/>
  <c r="J68" i="16"/>
  <c r="U68" i="16"/>
  <c r="V68" i="16" s="1"/>
  <c r="J69" i="16"/>
  <c r="U69" i="16"/>
  <c r="V69" i="16" s="1"/>
  <c r="J70" i="16"/>
  <c r="U70" i="16"/>
  <c r="V70" i="16" s="1"/>
  <c r="J71" i="16"/>
  <c r="U71" i="16"/>
  <c r="V71" i="16" s="1"/>
  <c r="J72" i="16"/>
  <c r="U72" i="16"/>
  <c r="V72" i="16" s="1"/>
  <c r="U73" i="16"/>
  <c r="V73" i="16" s="1"/>
  <c r="J73" i="16"/>
  <c r="J74" i="16"/>
  <c r="U74" i="16"/>
  <c r="V74" i="16" s="1"/>
  <c r="U75" i="16"/>
  <c r="V75" i="16" s="1"/>
  <c r="J75" i="16"/>
  <c r="U76" i="16"/>
  <c r="V76" i="16" s="1"/>
  <c r="J76" i="16"/>
  <c r="J79" i="16"/>
  <c r="U79" i="16"/>
  <c r="V79" i="16" s="1"/>
  <c r="J86" i="16"/>
  <c r="U86" i="16"/>
  <c r="V86" i="16" s="1"/>
  <c r="U87" i="16"/>
  <c r="V87" i="16" s="1"/>
  <c r="J87" i="16"/>
  <c r="U88" i="16"/>
  <c r="V88" i="16" s="1"/>
  <c r="J88" i="16"/>
  <c r="J89" i="16"/>
  <c r="U89" i="16"/>
  <c r="V89" i="16" s="1"/>
  <c r="U90" i="16"/>
  <c r="V90" i="16" s="1"/>
  <c r="J90" i="16"/>
  <c r="J91" i="16"/>
  <c r="U91" i="16"/>
  <c r="V91" i="16" s="1"/>
  <c r="U92" i="16"/>
  <c r="V92" i="16" s="1"/>
  <c r="J92" i="16"/>
  <c r="U93" i="16"/>
  <c r="V93" i="16" s="1"/>
  <c r="J93" i="16"/>
  <c r="J94" i="16"/>
  <c r="U94" i="16"/>
  <c r="V94" i="16" s="1"/>
  <c r="J95" i="16"/>
  <c r="U95" i="16"/>
  <c r="V95" i="16" s="1"/>
  <c r="J96" i="16"/>
  <c r="U96" i="16"/>
  <c r="V96" i="16" s="1"/>
  <c r="U104" i="16"/>
  <c r="V104" i="16" s="1"/>
  <c r="J104" i="16"/>
  <c r="U106" i="16"/>
  <c r="V106" i="16" s="1"/>
  <c r="J106" i="16"/>
  <c r="J107" i="16"/>
  <c r="U107" i="16"/>
  <c r="V107" i="16" s="1"/>
  <c r="J108" i="16"/>
  <c r="U108" i="16"/>
  <c r="V108" i="16" s="1"/>
  <c r="U109" i="16"/>
  <c r="V109" i="16" s="1"/>
  <c r="J109" i="16"/>
  <c r="J110" i="16"/>
  <c r="U110" i="16"/>
  <c r="V110" i="16" s="1"/>
  <c r="J111" i="16"/>
  <c r="U111" i="16"/>
  <c r="V111" i="16" s="1"/>
  <c r="U112" i="16"/>
  <c r="V112" i="16" s="1"/>
  <c r="J112" i="16"/>
  <c r="J113" i="16"/>
  <c r="U113" i="16"/>
  <c r="V113" i="16" s="1"/>
  <c r="J114" i="16"/>
  <c r="U114" i="16"/>
  <c r="V114" i="16" s="1"/>
  <c r="J115" i="16"/>
  <c r="U115" i="16"/>
  <c r="V115" i="16" s="1"/>
  <c r="U116" i="16"/>
  <c r="V116" i="16" s="1"/>
  <c r="J116" i="16"/>
  <c r="J117" i="16"/>
  <c r="U117" i="16"/>
  <c r="V117" i="16" s="1"/>
  <c r="J118" i="16"/>
  <c r="U118" i="16"/>
  <c r="V118" i="16" s="1"/>
  <c r="J119" i="16"/>
  <c r="U119" i="16"/>
  <c r="V119" i="16" s="1"/>
  <c r="J128" i="16"/>
  <c r="U128" i="16"/>
  <c r="V128" i="16" s="1"/>
  <c r="J129" i="16"/>
  <c r="U129" i="16"/>
  <c r="V129" i="16" s="1"/>
  <c r="J130" i="16"/>
  <c r="U130" i="16"/>
  <c r="V130" i="16" s="1"/>
  <c r="J131" i="16"/>
  <c r="U131" i="16"/>
  <c r="V131" i="16" s="1"/>
  <c r="J132" i="16"/>
  <c r="U132" i="16"/>
  <c r="V132" i="16" s="1"/>
  <c r="J133" i="16"/>
  <c r="U133" i="16"/>
  <c r="V133" i="16" s="1"/>
  <c r="U134" i="16"/>
  <c r="V134" i="16" s="1"/>
  <c r="J134" i="16"/>
  <c r="U135" i="16"/>
  <c r="V135" i="16" s="1"/>
  <c r="J135" i="16"/>
  <c r="U136" i="16"/>
  <c r="V136" i="16" s="1"/>
  <c r="J136" i="16"/>
  <c r="U137" i="16"/>
  <c r="V137" i="16" s="1"/>
  <c r="J137" i="16"/>
  <c r="U138" i="16"/>
  <c r="V138" i="16" s="1"/>
  <c r="J138" i="16"/>
  <c r="U147" i="16"/>
  <c r="V147" i="16" s="1"/>
  <c r="J147" i="16"/>
  <c r="U148" i="16"/>
  <c r="V148" i="16" s="1"/>
  <c r="J148" i="16"/>
  <c r="J149" i="16"/>
  <c r="U149" i="16"/>
  <c r="V149" i="16" s="1"/>
  <c r="U167" i="16"/>
  <c r="V167" i="16" s="1"/>
  <c r="J167" i="16"/>
  <c r="U168" i="16"/>
  <c r="V168" i="16" s="1"/>
  <c r="J168" i="16"/>
  <c r="U169" i="16"/>
  <c r="V169" i="16" s="1"/>
  <c r="J169" i="16"/>
  <c r="U170" i="16"/>
  <c r="V170" i="16" s="1"/>
  <c r="J170" i="16"/>
  <c r="U171" i="16"/>
  <c r="V171" i="16" s="1"/>
  <c r="J171" i="16"/>
  <c r="U172" i="16"/>
  <c r="V172" i="16" s="1"/>
  <c r="J172" i="16"/>
  <c r="U173" i="16"/>
  <c r="V173" i="16" s="1"/>
  <c r="J173" i="16"/>
  <c r="U176" i="16"/>
  <c r="V176" i="16" s="1"/>
  <c r="J176" i="16"/>
  <c r="U177" i="16"/>
  <c r="V177" i="16" s="1"/>
  <c r="J177" i="16"/>
  <c r="U178" i="16"/>
  <c r="V178" i="16" s="1"/>
  <c r="J178" i="16"/>
  <c r="U179" i="16"/>
  <c r="V179" i="16" s="1"/>
  <c r="J179" i="16"/>
  <c r="U180" i="16"/>
  <c r="V180" i="16" s="1"/>
  <c r="J180" i="16"/>
  <c r="U181" i="16"/>
  <c r="V181" i="16" s="1"/>
  <c r="J181" i="16"/>
  <c r="U182" i="16"/>
  <c r="V182" i="16" s="1"/>
  <c r="J182" i="16"/>
  <c r="U183" i="16"/>
  <c r="V183" i="16" s="1"/>
  <c r="J183" i="16"/>
  <c r="U184" i="16"/>
  <c r="V184" i="16" s="1"/>
  <c r="J184" i="16"/>
  <c r="U185" i="16"/>
  <c r="V185" i="16" s="1"/>
  <c r="J185" i="16"/>
  <c r="U186" i="16"/>
  <c r="V186" i="16" s="1"/>
  <c r="J186" i="16"/>
  <c r="U187" i="16"/>
  <c r="V187" i="16" s="1"/>
  <c r="J187" i="16"/>
  <c r="U188" i="16"/>
  <c r="V188" i="16" s="1"/>
  <c r="J188" i="16"/>
  <c r="U190" i="16"/>
  <c r="V190" i="16" s="1"/>
  <c r="J190" i="16"/>
  <c r="U191" i="16"/>
  <c r="V191" i="16" s="1"/>
  <c r="J191" i="16"/>
  <c r="U192" i="16"/>
  <c r="V192" i="16" s="1"/>
  <c r="J192" i="16"/>
  <c r="U193" i="16"/>
  <c r="V193" i="16" s="1"/>
  <c r="J193" i="16"/>
  <c r="U194" i="16"/>
  <c r="V194" i="16" s="1"/>
  <c r="J194" i="16"/>
  <c r="U195" i="16"/>
  <c r="V195" i="16" s="1"/>
  <c r="J195" i="16"/>
  <c r="U196" i="16"/>
  <c r="V196" i="16" s="1"/>
  <c r="J196" i="16"/>
  <c r="U197" i="16"/>
  <c r="V197" i="16" s="1"/>
  <c r="J197" i="16"/>
  <c r="U198" i="16"/>
  <c r="V198" i="16" s="1"/>
  <c r="J198" i="16"/>
  <c r="U199" i="16"/>
  <c r="V199" i="16" s="1"/>
  <c r="J199" i="16"/>
  <c r="U200" i="16"/>
  <c r="V200" i="16" s="1"/>
  <c r="J200" i="16"/>
  <c r="U201" i="16"/>
  <c r="V201" i="16" s="1"/>
  <c r="J201" i="16"/>
  <c r="U202" i="16"/>
  <c r="V202" i="16" s="1"/>
  <c r="J202" i="16"/>
  <c r="U203" i="16"/>
  <c r="V203" i="16" s="1"/>
  <c r="J203" i="16"/>
  <c r="U204" i="16"/>
  <c r="V204" i="16" s="1"/>
  <c r="J204" i="16"/>
  <c r="U209" i="16"/>
  <c r="V209" i="16" s="1"/>
  <c r="J209" i="16"/>
  <c r="U210" i="16"/>
  <c r="V210" i="16" s="1"/>
  <c r="J210" i="16"/>
  <c r="U211" i="16"/>
  <c r="V211" i="16" s="1"/>
  <c r="J211" i="16"/>
  <c r="U212" i="16"/>
  <c r="V212" i="16" s="1"/>
  <c r="J212" i="16"/>
  <c r="U213" i="16"/>
  <c r="V213" i="16" s="1"/>
  <c r="J213" i="16"/>
  <c r="U216" i="16"/>
  <c r="V216" i="16" s="1"/>
  <c r="J216" i="16"/>
  <c r="U217" i="16"/>
  <c r="V217" i="16" s="1"/>
  <c r="J217" i="16"/>
  <c r="U224" i="16"/>
  <c r="V224" i="16" s="1"/>
  <c r="J224" i="16"/>
  <c r="U225" i="16"/>
  <c r="V225" i="16" s="1"/>
  <c r="J225" i="16"/>
  <c r="U228" i="16"/>
  <c r="V228" i="16" s="1"/>
  <c r="J228" i="16"/>
  <c r="U229" i="16"/>
  <c r="V229" i="16" s="1"/>
  <c r="J229" i="16"/>
  <c r="U231" i="16"/>
  <c r="V231" i="16" s="1"/>
  <c r="J231" i="16"/>
  <c r="U234" i="16"/>
  <c r="V234" i="16" s="1"/>
  <c r="J234" i="16"/>
  <c r="U235" i="16"/>
  <c r="V235" i="16" s="1"/>
  <c r="J235" i="16"/>
  <c r="U236" i="16"/>
  <c r="V236" i="16" s="1"/>
  <c r="J236" i="16"/>
  <c r="U237" i="16"/>
  <c r="V237" i="16" s="1"/>
  <c r="J237" i="16"/>
  <c r="U239" i="16"/>
  <c r="V239" i="16" s="1"/>
  <c r="J239" i="16"/>
  <c r="U242" i="16"/>
  <c r="V242" i="16" s="1"/>
  <c r="J242" i="16"/>
  <c r="U243" i="16"/>
  <c r="V243" i="16" s="1"/>
  <c r="J243" i="16"/>
  <c r="U245" i="16"/>
  <c r="V245" i="16" s="1"/>
  <c r="J245" i="16"/>
  <c r="U246" i="16"/>
  <c r="V246" i="16" s="1"/>
  <c r="J246" i="16"/>
  <c r="U247" i="16"/>
  <c r="V247" i="16" s="1"/>
  <c r="J247" i="16"/>
  <c r="U248" i="16"/>
  <c r="V248" i="16" s="1"/>
  <c r="J248" i="16"/>
  <c r="U253" i="16"/>
  <c r="V253" i="16" s="1"/>
  <c r="J253" i="16"/>
  <c r="U254" i="16"/>
  <c r="V254" i="16" s="1"/>
  <c r="J254" i="16"/>
  <c r="U255" i="16"/>
  <c r="V255" i="16" s="1"/>
  <c r="J255" i="16"/>
  <c r="U256" i="16"/>
  <c r="V256" i="16" s="1"/>
  <c r="J256" i="16"/>
  <c r="U257" i="16"/>
  <c r="V257" i="16" s="1"/>
  <c r="J257" i="16"/>
  <c r="U258" i="16"/>
  <c r="V258" i="16" s="1"/>
  <c r="J258" i="16"/>
  <c r="U259" i="16"/>
  <c r="V259" i="16" s="1"/>
  <c r="J259" i="16"/>
  <c r="U263" i="16"/>
  <c r="V263" i="16" s="1"/>
  <c r="J263" i="16"/>
  <c r="U267" i="16"/>
  <c r="V267" i="16" s="1"/>
  <c r="J267" i="16"/>
  <c r="U268" i="16"/>
  <c r="V268" i="16" s="1"/>
  <c r="J268" i="16"/>
  <c r="U269" i="16"/>
  <c r="V269" i="16" s="1"/>
  <c r="J269" i="16"/>
  <c r="U270" i="16"/>
  <c r="V270" i="16" s="1"/>
  <c r="J270" i="16"/>
  <c r="U271" i="16"/>
  <c r="V271" i="16" s="1"/>
  <c r="J271" i="16"/>
  <c r="U274" i="16"/>
  <c r="V274" i="16" s="1"/>
  <c r="J274" i="16"/>
  <c r="U275" i="16"/>
  <c r="V275" i="16" s="1"/>
  <c r="J275" i="16"/>
  <c r="U276" i="16"/>
  <c r="V276" i="16" s="1"/>
  <c r="J276" i="16"/>
  <c r="U277" i="16"/>
  <c r="V277" i="16" s="1"/>
  <c r="J277" i="16"/>
  <c r="U283" i="16"/>
  <c r="V283" i="16" s="1"/>
  <c r="J283" i="16"/>
  <c r="U285" i="16"/>
  <c r="V285" i="16" s="1"/>
  <c r="J285" i="16"/>
  <c r="U286" i="16"/>
  <c r="V286" i="16" s="1"/>
  <c r="J286" i="16"/>
  <c r="U287" i="16"/>
  <c r="V287" i="16" s="1"/>
  <c r="J287" i="16"/>
  <c r="U288" i="16"/>
  <c r="V288" i="16" s="1"/>
  <c r="J288" i="16"/>
  <c r="U289" i="16"/>
  <c r="V289" i="16" s="1"/>
  <c r="J289" i="16"/>
  <c r="U290" i="16"/>
  <c r="V290" i="16" s="1"/>
  <c r="J290" i="16"/>
  <c r="U291" i="16"/>
  <c r="V291" i="16" s="1"/>
  <c r="J291" i="16"/>
  <c r="U297" i="16"/>
  <c r="V297" i="16" s="1"/>
  <c r="J297" i="16"/>
  <c r="U298" i="16"/>
  <c r="V298" i="16" s="1"/>
  <c r="J298" i="16"/>
  <c r="U305" i="16"/>
  <c r="V305" i="16" s="1"/>
  <c r="J305" i="16"/>
  <c r="U306" i="16"/>
  <c r="V306" i="16" s="1"/>
  <c r="J306" i="16"/>
  <c r="U307" i="16"/>
  <c r="V307" i="16" s="1"/>
  <c r="J307" i="16"/>
  <c r="U308" i="16"/>
  <c r="V308" i="16" s="1"/>
  <c r="J308" i="16"/>
  <c r="U310" i="16"/>
  <c r="V310" i="16" s="1"/>
  <c r="J310" i="16"/>
  <c r="U311" i="16"/>
  <c r="V311" i="16" s="1"/>
  <c r="J311" i="16"/>
  <c r="U312" i="16"/>
  <c r="V312" i="16" s="1"/>
  <c r="J312" i="16"/>
  <c r="U313" i="16"/>
  <c r="V313" i="16" s="1"/>
  <c r="J313" i="16"/>
  <c r="U316" i="16"/>
  <c r="V316" i="16" s="1"/>
  <c r="J316" i="16"/>
  <c r="U317" i="16"/>
  <c r="V317" i="16" s="1"/>
  <c r="J317" i="16"/>
  <c r="U322" i="16"/>
  <c r="V322" i="16" s="1"/>
  <c r="J322" i="16"/>
  <c r="U323" i="16"/>
  <c r="V323" i="16" s="1"/>
  <c r="J323" i="16"/>
  <c r="U326" i="16"/>
  <c r="V326" i="16" s="1"/>
  <c r="J326" i="16"/>
  <c r="U328" i="16"/>
  <c r="V328" i="16" s="1"/>
  <c r="J328" i="16"/>
  <c r="U329" i="16"/>
  <c r="V329" i="16" s="1"/>
  <c r="J329" i="16"/>
  <c r="U498" i="16"/>
  <c r="V498" i="16" s="1"/>
  <c r="J498" i="16"/>
  <c r="J499" i="16"/>
  <c r="U499" i="16"/>
  <c r="V499" i="16" s="1"/>
  <c r="U500" i="16"/>
  <c r="V500" i="16" s="1"/>
  <c r="J500" i="16"/>
  <c r="U501" i="16"/>
  <c r="V501" i="16" s="1"/>
  <c r="J501" i="16"/>
  <c r="U502" i="16"/>
  <c r="V502" i="16" s="1"/>
  <c r="J502" i="16"/>
  <c r="J23" i="16"/>
  <c r="U23" i="16"/>
  <c r="V23" i="16" s="1"/>
  <c r="J24" i="16"/>
  <c r="U24" i="16"/>
  <c r="V24" i="16" s="1"/>
  <c r="U25" i="16"/>
  <c r="V25" i="16" s="1"/>
  <c r="J25" i="16"/>
  <c r="J26" i="16"/>
  <c r="U26" i="16"/>
  <c r="V26" i="16" s="1"/>
  <c r="J27" i="16"/>
  <c r="U27" i="16"/>
  <c r="V27" i="16" s="1"/>
  <c r="J28" i="16"/>
  <c r="U28" i="16"/>
  <c r="V28" i="16" s="1"/>
  <c r="U29" i="16"/>
  <c r="V29" i="16" s="1"/>
  <c r="J29" i="16"/>
  <c r="U37" i="16"/>
  <c r="V37" i="16" s="1"/>
  <c r="J37" i="16"/>
  <c r="J38" i="16"/>
  <c r="U38" i="16"/>
  <c r="V38" i="16" s="1"/>
  <c r="U39" i="16"/>
  <c r="V39" i="16" s="1"/>
  <c r="J39" i="16"/>
  <c r="J40" i="16"/>
  <c r="U40" i="16"/>
  <c r="V40" i="16" s="1"/>
  <c r="J42" i="16"/>
  <c r="U42" i="16"/>
  <c r="V42" i="16" s="1"/>
  <c r="J43" i="16"/>
  <c r="U43" i="16"/>
  <c r="V43" i="16" s="1"/>
  <c r="U49" i="16"/>
  <c r="V49" i="16" s="1"/>
  <c r="J49" i="16"/>
  <c r="U50" i="16"/>
  <c r="V50" i="16" s="1"/>
  <c r="J50" i="16"/>
  <c r="J51" i="16"/>
  <c r="U51" i="16"/>
  <c r="V51" i="16" s="1"/>
  <c r="J52" i="16"/>
  <c r="U52" i="16"/>
  <c r="V52" i="16" s="1"/>
  <c r="U53" i="16"/>
  <c r="V53" i="16" s="1"/>
  <c r="J53" i="16"/>
  <c r="J54" i="16"/>
  <c r="U54" i="16"/>
  <c r="V54" i="16" s="1"/>
  <c r="U60" i="16"/>
  <c r="V60" i="16" s="1"/>
  <c r="J60" i="16"/>
  <c r="U61" i="16"/>
  <c r="V61" i="16" s="1"/>
  <c r="J61" i="16"/>
  <c r="U62" i="16"/>
  <c r="V62" i="16" s="1"/>
  <c r="J62" i="16"/>
  <c r="J63" i="16"/>
  <c r="U63" i="16"/>
  <c r="V63" i="16" s="1"/>
  <c r="J64" i="16"/>
  <c r="U64" i="16"/>
  <c r="V64" i="16" s="1"/>
  <c r="U65" i="16"/>
  <c r="V65" i="16" s="1"/>
  <c r="J65" i="16"/>
  <c r="U66" i="16"/>
  <c r="V66" i="16" s="1"/>
  <c r="J66" i="16"/>
  <c r="J77" i="16"/>
  <c r="U77" i="16"/>
  <c r="V77" i="16" s="1"/>
  <c r="J78" i="16"/>
  <c r="U78" i="16"/>
  <c r="V78" i="16" s="1"/>
  <c r="J80" i="16"/>
  <c r="U80" i="16"/>
  <c r="V80" i="16" s="1"/>
  <c r="J81" i="16"/>
  <c r="U81" i="16"/>
  <c r="V81" i="16" s="1"/>
  <c r="J82" i="16"/>
  <c r="U82" i="16"/>
  <c r="V82" i="16" s="1"/>
  <c r="J83" i="16"/>
  <c r="U83" i="16"/>
  <c r="V83" i="16" s="1"/>
  <c r="U84" i="16"/>
  <c r="V84" i="16" s="1"/>
  <c r="J84" i="16"/>
  <c r="U85" i="16"/>
  <c r="V85" i="16" s="1"/>
  <c r="J85" i="16"/>
  <c r="J97" i="16"/>
  <c r="U97" i="16"/>
  <c r="V97" i="16" s="1"/>
  <c r="J98" i="16"/>
  <c r="U98" i="16"/>
  <c r="V98" i="16" s="1"/>
  <c r="J99" i="16"/>
  <c r="U99" i="16"/>
  <c r="V99" i="16" s="1"/>
  <c r="J100" i="16"/>
  <c r="U100" i="16"/>
  <c r="V100" i="16" s="1"/>
  <c r="U101" i="16"/>
  <c r="V101" i="16" s="1"/>
  <c r="J101" i="16"/>
  <c r="J102" i="16"/>
  <c r="U102" i="16"/>
  <c r="V102" i="16" s="1"/>
  <c r="U103" i="16"/>
  <c r="V103" i="16" s="1"/>
  <c r="J103" i="16"/>
  <c r="U105" i="16"/>
  <c r="V105" i="16" s="1"/>
  <c r="J105" i="16"/>
  <c r="J120" i="16"/>
  <c r="U120" i="16"/>
  <c r="V120" i="16" s="1"/>
  <c r="U121" i="16"/>
  <c r="V121" i="16" s="1"/>
  <c r="J121" i="16"/>
  <c r="J122" i="16"/>
  <c r="U122" i="16"/>
  <c r="V122" i="16" s="1"/>
  <c r="U123" i="16"/>
  <c r="V123" i="16" s="1"/>
  <c r="J123" i="16"/>
  <c r="U124" i="16"/>
  <c r="V124" i="16" s="1"/>
  <c r="J124" i="16"/>
  <c r="U125" i="16"/>
  <c r="V125" i="16" s="1"/>
  <c r="J125" i="16"/>
  <c r="J126" i="16"/>
  <c r="U126" i="16"/>
  <c r="V126" i="16" s="1"/>
  <c r="J127" i="16"/>
  <c r="U127" i="16"/>
  <c r="V127" i="16" s="1"/>
  <c r="U139" i="16"/>
  <c r="V139" i="16" s="1"/>
  <c r="J139" i="16"/>
  <c r="U140" i="16"/>
  <c r="V140" i="16" s="1"/>
  <c r="J140" i="16"/>
  <c r="U141" i="16"/>
  <c r="V141" i="16" s="1"/>
  <c r="J141" i="16"/>
  <c r="J142" i="16"/>
  <c r="U142" i="16"/>
  <c r="V142" i="16" s="1"/>
  <c r="U143" i="16"/>
  <c r="V143" i="16" s="1"/>
  <c r="J143" i="16"/>
  <c r="U144" i="16"/>
  <c r="V144" i="16" s="1"/>
  <c r="J144" i="16"/>
  <c r="U145" i="16"/>
  <c r="V145" i="16" s="1"/>
  <c r="J145" i="16"/>
  <c r="U146" i="16"/>
  <c r="V146" i="16" s="1"/>
  <c r="J146" i="16"/>
  <c r="U150" i="16"/>
  <c r="V150" i="16" s="1"/>
  <c r="J150" i="16"/>
  <c r="J151" i="16"/>
  <c r="U151" i="16"/>
  <c r="V151" i="16" s="1"/>
  <c r="U152" i="16"/>
  <c r="V152" i="16" s="1"/>
  <c r="J152" i="16"/>
  <c r="U153" i="16"/>
  <c r="V153" i="16" s="1"/>
  <c r="J153" i="16"/>
  <c r="U154" i="16"/>
  <c r="V154" i="16" s="1"/>
  <c r="J154" i="16"/>
  <c r="U155" i="16"/>
  <c r="V155" i="16" s="1"/>
  <c r="J155" i="16"/>
  <c r="U156" i="16"/>
  <c r="V156" i="16" s="1"/>
  <c r="J156" i="16"/>
  <c r="U157" i="16"/>
  <c r="V157" i="16" s="1"/>
  <c r="J157" i="16"/>
  <c r="U158" i="16"/>
  <c r="V158" i="16" s="1"/>
  <c r="J158" i="16"/>
  <c r="U159" i="16"/>
  <c r="V159" i="16" s="1"/>
  <c r="J159" i="16"/>
  <c r="U160" i="16"/>
  <c r="V160" i="16" s="1"/>
  <c r="J160" i="16"/>
  <c r="U161" i="16"/>
  <c r="V161" i="16" s="1"/>
  <c r="J161" i="16"/>
  <c r="U162" i="16"/>
  <c r="V162" i="16" s="1"/>
  <c r="J162" i="16"/>
  <c r="U163" i="16"/>
  <c r="V163" i="16" s="1"/>
  <c r="J163" i="16"/>
  <c r="U164" i="16"/>
  <c r="V164" i="16" s="1"/>
  <c r="J164" i="16"/>
  <c r="U165" i="16"/>
  <c r="V165" i="16" s="1"/>
  <c r="J165" i="16"/>
  <c r="U166" i="16"/>
  <c r="V166" i="16" s="1"/>
  <c r="J166" i="16"/>
  <c r="U174" i="16"/>
  <c r="V174" i="16" s="1"/>
  <c r="J174" i="16"/>
  <c r="U175" i="16"/>
  <c r="V175" i="16" s="1"/>
  <c r="J175" i="16"/>
  <c r="U189" i="16"/>
  <c r="V189" i="16" s="1"/>
  <c r="J189" i="16"/>
  <c r="U205" i="16"/>
  <c r="V205" i="16" s="1"/>
  <c r="J205" i="16"/>
  <c r="U206" i="16"/>
  <c r="V206" i="16" s="1"/>
  <c r="J206" i="16"/>
  <c r="U207" i="16"/>
  <c r="V207" i="16" s="1"/>
  <c r="J207" i="16"/>
  <c r="U208" i="16"/>
  <c r="V208" i="16" s="1"/>
  <c r="J208" i="16"/>
  <c r="U214" i="16"/>
  <c r="V214" i="16" s="1"/>
  <c r="J214" i="16"/>
  <c r="U215" i="16"/>
  <c r="V215" i="16" s="1"/>
  <c r="J215" i="16"/>
  <c r="U218" i="16"/>
  <c r="V218" i="16" s="1"/>
  <c r="J218" i="16"/>
  <c r="J219" i="16"/>
  <c r="U219" i="16"/>
  <c r="V219" i="16" s="1"/>
  <c r="U220" i="16"/>
  <c r="V220" i="16" s="1"/>
  <c r="J220" i="16"/>
  <c r="U221" i="16"/>
  <c r="V221" i="16" s="1"/>
  <c r="J221" i="16"/>
  <c r="U222" i="16"/>
  <c r="V222" i="16" s="1"/>
  <c r="J222" i="16"/>
  <c r="U223" i="16"/>
  <c r="V223" i="16" s="1"/>
  <c r="J223" i="16"/>
  <c r="U226" i="16"/>
  <c r="V226" i="16" s="1"/>
  <c r="J226" i="16"/>
  <c r="U227" i="16"/>
  <c r="V227" i="16" s="1"/>
  <c r="J227" i="16"/>
  <c r="U230" i="16"/>
  <c r="V230" i="16" s="1"/>
  <c r="J230" i="16"/>
  <c r="U232" i="16"/>
  <c r="V232" i="16" s="1"/>
  <c r="J232" i="16"/>
  <c r="U233" i="16"/>
  <c r="V233" i="16" s="1"/>
  <c r="J233" i="16"/>
  <c r="U238" i="16"/>
  <c r="V238" i="16" s="1"/>
  <c r="J238" i="16"/>
  <c r="U240" i="16"/>
  <c r="V240" i="16" s="1"/>
  <c r="J240" i="16"/>
  <c r="U241" i="16"/>
  <c r="V241" i="16" s="1"/>
  <c r="J241" i="16"/>
  <c r="U244" i="16"/>
  <c r="V244" i="16" s="1"/>
  <c r="J244" i="16"/>
  <c r="U249" i="16"/>
  <c r="V249" i="16" s="1"/>
  <c r="J249" i="16"/>
  <c r="U250" i="16"/>
  <c r="V250" i="16" s="1"/>
  <c r="J250" i="16"/>
  <c r="U251" i="16"/>
  <c r="V251" i="16" s="1"/>
  <c r="J251" i="16"/>
  <c r="U252" i="16"/>
  <c r="V252" i="16" s="1"/>
  <c r="J252" i="16"/>
  <c r="U260" i="16"/>
  <c r="V260" i="16" s="1"/>
  <c r="J260" i="16"/>
  <c r="U261" i="16"/>
  <c r="V261" i="16" s="1"/>
  <c r="J261" i="16"/>
  <c r="U262" i="16"/>
  <c r="V262" i="16" s="1"/>
  <c r="J262" i="16"/>
  <c r="U264" i="16"/>
  <c r="V264" i="16" s="1"/>
  <c r="J264" i="16"/>
  <c r="U265" i="16"/>
  <c r="V265" i="16" s="1"/>
  <c r="J265" i="16"/>
  <c r="U266" i="16"/>
  <c r="V266" i="16" s="1"/>
  <c r="J266" i="16"/>
  <c r="U272" i="16"/>
  <c r="V272" i="16" s="1"/>
  <c r="J272" i="16"/>
  <c r="U273" i="16"/>
  <c r="V273" i="16" s="1"/>
  <c r="J273" i="16"/>
  <c r="U278" i="16"/>
  <c r="V278" i="16" s="1"/>
  <c r="J278" i="16"/>
  <c r="U279" i="16"/>
  <c r="V279" i="16" s="1"/>
  <c r="J279" i="16"/>
  <c r="U280" i="16"/>
  <c r="V280" i="16" s="1"/>
  <c r="J280" i="16"/>
  <c r="U281" i="16"/>
  <c r="V281" i="16" s="1"/>
  <c r="J281" i="16"/>
  <c r="U282" i="16"/>
  <c r="V282" i="16" s="1"/>
  <c r="J282" i="16"/>
  <c r="U284" i="16"/>
  <c r="V284" i="16" s="1"/>
  <c r="J284" i="16"/>
  <c r="U292" i="16"/>
  <c r="V292" i="16" s="1"/>
  <c r="J292" i="16"/>
  <c r="U293" i="16"/>
  <c r="V293" i="16" s="1"/>
  <c r="J293" i="16"/>
  <c r="U294" i="16"/>
  <c r="V294" i="16" s="1"/>
  <c r="J294" i="16"/>
  <c r="U295" i="16"/>
  <c r="V295" i="16" s="1"/>
  <c r="J295" i="16"/>
  <c r="U296" i="16"/>
  <c r="V296" i="16" s="1"/>
  <c r="J296" i="16"/>
  <c r="U299" i="16"/>
  <c r="V299" i="16" s="1"/>
  <c r="J299" i="16"/>
  <c r="U300" i="16"/>
  <c r="V300" i="16" s="1"/>
  <c r="J300" i="16"/>
  <c r="U301" i="16"/>
  <c r="V301" i="16" s="1"/>
  <c r="J301" i="16"/>
  <c r="U302" i="16"/>
  <c r="V302" i="16" s="1"/>
  <c r="J302" i="16"/>
  <c r="U303" i="16"/>
  <c r="V303" i="16" s="1"/>
  <c r="J303" i="16"/>
  <c r="U304" i="16"/>
  <c r="V304" i="16" s="1"/>
  <c r="J304" i="16"/>
  <c r="U309" i="16"/>
  <c r="V309" i="16" s="1"/>
  <c r="J309" i="16"/>
  <c r="U314" i="16"/>
  <c r="V314" i="16" s="1"/>
  <c r="J314" i="16"/>
  <c r="U315" i="16"/>
  <c r="V315" i="16" s="1"/>
  <c r="J315" i="16"/>
  <c r="U318" i="16"/>
  <c r="V318" i="16" s="1"/>
  <c r="J318" i="16"/>
  <c r="U319" i="16"/>
  <c r="V319" i="16" s="1"/>
  <c r="J319" i="16"/>
  <c r="U320" i="16"/>
  <c r="V320" i="16" s="1"/>
  <c r="J320" i="16"/>
  <c r="U321" i="16"/>
  <c r="V321" i="16" s="1"/>
  <c r="J321" i="16"/>
  <c r="U324" i="16"/>
  <c r="V324" i="16" s="1"/>
  <c r="J324" i="16"/>
  <c r="U325" i="16"/>
  <c r="V325" i="16" s="1"/>
  <c r="J325" i="16"/>
  <c r="J327" i="16"/>
  <c r="U327" i="16"/>
  <c r="V327" i="16" s="1"/>
  <c r="U330" i="16"/>
  <c r="V330" i="16" s="1"/>
  <c r="J330" i="16"/>
  <c r="U331" i="16"/>
  <c r="V331" i="16" s="1"/>
  <c r="J331" i="16"/>
  <c r="U332" i="16"/>
  <c r="V332" i="16" s="1"/>
  <c r="J332" i="16"/>
  <c r="U333" i="16"/>
  <c r="V333" i="16" s="1"/>
  <c r="J333" i="16"/>
  <c r="U334" i="16"/>
  <c r="V334" i="16" s="1"/>
  <c r="J334" i="16"/>
  <c r="U335" i="16"/>
  <c r="V335" i="16" s="1"/>
  <c r="J335" i="16"/>
  <c r="I503" i="16"/>
  <c r="AN503" i="16"/>
  <c r="AG12" i="16"/>
  <c r="K336" i="16"/>
  <c r="K462" i="16"/>
  <c r="K337" i="16"/>
  <c r="K150" i="16"/>
  <c r="K338" i="16"/>
  <c r="K463" i="16"/>
  <c r="K339" i="16"/>
  <c r="K59" i="16"/>
  <c r="K340" i="16"/>
  <c r="K464" i="16"/>
  <c r="K341" i="16"/>
  <c r="K60" i="16"/>
  <c r="K342" i="16"/>
  <c r="K465" i="16"/>
  <c r="K343" i="16"/>
  <c r="K61" i="16"/>
  <c r="K344" i="16"/>
  <c r="K466" i="16"/>
  <c r="K345" i="16"/>
  <c r="K62" i="16"/>
  <c r="K346" i="16"/>
  <c r="K467" i="16"/>
  <c r="K347" i="16"/>
  <c r="K63" i="16"/>
  <c r="K348" i="16"/>
  <c r="K468" i="16"/>
  <c r="K349" i="16"/>
  <c r="K64" i="16"/>
  <c r="K350" i="16"/>
  <c r="K469" i="16"/>
  <c r="K351" i="16"/>
  <c r="K65" i="16"/>
  <c r="K352" i="16"/>
  <c r="K470" i="16"/>
  <c r="K353" i="16"/>
  <c r="K66" i="16"/>
  <c r="K354" i="16"/>
  <c r="K471" i="16"/>
  <c r="K355" i="16"/>
  <c r="K151" i="16"/>
  <c r="K356" i="16"/>
  <c r="K472" i="16"/>
  <c r="K357" i="16"/>
  <c r="K119" i="16"/>
  <c r="K358" i="16"/>
  <c r="K473" i="16"/>
  <c r="K359" i="16"/>
  <c r="K120" i="16"/>
  <c r="K360" i="16"/>
  <c r="K474" i="16"/>
  <c r="K361" i="16"/>
  <c r="K121" i="16"/>
  <c r="K362" i="16"/>
  <c r="K475" i="16"/>
  <c r="K363" i="16"/>
  <c r="K122" i="16"/>
  <c r="K364" i="16"/>
  <c r="K476" i="16"/>
  <c r="K365" i="16"/>
  <c r="K123" i="16"/>
  <c r="K366" i="16"/>
  <c r="K477" i="16"/>
  <c r="K367" i="16"/>
  <c r="K124" i="16"/>
  <c r="K368" i="16"/>
  <c r="K478" i="16"/>
  <c r="K369" i="16"/>
  <c r="K125" i="16"/>
  <c r="K370" i="16"/>
  <c r="K479" i="16"/>
  <c r="K371" i="16"/>
  <c r="K126" i="16"/>
  <c r="K372" i="16"/>
  <c r="K480" i="16"/>
  <c r="K373" i="16"/>
  <c r="K76" i="16"/>
  <c r="K374" i="16"/>
  <c r="K481" i="16"/>
  <c r="K375" i="16"/>
  <c r="K77" i="16"/>
  <c r="K376" i="16"/>
  <c r="K482" i="16"/>
  <c r="K377" i="16"/>
  <c r="K78" i="16"/>
  <c r="K378" i="16"/>
  <c r="K483" i="16"/>
  <c r="K379" i="16"/>
  <c r="K79" i="16"/>
  <c r="K380" i="16"/>
  <c r="K484" i="16"/>
  <c r="K381" i="16"/>
  <c r="K80" i="16"/>
  <c r="K382" i="16"/>
  <c r="K485" i="16"/>
  <c r="K383" i="16"/>
  <c r="K81" i="16"/>
  <c r="K384" i="16"/>
  <c r="K486" i="16"/>
  <c r="K385" i="16"/>
  <c r="K82" i="16"/>
  <c r="K386" i="16"/>
  <c r="K487" i="16"/>
  <c r="K387" i="16"/>
  <c r="K83" i="16"/>
  <c r="K388" i="16"/>
  <c r="K488" i="16"/>
  <c r="K389" i="16"/>
  <c r="K84" i="16"/>
  <c r="K390" i="16"/>
  <c r="K489" i="16"/>
  <c r="K391" i="16"/>
  <c r="K85" i="16"/>
  <c r="K392" i="16"/>
  <c r="K490" i="16"/>
  <c r="K393" i="16"/>
  <c r="K127" i="16"/>
  <c r="K394" i="16"/>
  <c r="K491" i="16"/>
  <c r="K395" i="16"/>
  <c r="K152" i="16"/>
  <c r="K396" i="16"/>
  <c r="K295" i="16"/>
  <c r="K397" i="16"/>
  <c r="K492" i="16"/>
  <c r="K398" i="16"/>
  <c r="K153" i="16"/>
  <c r="K399" i="16"/>
  <c r="K493" i="16"/>
  <c r="K400" i="16"/>
  <c r="K154" i="16"/>
  <c r="K401" i="16"/>
  <c r="K494" i="16"/>
  <c r="K402" i="16"/>
  <c r="K155" i="16"/>
  <c r="K403" i="16"/>
  <c r="K495" i="16"/>
  <c r="K404" i="16"/>
  <c r="K156" i="16"/>
  <c r="K405" i="16"/>
  <c r="K496" i="16"/>
  <c r="K406" i="16"/>
  <c r="K157" i="16"/>
  <c r="K407" i="16"/>
  <c r="K12" i="16"/>
  <c r="K408" i="16"/>
  <c r="K13" i="16"/>
  <c r="K409" i="16"/>
  <c r="K158" i="16"/>
  <c r="K410" i="16"/>
  <c r="K14" i="16"/>
  <c r="K411" i="16"/>
  <c r="K159" i="16"/>
  <c r="K412" i="16"/>
  <c r="K15" i="16"/>
  <c r="K413" i="16"/>
  <c r="K160" i="16"/>
  <c r="K414" i="16"/>
  <c r="K16" i="16"/>
  <c r="K415" i="16"/>
  <c r="K161" i="16"/>
  <c r="K416" i="16"/>
  <c r="K17" i="16"/>
  <c r="K417" i="16"/>
  <c r="K97" i="16"/>
  <c r="K418" i="16"/>
  <c r="K18" i="16"/>
  <c r="K419" i="16"/>
  <c r="K98" i="16"/>
  <c r="K420" i="16"/>
  <c r="K19" i="16"/>
  <c r="K421" i="16"/>
  <c r="K99" i="16"/>
  <c r="K422" i="16"/>
  <c r="K20" i="16"/>
  <c r="K423" i="16"/>
  <c r="K100" i="16"/>
  <c r="K424" i="16"/>
  <c r="K22" i="16"/>
  <c r="K425" i="16"/>
  <c r="K23" i="16"/>
  <c r="K426" i="16"/>
  <c r="K24" i="16"/>
  <c r="K427" i="16"/>
  <c r="K25" i="16"/>
  <c r="K428" i="16"/>
  <c r="K26" i="16"/>
  <c r="K429" i="16"/>
  <c r="K27" i="16"/>
  <c r="K430" i="16"/>
  <c r="K28" i="16"/>
  <c r="K431" i="16"/>
  <c r="K29" i="16"/>
  <c r="K432" i="16"/>
  <c r="K101" i="16"/>
  <c r="K433" i="16"/>
  <c r="K102" i="16"/>
  <c r="K434" i="16"/>
  <c r="K103" i="16"/>
  <c r="K435" i="16"/>
  <c r="K162" i="16"/>
  <c r="K436" i="16"/>
  <c r="K105" i="16"/>
  <c r="K437" i="16"/>
  <c r="K163" i="16"/>
  <c r="K438" i="16"/>
  <c r="K140" i="16"/>
  <c r="K439" i="16"/>
  <c r="K36" i="16"/>
  <c r="K440" i="16"/>
  <c r="K37" i="16"/>
  <c r="K441" i="16"/>
  <c r="K38" i="16"/>
  <c r="K442" i="16"/>
  <c r="K39" i="16"/>
  <c r="K443" i="16"/>
  <c r="K40" i="16"/>
  <c r="K444" i="16"/>
  <c r="K141" i="16"/>
  <c r="K445" i="16"/>
  <c r="K42" i="16"/>
  <c r="K446" i="16"/>
  <c r="K43" i="16"/>
  <c r="K447" i="16"/>
  <c r="K142" i="16"/>
  <c r="K448" i="16"/>
  <c r="K143" i="16"/>
  <c r="K449" i="16"/>
  <c r="K144" i="16"/>
  <c r="K450" i="16"/>
  <c r="K145" i="16"/>
  <c r="K451" i="16"/>
  <c r="K48" i="16"/>
  <c r="K452" i="16"/>
  <c r="K49" i="16"/>
  <c r="K453" i="16"/>
  <c r="K50" i="16"/>
  <c r="K454" i="16"/>
  <c r="K51" i="16"/>
  <c r="K455" i="16"/>
  <c r="K52" i="16"/>
  <c r="K456" i="16"/>
  <c r="K53" i="16"/>
  <c r="K457" i="16"/>
  <c r="K54" i="16"/>
  <c r="K458" i="16"/>
  <c r="K146" i="16"/>
  <c r="K459" i="16"/>
  <c r="K164" i="16"/>
  <c r="K460" i="16"/>
  <c r="K165" i="16"/>
  <c r="K461" i="16"/>
  <c r="K166" i="16"/>
  <c r="K173" i="16"/>
  <c r="K174" i="16"/>
  <c r="K189" i="16"/>
  <c r="K205" i="16"/>
  <c r="K206" i="16"/>
  <c r="K207" i="16"/>
  <c r="K208" i="16"/>
  <c r="K214" i="16"/>
  <c r="K215" i="16"/>
  <c r="K218" i="16"/>
  <c r="K219" i="16"/>
  <c r="K220" i="16"/>
  <c r="K221" i="16"/>
  <c r="K222" i="16"/>
  <c r="K223" i="16"/>
  <c r="K225" i="16"/>
  <c r="K226" i="16"/>
  <c r="K227" i="16"/>
  <c r="K229" i="16"/>
  <c r="K230" i="16"/>
  <c r="K237" i="16"/>
  <c r="K238" i="16"/>
  <c r="K239" i="16"/>
  <c r="K240" i="16"/>
  <c r="K241" i="16"/>
  <c r="K244" i="16"/>
  <c r="K245" i="16"/>
  <c r="K249" i="16"/>
  <c r="K250" i="16"/>
  <c r="K251" i="16"/>
  <c r="K252" i="16"/>
  <c r="K261" i="16"/>
  <c r="K262" i="16"/>
  <c r="K264" i="16"/>
  <c r="K265" i="16"/>
  <c r="K266" i="16"/>
  <c r="K271" i="16"/>
  <c r="K272" i="16"/>
  <c r="K273" i="16"/>
  <c r="K278" i="16"/>
  <c r="K279" i="16"/>
  <c r="K280" i="16"/>
  <c r="K281" i="16"/>
  <c r="K282" i="16"/>
  <c r="K292" i="16"/>
  <c r="K293" i="16"/>
  <c r="K294" i="16"/>
  <c r="K299" i="16"/>
  <c r="K300" i="16"/>
  <c r="K301" i="16"/>
  <c r="K302" i="16"/>
  <c r="K303" i="16"/>
  <c r="K314" i="16"/>
  <c r="K315" i="16"/>
  <c r="K318" i="16"/>
  <c r="K319" i="16"/>
  <c r="K324" i="16"/>
  <c r="K325" i="16"/>
  <c r="K326" i="16"/>
  <c r="K332" i="16"/>
  <c r="K333" i="16"/>
  <c r="K334" i="16"/>
  <c r="K335" i="16"/>
  <c r="K497" i="16"/>
  <c r="K498" i="16"/>
  <c r="K499" i="16"/>
  <c r="K500" i="16"/>
  <c r="K501" i="16"/>
  <c r="K502" i="16"/>
  <c r="K21" i="16"/>
  <c r="K30" i="16"/>
  <c r="K31" i="16"/>
  <c r="K32" i="16"/>
  <c r="K33" i="16"/>
  <c r="K34" i="16"/>
  <c r="K35" i="16"/>
  <c r="K41" i="16"/>
  <c r="K44" i="16"/>
  <c r="K45" i="16"/>
  <c r="K46" i="16"/>
  <c r="K47" i="16"/>
  <c r="K55" i="16"/>
  <c r="K56" i="16"/>
  <c r="K57" i="16"/>
  <c r="K58" i="16"/>
  <c r="K67" i="16"/>
  <c r="K68" i="16"/>
  <c r="K69" i="16"/>
  <c r="K70" i="16"/>
  <c r="K71" i="16"/>
  <c r="K72" i="16"/>
  <c r="K73" i="16"/>
  <c r="K74" i="16"/>
  <c r="K75" i="16"/>
  <c r="K86" i="16"/>
  <c r="K87" i="16"/>
  <c r="K88" i="16"/>
  <c r="K89" i="16"/>
  <c r="K90" i="16"/>
  <c r="K91" i="16"/>
  <c r="K92" i="16"/>
  <c r="K93" i="16"/>
  <c r="K94" i="16"/>
  <c r="K95" i="16"/>
  <c r="K96" i="16"/>
  <c r="K104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7" i="16"/>
  <c r="K148" i="16"/>
  <c r="K149" i="16"/>
  <c r="K167" i="16"/>
  <c r="K168" i="16"/>
  <c r="K169" i="16"/>
  <c r="K170" i="16"/>
  <c r="K171" i="16"/>
  <c r="K172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9" i="16"/>
  <c r="K210" i="16"/>
  <c r="K211" i="16"/>
  <c r="K212" i="16"/>
  <c r="K213" i="16"/>
  <c r="K216" i="16"/>
  <c r="K217" i="16"/>
  <c r="K224" i="16"/>
  <c r="K228" i="16"/>
  <c r="K231" i="16"/>
  <c r="K232" i="16"/>
  <c r="K233" i="16"/>
  <c r="K234" i="16"/>
  <c r="K235" i="16"/>
  <c r="K236" i="16"/>
  <c r="K242" i="16"/>
  <c r="K243" i="16"/>
  <c r="K246" i="16"/>
  <c r="K247" i="16"/>
  <c r="K248" i="16"/>
  <c r="K253" i="16"/>
  <c r="K254" i="16"/>
  <c r="K255" i="16"/>
  <c r="K256" i="16"/>
  <c r="K257" i="16"/>
  <c r="K258" i="16"/>
  <c r="K259" i="16"/>
  <c r="K260" i="16"/>
  <c r="K263" i="16"/>
  <c r="K267" i="16"/>
  <c r="K268" i="16"/>
  <c r="K269" i="16"/>
  <c r="K270" i="16"/>
  <c r="K274" i="16"/>
  <c r="K275" i="16"/>
  <c r="K276" i="16"/>
  <c r="K277" i="16"/>
  <c r="K283" i="16"/>
  <c r="K284" i="16"/>
  <c r="K285" i="16"/>
  <c r="K286" i="16"/>
  <c r="K287" i="16"/>
  <c r="K288" i="16"/>
  <c r="K289" i="16"/>
  <c r="K290" i="16"/>
  <c r="K291" i="16"/>
  <c r="K296" i="16"/>
  <c r="K297" i="16"/>
  <c r="K298" i="16"/>
  <c r="K304" i="16"/>
  <c r="K305" i="16"/>
  <c r="K306" i="16"/>
  <c r="K307" i="16"/>
  <c r="K308" i="16"/>
  <c r="K309" i="16"/>
  <c r="K310" i="16"/>
  <c r="K311" i="16"/>
  <c r="K312" i="16"/>
  <c r="K313" i="16"/>
  <c r="K316" i="16"/>
  <c r="K317" i="16"/>
  <c r="K320" i="16"/>
  <c r="K321" i="16"/>
  <c r="K322" i="16"/>
  <c r="K323" i="16"/>
  <c r="K327" i="16"/>
  <c r="K328" i="16"/>
  <c r="K329" i="16"/>
  <c r="K330" i="16"/>
  <c r="K331" i="16"/>
  <c r="M172" i="16"/>
  <c r="M336" i="16"/>
  <c r="M337" i="16"/>
  <c r="M175" i="16"/>
  <c r="M176" i="16"/>
  <c r="M177" i="16"/>
  <c r="M178" i="16"/>
  <c r="M179" i="16"/>
  <c r="M180" i="16"/>
  <c r="M181" i="16"/>
  <c r="M182" i="16"/>
  <c r="M183" i="16"/>
  <c r="M184" i="16"/>
  <c r="M185" i="16"/>
  <c r="M186" i="16"/>
  <c r="M187" i="16"/>
  <c r="M188" i="16"/>
  <c r="M338" i="16"/>
  <c r="M189" i="16"/>
  <c r="M190" i="16"/>
  <c r="M191" i="16"/>
  <c r="M193" i="16"/>
  <c r="M194" i="16"/>
  <c r="M195" i="16"/>
  <c r="M196" i="16"/>
  <c r="M197" i="16"/>
  <c r="M198" i="16"/>
  <c r="M199" i="16"/>
  <c r="M200" i="16"/>
  <c r="M201" i="16"/>
  <c r="M202" i="16"/>
  <c r="M203" i="16"/>
  <c r="M339" i="16"/>
  <c r="M340" i="16"/>
  <c r="M341" i="16"/>
  <c r="M342" i="16"/>
  <c r="M209" i="16"/>
  <c r="M210" i="16"/>
  <c r="M211" i="16"/>
  <c r="M212" i="16"/>
  <c r="M343" i="16"/>
  <c r="M344" i="16"/>
  <c r="M215" i="16"/>
  <c r="M216" i="16"/>
  <c r="M217" i="16"/>
  <c r="M345" i="16"/>
  <c r="M346" i="16"/>
  <c r="M347" i="16"/>
  <c r="M348" i="16"/>
  <c r="M349" i="16"/>
  <c r="M350" i="16"/>
  <c r="M224" i="16"/>
  <c r="M351" i="16"/>
  <c r="M352" i="16"/>
  <c r="M353" i="16"/>
  <c r="M227" i="16"/>
  <c r="M228" i="16"/>
  <c r="M354" i="16"/>
  <c r="M355" i="16"/>
  <c r="M230" i="16"/>
  <c r="M234" i="16"/>
  <c r="M235" i="16"/>
  <c r="M236" i="16"/>
  <c r="M356" i="16"/>
  <c r="M357" i="16"/>
  <c r="M238" i="16"/>
  <c r="M358" i="16"/>
  <c r="M359" i="16"/>
  <c r="M360" i="16"/>
  <c r="M242" i="16"/>
  <c r="M361" i="16"/>
  <c r="M362" i="16"/>
  <c r="M246" i="16"/>
  <c r="M247" i="16"/>
  <c r="M248" i="16"/>
  <c r="M363" i="16"/>
  <c r="M364" i="16"/>
  <c r="M365" i="16"/>
  <c r="M366" i="16"/>
  <c r="M252" i="16"/>
  <c r="M253" i="16"/>
  <c r="M254" i="16"/>
  <c r="M255" i="16"/>
  <c r="M256" i="16"/>
  <c r="M257" i="16"/>
  <c r="M258" i="16"/>
  <c r="M259" i="16"/>
  <c r="M367" i="16"/>
  <c r="M368" i="16"/>
  <c r="M263" i="16"/>
  <c r="M369" i="16"/>
  <c r="M370" i="16"/>
  <c r="M371" i="16"/>
  <c r="M266" i="16"/>
  <c r="M268" i="16"/>
  <c r="M269" i="16"/>
  <c r="M270" i="16"/>
  <c r="M372" i="16"/>
  <c r="M373" i="16"/>
  <c r="M272" i="16"/>
  <c r="M374" i="16"/>
  <c r="M274" i="16"/>
  <c r="M275" i="16"/>
  <c r="M276" i="16"/>
  <c r="M277" i="16"/>
  <c r="M375" i="16"/>
  <c r="M376" i="16"/>
  <c r="M377" i="16"/>
  <c r="M378" i="16"/>
  <c r="M379" i="16"/>
  <c r="M283" i="16"/>
  <c r="M284" i="16"/>
  <c r="M285" i="16"/>
  <c r="M286" i="16"/>
  <c r="M288" i="16"/>
  <c r="M289" i="16"/>
  <c r="M290" i="16"/>
  <c r="M380" i="16"/>
  <c r="M381" i="16"/>
  <c r="M382" i="16"/>
  <c r="M294" i="16"/>
  <c r="M171" i="16"/>
  <c r="M296" i="16"/>
  <c r="M297" i="16"/>
  <c r="M383" i="16"/>
  <c r="M384" i="16"/>
  <c r="M385" i="16"/>
  <c r="M386" i="16"/>
  <c r="M387" i="16"/>
  <c r="M303" i="16"/>
  <c r="M304" i="16"/>
  <c r="M306" i="16"/>
  <c r="M307" i="16"/>
  <c r="M309" i="16"/>
  <c r="M310" i="16"/>
  <c r="M311" i="16"/>
  <c r="M312" i="16"/>
  <c r="M313" i="16"/>
  <c r="M388" i="16"/>
  <c r="M389" i="16"/>
  <c r="M315" i="16"/>
  <c r="M316" i="16"/>
  <c r="M390" i="16"/>
  <c r="M318" i="16"/>
  <c r="M391" i="16"/>
  <c r="M321" i="16"/>
  <c r="M323" i="16"/>
  <c r="M392" i="16"/>
  <c r="M393" i="16"/>
  <c r="M325" i="16"/>
  <c r="M394" i="16"/>
  <c r="M327" i="16"/>
  <c r="M328" i="16"/>
  <c r="M331" i="16"/>
  <c r="M395" i="16"/>
  <c r="M397" i="16"/>
  <c r="M398" i="16"/>
  <c r="M399" i="16"/>
  <c r="M400" i="16"/>
  <c r="M497" i="16"/>
  <c r="M401" i="16"/>
  <c r="M498" i="16"/>
  <c r="M402" i="16"/>
  <c r="M499" i="16"/>
  <c r="M403" i="16"/>
  <c r="M500" i="16"/>
  <c r="M404" i="16"/>
  <c r="M501" i="16"/>
  <c r="M405" i="16"/>
  <c r="M502" i="16"/>
  <c r="M12" i="16"/>
  <c r="M20" i="16"/>
  <c r="M406" i="16"/>
  <c r="M22" i="16"/>
  <c r="M23" i="16"/>
  <c r="M24" i="16"/>
  <c r="M25" i="16"/>
  <c r="M26" i="16"/>
  <c r="M27" i="16"/>
  <c r="M28" i="16"/>
  <c r="M407" i="16"/>
  <c r="M408" i="16"/>
  <c r="M409" i="16"/>
  <c r="M410" i="16"/>
  <c r="M411" i="16"/>
  <c r="M412" i="16"/>
  <c r="M36" i="16"/>
  <c r="M37" i="16"/>
  <c r="M38" i="16"/>
  <c r="M39" i="16"/>
  <c r="M40" i="16"/>
  <c r="M413" i="16"/>
  <c r="M42" i="16"/>
  <c r="M43" i="16"/>
  <c r="M414" i="16"/>
  <c r="M415" i="16"/>
  <c r="M416" i="16"/>
  <c r="M417" i="16"/>
  <c r="M48" i="16"/>
  <c r="M49" i="16"/>
  <c r="M50" i="16"/>
  <c r="M51" i="16"/>
  <c r="M52" i="16"/>
  <c r="M53" i="16"/>
  <c r="M418" i="16"/>
  <c r="M419" i="16"/>
  <c r="M420" i="16"/>
  <c r="M421" i="16"/>
  <c r="M59" i="16"/>
  <c r="M60" i="16"/>
  <c r="M61" i="16"/>
  <c r="M62" i="16"/>
  <c r="M63" i="16"/>
  <c r="M64" i="16"/>
  <c r="M65" i="16"/>
  <c r="M422" i="16"/>
  <c r="M67" i="16"/>
  <c r="M423" i="16"/>
  <c r="M424" i="16"/>
  <c r="M425" i="16"/>
  <c r="M426" i="16"/>
  <c r="M427" i="16"/>
  <c r="M428" i="16"/>
  <c r="M429" i="16"/>
  <c r="M430" i="16"/>
  <c r="M76" i="16"/>
  <c r="M77" i="16"/>
  <c r="M78" i="16"/>
  <c r="M79" i="16"/>
  <c r="M80" i="16"/>
  <c r="M81" i="16"/>
  <c r="M82" i="16"/>
  <c r="M83" i="16"/>
  <c r="M84" i="16"/>
  <c r="M85" i="16"/>
  <c r="M431" i="16"/>
  <c r="M432" i="16"/>
  <c r="M433" i="16"/>
  <c r="M434" i="16"/>
  <c r="M435" i="16"/>
  <c r="M436" i="16"/>
  <c r="M437" i="16"/>
  <c r="M438" i="16"/>
  <c r="M439" i="16"/>
  <c r="M440" i="16"/>
  <c r="M441" i="16"/>
  <c r="M97" i="16"/>
  <c r="M98" i="16"/>
  <c r="M99" i="16"/>
  <c r="M100" i="16"/>
  <c r="M101" i="16"/>
  <c r="M102" i="16"/>
  <c r="M103" i="16"/>
  <c r="M442" i="16"/>
  <c r="M105" i="16"/>
  <c r="M443" i="16"/>
  <c r="M444" i="16"/>
  <c r="M445" i="16"/>
  <c r="M446" i="16"/>
  <c r="M447" i="16"/>
  <c r="M448" i="16"/>
  <c r="M449" i="16"/>
  <c r="M450" i="16"/>
  <c r="M451" i="16"/>
  <c r="M452" i="16"/>
  <c r="M453" i="16"/>
  <c r="M454" i="16"/>
  <c r="M455" i="16"/>
  <c r="M119" i="16"/>
  <c r="M120" i="16"/>
  <c r="M121" i="16"/>
  <c r="M122" i="16"/>
  <c r="M123" i="16"/>
  <c r="M124" i="16"/>
  <c r="M125" i="16"/>
  <c r="M126" i="16"/>
  <c r="M127" i="16"/>
  <c r="M456" i="16"/>
  <c r="M457" i="16"/>
  <c r="M458" i="16"/>
  <c r="M459" i="16"/>
  <c r="M460" i="16"/>
  <c r="M461" i="16"/>
  <c r="M462" i="16"/>
  <c r="M463" i="16"/>
  <c r="M464" i="16"/>
  <c r="M465" i="16"/>
  <c r="M466" i="16"/>
  <c r="M467" i="16"/>
  <c r="M140" i="16"/>
  <c r="M141" i="16"/>
  <c r="M142" i="16"/>
  <c r="M143" i="16"/>
  <c r="M144" i="16"/>
  <c r="M145" i="16"/>
  <c r="M146" i="16"/>
  <c r="M468" i="16"/>
  <c r="M469" i="16"/>
  <c r="M470" i="16"/>
  <c r="M150" i="16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6" i="16"/>
  <c r="M471" i="16"/>
  <c r="M472" i="16"/>
  <c r="M473" i="16"/>
  <c r="M474" i="16"/>
  <c r="M475" i="16"/>
  <c r="M476" i="16"/>
  <c r="M173" i="16"/>
  <c r="M174" i="16"/>
  <c r="M477" i="16"/>
  <c r="M478" i="16"/>
  <c r="M479" i="16"/>
  <c r="M480" i="16"/>
  <c r="M481" i="16"/>
  <c r="M482" i="16"/>
  <c r="M483" i="16"/>
  <c r="M484" i="16"/>
  <c r="M485" i="16"/>
  <c r="M486" i="16"/>
  <c r="M487" i="16"/>
  <c r="M488" i="16"/>
  <c r="M489" i="16"/>
  <c r="M490" i="16"/>
  <c r="M491" i="16"/>
  <c r="M492" i="16"/>
  <c r="M493" i="16"/>
  <c r="M192" i="16"/>
  <c r="M494" i="16"/>
  <c r="M495" i="16"/>
  <c r="M496" i="16"/>
  <c r="M13" i="16"/>
  <c r="M14" i="16"/>
  <c r="M15" i="16"/>
  <c r="M16" i="16"/>
  <c r="M17" i="16"/>
  <c r="M18" i="16"/>
  <c r="M19" i="16"/>
  <c r="M21" i="16"/>
  <c r="M29" i="16"/>
  <c r="M204" i="16"/>
  <c r="M205" i="16"/>
  <c r="M206" i="16"/>
  <c r="M207" i="16"/>
  <c r="M208" i="16"/>
  <c r="M30" i="16"/>
  <c r="M31" i="16"/>
  <c r="M32" i="16"/>
  <c r="M33" i="16"/>
  <c r="M34" i="16"/>
  <c r="M213" i="16"/>
  <c r="M214" i="16"/>
  <c r="M35" i="16"/>
  <c r="M41" i="16"/>
  <c r="M218" i="16"/>
  <c r="M219" i="16"/>
  <c r="M220" i="16"/>
  <c r="M221" i="16"/>
  <c r="M222" i="16"/>
  <c r="M223" i="16"/>
  <c r="M44" i="16"/>
  <c r="M225" i="16"/>
  <c r="M226" i="16"/>
  <c r="M45" i="16"/>
  <c r="M229" i="16"/>
  <c r="M46" i="16"/>
  <c r="M231" i="16"/>
  <c r="M47" i="16"/>
  <c r="M232" i="16"/>
  <c r="M54" i="16"/>
  <c r="M233" i="16"/>
  <c r="M55" i="16"/>
  <c r="M56" i="16"/>
  <c r="M57" i="16"/>
  <c r="M237" i="16"/>
  <c r="M239" i="16"/>
  <c r="M240" i="16"/>
  <c r="M241" i="16"/>
  <c r="M58" i="16"/>
  <c r="M66" i="16"/>
  <c r="M243" i="16"/>
  <c r="M244" i="16"/>
  <c r="M245" i="16"/>
  <c r="M68" i="16"/>
  <c r="M69" i="16"/>
  <c r="M70" i="16"/>
  <c r="M249" i="16"/>
  <c r="M250" i="16"/>
  <c r="M251" i="16"/>
  <c r="M71" i="16"/>
  <c r="M72" i="16"/>
  <c r="M73" i="16"/>
  <c r="M74" i="16"/>
  <c r="M75" i="16"/>
  <c r="M86" i="16"/>
  <c r="M87" i="16"/>
  <c r="M88" i="16"/>
  <c r="M260" i="16"/>
  <c r="M261" i="16"/>
  <c r="M262" i="16"/>
  <c r="M89" i="16"/>
  <c r="M264" i="16"/>
  <c r="M265" i="16"/>
  <c r="M90" i="16"/>
  <c r="M267" i="16"/>
  <c r="M91" i="16"/>
  <c r="M92" i="16"/>
  <c r="M93" i="16"/>
  <c r="M271" i="16"/>
  <c r="M273" i="16"/>
  <c r="M94" i="16"/>
  <c r="M95" i="16"/>
  <c r="M96" i="16"/>
  <c r="M104" i="16"/>
  <c r="M278" i="16"/>
  <c r="M279" i="16"/>
  <c r="M280" i="16"/>
  <c r="M281" i="16"/>
  <c r="M282" i="16"/>
  <c r="M106" i="16"/>
  <c r="M107" i="16"/>
  <c r="M108" i="16"/>
  <c r="M109" i="16"/>
  <c r="M110" i="16"/>
  <c r="M287" i="16"/>
  <c r="M111" i="16"/>
  <c r="M112" i="16"/>
  <c r="M113" i="16"/>
  <c r="M114" i="16"/>
  <c r="M291" i="16"/>
  <c r="M292" i="16"/>
  <c r="M293" i="16"/>
  <c r="M295" i="16"/>
  <c r="M115" i="16"/>
  <c r="M116" i="16"/>
  <c r="M117" i="16"/>
  <c r="M298" i="16"/>
  <c r="M299" i="16"/>
  <c r="M300" i="16"/>
  <c r="M301" i="16"/>
  <c r="M302" i="16"/>
  <c r="M118" i="16"/>
  <c r="M128" i="16"/>
  <c r="M305" i="16"/>
  <c r="M129" i="16"/>
  <c r="M130" i="16"/>
  <c r="M131" i="16"/>
  <c r="M308" i="16"/>
  <c r="M132" i="16"/>
  <c r="M133" i="16"/>
  <c r="M134" i="16"/>
  <c r="M135" i="16"/>
  <c r="M136" i="16"/>
  <c r="M314" i="16"/>
  <c r="M137" i="16"/>
  <c r="M138" i="16"/>
  <c r="M317" i="16"/>
  <c r="M319" i="16"/>
  <c r="M139" i="16"/>
  <c r="M320" i="16"/>
  <c r="M147" i="16"/>
  <c r="M148" i="16"/>
  <c r="M322" i="16"/>
  <c r="M149" i="16"/>
  <c r="M324" i="16"/>
  <c r="M326" i="16"/>
  <c r="M167" i="16"/>
  <c r="M168" i="16"/>
  <c r="M169" i="16"/>
  <c r="M329" i="16"/>
  <c r="M170" i="16"/>
  <c r="M330" i="16"/>
  <c r="M396" i="16"/>
  <c r="M332" i="16"/>
  <c r="M333" i="16"/>
  <c r="M334" i="16"/>
  <c r="M335" i="16"/>
  <c r="H5" i="8"/>
  <c r="H6" i="8" s="1"/>
  <c r="AG3" i="16"/>
  <c r="J3" i="16"/>
  <c r="U3" i="16"/>
  <c r="I62" i="13" s="1"/>
  <c r="AG11" i="16"/>
  <c r="AG7" i="16"/>
  <c r="AG6" i="16"/>
  <c r="AI11" i="16"/>
  <c r="AH11" i="16"/>
  <c r="AI7" i="16"/>
  <c r="AH7" i="16"/>
  <c r="AI10" i="16"/>
  <c r="AJ10" i="16" s="1"/>
  <c r="AH10" i="16"/>
  <c r="AI8" i="16"/>
  <c r="AJ8" i="16" s="1"/>
  <c r="AH8" i="16"/>
  <c r="AI5" i="16"/>
  <c r="AJ5" i="16" s="1"/>
  <c r="AH5" i="16"/>
  <c r="AI9" i="16"/>
  <c r="AJ9" i="16" s="1"/>
  <c r="AH9" i="16"/>
  <c r="AI4" i="16"/>
  <c r="AJ4" i="16" s="1"/>
  <c r="AH4" i="16"/>
  <c r="J6" i="16"/>
  <c r="U6" i="16"/>
  <c r="V6" i="16" s="1"/>
  <c r="J4" i="16"/>
  <c r="U4" i="16"/>
  <c r="V4" i="16" s="1"/>
  <c r="U7" i="16"/>
  <c r="V7" i="16" s="1"/>
  <c r="U10" i="16"/>
  <c r="V10" i="16" s="1"/>
  <c r="U9" i="16"/>
  <c r="V9" i="16" s="1"/>
  <c r="U5" i="16"/>
  <c r="V5" i="16" s="1"/>
  <c r="U8" i="16"/>
  <c r="V8" i="16" s="1"/>
  <c r="U11" i="16"/>
  <c r="M3" i="16"/>
  <c r="M4" i="16"/>
  <c r="M5" i="16"/>
  <c r="M6" i="16"/>
  <c r="N6" i="16" s="1"/>
  <c r="M7" i="16"/>
  <c r="M8" i="16"/>
  <c r="M9" i="16"/>
  <c r="M10" i="16"/>
  <c r="M11" i="16"/>
  <c r="K7" i="16"/>
  <c r="L7" i="16" s="1"/>
  <c r="K3" i="16"/>
  <c r="K4" i="16"/>
  <c r="L4" i="16" s="1"/>
  <c r="K5" i="16"/>
  <c r="L5" i="16" s="1"/>
  <c r="K6" i="16"/>
  <c r="L6" i="16" s="1"/>
  <c r="K8" i="16"/>
  <c r="L8" i="16" s="1"/>
  <c r="K9" i="16"/>
  <c r="L9" i="16" s="1"/>
  <c r="K10" i="16"/>
  <c r="L10" i="16" s="1"/>
  <c r="K11" i="16"/>
  <c r="L11" i="16" s="1"/>
  <c r="F23" i="6"/>
  <c r="O93" i="10"/>
  <c r="F52" i="10"/>
  <c r="G52" i="10" s="1"/>
  <c r="F18" i="10"/>
  <c r="C13" i="9"/>
  <c r="G38" i="6"/>
  <c r="O92" i="10"/>
  <c r="O72" i="10"/>
  <c r="F51" i="10"/>
  <c r="G51" i="10" s="1"/>
  <c r="C12" i="9"/>
  <c r="G37" i="6"/>
  <c r="V3" i="16" l="1"/>
  <c r="K62" i="13" s="1"/>
  <c r="Q3" i="16"/>
  <c r="S3" i="16" s="1"/>
  <c r="Q462" i="16"/>
  <c r="Q463" i="16"/>
  <c r="Q464" i="16"/>
  <c r="Q465" i="16"/>
  <c r="Q466" i="16"/>
  <c r="Q467" i="16"/>
  <c r="Q468" i="16"/>
  <c r="Q469" i="16"/>
  <c r="Q470" i="16"/>
  <c r="Q471" i="16"/>
  <c r="Q472" i="16"/>
  <c r="Q473" i="16"/>
  <c r="V11" i="16"/>
  <c r="Q336" i="16"/>
  <c r="Q337" i="16"/>
  <c r="Q338" i="16"/>
  <c r="Q339" i="16"/>
  <c r="Q340" i="16"/>
  <c r="Q341" i="16"/>
  <c r="Q342" i="16"/>
  <c r="Q343" i="16"/>
  <c r="Q344" i="16"/>
  <c r="Q345" i="16"/>
  <c r="Q346" i="16"/>
  <c r="Q347" i="16"/>
  <c r="Q348" i="16"/>
  <c r="Q349" i="16"/>
  <c r="Q350" i="16"/>
  <c r="Q351" i="16"/>
  <c r="Q352" i="16"/>
  <c r="Q353" i="16"/>
  <c r="Q354" i="16"/>
  <c r="Q355" i="16"/>
  <c r="Q356" i="16"/>
  <c r="Q357" i="16"/>
  <c r="Q358" i="16"/>
  <c r="Q359" i="16"/>
  <c r="Q360" i="16"/>
  <c r="Q361" i="16"/>
  <c r="Q362" i="16"/>
  <c r="Q363" i="16"/>
  <c r="Q364" i="16"/>
  <c r="Q365" i="16"/>
  <c r="Q366" i="16"/>
  <c r="Q367" i="16"/>
  <c r="Q368" i="16"/>
  <c r="Q369" i="16"/>
  <c r="Q370" i="16"/>
  <c r="Q371" i="16"/>
  <c r="Q372" i="16"/>
  <c r="Q373" i="16"/>
  <c r="Q374" i="16"/>
  <c r="Q375" i="16"/>
  <c r="Q376" i="16"/>
  <c r="Q377" i="16"/>
  <c r="Q378" i="16"/>
  <c r="Q379" i="16"/>
  <c r="Q380" i="16"/>
  <c r="Q381" i="16"/>
  <c r="Q382" i="16"/>
  <c r="Q383" i="16"/>
  <c r="Q384" i="16"/>
  <c r="Q385" i="16"/>
  <c r="Q386" i="16"/>
  <c r="Q387" i="16"/>
  <c r="Q388" i="16"/>
  <c r="Q389" i="16"/>
  <c r="Q390" i="16"/>
  <c r="Q391" i="16"/>
  <c r="Q392" i="16"/>
  <c r="Q393" i="16"/>
  <c r="Q394" i="16"/>
  <c r="Q395" i="16"/>
  <c r="Q397" i="16"/>
  <c r="Q398" i="16"/>
  <c r="Q399" i="16"/>
  <c r="Q400" i="16"/>
  <c r="Q401" i="16"/>
  <c r="Q402" i="16"/>
  <c r="Q403" i="16"/>
  <c r="Q404" i="16"/>
  <c r="Q405" i="16"/>
  <c r="Q406" i="16"/>
  <c r="Q407" i="16"/>
  <c r="Q12" i="16"/>
  <c r="Q408" i="16"/>
  <c r="Q409" i="16"/>
  <c r="Q410" i="16"/>
  <c r="Q411" i="16"/>
  <c r="Q412" i="16"/>
  <c r="Q413" i="16"/>
  <c r="Q414" i="16"/>
  <c r="Q415" i="16"/>
  <c r="Q416" i="16"/>
  <c r="Q417" i="16"/>
  <c r="Q418" i="16"/>
  <c r="Q419" i="16"/>
  <c r="Q420" i="16"/>
  <c r="Q421" i="16"/>
  <c r="Q422" i="16"/>
  <c r="Q423" i="16"/>
  <c r="Q424" i="16"/>
  <c r="Q425" i="16"/>
  <c r="Q426" i="16"/>
  <c r="Q427" i="16"/>
  <c r="Q428" i="16"/>
  <c r="Q429" i="16"/>
  <c r="Q430" i="16"/>
  <c r="Q431" i="16"/>
  <c r="Q432" i="16"/>
  <c r="Q433" i="16"/>
  <c r="Q434" i="16"/>
  <c r="Q435" i="16"/>
  <c r="Q436" i="16"/>
  <c r="Q437" i="16"/>
  <c r="Q438" i="16"/>
  <c r="Q439" i="16"/>
  <c r="Q440" i="16"/>
  <c r="Q441" i="16"/>
  <c r="Q442" i="16"/>
  <c r="Q443" i="16"/>
  <c r="Q444" i="16"/>
  <c r="Q445" i="16"/>
  <c r="Q446" i="16"/>
  <c r="Q447" i="16"/>
  <c r="Q448" i="16"/>
  <c r="Q449" i="16"/>
  <c r="Q450" i="16"/>
  <c r="Q451" i="16"/>
  <c r="Q452" i="16"/>
  <c r="Q453" i="16"/>
  <c r="Q454" i="16"/>
  <c r="Q455" i="16"/>
  <c r="Q456" i="16"/>
  <c r="Q457" i="16"/>
  <c r="Q458" i="16"/>
  <c r="Q459" i="16"/>
  <c r="Q460" i="16"/>
  <c r="Q461" i="16"/>
  <c r="Q474" i="16"/>
  <c r="Q396" i="16"/>
  <c r="H20" i="10"/>
  <c r="H17" i="10"/>
  <c r="H16" i="10"/>
  <c r="H15" i="10"/>
  <c r="H14" i="10"/>
  <c r="Q475" i="16"/>
  <c r="Q476" i="16"/>
  <c r="Q477" i="16"/>
  <c r="Q478" i="16"/>
  <c r="Q479" i="16"/>
  <c r="Q480" i="16"/>
  <c r="Q481" i="16"/>
  <c r="Q482" i="16"/>
  <c r="Q483" i="16"/>
  <c r="Q484" i="16"/>
  <c r="Q485" i="16"/>
  <c r="Q486" i="16"/>
  <c r="AH27" i="16"/>
  <c r="AI27" i="16"/>
  <c r="AJ27" i="16" s="1"/>
  <c r="AH29" i="16"/>
  <c r="AI29" i="16"/>
  <c r="AJ29" i="16" s="1"/>
  <c r="AH22" i="16"/>
  <c r="AI22" i="16"/>
  <c r="AJ22" i="16" s="1"/>
  <c r="AH23" i="16"/>
  <c r="AI23" i="16"/>
  <c r="AJ23" i="16" s="1"/>
  <c r="AH24" i="16"/>
  <c r="AI24" i="16"/>
  <c r="AJ24" i="16" s="1"/>
  <c r="AH25" i="16"/>
  <c r="AI25" i="16"/>
  <c r="AJ25" i="16" s="1"/>
  <c r="AH26" i="16"/>
  <c r="AI26" i="16"/>
  <c r="AJ26" i="16" s="1"/>
  <c r="AH28" i="16"/>
  <c r="AI28" i="16"/>
  <c r="AJ28" i="16" s="1"/>
  <c r="AH30" i="16"/>
  <c r="AI30" i="16"/>
  <c r="AJ30" i="16" s="1"/>
  <c r="AH13" i="16"/>
  <c r="AI13" i="16"/>
  <c r="AJ13" i="16" s="1"/>
  <c r="AH14" i="16"/>
  <c r="AI14" i="16"/>
  <c r="AJ14" i="16" s="1"/>
  <c r="AH15" i="16"/>
  <c r="AI15" i="16"/>
  <c r="AJ15" i="16" s="1"/>
  <c r="AH16" i="16"/>
  <c r="AI16" i="16"/>
  <c r="AJ16" i="16" s="1"/>
  <c r="AH17" i="16"/>
  <c r="AI17" i="16"/>
  <c r="AJ17" i="16" s="1"/>
  <c r="AH18" i="16"/>
  <c r="AI18" i="16"/>
  <c r="AJ18" i="16" s="1"/>
  <c r="AH20" i="16"/>
  <c r="AI20" i="16"/>
  <c r="AJ20" i="16" s="1"/>
  <c r="AH21" i="16"/>
  <c r="AI21" i="16"/>
  <c r="AJ21" i="16" s="1"/>
  <c r="AH19" i="16"/>
  <c r="AI19" i="16"/>
  <c r="AJ19" i="16" s="1"/>
  <c r="Q193" i="16"/>
  <c r="Q194" i="16"/>
  <c r="Q195" i="16"/>
  <c r="Q196" i="16"/>
  <c r="Q197" i="16"/>
  <c r="Q198" i="16"/>
  <c r="Q199" i="16"/>
  <c r="Q200" i="16"/>
  <c r="Q201" i="16"/>
  <c r="Q202" i="16"/>
  <c r="Q203" i="16"/>
  <c r="Q209" i="16"/>
  <c r="Q210" i="16"/>
  <c r="Q211" i="16"/>
  <c r="Q212" i="16"/>
  <c r="Q216" i="16"/>
  <c r="Q217" i="16"/>
  <c r="Q224" i="16"/>
  <c r="Q228" i="16"/>
  <c r="Q234" i="16"/>
  <c r="Q235" i="16"/>
  <c r="Q236" i="16"/>
  <c r="Q242" i="16"/>
  <c r="Q246" i="16"/>
  <c r="Q247" i="16"/>
  <c r="Q248" i="16"/>
  <c r="Q253" i="16"/>
  <c r="Q254" i="16"/>
  <c r="Q255" i="16"/>
  <c r="Q256" i="16"/>
  <c r="Q257" i="16"/>
  <c r="Q258" i="16"/>
  <c r="Q259" i="16"/>
  <c r="Q263" i="16"/>
  <c r="Q268" i="16"/>
  <c r="Q269" i="16"/>
  <c r="Q270" i="16"/>
  <c r="Q274" i="16"/>
  <c r="Q275" i="16"/>
  <c r="Q276" i="16"/>
  <c r="Q277" i="16"/>
  <c r="Q283" i="16"/>
  <c r="Q284" i="16"/>
  <c r="Q285" i="16"/>
  <c r="Q286" i="16"/>
  <c r="Q288" i="16"/>
  <c r="Q289" i="16"/>
  <c r="Q290" i="16"/>
  <c r="Q296" i="16"/>
  <c r="Q297" i="16"/>
  <c r="Q304" i="16"/>
  <c r="Q306" i="16"/>
  <c r="Q307" i="16"/>
  <c r="Q309" i="16"/>
  <c r="Q310" i="16"/>
  <c r="Q311" i="16"/>
  <c r="Q312" i="16"/>
  <c r="Q313" i="16"/>
  <c r="Q316" i="16"/>
  <c r="Q321" i="16"/>
  <c r="Q327" i="16"/>
  <c r="Q331" i="16"/>
  <c r="Q238" i="16"/>
  <c r="Q272" i="16"/>
  <c r="Q315" i="16"/>
  <c r="Q497" i="16"/>
  <c r="Q487" i="16"/>
  <c r="Q488" i="16"/>
  <c r="Q489" i="16"/>
  <c r="Q490" i="16"/>
  <c r="Q491" i="16"/>
  <c r="Q492" i="16"/>
  <c r="Q493" i="16"/>
  <c r="Q494" i="16"/>
  <c r="Q495" i="16"/>
  <c r="Q496" i="16"/>
  <c r="Q13" i="16"/>
  <c r="Q14" i="16"/>
  <c r="Q15" i="16"/>
  <c r="Q16" i="16"/>
  <c r="Q17" i="16"/>
  <c r="Q230" i="16"/>
  <c r="Q252" i="16"/>
  <c r="Q266" i="16"/>
  <c r="Q294" i="16"/>
  <c r="Q303" i="16"/>
  <c r="Q318" i="16"/>
  <c r="Q325" i="16"/>
  <c r="AH12" i="16"/>
  <c r="AI12" i="16"/>
  <c r="W336" i="16"/>
  <c r="X336" i="16" s="1"/>
  <c r="L336" i="16"/>
  <c r="W462" i="16"/>
  <c r="X462" i="16" s="1"/>
  <c r="L462" i="16"/>
  <c r="W337" i="16"/>
  <c r="X337" i="16" s="1"/>
  <c r="L337" i="16"/>
  <c r="W150" i="16"/>
  <c r="X150" i="16" s="1"/>
  <c r="L150" i="16"/>
  <c r="W338" i="16"/>
  <c r="X338" i="16" s="1"/>
  <c r="L338" i="16"/>
  <c r="W463" i="16"/>
  <c r="X463" i="16" s="1"/>
  <c r="L463" i="16"/>
  <c r="L339" i="16"/>
  <c r="W339" i="16"/>
  <c r="X339" i="16" s="1"/>
  <c r="W59" i="16"/>
  <c r="X59" i="16" s="1"/>
  <c r="L59" i="16"/>
  <c r="W340" i="16"/>
  <c r="X340" i="16" s="1"/>
  <c r="L340" i="16"/>
  <c r="W464" i="16"/>
  <c r="X464" i="16" s="1"/>
  <c r="L464" i="16"/>
  <c r="W341" i="16"/>
  <c r="X341" i="16" s="1"/>
  <c r="L341" i="16"/>
  <c r="W60" i="16"/>
  <c r="X60" i="16" s="1"/>
  <c r="L60" i="16"/>
  <c r="W342" i="16"/>
  <c r="X342" i="16" s="1"/>
  <c r="L342" i="16"/>
  <c r="W465" i="16"/>
  <c r="X465" i="16" s="1"/>
  <c r="L465" i="16"/>
  <c r="W343" i="16"/>
  <c r="X343" i="16" s="1"/>
  <c r="L343" i="16"/>
  <c r="W61" i="16"/>
  <c r="X61" i="16" s="1"/>
  <c r="L61" i="16"/>
  <c r="W344" i="16"/>
  <c r="X344" i="16" s="1"/>
  <c r="L344" i="16"/>
  <c r="W466" i="16"/>
  <c r="X466" i="16" s="1"/>
  <c r="L466" i="16"/>
  <c r="W345" i="16"/>
  <c r="X345" i="16" s="1"/>
  <c r="L345" i="16"/>
  <c r="W62" i="16"/>
  <c r="X62" i="16" s="1"/>
  <c r="L62" i="16"/>
  <c r="W346" i="16"/>
  <c r="X346" i="16" s="1"/>
  <c r="L346" i="16"/>
  <c r="W467" i="16"/>
  <c r="X467" i="16" s="1"/>
  <c r="L467" i="16"/>
  <c r="W347" i="16"/>
  <c r="X347" i="16" s="1"/>
  <c r="L347" i="16"/>
  <c r="W63" i="16"/>
  <c r="X63" i="16" s="1"/>
  <c r="L63" i="16"/>
  <c r="W348" i="16"/>
  <c r="X348" i="16" s="1"/>
  <c r="L348" i="16"/>
  <c r="W468" i="16"/>
  <c r="X468" i="16" s="1"/>
  <c r="L468" i="16"/>
  <c r="W349" i="16"/>
  <c r="X349" i="16" s="1"/>
  <c r="L349" i="16"/>
  <c r="W64" i="16"/>
  <c r="X64" i="16" s="1"/>
  <c r="L64" i="16"/>
  <c r="W350" i="16"/>
  <c r="X350" i="16" s="1"/>
  <c r="L350" i="16"/>
  <c r="W469" i="16"/>
  <c r="X469" i="16" s="1"/>
  <c r="L469" i="16"/>
  <c r="W351" i="16"/>
  <c r="X351" i="16" s="1"/>
  <c r="L351" i="16"/>
  <c r="W65" i="16"/>
  <c r="X65" i="16" s="1"/>
  <c r="L65" i="16"/>
  <c r="W352" i="16"/>
  <c r="X352" i="16" s="1"/>
  <c r="L352" i="16"/>
  <c r="W470" i="16"/>
  <c r="X470" i="16" s="1"/>
  <c r="L470" i="16"/>
  <c r="W353" i="16"/>
  <c r="X353" i="16" s="1"/>
  <c r="L353" i="16"/>
  <c r="W66" i="16"/>
  <c r="X66" i="16" s="1"/>
  <c r="L66" i="16"/>
  <c r="W354" i="16"/>
  <c r="X354" i="16" s="1"/>
  <c r="L354" i="16"/>
  <c r="W471" i="16"/>
  <c r="X471" i="16" s="1"/>
  <c r="L471" i="16"/>
  <c r="W355" i="16"/>
  <c r="X355" i="16" s="1"/>
  <c r="L355" i="16"/>
  <c r="L151" i="16"/>
  <c r="W151" i="16"/>
  <c r="X151" i="16" s="1"/>
  <c r="W356" i="16"/>
  <c r="X356" i="16" s="1"/>
  <c r="L356" i="16"/>
  <c r="W472" i="16"/>
  <c r="X472" i="16" s="1"/>
  <c r="L472" i="16"/>
  <c r="W357" i="16"/>
  <c r="X357" i="16" s="1"/>
  <c r="L357" i="16"/>
  <c r="L119" i="16"/>
  <c r="W119" i="16"/>
  <c r="X119" i="16" s="1"/>
  <c r="W358" i="16"/>
  <c r="X358" i="16" s="1"/>
  <c r="L358" i="16"/>
  <c r="W473" i="16"/>
  <c r="X473" i="16" s="1"/>
  <c r="L473" i="16"/>
  <c r="W359" i="16"/>
  <c r="X359" i="16" s="1"/>
  <c r="L359" i="16"/>
  <c r="W120" i="16"/>
  <c r="X120" i="16" s="1"/>
  <c r="L120" i="16"/>
  <c r="W360" i="16"/>
  <c r="X360" i="16" s="1"/>
  <c r="L360" i="16"/>
  <c r="L474" i="16"/>
  <c r="W474" i="16"/>
  <c r="X474" i="16" s="1"/>
  <c r="W361" i="16"/>
  <c r="X361" i="16" s="1"/>
  <c r="L361" i="16"/>
  <c r="W121" i="16"/>
  <c r="X121" i="16" s="1"/>
  <c r="L121" i="16"/>
  <c r="W362" i="16"/>
  <c r="X362" i="16" s="1"/>
  <c r="L362" i="16"/>
  <c r="W475" i="16"/>
  <c r="X475" i="16" s="1"/>
  <c r="L475" i="16"/>
  <c r="W363" i="16"/>
  <c r="X363" i="16" s="1"/>
  <c r="L363" i="16"/>
  <c r="W122" i="16"/>
  <c r="X122" i="16" s="1"/>
  <c r="L122" i="16"/>
  <c r="W364" i="16"/>
  <c r="X364" i="16" s="1"/>
  <c r="L364" i="16"/>
  <c r="W476" i="16"/>
  <c r="X476" i="16" s="1"/>
  <c r="L476" i="16"/>
  <c r="W365" i="16"/>
  <c r="X365" i="16" s="1"/>
  <c r="L365" i="16"/>
  <c r="L123" i="16"/>
  <c r="W123" i="16"/>
  <c r="X123" i="16" s="1"/>
  <c r="L366" i="16"/>
  <c r="W366" i="16"/>
  <c r="X366" i="16" s="1"/>
  <c r="W477" i="16"/>
  <c r="X477" i="16" s="1"/>
  <c r="L477" i="16"/>
  <c r="W367" i="16"/>
  <c r="X367" i="16" s="1"/>
  <c r="L367" i="16"/>
  <c r="W124" i="16"/>
  <c r="X124" i="16" s="1"/>
  <c r="L124" i="16"/>
  <c r="W368" i="16"/>
  <c r="X368" i="16" s="1"/>
  <c r="L368" i="16"/>
  <c r="W478" i="16"/>
  <c r="X478" i="16" s="1"/>
  <c r="L478" i="16"/>
  <c r="W369" i="16"/>
  <c r="X369" i="16" s="1"/>
  <c r="L369" i="16"/>
  <c r="W125" i="16"/>
  <c r="X125" i="16" s="1"/>
  <c r="L125" i="16"/>
  <c r="W370" i="16"/>
  <c r="X370" i="16" s="1"/>
  <c r="L370" i="16"/>
  <c r="W479" i="16"/>
  <c r="X479" i="16" s="1"/>
  <c r="L479" i="16"/>
  <c r="W371" i="16"/>
  <c r="X371" i="16" s="1"/>
  <c r="L371" i="16"/>
  <c r="W126" i="16"/>
  <c r="X126" i="16" s="1"/>
  <c r="L126" i="16"/>
  <c r="W372" i="16"/>
  <c r="X372" i="16" s="1"/>
  <c r="L372" i="16"/>
  <c r="W480" i="16"/>
  <c r="X480" i="16" s="1"/>
  <c r="L480" i="16"/>
  <c r="W373" i="16"/>
  <c r="X373" i="16" s="1"/>
  <c r="L373" i="16"/>
  <c r="W76" i="16"/>
  <c r="X76" i="16" s="1"/>
  <c r="L76" i="16"/>
  <c r="W374" i="16"/>
  <c r="X374" i="16" s="1"/>
  <c r="L374" i="16"/>
  <c r="W481" i="16"/>
  <c r="X481" i="16" s="1"/>
  <c r="L481" i="16"/>
  <c r="L375" i="16"/>
  <c r="W375" i="16"/>
  <c r="X375" i="16" s="1"/>
  <c r="W77" i="16"/>
  <c r="X77" i="16" s="1"/>
  <c r="L77" i="16"/>
  <c r="W376" i="16"/>
  <c r="X376" i="16" s="1"/>
  <c r="L376" i="16"/>
  <c r="W482" i="16"/>
  <c r="X482" i="16" s="1"/>
  <c r="L482" i="16"/>
  <c r="W377" i="16"/>
  <c r="X377" i="16" s="1"/>
  <c r="L377" i="16"/>
  <c r="L78" i="16"/>
  <c r="W78" i="16"/>
  <c r="X78" i="16" s="1"/>
  <c r="W378" i="16"/>
  <c r="X378" i="16" s="1"/>
  <c r="L378" i="16"/>
  <c r="W483" i="16"/>
  <c r="X483" i="16" s="1"/>
  <c r="L483" i="16"/>
  <c r="W379" i="16"/>
  <c r="X379" i="16" s="1"/>
  <c r="L379" i="16"/>
  <c r="W79" i="16"/>
  <c r="X79" i="16" s="1"/>
  <c r="L79" i="16"/>
  <c r="W380" i="16"/>
  <c r="X380" i="16" s="1"/>
  <c r="L380" i="16"/>
  <c r="W484" i="16"/>
  <c r="X484" i="16" s="1"/>
  <c r="L484" i="16"/>
  <c r="W381" i="16"/>
  <c r="X381" i="16" s="1"/>
  <c r="L381" i="16"/>
  <c r="W80" i="16"/>
  <c r="X80" i="16" s="1"/>
  <c r="L80" i="16"/>
  <c r="W382" i="16"/>
  <c r="X382" i="16" s="1"/>
  <c r="L382" i="16"/>
  <c r="W485" i="16"/>
  <c r="X485" i="16" s="1"/>
  <c r="L485" i="16"/>
  <c r="W383" i="16"/>
  <c r="X383" i="16" s="1"/>
  <c r="L383" i="16"/>
  <c r="W81" i="16"/>
  <c r="X81" i="16" s="1"/>
  <c r="L81" i="16"/>
  <c r="W384" i="16"/>
  <c r="X384" i="16" s="1"/>
  <c r="L384" i="16"/>
  <c r="W486" i="16"/>
  <c r="X486" i="16" s="1"/>
  <c r="L486" i="16"/>
  <c r="W385" i="16"/>
  <c r="X385" i="16" s="1"/>
  <c r="L385" i="16"/>
  <c r="W82" i="16"/>
  <c r="X82" i="16" s="1"/>
  <c r="L82" i="16"/>
  <c r="W386" i="16"/>
  <c r="X386" i="16" s="1"/>
  <c r="L386" i="16"/>
  <c r="W487" i="16"/>
  <c r="X487" i="16" s="1"/>
  <c r="L487" i="16"/>
  <c r="W387" i="16"/>
  <c r="X387" i="16" s="1"/>
  <c r="L387" i="16"/>
  <c r="W83" i="16"/>
  <c r="X83" i="16" s="1"/>
  <c r="L83" i="16"/>
  <c r="W388" i="16"/>
  <c r="X388" i="16" s="1"/>
  <c r="L388" i="16"/>
  <c r="W488" i="16"/>
  <c r="X488" i="16" s="1"/>
  <c r="L488" i="16"/>
  <c r="W389" i="16"/>
  <c r="X389" i="16" s="1"/>
  <c r="L389" i="16"/>
  <c r="W84" i="16"/>
  <c r="X84" i="16" s="1"/>
  <c r="L84" i="16"/>
  <c r="W390" i="16"/>
  <c r="X390" i="16" s="1"/>
  <c r="L390" i="16"/>
  <c r="W489" i="16"/>
  <c r="X489" i="16" s="1"/>
  <c r="L489" i="16"/>
  <c r="W391" i="16"/>
  <c r="X391" i="16" s="1"/>
  <c r="L391" i="16"/>
  <c r="W85" i="16"/>
  <c r="X85" i="16" s="1"/>
  <c r="L85" i="16"/>
  <c r="W392" i="16"/>
  <c r="X392" i="16" s="1"/>
  <c r="L392" i="16"/>
  <c r="W490" i="16"/>
  <c r="X490" i="16" s="1"/>
  <c r="L490" i="16"/>
  <c r="W393" i="16"/>
  <c r="X393" i="16" s="1"/>
  <c r="L393" i="16"/>
  <c r="W127" i="16"/>
  <c r="X127" i="16" s="1"/>
  <c r="L127" i="16"/>
  <c r="W394" i="16"/>
  <c r="X394" i="16" s="1"/>
  <c r="L394" i="16"/>
  <c r="W491" i="16"/>
  <c r="X491" i="16" s="1"/>
  <c r="L491" i="16"/>
  <c r="W395" i="16"/>
  <c r="X395" i="16" s="1"/>
  <c r="L395" i="16"/>
  <c r="W152" i="16"/>
  <c r="X152" i="16" s="1"/>
  <c r="L152" i="16"/>
  <c r="W396" i="16"/>
  <c r="X396" i="16" s="1"/>
  <c r="L396" i="16"/>
  <c r="W295" i="16"/>
  <c r="X295" i="16" s="1"/>
  <c r="L295" i="16"/>
  <c r="W397" i="16"/>
  <c r="X397" i="16" s="1"/>
  <c r="L397" i="16"/>
  <c r="W492" i="16"/>
  <c r="X492" i="16" s="1"/>
  <c r="L492" i="16"/>
  <c r="W398" i="16"/>
  <c r="X398" i="16" s="1"/>
  <c r="L398" i="16"/>
  <c r="W153" i="16"/>
  <c r="X153" i="16" s="1"/>
  <c r="L153" i="16"/>
  <c r="W399" i="16"/>
  <c r="X399" i="16" s="1"/>
  <c r="L399" i="16"/>
  <c r="W493" i="16"/>
  <c r="X493" i="16" s="1"/>
  <c r="L493" i="16"/>
  <c r="W400" i="16"/>
  <c r="X400" i="16" s="1"/>
  <c r="L400" i="16"/>
  <c r="W154" i="16"/>
  <c r="X154" i="16" s="1"/>
  <c r="L154" i="16"/>
  <c r="L401" i="16"/>
  <c r="W401" i="16"/>
  <c r="X401" i="16" s="1"/>
  <c r="W494" i="16"/>
  <c r="X494" i="16" s="1"/>
  <c r="L494" i="16"/>
  <c r="W402" i="16"/>
  <c r="X402" i="16" s="1"/>
  <c r="L402" i="16"/>
  <c r="W155" i="16"/>
  <c r="X155" i="16" s="1"/>
  <c r="L155" i="16"/>
  <c r="W403" i="16"/>
  <c r="X403" i="16" s="1"/>
  <c r="L403" i="16"/>
  <c r="W495" i="16"/>
  <c r="X495" i="16" s="1"/>
  <c r="L495" i="16"/>
  <c r="W404" i="16"/>
  <c r="X404" i="16" s="1"/>
  <c r="L404" i="16"/>
  <c r="W156" i="16"/>
  <c r="X156" i="16" s="1"/>
  <c r="L156" i="16"/>
  <c r="W405" i="16"/>
  <c r="X405" i="16" s="1"/>
  <c r="L405" i="16"/>
  <c r="W496" i="16"/>
  <c r="X496" i="16" s="1"/>
  <c r="L496" i="16"/>
  <c r="W406" i="16"/>
  <c r="X406" i="16" s="1"/>
  <c r="L406" i="16"/>
  <c r="W157" i="16"/>
  <c r="X157" i="16" s="1"/>
  <c r="L157" i="16"/>
  <c r="W407" i="16"/>
  <c r="X407" i="16" s="1"/>
  <c r="L407" i="16"/>
  <c r="W12" i="16"/>
  <c r="X12" i="16" s="1"/>
  <c r="L12" i="16"/>
  <c r="L408" i="16"/>
  <c r="W408" i="16"/>
  <c r="X408" i="16" s="1"/>
  <c r="W13" i="16"/>
  <c r="X13" i="16" s="1"/>
  <c r="L13" i="16"/>
  <c r="W409" i="16"/>
  <c r="X409" i="16" s="1"/>
  <c r="L409" i="16"/>
  <c r="W158" i="16"/>
  <c r="X158" i="16" s="1"/>
  <c r="L158" i="16"/>
  <c r="W410" i="16"/>
  <c r="X410" i="16" s="1"/>
  <c r="L410" i="16"/>
  <c r="W14" i="16"/>
  <c r="X14" i="16" s="1"/>
  <c r="L14" i="16"/>
  <c r="W411" i="16"/>
  <c r="X411" i="16" s="1"/>
  <c r="L411" i="16"/>
  <c r="W159" i="16"/>
  <c r="X159" i="16" s="1"/>
  <c r="L159" i="16"/>
  <c r="W412" i="16"/>
  <c r="X412" i="16" s="1"/>
  <c r="L412" i="16"/>
  <c r="W15" i="16"/>
  <c r="X15" i="16" s="1"/>
  <c r="L15" i="16"/>
  <c r="W413" i="16"/>
  <c r="X413" i="16" s="1"/>
  <c r="L413" i="16"/>
  <c r="W160" i="16"/>
  <c r="X160" i="16" s="1"/>
  <c r="L160" i="16"/>
  <c r="W414" i="16"/>
  <c r="X414" i="16" s="1"/>
  <c r="L414" i="16"/>
  <c r="W16" i="16"/>
  <c r="X16" i="16" s="1"/>
  <c r="L16" i="16"/>
  <c r="W415" i="16"/>
  <c r="X415" i="16" s="1"/>
  <c r="L415" i="16"/>
  <c r="W161" i="16"/>
  <c r="X161" i="16" s="1"/>
  <c r="L161" i="16"/>
  <c r="W416" i="16"/>
  <c r="X416" i="16" s="1"/>
  <c r="L416" i="16"/>
  <c r="W17" i="16"/>
  <c r="X17" i="16" s="1"/>
  <c r="L17" i="16"/>
  <c r="W417" i="16"/>
  <c r="X417" i="16" s="1"/>
  <c r="L417" i="16"/>
  <c r="W97" i="16"/>
  <c r="X97" i="16" s="1"/>
  <c r="L97" i="16"/>
  <c r="W418" i="16"/>
  <c r="X418" i="16" s="1"/>
  <c r="L418" i="16"/>
  <c r="W18" i="16"/>
  <c r="X18" i="16" s="1"/>
  <c r="L18" i="16"/>
  <c r="W419" i="16"/>
  <c r="X419" i="16" s="1"/>
  <c r="L419" i="16"/>
  <c r="W98" i="16"/>
  <c r="X98" i="16" s="1"/>
  <c r="L98" i="16"/>
  <c r="W420" i="16"/>
  <c r="X420" i="16" s="1"/>
  <c r="L420" i="16"/>
  <c r="W19" i="16"/>
  <c r="X19" i="16" s="1"/>
  <c r="L19" i="16"/>
  <c r="W421" i="16"/>
  <c r="X421" i="16" s="1"/>
  <c r="L421" i="16"/>
  <c r="L99" i="16"/>
  <c r="W99" i="16"/>
  <c r="X99" i="16" s="1"/>
  <c r="W422" i="16"/>
  <c r="X422" i="16" s="1"/>
  <c r="L422" i="16"/>
  <c r="W20" i="16"/>
  <c r="X20" i="16" s="1"/>
  <c r="L20" i="16"/>
  <c r="W423" i="16"/>
  <c r="X423" i="16" s="1"/>
  <c r="L423" i="16"/>
  <c r="L100" i="16"/>
  <c r="W100" i="16"/>
  <c r="X100" i="16" s="1"/>
  <c r="W424" i="16"/>
  <c r="X424" i="16" s="1"/>
  <c r="L424" i="16"/>
  <c r="W22" i="16"/>
  <c r="X22" i="16" s="1"/>
  <c r="L22" i="16"/>
  <c r="W425" i="16"/>
  <c r="X425" i="16" s="1"/>
  <c r="L425" i="16"/>
  <c r="W23" i="16"/>
  <c r="X23" i="16" s="1"/>
  <c r="L23" i="16"/>
  <c r="W426" i="16"/>
  <c r="X426" i="16" s="1"/>
  <c r="L426" i="16"/>
  <c r="W24" i="16"/>
  <c r="X24" i="16" s="1"/>
  <c r="L24" i="16"/>
  <c r="W427" i="16"/>
  <c r="X427" i="16" s="1"/>
  <c r="L427" i="16"/>
  <c r="W25" i="16"/>
  <c r="X25" i="16" s="1"/>
  <c r="L25" i="16"/>
  <c r="W428" i="16"/>
  <c r="X428" i="16" s="1"/>
  <c r="L428" i="16"/>
  <c r="W26" i="16"/>
  <c r="X26" i="16" s="1"/>
  <c r="L26" i="16"/>
  <c r="W429" i="16"/>
  <c r="X429" i="16" s="1"/>
  <c r="L429" i="16"/>
  <c r="W27" i="16"/>
  <c r="X27" i="16" s="1"/>
  <c r="L27" i="16"/>
  <c r="W430" i="16"/>
  <c r="X430" i="16" s="1"/>
  <c r="L430" i="16"/>
  <c r="W28" i="16"/>
  <c r="X28" i="16" s="1"/>
  <c r="L28" i="16"/>
  <c r="W431" i="16"/>
  <c r="X431" i="16" s="1"/>
  <c r="L431" i="16"/>
  <c r="W29" i="16"/>
  <c r="X29" i="16" s="1"/>
  <c r="L29" i="16"/>
  <c r="W432" i="16"/>
  <c r="X432" i="16" s="1"/>
  <c r="L432" i="16"/>
  <c r="W101" i="16"/>
  <c r="X101" i="16" s="1"/>
  <c r="L101" i="16"/>
  <c r="W433" i="16"/>
  <c r="X433" i="16" s="1"/>
  <c r="L433" i="16"/>
  <c r="W102" i="16"/>
  <c r="X102" i="16" s="1"/>
  <c r="L102" i="16"/>
  <c r="W434" i="16"/>
  <c r="X434" i="16" s="1"/>
  <c r="L434" i="16"/>
  <c r="L103" i="16"/>
  <c r="W103" i="16"/>
  <c r="X103" i="16" s="1"/>
  <c r="W435" i="16"/>
  <c r="X435" i="16" s="1"/>
  <c r="L435" i="16"/>
  <c r="W162" i="16"/>
  <c r="X162" i="16" s="1"/>
  <c r="L162" i="16"/>
  <c r="W436" i="16"/>
  <c r="X436" i="16" s="1"/>
  <c r="L436" i="16"/>
  <c r="W105" i="16"/>
  <c r="X105" i="16" s="1"/>
  <c r="L105" i="16"/>
  <c r="W437" i="16"/>
  <c r="X437" i="16" s="1"/>
  <c r="L437" i="16"/>
  <c r="W163" i="16"/>
  <c r="X163" i="16" s="1"/>
  <c r="L163" i="16"/>
  <c r="W438" i="16"/>
  <c r="X438" i="16" s="1"/>
  <c r="L438" i="16"/>
  <c r="W140" i="16"/>
  <c r="X140" i="16" s="1"/>
  <c r="L140" i="16"/>
  <c r="W439" i="16"/>
  <c r="X439" i="16" s="1"/>
  <c r="L439" i="16"/>
  <c r="W36" i="16"/>
  <c r="X36" i="16" s="1"/>
  <c r="L36" i="16"/>
  <c r="W440" i="16"/>
  <c r="X440" i="16" s="1"/>
  <c r="L440" i="16"/>
  <c r="W37" i="16"/>
  <c r="X37" i="16" s="1"/>
  <c r="L37" i="16"/>
  <c r="W441" i="16"/>
  <c r="X441" i="16" s="1"/>
  <c r="L441" i="16"/>
  <c r="W38" i="16"/>
  <c r="X38" i="16" s="1"/>
  <c r="L38" i="16"/>
  <c r="W442" i="16"/>
  <c r="X442" i="16" s="1"/>
  <c r="L442" i="16"/>
  <c r="W39" i="16"/>
  <c r="X39" i="16" s="1"/>
  <c r="L39" i="16"/>
  <c r="W443" i="16"/>
  <c r="X443" i="16" s="1"/>
  <c r="L443" i="16"/>
  <c r="W40" i="16"/>
  <c r="X40" i="16" s="1"/>
  <c r="L40" i="16"/>
  <c r="W444" i="16"/>
  <c r="X444" i="16" s="1"/>
  <c r="L444" i="16"/>
  <c r="W141" i="16"/>
  <c r="X141" i="16" s="1"/>
  <c r="L141" i="16"/>
  <c r="W445" i="16"/>
  <c r="X445" i="16" s="1"/>
  <c r="L445" i="16"/>
  <c r="W42" i="16"/>
  <c r="X42" i="16" s="1"/>
  <c r="L42" i="16"/>
  <c r="W446" i="16"/>
  <c r="X446" i="16" s="1"/>
  <c r="L446" i="16"/>
  <c r="W43" i="16"/>
  <c r="X43" i="16" s="1"/>
  <c r="L43" i="16"/>
  <c r="W447" i="16"/>
  <c r="X447" i="16" s="1"/>
  <c r="L447" i="16"/>
  <c r="W142" i="16"/>
  <c r="X142" i="16" s="1"/>
  <c r="L142" i="16"/>
  <c r="W448" i="16"/>
  <c r="X448" i="16" s="1"/>
  <c r="L448" i="16"/>
  <c r="W143" i="16"/>
  <c r="X143" i="16" s="1"/>
  <c r="L143" i="16"/>
  <c r="W449" i="16"/>
  <c r="X449" i="16" s="1"/>
  <c r="L449" i="16"/>
  <c r="L144" i="16"/>
  <c r="W144" i="16"/>
  <c r="X144" i="16" s="1"/>
  <c r="W450" i="16"/>
  <c r="X450" i="16" s="1"/>
  <c r="L450" i="16"/>
  <c r="W145" i="16"/>
  <c r="X145" i="16" s="1"/>
  <c r="L145" i="16"/>
  <c r="W451" i="16"/>
  <c r="X451" i="16" s="1"/>
  <c r="L451" i="16"/>
  <c r="W48" i="16"/>
  <c r="X48" i="16" s="1"/>
  <c r="L48" i="16"/>
  <c r="W452" i="16"/>
  <c r="X452" i="16" s="1"/>
  <c r="L452" i="16"/>
  <c r="W49" i="16"/>
  <c r="X49" i="16" s="1"/>
  <c r="L49" i="16"/>
  <c r="W453" i="16"/>
  <c r="X453" i="16" s="1"/>
  <c r="L453" i="16"/>
  <c r="W50" i="16"/>
  <c r="X50" i="16" s="1"/>
  <c r="L50" i="16"/>
  <c r="W454" i="16"/>
  <c r="X454" i="16" s="1"/>
  <c r="L454" i="16"/>
  <c r="W51" i="16"/>
  <c r="X51" i="16" s="1"/>
  <c r="L51" i="16"/>
  <c r="W455" i="16"/>
  <c r="X455" i="16" s="1"/>
  <c r="L455" i="16"/>
  <c r="W52" i="16"/>
  <c r="X52" i="16" s="1"/>
  <c r="L52" i="16"/>
  <c r="W456" i="16"/>
  <c r="X456" i="16" s="1"/>
  <c r="L456" i="16"/>
  <c r="W53" i="16"/>
  <c r="X53" i="16" s="1"/>
  <c r="L53" i="16"/>
  <c r="W457" i="16"/>
  <c r="X457" i="16" s="1"/>
  <c r="L457" i="16"/>
  <c r="W54" i="16"/>
  <c r="X54" i="16" s="1"/>
  <c r="L54" i="16"/>
  <c r="W458" i="16"/>
  <c r="X458" i="16" s="1"/>
  <c r="L458" i="16"/>
  <c r="W146" i="16"/>
  <c r="X146" i="16" s="1"/>
  <c r="L146" i="16"/>
  <c r="W459" i="16"/>
  <c r="X459" i="16" s="1"/>
  <c r="L459" i="16"/>
  <c r="W164" i="16"/>
  <c r="X164" i="16" s="1"/>
  <c r="L164" i="16"/>
  <c r="W460" i="16"/>
  <c r="X460" i="16" s="1"/>
  <c r="L460" i="16"/>
  <c r="W165" i="16"/>
  <c r="X165" i="16" s="1"/>
  <c r="L165" i="16"/>
  <c r="W461" i="16"/>
  <c r="X461" i="16" s="1"/>
  <c r="L461" i="16"/>
  <c r="W166" i="16"/>
  <c r="X166" i="16" s="1"/>
  <c r="L166" i="16"/>
  <c r="W173" i="16"/>
  <c r="X173" i="16" s="1"/>
  <c r="L173" i="16"/>
  <c r="W174" i="16"/>
  <c r="X174" i="16" s="1"/>
  <c r="L174" i="16"/>
  <c r="W189" i="16"/>
  <c r="X189" i="16" s="1"/>
  <c r="L189" i="16"/>
  <c r="W205" i="16"/>
  <c r="X205" i="16" s="1"/>
  <c r="L205" i="16"/>
  <c r="W206" i="16"/>
  <c r="X206" i="16" s="1"/>
  <c r="L206" i="16"/>
  <c r="W207" i="16"/>
  <c r="X207" i="16" s="1"/>
  <c r="L207" i="16"/>
  <c r="W208" i="16"/>
  <c r="X208" i="16" s="1"/>
  <c r="L208" i="16"/>
  <c r="W214" i="16"/>
  <c r="X214" i="16" s="1"/>
  <c r="L214" i="16"/>
  <c r="W215" i="16"/>
  <c r="X215" i="16" s="1"/>
  <c r="L215" i="16"/>
  <c r="W218" i="16"/>
  <c r="X218" i="16" s="1"/>
  <c r="L218" i="16"/>
  <c r="W219" i="16"/>
  <c r="X219" i="16" s="1"/>
  <c r="L219" i="16"/>
  <c r="W220" i="16"/>
  <c r="X220" i="16" s="1"/>
  <c r="L220" i="16"/>
  <c r="W221" i="16"/>
  <c r="X221" i="16" s="1"/>
  <c r="L221" i="16"/>
  <c r="W222" i="16"/>
  <c r="X222" i="16" s="1"/>
  <c r="L222" i="16"/>
  <c r="W223" i="16"/>
  <c r="X223" i="16" s="1"/>
  <c r="L223" i="16"/>
  <c r="W225" i="16"/>
  <c r="X225" i="16" s="1"/>
  <c r="L225" i="16"/>
  <c r="W226" i="16"/>
  <c r="X226" i="16" s="1"/>
  <c r="L226" i="16"/>
  <c r="W227" i="16"/>
  <c r="X227" i="16" s="1"/>
  <c r="L227" i="16"/>
  <c r="W229" i="16"/>
  <c r="X229" i="16" s="1"/>
  <c r="L229" i="16"/>
  <c r="W230" i="16"/>
  <c r="X230" i="16" s="1"/>
  <c r="L230" i="16"/>
  <c r="W237" i="16"/>
  <c r="X237" i="16" s="1"/>
  <c r="L237" i="16"/>
  <c r="W238" i="16"/>
  <c r="X238" i="16" s="1"/>
  <c r="L238" i="16"/>
  <c r="W239" i="16"/>
  <c r="X239" i="16" s="1"/>
  <c r="L239" i="16"/>
  <c r="W240" i="16"/>
  <c r="X240" i="16" s="1"/>
  <c r="L240" i="16"/>
  <c r="W241" i="16"/>
  <c r="X241" i="16" s="1"/>
  <c r="L241" i="16"/>
  <c r="W244" i="16"/>
  <c r="X244" i="16" s="1"/>
  <c r="L244" i="16"/>
  <c r="W245" i="16"/>
  <c r="X245" i="16" s="1"/>
  <c r="L245" i="16"/>
  <c r="W249" i="16"/>
  <c r="X249" i="16" s="1"/>
  <c r="L249" i="16"/>
  <c r="W250" i="16"/>
  <c r="X250" i="16" s="1"/>
  <c r="L250" i="16"/>
  <c r="W251" i="16"/>
  <c r="X251" i="16" s="1"/>
  <c r="L251" i="16"/>
  <c r="W252" i="16"/>
  <c r="X252" i="16" s="1"/>
  <c r="L252" i="16"/>
  <c r="W261" i="16"/>
  <c r="X261" i="16" s="1"/>
  <c r="L261" i="16"/>
  <c r="L262" i="16"/>
  <c r="W262" i="16"/>
  <c r="X262" i="16" s="1"/>
  <c r="W264" i="16"/>
  <c r="X264" i="16" s="1"/>
  <c r="L264" i="16"/>
  <c r="W265" i="16"/>
  <c r="X265" i="16" s="1"/>
  <c r="L265" i="16"/>
  <c r="W266" i="16"/>
  <c r="X266" i="16" s="1"/>
  <c r="L266" i="16"/>
  <c r="W271" i="16"/>
  <c r="X271" i="16" s="1"/>
  <c r="L271" i="16"/>
  <c r="W272" i="16"/>
  <c r="X272" i="16" s="1"/>
  <c r="L272" i="16"/>
  <c r="W273" i="16"/>
  <c r="X273" i="16" s="1"/>
  <c r="L273" i="16"/>
  <c r="W278" i="16"/>
  <c r="X278" i="16" s="1"/>
  <c r="L278" i="16"/>
  <c r="W279" i="16"/>
  <c r="X279" i="16" s="1"/>
  <c r="L279" i="16"/>
  <c r="W280" i="16"/>
  <c r="X280" i="16" s="1"/>
  <c r="L280" i="16"/>
  <c r="W281" i="16"/>
  <c r="X281" i="16" s="1"/>
  <c r="L281" i="16"/>
  <c r="W282" i="16"/>
  <c r="X282" i="16" s="1"/>
  <c r="L282" i="16"/>
  <c r="W292" i="16"/>
  <c r="X292" i="16" s="1"/>
  <c r="L292" i="16"/>
  <c r="W293" i="16"/>
  <c r="X293" i="16" s="1"/>
  <c r="L293" i="16"/>
  <c r="W294" i="16"/>
  <c r="X294" i="16" s="1"/>
  <c r="L294" i="16"/>
  <c r="W299" i="16"/>
  <c r="X299" i="16" s="1"/>
  <c r="L299" i="16"/>
  <c r="W300" i="16"/>
  <c r="X300" i="16" s="1"/>
  <c r="L300" i="16"/>
  <c r="W301" i="16"/>
  <c r="X301" i="16" s="1"/>
  <c r="L301" i="16"/>
  <c r="W302" i="16"/>
  <c r="X302" i="16" s="1"/>
  <c r="L302" i="16"/>
  <c r="W303" i="16"/>
  <c r="X303" i="16" s="1"/>
  <c r="L303" i="16"/>
  <c r="W314" i="16"/>
  <c r="X314" i="16" s="1"/>
  <c r="L314" i="16"/>
  <c r="W315" i="16"/>
  <c r="X315" i="16" s="1"/>
  <c r="L315" i="16"/>
  <c r="W318" i="16"/>
  <c r="X318" i="16" s="1"/>
  <c r="L318" i="16"/>
  <c r="W319" i="16"/>
  <c r="X319" i="16" s="1"/>
  <c r="L319" i="16"/>
  <c r="W324" i="16"/>
  <c r="X324" i="16" s="1"/>
  <c r="L324" i="16"/>
  <c r="W325" i="16"/>
  <c r="X325" i="16" s="1"/>
  <c r="L325" i="16"/>
  <c r="W326" i="16"/>
  <c r="X326" i="16" s="1"/>
  <c r="L326" i="16"/>
  <c r="W332" i="16"/>
  <c r="X332" i="16" s="1"/>
  <c r="L332" i="16"/>
  <c r="W333" i="16"/>
  <c r="X333" i="16" s="1"/>
  <c r="L333" i="16"/>
  <c r="W334" i="16"/>
  <c r="X334" i="16" s="1"/>
  <c r="L334" i="16"/>
  <c r="W335" i="16"/>
  <c r="X335" i="16" s="1"/>
  <c r="L335" i="16"/>
  <c r="W497" i="16"/>
  <c r="X497" i="16" s="1"/>
  <c r="L497" i="16"/>
  <c r="W498" i="16"/>
  <c r="X498" i="16" s="1"/>
  <c r="L498" i="16"/>
  <c r="W499" i="16"/>
  <c r="X499" i="16" s="1"/>
  <c r="L499" i="16"/>
  <c r="W500" i="16"/>
  <c r="X500" i="16" s="1"/>
  <c r="L500" i="16"/>
  <c r="W501" i="16"/>
  <c r="X501" i="16" s="1"/>
  <c r="L501" i="16"/>
  <c r="W502" i="16"/>
  <c r="X502" i="16" s="1"/>
  <c r="L502" i="16"/>
  <c r="W21" i="16"/>
  <c r="X21" i="16" s="1"/>
  <c r="L21" i="16"/>
  <c r="W30" i="16"/>
  <c r="X30" i="16" s="1"/>
  <c r="L30" i="16"/>
  <c r="W31" i="16"/>
  <c r="X31" i="16" s="1"/>
  <c r="L31" i="16"/>
  <c r="W32" i="16"/>
  <c r="X32" i="16" s="1"/>
  <c r="L32" i="16"/>
  <c r="W33" i="16"/>
  <c r="X33" i="16" s="1"/>
  <c r="L33" i="16"/>
  <c r="W34" i="16"/>
  <c r="X34" i="16" s="1"/>
  <c r="L34" i="16"/>
  <c r="W35" i="16"/>
  <c r="X35" i="16" s="1"/>
  <c r="L35" i="16"/>
  <c r="W41" i="16"/>
  <c r="X41" i="16" s="1"/>
  <c r="L41" i="16"/>
  <c r="W44" i="16"/>
  <c r="X44" i="16" s="1"/>
  <c r="L44" i="16"/>
  <c r="W45" i="16"/>
  <c r="X45" i="16" s="1"/>
  <c r="L45" i="16"/>
  <c r="W46" i="16"/>
  <c r="X46" i="16" s="1"/>
  <c r="L46" i="16"/>
  <c r="W47" i="16"/>
  <c r="X47" i="16" s="1"/>
  <c r="L47" i="16"/>
  <c r="W55" i="16"/>
  <c r="X55" i="16" s="1"/>
  <c r="L55" i="16"/>
  <c r="W56" i="16"/>
  <c r="X56" i="16" s="1"/>
  <c r="L56" i="16"/>
  <c r="W57" i="16"/>
  <c r="X57" i="16" s="1"/>
  <c r="L57" i="16"/>
  <c r="W58" i="16"/>
  <c r="X58" i="16" s="1"/>
  <c r="L58" i="16"/>
  <c r="W67" i="16"/>
  <c r="X67" i="16" s="1"/>
  <c r="L67" i="16"/>
  <c r="W68" i="16"/>
  <c r="X68" i="16" s="1"/>
  <c r="L68" i="16"/>
  <c r="W69" i="16"/>
  <c r="X69" i="16" s="1"/>
  <c r="L69" i="16"/>
  <c r="W70" i="16"/>
  <c r="X70" i="16" s="1"/>
  <c r="L70" i="16"/>
  <c r="W71" i="16"/>
  <c r="X71" i="16" s="1"/>
  <c r="L71" i="16"/>
  <c r="W72" i="16"/>
  <c r="X72" i="16" s="1"/>
  <c r="L72" i="16"/>
  <c r="W73" i="16"/>
  <c r="X73" i="16" s="1"/>
  <c r="L73" i="16"/>
  <c r="W74" i="16"/>
  <c r="X74" i="16" s="1"/>
  <c r="L74" i="16"/>
  <c r="W75" i="16"/>
  <c r="X75" i="16" s="1"/>
  <c r="L75" i="16"/>
  <c r="W86" i="16"/>
  <c r="X86" i="16" s="1"/>
  <c r="L86" i="16"/>
  <c r="W87" i="16"/>
  <c r="X87" i="16" s="1"/>
  <c r="L87" i="16"/>
  <c r="W88" i="16"/>
  <c r="X88" i="16" s="1"/>
  <c r="L88" i="16"/>
  <c r="W89" i="16"/>
  <c r="X89" i="16" s="1"/>
  <c r="L89" i="16"/>
  <c r="W90" i="16"/>
  <c r="X90" i="16" s="1"/>
  <c r="L90" i="16"/>
  <c r="W91" i="16"/>
  <c r="X91" i="16" s="1"/>
  <c r="L91" i="16"/>
  <c r="W92" i="16"/>
  <c r="X92" i="16" s="1"/>
  <c r="L92" i="16"/>
  <c r="W93" i="16"/>
  <c r="X93" i="16" s="1"/>
  <c r="L93" i="16"/>
  <c r="W94" i="16"/>
  <c r="X94" i="16" s="1"/>
  <c r="L94" i="16"/>
  <c r="L95" i="16"/>
  <c r="W95" i="16"/>
  <c r="X95" i="16" s="1"/>
  <c r="W96" i="16"/>
  <c r="X96" i="16" s="1"/>
  <c r="L96" i="16"/>
  <c r="W104" i="16"/>
  <c r="X104" i="16" s="1"/>
  <c r="L104" i="16"/>
  <c r="L106" i="16"/>
  <c r="W106" i="16"/>
  <c r="X106" i="16" s="1"/>
  <c r="W107" i="16"/>
  <c r="X107" i="16" s="1"/>
  <c r="L107" i="16"/>
  <c r="W108" i="16"/>
  <c r="X108" i="16" s="1"/>
  <c r="L108" i="16"/>
  <c r="W109" i="16"/>
  <c r="X109" i="16" s="1"/>
  <c r="L109" i="16"/>
  <c r="L110" i="16"/>
  <c r="W110" i="16"/>
  <c r="X110" i="16" s="1"/>
  <c r="W111" i="16"/>
  <c r="X111" i="16" s="1"/>
  <c r="L111" i="16"/>
  <c r="L112" i="16"/>
  <c r="W112" i="16"/>
  <c r="X112" i="16" s="1"/>
  <c r="W113" i="16"/>
  <c r="X113" i="16" s="1"/>
  <c r="L113" i="16"/>
  <c r="W114" i="16"/>
  <c r="X114" i="16" s="1"/>
  <c r="L114" i="16"/>
  <c r="W115" i="16"/>
  <c r="X115" i="16" s="1"/>
  <c r="L115" i="16"/>
  <c r="L116" i="16"/>
  <c r="W116" i="16"/>
  <c r="X116" i="16" s="1"/>
  <c r="W117" i="16"/>
  <c r="X117" i="16" s="1"/>
  <c r="L117" i="16"/>
  <c r="W118" i="16"/>
  <c r="X118" i="16" s="1"/>
  <c r="L118" i="16"/>
  <c r="L128" i="16"/>
  <c r="W128" i="16"/>
  <c r="X128" i="16" s="1"/>
  <c r="W129" i="16"/>
  <c r="X129" i="16" s="1"/>
  <c r="L129" i="16"/>
  <c r="W130" i="16"/>
  <c r="X130" i="16" s="1"/>
  <c r="L130" i="16"/>
  <c r="W131" i="16"/>
  <c r="X131" i="16" s="1"/>
  <c r="L131" i="16"/>
  <c r="W132" i="16"/>
  <c r="X132" i="16" s="1"/>
  <c r="L132" i="16"/>
  <c r="W133" i="16"/>
  <c r="X133" i="16" s="1"/>
  <c r="L133" i="16"/>
  <c r="W134" i="16"/>
  <c r="X134" i="16" s="1"/>
  <c r="L134" i="16"/>
  <c r="W135" i="16"/>
  <c r="X135" i="16" s="1"/>
  <c r="L135" i="16"/>
  <c r="L136" i="16"/>
  <c r="W136" i="16"/>
  <c r="X136" i="16" s="1"/>
  <c r="W137" i="16"/>
  <c r="X137" i="16" s="1"/>
  <c r="L137" i="16"/>
  <c r="W138" i="16"/>
  <c r="X138" i="16" s="1"/>
  <c r="L138" i="16"/>
  <c r="W139" i="16"/>
  <c r="X139" i="16" s="1"/>
  <c r="L139" i="16"/>
  <c r="W147" i="16"/>
  <c r="X147" i="16" s="1"/>
  <c r="L147" i="16"/>
  <c r="W148" i="16"/>
  <c r="X148" i="16" s="1"/>
  <c r="L148" i="16"/>
  <c r="L149" i="16"/>
  <c r="W149" i="16"/>
  <c r="X149" i="16" s="1"/>
  <c r="W167" i="16"/>
  <c r="X167" i="16" s="1"/>
  <c r="L167" i="16"/>
  <c r="W168" i="16"/>
  <c r="X168" i="16" s="1"/>
  <c r="L168" i="16"/>
  <c r="W169" i="16"/>
  <c r="X169" i="16" s="1"/>
  <c r="L169" i="16"/>
  <c r="W170" i="16"/>
  <c r="X170" i="16" s="1"/>
  <c r="L170" i="16"/>
  <c r="W171" i="16"/>
  <c r="X171" i="16" s="1"/>
  <c r="L171" i="16"/>
  <c r="W172" i="16"/>
  <c r="X172" i="16" s="1"/>
  <c r="L172" i="16"/>
  <c r="W175" i="16"/>
  <c r="X175" i="16" s="1"/>
  <c r="L175" i="16"/>
  <c r="W176" i="16"/>
  <c r="X176" i="16" s="1"/>
  <c r="L176" i="16"/>
  <c r="W177" i="16"/>
  <c r="X177" i="16" s="1"/>
  <c r="L177" i="16"/>
  <c r="W178" i="16"/>
  <c r="X178" i="16" s="1"/>
  <c r="L178" i="16"/>
  <c r="W179" i="16"/>
  <c r="X179" i="16" s="1"/>
  <c r="L179" i="16"/>
  <c r="W180" i="16"/>
  <c r="X180" i="16" s="1"/>
  <c r="L180" i="16"/>
  <c r="W181" i="16"/>
  <c r="X181" i="16" s="1"/>
  <c r="L181" i="16"/>
  <c r="W182" i="16"/>
  <c r="X182" i="16" s="1"/>
  <c r="L182" i="16"/>
  <c r="W183" i="16"/>
  <c r="X183" i="16" s="1"/>
  <c r="L183" i="16"/>
  <c r="W184" i="16"/>
  <c r="X184" i="16" s="1"/>
  <c r="L184" i="16"/>
  <c r="W185" i="16"/>
  <c r="X185" i="16" s="1"/>
  <c r="L185" i="16"/>
  <c r="W186" i="16"/>
  <c r="X186" i="16" s="1"/>
  <c r="L186" i="16"/>
  <c r="W187" i="16"/>
  <c r="X187" i="16" s="1"/>
  <c r="L187" i="16"/>
  <c r="W188" i="16"/>
  <c r="X188" i="16" s="1"/>
  <c r="L188" i="16"/>
  <c r="W190" i="16"/>
  <c r="X190" i="16" s="1"/>
  <c r="L190" i="16"/>
  <c r="W191" i="16"/>
  <c r="X191" i="16" s="1"/>
  <c r="L191" i="16"/>
  <c r="W192" i="16"/>
  <c r="X192" i="16" s="1"/>
  <c r="L192" i="16"/>
  <c r="W193" i="16"/>
  <c r="X193" i="16" s="1"/>
  <c r="L193" i="16"/>
  <c r="W194" i="16"/>
  <c r="X194" i="16" s="1"/>
  <c r="L194" i="16"/>
  <c r="W195" i="16"/>
  <c r="X195" i="16" s="1"/>
  <c r="L195" i="16"/>
  <c r="W196" i="16"/>
  <c r="X196" i="16" s="1"/>
  <c r="L196" i="16"/>
  <c r="W197" i="16"/>
  <c r="X197" i="16" s="1"/>
  <c r="L197" i="16"/>
  <c r="W198" i="16"/>
  <c r="X198" i="16" s="1"/>
  <c r="L198" i="16"/>
  <c r="W199" i="16"/>
  <c r="X199" i="16" s="1"/>
  <c r="L199" i="16"/>
  <c r="W200" i="16"/>
  <c r="X200" i="16" s="1"/>
  <c r="L200" i="16"/>
  <c r="W201" i="16"/>
  <c r="X201" i="16" s="1"/>
  <c r="L201" i="16"/>
  <c r="W202" i="16"/>
  <c r="X202" i="16" s="1"/>
  <c r="L202" i="16"/>
  <c r="W203" i="16"/>
  <c r="X203" i="16" s="1"/>
  <c r="L203" i="16"/>
  <c r="W204" i="16"/>
  <c r="X204" i="16" s="1"/>
  <c r="L204" i="16"/>
  <c r="W209" i="16"/>
  <c r="X209" i="16" s="1"/>
  <c r="L209" i="16"/>
  <c r="W210" i="16"/>
  <c r="X210" i="16" s="1"/>
  <c r="L210" i="16"/>
  <c r="W211" i="16"/>
  <c r="X211" i="16" s="1"/>
  <c r="L211" i="16"/>
  <c r="W212" i="16"/>
  <c r="X212" i="16" s="1"/>
  <c r="L212" i="16"/>
  <c r="W213" i="16"/>
  <c r="X213" i="16" s="1"/>
  <c r="L213" i="16"/>
  <c r="W216" i="16"/>
  <c r="X216" i="16" s="1"/>
  <c r="L216" i="16"/>
  <c r="W217" i="16"/>
  <c r="X217" i="16" s="1"/>
  <c r="L217" i="16"/>
  <c r="W224" i="16"/>
  <c r="X224" i="16" s="1"/>
  <c r="L224" i="16"/>
  <c r="W228" i="16"/>
  <c r="X228" i="16" s="1"/>
  <c r="L228" i="16"/>
  <c r="W231" i="16"/>
  <c r="X231" i="16" s="1"/>
  <c r="L231" i="16"/>
  <c r="W232" i="16"/>
  <c r="X232" i="16" s="1"/>
  <c r="L232" i="16"/>
  <c r="W233" i="16"/>
  <c r="X233" i="16" s="1"/>
  <c r="L233" i="16"/>
  <c r="W234" i="16"/>
  <c r="X234" i="16" s="1"/>
  <c r="L234" i="16"/>
  <c r="W235" i="16"/>
  <c r="X235" i="16" s="1"/>
  <c r="L235" i="16"/>
  <c r="W236" i="16"/>
  <c r="X236" i="16" s="1"/>
  <c r="L236" i="16"/>
  <c r="W242" i="16"/>
  <c r="X242" i="16" s="1"/>
  <c r="L242" i="16"/>
  <c r="W243" i="16"/>
  <c r="X243" i="16" s="1"/>
  <c r="L243" i="16"/>
  <c r="W246" i="16"/>
  <c r="X246" i="16" s="1"/>
  <c r="L246" i="16"/>
  <c r="W247" i="16"/>
  <c r="X247" i="16" s="1"/>
  <c r="L247" i="16"/>
  <c r="W248" i="16"/>
  <c r="X248" i="16" s="1"/>
  <c r="L248" i="16"/>
  <c r="W253" i="16"/>
  <c r="X253" i="16" s="1"/>
  <c r="L253" i="16"/>
  <c r="L254" i="16"/>
  <c r="W254" i="16"/>
  <c r="X254" i="16" s="1"/>
  <c r="W255" i="16"/>
  <c r="X255" i="16" s="1"/>
  <c r="L255" i="16"/>
  <c r="W256" i="16"/>
  <c r="X256" i="16" s="1"/>
  <c r="L256" i="16"/>
  <c r="W257" i="16"/>
  <c r="X257" i="16" s="1"/>
  <c r="L257" i="16"/>
  <c r="W258" i="16"/>
  <c r="X258" i="16" s="1"/>
  <c r="L258" i="16"/>
  <c r="W259" i="16"/>
  <c r="X259" i="16" s="1"/>
  <c r="L259" i="16"/>
  <c r="W260" i="16"/>
  <c r="X260" i="16" s="1"/>
  <c r="L260" i="16"/>
  <c r="W263" i="16"/>
  <c r="X263" i="16" s="1"/>
  <c r="L263" i="16"/>
  <c r="W267" i="16"/>
  <c r="X267" i="16" s="1"/>
  <c r="L267" i="16"/>
  <c r="W268" i="16"/>
  <c r="X268" i="16" s="1"/>
  <c r="L268" i="16"/>
  <c r="W269" i="16"/>
  <c r="X269" i="16" s="1"/>
  <c r="L269" i="16"/>
  <c r="W270" i="16"/>
  <c r="X270" i="16" s="1"/>
  <c r="L270" i="16"/>
  <c r="W274" i="16"/>
  <c r="X274" i="16" s="1"/>
  <c r="L274" i="16"/>
  <c r="W275" i="16"/>
  <c r="X275" i="16" s="1"/>
  <c r="L275" i="16"/>
  <c r="W276" i="16"/>
  <c r="X276" i="16" s="1"/>
  <c r="L276" i="16"/>
  <c r="W277" i="16"/>
  <c r="X277" i="16" s="1"/>
  <c r="L277" i="16"/>
  <c r="W283" i="16"/>
  <c r="X283" i="16" s="1"/>
  <c r="L283" i="16"/>
  <c r="W284" i="16"/>
  <c r="X284" i="16" s="1"/>
  <c r="L284" i="16"/>
  <c r="W285" i="16"/>
  <c r="X285" i="16" s="1"/>
  <c r="L285" i="16"/>
  <c r="W286" i="16"/>
  <c r="X286" i="16" s="1"/>
  <c r="L286" i="16"/>
  <c r="W287" i="16"/>
  <c r="X287" i="16" s="1"/>
  <c r="L287" i="16"/>
  <c r="W288" i="16"/>
  <c r="X288" i="16" s="1"/>
  <c r="L288" i="16"/>
  <c r="W289" i="16"/>
  <c r="X289" i="16" s="1"/>
  <c r="L289" i="16"/>
  <c r="W290" i="16"/>
  <c r="X290" i="16" s="1"/>
  <c r="L290" i="16"/>
  <c r="L291" i="16"/>
  <c r="W291" i="16"/>
  <c r="X291" i="16" s="1"/>
  <c r="W296" i="16"/>
  <c r="X296" i="16" s="1"/>
  <c r="L296" i="16"/>
  <c r="L297" i="16"/>
  <c r="W297" i="16"/>
  <c r="X297" i="16" s="1"/>
  <c r="W298" i="16"/>
  <c r="X298" i="16" s="1"/>
  <c r="L298" i="16"/>
  <c r="W304" i="16"/>
  <c r="X304" i="16" s="1"/>
  <c r="L304" i="16"/>
  <c r="W305" i="16"/>
  <c r="X305" i="16" s="1"/>
  <c r="L305" i="16"/>
  <c r="W306" i="16"/>
  <c r="X306" i="16" s="1"/>
  <c r="L306" i="16"/>
  <c r="W307" i="16"/>
  <c r="X307" i="16" s="1"/>
  <c r="L307" i="16"/>
  <c r="W308" i="16"/>
  <c r="X308" i="16" s="1"/>
  <c r="L308" i="16"/>
  <c r="W309" i="16"/>
  <c r="X309" i="16" s="1"/>
  <c r="L309" i="16"/>
  <c r="W310" i="16"/>
  <c r="X310" i="16" s="1"/>
  <c r="L310" i="16"/>
  <c r="W311" i="16"/>
  <c r="X311" i="16" s="1"/>
  <c r="L311" i="16"/>
  <c r="W312" i="16"/>
  <c r="X312" i="16" s="1"/>
  <c r="L312" i="16"/>
  <c r="W313" i="16"/>
  <c r="X313" i="16" s="1"/>
  <c r="L313" i="16"/>
  <c r="W316" i="16"/>
  <c r="X316" i="16" s="1"/>
  <c r="L316" i="16"/>
  <c r="W317" i="16"/>
  <c r="X317" i="16" s="1"/>
  <c r="L317" i="16"/>
  <c r="W320" i="16"/>
  <c r="X320" i="16" s="1"/>
  <c r="L320" i="16"/>
  <c r="W321" i="16"/>
  <c r="X321" i="16" s="1"/>
  <c r="L321" i="16"/>
  <c r="W322" i="16"/>
  <c r="X322" i="16" s="1"/>
  <c r="L322" i="16"/>
  <c r="W323" i="16"/>
  <c r="X323" i="16" s="1"/>
  <c r="L323" i="16"/>
  <c r="W327" i="16"/>
  <c r="X327" i="16" s="1"/>
  <c r="L327" i="16"/>
  <c r="W328" i="16"/>
  <c r="X328" i="16" s="1"/>
  <c r="L328" i="16"/>
  <c r="W329" i="16"/>
  <c r="X329" i="16" s="1"/>
  <c r="L329" i="16"/>
  <c r="W330" i="16"/>
  <c r="X330" i="16" s="1"/>
  <c r="L330" i="16"/>
  <c r="W331" i="16"/>
  <c r="X331" i="16" s="1"/>
  <c r="L331" i="16"/>
  <c r="Y172" i="16"/>
  <c r="Z172" i="16" s="1"/>
  <c r="N172" i="16"/>
  <c r="Y336" i="16"/>
  <c r="Z336" i="16" s="1"/>
  <c r="N336" i="16"/>
  <c r="Y337" i="16"/>
  <c r="Z337" i="16" s="1"/>
  <c r="N337" i="16"/>
  <c r="Y175" i="16"/>
  <c r="Z175" i="16" s="1"/>
  <c r="N175" i="16"/>
  <c r="Y176" i="16"/>
  <c r="Z176" i="16" s="1"/>
  <c r="N176" i="16"/>
  <c r="Y177" i="16"/>
  <c r="Z177" i="16" s="1"/>
  <c r="N177" i="16"/>
  <c r="N178" i="16"/>
  <c r="Y178" i="16"/>
  <c r="Z178" i="16" s="1"/>
  <c r="Y179" i="16"/>
  <c r="Z179" i="16" s="1"/>
  <c r="N179" i="16"/>
  <c r="Y180" i="16"/>
  <c r="Z180" i="16" s="1"/>
  <c r="N180" i="16"/>
  <c r="Y181" i="16"/>
  <c r="Z181" i="16" s="1"/>
  <c r="N181" i="16"/>
  <c r="Y182" i="16"/>
  <c r="Z182" i="16" s="1"/>
  <c r="N182" i="16"/>
  <c r="Y183" i="16"/>
  <c r="Z183" i="16" s="1"/>
  <c r="N183" i="16"/>
  <c r="Y184" i="16"/>
  <c r="Z184" i="16" s="1"/>
  <c r="N184" i="16"/>
  <c r="Y185" i="16"/>
  <c r="Z185" i="16" s="1"/>
  <c r="N185" i="16"/>
  <c r="Y186" i="16"/>
  <c r="Z186" i="16" s="1"/>
  <c r="N186" i="16"/>
  <c r="Y187" i="16"/>
  <c r="Z187" i="16" s="1"/>
  <c r="N187" i="16"/>
  <c r="Y188" i="16"/>
  <c r="Z188" i="16" s="1"/>
  <c r="N188" i="16"/>
  <c r="Y338" i="16"/>
  <c r="Z338" i="16" s="1"/>
  <c r="N338" i="16"/>
  <c r="Y189" i="16"/>
  <c r="Z189" i="16" s="1"/>
  <c r="N189" i="16"/>
  <c r="Y190" i="16"/>
  <c r="Z190" i="16" s="1"/>
  <c r="N190" i="16"/>
  <c r="Y191" i="16"/>
  <c r="Z191" i="16" s="1"/>
  <c r="N191" i="16"/>
  <c r="Y193" i="16"/>
  <c r="Z193" i="16" s="1"/>
  <c r="N193" i="16"/>
  <c r="Y194" i="16"/>
  <c r="Z194" i="16" s="1"/>
  <c r="N194" i="16"/>
  <c r="Y195" i="16"/>
  <c r="Z195" i="16" s="1"/>
  <c r="N195" i="16"/>
  <c r="Y196" i="16"/>
  <c r="Z196" i="16" s="1"/>
  <c r="N196" i="16"/>
  <c r="Y197" i="16"/>
  <c r="Z197" i="16" s="1"/>
  <c r="N197" i="16"/>
  <c r="Y198" i="16"/>
  <c r="Z198" i="16" s="1"/>
  <c r="N198" i="16"/>
  <c r="Y199" i="16"/>
  <c r="Z199" i="16" s="1"/>
  <c r="N199" i="16"/>
  <c r="Y200" i="16"/>
  <c r="Z200" i="16" s="1"/>
  <c r="N200" i="16"/>
  <c r="N201" i="16"/>
  <c r="Y201" i="16"/>
  <c r="Z201" i="16" s="1"/>
  <c r="Y202" i="16"/>
  <c r="Z202" i="16" s="1"/>
  <c r="N202" i="16"/>
  <c r="Y203" i="16"/>
  <c r="Z203" i="16" s="1"/>
  <c r="N203" i="16"/>
  <c r="Y339" i="16"/>
  <c r="Z339" i="16" s="1"/>
  <c r="N339" i="16"/>
  <c r="Y340" i="16"/>
  <c r="Z340" i="16" s="1"/>
  <c r="N340" i="16"/>
  <c r="Y341" i="16"/>
  <c r="Z341" i="16" s="1"/>
  <c r="N341" i="16"/>
  <c r="Y342" i="16"/>
  <c r="Z342" i="16" s="1"/>
  <c r="N342" i="16"/>
  <c r="Y209" i="16"/>
  <c r="Z209" i="16" s="1"/>
  <c r="N209" i="16"/>
  <c r="Y210" i="16"/>
  <c r="Z210" i="16" s="1"/>
  <c r="N210" i="16"/>
  <c r="Y211" i="16"/>
  <c r="Z211" i="16" s="1"/>
  <c r="N211" i="16"/>
  <c r="Y212" i="16"/>
  <c r="Z212" i="16" s="1"/>
  <c r="N212" i="16"/>
  <c r="Y343" i="16"/>
  <c r="Z343" i="16" s="1"/>
  <c r="N343" i="16"/>
  <c r="Y344" i="16"/>
  <c r="Z344" i="16" s="1"/>
  <c r="N344" i="16"/>
  <c r="Y215" i="16"/>
  <c r="Z215" i="16" s="1"/>
  <c r="N215" i="16"/>
  <c r="Y216" i="16"/>
  <c r="Z216" i="16" s="1"/>
  <c r="N216" i="16"/>
  <c r="Y217" i="16"/>
  <c r="Z217" i="16" s="1"/>
  <c r="N217" i="16"/>
  <c r="Y345" i="16"/>
  <c r="Z345" i="16" s="1"/>
  <c r="N345" i="16"/>
  <c r="Y346" i="16"/>
  <c r="Z346" i="16" s="1"/>
  <c r="N346" i="16"/>
  <c r="Y347" i="16"/>
  <c r="Z347" i="16" s="1"/>
  <c r="N347" i="16"/>
  <c r="Y348" i="16"/>
  <c r="Z348" i="16" s="1"/>
  <c r="N348" i="16"/>
  <c r="Y349" i="16"/>
  <c r="Z349" i="16" s="1"/>
  <c r="N349" i="16"/>
  <c r="Y350" i="16"/>
  <c r="Z350" i="16" s="1"/>
  <c r="N350" i="16"/>
  <c r="Y224" i="16"/>
  <c r="Z224" i="16" s="1"/>
  <c r="N224" i="16"/>
  <c r="Y351" i="16"/>
  <c r="Z351" i="16" s="1"/>
  <c r="N351" i="16"/>
  <c r="Y352" i="16"/>
  <c r="Z352" i="16" s="1"/>
  <c r="N352" i="16"/>
  <c r="Y353" i="16"/>
  <c r="Z353" i="16" s="1"/>
  <c r="N353" i="16"/>
  <c r="Y227" i="16"/>
  <c r="Z227" i="16" s="1"/>
  <c r="N227" i="16"/>
  <c r="Y228" i="16"/>
  <c r="Z228" i="16" s="1"/>
  <c r="N228" i="16"/>
  <c r="Y354" i="16"/>
  <c r="Z354" i="16" s="1"/>
  <c r="N354" i="16"/>
  <c r="Y355" i="16"/>
  <c r="Z355" i="16" s="1"/>
  <c r="N355" i="16"/>
  <c r="Y230" i="16"/>
  <c r="Z230" i="16" s="1"/>
  <c r="N230" i="16"/>
  <c r="Y234" i="16"/>
  <c r="Z234" i="16" s="1"/>
  <c r="N234" i="16"/>
  <c r="Y235" i="16"/>
  <c r="Z235" i="16" s="1"/>
  <c r="N235" i="16"/>
  <c r="Y236" i="16"/>
  <c r="Z236" i="16" s="1"/>
  <c r="N236" i="16"/>
  <c r="Y356" i="16"/>
  <c r="Z356" i="16" s="1"/>
  <c r="N356" i="16"/>
  <c r="Y357" i="16"/>
  <c r="Z357" i="16" s="1"/>
  <c r="N357" i="16"/>
  <c r="Y238" i="16"/>
  <c r="Z238" i="16" s="1"/>
  <c r="N238" i="16"/>
  <c r="Y358" i="16"/>
  <c r="Z358" i="16" s="1"/>
  <c r="N358" i="16"/>
  <c r="Y359" i="16"/>
  <c r="Z359" i="16" s="1"/>
  <c r="N359" i="16"/>
  <c r="Y360" i="16"/>
  <c r="Z360" i="16" s="1"/>
  <c r="N360" i="16"/>
  <c r="Y242" i="16"/>
  <c r="Z242" i="16" s="1"/>
  <c r="N242" i="16"/>
  <c r="Y361" i="16"/>
  <c r="Z361" i="16" s="1"/>
  <c r="N361" i="16"/>
  <c r="Y362" i="16"/>
  <c r="Z362" i="16" s="1"/>
  <c r="N362" i="16"/>
  <c r="N246" i="16"/>
  <c r="Y246" i="16"/>
  <c r="Z246" i="16" s="1"/>
  <c r="Y247" i="16"/>
  <c r="Z247" i="16" s="1"/>
  <c r="N247" i="16"/>
  <c r="Y248" i="16"/>
  <c r="Z248" i="16" s="1"/>
  <c r="N248" i="16"/>
  <c r="Y363" i="16"/>
  <c r="Z363" i="16" s="1"/>
  <c r="N363" i="16"/>
  <c r="Y364" i="16"/>
  <c r="Z364" i="16" s="1"/>
  <c r="N364" i="16"/>
  <c r="Y365" i="16"/>
  <c r="Z365" i="16" s="1"/>
  <c r="N365" i="16"/>
  <c r="Y366" i="16"/>
  <c r="Z366" i="16" s="1"/>
  <c r="N366" i="16"/>
  <c r="Y252" i="16"/>
  <c r="Z252" i="16" s="1"/>
  <c r="N252" i="16"/>
  <c r="Y253" i="16"/>
  <c r="Z253" i="16" s="1"/>
  <c r="N253" i="16"/>
  <c r="Y254" i="16"/>
  <c r="Z254" i="16" s="1"/>
  <c r="N254" i="16"/>
  <c r="Y255" i="16"/>
  <c r="Z255" i="16" s="1"/>
  <c r="N255" i="16"/>
  <c r="Y256" i="16"/>
  <c r="Z256" i="16" s="1"/>
  <c r="N256" i="16"/>
  <c r="Y257" i="16"/>
  <c r="Z257" i="16" s="1"/>
  <c r="N257" i="16"/>
  <c r="Y258" i="16"/>
  <c r="Z258" i="16" s="1"/>
  <c r="N258" i="16"/>
  <c r="Y259" i="16"/>
  <c r="Z259" i="16" s="1"/>
  <c r="N259" i="16"/>
  <c r="Y367" i="16"/>
  <c r="Z367" i="16" s="1"/>
  <c r="N367" i="16"/>
  <c r="Y368" i="16"/>
  <c r="Z368" i="16" s="1"/>
  <c r="N368" i="16"/>
  <c r="Y263" i="16"/>
  <c r="Z263" i="16" s="1"/>
  <c r="N263" i="16"/>
  <c r="Y369" i="16"/>
  <c r="Z369" i="16" s="1"/>
  <c r="N369" i="16"/>
  <c r="Y370" i="16"/>
  <c r="Z370" i="16" s="1"/>
  <c r="N370" i="16"/>
  <c r="Y371" i="16"/>
  <c r="Z371" i="16" s="1"/>
  <c r="N371" i="16"/>
  <c r="Y266" i="16"/>
  <c r="Z266" i="16" s="1"/>
  <c r="N266" i="16"/>
  <c r="Y268" i="16"/>
  <c r="Z268" i="16" s="1"/>
  <c r="N268" i="16"/>
  <c r="Y269" i="16"/>
  <c r="Z269" i="16" s="1"/>
  <c r="N269" i="16"/>
  <c r="Y270" i="16"/>
  <c r="Z270" i="16" s="1"/>
  <c r="N270" i="16"/>
  <c r="Y372" i="16"/>
  <c r="Z372" i="16" s="1"/>
  <c r="N372" i="16"/>
  <c r="Y373" i="16"/>
  <c r="Z373" i="16" s="1"/>
  <c r="N373" i="16"/>
  <c r="Y272" i="16"/>
  <c r="Z272" i="16" s="1"/>
  <c r="N272" i="16"/>
  <c r="Y374" i="16"/>
  <c r="Z374" i="16" s="1"/>
  <c r="N374" i="16"/>
  <c r="Y274" i="16"/>
  <c r="Z274" i="16" s="1"/>
  <c r="N274" i="16"/>
  <c r="Y275" i="16"/>
  <c r="Z275" i="16" s="1"/>
  <c r="N275" i="16"/>
  <c r="Y276" i="16"/>
  <c r="Z276" i="16" s="1"/>
  <c r="N276" i="16"/>
  <c r="Y277" i="16"/>
  <c r="Z277" i="16" s="1"/>
  <c r="N277" i="16"/>
  <c r="Y375" i="16"/>
  <c r="Z375" i="16" s="1"/>
  <c r="N375" i="16"/>
  <c r="Y376" i="16"/>
  <c r="Z376" i="16" s="1"/>
  <c r="N376" i="16"/>
  <c r="Y377" i="16"/>
  <c r="Z377" i="16" s="1"/>
  <c r="N377" i="16"/>
  <c r="Y378" i="16"/>
  <c r="Z378" i="16" s="1"/>
  <c r="N378" i="16"/>
  <c r="Y379" i="16"/>
  <c r="Z379" i="16" s="1"/>
  <c r="N379" i="16"/>
  <c r="Y283" i="16"/>
  <c r="Z283" i="16" s="1"/>
  <c r="N283" i="16"/>
  <c r="Y284" i="16"/>
  <c r="Z284" i="16" s="1"/>
  <c r="N284" i="16"/>
  <c r="Y285" i="16"/>
  <c r="Z285" i="16" s="1"/>
  <c r="N285" i="16"/>
  <c r="Y286" i="16"/>
  <c r="Z286" i="16" s="1"/>
  <c r="N286" i="16"/>
  <c r="Y288" i="16"/>
  <c r="Z288" i="16" s="1"/>
  <c r="N288" i="16"/>
  <c r="Y289" i="16"/>
  <c r="Z289" i="16" s="1"/>
  <c r="N289" i="16"/>
  <c r="Y290" i="16"/>
  <c r="Z290" i="16" s="1"/>
  <c r="N290" i="16"/>
  <c r="Y380" i="16"/>
  <c r="Z380" i="16" s="1"/>
  <c r="N380" i="16"/>
  <c r="Y381" i="16"/>
  <c r="Z381" i="16" s="1"/>
  <c r="N381" i="16"/>
  <c r="Y382" i="16"/>
  <c r="Z382" i="16" s="1"/>
  <c r="N382" i="16"/>
  <c r="Y294" i="16"/>
  <c r="Z294" i="16" s="1"/>
  <c r="N294" i="16"/>
  <c r="Y171" i="16"/>
  <c r="Z171" i="16" s="1"/>
  <c r="N171" i="16"/>
  <c r="Y296" i="16"/>
  <c r="Z296" i="16" s="1"/>
  <c r="N296" i="16"/>
  <c r="Y297" i="16"/>
  <c r="Z297" i="16" s="1"/>
  <c r="N297" i="16"/>
  <c r="Y383" i="16"/>
  <c r="Z383" i="16" s="1"/>
  <c r="N383" i="16"/>
  <c r="Y384" i="16"/>
  <c r="Z384" i="16" s="1"/>
  <c r="N384" i="16"/>
  <c r="Y385" i="16"/>
  <c r="Z385" i="16" s="1"/>
  <c r="N385" i="16"/>
  <c r="Y386" i="16"/>
  <c r="Z386" i="16" s="1"/>
  <c r="N386" i="16"/>
  <c r="Y387" i="16"/>
  <c r="Z387" i="16" s="1"/>
  <c r="N387" i="16"/>
  <c r="Y303" i="16"/>
  <c r="Z303" i="16" s="1"/>
  <c r="N303" i="16"/>
  <c r="Y304" i="16"/>
  <c r="Z304" i="16" s="1"/>
  <c r="N304" i="16"/>
  <c r="Y306" i="16"/>
  <c r="Z306" i="16" s="1"/>
  <c r="N306" i="16"/>
  <c r="Y307" i="16"/>
  <c r="Z307" i="16" s="1"/>
  <c r="N307" i="16"/>
  <c r="Y309" i="16"/>
  <c r="Z309" i="16" s="1"/>
  <c r="N309" i="16"/>
  <c r="Y310" i="16"/>
  <c r="Z310" i="16" s="1"/>
  <c r="N310" i="16"/>
  <c r="Y311" i="16"/>
  <c r="Z311" i="16" s="1"/>
  <c r="N311" i="16"/>
  <c r="Y312" i="16"/>
  <c r="Z312" i="16" s="1"/>
  <c r="N312" i="16"/>
  <c r="Y313" i="16"/>
  <c r="Z313" i="16" s="1"/>
  <c r="N313" i="16"/>
  <c r="Y388" i="16"/>
  <c r="Z388" i="16" s="1"/>
  <c r="N388" i="16"/>
  <c r="Y389" i="16"/>
  <c r="Z389" i="16" s="1"/>
  <c r="N389" i="16"/>
  <c r="Y315" i="16"/>
  <c r="Z315" i="16" s="1"/>
  <c r="N315" i="16"/>
  <c r="Y316" i="16"/>
  <c r="Z316" i="16" s="1"/>
  <c r="N316" i="16"/>
  <c r="Y390" i="16"/>
  <c r="Z390" i="16" s="1"/>
  <c r="N390" i="16"/>
  <c r="Y318" i="16"/>
  <c r="Z318" i="16" s="1"/>
  <c r="N318" i="16"/>
  <c r="N391" i="16"/>
  <c r="Y391" i="16"/>
  <c r="Z391" i="16" s="1"/>
  <c r="Y321" i="16"/>
  <c r="Z321" i="16" s="1"/>
  <c r="N321" i="16"/>
  <c r="Y323" i="16"/>
  <c r="Z323" i="16" s="1"/>
  <c r="N323" i="16"/>
  <c r="Y392" i="16"/>
  <c r="Z392" i="16" s="1"/>
  <c r="N392" i="16"/>
  <c r="Y393" i="16"/>
  <c r="Z393" i="16" s="1"/>
  <c r="N393" i="16"/>
  <c r="Y325" i="16"/>
  <c r="Z325" i="16" s="1"/>
  <c r="N325" i="16"/>
  <c r="Y394" i="16"/>
  <c r="Z394" i="16" s="1"/>
  <c r="N394" i="16"/>
  <c r="Y327" i="16"/>
  <c r="Z327" i="16" s="1"/>
  <c r="N327" i="16"/>
  <c r="Y328" i="16"/>
  <c r="Z328" i="16" s="1"/>
  <c r="N328" i="16"/>
  <c r="Y331" i="16"/>
  <c r="Z331" i="16" s="1"/>
  <c r="N331" i="16"/>
  <c r="Y395" i="16"/>
  <c r="Z395" i="16" s="1"/>
  <c r="N395" i="16"/>
  <c r="Y397" i="16"/>
  <c r="Z397" i="16" s="1"/>
  <c r="N397" i="16"/>
  <c r="Y398" i="16"/>
  <c r="Z398" i="16" s="1"/>
  <c r="N398" i="16"/>
  <c r="Y399" i="16"/>
  <c r="Z399" i="16" s="1"/>
  <c r="N399" i="16"/>
  <c r="N400" i="16"/>
  <c r="Y400" i="16"/>
  <c r="Z400" i="16" s="1"/>
  <c r="Y497" i="16"/>
  <c r="Z497" i="16" s="1"/>
  <c r="N497" i="16"/>
  <c r="Y401" i="16"/>
  <c r="Z401" i="16" s="1"/>
  <c r="N401" i="16"/>
  <c r="Y498" i="16"/>
  <c r="Z498" i="16" s="1"/>
  <c r="N498" i="16"/>
  <c r="Y402" i="16"/>
  <c r="Z402" i="16" s="1"/>
  <c r="N402" i="16"/>
  <c r="Y499" i="16"/>
  <c r="Z499" i="16" s="1"/>
  <c r="N499" i="16"/>
  <c r="Y403" i="16"/>
  <c r="Z403" i="16" s="1"/>
  <c r="N403" i="16"/>
  <c r="Y500" i="16"/>
  <c r="Z500" i="16" s="1"/>
  <c r="N500" i="16"/>
  <c r="N404" i="16"/>
  <c r="Y404" i="16"/>
  <c r="Z404" i="16" s="1"/>
  <c r="Y501" i="16"/>
  <c r="Z501" i="16" s="1"/>
  <c r="N501" i="16"/>
  <c r="Y405" i="16"/>
  <c r="Z405" i="16" s="1"/>
  <c r="N405" i="16"/>
  <c r="Y502" i="16"/>
  <c r="Z502" i="16" s="1"/>
  <c r="N502" i="16"/>
  <c r="Y12" i="16"/>
  <c r="Z12" i="16" s="1"/>
  <c r="N12" i="16"/>
  <c r="Y20" i="16"/>
  <c r="Z20" i="16" s="1"/>
  <c r="N20" i="16"/>
  <c r="Y406" i="16"/>
  <c r="Z406" i="16" s="1"/>
  <c r="N406" i="16"/>
  <c r="Y22" i="16"/>
  <c r="Z22" i="16" s="1"/>
  <c r="N22" i="16"/>
  <c r="Y23" i="16"/>
  <c r="Z23" i="16" s="1"/>
  <c r="N23" i="16"/>
  <c r="Y24" i="16"/>
  <c r="Z24" i="16" s="1"/>
  <c r="N24" i="16"/>
  <c r="Y25" i="16"/>
  <c r="Z25" i="16" s="1"/>
  <c r="N25" i="16"/>
  <c r="Y26" i="16"/>
  <c r="Z26" i="16" s="1"/>
  <c r="N26" i="16"/>
  <c r="Y27" i="16"/>
  <c r="Z27" i="16" s="1"/>
  <c r="N27" i="16"/>
  <c r="Y28" i="16"/>
  <c r="Z28" i="16" s="1"/>
  <c r="N28" i="16"/>
  <c r="Y407" i="16"/>
  <c r="Z407" i="16" s="1"/>
  <c r="N407" i="16"/>
  <c r="Y408" i="16"/>
  <c r="Z408" i="16" s="1"/>
  <c r="N408" i="16"/>
  <c r="Y409" i="16"/>
  <c r="Z409" i="16" s="1"/>
  <c r="N409" i="16"/>
  <c r="Y410" i="16"/>
  <c r="Z410" i="16" s="1"/>
  <c r="N410" i="16"/>
  <c r="Y411" i="16"/>
  <c r="Z411" i="16" s="1"/>
  <c r="N411" i="16"/>
  <c r="Y412" i="16"/>
  <c r="Z412" i="16" s="1"/>
  <c r="N412" i="16"/>
  <c r="Y36" i="16"/>
  <c r="Z36" i="16" s="1"/>
  <c r="N36" i="16"/>
  <c r="Y37" i="16"/>
  <c r="Z37" i="16" s="1"/>
  <c r="N37" i="16"/>
  <c r="Y38" i="16"/>
  <c r="Z38" i="16" s="1"/>
  <c r="N38" i="16"/>
  <c r="Y39" i="16"/>
  <c r="Z39" i="16" s="1"/>
  <c r="N39" i="16"/>
  <c r="Y40" i="16"/>
  <c r="Z40" i="16" s="1"/>
  <c r="N40" i="16"/>
  <c r="Y413" i="16"/>
  <c r="Z413" i="16" s="1"/>
  <c r="N413" i="16"/>
  <c r="Y42" i="16"/>
  <c r="Z42" i="16" s="1"/>
  <c r="N42" i="16"/>
  <c r="Y43" i="16"/>
  <c r="Z43" i="16" s="1"/>
  <c r="N43" i="16"/>
  <c r="Y414" i="16"/>
  <c r="Z414" i="16" s="1"/>
  <c r="N414" i="16"/>
  <c r="Y415" i="16"/>
  <c r="Z415" i="16" s="1"/>
  <c r="N415" i="16"/>
  <c r="Y416" i="16"/>
  <c r="Z416" i="16" s="1"/>
  <c r="N416" i="16"/>
  <c r="Y417" i="16"/>
  <c r="Z417" i="16" s="1"/>
  <c r="N417" i="16"/>
  <c r="Y48" i="16"/>
  <c r="Z48" i="16" s="1"/>
  <c r="N48" i="16"/>
  <c r="Y49" i="16"/>
  <c r="Z49" i="16" s="1"/>
  <c r="N49" i="16"/>
  <c r="Y50" i="16"/>
  <c r="Z50" i="16" s="1"/>
  <c r="N50" i="16"/>
  <c r="Y51" i="16"/>
  <c r="Z51" i="16" s="1"/>
  <c r="N51" i="16"/>
  <c r="Y52" i="16"/>
  <c r="Z52" i="16" s="1"/>
  <c r="N52" i="16"/>
  <c r="Y53" i="16"/>
  <c r="Z53" i="16" s="1"/>
  <c r="N53" i="16"/>
  <c r="Y418" i="16"/>
  <c r="Z418" i="16" s="1"/>
  <c r="N418" i="16"/>
  <c r="Y419" i="16"/>
  <c r="Z419" i="16" s="1"/>
  <c r="N419" i="16"/>
  <c r="Y420" i="16"/>
  <c r="Z420" i="16" s="1"/>
  <c r="N420" i="16"/>
  <c r="Y421" i="16"/>
  <c r="Z421" i="16" s="1"/>
  <c r="N421" i="16"/>
  <c r="Y59" i="16"/>
  <c r="Z59" i="16" s="1"/>
  <c r="N59" i="16"/>
  <c r="Y60" i="16"/>
  <c r="Z60" i="16" s="1"/>
  <c r="N60" i="16"/>
  <c r="Y61" i="16"/>
  <c r="Z61" i="16" s="1"/>
  <c r="N61" i="16"/>
  <c r="Y62" i="16"/>
  <c r="Z62" i="16" s="1"/>
  <c r="N62" i="16"/>
  <c r="Y63" i="16"/>
  <c r="Z63" i="16" s="1"/>
  <c r="N63" i="16"/>
  <c r="Y64" i="16"/>
  <c r="Z64" i="16" s="1"/>
  <c r="N64" i="16"/>
  <c r="Y65" i="16"/>
  <c r="Z65" i="16" s="1"/>
  <c r="N65" i="16"/>
  <c r="Y422" i="16"/>
  <c r="Z422" i="16" s="1"/>
  <c r="N422" i="16"/>
  <c r="Y67" i="16"/>
  <c r="Z67" i="16" s="1"/>
  <c r="N67" i="16"/>
  <c r="Y423" i="16"/>
  <c r="Z423" i="16" s="1"/>
  <c r="N423" i="16"/>
  <c r="Y424" i="16"/>
  <c r="Z424" i="16" s="1"/>
  <c r="N424" i="16"/>
  <c r="Y425" i="16"/>
  <c r="Z425" i="16" s="1"/>
  <c r="N425" i="16"/>
  <c r="Y426" i="16"/>
  <c r="Z426" i="16" s="1"/>
  <c r="N426" i="16"/>
  <c r="Y427" i="16"/>
  <c r="Z427" i="16" s="1"/>
  <c r="N427" i="16"/>
  <c r="Y428" i="16"/>
  <c r="Z428" i="16" s="1"/>
  <c r="N428" i="16"/>
  <c r="Y429" i="16"/>
  <c r="Z429" i="16" s="1"/>
  <c r="N429" i="16"/>
  <c r="Y430" i="16"/>
  <c r="Z430" i="16" s="1"/>
  <c r="N430" i="16"/>
  <c r="Y76" i="16"/>
  <c r="Z76" i="16" s="1"/>
  <c r="N76" i="16"/>
  <c r="Y77" i="16"/>
  <c r="Z77" i="16" s="1"/>
  <c r="N77" i="16"/>
  <c r="Y78" i="16"/>
  <c r="Z78" i="16" s="1"/>
  <c r="N78" i="16"/>
  <c r="Y79" i="16"/>
  <c r="Z79" i="16" s="1"/>
  <c r="N79" i="16"/>
  <c r="Y80" i="16"/>
  <c r="Z80" i="16" s="1"/>
  <c r="N80" i="16"/>
  <c r="Y81" i="16"/>
  <c r="Z81" i="16" s="1"/>
  <c r="N81" i="16"/>
  <c r="Y82" i="16"/>
  <c r="Z82" i="16" s="1"/>
  <c r="N82" i="16"/>
  <c r="Y83" i="16"/>
  <c r="Z83" i="16" s="1"/>
  <c r="N83" i="16"/>
  <c r="Y84" i="16"/>
  <c r="Z84" i="16" s="1"/>
  <c r="N84" i="16"/>
  <c r="N85" i="16"/>
  <c r="Y85" i="16"/>
  <c r="Z85" i="16" s="1"/>
  <c r="Y431" i="16"/>
  <c r="Z431" i="16" s="1"/>
  <c r="N431" i="16"/>
  <c r="Y432" i="16"/>
  <c r="Z432" i="16" s="1"/>
  <c r="N432" i="16"/>
  <c r="Y433" i="16"/>
  <c r="Z433" i="16" s="1"/>
  <c r="N433" i="16"/>
  <c r="N434" i="16"/>
  <c r="Y434" i="16"/>
  <c r="Z434" i="16" s="1"/>
  <c r="Y435" i="16"/>
  <c r="Z435" i="16" s="1"/>
  <c r="N435" i="16"/>
  <c r="Y436" i="16"/>
  <c r="Z436" i="16" s="1"/>
  <c r="N436" i="16"/>
  <c r="Y437" i="16"/>
  <c r="Z437" i="16" s="1"/>
  <c r="N437" i="16"/>
  <c r="Y438" i="16"/>
  <c r="Z438" i="16" s="1"/>
  <c r="N438" i="16"/>
  <c r="Y439" i="16"/>
  <c r="Z439" i="16" s="1"/>
  <c r="N439" i="16"/>
  <c r="N440" i="16"/>
  <c r="Y440" i="16"/>
  <c r="Z440" i="16" s="1"/>
  <c r="N441" i="16"/>
  <c r="Y441" i="16"/>
  <c r="Z441" i="16" s="1"/>
  <c r="Y97" i="16"/>
  <c r="Z97" i="16" s="1"/>
  <c r="N97" i="16"/>
  <c r="Y98" i="16"/>
  <c r="Z98" i="16" s="1"/>
  <c r="N98" i="16"/>
  <c r="Y99" i="16"/>
  <c r="Z99" i="16" s="1"/>
  <c r="N99" i="16"/>
  <c r="N100" i="16"/>
  <c r="Y100" i="16"/>
  <c r="Z100" i="16" s="1"/>
  <c r="N101" i="16"/>
  <c r="Y101" i="16"/>
  <c r="Z101" i="16" s="1"/>
  <c r="Y102" i="16"/>
  <c r="Z102" i="16" s="1"/>
  <c r="N102" i="16"/>
  <c r="Y103" i="16"/>
  <c r="Z103" i="16" s="1"/>
  <c r="N103" i="16"/>
  <c r="Y442" i="16"/>
  <c r="Z442" i="16" s="1"/>
  <c r="N442" i="16"/>
  <c r="Y105" i="16"/>
  <c r="Z105" i="16" s="1"/>
  <c r="N105" i="16"/>
  <c r="Y443" i="16"/>
  <c r="Z443" i="16" s="1"/>
  <c r="N443" i="16"/>
  <c r="Y444" i="16"/>
  <c r="Z444" i="16" s="1"/>
  <c r="N444" i="16"/>
  <c r="Y445" i="16"/>
  <c r="Z445" i="16" s="1"/>
  <c r="N445" i="16"/>
  <c r="Y446" i="16"/>
  <c r="Z446" i="16" s="1"/>
  <c r="N446" i="16"/>
  <c r="Y447" i="16"/>
  <c r="Z447" i="16" s="1"/>
  <c r="N447" i="16"/>
  <c r="Y448" i="16"/>
  <c r="Z448" i="16" s="1"/>
  <c r="N448" i="16"/>
  <c r="N449" i="16"/>
  <c r="Y449" i="16"/>
  <c r="Z449" i="16" s="1"/>
  <c r="Y450" i="16"/>
  <c r="Z450" i="16" s="1"/>
  <c r="N450" i="16"/>
  <c r="Y451" i="16"/>
  <c r="Z451" i="16" s="1"/>
  <c r="N451" i="16"/>
  <c r="Y452" i="16"/>
  <c r="Z452" i="16" s="1"/>
  <c r="N452" i="16"/>
  <c r="Y453" i="16"/>
  <c r="Z453" i="16" s="1"/>
  <c r="N453" i="16"/>
  <c r="Y454" i="16"/>
  <c r="Z454" i="16" s="1"/>
  <c r="N454" i="16"/>
  <c r="Y455" i="16"/>
  <c r="Z455" i="16" s="1"/>
  <c r="N455" i="16"/>
  <c r="N119" i="16"/>
  <c r="Y119" i="16"/>
  <c r="Z119" i="16" s="1"/>
  <c r="Y120" i="16"/>
  <c r="Z120" i="16" s="1"/>
  <c r="N120" i="16"/>
  <c r="Y121" i="16"/>
  <c r="Z121" i="16" s="1"/>
  <c r="N121" i="16"/>
  <c r="Y122" i="16"/>
  <c r="Z122" i="16" s="1"/>
  <c r="N122" i="16"/>
  <c r="N123" i="16"/>
  <c r="Y123" i="16"/>
  <c r="Z123" i="16" s="1"/>
  <c r="N124" i="16"/>
  <c r="Y124" i="16"/>
  <c r="Z124" i="16" s="1"/>
  <c r="Y125" i="16"/>
  <c r="Z125" i="16" s="1"/>
  <c r="N125" i="16"/>
  <c r="Y126" i="16"/>
  <c r="Z126" i="16" s="1"/>
  <c r="N126" i="16"/>
  <c r="N127" i="16"/>
  <c r="Y127" i="16"/>
  <c r="Z127" i="16" s="1"/>
  <c r="Y456" i="16"/>
  <c r="Z456" i="16" s="1"/>
  <c r="N456" i="16"/>
  <c r="Y457" i="16"/>
  <c r="Z457" i="16" s="1"/>
  <c r="N457" i="16"/>
  <c r="Y458" i="16"/>
  <c r="Z458" i="16" s="1"/>
  <c r="N458" i="16"/>
  <c r="Y459" i="16"/>
  <c r="Z459" i="16" s="1"/>
  <c r="N459" i="16"/>
  <c r="N460" i="16"/>
  <c r="Y460" i="16"/>
  <c r="Z460" i="16" s="1"/>
  <c r="Y461" i="16"/>
  <c r="Z461" i="16" s="1"/>
  <c r="N461" i="16"/>
  <c r="Y462" i="16"/>
  <c r="Z462" i="16" s="1"/>
  <c r="N462" i="16"/>
  <c r="Y463" i="16"/>
  <c r="Z463" i="16" s="1"/>
  <c r="N463" i="16"/>
  <c r="Y464" i="16"/>
  <c r="Z464" i="16" s="1"/>
  <c r="N464" i="16"/>
  <c r="Y465" i="16"/>
  <c r="Z465" i="16" s="1"/>
  <c r="N465" i="16"/>
  <c r="Y466" i="16"/>
  <c r="Z466" i="16" s="1"/>
  <c r="N466" i="16"/>
  <c r="Y467" i="16"/>
  <c r="Z467" i="16" s="1"/>
  <c r="N467" i="16"/>
  <c r="Y140" i="16"/>
  <c r="Z140" i="16" s="1"/>
  <c r="N140" i="16"/>
  <c r="Y141" i="16"/>
  <c r="Z141" i="16" s="1"/>
  <c r="N141" i="16"/>
  <c r="Y142" i="16"/>
  <c r="Z142" i="16" s="1"/>
  <c r="N142" i="16"/>
  <c r="Y143" i="16"/>
  <c r="Z143" i="16" s="1"/>
  <c r="N143" i="16"/>
  <c r="N144" i="16"/>
  <c r="Y144" i="16"/>
  <c r="Z144" i="16" s="1"/>
  <c r="Y145" i="16"/>
  <c r="Z145" i="16" s="1"/>
  <c r="N145" i="16"/>
  <c r="Y146" i="16"/>
  <c r="Z146" i="16" s="1"/>
  <c r="N146" i="16"/>
  <c r="Y468" i="16"/>
  <c r="Z468" i="16" s="1"/>
  <c r="N468" i="16"/>
  <c r="Y469" i="16"/>
  <c r="Z469" i="16" s="1"/>
  <c r="N469" i="16"/>
  <c r="Y470" i="16"/>
  <c r="Z470" i="16" s="1"/>
  <c r="N470" i="16"/>
  <c r="Y150" i="16"/>
  <c r="Z150" i="16" s="1"/>
  <c r="N150" i="16"/>
  <c r="N151" i="16"/>
  <c r="Y151" i="16"/>
  <c r="Z151" i="16" s="1"/>
  <c r="Y152" i="16"/>
  <c r="Z152" i="16" s="1"/>
  <c r="N152" i="16"/>
  <c r="Y153" i="16"/>
  <c r="Z153" i="16" s="1"/>
  <c r="N153" i="16"/>
  <c r="Y154" i="16"/>
  <c r="Z154" i="16" s="1"/>
  <c r="N154" i="16"/>
  <c r="Y155" i="16"/>
  <c r="Z155" i="16" s="1"/>
  <c r="N155" i="16"/>
  <c r="Y156" i="16"/>
  <c r="Z156" i="16" s="1"/>
  <c r="N156" i="16"/>
  <c r="Y157" i="16"/>
  <c r="Z157" i="16" s="1"/>
  <c r="N157" i="16"/>
  <c r="Y158" i="16"/>
  <c r="Z158" i="16" s="1"/>
  <c r="N158" i="16"/>
  <c r="Y159" i="16"/>
  <c r="Z159" i="16" s="1"/>
  <c r="N159" i="16"/>
  <c r="Y160" i="16"/>
  <c r="Z160" i="16" s="1"/>
  <c r="N160" i="16"/>
  <c r="Y161" i="16"/>
  <c r="Z161" i="16" s="1"/>
  <c r="N161" i="16"/>
  <c r="Y162" i="16"/>
  <c r="Z162" i="16" s="1"/>
  <c r="N162" i="16"/>
  <c r="Y163" i="16"/>
  <c r="Z163" i="16" s="1"/>
  <c r="N163" i="16"/>
  <c r="Y164" i="16"/>
  <c r="Z164" i="16" s="1"/>
  <c r="N164" i="16"/>
  <c r="Y165" i="16"/>
  <c r="Z165" i="16" s="1"/>
  <c r="N165" i="16"/>
  <c r="Y166" i="16"/>
  <c r="Z166" i="16" s="1"/>
  <c r="N166" i="16"/>
  <c r="Y471" i="16"/>
  <c r="Z471" i="16" s="1"/>
  <c r="N471" i="16"/>
  <c r="Y472" i="16"/>
  <c r="Z472" i="16" s="1"/>
  <c r="N472" i="16"/>
  <c r="Y473" i="16"/>
  <c r="Z473" i="16" s="1"/>
  <c r="N473" i="16"/>
  <c r="Y474" i="16"/>
  <c r="Z474" i="16" s="1"/>
  <c r="N474" i="16"/>
  <c r="Y475" i="16"/>
  <c r="Z475" i="16" s="1"/>
  <c r="N475" i="16"/>
  <c r="Y476" i="16"/>
  <c r="Z476" i="16" s="1"/>
  <c r="N476" i="16"/>
  <c r="Y173" i="16"/>
  <c r="Z173" i="16" s="1"/>
  <c r="N173" i="16"/>
  <c r="Y174" i="16"/>
  <c r="Z174" i="16" s="1"/>
  <c r="N174" i="16"/>
  <c r="Y477" i="16"/>
  <c r="Z477" i="16" s="1"/>
  <c r="N477" i="16"/>
  <c r="N478" i="16"/>
  <c r="Y478" i="16"/>
  <c r="Z478" i="16" s="1"/>
  <c r="Y479" i="16"/>
  <c r="Z479" i="16" s="1"/>
  <c r="N479" i="16"/>
  <c r="Y480" i="16"/>
  <c r="Z480" i="16" s="1"/>
  <c r="N480" i="16"/>
  <c r="Y481" i="16"/>
  <c r="Z481" i="16" s="1"/>
  <c r="N481" i="16"/>
  <c r="Y482" i="16"/>
  <c r="Z482" i="16" s="1"/>
  <c r="N482" i="16"/>
  <c r="Y483" i="16"/>
  <c r="Z483" i="16" s="1"/>
  <c r="N483" i="16"/>
  <c r="Y484" i="16"/>
  <c r="Z484" i="16" s="1"/>
  <c r="N484" i="16"/>
  <c r="Y485" i="16"/>
  <c r="Z485" i="16" s="1"/>
  <c r="N485" i="16"/>
  <c r="Y486" i="16"/>
  <c r="Z486" i="16" s="1"/>
  <c r="N486" i="16"/>
  <c r="Y487" i="16"/>
  <c r="Z487" i="16" s="1"/>
  <c r="N487" i="16"/>
  <c r="N488" i="16"/>
  <c r="Y488" i="16"/>
  <c r="Z488" i="16" s="1"/>
  <c r="Y489" i="16"/>
  <c r="Z489" i="16" s="1"/>
  <c r="N489" i="16"/>
  <c r="Y490" i="16"/>
  <c r="Z490" i="16" s="1"/>
  <c r="N490" i="16"/>
  <c r="Y491" i="16"/>
  <c r="Z491" i="16" s="1"/>
  <c r="N491" i="16"/>
  <c r="Y492" i="16"/>
  <c r="Z492" i="16" s="1"/>
  <c r="N492" i="16"/>
  <c r="Y493" i="16"/>
  <c r="Z493" i="16" s="1"/>
  <c r="N493" i="16"/>
  <c r="Y192" i="16"/>
  <c r="Z192" i="16" s="1"/>
  <c r="N192" i="16"/>
  <c r="N494" i="16"/>
  <c r="Y494" i="16"/>
  <c r="Z494" i="16" s="1"/>
  <c r="Y495" i="16"/>
  <c r="Z495" i="16" s="1"/>
  <c r="N495" i="16"/>
  <c r="Y496" i="16"/>
  <c r="Z496" i="16" s="1"/>
  <c r="N496" i="16"/>
  <c r="Y13" i="16"/>
  <c r="Z13" i="16" s="1"/>
  <c r="N13" i="16"/>
  <c r="Y14" i="16"/>
  <c r="Z14" i="16" s="1"/>
  <c r="N14" i="16"/>
  <c r="Y15" i="16"/>
  <c r="Z15" i="16" s="1"/>
  <c r="N15" i="16"/>
  <c r="Y16" i="16"/>
  <c r="Z16" i="16" s="1"/>
  <c r="N16" i="16"/>
  <c r="Y17" i="16"/>
  <c r="Z17" i="16" s="1"/>
  <c r="N17" i="16"/>
  <c r="Y18" i="16"/>
  <c r="Z18" i="16" s="1"/>
  <c r="N18" i="16"/>
  <c r="Y19" i="16"/>
  <c r="Z19" i="16" s="1"/>
  <c r="N19" i="16"/>
  <c r="Y21" i="16"/>
  <c r="Z21" i="16" s="1"/>
  <c r="N21" i="16"/>
  <c r="Y29" i="16"/>
  <c r="Z29" i="16" s="1"/>
  <c r="N29" i="16"/>
  <c r="Y204" i="16"/>
  <c r="Z204" i="16" s="1"/>
  <c r="N204" i="16"/>
  <c r="Y205" i="16"/>
  <c r="Z205" i="16" s="1"/>
  <c r="N205" i="16"/>
  <c r="N206" i="16"/>
  <c r="Y206" i="16"/>
  <c r="Z206" i="16" s="1"/>
  <c r="Y207" i="16"/>
  <c r="Z207" i="16" s="1"/>
  <c r="N207" i="16"/>
  <c r="Y208" i="16"/>
  <c r="Z208" i="16" s="1"/>
  <c r="N208" i="16"/>
  <c r="Y30" i="16"/>
  <c r="Z30" i="16" s="1"/>
  <c r="N30" i="16"/>
  <c r="Y31" i="16"/>
  <c r="Z31" i="16" s="1"/>
  <c r="N31" i="16"/>
  <c r="Y32" i="16"/>
  <c r="Z32" i="16" s="1"/>
  <c r="N32" i="16"/>
  <c r="Y33" i="16"/>
  <c r="Z33" i="16" s="1"/>
  <c r="N33" i="16"/>
  <c r="Y34" i="16"/>
  <c r="Z34" i="16" s="1"/>
  <c r="N34" i="16"/>
  <c r="Y213" i="16"/>
  <c r="Z213" i="16" s="1"/>
  <c r="N213" i="16"/>
  <c r="Y214" i="16"/>
  <c r="Z214" i="16" s="1"/>
  <c r="N214" i="16"/>
  <c r="Y35" i="16"/>
  <c r="Z35" i="16" s="1"/>
  <c r="N35" i="16"/>
  <c r="Y41" i="16"/>
  <c r="Z41" i="16" s="1"/>
  <c r="N41" i="16"/>
  <c r="Y218" i="16"/>
  <c r="Z218" i="16" s="1"/>
  <c r="N218" i="16"/>
  <c r="Y219" i="16"/>
  <c r="Z219" i="16" s="1"/>
  <c r="N219" i="16"/>
  <c r="Y220" i="16"/>
  <c r="Z220" i="16" s="1"/>
  <c r="N220" i="16"/>
  <c r="Y221" i="16"/>
  <c r="Z221" i="16" s="1"/>
  <c r="N221" i="16"/>
  <c r="Y222" i="16"/>
  <c r="Z222" i="16" s="1"/>
  <c r="N222" i="16"/>
  <c r="Y223" i="16"/>
  <c r="Z223" i="16" s="1"/>
  <c r="N223" i="16"/>
  <c r="Y44" i="16"/>
  <c r="Z44" i="16" s="1"/>
  <c r="N44" i="16"/>
  <c r="Y225" i="16"/>
  <c r="Z225" i="16" s="1"/>
  <c r="N225" i="16"/>
  <c r="Y226" i="16"/>
  <c r="Z226" i="16" s="1"/>
  <c r="N226" i="16"/>
  <c r="Y45" i="16"/>
  <c r="Z45" i="16" s="1"/>
  <c r="N45" i="16"/>
  <c r="Y229" i="16"/>
  <c r="Z229" i="16" s="1"/>
  <c r="N229" i="16"/>
  <c r="Y46" i="16"/>
  <c r="Z46" i="16" s="1"/>
  <c r="N46" i="16"/>
  <c r="Y231" i="16"/>
  <c r="Z231" i="16" s="1"/>
  <c r="N231" i="16"/>
  <c r="Y47" i="16"/>
  <c r="Z47" i="16" s="1"/>
  <c r="N47" i="16"/>
  <c r="Y232" i="16"/>
  <c r="Z232" i="16" s="1"/>
  <c r="N232" i="16"/>
  <c r="Y54" i="16"/>
  <c r="Z54" i="16" s="1"/>
  <c r="N54" i="16"/>
  <c r="Y233" i="16"/>
  <c r="Z233" i="16" s="1"/>
  <c r="N233" i="16"/>
  <c r="Y55" i="16"/>
  <c r="Z55" i="16" s="1"/>
  <c r="N55" i="16"/>
  <c r="Y56" i="16"/>
  <c r="Z56" i="16" s="1"/>
  <c r="N56" i="16"/>
  <c r="Y57" i="16"/>
  <c r="Z57" i="16" s="1"/>
  <c r="N57" i="16"/>
  <c r="Y237" i="16"/>
  <c r="Z237" i="16" s="1"/>
  <c r="N237" i="16"/>
  <c r="Y239" i="16"/>
  <c r="Z239" i="16" s="1"/>
  <c r="N239" i="16"/>
  <c r="Y240" i="16"/>
  <c r="Z240" i="16" s="1"/>
  <c r="N240" i="16"/>
  <c r="Y241" i="16"/>
  <c r="Z241" i="16" s="1"/>
  <c r="N241" i="16"/>
  <c r="Y58" i="16"/>
  <c r="Z58" i="16" s="1"/>
  <c r="N58" i="16"/>
  <c r="Y66" i="16"/>
  <c r="Z66" i="16" s="1"/>
  <c r="N66" i="16"/>
  <c r="Y243" i="16"/>
  <c r="Z243" i="16" s="1"/>
  <c r="N243" i="16"/>
  <c r="Y244" i="16"/>
  <c r="Z244" i="16" s="1"/>
  <c r="N244" i="16"/>
  <c r="Y245" i="16"/>
  <c r="Z245" i="16" s="1"/>
  <c r="N245" i="16"/>
  <c r="Y68" i="16"/>
  <c r="Z68" i="16" s="1"/>
  <c r="N68" i="16"/>
  <c r="Y69" i="16"/>
  <c r="Z69" i="16" s="1"/>
  <c r="N69" i="16"/>
  <c r="Y70" i="16"/>
  <c r="Z70" i="16" s="1"/>
  <c r="N70" i="16"/>
  <c r="Y249" i="16"/>
  <c r="Z249" i="16" s="1"/>
  <c r="N249" i="16"/>
  <c r="Y250" i="16"/>
  <c r="Z250" i="16" s="1"/>
  <c r="N250" i="16"/>
  <c r="Y251" i="16"/>
  <c r="Z251" i="16" s="1"/>
  <c r="N251" i="16"/>
  <c r="Y71" i="16"/>
  <c r="Z71" i="16" s="1"/>
  <c r="N71" i="16"/>
  <c r="Y72" i="16"/>
  <c r="Z72" i="16" s="1"/>
  <c r="N72" i="16"/>
  <c r="Y73" i="16"/>
  <c r="Z73" i="16" s="1"/>
  <c r="N73" i="16"/>
  <c r="Y74" i="16"/>
  <c r="Z74" i="16" s="1"/>
  <c r="N74" i="16"/>
  <c r="Y75" i="16"/>
  <c r="Z75" i="16" s="1"/>
  <c r="N75" i="16"/>
  <c r="N86" i="16"/>
  <c r="Y86" i="16"/>
  <c r="Z86" i="16" s="1"/>
  <c r="Y87" i="16"/>
  <c r="Z87" i="16" s="1"/>
  <c r="N87" i="16"/>
  <c r="Y88" i="16"/>
  <c r="Z88" i="16" s="1"/>
  <c r="N88" i="16"/>
  <c r="Y260" i="16"/>
  <c r="Z260" i="16" s="1"/>
  <c r="N260" i="16"/>
  <c r="Y261" i="16"/>
  <c r="Z261" i="16" s="1"/>
  <c r="N261" i="16"/>
  <c r="Y262" i="16"/>
  <c r="Z262" i="16" s="1"/>
  <c r="N262" i="16"/>
  <c r="Y89" i="16"/>
  <c r="Z89" i="16" s="1"/>
  <c r="N89" i="16"/>
  <c r="Y264" i="16"/>
  <c r="Z264" i="16" s="1"/>
  <c r="N264" i="16"/>
  <c r="Y265" i="16"/>
  <c r="Z265" i="16" s="1"/>
  <c r="N265" i="16"/>
  <c r="N90" i="16"/>
  <c r="Y90" i="16"/>
  <c r="Z90" i="16" s="1"/>
  <c r="Y267" i="16"/>
  <c r="Z267" i="16" s="1"/>
  <c r="N267" i="16"/>
  <c r="Y91" i="16"/>
  <c r="Z91" i="16" s="1"/>
  <c r="N91" i="16"/>
  <c r="Y92" i="16"/>
  <c r="Z92" i="16" s="1"/>
  <c r="N92" i="16"/>
  <c r="Y93" i="16"/>
  <c r="Z93" i="16" s="1"/>
  <c r="N93" i="16"/>
  <c r="Y271" i="16"/>
  <c r="Z271" i="16" s="1"/>
  <c r="N271" i="16"/>
  <c r="Y273" i="16"/>
  <c r="Z273" i="16" s="1"/>
  <c r="N273" i="16"/>
  <c r="Y94" i="16"/>
  <c r="Z94" i="16" s="1"/>
  <c r="N94" i="16"/>
  <c r="N95" i="16"/>
  <c r="Y95" i="16"/>
  <c r="Z95" i="16" s="1"/>
  <c r="Y96" i="16"/>
  <c r="Z96" i="16" s="1"/>
  <c r="N96" i="16"/>
  <c r="Y104" i="16"/>
  <c r="Z104" i="16" s="1"/>
  <c r="N104" i="16"/>
  <c r="Y278" i="16"/>
  <c r="Z278" i="16" s="1"/>
  <c r="N278" i="16"/>
  <c r="Y279" i="16"/>
  <c r="Z279" i="16" s="1"/>
  <c r="N279" i="16"/>
  <c r="Y280" i="16"/>
  <c r="Z280" i="16" s="1"/>
  <c r="N280" i="16"/>
  <c r="Y281" i="16"/>
  <c r="Z281" i="16" s="1"/>
  <c r="N281" i="16"/>
  <c r="Y282" i="16"/>
  <c r="Z282" i="16" s="1"/>
  <c r="N282" i="16"/>
  <c r="Y106" i="16"/>
  <c r="Z106" i="16" s="1"/>
  <c r="N106" i="16"/>
  <c r="Y107" i="16"/>
  <c r="Z107" i="16" s="1"/>
  <c r="N107" i="16"/>
  <c r="Y108" i="16"/>
  <c r="Z108" i="16" s="1"/>
  <c r="N108" i="16"/>
  <c r="Y109" i="16"/>
  <c r="Z109" i="16" s="1"/>
  <c r="N109" i="16"/>
  <c r="N110" i="16"/>
  <c r="Y110" i="16"/>
  <c r="Z110" i="16" s="1"/>
  <c r="Y287" i="16"/>
  <c r="Z287" i="16" s="1"/>
  <c r="N287" i="16"/>
  <c r="Y111" i="16"/>
  <c r="Z111" i="16" s="1"/>
  <c r="N111" i="16"/>
  <c r="N112" i="16"/>
  <c r="Y112" i="16"/>
  <c r="Z112" i="16" s="1"/>
  <c r="Y113" i="16"/>
  <c r="Z113" i="16" s="1"/>
  <c r="N113" i="16"/>
  <c r="Y114" i="16"/>
  <c r="Z114" i="16" s="1"/>
  <c r="N114" i="16"/>
  <c r="Y291" i="16"/>
  <c r="Z291" i="16" s="1"/>
  <c r="N291" i="16"/>
  <c r="Y292" i="16"/>
  <c r="Z292" i="16" s="1"/>
  <c r="N292" i="16"/>
  <c r="Y293" i="16"/>
  <c r="Z293" i="16" s="1"/>
  <c r="N293" i="16"/>
  <c r="Y295" i="16"/>
  <c r="Z295" i="16" s="1"/>
  <c r="N295" i="16"/>
  <c r="Y115" i="16"/>
  <c r="Z115" i="16" s="1"/>
  <c r="N115" i="16"/>
  <c r="Y116" i="16"/>
  <c r="Z116" i="16" s="1"/>
  <c r="N116" i="16"/>
  <c r="Y117" i="16"/>
  <c r="Z117" i="16" s="1"/>
  <c r="N117" i="16"/>
  <c r="Y298" i="16"/>
  <c r="Z298" i="16" s="1"/>
  <c r="N298" i="16"/>
  <c r="Y299" i="16"/>
  <c r="Z299" i="16" s="1"/>
  <c r="N299" i="16"/>
  <c r="Y300" i="16"/>
  <c r="Z300" i="16" s="1"/>
  <c r="N300" i="16"/>
  <c r="Y301" i="16"/>
  <c r="Z301" i="16" s="1"/>
  <c r="N301" i="16"/>
  <c r="Y302" i="16"/>
  <c r="Z302" i="16" s="1"/>
  <c r="N302" i="16"/>
  <c r="Y118" i="16"/>
  <c r="Z118" i="16" s="1"/>
  <c r="N118" i="16"/>
  <c r="Y128" i="16"/>
  <c r="Z128" i="16" s="1"/>
  <c r="N128" i="16"/>
  <c r="Y305" i="16"/>
  <c r="Z305" i="16" s="1"/>
  <c r="N305" i="16"/>
  <c r="Y129" i="16"/>
  <c r="Z129" i="16" s="1"/>
  <c r="N129" i="16"/>
  <c r="Y130" i="16"/>
  <c r="Z130" i="16" s="1"/>
  <c r="N130" i="16"/>
  <c r="Y131" i="16"/>
  <c r="Z131" i="16" s="1"/>
  <c r="N131" i="16"/>
  <c r="Y308" i="16"/>
  <c r="Z308" i="16" s="1"/>
  <c r="N308" i="16"/>
  <c r="Y132" i="16"/>
  <c r="Z132" i="16" s="1"/>
  <c r="N132" i="16"/>
  <c r="Y133" i="16"/>
  <c r="Z133" i="16" s="1"/>
  <c r="N133" i="16"/>
  <c r="N134" i="16"/>
  <c r="Y134" i="16"/>
  <c r="Z134" i="16" s="1"/>
  <c r="Y135" i="16"/>
  <c r="Z135" i="16" s="1"/>
  <c r="N135" i="16"/>
  <c r="N136" i="16"/>
  <c r="Y136" i="16"/>
  <c r="Z136" i="16" s="1"/>
  <c r="Y314" i="16"/>
  <c r="Z314" i="16" s="1"/>
  <c r="N314" i="16"/>
  <c r="Y137" i="16"/>
  <c r="Z137" i="16" s="1"/>
  <c r="N137" i="16"/>
  <c r="Y138" i="16"/>
  <c r="Z138" i="16" s="1"/>
  <c r="N138" i="16"/>
  <c r="Y317" i="16"/>
  <c r="Z317" i="16" s="1"/>
  <c r="N317" i="16"/>
  <c r="Y319" i="16"/>
  <c r="Z319" i="16" s="1"/>
  <c r="N319" i="16"/>
  <c r="Y139" i="16"/>
  <c r="Z139" i="16" s="1"/>
  <c r="N139" i="16"/>
  <c r="Y320" i="16"/>
  <c r="Z320" i="16" s="1"/>
  <c r="N320" i="16"/>
  <c r="Y147" i="16"/>
  <c r="Z147" i="16" s="1"/>
  <c r="N147" i="16"/>
  <c r="Y148" i="16"/>
  <c r="Z148" i="16" s="1"/>
  <c r="N148" i="16"/>
  <c r="Y322" i="16"/>
  <c r="Z322" i="16" s="1"/>
  <c r="N322" i="16"/>
  <c r="Y149" i="16"/>
  <c r="Z149" i="16" s="1"/>
  <c r="N149" i="16"/>
  <c r="Y324" i="16"/>
  <c r="Z324" i="16" s="1"/>
  <c r="N324" i="16"/>
  <c r="Y326" i="16"/>
  <c r="Z326" i="16" s="1"/>
  <c r="N326" i="16"/>
  <c r="Y167" i="16"/>
  <c r="Z167" i="16" s="1"/>
  <c r="N167" i="16"/>
  <c r="Y168" i="16"/>
  <c r="Z168" i="16" s="1"/>
  <c r="N168" i="16"/>
  <c r="Y169" i="16"/>
  <c r="Z169" i="16" s="1"/>
  <c r="N169" i="16"/>
  <c r="Y329" i="16"/>
  <c r="Z329" i="16" s="1"/>
  <c r="N329" i="16"/>
  <c r="Y170" i="16"/>
  <c r="Z170" i="16" s="1"/>
  <c r="N170" i="16"/>
  <c r="Y330" i="16"/>
  <c r="Z330" i="16" s="1"/>
  <c r="N330" i="16"/>
  <c r="Y396" i="16"/>
  <c r="Z396" i="16" s="1"/>
  <c r="N396" i="16"/>
  <c r="Y332" i="16"/>
  <c r="Z332" i="16" s="1"/>
  <c r="N332" i="16"/>
  <c r="Y333" i="16"/>
  <c r="Z333" i="16" s="1"/>
  <c r="N333" i="16"/>
  <c r="Y334" i="16"/>
  <c r="Z334" i="16" s="1"/>
  <c r="N334" i="16"/>
  <c r="Y335" i="16"/>
  <c r="Z335" i="16" s="1"/>
  <c r="N335" i="16"/>
  <c r="AG503" i="16"/>
  <c r="K503" i="16"/>
  <c r="M503" i="16"/>
  <c r="Q150" i="16"/>
  <c r="Q59" i="16"/>
  <c r="Q60" i="16"/>
  <c r="Q61" i="16"/>
  <c r="Q62" i="16"/>
  <c r="Q63" i="16"/>
  <c r="Q64" i="16"/>
  <c r="Q65" i="16"/>
  <c r="Q66" i="16"/>
  <c r="Q151" i="16"/>
  <c r="Q119" i="16"/>
  <c r="Q120" i="16"/>
  <c r="Q121" i="16"/>
  <c r="Q122" i="16"/>
  <c r="Q123" i="16"/>
  <c r="Q124" i="16"/>
  <c r="Q125" i="16"/>
  <c r="Q126" i="16"/>
  <c r="Q76" i="16"/>
  <c r="Q18" i="16"/>
  <c r="Q19" i="16"/>
  <c r="Q20" i="16"/>
  <c r="Q22" i="16"/>
  <c r="Q23" i="16"/>
  <c r="Q24" i="16"/>
  <c r="Q25" i="16"/>
  <c r="Q26" i="16"/>
  <c r="Q27" i="16"/>
  <c r="Q28" i="16"/>
  <c r="Q29" i="16"/>
  <c r="Q36" i="16"/>
  <c r="Q37" i="16"/>
  <c r="Q38" i="16"/>
  <c r="Q39" i="16"/>
  <c r="Q40" i="16"/>
  <c r="Q42" i="16"/>
  <c r="Q43" i="16"/>
  <c r="Q48" i="16"/>
  <c r="Q49" i="16"/>
  <c r="Q50" i="16"/>
  <c r="Q51" i="16"/>
  <c r="Q52" i="16"/>
  <c r="Q53" i="16"/>
  <c r="Q54" i="16"/>
  <c r="Q326" i="16"/>
  <c r="Q498" i="16"/>
  <c r="Q499" i="16"/>
  <c r="Q500" i="16"/>
  <c r="Q501" i="16"/>
  <c r="Q502" i="16"/>
  <c r="Q21" i="16"/>
  <c r="Q30" i="16"/>
  <c r="Q31" i="16"/>
  <c r="Q32" i="16"/>
  <c r="Q33" i="16"/>
  <c r="Q34" i="16"/>
  <c r="Q35" i="16"/>
  <c r="Q41" i="16"/>
  <c r="Q44" i="16"/>
  <c r="Q45" i="16"/>
  <c r="Q46" i="16"/>
  <c r="Q47" i="16"/>
  <c r="Q55" i="16"/>
  <c r="Q56" i="16"/>
  <c r="Q57" i="16"/>
  <c r="Q58" i="16"/>
  <c r="Q67" i="16"/>
  <c r="Q68" i="16"/>
  <c r="Q69" i="16"/>
  <c r="Q70" i="16"/>
  <c r="Q71" i="16"/>
  <c r="Q72" i="16"/>
  <c r="Q73" i="16"/>
  <c r="Q74" i="16"/>
  <c r="Q75" i="16"/>
  <c r="Q86" i="16"/>
  <c r="Q87" i="16"/>
  <c r="Q88" i="16"/>
  <c r="Q89" i="16"/>
  <c r="Q90" i="16"/>
  <c r="Q91" i="16"/>
  <c r="Q92" i="16"/>
  <c r="Q93" i="16"/>
  <c r="Q94" i="16"/>
  <c r="Q95" i="16"/>
  <c r="Q96" i="16"/>
  <c r="Q104" i="16"/>
  <c r="Q106" i="16"/>
  <c r="Q107" i="16"/>
  <c r="Q108" i="16"/>
  <c r="Q109" i="16"/>
  <c r="Q110" i="16"/>
  <c r="Q111" i="16"/>
  <c r="Q112" i="16"/>
  <c r="Q113" i="16"/>
  <c r="Q114" i="16"/>
  <c r="Q115" i="16"/>
  <c r="Q116" i="16"/>
  <c r="Q117" i="16"/>
  <c r="Q118" i="16"/>
  <c r="Q128" i="16"/>
  <c r="Q129" i="16"/>
  <c r="Q130" i="16"/>
  <c r="Q131" i="16"/>
  <c r="Q132" i="16"/>
  <c r="Q133" i="16"/>
  <c r="Q134" i="16"/>
  <c r="Q135" i="16"/>
  <c r="Q136" i="16"/>
  <c r="Q137" i="16"/>
  <c r="Q138" i="16"/>
  <c r="Q139" i="16"/>
  <c r="Q317" i="16"/>
  <c r="Q322" i="16"/>
  <c r="Q323" i="16"/>
  <c r="Q328" i="16"/>
  <c r="Q329" i="16"/>
  <c r="Q172" i="16"/>
  <c r="Q175" i="16"/>
  <c r="Q176" i="16"/>
  <c r="Q177" i="16"/>
  <c r="Q178" i="16"/>
  <c r="Q179" i="16"/>
  <c r="Q180" i="16"/>
  <c r="Q181" i="16"/>
  <c r="Q182" i="16"/>
  <c r="Q183" i="16"/>
  <c r="Q184" i="16"/>
  <c r="Q185" i="16"/>
  <c r="Q186" i="16"/>
  <c r="Q187" i="16"/>
  <c r="Q188" i="16"/>
  <c r="Q189" i="16"/>
  <c r="Q190" i="16"/>
  <c r="Q191" i="16"/>
  <c r="Q215" i="16"/>
  <c r="Q227" i="16"/>
  <c r="Q171" i="16"/>
  <c r="Q77" i="16"/>
  <c r="Q78" i="16"/>
  <c r="Q79" i="16"/>
  <c r="Q80" i="16"/>
  <c r="Q81" i="16"/>
  <c r="Q82" i="16"/>
  <c r="Q83" i="16"/>
  <c r="Q84" i="16"/>
  <c r="Q85" i="16"/>
  <c r="Q97" i="16"/>
  <c r="Q98" i="16"/>
  <c r="Q99" i="16"/>
  <c r="Q100" i="16"/>
  <c r="Q101" i="16"/>
  <c r="Q102" i="16"/>
  <c r="Q103" i="16"/>
  <c r="Q105" i="16"/>
  <c r="Q127" i="16"/>
  <c r="Q140" i="16"/>
  <c r="Q141" i="16"/>
  <c r="Q142" i="16"/>
  <c r="Q143" i="16"/>
  <c r="Q144" i="16"/>
  <c r="Q145" i="16"/>
  <c r="Q146" i="16"/>
  <c r="Q152" i="16"/>
  <c r="Q153" i="16"/>
  <c r="Q154" i="16"/>
  <c r="Q155" i="16"/>
  <c r="Q156" i="16"/>
  <c r="Q157" i="16"/>
  <c r="Q158" i="16"/>
  <c r="Q159" i="16"/>
  <c r="Q160" i="16"/>
  <c r="Q161" i="16"/>
  <c r="Q162" i="16"/>
  <c r="Q163" i="16"/>
  <c r="Q164" i="16"/>
  <c r="Q165" i="16"/>
  <c r="Q166" i="16"/>
  <c r="Q173" i="16"/>
  <c r="Q174" i="16"/>
  <c r="Q192" i="16"/>
  <c r="Q204" i="16"/>
  <c r="Q205" i="16"/>
  <c r="Q206" i="16"/>
  <c r="Q207" i="16"/>
  <c r="Q208" i="16"/>
  <c r="Q213" i="16"/>
  <c r="Q214" i="16"/>
  <c r="Q218" i="16"/>
  <c r="Q219" i="16"/>
  <c r="Q220" i="16"/>
  <c r="Q221" i="16"/>
  <c r="Q222" i="16"/>
  <c r="Q223" i="16"/>
  <c r="Q225" i="16"/>
  <c r="Q226" i="16"/>
  <c r="Q229" i="16"/>
  <c r="Q231" i="16"/>
  <c r="Q232" i="16"/>
  <c r="Q233" i="16"/>
  <c r="Q237" i="16"/>
  <c r="Q239" i="16"/>
  <c r="Q240" i="16"/>
  <c r="Q241" i="16"/>
  <c r="Q243" i="16"/>
  <c r="Q244" i="16"/>
  <c r="Q245" i="16"/>
  <c r="Q249" i="16"/>
  <c r="Q250" i="16"/>
  <c r="Q251" i="16"/>
  <c r="Q260" i="16"/>
  <c r="Q261" i="16"/>
  <c r="Q262" i="16"/>
  <c r="Q264" i="16"/>
  <c r="Q265" i="16"/>
  <c r="Q267" i="16"/>
  <c r="Q271" i="16"/>
  <c r="Q273" i="16"/>
  <c r="Q278" i="16"/>
  <c r="Q279" i="16"/>
  <c r="Q280" i="16"/>
  <c r="Q281" i="16"/>
  <c r="Q282" i="16"/>
  <c r="Q287" i="16"/>
  <c r="Q291" i="16"/>
  <c r="Q292" i="16"/>
  <c r="Q293" i="16"/>
  <c r="Q295" i="16"/>
  <c r="Q298" i="16"/>
  <c r="Q299" i="16"/>
  <c r="Q300" i="16"/>
  <c r="Q301" i="16"/>
  <c r="Q302" i="16"/>
  <c r="Q305" i="16"/>
  <c r="Q308" i="16"/>
  <c r="Q314" i="16"/>
  <c r="Q319" i="16"/>
  <c r="Q320" i="16"/>
  <c r="Q147" i="16"/>
  <c r="Q148" i="16"/>
  <c r="Q149" i="16"/>
  <c r="Q324" i="16"/>
  <c r="Q167" i="16"/>
  <c r="Q168" i="16"/>
  <c r="Q169" i="16"/>
  <c r="Q170" i="16"/>
  <c r="Q330" i="16"/>
  <c r="Q332" i="16"/>
  <c r="Q333" i="16"/>
  <c r="Q334" i="16"/>
  <c r="Q335" i="16"/>
  <c r="O395" i="16"/>
  <c r="O335" i="16"/>
  <c r="AC335" i="16" s="1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456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331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12" i="16"/>
  <c r="O13" i="16"/>
  <c r="O14" i="16"/>
  <c r="O15" i="16"/>
  <c r="O16" i="16"/>
  <c r="O17" i="16"/>
  <c r="O18" i="16"/>
  <c r="AC18" i="16" s="1"/>
  <c r="O19" i="16"/>
  <c r="AC19" i="16" s="1"/>
  <c r="O20" i="16"/>
  <c r="AC20" i="16" s="1"/>
  <c r="O22" i="16"/>
  <c r="AC22" i="16" s="1"/>
  <c r="O23" i="16"/>
  <c r="AC23" i="16" s="1"/>
  <c r="O24" i="16"/>
  <c r="AC24" i="16" s="1"/>
  <c r="O25" i="16"/>
  <c r="AC25" i="16" s="1"/>
  <c r="O26" i="16"/>
  <c r="AC26" i="16" s="1"/>
  <c r="O27" i="16"/>
  <c r="AC27" i="16" s="1"/>
  <c r="O28" i="16"/>
  <c r="AC28" i="16" s="1"/>
  <c r="O36" i="16"/>
  <c r="AC36" i="16" s="1"/>
  <c r="O37" i="16"/>
  <c r="AC37" i="16" s="1"/>
  <c r="O38" i="16"/>
  <c r="AC38" i="16" s="1"/>
  <c r="O39" i="16"/>
  <c r="AC39" i="16" s="1"/>
  <c r="O40" i="16"/>
  <c r="AC40" i="16" s="1"/>
  <c r="O42" i="16"/>
  <c r="AC42" i="16" s="1"/>
  <c r="O43" i="16"/>
  <c r="AC43" i="16" s="1"/>
  <c r="O48" i="16"/>
  <c r="AC48" i="16" s="1"/>
  <c r="O49" i="16"/>
  <c r="AC49" i="16" s="1"/>
  <c r="O50" i="16"/>
  <c r="AC50" i="16" s="1"/>
  <c r="O51" i="16"/>
  <c r="AC51" i="16" s="1"/>
  <c r="O52" i="16"/>
  <c r="AC52" i="16" s="1"/>
  <c r="O53" i="16"/>
  <c r="AC53" i="16" s="1"/>
  <c r="O59" i="16"/>
  <c r="AC59" i="16" s="1"/>
  <c r="O60" i="16"/>
  <c r="AC60" i="16" s="1"/>
  <c r="O61" i="16"/>
  <c r="AC61" i="16" s="1"/>
  <c r="O62" i="16"/>
  <c r="AC62" i="16" s="1"/>
  <c r="O63" i="16"/>
  <c r="AC63" i="16" s="1"/>
  <c r="O64" i="16"/>
  <c r="AC64" i="16" s="1"/>
  <c r="O65" i="16"/>
  <c r="AC65" i="16" s="1"/>
  <c r="O67" i="16"/>
  <c r="AC67" i="16" s="1"/>
  <c r="O76" i="16"/>
  <c r="AC76" i="16" s="1"/>
  <c r="O77" i="16"/>
  <c r="AC77" i="16" s="1"/>
  <c r="O79" i="16"/>
  <c r="AC79" i="16" s="1"/>
  <c r="O80" i="16"/>
  <c r="AC80" i="16" s="1"/>
  <c r="O81" i="16"/>
  <c r="AC81" i="16" s="1"/>
  <c r="O82" i="16"/>
  <c r="AC82" i="16" s="1"/>
  <c r="O83" i="16"/>
  <c r="AC83" i="16" s="1"/>
  <c r="O84" i="16"/>
  <c r="AC84" i="16" s="1"/>
  <c r="O85" i="16"/>
  <c r="AC85" i="16" s="1"/>
  <c r="O96" i="16"/>
  <c r="AC96" i="16" s="1"/>
  <c r="O97" i="16"/>
  <c r="AC97" i="16" s="1"/>
  <c r="O98" i="16"/>
  <c r="AC98" i="16" s="1"/>
  <c r="O99" i="16"/>
  <c r="AC99" i="16" s="1"/>
  <c r="O100" i="16"/>
  <c r="AC100" i="16" s="1"/>
  <c r="O101" i="16"/>
  <c r="AC101" i="16" s="1"/>
  <c r="O102" i="16"/>
  <c r="AC102" i="16" s="1"/>
  <c r="O103" i="16"/>
  <c r="AC103" i="16" s="1"/>
  <c r="O105" i="16"/>
  <c r="AC105" i="16" s="1"/>
  <c r="O119" i="16"/>
  <c r="AC119" i="16" s="1"/>
  <c r="O120" i="16"/>
  <c r="AC120" i="16" s="1"/>
  <c r="O121" i="16"/>
  <c r="AC121" i="16" s="1"/>
  <c r="O122" i="16"/>
  <c r="AC122" i="16" s="1"/>
  <c r="O123" i="16"/>
  <c r="AC123" i="16" s="1"/>
  <c r="O124" i="16"/>
  <c r="AC124" i="16" s="1"/>
  <c r="O125" i="16"/>
  <c r="AC125" i="16" s="1"/>
  <c r="O126" i="16"/>
  <c r="AC126" i="16" s="1"/>
  <c r="O127" i="16"/>
  <c r="AC127" i="16" s="1"/>
  <c r="O138" i="16"/>
  <c r="AC138" i="16" s="1"/>
  <c r="O139" i="16"/>
  <c r="AC139" i="16" s="1"/>
  <c r="O140" i="16"/>
  <c r="AC140" i="16" s="1"/>
  <c r="O141" i="16"/>
  <c r="AC141" i="16" s="1"/>
  <c r="O142" i="16"/>
  <c r="AC142" i="16" s="1"/>
  <c r="O143" i="16"/>
  <c r="AC143" i="16" s="1"/>
  <c r="O144" i="16"/>
  <c r="AC144" i="16" s="1"/>
  <c r="O145" i="16"/>
  <c r="AC145" i="16" s="1"/>
  <c r="O146" i="16"/>
  <c r="AC146" i="16" s="1"/>
  <c r="O149" i="16"/>
  <c r="AC149" i="16" s="1"/>
  <c r="O150" i="16"/>
  <c r="AC150" i="16" s="1"/>
  <c r="O151" i="16"/>
  <c r="AC151" i="16" s="1"/>
  <c r="O152" i="16"/>
  <c r="AC152" i="16" s="1"/>
  <c r="O153" i="16"/>
  <c r="AC153" i="16" s="1"/>
  <c r="O154" i="16"/>
  <c r="AC154" i="16" s="1"/>
  <c r="O155" i="16"/>
  <c r="AC155" i="16" s="1"/>
  <c r="O156" i="16"/>
  <c r="AC156" i="16" s="1"/>
  <c r="O157" i="16"/>
  <c r="AC157" i="16" s="1"/>
  <c r="O158" i="16"/>
  <c r="AC158" i="16" s="1"/>
  <c r="O159" i="16"/>
  <c r="AC159" i="16" s="1"/>
  <c r="O160" i="16"/>
  <c r="AC160" i="16" s="1"/>
  <c r="O161" i="16"/>
  <c r="AC161" i="16" s="1"/>
  <c r="O162" i="16"/>
  <c r="AC162" i="16" s="1"/>
  <c r="O163" i="16"/>
  <c r="AC163" i="16" s="1"/>
  <c r="O164" i="16"/>
  <c r="AC164" i="16" s="1"/>
  <c r="O165" i="16"/>
  <c r="AC165" i="16" s="1"/>
  <c r="O173" i="16"/>
  <c r="AC173" i="16" s="1"/>
  <c r="O174" i="16"/>
  <c r="AC174" i="16" s="1"/>
  <c r="O192" i="16"/>
  <c r="AC192" i="16" s="1"/>
  <c r="O204" i="16"/>
  <c r="AC204" i="16" s="1"/>
  <c r="O205" i="16"/>
  <c r="AC205" i="16" s="1"/>
  <c r="O206" i="16"/>
  <c r="AC206" i="16" s="1"/>
  <c r="O207" i="16"/>
  <c r="AC207" i="16" s="1"/>
  <c r="O208" i="16"/>
  <c r="AC208" i="16" s="1"/>
  <c r="O213" i="16"/>
  <c r="AC213" i="16" s="1"/>
  <c r="O214" i="16"/>
  <c r="AC214" i="16" s="1"/>
  <c r="O218" i="16"/>
  <c r="AC218" i="16" s="1"/>
  <c r="O219" i="16"/>
  <c r="AC219" i="16" s="1"/>
  <c r="O220" i="16"/>
  <c r="AC220" i="16" s="1"/>
  <c r="O221" i="16"/>
  <c r="AC221" i="16" s="1"/>
  <c r="O222" i="16"/>
  <c r="AC222" i="16" s="1"/>
  <c r="O225" i="16"/>
  <c r="AC225" i="16" s="1"/>
  <c r="O226" i="16"/>
  <c r="AC226" i="16" s="1"/>
  <c r="O229" i="16"/>
  <c r="AC229" i="16" s="1"/>
  <c r="O232" i="16"/>
  <c r="AC232" i="16" s="1"/>
  <c r="O237" i="16"/>
  <c r="AC237" i="16" s="1"/>
  <c r="O239" i="16"/>
  <c r="AC239" i="16" s="1"/>
  <c r="O240" i="16"/>
  <c r="AC240" i="16" s="1"/>
  <c r="O241" i="16"/>
  <c r="AC241" i="16" s="1"/>
  <c r="O243" i="16"/>
  <c r="AC243" i="16" s="1"/>
  <c r="O248" i="16"/>
  <c r="O249" i="16"/>
  <c r="AC249" i="16" s="1"/>
  <c r="O250" i="16"/>
  <c r="AC250" i="16" s="1"/>
  <c r="O251" i="16"/>
  <c r="AC251" i="16" s="1"/>
  <c r="O259" i="16"/>
  <c r="O260" i="16"/>
  <c r="AC260" i="16" s="1"/>
  <c r="O261" i="16"/>
  <c r="AC261" i="16" s="1"/>
  <c r="O264" i="16"/>
  <c r="AC264" i="16" s="1"/>
  <c r="O265" i="16"/>
  <c r="AC265" i="16" s="1"/>
  <c r="O267" i="16"/>
  <c r="AC267" i="16" s="1"/>
  <c r="O271" i="16"/>
  <c r="AC271" i="16" s="1"/>
  <c r="O272" i="16"/>
  <c r="O273" i="16"/>
  <c r="AC273" i="16" s="1"/>
  <c r="O277" i="16"/>
  <c r="O278" i="16"/>
  <c r="AC278" i="16" s="1"/>
  <c r="O279" i="16"/>
  <c r="AC279" i="16" s="1"/>
  <c r="O280" i="16"/>
  <c r="AC280" i="16" s="1"/>
  <c r="O281" i="16"/>
  <c r="AC281" i="16" s="1"/>
  <c r="O283" i="16"/>
  <c r="O291" i="16"/>
  <c r="AC291" i="16" s="1"/>
  <c r="O292" i="16"/>
  <c r="AC292" i="16" s="1"/>
  <c r="O293" i="16"/>
  <c r="AC293" i="16" s="1"/>
  <c r="O295" i="16"/>
  <c r="AC295" i="16" s="1"/>
  <c r="O298" i="16"/>
  <c r="AC298" i="16" s="1"/>
  <c r="O299" i="16"/>
  <c r="AC299" i="16" s="1"/>
  <c r="O300" i="16"/>
  <c r="AC300" i="16" s="1"/>
  <c r="O301" i="16"/>
  <c r="AC301" i="16" s="1"/>
  <c r="O302" i="16"/>
  <c r="AC302" i="16" s="1"/>
  <c r="O308" i="16"/>
  <c r="AC308" i="16" s="1"/>
  <c r="O313" i="16"/>
  <c r="O314" i="16"/>
  <c r="AC314" i="16" s="1"/>
  <c r="O317" i="16"/>
  <c r="AC317" i="16" s="1"/>
  <c r="O318" i="16"/>
  <c r="O319" i="16"/>
  <c r="AC319" i="16" s="1"/>
  <c r="O320" i="16"/>
  <c r="AC320" i="16" s="1"/>
  <c r="O322" i="16"/>
  <c r="AC322" i="16" s="1"/>
  <c r="O324" i="16"/>
  <c r="AC324" i="16" s="1"/>
  <c r="O325" i="16"/>
  <c r="O326" i="16"/>
  <c r="AC326" i="16" s="1"/>
  <c r="O329" i="16"/>
  <c r="AC329" i="16" s="1"/>
  <c r="O332" i="16"/>
  <c r="AC332" i="16" s="1"/>
  <c r="O333" i="16"/>
  <c r="AC333" i="16" s="1"/>
  <c r="O334" i="16"/>
  <c r="AC334" i="16" s="1"/>
  <c r="O497" i="16"/>
  <c r="O498" i="16"/>
  <c r="AC498" i="16" s="1"/>
  <c r="O499" i="16"/>
  <c r="AC499" i="16" s="1"/>
  <c r="O500" i="16"/>
  <c r="AC500" i="16" s="1"/>
  <c r="O501" i="16"/>
  <c r="AC501" i="16" s="1"/>
  <c r="O502" i="16"/>
  <c r="AC502" i="16" s="1"/>
  <c r="O472" i="16"/>
  <c r="O21" i="16"/>
  <c r="AC21" i="16" s="1"/>
  <c r="O29" i="16"/>
  <c r="AC29" i="16" s="1"/>
  <c r="O30" i="16"/>
  <c r="AC30" i="16" s="1"/>
  <c r="O31" i="16"/>
  <c r="AC31" i="16" s="1"/>
  <c r="O32" i="16"/>
  <c r="AC32" i="16" s="1"/>
  <c r="O33" i="16"/>
  <c r="AC33" i="16" s="1"/>
  <c r="O34" i="16"/>
  <c r="AC34" i="16" s="1"/>
  <c r="O35" i="16"/>
  <c r="AC35" i="16" s="1"/>
  <c r="O41" i="16"/>
  <c r="AC41" i="16" s="1"/>
  <c r="O44" i="16"/>
  <c r="AC44" i="16" s="1"/>
  <c r="O45" i="16"/>
  <c r="AC45" i="16" s="1"/>
  <c r="O46" i="16"/>
  <c r="AC46" i="16" s="1"/>
  <c r="O47" i="16"/>
  <c r="AC47" i="16" s="1"/>
  <c r="O54" i="16"/>
  <c r="AC54" i="16" s="1"/>
  <c r="O55" i="16"/>
  <c r="AC55" i="16" s="1"/>
  <c r="O56" i="16"/>
  <c r="AC56" i="16" s="1"/>
  <c r="O57" i="16"/>
  <c r="AC57" i="16" s="1"/>
  <c r="O58" i="16"/>
  <c r="AC58" i="16" s="1"/>
  <c r="O66" i="16"/>
  <c r="AC66" i="16" s="1"/>
  <c r="O68" i="16"/>
  <c r="AC68" i="16" s="1"/>
  <c r="O69" i="16"/>
  <c r="AC69" i="16" s="1"/>
  <c r="O70" i="16"/>
  <c r="AC70" i="16" s="1"/>
  <c r="O71" i="16"/>
  <c r="AC71" i="16" s="1"/>
  <c r="O72" i="16"/>
  <c r="AC72" i="16" s="1"/>
  <c r="O73" i="16"/>
  <c r="AC73" i="16" s="1"/>
  <c r="O74" i="16"/>
  <c r="AC74" i="16" s="1"/>
  <c r="O75" i="16"/>
  <c r="AC75" i="16" s="1"/>
  <c r="O78" i="16"/>
  <c r="AC78" i="16" s="1"/>
  <c r="O86" i="16"/>
  <c r="AC86" i="16" s="1"/>
  <c r="O87" i="16"/>
  <c r="AC87" i="16" s="1"/>
  <c r="O88" i="16"/>
  <c r="AC88" i="16" s="1"/>
  <c r="O89" i="16"/>
  <c r="AC89" i="16" s="1"/>
  <c r="O90" i="16"/>
  <c r="AC90" i="16" s="1"/>
  <c r="O91" i="16"/>
  <c r="AC91" i="16" s="1"/>
  <c r="O92" i="16"/>
  <c r="AC92" i="16" s="1"/>
  <c r="O93" i="16"/>
  <c r="AC93" i="16" s="1"/>
  <c r="O94" i="16"/>
  <c r="AC94" i="16" s="1"/>
  <c r="O95" i="16"/>
  <c r="AC95" i="16" s="1"/>
  <c r="O104" i="16"/>
  <c r="AC104" i="16" s="1"/>
  <c r="O106" i="16"/>
  <c r="AC106" i="16" s="1"/>
  <c r="O107" i="16"/>
  <c r="AC107" i="16" s="1"/>
  <c r="O108" i="16"/>
  <c r="AC108" i="16" s="1"/>
  <c r="O109" i="16"/>
  <c r="AC109" i="16" s="1"/>
  <c r="O110" i="16"/>
  <c r="AC110" i="16" s="1"/>
  <c r="O111" i="16"/>
  <c r="AC111" i="16" s="1"/>
  <c r="O112" i="16"/>
  <c r="AC112" i="16" s="1"/>
  <c r="O113" i="16"/>
  <c r="AC113" i="16" s="1"/>
  <c r="O114" i="16"/>
  <c r="AC114" i="16" s="1"/>
  <c r="O115" i="16"/>
  <c r="AC115" i="16" s="1"/>
  <c r="O116" i="16"/>
  <c r="AC116" i="16" s="1"/>
  <c r="O117" i="16"/>
  <c r="AC117" i="16" s="1"/>
  <c r="O118" i="16"/>
  <c r="AC118" i="16" s="1"/>
  <c r="O128" i="16"/>
  <c r="AC128" i="16" s="1"/>
  <c r="O129" i="16"/>
  <c r="AC129" i="16" s="1"/>
  <c r="O130" i="16"/>
  <c r="AC130" i="16" s="1"/>
  <c r="O131" i="16"/>
  <c r="AC131" i="16" s="1"/>
  <c r="O132" i="16"/>
  <c r="AC132" i="16" s="1"/>
  <c r="O133" i="16"/>
  <c r="AC133" i="16" s="1"/>
  <c r="O134" i="16"/>
  <c r="AC134" i="16" s="1"/>
  <c r="O135" i="16"/>
  <c r="AC135" i="16" s="1"/>
  <c r="O136" i="16"/>
  <c r="AC136" i="16" s="1"/>
  <c r="O137" i="16"/>
  <c r="AC137" i="16" s="1"/>
  <c r="O147" i="16"/>
  <c r="AC147" i="16" s="1"/>
  <c r="O148" i="16"/>
  <c r="AC148" i="16" s="1"/>
  <c r="O166" i="16"/>
  <c r="AC166" i="16" s="1"/>
  <c r="O167" i="16"/>
  <c r="AC167" i="16" s="1"/>
  <c r="O168" i="16"/>
  <c r="AC168" i="16" s="1"/>
  <c r="O169" i="16"/>
  <c r="AC169" i="16" s="1"/>
  <c r="O170" i="16"/>
  <c r="AC170" i="16" s="1"/>
  <c r="O171" i="16"/>
  <c r="AC171" i="16" s="1"/>
  <c r="O172" i="16"/>
  <c r="AC172" i="16" s="1"/>
  <c r="O175" i="16"/>
  <c r="AC175" i="16" s="1"/>
  <c r="O176" i="16"/>
  <c r="AC176" i="16" s="1"/>
  <c r="O177" i="16"/>
  <c r="AC177" i="16" s="1"/>
  <c r="O178" i="16"/>
  <c r="AC178" i="16" s="1"/>
  <c r="O179" i="16"/>
  <c r="AC179" i="16" s="1"/>
  <c r="O180" i="16"/>
  <c r="AC180" i="16" s="1"/>
  <c r="O181" i="16"/>
  <c r="AC181" i="16" s="1"/>
  <c r="O182" i="16"/>
  <c r="AC182" i="16" s="1"/>
  <c r="O183" i="16"/>
  <c r="AC183" i="16" s="1"/>
  <c r="O184" i="16"/>
  <c r="AC184" i="16" s="1"/>
  <c r="O185" i="16"/>
  <c r="AC185" i="16" s="1"/>
  <c r="O186" i="16"/>
  <c r="AC186" i="16" s="1"/>
  <c r="O187" i="16"/>
  <c r="AC187" i="16" s="1"/>
  <c r="O188" i="16"/>
  <c r="AC188" i="16" s="1"/>
  <c r="O189" i="16"/>
  <c r="AC189" i="16" s="1"/>
  <c r="O190" i="16"/>
  <c r="AC190" i="16" s="1"/>
  <c r="O191" i="16"/>
  <c r="AC191" i="16" s="1"/>
  <c r="O193" i="16"/>
  <c r="O194" i="16"/>
  <c r="O195" i="16"/>
  <c r="O196" i="16"/>
  <c r="O197" i="16"/>
  <c r="O198" i="16"/>
  <c r="O199" i="16"/>
  <c r="O200" i="16"/>
  <c r="O201" i="16"/>
  <c r="O202" i="16"/>
  <c r="O203" i="16"/>
  <c r="O209" i="16"/>
  <c r="O210" i="16"/>
  <c r="O211" i="16"/>
  <c r="O212" i="16"/>
  <c r="O215" i="16"/>
  <c r="AC215" i="16" s="1"/>
  <c r="O216" i="16"/>
  <c r="O217" i="16"/>
  <c r="O223" i="16"/>
  <c r="AC223" i="16" s="1"/>
  <c r="O224" i="16"/>
  <c r="O227" i="16"/>
  <c r="AC227" i="16" s="1"/>
  <c r="O228" i="16"/>
  <c r="O230" i="16"/>
  <c r="O231" i="16"/>
  <c r="AC231" i="16" s="1"/>
  <c r="O233" i="16"/>
  <c r="AC233" i="16" s="1"/>
  <c r="O234" i="16"/>
  <c r="O235" i="16"/>
  <c r="O236" i="16"/>
  <c r="O238" i="16"/>
  <c r="O242" i="16"/>
  <c r="O244" i="16"/>
  <c r="AC244" i="16" s="1"/>
  <c r="O245" i="16"/>
  <c r="AC245" i="16" s="1"/>
  <c r="O246" i="16"/>
  <c r="O247" i="16"/>
  <c r="O252" i="16"/>
  <c r="O253" i="16"/>
  <c r="O254" i="16"/>
  <c r="O255" i="16"/>
  <c r="O256" i="16"/>
  <c r="O257" i="16"/>
  <c r="O258" i="16"/>
  <c r="O262" i="16"/>
  <c r="AC262" i="16" s="1"/>
  <c r="O263" i="16"/>
  <c r="O266" i="16"/>
  <c r="O268" i="16"/>
  <c r="O269" i="16"/>
  <c r="O270" i="16"/>
  <c r="O274" i="16"/>
  <c r="O275" i="16"/>
  <c r="O276" i="16"/>
  <c r="O282" i="16"/>
  <c r="AC282" i="16" s="1"/>
  <c r="O284" i="16"/>
  <c r="O285" i="16"/>
  <c r="O286" i="16"/>
  <c r="O287" i="16"/>
  <c r="AC287" i="16" s="1"/>
  <c r="O288" i="16"/>
  <c r="O289" i="16"/>
  <c r="O290" i="16"/>
  <c r="O294" i="16"/>
  <c r="O296" i="16"/>
  <c r="O297" i="16"/>
  <c r="O303" i="16"/>
  <c r="O304" i="16"/>
  <c r="O305" i="16"/>
  <c r="AC305" i="16" s="1"/>
  <c r="O306" i="16"/>
  <c r="O307" i="16"/>
  <c r="O309" i="16"/>
  <c r="O310" i="16"/>
  <c r="O311" i="16"/>
  <c r="O312" i="16"/>
  <c r="O315" i="16"/>
  <c r="O316" i="16"/>
  <c r="O321" i="16"/>
  <c r="O323" i="16"/>
  <c r="AC323" i="16" s="1"/>
  <c r="O327" i="16"/>
  <c r="O328" i="16"/>
  <c r="AC328" i="16" s="1"/>
  <c r="O330" i="16"/>
  <c r="AC330" i="16" s="1"/>
  <c r="J503" i="16"/>
  <c r="U503" i="16"/>
  <c r="AI3" i="16"/>
  <c r="AH3" i="16"/>
  <c r="AI6" i="16"/>
  <c r="AJ6" i="16" s="1"/>
  <c r="AH6" i="16"/>
  <c r="AJ11" i="16"/>
  <c r="AJ7" i="16"/>
  <c r="N3" i="16"/>
  <c r="Y4" i="16"/>
  <c r="Z4" i="16" s="1"/>
  <c r="N4" i="16"/>
  <c r="Y5" i="16"/>
  <c r="Z5" i="16" s="1"/>
  <c r="N5" i="16"/>
  <c r="Y7" i="16"/>
  <c r="Z7" i="16" s="1"/>
  <c r="N7" i="16"/>
  <c r="Y8" i="16"/>
  <c r="Z8" i="16" s="1"/>
  <c r="N8" i="16"/>
  <c r="Y9" i="16"/>
  <c r="Z9" i="16" s="1"/>
  <c r="N9" i="16"/>
  <c r="Y10" i="16"/>
  <c r="Z10" i="16" s="1"/>
  <c r="N10" i="16"/>
  <c r="Y11" i="16"/>
  <c r="N11" i="16"/>
  <c r="L3" i="16"/>
  <c r="H5" i="10"/>
  <c r="Y3" i="16"/>
  <c r="Q62" i="13" s="1"/>
  <c r="Y6" i="16"/>
  <c r="Z6" i="16" s="1"/>
  <c r="W3" i="16"/>
  <c r="M62" i="13" s="1"/>
  <c r="W6" i="16"/>
  <c r="X6" i="16" s="1"/>
  <c r="W7" i="16"/>
  <c r="X7" i="16" s="1"/>
  <c r="Q7" i="16"/>
  <c r="W4" i="16"/>
  <c r="X4" i="16" s="1"/>
  <c r="Q4" i="16"/>
  <c r="W5" i="16"/>
  <c r="X5" i="16" s="1"/>
  <c r="Q5" i="16"/>
  <c r="Q6" i="16"/>
  <c r="W8" i="16"/>
  <c r="X8" i="16" s="1"/>
  <c r="Q8" i="16"/>
  <c r="W9" i="16"/>
  <c r="X9" i="16" s="1"/>
  <c r="Q9" i="16"/>
  <c r="W10" i="16"/>
  <c r="X10" i="16" s="1"/>
  <c r="Q10" i="16"/>
  <c r="W11" i="16"/>
  <c r="Q11" i="16"/>
  <c r="G18" i="10"/>
  <c r="H18" i="10"/>
  <c r="X62" i="13" l="1"/>
  <c r="R462" i="16"/>
  <c r="T462" i="16" s="1"/>
  <c r="S462" i="16"/>
  <c r="R463" i="16"/>
  <c r="T463" i="16" s="1"/>
  <c r="S463" i="16"/>
  <c r="R464" i="16"/>
  <c r="T464" i="16" s="1"/>
  <c r="S464" i="16"/>
  <c r="R465" i="16"/>
  <c r="T465" i="16" s="1"/>
  <c r="S465" i="16"/>
  <c r="R466" i="16"/>
  <c r="T466" i="16" s="1"/>
  <c r="S466" i="16"/>
  <c r="R467" i="16"/>
  <c r="T467" i="16" s="1"/>
  <c r="S467" i="16"/>
  <c r="R468" i="16"/>
  <c r="T468" i="16" s="1"/>
  <c r="S468" i="16"/>
  <c r="R469" i="16"/>
  <c r="T469" i="16" s="1"/>
  <c r="S469" i="16"/>
  <c r="R470" i="16"/>
  <c r="T470" i="16" s="1"/>
  <c r="S470" i="16"/>
  <c r="R471" i="16"/>
  <c r="T471" i="16" s="1"/>
  <c r="S471" i="16"/>
  <c r="R472" i="16"/>
  <c r="T472" i="16" s="1"/>
  <c r="S472" i="16"/>
  <c r="R473" i="16"/>
  <c r="T473" i="16" s="1"/>
  <c r="S473" i="16"/>
  <c r="R336" i="16"/>
  <c r="T336" i="16" s="1"/>
  <c r="S336" i="16"/>
  <c r="R337" i="16"/>
  <c r="T337" i="16" s="1"/>
  <c r="S337" i="16"/>
  <c r="R338" i="16"/>
  <c r="T338" i="16" s="1"/>
  <c r="S338" i="16"/>
  <c r="R339" i="16"/>
  <c r="T339" i="16" s="1"/>
  <c r="S339" i="16"/>
  <c r="R340" i="16"/>
  <c r="T340" i="16" s="1"/>
  <c r="S340" i="16"/>
  <c r="R341" i="16"/>
  <c r="T341" i="16" s="1"/>
  <c r="S341" i="16"/>
  <c r="R342" i="16"/>
  <c r="T342" i="16" s="1"/>
  <c r="S342" i="16"/>
  <c r="R343" i="16"/>
  <c r="T343" i="16" s="1"/>
  <c r="S343" i="16"/>
  <c r="R344" i="16"/>
  <c r="T344" i="16" s="1"/>
  <c r="S344" i="16"/>
  <c r="R345" i="16"/>
  <c r="T345" i="16" s="1"/>
  <c r="S345" i="16"/>
  <c r="R346" i="16"/>
  <c r="T346" i="16" s="1"/>
  <c r="S346" i="16"/>
  <c r="R347" i="16"/>
  <c r="T347" i="16" s="1"/>
  <c r="S347" i="16"/>
  <c r="R348" i="16"/>
  <c r="T348" i="16" s="1"/>
  <c r="S348" i="16"/>
  <c r="R349" i="16"/>
  <c r="T349" i="16" s="1"/>
  <c r="S349" i="16"/>
  <c r="R350" i="16"/>
  <c r="T350" i="16" s="1"/>
  <c r="S350" i="16"/>
  <c r="R351" i="16"/>
  <c r="T351" i="16" s="1"/>
  <c r="S351" i="16"/>
  <c r="R352" i="16"/>
  <c r="T352" i="16" s="1"/>
  <c r="S352" i="16"/>
  <c r="R353" i="16"/>
  <c r="T353" i="16" s="1"/>
  <c r="S353" i="16"/>
  <c r="R354" i="16"/>
  <c r="T354" i="16" s="1"/>
  <c r="S354" i="16"/>
  <c r="R355" i="16"/>
  <c r="T355" i="16" s="1"/>
  <c r="S355" i="16"/>
  <c r="R356" i="16"/>
  <c r="T356" i="16" s="1"/>
  <c r="S356" i="16"/>
  <c r="R357" i="16"/>
  <c r="T357" i="16" s="1"/>
  <c r="S357" i="16"/>
  <c r="R358" i="16"/>
  <c r="T358" i="16" s="1"/>
  <c r="S358" i="16"/>
  <c r="R359" i="16"/>
  <c r="T359" i="16" s="1"/>
  <c r="S359" i="16"/>
  <c r="R360" i="16"/>
  <c r="T360" i="16" s="1"/>
  <c r="S360" i="16"/>
  <c r="R361" i="16"/>
  <c r="T361" i="16" s="1"/>
  <c r="S361" i="16"/>
  <c r="R362" i="16"/>
  <c r="T362" i="16" s="1"/>
  <c r="S362" i="16"/>
  <c r="R363" i="16"/>
  <c r="T363" i="16" s="1"/>
  <c r="S363" i="16"/>
  <c r="R364" i="16"/>
  <c r="T364" i="16" s="1"/>
  <c r="S364" i="16"/>
  <c r="R365" i="16"/>
  <c r="T365" i="16" s="1"/>
  <c r="S365" i="16"/>
  <c r="R366" i="16"/>
  <c r="T366" i="16" s="1"/>
  <c r="S366" i="16"/>
  <c r="R367" i="16"/>
  <c r="T367" i="16" s="1"/>
  <c r="S367" i="16"/>
  <c r="R368" i="16"/>
  <c r="T368" i="16" s="1"/>
  <c r="S368" i="16"/>
  <c r="R369" i="16"/>
  <c r="T369" i="16" s="1"/>
  <c r="S369" i="16"/>
  <c r="R370" i="16"/>
  <c r="T370" i="16" s="1"/>
  <c r="S370" i="16"/>
  <c r="R371" i="16"/>
  <c r="T371" i="16" s="1"/>
  <c r="S371" i="16"/>
  <c r="R372" i="16"/>
  <c r="T372" i="16" s="1"/>
  <c r="S372" i="16"/>
  <c r="R373" i="16"/>
  <c r="T373" i="16" s="1"/>
  <c r="S373" i="16"/>
  <c r="R374" i="16"/>
  <c r="T374" i="16" s="1"/>
  <c r="S374" i="16"/>
  <c r="R375" i="16"/>
  <c r="T375" i="16" s="1"/>
  <c r="S375" i="16"/>
  <c r="R376" i="16"/>
  <c r="T376" i="16" s="1"/>
  <c r="S376" i="16"/>
  <c r="R377" i="16"/>
  <c r="T377" i="16" s="1"/>
  <c r="S377" i="16"/>
  <c r="R378" i="16"/>
  <c r="T378" i="16" s="1"/>
  <c r="S378" i="16"/>
  <c r="R379" i="16"/>
  <c r="T379" i="16" s="1"/>
  <c r="S379" i="16"/>
  <c r="R380" i="16"/>
  <c r="T380" i="16" s="1"/>
  <c r="S380" i="16"/>
  <c r="R381" i="16"/>
  <c r="T381" i="16" s="1"/>
  <c r="S381" i="16"/>
  <c r="R382" i="16"/>
  <c r="T382" i="16" s="1"/>
  <c r="S382" i="16"/>
  <c r="R383" i="16"/>
  <c r="T383" i="16" s="1"/>
  <c r="S383" i="16"/>
  <c r="R384" i="16"/>
  <c r="T384" i="16" s="1"/>
  <c r="S384" i="16"/>
  <c r="R385" i="16"/>
  <c r="T385" i="16" s="1"/>
  <c r="S385" i="16"/>
  <c r="R386" i="16"/>
  <c r="T386" i="16" s="1"/>
  <c r="S386" i="16"/>
  <c r="R387" i="16"/>
  <c r="T387" i="16" s="1"/>
  <c r="S387" i="16"/>
  <c r="R388" i="16"/>
  <c r="T388" i="16" s="1"/>
  <c r="S388" i="16"/>
  <c r="R389" i="16"/>
  <c r="T389" i="16" s="1"/>
  <c r="S389" i="16"/>
  <c r="R390" i="16"/>
  <c r="T390" i="16" s="1"/>
  <c r="S390" i="16"/>
  <c r="R391" i="16"/>
  <c r="T391" i="16" s="1"/>
  <c r="S391" i="16"/>
  <c r="R392" i="16"/>
  <c r="T392" i="16" s="1"/>
  <c r="S392" i="16"/>
  <c r="R393" i="16"/>
  <c r="T393" i="16" s="1"/>
  <c r="S393" i="16"/>
  <c r="R394" i="16"/>
  <c r="T394" i="16" s="1"/>
  <c r="S394" i="16"/>
  <c r="R395" i="16"/>
  <c r="T395" i="16" s="1"/>
  <c r="S395" i="16"/>
  <c r="R397" i="16"/>
  <c r="T397" i="16" s="1"/>
  <c r="S397" i="16"/>
  <c r="R398" i="16"/>
  <c r="T398" i="16" s="1"/>
  <c r="S398" i="16"/>
  <c r="R399" i="16"/>
  <c r="T399" i="16" s="1"/>
  <c r="S399" i="16"/>
  <c r="R400" i="16"/>
  <c r="T400" i="16" s="1"/>
  <c r="S400" i="16"/>
  <c r="R401" i="16"/>
  <c r="T401" i="16" s="1"/>
  <c r="S401" i="16"/>
  <c r="R402" i="16"/>
  <c r="T402" i="16" s="1"/>
  <c r="S402" i="16"/>
  <c r="R403" i="16"/>
  <c r="T403" i="16" s="1"/>
  <c r="S403" i="16"/>
  <c r="R404" i="16"/>
  <c r="T404" i="16" s="1"/>
  <c r="S404" i="16"/>
  <c r="R405" i="16"/>
  <c r="T405" i="16" s="1"/>
  <c r="S405" i="16"/>
  <c r="R406" i="16"/>
  <c r="T406" i="16" s="1"/>
  <c r="S406" i="16"/>
  <c r="R407" i="16"/>
  <c r="T407" i="16" s="1"/>
  <c r="S407" i="16"/>
  <c r="R12" i="16"/>
  <c r="T12" i="16" s="1"/>
  <c r="S12" i="16"/>
  <c r="R408" i="16"/>
  <c r="T408" i="16" s="1"/>
  <c r="S408" i="16"/>
  <c r="R409" i="16"/>
  <c r="T409" i="16" s="1"/>
  <c r="S409" i="16"/>
  <c r="R410" i="16"/>
  <c r="T410" i="16" s="1"/>
  <c r="S410" i="16"/>
  <c r="R411" i="16"/>
  <c r="T411" i="16" s="1"/>
  <c r="S411" i="16"/>
  <c r="R412" i="16"/>
  <c r="T412" i="16" s="1"/>
  <c r="S412" i="16"/>
  <c r="R413" i="16"/>
  <c r="T413" i="16" s="1"/>
  <c r="S413" i="16"/>
  <c r="R414" i="16"/>
  <c r="T414" i="16" s="1"/>
  <c r="S414" i="16"/>
  <c r="R415" i="16"/>
  <c r="T415" i="16" s="1"/>
  <c r="S415" i="16"/>
  <c r="R416" i="16"/>
  <c r="T416" i="16" s="1"/>
  <c r="S416" i="16"/>
  <c r="R417" i="16"/>
  <c r="T417" i="16" s="1"/>
  <c r="S417" i="16"/>
  <c r="R418" i="16"/>
  <c r="T418" i="16" s="1"/>
  <c r="S418" i="16"/>
  <c r="R419" i="16"/>
  <c r="T419" i="16" s="1"/>
  <c r="S419" i="16"/>
  <c r="R420" i="16"/>
  <c r="T420" i="16" s="1"/>
  <c r="S420" i="16"/>
  <c r="R421" i="16"/>
  <c r="T421" i="16" s="1"/>
  <c r="S421" i="16"/>
  <c r="R422" i="16"/>
  <c r="T422" i="16" s="1"/>
  <c r="S422" i="16"/>
  <c r="R423" i="16"/>
  <c r="T423" i="16" s="1"/>
  <c r="S423" i="16"/>
  <c r="R424" i="16"/>
  <c r="T424" i="16" s="1"/>
  <c r="S424" i="16"/>
  <c r="R425" i="16"/>
  <c r="T425" i="16" s="1"/>
  <c r="S425" i="16"/>
  <c r="R426" i="16"/>
  <c r="T426" i="16" s="1"/>
  <c r="S426" i="16"/>
  <c r="R427" i="16"/>
  <c r="T427" i="16" s="1"/>
  <c r="S427" i="16"/>
  <c r="R428" i="16"/>
  <c r="T428" i="16" s="1"/>
  <c r="S428" i="16"/>
  <c r="R429" i="16"/>
  <c r="T429" i="16" s="1"/>
  <c r="S429" i="16"/>
  <c r="R430" i="16"/>
  <c r="T430" i="16" s="1"/>
  <c r="S430" i="16"/>
  <c r="R431" i="16"/>
  <c r="T431" i="16" s="1"/>
  <c r="S431" i="16"/>
  <c r="R432" i="16"/>
  <c r="T432" i="16" s="1"/>
  <c r="S432" i="16"/>
  <c r="R433" i="16"/>
  <c r="T433" i="16" s="1"/>
  <c r="S433" i="16"/>
  <c r="R434" i="16"/>
  <c r="T434" i="16" s="1"/>
  <c r="S434" i="16"/>
  <c r="R435" i="16"/>
  <c r="T435" i="16" s="1"/>
  <c r="S435" i="16"/>
  <c r="R436" i="16"/>
  <c r="T436" i="16" s="1"/>
  <c r="S436" i="16"/>
  <c r="R437" i="16"/>
  <c r="T437" i="16" s="1"/>
  <c r="S437" i="16"/>
  <c r="R438" i="16"/>
  <c r="T438" i="16" s="1"/>
  <c r="S438" i="16"/>
  <c r="R439" i="16"/>
  <c r="T439" i="16" s="1"/>
  <c r="S439" i="16"/>
  <c r="R440" i="16"/>
  <c r="T440" i="16" s="1"/>
  <c r="S440" i="16"/>
  <c r="R441" i="16"/>
  <c r="T441" i="16" s="1"/>
  <c r="S441" i="16"/>
  <c r="R442" i="16"/>
  <c r="T442" i="16" s="1"/>
  <c r="S442" i="16"/>
  <c r="R443" i="16"/>
  <c r="T443" i="16" s="1"/>
  <c r="S443" i="16"/>
  <c r="R444" i="16"/>
  <c r="T444" i="16" s="1"/>
  <c r="S444" i="16"/>
  <c r="R445" i="16"/>
  <c r="T445" i="16" s="1"/>
  <c r="S445" i="16"/>
  <c r="R446" i="16"/>
  <c r="T446" i="16" s="1"/>
  <c r="S446" i="16"/>
  <c r="R447" i="16"/>
  <c r="T447" i="16" s="1"/>
  <c r="S447" i="16"/>
  <c r="R448" i="16"/>
  <c r="T448" i="16" s="1"/>
  <c r="S448" i="16"/>
  <c r="R449" i="16"/>
  <c r="T449" i="16" s="1"/>
  <c r="S449" i="16"/>
  <c r="R450" i="16"/>
  <c r="T450" i="16" s="1"/>
  <c r="S450" i="16"/>
  <c r="R451" i="16"/>
  <c r="T451" i="16" s="1"/>
  <c r="S451" i="16"/>
  <c r="R452" i="16"/>
  <c r="T452" i="16" s="1"/>
  <c r="S452" i="16"/>
  <c r="R453" i="16"/>
  <c r="T453" i="16" s="1"/>
  <c r="S453" i="16"/>
  <c r="R454" i="16"/>
  <c r="T454" i="16" s="1"/>
  <c r="S454" i="16"/>
  <c r="R455" i="16"/>
  <c r="T455" i="16" s="1"/>
  <c r="S455" i="16"/>
  <c r="R456" i="16"/>
  <c r="T456" i="16" s="1"/>
  <c r="S456" i="16"/>
  <c r="R457" i="16"/>
  <c r="T457" i="16" s="1"/>
  <c r="S457" i="16"/>
  <c r="R458" i="16"/>
  <c r="T458" i="16" s="1"/>
  <c r="S458" i="16"/>
  <c r="R459" i="16"/>
  <c r="T459" i="16" s="1"/>
  <c r="S459" i="16"/>
  <c r="R460" i="16"/>
  <c r="T460" i="16" s="1"/>
  <c r="S460" i="16"/>
  <c r="R461" i="16"/>
  <c r="T461" i="16" s="1"/>
  <c r="S461" i="16"/>
  <c r="R474" i="16"/>
  <c r="T474" i="16" s="1"/>
  <c r="S474" i="16"/>
  <c r="R396" i="16"/>
  <c r="T396" i="16" s="1"/>
  <c r="S396" i="16"/>
  <c r="R475" i="16"/>
  <c r="T475" i="16" s="1"/>
  <c r="S475" i="16"/>
  <c r="R476" i="16"/>
  <c r="T476" i="16" s="1"/>
  <c r="S476" i="16"/>
  <c r="R477" i="16"/>
  <c r="T477" i="16" s="1"/>
  <c r="S477" i="16"/>
  <c r="R478" i="16"/>
  <c r="T478" i="16" s="1"/>
  <c r="S478" i="16"/>
  <c r="R479" i="16"/>
  <c r="T479" i="16" s="1"/>
  <c r="S479" i="16"/>
  <c r="R480" i="16"/>
  <c r="T480" i="16" s="1"/>
  <c r="S480" i="16"/>
  <c r="R481" i="16"/>
  <c r="T481" i="16" s="1"/>
  <c r="S481" i="16"/>
  <c r="R482" i="16"/>
  <c r="T482" i="16" s="1"/>
  <c r="S482" i="16"/>
  <c r="R483" i="16"/>
  <c r="T483" i="16" s="1"/>
  <c r="S483" i="16"/>
  <c r="R484" i="16"/>
  <c r="T484" i="16" s="1"/>
  <c r="S484" i="16"/>
  <c r="R485" i="16"/>
  <c r="T485" i="16" s="1"/>
  <c r="S485" i="16"/>
  <c r="R486" i="16"/>
  <c r="T486" i="16" s="1"/>
  <c r="S486" i="16"/>
  <c r="R193" i="16"/>
  <c r="T193" i="16" s="1"/>
  <c r="S193" i="16"/>
  <c r="R194" i="16"/>
  <c r="T194" i="16" s="1"/>
  <c r="S194" i="16"/>
  <c r="R195" i="16"/>
  <c r="T195" i="16" s="1"/>
  <c r="S195" i="16"/>
  <c r="R196" i="16"/>
  <c r="T196" i="16" s="1"/>
  <c r="S196" i="16"/>
  <c r="R197" i="16"/>
  <c r="T197" i="16" s="1"/>
  <c r="S197" i="16"/>
  <c r="R198" i="16"/>
  <c r="T198" i="16" s="1"/>
  <c r="S198" i="16"/>
  <c r="R199" i="16"/>
  <c r="T199" i="16" s="1"/>
  <c r="S199" i="16"/>
  <c r="R200" i="16"/>
  <c r="T200" i="16" s="1"/>
  <c r="S200" i="16"/>
  <c r="R201" i="16"/>
  <c r="T201" i="16" s="1"/>
  <c r="S201" i="16"/>
  <c r="R202" i="16"/>
  <c r="T202" i="16" s="1"/>
  <c r="S202" i="16"/>
  <c r="R203" i="16"/>
  <c r="T203" i="16" s="1"/>
  <c r="S203" i="16"/>
  <c r="R209" i="16"/>
  <c r="T209" i="16" s="1"/>
  <c r="S209" i="16"/>
  <c r="R210" i="16"/>
  <c r="T210" i="16" s="1"/>
  <c r="S210" i="16"/>
  <c r="R211" i="16"/>
  <c r="T211" i="16" s="1"/>
  <c r="S211" i="16"/>
  <c r="R212" i="16"/>
  <c r="T212" i="16" s="1"/>
  <c r="S212" i="16"/>
  <c r="R216" i="16"/>
  <c r="T216" i="16" s="1"/>
  <c r="S216" i="16"/>
  <c r="R217" i="16"/>
  <c r="T217" i="16" s="1"/>
  <c r="S217" i="16"/>
  <c r="R224" i="16"/>
  <c r="T224" i="16" s="1"/>
  <c r="S224" i="16"/>
  <c r="R228" i="16"/>
  <c r="T228" i="16" s="1"/>
  <c r="S228" i="16"/>
  <c r="R234" i="16"/>
  <c r="T234" i="16" s="1"/>
  <c r="S234" i="16"/>
  <c r="R235" i="16"/>
  <c r="T235" i="16" s="1"/>
  <c r="S235" i="16"/>
  <c r="R236" i="16"/>
  <c r="T236" i="16" s="1"/>
  <c r="S236" i="16"/>
  <c r="R242" i="16"/>
  <c r="T242" i="16" s="1"/>
  <c r="S242" i="16"/>
  <c r="R246" i="16"/>
  <c r="T246" i="16" s="1"/>
  <c r="S246" i="16"/>
  <c r="R247" i="16"/>
  <c r="T247" i="16" s="1"/>
  <c r="S247" i="16"/>
  <c r="R248" i="16"/>
  <c r="T248" i="16" s="1"/>
  <c r="S248" i="16"/>
  <c r="R253" i="16"/>
  <c r="T253" i="16" s="1"/>
  <c r="S253" i="16"/>
  <c r="R254" i="16"/>
  <c r="T254" i="16" s="1"/>
  <c r="S254" i="16"/>
  <c r="R255" i="16"/>
  <c r="T255" i="16" s="1"/>
  <c r="S255" i="16"/>
  <c r="R256" i="16"/>
  <c r="T256" i="16" s="1"/>
  <c r="S256" i="16"/>
  <c r="R257" i="16"/>
  <c r="T257" i="16" s="1"/>
  <c r="S257" i="16"/>
  <c r="R258" i="16"/>
  <c r="T258" i="16" s="1"/>
  <c r="S258" i="16"/>
  <c r="R259" i="16"/>
  <c r="T259" i="16" s="1"/>
  <c r="S259" i="16"/>
  <c r="R263" i="16"/>
  <c r="T263" i="16" s="1"/>
  <c r="S263" i="16"/>
  <c r="R268" i="16"/>
  <c r="T268" i="16" s="1"/>
  <c r="S268" i="16"/>
  <c r="R269" i="16"/>
  <c r="T269" i="16" s="1"/>
  <c r="S269" i="16"/>
  <c r="R270" i="16"/>
  <c r="T270" i="16" s="1"/>
  <c r="S270" i="16"/>
  <c r="R274" i="16"/>
  <c r="T274" i="16" s="1"/>
  <c r="S274" i="16"/>
  <c r="R275" i="16"/>
  <c r="T275" i="16" s="1"/>
  <c r="S275" i="16"/>
  <c r="R276" i="16"/>
  <c r="T276" i="16" s="1"/>
  <c r="S276" i="16"/>
  <c r="R277" i="16"/>
  <c r="T277" i="16" s="1"/>
  <c r="S277" i="16"/>
  <c r="R283" i="16"/>
  <c r="T283" i="16" s="1"/>
  <c r="S283" i="16"/>
  <c r="R284" i="16"/>
  <c r="T284" i="16" s="1"/>
  <c r="S284" i="16"/>
  <c r="R285" i="16"/>
  <c r="T285" i="16" s="1"/>
  <c r="S285" i="16"/>
  <c r="R286" i="16"/>
  <c r="T286" i="16" s="1"/>
  <c r="S286" i="16"/>
  <c r="R288" i="16"/>
  <c r="T288" i="16" s="1"/>
  <c r="S288" i="16"/>
  <c r="R289" i="16"/>
  <c r="T289" i="16" s="1"/>
  <c r="S289" i="16"/>
  <c r="R290" i="16"/>
  <c r="T290" i="16" s="1"/>
  <c r="S290" i="16"/>
  <c r="R296" i="16"/>
  <c r="T296" i="16" s="1"/>
  <c r="S296" i="16"/>
  <c r="R297" i="16"/>
  <c r="T297" i="16" s="1"/>
  <c r="S297" i="16"/>
  <c r="R304" i="16"/>
  <c r="T304" i="16" s="1"/>
  <c r="S304" i="16"/>
  <c r="R306" i="16"/>
  <c r="T306" i="16" s="1"/>
  <c r="S306" i="16"/>
  <c r="R307" i="16"/>
  <c r="T307" i="16" s="1"/>
  <c r="S307" i="16"/>
  <c r="R309" i="16"/>
  <c r="T309" i="16" s="1"/>
  <c r="S309" i="16"/>
  <c r="R310" i="16"/>
  <c r="T310" i="16" s="1"/>
  <c r="S310" i="16"/>
  <c r="R311" i="16"/>
  <c r="T311" i="16" s="1"/>
  <c r="S311" i="16"/>
  <c r="R312" i="16"/>
  <c r="T312" i="16" s="1"/>
  <c r="S312" i="16"/>
  <c r="R313" i="16"/>
  <c r="T313" i="16" s="1"/>
  <c r="S313" i="16"/>
  <c r="R316" i="16"/>
  <c r="T316" i="16" s="1"/>
  <c r="S316" i="16"/>
  <c r="R321" i="16"/>
  <c r="T321" i="16" s="1"/>
  <c r="S321" i="16"/>
  <c r="R327" i="16"/>
  <c r="T327" i="16" s="1"/>
  <c r="S327" i="16"/>
  <c r="R331" i="16"/>
  <c r="T331" i="16" s="1"/>
  <c r="S331" i="16"/>
  <c r="R238" i="16"/>
  <c r="T238" i="16" s="1"/>
  <c r="S238" i="16"/>
  <c r="R272" i="16"/>
  <c r="T272" i="16" s="1"/>
  <c r="S272" i="16"/>
  <c r="R315" i="16"/>
  <c r="T315" i="16" s="1"/>
  <c r="S315" i="16"/>
  <c r="R497" i="16"/>
  <c r="T497" i="16" s="1"/>
  <c r="S497" i="16"/>
  <c r="R487" i="16"/>
  <c r="T487" i="16" s="1"/>
  <c r="S487" i="16"/>
  <c r="R488" i="16"/>
  <c r="T488" i="16" s="1"/>
  <c r="S488" i="16"/>
  <c r="R489" i="16"/>
  <c r="T489" i="16" s="1"/>
  <c r="S489" i="16"/>
  <c r="R490" i="16"/>
  <c r="T490" i="16" s="1"/>
  <c r="S490" i="16"/>
  <c r="R491" i="16"/>
  <c r="T491" i="16" s="1"/>
  <c r="S491" i="16"/>
  <c r="R492" i="16"/>
  <c r="T492" i="16" s="1"/>
  <c r="S492" i="16"/>
  <c r="R493" i="16"/>
  <c r="T493" i="16" s="1"/>
  <c r="S493" i="16"/>
  <c r="R494" i="16"/>
  <c r="T494" i="16" s="1"/>
  <c r="S494" i="16"/>
  <c r="R495" i="16"/>
  <c r="T495" i="16" s="1"/>
  <c r="S495" i="16"/>
  <c r="R496" i="16"/>
  <c r="T496" i="16" s="1"/>
  <c r="S496" i="16"/>
  <c r="R13" i="16"/>
  <c r="T13" i="16" s="1"/>
  <c r="S13" i="16"/>
  <c r="R14" i="16"/>
  <c r="T14" i="16" s="1"/>
  <c r="S14" i="16"/>
  <c r="R15" i="16"/>
  <c r="T15" i="16" s="1"/>
  <c r="S15" i="16"/>
  <c r="R16" i="16"/>
  <c r="T16" i="16" s="1"/>
  <c r="S16" i="16"/>
  <c r="R17" i="16"/>
  <c r="T17" i="16" s="1"/>
  <c r="S17" i="16"/>
  <c r="R230" i="16"/>
  <c r="T230" i="16" s="1"/>
  <c r="S230" i="16"/>
  <c r="R252" i="16"/>
  <c r="T252" i="16" s="1"/>
  <c r="S252" i="16"/>
  <c r="R266" i="16"/>
  <c r="T266" i="16" s="1"/>
  <c r="S266" i="16"/>
  <c r="R294" i="16"/>
  <c r="T294" i="16" s="1"/>
  <c r="S294" i="16"/>
  <c r="R303" i="16"/>
  <c r="T303" i="16" s="1"/>
  <c r="S303" i="16"/>
  <c r="R318" i="16"/>
  <c r="T318" i="16" s="1"/>
  <c r="S318" i="16"/>
  <c r="R325" i="16"/>
  <c r="T325" i="16" s="1"/>
  <c r="S325" i="16"/>
  <c r="R150" i="16"/>
  <c r="T150" i="16" s="1"/>
  <c r="S150" i="16"/>
  <c r="R59" i="16"/>
  <c r="T59" i="16" s="1"/>
  <c r="S59" i="16"/>
  <c r="R60" i="16"/>
  <c r="T60" i="16" s="1"/>
  <c r="S60" i="16"/>
  <c r="R61" i="16"/>
  <c r="T61" i="16" s="1"/>
  <c r="S61" i="16"/>
  <c r="R62" i="16"/>
  <c r="T62" i="16" s="1"/>
  <c r="S62" i="16"/>
  <c r="R63" i="16"/>
  <c r="T63" i="16" s="1"/>
  <c r="S63" i="16"/>
  <c r="R64" i="16"/>
  <c r="T64" i="16" s="1"/>
  <c r="S64" i="16"/>
  <c r="R65" i="16"/>
  <c r="T65" i="16" s="1"/>
  <c r="S65" i="16"/>
  <c r="R66" i="16"/>
  <c r="T66" i="16" s="1"/>
  <c r="S66" i="16"/>
  <c r="R151" i="16"/>
  <c r="T151" i="16" s="1"/>
  <c r="S151" i="16"/>
  <c r="R119" i="16"/>
  <c r="T119" i="16" s="1"/>
  <c r="S119" i="16"/>
  <c r="R120" i="16"/>
  <c r="T120" i="16" s="1"/>
  <c r="S120" i="16"/>
  <c r="R121" i="16"/>
  <c r="T121" i="16" s="1"/>
  <c r="S121" i="16"/>
  <c r="R122" i="16"/>
  <c r="T122" i="16" s="1"/>
  <c r="S122" i="16"/>
  <c r="R123" i="16"/>
  <c r="T123" i="16" s="1"/>
  <c r="S123" i="16"/>
  <c r="R124" i="16"/>
  <c r="T124" i="16" s="1"/>
  <c r="S124" i="16"/>
  <c r="R125" i="16"/>
  <c r="T125" i="16" s="1"/>
  <c r="S125" i="16"/>
  <c r="R126" i="16"/>
  <c r="T126" i="16" s="1"/>
  <c r="S126" i="16"/>
  <c r="R76" i="16"/>
  <c r="T76" i="16" s="1"/>
  <c r="S76" i="16"/>
  <c r="R18" i="16"/>
  <c r="T18" i="16" s="1"/>
  <c r="S18" i="16"/>
  <c r="R19" i="16"/>
  <c r="T19" i="16" s="1"/>
  <c r="S19" i="16"/>
  <c r="R20" i="16"/>
  <c r="T20" i="16" s="1"/>
  <c r="S20" i="16"/>
  <c r="R22" i="16"/>
  <c r="T22" i="16" s="1"/>
  <c r="S22" i="16"/>
  <c r="R23" i="16"/>
  <c r="T23" i="16" s="1"/>
  <c r="S23" i="16"/>
  <c r="R24" i="16"/>
  <c r="T24" i="16" s="1"/>
  <c r="S24" i="16"/>
  <c r="R25" i="16"/>
  <c r="T25" i="16" s="1"/>
  <c r="S25" i="16"/>
  <c r="R26" i="16"/>
  <c r="T26" i="16" s="1"/>
  <c r="S26" i="16"/>
  <c r="R27" i="16"/>
  <c r="T27" i="16" s="1"/>
  <c r="S27" i="16"/>
  <c r="R28" i="16"/>
  <c r="T28" i="16" s="1"/>
  <c r="S28" i="16"/>
  <c r="R29" i="16"/>
  <c r="T29" i="16" s="1"/>
  <c r="S29" i="16"/>
  <c r="R36" i="16"/>
  <c r="T36" i="16" s="1"/>
  <c r="S36" i="16"/>
  <c r="R37" i="16"/>
  <c r="T37" i="16" s="1"/>
  <c r="S37" i="16"/>
  <c r="R38" i="16"/>
  <c r="T38" i="16" s="1"/>
  <c r="S38" i="16"/>
  <c r="R39" i="16"/>
  <c r="T39" i="16" s="1"/>
  <c r="S39" i="16"/>
  <c r="R40" i="16"/>
  <c r="T40" i="16" s="1"/>
  <c r="S40" i="16"/>
  <c r="R42" i="16"/>
  <c r="T42" i="16" s="1"/>
  <c r="S42" i="16"/>
  <c r="R43" i="16"/>
  <c r="T43" i="16" s="1"/>
  <c r="S43" i="16"/>
  <c r="R48" i="16"/>
  <c r="T48" i="16" s="1"/>
  <c r="S48" i="16"/>
  <c r="R49" i="16"/>
  <c r="T49" i="16" s="1"/>
  <c r="S49" i="16"/>
  <c r="R50" i="16"/>
  <c r="T50" i="16" s="1"/>
  <c r="S50" i="16"/>
  <c r="R51" i="16"/>
  <c r="T51" i="16" s="1"/>
  <c r="S51" i="16"/>
  <c r="R52" i="16"/>
  <c r="T52" i="16" s="1"/>
  <c r="S52" i="16"/>
  <c r="R53" i="16"/>
  <c r="T53" i="16" s="1"/>
  <c r="S53" i="16"/>
  <c r="R54" i="16"/>
  <c r="T54" i="16" s="1"/>
  <c r="S54" i="16"/>
  <c r="R326" i="16"/>
  <c r="T326" i="16" s="1"/>
  <c r="S326" i="16"/>
  <c r="R498" i="16"/>
  <c r="T498" i="16" s="1"/>
  <c r="S498" i="16"/>
  <c r="R499" i="16"/>
  <c r="T499" i="16" s="1"/>
  <c r="S499" i="16"/>
  <c r="R500" i="16"/>
  <c r="T500" i="16" s="1"/>
  <c r="S500" i="16"/>
  <c r="R501" i="16"/>
  <c r="T501" i="16" s="1"/>
  <c r="S501" i="16"/>
  <c r="R502" i="16"/>
  <c r="T502" i="16" s="1"/>
  <c r="S502" i="16"/>
  <c r="R21" i="16"/>
  <c r="T21" i="16" s="1"/>
  <c r="S21" i="16"/>
  <c r="R30" i="16"/>
  <c r="T30" i="16" s="1"/>
  <c r="S30" i="16"/>
  <c r="R31" i="16"/>
  <c r="T31" i="16" s="1"/>
  <c r="S31" i="16"/>
  <c r="R32" i="16"/>
  <c r="T32" i="16" s="1"/>
  <c r="S32" i="16"/>
  <c r="R33" i="16"/>
  <c r="T33" i="16" s="1"/>
  <c r="S33" i="16"/>
  <c r="R34" i="16"/>
  <c r="T34" i="16" s="1"/>
  <c r="S34" i="16"/>
  <c r="R35" i="16"/>
  <c r="T35" i="16" s="1"/>
  <c r="S35" i="16"/>
  <c r="R41" i="16"/>
  <c r="T41" i="16" s="1"/>
  <c r="S41" i="16"/>
  <c r="R44" i="16"/>
  <c r="T44" i="16" s="1"/>
  <c r="S44" i="16"/>
  <c r="R45" i="16"/>
  <c r="T45" i="16" s="1"/>
  <c r="S45" i="16"/>
  <c r="R46" i="16"/>
  <c r="T46" i="16" s="1"/>
  <c r="S46" i="16"/>
  <c r="R47" i="16"/>
  <c r="T47" i="16" s="1"/>
  <c r="S47" i="16"/>
  <c r="R55" i="16"/>
  <c r="T55" i="16" s="1"/>
  <c r="S55" i="16"/>
  <c r="R56" i="16"/>
  <c r="T56" i="16" s="1"/>
  <c r="S56" i="16"/>
  <c r="R57" i="16"/>
  <c r="T57" i="16" s="1"/>
  <c r="S57" i="16"/>
  <c r="R58" i="16"/>
  <c r="T58" i="16" s="1"/>
  <c r="S58" i="16"/>
  <c r="R67" i="16"/>
  <c r="T67" i="16" s="1"/>
  <c r="S67" i="16"/>
  <c r="R68" i="16"/>
  <c r="T68" i="16" s="1"/>
  <c r="S68" i="16"/>
  <c r="R69" i="16"/>
  <c r="T69" i="16" s="1"/>
  <c r="S69" i="16"/>
  <c r="R70" i="16"/>
  <c r="T70" i="16" s="1"/>
  <c r="S70" i="16"/>
  <c r="R71" i="16"/>
  <c r="T71" i="16" s="1"/>
  <c r="S71" i="16"/>
  <c r="R72" i="16"/>
  <c r="T72" i="16" s="1"/>
  <c r="S72" i="16"/>
  <c r="R73" i="16"/>
  <c r="T73" i="16" s="1"/>
  <c r="S73" i="16"/>
  <c r="R74" i="16"/>
  <c r="T74" i="16" s="1"/>
  <c r="S74" i="16"/>
  <c r="R75" i="16"/>
  <c r="T75" i="16" s="1"/>
  <c r="S75" i="16"/>
  <c r="R86" i="16"/>
  <c r="T86" i="16" s="1"/>
  <c r="S86" i="16"/>
  <c r="R87" i="16"/>
  <c r="T87" i="16" s="1"/>
  <c r="S87" i="16"/>
  <c r="R88" i="16"/>
  <c r="T88" i="16" s="1"/>
  <c r="S88" i="16"/>
  <c r="R89" i="16"/>
  <c r="T89" i="16" s="1"/>
  <c r="S89" i="16"/>
  <c r="R90" i="16"/>
  <c r="T90" i="16" s="1"/>
  <c r="S90" i="16"/>
  <c r="R91" i="16"/>
  <c r="T91" i="16" s="1"/>
  <c r="S91" i="16"/>
  <c r="R92" i="16"/>
  <c r="T92" i="16" s="1"/>
  <c r="S92" i="16"/>
  <c r="R93" i="16"/>
  <c r="T93" i="16" s="1"/>
  <c r="S93" i="16"/>
  <c r="R94" i="16"/>
  <c r="T94" i="16" s="1"/>
  <c r="S94" i="16"/>
  <c r="R95" i="16"/>
  <c r="T95" i="16" s="1"/>
  <c r="S95" i="16"/>
  <c r="R96" i="16"/>
  <c r="T96" i="16" s="1"/>
  <c r="S96" i="16"/>
  <c r="R104" i="16"/>
  <c r="T104" i="16" s="1"/>
  <c r="S104" i="16"/>
  <c r="R106" i="16"/>
  <c r="T106" i="16" s="1"/>
  <c r="S106" i="16"/>
  <c r="R107" i="16"/>
  <c r="T107" i="16" s="1"/>
  <c r="S107" i="16"/>
  <c r="R108" i="16"/>
  <c r="T108" i="16" s="1"/>
  <c r="S108" i="16"/>
  <c r="R109" i="16"/>
  <c r="T109" i="16" s="1"/>
  <c r="S109" i="16"/>
  <c r="R110" i="16"/>
  <c r="T110" i="16" s="1"/>
  <c r="S110" i="16"/>
  <c r="R111" i="16"/>
  <c r="T111" i="16" s="1"/>
  <c r="S111" i="16"/>
  <c r="R112" i="16"/>
  <c r="T112" i="16" s="1"/>
  <c r="S112" i="16"/>
  <c r="R113" i="16"/>
  <c r="T113" i="16" s="1"/>
  <c r="S113" i="16"/>
  <c r="R114" i="16"/>
  <c r="T114" i="16" s="1"/>
  <c r="S114" i="16"/>
  <c r="R115" i="16"/>
  <c r="T115" i="16" s="1"/>
  <c r="S115" i="16"/>
  <c r="R116" i="16"/>
  <c r="T116" i="16" s="1"/>
  <c r="S116" i="16"/>
  <c r="R117" i="16"/>
  <c r="T117" i="16" s="1"/>
  <c r="S117" i="16"/>
  <c r="R118" i="16"/>
  <c r="T118" i="16" s="1"/>
  <c r="S118" i="16"/>
  <c r="R128" i="16"/>
  <c r="T128" i="16" s="1"/>
  <c r="S128" i="16"/>
  <c r="R129" i="16"/>
  <c r="T129" i="16" s="1"/>
  <c r="S129" i="16"/>
  <c r="R130" i="16"/>
  <c r="T130" i="16" s="1"/>
  <c r="S130" i="16"/>
  <c r="R131" i="16"/>
  <c r="T131" i="16" s="1"/>
  <c r="S131" i="16"/>
  <c r="R132" i="16"/>
  <c r="T132" i="16" s="1"/>
  <c r="S132" i="16"/>
  <c r="R133" i="16"/>
  <c r="T133" i="16" s="1"/>
  <c r="S133" i="16"/>
  <c r="R134" i="16"/>
  <c r="T134" i="16" s="1"/>
  <c r="S134" i="16"/>
  <c r="R135" i="16"/>
  <c r="T135" i="16" s="1"/>
  <c r="S135" i="16"/>
  <c r="R136" i="16"/>
  <c r="T136" i="16" s="1"/>
  <c r="S136" i="16"/>
  <c r="R137" i="16"/>
  <c r="T137" i="16" s="1"/>
  <c r="S137" i="16"/>
  <c r="R138" i="16"/>
  <c r="T138" i="16" s="1"/>
  <c r="S138" i="16"/>
  <c r="R139" i="16"/>
  <c r="T139" i="16" s="1"/>
  <c r="S139" i="16"/>
  <c r="R317" i="16"/>
  <c r="T317" i="16" s="1"/>
  <c r="S317" i="16"/>
  <c r="R322" i="16"/>
  <c r="T322" i="16" s="1"/>
  <c r="S322" i="16"/>
  <c r="R323" i="16"/>
  <c r="T323" i="16" s="1"/>
  <c r="S323" i="16"/>
  <c r="R328" i="16"/>
  <c r="T328" i="16" s="1"/>
  <c r="S328" i="16"/>
  <c r="R329" i="16"/>
  <c r="T329" i="16" s="1"/>
  <c r="S329" i="16"/>
  <c r="R172" i="16"/>
  <c r="T172" i="16" s="1"/>
  <c r="S172" i="16"/>
  <c r="R175" i="16"/>
  <c r="T175" i="16" s="1"/>
  <c r="S175" i="16"/>
  <c r="R176" i="16"/>
  <c r="T176" i="16" s="1"/>
  <c r="S176" i="16"/>
  <c r="R177" i="16"/>
  <c r="T177" i="16" s="1"/>
  <c r="S177" i="16"/>
  <c r="R178" i="16"/>
  <c r="T178" i="16" s="1"/>
  <c r="S178" i="16"/>
  <c r="R179" i="16"/>
  <c r="T179" i="16" s="1"/>
  <c r="S179" i="16"/>
  <c r="R180" i="16"/>
  <c r="T180" i="16" s="1"/>
  <c r="S180" i="16"/>
  <c r="R181" i="16"/>
  <c r="T181" i="16" s="1"/>
  <c r="S181" i="16"/>
  <c r="R182" i="16"/>
  <c r="T182" i="16" s="1"/>
  <c r="S182" i="16"/>
  <c r="R183" i="16"/>
  <c r="T183" i="16" s="1"/>
  <c r="S183" i="16"/>
  <c r="R184" i="16"/>
  <c r="T184" i="16" s="1"/>
  <c r="S184" i="16"/>
  <c r="R185" i="16"/>
  <c r="T185" i="16" s="1"/>
  <c r="S185" i="16"/>
  <c r="R186" i="16"/>
  <c r="T186" i="16" s="1"/>
  <c r="S186" i="16"/>
  <c r="R187" i="16"/>
  <c r="T187" i="16" s="1"/>
  <c r="S187" i="16"/>
  <c r="R188" i="16"/>
  <c r="T188" i="16" s="1"/>
  <c r="S188" i="16"/>
  <c r="R189" i="16"/>
  <c r="T189" i="16" s="1"/>
  <c r="S189" i="16"/>
  <c r="R190" i="16"/>
  <c r="T190" i="16" s="1"/>
  <c r="S190" i="16"/>
  <c r="R191" i="16"/>
  <c r="T191" i="16" s="1"/>
  <c r="S191" i="16"/>
  <c r="R215" i="16"/>
  <c r="T215" i="16" s="1"/>
  <c r="S215" i="16"/>
  <c r="R227" i="16"/>
  <c r="T227" i="16" s="1"/>
  <c r="S227" i="16"/>
  <c r="R171" i="16"/>
  <c r="T171" i="16" s="1"/>
  <c r="S171" i="16"/>
  <c r="R77" i="16"/>
  <c r="T77" i="16" s="1"/>
  <c r="S77" i="16"/>
  <c r="R78" i="16"/>
  <c r="T78" i="16" s="1"/>
  <c r="S78" i="16"/>
  <c r="R79" i="16"/>
  <c r="T79" i="16" s="1"/>
  <c r="S79" i="16"/>
  <c r="R80" i="16"/>
  <c r="T80" i="16" s="1"/>
  <c r="S80" i="16"/>
  <c r="R81" i="16"/>
  <c r="T81" i="16" s="1"/>
  <c r="S81" i="16"/>
  <c r="R82" i="16"/>
  <c r="T82" i="16" s="1"/>
  <c r="S82" i="16"/>
  <c r="R83" i="16"/>
  <c r="T83" i="16" s="1"/>
  <c r="S83" i="16"/>
  <c r="R84" i="16"/>
  <c r="T84" i="16" s="1"/>
  <c r="S84" i="16"/>
  <c r="R85" i="16"/>
  <c r="T85" i="16" s="1"/>
  <c r="S85" i="16"/>
  <c r="R97" i="16"/>
  <c r="T97" i="16" s="1"/>
  <c r="S97" i="16"/>
  <c r="R98" i="16"/>
  <c r="T98" i="16" s="1"/>
  <c r="S98" i="16"/>
  <c r="R99" i="16"/>
  <c r="T99" i="16" s="1"/>
  <c r="S99" i="16"/>
  <c r="R100" i="16"/>
  <c r="T100" i="16" s="1"/>
  <c r="S100" i="16"/>
  <c r="R101" i="16"/>
  <c r="T101" i="16" s="1"/>
  <c r="S101" i="16"/>
  <c r="R102" i="16"/>
  <c r="T102" i="16" s="1"/>
  <c r="S102" i="16"/>
  <c r="R103" i="16"/>
  <c r="T103" i="16" s="1"/>
  <c r="S103" i="16"/>
  <c r="R105" i="16"/>
  <c r="T105" i="16" s="1"/>
  <c r="S105" i="16"/>
  <c r="R127" i="16"/>
  <c r="T127" i="16" s="1"/>
  <c r="S127" i="16"/>
  <c r="R140" i="16"/>
  <c r="T140" i="16" s="1"/>
  <c r="S140" i="16"/>
  <c r="R141" i="16"/>
  <c r="T141" i="16" s="1"/>
  <c r="S141" i="16"/>
  <c r="R142" i="16"/>
  <c r="T142" i="16" s="1"/>
  <c r="S142" i="16"/>
  <c r="R143" i="16"/>
  <c r="T143" i="16" s="1"/>
  <c r="S143" i="16"/>
  <c r="R144" i="16"/>
  <c r="T144" i="16" s="1"/>
  <c r="S144" i="16"/>
  <c r="R145" i="16"/>
  <c r="T145" i="16" s="1"/>
  <c r="S145" i="16"/>
  <c r="R146" i="16"/>
  <c r="T146" i="16" s="1"/>
  <c r="S146" i="16"/>
  <c r="R152" i="16"/>
  <c r="T152" i="16" s="1"/>
  <c r="S152" i="16"/>
  <c r="R153" i="16"/>
  <c r="T153" i="16" s="1"/>
  <c r="S153" i="16"/>
  <c r="R154" i="16"/>
  <c r="T154" i="16" s="1"/>
  <c r="S154" i="16"/>
  <c r="R155" i="16"/>
  <c r="T155" i="16" s="1"/>
  <c r="S155" i="16"/>
  <c r="R156" i="16"/>
  <c r="T156" i="16" s="1"/>
  <c r="S156" i="16"/>
  <c r="R157" i="16"/>
  <c r="T157" i="16" s="1"/>
  <c r="S157" i="16"/>
  <c r="R158" i="16"/>
  <c r="T158" i="16" s="1"/>
  <c r="S158" i="16"/>
  <c r="R159" i="16"/>
  <c r="T159" i="16" s="1"/>
  <c r="S159" i="16"/>
  <c r="R160" i="16"/>
  <c r="T160" i="16" s="1"/>
  <c r="S160" i="16"/>
  <c r="R161" i="16"/>
  <c r="T161" i="16" s="1"/>
  <c r="S161" i="16"/>
  <c r="R162" i="16"/>
  <c r="T162" i="16" s="1"/>
  <c r="S162" i="16"/>
  <c r="R163" i="16"/>
  <c r="T163" i="16" s="1"/>
  <c r="S163" i="16"/>
  <c r="R164" i="16"/>
  <c r="T164" i="16" s="1"/>
  <c r="S164" i="16"/>
  <c r="R165" i="16"/>
  <c r="T165" i="16" s="1"/>
  <c r="S165" i="16"/>
  <c r="R166" i="16"/>
  <c r="T166" i="16" s="1"/>
  <c r="S166" i="16"/>
  <c r="R173" i="16"/>
  <c r="T173" i="16" s="1"/>
  <c r="S173" i="16"/>
  <c r="R174" i="16"/>
  <c r="T174" i="16" s="1"/>
  <c r="S174" i="16"/>
  <c r="R192" i="16"/>
  <c r="T192" i="16" s="1"/>
  <c r="S192" i="16"/>
  <c r="R204" i="16"/>
  <c r="T204" i="16" s="1"/>
  <c r="S204" i="16"/>
  <c r="R205" i="16"/>
  <c r="T205" i="16" s="1"/>
  <c r="S205" i="16"/>
  <c r="R206" i="16"/>
  <c r="T206" i="16" s="1"/>
  <c r="S206" i="16"/>
  <c r="R207" i="16"/>
  <c r="T207" i="16" s="1"/>
  <c r="S207" i="16"/>
  <c r="R208" i="16"/>
  <c r="T208" i="16" s="1"/>
  <c r="S208" i="16"/>
  <c r="R213" i="16"/>
  <c r="T213" i="16" s="1"/>
  <c r="S213" i="16"/>
  <c r="R214" i="16"/>
  <c r="T214" i="16" s="1"/>
  <c r="S214" i="16"/>
  <c r="R218" i="16"/>
  <c r="T218" i="16" s="1"/>
  <c r="S218" i="16"/>
  <c r="R219" i="16"/>
  <c r="T219" i="16" s="1"/>
  <c r="S219" i="16"/>
  <c r="R220" i="16"/>
  <c r="T220" i="16" s="1"/>
  <c r="S220" i="16"/>
  <c r="R221" i="16"/>
  <c r="T221" i="16" s="1"/>
  <c r="S221" i="16"/>
  <c r="R222" i="16"/>
  <c r="T222" i="16" s="1"/>
  <c r="S222" i="16"/>
  <c r="R223" i="16"/>
  <c r="T223" i="16" s="1"/>
  <c r="S223" i="16"/>
  <c r="R225" i="16"/>
  <c r="T225" i="16" s="1"/>
  <c r="S225" i="16"/>
  <c r="R226" i="16"/>
  <c r="T226" i="16" s="1"/>
  <c r="S226" i="16"/>
  <c r="R229" i="16"/>
  <c r="T229" i="16" s="1"/>
  <c r="S229" i="16"/>
  <c r="R231" i="16"/>
  <c r="T231" i="16" s="1"/>
  <c r="S231" i="16"/>
  <c r="R232" i="16"/>
  <c r="T232" i="16" s="1"/>
  <c r="S232" i="16"/>
  <c r="R233" i="16"/>
  <c r="T233" i="16" s="1"/>
  <c r="S233" i="16"/>
  <c r="R237" i="16"/>
  <c r="T237" i="16" s="1"/>
  <c r="S237" i="16"/>
  <c r="R239" i="16"/>
  <c r="T239" i="16" s="1"/>
  <c r="S239" i="16"/>
  <c r="R240" i="16"/>
  <c r="T240" i="16" s="1"/>
  <c r="S240" i="16"/>
  <c r="R241" i="16"/>
  <c r="T241" i="16" s="1"/>
  <c r="S241" i="16"/>
  <c r="R243" i="16"/>
  <c r="T243" i="16" s="1"/>
  <c r="S243" i="16"/>
  <c r="R244" i="16"/>
  <c r="T244" i="16" s="1"/>
  <c r="S244" i="16"/>
  <c r="R245" i="16"/>
  <c r="T245" i="16" s="1"/>
  <c r="S245" i="16"/>
  <c r="R249" i="16"/>
  <c r="T249" i="16" s="1"/>
  <c r="S249" i="16"/>
  <c r="R250" i="16"/>
  <c r="T250" i="16" s="1"/>
  <c r="S250" i="16"/>
  <c r="R251" i="16"/>
  <c r="T251" i="16" s="1"/>
  <c r="S251" i="16"/>
  <c r="R260" i="16"/>
  <c r="T260" i="16" s="1"/>
  <c r="S260" i="16"/>
  <c r="R261" i="16"/>
  <c r="T261" i="16" s="1"/>
  <c r="S261" i="16"/>
  <c r="R262" i="16"/>
  <c r="T262" i="16" s="1"/>
  <c r="S262" i="16"/>
  <c r="R264" i="16"/>
  <c r="T264" i="16" s="1"/>
  <c r="S264" i="16"/>
  <c r="R265" i="16"/>
  <c r="T265" i="16" s="1"/>
  <c r="S265" i="16"/>
  <c r="R267" i="16"/>
  <c r="T267" i="16" s="1"/>
  <c r="S267" i="16"/>
  <c r="R271" i="16"/>
  <c r="T271" i="16" s="1"/>
  <c r="S271" i="16"/>
  <c r="R273" i="16"/>
  <c r="T273" i="16" s="1"/>
  <c r="S273" i="16"/>
  <c r="R278" i="16"/>
  <c r="T278" i="16" s="1"/>
  <c r="S278" i="16"/>
  <c r="R279" i="16"/>
  <c r="T279" i="16" s="1"/>
  <c r="S279" i="16"/>
  <c r="R280" i="16"/>
  <c r="T280" i="16" s="1"/>
  <c r="S280" i="16"/>
  <c r="R281" i="16"/>
  <c r="T281" i="16" s="1"/>
  <c r="S281" i="16"/>
  <c r="R282" i="16"/>
  <c r="T282" i="16" s="1"/>
  <c r="S282" i="16"/>
  <c r="R287" i="16"/>
  <c r="T287" i="16" s="1"/>
  <c r="S287" i="16"/>
  <c r="R291" i="16"/>
  <c r="T291" i="16" s="1"/>
  <c r="S291" i="16"/>
  <c r="R292" i="16"/>
  <c r="T292" i="16" s="1"/>
  <c r="S292" i="16"/>
  <c r="R293" i="16"/>
  <c r="T293" i="16" s="1"/>
  <c r="S293" i="16"/>
  <c r="R295" i="16"/>
  <c r="T295" i="16" s="1"/>
  <c r="S295" i="16"/>
  <c r="R298" i="16"/>
  <c r="T298" i="16" s="1"/>
  <c r="S298" i="16"/>
  <c r="R299" i="16"/>
  <c r="T299" i="16" s="1"/>
  <c r="S299" i="16"/>
  <c r="R300" i="16"/>
  <c r="T300" i="16" s="1"/>
  <c r="S300" i="16"/>
  <c r="R301" i="16"/>
  <c r="T301" i="16" s="1"/>
  <c r="S301" i="16"/>
  <c r="R302" i="16"/>
  <c r="T302" i="16" s="1"/>
  <c r="S302" i="16"/>
  <c r="R305" i="16"/>
  <c r="T305" i="16" s="1"/>
  <c r="S305" i="16"/>
  <c r="R308" i="16"/>
  <c r="T308" i="16" s="1"/>
  <c r="S308" i="16"/>
  <c r="R314" i="16"/>
  <c r="T314" i="16" s="1"/>
  <c r="S314" i="16"/>
  <c r="R319" i="16"/>
  <c r="T319" i="16" s="1"/>
  <c r="S319" i="16"/>
  <c r="R320" i="16"/>
  <c r="T320" i="16" s="1"/>
  <c r="S320" i="16"/>
  <c r="R147" i="16"/>
  <c r="T147" i="16" s="1"/>
  <c r="S147" i="16"/>
  <c r="R148" i="16"/>
  <c r="T148" i="16" s="1"/>
  <c r="S148" i="16"/>
  <c r="R149" i="16"/>
  <c r="T149" i="16" s="1"/>
  <c r="S149" i="16"/>
  <c r="R324" i="16"/>
  <c r="T324" i="16" s="1"/>
  <c r="S324" i="16"/>
  <c r="R167" i="16"/>
  <c r="T167" i="16" s="1"/>
  <c r="S167" i="16"/>
  <c r="R168" i="16"/>
  <c r="T168" i="16" s="1"/>
  <c r="S168" i="16"/>
  <c r="R169" i="16"/>
  <c r="T169" i="16" s="1"/>
  <c r="S169" i="16"/>
  <c r="R170" i="16"/>
  <c r="T170" i="16" s="1"/>
  <c r="S170" i="16"/>
  <c r="R330" i="16"/>
  <c r="T330" i="16" s="1"/>
  <c r="S330" i="16"/>
  <c r="R332" i="16"/>
  <c r="T332" i="16" s="1"/>
  <c r="S332" i="16"/>
  <c r="R333" i="16"/>
  <c r="T333" i="16" s="1"/>
  <c r="S333" i="16"/>
  <c r="R334" i="16"/>
  <c r="T334" i="16" s="1"/>
  <c r="S334" i="16"/>
  <c r="R335" i="16"/>
  <c r="T335" i="16" s="1"/>
  <c r="S335" i="16"/>
  <c r="R7" i="16"/>
  <c r="T7" i="16" s="1"/>
  <c r="S7" i="16"/>
  <c r="R4" i="16"/>
  <c r="T4" i="16" s="1"/>
  <c r="S4" i="16"/>
  <c r="R5" i="16"/>
  <c r="T5" i="16" s="1"/>
  <c r="S5" i="16"/>
  <c r="R6" i="16"/>
  <c r="T6" i="16" s="1"/>
  <c r="S6" i="16"/>
  <c r="R8" i="16"/>
  <c r="T8" i="16" s="1"/>
  <c r="S8" i="16"/>
  <c r="R9" i="16"/>
  <c r="T9" i="16" s="1"/>
  <c r="S9" i="16"/>
  <c r="R10" i="16"/>
  <c r="T10" i="16" s="1"/>
  <c r="S10" i="16"/>
  <c r="R11" i="16"/>
  <c r="T11" i="16" s="1"/>
  <c r="S11" i="16"/>
  <c r="Z3" i="16"/>
  <c r="S62" i="13" s="1"/>
  <c r="V503" i="16"/>
  <c r="AE30" i="16"/>
  <c r="AF30" i="16" s="1"/>
  <c r="AD30" i="16"/>
  <c r="Z11" i="16"/>
  <c r="X11" i="16"/>
  <c r="AJ12" i="16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F28" i="10"/>
  <c r="E5" i="10"/>
  <c r="F23" i="10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95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06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96" i="7"/>
  <c r="J97" i="7"/>
  <c r="J457" i="7"/>
  <c r="AD150" i="16"/>
  <c r="AE150" i="16"/>
  <c r="AF150" i="16" s="1"/>
  <c r="AE59" i="16"/>
  <c r="AF59" i="16" s="1"/>
  <c r="AD59" i="16"/>
  <c r="AD60" i="16"/>
  <c r="AE60" i="16"/>
  <c r="AF60" i="16" s="1"/>
  <c r="AE61" i="16"/>
  <c r="AF61" i="16" s="1"/>
  <c r="AD61" i="16"/>
  <c r="AD62" i="16"/>
  <c r="AE62" i="16"/>
  <c r="AF62" i="16" s="1"/>
  <c r="AE63" i="16"/>
  <c r="AF63" i="16" s="1"/>
  <c r="AD63" i="16"/>
  <c r="AD64" i="16"/>
  <c r="AE64" i="16"/>
  <c r="AF64" i="16" s="1"/>
  <c r="AD65" i="16"/>
  <c r="AE65" i="16"/>
  <c r="AF65" i="16" s="1"/>
  <c r="AE66" i="16"/>
  <c r="AF66" i="16" s="1"/>
  <c r="AD66" i="16"/>
  <c r="AD151" i="16"/>
  <c r="AE151" i="16"/>
  <c r="AF151" i="16" s="1"/>
  <c r="AE119" i="16"/>
  <c r="AF119" i="16" s="1"/>
  <c r="AD119" i="16"/>
  <c r="AE120" i="16"/>
  <c r="AF120" i="16" s="1"/>
  <c r="AD120" i="16"/>
  <c r="AD121" i="16"/>
  <c r="AE121" i="16"/>
  <c r="AF121" i="16" s="1"/>
  <c r="AE122" i="16"/>
  <c r="AF122" i="16" s="1"/>
  <c r="AD122" i="16"/>
  <c r="AD123" i="16"/>
  <c r="AE123" i="16"/>
  <c r="AF123" i="16" s="1"/>
  <c r="AE124" i="16"/>
  <c r="AF124" i="16" s="1"/>
  <c r="AD124" i="16"/>
  <c r="AE125" i="16"/>
  <c r="AF125" i="16" s="1"/>
  <c r="AD125" i="16"/>
  <c r="AD126" i="16"/>
  <c r="AE126" i="16"/>
  <c r="AF126" i="16" s="1"/>
  <c r="AD76" i="16"/>
  <c r="AE76" i="16"/>
  <c r="AF76" i="16" s="1"/>
  <c r="AE18" i="16"/>
  <c r="AF18" i="16" s="1"/>
  <c r="AD18" i="16"/>
  <c r="AD19" i="16"/>
  <c r="AE19" i="16"/>
  <c r="AF19" i="16" s="1"/>
  <c r="AE20" i="16"/>
  <c r="AF20" i="16" s="1"/>
  <c r="AD20" i="16"/>
  <c r="AE22" i="16"/>
  <c r="AF22" i="16" s="1"/>
  <c r="AD22" i="16"/>
  <c r="AE23" i="16"/>
  <c r="AF23" i="16" s="1"/>
  <c r="AD23" i="16"/>
  <c r="AE24" i="16"/>
  <c r="AF24" i="16" s="1"/>
  <c r="AD24" i="16"/>
  <c r="AE25" i="16"/>
  <c r="AF25" i="16" s="1"/>
  <c r="AD25" i="16"/>
  <c r="AE26" i="16"/>
  <c r="AF26" i="16" s="1"/>
  <c r="AD26" i="16"/>
  <c r="AE27" i="16"/>
  <c r="AF27" i="16" s="1"/>
  <c r="AD27" i="16"/>
  <c r="AE28" i="16"/>
  <c r="AF28" i="16" s="1"/>
  <c r="AD28" i="16"/>
  <c r="AE29" i="16"/>
  <c r="AF29" i="16" s="1"/>
  <c r="AD29" i="16"/>
  <c r="AD36" i="16"/>
  <c r="AE36" i="16"/>
  <c r="AF36" i="16" s="1"/>
  <c r="AD37" i="16"/>
  <c r="AE37" i="16"/>
  <c r="AF37" i="16" s="1"/>
  <c r="AE38" i="16"/>
  <c r="AF38" i="16" s="1"/>
  <c r="AD38" i="16"/>
  <c r="AE39" i="16"/>
  <c r="AF39" i="16" s="1"/>
  <c r="AD39" i="16"/>
  <c r="AE40" i="16"/>
  <c r="AF40" i="16" s="1"/>
  <c r="AD40" i="16"/>
  <c r="AD42" i="16"/>
  <c r="AE42" i="16"/>
  <c r="AF42" i="16" s="1"/>
  <c r="AE43" i="16"/>
  <c r="AF43" i="16" s="1"/>
  <c r="AD43" i="16"/>
  <c r="AD48" i="16"/>
  <c r="AE48" i="16"/>
  <c r="AF48" i="16" s="1"/>
  <c r="AD49" i="16"/>
  <c r="AE49" i="16"/>
  <c r="AF49" i="16" s="1"/>
  <c r="AD50" i="16"/>
  <c r="AE50" i="16"/>
  <c r="AF50" i="16" s="1"/>
  <c r="AD51" i="16"/>
  <c r="AE51" i="16"/>
  <c r="AF51" i="16" s="1"/>
  <c r="AE52" i="16"/>
  <c r="AF52" i="16" s="1"/>
  <c r="AD52" i="16"/>
  <c r="AE53" i="16"/>
  <c r="AF53" i="16" s="1"/>
  <c r="AD53" i="16"/>
  <c r="AE54" i="16"/>
  <c r="AF54" i="16" s="1"/>
  <c r="AD54" i="16"/>
  <c r="AD326" i="16"/>
  <c r="AE326" i="16"/>
  <c r="AF326" i="16" s="1"/>
  <c r="AE498" i="16"/>
  <c r="AF498" i="16" s="1"/>
  <c r="AD498" i="16"/>
  <c r="AE499" i="16"/>
  <c r="AF499" i="16" s="1"/>
  <c r="AD499" i="16"/>
  <c r="AE500" i="16"/>
  <c r="AF500" i="16" s="1"/>
  <c r="AD500" i="16"/>
  <c r="AE501" i="16"/>
  <c r="AF501" i="16" s="1"/>
  <c r="AD501" i="16"/>
  <c r="AE502" i="16"/>
  <c r="AF502" i="16" s="1"/>
  <c r="AD502" i="16"/>
  <c r="AE21" i="16"/>
  <c r="AF21" i="16" s="1"/>
  <c r="AD21" i="16"/>
  <c r="AE31" i="16"/>
  <c r="AF31" i="16" s="1"/>
  <c r="AD31" i="16"/>
  <c r="AE32" i="16"/>
  <c r="AF32" i="16" s="1"/>
  <c r="AD32" i="16"/>
  <c r="AE33" i="16"/>
  <c r="AF33" i="16" s="1"/>
  <c r="AD33" i="16"/>
  <c r="AE34" i="16"/>
  <c r="AF34" i="16" s="1"/>
  <c r="AD34" i="16"/>
  <c r="AD35" i="16"/>
  <c r="AE35" i="16"/>
  <c r="AF35" i="16" s="1"/>
  <c r="AD41" i="16"/>
  <c r="AE41" i="16"/>
  <c r="AF41" i="16" s="1"/>
  <c r="AE44" i="16"/>
  <c r="AF44" i="16" s="1"/>
  <c r="AD44" i="16"/>
  <c r="AE45" i="16"/>
  <c r="AF45" i="16" s="1"/>
  <c r="AD45" i="16"/>
  <c r="AE46" i="16"/>
  <c r="AF46" i="16" s="1"/>
  <c r="AD46" i="16"/>
  <c r="AD47" i="16"/>
  <c r="AE47" i="16"/>
  <c r="AF47" i="16" s="1"/>
  <c r="AE55" i="16"/>
  <c r="AF55" i="16" s="1"/>
  <c r="AD55" i="16"/>
  <c r="AD56" i="16"/>
  <c r="AE56" i="16"/>
  <c r="AF56" i="16" s="1"/>
  <c r="AE57" i="16"/>
  <c r="AF57" i="16" s="1"/>
  <c r="AD57" i="16"/>
  <c r="AE58" i="16"/>
  <c r="AF58" i="16" s="1"/>
  <c r="AD58" i="16"/>
  <c r="AD67" i="16"/>
  <c r="AE67" i="16"/>
  <c r="AF67" i="16" s="1"/>
  <c r="AE68" i="16"/>
  <c r="AF68" i="16" s="1"/>
  <c r="AD68" i="16"/>
  <c r="AE69" i="16"/>
  <c r="AF69" i="16" s="1"/>
  <c r="AD69" i="16"/>
  <c r="AE70" i="16"/>
  <c r="AF70" i="16" s="1"/>
  <c r="AD70" i="16"/>
  <c r="AD71" i="16"/>
  <c r="AE71" i="16"/>
  <c r="AF71" i="16" s="1"/>
  <c r="AE72" i="16"/>
  <c r="AF72" i="16" s="1"/>
  <c r="AD72" i="16"/>
  <c r="AD73" i="16"/>
  <c r="AE73" i="16"/>
  <c r="AF73" i="16" s="1"/>
  <c r="AE74" i="16"/>
  <c r="AF74" i="16" s="1"/>
  <c r="AD74" i="16"/>
  <c r="AE75" i="16"/>
  <c r="AF75" i="16" s="1"/>
  <c r="AD75" i="16"/>
  <c r="AD86" i="16"/>
  <c r="AE86" i="16"/>
  <c r="AF86" i="16" s="1"/>
  <c r="AE87" i="16"/>
  <c r="AF87" i="16" s="1"/>
  <c r="AD87" i="16"/>
  <c r="AD88" i="16"/>
  <c r="AE88" i="16"/>
  <c r="AF88" i="16" s="1"/>
  <c r="AD89" i="16"/>
  <c r="AE89" i="16"/>
  <c r="AF89" i="16" s="1"/>
  <c r="AD90" i="16"/>
  <c r="AE90" i="16"/>
  <c r="AF90" i="16" s="1"/>
  <c r="AE91" i="16"/>
  <c r="AF91" i="16" s="1"/>
  <c r="AD91" i="16"/>
  <c r="AE92" i="16"/>
  <c r="AF92" i="16" s="1"/>
  <c r="AD92" i="16"/>
  <c r="AD93" i="16"/>
  <c r="AE93" i="16"/>
  <c r="AF93" i="16" s="1"/>
  <c r="AE94" i="16"/>
  <c r="AF94" i="16" s="1"/>
  <c r="AD94" i="16"/>
  <c r="AD95" i="16"/>
  <c r="AE95" i="16"/>
  <c r="AF95" i="16" s="1"/>
  <c r="AD96" i="16"/>
  <c r="AE96" i="16"/>
  <c r="AF96" i="16" s="1"/>
  <c r="AE104" i="16"/>
  <c r="AF104" i="16" s="1"/>
  <c r="AD104" i="16"/>
  <c r="AD106" i="16"/>
  <c r="AE106" i="16"/>
  <c r="AF106" i="16" s="1"/>
  <c r="AE107" i="16"/>
  <c r="AF107" i="16" s="1"/>
  <c r="AD107" i="16"/>
  <c r="AD108" i="16"/>
  <c r="AE108" i="16"/>
  <c r="AF108" i="16" s="1"/>
  <c r="AD109" i="16"/>
  <c r="AE109" i="16"/>
  <c r="AF109" i="16" s="1"/>
  <c r="AD110" i="16"/>
  <c r="AE110" i="16"/>
  <c r="AF110" i="16" s="1"/>
  <c r="AD111" i="16"/>
  <c r="AE111" i="16"/>
  <c r="AF111" i="16" s="1"/>
  <c r="AE112" i="16"/>
  <c r="AF112" i="16" s="1"/>
  <c r="AD112" i="16"/>
  <c r="AD113" i="16"/>
  <c r="AE113" i="16"/>
  <c r="AF113" i="16" s="1"/>
  <c r="AD114" i="16"/>
  <c r="AE114" i="16"/>
  <c r="AF114" i="16" s="1"/>
  <c r="AD115" i="16"/>
  <c r="AE115" i="16"/>
  <c r="AF115" i="16" s="1"/>
  <c r="AD116" i="16"/>
  <c r="AE116" i="16"/>
  <c r="AF116" i="16" s="1"/>
  <c r="AD117" i="16"/>
  <c r="AE117" i="16"/>
  <c r="AF117" i="16" s="1"/>
  <c r="AD118" i="16"/>
  <c r="AE118" i="16"/>
  <c r="AF118" i="16" s="1"/>
  <c r="AD128" i="16"/>
  <c r="AE128" i="16"/>
  <c r="AF128" i="16" s="1"/>
  <c r="AE129" i="16"/>
  <c r="AF129" i="16" s="1"/>
  <c r="AD129" i="16"/>
  <c r="AD130" i="16"/>
  <c r="AE130" i="16"/>
  <c r="AF130" i="16" s="1"/>
  <c r="AE131" i="16"/>
  <c r="AF131" i="16" s="1"/>
  <c r="AD131" i="16"/>
  <c r="AD132" i="16"/>
  <c r="AE132" i="16"/>
  <c r="AF132" i="16" s="1"/>
  <c r="AE133" i="16"/>
  <c r="AF133" i="16" s="1"/>
  <c r="AD133" i="16"/>
  <c r="AD134" i="16"/>
  <c r="AE134" i="16"/>
  <c r="AF134" i="16" s="1"/>
  <c r="AE135" i="16"/>
  <c r="AF135" i="16" s="1"/>
  <c r="AD135" i="16"/>
  <c r="AE136" i="16"/>
  <c r="AF136" i="16" s="1"/>
  <c r="AD136" i="16"/>
  <c r="AD137" i="16"/>
  <c r="AE137" i="16"/>
  <c r="AF137" i="16" s="1"/>
  <c r="AE138" i="16"/>
  <c r="AF138" i="16" s="1"/>
  <c r="AD138" i="16"/>
  <c r="AD139" i="16"/>
  <c r="AE139" i="16"/>
  <c r="AF139" i="16" s="1"/>
  <c r="AD317" i="16"/>
  <c r="AE317" i="16"/>
  <c r="AF317" i="16" s="1"/>
  <c r="AD322" i="16"/>
  <c r="AE322" i="16"/>
  <c r="AF322" i="16" s="1"/>
  <c r="AD323" i="16"/>
  <c r="AE323" i="16"/>
  <c r="AF323" i="16" s="1"/>
  <c r="AE328" i="16"/>
  <c r="AF328" i="16" s="1"/>
  <c r="AD328" i="16"/>
  <c r="AE329" i="16"/>
  <c r="AF329" i="16" s="1"/>
  <c r="AD329" i="16"/>
  <c r="AE172" i="16"/>
  <c r="AF172" i="16" s="1"/>
  <c r="AD172" i="16"/>
  <c r="AE175" i="16"/>
  <c r="AF175" i="16" s="1"/>
  <c r="AD175" i="16"/>
  <c r="AD176" i="16"/>
  <c r="AE176" i="16"/>
  <c r="AF176" i="16" s="1"/>
  <c r="AD177" i="16"/>
  <c r="AE177" i="16"/>
  <c r="AF177" i="16" s="1"/>
  <c r="AE178" i="16"/>
  <c r="AF178" i="16" s="1"/>
  <c r="AD178" i="16"/>
  <c r="AD179" i="16"/>
  <c r="AE179" i="16"/>
  <c r="AF179" i="16" s="1"/>
  <c r="AD180" i="16"/>
  <c r="AE180" i="16"/>
  <c r="AF180" i="16" s="1"/>
  <c r="AE181" i="16"/>
  <c r="AF181" i="16" s="1"/>
  <c r="AD181" i="16"/>
  <c r="AE182" i="16"/>
  <c r="AF182" i="16" s="1"/>
  <c r="AD182" i="16"/>
  <c r="AE183" i="16"/>
  <c r="AF183" i="16" s="1"/>
  <c r="AD183" i="16"/>
  <c r="AE184" i="16"/>
  <c r="AF184" i="16" s="1"/>
  <c r="AD184" i="16"/>
  <c r="AD185" i="16"/>
  <c r="AE185" i="16"/>
  <c r="AF185" i="16" s="1"/>
  <c r="AD186" i="16"/>
  <c r="AE186" i="16"/>
  <c r="AF186" i="16" s="1"/>
  <c r="AE187" i="16"/>
  <c r="AF187" i="16" s="1"/>
  <c r="AD187" i="16"/>
  <c r="AD188" i="16"/>
  <c r="AE188" i="16"/>
  <c r="AF188" i="16" s="1"/>
  <c r="AE189" i="16"/>
  <c r="AF189" i="16" s="1"/>
  <c r="AD189" i="16"/>
  <c r="AE190" i="16"/>
  <c r="AF190" i="16" s="1"/>
  <c r="AD190" i="16"/>
  <c r="AD191" i="16"/>
  <c r="AE191" i="16"/>
  <c r="AF191" i="16" s="1"/>
  <c r="AD215" i="16"/>
  <c r="AE215" i="16"/>
  <c r="AF215" i="16" s="1"/>
  <c r="AE227" i="16"/>
  <c r="AF227" i="16" s="1"/>
  <c r="AD227" i="16"/>
  <c r="AE171" i="16"/>
  <c r="AF171" i="16" s="1"/>
  <c r="AD171" i="16"/>
  <c r="AD77" i="16"/>
  <c r="AE77" i="16"/>
  <c r="AF77" i="16" s="1"/>
  <c r="AD78" i="16"/>
  <c r="AE78" i="16"/>
  <c r="AF78" i="16" s="1"/>
  <c r="AE79" i="16"/>
  <c r="AF79" i="16" s="1"/>
  <c r="AD79" i="16"/>
  <c r="AD80" i="16"/>
  <c r="AE80" i="16"/>
  <c r="AF80" i="16" s="1"/>
  <c r="AD81" i="16"/>
  <c r="AE81" i="16"/>
  <c r="AF81" i="16" s="1"/>
  <c r="AD82" i="16"/>
  <c r="AE82" i="16"/>
  <c r="AF82" i="16" s="1"/>
  <c r="AE83" i="16"/>
  <c r="AF83" i="16" s="1"/>
  <c r="AD83" i="16"/>
  <c r="AD84" i="16"/>
  <c r="AE84" i="16"/>
  <c r="AF84" i="16" s="1"/>
  <c r="AE85" i="16"/>
  <c r="AF85" i="16" s="1"/>
  <c r="AD85" i="16"/>
  <c r="AD97" i="16"/>
  <c r="AE97" i="16"/>
  <c r="AF97" i="16" s="1"/>
  <c r="AD98" i="16"/>
  <c r="AE98" i="16"/>
  <c r="AF98" i="16" s="1"/>
  <c r="AD99" i="16"/>
  <c r="AE99" i="16"/>
  <c r="AF99" i="16" s="1"/>
  <c r="AE100" i="16"/>
  <c r="AF100" i="16" s="1"/>
  <c r="AD100" i="16"/>
  <c r="AE101" i="16"/>
  <c r="AF101" i="16" s="1"/>
  <c r="AD101" i="16"/>
  <c r="AD102" i="16"/>
  <c r="AE102" i="16"/>
  <c r="AF102" i="16" s="1"/>
  <c r="AD103" i="16"/>
  <c r="AE103" i="16"/>
  <c r="AF103" i="16" s="1"/>
  <c r="AD105" i="16"/>
  <c r="AE105" i="16"/>
  <c r="AF105" i="16" s="1"/>
  <c r="AE127" i="16"/>
  <c r="AF127" i="16" s="1"/>
  <c r="AD127" i="16"/>
  <c r="AE140" i="16"/>
  <c r="AF140" i="16" s="1"/>
  <c r="AD140" i="16"/>
  <c r="AD141" i="16"/>
  <c r="AE141" i="16"/>
  <c r="AF141" i="16" s="1"/>
  <c r="AD142" i="16"/>
  <c r="AE142" i="16"/>
  <c r="AF142" i="16" s="1"/>
  <c r="AE143" i="16"/>
  <c r="AF143" i="16" s="1"/>
  <c r="AD143" i="16"/>
  <c r="AD144" i="16"/>
  <c r="AE144" i="16"/>
  <c r="AF144" i="16" s="1"/>
  <c r="AD145" i="16"/>
  <c r="AE145" i="16"/>
  <c r="AF145" i="16" s="1"/>
  <c r="AE146" i="16"/>
  <c r="AF146" i="16" s="1"/>
  <c r="AD146" i="16"/>
  <c r="AE152" i="16"/>
  <c r="AF152" i="16" s="1"/>
  <c r="AD152" i="16"/>
  <c r="AE153" i="16"/>
  <c r="AF153" i="16" s="1"/>
  <c r="AD153" i="16"/>
  <c r="AE154" i="16"/>
  <c r="AF154" i="16" s="1"/>
  <c r="AD154" i="16"/>
  <c r="AD155" i="16"/>
  <c r="AE155" i="16"/>
  <c r="AF155" i="16" s="1"/>
  <c r="AE156" i="16"/>
  <c r="AF156" i="16" s="1"/>
  <c r="AD156" i="16"/>
  <c r="AE157" i="16"/>
  <c r="AF157" i="16" s="1"/>
  <c r="AD157" i="16"/>
  <c r="AE158" i="16"/>
  <c r="AF158" i="16" s="1"/>
  <c r="AD158" i="16"/>
  <c r="AD159" i="16"/>
  <c r="AE159" i="16"/>
  <c r="AF159" i="16" s="1"/>
  <c r="AE160" i="16"/>
  <c r="AF160" i="16" s="1"/>
  <c r="AD160" i="16"/>
  <c r="AE161" i="16"/>
  <c r="AF161" i="16" s="1"/>
  <c r="AD161" i="16"/>
  <c r="AD162" i="16"/>
  <c r="AE162" i="16"/>
  <c r="AF162" i="16" s="1"/>
  <c r="AE163" i="16"/>
  <c r="AF163" i="16" s="1"/>
  <c r="AD163" i="16"/>
  <c r="AD164" i="16"/>
  <c r="AE164" i="16"/>
  <c r="AF164" i="16" s="1"/>
  <c r="AD165" i="16"/>
  <c r="AE165" i="16"/>
  <c r="AF165" i="16" s="1"/>
  <c r="AE166" i="16"/>
  <c r="AF166" i="16" s="1"/>
  <c r="AD166" i="16"/>
  <c r="AD173" i="16"/>
  <c r="AE173" i="16"/>
  <c r="AF173" i="16" s="1"/>
  <c r="AD174" i="16"/>
  <c r="AE174" i="16"/>
  <c r="AF174" i="16" s="1"/>
  <c r="AE192" i="16"/>
  <c r="AF192" i="16" s="1"/>
  <c r="AD192" i="16"/>
  <c r="AE204" i="16"/>
  <c r="AF204" i="16" s="1"/>
  <c r="AD204" i="16"/>
  <c r="AE205" i="16"/>
  <c r="AF205" i="16" s="1"/>
  <c r="AD205" i="16"/>
  <c r="AE206" i="16"/>
  <c r="AF206" i="16" s="1"/>
  <c r="AD206" i="16"/>
  <c r="AD207" i="16"/>
  <c r="AE207" i="16"/>
  <c r="AF207" i="16" s="1"/>
  <c r="AE208" i="16"/>
  <c r="AF208" i="16" s="1"/>
  <c r="AD208" i="16"/>
  <c r="AD213" i="16"/>
  <c r="AE213" i="16"/>
  <c r="AF213" i="16" s="1"/>
  <c r="AE214" i="16"/>
  <c r="AF214" i="16" s="1"/>
  <c r="AD214" i="16"/>
  <c r="AD218" i="16"/>
  <c r="AE218" i="16"/>
  <c r="AF218" i="16" s="1"/>
  <c r="AD219" i="16"/>
  <c r="AE219" i="16"/>
  <c r="AF219" i="16" s="1"/>
  <c r="AE220" i="16"/>
  <c r="AF220" i="16" s="1"/>
  <c r="AD220" i="16"/>
  <c r="AD221" i="16"/>
  <c r="AE221" i="16"/>
  <c r="AF221" i="16" s="1"/>
  <c r="AD222" i="16"/>
  <c r="AE222" i="16"/>
  <c r="AF222" i="16" s="1"/>
  <c r="AE223" i="16"/>
  <c r="AF223" i="16" s="1"/>
  <c r="AD223" i="16"/>
  <c r="AD225" i="16"/>
  <c r="AE225" i="16"/>
  <c r="AF225" i="16" s="1"/>
  <c r="AE226" i="16"/>
  <c r="AF226" i="16" s="1"/>
  <c r="AD226" i="16"/>
  <c r="AE229" i="16"/>
  <c r="AF229" i="16" s="1"/>
  <c r="AD229" i="16"/>
  <c r="AE231" i="16"/>
  <c r="AF231" i="16" s="1"/>
  <c r="AD231" i="16"/>
  <c r="AD232" i="16"/>
  <c r="AE232" i="16"/>
  <c r="AF232" i="16" s="1"/>
  <c r="AD233" i="16"/>
  <c r="AE233" i="16"/>
  <c r="AF233" i="16" s="1"/>
  <c r="AD237" i="16"/>
  <c r="AE237" i="16"/>
  <c r="AF237" i="16" s="1"/>
  <c r="AD239" i="16"/>
  <c r="AE239" i="16"/>
  <c r="AF239" i="16" s="1"/>
  <c r="AE240" i="16"/>
  <c r="AF240" i="16" s="1"/>
  <c r="AD240" i="16"/>
  <c r="AE241" i="16"/>
  <c r="AF241" i="16" s="1"/>
  <c r="AD241" i="16"/>
  <c r="AD243" i="16"/>
  <c r="AE243" i="16"/>
  <c r="AF243" i="16" s="1"/>
  <c r="AE244" i="16"/>
  <c r="AF244" i="16" s="1"/>
  <c r="AD244" i="16"/>
  <c r="AD245" i="16"/>
  <c r="AE245" i="16"/>
  <c r="AF245" i="16" s="1"/>
  <c r="AD249" i="16"/>
  <c r="AE249" i="16"/>
  <c r="AF249" i="16" s="1"/>
  <c r="AE250" i="16"/>
  <c r="AF250" i="16" s="1"/>
  <c r="AD250" i="16"/>
  <c r="AD251" i="16"/>
  <c r="AE251" i="16"/>
  <c r="AF251" i="16" s="1"/>
  <c r="AD260" i="16"/>
  <c r="AE260" i="16"/>
  <c r="AF260" i="16" s="1"/>
  <c r="AD261" i="16"/>
  <c r="AE261" i="16"/>
  <c r="AF261" i="16" s="1"/>
  <c r="AE262" i="16"/>
  <c r="AF262" i="16" s="1"/>
  <c r="AD262" i="16"/>
  <c r="AD264" i="16"/>
  <c r="AE264" i="16"/>
  <c r="AF264" i="16" s="1"/>
  <c r="AE265" i="16"/>
  <c r="AF265" i="16" s="1"/>
  <c r="AD265" i="16"/>
  <c r="AD267" i="16"/>
  <c r="AE267" i="16"/>
  <c r="AF267" i="16" s="1"/>
  <c r="AE271" i="16"/>
  <c r="AF271" i="16" s="1"/>
  <c r="AD271" i="16"/>
  <c r="AD273" i="16"/>
  <c r="AE273" i="16"/>
  <c r="AF273" i="16" s="1"/>
  <c r="AE278" i="16"/>
  <c r="AF278" i="16" s="1"/>
  <c r="AD278" i="16"/>
  <c r="AD279" i="16"/>
  <c r="AE279" i="16"/>
  <c r="AF279" i="16" s="1"/>
  <c r="AD280" i="16"/>
  <c r="AE280" i="16"/>
  <c r="AF280" i="16" s="1"/>
  <c r="AE281" i="16"/>
  <c r="AF281" i="16" s="1"/>
  <c r="AD281" i="16"/>
  <c r="AE282" i="16"/>
  <c r="AF282" i="16" s="1"/>
  <c r="AD282" i="16"/>
  <c r="AD287" i="16"/>
  <c r="AE287" i="16"/>
  <c r="AF287" i="16" s="1"/>
  <c r="AD291" i="16"/>
  <c r="AE291" i="16"/>
  <c r="AF291" i="16" s="1"/>
  <c r="AE292" i="16"/>
  <c r="AF292" i="16" s="1"/>
  <c r="AD292" i="16"/>
  <c r="AD293" i="16"/>
  <c r="AE293" i="16"/>
  <c r="AF293" i="16" s="1"/>
  <c r="AE295" i="16"/>
  <c r="AF295" i="16" s="1"/>
  <c r="AD295" i="16"/>
  <c r="AD298" i="16"/>
  <c r="AE298" i="16"/>
  <c r="AF298" i="16" s="1"/>
  <c r="AE299" i="16"/>
  <c r="AF299" i="16" s="1"/>
  <c r="AD299" i="16"/>
  <c r="AD300" i="16"/>
  <c r="AE300" i="16"/>
  <c r="AF300" i="16" s="1"/>
  <c r="AD301" i="16"/>
  <c r="AE301" i="16"/>
  <c r="AF301" i="16" s="1"/>
  <c r="AE302" i="16"/>
  <c r="AF302" i="16" s="1"/>
  <c r="AD302" i="16"/>
  <c r="AE305" i="16"/>
  <c r="AF305" i="16" s="1"/>
  <c r="AD305" i="16"/>
  <c r="AD308" i="16"/>
  <c r="AE308" i="16"/>
  <c r="AF308" i="16" s="1"/>
  <c r="AD314" i="16"/>
  <c r="AE314" i="16"/>
  <c r="AF314" i="16" s="1"/>
  <c r="AE319" i="16"/>
  <c r="AF319" i="16" s="1"/>
  <c r="AD319" i="16"/>
  <c r="AD320" i="16"/>
  <c r="AE320" i="16"/>
  <c r="AF320" i="16" s="1"/>
  <c r="AD147" i="16"/>
  <c r="AE147" i="16"/>
  <c r="AF147" i="16" s="1"/>
  <c r="AD148" i="16"/>
  <c r="AE148" i="16"/>
  <c r="AF148" i="16" s="1"/>
  <c r="AE149" i="16"/>
  <c r="AF149" i="16" s="1"/>
  <c r="AD149" i="16"/>
  <c r="AE324" i="16"/>
  <c r="AF324" i="16" s="1"/>
  <c r="AD324" i="16"/>
  <c r="AD167" i="16"/>
  <c r="AE167" i="16"/>
  <c r="AF167" i="16" s="1"/>
  <c r="AD168" i="16"/>
  <c r="AE168" i="16"/>
  <c r="AF168" i="16" s="1"/>
  <c r="AE169" i="16"/>
  <c r="AF169" i="16" s="1"/>
  <c r="AD169" i="16"/>
  <c r="AD170" i="16"/>
  <c r="AE170" i="16"/>
  <c r="AF170" i="16" s="1"/>
  <c r="AE330" i="16"/>
  <c r="AF330" i="16" s="1"/>
  <c r="AD330" i="16"/>
  <c r="AE332" i="16"/>
  <c r="AF332" i="16" s="1"/>
  <c r="AD332" i="16"/>
  <c r="AD333" i="16"/>
  <c r="AE333" i="16"/>
  <c r="AF333" i="16" s="1"/>
  <c r="AD334" i="16"/>
  <c r="AE334" i="16"/>
  <c r="AF334" i="16" s="1"/>
  <c r="AE335" i="16"/>
  <c r="AF335" i="16" s="1"/>
  <c r="AD335" i="16"/>
  <c r="AC395" i="16"/>
  <c r="AA395" i="16"/>
  <c r="AB395" i="16" s="1"/>
  <c r="P395" i="16"/>
  <c r="AA335" i="16"/>
  <c r="AB335" i="16" s="1"/>
  <c r="P335" i="16"/>
  <c r="AC336" i="16"/>
  <c r="AA336" i="16"/>
  <c r="AB336" i="16" s="1"/>
  <c r="P336" i="16"/>
  <c r="AC337" i="16"/>
  <c r="AA337" i="16"/>
  <c r="AB337" i="16" s="1"/>
  <c r="P337" i="16"/>
  <c r="AC338" i="16"/>
  <c r="AA338" i="16"/>
  <c r="AB338" i="16" s="1"/>
  <c r="P338" i="16"/>
  <c r="AC339" i="16"/>
  <c r="AA339" i="16"/>
  <c r="AB339" i="16" s="1"/>
  <c r="P339" i="16"/>
  <c r="AC340" i="16"/>
  <c r="AA340" i="16"/>
  <c r="AB340" i="16" s="1"/>
  <c r="P340" i="16"/>
  <c r="AC341" i="16"/>
  <c r="AA341" i="16"/>
  <c r="AB341" i="16" s="1"/>
  <c r="P341" i="16"/>
  <c r="AC342" i="16"/>
  <c r="AA342" i="16"/>
  <c r="AB342" i="16" s="1"/>
  <c r="P342" i="16"/>
  <c r="AC343" i="16"/>
  <c r="AA343" i="16"/>
  <c r="AB343" i="16" s="1"/>
  <c r="P343" i="16"/>
  <c r="AC344" i="16"/>
  <c r="AA344" i="16"/>
  <c r="AB344" i="16" s="1"/>
  <c r="P344" i="16"/>
  <c r="AC345" i="16"/>
  <c r="AA345" i="16"/>
  <c r="AB345" i="16" s="1"/>
  <c r="P345" i="16"/>
  <c r="AC346" i="16"/>
  <c r="AA346" i="16"/>
  <c r="AB346" i="16" s="1"/>
  <c r="P346" i="16"/>
  <c r="AC347" i="16"/>
  <c r="AA347" i="16"/>
  <c r="AB347" i="16" s="1"/>
  <c r="P347" i="16"/>
  <c r="AC348" i="16"/>
  <c r="AA348" i="16"/>
  <c r="AB348" i="16" s="1"/>
  <c r="P348" i="16"/>
  <c r="AC349" i="16"/>
  <c r="AA349" i="16"/>
  <c r="AB349" i="16" s="1"/>
  <c r="P349" i="16"/>
  <c r="AC350" i="16"/>
  <c r="AA350" i="16"/>
  <c r="AB350" i="16" s="1"/>
  <c r="P350" i="16"/>
  <c r="AC351" i="16"/>
  <c r="AA351" i="16"/>
  <c r="AB351" i="16" s="1"/>
  <c r="P351" i="16"/>
  <c r="AC352" i="16"/>
  <c r="AA352" i="16"/>
  <c r="AB352" i="16" s="1"/>
  <c r="P352" i="16"/>
  <c r="AC353" i="16"/>
  <c r="AA353" i="16"/>
  <c r="AB353" i="16" s="1"/>
  <c r="P353" i="16"/>
  <c r="AC354" i="16"/>
  <c r="AA354" i="16"/>
  <c r="AB354" i="16" s="1"/>
  <c r="P354" i="16"/>
  <c r="AC355" i="16"/>
  <c r="AA355" i="16"/>
  <c r="AB355" i="16" s="1"/>
  <c r="P355" i="16"/>
  <c r="AC356" i="16"/>
  <c r="AA356" i="16"/>
  <c r="AB356" i="16" s="1"/>
  <c r="P356" i="16"/>
  <c r="AC357" i="16"/>
  <c r="AA357" i="16"/>
  <c r="AB357" i="16" s="1"/>
  <c r="P357" i="16"/>
  <c r="AC358" i="16"/>
  <c r="P358" i="16"/>
  <c r="AA358" i="16"/>
  <c r="AB358" i="16" s="1"/>
  <c r="AC359" i="16"/>
  <c r="AA359" i="16"/>
  <c r="AB359" i="16" s="1"/>
  <c r="P359" i="16"/>
  <c r="AC360" i="16"/>
  <c r="AA360" i="16"/>
  <c r="AB360" i="16" s="1"/>
  <c r="P360" i="16"/>
  <c r="AC361" i="16"/>
  <c r="AA361" i="16"/>
  <c r="AB361" i="16" s="1"/>
  <c r="P361" i="16"/>
  <c r="AC362" i="16"/>
  <c r="AA362" i="16"/>
  <c r="AB362" i="16" s="1"/>
  <c r="P362" i="16"/>
  <c r="AC363" i="16"/>
  <c r="AA363" i="16"/>
  <c r="AB363" i="16" s="1"/>
  <c r="P363" i="16"/>
  <c r="AC364" i="16"/>
  <c r="AA364" i="16"/>
  <c r="AB364" i="16" s="1"/>
  <c r="P364" i="16"/>
  <c r="AC365" i="16"/>
  <c r="AA365" i="16"/>
  <c r="AB365" i="16" s="1"/>
  <c r="P365" i="16"/>
  <c r="AC366" i="16"/>
  <c r="AA366" i="16"/>
  <c r="AB366" i="16" s="1"/>
  <c r="P366" i="16"/>
  <c r="AC367" i="16"/>
  <c r="AA367" i="16"/>
  <c r="AB367" i="16" s="1"/>
  <c r="P367" i="16"/>
  <c r="AC368" i="16"/>
  <c r="AA368" i="16"/>
  <c r="AB368" i="16" s="1"/>
  <c r="P368" i="16"/>
  <c r="AC369" i="16"/>
  <c r="AA369" i="16"/>
  <c r="AB369" i="16" s="1"/>
  <c r="P369" i="16"/>
  <c r="AC370" i="16"/>
  <c r="AA370" i="16"/>
  <c r="AB370" i="16" s="1"/>
  <c r="P370" i="16"/>
  <c r="AC371" i="16"/>
  <c r="AA371" i="16"/>
  <c r="AB371" i="16" s="1"/>
  <c r="P371" i="16"/>
  <c r="AC372" i="16"/>
  <c r="AA372" i="16"/>
  <c r="AB372" i="16" s="1"/>
  <c r="P372" i="16"/>
  <c r="AC373" i="16"/>
  <c r="AA373" i="16"/>
  <c r="AB373" i="16" s="1"/>
  <c r="P373" i="16"/>
  <c r="AC374" i="16"/>
  <c r="AA374" i="16"/>
  <c r="AB374" i="16" s="1"/>
  <c r="P374" i="16"/>
  <c r="AC375" i="16"/>
  <c r="AA375" i="16"/>
  <c r="AB375" i="16" s="1"/>
  <c r="P375" i="16"/>
  <c r="AC376" i="16"/>
  <c r="AA376" i="16"/>
  <c r="AB376" i="16" s="1"/>
  <c r="P376" i="16"/>
  <c r="AC377" i="16"/>
  <c r="AA377" i="16"/>
  <c r="AB377" i="16" s="1"/>
  <c r="P377" i="16"/>
  <c r="AC378" i="16"/>
  <c r="AA378" i="16"/>
  <c r="AB378" i="16" s="1"/>
  <c r="P378" i="16"/>
  <c r="AC379" i="16"/>
  <c r="AA379" i="16"/>
  <c r="AB379" i="16" s="1"/>
  <c r="P379" i="16"/>
  <c r="AC380" i="16"/>
  <c r="AA380" i="16"/>
  <c r="AB380" i="16" s="1"/>
  <c r="P380" i="16"/>
  <c r="AC381" i="16"/>
  <c r="AA381" i="16"/>
  <c r="AB381" i="16" s="1"/>
  <c r="P381" i="16"/>
  <c r="AC382" i="16"/>
  <c r="AA382" i="16"/>
  <c r="AB382" i="16" s="1"/>
  <c r="P382" i="16"/>
  <c r="AC383" i="16"/>
  <c r="AA383" i="16"/>
  <c r="AB383" i="16" s="1"/>
  <c r="P383" i="16"/>
  <c r="AC384" i="16"/>
  <c r="AA384" i="16"/>
  <c r="AB384" i="16" s="1"/>
  <c r="P384" i="16"/>
  <c r="AC385" i="16"/>
  <c r="AA385" i="16"/>
  <c r="AB385" i="16" s="1"/>
  <c r="P385" i="16"/>
  <c r="AC386" i="16"/>
  <c r="AA386" i="16"/>
  <c r="AB386" i="16" s="1"/>
  <c r="P386" i="16"/>
  <c r="AC387" i="16"/>
  <c r="AA387" i="16"/>
  <c r="AB387" i="16" s="1"/>
  <c r="P387" i="16"/>
  <c r="AC388" i="16"/>
  <c r="AA388" i="16"/>
  <c r="AB388" i="16" s="1"/>
  <c r="P388" i="16"/>
  <c r="AC389" i="16"/>
  <c r="AA389" i="16"/>
  <c r="AB389" i="16" s="1"/>
  <c r="P389" i="16"/>
  <c r="AC390" i="16"/>
  <c r="AA390" i="16"/>
  <c r="AB390" i="16" s="1"/>
  <c r="P390" i="16"/>
  <c r="AC391" i="16"/>
  <c r="AA391" i="16"/>
  <c r="AB391" i="16" s="1"/>
  <c r="P391" i="16"/>
  <c r="AC392" i="16"/>
  <c r="P392" i="16"/>
  <c r="AA392" i="16"/>
  <c r="AB392" i="16" s="1"/>
  <c r="AC393" i="16"/>
  <c r="AA393" i="16"/>
  <c r="AB393" i="16" s="1"/>
  <c r="P393" i="16"/>
  <c r="AC394" i="16"/>
  <c r="AA394" i="16"/>
  <c r="AB394" i="16" s="1"/>
  <c r="P394" i="16"/>
  <c r="AC456" i="16"/>
  <c r="P456" i="16"/>
  <c r="AA456" i="16"/>
  <c r="AB456" i="16" s="1"/>
  <c r="AC396" i="16"/>
  <c r="AA396" i="16"/>
  <c r="AB396" i="16" s="1"/>
  <c r="P396" i="16"/>
  <c r="AC397" i="16"/>
  <c r="P397" i="16"/>
  <c r="AA397" i="16"/>
  <c r="AB397" i="16" s="1"/>
  <c r="AC398" i="16"/>
  <c r="AA398" i="16"/>
  <c r="AB398" i="16" s="1"/>
  <c r="P398" i="16"/>
  <c r="AC399" i="16"/>
  <c r="AA399" i="16"/>
  <c r="AB399" i="16" s="1"/>
  <c r="P399" i="16"/>
  <c r="AC400" i="16"/>
  <c r="AA400" i="16"/>
  <c r="AB400" i="16" s="1"/>
  <c r="P400" i="16"/>
  <c r="AC401" i="16"/>
  <c r="AA401" i="16"/>
  <c r="AB401" i="16" s="1"/>
  <c r="P401" i="16"/>
  <c r="AC402" i="16"/>
  <c r="AA402" i="16"/>
  <c r="AB402" i="16" s="1"/>
  <c r="P402" i="16"/>
  <c r="AC403" i="16"/>
  <c r="AA403" i="16"/>
  <c r="AB403" i="16" s="1"/>
  <c r="P403" i="16"/>
  <c r="AC404" i="16"/>
  <c r="AA404" i="16"/>
  <c r="AB404" i="16" s="1"/>
  <c r="P404" i="16"/>
  <c r="AC405" i="16"/>
  <c r="AA405" i="16"/>
  <c r="AB405" i="16" s="1"/>
  <c r="P405" i="16"/>
  <c r="AC406" i="16"/>
  <c r="AA406" i="16"/>
  <c r="AB406" i="16" s="1"/>
  <c r="P406" i="16"/>
  <c r="AC407" i="16"/>
  <c r="P407" i="16"/>
  <c r="AA407" i="16"/>
  <c r="AB407" i="16" s="1"/>
  <c r="AC408" i="16"/>
  <c r="AA408" i="16"/>
  <c r="AB408" i="16" s="1"/>
  <c r="P408" i="16"/>
  <c r="AC409" i="16"/>
  <c r="AA409" i="16"/>
  <c r="AB409" i="16" s="1"/>
  <c r="P409" i="16"/>
  <c r="AC410" i="16"/>
  <c r="AA410" i="16"/>
  <c r="AB410" i="16" s="1"/>
  <c r="P410" i="16"/>
  <c r="AC411" i="16"/>
  <c r="AA411" i="16"/>
  <c r="AB411" i="16" s="1"/>
  <c r="P411" i="16"/>
  <c r="AC412" i="16"/>
  <c r="AA412" i="16"/>
  <c r="AB412" i="16" s="1"/>
  <c r="P412" i="16"/>
  <c r="AC413" i="16"/>
  <c r="AA413" i="16"/>
  <c r="AB413" i="16" s="1"/>
  <c r="P413" i="16"/>
  <c r="AC414" i="16"/>
  <c r="P414" i="16"/>
  <c r="AA414" i="16"/>
  <c r="AB414" i="16" s="1"/>
  <c r="AC415" i="16"/>
  <c r="AA415" i="16"/>
  <c r="AB415" i="16" s="1"/>
  <c r="P415" i="16"/>
  <c r="AC416" i="16"/>
  <c r="AA416" i="16"/>
  <c r="AB416" i="16" s="1"/>
  <c r="P416" i="16"/>
  <c r="AC417" i="16"/>
  <c r="AA417" i="16"/>
  <c r="AB417" i="16" s="1"/>
  <c r="P417" i="16"/>
  <c r="AC418" i="16"/>
  <c r="AA418" i="16"/>
  <c r="AB418" i="16" s="1"/>
  <c r="P418" i="16"/>
  <c r="AC419" i="16"/>
  <c r="AA419" i="16"/>
  <c r="AB419" i="16" s="1"/>
  <c r="P419" i="16"/>
  <c r="AC420" i="16"/>
  <c r="AA420" i="16"/>
  <c r="AB420" i="16" s="1"/>
  <c r="P420" i="16"/>
  <c r="AC421" i="16"/>
  <c r="AA421" i="16"/>
  <c r="AB421" i="16" s="1"/>
  <c r="P421" i="16"/>
  <c r="AC422" i="16"/>
  <c r="P422" i="16"/>
  <c r="AA422" i="16"/>
  <c r="AB422" i="16" s="1"/>
  <c r="AC423" i="16"/>
  <c r="AA423" i="16"/>
  <c r="AB423" i="16" s="1"/>
  <c r="P423" i="16"/>
  <c r="AC424" i="16"/>
  <c r="AA424" i="16"/>
  <c r="AB424" i="16" s="1"/>
  <c r="P424" i="16"/>
  <c r="AC425" i="16"/>
  <c r="AA425" i="16"/>
  <c r="AB425" i="16" s="1"/>
  <c r="P425" i="16"/>
  <c r="AC426" i="16"/>
  <c r="AA426" i="16"/>
  <c r="AB426" i="16" s="1"/>
  <c r="P426" i="16"/>
  <c r="AC427" i="16"/>
  <c r="AA427" i="16"/>
  <c r="AB427" i="16" s="1"/>
  <c r="P427" i="16"/>
  <c r="AC428" i="16"/>
  <c r="AA428" i="16"/>
  <c r="AB428" i="16" s="1"/>
  <c r="P428" i="16"/>
  <c r="AC429" i="16"/>
  <c r="AA429" i="16"/>
  <c r="AB429" i="16" s="1"/>
  <c r="P429" i="16"/>
  <c r="AC430" i="16"/>
  <c r="AA430" i="16"/>
  <c r="AB430" i="16" s="1"/>
  <c r="P430" i="16"/>
  <c r="AC431" i="16"/>
  <c r="AA431" i="16"/>
  <c r="AB431" i="16" s="1"/>
  <c r="P431" i="16"/>
  <c r="AC432" i="16"/>
  <c r="AA432" i="16"/>
  <c r="AB432" i="16" s="1"/>
  <c r="P432" i="16"/>
  <c r="AC433" i="16"/>
  <c r="AA433" i="16"/>
  <c r="AB433" i="16" s="1"/>
  <c r="P433" i="16"/>
  <c r="AC434" i="16"/>
  <c r="AA434" i="16"/>
  <c r="AB434" i="16" s="1"/>
  <c r="P434" i="16"/>
  <c r="AC435" i="16"/>
  <c r="AA435" i="16"/>
  <c r="AB435" i="16" s="1"/>
  <c r="P435" i="16"/>
  <c r="AC436" i="16"/>
  <c r="AA436" i="16"/>
  <c r="AB436" i="16" s="1"/>
  <c r="P436" i="16"/>
  <c r="AC437" i="16"/>
  <c r="AA437" i="16"/>
  <c r="AB437" i="16" s="1"/>
  <c r="P437" i="16"/>
  <c r="AC438" i="16"/>
  <c r="AA438" i="16"/>
  <c r="AB438" i="16" s="1"/>
  <c r="P438" i="16"/>
  <c r="AC439" i="16"/>
  <c r="AA439" i="16"/>
  <c r="AB439" i="16" s="1"/>
  <c r="P439" i="16"/>
  <c r="AC440" i="16"/>
  <c r="AA440" i="16"/>
  <c r="AB440" i="16" s="1"/>
  <c r="P440" i="16"/>
  <c r="AC441" i="16"/>
  <c r="AA441" i="16"/>
  <c r="AB441" i="16" s="1"/>
  <c r="P441" i="16"/>
  <c r="AC442" i="16"/>
  <c r="AA442" i="16"/>
  <c r="AB442" i="16" s="1"/>
  <c r="P442" i="16"/>
  <c r="AC443" i="16"/>
  <c r="AA443" i="16"/>
  <c r="AB443" i="16" s="1"/>
  <c r="P443" i="16"/>
  <c r="AC444" i="16"/>
  <c r="AA444" i="16"/>
  <c r="AB444" i="16" s="1"/>
  <c r="P444" i="16"/>
  <c r="AC445" i="16"/>
  <c r="AA445" i="16"/>
  <c r="AB445" i="16" s="1"/>
  <c r="P445" i="16"/>
  <c r="AC446" i="16"/>
  <c r="AA446" i="16"/>
  <c r="AB446" i="16" s="1"/>
  <c r="P446" i="16"/>
  <c r="AC447" i="16"/>
  <c r="AA447" i="16"/>
  <c r="AB447" i="16" s="1"/>
  <c r="P447" i="16"/>
  <c r="AC448" i="16"/>
  <c r="AA448" i="16"/>
  <c r="AB448" i="16" s="1"/>
  <c r="P448" i="16"/>
  <c r="AC449" i="16"/>
  <c r="AA449" i="16"/>
  <c r="AB449" i="16" s="1"/>
  <c r="P449" i="16"/>
  <c r="AC450" i="16"/>
  <c r="AA450" i="16"/>
  <c r="AB450" i="16" s="1"/>
  <c r="P450" i="16"/>
  <c r="AC451" i="16"/>
  <c r="AA451" i="16"/>
  <c r="AB451" i="16" s="1"/>
  <c r="P451" i="16"/>
  <c r="AC452" i="16"/>
  <c r="AA452" i="16"/>
  <c r="AB452" i="16" s="1"/>
  <c r="P452" i="16"/>
  <c r="AC453" i="16"/>
  <c r="AA453" i="16"/>
  <c r="AB453" i="16" s="1"/>
  <c r="P453" i="16"/>
  <c r="AC454" i="16"/>
  <c r="P454" i="16"/>
  <c r="AA454" i="16"/>
  <c r="AB454" i="16" s="1"/>
  <c r="AC455" i="16"/>
  <c r="AA455" i="16"/>
  <c r="AB455" i="16" s="1"/>
  <c r="P455" i="16"/>
  <c r="AC331" i="16"/>
  <c r="AA331" i="16"/>
  <c r="AB331" i="16" s="1"/>
  <c r="P331" i="16"/>
  <c r="AC457" i="16"/>
  <c r="AA457" i="16"/>
  <c r="AB457" i="16" s="1"/>
  <c r="P457" i="16"/>
  <c r="AC458" i="16"/>
  <c r="AA458" i="16"/>
  <c r="AB458" i="16" s="1"/>
  <c r="P458" i="16"/>
  <c r="AC459" i="16"/>
  <c r="AA459" i="16"/>
  <c r="AB459" i="16" s="1"/>
  <c r="P459" i="16"/>
  <c r="AC460" i="16"/>
  <c r="AA460" i="16"/>
  <c r="AB460" i="16" s="1"/>
  <c r="P460" i="16"/>
  <c r="AC461" i="16"/>
  <c r="AA461" i="16"/>
  <c r="AB461" i="16" s="1"/>
  <c r="P461" i="16"/>
  <c r="AC462" i="16"/>
  <c r="AA462" i="16"/>
  <c r="AB462" i="16" s="1"/>
  <c r="P462" i="16"/>
  <c r="AC463" i="16"/>
  <c r="AA463" i="16"/>
  <c r="AB463" i="16" s="1"/>
  <c r="P463" i="16"/>
  <c r="AC464" i="16"/>
  <c r="AA464" i="16"/>
  <c r="AB464" i="16" s="1"/>
  <c r="P464" i="16"/>
  <c r="AC465" i="16"/>
  <c r="AA465" i="16"/>
  <c r="AB465" i="16" s="1"/>
  <c r="P465" i="16"/>
  <c r="AC466" i="16"/>
  <c r="AA466" i="16"/>
  <c r="AB466" i="16" s="1"/>
  <c r="P466" i="16"/>
  <c r="AC467" i="16"/>
  <c r="AA467" i="16"/>
  <c r="AB467" i="16" s="1"/>
  <c r="P467" i="16"/>
  <c r="AC468" i="16"/>
  <c r="AA468" i="16"/>
  <c r="AB468" i="16" s="1"/>
  <c r="P468" i="16"/>
  <c r="AC469" i="16"/>
  <c r="AA469" i="16"/>
  <c r="AB469" i="16" s="1"/>
  <c r="P469" i="16"/>
  <c r="AC470" i="16"/>
  <c r="AA470" i="16"/>
  <c r="AB470" i="16" s="1"/>
  <c r="P470" i="16"/>
  <c r="AC471" i="16"/>
  <c r="AA471" i="16"/>
  <c r="AB471" i="16" s="1"/>
  <c r="P471" i="16"/>
  <c r="AC473" i="16"/>
  <c r="AA473" i="16"/>
  <c r="AB473" i="16" s="1"/>
  <c r="P473" i="16"/>
  <c r="AC474" i="16"/>
  <c r="AA474" i="16"/>
  <c r="AB474" i="16" s="1"/>
  <c r="P474" i="16"/>
  <c r="AC475" i="16"/>
  <c r="AA475" i="16"/>
  <c r="AB475" i="16" s="1"/>
  <c r="P475" i="16"/>
  <c r="AC476" i="16"/>
  <c r="AA476" i="16"/>
  <c r="AB476" i="16" s="1"/>
  <c r="P476" i="16"/>
  <c r="AC477" i="16"/>
  <c r="AA477" i="16"/>
  <c r="AB477" i="16" s="1"/>
  <c r="P477" i="16"/>
  <c r="AC478" i="16"/>
  <c r="AA478" i="16"/>
  <c r="AB478" i="16" s="1"/>
  <c r="P478" i="16"/>
  <c r="AC479" i="16"/>
  <c r="AA479" i="16"/>
  <c r="AB479" i="16" s="1"/>
  <c r="P479" i="16"/>
  <c r="AC480" i="16"/>
  <c r="AA480" i="16"/>
  <c r="AB480" i="16" s="1"/>
  <c r="P480" i="16"/>
  <c r="AC481" i="16"/>
  <c r="AA481" i="16"/>
  <c r="AB481" i="16" s="1"/>
  <c r="P481" i="16"/>
  <c r="AC482" i="16"/>
  <c r="AA482" i="16"/>
  <c r="AB482" i="16" s="1"/>
  <c r="P482" i="16"/>
  <c r="AC483" i="16"/>
  <c r="AA483" i="16"/>
  <c r="AB483" i="16" s="1"/>
  <c r="P483" i="16"/>
  <c r="AC484" i="16"/>
  <c r="AA484" i="16"/>
  <c r="AB484" i="16" s="1"/>
  <c r="P484" i="16"/>
  <c r="AC485" i="16"/>
  <c r="AA485" i="16"/>
  <c r="AB485" i="16" s="1"/>
  <c r="P485" i="16"/>
  <c r="AC486" i="16"/>
  <c r="AA486" i="16"/>
  <c r="AB486" i="16" s="1"/>
  <c r="P486" i="16"/>
  <c r="AC487" i="16"/>
  <c r="AA487" i="16"/>
  <c r="AB487" i="16" s="1"/>
  <c r="P487" i="16"/>
  <c r="AC488" i="16"/>
  <c r="AA488" i="16"/>
  <c r="AB488" i="16" s="1"/>
  <c r="P488" i="16"/>
  <c r="AC489" i="16"/>
  <c r="AA489" i="16"/>
  <c r="AB489" i="16" s="1"/>
  <c r="P489" i="16"/>
  <c r="AC490" i="16"/>
  <c r="AA490" i="16"/>
  <c r="AB490" i="16" s="1"/>
  <c r="P490" i="16"/>
  <c r="AC491" i="16"/>
  <c r="AA491" i="16"/>
  <c r="AB491" i="16" s="1"/>
  <c r="P491" i="16"/>
  <c r="AC492" i="16"/>
  <c r="AA492" i="16"/>
  <c r="AB492" i="16" s="1"/>
  <c r="P492" i="16"/>
  <c r="AC493" i="16"/>
  <c r="AA493" i="16"/>
  <c r="AB493" i="16" s="1"/>
  <c r="P493" i="16"/>
  <c r="AC494" i="16"/>
  <c r="AA494" i="16"/>
  <c r="AB494" i="16" s="1"/>
  <c r="P494" i="16"/>
  <c r="AC495" i="16"/>
  <c r="AA495" i="16"/>
  <c r="AB495" i="16" s="1"/>
  <c r="P495" i="16"/>
  <c r="AC496" i="16"/>
  <c r="AA496" i="16"/>
  <c r="AB496" i="16" s="1"/>
  <c r="P496" i="16"/>
  <c r="AC12" i="16"/>
  <c r="AA12" i="16"/>
  <c r="AB12" i="16" s="1"/>
  <c r="P12" i="16"/>
  <c r="AC13" i="16"/>
  <c r="AA13" i="16"/>
  <c r="AB13" i="16" s="1"/>
  <c r="P13" i="16"/>
  <c r="AC14" i="16"/>
  <c r="AA14" i="16"/>
  <c r="AB14" i="16" s="1"/>
  <c r="P14" i="16"/>
  <c r="AC15" i="16"/>
  <c r="AA15" i="16"/>
  <c r="AB15" i="16" s="1"/>
  <c r="P15" i="16"/>
  <c r="AC16" i="16"/>
  <c r="AA16" i="16"/>
  <c r="AB16" i="16" s="1"/>
  <c r="P16" i="16"/>
  <c r="AC17" i="16"/>
  <c r="AA17" i="16"/>
  <c r="AB17" i="16" s="1"/>
  <c r="P17" i="16"/>
  <c r="AA18" i="16"/>
  <c r="AB18" i="16" s="1"/>
  <c r="P18" i="16"/>
  <c r="AA19" i="16"/>
  <c r="AB19" i="16" s="1"/>
  <c r="P19" i="16"/>
  <c r="AA20" i="16"/>
  <c r="AB20" i="16" s="1"/>
  <c r="P20" i="16"/>
  <c r="AA22" i="16"/>
  <c r="AB22" i="16" s="1"/>
  <c r="P22" i="16"/>
  <c r="AA23" i="16"/>
  <c r="AB23" i="16" s="1"/>
  <c r="P23" i="16"/>
  <c r="AA24" i="16"/>
  <c r="AB24" i="16" s="1"/>
  <c r="P24" i="16"/>
  <c r="AA25" i="16"/>
  <c r="AB25" i="16" s="1"/>
  <c r="P25" i="16"/>
  <c r="AA26" i="16"/>
  <c r="AB26" i="16" s="1"/>
  <c r="P26" i="16"/>
  <c r="AA27" i="16"/>
  <c r="AB27" i="16" s="1"/>
  <c r="P27" i="16"/>
  <c r="AA28" i="16"/>
  <c r="AB28" i="16" s="1"/>
  <c r="P28" i="16"/>
  <c r="AA36" i="16"/>
  <c r="AB36" i="16" s="1"/>
  <c r="P36" i="16"/>
  <c r="AA37" i="16"/>
  <c r="AB37" i="16" s="1"/>
  <c r="P37" i="16"/>
  <c r="AA38" i="16"/>
  <c r="AB38" i="16" s="1"/>
  <c r="P38" i="16"/>
  <c r="AA39" i="16"/>
  <c r="AB39" i="16" s="1"/>
  <c r="P39" i="16"/>
  <c r="AA40" i="16"/>
  <c r="AB40" i="16" s="1"/>
  <c r="P40" i="16"/>
  <c r="AA42" i="16"/>
  <c r="AB42" i="16" s="1"/>
  <c r="P42" i="16"/>
  <c r="AA43" i="16"/>
  <c r="AB43" i="16" s="1"/>
  <c r="P43" i="16"/>
  <c r="AA48" i="16"/>
  <c r="AB48" i="16" s="1"/>
  <c r="P48" i="16"/>
  <c r="AA49" i="16"/>
  <c r="AB49" i="16" s="1"/>
  <c r="P49" i="16"/>
  <c r="AA50" i="16"/>
  <c r="AB50" i="16" s="1"/>
  <c r="P50" i="16"/>
  <c r="AA51" i="16"/>
  <c r="AB51" i="16" s="1"/>
  <c r="P51" i="16"/>
  <c r="AA52" i="16"/>
  <c r="AB52" i="16" s="1"/>
  <c r="P52" i="16"/>
  <c r="AA53" i="16"/>
  <c r="AB53" i="16" s="1"/>
  <c r="P53" i="16"/>
  <c r="AA59" i="16"/>
  <c r="AB59" i="16" s="1"/>
  <c r="P59" i="16"/>
  <c r="AA60" i="16"/>
  <c r="AB60" i="16" s="1"/>
  <c r="P60" i="16"/>
  <c r="AA61" i="16"/>
  <c r="AB61" i="16" s="1"/>
  <c r="P61" i="16"/>
  <c r="AA62" i="16"/>
  <c r="AB62" i="16" s="1"/>
  <c r="P62" i="16"/>
  <c r="AA63" i="16"/>
  <c r="AB63" i="16" s="1"/>
  <c r="P63" i="16"/>
  <c r="AA64" i="16"/>
  <c r="AB64" i="16" s="1"/>
  <c r="P64" i="16"/>
  <c r="AA65" i="16"/>
  <c r="AB65" i="16" s="1"/>
  <c r="P65" i="16"/>
  <c r="AA67" i="16"/>
  <c r="AB67" i="16" s="1"/>
  <c r="P67" i="16"/>
  <c r="AA76" i="16"/>
  <c r="AB76" i="16" s="1"/>
  <c r="P76" i="16"/>
  <c r="AA77" i="16"/>
  <c r="AB77" i="16" s="1"/>
  <c r="P77" i="16"/>
  <c r="AA79" i="16"/>
  <c r="AB79" i="16" s="1"/>
  <c r="P79" i="16"/>
  <c r="AA80" i="16"/>
  <c r="AB80" i="16" s="1"/>
  <c r="P80" i="16"/>
  <c r="AA81" i="16"/>
  <c r="AB81" i="16" s="1"/>
  <c r="P81" i="16"/>
  <c r="AA82" i="16"/>
  <c r="AB82" i="16" s="1"/>
  <c r="P82" i="16"/>
  <c r="AA83" i="16"/>
  <c r="AB83" i="16" s="1"/>
  <c r="P83" i="16"/>
  <c r="AA84" i="16"/>
  <c r="AB84" i="16" s="1"/>
  <c r="P84" i="16"/>
  <c r="AA85" i="16"/>
  <c r="AB85" i="16" s="1"/>
  <c r="P85" i="16"/>
  <c r="P96" i="16"/>
  <c r="AA96" i="16"/>
  <c r="AB96" i="16" s="1"/>
  <c r="AA97" i="16"/>
  <c r="AB97" i="16" s="1"/>
  <c r="P97" i="16"/>
  <c r="P98" i="16"/>
  <c r="AA98" i="16"/>
  <c r="AB98" i="16" s="1"/>
  <c r="AA99" i="16"/>
  <c r="AB99" i="16" s="1"/>
  <c r="P99" i="16"/>
  <c r="AA100" i="16"/>
  <c r="AB100" i="16" s="1"/>
  <c r="P100" i="16"/>
  <c r="P101" i="16"/>
  <c r="AA101" i="16"/>
  <c r="AB101" i="16" s="1"/>
  <c r="AA102" i="16"/>
  <c r="AB102" i="16" s="1"/>
  <c r="P102" i="16"/>
  <c r="AA103" i="16"/>
  <c r="AB103" i="16" s="1"/>
  <c r="P103" i="16"/>
  <c r="AA105" i="16"/>
  <c r="AB105" i="16" s="1"/>
  <c r="P105" i="16"/>
  <c r="P119" i="16"/>
  <c r="AA119" i="16"/>
  <c r="AB119" i="16" s="1"/>
  <c r="AA120" i="16"/>
  <c r="AB120" i="16" s="1"/>
  <c r="P120" i="16"/>
  <c r="AA121" i="16"/>
  <c r="AB121" i="16" s="1"/>
  <c r="P121" i="16"/>
  <c r="AA122" i="16"/>
  <c r="AB122" i="16" s="1"/>
  <c r="P122" i="16"/>
  <c r="P123" i="16"/>
  <c r="AA123" i="16"/>
  <c r="AB123" i="16" s="1"/>
  <c r="P124" i="16"/>
  <c r="AA124" i="16"/>
  <c r="AB124" i="16" s="1"/>
  <c r="AA125" i="16"/>
  <c r="AB125" i="16" s="1"/>
  <c r="P125" i="16"/>
  <c r="AA126" i="16"/>
  <c r="AB126" i="16" s="1"/>
  <c r="P126" i="16"/>
  <c r="AA127" i="16"/>
  <c r="AB127" i="16" s="1"/>
  <c r="P127" i="16"/>
  <c r="AA138" i="16"/>
  <c r="AB138" i="16" s="1"/>
  <c r="P138" i="16"/>
  <c r="AA139" i="16"/>
  <c r="AB139" i="16" s="1"/>
  <c r="P139" i="16"/>
  <c r="AA140" i="16"/>
  <c r="AB140" i="16" s="1"/>
  <c r="P140" i="16"/>
  <c r="AA141" i="16"/>
  <c r="AB141" i="16" s="1"/>
  <c r="P141" i="16"/>
  <c r="AA142" i="16"/>
  <c r="AB142" i="16" s="1"/>
  <c r="P142" i="16"/>
  <c r="P143" i="16"/>
  <c r="AA143" i="16"/>
  <c r="AB143" i="16" s="1"/>
  <c r="AA144" i="16"/>
  <c r="AB144" i="16" s="1"/>
  <c r="P144" i="16"/>
  <c r="AA145" i="16"/>
  <c r="AB145" i="16" s="1"/>
  <c r="P145" i="16"/>
  <c r="AA146" i="16"/>
  <c r="AB146" i="16" s="1"/>
  <c r="P146" i="16"/>
  <c r="AA149" i="16"/>
  <c r="AB149" i="16" s="1"/>
  <c r="P149" i="16"/>
  <c r="AA150" i="16"/>
  <c r="AB150" i="16" s="1"/>
  <c r="P150" i="16"/>
  <c r="P151" i="16"/>
  <c r="AA151" i="16"/>
  <c r="AB151" i="16" s="1"/>
  <c r="P152" i="16"/>
  <c r="AA152" i="16"/>
  <c r="AB152" i="16" s="1"/>
  <c r="AA153" i="16"/>
  <c r="AB153" i="16" s="1"/>
  <c r="P153" i="16"/>
  <c r="AA154" i="16"/>
  <c r="AB154" i="16" s="1"/>
  <c r="P154" i="16"/>
  <c r="AA155" i="16"/>
  <c r="AB155" i="16" s="1"/>
  <c r="P155" i="16"/>
  <c r="AA156" i="16"/>
  <c r="AB156" i="16" s="1"/>
  <c r="P156" i="16"/>
  <c r="AA157" i="16"/>
  <c r="AB157" i="16" s="1"/>
  <c r="P157" i="16"/>
  <c r="AA158" i="16"/>
  <c r="AB158" i="16" s="1"/>
  <c r="P158" i="16"/>
  <c r="AA159" i="16"/>
  <c r="AB159" i="16" s="1"/>
  <c r="P159" i="16"/>
  <c r="AA160" i="16"/>
  <c r="AB160" i="16" s="1"/>
  <c r="P160" i="16"/>
  <c r="AA161" i="16"/>
  <c r="AB161" i="16" s="1"/>
  <c r="P161" i="16"/>
  <c r="AA162" i="16"/>
  <c r="AB162" i="16" s="1"/>
  <c r="P162" i="16"/>
  <c r="AA163" i="16"/>
  <c r="AB163" i="16" s="1"/>
  <c r="P163" i="16"/>
  <c r="AA164" i="16"/>
  <c r="AB164" i="16" s="1"/>
  <c r="P164" i="16"/>
  <c r="AA165" i="16"/>
  <c r="AB165" i="16" s="1"/>
  <c r="P165" i="16"/>
  <c r="AA173" i="16"/>
  <c r="AB173" i="16" s="1"/>
  <c r="P173" i="16"/>
  <c r="AA174" i="16"/>
  <c r="AB174" i="16" s="1"/>
  <c r="P174" i="16"/>
  <c r="AA192" i="16"/>
  <c r="AB192" i="16" s="1"/>
  <c r="P192" i="16"/>
  <c r="AA204" i="16"/>
  <c r="AB204" i="16" s="1"/>
  <c r="P204" i="16"/>
  <c r="AA205" i="16"/>
  <c r="AB205" i="16" s="1"/>
  <c r="P205" i="16"/>
  <c r="AA206" i="16"/>
  <c r="AB206" i="16" s="1"/>
  <c r="P206" i="16"/>
  <c r="AA207" i="16"/>
  <c r="AB207" i="16" s="1"/>
  <c r="P207" i="16"/>
  <c r="AA208" i="16"/>
  <c r="AB208" i="16" s="1"/>
  <c r="P208" i="16"/>
  <c r="AA213" i="16"/>
  <c r="AB213" i="16" s="1"/>
  <c r="P213" i="16"/>
  <c r="AA214" i="16"/>
  <c r="AB214" i="16" s="1"/>
  <c r="P214" i="16"/>
  <c r="AA218" i="16"/>
  <c r="AB218" i="16" s="1"/>
  <c r="P218" i="16"/>
  <c r="AA219" i="16"/>
  <c r="AB219" i="16" s="1"/>
  <c r="P219" i="16"/>
  <c r="AA220" i="16"/>
  <c r="AB220" i="16" s="1"/>
  <c r="P220" i="16"/>
  <c r="AA221" i="16"/>
  <c r="AB221" i="16" s="1"/>
  <c r="P221" i="16"/>
  <c r="AA222" i="16"/>
  <c r="AB222" i="16" s="1"/>
  <c r="P222" i="16"/>
  <c r="AA225" i="16"/>
  <c r="AB225" i="16" s="1"/>
  <c r="P225" i="16"/>
  <c r="AA226" i="16"/>
  <c r="AB226" i="16" s="1"/>
  <c r="P226" i="16"/>
  <c r="AA229" i="16"/>
  <c r="AB229" i="16" s="1"/>
  <c r="P229" i="16"/>
  <c r="AA232" i="16"/>
  <c r="AB232" i="16" s="1"/>
  <c r="P232" i="16"/>
  <c r="AA237" i="16"/>
  <c r="AB237" i="16" s="1"/>
  <c r="P237" i="16"/>
  <c r="AA239" i="16"/>
  <c r="AB239" i="16" s="1"/>
  <c r="P239" i="16"/>
  <c r="AA240" i="16"/>
  <c r="AB240" i="16" s="1"/>
  <c r="P240" i="16"/>
  <c r="AA241" i="16"/>
  <c r="AB241" i="16" s="1"/>
  <c r="P241" i="16"/>
  <c r="AA243" i="16"/>
  <c r="AB243" i="16" s="1"/>
  <c r="P243" i="16"/>
  <c r="AC248" i="16"/>
  <c r="AA248" i="16"/>
  <c r="AB248" i="16" s="1"/>
  <c r="P248" i="16"/>
  <c r="AA249" i="16"/>
  <c r="AB249" i="16" s="1"/>
  <c r="P249" i="16"/>
  <c r="AA250" i="16"/>
  <c r="AB250" i="16" s="1"/>
  <c r="P250" i="16"/>
  <c r="AA251" i="16"/>
  <c r="AB251" i="16" s="1"/>
  <c r="P251" i="16"/>
  <c r="AC259" i="16"/>
  <c r="P259" i="16"/>
  <c r="AA259" i="16"/>
  <c r="AB259" i="16" s="1"/>
  <c r="AA260" i="16"/>
  <c r="AB260" i="16" s="1"/>
  <c r="P260" i="16"/>
  <c r="AA261" i="16"/>
  <c r="AB261" i="16" s="1"/>
  <c r="P261" i="16"/>
  <c r="AA264" i="16"/>
  <c r="AB264" i="16" s="1"/>
  <c r="P264" i="16"/>
  <c r="AA265" i="16"/>
  <c r="AB265" i="16" s="1"/>
  <c r="P265" i="16"/>
  <c r="AA267" i="16"/>
  <c r="AB267" i="16" s="1"/>
  <c r="P267" i="16"/>
  <c r="AA271" i="16"/>
  <c r="AB271" i="16" s="1"/>
  <c r="P271" i="16"/>
  <c r="AC272" i="16"/>
  <c r="AA272" i="16"/>
  <c r="AB272" i="16" s="1"/>
  <c r="P272" i="16"/>
  <c r="AA273" i="16"/>
  <c r="AB273" i="16" s="1"/>
  <c r="P273" i="16"/>
  <c r="AC277" i="16"/>
  <c r="AA277" i="16"/>
  <c r="AB277" i="16" s="1"/>
  <c r="P277" i="16"/>
  <c r="AA278" i="16"/>
  <c r="AB278" i="16" s="1"/>
  <c r="P278" i="16"/>
  <c r="P279" i="16"/>
  <c r="AA279" i="16"/>
  <c r="AB279" i="16" s="1"/>
  <c r="AA280" i="16"/>
  <c r="AB280" i="16" s="1"/>
  <c r="P280" i="16"/>
  <c r="AA281" i="16"/>
  <c r="AB281" i="16" s="1"/>
  <c r="P281" i="16"/>
  <c r="AC283" i="16"/>
  <c r="AA283" i="16"/>
  <c r="AB283" i="16" s="1"/>
  <c r="P283" i="16"/>
  <c r="AA291" i="16"/>
  <c r="AB291" i="16" s="1"/>
  <c r="P291" i="16"/>
  <c r="AA292" i="16"/>
  <c r="AB292" i="16" s="1"/>
  <c r="P292" i="16"/>
  <c r="AA293" i="16"/>
  <c r="AB293" i="16" s="1"/>
  <c r="P293" i="16"/>
  <c r="AA295" i="16"/>
  <c r="AB295" i="16" s="1"/>
  <c r="P295" i="16"/>
  <c r="AA298" i="16"/>
  <c r="AB298" i="16" s="1"/>
  <c r="P298" i="16"/>
  <c r="AA299" i="16"/>
  <c r="AB299" i="16" s="1"/>
  <c r="P299" i="16"/>
  <c r="AA300" i="16"/>
  <c r="AB300" i="16" s="1"/>
  <c r="P300" i="16"/>
  <c r="AA301" i="16"/>
  <c r="AB301" i="16" s="1"/>
  <c r="P301" i="16"/>
  <c r="AA302" i="16"/>
  <c r="AB302" i="16" s="1"/>
  <c r="P302" i="16"/>
  <c r="AA308" i="16"/>
  <c r="AB308" i="16" s="1"/>
  <c r="P308" i="16"/>
  <c r="AC313" i="16"/>
  <c r="AA313" i="16"/>
  <c r="AB313" i="16" s="1"/>
  <c r="P313" i="16"/>
  <c r="AA314" i="16"/>
  <c r="AB314" i="16" s="1"/>
  <c r="P314" i="16"/>
  <c r="AA317" i="16"/>
  <c r="AB317" i="16" s="1"/>
  <c r="P317" i="16"/>
  <c r="AC318" i="16"/>
  <c r="AA318" i="16"/>
  <c r="AB318" i="16" s="1"/>
  <c r="P318" i="16"/>
  <c r="AA319" i="16"/>
  <c r="AB319" i="16" s="1"/>
  <c r="P319" i="16"/>
  <c r="AA320" i="16"/>
  <c r="AB320" i="16" s="1"/>
  <c r="P320" i="16"/>
  <c r="AA322" i="16"/>
  <c r="AB322" i="16" s="1"/>
  <c r="P322" i="16"/>
  <c r="AA324" i="16"/>
  <c r="AB324" i="16" s="1"/>
  <c r="P324" i="16"/>
  <c r="AC325" i="16"/>
  <c r="AA325" i="16"/>
  <c r="AB325" i="16" s="1"/>
  <c r="P325" i="16"/>
  <c r="AA326" i="16"/>
  <c r="AB326" i="16" s="1"/>
  <c r="P326" i="16"/>
  <c r="AA329" i="16"/>
  <c r="AB329" i="16" s="1"/>
  <c r="P329" i="16"/>
  <c r="AA332" i="16"/>
  <c r="AB332" i="16" s="1"/>
  <c r="P332" i="16"/>
  <c r="AA333" i="16"/>
  <c r="AB333" i="16" s="1"/>
  <c r="P333" i="16"/>
  <c r="AA334" i="16"/>
  <c r="AB334" i="16" s="1"/>
  <c r="P334" i="16"/>
  <c r="AC497" i="16"/>
  <c r="AA497" i="16"/>
  <c r="AB497" i="16" s="1"/>
  <c r="P497" i="16"/>
  <c r="AA498" i="16"/>
  <c r="AB498" i="16" s="1"/>
  <c r="P498" i="16"/>
  <c r="AA499" i="16"/>
  <c r="AB499" i="16" s="1"/>
  <c r="P499" i="16"/>
  <c r="AA500" i="16"/>
  <c r="AB500" i="16" s="1"/>
  <c r="P500" i="16"/>
  <c r="AA501" i="16"/>
  <c r="AB501" i="16" s="1"/>
  <c r="P501" i="16"/>
  <c r="AA502" i="16"/>
  <c r="AB502" i="16" s="1"/>
  <c r="P502" i="16"/>
  <c r="AC472" i="16"/>
  <c r="AA472" i="16"/>
  <c r="AB472" i="16" s="1"/>
  <c r="P472" i="16"/>
  <c r="AA21" i="16"/>
  <c r="AB21" i="16" s="1"/>
  <c r="P21" i="16"/>
  <c r="AA29" i="16"/>
  <c r="AB29" i="16" s="1"/>
  <c r="P29" i="16"/>
  <c r="AA30" i="16"/>
  <c r="AB30" i="16" s="1"/>
  <c r="P30" i="16"/>
  <c r="AA31" i="16"/>
  <c r="AB31" i="16" s="1"/>
  <c r="P31" i="16"/>
  <c r="AA32" i="16"/>
  <c r="AB32" i="16" s="1"/>
  <c r="P32" i="16"/>
  <c r="AA33" i="16"/>
  <c r="AB33" i="16" s="1"/>
  <c r="P33" i="16"/>
  <c r="AA34" i="16"/>
  <c r="AB34" i="16" s="1"/>
  <c r="P34" i="16"/>
  <c r="AA35" i="16"/>
  <c r="AB35" i="16" s="1"/>
  <c r="P35" i="16"/>
  <c r="AA41" i="16"/>
  <c r="AB41" i="16" s="1"/>
  <c r="P41" i="16"/>
  <c r="AA44" i="16"/>
  <c r="AB44" i="16" s="1"/>
  <c r="P44" i="16"/>
  <c r="AA45" i="16"/>
  <c r="AB45" i="16" s="1"/>
  <c r="P45" i="16"/>
  <c r="AA46" i="16"/>
  <c r="AB46" i="16" s="1"/>
  <c r="P46" i="16"/>
  <c r="AA47" i="16"/>
  <c r="AB47" i="16" s="1"/>
  <c r="P47" i="16"/>
  <c r="AA54" i="16"/>
  <c r="AB54" i="16" s="1"/>
  <c r="P54" i="16"/>
  <c r="AA55" i="16"/>
  <c r="AB55" i="16" s="1"/>
  <c r="P55" i="16"/>
  <c r="AA56" i="16"/>
  <c r="AB56" i="16" s="1"/>
  <c r="P56" i="16"/>
  <c r="AA57" i="16"/>
  <c r="AB57" i="16" s="1"/>
  <c r="P57" i="16"/>
  <c r="AA58" i="16"/>
  <c r="AB58" i="16" s="1"/>
  <c r="P58" i="16"/>
  <c r="AA66" i="16"/>
  <c r="AB66" i="16" s="1"/>
  <c r="P66" i="16"/>
  <c r="AA68" i="16"/>
  <c r="AB68" i="16" s="1"/>
  <c r="P68" i="16"/>
  <c r="AA69" i="16"/>
  <c r="AB69" i="16" s="1"/>
  <c r="P69" i="16"/>
  <c r="AA70" i="16"/>
  <c r="AB70" i="16" s="1"/>
  <c r="P70" i="16"/>
  <c r="AA71" i="16"/>
  <c r="AB71" i="16" s="1"/>
  <c r="P71" i="16"/>
  <c r="AA72" i="16"/>
  <c r="AB72" i="16" s="1"/>
  <c r="P72" i="16"/>
  <c r="AA73" i="16"/>
  <c r="AB73" i="16" s="1"/>
  <c r="P73" i="16"/>
  <c r="AA74" i="16"/>
  <c r="AB74" i="16" s="1"/>
  <c r="P74" i="16"/>
  <c r="AA75" i="16"/>
  <c r="AB75" i="16" s="1"/>
  <c r="P75" i="16"/>
  <c r="AA78" i="16"/>
  <c r="AB78" i="16" s="1"/>
  <c r="P78" i="16"/>
  <c r="AA86" i="16"/>
  <c r="AB86" i="16" s="1"/>
  <c r="P86" i="16"/>
  <c r="AA87" i="16"/>
  <c r="AB87" i="16" s="1"/>
  <c r="P87" i="16"/>
  <c r="P88" i="16"/>
  <c r="AA88" i="16"/>
  <c r="AB88" i="16" s="1"/>
  <c r="AA89" i="16"/>
  <c r="AB89" i="16" s="1"/>
  <c r="P89" i="16"/>
  <c r="P90" i="16"/>
  <c r="AA90" i="16"/>
  <c r="AB90" i="16" s="1"/>
  <c r="AA91" i="16"/>
  <c r="AB91" i="16" s="1"/>
  <c r="P91" i="16"/>
  <c r="AA92" i="16"/>
  <c r="AB92" i="16" s="1"/>
  <c r="P92" i="16"/>
  <c r="AA93" i="16"/>
  <c r="AB93" i="16" s="1"/>
  <c r="P93" i="16"/>
  <c r="AA94" i="16"/>
  <c r="AB94" i="16" s="1"/>
  <c r="P94" i="16"/>
  <c r="AA95" i="16"/>
  <c r="AB95" i="16" s="1"/>
  <c r="P95" i="16"/>
  <c r="AA104" i="16"/>
  <c r="AB104" i="16" s="1"/>
  <c r="P104" i="16"/>
  <c r="AA106" i="16"/>
  <c r="AB106" i="16" s="1"/>
  <c r="P106" i="16"/>
  <c r="P107" i="16"/>
  <c r="AA107" i="16"/>
  <c r="AB107" i="16" s="1"/>
  <c r="AA108" i="16"/>
  <c r="AB108" i="16" s="1"/>
  <c r="P108" i="16"/>
  <c r="AA109" i="16"/>
  <c r="AB109" i="16" s="1"/>
  <c r="P109" i="16"/>
  <c r="P110" i="16"/>
  <c r="AA110" i="16"/>
  <c r="AB110" i="16" s="1"/>
  <c r="AA111" i="16"/>
  <c r="AB111" i="16" s="1"/>
  <c r="P111" i="16"/>
  <c r="P112" i="16"/>
  <c r="AA112" i="16"/>
  <c r="AB112" i="16" s="1"/>
  <c r="P113" i="16"/>
  <c r="AA113" i="16"/>
  <c r="AB113" i="16" s="1"/>
  <c r="AA114" i="16"/>
  <c r="AB114" i="16" s="1"/>
  <c r="P114" i="16"/>
  <c r="AA115" i="16"/>
  <c r="AB115" i="16" s="1"/>
  <c r="P115" i="16"/>
  <c r="AA116" i="16"/>
  <c r="AB116" i="16" s="1"/>
  <c r="P116" i="16"/>
  <c r="P117" i="16"/>
  <c r="AA117" i="16"/>
  <c r="AB117" i="16" s="1"/>
  <c r="AA118" i="16"/>
  <c r="AB118" i="16" s="1"/>
  <c r="P118" i="16"/>
  <c r="P128" i="16"/>
  <c r="AA128" i="16"/>
  <c r="AB128" i="16" s="1"/>
  <c r="AA129" i="16"/>
  <c r="AB129" i="16" s="1"/>
  <c r="P129" i="16"/>
  <c r="AA130" i="16"/>
  <c r="AB130" i="16" s="1"/>
  <c r="P130" i="16"/>
  <c r="AA131" i="16"/>
  <c r="AB131" i="16" s="1"/>
  <c r="P131" i="16"/>
  <c r="AA132" i="16"/>
  <c r="AB132" i="16" s="1"/>
  <c r="P132" i="16"/>
  <c r="AA133" i="16"/>
  <c r="AB133" i="16" s="1"/>
  <c r="P133" i="16"/>
  <c r="P134" i="16"/>
  <c r="AA134" i="16"/>
  <c r="AB134" i="16" s="1"/>
  <c r="AA135" i="16"/>
  <c r="AB135" i="16" s="1"/>
  <c r="P135" i="16"/>
  <c r="AA136" i="16"/>
  <c r="AB136" i="16" s="1"/>
  <c r="P136" i="16"/>
  <c r="AA137" i="16"/>
  <c r="AB137" i="16" s="1"/>
  <c r="P137" i="16"/>
  <c r="AA147" i="16"/>
  <c r="AB147" i="16" s="1"/>
  <c r="P147" i="16"/>
  <c r="P148" i="16"/>
  <c r="AA148" i="16"/>
  <c r="AB148" i="16" s="1"/>
  <c r="AA166" i="16"/>
  <c r="AB166" i="16" s="1"/>
  <c r="P166" i="16"/>
  <c r="AA167" i="16"/>
  <c r="AB167" i="16" s="1"/>
  <c r="P167" i="16"/>
  <c r="AA168" i="16"/>
  <c r="AB168" i="16" s="1"/>
  <c r="P168" i="16"/>
  <c r="AA169" i="16"/>
  <c r="AB169" i="16" s="1"/>
  <c r="P169" i="16"/>
  <c r="AA170" i="16"/>
  <c r="AB170" i="16" s="1"/>
  <c r="P170" i="16"/>
  <c r="AA171" i="16"/>
  <c r="AB171" i="16" s="1"/>
  <c r="P171" i="16"/>
  <c r="AA172" i="16"/>
  <c r="AB172" i="16" s="1"/>
  <c r="P172" i="16"/>
  <c r="AA175" i="16"/>
  <c r="AB175" i="16" s="1"/>
  <c r="P175" i="16"/>
  <c r="AA176" i="16"/>
  <c r="AB176" i="16" s="1"/>
  <c r="P176" i="16"/>
  <c r="AA177" i="16"/>
  <c r="AB177" i="16" s="1"/>
  <c r="P177" i="16"/>
  <c r="P178" i="16"/>
  <c r="AA178" i="16"/>
  <c r="AB178" i="16" s="1"/>
  <c r="AA179" i="16"/>
  <c r="AB179" i="16" s="1"/>
  <c r="P179" i="16"/>
  <c r="AA180" i="16"/>
  <c r="AB180" i="16" s="1"/>
  <c r="P180" i="16"/>
  <c r="AA181" i="16"/>
  <c r="AB181" i="16" s="1"/>
  <c r="P181" i="16"/>
  <c r="AA182" i="16"/>
  <c r="AB182" i="16" s="1"/>
  <c r="P182" i="16"/>
  <c r="AA183" i="16"/>
  <c r="AB183" i="16" s="1"/>
  <c r="P183" i="16"/>
  <c r="AA184" i="16"/>
  <c r="AB184" i="16" s="1"/>
  <c r="P184" i="16"/>
  <c r="AA185" i="16"/>
  <c r="AB185" i="16" s="1"/>
  <c r="P185" i="16"/>
  <c r="AA186" i="16"/>
  <c r="AB186" i="16" s="1"/>
  <c r="P186" i="16"/>
  <c r="AA187" i="16"/>
  <c r="AB187" i="16" s="1"/>
  <c r="P187" i="16"/>
  <c r="AA188" i="16"/>
  <c r="AB188" i="16" s="1"/>
  <c r="P188" i="16"/>
  <c r="AA189" i="16"/>
  <c r="AB189" i="16" s="1"/>
  <c r="P189" i="16"/>
  <c r="P190" i="16"/>
  <c r="AA190" i="16"/>
  <c r="AB190" i="16" s="1"/>
  <c r="AA191" i="16"/>
  <c r="AB191" i="16" s="1"/>
  <c r="P191" i="16"/>
  <c r="AC193" i="16"/>
  <c r="AA193" i="16"/>
  <c r="AB193" i="16" s="1"/>
  <c r="P193" i="16"/>
  <c r="AC194" i="16"/>
  <c r="AA194" i="16"/>
  <c r="AB194" i="16" s="1"/>
  <c r="P194" i="16"/>
  <c r="AC195" i="16"/>
  <c r="AA195" i="16"/>
  <c r="AB195" i="16" s="1"/>
  <c r="P195" i="16"/>
  <c r="AC196" i="16"/>
  <c r="AA196" i="16"/>
  <c r="AB196" i="16" s="1"/>
  <c r="P196" i="16"/>
  <c r="AC197" i="16"/>
  <c r="AA197" i="16"/>
  <c r="AB197" i="16" s="1"/>
  <c r="P197" i="16"/>
  <c r="AC198" i="16"/>
  <c r="AA198" i="16"/>
  <c r="AB198" i="16" s="1"/>
  <c r="P198" i="16"/>
  <c r="AC199" i="16"/>
  <c r="AA199" i="16"/>
  <c r="AB199" i="16" s="1"/>
  <c r="P199" i="16"/>
  <c r="AC200" i="16"/>
  <c r="AA200" i="16"/>
  <c r="AB200" i="16" s="1"/>
  <c r="P200" i="16"/>
  <c r="AC201" i="16"/>
  <c r="AA201" i="16"/>
  <c r="AB201" i="16" s="1"/>
  <c r="P201" i="16"/>
  <c r="AC202" i="16"/>
  <c r="AA202" i="16"/>
  <c r="AB202" i="16" s="1"/>
  <c r="P202" i="16"/>
  <c r="AC203" i="16"/>
  <c r="AA203" i="16"/>
  <c r="AB203" i="16" s="1"/>
  <c r="P203" i="16"/>
  <c r="AC209" i="16"/>
  <c r="AA209" i="16"/>
  <c r="AB209" i="16" s="1"/>
  <c r="P209" i="16"/>
  <c r="AC210" i="16"/>
  <c r="AA210" i="16"/>
  <c r="AB210" i="16" s="1"/>
  <c r="P210" i="16"/>
  <c r="AC211" i="16"/>
  <c r="P211" i="16"/>
  <c r="AA211" i="16"/>
  <c r="AB211" i="16" s="1"/>
  <c r="AC212" i="16"/>
  <c r="AA212" i="16"/>
  <c r="AB212" i="16" s="1"/>
  <c r="P212" i="16"/>
  <c r="AA215" i="16"/>
  <c r="AB215" i="16" s="1"/>
  <c r="P215" i="16"/>
  <c r="AC216" i="16"/>
  <c r="AA216" i="16"/>
  <c r="AB216" i="16" s="1"/>
  <c r="P216" i="16"/>
  <c r="AC217" i="16"/>
  <c r="AA217" i="16"/>
  <c r="AB217" i="16" s="1"/>
  <c r="P217" i="16"/>
  <c r="AA223" i="16"/>
  <c r="AB223" i="16" s="1"/>
  <c r="P223" i="16"/>
  <c r="AC224" i="16"/>
  <c r="AA224" i="16"/>
  <c r="AB224" i="16" s="1"/>
  <c r="P224" i="16"/>
  <c r="AA227" i="16"/>
  <c r="AB227" i="16" s="1"/>
  <c r="P227" i="16"/>
  <c r="AC228" i="16"/>
  <c r="AA228" i="16"/>
  <c r="AB228" i="16" s="1"/>
  <c r="P228" i="16"/>
  <c r="AC230" i="16"/>
  <c r="AA230" i="16"/>
  <c r="AB230" i="16" s="1"/>
  <c r="P230" i="16"/>
  <c r="AA231" i="16"/>
  <c r="AB231" i="16" s="1"/>
  <c r="P231" i="16"/>
  <c r="AA233" i="16"/>
  <c r="AB233" i="16" s="1"/>
  <c r="P233" i="16"/>
  <c r="AC234" i="16"/>
  <c r="AA234" i="16"/>
  <c r="AB234" i="16" s="1"/>
  <c r="P234" i="16"/>
  <c r="AC235" i="16"/>
  <c r="AA235" i="16"/>
  <c r="AB235" i="16" s="1"/>
  <c r="P235" i="16"/>
  <c r="AC236" i="16"/>
  <c r="AA236" i="16"/>
  <c r="AB236" i="16" s="1"/>
  <c r="P236" i="16"/>
  <c r="AC238" i="16"/>
  <c r="AA238" i="16"/>
  <c r="AB238" i="16" s="1"/>
  <c r="P238" i="16"/>
  <c r="AC242" i="16"/>
  <c r="AA242" i="16"/>
  <c r="AB242" i="16" s="1"/>
  <c r="P242" i="16"/>
  <c r="AA244" i="16"/>
  <c r="AB244" i="16" s="1"/>
  <c r="P244" i="16"/>
  <c r="AA245" i="16"/>
  <c r="AB245" i="16" s="1"/>
  <c r="P245" i="16"/>
  <c r="AC246" i="16"/>
  <c r="AA246" i="16"/>
  <c r="AB246" i="16" s="1"/>
  <c r="P246" i="16"/>
  <c r="AC247" i="16"/>
  <c r="AA247" i="16"/>
  <c r="AB247" i="16" s="1"/>
  <c r="P247" i="16"/>
  <c r="AC252" i="16"/>
  <c r="AA252" i="16"/>
  <c r="AB252" i="16" s="1"/>
  <c r="P252" i="16"/>
  <c r="AC253" i="16"/>
  <c r="AA253" i="16"/>
  <c r="AB253" i="16" s="1"/>
  <c r="P253" i="16"/>
  <c r="AC254" i="16"/>
  <c r="AA254" i="16"/>
  <c r="AB254" i="16" s="1"/>
  <c r="P254" i="16"/>
  <c r="AC255" i="16"/>
  <c r="AA255" i="16"/>
  <c r="AB255" i="16" s="1"/>
  <c r="P255" i="16"/>
  <c r="AC256" i="16"/>
  <c r="AA256" i="16"/>
  <c r="AB256" i="16" s="1"/>
  <c r="P256" i="16"/>
  <c r="AC257" i="16"/>
  <c r="AA257" i="16"/>
  <c r="AB257" i="16" s="1"/>
  <c r="P257" i="16"/>
  <c r="AC258" i="16"/>
  <c r="AA258" i="16"/>
  <c r="AB258" i="16" s="1"/>
  <c r="P258" i="16"/>
  <c r="AA262" i="16"/>
  <c r="AB262" i="16" s="1"/>
  <c r="P262" i="16"/>
  <c r="AC263" i="16"/>
  <c r="AA263" i="16"/>
  <c r="AB263" i="16" s="1"/>
  <c r="P263" i="16"/>
  <c r="AC266" i="16"/>
  <c r="AA266" i="16"/>
  <c r="AB266" i="16" s="1"/>
  <c r="P266" i="16"/>
  <c r="AC268" i="16"/>
  <c r="P268" i="16"/>
  <c r="AA268" i="16"/>
  <c r="AB268" i="16" s="1"/>
  <c r="AC269" i="16"/>
  <c r="AA269" i="16"/>
  <c r="AB269" i="16" s="1"/>
  <c r="P269" i="16"/>
  <c r="AC270" i="16"/>
  <c r="AA270" i="16"/>
  <c r="AB270" i="16" s="1"/>
  <c r="P270" i="16"/>
  <c r="AC274" i="16"/>
  <c r="AA274" i="16"/>
  <c r="AB274" i="16" s="1"/>
  <c r="P274" i="16"/>
  <c r="AC275" i="16"/>
  <c r="AA275" i="16"/>
  <c r="AB275" i="16" s="1"/>
  <c r="P275" i="16"/>
  <c r="AC276" i="16"/>
  <c r="AA276" i="16"/>
  <c r="AB276" i="16" s="1"/>
  <c r="P276" i="16"/>
  <c r="AA282" i="16"/>
  <c r="AB282" i="16" s="1"/>
  <c r="P282" i="16"/>
  <c r="AC284" i="16"/>
  <c r="AA284" i="16"/>
  <c r="AB284" i="16" s="1"/>
  <c r="P284" i="16"/>
  <c r="AC285" i="16"/>
  <c r="AA285" i="16"/>
  <c r="AB285" i="16" s="1"/>
  <c r="P285" i="16"/>
  <c r="AC286" i="16"/>
  <c r="AA286" i="16"/>
  <c r="AB286" i="16" s="1"/>
  <c r="P286" i="16"/>
  <c r="AA287" i="16"/>
  <c r="AB287" i="16" s="1"/>
  <c r="P287" i="16"/>
  <c r="AC288" i="16"/>
  <c r="AA288" i="16"/>
  <c r="AB288" i="16" s="1"/>
  <c r="P288" i="16"/>
  <c r="AC289" i="16"/>
  <c r="AA289" i="16"/>
  <c r="AB289" i="16" s="1"/>
  <c r="P289" i="16"/>
  <c r="AC290" i="16"/>
  <c r="AA290" i="16"/>
  <c r="AB290" i="16" s="1"/>
  <c r="P290" i="16"/>
  <c r="AC294" i="16"/>
  <c r="AA294" i="16"/>
  <c r="AB294" i="16" s="1"/>
  <c r="P294" i="16"/>
  <c r="AC296" i="16"/>
  <c r="AA296" i="16"/>
  <c r="AB296" i="16" s="1"/>
  <c r="P296" i="16"/>
  <c r="AC297" i="16"/>
  <c r="AA297" i="16"/>
  <c r="AB297" i="16" s="1"/>
  <c r="P297" i="16"/>
  <c r="AC303" i="16"/>
  <c r="AA303" i="16"/>
  <c r="AB303" i="16" s="1"/>
  <c r="P303" i="16"/>
  <c r="AC304" i="16"/>
  <c r="AA304" i="16"/>
  <c r="AB304" i="16" s="1"/>
  <c r="P304" i="16"/>
  <c r="AA305" i="16"/>
  <c r="AB305" i="16" s="1"/>
  <c r="P305" i="16"/>
  <c r="AC306" i="16"/>
  <c r="AA306" i="16"/>
  <c r="AB306" i="16" s="1"/>
  <c r="P306" i="16"/>
  <c r="AC307" i="16"/>
  <c r="AA307" i="16"/>
  <c r="AB307" i="16" s="1"/>
  <c r="P307" i="16"/>
  <c r="AC309" i="16"/>
  <c r="AA309" i="16"/>
  <c r="AB309" i="16" s="1"/>
  <c r="P309" i="16"/>
  <c r="AC310" i="16"/>
  <c r="AA310" i="16"/>
  <c r="AB310" i="16" s="1"/>
  <c r="P310" i="16"/>
  <c r="AC311" i="16"/>
  <c r="AA311" i="16"/>
  <c r="AB311" i="16" s="1"/>
  <c r="P311" i="16"/>
  <c r="AC312" i="16"/>
  <c r="P312" i="16"/>
  <c r="AA312" i="16"/>
  <c r="AB312" i="16" s="1"/>
  <c r="AC315" i="16"/>
  <c r="AA315" i="16"/>
  <c r="AB315" i="16" s="1"/>
  <c r="P315" i="16"/>
  <c r="AC316" i="16"/>
  <c r="AA316" i="16"/>
  <c r="AB316" i="16" s="1"/>
  <c r="P316" i="16"/>
  <c r="AC321" i="16"/>
  <c r="AA321" i="16"/>
  <c r="AB321" i="16" s="1"/>
  <c r="P321" i="16"/>
  <c r="AA323" i="16"/>
  <c r="AB323" i="16" s="1"/>
  <c r="P323" i="16"/>
  <c r="AC327" i="16"/>
  <c r="AA327" i="16"/>
  <c r="AB327" i="16" s="1"/>
  <c r="P327" i="16"/>
  <c r="AA328" i="16"/>
  <c r="AB328" i="16" s="1"/>
  <c r="P328" i="16"/>
  <c r="AA330" i="16"/>
  <c r="AB330" i="16" s="1"/>
  <c r="P330" i="16"/>
  <c r="Q503" i="16"/>
  <c r="L503" i="16"/>
  <c r="Y503" i="16"/>
  <c r="W503" i="16"/>
  <c r="AI503" i="16"/>
  <c r="AH503" i="16"/>
  <c r="N503" i="16"/>
  <c r="AJ3" i="16"/>
  <c r="R3" i="16"/>
  <c r="T3" i="16" s="1"/>
  <c r="X3" i="16"/>
  <c r="O62" i="13" s="1"/>
  <c r="O4" i="16"/>
  <c r="P4" i="16" s="1"/>
  <c r="O5" i="16"/>
  <c r="P5" i="16" s="1"/>
  <c r="O6" i="16"/>
  <c r="P6" i="16" s="1"/>
  <c r="O7" i="16"/>
  <c r="P7" i="16" s="1"/>
  <c r="O8" i="16"/>
  <c r="P8" i="16" s="1"/>
  <c r="O9" i="16"/>
  <c r="P9" i="16" s="1"/>
  <c r="O10" i="16"/>
  <c r="P10" i="16" s="1"/>
  <c r="O11" i="16"/>
  <c r="P11" i="16" s="1"/>
  <c r="O3" i="16"/>
  <c r="AC3" i="16" s="1"/>
  <c r="AE3" i="16" s="1"/>
  <c r="AF3" i="16" s="1"/>
  <c r="O94" i="10"/>
  <c r="O74" i="10"/>
  <c r="F53" i="10"/>
  <c r="G53" i="10" s="1"/>
  <c r="F19" i="10"/>
  <c r="E9" i="10"/>
  <c r="L5" i="10"/>
  <c r="C14" i="9"/>
  <c r="C16" i="9" s="1"/>
  <c r="G39" i="6"/>
  <c r="T503" i="16" l="1"/>
  <c r="S503" i="16"/>
  <c r="I65" i="13"/>
  <c r="R503" i="16"/>
  <c r="Z503" i="16"/>
  <c r="AJ503" i="16"/>
  <c r="O503" i="16"/>
  <c r="K8" i="7"/>
  <c r="AK4" i="16"/>
  <c r="K16" i="7"/>
  <c r="AK12" i="16"/>
  <c r="K17" i="7"/>
  <c r="AK13" i="16"/>
  <c r="K18" i="7"/>
  <c r="AK14" i="16"/>
  <c r="K19" i="7"/>
  <c r="AK15" i="16"/>
  <c r="K20" i="7"/>
  <c r="AK16" i="16"/>
  <c r="K21" i="7"/>
  <c r="AK17" i="16"/>
  <c r="K22" i="7"/>
  <c r="AK18" i="16"/>
  <c r="K23" i="7"/>
  <c r="AK19" i="16"/>
  <c r="K24" i="7"/>
  <c r="AK20" i="16"/>
  <c r="K25" i="7"/>
  <c r="AK21" i="16"/>
  <c r="K26" i="7"/>
  <c r="AK22" i="16"/>
  <c r="K27" i="7"/>
  <c r="AK23" i="16"/>
  <c r="K28" i="7"/>
  <c r="AK24" i="16"/>
  <c r="K29" i="7"/>
  <c r="AK25" i="16"/>
  <c r="K30" i="7"/>
  <c r="AK26" i="16"/>
  <c r="K31" i="7"/>
  <c r="AK27" i="16"/>
  <c r="K32" i="7"/>
  <c r="AK28" i="16"/>
  <c r="K33" i="7"/>
  <c r="AK29" i="16"/>
  <c r="K34" i="7"/>
  <c r="AK30" i="16"/>
  <c r="K35" i="7"/>
  <c r="AK31" i="16"/>
  <c r="K36" i="7"/>
  <c r="AK32" i="16"/>
  <c r="K37" i="7"/>
  <c r="AK33" i="16"/>
  <c r="K38" i="7"/>
  <c r="AK34" i="16"/>
  <c r="K39" i="7"/>
  <c r="AK35" i="16"/>
  <c r="K40" i="7"/>
  <c r="AK36" i="16"/>
  <c r="K41" i="7"/>
  <c r="AK37" i="16"/>
  <c r="K42" i="7"/>
  <c r="AK38" i="16"/>
  <c r="K43" i="7"/>
  <c r="AK39" i="16"/>
  <c r="K44" i="7"/>
  <c r="AK40" i="16"/>
  <c r="K45" i="7"/>
  <c r="AK41" i="16"/>
  <c r="K46" i="7"/>
  <c r="AK42" i="16"/>
  <c r="K47" i="7"/>
  <c r="AK43" i="16"/>
  <c r="K48" i="7"/>
  <c r="AK44" i="16"/>
  <c r="K49" i="7"/>
  <c r="AK45" i="16"/>
  <c r="K50" i="7"/>
  <c r="AK46" i="16"/>
  <c r="K51" i="7"/>
  <c r="AK47" i="16"/>
  <c r="K52" i="7"/>
  <c r="AK48" i="16"/>
  <c r="K53" i="7"/>
  <c r="AK49" i="16"/>
  <c r="K54" i="7"/>
  <c r="AK50" i="16"/>
  <c r="K55" i="7"/>
  <c r="AK51" i="16"/>
  <c r="K56" i="7"/>
  <c r="AK52" i="16"/>
  <c r="K57" i="7"/>
  <c r="AK53" i="16"/>
  <c r="K58" i="7"/>
  <c r="AK54" i="16"/>
  <c r="K59" i="7"/>
  <c r="AK55" i="16"/>
  <c r="K60" i="7"/>
  <c r="AK56" i="16"/>
  <c r="K61" i="7"/>
  <c r="AK57" i="16"/>
  <c r="K62" i="7"/>
  <c r="AK58" i="16"/>
  <c r="K63" i="7"/>
  <c r="AK59" i="16"/>
  <c r="K64" i="7"/>
  <c r="AK60" i="16"/>
  <c r="K65" i="7"/>
  <c r="AK61" i="16"/>
  <c r="K66" i="7"/>
  <c r="AK62" i="16"/>
  <c r="K67" i="7"/>
  <c r="AK63" i="16"/>
  <c r="K68" i="7"/>
  <c r="AK64" i="16"/>
  <c r="K69" i="7"/>
  <c r="AK65" i="16"/>
  <c r="K70" i="7"/>
  <c r="AK66" i="16"/>
  <c r="K71" i="7"/>
  <c r="AK67" i="16"/>
  <c r="K72" i="7"/>
  <c r="AK68" i="16"/>
  <c r="K73" i="7"/>
  <c r="AK69" i="16"/>
  <c r="K74" i="7"/>
  <c r="AK70" i="16"/>
  <c r="K75" i="7"/>
  <c r="AK71" i="16"/>
  <c r="K76" i="7"/>
  <c r="AK72" i="16"/>
  <c r="K77" i="7"/>
  <c r="AK73" i="16"/>
  <c r="K78" i="7"/>
  <c r="AK74" i="16"/>
  <c r="K79" i="7"/>
  <c r="AK75" i="16"/>
  <c r="K80" i="7"/>
  <c r="AK76" i="16"/>
  <c r="K81" i="7"/>
  <c r="AK77" i="16"/>
  <c r="K82" i="7"/>
  <c r="AK78" i="16"/>
  <c r="K83" i="7"/>
  <c r="AK79" i="16"/>
  <c r="K84" i="7"/>
  <c r="AK80" i="16"/>
  <c r="K85" i="7"/>
  <c r="AK81" i="16"/>
  <c r="K86" i="7"/>
  <c r="AK82" i="16"/>
  <c r="K87" i="7"/>
  <c r="AK83" i="16"/>
  <c r="K88" i="7"/>
  <c r="AK84" i="16"/>
  <c r="K89" i="7"/>
  <c r="AK85" i="16"/>
  <c r="K90" i="7"/>
  <c r="AK86" i="16"/>
  <c r="K91" i="7"/>
  <c r="AK87" i="16"/>
  <c r="K92" i="7"/>
  <c r="AK88" i="16"/>
  <c r="K93" i="7"/>
  <c r="AK89" i="16"/>
  <c r="K94" i="7"/>
  <c r="AK90" i="16"/>
  <c r="K7" i="7"/>
  <c r="AK3" i="16"/>
  <c r="K9" i="7"/>
  <c r="AK5" i="16"/>
  <c r="K10" i="7"/>
  <c r="AK6" i="16"/>
  <c r="K11" i="7"/>
  <c r="AK7" i="16"/>
  <c r="K12" i="7"/>
  <c r="AK8" i="16"/>
  <c r="K13" i="7"/>
  <c r="AK9" i="16"/>
  <c r="K14" i="7"/>
  <c r="AK10" i="16"/>
  <c r="K15" i="7"/>
  <c r="AK11" i="16"/>
  <c r="K98" i="7"/>
  <c r="AK94" i="16"/>
  <c r="K99" i="7"/>
  <c r="AK95" i="16"/>
  <c r="AK96" i="16"/>
  <c r="K100" i="7"/>
  <c r="K101" i="7"/>
  <c r="AK97" i="16"/>
  <c r="K102" i="7"/>
  <c r="AK98" i="16"/>
  <c r="K103" i="7"/>
  <c r="AK99" i="16"/>
  <c r="K104" i="7"/>
  <c r="AK100" i="16"/>
  <c r="K105" i="7"/>
  <c r="AK101" i="16"/>
  <c r="K106" i="7"/>
  <c r="AK102" i="16"/>
  <c r="K107" i="7"/>
  <c r="AK103" i="16"/>
  <c r="K108" i="7"/>
  <c r="AK104" i="16"/>
  <c r="K109" i="7"/>
  <c r="AK105" i="16"/>
  <c r="K110" i="7"/>
  <c r="AK106" i="16"/>
  <c r="K111" i="7"/>
  <c r="AK107" i="16"/>
  <c r="K112" i="7"/>
  <c r="AK108" i="16"/>
  <c r="K113" i="7"/>
  <c r="AK109" i="16"/>
  <c r="K114" i="7"/>
  <c r="AK110" i="16"/>
  <c r="K115" i="7"/>
  <c r="AK111" i="16"/>
  <c r="K116" i="7"/>
  <c r="AK112" i="16"/>
  <c r="K117" i="7"/>
  <c r="AK113" i="16"/>
  <c r="K118" i="7"/>
  <c r="AK114" i="16"/>
  <c r="K119" i="7"/>
  <c r="AK115" i="16"/>
  <c r="K120" i="7"/>
  <c r="AK116" i="16"/>
  <c r="K121" i="7"/>
  <c r="AK117" i="16"/>
  <c r="K122" i="7"/>
  <c r="AK118" i="16"/>
  <c r="K123" i="7"/>
  <c r="AK119" i="16"/>
  <c r="K124" i="7"/>
  <c r="AK120" i="16"/>
  <c r="K125" i="7"/>
  <c r="AK121" i="16"/>
  <c r="K126" i="7"/>
  <c r="AK122" i="16"/>
  <c r="K127" i="7"/>
  <c r="AK123" i="16"/>
  <c r="K128" i="7"/>
  <c r="AK124" i="16"/>
  <c r="K129" i="7"/>
  <c r="AK125" i="16"/>
  <c r="K130" i="7"/>
  <c r="AK126" i="16"/>
  <c r="K131" i="7"/>
  <c r="AK127" i="16"/>
  <c r="K132" i="7"/>
  <c r="AK128" i="16"/>
  <c r="K133" i="7"/>
  <c r="AK129" i="16"/>
  <c r="K134" i="7"/>
  <c r="AK130" i="16"/>
  <c r="K135" i="7"/>
  <c r="AK131" i="16"/>
  <c r="K136" i="7"/>
  <c r="AK132" i="16"/>
  <c r="K137" i="7"/>
  <c r="AK133" i="16"/>
  <c r="K138" i="7"/>
  <c r="AK134" i="16"/>
  <c r="K139" i="7"/>
  <c r="AK135" i="16"/>
  <c r="K140" i="7"/>
  <c r="AK136" i="16"/>
  <c r="AK137" i="16"/>
  <c r="K141" i="7"/>
  <c r="K142" i="7"/>
  <c r="AK138" i="16"/>
  <c r="K143" i="7"/>
  <c r="AK139" i="16"/>
  <c r="K144" i="7"/>
  <c r="AK140" i="16"/>
  <c r="K145" i="7"/>
  <c r="AK141" i="16"/>
  <c r="K146" i="7"/>
  <c r="AK142" i="16"/>
  <c r="K147" i="7"/>
  <c r="AK143" i="16"/>
  <c r="K148" i="7"/>
  <c r="AK144" i="16"/>
  <c r="K149" i="7"/>
  <c r="AK145" i="16"/>
  <c r="K150" i="7"/>
  <c r="AK146" i="16"/>
  <c r="K151" i="7"/>
  <c r="AK147" i="16"/>
  <c r="K152" i="7"/>
  <c r="AK148" i="16"/>
  <c r="K153" i="7"/>
  <c r="AK149" i="16"/>
  <c r="K154" i="7"/>
  <c r="AK150" i="16"/>
  <c r="K155" i="7"/>
  <c r="AK151" i="16"/>
  <c r="K156" i="7"/>
  <c r="AK152" i="16"/>
  <c r="K157" i="7"/>
  <c r="AK153" i="16"/>
  <c r="K158" i="7"/>
  <c r="AK154" i="16"/>
  <c r="K159" i="7"/>
  <c r="AK155" i="16"/>
  <c r="K160" i="7"/>
  <c r="AK156" i="16"/>
  <c r="K161" i="7"/>
  <c r="AK157" i="16"/>
  <c r="K162" i="7"/>
  <c r="AK158" i="16"/>
  <c r="K163" i="7"/>
  <c r="AK159" i="16"/>
  <c r="K164" i="7"/>
  <c r="AK160" i="16"/>
  <c r="K165" i="7"/>
  <c r="AK161" i="16"/>
  <c r="K166" i="7"/>
  <c r="AK162" i="16"/>
  <c r="K167" i="7"/>
  <c r="AK163" i="16"/>
  <c r="AK164" i="16"/>
  <c r="K168" i="7"/>
  <c r="K169" i="7"/>
  <c r="AK165" i="16"/>
  <c r="K170" i="7"/>
  <c r="AK166" i="16"/>
  <c r="K171" i="7"/>
  <c r="AK167" i="16"/>
  <c r="K172" i="7"/>
  <c r="AK168" i="16"/>
  <c r="K173" i="7"/>
  <c r="AK169" i="16"/>
  <c r="K174" i="7"/>
  <c r="AK170" i="16"/>
  <c r="K175" i="7"/>
  <c r="AK171" i="16"/>
  <c r="K176" i="7"/>
  <c r="AK172" i="16"/>
  <c r="K177" i="7"/>
  <c r="AK173" i="16"/>
  <c r="K178" i="7"/>
  <c r="AK174" i="16"/>
  <c r="K179" i="7"/>
  <c r="AK175" i="16"/>
  <c r="K180" i="7"/>
  <c r="AK176" i="16"/>
  <c r="K181" i="7"/>
  <c r="AK177" i="16"/>
  <c r="K182" i="7"/>
  <c r="AK178" i="16"/>
  <c r="K183" i="7"/>
  <c r="AK179" i="16"/>
  <c r="K184" i="7"/>
  <c r="AK180" i="16"/>
  <c r="K185" i="7"/>
  <c r="AK181" i="16"/>
  <c r="K186" i="7"/>
  <c r="AK182" i="16"/>
  <c r="K187" i="7"/>
  <c r="AK183" i="16"/>
  <c r="K188" i="7"/>
  <c r="AK184" i="16"/>
  <c r="K189" i="7"/>
  <c r="AK185" i="16"/>
  <c r="K190" i="7"/>
  <c r="AK186" i="16"/>
  <c r="K191" i="7"/>
  <c r="AK187" i="16"/>
  <c r="K192" i="7"/>
  <c r="AK188" i="16"/>
  <c r="K193" i="7"/>
  <c r="AK189" i="16"/>
  <c r="K194" i="7"/>
  <c r="AK190" i="16"/>
  <c r="K195" i="7"/>
  <c r="AK191" i="16"/>
  <c r="K196" i="7"/>
  <c r="AK192" i="16"/>
  <c r="K197" i="7"/>
  <c r="AK193" i="16"/>
  <c r="K198" i="7"/>
  <c r="AK194" i="16"/>
  <c r="K199" i="7"/>
  <c r="AK195" i="16"/>
  <c r="K200" i="7"/>
  <c r="AK196" i="16"/>
  <c r="K201" i="7"/>
  <c r="AK197" i="16"/>
  <c r="K202" i="7"/>
  <c r="AK198" i="16"/>
  <c r="K203" i="7"/>
  <c r="AK199" i="16"/>
  <c r="K204" i="7"/>
  <c r="AK200" i="16"/>
  <c r="K205" i="7"/>
  <c r="AK201" i="16"/>
  <c r="AK202" i="16"/>
  <c r="K206" i="7"/>
  <c r="K207" i="7"/>
  <c r="AK203" i="16"/>
  <c r="K208" i="7"/>
  <c r="AK204" i="16"/>
  <c r="K209" i="7"/>
  <c r="AK205" i="16"/>
  <c r="K210" i="7"/>
  <c r="AK206" i="16"/>
  <c r="K211" i="7"/>
  <c r="AK207" i="16"/>
  <c r="K212" i="7"/>
  <c r="AK208" i="16"/>
  <c r="K213" i="7"/>
  <c r="AK209" i="16"/>
  <c r="K214" i="7"/>
  <c r="AK210" i="16"/>
  <c r="K215" i="7"/>
  <c r="AK211" i="16"/>
  <c r="K216" i="7"/>
  <c r="AK212" i="16"/>
  <c r="K217" i="7"/>
  <c r="AK213" i="16"/>
  <c r="K218" i="7"/>
  <c r="AK214" i="16"/>
  <c r="K219" i="7"/>
  <c r="AK215" i="16"/>
  <c r="K220" i="7"/>
  <c r="AK216" i="16"/>
  <c r="K221" i="7"/>
  <c r="AK217" i="16"/>
  <c r="K222" i="7"/>
  <c r="AK218" i="16"/>
  <c r="K223" i="7"/>
  <c r="AK219" i="16"/>
  <c r="AK220" i="16"/>
  <c r="K224" i="7"/>
  <c r="K225" i="7"/>
  <c r="AK221" i="16"/>
  <c r="K226" i="7"/>
  <c r="AK222" i="16"/>
  <c r="K227" i="7"/>
  <c r="AK223" i="16"/>
  <c r="K228" i="7"/>
  <c r="AK224" i="16"/>
  <c r="K229" i="7"/>
  <c r="AK225" i="16"/>
  <c r="AK226" i="16"/>
  <c r="K230" i="7"/>
  <c r="AK227" i="16"/>
  <c r="K231" i="7"/>
  <c r="K232" i="7"/>
  <c r="AK228" i="16"/>
  <c r="K233" i="7"/>
  <c r="AK229" i="16"/>
  <c r="K234" i="7"/>
  <c r="AK230" i="16"/>
  <c r="K235" i="7"/>
  <c r="AK231" i="16"/>
  <c r="K236" i="7"/>
  <c r="AK232" i="16"/>
  <c r="K237" i="7"/>
  <c r="AK233" i="16"/>
  <c r="AK234" i="16"/>
  <c r="K238" i="7"/>
  <c r="K239" i="7"/>
  <c r="AK235" i="16"/>
  <c r="K240" i="7"/>
  <c r="AK236" i="16"/>
  <c r="K241" i="7"/>
  <c r="AK237" i="16"/>
  <c r="AK238" i="16"/>
  <c r="K242" i="7"/>
  <c r="K243" i="7"/>
  <c r="AK239" i="16"/>
  <c r="AK240" i="16"/>
  <c r="K244" i="7"/>
  <c r="K245" i="7"/>
  <c r="AK241" i="16"/>
  <c r="K246" i="7"/>
  <c r="AK242" i="16"/>
  <c r="K247" i="7"/>
  <c r="AK243" i="16"/>
  <c r="K248" i="7"/>
  <c r="AK244" i="16"/>
  <c r="AK245" i="16"/>
  <c r="K249" i="7"/>
  <c r="K250" i="7"/>
  <c r="AK246" i="16"/>
  <c r="K251" i="7"/>
  <c r="AK247" i="16"/>
  <c r="K252" i="7"/>
  <c r="AK248" i="16"/>
  <c r="K253" i="7"/>
  <c r="AK249" i="16"/>
  <c r="K254" i="7"/>
  <c r="AK250" i="16"/>
  <c r="K255" i="7"/>
  <c r="AK251" i="16"/>
  <c r="K256" i="7"/>
  <c r="AK252" i="16"/>
  <c r="K257" i="7"/>
  <c r="AK253" i="16"/>
  <c r="K258" i="7"/>
  <c r="AK254" i="16"/>
  <c r="K259" i="7"/>
  <c r="AK255" i="16"/>
  <c r="K260" i="7"/>
  <c r="AK256" i="16"/>
  <c r="K261" i="7"/>
  <c r="AK257" i="16"/>
  <c r="K262" i="7"/>
  <c r="AK258" i="16"/>
  <c r="K263" i="7"/>
  <c r="AK259" i="16"/>
  <c r="K264" i="7"/>
  <c r="AK260" i="16"/>
  <c r="K265" i="7"/>
  <c r="AK261" i="16"/>
  <c r="K266" i="7"/>
  <c r="AK262" i="16"/>
  <c r="K267" i="7"/>
  <c r="AK263" i="16"/>
  <c r="K268" i="7"/>
  <c r="AK264" i="16"/>
  <c r="K269" i="7"/>
  <c r="AK265" i="16"/>
  <c r="K270" i="7"/>
  <c r="AK266" i="16"/>
  <c r="AK267" i="16"/>
  <c r="K271" i="7"/>
  <c r="K272" i="7"/>
  <c r="AK268" i="16"/>
  <c r="K273" i="7"/>
  <c r="AK269" i="16"/>
  <c r="K274" i="7"/>
  <c r="AK270" i="16"/>
  <c r="K275" i="7"/>
  <c r="AK271" i="16"/>
  <c r="K276" i="7"/>
  <c r="AK272" i="16"/>
  <c r="K277" i="7"/>
  <c r="AK273" i="16"/>
  <c r="K278" i="7"/>
  <c r="AK274" i="16"/>
  <c r="K279" i="7"/>
  <c r="AK275" i="16"/>
  <c r="K280" i="7"/>
  <c r="AK276" i="16"/>
  <c r="K281" i="7"/>
  <c r="AK277" i="16"/>
  <c r="K282" i="7"/>
  <c r="AK278" i="16"/>
  <c r="K283" i="7"/>
  <c r="AK279" i="16"/>
  <c r="K284" i="7"/>
  <c r="AK280" i="16"/>
  <c r="K285" i="7"/>
  <c r="AK281" i="16"/>
  <c r="K286" i="7"/>
  <c r="AK282" i="16"/>
  <c r="K287" i="7"/>
  <c r="AK283" i="16"/>
  <c r="AK284" i="16"/>
  <c r="K288" i="7"/>
  <c r="AK285" i="16"/>
  <c r="K289" i="7"/>
  <c r="AK286" i="16"/>
  <c r="K290" i="7"/>
  <c r="K291" i="7"/>
  <c r="AK287" i="16"/>
  <c r="K292" i="7"/>
  <c r="AK288" i="16"/>
  <c r="K293" i="7"/>
  <c r="AK289" i="16"/>
  <c r="K294" i="7"/>
  <c r="AK290" i="16"/>
  <c r="K295" i="7"/>
  <c r="AK291" i="16"/>
  <c r="AK292" i="16"/>
  <c r="K296" i="7"/>
  <c r="AK293" i="16"/>
  <c r="K297" i="7"/>
  <c r="K298" i="7"/>
  <c r="AK294" i="16"/>
  <c r="AK295" i="16"/>
  <c r="K299" i="7"/>
  <c r="K300" i="7"/>
  <c r="AK296" i="16"/>
  <c r="K301" i="7"/>
  <c r="AK297" i="16"/>
  <c r="K302" i="7"/>
  <c r="AK298" i="16"/>
  <c r="AK299" i="16"/>
  <c r="K303" i="7"/>
  <c r="K304" i="7"/>
  <c r="AK300" i="16"/>
  <c r="K305" i="7"/>
  <c r="AK301" i="16"/>
  <c r="K306" i="7"/>
  <c r="AK302" i="16"/>
  <c r="K307" i="7"/>
  <c r="AK303" i="16"/>
  <c r="K308" i="7"/>
  <c r="AK304" i="16"/>
  <c r="K309" i="7"/>
  <c r="AK305" i="16"/>
  <c r="AK306" i="16"/>
  <c r="K310" i="7"/>
  <c r="K311" i="7"/>
  <c r="AK307" i="16"/>
  <c r="K312" i="7"/>
  <c r="AK308" i="16"/>
  <c r="K313" i="7"/>
  <c r="AK309" i="16"/>
  <c r="K314" i="7"/>
  <c r="AK310" i="16"/>
  <c r="K315" i="7"/>
  <c r="AK311" i="16"/>
  <c r="K316" i="7"/>
  <c r="AK312" i="16"/>
  <c r="K317" i="7"/>
  <c r="AK313" i="16"/>
  <c r="K318" i="7"/>
  <c r="AK314" i="16"/>
  <c r="K319" i="7"/>
  <c r="AK315" i="16"/>
  <c r="K320" i="7"/>
  <c r="AK316" i="16"/>
  <c r="K321" i="7"/>
  <c r="AK317" i="16"/>
  <c r="K322" i="7"/>
  <c r="AK318" i="16"/>
  <c r="K323" i="7"/>
  <c r="AK319" i="16"/>
  <c r="K324" i="7"/>
  <c r="AK320" i="16"/>
  <c r="K325" i="7"/>
  <c r="AK321" i="16"/>
  <c r="K326" i="7"/>
  <c r="AK322" i="16"/>
  <c r="K327" i="7"/>
  <c r="AK323" i="16"/>
  <c r="K328" i="7"/>
  <c r="AK324" i="16"/>
  <c r="K329" i="7"/>
  <c r="AK325" i="16"/>
  <c r="K330" i="7"/>
  <c r="AK326" i="16"/>
  <c r="K331" i="7"/>
  <c r="AK327" i="16"/>
  <c r="K332" i="7"/>
  <c r="AK328" i="16"/>
  <c r="K333" i="7"/>
  <c r="AK329" i="16"/>
  <c r="K334" i="7"/>
  <c r="AK330" i="16"/>
  <c r="K335" i="7"/>
  <c r="AK331" i="16"/>
  <c r="K336" i="7"/>
  <c r="AK332" i="16"/>
  <c r="K337" i="7"/>
  <c r="AK333" i="16"/>
  <c r="K338" i="7"/>
  <c r="AK334" i="16"/>
  <c r="K339" i="7"/>
  <c r="AK335" i="16"/>
  <c r="K340" i="7"/>
  <c r="AK336" i="16"/>
  <c r="K341" i="7"/>
  <c r="AK337" i="16"/>
  <c r="K342" i="7"/>
  <c r="AK338" i="16"/>
  <c r="K343" i="7"/>
  <c r="AK339" i="16"/>
  <c r="K344" i="7"/>
  <c r="AK340" i="16"/>
  <c r="AK341" i="16"/>
  <c r="K345" i="7"/>
  <c r="K346" i="7"/>
  <c r="AK342" i="16"/>
  <c r="K347" i="7"/>
  <c r="AK343" i="16"/>
  <c r="K348" i="7"/>
  <c r="AK344" i="16"/>
  <c r="K349" i="7"/>
  <c r="AK345" i="16"/>
  <c r="K350" i="7"/>
  <c r="AK346" i="16"/>
  <c r="K351" i="7"/>
  <c r="AK347" i="16"/>
  <c r="AK348" i="16"/>
  <c r="K352" i="7"/>
  <c r="K353" i="7"/>
  <c r="AK349" i="16"/>
  <c r="K354" i="7"/>
  <c r="AK350" i="16"/>
  <c r="K355" i="7"/>
  <c r="AK351" i="16"/>
  <c r="K356" i="7"/>
  <c r="AK352" i="16"/>
  <c r="K357" i="7"/>
  <c r="AK353" i="16"/>
  <c r="K358" i="7"/>
  <c r="AK354" i="16"/>
  <c r="K359" i="7"/>
  <c r="AK355" i="16"/>
  <c r="K360" i="7"/>
  <c r="AK356" i="16"/>
  <c r="K361" i="7"/>
  <c r="AK357" i="16"/>
  <c r="K362" i="7"/>
  <c r="AK358" i="16"/>
  <c r="K363" i="7"/>
  <c r="AK359" i="16"/>
  <c r="K364" i="7"/>
  <c r="AK360" i="16"/>
  <c r="K365" i="7"/>
  <c r="AK361" i="16"/>
  <c r="K366" i="7"/>
  <c r="AK362" i="16"/>
  <c r="K367" i="7"/>
  <c r="AK363" i="16"/>
  <c r="K368" i="7"/>
  <c r="AK364" i="16"/>
  <c r="K369" i="7"/>
  <c r="AK365" i="16"/>
  <c r="K370" i="7"/>
  <c r="AK366" i="16"/>
  <c r="K371" i="7"/>
  <c r="AK367" i="16"/>
  <c r="K372" i="7"/>
  <c r="AK368" i="16"/>
  <c r="AK369" i="16"/>
  <c r="K373" i="7"/>
  <c r="K374" i="7"/>
  <c r="AK370" i="16"/>
  <c r="K375" i="7"/>
  <c r="AK371" i="16"/>
  <c r="K376" i="7"/>
  <c r="AK372" i="16"/>
  <c r="K377" i="7"/>
  <c r="AK373" i="16"/>
  <c r="K378" i="7"/>
  <c r="AK374" i="16"/>
  <c r="K379" i="7"/>
  <c r="AK375" i="16"/>
  <c r="K380" i="7"/>
  <c r="AK376" i="16"/>
  <c r="K381" i="7"/>
  <c r="AK377" i="16"/>
  <c r="K382" i="7"/>
  <c r="AK378" i="16"/>
  <c r="K383" i="7"/>
  <c r="AK379" i="16"/>
  <c r="K384" i="7"/>
  <c r="AK380" i="16"/>
  <c r="K385" i="7"/>
  <c r="AK381" i="16"/>
  <c r="K386" i="7"/>
  <c r="AK382" i="16"/>
  <c r="K387" i="7"/>
  <c r="AK383" i="16"/>
  <c r="K388" i="7"/>
  <c r="AK384" i="16"/>
  <c r="K389" i="7"/>
  <c r="AK385" i="16"/>
  <c r="AK386" i="16"/>
  <c r="K390" i="7"/>
  <c r="AK387" i="16"/>
  <c r="K391" i="7"/>
  <c r="AK388" i="16"/>
  <c r="K392" i="7"/>
  <c r="K393" i="7"/>
  <c r="AK389" i="16"/>
  <c r="K394" i="7"/>
  <c r="AK390" i="16"/>
  <c r="K395" i="7"/>
  <c r="AK391" i="16"/>
  <c r="K396" i="7"/>
  <c r="AK392" i="16"/>
  <c r="K397" i="7"/>
  <c r="AK393" i="16"/>
  <c r="AK394" i="16"/>
  <c r="K398" i="7"/>
  <c r="AK395" i="16"/>
  <c r="K399" i="7"/>
  <c r="AK396" i="16"/>
  <c r="K400" i="7"/>
  <c r="AK397" i="16"/>
  <c r="K401" i="7"/>
  <c r="K402" i="7"/>
  <c r="AK398" i="16"/>
  <c r="K403" i="7"/>
  <c r="AK399" i="16"/>
  <c r="K404" i="7"/>
  <c r="AK400" i="16"/>
  <c r="K405" i="7"/>
  <c r="AK401" i="16"/>
  <c r="K95" i="7"/>
  <c r="AK91" i="16"/>
  <c r="K407" i="7"/>
  <c r="AK403" i="16"/>
  <c r="K408" i="7"/>
  <c r="AK404" i="16"/>
  <c r="K409" i="7"/>
  <c r="AK405" i="16"/>
  <c r="K410" i="7"/>
  <c r="AK406" i="16"/>
  <c r="K411" i="7"/>
  <c r="AK407" i="16"/>
  <c r="K412" i="7"/>
  <c r="AK408" i="16"/>
  <c r="K413" i="7"/>
  <c r="AK409" i="16"/>
  <c r="K414" i="7"/>
  <c r="AK410" i="16"/>
  <c r="K415" i="7"/>
  <c r="AK411" i="16"/>
  <c r="K416" i="7"/>
  <c r="AK412" i="16"/>
  <c r="K417" i="7"/>
  <c r="AK413" i="16"/>
  <c r="K418" i="7"/>
  <c r="AK414" i="16"/>
  <c r="K419" i="7"/>
  <c r="AK415" i="16"/>
  <c r="K420" i="7"/>
  <c r="AK416" i="16"/>
  <c r="K421" i="7"/>
  <c r="AK417" i="16"/>
  <c r="K422" i="7"/>
  <c r="AK418" i="16"/>
  <c r="K423" i="7"/>
  <c r="AK419" i="16"/>
  <c r="K424" i="7"/>
  <c r="AK420" i="16"/>
  <c r="K425" i="7"/>
  <c r="AK421" i="16"/>
  <c r="K426" i="7"/>
  <c r="AK422" i="16"/>
  <c r="K427" i="7"/>
  <c r="AK423" i="16"/>
  <c r="K428" i="7"/>
  <c r="AK424" i="16"/>
  <c r="K429" i="7"/>
  <c r="AK425" i="16"/>
  <c r="K430" i="7"/>
  <c r="AK426" i="16"/>
  <c r="K431" i="7"/>
  <c r="AK427" i="16"/>
  <c r="K432" i="7"/>
  <c r="AK428" i="16"/>
  <c r="K433" i="7"/>
  <c r="AK429" i="16"/>
  <c r="K434" i="7"/>
  <c r="AK430" i="16"/>
  <c r="K435" i="7"/>
  <c r="AK431" i="16"/>
  <c r="AK432" i="16"/>
  <c r="K436" i="7"/>
  <c r="AK433" i="16"/>
  <c r="K437" i="7"/>
  <c r="AK434" i="16"/>
  <c r="K438" i="7"/>
  <c r="K439" i="7"/>
  <c r="AK435" i="16"/>
  <c r="K440" i="7"/>
  <c r="AK436" i="16"/>
  <c r="K441" i="7"/>
  <c r="AK437" i="16"/>
  <c r="K442" i="7"/>
  <c r="AK438" i="16"/>
  <c r="K443" i="7"/>
  <c r="AK439" i="16"/>
  <c r="K444" i="7"/>
  <c r="AK440" i="16"/>
  <c r="K445" i="7"/>
  <c r="AK441" i="16"/>
  <c r="AK442" i="16"/>
  <c r="K446" i="7"/>
  <c r="K447" i="7"/>
  <c r="AK443" i="16"/>
  <c r="K448" i="7"/>
  <c r="AK444" i="16"/>
  <c r="K449" i="7"/>
  <c r="AK445" i="16"/>
  <c r="AK446" i="16"/>
  <c r="K450" i="7"/>
  <c r="AK447" i="16"/>
  <c r="K451" i="7"/>
  <c r="AK448" i="16"/>
  <c r="K452" i="7"/>
  <c r="K453" i="7"/>
  <c r="AK449" i="16"/>
  <c r="K454" i="7"/>
  <c r="AK450" i="16"/>
  <c r="K455" i="7"/>
  <c r="AK451" i="16"/>
  <c r="AK452" i="16"/>
  <c r="K456" i="7"/>
  <c r="K406" i="7"/>
  <c r="AK402" i="16"/>
  <c r="K458" i="7"/>
  <c r="AK454" i="16"/>
  <c r="K459" i="7"/>
  <c r="AK455" i="16"/>
  <c r="K460" i="7"/>
  <c r="AK456" i="16"/>
  <c r="K461" i="7"/>
  <c r="AK457" i="16"/>
  <c r="K462" i="7"/>
  <c r="AK458" i="16"/>
  <c r="K463" i="7"/>
  <c r="AK459" i="16"/>
  <c r="K464" i="7"/>
  <c r="AK460" i="16"/>
  <c r="K465" i="7"/>
  <c r="AK461" i="16"/>
  <c r="K466" i="7"/>
  <c r="AK462" i="16"/>
  <c r="K467" i="7"/>
  <c r="AK463" i="16"/>
  <c r="K468" i="7"/>
  <c r="AK464" i="16"/>
  <c r="K469" i="7"/>
  <c r="AK465" i="16"/>
  <c r="K470" i="7"/>
  <c r="AK466" i="16"/>
  <c r="K471" i="7"/>
  <c r="AK467" i="16"/>
  <c r="K472" i="7"/>
  <c r="AK468" i="16"/>
  <c r="K473" i="7"/>
  <c r="AK469" i="16"/>
  <c r="K474" i="7"/>
  <c r="AK470" i="16"/>
  <c r="K475" i="7"/>
  <c r="AK471" i="16"/>
  <c r="K476" i="7"/>
  <c r="AK472" i="16"/>
  <c r="K477" i="7"/>
  <c r="AK473" i="16"/>
  <c r="AK474" i="16"/>
  <c r="K478" i="7"/>
  <c r="AK475" i="16"/>
  <c r="K479" i="7"/>
  <c r="AK476" i="16"/>
  <c r="K480" i="7"/>
  <c r="K481" i="7"/>
  <c r="AK477" i="16"/>
  <c r="K482" i="7"/>
  <c r="AK478" i="16"/>
  <c r="K483" i="7"/>
  <c r="AK479" i="16"/>
  <c r="K484" i="7"/>
  <c r="AK480" i="16"/>
  <c r="K485" i="7"/>
  <c r="AK481" i="16"/>
  <c r="K486" i="7"/>
  <c r="AK482" i="16"/>
  <c r="K487" i="7"/>
  <c r="AK483" i="16"/>
  <c r="K488" i="7"/>
  <c r="AK484" i="16"/>
  <c r="K489" i="7"/>
  <c r="AK485" i="16"/>
  <c r="K490" i="7"/>
  <c r="AK486" i="16"/>
  <c r="K491" i="7"/>
  <c r="AK487" i="16"/>
  <c r="K492" i="7"/>
  <c r="AK488" i="16"/>
  <c r="K493" i="7"/>
  <c r="AK489" i="16"/>
  <c r="K494" i="7"/>
  <c r="AK490" i="16"/>
  <c r="K495" i="7"/>
  <c r="AK491" i="16"/>
  <c r="K496" i="7"/>
  <c r="AK492" i="16"/>
  <c r="K497" i="7"/>
  <c r="AK493" i="16"/>
  <c r="K498" i="7"/>
  <c r="AK494" i="16"/>
  <c r="K499" i="7"/>
  <c r="AK495" i="16"/>
  <c r="K500" i="7"/>
  <c r="AK496" i="16"/>
  <c r="K501" i="7"/>
  <c r="AK497" i="16"/>
  <c r="K502" i="7"/>
  <c r="AK498" i="16"/>
  <c r="K503" i="7"/>
  <c r="AK499" i="16"/>
  <c r="K504" i="7"/>
  <c r="AK500" i="16"/>
  <c r="K505" i="7"/>
  <c r="AK501" i="16"/>
  <c r="K96" i="7"/>
  <c r="AK92" i="16"/>
  <c r="AK93" i="16"/>
  <c r="K97" i="7"/>
  <c r="K457" i="7"/>
  <c r="AK453" i="16"/>
  <c r="AO30" i="16"/>
  <c r="AP30" i="16" s="1"/>
  <c r="AQ30" i="16" s="1"/>
  <c r="AO22" i="16"/>
  <c r="AP22" i="16" s="1"/>
  <c r="AQ22" i="16" s="1"/>
  <c r="AO23" i="16"/>
  <c r="AP23" i="16" s="1"/>
  <c r="AQ23" i="16" s="1"/>
  <c r="AO24" i="16"/>
  <c r="AP24" i="16" s="1"/>
  <c r="AQ24" i="16" s="1"/>
  <c r="AO25" i="16"/>
  <c r="AP25" i="16" s="1"/>
  <c r="AQ25" i="16" s="1"/>
  <c r="AO26" i="16"/>
  <c r="AP26" i="16" s="1"/>
  <c r="AQ26" i="16" s="1"/>
  <c r="AO27" i="16"/>
  <c r="AP27" i="16" s="1"/>
  <c r="AQ27" i="16" s="1"/>
  <c r="AO28" i="16"/>
  <c r="AP28" i="16" s="1"/>
  <c r="AQ28" i="16" s="1"/>
  <c r="AO29" i="16"/>
  <c r="AP29" i="16" s="1"/>
  <c r="AQ29" i="16" s="1"/>
  <c r="AO13" i="16"/>
  <c r="AP13" i="16" s="1"/>
  <c r="AQ13" i="16" s="1"/>
  <c r="AO14" i="16"/>
  <c r="AP14" i="16" s="1"/>
  <c r="AQ14" i="16" s="1"/>
  <c r="AO15" i="16"/>
  <c r="AP15" i="16" s="1"/>
  <c r="AQ15" i="16" s="1"/>
  <c r="AO16" i="16"/>
  <c r="AP16" i="16" s="1"/>
  <c r="AQ16" i="16" s="1"/>
  <c r="AO17" i="16"/>
  <c r="AP17" i="16" s="1"/>
  <c r="AQ17" i="16" s="1"/>
  <c r="AO18" i="16"/>
  <c r="AP18" i="16" s="1"/>
  <c r="AQ18" i="16" s="1"/>
  <c r="AO19" i="16"/>
  <c r="AP19" i="16" s="1"/>
  <c r="AQ19" i="16" s="1"/>
  <c r="AO20" i="16"/>
  <c r="AP20" i="16" s="1"/>
  <c r="AQ20" i="16" s="1"/>
  <c r="AO21" i="16"/>
  <c r="AP21" i="16" s="1"/>
  <c r="AQ21" i="16" s="1"/>
  <c r="AD395" i="16"/>
  <c r="AE395" i="16"/>
  <c r="AF395" i="16" s="1"/>
  <c r="AD336" i="16"/>
  <c r="AE336" i="16"/>
  <c r="AF336" i="16" s="1"/>
  <c r="AE337" i="16"/>
  <c r="AF337" i="16" s="1"/>
  <c r="AD337" i="16"/>
  <c r="AE338" i="16"/>
  <c r="AF338" i="16" s="1"/>
  <c r="AD338" i="16"/>
  <c r="AD339" i="16"/>
  <c r="AE339" i="16"/>
  <c r="AF339" i="16" s="1"/>
  <c r="AE340" i="16"/>
  <c r="AF340" i="16" s="1"/>
  <c r="AD340" i="16"/>
  <c r="AD341" i="16"/>
  <c r="AE341" i="16"/>
  <c r="AF341" i="16" s="1"/>
  <c r="AD342" i="16"/>
  <c r="AE342" i="16"/>
  <c r="AF342" i="16" s="1"/>
  <c r="AE343" i="16"/>
  <c r="AF343" i="16" s="1"/>
  <c r="AD343" i="16"/>
  <c r="AE344" i="16"/>
  <c r="AF344" i="16" s="1"/>
  <c r="AD344" i="16"/>
  <c r="AD345" i="16"/>
  <c r="AE345" i="16"/>
  <c r="AF345" i="16" s="1"/>
  <c r="AD346" i="16"/>
  <c r="AE346" i="16"/>
  <c r="AF346" i="16" s="1"/>
  <c r="AE347" i="16"/>
  <c r="AF347" i="16" s="1"/>
  <c r="AD347" i="16"/>
  <c r="AE348" i="16"/>
  <c r="AF348" i="16" s="1"/>
  <c r="AD348" i="16"/>
  <c r="AD349" i="16"/>
  <c r="AE349" i="16"/>
  <c r="AF349" i="16" s="1"/>
  <c r="AD350" i="16"/>
  <c r="AE350" i="16"/>
  <c r="AF350" i="16" s="1"/>
  <c r="AE351" i="16"/>
  <c r="AF351" i="16" s="1"/>
  <c r="AD351" i="16"/>
  <c r="AD352" i="16"/>
  <c r="AE352" i="16"/>
  <c r="AF352" i="16" s="1"/>
  <c r="AD353" i="16"/>
  <c r="AE353" i="16"/>
  <c r="AF353" i="16" s="1"/>
  <c r="AE354" i="16"/>
  <c r="AF354" i="16" s="1"/>
  <c r="AD354" i="16"/>
  <c r="AE355" i="16"/>
  <c r="AF355" i="16" s="1"/>
  <c r="AD355" i="16"/>
  <c r="AD356" i="16"/>
  <c r="AE356" i="16"/>
  <c r="AF356" i="16" s="1"/>
  <c r="AD357" i="16"/>
  <c r="AE357" i="16"/>
  <c r="AF357" i="16" s="1"/>
  <c r="AE358" i="16"/>
  <c r="AF358" i="16" s="1"/>
  <c r="AD358" i="16"/>
  <c r="AD359" i="16"/>
  <c r="AE359" i="16"/>
  <c r="AF359" i="16" s="1"/>
  <c r="AD360" i="16"/>
  <c r="AE360" i="16"/>
  <c r="AF360" i="16" s="1"/>
  <c r="AE361" i="16"/>
  <c r="AF361" i="16" s="1"/>
  <c r="AD361" i="16"/>
  <c r="AD362" i="16"/>
  <c r="AE362" i="16"/>
  <c r="AF362" i="16" s="1"/>
  <c r="AE363" i="16"/>
  <c r="AF363" i="16" s="1"/>
  <c r="AD363" i="16"/>
  <c r="AD364" i="16"/>
  <c r="AE364" i="16"/>
  <c r="AF364" i="16" s="1"/>
  <c r="AD365" i="16"/>
  <c r="AE365" i="16"/>
  <c r="AF365" i="16" s="1"/>
  <c r="AE366" i="16"/>
  <c r="AF366" i="16" s="1"/>
  <c r="AD366" i="16"/>
  <c r="AE367" i="16"/>
  <c r="AF367" i="16" s="1"/>
  <c r="AD367" i="16"/>
  <c r="AD368" i="16"/>
  <c r="AE368" i="16"/>
  <c r="AF368" i="16" s="1"/>
  <c r="AD369" i="16"/>
  <c r="AE369" i="16"/>
  <c r="AF369" i="16" s="1"/>
  <c r="AE370" i="16"/>
  <c r="AF370" i="16" s="1"/>
  <c r="AD370" i="16"/>
  <c r="AD371" i="16"/>
  <c r="AE371" i="16"/>
  <c r="AF371" i="16" s="1"/>
  <c r="AD372" i="16"/>
  <c r="AE372" i="16"/>
  <c r="AF372" i="16" s="1"/>
  <c r="AE373" i="16"/>
  <c r="AF373" i="16" s="1"/>
  <c r="AD373" i="16"/>
  <c r="AE374" i="16"/>
  <c r="AF374" i="16" s="1"/>
  <c r="AD374" i="16"/>
  <c r="AD375" i="16"/>
  <c r="AE375" i="16"/>
  <c r="AF375" i="16" s="1"/>
  <c r="AD376" i="16"/>
  <c r="AE376" i="16"/>
  <c r="AF376" i="16" s="1"/>
  <c r="AE377" i="16"/>
  <c r="AF377" i="16" s="1"/>
  <c r="AD377" i="16"/>
  <c r="AD378" i="16"/>
  <c r="AE378" i="16"/>
  <c r="AF378" i="16" s="1"/>
  <c r="AE379" i="16"/>
  <c r="AF379" i="16" s="1"/>
  <c r="AD379" i="16"/>
  <c r="AD380" i="16"/>
  <c r="AE380" i="16"/>
  <c r="AF380" i="16" s="1"/>
  <c r="AE381" i="16"/>
  <c r="AF381" i="16" s="1"/>
  <c r="AD381" i="16"/>
  <c r="AE382" i="16"/>
  <c r="AF382" i="16" s="1"/>
  <c r="AD382" i="16"/>
  <c r="AE383" i="16"/>
  <c r="AF383" i="16" s="1"/>
  <c r="AD383" i="16"/>
  <c r="AD384" i="16"/>
  <c r="AE384" i="16"/>
  <c r="AF384" i="16" s="1"/>
  <c r="AE385" i="16"/>
  <c r="AF385" i="16" s="1"/>
  <c r="AD385" i="16"/>
  <c r="AE386" i="16"/>
  <c r="AF386" i="16" s="1"/>
  <c r="AD386" i="16"/>
  <c r="AD387" i="16"/>
  <c r="AE387" i="16"/>
  <c r="AF387" i="16" s="1"/>
  <c r="AD388" i="16"/>
  <c r="AE388" i="16"/>
  <c r="AF388" i="16" s="1"/>
  <c r="AE389" i="16"/>
  <c r="AF389" i="16" s="1"/>
  <c r="AD389" i="16"/>
  <c r="AD390" i="16"/>
  <c r="AE390" i="16"/>
  <c r="AF390" i="16" s="1"/>
  <c r="AE391" i="16"/>
  <c r="AF391" i="16" s="1"/>
  <c r="AD391" i="16"/>
  <c r="AE392" i="16"/>
  <c r="AF392" i="16" s="1"/>
  <c r="AD392" i="16"/>
  <c r="AD393" i="16"/>
  <c r="AE393" i="16"/>
  <c r="AF393" i="16" s="1"/>
  <c r="AE394" i="16"/>
  <c r="AF394" i="16" s="1"/>
  <c r="AD394" i="16"/>
  <c r="AE456" i="16"/>
  <c r="AF456" i="16" s="1"/>
  <c r="AD456" i="16"/>
  <c r="AE396" i="16"/>
  <c r="AF396" i="16" s="1"/>
  <c r="AD396" i="16"/>
  <c r="AE397" i="16"/>
  <c r="AF397" i="16" s="1"/>
  <c r="AD397" i="16"/>
  <c r="AD398" i="16"/>
  <c r="AE398" i="16"/>
  <c r="AF398" i="16" s="1"/>
  <c r="AE399" i="16"/>
  <c r="AF399" i="16" s="1"/>
  <c r="AD399" i="16"/>
  <c r="AE400" i="16"/>
  <c r="AF400" i="16" s="1"/>
  <c r="AD400" i="16"/>
  <c r="AD401" i="16"/>
  <c r="AE401" i="16"/>
  <c r="AF401" i="16" s="1"/>
  <c r="AE402" i="16"/>
  <c r="AF402" i="16" s="1"/>
  <c r="AD402" i="16"/>
  <c r="AE403" i="16"/>
  <c r="AF403" i="16" s="1"/>
  <c r="AD403" i="16"/>
  <c r="AE404" i="16"/>
  <c r="AF404" i="16" s="1"/>
  <c r="AD404" i="16"/>
  <c r="AD405" i="16"/>
  <c r="AE405" i="16"/>
  <c r="AF405" i="16" s="1"/>
  <c r="AE406" i="16"/>
  <c r="AF406" i="16" s="1"/>
  <c r="AD406" i="16"/>
  <c r="AE407" i="16"/>
  <c r="AF407" i="16" s="1"/>
  <c r="AD407" i="16"/>
  <c r="AE408" i="16"/>
  <c r="AF408" i="16" s="1"/>
  <c r="AD408" i="16"/>
  <c r="AE409" i="16"/>
  <c r="AF409" i="16" s="1"/>
  <c r="AD409" i="16"/>
  <c r="AD410" i="16"/>
  <c r="AE410" i="16"/>
  <c r="AF410" i="16" s="1"/>
  <c r="AD411" i="16"/>
  <c r="AE411" i="16"/>
  <c r="AF411" i="16" s="1"/>
  <c r="AD412" i="16"/>
  <c r="AE412" i="16"/>
  <c r="AF412" i="16" s="1"/>
  <c r="AD413" i="16"/>
  <c r="AE413" i="16"/>
  <c r="AF413" i="16" s="1"/>
  <c r="AD414" i="16"/>
  <c r="AE414" i="16"/>
  <c r="AF414" i="16" s="1"/>
  <c r="AE415" i="16"/>
  <c r="AF415" i="16" s="1"/>
  <c r="AD415" i="16"/>
  <c r="AE416" i="16"/>
  <c r="AF416" i="16" s="1"/>
  <c r="AD416" i="16"/>
  <c r="AD417" i="16"/>
  <c r="AE417" i="16"/>
  <c r="AF417" i="16" s="1"/>
  <c r="AD418" i="16"/>
  <c r="AE418" i="16"/>
  <c r="AF418" i="16" s="1"/>
  <c r="AD419" i="16"/>
  <c r="AE419" i="16"/>
  <c r="AF419" i="16" s="1"/>
  <c r="AD420" i="16"/>
  <c r="AE420" i="16"/>
  <c r="AF420" i="16" s="1"/>
  <c r="AE421" i="16"/>
  <c r="AF421" i="16" s="1"/>
  <c r="AD421" i="16"/>
  <c r="AE422" i="16"/>
  <c r="AF422" i="16" s="1"/>
  <c r="AD422" i="16"/>
  <c r="AD423" i="16"/>
  <c r="AE423" i="16"/>
  <c r="AF423" i="16" s="1"/>
  <c r="AE424" i="16"/>
  <c r="AF424" i="16" s="1"/>
  <c r="AD424" i="16"/>
  <c r="AD425" i="16"/>
  <c r="AE425" i="16"/>
  <c r="AF425" i="16" s="1"/>
  <c r="AE426" i="16"/>
  <c r="AF426" i="16" s="1"/>
  <c r="AD426" i="16"/>
  <c r="AD427" i="16"/>
  <c r="AE427" i="16"/>
  <c r="AF427" i="16" s="1"/>
  <c r="AE428" i="16"/>
  <c r="AF428" i="16" s="1"/>
  <c r="AD428" i="16"/>
  <c r="AD429" i="16"/>
  <c r="AE429" i="16"/>
  <c r="AF429" i="16" s="1"/>
  <c r="AE430" i="16"/>
  <c r="AF430" i="16" s="1"/>
  <c r="AD430" i="16"/>
  <c r="AE431" i="16"/>
  <c r="AF431" i="16" s="1"/>
  <c r="AD431" i="16"/>
  <c r="AE432" i="16"/>
  <c r="AF432" i="16" s="1"/>
  <c r="AD432" i="16"/>
  <c r="AD433" i="16"/>
  <c r="AE433" i="16"/>
  <c r="AF433" i="16" s="1"/>
  <c r="AE434" i="16"/>
  <c r="AF434" i="16" s="1"/>
  <c r="AD434" i="16"/>
  <c r="AE435" i="16"/>
  <c r="AF435" i="16" s="1"/>
  <c r="AD435" i="16"/>
  <c r="AD436" i="16"/>
  <c r="AE436" i="16"/>
  <c r="AF436" i="16" s="1"/>
  <c r="AE437" i="16"/>
  <c r="AF437" i="16" s="1"/>
  <c r="AD437" i="16"/>
  <c r="AE438" i="16"/>
  <c r="AF438" i="16" s="1"/>
  <c r="AD438" i="16"/>
  <c r="AD439" i="16"/>
  <c r="AE439" i="16"/>
  <c r="AF439" i="16" s="1"/>
  <c r="AE440" i="16"/>
  <c r="AF440" i="16" s="1"/>
  <c r="AD440" i="16"/>
  <c r="AD441" i="16"/>
  <c r="AE441" i="16"/>
  <c r="AF441" i="16" s="1"/>
  <c r="AE442" i="16"/>
  <c r="AF442" i="16" s="1"/>
  <c r="AD442" i="16"/>
  <c r="AE443" i="16"/>
  <c r="AF443" i="16" s="1"/>
  <c r="AD443" i="16"/>
  <c r="AE444" i="16"/>
  <c r="AF444" i="16" s="1"/>
  <c r="AD444" i="16"/>
  <c r="AD445" i="16"/>
  <c r="AE445" i="16"/>
  <c r="AF445" i="16" s="1"/>
  <c r="AE446" i="16"/>
  <c r="AF446" i="16" s="1"/>
  <c r="AD446" i="16"/>
  <c r="AD447" i="16"/>
  <c r="AE447" i="16"/>
  <c r="AF447" i="16" s="1"/>
  <c r="AE448" i="16"/>
  <c r="AF448" i="16" s="1"/>
  <c r="AD448" i="16"/>
  <c r="AE449" i="16"/>
  <c r="AF449" i="16" s="1"/>
  <c r="AD449" i="16"/>
  <c r="AE450" i="16"/>
  <c r="AF450" i="16" s="1"/>
  <c r="AD450" i="16"/>
  <c r="AD451" i="16"/>
  <c r="AE451" i="16"/>
  <c r="AF451" i="16" s="1"/>
  <c r="AE452" i="16"/>
  <c r="AF452" i="16" s="1"/>
  <c r="AD452" i="16"/>
  <c r="AE453" i="16"/>
  <c r="AF453" i="16" s="1"/>
  <c r="AD453" i="16"/>
  <c r="AD454" i="16"/>
  <c r="AE454" i="16"/>
  <c r="AF454" i="16" s="1"/>
  <c r="AE455" i="16"/>
  <c r="AF455" i="16" s="1"/>
  <c r="AD455" i="16"/>
  <c r="AD331" i="16"/>
  <c r="AE331" i="16"/>
  <c r="AF331" i="16" s="1"/>
  <c r="AE457" i="16"/>
  <c r="AF457" i="16" s="1"/>
  <c r="AD457" i="16"/>
  <c r="AE458" i="16"/>
  <c r="AF458" i="16" s="1"/>
  <c r="AD458" i="16"/>
  <c r="AE459" i="16"/>
  <c r="AF459" i="16" s="1"/>
  <c r="AD459" i="16"/>
  <c r="AE460" i="16"/>
  <c r="AF460" i="16" s="1"/>
  <c r="AD460" i="16"/>
  <c r="AE461" i="16"/>
  <c r="AF461" i="16" s="1"/>
  <c r="AD461" i="16"/>
  <c r="AD462" i="16"/>
  <c r="AE462" i="16"/>
  <c r="AF462" i="16" s="1"/>
  <c r="AE463" i="16"/>
  <c r="AF463" i="16" s="1"/>
  <c r="AD463" i="16"/>
  <c r="AD464" i="16"/>
  <c r="AE464" i="16"/>
  <c r="AF464" i="16" s="1"/>
  <c r="AE465" i="16"/>
  <c r="AF465" i="16" s="1"/>
  <c r="AD465" i="16"/>
  <c r="AE466" i="16"/>
  <c r="AF466" i="16" s="1"/>
  <c r="AD466" i="16"/>
  <c r="AE467" i="16"/>
  <c r="AF467" i="16" s="1"/>
  <c r="AD467" i="16"/>
  <c r="AD468" i="16"/>
  <c r="AE468" i="16"/>
  <c r="AF468" i="16" s="1"/>
  <c r="AE469" i="16"/>
  <c r="AF469" i="16" s="1"/>
  <c r="AD469" i="16"/>
  <c r="AE470" i="16"/>
  <c r="AF470" i="16" s="1"/>
  <c r="AD470" i="16"/>
  <c r="AE471" i="16"/>
  <c r="AF471" i="16" s="1"/>
  <c r="AD471" i="16"/>
  <c r="AE473" i="16"/>
  <c r="AF473" i="16" s="1"/>
  <c r="AD473" i="16"/>
  <c r="AD474" i="16"/>
  <c r="AE474" i="16"/>
  <c r="AF474" i="16" s="1"/>
  <c r="AE475" i="16"/>
  <c r="AF475" i="16" s="1"/>
  <c r="AD475" i="16"/>
  <c r="AD476" i="16"/>
  <c r="AE476" i="16"/>
  <c r="AF476" i="16" s="1"/>
  <c r="AE477" i="16"/>
  <c r="AF477" i="16" s="1"/>
  <c r="AD477" i="16"/>
  <c r="AD478" i="16"/>
  <c r="AE478" i="16"/>
  <c r="AF478" i="16" s="1"/>
  <c r="AE479" i="16"/>
  <c r="AF479" i="16" s="1"/>
  <c r="AD479" i="16"/>
  <c r="AE480" i="16"/>
  <c r="AF480" i="16" s="1"/>
  <c r="AD480" i="16"/>
  <c r="AE481" i="16"/>
  <c r="AF481" i="16" s="1"/>
  <c r="AD481" i="16"/>
  <c r="AE482" i="16"/>
  <c r="AF482" i="16" s="1"/>
  <c r="AD482" i="16"/>
  <c r="AE483" i="16"/>
  <c r="AF483" i="16" s="1"/>
  <c r="AD483" i="16"/>
  <c r="AE484" i="16"/>
  <c r="AF484" i="16" s="1"/>
  <c r="AD484" i="16"/>
  <c r="AE485" i="16"/>
  <c r="AF485" i="16" s="1"/>
  <c r="AD485" i="16"/>
  <c r="AD486" i="16"/>
  <c r="AE486" i="16"/>
  <c r="AF486" i="16" s="1"/>
  <c r="AD487" i="16"/>
  <c r="AE487" i="16"/>
  <c r="AF487" i="16" s="1"/>
  <c r="AE488" i="16"/>
  <c r="AF488" i="16" s="1"/>
  <c r="AD488" i="16"/>
  <c r="AE489" i="16"/>
  <c r="AF489" i="16" s="1"/>
  <c r="AD489" i="16"/>
  <c r="AE490" i="16"/>
  <c r="AF490" i="16" s="1"/>
  <c r="AD490" i="16"/>
  <c r="AD491" i="16"/>
  <c r="AE491" i="16"/>
  <c r="AF491" i="16" s="1"/>
  <c r="AE492" i="16"/>
  <c r="AF492" i="16" s="1"/>
  <c r="AD492" i="16"/>
  <c r="AE493" i="16"/>
  <c r="AF493" i="16" s="1"/>
  <c r="AD493" i="16"/>
  <c r="AD494" i="16"/>
  <c r="AE494" i="16"/>
  <c r="AF494" i="16" s="1"/>
  <c r="AE495" i="16"/>
  <c r="AF495" i="16" s="1"/>
  <c r="AD495" i="16"/>
  <c r="AE496" i="16"/>
  <c r="AF496" i="16" s="1"/>
  <c r="AD496" i="16"/>
  <c r="AE12" i="16"/>
  <c r="AF12" i="16" s="1"/>
  <c r="AD12" i="16"/>
  <c r="AE13" i="16"/>
  <c r="AF13" i="16" s="1"/>
  <c r="AD13" i="16"/>
  <c r="AE14" i="16"/>
  <c r="AF14" i="16" s="1"/>
  <c r="AD14" i="16"/>
  <c r="AE15" i="16"/>
  <c r="AF15" i="16" s="1"/>
  <c r="AD15" i="16"/>
  <c r="AD16" i="16"/>
  <c r="AE16" i="16"/>
  <c r="AF16" i="16" s="1"/>
  <c r="AD17" i="16"/>
  <c r="AE17" i="16"/>
  <c r="AF17" i="16" s="1"/>
  <c r="AE248" i="16"/>
  <c r="AF248" i="16" s="1"/>
  <c r="AD248" i="16"/>
  <c r="AE259" i="16"/>
  <c r="AF259" i="16" s="1"/>
  <c r="AD259" i="16"/>
  <c r="AD272" i="16"/>
  <c r="AE272" i="16"/>
  <c r="AF272" i="16" s="1"/>
  <c r="AE277" i="16"/>
  <c r="AF277" i="16" s="1"/>
  <c r="AD277" i="16"/>
  <c r="AD283" i="16"/>
  <c r="AE283" i="16"/>
  <c r="AF283" i="16" s="1"/>
  <c r="AE313" i="16"/>
  <c r="AF313" i="16" s="1"/>
  <c r="AD313" i="16"/>
  <c r="AD318" i="16"/>
  <c r="AE318" i="16"/>
  <c r="AF318" i="16" s="1"/>
  <c r="AE325" i="16"/>
  <c r="AF325" i="16" s="1"/>
  <c r="AD325" i="16"/>
  <c r="AD497" i="16"/>
  <c r="AE497" i="16"/>
  <c r="AF497" i="16" s="1"/>
  <c r="AE472" i="16"/>
  <c r="AF472" i="16" s="1"/>
  <c r="AD472" i="16"/>
  <c r="AE193" i="16"/>
  <c r="AF193" i="16" s="1"/>
  <c r="AD193" i="16"/>
  <c r="AE194" i="16"/>
  <c r="AF194" i="16" s="1"/>
  <c r="AD194" i="16"/>
  <c r="AD195" i="16"/>
  <c r="AE195" i="16"/>
  <c r="AF195" i="16" s="1"/>
  <c r="AE196" i="16"/>
  <c r="AF196" i="16" s="1"/>
  <c r="AD196" i="16"/>
  <c r="AD197" i="16"/>
  <c r="AE197" i="16"/>
  <c r="AF197" i="16" s="1"/>
  <c r="AE198" i="16"/>
  <c r="AF198" i="16" s="1"/>
  <c r="AD198" i="16"/>
  <c r="AE199" i="16"/>
  <c r="AF199" i="16" s="1"/>
  <c r="AD199" i="16"/>
  <c r="AD200" i="16"/>
  <c r="AE200" i="16"/>
  <c r="AF200" i="16" s="1"/>
  <c r="AD201" i="16"/>
  <c r="AE201" i="16"/>
  <c r="AF201" i="16" s="1"/>
  <c r="AD202" i="16"/>
  <c r="AE202" i="16"/>
  <c r="AF202" i="16" s="1"/>
  <c r="AD203" i="16"/>
  <c r="AE203" i="16"/>
  <c r="AF203" i="16" s="1"/>
  <c r="AD209" i="16"/>
  <c r="AE209" i="16"/>
  <c r="AF209" i="16" s="1"/>
  <c r="AE210" i="16"/>
  <c r="AF210" i="16" s="1"/>
  <c r="AD210" i="16"/>
  <c r="AD211" i="16"/>
  <c r="AE211" i="16"/>
  <c r="AF211" i="16" s="1"/>
  <c r="AE212" i="16"/>
  <c r="AF212" i="16" s="1"/>
  <c r="AD212" i="16"/>
  <c r="AD216" i="16"/>
  <c r="AE216" i="16"/>
  <c r="AF216" i="16" s="1"/>
  <c r="AE217" i="16"/>
  <c r="AF217" i="16" s="1"/>
  <c r="AD217" i="16"/>
  <c r="AD224" i="16"/>
  <c r="AE224" i="16"/>
  <c r="AF224" i="16" s="1"/>
  <c r="AD228" i="16"/>
  <c r="AE228" i="16"/>
  <c r="AF228" i="16" s="1"/>
  <c r="AD230" i="16"/>
  <c r="AE230" i="16"/>
  <c r="AF230" i="16" s="1"/>
  <c r="AE234" i="16"/>
  <c r="AF234" i="16" s="1"/>
  <c r="AD234" i="16"/>
  <c r="AD235" i="16"/>
  <c r="AE235" i="16"/>
  <c r="AF235" i="16" s="1"/>
  <c r="AE236" i="16"/>
  <c r="AF236" i="16" s="1"/>
  <c r="AD236" i="16"/>
  <c r="AD238" i="16"/>
  <c r="AE238" i="16"/>
  <c r="AF238" i="16" s="1"/>
  <c r="AD242" i="16"/>
  <c r="AE242" i="16"/>
  <c r="AF242" i="16" s="1"/>
  <c r="AE246" i="16"/>
  <c r="AF246" i="16" s="1"/>
  <c r="AD246" i="16"/>
  <c r="AD247" i="16"/>
  <c r="AE247" i="16"/>
  <c r="AF247" i="16" s="1"/>
  <c r="AD252" i="16"/>
  <c r="AE252" i="16"/>
  <c r="AF252" i="16" s="1"/>
  <c r="AE253" i="16"/>
  <c r="AF253" i="16" s="1"/>
  <c r="AD253" i="16"/>
  <c r="AD254" i="16"/>
  <c r="AE254" i="16"/>
  <c r="AF254" i="16" s="1"/>
  <c r="AE255" i="16"/>
  <c r="AF255" i="16" s="1"/>
  <c r="AD255" i="16"/>
  <c r="AE256" i="16"/>
  <c r="AF256" i="16" s="1"/>
  <c r="AD256" i="16"/>
  <c r="AD257" i="16"/>
  <c r="AE257" i="16"/>
  <c r="AF257" i="16" s="1"/>
  <c r="AE258" i="16"/>
  <c r="AF258" i="16" s="1"/>
  <c r="AD258" i="16"/>
  <c r="AE263" i="16"/>
  <c r="AF263" i="16" s="1"/>
  <c r="AD263" i="16"/>
  <c r="AE266" i="16"/>
  <c r="AF266" i="16" s="1"/>
  <c r="AD266" i="16"/>
  <c r="AE268" i="16"/>
  <c r="AF268" i="16" s="1"/>
  <c r="AD268" i="16"/>
  <c r="AD269" i="16"/>
  <c r="AE269" i="16"/>
  <c r="AF269" i="16" s="1"/>
  <c r="AD270" i="16"/>
  <c r="AE270" i="16"/>
  <c r="AF270" i="16" s="1"/>
  <c r="AE274" i="16"/>
  <c r="AF274" i="16" s="1"/>
  <c r="AD274" i="16"/>
  <c r="AD275" i="16"/>
  <c r="AE275" i="16"/>
  <c r="AF275" i="16" s="1"/>
  <c r="AD276" i="16"/>
  <c r="AE276" i="16"/>
  <c r="AF276" i="16" s="1"/>
  <c r="AE284" i="16"/>
  <c r="AF284" i="16" s="1"/>
  <c r="AD284" i="16"/>
  <c r="AE285" i="16"/>
  <c r="AF285" i="16" s="1"/>
  <c r="AD285" i="16"/>
  <c r="AD286" i="16"/>
  <c r="AE286" i="16"/>
  <c r="AF286" i="16" s="1"/>
  <c r="AE288" i="16"/>
  <c r="AF288" i="16" s="1"/>
  <c r="AD288" i="16"/>
  <c r="AD289" i="16"/>
  <c r="AE289" i="16"/>
  <c r="AF289" i="16" s="1"/>
  <c r="AD290" i="16"/>
  <c r="AE290" i="16"/>
  <c r="AF290" i="16" s="1"/>
  <c r="AE294" i="16"/>
  <c r="AF294" i="16" s="1"/>
  <c r="AD294" i="16"/>
  <c r="AD296" i="16"/>
  <c r="AE296" i="16"/>
  <c r="AF296" i="16" s="1"/>
  <c r="AD297" i="16"/>
  <c r="AE297" i="16"/>
  <c r="AF297" i="16" s="1"/>
  <c r="AE303" i="16"/>
  <c r="AF303" i="16" s="1"/>
  <c r="AD303" i="16"/>
  <c r="AE304" i="16"/>
  <c r="AF304" i="16" s="1"/>
  <c r="AD304" i="16"/>
  <c r="AE306" i="16"/>
  <c r="AF306" i="16" s="1"/>
  <c r="AD306" i="16"/>
  <c r="AE307" i="16"/>
  <c r="AF307" i="16" s="1"/>
  <c r="AD307" i="16"/>
  <c r="AE309" i="16"/>
  <c r="AF309" i="16" s="1"/>
  <c r="AD309" i="16"/>
  <c r="AD310" i="16"/>
  <c r="AE310" i="16"/>
  <c r="AF310" i="16" s="1"/>
  <c r="AD311" i="16"/>
  <c r="AE311" i="16"/>
  <c r="AF311" i="16" s="1"/>
  <c r="AE312" i="16"/>
  <c r="AF312" i="16" s="1"/>
  <c r="AD312" i="16"/>
  <c r="AE315" i="16"/>
  <c r="AF315" i="16" s="1"/>
  <c r="AD315" i="16"/>
  <c r="AE316" i="16"/>
  <c r="AF316" i="16" s="1"/>
  <c r="AD316" i="16"/>
  <c r="AD321" i="16"/>
  <c r="AE321" i="16"/>
  <c r="AF321" i="16" s="1"/>
  <c r="AD327" i="16"/>
  <c r="AE327" i="16"/>
  <c r="AF327" i="16" s="1"/>
  <c r="AO12" i="16"/>
  <c r="AP12" i="16" s="1"/>
  <c r="AQ12" i="16" s="1"/>
  <c r="C17" i="9"/>
  <c r="X503" i="16"/>
  <c r="P3" i="16"/>
  <c r="P503" i="16" s="1"/>
  <c r="AA4" i="16"/>
  <c r="AB4" i="16" s="1"/>
  <c r="AC4" i="16"/>
  <c r="AA5" i="16"/>
  <c r="AB5" i="16" s="1"/>
  <c r="AC5" i="16"/>
  <c r="AA8" i="16"/>
  <c r="AB8" i="16" s="1"/>
  <c r="AC8" i="16"/>
  <c r="AA9" i="16"/>
  <c r="AB9" i="16" s="1"/>
  <c r="AC9" i="16"/>
  <c r="AA10" i="16"/>
  <c r="AB10" i="16" s="1"/>
  <c r="AC10" i="16"/>
  <c r="AA11" i="16"/>
  <c r="AC11" i="16"/>
  <c r="AC6" i="16"/>
  <c r="AD6" i="16" s="1"/>
  <c r="AA6" i="16"/>
  <c r="AB6" i="16" s="1"/>
  <c r="AA7" i="16"/>
  <c r="AB7" i="16" s="1"/>
  <c r="AC7" i="16"/>
  <c r="AA3" i="16"/>
  <c r="T62" i="13" s="1"/>
  <c r="H19" i="10"/>
  <c r="G19" i="10"/>
  <c r="AO5" i="16"/>
  <c r="AP5" i="16" s="1"/>
  <c r="AQ5" i="16" s="1"/>
  <c r="AO8" i="16"/>
  <c r="AP8" i="16" s="1"/>
  <c r="AQ8" i="16" s="1"/>
  <c r="AO10" i="16"/>
  <c r="AP10" i="16" s="1"/>
  <c r="AQ10" i="16" s="1"/>
  <c r="AO4" i="16"/>
  <c r="AP4" i="16" s="1"/>
  <c r="AQ4" i="16" s="1"/>
  <c r="AO6" i="16"/>
  <c r="AO7" i="16"/>
  <c r="AP7" i="16" s="1"/>
  <c r="AQ7" i="16" s="1"/>
  <c r="AO9" i="16"/>
  <c r="AP9" i="16" s="1"/>
  <c r="AQ9" i="16" s="1"/>
  <c r="AO11" i="16"/>
  <c r="AP11" i="16" s="1"/>
  <c r="J5" i="10"/>
  <c r="F25" i="10"/>
  <c r="I28" i="10"/>
  <c r="F56" i="10"/>
  <c r="O102" i="10"/>
  <c r="AD3" i="16" l="1"/>
  <c r="AB11" i="16"/>
  <c r="AQ11" i="16"/>
  <c r="AD36" i="13" s="1"/>
  <c r="P82" i="10"/>
  <c r="F9" i="8"/>
  <c r="H9" i="8" s="1"/>
  <c r="AL4" i="16"/>
  <c r="AM4" i="16" s="1"/>
  <c r="K8" i="4"/>
  <c r="K16" i="4"/>
  <c r="AL12" i="16"/>
  <c r="AM12" i="16" s="1"/>
  <c r="F17" i="8"/>
  <c r="H17" i="8" s="1"/>
  <c r="K17" i="4"/>
  <c r="F18" i="8"/>
  <c r="H18" i="8" s="1"/>
  <c r="AL13" i="16"/>
  <c r="AM13" i="16" s="1"/>
  <c r="K18" i="4"/>
  <c r="AL14" i="16"/>
  <c r="AM14" i="16" s="1"/>
  <c r="F19" i="8"/>
  <c r="H19" i="8" s="1"/>
  <c r="K19" i="4"/>
  <c r="AL15" i="16"/>
  <c r="AM15" i="16" s="1"/>
  <c r="F20" i="8"/>
  <c r="H20" i="8" s="1"/>
  <c r="K20" i="4"/>
  <c r="AL16" i="16"/>
  <c r="AM16" i="16" s="1"/>
  <c r="F21" i="8"/>
  <c r="H21" i="8" s="1"/>
  <c r="K21" i="4"/>
  <c r="F22" i="8"/>
  <c r="H22" i="8" s="1"/>
  <c r="AL17" i="16"/>
  <c r="AM17" i="16" s="1"/>
  <c r="K22" i="4"/>
  <c r="F23" i="8"/>
  <c r="H23" i="8" s="1"/>
  <c r="AL18" i="16"/>
  <c r="AM18" i="16" s="1"/>
  <c r="K23" i="4"/>
  <c r="F24" i="8"/>
  <c r="H24" i="8" s="1"/>
  <c r="AL19" i="16"/>
  <c r="AM19" i="16" s="1"/>
  <c r="K24" i="4"/>
  <c r="AL20" i="16"/>
  <c r="AM20" i="16" s="1"/>
  <c r="F25" i="8"/>
  <c r="H25" i="8" s="1"/>
  <c r="K25" i="4"/>
  <c r="AL21" i="16"/>
  <c r="AM21" i="16" s="1"/>
  <c r="F26" i="8"/>
  <c r="H26" i="8" s="1"/>
  <c r="K26" i="4"/>
  <c r="F27" i="8"/>
  <c r="H27" i="8" s="1"/>
  <c r="AL22" i="16"/>
  <c r="AM22" i="16" s="1"/>
  <c r="K27" i="4"/>
  <c r="AL23" i="16"/>
  <c r="AM23" i="16" s="1"/>
  <c r="F28" i="8"/>
  <c r="H28" i="8" s="1"/>
  <c r="K28" i="4"/>
  <c r="F29" i="8"/>
  <c r="H29" i="8" s="1"/>
  <c r="AL24" i="16"/>
  <c r="AM24" i="16" s="1"/>
  <c r="K29" i="4"/>
  <c r="F30" i="8"/>
  <c r="H30" i="8" s="1"/>
  <c r="AL25" i="16"/>
  <c r="AM25" i="16" s="1"/>
  <c r="K30" i="4"/>
  <c r="F31" i="8"/>
  <c r="H31" i="8" s="1"/>
  <c r="AL26" i="16"/>
  <c r="AM26" i="16" s="1"/>
  <c r="K31" i="4"/>
  <c r="F32" i="8"/>
  <c r="H32" i="8" s="1"/>
  <c r="AL27" i="16"/>
  <c r="AM27" i="16" s="1"/>
  <c r="K32" i="4"/>
  <c r="F33" i="8"/>
  <c r="H33" i="8" s="1"/>
  <c r="AL28" i="16"/>
  <c r="AM28" i="16" s="1"/>
  <c r="K33" i="4"/>
  <c r="F34" i="8"/>
  <c r="H34" i="8" s="1"/>
  <c r="AL29" i="16"/>
  <c r="AM29" i="16" s="1"/>
  <c r="K34" i="4"/>
  <c r="F35" i="8"/>
  <c r="H35" i="8" s="1"/>
  <c r="AL30" i="16"/>
  <c r="AM30" i="16" s="1"/>
  <c r="K35" i="4"/>
  <c r="F36" i="8"/>
  <c r="H36" i="8" s="1"/>
  <c r="AL31" i="16"/>
  <c r="K36" i="4"/>
  <c r="F37" i="8"/>
  <c r="H37" i="8" s="1"/>
  <c r="AL32" i="16"/>
  <c r="K37" i="4"/>
  <c r="AL33" i="16"/>
  <c r="F38" i="8"/>
  <c r="H38" i="8" s="1"/>
  <c r="K38" i="4"/>
  <c r="AL34" i="16"/>
  <c r="F39" i="8"/>
  <c r="H39" i="8" s="1"/>
  <c r="K39" i="4"/>
  <c r="F40" i="8"/>
  <c r="H40" i="8" s="1"/>
  <c r="AL35" i="16"/>
  <c r="K40" i="4"/>
  <c r="F41" i="8"/>
  <c r="H41" i="8" s="1"/>
  <c r="AL36" i="16"/>
  <c r="K41" i="4"/>
  <c r="F42" i="8"/>
  <c r="H42" i="8" s="1"/>
  <c r="AL37" i="16"/>
  <c r="F43" i="8"/>
  <c r="H43" i="8" s="1"/>
  <c r="AL38" i="16"/>
  <c r="K42" i="4"/>
  <c r="K43" i="4"/>
  <c r="AL39" i="16"/>
  <c r="F44" i="8"/>
  <c r="H44" i="8" s="1"/>
  <c r="F45" i="8"/>
  <c r="H45" i="8" s="1"/>
  <c r="AL40" i="16"/>
  <c r="K44" i="4"/>
  <c r="AL41" i="16"/>
  <c r="F46" i="8"/>
  <c r="H46" i="8" s="1"/>
  <c r="K45" i="4"/>
  <c r="AL42" i="16"/>
  <c r="F47" i="8"/>
  <c r="H47" i="8" s="1"/>
  <c r="K46" i="4"/>
  <c r="F48" i="8"/>
  <c r="H48" i="8" s="1"/>
  <c r="AL43" i="16"/>
  <c r="K47" i="4"/>
  <c r="K48" i="4"/>
  <c r="F49" i="8"/>
  <c r="H49" i="8" s="1"/>
  <c r="AL44" i="16"/>
  <c r="K49" i="4"/>
  <c r="F50" i="8"/>
  <c r="H50" i="8" s="1"/>
  <c r="AL45" i="16"/>
  <c r="K50" i="4"/>
  <c r="F51" i="8"/>
  <c r="H51" i="8" s="1"/>
  <c r="AL46" i="16"/>
  <c r="K51" i="4"/>
  <c r="F52" i="8"/>
  <c r="H52" i="8" s="1"/>
  <c r="AL47" i="16"/>
  <c r="K52" i="4"/>
  <c r="F53" i="8"/>
  <c r="H53" i="8" s="1"/>
  <c r="AL48" i="16"/>
  <c r="K53" i="4"/>
  <c r="F54" i="8"/>
  <c r="H54" i="8" s="1"/>
  <c r="AL49" i="16"/>
  <c r="K54" i="4"/>
  <c r="F55" i="8"/>
  <c r="H55" i="8" s="1"/>
  <c r="AL50" i="16"/>
  <c r="K55" i="4"/>
  <c r="F56" i="8"/>
  <c r="H56" i="8" s="1"/>
  <c r="AL51" i="16"/>
  <c r="K56" i="4"/>
  <c r="F57" i="8"/>
  <c r="H57" i="8" s="1"/>
  <c r="AL52" i="16"/>
  <c r="K57" i="4"/>
  <c r="F58" i="8"/>
  <c r="H58" i="8" s="1"/>
  <c r="AL53" i="16"/>
  <c r="K58" i="4"/>
  <c r="AL54" i="16"/>
  <c r="F59" i="8"/>
  <c r="H59" i="8" s="1"/>
  <c r="AL55" i="16"/>
  <c r="K59" i="4"/>
  <c r="F60" i="8"/>
  <c r="H60" i="8" s="1"/>
  <c r="K60" i="4"/>
  <c r="AL56" i="16"/>
  <c r="F61" i="8"/>
  <c r="H61" i="8" s="1"/>
  <c r="K61" i="4"/>
  <c r="F62" i="8"/>
  <c r="H62" i="8" s="1"/>
  <c r="AL57" i="16"/>
  <c r="K62" i="4"/>
  <c r="F63" i="8"/>
  <c r="H63" i="8" s="1"/>
  <c r="AL58" i="16"/>
  <c r="F64" i="8"/>
  <c r="H64" i="8" s="1"/>
  <c r="AL59" i="16"/>
  <c r="K63" i="4"/>
  <c r="K64" i="4"/>
  <c r="F65" i="8"/>
  <c r="H65" i="8" s="1"/>
  <c r="AL60" i="16"/>
  <c r="F66" i="8"/>
  <c r="H66" i="8" s="1"/>
  <c r="AL61" i="16"/>
  <c r="K65" i="4"/>
  <c r="K66" i="4"/>
  <c r="F67" i="8"/>
  <c r="H67" i="8" s="1"/>
  <c r="AL62" i="16"/>
  <c r="K67" i="4"/>
  <c r="AL63" i="16"/>
  <c r="F68" i="8"/>
  <c r="H68" i="8" s="1"/>
  <c r="K68" i="4"/>
  <c r="F69" i="8"/>
  <c r="H69" i="8" s="1"/>
  <c r="AL64" i="16"/>
  <c r="F70" i="8"/>
  <c r="H70" i="8" s="1"/>
  <c r="K69" i="4"/>
  <c r="AL65" i="16"/>
  <c r="F71" i="8"/>
  <c r="H71" i="8" s="1"/>
  <c r="K70" i="4"/>
  <c r="AL66" i="16"/>
  <c r="AL67" i="16"/>
  <c r="F72" i="8"/>
  <c r="H72" i="8" s="1"/>
  <c r="K71" i="4"/>
  <c r="AL68" i="16"/>
  <c r="F73" i="8"/>
  <c r="H73" i="8" s="1"/>
  <c r="K72" i="4"/>
  <c r="AL69" i="16"/>
  <c r="K73" i="4"/>
  <c r="F74" i="8"/>
  <c r="H74" i="8" s="1"/>
  <c r="AL70" i="16"/>
  <c r="F75" i="8"/>
  <c r="H75" i="8" s="1"/>
  <c r="K74" i="4"/>
  <c r="F76" i="8"/>
  <c r="H76" i="8" s="1"/>
  <c r="AL71" i="16"/>
  <c r="K75" i="4"/>
  <c r="F77" i="8"/>
  <c r="H77" i="8" s="1"/>
  <c r="AL72" i="16"/>
  <c r="K76" i="4"/>
  <c r="K77" i="4"/>
  <c r="F78" i="8"/>
  <c r="H78" i="8" s="1"/>
  <c r="AL73" i="16"/>
  <c r="K78" i="4"/>
  <c r="F79" i="8"/>
  <c r="H79" i="8" s="1"/>
  <c r="AL74" i="16"/>
  <c r="K79" i="4"/>
  <c r="AL75" i="16"/>
  <c r="F80" i="8"/>
  <c r="H80" i="8" s="1"/>
  <c r="AL76" i="16"/>
  <c r="F81" i="8"/>
  <c r="H81" i="8" s="1"/>
  <c r="K80" i="4"/>
  <c r="F82" i="8"/>
  <c r="H82" i="8" s="1"/>
  <c r="K81" i="4"/>
  <c r="AL77" i="16"/>
  <c r="F83" i="8"/>
  <c r="H83" i="8" s="1"/>
  <c r="AL78" i="16"/>
  <c r="K82" i="4"/>
  <c r="AL79" i="16"/>
  <c r="F84" i="8"/>
  <c r="H84" i="8" s="1"/>
  <c r="K83" i="4"/>
  <c r="F85" i="8"/>
  <c r="H85" i="8" s="1"/>
  <c r="AL80" i="16"/>
  <c r="K84" i="4"/>
  <c r="K85" i="4"/>
  <c r="F86" i="8"/>
  <c r="H86" i="8" s="1"/>
  <c r="AL81" i="16"/>
  <c r="K86" i="4"/>
  <c r="F87" i="8"/>
  <c r="H87" i="8" s="1"/>
  <c r="AL82" i="16"/>
  <c r="K87" i="4"/>
  <c r="F88" i="8"/>
  <c r="H88" i="8" s="1"/>
  <c r="AL83" i="16"/>
  <c r="K88" i="4"/>
  <c r="AL84" i="16"/>
  <c r="F89" i="8"/>
  <c r="H89" i="8" s="1"/>
  <c r="K89" i="4"/>
  <c r="F90" i="8"/>
  <c r="H90" i="8" s="1"/>
  <c r="AL85" i="16"/>
  <c r="K90" i="4"/>
  <c r="F91" i="8"/>
  <c r="H91" i="8" s="1"/>
  <c r="AL86" i="16"/>
  <c r="K91" i="4"/>
  <c r="F92" i="8"/>
  <c r="H92" i="8" s="1"/>
  <c r="AL87" i="16"/>
  <c r="K92" i="4"/>
  <c r="F93" i="8"/>
  <c r="H93" i="8" s="1"/>
  <c r="AL88" i="16"/>
  <c r="K93" i="4"/>
  <c r="F94" i="8"/>
  <c r="H94" i="8" s="1"/>
  <c r="AL89" i="16"/>
  <c r="AL90" i="16"/>
  <c r="K94" i="4"/>
  <c r="F95" i="8"/>
  <c r="H95" i="8" s="1"/>
  <c r="AL3" i="16"/>
  <c r="F8" i="8"/>
  <c r="H8" i="8" s="1"/>
  <c r="P81" i="10"/>
  <c r="K7" i="4"/>
  <c r="F10" i="8"/>
  <c r="H10" i="8" s="1"/>
  <c r="AL5" i="16"/>
  <c r="AM5" i="16" s="1"/>
  <c r="K9" i="4"/>
  <c r="P83" i="10"/>
  <c r="AL6" i="16"/>
  <c r="AM6" i="16" s="1"/>
  <c r="K10" i="4"/>
  <c r="P84" i="10"/>
  <c r="F11" i="8"/>
  <c r="H11" i="8" s="1"/>
  <c r="K11" i="4"/>
  <c r="P85" i="10"/>
  <c r="F12" i="8"/>
  <c r="H12" i="8" s="1"/>
  <c r="AL7" i="16"/>
  <c r="AM7" i="16" s="1"/>
  <c r="AL8" i="16"/>
  <c r="AM8" i="16" s="1"/>
  <c r="K12" i="4"/>
  <c r="F13" i="8"/>
  <c r="H13" i="8" s="1"/>
  <c r="P86" i="10"/>
  <c r="AL9" i="16"/>
  <c r="AM9" i="16" s="1"/>
  <c r="K13" i="4"/>
  <c r="P87" i="10"/>
  <c r="F14" i="8"/>
  <c r="H14" i="8" s="1"/>
  <c r="K14" i="4"/>
  <c r="AL10" i="16"/>
  <c r="AM10" i="16" s="1"/>
  <c r="F15" i="8"/>
  <c r="H15" i="8" s="1"/>
  <c r="P88" i="10"/>
  <c r="K15" i="4"/>
  <c r="AL11" i="16"/>
  <c r="F16" i="8"/>
  <c r="H16" i="8" s="1"/>
  <c r="P89" i="10"/>
  <c r="AK503" i="16"/>
  <c r="K98" i="4"/>
  <c r="F99" i="8"/>
  <c r="H99" i="8" s="1"/>
  <c r="AL94" i="16"/>
  <c r="AL95" i="16"/>
  <c r="K99" i="4"/>
  <c r="F100" i="8"/>
  <c r="H100" i="8" s="1"/>
  <c r="AL96" i="16"/>
  <c r="K100" i="4"/>
  <c r="F101" i="8"/>
  <c r="H101" i="8" s="1"/>
  <c r="K101" i="4"/>
  <c r="AL97" i="16"/>
  <c r="F102" i="8"/>
  <c r="H102" i="8" s="1"/>
  <c r="K102" i="4"/>
  <c r="AL98" i="16"/>
  <c r="F103" i="8"/>
  <c r="H103" i="8" s="1"/>
  <c r="K103" i="4"/>
  <c r="F104" i="8"/>
  <c r="H104" i="8" s="1"/>
  <c r="AL99" i="16"/>
  <c r="K104" i="4"/>
  <c r="F105" i="8"/>
  <c r="H105" i="8" s="1"/>
  <c r="AL100" i="16"/>
  <c r="K105" i="4"/>
  <c r="F106" i="8"/>
  <c r="H106" i="8" s="1"/>
  <c r="AL101" i="16"/>
  <c r="AL102" i="16"/>
  <c r="K106" i="4"/>
  <c r="F107" i="8"/>
  <c r="H107" i="8" s="1"/>
  <c r="K107" i="4"/>
  <c r="AL103" i="16"/>
  <c r="F108" i="8"/>
  <c r="H108" i="8" s="1"/>
  <c r="K108" i="4"/>
  <c r="F109" i="8"/>
  <c r="H109" i="8" s="1"/>
  <c r="AL104" i="16"/>
  <c r="K109" i="4"/>
  <c r="AL105" i="16"/>
  <c r="F110" i="8"/>
  <c r="H110" i="8" s="1"/>
  <c r="F111" i="8"/>
  <c r="H111" i="8" s="1"/>
  <c r="AL106" i="16"/>
  <c r="K110" i="4"/>
  <c r="F112" i="8"/>
  <c r="H112" i="8" s="1"/>
  <c r="AL107" i="16"/>
  <c r="K111" i="4"/>
  <c r="K112" i="4"/>
  <c r="F113" i="8"/>
  <c r="H113" i="8" s="1"/>
  <c r="AL108" i="16"/>
  <c r="K113" i="4"/>
  <c r="F114" i="8"/>
  <c r="H114" i="8" s="1"/>
  <c r="AL109" i="16"/>
  <c r="AL110" i="16"/>
  <c r="K114" i="4"/>
  <c r="F115" i="8"/>
  <c r="H115" i="8" s="1"/>
  <c r="AL111" i="16"/>
  <c r="F116" i="8"/>
  <c r="H116" i="8" s="1"/>
  <c r="K115" i="4"/>
  <c r="AL112" i="16"/>
  <c r="F117" i="8"/>
  <c r="H117" i="8" s="1"/>
  <c r="K116" i="4"/>
  <c r="AL113" i="16"/>
  <c r="K117" i="4"/>
  <c r="F118" i="8"/>
  <c r="H118" i="8" s="1"/>
  <c r="K118" i="4"/>
  <c r="F119" i="8"/>
  <c r="H119" i="8" s="1"/>
  <c r="AL114" i="16"/>
  <c r="K119" i="4"/>
  <c r="F120" i="8"/>
  <c r="H120" i="8" s="1"/>
  <c r="AL115" i="16"/>
  <c r="K120" i="4"/>
  <c r="F121" i="8"/>
  <c r="H121" i="8" s="1"/>
  <c r="AL116" i="16"/>
  <c r="K121" i="4"/>
  <c r="F122" i="8"/>
  <c r="H122" i="8" s="1"/>
  <c r="AL117" i="16"/>
  <c r="K122" i="4"/>
  <c r="F123" i="8"/>
  <c r="H123" i="8" s="1"/>
  <c r="AL118" i="16"/>
  <c r="K123" i="4"/>
  <c r="F124" i="8"/>
  <c r="H124" i="8" s="1"/>
  <c r="AL119" i="16"/>
  <c r="K124" i="4"/>
  <c r="F125" i="8"/>
  <c r="H125" i="8" s="1"/>
  <c r="AL120" i="16"/>
  <c r="K125" i="4"/>
  <c r="F126" i="8"/>
  <c r="H126" i="8" s="1"/>
  <c r="AL121" i="16"/>
  <c r="K126" i="4"/>
  <c r="F127" i="8"/>
  <c r="H127" i="8" s="1"/>
  <c r="AL122" i="16"/>
  <c r="K127" i="4"/>
  <c r="F128" i="8"/>
  <c r="H128" i="8" s="1"/>
  <c r="AL123" i="16"/>
  <c r="K128" i="4"/>
  <c r="AL124" i="16"/>
  <c r="F129" i="8"/>
  <c r="H129" i="8" s="1"/>
  <c r="F130" i="8"/>
  <c r="H130" i="8" s="1"/>
  <c r="K129" i="4"/>
  <c r="AL125" i="16"/>
  <c r="K130" i="4"/>
  <c r="F131" i="8"/>
  <c r="H131" i="8" s="1"/>
  <c r="AL126" i="16"/>
  <c r="K131" i="4"/>
  <c r="AL127" i="16"/>
  <c r="F132" i="8"/>
  <c r="H132" i="8" s="1"/>
  <c r="K132" i="4"/>
  <c r="F133" i="8"/>
  <c r="H133" i="8" s="1"/>
  <c r="AL128" i="16"/>
  <c r="F134" i="8"/>
  <c r="H134" i="8" s="1"/>
  <c r="AL129" i="16"/>
  <c r="K133" i="4"/>
  <c r="AL130" i="16"/>
  <c r="F135" i="8"/>
  <c r="H135" i="8" s="1"/>
  <c r="K134" i="4"/>
  <c r="F136" i="8"/>
  <c r="H136" i="8" s="1"/>
  <c r="AL131" i="16"/>
  <c r="K135" i="4"/>
  <c r="K136" i="4"/>
  <c r="AL132" i="16"/>
  <c r="F137" i="8"/>
  <c r="H137" i="8" s="1"/>
  <c r="K137" i="4"/>
  <c r="F138" i="8"/>
  <c r="H138" i="8" s="1"/>
  <c r="AL133" i="16"/>
  <c r="K138" i="4"/>
  <c r="F139" i="8"/>
  <c r="H139" i="8" s="1"/>
  <c r="AL134" i="16"/>
  <c r="K139" i="4"/>
  <c r="F140" i="8"/>
  <c r="H140" i="8" s="1"/>
  <c r="AL135" i="16"/>
  <c r="K140" i="4"/>
  <c r="F141" i="8"/>
  <c r="H141" i="8" s="1"/>
  <c r="AL136" i="16"/>
  <c r="F142" i="8"/>
  <c r="H142" i="8" s="1"/>
  <c r="AL137" i="16"/>
  <c r="K141" i="4"/>
  <c r="AL138" i="16"/>
  <c r="F143" i="8"/>
  <c r="H143" i="8" s="1"/>
  <c r="K142" i="4"/>
  <c r="F144" i="8"/>
  <c r="H144" i="8" s="1"/>
  <c r="AL139" i="16"/>
  <c r="K143" i="4"/>
  <c r="K144" i="4"/>
  <c r="F145" i="8"/>
  <c r="H145" i="8" s="1"/>
  <c r="AL140" i="16"/>
  <c r="K145" i="4"/>
  <c r="F146" i="8"/>
  <c r="H146" i="8" s="1"/>
  <c r="AL141" i="16"/>
  <c r="F147" i="8"/>
  <c r="H147" i="8" s="1"/>
  <c r="K146" i="4"/>
  <c r="AL142" i="16"/>
  <c r="F148" i="8"/>
  <c r="H148" i="8" s="1"/>
  <c r="K147" i="4"/>
  <c r="AL143" i="16"/>
  <c r="F149" i="8"/>
  <c r="H149" i="8" s="1"/>
  <c r="K148" i="4"/>
  <c r="AL144" i="16"/>
  <c r="K149" i="4"/>
  <c r="F150" i="8"/>
  <c r="H150" i="8" s="1"/>
  <c r="AL145" i="16"/>
  <c r="K150" i="4"/>
  <c r="F151" i="8"/>
  <c r="H151" i="8" s="1"/>
  <c r="AL146" i="16"/>
  <c r="K151" i="4"/>
  <c r="F152" i="8"/>
  <c r="H152" i="8" s="1"/>
  <c r="AL147" i="16"/>
  <c r="K152" i="4"/>
  <c r="F153" i="8"/>
  <c r="H153" i="8" s="1"/>
  <c r="AL148" i="16"/>
  <c r="K153" i="4"/>
  <c r="F154" i="8"/>
  <c r="H154" i="8" s="1"/>
  <c r="AL149" i="16"/>
  <c r="AL150" i="16"/>
  <c r="K154" i="4"/>
  <c r="F155" i="8"/>
  <c r="H155" i="8" s="1"/>
  <c r="K155" i="4"/>
  <c r="F156" i="8"/>
  <c r="H156" i="8" s="1"/>
  <c r="AL151" i="16"/>
  <c r="K156" i="4"/>
  <c r="F157" i="8"/>
  <c r="H157" i="8" s="1"/>
  <c r="AL152" i="16"/>
  <c r="AL153" i="16"/>
  <c r="F158" i="8"/>
  <c r="H158" i="8" s="1"/>
  <c r="K157" i="4"/>
  <c r="F159" i="8"/>
  <c r="H159" i="8" s="1"/>
  <c r="AL154" i="16"/>
  <c r="K158" i="4"/>
  <c r="AL155" i="16"/>
  <c r="F160" i="8"/>
  <c r="H160" i="8" s="1"/>
  <c r="K159" i="4"/>
  <c r="K160" i="4"/>
  <c r="F161" i="8"/>
  <c r="H161" i="8" s="1"/>
  <c r="AL156" i="16"/>
  <c r="K161" i="4"/>
  <c r="F162" i="8"/>
  <c r="H162" i="8" s="1"/>
  <c r="AL157" i="16"/>
  <c r="K162" i="4"/>
  <c r="F163" i="8"/>
  <c r="H163" i="8" s="1"/>
  <c r="AL158" i="16"/>
  <c r="AL159" i="16"/>
  <c r="K163" i="4"/>
  <c r="F164" i="8"/>
  <c r="H164" i="8" s="1"/>
  <c r="AL160" i="16"/>
  <c r="F165" i="8"/>
  <c r="H165" i="8" s="1"/>
  <c r="K164" i="4"/>
  <c r="AL161" i="16"/>
  <c r="F166" i="8"/>
  <c r="H166" i="8" s="1"/>
  <c r="K165" i="4"/>
  <c r="K166" i="4"/>
  <c r="AL162" i="16"/>
  <c r="F167" i="8"/>
  <c r="H167" i="8" s="1"/>
  <c r="K167" i="4"/>
  <c r="F168" i="8"/>
  <c r="H168" i="8" s="1"/>
  <c r="AL163" i="16"/>
  <c r="F169" i="8"/>
  <c r="H169" i="8" s="1"/>
  <c r="AL164" i="16"/>
  <c r="K168" i="4"/>
  <c r="K169" i="4"/>
  <c r="F170" i="8"/>
  <c r="H170" i="8" s="1"/>
  <c r="AL165" i="16"/>
  <c r="K170" i="4"/>
  <c r="F171" i="8"/>
  <c r="H171" i="8" s="1"/>
  <c r="AL166" i="16"/>
  <c r="F172" i="8"/>
  <c r="H172" i="8" s="1"/>
  <c r="K171" i="4"/>
  <c r="AL167" i="16"/>
  <c r="K172" i="4"/>
  <c r="F173" i="8"/>
  <c r="H173" i="8" s="1"/>
  <c r="AL168" i="16"/>
  <c r="K173" i="4"/>
  <c r="F174" i="8"/>
  <c r="H174" i="8" s="1"/>
  <c r="AL169" i="16"/>
  <c r="K174" i="4"/>
  <c r="AL170" i="16"/>
  <c r="F175" i="8"/>
  <c r="H175" i="8" s="1"/>
  <c r="K175" i="4"/>
  <c r="AL171" i="16"/>
  <c r="F176" i="8"/>
  <c r="H176" i="8" s="1"/>
  <c r="K176" i="4"/>
  <c r="AL172" i="16"/>
  <c r="F177" i="8"/>
  <c r="H177" i="8" s="1"/>
  <c r="K177" i="4"/>
  <c r="AL173" i="16"/>
  <c r="F178" i="8"/>
  <c r="H178" i="8" s="1"/>
  <c r="K178" i="4"/>
  <c r="AL174" i="16"/>
  <c r="F179" i="8"/>
  <c r="H179" i="8" s="1"/>
  <c r="K179" i="4"/>
  <c r="F180" i="8"/>
  <c r="H180" i="8" s="1"/>
  <c r="AL175" i="16"/>
  <c r="K180" i="4"/>
  <c r="F181" i="8"/>
  <c r="H181" i="8" s="1"/>
  <c r="AL176" i="16"/>
  <c r="K181" i="4"/>
  <c r="F182" i="8"/>
  <c r="H182" i="8" s="1"/>
  <c r="AL177" i="16"/>
  <c r="K182" i="4"/>
  <c r="F183" i="8"/>
  <c r="H183" i="8" s="1"/>
  <c r="AL178" i="16"/>
  <c r="K183" i="4"/>
  <c r="F184" i="8"/>
  <c r="H184" i="8" s="1"/>
  <c r="AL179" i="16"/>
  <c r="K184" i="4"/>
  <c r="F185" i="8"/>
  <c r="H185" i="8" s="1"/>
  <c r="AL180" i="16"/>
  <c r="K185" i="4"/>
  <c r="AL181" i="16"/>
  <c r="F186" i="8"/>
  <c r="H186" i="8" s="1"/>
  <c r="AL182" i="16"/>
  <c r="F187" i="8"/>
  <c r="H187" i="8" s="1"/>
  <c r="K186" i="4"/>
  <c r="AL183" i="16"/>
  <c r="F188" i="8"/>
  <c r="H188" i="8" s="1"/>
  <c r="K187" i="4"/>
  <c r="K188" i="4"/>
  <c r="F189" i="8"/>
  <c r="H189" i="8" s="1"/>
  <c r="AL184" i="16"/>
  <c r="K189" i="4"/>
  <c r="AL185" i="16"/>
  <c r="F190" i="8"/>
  <c r="H190" i="8" s="1"/>
  <c r="AL186" i="16"/>
  <c r="K190" i="4"/>
  <c r="F191" i="8"/>
  <c r="H191" i="8" s="1"/>
  <c r="K191" i="4"/>
  <c r="AL187" i="16"/>
  <c r="F192" i="8"/>
  <c r="H192" i="8" s="1"/>
  <c r="K192" i="4"/>
  <c r="F193" i="8"/>
  <c r="H193" i="8" s="1"/>
  <c r="AL188" i="16"/>
  <c r="AL189" i="16"/>
  <c r="K193" i="4"/>
  <c r="F194" i="8"/>
  <c r="H194" i="8" s="1"/>
  <c r="AL190" i="16"/>
  <c r="F195" i="8"/>
  <c r="H195" i="8" s="1"/>
  <c r="K194" i="4"/>
  <c r="F196" i="8"/>
  <c r="H196" i="8" s="1"/>
  <c r="AL191" i="16"/>
  <c r="K195" i="4"/>
  <c r="K196" i="4"/>
  <c r="AL192" i="16"/>
  <c r="F197" i="8"/>
  <c r="H197" i="8" s="1"/>
  <c r="F198" i="8"/>
  <c r="H198" i="8" s="1"/>
  <c r="K197" i="4"/>
  <c r="AL193" i="16"/>
  <c r="AL194" i="16"/>
  <c r="K198" i="4"/>
  <c r="F199" i="8"/>
  <c r="H199" i="8" s="1"/>
  <c r="K199" i="4"/>
  <c r="F200" i="8"/>
  <c r="H200" i="8" s="1"/>
  <c r="AL195" i="16"/>
  <c r="K200" i="4"/>
  <c r="F201" i="8"/>
  <c r="H201" i="8" s="1"/>
  <c r="AL196" i="16"/>
  <c r="K201" i="4"/>
  <c r="AL197" i="16"/>
  <c r="F202" i="8"/>
  <c r="H202" i="8" s="1"/>
  <c r="K202" i="4"/>
  <c r="F203" i="8"/>
  <c r="H203" i="8" s="1"/>
  <c r="AL198" i="16"/>
  <c r="K203" i="4"/>
  <c r="F204" i="8"/>
  <c r="H204" i="8" s="1"/>
  <c r="AL199" i="16"/>
  <c r="K204" i="4"/>
  <c r="F205" i="8"/>
  <c r="H205" i="8" s="1"/>
  <c r="AL200" i="16"/>
  <c r="K205" i="4"/>
  <c r="F206" i="8"/>
  <c r="H206" i="8" s="1"/>
  <c r="AL201" i="16"/>
  <c r="AL202" i="16"/>
  <c r="K206" i="4"/>
  <c r="F207" i="8"/>
  <c r="H207" i="8" s="1"/>
  <c r="K207" i="4"/>
  <c r="F208" i="8"/>
  <c r="H208" i="8" s="1"/>
  <c r="AL203" i="16"/>
  <c r="F209" i="8"/>
  <c r="H209" i="8" s="1"/>
  <c r="AL204" i="16"/>
  <c r="K208" i="4"/>
  <c r="F210" i="8"/>
  <c r="H210" i="8" s="1"/>
  <c r="AL205" i="16"/>
  <c r="K209" i="4"/>
  <c r="AL206" i="16"/>
  <c r="F211" i="8"/>
  <c r="H211" i="8" s="1"/>
  <c r="K210" i="4"/>
  <c r="K211" i="4"/>
  <c r="AL207" i="16"/>
  <c r="F212" i="8"/>
  <c r="H212" i="8" s="1"/>
  <c r="K212" i="4"/>
  <c r="AL208" i="16"/>
  <c r="F213" i="8"/>
  <c r="H213" i="8" s="1"/>
  <c r="K213" i="4"/>
  <c r="AL209" i="16"/>
  <c r="F214" i="8"/>
  <c r="H214" i="8" s="1"/>
  <c r="F215" i="8"/>
  <c r="H215" i="8" s="1"/>
  <c r="K214" i="4"/>
  <c r="AL210" i="16"/>
  <c r="F216" i="8"/>
  <c r="H216" i="8" s="1"/>
  <c r="AL211" i="16"/>
  <c r="K215" i="4"/>
  <c r="F217" i="8"/>
  <c r="H217" i="8" s="1"/>
  <c r="AL212" i="16"/>
  <c r="K216" i="4"/>
  <c r="AL213" i="16"/>
  <c r="F218" i="8"/>
  <c r="H218" i="8" s="1"/>
  <c r="K217" i="4"/>
  <c r="K218" i="4"/>
  <c r="F219" i="8"/>
  <c r="H219" i="8" s="1"/>
  <c r="AL214" i="16"/>
  <c r="K219" i="4"/>
  <c r="F220" i="8"/>
  <c r="H220" i="8" s="1"/>
  <c r="AL215" i="16"/>
  <c r="K220" i="4"/>
  <c r="F221" i="8"/>
  <c r="H221" i="8" s="1"/>
  <c r="AL216" i="16"/>
  <c r="K221" i="4"/>
  <c r="F222" i="8"/>
  <c r="H222" i="8" s="1"/>
  <c r="AL217" i="16"/>
  <c r="K222" i="4"/>
  <c r="F223" i="8"/>
  <c r="H223" i="8" s="1"/>
  <c r="AL218" i="16"/>
  <c r="K223" i="4"/>
  <c r="F224" i="8"/>
  <c r="H224" i="8" s="1"/>
  <c r="AL219" i="16"/>
  <c r="K224" i="4"/>
  <c r="F225" i="8"/>
  <c r="H225" i="8" s="1"/>
  <c r="AL220" i="16"/>
  <c r="K225" i="4"/>
  <c r="F226" i="8"/>
  <c r="H226" i="8" s="1"/>
  <c r="AL221" i="16"/>
  <c r="K226" i="4"/>
  <c r="F227" i="8"/>
  <c r="H227" i="8" s="1"/>
  <c r="AL222" i="16"/>
  <c r="K227" i="4"/>
  <c r="F228" i="8"/>
  <c r="H228" i="8" s="1"/>
  <c r="AL223" i="16"/>
  <c r="K228" i="4"/>
  <c r="F229" i="8"/>
  <c r="H229" i="8" s="1"/>
  <c r="AL224" i="16"/>
  <c r="K229" i="4"/>
  <c r="F230" i="8"/>
  <c r="H230" i="8" s="1"/>
  <c r="AL225" i="16"/>
  <c r="AL226" i="16"/>
  <c r="K230" i="4"/>
  <c r="F231" i="8"/>
  <c r="H231" i="8" s="1"/>
  <c r="K231" i="4"/>
  <c r="AL227" i="16"/>
  <c r="F232" i="8"/>
  <c r="H232" i="8" s="1"/>
  <c r="K232" i="4"/>
  <c r="AL228" i="16"/>
  <c r="F233" i="8"/>
  <c r="H233" i="8" s="1"/>
  <c r="K233" i="4"/>
  <c r="AL229" i="16"/>
  <c r="F234" i="8"/>
  <c r="H234" i="8" s="1"/>
  <c r="F235" i="8"/>
  <c r="H235" i="8" s="1"/>
  <c r="AL230" i="16"/>
  <c r="K234" i="4"/>
  <c r="AL231" i="16"/>
  <c r="F236" i="8"/>
  <c r="H236" i="8" s="1"/>
  <c r="K235" i="4"/>
  <c r="F237" i="8"/>
  <c r="H237" i="8" s="1"/>
  <c r="AL232" i="16"/>
  <c r="K236" i="4"/>
  <c r="K237" i="4"/>
  <c r="AL233" i="16"/>
  <c r="F238" i="8"/>
  <c r="H238" i="8" s="1"/>
  <c r="K238" i="4"/>
  <c r="F239" i="8"/>
  <c r="H239" i="8" s="1"/>
  <c r="AL234" i="16"/>
  <c r="K239" i="4"/>
  <c r="F240" i="8"/>
  <c r="H240" i="8" s="1"/>
  <c r="AL235" i="16"/>
  <c r="K240" i="4"/>
  <c r="F241" i="8"/>
  <c r="H241" i="8" s="1"/>
  <c r="AL236" i="16"/>
  <c r="K241" i="4"/>
  <c r="F242" i="8"/>
  <c r="H242" i="8" s="1"/>
  <c r="AL237" i="16"/>
  <c r="AL238" i="16"/>
  <c r="F243" i="8"/>
  <c r="H243" i="8" s="1"/>
  <c r="K242" i="4"/>
  <c r="AL239" i="16"/>
  <c r="F244" i="8"/>
  <c r="H244" i="8" s="1"/>
  <c r="K243" i="4"/>
  <c r="AL240" i="16"/>
  <c r="F245" i="8"/>
  <c r="H245" i="8" s="1"/>
  <c r="K244" i="4"/>
  <c r="K245" i="4"/>
  <c r="F246" i="8"/>
  <c r="H246" i="8" s="1"/>
  <c r="AL241" i="16"/>
  <c r="K246" i="4"/>
  <c r="AL242" i="16"/>
  <c r="F247" i="8"/>
  <c r="H247" i="8" s="1"/>
  <c r="K247" i="4"/>
  <c r="F248" i="8"/>
  <c r="H248" i="8" s="1"/>
  <c r="AL243" i="16"/>
  <c r="K248" i="4"/>
  <c r="AL244" i="16"/>
  <c r="F249" i="8"/>
  <c r="H249" i="8" s="1"/>
  <c r="AL245" i="16"/>
  <c r="K249" i="4"/>
  <c r="F250" i="8"/>
  <c r="H250" i="8" s="1"/>
  <c r="K250" i="4"/>
  <c r="F251" i="8"/>
  <c r="H251" i="8" s="1"/>
  <c r="AL246" i="16"/>
  <c r="K251" i="4"/>
  <c r="F252" i="8"/>
  <c r="H252" i="8" s="1"/>
  <c r="AL247" i="16"/>
  <c r="K252" i="4"/>
  <c r="F253" i="8"/>
  <c r="H253" i="8" s="1"/>
  <c r="AL248" i="16"/>
  <c r="K253" i="4"/>
  <c r="AL249" i="16"/>
  <c r="F254" i="8"/>
  <c r="H254" i="8" s="1"/>
  <c r="K254" i="4"/>
  <c r="AL250" i="16"/>
  <c r="F255" i="8"/>
  <c r="H255" i="8" s="1"/>
  <c r="K255" i="4"/>
  <c r="F256" i="8"/>
  <c r="H256" i="8" s="1"/>
  <c r="AL251" i="16"/>
  <c r="AL252" i="16"/>
  <c r="K256" i="4"/>
  <c r="F257" i="8"/>
  <c r="H257" i="8" s="1"/>
  <c r="K257" i="4"/>
  <c r="F258" i="8"/>
  <c r="H258" i="8" s="1"/>
  <c r="AL253" i="16"/>
  <c r="K258" i="4"/>
  <c r="F259" i="8"/>
  <c r="H259" i="8" s="1"/>
  <c r="AL254" i="16"/>
  <c r="K259" i="4"/>
  <c r="AL255" i="16"/>
  <c r="F260" i="8"/>
  <c r="H260" i="8" s="1"/>
  <c r="K260" i="4"/>
  <c r="AL256" i="16"/>
  <c r="F261" i="8"/>
  <c r="H261" i="8" s="1"/>
  <c r="AL257" i="16"/>
  <c r="F262" i="8"/>
  <c r="H262" i="8" s="1"/>
  <c r="K261" i="4"/>
  <c r="F263" i="8"/>
  <c r="H263" i="8" s="1"/>
  <c r="AL258" i="16"/>
  <c r="K262" i="4"/>
  <c r="K263" i="4"/>
  <c r="F264" i="8"/>
  <c r="H264" i="8" s="1"/>
  <c r="AL259" i="16"/>
  <c r="K264" i="4"/>
  <c r="F265" i="8"/>
  <c r="H265" i="8" s="1"/>
  <c r="AL260" i="16"/>
  <c r="K265" i="4"/>
  <c r="F266" i="8"/>
  <c r="H266" i="8" s="1"/>
  <c r="AL261" i="16"/>
  <c r="K266" i="4"/>
  <c r="F267" i="8"/>
  <c r="H267" i="8" s="1"/>
  <c r="AL262" i="16"/>
  <c r="F268" i="8"/>
  <c r="H268" i="8" s="1"/>
  <c r="AL263" i="16"/>
  <c r="K267" i="4"/>
  <c r="AL264" i="16"/>
  <c r="K268" i="4"/>
  <c r="F269" i="8"/>
  <c r="H269" i="8" s="1"/>
  <c r="F270" i="8"/>
  <c r="H270" i="8" s="1"/>
  <c r="AL265" i="16"/>
  <c r="K269" i="4"/>
  <c r="K270" i="4"/>
  <c r="F271" i="8"/>
  <c r="H271" i="8" s="1"/>
  <c r="AL266" i="16"/>
  <c r="F272" i="8"/>
  <c r="H272" i="8" s="1"/>
  <c r="AL267" i="16"/>
  <c r="K271" i="4"/>
  <c r="K272" i="4"/>
  <c r="F273" i="8"/>
  <c r="H273" i="8" s="1"/>
  <c r="AL268" i="16"/>
  <c r="K273" i="4"/>
  <c r="F274" i="8"/>
  <c r="H274" i="8" s="1"/>
  <c r="AL269" i="16"/>
  <c r="AL270" i="16"/>
  <c r="K274" i="4"/>
  <c r="F275" i="8"/>
  <c r="H275" i="8" s="1"/>
  <c r="K275" i="4"/>
  <c r="F276" i="8"/>
  <c r="H276" i="8" s="1"/>
  <c r="AL271" i="16"/>
  <c r="K276" i="4"/>
  <c r="F277" i="8"/>
  <c r="H277" i="8" s="1"/>
  <c r="AL272" i="16"/>
  <c r="K277" i="4"/>
  <c r="F278" i="8"/>
  <c r="H278" i="8" s="1"/>
  <c r="AL273" i="16"/>
  <c r="K278" i="4"/>
  <c r="F279" i="8"/>
  <c r="H279" i="8" s="1"/>
  <c r="AL274" i="16"/>
  <c r="K279" i="4"/>
  <c r="F280" i="8"/>
  <c r="H280" i="8" s="1"/>
  <c r="AL275" i="16"/>
  <c r="K280" i="4"/>
  <c r="F281" i="8"/>
  <c r="H281" i="8" s="1"/>
  <c r="AL276" i="16"/>
  <c r="K281" i="4"/>
  <c r="F282" i="8"/>
  <c r="H282" i="8" s="1"/>
  <c r="AL277" i="16"/>
  <c r="K282" i="4"/>
  <c r="F283" i="8"/>
  <c r="H283" i="8" s="1"/>
  <c r="AL278" i="16"/>
  <c r="AL279" i="16"/>
  <c r="K283" i="4"/>
  <c r="F284" i="8"/>
  <c r="H284" i="8" s="1"/>
  <c r="K284" i="4"/>
  <c r="AL280" i="16"/>
  <c r="F285" i="8"/>
  <c r="H285" i="8" s="1"/>
  <c r="K285" i="4"/>
  <c r="F286" i="8"/>
  <c r="H286" i="8" s="1"/>
  <c r="AL281" i="16"/>
  <c r="K286" i="4"/>
  <c r="F287" i="8"/>
  <c r="H287" i="8" s="1"/>
  <c r="AL282" i="16"/>
  <c r="K287" i="4"/>
  <c r="F288" i="8"/>
  <c r="H288" i="8" s="1"/>
  <c r="AL283" i="16"/>
  <c r="F289" i="8"/>
  <c r="H289" i="8" s="1"/>
  <c r="AL284" i="16"/>
  <c r="K288" i="4"/>
  <c r="AL285" i="16"/>
  <c r="F290" i="8"/>
  <c r="H290" i="8" s="1"/>
  <c r="K289" i="4"/>
  <c r="AL286" i="16"/>
  <c r="F291" i="8"/>
  <c r="H291" i="8" s="1"/>
  <c r="K290" i="4"/>
  <c r="K291" i="4"/>
  <c r="F292" i="8"/>
  <c r="H292" i="8" s="1"/>
  <c r="AL287" i="16"/>
  <c r="K292" i="4"/>
  <c r="F293" i="8"/>
  <c r="H293" i="8" s="1"/>
  <c r="AL288" i="16"/>
  <c r="K293" i="4"/>
  <c r="F294" i="8"/>
  <c r="H294" i="8" s="1"/>
  <c r="AL289" i="16"/>
  <c r="AL290" i="16"/>
  <c r="K294" i="4"/>
  <c r="F295" i="8"/>
  <c r="H295" i="8" s="1"/>
  <c r="K295" i="4"/>
  <c r="F296" i="8"/>
  <c r="H296" i="8" s="1"/>
  <c r="AL291" i="16"/>
  <c r="K296" i="4"/>
  <c r="F297" i="8"/>
  <c r="H297" i="8" s="1"/>
  <c r="AL292" i="16"/>
  <c r="F298" i="8"/>
  <c r="H298" i="8" s="1"/>
  <c r="AL293" i="16"/>
  <c r="K297" i="4"/>
  <c r="AL294" i="16"/>
  <c r="F299" i="8"/>
  <c r="H299" i="8" s="1"/>
  <c r="K298" i="4"/>
  <c r="AL295" i="16"/>
  <c r="F300" i="8"/>
  <c r="H300" i="8" s="1"/>
  <c r="K299" i="4"/>
  <c r="K300" i="4"/>
  <c r="F301" i="8"/>
  <c r="H301" i="8" s="1"/>
  <c r="AL296" i="16"/>
  <c r="K301" i="4"/>
  <c r="F302" i="8"/>
  <c r="H302" i="8" s="1"/>
  <c r="AL297" i="16"/>
  <c r="AL298" i="16"/>
  <c r="K302" i="4"/>
  <c r="F303" i="8"/>
  <c r="H303" i="8" s="1"/>
  <c r="AL299" i="16"/>
  <c r="K303" i="4"/>
  <c r="F304" i="8"/>
  <c r="H304" i="8" s="1"/>
  <c r="K304" i="4"/>
  <c r="F305" i="8"/>
  <c r="H305" i="8" s="1"/>
  <c r="AL300" i="16"/>
  <c r="K305" i="4"/>
  <c r="F306" i="8"/>
  <c r="H306" i="8" s="1"/>
  <c r="AL301" i="16"/>
  <c r="K306" i="4"/>
  <c r="F307" i="8"/>
  <c r="H307" i="8" s="1"/>
  <c r="AL302" i="16"/>
  <c r="K307" i="4"/>
  <c r="F308" i="8"/>
  <c r="H308" i="8" s="1"/>
  <c r="AL303" i="16"/>
  <c r="K308" i="4"/>
  <c r="F309" i="8"/>
  <c r="H309" i="8" s="1"/>
  <c r="AL304" i="16"/>
  <c r="F310" i="8"/>
  <c r="H310" i="8" s="1"/>
  <c r="K309" i="4"/>
  <c r="AL305" i="16"/>
  <c r="F311" i="8"/>
  <c r="H311" i="8" s="1"/>
  <c r="K310" i="4"/>
  <c r="AL306" i="16"/>
  <c r="K311" i="4"/>
  <c r="F312" i="8"/>
  <c r="H312" i="8" s="1"/>
  <c r="AL307" i="16"/>
  <c r="K312" i="4"/>
  <c r="AL308" i="16"/>
  <c r="F313" i="8"/>
  <c r="H313" i="8" s="1"/>
  <c r="AL309" i="16"/>
  <c r="F314" i="8"/>
  <c r="H314" i="8" s="1"/>
  <c r="K313" i="4"/>
  <c r="AL310" i="16"/>
  <c r="F315" i="8"/>
  <c r="H315" i="8" s="1"/>
  <c r="K314" i="4"/>
  <c r="K315" i="4"/>
  <c r="F316" i="8"/>
  <c r="H316" i="8" s="1"/>
  <c r="AL311" i="16"/>
  <c r="K316" i="4"/>
  <c r="F317" i="8"/>
  <c r="H317" i="8" s="1"/>
  <c r="AL312" i="16"/>
  <c r="AL313" i="16"/>
  <c r="K317" i="4"/>
  <c r="F318" i="8"/>
  <c r="H318" i="8" s="1"/>
  <c r="AL314" i="16"/>
  <c r="F319" i="8"/>
  <c r="H319" i="8" s="1"/>
  <c r="K318" i="4"/>
  <c r="AL315" i="16"/>
  <c r="F320" i="8"/>
  <c r="H320" i="8" s="1"/>
  <c r="K319" i="4"/>
  <c r="AL316" i="16"/>
  <c r="K320" i="4"/>
  <c r="F321" i="8"/>
  <c r="H321" i="8" s="1"/>
  <c r="K321" i="4"/>
  <c r="F322" i="8"/>
  <c r="H322" i="8" s="1"/>
  <c r="AL317" i="16"/>
  <c r="K322" i="4"/>
  <c r="AL318" i="16"/>
  <c r="F323" i="8"/>
  <c r="H323" i="8" s="1"/>
  <c r="K323" i="4"/>
  <c r="F324" i="8"/>
  <c r="H324" i="8" s="1"/>
  <c r="AL319" i="16"/>
  <c r="K324" i="4"/>
  <c r="F325" i="8"/>
  <c r="H325" i="8" s="1"/>
  <c r="AL320" i="16"/>
  <c r="K325" i="4"/>
  <c r="F326" i="8"/>
  <c r="H326" i="8" s="1"/>
  <c r="AL321" i="16"/>
  <c r="K326" i="4"/>
  <c r="F327" i="8"/>
  <c r="H327" i="8" s="1"/>
  <c r="AL322" i="16"/>
  <c r="K327" i="4"/>
  <c r="F328" i="8"/>
  <c r="H328" i="8" s="1"/>
  <c r="AL323" i="16"/>
  <c r="K328" i="4"/>
  <c r="F329" i="8"/>
  <c r="H329" i="8" s="1"/>
  <c r="AL324" i="16"/>
  <c r="K329" i="4"/>
  <c r="F330" i="8"/>
  <c r="H330" i="8" s="1"/>
  <c r="AL325" i="16"/>
  <c r="K330" i="4"/>
  <c r="F331" i="8"/>
  <c r="H331" i="8" s="1"/>
  <c r="AL326" i="16"/>
  <c r="K331" i="4"/>
  <c r="F332" i="8"/>
  <c r="H332" i="8" s="1"/>
  <c r="AL327" i="16"/>
  <c r="K332" i="4"/>
  <c r="F333" i="8"/>
  <c r="H333" i="8" s="1"/>
  <c r="AL328" i="16"/>
  <c r="F334" i="8"/>
  <c r="H334" i="8" s="1"/>
  <c r="K333" i="4"/>
  <c r="AL329" i="16"/>
  <c r="K334" i="4"/>
  <c r="F335" i="8"/>
  <c r="H335" i="8" s="1"/>
  <c r="AL330" i="16"/>
  <c r="K335" i="4"/>
  <c r="F336" i="8"/>
  <c r="H336" i="8" s="1"/>
  <c r="AL331" i="16"/>
  <c r="K336" i="4"/>
  <c r="F337" i="8"/>
  <c r="H337" i="8" s="1"/>
  <c r="AL332" i="16"/>
  <c r="F338" i="8"/>
  <c r="H338" i="8" s="1"/>
  <c r="AL333" i="16"/>
  <c r="K337" i="4"/>
  <c r="AL334" i="16"/>
  <c r="F339" i="8"/>
  <c r="H339" i="8" s="1"/>
  <c r="K338" i="4"/>
  <c r="AL335" i="16"/>
  <c r="F340" i="8"/>
  <c r="H340" i="8" s="1"/>
  <c r="K339" i="4"/>
  <c r="K340" i="4"/>
  <c r="F341" i="8"/>
  <c r="H341" i="8" s="1"/>
  <c r="AL336" i="16"/>
  <c r="K341" i="4"/>
  <c r="F342" i="8"/>
  <c r="H342" i="8" s="1"/>
  <c r="AL337" i="16"/>
  <c r="K342" i="4"/>
  <c r="F343" i="8"/>
  <c r="H343" i="8" s="1"/>
  <c r="AL338" i="16"/>
  <c r="K343" i="4"/>
  <c r="F344" i="8"/>
  <c r="H344" i="8" s="1"/>
  <c r="AL339" i="16"/>
  <c r="K344" i="4"/>
  <c r="F345" i="8"/>
  <c r="H345" i="8" s="1"/>
  <c r="AL340" i="16"/>
  <c r="AL341" i="16"/>
  <c r="F346" i="8"/>
  <c r="H346" i="8" s="1"/>
  <c r="K345" i="4"/>
  <c r="AL342" i="16"/>
  <c r="F347" i="8"/>
  <c r="H347" i="8" s="1"/>
  <c r="K346" i="4"/>
  <c r="AL343" i="16"/>
  <c r="F348" i="8"/>
  <c r="H348" i="8" s="1"/>
  <c r="K347" i="4"/>
  <c r="K348" i="4"/>
  <c r="F349" i="8"/>
  <c r="H349" i="8" s="1"/>
  <c r="AL344" i="16"/>
  <c r="K349" i="4"/>
  <c r="F350" i="8"/>
  <c r="H350" i="8" s="1"/>
  <c r="AL345" i="16"/>
  <c r="K350" i="4"/>
  <c r="F351" i="8"/>
  <c r="H351" i="8" s="1"/>
  <c r="AL346" i="16"/>
  <c r="F352" i="8"/>
  <c r="H352" i="8" s="1"/>
  <c r="K351" i="4"/>
  <c r="AL347" i="16"/>
  <c r="F353" i="8"/>
  <c r="H353" i="8" s="1"/>
  <c r="K352" i="4"/>
  <c r="AL348" i="16"/>
  <c r="K353" i="4"/>
  <c r="F354" i="8"/>
  <c r="H354" i="8" s="1"/>
  <c r="AL349" i="16"/>
  <c r="K354" i="4"/>
  <c r="F355" i="8"/>
  <c r="H355" i="8" s="1"/>
  <c r="AL350" i="16"/>
  <c r="K355" i="4"/>
  <c r="F356" i="8"/>
  <c r="H356" i="8" s="1"/>
  <c r="AL351" i="16"/>
  <c r="K356" i="4"/>
  <c r="F357" i="8"/>
  <c r="H357" i="8" s="1"/>
  <c r="AL352" i="16"/>
  <c r="K357" i="4"/>
  <c r="F358" i="8"/>
  <c r="H358" i="8" s="1"/>
  <c r="AL353" i="16"/>
  <c r="F359" i="8"/>
  <c r="H359" i="8" s="1"/>
  <c r="AL354" i="16"/>
  <c r="K358" i="4"/>
  <c r="K359" i="4"/>
  <c r="F360" i="8"/>
  <c r="H360" i="8" s="1"/>
  <c r="AL355" i="16"/>
  <c r="K360" i="4"/>
  <c r="F361" i="8"/>
  <c r="H361" i="8" s="1"/>
  <c r="AL356" i="16"/>
  <c r="K361" i="4"/>
  <c r="F362" i="8"/>
  <c r="H362" i="8" s="1"/>
  <c r="AL357" i="16"/>
  <c r="K362" i="4"/>
  <c r="AL358" i="16"/>
  <c r="F363" i="8"/>
  <c r="H363" i="8" s="1"/>
  <c r="AL359" i="16"/>
  <c r="F364" i="8"/>
  <c r="H364" i="8" s="1"/>
  <c r="K363" i="4"/>
  <c r="AL360" i="16"/>
  <c r="F365" i="8"/>
  <c r="H365" i="8" s="1"/>
  <c r="K364" i="4"/>
  <c r="K365" i="4"/>
  <c r="F366" i="8"/>
  <c r="H366" i="8" s="1"/>
  <c r="AL361" i="16"/>
  <c r="K366" i="4"/>
  <c r="F367" i="8"/>
  <c r="H367" i="8" s="1"/>
  <c r="AL362" i="16"/>
  <c r="K367" i="4"/>
  <c r="F368" i="8"/>
  <c r="H368" i="8" s="1"/>
  <c r="AL363" i="16"/>
  <c r="K368" i="4"/>
  <c r="F369" i="8"/>
  <c r="H369" i="8" s="1"/>
  <c r="AL364" i="16"/>
  <c r="K369" i="4"/>
  <c r="AL365" i="16"/>
  <c r="F370" i="8"/>
  <c r="H370" i="8" s="1"/>
  <c r="AL366" i="16"/>
  <c r="F371" i="8"/>
  <c r="H371" i="8" s="1"/>
  <c r="K370" i="4"/>
  <c r="AL367" i="16"/>
  <c r="F372" i="8"/>
  <c r="H372" i="8" s="1"/>
  <c r="K371" i="4"/>
  <c r="K372" i="4"/>
  <c r="F373" i="8"/>
  <c r="H373" i="8" s="1"/>
  <c r="AL368" i="16"/>
  <c r="F374" i="8"/>
  <c r="H374" i="8" s="1"/>
  <c r="AL369" i="16"/>
  <c r="K373" i="4"/>
  <c r="K374" i="4"/>
  <c r="F375" i="8"/>
  <c r="H375" i="8" s="1"/>
  <c r="AL370" i="16"/>
  <c r="K375" i="4"/>
  <c r="F376" i="8"/>
  <c r="H376" i="8" s="1"/>
  <c r="AL371" i="16"/>
  <c r="AL372" i="16"/>
  <c r="K376" i="4"/>
  <c r="F377" i="8"/>
  <c r="H377" i="8" s="1"/>
  <c r="K377" i="4"/>
  <c r="F378" i="8"/>
  <c r="H378" i="8" s="1"/>
  <c r="AL373" i="16"/>
  <c r="K378" i="4"/>
  <c r="F379" i="8"/>
  <c r="H379" i="8" s="1"/>
  <c r="AL374" i="16"/>
  <c r="K379" i="4"/>
  <c r="F380" i="8"/>
  <c r="H380" i="8" s="1"/>
  <c r="AL375" i="16"/>
  <c r="K380" i="4"/>
  <c r="F381" i="8"/>
  <c r="H381" i="8" s="1"/>
  <c r="AL376" i="16"/>
  <c r="K381" i="4"/>
  <c r="F382" i="8"/>
  <c r="H382" i="8" s="1"/>
  <c r="AL377" i="16"/>
  <c r="K382" i="4"/>
  <c r="F383" i="8"/>
  <c r="H383" i="8" s="1"/>
  <c r="AL378" i="16"/>
  <c r="K383" i="4"/>
  <c r="F384" i="8"/>
  <c r="H384" i="8" s="1"/>
  <c r="AL379" i="16"/>
  <c r="K384" i="4"/>
  <c r="F385" i="8"/>
  <c r="H385" i="8" s="1"/>
  <c r="AL380" i="16"/>
  <c r="AL381" i="16"/>
  <c r="K385" i="4"/>
  <c r="F386" i="8"/>
  <c r="H386" i="8" s="1"/>
  <c r="K386" i="4"/>
  <c r="AL382" i="16"/>
  <c r="F387" i="8"/>
  <c r="H387" i="8" s="1"/>
  <c r="K387" i="4"/>
  <c r="F388" i="8"/>
  <c r="H388" i="8" s="1"/>
  <c r="AL383" i="16"/>
  <c r="K388" i="4"/>
  <c r="F389" i="8"/>
  <c r="H389" i="8" s="1"/>
  <c r="AL384" i="16"/>
  <c r="K389" i="4"/>
  <c r="F390" i="8"/>
  <c r="H390" i="8" s="1"/>
  <c r="AL385" i="16"/>
  <c r="F391" i="8"/>
  <c r="H391" i="8" s="1"/>
  <c r="AL386" i="16"/>
  <c r="K390" i="4"/>
  <c r="AL387" i="16"/>
  <c r="F392" i="8"/>
  <c r="H392" i="8" s="1"/>
  <c r="K391" i="4"/>
  <c r="AL388" i="16"/>
  <c r="F393" i="8"/>
  <c r="H393" i="8" s="1"/>
  <c r="K392" i="4"/>
  <c r="K393" i="4"/>
  <c r="F394" i="8"/>
  <c r="H394" i="8" s="1"/>
  <c r="AL389" i="16"/>
  <c r="K394" i="4"/>
  <c r="F395" i="8"/>
  <c r="H395" i="8" s="1"/>
  <c r="AL390" i="16"/>
  <c r="K395" i="4"/>
  <c r="F396" i="8"/>
  <c r="H396" i="8" s="1"/>
  <c r="AL391" i="16"/>
  <c r="AL392" i="16"/>
  <c r="K396" i="4"/>
  <c r="F397" i="8"/>
  <c r="H397" i="8" s="1"/>
  <c r="K397" i="4"/>
  <c r="F398" i="8"/>
  <c r="H398" i="8" s="1"/>
  <c r="AL393" i="16"/>
  <c r="K398" i="4"/>
  <c r="F399" i="8"/>
  <c r="H399" i="8" s="1"/>
  <c r="AL394" i="16"/>
  <c r="K399" i="4"/>
  <c r="F400" i="8"/>
  <c r="H400" i="8" s="1"/>
  <c r="AL395" i="16"/>
  <c r="AL396" i="16"/>
  <c r="F401" i="8"/>
  <c r="H401" i="8" s="1"/>
  <c r="K400" i="4"/>
  <c r="F402" i="8"/>
  <c r="H402" i="8" s="1"/>
  <c r="K401" i="4"/>
  <c r="AL397" i="16"/>
  <c r="K402" i="4"/>
  <c r="F403" i="8"/>
  <c r="H403" i="8" s="1"/>
  <c r="AL398" i="16"/>
  <c r="K403" i="4"/>
  <c r="F404" i="8"/>
  <c r="H404" i="8" s="1"/>
  <c r="AL399" i="16"/>
  <c r="K404" i="4"/>
  <c r="F405" i="8"/>
  <c r="H405" i="8" s="1"/>
  <c r="AL400" i="16"/>
  <c r="F406" i="8"/>
  <c r="H406" i="8" s="1"/>
  <c r="K405" i="4"/>
  <c r="AL401" i="16"/>
  <c r="K95" i="4"/>
  <c r="AL91" i="16"/>
  <c r="AM91" i="16" s="1"/>
  <c r="F96" i="8"/>
  <c r="H96" i="8" s="1"/>
  <c r="K407" i="4"/>
  <c r="F408" i="8"/>
  <c r="H408" i="8" s="1"/>
  <c r="AL403" i="16"/>
  <c r="F409" i="8"/>
  <c r="H409" i="8" s="1"/>
  <c r="AL404" i="16"/>
  <c r="K408" i="4"/>
  <c r="K409" i="4"/>
  <c r="F410" i="8"/>
  <c r="H410" i="8" s="1"/>
  <c r="AL405" i="16"/>
  <c r="K410" i="4"/>
  <c r="F411" i="8"/>
  <c r="H411" i="8" s="1"/>
  <c r="AL406" i="16"/>
  <c r="F412" i="8"/>
  <c r="H412" i="8" s="1"/>
  <c r="AL407" i="16"/>
  <c r="K411" i="4"/>
  <c r="K412" i="4"/>
  <c r="F413" i="8"/>
  <c r="H413" i="8" s="1"/>
  <c r="AL408" i="16"/>
  <c r="K413" i="4"/>
  <c r="F414" i="8"/>
  <c r="H414" i="8" s="1"/>
  <c r="AL409" i="16"/>
  <c r="K414" i="4"/>
  <c r="F415" i="8"/>
  <c r="H415" i="8" s="1"/>
  <c r="AL410" i="16"/>
  <c r="AL411" i="16"/>
  <c r="F416" i="8"/>
  <c r="H416" i="8" s="1"/>
  <c r="K415" i="4"/>
  <c r="AL412" i="16"/>
  <c r="F417" i="8"/>
  <c r="H417" i="8" s="1"/>
  <c r="K416" i="4"/>
  <c r="AL413" i="16"/>
  <c r="F418" i="8"/>
  <c r="H418" i="8" s="1"/>
  <c r="K417" i="4"/>
  <c r="K418" i="4"/>
  <c r="F419" i="8"/>
  <c r="H419" i="8" s="1"/>
  <c r="AL414" i="16"/>
  <c r="K419" i="4"/>
  <c r="F420" i="8"/>
  <c r="H420" i="8" s="1"/>
  <c r="AL415" i="16"/>
  <c r="K420" i="4"/>
  <c r="F421" i="8"/>
  <c r="H421" i="8" s="1"/>
  <c r="AL416" i="16"/>
  <c r="K421" i="4"/>
  <c r="F422" i="8"/>
  <c r="H422" i="8" s="1"/>
  <c r="AL417" i="16"/>
  <c r="AL418" i="16"/>
  <c r="F423" i="8"/>
  <c r="H423" i="8" s="1"/>
  <c r="K422" i="4"/>
  <c r="AL419" i="16"/>
  <c r="F424" i="8"/>
  <c r="H424" i="8" s="1"/>
  <c r="K423" i="4"/>
  <c r="F425" i="8"/>
  <c r="H425" i="8" s="1"/>
  <c r="K424" i="4"/>
  <c r="AL420" i="16"/>
  <c r="F426" i="8"/>
  <c r="H426" i="8" s="1"/>
  <c r="AL421" i="16"/>
  <c r="K425" i="4"/>
  <c r="AL422" i="16"/>
  <c r="K426" i="4"/>
  <c r="F427" i="8"/>
  <c r="H427" i="8" s="1"/>
  <c r="K427" i="4"/>
  <c r="F428" i="8"/>
  <c r="H428" i="8" s="1"/>
  <c r="AL423" i="16"/>
  <c r="K428" i="4"/>
  <c r="F429" i="8"/>
  <c r="H429" i="8" s="1"/>
  <c r="AL424" i="16"/>
  <c r="K429" i="4"/>
  <c r="F430" i="8"/>
  <c r="H430" i="8" s="1"/>
  <c r="AL425" i="16"/>
  <c r="K430" i="4"/>
  <c r="F431" i="8"/>
  <c r="H431" i="8" s="1"/>
  <c r="AL426" i="16"/>
  <c r="K431" i="4"/>
  <c r="F432" i="8"/>
  <c r="H432" i="8" s="1"/>
  <c r="AL427" i="16"/>
  <c r="K432" i="4"/>
  <c r="F433" i="8"/>
  <c r="H433" i="8" s="1"/>
  <c r="AL428" i="16"/>
  <c r="F434" i="8"/>
  <c r="H434" i="8" s="1"/>
  <c r="AL429" i="16"/>
  <c r="K433" i="4"/>
  <c r="K434" i="4"/>
  <c r="F435" i="8"/>
  <c r="H435" i="8" s="1"/>
  <c r="AL430" i="16"/>
  <c r="K435" i="4"/>
  <c r="F436" i="8"/>
  <c r="H436" i="8" s="1"/>
  <c r="AL431" i="16"/>
  <c r="F437" i="8"/>
  <c r="H437" i="8" s="1"/>
  <c r="AL432" i="16"/>
  <c r="K436" i="4"/>
  <c r="K437" i="4"/>
  <c r="F438" i="8"/>
  <c r="H438" i="8" s="1"/>
  <c r="AL433" i="16"/>
  <c r="F439" i="8"/>
  <c r="H439" i="8" s="1"/>
  <c r="K438" i="4"/>
  <c r="AL434" i="16"/>
  <c r="F440" i="8"/>
  <c r="H440" i="8" s="1"/>
  <c r="AL435" i="16"/>
  <c r="K439" i="4"/>
  <c r="K440" i="4"/>
  <c r="F441" i="8"/>
  <c r="H441" i="8" s="1"/>
  <c r="AL436" i="16"/>
  <c r="K441" i="4"/>
  <c r="F442" i="8"/>
  <c r="H442" i="8" s="1"/>
  <c r="AL437" i="16"/>
  <c r="F443" i="8"/>
  <c r="H443" i="8" s="1"/>
  <c r="AL438" i="16"/>
  <c r="K442" i="4"/>
  <c r="AL439" i="16"/>
  <c r="F444" i="8"/>
  <c r="H444" i="8" s="1"/>
  <c r="K443" i="4"/>
  <c r="AL440" i="16"/>
  <c r="F445" i="8"/>
  <c r="H445" i="8" s="1"/>
  <c r="K444" i="4"/>
  <c r="K445" i="4"/>
  <c r="F446" i="8"/>
  <c r="H446" i="8" s="1"/>
  <c r="AL441" i="16"/>
  <c r="K446" i="4"/>
  <c r="F447" i="8"/>
  <c r="H447" i="8" s="1"/>
  <c r="AL442" i="16"/>
  <c r="K447" i="4"/>
  <c r="F448" i="8"/>
  <c r="H448" i="8" s="1"/>
  <c r="AL443" i="16"/>
  <c r="K448" i="4"/>
  <c r="F449" i="8"/>
  <c r="H449" i="8" s="1"/>
  <c r="AL444" i="16"/>
  <c r="K449" i="4"/>
  <c r="F450" i="8"/>
  <c r="H450" i="8" s="1"/>
  <c r="AL445" i="16"/>
  <c r="F451" i="8"/>
  <c r="H451" i="8" s="1"/>
  <c r="AL446" i="16"/>
  <c r="K450" i="4"/>
  <c r="AL447" i="16"/>
  <c r="F452" i="8"/>
  <c r="H452" i="8" s="1"/>
  <c r="K451" i="4"/>
  <c r="F453" i="8"/>
  <c r="H453" i="8" s="1"/>
  <c r="AL448" i="16"/>
  <c r="K452" i="4"/>
  <c r="F454" i="8"/>
  <c r="H454" i="8" s="1"/>
  <c r="AL449" i="16"/>
  <c r="K453" i="4"/>
  <c r="F455" i="8"/>
  <c r="H455" i="8" s="1"/>
  <c r="K454" i="4"/>
  <c r="AL450" i="16"/>
  <c r="K455" i="4"/>
  <c r="F456" i="8"/>
  <c r="H456" i="8" s="1"/>
  <c r="AL451" i="16"/>
  <c r="K456" i="4"/>
  <c r="F457" i="8"/>
  <c r="H457" i="8" s="1"/>
  <c r="AL452" i="16"/>
  <c r="K406" i="4"/>
  <c r="F407" i="8"/>
  <c r="H407" i="8" s="1"/>
  <c r="AL402" i="16"/>
  <c r="K458" i="4"/>
  <c r="F459" i="8"/>
  <c r="H459" i="8" s="1"/>
  <c r="AL454" i="16"/>
  <c r="K459" i="4"/>
  <c r="F460" i="8"/>
  <c r="H460" i="8" s="1"/>
  <c r="AL455" i="16"/>
  <c r="F461" i="8"/>
  <c r="H461" i="8" s="1"/>
  <c r="AL456" i="16"/>
  <c r="K460" i="4"/>
  <c r="K461" i="4"/>
  <c r="F462" i="8"/>
  <c r="H462" i="8" s="1"/>
  <c r="AL457" i="16"/>
  <c r="K462" i="4"/>
  <c r="F463" i="8"/>
  <c r="H463" i="8" s="1"/>
  <c r="AL458" i="16"/>
  <c r="F464" i="8"/>
  <c r="H464" i="8" s="1"/>
  <c r="AL459" i="16"/>
  <c r="K463" i="4"/>
  <c r="K464" i="4"/>
  <c r="F465" i="8"/>
  <c r="H465" i="8" s="1"/>
  <c r="AL460" i="16"/>
  <c r="K465" i="4"/>
  <c r="F466" i="8"/>
  <c r="H466" i="8" s="1"/>
  <c r="AL461" i="16"/>
  <c r="K466" i="4"/>
  <c r="F467" i="8"/>
  <c r="H467" i="8" s="1"/>
  <c r="AL462" i="16"/>
  <c r="K467" i="4"/>
  <c r="F468" i="8"/>
  <c r="H468" i="8" s="1"/>
  <c r="AL463" i="16"/>
  <c r="F469" i="8"/>
  <c r="H469" i="8" s="1"/>
  <c r="AL464" i="16"/>
  <c r="K468" i="4"/>
  <c r="AL465" i="16"/>
  <c r="F470" i="8"/>
  <c r="H470" i="8" s="1"/>
  <c r="K469" i="4"/>
  <c r="AL466" i="16"/>
  <c r="F471" i="8"/>
  <c r="H471" i="8" s="1"/>
  <c r="K470" i="4"/>
  <c r="K471" i="4"/>
  <c r="F472" i="8"/>
  <c r="H472" i="8" s="1"/>
  <c r="AL467" i="16"/>
  <c r="K472" i="4"/>
  <c r="F473" i="8"/>
  <c r="H473" i="8" s="1"/>
  <c r="AL468" i="16"/>
  <c r="K473" i="4"/>
  <c r="F474" i="8"/>
  <c r="H474" i="8" s="1"/>
  <c r="AL469" i="16"/>
  <c r="K474" i="4"/>
  <c r="F475" i="8"/>
  <c r="H475" i="8" s="1"/>
  <c r="AL470" i="16"/>
  <c r="AL471" i="16"/>
  <c r="F476" i="8"/>
  <c r="H476" i="8" s="1"/>
  <c r="K475" i="4"/>
  <c r="F477" i="8"/>
  <c r="H477" i="8" s="1"/>
  <c r="K476" i="4"/>
  <c r="AL472" i="16"/>
  <c r="AL473" i="16"/>
  <c r="F478" i="8"/>
  <c r="H478" i="8" s="1"/>
  <c r="K477" i="4"/>
  <c r="K478" i="4"/>
  <c r="F479" i="8"/>
  <c r="H479" i="8" s="1"/>
  <c r="AL474" i="16"/>
  <c r="AL475" i="16"/>
  <c r="K479" i="4"/>
  <c r="F480" i="8"/>
  <c r="H480" i="8" s="1"/>
  <c r="K480" i="4"/>
  <c r="F481" i="8"/>
  <c r="H481" i="8" s="1"/>
  <c r="AL476" i="16"/>
  <c r="AL477" i="16"/>
  <c r="K481" i="4"/>
  <c r="F482" i="8"/>
  <c r="H482" i="8" s="1"/>
  <c r="K482" i="4"/>
  <c r="F483" i="8"/>
  <c r="H483" i="8" s="1"/>
  <c r="AL478" i="16"/>
  <c r="F484" i="8"/>
  <c r="H484" i="8" s="1"/>
  <c r="K483" i="4"/>
  <c r="AL479" i="16"/>
  <c r="K484" i="4"/>
  <c r="F485" i="8"/>
  <c r="H485" i="8" s="1"/>
  <c r="AL480" i="16"/>
  <c r="K485" i="4"/>
  <c r="F486" i="8"/>
  <c r="H486" i="8" s="1"/>
  <c r="AL481" i="16"/>
  <c r="K486" i="4"/>
  <c r="F487" i="8"/>
  <c r="H487" i="8" s="1"/>
  <c r="AL482" i="16"/>
  <c r="K487" i="4"/>
  <c r="F488" i="8"/>
  <c r="H488" i="8" s="1"/>
  <c r="AL483" i="16"/>
  <c r="K488" i="4"/>
  <c r="F489" i="8"/>
  <c r="H489" i="8" s="1"/>
  <c r="AL484" i="16"/>
  <c r="K489" i="4"/>
  <c r="F490" i="8"/>
  <c r="H490" i="8" s="1"/>
  <c r="AL485" i="16"/>
  <c r="K490" i="4"/>
  <c r="F491" i="8"/>
  <c r="H491" i="8" s="1"/>
  <c r="AL486" i="16"/>
  <c r="K491" i="4"/>
  <c r="F492" i="8"/>
  <c r="H492" i="8" s="1"/>
  <c r="AL487" i="16"/>
  <c r="AL488" i="16"/>
  <c r="K492" i="4"/>
  <c r="F493" i="8"/>
  <c r="H493" i="8" s="1"/>
  <c r="K493" i="4"/>
  <c r="AL489" i="16"/>
  <c r="F494" i="8"/>
  <c r="H494" i="8" s="1"/>
  <c r="K494" i="4"/>
  <c r="F495" i="8"/>
  <c r="H495" i="8" s="1"/>
  <c r="AL490" i="16"/>
  <c r="K495" i="4"/>
  <c r="F496" i="8"/>
  <c r="H496" i="8" s="1"/>
  <c r="AL491" i="16"/>
  <c r="K496" i="4"/>
  <c r="F497" i="8"/>
  <c r="H497" i="8" s="1"/>
  <c r="AL492" i="16"/>
  <c r="F498" i="8"/>
  <c r="H498" i="8" s="1"/>
  <c r="AL493" i="16"/>
  <c r="K497" i="4"/>
  <c r="AL494" i="16"/>
  <c r="F499" i="8"/>
  <c r="H499" i="8" s="1"/>
  <c r="K498" i="4"/>
  <c r="AL495" i="16"/>
  <c r="F500" i="8"/>
  <c r="H500" i="8" s="1"/>
  <c r="K499" i="4"/>
  <c r="K500" i="4"/>
  <c r="F501" i="8"/>
  <c r="H501" i="8" s="1"/>
  <c r="AL496" i="16"/>
  <c r="K501" i="4"/>
  <c r="F502" i="8"/>
  <c r="H502" i="8" s="1"/>
  <c r="AL497" i="16"/>
  <c r="K502" i="4"/>
  <c r="F503" i="8"/>
  <c r="H503" i="8" s="1"/>
  <c r="AL498" i="16"/>
  <c r="AL499" i="16"/>
  <c r="K503" i="4"/>
  <c r="F504" i="8"/>
  <c r="H504" i="8" s="1"/>
  <c r="K504" i="4"/>
  <c r="F505" i="8"/>
  <c r="H505" i="8" s="1"/>
  <c r="AL500" i="16"/>
  <c r="K505" i="4"/>
  <c r="F506" i="8"/>
  <c r="H506" i="8" s="1"/>
  <c r="AL501" i="16"/>
  <c r="K96" i="4"/>
  <c r="F97" i="8"/>
  <c r="H97" i="8" s="1"/>
  <c r="AL92" i="16"/>
  <c r="F98" i="8"/>
  <c r="H98" i="8" s="1"/>
  <c r="AL93" i="16"/>
  <c r="K97" i="4"/>
  <c r="F458" i="8"/>
  <c r="H458" i="8" s="1"/>
  <c r="K457" i="4"/>
  <c r="AL453" i="16"/>
  <c r="AO503" i="16"/>
  <c r="AA503" i="16"/>
  <c r="AC503" i="16"/>
  <c r="AB3" i="16"/>
  <c r="V62" i="13" s="1"/>
  <c r="AE4" i="16"/>
  <c r="AD4" i="16"/>
  <c r="AE5" i="16"/>
  <c r="AF5" i="16" s="1"/>
  <c r="AD5" i="16"/>
  <c r="AE8" i="16"/>
  <c r="AF8" i="16" s="1"/>
  <c r="AD8" i="16"/>
  <c r="AE9" i="16"/>
  <c r="AF9" i="16" s="1"/>
  <c r="AD9" i="16"/>
  <c r="AE10" i="16"/>
  <c r="AF10" i="16" s="1"/>
  <c r="AD10" i="16"/>
  <c r="AE11" i="16"/>
  <c r="AD11" i="16"/>
  <c r="AE7" i="16"/>
  <c r="AF7" i="16" s="1"/>
  <c r="AD7" i="16"/>
  <c r="AE6" i="16"/>
  <c r="AP6" i="16"/>
  <c r="AQ6" i="16" s="1"/>
  <c r="H25" i="10"/>
  <c r="J28" i="10"/>
  <c r="G56" i="10"/>
  <c r="AM3" i="16" l="1"/>
  <c r="AR23" i="13"/>
  <c r="AB503" i="16"/>
  <c r="BA31" i="16"/>
  <c r="AM31" i="16"/>
  <c r="BA32" i="16"/>
  <c r="AM32" i="16"/>
  <c r="BA33" i="16"/>
  <c r="AM33" i="16"/>
  <c r="BA34" i="16"/>
  <c r="AM34" i="16"/>
  <c r="BA35" i="16"/>
  <c r="AM35" i="16"/>
  <c r="BA36" i="16"/>
  <c r="AM36" i="16"/>
  <c r="BA37" i="16"/>
  <c r="AM37" i="16"/>
  <c r="BA38" i="16"/>
  <c r="AM38" i="16"/>
  <c r="BA39" i="16"/>
  <c r="AM39" i="16"/>
  <c r="BA40" i="16"/>
  <c r="AM40" i="16"/>
  <c r="BA41" i="16"/>
  <c r="AM41" i="16"/>
  <c r="BA42" i="16"/>
  <c r="AM42" i="16"/>
  <c r="BA43" i="16"/>
  <c r="AM43" i="16"/>
  <c r="BA44" i="16"/>
  <c r="AM44" i="16"/>
  <c r="BA45" i="16"/>
  <c r="AM45" i="16"/>
  <c r="BA46" i="16"/>
  <c r="AM46" i="16"/>
  <c r="BA47" i="16"/>
  <c r="AM47" i="16"/>
  <c r="BA48" i="16"/>
  <c r="AM48" i="16"/>
  <c r="BA49" i="16"/>
  <c r="AM49" i="16"/>
  <c r="BA50" i="16"/>
  <c r="AM50" i="16"/>
  <c r="BA51" i="16"/>
  <c r="AM51" i="16"/>
  <c r="BA52" i="16"/>
  <c r="AM52" i="16"/>
  <c r="BA53" i="16"/>
  <c r="AM53" i="16"/>
  <c r="BA54" i="16"/>
  <c r="AM54" i="16"/>
  <c r="BA55" i="16"/>
  <c r="AM55" i="16"/>
  <c r="BA56" i="16"/>
  <c r="AM56" i="16"/>
  <c r="BA57" i="16"/>
  <c r="AM57" i="16"/>
  <c r="BA58" i="16"/>
  <c r="AM58" i="16"/>
  <c r="BA59" i="16"/>
  <c r="AM59" i="16"/>
  <c r="BA60" i="16"/>
  <c r="AM60" i="16"/>
  <c r="BA61" i="16"/>
  <c r="AM61" i="16"/>
  <c r="BA62" i="16"/>
  <c r="AM62" i="16"/>
  <c r="BA63" i="16"/>
  <c r="AM63" i="16"/>
  <c r="BA64" i="16"/>
  <c r="AM64" i="16"/>
  <c r="BA65" i="16"/>
  <c r="AM65" i="16"/>
  <c r="BA66" i="16"/>
  <c r="AM66" i="16"/>
  <c r="BA67" i="16"/>
  <c r="AM67" i="16"/>
  <c r="BA68" i="16"/>
  <c r="AM68" i="16"/>
  <c r="BA69" i="16"/>
  <c r="AM69" i="16"/>
  <c r="BA70" i="16"/>
  <c r="AM70" i="16"/>
  <c r="BA71" i="16"/>
  <c r="AM71" i="16"/>
  <c r="BA72" i="16"/>
  <c r="AM72" i="16"/>
  <c r="BA73" i="16"/>
  <c r="AM73" i="16"/>
  <c r="BA74" i="16"/>
  <c r="AM74" i="16"/>
  <c r="BA75" i="16"/>
  <c r="AM75" i="16"/>
  <c r="BA76" i="16"/>
  <c r="AM76" i="16"/>
  <c r="BA77" i="16"/>
  <c r="AM77" i="16"/>
  <c r="BA78" i="16"/>
  <c r="AM78" i="16"/>
  <c r="BA79" i="16"/>
  <c r="AM79" i="16"/>
  <c r="BA80" i="16"/>
  <c r="AM80" i="16"/>
  <c r="BA81" i="16"/>
  <c r="AM81" i="16"/>
  <c r="BA82" i="16"/>
  <c r="AM82" i="16"/>
  <c r="BA83" i="16"/>
  <c r="AM83" i="16"/>
  <c r="BA84" i="16"/>
  <c r="AM84" i="16"/>
  <c r="BA85" i="16"/>
  <c r="AM85" i="16"/>
  <c r="BA86" i="16"/>
  <c r="AM86" i="16"/>
  <c r="BA87" i="16"/>
  <c r="AM87" i="16"/>
  <c r="BA88" i="16"/>
  <c r="AM88" i="16"/>
  <c r="BA89" i="16"/>
  <c r="AM89" i="16"/>
  <c r="BA90" i="16"/>
  <c r="AM90" i="16"/>
  <c r="AM11" i="16"/>
  <c r="BA94" i="16"/>
  <c r="AM94" i="16"/>
  <c r="BA95" i="16"/>
  <c r="AM95" i="16"/>
  <c r="BA96" i="16"/>
  <c r="AM96" i="16"/>
  <c r="BA97" i="16"/>
  <c r="AM97" i="16"/>
  <c r="BA98" i="16"/>
  <c r="AM98" i="16"/>
  <c r="BA99" i="16"/>
  <c r="AM99" i="16"/>
  <c r="BA100" i="16"/>
  <c r="AM100" i="16"/>
  <c r="BA101" i="16"/>
  <c r="AM101" i="16"/>
  <c r="BA102" i="16"/>
  <c r="AM102" i="16"/>
  <c r="BA103" i="16"/>
  <c r="AM103" i="16"/>
  <c r="BA104" i="16"/>
  <c r="AM104" i="16"/>
  <c r="BA105" i="16"/>
  <c r="AM105" i="16"/>
  <c r="BA106" i="16"/>
  <c r="AM106" i="16"/>
  <c r="BA107" i="16"/>
  <c r="AM107" i="16"/>
  <c r="BA108" i="16"/>
  <c r="AM108" i="16"/>
  <c r="BA109" i="16"/>
  <c r="AM109" i="16"/>
  <c r="BA110" i="16"/>
  <c r="AM110" i="16"/>
  <c r="BA111" i="16"/>
  <c r="AM111" i="16"/>
  <c r="BA112" i="16"/>
  <c r="AM112" i="16"/>
  <c r="BA113" i="16"/>
  <c r="AM113" i="16"/>
  <c r="BA114" i="16"/>
  <c r="AM114" i="16"/>
  <c r="BA115" i="16"/>
  <c r="AM115" i="16"/>
  <c r="BA116" i="16"/>
  <c r="AM116" i="16"/>
  <c r="BA117" i="16"/>
  <c r="AM117" i="16"/>
  <c r="BA118" i="16"/>
  <c r="AM118" i="16"/>
  <c r="BA119" i="16"/>
  <c r="AM119" i="16"/>
  <c r="BA120" i="16"/>
  <c r="AM120" i="16"/>
  <c r="BA121" i="16"/>
  <c r="AM121" i="16"/>
  <c r="BA122" i="16"/>
  <c r="AM122" i="16"/>
  <c r="BA123" i="16"/>
  <c r="AM123" i="16"/>
  <c r="BA124" i="16"/>
  <c r="AM124" i="16"/>
  <c r="BA125" i="16"/>
  <c r="AM125" i="16"/>
  <c r="BA126" i="16"/>
  <c r="AM126" i="16"/>
  <c r="BA127" i="16"/>
  <c r="AM127" i="16"/>
  <c r="BA128" i="16"/>
  <c r="AM128" i="16"/>
  <c r="BA129" i="16"/>
  <c r="AM129" i="16"/>
  <c r="BA130" i="16"/>
  <c r="AM130" i="16"/>
  <c r="BA131" i="16"/>
  <c r="AM131" i="16"/>
  <c r="BA132" i="16"/>
  <c r="AM132" i="16"/>
  <c r="BA133" i="16"/>
  <c r="AM133" i="16"/>
  <c r="BA134" i="16"/>
  <c r="AM134" i="16"/>
  <c r="BA135" i="16"/>
  <c r="AM135" i="16"/>
  <c r="BA136" i="16"/>
  <c r="AM136" i="16"/>
  <c r="BA137" i="16"/>
  <c r="AM137" i="16"/>
  <c r="BA138" i="16"/>
  <c r="AM138" i="16"/>
  <c r="BA139" i="16"/>
  <c r="AM139" i="16"/>
  <c r="BA140" i="16"/>
  <c r="AM140" i="16"/>
  <c r="BA141" i="16"/>
  <c r="AM141" i="16"/>
  <c r="BA142" i="16"/>
  <c r="AM142" i="16"/>
  <c r="BA143" i="16"/>
  <c r="AM143" i="16"/>
  <c r="BA144" i="16"/>
  <c r="AM144" i="16"/>
  <c r="BA145" i="16"/>
  <c r="AM145" i="16"/>
  <c r="BA146" i="16"/>
  <c r="AM146" i="16"/>
  <c r="BA147" i="16"/>
  <c r="AM147" i="16"/>
  <c r="BA148" i="16"/>
  <c r="AM148" i="16"/>
  <c r="BA149" i="16"/>
  <c r="AM149" i="16"/>
  <c r="BA150" i="16"/>
  <c r="AM150" i="16"/>
  <c r="BA151" i="16"/>
  <c r="AM151" i="16"/>
  <c r="BA152" i="16"/>
  <c r="AM152" i="16"/>
  <c r="BA153" i="16"/>
  <c r="AM153" i="16"/>
  <c r="BA154" i="16"/>
  <c r="AM154" i="16"/>
  <c r="BA155" i="16"/>
  <c r="AM155" i="16"/>
  <c r="BA156" i="16"/>
  <c r="AM156" i="16"/>
  <c r="BA157" i="16"/>
  <c r="AM157" i="16"/>
  <c r="BA158" i="16"/>
  <c r="AM158" i="16"/>
  <c r="BA159" i="16"/>
  <c r="AM159" i="16"/>
  <c r="BA160" i="16"/>
  <c r="AM160" i="16"/>
  <c r="BA161" i="16"/>
  <c r="AM161" i="16"/>
  <c r="BA162" i="16"/>
  <c r="AM162" i="16"/>
  <c r="BA163" i="16"/>
  <c r="AM163" i="16"/>
  <c r="BA164" i="16"/>
  <c r="AM164" i="16"/>
  <c r="BA165" i="16"/>
  <c r="AM165" i="16"/>
  <c r="BA166" i="16"/>
  <c r="AM166" i="16"/>
  <c r="BA167" i="16"/>
  <c r="AM167" i="16"/>
  <c r="BA168" i="16"/>
  <c r="AM168" i="16"/>
  <c r="BA169" i="16"/>
  <c r="AM169" i="16"/>
  <c r="BA170" i="16"/>
  <c r="AM170" i="16"/>
  <c r="BA171" i="16"/>
  <c r="AM171" i="16"/>
  <c r="BA172" i="16"/>
  <c r="AM172" i="16"/>
  <c r="BA173" i="16"/>
  <c r="AM173" i="16"/>
  <c r="BA174" i="16"/>
  <c r="AM174" i="16"/>
  <c r="BA175" i="16"/>
  <c r="AM175" i="16"/>
  <c r="BA176" i="16"/>
  <c r="AM176" i="16"/>
  <c r="BA177" i="16"/>
  <c r="AM177" i="16"/>
  <c r="BA178" i="16"/>
  <c r="AM178" i="16"/>
  <c r="BA179" i="16"/>
  <c r="AM179" i="16"/>
  <c r="BA180" i="16"/>
  <c r="AM180" i="16"/>
  <c r="BA181" i="16"/>
  <c r="AM181" i="16"/>
  <c r="BA182" i="16"/>
  <c r="AM182" i="16"/>
  <c r="BA183" i="16"/>
  <c r="AM183" i="16"/>
  <c r="BA184" i="16"/>
  <c r="AM184" i="16"/>
  <c r="BA185" i="16"/>
  <c r="AM185" i="16"/>
  <c r="BA186" i="16"/>
  <c r="AM186" i="16"/>
  <c r="BA187" i="16"/>
  <c r="AM187" i="16"/>
  <c r="BA188" i="16"/>
  <c r="AM188" i="16"/>
  <c r="BA189" i="16"/>
  <c r="AM189" i="16"/>
  <c r="BA190" i="16"/>
  <c r="AM190" i="16"/>
  <c r="BA191" i="16"/>
  <c r="AM191" i="16"/>
  <c r="BA192" i="16"/>
  <c r="AM192" i="16"/>
  <c r="BA193" i="16"/>
  <c r="AM193" i="16"/>
  <c r="BA194" i="16"/>
  <c r="AM194" i="16"/>
  <c r="BA195" i="16"/>
  <c r="AM195" i="16"/>
  <c r="BA196" i="16"/>
  <c r="AM196" i="16"/>
  <c r="BA197" i="16"/>
  <c r="AM197" i="16"/>
  <c r="BA198" i="16"/>
  <c r="AM198" i="16"/>
  <c r="BA199" i="16"/>
  <c r="AM199" i="16"/>
  <c r="BA200" i="16"/>
  <c r="AM200" i="16"/>
  <c r="BA201" i="16"/>
  <c r="AM201" i="16"/>
  <c r="BA202" i="16"/>
  <c r="AM202" i="16"/>
  <c r="BA203" i="16"/>
  <c r="AM203" i="16"/>
  <c r="BA204" i="16"/>
  <c r="AM204" i="16"/>
  <c r="BA205" i="16"/>
  <c r="AM205" i="16"/>
  <c r="BA206" i="16"/>
  <c r="AM206" i="16"/>
  <c r="BA207" i="16"/>
  <c r="AM207" i="16"/>
  <c r="BA208" i="16"/>
  <c r="AM208" i="16"/>
  <c r="BA209" i="16"/>
  <c r="AM209" i="16"/>
  <c r="BA210" i="16"/>
  <c r="AM210" i="16"/>
  <c r="BA211" i="16"/>
  <c r="AM211" i="16"/>
  <c r="BA212" i="16"/>
  <c r="AM212" i="16"/>
  <c r="BA213" i="16"/>
  <c r="AM213" i="16"/>
  <c r="BA214" i="16"/>
  <c r="AM214" i="16"/>
  <c r="BA215" i="16"/>
  <c r="AM215" i="16"/>
  <c r="BA216" i="16"/>
  <c r="AM216" i="16"/>
  <c r="BA217" i="16"/>
  <c r="AM217" i="16"/>
  <c r="BA218" i="16"/>
  <c r="AM218" i="16"/>
  <c r="BA219" i="16"/>
  <c r="AM219" i="16"/>
  <c r="BA220" i="16"/>
  <c r="AM220" i="16"/>
  <c r="BA221" i="16"/>
  <c r="AM221" i="16"/>
  <c r="BA222" i="16"/>
  <c r="AM222" i="16"/>
  <c r="BA223" i="16"/>
  <c r="AM223" i="16"/>
  <c r="BA224" i="16"/>
  <c r="AM224" i="16"/>
  <c r="BA225" i="16"/>
  <c r="AM225" i="16"/>
  <c r="BA226" i="16"/>
  <c r="AM226" i="16"/>
  <c r="BA227" i="16"/>
  <c r="AM227" i="16"/>
  <c r="BA228" i="16"/>
  <c r="AM228" i="16"/>
  <c r="BA229" i="16"/>
  <c r="AM229" i="16"/>
  <c r="BA230" i="16"/>
  <c r="AM230" i="16"/>
  <c r="BA231" i="16"/>
  <c r="AM231" i="16"/>
  <c r="BA232" i="16"/>
  <c r="AM232" i="16"/>
  <c r="BA233" i="16"/>
  <c r="AM233" i="16"/>
  <c r="BA234" i="16"/>
  <c r="AM234" i="16"/>
  <c r="BA235" i="16"/>
  <c r="AM235" i="16"/>
  <c r="BA236" i="16"/>
  <c r="AM236" i="16"/>
  <c r="BA237" i="16"/>
  <c r="AM237" i="16"/>
  <c r="BA238" i="16"/>
  <c r="AM238" i="16"/>
  <c r="BA239" i="16"/>
  <c r="AM239" i="16"/>
  <c r="BA240" i="16"/>
  <c r="AM240" i="16"/>
  <c r="BA241" i="16"/>
  <c r="AM241" i="16"/>
  <c r="BA242" i="16"/>
  <c r="AM242" i="16"/>
  <c r="BA243" i="16"/>
  <c r="AM243" i="16"/>
  <c r="BA244" i="16"/>
  <c r="AM244" i="16"/>
  <c r="BA245" i="16"/>
  <c r="AM245" i="16"/>
  <c r="BA246" i="16"/>
  <c r="AM246" i="16"/>
  <c r="BA247" i="16"/>
  <c r="AM247" i="16"/>
  <c r="BA248" i="16"/>
  <c r="AM248" i="16"/>
  <c r="BA249" i="16"/>
  <c r="AM249" i="16"/>
  <c r="BA250" i="16"/>
  <c r="AM250" i="16"/>
  <c r="BA251" i="16"/>
  <c r="AM251" i="16"/>
  <c r="BA252" i="16"/>
  <c r="AM252" i="16"/>
  <c r="BA253" i="16"/>
  <c r="AM253" i="16"/>
  <c r="BA254" i="16"/>
  <c r="AM254" i="16"/>
  <c r="BA255" i="16"/>
  <c r="AM255" i="16"/>
  <c r="BA256" i="16"/>
  <c r="AM256" i="16"/>
  <c r="BA257" i="16"/>
  <c r="AM257" i="16"/>
  <c r="BA258" i="16"/>
  <c r="AM258" i="16"/>
  <c r="BA259" i="16"/>
  <c r="AM259" i="16"/>
  <c r="BA260" i="16"/>
  <c r="AM260" i="16"/>
  <c r="BA261" i="16"/>
  <c r="AM261" i="16"/>
  <c r="BA262" i="16"/>
  <c r="AM262" i="16"/>
  <c r="BA263" i="16"/>
  <c r="AM263" i="16"/>
  <c r="BA264" i="16"/>
  <c r="AM264" i="16"/>
  <c r="BA265" i="16"/>
  <c r="AM265" i="16"/>
  <c r="BA266" i="16"/>
  <c r="AM266" i="16"/>
  <c r="BA267" i="16"/>
  <c r="AM267" i="16"/>
  <c r="BA268" i="16"/>
  <c r="AM268" i="16"/>
  <c r="BA269" i="16"/>
  <c r="AM269" i="16"/>
  <c r="BA270" i="16"/>
  <c r="AM270" i="16"/>
  <c r="BA271" i="16"/>
  <c r="AM271" i="16"/>
  <c r="BA272" i="16"/>
  <c r="AM272" i="16"/>
  <c r="BA273" i="16"/>
  <c r="AM273" i="16"/>
  <c r="BA274" i="16"/>
  <c r="AM274" i="16"/>
  <c r="BA275" i="16"/>
  <c r="AM275" i="16"/>
  <c r="BA276" i="16"/>
  <c r="AM276" i="16"/>
  <c r="BA277" i="16"/>
  <c r="AM277" i="16"/>
  <c r="BA278" i="16"/>
  <c r="AM278" i="16"/>
  <c r="BA279" i="16"/>
  <c r="AM279" i="16"/>
  <c r="BA280" i="16"/>
  <c r="AM280" i="16"/>
  <c r="BA281" i="16"/>
  <c r="AM281" i="16"/>
  <c r="BA282" i="16"/>
  <c r="AM282" i="16"/>
  <c r="BA283" i="16"/>
  <c r="AM283" i="16"/>
  <c r="BA284" i="16"/>
  <c r="AM284" i="16"/>
  <c r="BA285" i="16"/>
  <c r="AM285" i="16"/>
  <c r="BA286" i="16"/>
  <c r="AM286" i="16"/>
  <c r="BA287" i="16"/>
  <c r="AM287" i="16"/>
  <c r="BA288" i="16"/>
  <c r="AM288" i="16"/>
  <c r="BA289" i="16"/>
  <c r="AM289" i="16"/>
  <c r="BA290" i="16"/>
  <c r="AM290" i="16"/>
  <c r="BA291" i="16"/>
  <c r="AM291" i="16"/>
  <c r="BA292" i="16"/>
  <c r="AM292" i="16"/>
  <c r="BA293" i="16"/>
  <c r="AM293" i="16"/>
  <c r="BA294" i="16"/>
  <c r="AM294" i="16"/>
  <c r="BA295" i="16"/>
  <c r="AM295" i="16"/>
  <c r="BA296" i="16"/>
  <c r="AM296" i="16"/>
  <c r="BA297" i="16"/>
  <c r="AM297" i="16"/>
  <c r="BA298" i="16"/>
  <c r="AM298" i="16"/>
  <c r="BA299" i="16"/>
  <c r="AM299" i="16"/>
  <c r="BA300" i="16"/>
  <c r="AM300" i="16"/>
  <c r="BA301" i="16"/>
  <c r="AM301" i="16"/>
  <c r="BA302" i="16"/>
  <c r="AM302" i="16"/>
  <c r="BA303" i="16"/>
  <c r="AM303" i="16"/>
  <c r="BA304" i="16"/>
  <c r="AM304" i="16"/>
  <c r="BA305" i="16"/>
  <c r="AM305" i="16"/>
  <c r="BA306" i="16"/>
  <c r="AM306" i="16"/>
  <c r="BA307" i="16"/>
  <c r="AM307" i="16"/>
  <c r="BA308" i="16"/>
  <c r="AM308" i="16"/>
  <c r="BA309" i="16"/>
  <c r="AM309" i="16"/>
  <c r="BA310" i="16"/>
  <c r="AM310" i="16"/>
  <c r="BA311" i="16"/>
  <c r="AM311" i="16"/>
  <c r="BA312" i="16"/>
  <c r="AM312" i="16"/>
  <c r="BA313" i="16"/>
  <c r="AM313" i="16"/>
  <c r="BA314" i="16"/>
  <c r="AM314" i="16"/>
  <c r="BA315" i="16"/>
  <c r="AM315" i="16"/>
  <c r="BA316" i="16"/>
  <c r="AM316" i="16"/>
  <c r="BA317" i="16"/>
  <c r="AM317" i="16"/>
  <c r="BA318" i="16"/>
  <c r="AM318" i="16"/>
  <c r="BA319" i="16"/>
  <c r="AM319" i="16"/>
  <c r="BA320" i="16"/>
  <c r="AM320" i="16"/>
  <c r="BA321" i="16"/>
  <c r="AM321" i="16"/>
  <c r="BA322" i="16"/>
  <c r="AM322" i="16"/>
  <c r="BA323" i="16"/>
  <c r="AM323" i="16"/>
  <c r="BA324" i="16"/>
  <c r="AM324" i="16"/>
  <c r="BA325" i="16"/>
  <c r="AM325" i="16"/>
  <c r="BA326" i="16"/>
  <c r="AM326" i="16"/>
  <c r="BA327" i="16"/>
  <c r="AM327" i="16"/>
  <c r="BA328" i="16"/>
  <c r="AM328" i="16"/>
  <c r="BA329" i="16"/>
  <c r="AM329" i="16"/>
  <c r="BA330" i="16"/>
  <c r="AM330" i="16"/>
  <c r="BA331" i="16"/>
  <c r="AM331" i="16"/>
  <c r="BA332" i="16"/>
  <c r="AM332" i="16"/>
  <c r="BA333" i="16"/>
  <c r="AM333" i="16"/>
  <c r="BA334" i="16"/>
  <c r="AM334" i="16"/>
  <c r="BA335" i="16"/>
  <c r="AM335" i="16"/>
  <c r="BA336" i="16"/>
  <c r="AM336" i="16"/>
  <c r="BA337" i="16"/>
  <c r="AM337" i="16"/>
  <c r="BA338" i="16"/>
  <c r="AM338" i="16"/>
  <c r="BA339" i="16"/>
  <c r="AM339" i="16"/>
  <c r="BA340" i="16"/>
  <c r="AM340" i="16"/>
  <c r="BA341" i="16"/>
  <c r="AM341" i="16"/>
  <c r="BA342" i="16"/>
  <c r="AM342" i="16"/>
  <c r="BA343" i="16"/>
  <c r="AM343" i="16"/>
  <c r="BA344" i="16"/>
  <c r="AM344" i="16"/>
  <c r="BA345" i="16"/>
  <c r="AM345" i="16"/>
  <c r="BA346" i="16"/>
  <c r="AM346" i="16"/>
  <c r="BA347" i="16"/>
  <c r="AM347" i="16"/>
  <c r="BA348" i="16"/>
  <c r="AM348" i="16"/>
  <c r="BA349" i="16"/>
  <c r="AM349" i="16"/>
  <c r="BA350" i="16"/>
  <c r="AM350" i="16"/>
  <c r="BA351" i="16"/>
  <c r="AM351" i="16"/>
  <c r="BA352" i="16"/>
  <c r="AM352" i="16"/>
  <c r="BA353" i="16"/>
  <c r="AM353" i="16"/>
  <c r="BA354" i="16"/>
  <c r="AM354" i="16"/>
  <c r="BA355" i="16"/>
  <c r="AM355" i="16"/>
  <c r="BA356" i="16"/>
  <c r="AM356" i="16"/>
  <c r="BA357" i="16"/>
  <c r="AM357" i="16"/>
  <c r="BA358" i="16"/>
  <c r="AM358" i="16"/>
  <c r="BA359" i="16"/>
  <c r="AM359" i="16"/>
  <c r="BA360" i="16"/>
  <c r="AM360" i="16"/>
  <c r="BA361" i="16"/>
  <c r="AM361" i="16"/>
  <c r="BA362" i="16"/>
  <c r="AM362" i="16"/>
  <c r="BA363" i="16"/>
  <c r="AM363" i="16"/>
  <c r="BA364" i="16"/>
  <c r="AM364" i="16"/>
  <c r="BA365" i="16"/>
  <c r="AM365" i="16"/>
  <c r="BA366" i="16"/>
  <c r="AM366" i="16"/>
  <c r="BA367" i="16"/>
  <c r="AM367" i="16"/>
  <c r="BA368" i="16"/>
  <c r="AM368" i="16"/>
  <c r="BA369" i="16"/>
  <c r="AM369" i="16"/>
  <c r="BA370" i="16"/>
  <c r="AM370" i="16"/>
  <c r="BA371" i="16"/>
  <c r="AM371" i="16"/>
  <c r="BA372" i="16"/>
  <c r="AM372" i="16"/>
  <c r="BA373" i="16"/>
  <c r="AM373" i="16"/>
  <c r="BA374" i="16"/>
  <c r="AM374" i="16"/>
  <c r="BA375" i="16"/>
  <c r="AM375" i="16"/>
  <c r="BA376" i="16"/>
  <c r="AM376" i="16"/>
  <c r="BA377" i="16"/>
  <c r="AM377" i="16"/>
  <c r="BA378" i="16"/>
  <c r="AM378" i="16"/>
  <c r="BA379" i="16"/>
  <c r="AM379" i="16"/>
  <c r="BA380" i="16"/>
  <c r="AM380" i="16"/>
  <c r="BA381" i="16"/>
  <c r="AM381" i="16"/>
  <c r="BA382" i="16"/>
  <c r="AM382" i="16"/>
  <c r="BA383" i="16"/>
  <c r="AM383" i="16"/>
  <c r="BA384" i="16"/>
  <c r="AM384" i="16"/>
  <c r="BA385" i="16"/>
  <c r="AM385" i="16"/>
  <c r="BA386" i="16"/>
  <c r="AM386" i="16"/>
  <c r="BA387" i="16"/>
  <c r="AM387" i="16"/>
  <c r="BA388" i="16"/>
  <c r="AM388" i="16"/>
  <c r="BA389" i="16"/>
  <c r="AM389" i="16"/>
  <c r="BA390" i="16"/>
  <c r="AM390" i="16"/>
  <c r="BA391" i="16"/>
  <c r="AM391" i="16"/>
  <c r="BA392" i="16"/>
  <c r="AM392" i="16"/>
  <c r="BA393" i="16"/>
  <c r="AM393" i="16"/>
  <c r="BA394" i="16"/>
  <c r="AM394" i="16"/>
  <c r="BA395" i="16"/>
  <c r="AM395" i="16"/>
  <c r="BA396" i="16"/>
  <c r="AM396" i="16"/>
  <c r="BA397" i="16"/>
  <c r="AM397" i="16"/>
  <c r="BA398" i="16"/>
  <c r="AM398" i="16"/>
  <c r="BA399" i="16"/>
  <c r="AM399" i="16"/>
  <c r="BA400" i="16"/>
  <c r="AM400" i="16"/>
  <c r="BA401" i="16"/>
  <c r="AM401" i="16"/>
  <c r="BA403" i="16"/>
  <c r="AM403" i="16"/>
  <c r="BA404" i="16"/>
  <c r="AM404" i="16"/>
  <c r="BA405" i="16"/>
  <c r="AM405" i="16"/>
  <c r="BA406" i="16"/>
  <c r="AM406" i="16"/>
  <c r="BA407" i="16"/>
  <c r="AM407" i="16"/>
  <c r="BA408" i="16"/>
  <c r="AM408" i="16"/>
  <c r="BA409" i="16"/>
  <c r="AM409" i="16"/>
  <c r="BA410" i="16"/>
  <c r="AM410" i="16"/>
  <c r="BA411" i="16"/>
  <c r="AM411" i="16"/>
  <c r="BA412" i="16"/>
  <c r="AM412" i="16"/>
  <c r="BA413" i="16"/>
  <c r="AM413" i="16"/>
  <c r="BA414" i="16"/>
  <c r="AM414" i="16"/>
  <c r="BA415" i="16"/>
  <c r="AM415" i="16"/>
  <c r="BA416" i="16"/>
  <c r="AM416" i="16"/>
  <c r="BA417" i="16"/>
  <c r="AM417" i="16"/>
  <c r="BA418" i="16"/>
  <c r="AM418" i="16"/>
  <c r="BA419" i="16"/>
  <c r="AM419" i="16"/>
  <c r="BA420" i="16"/>
  <c r="AM420" i="16"/>
  <c r="BA421" i="16"/>
  <c r="AM421" i="16"/>
  <c r="BA422" i="16"/>
  <c r="AM422" i="16"/>
  <c r="BA423" i="16"/>
  <c r="AM423" i="16"/>
  <c r="BA424" i="16"/>
  <c r="AM424" i="16"/>
  <c r="BA425" i="16"/>
  <c r="AM425" i="16"/>
  <c r="BA426" i="16"/>
  <c r="AM426" i="16"/>
  <c r="BA427" i="16"/>
  <c r="AM427" i="16"/>
  <c r="BA428" i="16"/>
  <c r="AM428" i="16"/>
  <c r="BA429" i="16"/>
  <c r="AM429" i="16"/>
  <c r="BA430" i="16"/>
  <c r="AM430" i="16"/>
  <c r="BA431" i="16"/>
  <c r="AM431" i="16"/>
  <c r="BA432" i="16"/>
  <c r="AM432" i="16"/>
  <c r="BA433" i="16"/>
  <c r="AM433" i="16"/>
  <c r="BA434" i="16"/>
  <c r="AM434" i="16"/>
  <c r="BA435" i="16"/>
  <c r="AM435" i="16"/>
  <c r="BA436" i="16"/>
  <c r="AM436" i="16"/>
  <c r="BA437" i="16"/>
  <c r="AM437" i="16"/>
  <c r="BA438" i="16"/>
  <c r="AM438" i="16"/>
  <c r="BA439" i="16"/>
  <c r="AM439" i="16"/>
  <c r="BA440" i="16"/>
  <c r="AM440" i="16"/>
  <c r="BA441" i="16"/>
  <c r="AM441" i="16"/>
  <c r="BA442" i="16"/>
  <c r="AM442" i="16"/>
  <c r="BA443" i="16"/>
  <c r="AM443" i="16"/>
  <c r="BA444" i="16"/>
  <c r="AM444" i="16"/>
  <c r="BA445" i="16"/>
  <c r="AM445" i="16"/>
  <c r="BA446" i="16"/>
  <c r="AM446" i="16"/>
  <c r="BA447" i="16"/>
  <c r="AM447" i="16"/>
  <c r="BA448" i="16"/>
  <c r="AM448" i="16"/>
  <c r="BA449" i="16"/>
  <c r="AM449" i="16"/>
  <c r="BA450" i="16"/>
  <c r="AM450" i="16"/>
  <c r="BA451" i="16"/>
  <c r="AM451" i="16"/>
  <c r="BA452" i="16"/>
  <c r="AM452" i="16"/>
  <c r="BA402" i="16"/>
  <c r="AM402" i="16"/>
  <c r="BA454" i="16"/>
  <c r="AM454" i="16"/>
  <c r="BA455" i="16"/>
  <c r="AM455" i="16"/>
  <c r="BA456" i="16"/>
  <c r="AM456" i="16"/>
  <c r="BA457" i="16"/>
  <c r="AM457" i="16"/>
  <c r="BA458" i="16"/>
  <c r="AM458" i="16"/>
  <c r="BA459" i="16"/>
  <c r="AM459" i="16"/>
  <c r="BA460" i="16"/>
  <c r="AM460" i="16"/>
  <c r="BA461" i="16"/>
  <c r="AM461" i="16"/>
  <c r="BA462" i="16"/>
  <c r="AM462" i="16"/>
  <c r="BA463" i="16"/>
  <c r="AM463" i="16"/>
  <c r="BA464" i="16"/>
  <c r="AM464" i="16"/>
  <c r="BA465" i="16"/>
  <c r="AM465" i="16"/>
  <c r="BA466" i="16"/>
  <c r="AM466" i="16"/>
  <c r="BA467" i="16"/>
  <c r="AM467" i="16"/>
  <c r="BA468" i="16"/>
  <c r="AM468" i="16"/>
  <c r="BA469" i="16"/>
  <c r="AM469" i="16"/>
  <c r="BA470" i="16"/>
  <c r="AM470" i="16"/>
  <c r="BA471" i="16"/>
  <c r="AM471" i="16"/>
  <c r="BA472" i="16"/>
  <c r="AM472" i="16"/>
  <c r="BA473" i="16"/>
  <c r="AM473" i="16"/>
  <c r="BA474" i="16"/>
  <c r="AM474" i="16"/>
  <c r="BA475" i="16"/>
  <c r="AM475" i="16"/>
  <c r="BA476" i="16"/>
  <c r="AM476" i="16"/>
  <c r="BA477" i="16"/>
  <c r="AM477" i="16"/>
  <c r="BA478" i="16"/>
  <c r="AM478" i="16"/>
  <c r="BA479" i="16"/>
  <c r="AM479" i="16"/>
  <c r="BA480" i="16"/>
  <c r="AM480" i="16"/>
  <c r="BA481" i="16"/>
  <c r="AM481" i="16"/>
  <c r="BA482" i="16"/>
  <c r="AM482" i="16"/>
  <c r="BA483" i="16"/>
  <c r="AM483" i="16"/>
  <c r="BA484" i="16"/>
  <c r="AM484" i="16"/>
  <c r="BA485" i="16"/>
  <c r="AM485" i="16"/>
  <c r="BA486" i="16"/>
  <c r="AM486" i="16"/>
  <c r="BA487" i="16"/>
  <c r="AM487" i="16"/>
  <c r="BA488" i="16"/>
  <c r="AM488" i="16"/>
  <c r="BA489" i="16"/>
  <c r="AM489" i="16"/>
  <c r="BA490" i="16"/>
  <c r="AM490" i="16"/>
  <c r="BA491" i="16"/>
  <c r="AM491" i="16"/>
  <c r="BA492" i="16"/>
  <c r="AM492" i="16"/>
  <c r="BA493" i="16"/>
  <c r="AM493" i="16"/>
  <c r="BA494" i="16"/>
  <c r="AM494" i="16"/>
  <c r="BA495" i="16"/>
  <c r="AM495" i="16"/>
  <c r="BA496" i="16"/>
  <c r="AM496" i="16"/>
  <c r="BA497" i="16"/>
  <c r="AM497" i="16"/>
  <c r="BA498" i="16"/>
  <c r="AM498" i="16"/>
  <c r="BA499" i="16"/>
  <c r="AM499" i="16"/>
  <c r="BA500" i="16"/>
  <c r="AM500" i="16"/>
  <c r="BA501" i="16"/>
  <c r="AM501" i="16"/>
  <c r="BA92" i="16"/>
  <c r="AM92" i="16"/>
  <c r="BA93" i="16"/>
  <c r="AM93" i="16"/>
  <c r="BA453" i="16"/>
  <c r="AM453" i="16"/>
  <c r="AF11" i="16"/>
  <c r="I9" i="8"/>
  <c r="J9" i="8"/>
  <c r="AS4" i="16"/>
  <c r="AT4" i="16" s="1"/>
  <c r="L8" i="4"/>
  <c r="Q82" i="10"/>
  <c r="L365" i="4"/>
  <c r="AS361" i="16"/>
  <c r="AT361" i="16" s="1"/>
  <c r="J366" i="8"/>
  <c r="AV361" i="16" s="1"/>
  <c r="I366" i="8"/>
  <c r="L366" i="4"/>
  <c r="AS362" i="16"/>
  <c r="AT362" i="16" s="1"/>
  <c r="J367" i="8"/>
  <c r="AV362" i="16" s="1"/>
  <c r="I367" i="8"/>
  <c r="L367" i="4"/>
  <c r="AS363" i="16"/>
  <c r="AT363" i="16" s="1"/>
  <c r="J368" i="8"/>
  <c r="AV363" i="16" s="1"/>
  <c r="I368" i="8"/>
  <c r="L16" i="4"/>
  <c r="AS12" i="16"/>
  <c r="AT12" i="16" s="1"/>
  <c r="J17" i="8"/>
  <c r="AV12" i="16" s="1"/>
  <c r="AW12" i="16" s="1"/>
  <c r="I17" i="8"/>
  <c r="J18" i="8"/>
  <c r="AV13" i="16" s="1"/>
  <c r="AW13" i="16" s="1"/>
  <c r="L17" i="4"/>
  <c r="AS13" i="16"/>
  <c r="AT13" i="16" s="1"/>
  <c r="I18" i="8"/>
  <c r="I19" i="8"/>
  <c r="L18" i="4"/>
  <c r="J19" i="8"/>
  <c r="AV14" i="16" s="1"/>
  <c r="AW14" i="16" s="1"/>
  <c r="AS14" i="16"/>
  <c r="AT14" i="16" s="1"/>
  <c r="L19" i="4"/>
  <c r="I20" i="8"/>
  <c r="J20" i="8"/>
  <c r="AV15" i="16" s="1"/>
  <c r="AW15" i="16" s="1"/>
  <c r="AS15" i="16"/>
  <c r="AT15" i="16" s="1"/>
  <c r="J21" i="8"/>
  <c r="AV16" i="16" s="1"/>
  <c r="AW16" i="16" s="1"/>
  <c r="I21" i="8"/>
  <c r="L20" i="4"/>
  <c r="AS16" i="16"/>
  <c r="AT16" i="16" s="1"/>
  <c r="L21" i="4"/>
  <c r="AS17" i="16"/>
  <c r="AT17" i="16" s="1"/>
  <c r="J22" i="8"/>
  <c r="AV17" i="16" s="1"/>
  <c r="AW17" i="16" s="1"/>
  <c r="I22" i="8"/>
  <c r="L22" i="4"/>
  <c r="AS18" i="16"/>
  <c r="AT18" i="16" s="1"/>
  <c r="J23" i="8"/>
  <c r="AV18" i="16" s="1"/>
  <c r="AW18" i="16" s="1"/>
  <c r="I23" i="8"/>
  <c r="L23" i="4"/>
  <c r="AS19" i="16"/>
  <c r="AT19" i="16" s="1"/>
  <c r="J24" i="8"/>
  <c r="AV19" i="16" s="1"/>
  <c r="AW19" i="16" s="1"/>
  <c r="I24" i="8"/>
  <c r="I25" i="8"/>
  <c r="L24" i="4"/>
  <c r="AS20" i="16"/>
  <c r="AT20" i="16" s="1"/>
  <c r="J25" i="8"/>
  <c r="AV20" i="16" s="1"/>
  <c r="AW20" i="16" s="1"/>
  <c r="AS21" i="16"/>
  <c r="AT21" i="16" s="1"/>
  <c r="L25" i="4"/>
  <c r="J26" i="8"/>
  <c r="AV21" i="16" s="1"/>
  <c r="AW21" i="16" s="1"/>
  <c r="I26" i="8"/>
  <c r="I27" i="8"/>
  <c r="L26" i="4"/>
  <c r="J27" i="8"/>
  <c r="AV22" i="16" s="1"/>
  <c r="AW22" i="16" s="1"/>
  <c r="AS22" i="16"/>
  <c r="AT22" i="16" s="1"/>
  <c r="AS23" i="16"/>
  <c r="AT23" i="16" s="1"/>
  <c r="L27" i="4"/>
  <c r="J28" i="8"/>
  <c r="AV23" i="16" s="1"/>
  <c r="AW23" i="16" s="1"/>
  <c r="I28" i="8"/>
  <c r="J29" i="8"/>
  <c r="AV24" i="16" s="1"/>
  <c r="AW24" i="16" s="1"/>
  <c r="L28" i="4"/>
  <c r="AS24" i="16"/>
  <c r="AT24" i="16" s="1"/>
  <c r="I29" i="8"/>
  <c r="L29" i="4"/>
  <c r="AS25" i="16"/>
  <c r="AT25" i="16" s="1"/>
  <c r="J30" i="8"/>
  <c r="AV25" i="16" s="1"/>
  <c r="AW25" i="16" s="1"/>
  <c r="I30" i="8"/>
  <c r="L30" i="4"/>
  <c r="AS26" i="16"/>
  <c r="AT26" i="16" s="1"/>
  <c r="J31" i="8"/>
  <c r="AV26" i="16" s="1"/>
  <c r="AW26" i="16" s="1"/>
  <c r="I31" i="8"/>
  <c r="L31" i="4"/>
  <c r="AS27" i="16"/>
  <c r="AT27" i="16" s="1"/>
  <c r="J32" i="8"/>
  <c r="AV27" i="16" s="1"/>
  <c r="AW27" i="16" s="1"/>
  <c r="I32" i="8"/>
  <c r="AS28" i="16"/>
  <c r="AT28" i="16" s="1"/>
  <c r="J33" i="8"/>
  <c r="AV28" i="16" s="1"/>
  <c r="AW28" i="16" s="1"/>
  <c r="I33" i="8"/>
  <c r="L32" i="4"/>
  <c r="AS29" i="16"/>
  <c r="AT29" i="16" s="1"/>
  <c r="J34" i="8"/>
  <c r="AV29" i="16" s="1"/>
  <c r="AW29" i="16" s="1"/>
  <c r="I34" i="8"/>
  <c r="L33" i="4"/>
  <c r="L34" i="4"/>
  <c r="I35" i="8"/>
  <c r="AS30" i="16"/>
  <c r="AT30" i="16" s="1"/>
  <c r="J35" i="8"/>
  <c r="AV30" i="16" s="1"/>
  <c r="AW30" i="16" s="1"/>
  <c r="J36" i="8"/>
  <c r="AV31" i="16" s="1"/>
  <c r="L35" i="4"/>
  <c r="I36" i="8"/>
  <c r="AS31" i="16"/>
  <c r="AT31" i="16" s="1"/>
  <c r="I37" i="8"/>
  <c r="AS32" i="16"/>
  <c r="AT32" i="16" s="1"/>
  <c r="L36" i="4"/>
  <c r="J37" i="8"/>
  <c r="AV32" i="16" s="1"/>
  <c r="L37" i="4"/>
  <c r="AS33" i="16"/>
  <c r="AT33" i="16" s="1"/>
  <c r="J38" i="8"/>
  <c r="AV33" i="16" s="1"/>
  <c r="I38" i="8"/>
  <c r="L38" i="4"/>
  <c r="AS34" i="16"/>
  <c r="AT34" i="16" s="1"/>
  <c r="J39" i="8"/>
  <c r="AV34" i="16" s="1"/>
  <c r="I39" i="8"/>
  <c r="L39" i="4"/>
  <c r="J40" i="8"/>
  <c r="AV35" i="16" s="1"/>
  <c r="I40" i="8"/>
  <c r="AS35" i="16"/>
  <c r="AT35" i="16" s="1"/>
  <c r="L40" i="4"/>
  <c r="AS36" i="16"/>
  <c r="AT36" i="16" s="1"/>
  <c r="J41" i="8"/>
  <c r="AV36" i="16" s="1"/>
  <c r="I41" i="8"/>
  <c r="L41" i="4"/>
  <c r="AS37" i="16"/>
  <c r="AT37" i="16" s="1"/>
  <c r="J42" i="8"/>
  <c r="AV37" i="16" s="1"/>
  <c r="I42" i="8"/>
  <c r="L42" i="4"/>
  <c r="AS38" i="16"/>
  <c r="AT38" i="16" s="1"/>
  <c r="J43" i="8"/>
  <c r="AV38" i="16" s="1"/>
  <c r="I43" i="8"/>
  <c r="I44" i="8"/>
  <c r="J44" i="8"/>
  <c r="AV39" i="16" s="1"/>
  <c r="AS39" i="16"/>
  <c r="AT39" i="16" s="1"/>
  <c r="L43" i="4"/>
  <c r="J45" i="8"/>
  <c r="AV40" i="16" s="1"/>
  <c r="I45" i="8"/>
  <c r="L44" i="4"/>
  <c r="AS40" i="16"/>
  <c r="AT40" i="16" s="1"/>
  <c r="AS41" i="16"/>
  <c r="AT41" i="16" s="1"/>
  <c r="L45" i="4"/>
  <c r="J46" i="8"/>
  <c r="AV41" i="16" s="1"/>
  <c r="I46" i="8"/>
  <c r="J47" i="8"/>
  <c r="AV42" i="16" s="1"/>
  <c r="I47" i="8"/>
  <c r="L46" i="4"/>
  <c r="AS42" i="16"/>
  <c r="AT42" i="16" s="1"/>
  <c r="L47" i="4"/>
  <c r="AS43" i="16"/>
  <c r="AT43" i="16" s="1"/>
  <c r="J48" i="8"/>
  <c r="AV43" i="16" s="1"/>
  <c r="I48" i="8"/>
  <c r="L48" i="4"/>
  <c r="AS44" i="16"/>
  <c r="AT44" i="16" s="1"/>
  <c r="J49" i="8"/>
  <c r="AV44" i="16" s="1"/>
  <c r="I49" i="8"/>
  <c r="J50" i="8"/>
  <c r="AV45" i="16" s="1"/>
  <c r="AS45" i="16"/>
  <c r="AT45" i="16" s="1"/>
  <c r="L49" i="4"/>
  <c r="I50" i="8"/>
  <c r="J51" i="8"/>
  <c r="AV46" i="16" s="1"/>
  <c r="AS46" i="16"/>
  <c r="AT46" i="16" s="1"/>
  <c r="L50" i="4"/>
  <c r="I51" i="8"/>
  <c r="J52" i="8"/>
  <c r="AV47" i="16" s="1"/>
  <c r="I52" i="8"/>
  <c r="L51" i="4"/>
  <c r="AS47" i="16"/>
  <c r="AT47" i="16" s="1"/>
  <c r="J53" i="8"/>
  <c r="AV48" i="16" s="1"/>
  <c r="AS48" i="16"/>
  <c r="AT48" i="16" s="1"/>
  <c r="L52" i="4"/>
  <c r="I53" i="8"/>
  <c r="L53" i="4"/>
  <c r="AS49" i="16"/>
  <c r="AT49" i="16" s="1"/>
  <c r="J54" i="8"/>
  <c r="AV49" i="16" s="1"/>
  <c r="I54" i="8"/>
  <c r="L54" i="4"/>
  <c r="AS50" i="16"/>
  <c r="AT50" i="16" s="1"/>
  <c r="J55" i="8"/>
  <c r="AV50" i="16" s="1"/>
  <c r="I55" i="8"/>
  <c r="L55" i="4"/>
  <c r="AS51" i="16"/>
  <c r="AT51" i="16" s="1"/>
  <c r="J56" i="8"/>
  <c r="AV51" i="16" s="1"/>
  <c r="I56" i="8"/>
  <c r="L56" i="4"/>
  <c r="I57" i="8"/>
  <c r="J57" i="8"/>
  <c r="AV52" i="16" s="1"/>
  <c r="AS52" i="16"/>
  <c r="AT52" i="16" s="1"/>
  <c r="I58" i="8"/>
  <c r="J58" i="8"/>
  <c r="AV53" i="16" s="1"/>
  <c r="AS53" i="16"/>
  <c r="AT53" i="16" s="1"/>
  <c r="L57" i="4"/>
  <c r="I59" i="8"/>
  <c r="J59" i="8"/>
  <c r="AV54" i="16" s="1"/>
  <c r="AS54" i="16"/>
  <c r="AT54" i="16" s="1"/>
  <c r="L58" i="4"/>
  <c r="I60" i="8"/>
  <c r="J60" i="8"/>
  <c r="AV55" i="16" s="1"/>
  <c r="AS55" i="16"/>
  <c r="AT55" i="16" s="1"/>
  <c r="L59" i="4"/>
  <c r="AS56" i="16"/>
  <c r="AT56" i="16" s="1"/>
  <c r="L60" i="4"/>
  <c r="J61" i="8"/>
  <c r="AV56" i="16" s="1"/>
  <c r="I61" i="8"/>
  <c r="L61" i="4"/>
  <c r="AS57" i="16"/>
  <c r="AT57" i="16" s="1"/>
  <c r="J62" i="8"/>
  <c r="AV57" i="16" s="1"/>
  <c r="I62" i="8"/>
  <c r="AS58" i="16"/>
  <c r="AT58" i="16" s="1"/>
  <c r="L62" i="4"/>
  <c r="J63" i="8"/>
  <c r="AV58" i="16" s="1"/>
  <c r="I63" i="8"/>
  <c r="L63" i="4"/>
  <c r="AS59" i="16"/>
  <c r="AT59" i="16" s="1"/>
  <c r="J64" i="8"/>
  <c r="AV59" i="16" s="1"/>
  <c r="I64" i="8"/>
  <c r="I65" i="8"/>
  <c r="J65" i="8"/>
  <c r="AV60" i="16" s="1"/>
  <c r="L64" i="4"/>
  <c r="AS60" i="16"/>
  <c r="AT60" i="16" s="1"/>
  <c r="I66" i="8"/>
  <c r="J66" i="8"/>
  <c r="AV61" i="16" s="1"/>
  <c r="AS61" i="16"/>
  <c r="AT61" i="16" s="1"/>
  <c r="L65" i="4"/>
  <c r="AS62" i="16"/>
  <c r="AT62" i="16" s="1"/>
  <c r="L66" i="4"/>
  <c r="J67" i="8"/>
  <c r="AV62" i="16" s="1"/>
  <c r="I67" i="8"/>
  <c r="J68" i="8"/>
  <c r="AV63" i="16" s="1"/>
  <c r="I68" i="8"/>
  <c r="AS63" i="16"/>
  <c r="AT63" i="16" s="1"/>
  <c r="L67" i="4"/>
  <c r="I69" i="8"/>
  <c r="J69" i="8"/>
  <c r="AV64" i="16" s="1"/>
  <c r="AS64" i="16"/>
  <c r="AT64" i="16" s="1"/>
  <c r="L68" i="4"/>
  <c r="J70" i="8"/>
  <c r="AV65" i="16" s="1"/>
  <c r="I70" i="8"/>
  <c r="L69" i="4"/>
  <c r="AS65" i="16"/>
  <c r="AT65" i="16" s="1"/>
  <c r="L70" i="4"/>
  <c r="AS66" i="16"/>
  <c r="AT66" i="16" s="1"/>
  <c r="J71" i="8"/>
  <c r="AV66" i="16" s="1"/>
  <c r="I71" i="8"/>
  <c r="J72" i="8"/>
  <c r="AV67" i="16" s="1"/>
  <c r="L71" i="4"/>
  <c r="AS67" i="16"/>
  <c r="AT67" i="16" s="1"/>
  <c r="I72" i="8"/>
  <c r="L72" i="4"/>
  <c r="I73" i="8"/>
  <c r="J73" i="8"/>
  <c r="AV68" i="16" s="1"/>
  <c r="AS68" i="16"/>
  <c r="AT68" i="16" s="1"/>
  <c r="J74" i="8"/>
  <c r="AV69" i="16" s="1"/>
  <c r="I74" i="8"/>
  <c r="L73" i="4"/>
  <c r="AS69" i="16"/>
  <c r="AT69" i="16" s="1"/>
  <c r="AS70" i="16"/>
  <c r="AT70" i="16" s="1"/>
  <c r="J75" i="8"/>
  <c r="AV70" i="16" s="1"/>
  <c r="I75" i="8"/>
  <c r="L74" i="4"/>
  <c r="L75" i="4"/>
  <c r="AS71" i="16"/>
  <c r="AT71" i="16" s="1"/>
  <c r="J76" i="8"/>
  <c r="AV71" i="16" s="1"/>
  <c r="I76" i="8"/>
  <c r="L76" i="4"/>
  <c r="AS72" i="16"/>
  <c r="AT72" i="16" s="1"/>
  <c r="J77" i="8"/>
  <c r="AV72" i="16" s="1"/>
  <c r="I77" i="8"/>
  <c r="I78" i="8"/>
  <c r="L77" i="4"/>
  <c r="AS73" i="16"/>
  <c r="AT73" i="16" s="1"/>
  <c r="J78" i="8"/>
  <c r="AV73" i="16" s="1"/>
  <c r="J79" i="8"/>
  <c r="AV74" i="16" s="1"/>
  <c r="I79" i="8"/>
  <c r="L78" i="4"/>
  <c r="AS74" i="16"/>
  <c r="AT74" i="16" s="1"/>
  <c r="L79" i="4"/>
  <c r="AS75" i="16"/>
  <c r="AT75" i="16" s="1"/>
  <c r="J80" i="8"/>
  <c r="AV75" i="16" s="1"/>
  <c r="I80" i="8"/>
  <c r="L80" i="4"/>
  <c r="I81" i="8"/>
  <c r="J81" i="8"/>
  <c r="AV76" i="16" s="1"/>
  <c r="AS76" i="16"/>
  <c r="AT76" i="16" s="1"/>
  <c r="L81" i="4"/>
  <c r="AS77" i="16"/>
  <c r="AT77" i="16" s="1"/>
  <c r="J82" i="8"/>
  <c r="AV77" i="16" s="1"/>
  <c r="I82" i="8"/>
  <c r="J83" i="8"/>
  <c r="AV78" i="16" s="1"/>
  <c r="I83" i="8"/>
  <c r="L82" i="4"/>
  <c r="AS78" i="16"/>
  <c r="AT78" i="16" s="1"/>
  <c r="I84" i="8"/>
  <c r="L83" i="4"/>
  <c r="AS79" i="16"/>
  <c r="AT79" i="16" s="1"/>
  <c r="J84" i="8"/>
  <c r="AV79" i="16" s="1"/>
  <c r="J85" i="8"/>
  <c r="AV80" i="16" s="1"/>
  <c r="AS80" i="16"/>
  <c r="AT80" i="16" s="1"/>
  <c r="I85" i="8"/>
  <c r="L84" i="4"/>
  <c r="I86" i="8"/>
  <c r="J86" i="8"/>
  <c r="AV81" i="16" s="1"/>
  <c r="AS81" i="16"/>
  <c r="AT81" i="16" s="1"/>
  <c r="L85" i="4"/>
  <c r="J87" i="8"/>
  <c r="AV82" i="16" s="1"/>
  <c r="AS82" i="16"/>
  <c r="AT82" i="16" s="1"/>
  <c r="L86" i="4"/>
  <c r="I87" i="8"/>
  <c r="L87" i="4"/>
  <c r="AS83" i="16"/>
  <c r="AT83" i="16" s="1"/>
  <c r="J88" i="8"/>
  <c r="AV83" i="16" s="1"/>
  <c r="I88" i="8"/>
  <c r="L88" i="4"/>
  <c r="J89" i="8"/>
  <c r="AV84" i="16" s="1"/>
  <c r="I89" i="8"/>
  <c r="AS84" i="16"/>
  <c r="AT84" i="16" s="1"/>
  <c r="L89" i="4"/>
  <c r="AS85" i="16"/>
  <c r="AT85" i="16" s="1"/>
  <c r="J90" i="8"/>
  <c r="AV85" i="16" s="1"/>
  <c r="I90" i="8"/>
  <c r="L90" i="4"/>
  <c r="AS86" i="16"/>
  <c r="AT86" i="16" s="1"/>
  <c r="J91" i="8"/>
  <c r="AV86" i="16" s="1"/>
  <c r="I91" i="8"/>
  <c r="L91" i="4"/>
  <c r="AS87" i="16"/>
  <c r="AT87" i="16" s="1"/>
  <c r="J92" i="8"/>
  <c r="AV87" i="16" s="1"/>
  <c r="I92" i="8"/>
  <c r="L92" i="4"/>
  <c r="AS88" i="16"/>
  <c r="AT88" i="16" s="1"/>
  <c r="J93" i="8"/>
  <c r="AV88" i="16" s="1"/>
  <c r="I93" i="8"/>
  <c r="L93" i="4"/>
  <c r="AS89" i="16"/>
  <c r="AT89" i="16" s="1"/>
  <c r="J94" i="8"/>
  <c r="AV89" i="16" s="1"/>
  <c r="I94" i="8"/>
  <c r="L94" i="4"/>
  <c r="AS90" i="16"/>
  <c r="AT90" i="16" s="1"/>
  <c r="J95" i="8"/>
  <c r="AV90" i="16" s="1"/>
  <c r="I95" i="8"/>
  <c r="I5" i="10"/>
  <c r="K5" i="10"/>
  <c r="H23" i="10"/>
  <c r="L7" i="4"/>
  <c r="Q81" i="10"/>
  <c r="I8" i="8"/>
  <c r="J8" i="8"/>
  <c r="AS3" i="16"/>
  <c r="E28" i="10"/>
  <c r="G28" i="10" s="1"/>
  <c r="H28" i="10" s="1"/>
  <c r="Q83" i="10"/>
  <c r="I10" i="8"/>
  <c r="AS5" i="16"/>
  <c r="AT5" i="16" s="1"/>
  <c r="L9" i="4"/>
  <c r="J10" i="8"/>
  <c r="L10" i="4"/>
  <c r="J11" i="8"/>
  <c r="I11" i="8"/>
  <c r="AS6" i="16"/>
  <c r="AT6" i="16" s="1"/>
  <c r="Q84" i="10"/>
  <c r="AS7" i="16"/>
  <c r="AT7" i="16" s="1"/>
  <c r="Q85" i="10"/>
  <c r="J12" i="8"/>
  <c r="I12" i="8"/>
  <c r="L11" i="4"/>
  <c r="Q86" i="10"/>
  <c r="J13" i="8"/>
  <c r="I13" i="8"/>
  <c r="AS8" i="16"/>
  <c r="AT8" i="16" s="1"/>
  <c r="L12" i="4"/>
  <c r="J14" i="8"/>
  <c r="L13" i="4"/>
  <c r="I14" i="8"/>
  <c r="Q87" i="10"/>
  <c r="AS9" i="16"/>
  <c r="AT9" i="16" s="1"/>
  <c r="I15" i="8"/>
  <c r="Q88" i="10"/>
  <c r="J15" i="8"/>
  <c r="AS10" i="16"/>
  <c r="AT10" i="16" s="1"/>
  <c r="L14" i="4"/>
  <c r="AS11" i="16"/>
  <c r="I16" i="8"/>
  <c r="J16" i="8"/>
  <c r="L15" i="4"/>
  <c r="Q89" i="10"/>
  <c r="J99" i="8"/>
  <c r="AV94" i="16" s="1"/>
  <c r="L98" i="4"/>
  <c r="AS94" i="16"/>
  <c r="AT94" i="16" s="1"/>
  <c r="I99" i="8"/>
  <c r="L99" i="4"/>
  <c r="AS95" i="16"/>
  <c r="AT95" i="16" s="1"/>
  <c r="J100" i="8"/>
  <c r="AV95" i="16" s="1"/>
  <c r="I100" i="8"/>
  <c r="AS96" i="16"/>
  <c r="AT96" i="16" s="1"/>
  <c r="L100" i="4"/>
  <c r="J101" i="8"/>
  <c r="AV96" i="16" s="1"/>
  <c r="I101" i="8"/>
  <c r="I102" i="8"/>
  <c r="L101" i="4"/>
  <c r="AS97" i="16"/>
  <c r="AT97" i="16" s="1"/>
  <c r="J102" i="8"/>
  <c r="AV97" i="16" s="1"/>
  <c r="L102" i="4"/>
  <c r="AS98" i="16"/>
  <c r="AT98" i="16" s="1"/>
  <c r="J103" i="8"/>
  <c r="AV98" i="16" s="1"/>
  <c r="I103" i="8"/>
  <c r="L352" i="4"/>
  <c r="I353" i="8"/>
  <c r="J353" i="8"/>
  <c r="AV348" i="16" s="1"/>
  <c r="AS348" i="16"/>
  <c r="AT348" i="16" s="1"/>
  <c r="AS349" i="16"/>
  <c r="AT349" i="16" s="1"/>
  <c r="L353" i="4"/>
  <c r="J354" i="8"/>
  <c r="AV349" i="16" s="1"/>
  <c r="I354" i="8"/>
  <c r="L354" i="4"/>
  <c r="J355" i="8"/>
  <c r="AV350" i="16" s="1"/>
  <c r="AS350" i="16"/>
  <c r="AT350" i="16" s="1"/>
  <c r="I355" i="8"/>
  <c r="J356" i="8"/>
  <c r="AV351" i="16" s="1"/>
  <c r="AS351" i="16"/>
  <c r="AT351" i="16" s="1"/>
  <c r="L355" i="4"/>
  <c r="I356" i="8"/>
  <c r="I357" i="8"/>
  <c r="J357" i="8"/>
  <c r="AV352" i="16" s="1"/>
  <c r="AS352" i="16"/>
  <c r="AT352" i="16" s="1"/>
  <c r="L356" i="4"/>
  <c r="AS353" i="16"/>
  <c r="AT353" i="16" s="1"/>
  <c r="L357" i="4"/>
  <c r="J358" i="8"/>
  <c r="AV353" i="16" s="1"/>
  <c r="I358" i="8"/>
  <c r="L358" i="4"/>
  <c r="AS354" i="16"/>
  <c r="AT354" i="16" s="1"/>
  <c r="J359" i="8"/>
  <c r="AV354" i="16" s="1"/>
  <c r="I359" i="8"/>
  <c r="L359" i="4"/>
  <c r="AS355" i="16"/>
  <c r="AT355" i="16" s="1"/>
  <c r="J360" i="8"/>
  <c r="AV355" i="16" s="1"/>
  <c r="I360" i="8"/>
  <c r="L360" i="4"/>
  <c r="AS356" i="16"/>
  <c r="AT356" i="16" s="1"/>
  <c r="J361" i="8"/>
  <c r="AV356" i="16" s="1"/>
  <c r="I361" i="8"/>
  <c r="L361" i="4"/>
  <c r="AS357" i="16"/>
  <c r="AT357" i="16" s="1"/>
  <c r="J362" i="8"/>
  <c r="AV357" i="16" s="1"/>
  <c r="I362" i="8"/>
  <c r="J363" i="8"/>
  <c r="AV358" i="16" s="1"/>
  <c r="L362" i="4"/>
  <c r="AS358" i="16"/>
  <c r="AT358" i="16" s="1"/>
  <c r="I363" i="8"/>
  <c r="L363" i="4"/>
  <c r="AS359" i="16"/>
  <c r="AT359" i="16" s="1"/>
  <c r="J364" i="8"/>
  <c r="AV359" i="16" s="1"/>
  <c r="I364" i="8"/>
  <c r="L364" i="4"/>
  <c r="AS360" i="16"/>
  <c r="AT360" i="16" s="1"/>
  <c r="J365" i="8"/>
  <c r="AV360" i="16" s="1"/>
  <c r="I365" i="8"/>
  <c r="AS91" i="16"/>
  <c r="AT91" i="16" s="1"/>
  <c r="I96" i="8"/>
  <c r="L95" i="4"/>
  <c r="J96" i="8"/>
  <c r="AV91" i="16" s="1"/>
  <c r="I97" i="8"/>
  <c r="J97" i="8"/>
  <c r="AV92" i="16" s="1"/>
  <c r="AS92" i="16"/>
  <c r="AT92" i="16" s="1"/>
  <c r="L96" i="4"/>
  <c r="J98" i="8"/>
  <c r="AV93" i="16" s="1"/>
  <c r="I98" i="8"/>
  <c r="AS93" i="16"/>
  <c r="AT93" i="16" s="1"/>
  <c r="L97" i="4"/>
  <c r="L103" i="4"/>
  <c r="AS99" i="16"/>
  <c r="AT99" i="16" s="1"/>
  <c r="J104" i="8"/>
  <c r="AV99" i="16" s="1"/>
  <c r="I104" i="8"/>
  <c r="L104" i="4"/>
  <c r="AS100" i="16"/>
  <c r="AT100" i="16" s="1"/>
  <c r="J105" i="8"/>
  <c r="AV100" i="16" s="1"/>
  <c r="I105" i="8"/>
  <c r="L105" i="4"/>
  <c r="AS101" i="16"/>
  <c r="AT101" i="16" s="1"/>
  <c r="J106" i="8"/>
  <c r="AV101" i="16" s="1"/>
  <c r="I106" i="8"/>
  <c r="L106" i="4"/>
  <c r="AS102" i="16"/>
  <c r="AT102" i="16" s="1"/>
  <c r="J107" i="8"/>
  <c r="AV102" i="16" s="1"/>
  <c r="I107" i="8"/>
  <c r="L107" i="4"/>
  <c r="AS103" i="16"/>
  <c r="AT103" i="16" s="1"/>
  <c r="J108" i="8"/>
  <c r="AV103" i="16" s="1"/>
  <c r="I108" i="8"/>
  <c r="L108" i="4"/>
  <c r="AS104" i="16"/>
  <c r="AT104" i="16" s="1"/>
  <c r="J109" i="8"/>
  <c r="AV104" i="16" s="1"/>
  <c r="I109" i="8"/>
  <c r="L109" i="4"/>
  <c r="AS105" i="16"/>
  <c r="AT105" i="16" s="1"/>
  <c r="J110" i="8"/>
  <c r="AV105" i="16" s="1"/>
  <c r="I110" i="8"/>
  <c r="L110" i="4"/>
  <c r="AS106" i="16"/>
  <c r="AT106" i="16" s="1"/>
  <c r="J111" i="8"/>
  <c r="AV106" i="16" s="1"/>
  <c r="I111" i="8"/>
  <c r="L111" i="4"/>
  <c r="AS107" i="16"/>
  <c r="AT107" i="16" s="1"/>
  <c r="J112" i="8"/>
  <c r="AV107" i="16" s="1"/>
  <c r="I112" i="8"/>
  <c r="L112" i="4"/>
  <c r="AS108" i="16"/>
  <c r="AT108" i="16" s="1"/>
  <c r="J113" i="8"/>
  <c r="AV108" i="16" s="1"/>
  <c r="I113" i="8"/>
  <c r="L113" i="4"/>
  <c r="AS109" i="16"/>
  <c r="AT109" i="16" s="1"/>
  <c r="J114" i="8"/>
  <c r="AV109" i="16" s="1"/>
  <c r="I114" i="8"/>
  <c r="L114" i="4"/>
  <c r="AS110" i="16"/>
  <c r="AT110" i="16" s="1"/>
  <c r="J115" i="8"/>
  <c r="AV110" i="16" s="1"/>
  <c r="I115" i="8"/>
  <c r="L115" i="4"/>
  <c r="AS111" i="16"/>
  <c r="AT111" i="16" s="1"/>
  <c r="J116" i="8"/>
  <c r="AV111" i="16" s="1"/>
  <c r="I116" i="8"/>
  <c r="L116" i="4"/>
  <c r="AS112" i="16"/>
  <c r="AT112" i="16" s="1"/>
  <c r="J117" i="8"/>
  <c r="AV112" i="16" s="1"/>
  <c r="I117" i="8"/>
  <c r="L117" i="4"/>
  <c r="AS113" i="16"/>
  <c r="AT113" i="16" s="1"/>
  <c r="J118" i="8"/>
  <c r="AV113" i="16" s="1"/>
  <c r="I118" i="8"/>
  <c r="L118" i="4"/>
  <c r="AS114" i="16"/>
  <c r="AT114" i="16" s="1"/>
  <c r="J119" i="8"/>
  <c r="AV114" i="16" s="1"/>
  <c r="I119" i="8"/>
  <c r="L119" i="4"/>
  <c r="AS115" i="16"/>
  <c r="AT115" i="16" s="1"/>
  <c r="J120" i="8"/>
  <c r="AV115" i="16" s="1"/>
  <c r="I120" i="8"/>
  <c r="L120" i="4"/>
  <c r="AS116" i="16"/>
  <c r="AT116" i="16" s="1"/>
  <c r="J121" i="8"/>
  <c r="AV116" i="16" s="1"/>
  <c r="I121" i="8"/>
  <c r="L121" i="4"/>
  <c r="AS117" i="16"/>
  <c r="AT117" i="16" s="1"/>
  <c r="J122" i="8"/>
  <c r="AV117" i="16" s="1"/>
  <c r="I122" i="8"/>
  <c r="L122" i="4"/>
  <c r="AS118" i="16"/>
  <c r="AT118" i="16" s="1"/>
  <c r="J123" i="8"/>
  <c r="AV118" i="16" s="1"/>
  <c r="I123" i="8"/>
  <c r="L123" i="4"/>
  <c r="AS119" i="16"/>
  <c r="AT119" i="16" s="1"/>
  <c r="J124" i="8"/>
  <c r="AV119" i="16" s="1"/>
  <c r="I124" i="8"/>
  <c r="L124" i="4"/>
  <c r="AS120" i="16"/>
  <c r="AT120" i="16" s="1"/>
  <c r="J125" i="8"/>
  <c r="AV120" i="16" s="1"/>
  <c r="I125" i="8"/>
  <c r="L125" i="4"/>
  <c r="AS121" i="16"/>
  <c r="AT121" i="16" s="1"/>
  <c r="J126" i="8"/>
  <c r="AV121" i="16" s="1"/>
  <c r="I126" i="8"/>
  <c r="L126" i="4"/>
  <c r="AS122" i="16"/>
  <c r="AT122" i="16" s="1"/>
  <c r="J127" i="8"/>
  <c r="AV122" i="16" s="1"/>
  <c r="I127" i="8"/>
  <c r="L127" i="4"/>
  <c r="AS123" i="16"/>
  <c r="AT123" i="16" s="1"/>
  <c r="J128" i="8"/>
  <c r="AV123" i="16" s="1"/>
  <c r="I128" i="8"/>
  <c r="L128" i="4"/>
  <c r="AS124" i="16"/>
  <c r="AT124" i="16" s="1"/>
  <c r="J129" i="8"/>
  <c r="AV124" i="16" s="1"/>
  <c r="I129" i="8"/>
  <c r="L129" i="4"/>
  <c r="AS125" i="16"/>
  <c r="AT125" i="16" s="1"/>
  <c r="J130" i="8"/>
  <c r="AV125" i="16" s="1"/>
  <c r="I130" i="8"/>
  <c r="L130" i="4"/>
  <c r="AS126" i="16"/>
  <c r="AT126" i="16" s="1"/>
  <c r="J131" i="8"/>
  <c r="AV126" i="16" s="1"/>
  <c r="I131" i="8"/>
  <c r="L131" i="4"/>
  <c r="AS127" i="16"/>
  <c r="AT127" i="16" s="1"/>
  <c r="J132" i="8"/>
  <c r="AV127" i="16" s="1"/>
  <c r="I132" i="8"/>
  <c r="L132" i="4"/>
  <c r="J133" i="8"/>
  <c r="AV128" i="16" s="1"/>
  <c r="I133" i="8"/>
  <c r="AS128" i="16"/>
  <c r="AT128" i="16" s="1"/>
  <c r="L133" i="4"/>
  <c r="AS129" i="16"/>
  <c r="AT129" i="16" s="1"/>
  <c r="J134" i="8"/>
  <c r="AV129" i="16" s="1"/>
  <c r="I134" i="8"/>
  <c r="L134" i="4"/>
  <c r="J135" i="8"/>
  <c r="AV130" i="16" s="1"/>
  <c r="I135" i="8"/>
  <c r="AS130" i="16"/>
  <c r="AT130" i="16" s="1"/>
  <c r="L135" i="4"/>
  <c r="AS131" i="16"/>
  <c r="AT131" i="16" s="1"/>
  <c r="J136" i="8"/>
  <c r="AV131" i="16" s="1"/>
  <c r="I136" i="8"/>
  <c r="L136" i="4"/>
  <c r="AS132" i="16"/>
  <c r="AT132" i="16" s="1"/>
  <c r="J137" i="8"/>
  <c r="AV132" i="16" s="1"/>
  <c r="I137" i="8"/>
  <c r="L137" i="4"/>
  <c r="AS133" i="16"/>
  <c r="AT133" i="16" s="1"/>
  <c r="J138" i="8"/>
  <c r="AV133" i="16" s="1"/>
  <c r="I138" i="8"/>
  <c r="L138" i="4"/>
  <c r="AS134" i="16"/>
  <c r="AT134" i="16" s="1"/>
  <c r="J139" i="8"/>
  <c r="AV134" i="16" s="1"/>
  <c r="I139" i="8"/>
  <c r="L139" i="4"/>
  <c r="J140" i="8"/>
  <c r="AV135" i="16" s="1"/>
  <c r="I140" i="8"/>
  <c r="AS135" i="16"/>
  <c r="AT135" i="16" s="1"/>
  <c r="L140" i="4"/>
  <c r="AS136" i="16"/>
  <c r="AT136" i="16" s="1"/>
  <c r="J141" i="8"/>
  <c r="AV136" i="16" s="1"/>
  <c r="I141" i="8"/>
  <c r="L141" i="4"/>
  <c r="AS137" i="16"/>
  <c r="AT137" i="16" s="1"/>
  <c r="J142" i="8"/>
  <c r="AV137" i="16" s="1"/>
  <c r="I142" i="8"/>
  <c r="L142" i="4"/>
  <c r="AS138" i="16"/>
  <c r="AT138" i="16" s="1"/>
  <c r="J143" i="8"/>
  <c r="AV138" i="16" s="1"/>
  <c r="I143" i="8"/>
  <c r="L143" i="4"/>
  <c r="AS139" i="16"/>
  <c r="AT139" i="16" s="1"/>
  <c r="J144" i="8"/>
  <c r="AV139" i="16" s="1"/>
  <c r="I144" i="8"/>
  <c r="L144" i="4"/>
  <c r="AS140" i="16"/>
  <c r="AT140" i="16" s="1"/>
  <c r="J145" i="8"/>
  <c r="AV140" i="16" s="1"/>
  <c r="I145" i="8"/>
  <c r="L145" i="4"/>
  <c r="AS141" i="16"/>
  <c r="AT141" i="16" s="1"/>
  <c r="J146" i="8"/>
  <c r="AV141" i="16" s="1"/>
  <c r="I146" i="8"/>
  <c r="L146" i="4"/>
  <c r="AS142" i="16"/>
  <c r="AT142" i="16" s="1"/>
  <c r="J147" i="8"/>
  <c r="AV142" i="16" s="1"/>
  <c r="I147" i="8"/>
  <c r="L147" i="4"/>
  <c r="I148" i="8"/>
  <c r="J148" i="8"/>
  <c r="AV143" i="16" s="1"/>
  <c r="AS143" i="16"/>
  <c r="AT143" i="16" s="1"/>
  <c r="L148" i="4"/>
  <c r="AS144" i="16"/>
  <c r="AT144" i="16" s="1"/>
  <c r="J149" i="8"/>
  <c r="AV144" i="16" s="1"/>
  <c r="I149" i="8"/>
  <c r="L149" i="4"/>
  <c r="AS145" i="16"/>
  <c r="AT145" i="16" s="1"/>
  <c r="J150" i="8"/>
  <c r="AV145" i="16" s="1"/>
  <c r="I150" i="8"/>
  <c r="L150" i="4"/>
  <c r="AS146" i="16"/>
  <c r="AT146" i="16" s="1"/>
  <c r="J151" i="8"/>
  <c r="AV146" i="16" s="1"/>
  <c r="I151" i="8"/>
  <c r="L151" i="4"/>
  <c r="AS147" i="16"/>
  <c r="AT147" i="16" s="1"/>
  <c r="J152" i="8"/>
  <c r="AV147" i="16" s="1"/>
  <c r="I152" i="8"/>
  <c r="L152" i="4"/>
  <c r="AS148" i="16"/>
  <c r="AT148" i="16" s="1"/>
  <c r="J153" i="8"/>
  <c r="AV148" i="16" s="1"/>
  <c r="I153" i="8"/>
  <c r="L153" i="4"/>
  <c r="AS149" i="16"/>
  <c r="AT149" i="16" s="1"/>
  <c r="J154" i="8"/>
  <c r="AV149" i="16" s="1"/>
  <c r="I154" i="8"/>
  <c r="L154" i="4"/>
  <c r="AS150" i="16"/>
  <c r="AT150" i="16" s="1"/>
  <c r="J155" i="8"/>
  <c r="AV150" i="16" s="1"/>
  <c r="I155" i="8"/>
  <c r="L155" i="4"/>
  <c r="AS151" i="16"/>
  <c r="AT151" i="16" s="1"/>
  <c r="J156" i="8"/>
  <c r="AV151" i="16" s="1"/>
  <c r="I156" i="8"/>
  <c r="L156" i="4"/>
  <c r="AS152" i="16"/>
  <c r="AT152" i="16" s="1"/>
  <c r="J157" i="8"/>
  <c r="AV152" i="16" s="1"/>
  <c r="I157" i="8"/>
  <c r="L157" i="4"/>
  <c r="AS153" i="16"/>
  <c r="AT153" i="16" s="1"/>
  <c r="J158" i="8"/>
  <c r="AV153" i="16" s="1"/>
  <c r="I158" i="8"/>
  <c r="L158" i="4"/>
  <c r="AS154" i="16"/>
  <c r="AT154" i="16" s="1"/>
  <c r="J159" i="8"/>
  <c r="AV154" i="16" s="1"/>
  <c r="I159" i="8"/>
  <c r="L159" i="4"/>
  <c r="AS155" i="16"/>
  <c r="AT155" i="16" s="1"/>
  <c r="J160" i="8"/>
  <c r="AV155" i="16" s="1"/>
  <c r="I160" i="8"/>
  <c r="L160" i="4"/>
  <c r="J161" i="8"/>
  <c r="AV156" i="16" s="1"/>
  <c r="I161" i="8"/>
  <c r="AS156" i="16"/>
  <c r="AT156" i="16" s="1"/>
  <c r="L161" i="4"/>
  <c r="AS157" i="16"/>
  <c r="AT157" i="16" s="1"/>
  <c r="J162" i="8"/>
  <c r="AV157" i="16" s="1"/>
  <c r="I162" i="8"/>
  <c r="L162" i="4"/>
  <c r="AS158" i="16"/>
  <c r="AT158" i="16" s="1"/>
  <c r="J163" i="8"/>
  <c r="AV158" i="16" s="1"/>
  <c r="I163" i="8"/>
  <c r="L163" i="4"/>
  <c r="J164" i="8"/>
  <c r="AV159" i="16" s="1"/>
  <c r="I164" i="8"/>
  <c r="AS159" i="16"/>
  <c r="AT159" i="16" s="1"/>
  <c r="L164" i="4"/>
  <c r="AS160" i="16"/>
  <c r="AT160" i="16" s="1"/>
  <c r="J165" i="8"/>
  <c r="AV160" i="16" s="1"/>
  <c r="I165" i="8"/>
  <c r="L165" i="4"/>
  <c r="AS161" i="16"/>
  <c r="AT161" i="16" s="1"/>
  <c r="J166" i="8"/>
  <c r="AV161" i="16" s="1"/>
  <c r="I166" i="8"/>
  <c r="L166" i="4"/>
  <c r="AS162" i="16"/>
  <c r="AT162" i="16" s="1"/>
  <c r="J167" i="8"/>
  <c r="AV162" i="16" s="1"/>
  <c r="I167" i="8"/>
  <c r="L167" i="4"/>
  <c r="I168" i="8"/>
  <c r="J168" i="8"/>
  <c r="AV163" i="16" s="1"/>
  <c r="AS163" i="16"/>
  <c r="AT163" i="16" s="1"/>
  <c r="L168" i="4"/>
  <c r="AS164" i="16"/>
  <c r="AT164" i="16" s="1"/>
  <c r="J169" i="8"/>
  <c r="AV164" i="16" s="1"/>
  <c r="I169" i="8"/>
  <c r="L169" i="4"/>
  <c r="AS165" i="16"/>
  <c r="AT165" i="16" s="1"/>
  <c r="J170" i="8"/>
  <c r="AV165" i="16" s="1"/>
  <c r="I170" i="8"/>
  <c r="L170" i="4"/>
  <c r="AS166" i="16"/>
  <c r="AT166" i="16" s="1"/>
  <c r="J171" i="8"/>
  <c r="AV166" i="16" s="1"/>
  <c r="I171" i="8"/>
  <c r="L171" i="4"/>
  <c r="AS167" i="16"/>
  <c r="AT167" i="16" s="1"/>
  <c r="J172" i="8"/>
  <c r="AV167" i="16" s="1"/>
  <c r="I172" i="8"/>
  <c r="L172" i="4"/>
  <c r="AS168" i="16"/>
  <c r="AT168" i="16" s="1"/>
  <c r="J173" i="8"/>
  <c r="AV168" i="16" s="1"/>
  <c r="I173" i="8"/>
  <c r="L173" i="4"/>
  <c r="AS169" i="16"/>
  <c r="AT169" i="16" s="1"/>
  <c r="J174" i="8"/>
  <c r="AV169" i="16" s="1"/>
  <c r="I174" i="8"/>
  <c r="L174" i="4"/>
  <c r="AS170" i="16"/>
  <c r="AT170" i="16" s="1"/>
  <c r="J175" i="8"/>
  <c r="AV170" i="16" s="1"/>
  <c r="I175" i="8"/>
  <c r="L175" i="4"/>
  <c r="AS171" i="16"/>
  <c r="AT171" i="16" s="1"/>
  <c r="J176" i="8"/>
  <c r="AV171" i="16" s="1"/>
  <c r="I176" i="8"/>
  <c r="L176" i="4"/>
  <c r="AS172" i="16"/>
  <c r="AT172" i="16" s="1"/>
  <c r="J177" i="8"/>
  <c r="AV172" i="16" s="1"/>
  <c r="I177" i="8"/>
  <c r="L177" i="4"/>
  <c r="AS173" i="16"/>
  <c r="AT173" i="16" s="1"/>
  <c r="J178" i="8"/>
  <c r="AV173" i="16" s="1"/>
  <c r="I178" i="8"/>
  <c r="L178" i="4"/>
  <c r="AS174" i="16"/>
  <c r="AT174" i="16" s="1"/>
  <c r="J179" i="8"/>
  <c r="AV174" i="16" s="1"/>
  <c r="I179" i="8"/>
  <c r="L179" i="4"/>
  <c r="AS175" i="16"/>
  <c r="AT175" i="16" s="1"/>
  <c r="J180" i="8"/>
  <c r="AV175" i="16" s="1"/>
  <c r="I180" i="8"/>
  <c r="L180" i="4"/>
  <c r="AS176" i="16"/>
  <c r="AT176" i="16" s="1"/>
  <c r="J181" i="8"/>
  <c r="AV176" i="16" s="1"/>
  <c r="I181" i="8"/>
  <c r="L181" i="4"/>
  <c r="AS177" i="16"/>
  <c r="AT177" i="16" s="1"/>
  <c r="J182" i="8"/>
  <c r="AV177" i="16" s="1"/>
  <c r="I182" i="8"/>
  <c r="L182" i="4"/>
  <c r="J183" i="8"/>
  <c r="AV178" i="16" s="1"/>
  <c r="I183" i="8"/>
  <c r="AS178" i="16"/>
  <c r="AT178" i="16" s="1"/>
  <c r="L183" i="4"/>
  <c r="AS179" i="16"/>
  <c r="AT179" i="16" s="1"/>
  <c r="J184" i="8"/>
  <c r="AV179" i="16" s="1"/>
  <c r="I184" i="8"/>
  <c r="L184" i="4"/>
  <c r="AS180" i="16"/>
  <c r="AT180" i="16" s="1"/>
  <c r="J185" i="8"/>
  <c r="AV180" i="16" s="1"/>
  <c r="I185" i="8"/>
  <c r="L185" i="4"/>
  <c r="AS181" i="16"/>
  <c r="AT181" i="16" s="1"/>
  <c r="J186" i="8"/>
  <c r="AV181" i="16" s="1"/>
  <c r="I186" i="8"/>
  <c r="L186" i="4"/>
  <c r="AS182" i="16"/>
  <c r="AT182" i="16" s="1"/>
  <c r="J187" i="8"/>
  <c r="AV182" i="16" s="1"/>
  <c r="I187" i="8"/>
  <c r="L187" i="4"/>
  <c r="AS183" i="16"/>
  <c r="AT183" i="16" s="1"/>
  <c r="J188" i="8"/>
  <c r="AV183" i="16" s="1"/>
  <c r="I188" i="8"/>
  <c r="L188" i="4"/>
  <c r="AS184" i="16"/>
  <c r="AT184" i="16" s="1"/>
  <c r="J189" i="8"/>
  <c r="AV184" i="16" s="1"/>
  <c r="I189" i="8"/>
  <c r="L189" i="4"/>
  <c r="AS185" i="16"/>
  <c r="AT185" i="16" s="1"/>
  <c r="J190" i="8"/>
  <c r="AV185" i="16" s="1"/>
  <c r="I190" i="8"/>
  <c r="L190" i="4"/>
  <c r="AS186" i="16"/>
  <c r="AT186" i="16" s="1"/>
  <c r="J191" i="8"/>
  <c r="AV186" i="16" s="1"/>
  <c r="I191" i="8"/>
  <c r="L191" i="4"/>
  <c r="I192" i="8"/>
  <c r="J192" i="8"/>
  <c r="AV187" i="16" s="1"/>
  <c r="AS187" i="16"/>
  <c r="AT187" i="16" s="1"/>
  <c r="L192" i="4"/>
  <c r="AS188" i="16"/>
  <c r="AT188" i="16" s="1"/>
  <c r="J193" i="8"/>
  <c r="AV188" i="16" s="1"/>
  <c r="I193" i="8"/>
  <c r="L193" i="4"/>
  <c r="AS189" i="16"/>
  <c r="AT189" i="16" s="1"/>
  <c r="J194" i="8"/>
  <c r="AV189" i="16" s="1"/>
  <c r="I194" i="8"/>
  <c r="L194" i="4"/>
  <c r="I195" i="8"/>
  <c r="J195" i="8"/>
  <c r="AV190" i="16" s="1"/>
  <c r="AS190" i="16"/>
  <c r="AT190" i="16" s="1"/>
  <c r="L195" i="4"/>
  <c r="AS191" i="16"/>
  <c r="AT191" i="16" s="1"/>
  <c r="J196" i="8"/>
  <c r="AV191" i="16" s="1"/>
  <c r="I196" i="8"/>
  <c r="L196" i="4"/>
  <c r="AS192" i="16"/>
  <c r="AT192" i="16" s="1"/>
  <c r="J197" i="8"/>
  <c r="AV192" i="16" s="1"/>
  <c r="I197" i="8"/>
  <c r="L197" i="4"/>
  <c r="AS193" i="16"/>
  <c r="AT193" i="16" s="1"/>
  <c r="J198" i="8"/>
  <c r="AV193" i="16" s="1"/>
  <c r="I198" i="8"/>
  <c r="L198" i="4"/>
  <c r="AS194" i="16"/>
  <c r="AT194" i="16" s="1"/>
  <c r="J199" i="8"/>
  <c r="AV194" i="16" s="1"/>
  <c r="I199" i="8"/>
  <c r="L199" i="4"/>
  <c r="AS195" i="16"/>
  <c r="AT195" i="16" s="1"/>
  <c r="J200" i="8"/>
  <c r="AV195" i="16" s="1"/>
  <c r="I200" i="8"/>
  <c r="L200" i="4"/>
  <c r="AS196" i="16"/>
  <c r="AT196" i="16" s="1"/>
  <c r="J201" i="8"/>
  <c r="AV196" i="16" s="1"/>
  <c r="I201" i="8"/>
  <c r="L201" i="4"/>
  <c r="AS197" i="16"/>
  <c r="AT197" i="16" s="1"/>
  <c r="J202" i="8"/>
  <c r="AV197" i="16" s="1"/>
  <c r="I202" i="8"/>
  <c r="L202" i="4"/>
  <c r="AS198" i="16"/>
  <c r="AT198" i="16" s="1"/>
  <c r="J203" i="8"/>
  <c r="AV198" i="16" s="1"/>
  <c r="I203" i="8"/>
  <c r="L203" i="4"/>
  <c r="AS199" i="16"/>
  <c r="AT199" i="16" s="1"/>
  <c r="J204" i="8"/>
  <c r="AV199" i="16" s="1"/>
  <c r="I204" i="8"/>
  <c r="L204" i="4"/>
  <c r="AS200" i="16"/>
  <c r="AT200" i="16" s="1"/>
  <c r="J205" i="8"/>
  <c r="AV200" i="16" s="1"/>
  <c r="I205" i="8"/>
  <c r="L205" i="4"/>
  <c r="AS201" i="16"/>
  <c r="AT201" i="16" s="1"/>
  <c r="J206" i="8"/>
  <c r="AV201" i="16" s="1"/>
  <c r="I206" i="8"/>
  <c r="L206" i="4"/>
  <c r="AS202" i="16"/>
  <c r="AT202" i="16" s="1"/>
  <c r="J207" i="8"/>
  <c r="AV202" i="16" s="1"/>
  <c r="I207" i="8"/>
  <c r="L207" i="4"/>
  <c r="AS203" i="16"/>
  <c r="AT203" i="16" s="1"/>
  <c r="J208" i="8"/>
  <c r="AV203" i="16" s="1"/>
  <c r="I208" i="8"/>
  <c r="L208" i="4"/>
  <c r="AS204" i="16"/>
  <c r="AT204" i="16" s="1"/>
  <c r="J209" i="8"/>
  <c r="AV204" i="16" s="1"/>
  <c r="I209" i="8"/>
  <c r="L209" i="4"/>
  <c r="AS205" i="16"/>
  <c r="AT205" i="16" s="1"/>
  <c r="J210" i="8"/>
  <c r="AV205" i="16" s="1"/>
  <c r="I210" i="8"/>
  <c r="L210" i="4"/>
  <c r="AS206" i="16"/>
  <c r="AT206" i="16" s="1"/>
  <c r="J211" i="8"/>
  <c r="AV206" i="16" s="1"/>
  <c r="I211" i="8"/>
  <c r="L211" i="4"/>
  <c r="AS207" i="16"/>
  <c r="AT207" i="16" s="1"/>
  <c r="J212" i="8"/>
  <c r="AV207" i="16" s="1"/>
  <c r="I212" i="8"/>
  <c r="L212" i="4"/>
  <c r="AS208" i="16"/>
  <c r="AT208" i="16" s="1"/>
  <c r="J213" i="8"/>
  <c r="AV208" i="16" s="1"/>
  <c r="I213" i="8"/>
  <c r="L213" i="4"/>
  <c r="AS209" i="16"/>
  <c r="AT209" i="16" s="1"/>
  <c r="J214" i="8"/>
  <c r="AV209" i="16" s="1"/>
  <c r="I214" i="8"/>
  <c r="L214" i="4"/>
  <c r="AS210" i="16"/>
  <c r="AT210" i="16" s="1"/>
  <c r="J215" i="8"/>
  <c r="AV210" i="16" s="1"/>
  <c r="I215" i="8"/>
  <c r="L215" i="4"/>
  <c r="AS211" i="16"/>
  <c r="AT211" i="16" s="1"/>
  <c r="J216" i="8"/>
  <c r="AV211" i="16" s="1"/>
  <c r="I216" i="8"/>
  <c r="L216" i="4"/>
  <c r="AS212" i="16"/>
  <c r="AT212" i="16" s="1"/>
  <c r="J217" i="8"/>
  <c r="AV212" i="16" s="1"/>
  <c r="I217" i="8"/>
  <c r="L217" i="4"/>
  <c r="AS213" i="16"/>
  <c r="AT213" i="16" s="1"/>
  <c r="J218" i="8"/>
  <c r="AV213" i="16" s="1"/>
  <c r="I218" i="8"/>
  <c r="L218" i="4"/>
  <c r="AS214" i="16"/>
  <c r="AT214" i="16" s="1"/>
  <c r="J219" i="8"/>
  <c r="AV214" i="16" s="1"/>
  <c r="I219" i="8"/>
  <c r="L219" i="4"/>
  <c r="AS215" i="16"/>
  <c r="AT215" i="16" s="1"/>
  <c r="J220" i="8"/>
  <c r="AV215" i="16" s="1"/>
  <c r="I220" i="8"/>
  <c r="L220" i="4"/>
  <c r="AS216" i="16"/>
  <c r="AT216" i="16" s="1"/>
  <c r="J221" i="8"/>
  <c r="AV216" i="16" s="1"/>
  <c r="I221" i="8"/>
  <c r="L221" i="4"/>
  <c r="AS217" i="16"/>
  <c r="AT217" i="16" s="1"/>
  <c r="J222" i="8"/>
  <c r="AV217" i="16" s="1"/>
  <c r="I222" i="8"/>
  <c r="L222" i="4"/>
  <c r="AS218" i="16"/>
  <c r="AT218" i="16" s="1"/>
  <c r="J223" i="8"/>
  <c r="AV218" i="16" s="1"/>
  <c r="I223" i="8"/>
  <c r="L223" i="4"/>
  <c r="AS219" i="16"/>
  <c r="AT219" i="16" s="1"/>
  <c r="J224" i="8"/>
  <c r="AV219" i="16" s="1"/>
  <c r="I224" i="8"/>
  <c r="L224" i="4"/>
  <c r="AS220" i="16"/>
  <c r="AT220" i="16" s="1"/>
  <c r="J225" i="8"/>
  <c r="AV220" i="16" s="1"/>
  <c r="I225" i="8"/>
  <c r="L225" i="4"/>
  <c r="AS221" i="16"/>
  <c r="AT221" i="16" s="1"/>
  <c r="J226" i="8"/>
  <c r="AV221" i="16" s="1"/>
  <c r="I226" i="8"/>
  <c r="L226" i="4"/>
  <c r="AS222" i="16"/>
  <c r="AT222" i="16" s="1"/>
  <c r="J227" i="8"/>
  <c r="AV222" i="16" s="1"/>
  <c r="I227" i="8"/>
  <c r="L227" i="4"/>
  <c r="AS223" i="16"/>
  <c r="AT223" i="16" s="1"/>
  <c r="J228" i="8"/>
  <c r="AV223" i="16" s="1"/>
  <c r="I228" i="8"/>
  <c r="L228" i="4"/>
  <c r="AS224" i="16"/>
  <c r="AT224" i="16" s="1"/>
  <c r="J229" i="8"/>
  <c r="AV224" i="16" s="1"/>
  <c r="I229" i="8"/>
  <c r="L229" i="4"/>
  <c r="AS225" i="16"/>
  <c r="AT225" i="16" s="1"/>
  <c r="J230" i="8"/>
  <c r="AV225" i="16" s="1"/>
  <c r="I230" i="8"/>
  <c r="L230" i="4"/>
  <c r="AS226" i="16"/>
  <c r="AT226" i="16" s="1"/>
  <c r="J231" i="8"/>
  <c r="AV226" i="16" s="1"/>
  <c r="I231" i="8"/>
  <c r="L231" i="4"/>
  <c r="AS227" i="16"/>
  <c r="AT227" i="16" s="1"/>
  <c r="J232" i="8"/>
  <c r="AV227" i="16" s="1"/>
  <c r="I232" i="8"/>
  <c r="L232" i="4"/>
  <c r="AS228" i="16"/>
  <c r="AT228" i="16" s="1"/>
  <c r="J233" i="8"/>
  <c r="AV228" i="16" s="1"/>
  <c r="I233" i="8"/>
  <c r="L233" i="4"/>
  <c r="AS229" i="16"/>
  <c r="AT229" i="16" s="1"/>
  <c r="J234" i="8"/>
  <c r="AV229" i="16" s="1"/>
  <c r="I234" i="8"/>
  <c r="L234" i="4"/>
  <c r="AS230" i="16"/>
  <c r="AT230" i="16" s="1"/>
  <c r="J235" i="8"/>
  <c r="AV230" i="16" s="1"/>
  <c r="I235" i="8"/>
  <c r="L235" i="4"/>
  <c r="AS231" i="16"/>
  <c r="AT231" i="16" s="1"/>
  <c r="J236" i="8"/>
  <c r="AV231" i="16" s="1"/>
  <c r="I236" i="8"/>
  <c r="L236" i="4"/>
  <c r="I237" i="8"/>
  <c r="J237" i="8"/>
  <c r="AV232" i="16" s="1"/>
  <c r="AS232" i="16"/>
  <c r="AT232" i="16" s="1"/>
  <c r="L237" i="4"/>
  <c r="AS233" i="16"/>
  <c r="AT233" i="16" s="1"/>
  <c r="J238" i="8"/>
  <c r="AV233" i="16" s="1"/>
  <c r="I238" i="8"/>
  <c r="L238" i="4"/>
  <c r="AS234" i="16"/>
  <c r="AT234" i="16" s="1"/>
  <c r="J239" i="8"/>
  <c r="AV234" i="16" s="1"/>
  <c r="I239" i="8"/>
  <c r="L239" i="4"/>
  <c r="AS235" i="16"/>
  <c r="AT235" i="16" s="1"/>
  <c r="J240" i="8"/>
  <c r="AV235" i="16" s="1"/>
  <c r="I240" i="8"/>
  <c r="L240" i="4"/>
  <c r="AS236" i="16"/>
  <c r="AT236" i="16" s="1"/>
  <c r="J241" i="8"/>
  <c r="AV236" i="16" s="1"/>
  <c r="I241" i="8"/>
  <c r="L241" i="4"/>
  <c r="AS237" i="16"/>
  <c r="AT237" i="16" s="1"/>
  <c r="J242" i="8"/>
  <c r="AV237" i="16" s="1"/>
  <c r="I242" i="8"/>
  <c r="L242" i="4"/>
  <c r="AS238" i="16"/>
  <c r="AT238" i="16" s="1"/>
  <c r="J243" i="8"/>
  <c r="AV238" i="16" s="1"/>
  <c r="I243" i="8"/>
  <c r="L243" i="4"/>
  <c r="AS239" i="16"/>
  <c r="AT239" i="16" s="1"/>
  <c r="J244" i="8"/>
  <c r="AV239" i="16" s="1"/>
  <c r="I244" i="8"/>
  <c r="L244" i="4"/>
  <c r="J245" i="8"/>
  <c r="AV240" i="16" s="1"/>
  <c r="I245" i="8"/>
  <c r="AS240" i="16"/>
  <c r="AT240" i="16" s="1"/>
  <c r="L245" i="4"/>
  <c r="AS241" i="16"/>
  <c r="AT241" i="16" s="1"/>
  <c r="J246" i="8"/>
  <c r="AV241" i="16" s="1"/>
  <c r="I246" i="8"/>
  <c r="L246" i="4"/>
  <c r="AS242" i="16"/>
  <c r="AT242" i="16" s="1"/>
  <c r="J247" i="8"/>
  <c r="AV242" i="16" s="1"/>
  <c r="I247" i="8"/>
  <c r="L247" i="4"/>
  <c r="AS243" i="16"/>
  <c r="AT243" i="16" s="1"/>
  <c r="J248" i="8"/>
  <c r="AV243" i="16" s="1"/>
  <c r="I248" i="8"/>
  <c r="L248" i="4"/>
  <c r="AS244" i="16"/>
  <c r="AT244" i="16" s="1"/>
  <c r="J249" i="8"/>
  <c r="AV244" i="16" s="1"/>
  <c r="I249" i="8"/>
  <c r="L249" i="4"/>
  <c r="AS245" i="16"/>
  <c r="AT245" i="16" s="1"/>
  <c r="J250" i="8"/>
  <c r="AV245" i="16" s="1"/>
  <c r="I250" i="8"/>
  <c r="L250" i="4"/>
  <c r="AS246" i="16"/>
  <c r="AT246" i="16" s="1"/>
  <c r="J251" i="8"/>
  <c r="AV246" i="16" s="1"/>
  <c r="I251" i="8"/>
  <c r="L251" i="4"/>
  <c r="I252" i="8"/>
  <c r="J252" i="8"/>
  <c r="AV247" i="16" s="1"/>
  <c r="AS247" i="16"/>
  <c r="AT247" i="16" s="1"/>
  <c r="L252" i="4"/>
  <c r="AS248" i="16"/>
  <c r="AT248" i="16" s="1"/>
  <c r="J253" i="8"/>
  <c r="AV248" i="16" s="1"/>
  <c r="I253" i="8"/>
  <c r="L253" i="4"/>
  <c r="AS249" i="16"/>
  <c r="AT249" i="16" s="1"/>
  <c r="J254" i="8"/>
  <c r="AV249" i="16" s="1"/>
  <c r="I254" i="8"/>
  <c r="L254" i="4"/>
  <c r="AS250" i="16"/>
  <c r="AT250" i="16" s="1"/>
  <c r="J255" i="8"/>
  <c r="AV250" i="16" s="1"/>
  <c r="I255" i="8"/>
  <c r="L255" i="4"/>
  <c r="AS251" i="16"/>
  <c r="AT251" i="16" s="1"/>
  <c r="J256" i="8"/>
  <c r="AV251" i="16" s="1"/>
  <c r="I256" i="8"/>
  <c r="L256" i="4"/>
  <c r="AS252" i="16"/>
  <c r="AT252" i="16" s="1"/>
  <c r="J257" i="8"/>
  <c r="AV252" i="16" s="1"/>
  <c r="I257" i="8"/>
  <c r="L257" i="4"/>
  <c r="AS253" i="16"/>
  <c r="AT253" i="16" s="1"/>
  <c r="J258" i="8"/>
  <c r="AV253" i="16" s="1"/>
  <c r="I258" i="8"/>
  <c r="L258" i="4"/>
  <c r="AS254" i="16"/>
  <c r="AT254" i="16" s="1"/>
  <c r="J259" i="8"/>
  <c r="AV254" i="16" s="1"/>
  <c r="I259" i="8"/>
  <c r="L259" i="4"/>
  <c r="AS255" i="16"/>
  <c r="AT255" i="16" s="1"/>
  <c r="J260" i="8"/>
  <c r="AV255" i="16" s="1"/>
  <c r="I260" i="8"/>
  <c r="L260" i="4"/>
  <c r="AS256" i="16"/>
  <c r="AT256" i="16" s="1"/>
  <c r="J261" i="8"/>
  <c r="AV256" i="16" s="1"/>
  <c r="I261" i="8"/>
  <c r="L261" i="4"/>
  <c r="AS257" i="16"/>
  <c r="AT257" i="16" s="1"/>
  <c r="J262" i="8"/>
  <c r="AV257" i="16" s="1"/>
  <c r="I262" i="8"/>
  <c r="L262" i="4"/>
  <c r="AS258" i="16"/>
  <c r="AT258" i="16" s="1"/>
  <c r="J263" i="8"/>
  <c r="AV258" i="16" s="1"/>
  <c r="I263" i="8"/>
  <c r="L263" i="4"/>
  <c r="I264" i="8"/>
  <c r="J264" i="8"/>
  <c r="AV259" i="16" s="1"/>
  <c r="AS259" i="16"/>
  <c r="AT259" i="16" s="1"/>
  <c r="L264" i="4"/>
  <c r="J265" i="8"/>
  <c r="AV260" i="16" s="1"/>
  <c r="I265" i="8"/>
  <c r="AS260" i="16"/>
  <c r="AT260" i="16" s="1"/>
  <c r="L265" i="4"/>
  <c r="AS261" i="16"/>
  <c r="AT261" i="16" s="1"/>
  <c r="J266" i="8"/>
  <c r="AV261" i="16" s="1"/>
  <c r="I266" i="8"/>
  <c r="L266" i="4"/>
  <c r="AS262" i="16"/>
  <c r="AT262" i="16" s="1"/>
  <c r="J267" i="8"/>
  <c r="AV262" i="16" s="1"/>
  <c r="I267" i="8"/>
  <c r="L267" i="4"/>
  <c r="AS263" i="16"/>
  <c r="AT263" i="16" s="1"/>
  <c r="J268" i="8"/>
  <c r="AV263" i="16" s="1"/>
  <c r="I268" i="8"/>
  <c r="L268" i="4"/>
  <c r="AS264" i="16"/>
  <c r="AT264" i="16" s="1"/>
  <c r="J269" i="8"/>
  <c r="AV264" i="16" s="1"/>
  <c r="I269" i="8"/>
  <c r="L269" i="4"/>
  <c r="AS265" i="16"/>
  <c r="AT265" i="16" s="1"/>
  <c r="J270" i="8"/>
  <c r="AV265" i="16" s="1"/>
  <c r="I270" i="8"/>
  <c r="L270" i="4"/>
  <c r="AS266" i="16"/>
  <c r="AT266" i="16" s="1"/>
  <c r="J271" i="8"/>
  <c r="AV266" i="16" s="1"/>
  <c r="I271" i="8"/>
  <c r="L271" i="4"/>
  <c r="AS267" i="16"/>
  <c r="AT267" i="16" s="1"/>
  <c r="J272" i="8"/>
  <c r="AV267" i="16" s="1"/>
  <c r="I272" i="8"/>
  <c r="L272" i="4"/>
  <c r="AS268" i="16"/>
  <c r="AT268" i="16" s="1"/>
  <c r="J273" i="8"/>
  <c r="AV268" i="16" s="1"/>
  <c r="I273" i="8"/>
  <c r="L273" i="4"/>
  <c r="J274" i="8"/>
  <c r="AV269" i="16" s="1"/>
  <c r="I274" i="8"/>
  <c r="AS269" i="16"/>
  <c r="AT269" i="16" s="1"/>
  <c r="L274" i="4"/>
  <c r="AS270" i="16"/>
  <c r="AT270" i="16" s="1"/>
  <c r="J275" i="8"/>
  <c r="AV270" i="16" s="1"/>
  <c r="I275" i="8"/>
  <c r="L275" i="4"/>
  <c r="AS271" i="16"/>
  <c r="AT271" i="16" s="1"/>
  <c r="J276" i="8"/>
  <c r="AV271" i="16" s="1"/>
  <c r="I276" i="8"/>
  <c r="L276" i="4"/>
  <c r="AS272" i="16"/>
  <c r="AT272" i="16" s="1"/>
  <c r="J277" i="8"/>
  <c r="AV272" i="16" s="1"/>
  <c r="I277" i="8"/>
  <c r="L277" i="4"/>
  <c r="AS273" i="16"/>
  <c r="AT273" i="16" s="1"/>
  <c r="J278" i="8"/>
  <c r="AV273" i="16" s="1"/>
  <c r="I278" i="8"/>
  <c r="L278" i="4"/>
  <c r="AS274" i="16"/>
  <c r="AT274" i="16" s="1"/>
  <c r="J279" i="8"/>
  <c r="AV274" i="16" s="1"/>
  <c r="I279" i="8"/>
  <c r="L279" i="4"/>
  <c r="AS275" i="16"/>
  <c r="AT275" i="16" s="1"/>
  <c r="J280" i="8"/>
  <c r="AV275" i="16" s="1"/>
  <c r="I280" i="8"/>
  <c r="L280" i="4"/>
  <c r="AS276" i="16"/>
  <c r="AT276" i="16" s="1"/>
  <c r="J281" i="8"/>
  <c r="AV276" i="16" s="1"/>
  <c r="I281" i="8"/>
  <c r="L281" i="4"/>
  <c r="J282" i="8"/>
  <c r="AV277" i="16" s="1"/>
  <c r="I282" i="8"/>
  <c r="AS277" i="16"/>
  <c r="AT277" i="16" s="1"/>
  <c r="L282" i="4"/>
  <c r="AS278" i="16"/>
  <c r="AT278" i="16" s="1"/>
  <c r="J283" i="8"/>
  <c r="AV278" i="16" s="1"/>
  <c r="I283" i="8"/>
  <c r="L283" i="4"/>
  <c r="AS279" i="16"/>
  <c r="AT279" i="16" s="1"/>
  <c r="J284" i="8"/>
  <c r="AV279" i="16" s="1"/>
  <c r="I284" i="8"/>
  <c r="L284" i="4"/>
  <c r="AS280" i="16"/>
  <c r="AT280" i="16" s="1"/>
  <c r="J285" i="8"/>
  <c r="AV280" i="16" s="1"/>
  <c r="I285" i="8"/>
  <c r="L285" i="4"/>
  <c r="AS281" i="16"/>
  <c r="AT281" i="16" s="1"/>
  <c r="J286" i="8"/>
  <c r="AV281" i="16" s="1"/>
  <c r="I286" i="8"/>
  <c r="L286" i="4"/>
  <c r="I287" i="8"/>
  <c r="J287" i="8"/>
  <c r="AV282" i="16" s="1"/>
  <c r="AS282" i="16"/>
  <c r="AT282" i="16" s="1"/>
  <c r="L287" i="4"/>
  <c r="J288" i="8"/>
  <c r="AV283" i="16" s="1"/>
  <c r="I288" i="8"/>
  <c r="AS283" i="16"/>
  <c r="AT283" i="16" s="1"/>
  <c r="L288" i="4"/>
  <c r="AS284" i="16"/>
  <c r="AT284" i="16" s="1"/>
  <c r="J289" i="8"/>
  <c r="AV284" i="16" s="1"/>
  <c r="I289" i="8"/>
  <c r="L289" i="4"/>
  <c r="J290" i="8"/>
  <c r="AV285" i="16" s="1"/>
  <c r="I290" i="8"/>
  <c r="AS285" i="16"/>
  <c r="AT285" i="16" s="1"/>
  <c r="L290" i="4"/>
  <c r="I291" i="8"/>
  <c r="J291" i="8"/>
  <c r="AV286" i="16" s="1"/>
  <c r="AS286" i="16"/>
  <c r="AT286" i="16" s="1"/>
  <c r="L291" i="4"/>
  <c r="AS287" i="16"/>
  <c r="AT287" i="16" s="1"/>
  <c r="J292" i="8"/>
  <c r="AV287" i="16" s="1"/>
  <c r="I292" i="8"/>
  <c r="L292" i="4"/>
  <c r="AS288" i="16"/>
  <c r="AT288" i="16" s="1"/>
  <c r="J293" i="8"/>
  <c r="AV288" i="16" s="1"/>
  <c r="I293" i="8"/>
  <c r="L293" i="4"/>
  <c r="J294" i="8"/>
  <c r="AV289" i="16" s="1"/>
  <c r="I294" i="8"/>
  <c r="AS289" i="16"/>
  <c r="AT289" i="16" s="1"/>
  <c r="L294" i="4"/>
  <c r="AS290" i="16"/>
  <c r="AT290" i="16" s="1"/>
  <c r="J295" i="8"/>
  <c r="AV290" i="16" s="1"/>
  <c r="I295" i="8"/>
  <c r="L295" i="4"/>
  <c r="AS291" i="16"/>
  <c r="AT291" i="16" s="1"/>
  <c r="J296" i="8"/>
  <c r="AV291" i="16" s="1"/>
  <c r="I296" i="8"/>
  <c r="L296" i="4"/>
  <c r="AS292" i="16"/>
  <c r="AT292" i="16" s="1"/>
  <c r="J297" i="8"/>
  <c r="AV292" i="16" s="1"/>
  <c r="I297" i="8"/>
  <c r="L297" i="4"/>
  <c r="J298" i="8"/>
  <c r="AV293" i="16" s="1"/>
  <c r="I298" i="8"/>
  <c r="AS293" i="16"/>
  <c r="AT293" i="16" s="1"/>
  <c r="L298" i="4"/>
  <c r="AS294" i="16"/>
  <c r="AT294" i="16" s="1"/>
  <c r="J299" i="8"/>
  <c r="AV294" i="16" s="1"/>
  <c r="I299" i="8"/>
  <c r="L299" i="4"/>
  <c r="J300" i="8"/>
  <c r="AV295" i="16" s="1"/>
  <c r="I300" i="8"/>
  <c r="AS295" i="16"/>
  <c r="AT295" i="16" s="1"/>
  <c r="L300" i="4"/>
  <c r="AS296" i="16"/>
  <c r="AT296" i="16" s="1"/>
  <c r="J301" i="8"/>
  <c r="AV296" i="16" s="1"/>
  <c r="I301" i="8"/>
  <c r="L301" i="4"/>
  <c r="AS297" i="16"/>
  <c r="AT297" i="16" s="1"/>
  <c r="J302" i="8"/>
  <c r="AV297" i="16" s="1"/>
  <c r="I302" i="8"/>
  <c r="L302" i="4"/>
  <c r="J303" i="8"/>
  <c r="AV298" i="16" s="1"/>
  <c r="I303" i="8"/>
  <c r="AS298" i="16"/>
  <c r="AT298" i="16" s="1"/>
  <c r="L303" i="4"/>
  <c r="AS299" i="16"/>
  <c r="AT299" i="16" s="1"/>
  <c r="J304" i="8"/>
  <c r="AV299" i="16" s="1"/>
  <c r="I304" i="8"/>
  <c r="L304" i="4"/>
  <c r="I305" i="8"/>
  <c r="J305" i="8"/>
  <c r="AV300" i="16" s="1"/>
  <c r="AS300" i="16"/>
  <c r="AT300" i="16" s="1"/>
  <c r="L305" i="4"/>
  <c r="J306" i="8"/>
  <c r="AV301" i="16" s="1"/>
  <c r="I306" i="8"/>
  <c r="AS301" i="16"/>
  <c r="AT301" i="16" s="1"/>
  <c r="L306" i="4"/>
  <c r="AS302" i="16"/>
  <c r="AT302" i="16" s="1"/>
  <c r="J307" i="8"/>
  <c r="AV302" i="16" s="1"/>
  <c r="I307" i="8"/>
  <c r="L307" i="4"/>
  <c r="AS303" i="16"/>
  <c r="AT303" i="16" s="1"/>
  <c r="J308" i="8"/>
  <c r="AV303" i="16" s="1"/>
  <c r="I308" i="8"/>
  <c r="L308" i="4"/>
  <c r="J309" i="8"/>
  <c r="AV304" i="16" s="1"/>
  <c r="I309" i="8"/>
  <c r="AS304" i="16"/>
  <c r="AT304" i="16" s="1"/>
  <c r="L309" i="4"/>
  <c r="J310" i="8"/>
  <c r="AV305" i="16" s="1"/>
  <c r="I310" i="8"/>
  <c r="AS305" i="16"/>
  <c r="AT305" i="16" s="1"/>
  <c r="L310" i="4"/>
  <c r="J311" i="8"/>
  <c r="AV306" i="16" s="1"/>
  <c r="I311" i="8"/>
  <c r="AS306" i="16"/>
  <c r="AT306" i="16" s="1"/>
  <c r="L311" i="4"/>
  <c r="AS307" i="16"/>
  <c r="AT307" i="16" s="1"/>
  <c r="J312" i="8"/>
  <c r="AV307" i="16" s="1"/>
  <c r="I312" i="8"/>
  <c r="L312" i="4"/>
  <c r="I313" i="8"/>
  <c r="J313" i="8"/>
  <c r="AV308" i="16" s="1"/>
  <c r="AS308" i="16"/>
  <c r="AT308" i="16" s="1"/>
  <c r="L313" i="4"/>
  <c r="I314" i="8"/>
  <c r="J314" i="8"/>
  <c r="AV309" i="16" s="1"/>
  <c r="AS309" i="16"/>
  <c r="AT309" i="16" s="1"/>
  <c r="L314" i="4"/>
  <c r="AS310" i="16"/>
  <c r="AT310" i="16" s="1"/>
  <c r="J315" i="8"/>
  <c r="AV310" i="16" s="1"/>
  <c r="I315" i="8"/>
  <c r="L315" i="4"/>
  <c r="AS311" i="16"/>
  <c r="AT311" i="16" s="1"/>
  <c r="J316" i="8"/>
  <c r="AV311" i="16" s="1"/>
  <c r="I316" i="8"/>
  <c r="L316" i="4"/>
  <c r="I317" i="8"/>
  <c r="J317" i="8"/>
  <c r="AV312" i="16" s="1"/>
  <c r="AS312" i="16"/>
  <c r="AT312" i="16" s="1"/>
  <c r="L317" i="4"/>
  <c r="J318" i="8"/>
  <c r="AV313" i="16" s="1"/>
  <c r="I318" i="8"/>
  <c r="AS313" i="16"/>
  <c r="AT313" i="16" s="1"/>
  <c r="L318" i="4"/>
  <c r="AS314" i="16"/>
  <c r="AT314" i="16" s="1"/>
  <c r="J319" i="8"/>
  <c r="AV314" i="16" s="1"/>
  <c r="I319" i="8"/>
  <c r="L319" i="4"/>
  <c r="I320" i="8"/>
  <c r="J320" i="8"/>
  <c r="AV315" i="16" s="1"/>
  <c r="AS315" i="16"/>
  <c r="AT315" i="16" s="1"/>
  <c r="L320" i="4"/>
  <c r="J321" i="8"/>
  <c r="AV316" i="16" s="1"/>
  <c r="I321" i="8"/>
  <c r="AS316" i="16"/>
  <c r="AT316" i="16" s="1"/>
  <c r="L321" i="4"/>
  <c r="I322" i="8"/>
  <c r="J322" i="8"/>
  <c r="AV317" i="16" s="1"/>
  <c r="AS317" i="16"/>
  <c r="AT317" i="16" s="1"/>
  <c r="L322" i="4"/>
  <c r="J323" i="8"/>
  <c r="AV318" i="16" s="1"/>
  <c r="I323" i="8"/>
  <c r="AS318" i="16"/>
  <c r="AT318" i="16" s="1"/>
  <c r="L323" i="4"/>
  <c r="I324" i="8"/>
  <c r="J324" i="8"/>
  <c r="AV319" i="16" s="1"/>
  <c r="AS319" i="16"/>
  <c r="AT319" i="16" s="1"/>
  <c r="L324" i="4"/>
  <c r="I325" i="8"/>
  <c r="J325" i="8"/>
  <c r="AV320" i="16" s="1"/>
  <c r="AS320" i="16"/>
  <c r="AT320" i="16" s="1"/>
  <c r="L325" i="4"/>
  <c r="J326" i="8"/>
  <c r="AV321" i="16" s="1"/>
  <c r="I326" i="8"/>
  <c r="AS321" i="16"/>
  <c r="AT321" i="16" s="1"/>
  <c r="L326" i="4"/>
  <c r="I327" i="8"/>
  <c r="J327" i="8"/>
  <c r="AV322" i="16" s="1"/>
  <c r="AS322" i="16"/>
  <c r="AT322" i="16" s="1"/>
  <c r="L327" i="4"/>
  <c r="J328" i="8"/>
  <c r="AV323" i="16" s="1"/>
  <c r="I328" i="8"/>
  <c r="AS323" i="16"/>
  <c r="AT323" i="16" s="1"/>
  <c r="L328" i="4"/>
  <c r="AS324" i="16"/>
  <c r="AT324" i="16" s="1"/>
  <c r="J329" i="8"/>
  <c r="AV324" i="16" s="1"/>
  <c r="I329" i="8"/>
  <c r="L329" i="4"/>
  <c r="AS325" i="16"/>
  <c r="AT325" i="16" s="1"/>
  <c r="J330" i="8"/>
  <c r="AV325" i="16" s="1"/>
  <c r="I330" i="8"/>
  <c r="L330" i="4"/>
  <c r="AS326" i="16"/>
  <c r="AT326" i="16" s="1"/>
  <c r="J331" i="8"/>
  <c r="AV326" i="16" s="1"/>
  <c r="I331" i="8"/>
  <c r="L331" i="4"/>
  <c r="J332" i="8"/>
  <c r="AV327" i="16" s="1"/>
  <c r="I332" i="8"/>
  <c r="AS327" i="16"/>
  <c r="AT327" i="16" s="1"/>
  <c r="L332" i="4"/>
  <c r="AS328" i="16"/>
  <c r="AT328" i="16" s="1"/>
  <c r="J333" i="8"/>
  <c r="AV328" i="16" s="1"/>
  <c r="I333" i="8"/>
  <c r="L333" i="4"/>
  <c r="AS329" i="16"/>
  <c r="AT329" i="16" s="1"/>
  <c r="I334" i="8"/>
  <c r="J334" i="8"/>
  <c r="AV329" i="16" s="1"/>
  <c r="L334" i="4"/>
  <c r="AS330" i="16"/>
  <c r="AT330" i="16" s="1"/>
  <c r="J335" i="8"/>
  <c r="AV330" i="16" s="1"/>
  <c r="I335" i="8"/>
  <c r="L335" i="4"/>
  <c r="I336" i="8"/>
  <c r="J336" i="8"/>
  <c r="AV331" i="16" s="1"/>
  <c r="AS331" i="16"/>
  <c r="AT331" i="16" s="1"/>
  <c r="L336" i="4"/>
  <c r="AS332" i="16"/>
  <c r="AT332" i="16" s="1"/>
  <c r="J337" i="8"/>
  <c r="AV332" i="16" s="1"/>
  <c r="I337" i="8"/>
  <c r="L337" i="4"/>
  <c r="J338" i="8"/>
  <c r="AV333" i="16" s="1"/>
  <c r="I338" i="8"/>
  <c r="AS333" i="16"/>
  <c r="AT333" i="16" s="1"/>
  <c r="L338" i="4"/>
  <c r="I339" i="8"/>
  <c r="J339" i="8"/>
  <c r="AV334" i="16" s="1"/>
  <c r="AS334" i="16"/>
  <c r="AT334" i="16" s="1"/>
  <c r="L339" i="4"/>
  <c r="AS335" i="16"/>
  <c r="AT335" i="16" s="1"/>
  <c r="J340" i="8"/>
  <c r="AV335" i="16" s="1"/>
  <c r="I340" i="8"/>
  <c r="L340" i="4"/>
  <c r="J341" i="8"/>
  <c r="AV336" i="16" s="1"/>
  <c r="I341" i="8"/>
  <c r="AS336" i="16"/>
  <c r="AT336" i="16" s="1"/>
  <c r="L341" i="4"/>
  <c r="AS337" i="16"/>
  <c r="AT337" i="16" s="1"/>
  <c r="J342" i="8"/>
  <c r="AV337" i="16" s="1"/>
  <c r="I342" i="8"/>
  <c r="L342" i="4"/>
  <c r="J343" i="8"/>
  <c r="AV338" i="16" s="1"/>
  <c r="I343" i="8"/>
  <c r="AS338" i="16"/>
  <c r="AT338" i="16" s="1"/>
  <c r="L343" i="4"/>
  <c r="AS339" i="16"/>
  <c r="AT339" i="16" s="1"/>
  <c r="J344" i="8"/>
  <c r="AV339" i="16" s="1"/>
  <c r="I344" i="8"/>
  <c r="L344" i="4"/>
  <c r="I345" i="8"/>
  <c r="J345" i="8"/>
  <c r="AV340" i="16" s="1"/>
  <c r="AS340" i="16"/>
  <c r="AT340" i="16" s="1"/>
  <c r="L345" i="4"/>
  <c r="AS341" i="16"/>
  <c r="AT341" i="16" s="1"/>
  <c r="J346" i="8"/>
  <c r="AV341" i="16" s="1"/>
  <c r="I346" i="8"/>
  <c r="L346" i="4"/>
  <c r="I347" i="8"/>
  <c r="J347" i="8"/>
  <c r="AV342" i="16" s="1"/>
  <c r="AS342" i="16"/>
  <c r="AT342" i="16" s="1"/>
  <c r="L347" i="4"/>
  <c r="AS343" i="16"/>
  <c r="AT343" i="16" s="1"/>
  <c r="J348" i="8"/>
  <c r="AV343" i="16" s="1"/>
  <c r="I348" i="8"/>
  <c r="L348" i="4"/>
  <c r="I349" i="8"/>
  <c r="J349" i="8"/>
  <c r="AV344" i="16" s="1"/>
  <c r="AS344" i="16"/>
  <c r="AT344" i="16" s="1"/>
  <c r="L349" i="4"/>
  <c r="AS345" i="16"/>
  <c r="AT345" i="16" s="1"/>
  <c r="J350" i="8"/>
  <c r="AV345" i="16" s="1"/>
  <c r="I350" i="8"/>
  <c r="L350" i="4"/>
  <c r="I351" i="8"/>
  <c r="J351" i="8"/>
  <c r="AV346" i="16" s="1"/>
  <c r="AS346" i="16"/>
  <c r="AT346" i="16" s="1"/>
  <c r="L351" i="4"/>
  <c r="I352" i="8"/>
  <c r="J352" i="8"/>
  <c r="AV347" i="16" s="1"/>
  <c r="AS347" i="16"/>
  <c r="AT347" i="16" s="1"/>
  <c r="L368" i="4"/>
  <c r="J369" i="8"/>
  <c r="AV364" i="16" s="1"/>
  <c r="I369" i="8"/>
  <c r="AS364" i="16"/>
  <c r="AT364" i="16" s="1"/>
  <c r="L369" i="4"/>
  <c r="AS365" i="16"/>
  <c r="AT365" i="16" s="1"/>
  <c r="J370" i="8"/>
  <c r="AV365" i="16" s="1"/>
  <c r="I370" i="8"/>
  <c r="L370" i="4"/>
  <c r="J371" i="8"/>
  <c r="AV366" i="16" s="1"/>
  <c r="I371" i="8"/>
  <c r="AS366" i="16"/>
  <c r="AT366" i="16" s="1"/>
  <c r="L371" i="4"/>
  <c r="AS367" i="16"/>
  <c r="AT367" i="16" s="1"/>
  <c r="J372" i="8"/>
  <c r="AV367" i="16" s="1"/>
  <c r="I372" i="8"/>
  <c r="L372" i="4"/>
  <c r="J373" i="8"/>
  <c r="AV368" i="16" s="1"/>
  <c r="I373" i="8"/>
  <c r="AS368" i="16"/>
  <c r="AT368" i="16" s="1"/>
  <c r="L373" i="4"/>
  <c r="AS369" i="16"/>
  <c r="AT369" i="16" s="1"/>
  <c r="J374" i="8"/>
  <c r="AV369" i="16" s="1"/>
  <c r="I374" i="8"/>
  <c r="L374" i="4"/>
  <c r="AS370" i="16"/>
  <c r="AT370" i="16" s="1"/>
  <c r="J375" i="8"/>
  <c r="AV370" i="16" s="1"/>
  <c r="I375" i="8"/>
  <c r="L375" i="4"/>
  <c r="AS371" i="16"/>
  <c r="AT371" i="16" s="1"/>
  <c r="J376" i="8"/>
  <c r="AV371" i="16" s="1"/>
  <c r="I376" i="8"/>
  <c r="L376" i="4"/>
  <c r="AS372" i="16"/>
  <c r="AT372" i="16" s="1"/>
  <c r="J377" i="8"/>
  <c r="AV372" i="16" s="1"/>
  <c r="I377" i="8"/>
  <c r="L377" i="4"/>
  <c r="J378" i="8"/>
  <c r="AV373" i="16" s="1"/>
  <c r="I378" i="8"/>
  <c r="AS373" i="16"/>
  <c r="AT373" i="16" s="1"/>
  <c r="L378" i="4"/>
  <c r="AS374" i="16"/>
  <c r="AT374" i="16" s="1"/>
  <c r="J379" i="8"/>
  <c r="AV374" i="16" s="1"/>
  <c r="I379" i="8"/>
  <c r="L379" i="4"/>
  <c r="J380" i="8"/>
  <c r="AV375" i="16" s="1"/>
  <c r="I380" i="8"/>
  <c r="AS375" i="16"/>
  <c r="AT375" i="16" s="1"/>
  <c r="L380" i="4"/>
  <c r="I381" i="8"/>
  <c r="J381" i="8"/>
  <c r="AV376" i="16" s="1"/>
  <c r="AS376" i="16"/>
  <c r="AT376" i="16" s="1"/>
  <c r="L381" i="4"/>
  <c r="AS377" i="16"/>
  <c r="AT377" i="16" s="1"/>
  <c r="J382" i="8"/>
  <c r="AV377" i="16" s="1"/>
  <c r="I382" i="8"/>
  <c r="L382" i="4"/>
  <c r="J383" i="8"/>
  <c r="AV378" i="16" s="1"/>
  <c r="I383" i="8"/>
  <c r="AS378" i="16"/>
  <c r="AT378" i="16" s="1"/>
  <c r="L383" i="4"/>
  <c r="AS379" i="16"/>
  <c r="AT379" i="16" s="1"/>
  <c r="J384" i="8"/>
  <c r="AV379" i="16" s="1"/>
  <c r="I384" i="8"/>
  <c r="L384" i="4"/>
  <c r="AS380" i="16"/>
  <c r="AT380" i="16" s="1"/>
  <c r="J385" i="8"/>
  <c r="AV380" i="16" s="1"/>
  <c r="I385" i="8"/>
  <c r="L385" i="4"/>
  <c r="AS381" i="16"/>
  <c r="AT381" i="16" s="1"/>
  <c r="J386" i="8"/>
  <c r="AV381" i="16" s="1"/>
  <c r="I386" i="8"/>
  <c r="L386" i="4"/>
  <c r="AS382" i="16"/>
  <c r="AT382" i="16" s="1"/>
  <c r="J387" i="8"/>
  <c r="AV382" i="16" s="1"/>
  <c r="I387" i="8"/>
  <c r="L387" i="4"/>
  <c r="AS383" i="16"/>
  <c r="AT383" i="16" s="1"/>
  <c r="J388" i="8"/>
  <c r="AV383" i="16" s="1"/>
  <c r="I388" i="8"/>
  <c r="L388" i="4"/>
  <c r="AS384" i="16"/>
  <c r="AT384" i="16" s="1"/>
  <c r="J389" i="8"/>
  <c r="AV384" i="16" s="1"/>
  <c r="I389" i="8"/>
  <c r="L389" i="4"/>
  <c r="AS385" i="16"/>
  <c r="AT385" i="16" s="1"/>
  <c r="J390" i="8"/>
  <c r="AV385" i="16" s="1"/>
  <c r="I390" i="8"/>
  <c r="L390" i="4"/>
  <c r="AS386" i="16"/>
  <c r="AT386" i="16" s="1"/>
  <c r="J391" i="8"/>
  <c r="AV386" i="16" s="1"/>
  <c r="I391" i="8"/>
  <c r="L391" i="4"/>
  <c r="AS387" i="16"/>
  <c r="AT387" i="16" s="1"/>
  <c r="J392" i="8"/>
  <c r="AV387" i="16" s="1"/>
  <c r="I392" i="8"/>
  <c r="L392" i="4"/>
  <c r="AS388" i="16"/>
  <c r="AT388" i="16" s="1"/>
  <c r="J393" i="8"/>
  <c r="AV388" i="16" s="1"/>
  <c r="I393" i="8"/>
  <c r="L393" i="4"/>
  <c r="AS389" i="16"/>
  <c r="AT389" i="16" s="1"/>
  <c r="J394" i="8"/>
  <c r="AV389" i="16" s="1"/>
  <c r="I394" i="8"/>
  <c r="L394" i="4"/>
  <c r="AS390" i="16"/>
  <c r="AT390" i="16" s="1"/>
  <c r="J395" i="8"/>
  <c r="AV390" i="16" s="1"/>
  <c r="I395" i="8"/>
  <c r="L395" i="4"/>
  <c r="AS391" i="16"/>
  <c r="AT391" i="16" s="1"/>
  <c r="J396" i="8"/>
  <c r="AV391" i="16" s="1"/>
  <c r="I396" i="8"/>
  <c r="L396" i="4"/>
  <c r="AS392" i="16"/>
  <c r="AT392" i="16" s="1"/>
  <c r="J397" i="8"/>
  <c r="AV392" i="16" s="1"/>
  <c r="I397" i="8"/>
  <c r="L397" i="4"/>
  <c r="AS393" i="16"/>
  <c r="AT393" i="16" s="1"/>
  <c r="J398" i="8"/>
  <c r="AV393" i="16" s="1"/>
  <c r="I398" i="8"/>
  <c r="L398" i="4"/>
  <c r="AS394" i="16"/>
  <c r="AT394" i="16" s="1"/>
  <c r="J399" i="8"/>
  <c r="AV394" i="16" s="1"/>
  <c r="I399" i="8"/>
  <c r="L399" i="4"/>
  <c r="AS395" i="16"/>
  <c r="AT395" i="16" s="1"/>
  <c r="J400" i="8"/>
  <c r="AV395" i="16" s="1"/>
  <c r="I400" i="8"/>
  <c r="L400" i="4"/>
  <c r="AS396" i="16"/>
  <c r="AT396" i="16" s="1"/>
  <c r="J401" i="8"/>
  <c r="AV396" i="16" s="1"/>
  <c r="I401" i="8"/>
  <c r="L401" i="4"/>
  <c r="AS397" i="16"/>
  <c r="AT397" i="16" s="1"/>
  <c r="J402" i="8"/>
  <c r="AV397" i="16" s="1"/>
  <c r="I402" i="8"/>
  <c r="L402" i="4"/>
  <c r="AS398" i="16"/>
  <c r="AT398" i="16" s="1"/>
  <c r="J403" i="8"/>
  <c r="AV398" i="16" s="1"/>
  <c r="I403" i="8"/>
  <c r="L403" i="4"/>
  <c r="AS399" i="16"/>
  <c r="AT399" i="16" s="1"/>
  <c r="J404" i="8"/>
  <c r="AV399" i="16" s="1"/>
  <c r="I404" i="8"/>
  <c r="L404" i="4"/>
  <c r="AS400" i="16"/>
  <c r="AT400" i="16" s="1"/>
  <c r="J405" i="8"/>
  <c r="AV400" i="16" s="1"/>
  <c r="I405" i="8"/>
  <c r="L405" i="4"/>
  <c r="AS401" i="16"/>
  <c r="AT401" i="16" s="1"/>
  <c r="J406" i="8"/>
  <c r="AV401" i="16" s="1"/>
  <c r="I406" i="8"/>
  <c r="BA91" i="16"/>
  <c r="AL503" i="16"/>
  <c r="L407" i="4"/>
  <c r="AS403" i="16"/>
  <c r="AT403" i="16" s="1"/>
  <c r="J408" i="8"/>
  <c r="AV403" i="16" s="1"/>
  <c r="I408" i="8"/>
  <c r="I409" i="8"/>
  <c r="L408" i="4"/>
  <c r="AS404" i="16"/>
  <c r="AT404" i="16" s="1"/>
  <c r="J409" i="8"/>
  <c r="AV404" i="16" s="1"/>
  <c r="J410" i="8"/>
  <c r="AV405" i="16" s="1"/>
  <c r="L409" i="4"/>
  <c r="AS405" i="16"/>
  <c r="AT405" i="16" s="1"/>
  <c r="I410" i="8"/>
  <c r="AS406" i="16"/>
  <c r="AT406" i="16" s="1"/>
  <c r="J411" i="8"/>
  <c r="AV406" i="16" s="1"/>
  <c r="I411" i="8"/>
  <c r="L410" i="4"/>
  <c r="AS407" i="16"/>
  <c r="AT407" i="16" s="1"/>
  <c r="J412" i="8"/>
  <c r="AV407" i="16" s="1"/>
  <c r="I412" i="8"/>
  <c r="L411" i="4"/>
  <c r="AS408" i="16"/>
  <c r="AT408" i="16" s="1"/>
  <c r="L412" i="4"/>
  <c r="J413" i="8"/>
  <c r="AV408" i="16" s="1"/>
  <c r="I413" i="8"/>
  <c r="L413" i="4"/>
  <c r="AS409" i="16"/>
  <c r="AT409" i="16" s="1"/>
  <c r="J414" i="8"/>
  <c r="AV409" i="16" s="1"/>
  <c r="I414" i="8"/>
  <c r="L414" i="4"/>
  <c r="AS410" i="16"/>
  <c r="AT410" i="16" s="1"/>
  <c r="J415" i="8"/>
  <c r="AV410" i="16" s="1"/>
  <c r="I415" i="8"/>
  <c r="L415" i="4"/>
  <c r="AS411" i="16"/>
  <c r="AT411" i="16" s="1"/>
  <c r="J416" i="8"/>
  <c r="AV411" i="16" s="1"/>
  <c r="I416" i="8"/>
  <c r="AS412" i="16"/>
  <c r="AT412" i="16" s="1"/>
  <c r="J417" i="8"/>
  <c r="AV412" i="16" s="1"/>
  <c r="I417" i="8"/>
  <c r="L416" i="4"/>
  <c r="AS413" i="16"/>
  <c r="AT413" i="16" s="1"/>
  <c r="J418" i="8"/>
  <c r="AV413" i="16" s="1"/>
  <c r="I418" i="8"/>
  <c r="L417" i="4"/>
  <c r="I419" i="8"/>
  <c r="L418" i="4"/>
  <c r="AS414" i="16"/>
  <c r="AT414" i="16" s="1"/>
  <c r="J419" i="8"/>
  <c r="AV414" i="16" s="1"/>
  <c r="L419" i="4"/>
  <c r="AS415" i="16"/>
  <c r="AT415" i="16" s="1"/>
  <c r="J420" i="8"/>
  <c r="AV415" i="16" s="1"/>
  <c r="I420" i="8"/>
  <c r="AS416" i="16"/>
  <c r="AT416" i="16" s="1"/>
  <c r="L420" i="4"/>
  <c r="J421" i="8"/>
  <c r="AV416" i="16" s="1"/>
  <c r="I421" i="8"/>
  <c r="L421" i="4"/>
  <c r="AS417" i="16"/>
  <c r="AT417" i="16" s="1"/>
  <c r="J422" i="8"/>
  <c r="AV417" i="16" s="1"/>
  <c r="I422" i="8"/>
  <c r="AS418" i="16"/>
  <c r="AT418" i="16" s="1"/>
  <c r="J423" i="8"/>
  <c r="AV418" i="16" s="1"/>
  <c r="I423" i="8"/>
  <c r="L422" i="4"/>
  <c r="AS419" i="16"/>
  <c r="AT419" i="16" s="1"/>
  <c r="J424" i="8"/>
  <c r="AV419" i="16" s="1"/>
  <c r="I424" i="8"/>
  <c r="L423" i="4"/>
  <c r="L424" i="4"/>
  <c r="AS420" i="16"/>
  <c r="AT420" i="16" s="1"/>
  <c r="J425" i="8"/>
  <c r="AV420" i="16" s="1"/>
  <c r="I425" i="8"/>
  <c r="L425" i="4"/>
  <c r="AS421" i="16"/>
  <c r="AT421" i="16" s="1"/>
  <c r="J426" i="8"/>
  <c r="AV421" i="16" s="1"/>
  <c r="I426" i="8"/>
  <c r="L426" i="4"/>
  <c r="AS422" i="16"/>
  <c r="AT422" i="16" s="1"/>
  <c r="J427" i="8"/>
  <c r="AV422" i="16" s="1"/>
  <c r="I427" i="8"/>
  <c r="L427" i="4"/>
  <c r="AS423" i="16"/>
  <c r="AT423" i="16" s="1"/>
  <c r="J428" i="8"/>
  <c r="AV423" i="16" s="1"/>
  <c r="I428" i="8"/>
  <c r="L428" i="4"/>
  <c r="AS424" i="16"/>
  <c r="AT424" i="16" s="1"/>
  <c r="J429" i="8"/>
  <c r="AV424" i="16" s="1"/>
  <c r="I429" i="8"/>
  <c r="J430" i="8"/>
  <c r="AV425" i="16" s="1"/>
  <c r="I430" i="8"/>
  <c r="AS425" i="16"/>
  <c r="AT425" i="16" s="1"/>
  <c r="L429" i="4"/>
  <c r="AS426" i="16"/>
  <c r="AT426" i="16" s="1"/>
  <c r="J431" i="8"/>
  <c r="AV426" i="16" s="1"/>
  <c r="I431" i="8"/>
  <c r="L430" i="4"/>
  <c r="J432" i="8"/>
  <c r="AV427" i="16" s="1"/>
  <c r="L431" i="4"/>
  <c r="AS427" i="16"/>
  <c r="AT427" i="16" s="1"/>
  <c r="I432" i="8"/>
  <c r="I433" i="8"/>
  <c r="L432" i="4"/>
  <c r="AS428" i="16"/>
  <c r="AT428" i="16" s="1"/>
  <c r="J433" i="8"/>
  <c r="AV428" i="16" s="1"/>
  <c r="AS429" i="16"/>
  <c r="AT429" i="16" s="1"/>
  <c r="L433" i="4"/>
  <c r="J434" i="8"/>
  <c r="AV429" i="16" s="1"/>
  <c r="I434" i="8"/>
  <c r="AS430" i="16"/>
  <c r="AT430" i="16" s="1"/>
  <c r="J435" i="8"/>
  <c r="AV430" i="16" s="1"/>
  <c r="I435" i="8"/>
  <c r="L434" i="4"/>
  <c r="AS431" i="16"/>
  <c r="AT431" i="16" s="1"/>
  <c r="J436" i="8"/>
  <c r="AV431" i="16" s="1"/>
  <c r="I436" i="8"/>
  <c r="L435" i="4"/>
  <c r="AS432" i="16"/>
  <c r="AT432" i="16" s="1"/>
  <c r="L436" i="4"/>
  <c r="J437" i="8"/>
  <c r="AV432" i="16" s="1"/>
  <c r="I437" i="8"/>
  <c r="L437" i="4"/>
  <c r="AS433" i="16"/>
  <c r="AT433" i="16" s="1"/>
  <c r="J438" i="8"/>
  <c r="AV433" i="16" s="1"/>
  <c r="I438" i="8"/>
  <c r="L438" i="4"/>
  <c r="AS434" i="16"/>
  <c r="AT434" i="16" s="1"/>
  <c r="J439" i="8"/>
  <c r="AV434" i="16" s="1"/>
  <c r="I439" i="8"/>
  <c r="L439" i="4"/>
  <c r="AS435" i="16"/>
  <c r="AT435" i="16" s="1"/>
  <c r="J440" i="8"/>
  <c r="AV435" i="16" s="1"/>
  <c r="I440" i="8"/>
  <c r="L440" i="4"/>
  <c r="AS436" i="16"/>
  <c r="AT436" i="16" s="1"/>
  <c r="J441" i="8"/>
  <c r="AV436" i="16" s="1"/>
  <c r="I441" i="8"/>
  <c r="AS437" i="16"/>
  <c r="AT437" i="16" s="1"/>
  <c r="J442" i="8"/>
  <c r="AV437" i="16" s="1"/>
  <c r="I442" i="8"/>
  <c r="L441" i="4"/>
  <c r="AS438" i="16"/>
  <c r="AT438" i="16" s="1"/>
  <c r="J443" i="8"/>
  <c r="AV438" i="16" s="1"/>
  <c r="I443" i="8"/>
  <c r="L442" i="4"/>
  <c r="I444" i="8"/>
  <c r="L443" i="4"/>
  <c r="AS439" i="16"/>
  <c r="AT439" i="16" s="1"/>
  <c r="J444" i="8"/>
  <c r="AV439" i="16" s="1"/>
  <c r="L444" i="4"/>
  <c r="AS440" i="16"/>
  <c r="AT440" i="16" s="1"/>
  <c r="J445" i="8"/>
  <c r="AV440" i="16" s="1"/>
  <c r="I445" i="8"/>
  <c r="AS441" i="16"/>
  <c r="AT441" i="16" s="1"/>
  <c r="L445" i="4"/>
  <c r="J446" i="8"/>
  <c r="AV441" i="16" s="1"/>
  <c r="I446" i="8"/>
  <c r="L446" i="4"/>
  <c r="AS442" i="16"/>
  <c r="AT442" i="16" s="1"/>
  <c r="J447" i="8"/>
  <c r="AV442" i="16" s="1"/>
  <c r="I447" i="8"/>
  <c r="AS443" i="16"/>
  <c r="AT443" i="16" s="1"/>
  <c r="J448" i="8"/>
  <c r="AV443" i="16" s="1"/>
  <c r="I448" i="8"/>
  <c r="L447" i="4"/>
  <c r="AS444" i="16"/>
  <c r="AT444" i="16" s="1"/>
  <c r="J449" i="8"/>
  <c r="AV444" i="16" s="1"/>
  <c r="I449" i="8"/>
  <c r="L448" i="4"/>
  <c r="L449" i="4"/>
  <c r="AS445" i="16"/>
  <c r="AT445" i="16" s="1"/>
  <c r="J450" i="8"/>
  <c r="AV445" i="16" s="1"/>
  <c r="I450" i="8"/>
  <c r="L450" i="4"/>
  <c r="AS446" i="16"/>
  <c r="AT446" i="16" s="1"/>
  <c r="J451" i="8"/>
  <c r="AV446" i="16" s="1"/>
  <c r="I451" i="8"/>
  <c r="L451" i="4"/>
  <c r="AS447" i="16"/>
  <c r="AT447" i="16" s="1"/>
  <c r="J452" i="8"/>
  <c r="AV447" i="16" s="1"/>
  <c r="I452" i="8"/>
  <c r="L452" i="4"/>
  <c r="AS448" i="16"/>
  <c r="AT448" i="16" s="1"/>
  <c r="J453" i="8"/>
  <c r="AV448" i="16" s="1"/>
  <c r="I453" i="8"/>
  <c r="L453" i="4"/>
  <c r="AS449" i="16"/>
  <c r="AT449" i="16" s="1"/>
  <c r="J454" i="8"/>
  <c r="AV449" i="16" s="1"/>
  <c r="I454" i="8"/>
  <c r="L454" i="4"/>
  <c r="AS450" i="16"/>
  <c r="AT450" i="16" s="1"/>
  <c r="J455" i="8"/>
  <c r="AV450" i="16" s="1"/>
  <c r="I455" i="8"/>
  <c r="I456" i="8"/>
  <c r="AS451" i="16"/>
  <c r="AT451" i="16" s="1"/>
  <c r="J456" i="8"/>
  <c r="AV451" i="16" s="1"/>
  <c r="L455" i="4"/>
  <c r="AS452" i="16"/>
  <c r="AT452" i="16" s="1"/>
  <c r="J457" i="8"/>
  <c r="AV452" i="16" s="1"/>
  <c r="I457" i="8"/>
  <c r="L456" i="4"/>
  <c r="AS402" i="16"/>
  <c r="AT402" i="16" s="1"/>
  <c r="J407" i="8"/>
  <c r="AV402" i="16" s="1"/>
  <c r="I407" i="8"/>
  <c r="L406" i="4"/>
  <c r="I459" i="8"/>
  <c r="L458" i="4"/>
  <c r="AS454" i="16"/>
  <c r="AT454" i="16" s="1"/>
  <c r="J459" i="8"/>
  <c r="AV454" i="16" s="1"/>
  <c r="L459" i="4"/>
  <c r="AS455" i="16"/>
  <c r="AT455" i="16" s="1"/>
  <c r="J460" i="8"/>
  <c r="AV455" i="16" s="1"/>
  <c r="I460" i="8"/>
  <c r="AS456" i="16"/>
  <c r="AT456" i="16" s="1"/>
  <c r="J461" i="8"/>
  <c r="AV456" i="16" s="1"/>
  <c r="I461" i="8"/>
  <c r="L460" i="4"/>
  <c r="AS457" i="16"/>
  <c r="AT457" i="16" s="1"/>
  <c r="J462" i="8"/>
  <c r="AV457" i="16" s="1"/>
  <c r="I462" i="8"/>
  <c r="L461" i="4"/>
  <c r="L462" i="4"/>
  <c r="AS458" i="16"/>
  <c r="AT458" i="16" s="1"/>
  <c r="J463" i="8"/>
  <c r="AV458" i="16" s="1"/>
  <c r="I463" i="8"/>
  <c r="L463" i="4"/>
  <c r="AS459" i="16"/>
  <c r="AT459" i="16" s="1"/>
  <c r="J464" i="8"/>
  <c r="AV459" i="16" s="1"/>
  <c r="I464" i="8"/>
  <c r="L464" i="4"/>
  <c r="AS460" i="16"/>
  <c r="AT460" i="16" s="1"/>
  <c r="J465" i="8"/>
  <c r="AV460" i="16" s="1"/>
  <c r="I465" i="8"/>
  <c r="L465" i="4"/>
  <c r="AS461" i="16"/>
  <c r="AT461" i="16" s="1"/>
  <c r="J466" i="8"/>
  <c r="AV461" i="16" s="1"/>
  <c r="I466" i="8"/>
  <c r="L466" i="4"/>
  <c r="AS462" i="16"/>
  <c r="AT462" i="16" s="1"/>
  <c r="J467" i="8"/>
  <c r="AV462" i="16" s="1"/>
  <c r="I467" i="8"/>
  <c r="AS463" i="16"/>
  <c r="AT463" i="16" s="1"/>
  <c r="J468" i="8"/>
  <c r="AV463" i="16" s="1"/>
  <c r="I468" i="8"/>
  <c r="L467" i="4"/>
  <c r="AS464" i="16"/>
  <c r="AT464" i="16" s="1"/>
  <c r="J469" i="8"/>
  <c r="AV464" i="16" s="1"/>
  <c r="I469" i="8"/>
  <c r="L468" i="4"/>
  <c r="I470" i="8"/>
  <c r="L469" i="4"/>
  <c r="AS465" i="16"/>
  <c r="AT465" i="16" s="1"/>
  <c r="J470" i="8"/>
  <c r="AV465" i="16" s="1"/>
  <c r="L470" i="4"/>
  <c r="AS466" i="16"/>
  <c r="AT466" i="16" s="1"/>
  <c r="J471" i="8"/>
  <c r="AV466" i="16" s="1"/>
  <c r="I471" i="8"/>
  <c r="AS467" i="16"/>
  <c r="AT467" i="16" s="1"/>
  <c r="L471" i="4"/>
  <c r="J472" i="8"/>
  <c r="AV467" i="16" s="1"/>
  <c r="I472" i="8"/>
  <c r="L472" i="4"/>
  <c r="AS468" i="16"/>
  <c r="AT468" i="16" s="1"/>
  <c r="J473" i="8"/>
  <c r="AV468" i="16" s="1"/>
  <c r="I473" i="8"/>
  <c r="AS469" i="16"/>
  <c r="AT469" i="16" s="1"/>
  <c r="J474" i="8"/>
  <c r="AV469" i="16" s="1"/>
  <c r="I474" i="8"/>
  <c r="L473" i="4"/>
  <c r="AS470" i="16"/>
  <c r="AT470" i="16" s="1"/>
  <c r="J475" i="8"/>
  <c r="AV470" i="16" s="1"/>
  <c r="I475" i="8"/>
  <c r="L474" i="4"/>
  <c r="L475" i="4"/>
  <c r="AS471" i="16"/>
  <c r="AT471" i="16" s="1"/>
  <c r="J476" i="8"/>
  <c r="AV471" i="16" s="1"/>
  <c r="I476" i="8"/>
  <c r="L476" i="4"/>
  <c r="AS472" i="16"/>
  <c r="AT472" i="16" s="1"/>
  <c r="J477" i="8"/>
  <c r="AV472" i="16" s="1"/>
  <c r="I477" i="8"/>
  <c r="L477" i="4"/>
  <c r="AS473" i="16"/>
  <c r="AT473" i="16" s="1"/>
  <c r="J478" i="8"/>
  <c r="AV473" i="16" s="1"/>
  <c r="I478" i="8"/>
  <c r="L478" i="4"/>
  <c r="AS474" i="16"/>
  <c r="AT474" i="16" s="1"/>
  <c r="J479" i="8"/>
  <c r="AV474" i="16" s="1"/>
  <c r="I479" i="8"/>
  <c r="L479" i="4"/>
  <c r="AS475" i="16"/>
  <c r="AT475" i="16" s="1"/>
  <c r="J480" i="8"/>
  <c r="AV475" i="16" s="1"/>
  <c r="I480" i="8"/>
  <c r="J481" i="8"/>
  <c r="AV476" i="16" s="1"/>
  <c r="I481" i="8"/>
  <c r="AS476" i="16"/>
  <c r="AT476" i="16" s="1"/>
  <c r="L480" i="4"/>
  <c r="AS477" i="16"/>
  <c r="AT477" i="16" s="1"/>
  <c r="J482" i="8"/>
  <c r="AV477" i="16" s="1"/>
  <c r="I482" i="8"/>
  <c r="L481" i="4"/>
  <c r="J483" i="8"/>
  <c r="AV478" i="16" s="1"/>
  <c r="L482" i="4"/>
  <c r="AS478" i="16"/>
  <c r="AT478" i="16" s="1"/>
  <c r="I483" i="8"/>
  <c r="I484" i="8"/>
  <c r="L483" i="4"/>
  <c r="AS479" i="16"/>
  <c r="AT479" i="16" s="1"/>
  <c r="J484" i="8"/>
  <c r="AV479" i="16" s="1"/>
  <c r="AS480" i="16"/>
  <c r="AT480" i="16" s="1"/>
  <c r="L484" i="4"/>
  <c r="J485" i="8"/>
  <c r="AV480" i="16" s="1"/>
  <c r="I485" i="8"/>
  <c r="AS481" i="16"/>
  <c r="AT481" i="16" s="1"/>
  <c r="J486" i="8"/>
  <c r="AV481" i="16" s="1"/>
  <c r="I486" i="8"/>
  <c r="L485" i="4"/>
  <c r="AS482" i="16"/>
  <c r="AT482" i="16" s="1"/>
  <c r="J487" i="8"/>
  <c r="AV482" i="16" s="1"/>
  <c r="I487" i="8"/>
  <c r="L486" i="4"/>
  <c r="AS483" i="16"/>
  <c r="AT483" i="16" s="1"/>
  <c r="L487" i="4"/>
  <c r="J488" i="8"/>
  <c r="AV483" i="16" s="1"/>
  <c r="I488" i="8"/>
  <c r="L488" i="4"/>
  <c r="AS484" i="16"/>
  <c r="AT484" i="16" s="1"/>
  <c r="J489" i="8"/>
  <c r="AV484" i="16" s="1"/>
  <c r="I489" i="8"/>
  <c r="L489" i="4"/>
  <c r="AS485" i="16"/>
  <c r="AT485" i="16" s="1"/>
  <c r="J490" i="8"/>
  <c r="AV485" i="16" s="1"/>
  <c r="I490" i="8"/>
  <c r="L490" i="4"/>
  <c r="AS486" i="16"/>
  <c r="AT486" i="16" s="1"/>
  <c r="J491" i="8"/>
  <c r="AV486" i="16" s="1"/>
  <c r="I491" i="8"/>
  <c r="L491" i="4"/>
  <c r="AS487" i="16"/>
  <c r="AT487" i="16" s="1"/>
  <c r="J492" i="8"/>
  <c r="AV487" i="16" s="1"/>
  <c r="I492" i="8"/>
  <c r="AS488" i="16"/>
  <c r="AT488" i="16" s="1"/>
  <c r="J493" i="8"/>
  <c r="AV488" i="16" s="1"/>
  <c r="I493" i="8"/>
  <c r="L492" i="4"/>
  <c r="AS489" i="16"/>
  <c r="AT489" i="16" s="1"/>
  <c r="J494" i="8"/>
  <c r="AV489" i="16" s="1"/>
  <c r="I494" i="8"/>
  <c r="L493" i="4"/>
  <c r="I495" i="8"/>
  <c r="L494" i="4"/>
  <c r="AS490" i="16"/>
  <c r="AT490" i="16" s="1"/>
  <c r="J495" i="8"/>
  <c r="AV490" i="16" s="1"/>
  <c r="L495" i="4"/>
  <c r="AS491" i="16"/>
  <c r="AT491" i="16" s="1"/>
  <c r="J496" i="8"/>
  <c r="AV491" i="16" s="1"/>
  <c r="I496" i="8"/>
  <c r="AS492" i="16"/>
  <c r="AT492" i="16" s="1"/>
  <c r="L496" i="4"/>
  <c r="J497" i="8"/>
  <c r="AV492" i="16" s="1"/>
  <c r="I497" i="8"/>
  <c r="L497" i="4"/>
  <c r="AS493" i="16"/>
  <c r="AT493" i="16" s="1"/>
  <c r="J498" i="8"/>
  <c r="AV493" i="16" s="1"/>
  <c r="I498" i="8"/>
  <c r="AS494" i="16"/>
  <c r="AT494" i="16" s="1"/>
  <c r="J499" i="8"/>
  <c r="AV494" i="16" s="1"/>
  <c r="I499" i="8"/>
  <c r="L498" i="4"/>
  <c r="AS495" i="16"/>
  <c r="AT495" i="16" s="1"/>
  <c r="J500" i="8"/>
  <c r="AV495" i="16" s="1"/>
  <c r="I500" i="8"/>
  <c r="L499" i="4"/>
  <c r="L500" i="4"/>
  <c r="AS496" i="16"/>
  <c r="AT496" i="16" s="1"/>
  <c r="J501" i="8"/>
  <c r="AV496" i="16" s="1"/>
  <c r="I501" i="8"/>
  <c r="L501" i="4"/>
  <c r="AS497" i="16"/>
  <c r="AT497" i="16" s="1"/>
  <c r="J502" i="8"/>
  <c r="AV497" i="16" s="1"/>
  <c r="I502" i="8"/>
  <c r="L502" i="4"/>
  <c r="AS498" i="16"/>
  <c r="AT498" i="16" s="1"/>
  <c r="J503" i="8"/>
  <c r="AV498" i="16" s="1"/>
  <c r="I503" i="8"/>
  <c r="L503" i="4"/>
  <c r="AS499" i="16"/>
  <c r="AT499" i="16" s="1"/>
  <c r="J504" i="8"/>
  <c r="AV499" i="16" s="1"/>
  <c r="I504" i="8"/>
  <c r="L504" i="4"/>
  <c r="AS500" i="16"/>
  <c r="AT500" i="16" s="1"/>
  <c r="J505" i="8"/>
  <c r="AV500" i="16" s="1"/>
  <c r="I505" i="8"/>
  <c r="L505" i="4"/>
  <c r="AS501" i="16"/>
  <c r="AT501" i="16" s="1"/>
  <c r="J506" i="8"/>
  <c r="AV501" i="16" s="1"/>
  <c r="I506" i="8"/>
  <c r="J458" i="8"/>
  <c r="AV453" i="16" s="1"/>
  <c r="L457" i="4"/>
  <c r="AS453" i="16"/>
  <c r="AT453" i="16" s="1"/>
  <c r="I458" i="8"/>
  <c r="AP503" i="16"/>
  <c r="AE503" i="16"/>
  <c r="AD503" i="16"/>
  <c r="AQ503" i="16"/>
  <c r="AF4" i="16"/>
  <c r="AF6" i="16"/>
  <c r="AF33" i="13" l="1"/>
  <c r="AM503" i="16"/>
  <c r="AF503" i="16"/>
  <c r="AY361" i="16"/>
  <c r="AW361" i="16"/>
  <c r="AY362" i="16"/>
  <c r="AW362" i="16"/>
  <c r="AY363" i="16"/>
  <c r="AW363" i="16"/>
  <c r="AY31" i="16"/>
  <c r="AW31" i="16"/>
  <c r="AY32" i="16"/>
  <c r="AW32" i="16"/>
  <c r="AY33" i="16"/>
  <c r="AW33" i="16"/>
  <c r="AY34" i="16"/>
  <c r="AW34" i="16"/>
  <c r="AY35" i="16"/>
  <c r="AW35" i="16"/>
  <c r="AY36" i="16"/>
  <c r="AW36" i="16"/>
  <c r="AY37" i="16"/>
  <c r="AW37" i="16"/>
  <c r="AY38" i="16"/>
  <c r="AW38" i="16"/>
  <c r="AY39" i="16"/>
  <c r="AW39" i="16"/>
  <c r="AY40" i="16"/>
  <c r="AW40" i="16"/>
  <c r="AY41" i="16"/>
  <c r="AW41" i="16"/>
  <c r="AY42" i="16"/>
  <c r="AW42" i="16"/>
  <c r="AY43" i="16"/>
  <c r="AW43" i="16"/>
  <c r="AY44" i="16"/>
  <c r="AW44" i="16"/>
  <c r="AY45" i="16"/>
  <c r="AW45" i="16"/>
  <c r="AY46" i="16"/>
  <c r="AW46" i="16"/>
  <c r="AY47" i="16"/>
  <c r="AW47" i="16"/>
  <c r="AY48" i="16"/>
  <c r="AW48" i="16"/>
  <c r="AY49" i="16"/>
  <c r="AW49" i="16"/>
  <c r="AY50" i="16"/>
  <c r="AW50" i="16"/>
  <c r="AY51" i="16"/>
  <c r="AW51" i="16"/>
  <c r="AY52" i="16"/>
  <c r="AW52" i="16"/>
  <c r="AY53" i="16"/>
  <c r="AW53" i="16"/>
  <c r="AY54" i="16"/>
  <c r="AW54" i="16"/>
  <c r="AY55" i="16"/>
  <c r="AW55" i="16"/>
  <c r="AY56" i="16"/>
  <c r="AW56" i="16"/>
  <c r="AY57" i="16"/>
  <c r="AW57" i="16"/>
  <c r="AY58" i="16"/>
  <c r="AW58" i="16"/>
  <c r="AY59" i="16"/>
  <c r="AW59" i="16"/>
  <c r="AY60" i="16"/>
  <c r="AW60" i="16"/>
  <c r="AY61" i="16"/>
  <c r="AW61" i="16"/>
  <c r="AY62" i="16"/>
  <c r="AW62" i="16"/>
  <c r="AY63" i="16"/>
  <c r="AW63" i="16"/>
  <c r="AY64" i="16"/>
  <c r="AW64" i="16"/>
  <c r="AY65" i="16"/>
  <c r="AW65" i="16"/>
  <c r="AY66" i="16"/>
  <c r="AW66" i="16"/>
  <c r="AY67" i="16"/>
  <c r="AW67" i="16"/>
  <c r="AY68" i="16"/>
  <c r="AW68" i="16"/>
  <c r="AY69" i="16"/>
  <c r="AW69" i="16"/>
  <c r="AY70" i="16"/>
  <c r="AW70" i="16"/>
  <c r="AY71" i="16"/>
  <c r="AW71" i="16"/>
  <c r="AY72" i="16"/>
  <c r="AW72" i="16"/>
  <c r="AY73" i="16"/>
  <c r="AW73" i="16"/>
  <c r="AY74" i="16"/>
  <c r="AW74" i="16"/>
  <c r="AY75" i="16"/>
  <c r="AW75" i="16"/>
  <c r="AY76" i="16"/>
  <c r="AW76" i="16"/>
  <c r="AY77" i="16"/>
  <c r="AW77" i="16"/>
  <c r="AY78" i="16"/>
  <c r="AW78" i="16"/>
  <c r="AY79" i="16"/>
  <c r="AW79" i="16"/>
  <c r="AY80" i="16"/>
  <c r="AW80" i="16"/>
  <c r="AY81" i="16"/>
  <c r="AW81" i="16"/>
  <c r="AY82" i="16"/>
  <c r="AW82" i="16"/>
  <c r="AY83" i="16"/>
  <c r="AW83" i="16"/>
  <c r="AY84" i="16"/>
  <c r="AW84" i="16"/>
  <c r="AY85" i="16"/>
  <c r="AW85" i="16"/>
  <c r="AY86" i="16"/>
  <c r="AW86" i="16"/>
  <c r="AY87" i="16"/>
  <c r="AW87" i="16"/>
  <c r="AY88" i="16"/>
  <c r="AW88" i="16"/>
  <c r="AY89" i="16"/>
  <c r="AW89" i="16"/>
  <c r="AY90" i="16"/>
  <c r="AW90" i="16"/>
  <c r="AY94" i="16"/>
  <c r="AW94" i="16"/>
  <c r="AY95" i="16"/>
  <c r="AW95" i="16"/>
  <c r="AY96" i="16"/>
  <c r="AW96" i="16"/>
  <c r="AY97" i="16"/>
  <c r="AW97" i="16"/>
  <c r="AY98" i="16"/>
  <c r="AW98" i="16"/>
  <c r="AY348" i="16"/>
  <c r="AW348" i="16"/>
  <c r="AY349" i="16"/>
  <c r="AW349" i="16"/>
  <c r="AY350" i="16"/>
  <c r="AW350" i="16"/>
  <c r="AY351" i="16"/>
  <c r="AW351" i="16"/>
  <c r="AY352" i="16"/>
  <c r="AW352" i="16"/>
  <c r="AY353" i="16"/>
  <c r="AW353" i="16"/>
  <c r="AY354" i="16"/>
  <c r="AW354" i="16"/>
  <c r="AY355" i="16"/>
  <c r="AW355" i="16"/>
  <c r="AY356" i="16"/>
  <c r="AW356" i="16"/>
  <c r="AY357" i="16"/>
  <c r="AW357" i="16"/>
  <c r="AY358" i="16"/>
  <c r="AW358" i="16"/>
  <c r="AY359" i="16"/>
  <c r="AW359" i="16"/>
  <c r="AY360" i="16"/>
  <c r="AW360" i="16"/>
  <c r="AY91" i="16"/>
  <c r="AW91" i="16"/>
  <c r="AY92" i="16"/>
  <c r="AW92" i="16"/>
  <c r="AY93" i="16"/>
  <c r="AW93" i="16"/>
  <c r="AY99" i="16"/>
  <c r="AW99" i="16"/>
  <c r="AY100" i="16"/>
  <c r="AW100" i="16"/>
  <c r="AY101" i="16"/>
  <c r="AW101" i="16"/>
  <c r="AY102" i="16"/>
  <c r="AW102" i="16"/>
  <c r="AY103" i="16"/>
  <c r="AW103" i="16"/>
  <c r="AY104" i="16"/>
  <c r="AW104" i="16"/>
  <c r="AY105" i="16"/>
  <c r="AW105" i="16"/>
  <c r="AY106" i="16"/>
  <c r="AW106" i="16"/>
  <c r="AY107" i="16"/>
  <c r="AW107" i="16"/>
  <c r="AY108" i="16"/>
  <c r="AW108" i="16"/>
  <c r="AY109" i="16"/>
  <c r="AW109" i="16"/>
  <c r="AY110" i="16"/>
  <c r="AW110" i="16"/>
  <c r="AY111" i="16"/>
  <c r="AW111" i="16"/>
  <c r="AY112" i="16"/>
  <c r="AW112" i="16"/>
  <c r="AY113" i="16"/>
  <c r="AW113" i="16"/>
  <c r="AY114" i="16"/>
  <c r="AW114" i="16"/>
  <c r="AY115" i="16"/>
  <c r="AW115" i="16"/>
  <c r="AY116" i="16"/>
  <c r="AW116" i="16"/>
  <c r="AY117" i="16"/>
  <c r="AW117" i="16"/>
  <c r="AY118" i="16"/>
  <c r="AW118" i="16"/>
  <c r="AY119" i="16"/>
  <c r="AW119" i="16"/>
  <c r="AY120" i="16"/>
  <c r="AW120" i="16"/>
  <c r="AY121" i="16"/>
  <c r="AW121" i="16"/>
  <c r="AY122" i="16"/>
  <c r="AW122" i="16"/>
  <c r="AY123" i="16"/>
  <c r="AW123" i="16"/>
  <c r="AY124" i="16"/>
  <c r="AW124" i="16"/>
  <c r="AY125" i="16"/>
  <c r="AW125" i="16"/>
  <c r="AY126" i="16"/>
  <c r="AW126" i="16"/>
  <c r="AY127" i="16"/>
  <c r="AW127" i="16"/>
  <c r="AY128" i="16"/>
  <c r="AW128" i="16"/>
  <c r="AY129" i="16"/>
  <c r="AW129" i="16"/>
  <c r="AY130" i="16"/>
  <c r="AW130" i="16"/>
  <c r="AY131" i="16"/>
  <c r="AW131" i="16"/>
  <c r="AY132" i="16"/>
  <c r="AW132" i="16"/>
  <c r="AY133" i="16"/>
  <c r="AW133" i="16"/>
  <c r="AY134" i="16"/>
  <c r="AW134" i="16"/>
  <c r="AY135" i="16"/>
  <c r="AW135" i="16"/>
  <c r="AY136" i="16"/>
  <c r="AW136" i="16"/>
  <c r="AY137" i="16"/>
  <c r="AW137" i="16"/>
  <c r="AY138" i="16"/>
  <c r="AW138" i="16"/>
  <c r="AY139" i="16"/>
  <c r="AW139" i="16"/>
  <c r="AY140" i="16"/>
  <c r="AW140" i="16"/>
  <c r="AY141" i="16"/>
  <c r="AW141" i="16"/>
  <c r="AY142" i="16"/>
  <c r="AW142" i="16"/>
  <c r="AY143" i="16"/>
  <c r="AW143" i="16"/>
  <c r="AY144" i="16"/>
  <c r="AW144" i="16"/>
  <c r="AY145" i="16"/>
  <c r="AW145" i="16"/>
  <c r="AY146" i="16"/>
  <c r="AW146" i="16"/>
  <c r="AY147" i="16"/>
  <c r="AW147" i="16"/>
  <c r="AY148" i="16"/>
  <c r="AW148" i="16"/>
  <c r="AY149" i="16"/>
  <c r="AW149" i="16"/>
  <c r="AY150" i="16"/>
  <c r="AW150" i="16"/>
  <c r="AY151" i="16"/>
  <c r="AW151" i="16"/>
  <c r="AY152" i="16"/>
  <c r="AW152" i="16"/>
  <c r="AY153" i="16"/>
  <c r="AW153" i="16"/>
  <c r="AY154" i="16"/>
  <c r="AW154" i="16"/>
  <c r="AY155" i="16"/>
  <c r="AW155" i="16"/>
  <c r="AY156" i="16"/>
  <c r="AW156" i="16"/>
  <c r="AY157" i="16"/>
  <c r="AW157" i="16"/>
  <c r="AY158" i="16"/>
  <c r="AW158" i="16"/>
  <c r="AY159" i="16"/>
  <c r="AW159" i="16"/>
  <c r="AY160" i="16"/>
  <c r="AW160" i="16"/>
  <c r="AY161" i="16"/>
  <c r="AW161" i="16"/>
  <c r="AY162" i="16"/>
  <c r="AW162" i="16"/>
  <c r="AY163" i="16"/>
  <c r="AW163" i="16"/>
  <c r="AY164" i="16"/>
  <c r="AW164" i="16"/>
  <c r="AY165" i="16"/>
  <c r="AW165" i="16"/>
  <c r="AY166" i="16"/>
  <c r="AW166" i="16"/>
  <c r="AY167" i="16"/>
  <c r="AW167" i="16"/>
  <c r="AY168" i="16"/>
  <c r="AW168" i="16"/>
  <c r="AY169" i="16"/>
  <c r="AW169" i="16"/>
  <c r="AY170" i="16"/>
  <c r="AW170" i="16"/>
  <c r="AY171" i="16"/>
  <c r="AW171" i="16"/>
  <c r="AY172" i="16"/>
  <c r="AW172" i="16"/>
  <c r="AY173" i="16"/>
  <c r="AW173" i="16"/>
  <c r="AY174" i="16"/>
  <c r="AW174" i="16"/>
  <c r="AY175" i="16"/>
  <c r="AW175" i="16"/>
  <c r="AY176" i="16"/>
  <c r="AW176" i="16"/>
  <c r="AY177" i="16"/>
  <c r="AW177" i="16"/>
  <c r="AY178" i="16"/>
  <c r="AW178" i="16"/>
  <c r="AY179" i="16"/>
  <c r="AW179" i="16"/>
  <c r="AY180" i="16"/>
  <c r="AW180" i="16"/>
  <c r="AY181" i="16"/>
  <c r="AW181" i="16"/>
  <c r="AY182" i="16"/>
  <c r="AW182" i="16"/>
  <c r="AY183" i="16"/>
  <c r="AW183" i="16"/>
  <c r="AY184" i="16"/>
  <c r="AW184" i="16"/>
  <c r="AY185" i="16"/>
  <c r="AW185" i="16"/>
  <c r="AY186" i="16"/>
  <c r="AW186" i="16"/>
  <c r="AY187" i="16"/>
  <c r="AW187" i="16"/>
  <c r="AY188" i="16"/>
  <c r="AW188" i="16"/>
  <c r="AY189" i="16"/>
  <c r="AW189" i="16"/>
  <c r="AY190" i="16"/>
  <c r="AW190" i="16"/>
  <c r="AY191" i="16"/>
  <c r="AW191" i="16"/>
  <c r="AY192" i="16"/>
  <c r="AW192" i="16"/>
  <c r="AY193" i="16"/>
  <c r="AW193" i="16"/>
  <c r="AY194" i="16"/>
  <c r="AW194" i="16"/>
  <c r="AY195" i="16"/>
  <c r="AW195" i="16"/>
  <c r="AY196" i="16"/>
  <c r="AW196" i="16"/>
  <c r="AY197" i="16"/>
  <c r="AW197" i="16"/>
  <c r="AY198" i="16"/>
  <c r="AW198" i="16"/>
  <c r="AY199" i="16"/>
  <c r="AW199" i="16"/>
  <c r="AY200" i="16"/>
  <c r="AW200" i="16"/>
  <c r="AY201" i="16"/>
  <c r="AW201" i="16"/>
  <c r="AY202" i="16"/>
  <c r="AW202" i="16"/>
  <c r="AY203" i="16"/>
  <c r="AW203" i="16"/>
  <c r="AY204" i="16"/>
  <c r="AW204" i="16"/>
  <c r="AY205" i="16"/>
  <c r="AW205" i="16"/>
  <c r="AY206" i="16"/>
  <c r="AW206" i="16"/>
  <c r="AY207" i="16"/>
  <c r="AW207" i="16"/>
  <c r="AY208" i="16"/>
  <c r="AW208" i="16"/>
  <c r="AY209" i="16"/>
  <c r="AW209" i="16"/>
  <c r="AY210" i="16"/>
  <c r="AW210" i="16"/>
  <c r="AY211" i="16"/>
  <c r="AW211" i="16"/>
  <c r="AY212" i="16"/>
  <c r="AW212" i="16"/>
  <c r="AY213" i="16"/>
  <c r="AW213" i="16"/>
  <c r="AY214" i="16"/>
  <c r="AW214" i="16"/>
  <c r="AY215" i="16"/>
  <c r="AW215" i="16"/>
  <c r="AY216" i="16"/>
  <c r="AW216" i="16"/>
  <c r="AY217" i="16"/>
  <c r="AW217" i="16"/>
  <c r="AY218" i="16"/>
  <c r="AW218" i="16"/>
  <c r="AY219" i="16"/>
  <c r="AW219" i="16"/>
  <c r="AY220" i="16"/>
  <c r="AW220" i="16"/>
  <c r="AY221" i="16"/>
  <c r="AW221" i="16"/>
  <c r="AY222" i="16"/>
  <c r="AW222" i="16"/>
  <c r="AY223" i="16"/>
  <c r="AW223" i="16"/>
  <c r="AY224" i="16"/>
  <c r="AW224" i="16"/>
  <c r="AY225" i="16"/>
  <c r="AW225" i="16"/>
  <c r="AY226" i="16"/>
  <c r="AW226" i="16"/>
  <c r="AY227" i="16"/>
  <c r="AW227" i="16"/>
  <c r="AY228" i="16"/>
  <c r="AW228" i="16"/>
  <c r="AY229" i="16"/>
  <c r="AW229" i="16"/>
  <c r="AY230" i="16"/>
  <c r="AW230" i="16"/>
  <c r="AY231" i="16"/>
  <c r="AW231" i="16"/>
  <c r="AY232" i="16"/>
  <c r="AW232" i="16"/>
  <c r="AY233" i="16"/>
  <c r="AW233" i="16"/>
  <c r="AY234" i="16"/>
  <c r="AW234" i="16"/>
  <c r="AY235" i="16"/>
  <c r="AW235" i="16"/>
  <c r="AY236" i="16"/>
  <c r="AW236" i="16"/>
  <c r="AY237" i="16"/>
  <c r="AW237" i="16"/>
  <c r="AY238" i="16"/>
  <c r="AW238" i="16"/>
  <c r="AY239" i="16"/>
  <c r="AW239" i="16"/>
  <c r="AY240" i="16"/>
  <c r="AW240" i="16"/>
  <c r="AY241" i="16"/>
  <c r="AW241" i="16"/>
  <c r="AY242" i="16"/>
  <c r="AW242" i="16"/>
  <c r="AY243" i="16"/>
  <c r="AW243" i="16"/>
  <c r="AY244" i="16"/>
  <c r="AW244" i="16"/>
  <c r="AY245" i="16"/>
  <c r="AW245" i="16"/>
  <c r="AY246" i="16"/>
  <c r="AW246" i="16"/>
  <c r="AY247" i="16"/>
  <c r="AW247" i="16"/>
  <c r="AY248" i="16"/>
  <c r="AW248" i="16"/>
  <c r="AY249" i="16"/>
  <c r="AW249" i="16"/>
  <c r="AY250" i="16"/>
  <c r="AW250" i="16"/>
  <c r="AY251" i="16"/>
  <c r="AW251" i="16"/>
  <c r="AY252" i="16"/>
  <c r="AW252" i="16"/>
  <c r="AY253" i="16"/>
  <c r="AW253" i="16"/>
  <c r="AY254" i="16"/>
  <c r="AW254" i="16"/>
  <c r="AY255" i="16"/>
  <c r="AW255" i="16"/>
  <c r="AY256" i="16"/>
  <c r="AW256" i="16"/>
  <c r="AY257" i="16"/>
  <c r="AW257" i="16"/>
  <c r="AY258" i="16"/>
  <c r="AW258" i="16"/>
  <c r="AY259" i="16"/>
  <c r="AW259" i="16"/>
  <c r="AY260" i="16"/>
  <c r="AW260" i="16"/>
  <c r="AY261" i="16"/>
  <c r="AW261" i="16"/>
  <c r="AY262" i="16"/>
  <c r="AW262" i="16"/>
  <c r="AY263" i="16"/>
  <c r="AW263" i="16"/>
  <c r="AY264" i="16"/>
  <c r="AW264" i="16"/>
  <c r="AY265" i="16"/>
  <c r="AW265" i="16"/>
  <c r="AY266" i="16"/>
  <c r="AW266" i="16"/>
  <c r="AY267" i="16"/>
  <c r="AW267" i="16"/>
  <c r="AY268" i="16"/>
  <c r="AW268" i="16"/>
  <c r="AY269" i="16"/>
  <c r="AW269" i="16"/>
  <c r="AY270" i="16"/>
  <c r="AW270" i="16"/>
  <c r="AY271" i="16"/>
  <c r="AW271" i="16"/>
  <c r="AY272" i="16"/>
  <c r="AW272" i="16"/>
  <c r="AY273" i="16"/>
  <c r="AW273" i="16"/>
  <c r="AY274" i="16"/>
  <c r="AW274" i="16"/>
  <c r="AY275" i="16"/>
  <c r="AW275" i="16"/>
  <c r="AY276" i="16"/>
  <c r="AW276" i="16"/>
  <c r="AY277" i="16"/>
  <c r="AW277" i="16"/>
  <c r="AY278" i="16"/>
  <c r="AW278" i="16"/>
  <c r="AY279" i="16"/>
  <c r="AW279" i="16"/>
  <c r="AY280" i="16"/>
  <c r="AW280" i="16"/>
  <c r="AY281" i="16"/>
  <c r="AW281" i="16"/>
  <c r="AY282" i="16"/>
  <c r="AW282" i="16"/>
  <c r="AY283" i="16"/>
  <c r="AW283" i="16"/>
  <c r="AY284" i="16"/>
  <c r="AW284" i="16"/>
  <c r="AY285" i="16"/>
  <c r="AW285" i="16"/>
  <c r="AY286" i="16"/>
  <c r="AW286" i="16"/>
  <c r="AY287" i="16"/>
  <c r="AW287" i="16"/>
  <c r="AY288" i="16"/>
  <c r="AW288" i="16"/>
  <c r="AY289" i="16"/>
  <c r="AW289" i="16"/>
  <c r="AY290" i="16"/>
  <c r="AW290" i="16"/>
  <c r="AY291" i="16"/>
  <c r="AW291" i="16"/>
  <c r="AY292" i="16"/>
  <c r="AW292" i="16"/>
  <c r="AY293" i="16"/>
  <c r="AW293" i="16"/>
  <c r="AY294" i="16"/>
  <c r="AW294" i="16"/>
  <c r="AY295" i="16"/>
  <c r="AW295" i="16"/>
  <c r="AY296" i="16"/>
  <c r="AW296" i="16"/>
  <c r="AY297" i="16"/>
  <c r="AW297" i="16"/>
  <c r="AY298" i="16"/>
  <c r="AW298" i="16"/>
  <c r="AY299" i="16"/>
  <c r="AW299" i="16"/>
  <c r="AY300" i="16"/>
  <c r="AW300" i="16"/>
  <c r="AY301" i="16"/>
  <c r="AW301" i="16"/>
  <c r="AY302" i="16"/>
  <c r="AW302" i="16"/>
  <c r="AY303" i="16"/>
  <c r="AW303" i="16"/>
  <c r="AY304" i="16"/>
  <c r="AW304" i="16"/>
  <c r="AY305" i="16"/>
  <c r="AW305" i="16"/>
  <c r="AY306" i="16"/>
  <c r="AW306" i="16"/>
  <c r="AY307" i="16"/>
  <c r="AW307" i="16"/>
  <c r="AY308" i="16"/>
  <c r="AW308" i="16"/>
  <c r="AY309" i="16"/>
  <c r="AW309" i="16"/>
  <c r="AY310" i="16"/>
  <c r="AW310" i="16"/>
  <c r="AY311" i="16"/>
  <c r="AW311" i="16"/>
  <c r="AY312" i="16"/>
  <c r="AW312" i="16"/>
  <c r="AY313" i="16"/>
  <c r="AW313" i="16"/>
  <c r="AY314" i="16"/>
  <c r="AW314" i="16"/>
  <c r="AY315" i="16"/>
  <c r="AW315" i="16"/>
  <c r="AY316" i="16"/>
  <c r="AW316" i="16"/>
  <c r="AY317" i="16"/>
  <c r="AW317" i="16"/>
  <c r="AY318" i="16"/>
  <c r="AW318" i="16"/>
  <c r="AY319" i="16"/>
  <c r="AW319" i="16"/>
  <c r="AY320" i="16"/>
  <c r="AW320" i="16"/>
  <c r="AY321" i="16"/>
  <c r="AW321" i="16"/>
  <c r="AY322" i="16"/>
  <c r="AW322" i="16"/>
  <c r="AY323" i="16"/>
  <c r="AW323" i="16"/>
  <c r="AY324" i="16"/>
  <c r="AW324" i="16"/>
  <c r="AY325" i="16"/>
  <c r="AW325" i="16"/>
  <c r="AY326" i="16"/>
  <c r="AW326" i="16"/>
  <c r="AY327" i="16"/>
  <c r="AW327" i="16"/>
  <c r="AY328" i="16"/>
  <c r="AW328" i="16"/>
  <c r="AY329" i="16"/>
  <c r="AW329" i="16"/>
  <c r="AY330" i="16"/>
  <c r="AW330" i="16"/>
  <c r="AY331" i="16"/>
  <c r="AW331" i="16"/>
  <c r="AY332" i="16"/>
  <c r="AW332" i="16"/>
  <c r="AY333" i="16"/>
  <c r="AW333" i="16"/>
  <c r="AY334" i="16"/>
  <c r="AW334" i="16"/>
  <c r="AY335" i="16"/>
  <c r="AW335" i="16"/>
  <c r="AY336" i="16"/>
  <c r="AW336" i="16"/>
  <c r="AY337" i="16"/>
  <c r="AW337" i="16"/>
  <c r="AY338" i="16"/>
  <c r="AW338" i="16"/>
  <c r="AY339" i="16"/>
  <c r="AW339" i="16"/>
  <c r="AY340" i="16"/>
  <c r="AW340" i="16"/>
  <c r="AY341" i="16"/>
  <c r="AW341" i="16"/>
  <c r="AY342" i="16"/>
  <c r="AW342" i="16"/>
  <c r="AY343" i="16"/>
  <c r="AW343" i="16"/>
  <c r="AY344" i="16"/>
  <c r="AW344" i="16"/>
  <c r="AY345" i="16"/>
  <c r="AW345" i="16"/>
  <c r="AY346" i="16"/>
  <c r="AW346" i="16"/>
  <c r="AY347" i="16"/>
  <c r="AW347" i="16"/>
  <c r="AY364" i="16"/>
  <c r="AW364" i="16"/>
  <c r="AY365" i="16"/>
  <c r="AW365" i="16"/>
  <c r="AY366" i="16"/>
  <c r="AW366" i="16"/>
  <c r="AY367" i="16"/>
  <c r="AW367" i="16"/>
  <c r="AY368" i="16"/>
  <c r="AW368" i="16"/>
  <c r="AY369" i="16"/>
  <c r="AW369" i="16"/>
  <c r="AY370" i="16"/>
  <c r="AW370" i="16"/>
  <c r="AY371" i="16"/>
  <c r="AW371" i="16"/>
  <c r="AY372" i="16"/>
  <c r="AW372" i="16"/>
  <c r="AY373" i="16"/>
  <c r="AW373" i="16"/>
  <c r="AY374" i="16"/>
  <c r="AW374" i="16"/>
  <c r="AY375" i="16"/>
  <c r="AW375" i="16"/>
  <c r="AY376" i="16"/>
  <c r="AW376" i="16"/>
  <c r="AY377" i="16"/>
  <c r="AW377" i="16"/>
  <c r="AY378" i="16"/>
  <c r="AW378" i="16"/>
  <c r="AY379" i="16"/>
  <c r="AW379" i="16"/>
  <c r="AY380" i="16"/>
  <c r="AW380" i="16"/>
  <c r="AY381" i="16"/>
  <c r="AW381" i="16"/>
  <c r="AY382" i="16"/>
  <c r="AW382" i="16"/>
  <c r="AY383" i="16"/>
  <c r="AW383" i="16"/>
  <c r="AY384" i="16"/>
  <c r="AW384" i="16"/>
  <c r="AY385" i="16"/>
  <c r="AW385" i="16"/>
  <c r="AY386" i="16"/>
  <c r="AW386" i="16"/>
  <c r="AY387" i="16"/>
  <c r="AW387" i="16"/>
  <c r="AY388" i="16"/>
  <c r="AW388" i="16"/>
  <c r="AY389" i="16"/>
  <c r="AW389" i="16"/>
  <c r="AY390" i="16"/>
  <c r="AW390" i="16"/>
  <c r="AY391" i="16"/>
  <c r="AW391" i="16"/>
  <c r="AY392" i="16"/>
  <c r="AW392" i="16"/>
  <c r="AY393" i="16"/>
  <c r="AW393" i="16"/>
  <c r="AY394" i="16"/>
  <c r="AW394" i="16"/>
  <c r="AY395" i="16"/>
  <c r="AW395" i="16"/>
  <c r="AY396" i="16"/>
  <c r="AW396" i="16"/>
  <c r="AY397" i="16"/>
  <c r="AW397" i="16"/>
  <c r="AY398" i="16"/>
  <c r="AW398" i="16"/>
  <c r="AY399" i="16"/>
  <c r="AW399" i="16"/>
  <c r="AY400" i="16"/>
  <c r="AW400" i="16"/>
  <c r="AY401" i="16"/>
  <c r="AW401" i="16"/>
  <c r="AY403" i="16"/>
  <c r="AW403" i="16"/>
  <c r="AY404" i="16"/>
  <c r="AW404" i="16"/>
  <c r="AY405" i="16"/>
  <c r="AW405" i="16"/>
  <c r="AY406" i="16"/>
  <c r="AW406" i="16"/>
  <c r="AY407" i="16"/>
  <c r="AW407" i="16"/>
  <c r="AY408" i="16"/>
  <c r="AW408" i="16"/>
  <c r="AY409" i="16"/>
  <c r="AW409" i="16"/>
  <c r="AY410" i="16"/>
  <c r="AW410" i="16"/>
  <c r="AY411" i="16"/>
  <c r="AW411" i="16"/>
  <c r="AY412" i="16"/>
  <c r="AW412" i="16"/>
  <c r="AY413" i="16"/>
  <c r="AW413" i="16"/>
  <c r="AY414" i="16"/>
  <c r="AW414" i="16"/>
  <c r="AY415" i="16"/>
  <c r="AW415" i="16"/>
  <c r="AY416" i="16"/>
  <c r="AW416" i="16"/>
  <c r="AY417" i="16"/>
  <c r="AW417" i="16"/>
  <c r="AY418" i="16"/>
  <c r="AW418" i="16"/>
  <c r="AY419" i="16"/>
  <c r="AW419" i="16"/>
  <c r="AY420" i="16"/>
  <c r="AW420" i="16"/>
  <c r="AY421" i="16"/>
  <c r="AW421" i="16"/>
  <c r="AY422" i="16"/>
  <c r="AW422" i="16"/>
  <c r="AY423" i="16"/>
  <c r="AW423" i="16"/>
  <c r="AY424" i="16"/>
  <c r="AW424" i="16"/>
  <c r="AY425" i="16"/>
  <c r="AW425" i="16"/>
  <c r="AY426" i="16"/>
  <c r="AW426" i="16"/>
  <c r="AY427" i="16"/>
  <c r="AW427" i="16"/>
  <c r="AY428" i="16"/>
  <c r="AW428" i="16"/>
  <c r="AY429" i="16"/>
  <c r="AW429" i="16"/>
  <c r="AY430" i="16"/>
  <c r="AW430" i="16"/>
  <c r="AY431" i="16"/>
  <c r="AW431" i="16"/>
  <c r="AY432" i="16"/>
  <c r="AW432" i="16"/>
  <c r="AY433" i="16"/>
  <c r="AW433" i="16"/>
  <c r="AY434" i="16"/>
  <c r="AW434" i="16"/>
  <c r="AY435" i="16"/>
  <c r="AW435" i="16"/>
  <c r="AY436" i="16"/>
  <c r="AW436" i="16"/>
  <c r="AY437" i="16"/>
  <c r="AW437" i="16"/>
  <c r="AY438" i="16"/>
  <c r="AW438" i="16"/>
  <c r="AY439" i="16"/>
  <c r="AW439" i="16"/>
  <c r="AY440" i="16"/>
  <c r="AW440" i="16"/>
  <c r="AY441" i="16"/>
  <c r="AW441" i="16"/>
  <c r="AY442" i="16"/>
  <c r="AW442" i="16"/>
  <c r="AY443" i="16"/>
  <c r="AW443" i="16"/>
  <c r="AY444" i="16"/>
  <c r="AW444" i="16"/>
  <c r="AY445" i="16"/>
  <c r="AW445" i="16"/>
  <c r="AY446" i="16"/>
  <c r="AW446" i="16"/>
  <c r="AY447" i="16"/>
  <c r="AW447" i="16"/>
  <c r="AY448" i="16"/>
  <c r="AW448" i="16"/>
  <c r="AY449" i="16"/>
  <c r="AW449" i="16"/>
  <c r="AY450" i="16"/>
  <c r="AW450" i="16"/>
  <c r="AY451" i="16"/>
  <c r="AW451" i="16"/>
  <c r="AY452" i="16"/>
  <c r="AW452" i="16"/>
  <c r="AY402" i="16"/>
  <c r="AW402" i="16"/>
  <c r="AY454" i="16"/>
  <c r="AW454" i="16"/>
  <c r="AY455" i="16"/>
  <c r="AW455" i="16"/>
  <c r="AY456" i="16"/>
  <c r="AW456" i="16"/>
  <c r="AY457" i="16"/>
  <c r="AW457" i="16"/>
  <c r="AY458" i="16"/>
  <c r="AW458" i="16"/>
  <c r="AY459" i="16"/>
  <c r="AW459" i="16"/>
  <c r="AY460" i="16"/>
  <c r="AW460" i="16"/>
  <c r="AY461" i="16"/>
  <c r="AW461" i="16"/>
  <c r="AY462" i="16"/>
  <c r="AW462" i="16"/>
  <c r="AY463" i="16"/>
  <c r="AW463" i="16"/>
  <c r="AY464" i="16"/>
  <c r="AW464" i="16"/>
  <c r="AY465" i="16"/>
  <c r="AW465" i="16"/>
  <c r="AY466" i="16"/>
  <c r="AW466" i="16"/>
  <c r="AY467" i="16"/>
  <c r="AW467" i="16"/>
  <c r="AY468" i="16"/>
  <c r="AW468" i="16"/>
  <c r="AY469" i="16"/>
  <c r="AW469" i="16"/>
  <c r="AY470" i="16"/>
  <c r="AW470" i="16"/>
  <c r="AY471" i="16"/>
  <c r="AW471" i="16"/>
  <c r="AY472" i="16"/>
  <c r="AW472" i="16"/>
  <c r="AY473" i="16"/>
  <c r="AW473" i="16"/>
  <c r="AY474" i="16"/>
  <c r="AW474" i="16"/>
  <c r="AY475" i="16"/>
  <c r="AW475" i="16"/>
  <c r="AY476" i="16"/>
  <c r="AW476" i="16"/>
  <c r="AY477" i="16"/>
  <c r="AW477" i="16"/>
  <c r="AY478" i="16"/>
  <c r="AW478" i="16"/>
  <c r="AY479" i="16"/>
  <c r="AW479" i="16"/>
  <c r="AY480" i="16"/>
  <c r="AW480" i="16"/>
  <c r="AY481" i="16"/>
  <c r="AW481" i="16"/>
  <c r="AY482" i="16"/>
  <c r="AW482" i="16"/>
  <c r="AY483" i="16"/>
  <c r="AW483" i="16"/>
  <c r="AY484" i="16"/>
  <c r="AW484" i="16"/>
  <c r="AY485" i="16"/>
  <c r="AW485" i="16"/>
  <c r="AY486" i="16"/>
  <c r="AW486" i="16"/>
  <c r="AY487" i="16"/>
  <c r="AW487" i="16"/>
  <c r="AY488" i="16"/>
  <c r="AW488" i="16"/>
  <c r="AY489" i="16"/>
  <c r="AW489" i="16"/>
  <c r="AY490" i="16"/>
  <c r="AW490" i="16"/>
  <c r="AY491" i="16"/>
  <c r="AW491" i="16"/>
  <c r="AY492" i="16"/>
  <c r="AW492" i="16"/>
  <c r="AY493" i="16"/>
  <c r="AW493" i="16"/>
  <c r="AY494" i="16"/>
  <c r="AW494" i="16"/>
  <c r="AY495" i="16"/>
  <c r="AW495" i="16"/>
  <c r="AY496" i="16"/>
  <c r="AW496" i="16"/>
  <c r="AY497" i="16"/>
  <c r="AW497" i="16"/>
  <c r="AY498" i="16"/>
  <c r="AW498" i="16"/>
  <c r="AY499" i="16"/>
  <c r="AW499" i="16"/>
  <c r="AY500" i="16"/>
  <c r="AW500" i="16"/>
  <c r="AY501" i="16"/>
  <c r="AW501" i="16"/>
  <c r="AY453" i="16"/>
  <c r="AW453" i="16"/>
  <c r="AD23" i="13"/>
  <c r="AT3" i="16"/>
  <c r="AT11" i="16"/>
  <c r="AD27" i="13" s="1"/>
  <c r="K9" i="8"/>
  <c r="AX4" i="16" s="1"/>
  <c r="AU4" i="16"/>
  <c r="R82" i="10"/>
  <c r="AV4" i="16"/>
  <c r="AW4" i="16" s="1"/>
  <c r="AU361" i="16"/>
  <c r="AZ361" i="16" s="1"/>
  <c r="K366" i="8"/>
  <c r="AX361" i="16" s="1"/>
  <c r="AU362" i="16"/>
  <c r="AZ362" i="16" s="1"/>
  <c r="K367" i="8"/>
  <c r="AX362" i="16" s="1"/>
  <c r="AU363" i="16"/>
  <c r="AZ363" i="16" s="1"/>
  <c r="K368" i="8"/>
  <c r="AX363" i="16" s="1"/>
  <c r="BA12" i="16"/>
  <c r="AY12" i="16"/>
  <c r="K17" i="8"/>
  <c r="AX12" i="16" s="1"/>
  <c r="AU12" i="16"/>
  <c r="AZ12" i="16" s="1"/>
  <c r="AY13" i="16"/>
  <c r="BA13" i="16"/>
  <c r="K18" i="8"/>
  <c r="AX13" i="16" s="1"/>
  <c r="AU13" i="16"/>
  <c r="AZ13" i="16" s="1"/>
  <c r="AU14" i="16"/>
  <c r="AZ14" i="16" s="1"/>
  <c r="K19" i="8"/>
  <c r="AX14" i="16" s="1"/>
  <c r="AY14" i="16"/>
  <c r="BA14" i="16"/>
  <c r="AU15" i="16"/>
  <c r="AZ15" i="16" s="1"/>
  <c r="K20" i="8"/>
  <c r="AX15" i="16" s="1"/>
  <c r="AY15" i="16"/>
  <c r="BA15" i="16"/>
  <c r="BA16" i="16"/>
  <c r="AY16" i="16"/>
  <c r="AU16" i="16"/>
  <c r="AZ16" i="16" s="1"/>
  <c r="K21" i="8"/>
  <c r="AX16" i="16" s="1"/>
  <c r="BA17" i="16"/>
  <c r="AY17" i="16"/>
  <c r="AU17" i="16"/>
  <c r="AZ17" i="16" s="1"/>
  <c r="K22" i="8"/>
  <c r="AX17" i="16" s="1"/>
  <c r="AY18" i="16"/>
  <c r="BA18" i="16"/>
  <c r="AU18" i="16"/>
  <c r="AZ18" i="16" s="1"/>
  <c r="K23" i="8"/>
  <c r="AX18" i="16" s="1"/>
  <c r="AY19" i="16"/>
  <c r="BA19" i="16"/>
  <c r="AU19" i="16"/>
  <c r="AZ19" i="16" s="1"/>
  <c r="K24" i="8"/>
  <c r="AX19" i="16" s="1"/>
  <c r="AU20" i="16"/>
  <c r="AZ20" i="16" s="1"/>
  <c r="K25" i="8"/>
  <c r="AX20" i="16" s="1"/>
  <c r="AY20" i="16"/>
  <c r="BA20" i="16"/>
  <c r="AY21" i="16"/>
  <c r="BA21" i="16"/>
  <c r="AU21" i="16"/>
  <c r="AZ21" i="16" s="1"/>
  <c r="K26" i="8"/>
  <c r="AX21" i="16" s="1"/>
  <c r="K27" i="8"/>
  <c r="AX22" i="16" s="1"/>
  <c r="AU22" i="16"/>
  <c r="AZ22" i="16" s="1"/>
  <c r="BA22" i="16"/>
  <c r="AY22" i="16"/>
  <c r="AY23" i="16"/>
  <c r="BA23" i="16"/>
  <c r="AU23" i="16"/>
  <c r="AZ23" i="16" s="1"/>
  <c r="K28" i="8"/>
  <c r="AX23" i="16" s="1"/>
  <c r="BA24" i="16"/>
  <c r="AY24" i="16"/>
  <c r="AU24" i="16"/>
  <c r="AZ24" i="16" s="1"/>
  <c r="K29" i="8"/>
  <c r="AX24" i="16" s="1"/>
  <c r="BA25" i="16"/>
  <c r="AY25" i="16"/>
  <c r="AU25" i="16"/>
  <c r="AZ25" i="16" s="1"/>
  <c r="K30" i="8"/>
  <c r="AX25" i="16" s="1"/>
  <c r="BA26" i="16"/>
  <c r="AY26" i="16"/>
  <c r="AU26" i="16"/>
  <c r="AZ26" i="16" s="1"/>
  <c r="K31" i="8"/>
  <c r="AX26" i="16" s="1"/>
  <c r="BA27" i="16"/>
  <c r="AY27" i="16"/>
  <c r="AU27" i="16"/>
  <c r="AZ27" i="16" s="1"/>
  <c r="K32" i="8"/>
  <c r="AX27" i="16" s="1"/>
  <c r="BA28" i="16"/>
  <c r="AY28" i="16"/>
  <c r="AU28" i="16"/>
  <c r="AZ28" i="16" s="1"/>
  <c r="K33" i="8"/>
  <c r="AX28" i="16" s="1"/>
  <c r="AY29" i="16"/>
  <c r="BA29" i="16"/>
  <c r="AU29" i="16"/>
  <c r="AZ29" i="16" s="1"/>
  <c r="K34" i="8"/>
  <c r="AX29" i="16" s="1"/>
  <c r="AU30" i="16"/>
  <c r="AZ30" i="16" s="1"/>
  <c r="K35" i="8"/>
  <c r="AX30" i="16" s="1"/>
  <c r="BA30" i="16"/>
  <c r="AY30" i="16"/>
  <c r="AU31" i="16"/>
  <c r="AZ31" i="16" s="1"/>
  <c r="K36" i="8"/>
  <c r="AX31" i="16" s="1"/>
  <c r="AU32" i="16"/>
  <c r="AZ32" i="16" s="1"/>
  <c r="K37" i="8"/>
  <c r="AX32" i="16" s="1"/>
  <c r="AU33" i="16"/>
  <c r="AZ33" i="16" s="1"/>
  <c r="K38" i="8"/>
  <c r="AX33" i="16" s="1"/>
  <c r="AU34" i="16"/>
  <c r="AZ34" i="16" s="1"/>
  <c r="K39" i="8"/>
  <c r="AX34" i="16" s="1"/>
  <c r="AU35" i="16"/>
  <c r="AZ35" i="16" s="1"/>
  <c r="K40" i="8"/>
  <c r="AX35" i="16" s="1"/>
  <c r="AU36" i="16"/>
  <c r="AZ36" i="16" s="1"/>
  <c r="K41" i="8"/>
  <c r="AX36" i="16" s="1"/>
  <c r="AU37" i="16"/>
  <c r="AZ37" i="16" s="1"/>
  <c r="K42" i="8"/>
  <c r="AX37" i="16" s="1"/>
  <c r="AU38" i="16"/>
  <c r="AZ38" i="16" s="1"/>
  <c r="K43" i="8"/>
  <c r="AX38" i="16" s="1"/>
  <c r="AU39" i="16"/>
  <c r="AZ39" i="16" s="1"/>
  <c r="K44" i="8"/>
  <c r="AX39" i="16" s="1"/>
  <c r="AU40" i="16"/>
  <c r="AZ40" i="16" s="1"/>
  <c r="K45" i="8"/>
  <c r="AX40" i="16" s="1"/>
  <c r="AU41" i="16"/>
  <c r="AZ41" i="16" s="1"/>
  <c r="K46" i="8"/>
  <c r="AX41" i="16" s="1"/>
  <c r="AU42" i="16"/>
  <c r="AZ42" i="16" s="1"/>
  <c r="K47" i="8"/>
  <c r="AX42" i="16" s="1"/>
  <c r="AU43" i="16"/>
  <c r="AZ43" i="16" s="1"/>
  <c r="K48" i="8"/>
  <c r="AX43" i="16" s="1"/>
  <c r="AU44" i="16"/>
  <c r="AZ44" i="16" s="1"/>
  <c r="K49" i="8"/>
  <c r="AX44" i="16" s="1"/>
  <c r="AU45" i="16"/>
  <c r="AZ45" i="16" s="1"/>
  <c r="K50" i="8"/>
  <c r="AX45" i="16" s="1"/>
  <c r="AU46" i="16"/>
  <c r="AZ46" i="16" s="1"/>
  <c r="K51" i="8"/>
  <c r="AX46" i="16" s="1"/>
  <c r="AU47" i="16"/>
  <c r="AZ47" i="16" s="1"/>
  <c r="K52" i="8"/>
  <c r="AX47" i="16" s="1"/>
  <c r="AU48" i="16"/>
  <c r="AZ48" i="16" s="1"/>
  <c r="K53" i="8"/>
  <c r="AX48" i="16" s="1"/>
  <c r="AU49" i="16"/>
  <c r="AZ49" i="16" s="1"/>
  <c r="K54" i="8"/>
  <c r="AX49" i="16" s="1"/>
  <c r="AU50" i="16"/>
  <c r="AZ50" i="16" s="1"/>
  <c r="K55" i="8"/>
  <c r="AX50" i="16" s="1"/>
  <c r="AU51" i="16"/>
  <c r="AZ51" i="16" s="1"/>
  <c r="K56" i="8"/>
  <c r="AX51" i="16" s="1"/>
  <c r="AU52" i="16"/>
  <c r="AZ52" i="16" s="1"/>
  <c r="K57" i="8"/>
  <c r="AX52" i="16" s="1"/>
  <c r="AU53" i="16"/>
  <c r="AZ53" i="16" s="1"/>
  <c r="K58" i="8"/>
  <c r="AX53" i="16" s="1"/>
  <c r="AU54" i="16"/>
  <c r="AZ54" i="16" s="1"/>
  <c r="K59" i="8"/>
  <c r="AX54" i="16" s="1"/>
  <c r="AU55" i="16"/>
  <c r="AZ55" i="16" s="1"/>
  <c r="K60" i="8"/>
  <c r="AX55" i="16" s="1"/>
  <c r="AU56" i="16"/>
  <c r="AZ56" i="16" s="1"/>
  <c r="K61" i="8"/>
  <c r="AX56" i="16" s="1"/>
  <c r="AU57" i="16"/>
  <c r="AZ57" i="16" s="1"/>
  <c r="K62" i="8"/>
  <c r="AX57" i="16" s="1"/>
  <c r="AU58" i="16"/>
  <c r="AZ58" i="16" s="1"/>
  <c r="K63" i="8"/>
  <c r="AX58" i="16" s="1"/>
  <c r="AU59" i="16"/>
  <c r="AZ59" i="16" s="1"/>
  <c r="K64" i="8"/>
  <c r="AX59" i="16" s="1"/>
  <c r="AU60" i="16"/>
  <c r="AZ60" i="16" s="1"/>
  <c r="K65" i="8"/>
  <c r="AX60" i="16" s="1"/>
  <c r="AU61" i="16"/>
  <c r="AZ61" i="16" s="1"/>
  <c r="K66" i="8"/>
  <c r="AX61" i="16" s="1"/>
  <c r="AU62" i="16"/>
  <c r="AZ62" i="16" s="1"/>
  <c r="K67" i="8"/>
  <c r="AX62" i="16" s="1"/>
  <c r="AU63" i="16"/>
  <c r="AZ63" i="16" s="1"/>
  <c r="K68" i="8"/>
  <c r="AX63" i="16" s="1"/>
  <c r="AU64" i="16"/>
  <c r="AZ64" i="16" s="1"/>
  <c r="K69" i="8"/>
  <c r="AX64" i="16" s="1"/>
  <c r="AU65" i="16"/>
  <c r="AZ65" i="16" s="1"/>
  <c r="K70" i="8"/>
  <c r="AX65" i="16" s="1"/>
  <c r="AU66" i="16"/>
  <c r="AZ66" i="16" s="1"/>
  <c r="K71" i="8"/>
  <c r="AX66" i="16" s="1"/>
  <c r="AU67" i="16"/>
  <c r="AZ67" i="16" s="1"/>
  <c r="K72" i="8"/>
  <c r="AX67" i="16" s="1"/>
  <c r="AU68" i="16"/>
  <c r="AZ68" i="16" s="1"/>
  <c r="K73" i="8"/>
  <c r="AX68" i="16" s="1"/>
  <c r="AU69" i="16"/>
  <c r="AZ69" i="16" s="1"/>
  <c r="K74" i="8"/>
  <c r="AX69" i="16" s="1"/>
  <c r="AU70" i="16"/>
  <c r="AZ70" i="16" s="1"/>
  <c r="K75" i="8"/>
  <c r="AX70" i="16" s="1"/>
  <c r="AU71" i="16"/>
  <c r="AZ71" i="16" s="1"/>
  <c r="K76" i="8"/>
  <c r="AX71" i="16" s="1"/>
  <c r="AU72" i="16"/>
  <c r="AZ72" i="16" s="1"/>
  <c r="K77" i="8"/>
  <c r="AX72" i="16" s="1"/>
  <c r="AU73" i="16"/>
  <c r="AZ73" i="16" s="1"/>
  <c r="K78" i="8"/>
  <c r="AX73" i="16" s="1"/>
  <c r="AU74" i="16"/>
  <c r="AZ74" i="16" s="1"/>
  <c r="K79" i="8"/>
  <c r="AX74" i="16" s="1"/>
  <c r="AU75" i="16"/>
  <c r="AZ75" i="16" s="1"/>
  <c r="K80" i="8"/>
  <c r="AX75" i="16" s="1"/>
  <c r="AU76" i="16"/>
  <c r="AZ76" i="16" s="1"/>
  <c r="K81" i="8"/>
  <c r="AX76" i="16" s="1"/>
  <c r="AU77" i="16"/>
  <c r="AZ77" i="16" s="1"/>
  <c r="K82" i="8"/>
  <c r="AX77" i="16" s="1"/>
  <c r="AU78" i="16"/>
  <c r="AZ78" i="16" s="1"/>
  <c r="K83" i="8"/>
  <c r="AX78" i="16" s="1"/>
  <c r="AU79" i="16"/>
  <c r="AZ79" i="16" s="1"/>
  <c r="K84" i="8"/>
  <c r="AX79" i="16" s="1"/>
  <c r="AU80" i="16"/>
  <c r="AZ80" i="16" s="1"/>
  <c r="K85" i="8"/>
  <c r="AX80" i="16" s="1"/>
  <c r="AU81" i="16"/>
  <c r="AZ81" i="16" s="1"/>
  <c r="K86" i="8"/>
  <c r="AX81" i="16" s="1"/>
  <c r="AU82" i="16"/>
  <c r="AZ82" i="16" s="1"/>
  <c r="K87" i="8"/>
  <c r="AX82" i="16" s="1"/>
  <c r="AU83" i="16"/>
  <c r="AZ83" i="16" s="1"/>
  <c r="K88" i="8"/>
  <c r="AX83" i="16" s="1"/>
  <c r="AU84" i="16"/>
  <c r="AZ84" i="16" s="1"/>
  <c r="K89" i="8"/>
  <c r="AX84" i="16" s="1"/>
  <c r="AU85" i="16"/>
  <c r="AZ85" i="16" s="1"/>
  <c r="K90" i="8"/>
  <c r="AX85" i="16" s="1"/>
  <c r="AU86" i="16"/>
  <c r="AZ86" i="16" s="1"/>
  <c r="K91" i="8"/>
  <c r="AX86" i="16" s="1"/>
  <c r="AU87" i="16"/>
  <c r="AZ87" i="16" s="1"/>
  <c r="K92" i="8"/>
  <c r="AX87" i="16" s="1"/>
  <c r="AU88" i="16"/>
  <c r="AZ88" i="16" s="1"/>
  <c r="K93" i="8"/>
  <c r="AX88" i="16" s="1"/>
  <c r="AU89" i="16"/>
  <c r="AZ89" i="16" s="1"/>
  <c r="K94" i="8"/>
  <c r="AX89" i="16" s="1"/>
  <c r="AU90" i="16"/>
  <c r="AZ90" i="16" s="1"/>
  <c r="K95" i="8"/>
  <c r="AX90" i="16" s="1"/>
  <c r="I24" i="10"/>
  <c r="H24" i="10"/>
  <c r="F24" i="10"/>
  <c r="K8" i="8"/>
  <c r="AX3" i="16" s="1"/>
  <c r="AF32" i="13"/>
  <c r="R81" i="10"/>
  <c r="K10" i="8"/>
  <c r="AX5" i="16" s="1"/>
  <c r="AU5" i="16"/>
  <c r="R83" i="10"/>
  <c r="AV5" i="16"/>
  <c r="AW5" i="16" s="1"/>
  <c r="R84" i="10"/>
  <c r="AV6" i="16"/>
  <c r="AW6" i="16" s="1"/>
  <c r="K11" i="8"/>
  <c r="AX6" i="16" s="1"/>
  <c r="AU6" i="16"/>
  <c r="AZ6" i="16" s="1"/>
  <c r="R85" i="10"/>
  <c r="AV7" i="16"/>
  <c r="AW7" i="16" s="1"/>
  <c r="K12" i="8"/>
  <c r="AX7" i="16" s="1"/>
  <c r="AU7" i="16"/>
  <c r="AZ7" i="16" s="1"/>
  <c r="AV8" i="16"/>
  <c r="AW8" i="16" s="1"/>
  <c r="R86" i="10"/>
  <c r="K13" i="8"/>
  <c r="AX8" i="16" s="1"/>
  <c r="AU8" i="16"/>
  <c r="AZ8" i="16" s="1"/>
  <c r="R87" i="10"/>
  <c r="AV9" i="16"/>
  <c r="AW9" i="16" s="1"/>
  <c r="K14" i="8"/>
  <c r="AX9" i="16" s="1"/>
  <c r="AU9" i="16"/>
  <c r="AZ9" i="16" s="1"/>
  <c r="K15" i="8"/>
  <c r="AX10" i="16" s="1"/>
  <c r="AU10" i="16"/>
  <c r="R88" i="10"/>
  <c r="AV10" i="16"/>
  <c r="AW10" i="16" s="1"/>
  <c r="AU11" i="16"/>
  <c r="AD34" i="13" s="1"/>
  <c r="K16" i="8"/>
  <c r="AX11" i="16" s="1"/>
  <c r="AV11" i="16"/>
  <c r="R89" i="10"/>
  <c r="AU94" i="16"/>
  <c r="AZ94" i="16" s="1"/>
  <c r="K99" i="8"/>
  <c r="AX94" i="16" s="1"/>
  <c r="AU95" i="16"/>
  <c r="AZ95" i="16" s="1"/>
  <c r="K100" i="8"/>
  <c r="AX95" i="16" s="1"/>
  <c r="AU96" i="16"/>
  <c r="AZ96" i="16" s="1"/>
  <c r="K101" i="8"/>
  <c r="AX96" i="16" s="1"/>
  <c r="AU97" i="16"/>
  <c r="AZ97" i="16" s="1"/>
  <c r="K102" i="8"/>
  <c r="AX97" i="16" s="1"/>
  <c r="AU98" i="16"/>
  <c r="AZ98" i="16" s="1"/>
  <c r="K103" i="8"/>
  <c r="AX98" i="16" s="1"/>
  <c r="AU348" i="16"/>
  <c r="AZ348" i="16" s="1"/>
  <c r="K353" i="8"/>
  <c r="AX348" i="16" s="1"/>
  <c r="AU349" i="16"/>
  <c r="AZ349" i="16" s="1"/>
  <c r="K354" i="8"/>
  <c r="AX349" i="16" s="1"/>
  <c r="AU350" i="16"/>
  <c r="AZ350" i="16" s="1"/>
  <c r="K355" i="8"/>
  <c r="AX350" i="16" s="1"/>
  <c r="AU351" i="16"/>
  <c r="AZ351" i="16" s="1"/>
  <c r="K356" i="8"/>
  <c r="AX351" i="16" s="1"/>
  <c r="AU352" i="16"/>
  <c r="AZ352" i="16" s="1"/>
  <c r="K357" i="8"/>
  <c r="AX352" i="16" s="1"/>
  <c r="AU353" i="16"/>
  <c r="AZ353" i="16" s="1"/>
  <c r="K358" i="8"/>
  <c r="AX353" i="16" s="1"/>
  <c r="AU354" i="16"/>
  <c r="AZ354" i="16" s="1"/>
  <c r="K359" i="8"/>
  <c r="AX354" i="16" s="1"/>
  <c r="AU355" i="16"/>
  <c r="AZ355" i="16" s="1"/>
  <c r="K360" i="8"/>
  <c r="AX355" i="16" s="1"/>
  <c r="AU356" i="16"/>
  <c r="AZ356" i="16" s="1"/>
  <c r="K361" i="8"/>
  <c r="AX356" i="16" s="1"/>
  <c r="AU357" i="16"/>
  <c r="AZ357" i="16" s="1"/>
  <c r="K362" i="8"/>
  <c r="AX357" i="16" s="1"/>
  <c r="AU358" i="16"/>
  <c r="AZ358" i="16" s="1"/>
  <c r="K363" i="8"/>
  <c r="AX358" i="16" s="1"/>
  <c r="AU359" i="16"/>
  <c r="AZ359" i="16" s="1"/>
  <c r="K364" i="8"/>
  <c r="AX359" i="16" s="1"/>
  <c r="AU360" i="16"/>
  <c r="AZ360" i="16" s="1"/>
  <c r="K365" i="8"/>
  <c r="AX360" i="16" s="1"/>
  <c r="AU440" i="16"/>
  <c r="AZ440" i="16" s="1"/>
  <c r="K445" i="8"/>
  <c r="AX440" i="16" s="1"/>
  <c r="AU441" i="16"/>
  <c r="AZ441" i="16" s="1"/>
  <c r="K446" i="8"/>
  <c r="AX441" i="16" s="1"/>
  <c r="AU442" i="16"/>
  <c r="AZ442" i="16" s="1"/>
  <c r="K447" i="8"/>
  <c r="AX442" i="16" s="1"/>
  <c r="AU443" i="16"/>
  <c r="AZ443" i="16" s="1"/>
  <c r="K448" i="8"/>
  <c r="AX443" i="16" s="1"/>
  <c r="AU444" i="16"/>
  <c r="AZ444" i="16" s="1"/>
  <c r="K449" i="8"/>
  <c r="AX444" i="16" s="1"/>
  <c r="AU445" i="16"/>
  <c r="AZ445" i="16" s="1"/>
  <c r="K450" i="8"/>
  <c r="AX445" i="16" s="1"/>
  <c r="AU446" i="16"/>
  <c r="AZ446" i="16" s="1"/>
  <c r="K451" i="8"/>
  <c r="AX446" i="16" s="1"/>
  <c r="AU447" i="16"/>
  <c r="AZ447" i="16" s="1"/>
  <c r="K452" i="8"/>
  <c r="AX447" i="16" s="1"/>
  <c r="AU448" i="16"/>
  <c r="AZ448" i="16" s="1"/>
  <c r="K453" i="8"/>
  <c r="AX448" i="16" s="1"/>
  <c r="AU449" i="16"/>
  <c r="AZ449" i="16" s="1"/>
  <c r="K454" i="8"/>
  <c r="AX449" i="16" s="1"/>
  <c r="AU450" i="16"/>
  <c r="AZ450" i="16" s="1"/>
  <c r="K455" i="8"/>
  <c r="AX450" i="16" s="1"/>
  <c r="AU451" i="16"/>
  <c r="AZ451" i="16" s="1"/>
  <c r="K456" i="8"/>
  <c r="AX451" i="16" s="1"/>
  <c r="AU452" i="16"/>
  <c r="AZ452" i="16" s="1"/>
  <c r="K457" i="8"/>
  <c r="AX452" i="16" s="1"/>
  <c r="AU454" i="16"/>
  <c r="AZ454" i="16" s="1"/>
  <c r="K459" i="8"/>
  <c r="AX454" i="16" s="1"/>
  <c r="AU455" i="16"/>
  <c r="AZ455" i="16" s="1"/>
  <c r="K460" i="8"/>
  <c r="AX455" i="16" s="1"/>
  <c r="AU456" i="16"/>
  <c r="AZ456" i="16" s="1"/>
  <c r="K461" i="8"/>
  <c r="AX456" i="16" s="1"/>
  <c r="AU457" i="16"/>
  <c r="AZ457" i="16" s="1"/>
  <c r="K462" i="8"/>
  <c r="AX457" i="16" s="1"/>
  <c r="AU458" i="16"/>
  <c r="AZ458" i="16" s="1"/>
  <c r="K463" i="8"/>
  <c r="AX458" i="16" s="1"/>
  <c r="AU459" i="16"/>
  <c r="AZ459" i="16" s="1"/>
  <c r="K464" i="8"/>
  <c r="AX459" i="16" s="1"/>
  <c r="AU460" i="16"/>
  <c r="AZ460" i="16" s="1"/>
  <c r="K465" i="8"/>
  <c r="AX460" i="16" s="1"/>
  <c r="AU461" i="16"/>
  <c r="AZ461" i="16" s="1"/>
  <c r="K466" i="8"/>
  <c r="AX461" i="16" s="1"/>
  <c r="AU462" i="16"/>
  <c r="AZ462" i="16" s="1"/>
  <c r="K467" i="8"/>
  <c r="AX462" i="16" s="1"/>
  <c r="AU463" i="16"/>
  <c r="AZ463" i="16" s="1"/>
  <c r="K468" i="8"/>
  <c r="AX463" i="16" s="1"/>
  <c r="AU464" i="16"/>
  <c r="AZ464" i="16" s="1"/>
  <c r="K469" i="8"/>
  <c r="AX464" i="16" s="1"/>
  <c r="AU465" i="16"/>
  <c r="AZ465" i="16" s="1"/>
  <c r="K470" i="8"/>
  <c r="AX465" i="16" s="1"/>
  <c r="AU466" i="16"/>
  <c r="AZ466" i="16" s="1"/>
  <c r="K471" i="8"/>
  <c r="AX466" i="16" s="1"/>
  <c r="AU467" i="16"/>
  <c r="AZ467" i="16" s="1"/>
  <c r="K472" i="8"/>
  <c r="AX467" i="16" s="1"/>
  <c r="AU468" i="16"/>
  <c r="AZ468" i="16" s="1"/>
  <c r="K473" i="8"/>
  <c r="AX468" i="16" s="1"/>
  <c r="AU469" i="16"/>
  <c r="AZ469" i="16" s="1"/>
  <c r="K474" i="8"/>
  <c r="AX469" i="16" s="1"/>
  <c r="AU470" i="16"/>
  <c r="AZ470" i="16" s="1"/>
  <c r="K475" i="8"/>
  <c r="AX470" i="16" s="1"/>
  <c r="AU471" i="16"/>
  <c r="AZ471" i="16" s="1"/>
  <c r="K476" i="8"/>
  <c r="AX471" i="16" s="1"/>
  <c r="AU472" i="16"/>
  <c r="AZ472" i="16" s="1"/>
  <c r="K477" i="8"/>
  <c r="AX472" i="16" s="1"/>
  <c r="AU473" i="16"/>
  <c r="AZ473" i="16" s="1"/>
  <c r="K478" i="8"/>
  <c r="AX473" i="16" s="1"/>
  <c r="AU474" i="16"/>
  <c r="AZ474" i="16" s="1"/>
  <c r="K479" i="8"/>
  <c r="AX474" i="16" s="1"/>
  <c r="AU475" i="16"/>
  <c r="AZ475" i="16" s="1"/>
  <c r="K480" i="8"/>
  <c r="AX475" i="16" s="1"/>
  <c r="AU476" i="16"/>
  <c r="AZ476" i="16" s="1"/>
  <c r="K481" i="8"/>
  <c r="AX476" i="16" s="1"/>
  <c r="AU477" i="16"/>
  <c r="AZ477" i="16" s="1"/>
  <c r="K482" i="8"/>
  <c r="AX477" i="16" s="1"/>
  <c r="AU478" i="16"/>
  <c r="AZ478" i="16" s="1"/>
  <c r="K483" i="8"/>
  <c r="AX478" i="16" s="1"/>
  <c r="AU479" i="16"/>
  <c r="AZ479" i="16" s="1"/>
  <c r="K484" i="8"/>
  <c r="AX479" i="16" s="1"/>
  <c r="AU480" i="16"/>
  <c r="AZ480" i="16" s="1"/>
  <c r="K485" i="8"/>
  <c r="AX480" i="16" s="1"/>
  <c r="AU481" i="16"/>
  <c r="AZ481" i="16" s="1"/>
  <c r="K486" i="8"/>
  <c r="AX481" i="16" s="1"/>
  <c r="AU482" i="16"/>
  <c r="AZ482" i="16" s="1"/>
  <c r="K487" i="8"/>
  <c r="AX482" i="16" s="1"/>
  <c r="AU483" i="16"/>
  <c r="AZ483" i="16" s="1"/>
  <c r="K488" i="8"/>
  <c r="AX483" i="16" s="1"/>
  <c r="AU484" i="16"/>
  <c r="AZ484" i="16" s="1"/>
  <c r="K489" i="8"/>
  <c r="AX484" i="16" s="1"/>
  <c r="AU485" i="16"/>
  <c r="AZ485" i="16" s="1"/>
  <c r="K490" i="8"/>
  <c r="AX485" i="16" s="1"/>
  <c r="AU486" i="16"/>
  <c r="AZ486" i="16" s="1"/>
  <c r="K491" i="8"/>
  <c r="AX486" i="16" s="1"/>
  <c r="AU487" i="16"/>
  <c r="AZ487" i="16" s="1"/>
  <c r="K492" i="8"/>
  <c r="AX487" i="16" s="1"/>
  <c r="AU488" i="16"/>
  <c r="AZ488" i="16" s="1"/>
  <c r="K493" i="8"/>
  <c r="AX488" i="16" s="1"/>
  <c r="AU489" i="16"/>
  <c r="AZ489" i="16" s="1"/>
  <c r="K494" i="8"/>
  <c r="AX489" i="16" s="1"/>
  <c r="AU490" i="16"/>
  <c r="AZ490" i="16" s="1"/>
  <c r="K495" i="8"/>
  <c r="AX490" i="16" s="1"/>
  <c r="AU491" i="16"/>
  <c r="AZ491" i="16" s="1"/>
  <c r="K496" i="8"/>
  <c r="AX491" i="16" s="1"/>
  <c r="AU492" i="16"/>
  <c r="AZ492" i="16" s="1"/>
  <c r="K497" i="8"/>
  <c r="AX492" i="16" s="1"/>
  <c r="AU493" i="16"/>
  <c r="AZ493" i="16" s="1"/>
  <c r="K498" i="8"/>
  <c r="AX493" i="16" s="1"/>
  <c r="AU494" i="16"/>
  <c r="AZ494" i="16" s="1"/>
  <c r="K499" i="8"/>
  <c r="AX494" i="16" s="1"/>
  <c r="AU495" i="16"/>
  <c r="AZ495" i="16" s="1"/>
  <c r="K500" i="8"/>
  <c r="AX495" i="16" s="1"/>
  <c r="AU496" i="16"/>
  <c r="AZ496" i="16" s="1"/>
  <c r="K501" i="8"/>
  <c r="AX496" i="16" s="1"/>
  <c r="AU497" i="16"/>
  <c r="AZ497" i="16" s="1"/>
  <c r="K502" i="8"/>
  <c r="AX497" i="16" s="1"/>
  <c r="AU498" i="16"/>
  <c r="AZ498" i="16" s="1"/>
  <c r="K503" i="8"/>
  <c r="AX498" i="16" s="1"/>
  <c r="AU499" i="16"/>
  <c r="AZ499" i="16" s="1"/>
  <c r="K504" i="8"/>
  <c r="AX499" i="16" s="1"/>
  <c r="AU500" i="16"/>
  <c r="AZ500" i="16" s="1"/>
  <c r="K505" i="8"/>
  <c r="AX500" i="16" s="1"/>
  <c r="AU501" i="16"/>
  <c r="AZ501" i="16" s="1"/>
  <c r="K506" i="8"/>
  <c r="AX501" i="16" s="1"/>
  <c r="AU91" i="16"/>
  <c r="AZ91" i="16" s="1"/>
  <c r="K96" i="8"/>
  <c r="AX91" i="16" s="1"/>
  <c r="AU92" i="16"/>
  <c r="AZ92" i="16" s="1"/>
  <c r="K97" i="8"/>
  <c r="AX92" i="16" s="1"/>
  <c r="AU93" i="16"/>
  <c r="AZ93" i="16" s="1"/>
  <c r="K98" i="8"/>
  <c r="AX93" i="16" s="1"/>
  <c r="AU299" i="16"/>
  <c r="AZ299" i="16" s="1"/>
  <c r="K304" i="8"/>
  <c r="AX299" i="16" s="1"/>
  <c r="AU300" i="16"/>
  <c r="AZ300" i="16" s="1"/>
  <c r="K305" i="8"/>
  <c r="AX300" i="16" s="1"/>
  <c r="AU301" i="16"/>
  <c r="AZ301" i="16" s="1"/>
  <c r="K306" i="8"/>
  <c r="AX301" i="16" s="1"/>
  <c r="AU302" i="16"/>
  <c r="AZ302" i="16" s="1"/>
  <c r="K307" i="8"/>
  <c r="AX302" i="16" s="1"/>
  <c r="AU303" i="16"/>
  <c r="AZ303" i="16" s="1"/>
  <c r="K308" i="8"/>
  <c r="AX303" i="16" s="1"/>
  <c r="AU304" i="16"/>
  <c r="AZ304" i="16" s="1"/>
  <c r="K309" i="8"/>
  <c r="AX304" i="16" s="1"/>
  <c r="AU305" i="16"/>
  <c r="AZ305" i="16" s="1"/>
  <c r="K310" i="8"/>
  <c r="AX305" i="16" s="1"/>
  <c r="AU306" i="16"/>
  <c r="AZ306" i="16" s="1"/>
  <c r="K311" i="8"/>
  <c r="AX306" i="16" s="1"/>
  <c r="AU307" i="16"/>
  <c r="AZ307" i="16" s="1"/>
  <c r="K312" i="8"/>
  <c r="AX307" i="16" s="1"/>
  <c r="AU308" i="16"/>
  <c r="AZ308" i="16" s="1"/>
  <c r="K313" i="8"/>
  <c r="AX308" i="16" s="1"/>
  <c r="AU309" i="16"/>
  <c r="AZ309" i="16" s="1"/>
  <c r="K314" i="8"/>
  <c r="AX309" i="16" s="1"/>
  <c r="AU310" i="16"/>
  <c r="AZ310" i="16" s="1"/>
  <c r="K315" i="8"/>
  <c r="AX310" i="16" s="1"/>
  <c r="AU311" i="16"/>
  <c r="AZ311" i="16" s="1"/>
  <c r="K316" i="8"/>
  <c r="AX311" i="16" s="1"/>
  <c r="AU312" i="16"/>
  <c r="AZ312" i="16" s="1"/>
  <c r="K317" i="8"/>
  <c r="AX312" i="16" s="1"/>
  <c r="AU313" i="16"/>
  <c r="AZ313" i="16" s="1"/>
  <c r="K318" i="8"/>
  <c r="AX313" i="16" s="1"/>
  <c r="AU314" i="16"/>
  <c r="AZ314" i="16" s="1"/>
  <c r="K319" i="8"/>
  <c r="AX314" i="16" s="1"/>
  <c r="AU315" i="16"/>
  <c r="AZ315" i="16" s="1"/>
  <c r="K320" i="8"/>
  <c r="AX315" i="16" s="1"/>
  <c r="AU316" i="16"/>
  <c r="AZ316" i="16" s="1"/>
  <c r="K321" i="8"/>
  <c r="AX316" i="16" s="1"/>
  <c r="AU317" i="16"/>
  <c r="AZ317" i="16" s="1"/>
  <c r="K322" i="8"/>
  <c r="AX317" i="16" s="1"/>
  <c r="AU318" i="16"/>
  <c r="AZ318" i="16" s="1"/>
  <c r="K323" i="8"/>
  <c r="AX318" i="16" s="1"/>
  <c r="AU319" i="16"/>
  <c r="AZ319" i="16" s="1"/>
  <c r="K324" i="8"/>
  <c r="AX319" i="16" s="1"/>
  <c r="AU320" i="16"/>
  <c r="AZ320" i="16" s="1"/>
  <c r="K325" i="8"/>
  <c r="AX320" i="16" s="1"/>
  <c r="AU321" i="16"/>
  <c r="AZ321" i="16" s="1"/>
  <c r="K326" i="8"/>
  <c r="AX321" i="16" s="1"/>
  <c r="AU322" i="16"/>
  <c r="AZ322" i="16" s="1"/>
  <c r="K327" i="8"/>
  <c r="AX322" i="16" s="1"/>
  <c r="AU323" i="16"/>
  <c r="AZ323" i="16" s="1"/>
  <c r="K328" i="8"/>
  <c r="AX323" i="16" s="1"/>
  <c r="AU324" i="16"/>
  <c r="AZ324" i="16" s="1"/>
  <c r="K329" i="8"/>
  <c r="AX324" i="16" s="1"/>
  <c r="AU325" i="16"/>
  <c r="AZ325" i="16" s="1"/>
  <c r="K330" i="8"/>
  <c r="AX325" i="16" s="1"/>
  <c r="AU326" i="16"/>
  <c r="AZ326" i="16" s="1"/>
  <c r="K331" i="8"/>
  <c r="AX326" i="16" s="1"/>
  <c r="AU327" i="16"/>
  <c r="AZ327" i="16" s="1"/>
  <c r="K332" i="8"/>
  <c r="AX327" i="16" s="1"/>
  <c r="AU328" i="16"/>
  <c r="AZ328" i="16" s="1"/>
  <c r="K333" i="8"/>
  <c r="AX328" i="16" s="1"/>
  <c r="AU329" i="16"/>
  <c r="AZ329" i="16" s="1"/>
  <c r="K334" i="8"/>
  <c r="AX329" i="16" s="1"/>
  <c r="AU330" i="16"/>
  <c r="AZ330" i="16" s="1"/>
  <c r="K335" i="8"/>
  <c r="AX330" i="16" s="1"/>
  <c r="AU331" i="16"/>
  <c r="AZ331" i="16" s="1"/>
  <c r="K336" i="8"/>
  <c r="AX331" i="16" s="1"/>
  <c r="AU332" i="16"/>
  <c r="AZ332" i="16" s="1"/>
  <c r="K337" i="8"/>
  <c r="AX332" i="16" s="1"/>
  <c r="AU333" i="16"/>
  <c r="AZ333" i="16" s="1"/>
  <c r="K338" i="8"/>
  <c r="AX333" i="16" s="1"/>
  <c r="AU334" i="16"/>
  <c r="AZ334" i="16" s="1"/>
  <c r="K339" i="8"/>
  <c r="AX334" i="16" s="1"/>
  <c r="AU335" i="16"/>
  <c r="AZ335" i="16" s="1"/>
  <c r="K340" i="8"/>
  <c r="AX335" i="16" s="1"/>
  <c r="AU336" i="16"/>
  <c r="AZ336" i="16" s="1"/>
  <c r="K341" i="8"/>
  <c r="AX336" i="16" s="1"/>
  <c r="AU337" i="16"/>
  <c r="AZ337" i="16" s="1"/>
  <c r="K342" i="8"/>
  <c r="AX337" i="16" s="1"/>
  <c r="AU338" i="16"/>
  <c r="AZ338" i="16" s="1"/>
  <c r="K343" i="8"/>
  <c r="AX338" i="16" s="1"/>
  <c r="AU339" i="16"/>
  <c r="AZ339" i="16" s="1"/>
  <c r="K344" i="8"/>
  <c r="AX339" i="16" s="1"/>
  <c r="AU340" i="16"/>
  <c r="AZ340" i="16" s="1"/>
  <c r="K345" i="8"/>
  <c r="AX340" i="16" s="1"/>
  <c r="AU341" i="16"/>
  <c r="AZ341" i="16" s="1"/>
  <c r="K346" i="8"/>
  <c r="AX341" i="16" s="1"/>
  <c r="AU342" i="16"/>
  <c r="AZ342" i="16" s="1"/>
  <c r="K347" i="8"/>
  <c r="AX342" i="16" s="1"/>
  <c r="AU343" i="16"/>
  <c r="AZ343" i="16" s="1"/>
  <c r="K348" i="8"/>
  <c r="AX343" i="16" s="1"/>
  <c r="AU344" i="16"/>
  <c r="AZ344" i="16" s="1"/>
  <c r="K349" i="8"/>
  <c r="AX344" i="16" s="1"/>
  <c r="AU345" i="16"/>
  <c r="AZ345" i="16" s="1"/>
  <c r="K350" i="8"/>
  <c r="AX345" i="16" s="1"/>
  <c r="AU346" i="16"/>
  <c r="AZ346" i="16" s="1"/>
  <c r="K351" i="8"/>
  <c r="AX346" i="16" s="1"/>
  <c r="AU347" i="16"/>
  <c r="AZ347" i="16" s="1"/>
  <c r="K352" i="8"/>
  <c r="AX347" i="16" s="1"/>
  <c r="AU364" i="16"/>
  <c r="AZ364" i="16" s="1"/>
  <c r="K369" i="8"/>
  <c r="AX364" i="16" s="1"/>
  <c r="AU365" i="16"/>
  <c r="AZ365" i="16" s="1"/>
  <c r="K370" i="8"/>
  <c r="AX365" i="16" s="1"/>
  <c r="AU366" i="16"/>
  <c r="AZ366" i="16" s="1"/>
  <c r="K371" i="8"/>
  <c r="AX366" i="16" s="1"/>
  <c r="AU367" i="16"/>
  <c r="AZ367" i="16" s="1"/>
  <c r="K372" i="8"/>
  <c r="AX367" i="16" s="1"/>
  <c r="AU368" i="16"/>
  <c r="AZ368" i="16" s="1"/>
  <c r="K373" i="8"/>
  <c r="AX368" i="16" s="1"/>
  <c r="AU369" i="16"/>
  <c r="AZ369" i="16" s="1"/>
  <c r="K374" i="8"/>
  <c r="AX369" i="16" s="1"/>
  <c r="AU370" i="16"/>
  <c r="AZ370" i="16" s="1"/>
  <c r="K375" i="8"/>
  <c r="AX370" i="16" s="1"/>
  <c r="AU371" i="16"/>
  <c r="AZ371" i="16" s="1"/>
  <c r="K376" i="8"/>
  <c r="AX371" i="16" s="1"/>
  <c r="AU372" i="16"/>
  <c r="AZ372" i="16" s="1"/>
  <c r="K377" i="8"/>
  <c r="AX372" i="16" s="1"/>
  <c r="AU373" i="16"/>
  <c r="AZ373" i="16" s="1"/>
  <c r="K378" i="8"/>
  <c r="AX373" i="16" s="1"/>
  <c r="AU374" i="16"/>
  <c r="AZ374" i="16" s="1"/>
  <c r="K379" i="8"/>
  <c r="AX374" i="16" s="1"/>
  <c r="AU375" i="16"/>
  <c r="AZ375" i="16" s="1"/>
  <c r="K380" i="8"/>
  <c r="AX375" i="16" s="1"/>
  <c r="AU376" i="16"/>
  <c r="AZ376" i="16" s="1"/>
  <c r="K381" i="8"/>
  <c r="AX376" i="16" s="1"/>
  <c r="AU377" i="16"/>
  <c r="AZ377" i="16" s="1"/>
  <c r="K382" i="8"/>
  <c r="AX377" i="16" s="1"/>
  <c r="AU378" i="16"/>
  <c r="AZ378" i="16" s="1"/>
  <c r="K383" i="8"/>
  <c r="AX378" i="16" s="1"/>
  <c r="AU379" i="16"/>
  <c r="AZ379" i="16" s="1"/>
  <c r="K384" i="8"/>
  <c r="AX379" i="16" s="1"/>
  <c r="AU380" i="16"/>
  <c r="AZ380" i="16" s="1"/>
  <c r="K385" i="8"/>
  <c r="AX380" i="16" s="1"/>
  <c r="AU381" i="16"/>
  <c r="AZ381" i="16" s="1"/>
  <c r="K386" i="8"/>
  <c r="AX381" i="16" s="1"/>
  <c r="AU382" i="16"/>
  <c r="AZ382" i="16" s="1"/>
  <c r="K387" i="8"/>
  <c r="AX382" i="16" s="1"/>
  <c r="AU383" i="16"/>
  <c r="AZ383" i="16" s="1"/>
  <c r="K388" i="8"/>
  <c r="AX383" i="16" s="1"/>
  <c r="AU384" i="16"/>
  <c r="AZ384" i="16" s="1"/>
  <c r="K389" i="8"/>
  <c r="AX384" i="16" s="1"/>
  <c r="AU385" i="16"/>
  <c r="AZ385" i="16" s="1"/>
  <c r="K390" i="8"/>
  <c r="AX385" i="16" s="1"/>
  <c r="AU386" i="16"/>
  <c r="AZ386" i="16" s="1"/>
  <c r="K391" i="8"/>
  <c r="AX386" i="16" s="1"/>
  <c r="AU387" i="16"/>
  <c r="AZ387" i="16" s="1"/>
  <c r="K392" i="8"/>
  <c r="AX387" i="16" s="1"/>
  <c r="AU388" i="16"/>
  <c r="AZ388" i="16" s="1"/>
  <c r="K393" i="8"/>
  <c r="AX388" i="16" s="1"/>
  <c r="AU389" i="16"/>
  <c r="AZ389" i="16" s="1"/>
  <c r="K394" i="8"/>
  <c r="AX389" i="16" s="1"/>
  <c r="AU390" i="16"/>
  <c r="AZ390" i="16" s="1"/>
  <c r="K395" i="8"/>
  <c r="AX390" i="16" s="1"/>
  <c r="AU391" i="16"/>
  <c r="AZ391" i="16" s="1"/>
  <c r="K396" i="8"/>
  <c r="AX391" i="16" s="1"/>
  <c r="AU392" i="16"/>
  <c r="AZ392" i="16" s="1"/>
  <c r="K397" i="8"/>
  <c r="AX392" i="16" s="1"/>
  <c r="AU393" i="16"/>
  <c r="AZ393" i="16" s="1"/>
  <c r="K398" i="8"/>
  <c r="AX393" i="16" s="1"/>
  <c r="AU394" i="16"/>
  <c r="AZ394" i="16" s="1"/>
  <c r="K399" i="8"/>
  <c r="AX394" i="16" s="1"/>
  <c r="AU395" i="16"/>
  <c r="AZ395" i="16" s="1"/>
  <c r="K400" i="8"/>
  <c r="AX395" i="16" s="1"/>
  <c r="AU396" i="16"/>
  <c r="AZ396" i="16" s="1"/>
  <c r="K401" i="8"/>
  <c r="AX396" i="16" s="1"/>
  <c r="AU397" i="16"/>
  <c r="AZ397" i="16" s="1"/>
  <c r="K402" i="8"/>
  <c r="AX397" i="16" s="1"/>
  <c r="AU398" i="16"/>
  <c r="AZ398" i="16" s="1"/>
  <c r="K403" i="8"/>
  <c r="AX398" i="16" s="1"/>
  <c r="AU399" i="16"/>
  <c r="AZ399" i="16" s="1"/>
  <c r="K404" i="8"/>
  <c r="AX399" i="16" s="1"/>
  <c r="AU400" i="16"/>
  <c r="AZ400" i="16" s="1"/>
  <c r="K405" i="8"/>
  <c r="AX400" i="16" s="1"/>
  <c r="AU401" i="16"/>
  <c r="AZ401" i="16" s="1"/>
  <c r="K406" i="8"/>
  <c r="AX401" i="16" s="1"/>
  <c r="AU403" i="16"/>
  <c r="AZ403" i="16" s="1"/>
  <c r="K408" i="8"/>
  <c r="AX403" i="16" s="1"/>
  <c r="AU404" i="16"/>
  <c r="AZ404" i="16" s="1"/>
  <c r="K409" i="8"/>
  <c r="AX404" i="16" s="1"/>
  <c r="AU405" i="16"/>
  <c r="AZ405" i="16" s="1"/>
  <c r="K410" i="8"/>
  <c r="AX405" i="16" s="1"/>
  <c r="AU406" i="16"/>
  <c r="AZ406" i="16" s="1"/>
  <c r="K411" i="8"/>
  <c r="AX406" i="16" s="1"/>
  <c r="AU407" i="16"/>
  <c r="AZ407" i="16" s="1"/>
  <c r="K412" i="8"/>
  <c r="AX407" i="16" s="1"/>
  <c r="AU408" i="16"/>
  <c r="AZ408" i="16" s="1"/>
  <c r="K413" i="8"/>
  <c r="AX408" i="16" s="1"/>
  <c r="AU409" i="16"/>
  <c r="AZ409" i="16" s="1"/>
  <c r="K414" i="8"/>
  <c r="AX409" i="16" s="1"/>
  <c r="AU410" i="16"/>
  <c r="AZ410" i="16" s="1"/>
  <c r="K415" i="8"/>
  <c r="AX410" i="16" s="1"/>
  <c r="AU411" i="16"/>
  <c r="AZ411" i="16" s="1"/>
  <c r="K416" i="8"/>
  <c r="AX411" i="16" s="1"/>
  <c r="AU412" i="16"/>
  <c r="AZ412" i="16" s="1"/>
  <c r="K417" i="8"/>
  <c r="AX412" i="16" s="1"/>
  <c r="AU413" i="16"/>
  <c r="AZ413" i="16" s="1"/>
  <c r="K418" i="8"/>
  <c r="AX413" i="16" s="1"/>
  <c r="AU414" i="16"/>
  <c r="AZ414" i="16" s="1"/>
  <c r="K419" i="8"/>
  <c r="AX414" i="16" s="1"/>
  <c r="AU415" i="16"/>
  <c r="AZ415" i="16" s="1"/>
  <c r="K420" i="8"/>
  <c r="AX415" i="16" s="1"/>
  <c r="AU416" i="16"/>
  <c r="AZ416" i="16" s="1"/>
  <c r="K421" i="8"/>
  <c r="AX416" i="16" s="1"/>
  <c r="AU417" i="16"/>
  <c r="AZ417" i="16" s="1"/>
  <c r="K422" i="8"/>
  <c r="AX417" i="16" s="1"/>
  <c r="AU418" i="16"/>
  <c r="AZ418" i="16" s="1"/>
  <c r="K423" i="8"/>
  <c r="AX418" i="16" s="1"/>
  <c r="AU419" i="16"/>
  <c r="AZ419" i="16" s="1"/>
  <c r="K424" i="8"/>
  <c r="AX419" i="16" s="1"/>
  <c r="AU420" i="16"/>
  <c r="AZ420" i="16" s="1"/>
  <c r="K425" i="8"/>
  <c r="AX420" i="16" s="1"/>
  <c r="AU421" i="16"/>
  <c r="AZ421" i="16" s="1"/>
  <c r="K426" i="8"/>
  <c r="AX421" i="16" s="1"/>
  <c r="AU422" i="16"/>
  <c r="AZ422" i="16" s="1"/>
  <c r="K427" i="8"/>
  <c r="AX422" i="16" s="1"/>
  <c r="AU423" i="16"/>
  <c r="AZ423" i="16" s="1"/>
  <c r="K428" i="8"/>
  <c r="AX423" i="16" s="1"/>
  <c r="AU424" i="16"/>
  <c r="AZ424" i="16" s="1"/>
  <c r="K429" i="8"/>
  <c r="AX424" i="16" s="1"/>
  <c r="AU425" i="16"/>
  <c r="AZ425" i="16" s="1"/>
  <c r="K430" i="8"/>
  <c r="AX425" i="16" s="1"/>
  <c r="AU426" i="16"/>
  <c r="AZ426" i="16" s="1"/>
  <c r="K431" i="8"/>
  <c r="AX426" i="16" s="1"/>
  <c r="AU427" i="16"/>
  <c r="AZ427" i="16" s="1"/>
  <c r="K432" i="8"/>
  <c r="AX427" i="16" s="1"/>
  <c r="AU428" i="16"/>
  <c r="AZ428" i="16" s="1"/>
  <c r="K433" i="8"/>
  <c r="AX428" i="16" s="1"/>
  <c r="AU429" i="16"/>
  <c r="AZ429" i="16" s="1"/>
  <c r="K434" i="8"/>
  <c r="AX429" i="16" s="1"/>
  <c r="AU430" i="16"/>
  <c r="AZ430" i="16" s="1"/>
  <c r="K435" i="8"/>
  <c r="AX430" i="16" s="1"/>
  <c r="AU431" i="16"/>
  <c r="AZ431" i="16" s="1"/>
  <c r="K436" i="8"/>
  <c r="AX431" i="16" s="1"/>
  <c r="AU432" i="16"/>
  <c r="AZ432" i="16" s="1"/>
  <c r="K437" i="8"/>
  <c r="AX432" i="16" s="1"/>
  <c r="AU433" i="16"/>
  <c r="AZ433" i="16" s="1"/>
  <c r="K438" i="8"/>
  <c r="AX433" i="16" s="1"/>
  <c r="AU434" i="16"/>
  <c r="AZ434" i="16" s="1"/>
  <c r="K439" i="8"/>
  <c r="AX434" i="16" s="1"/>
  <c r="AU435" i="16"/>
  <c r="AZ435" i="16" s="1"/>
  <c r="K440" i="8"/>
  <c r="AX435" i="16" s="1"/>
  <c r="AU436" i="16"/>
  <c r="AZ436" i="16" s="1"/>
  <c r="K441" i="8"/>
  <c r="AX436" i="16" s="1"/>
  <c r="AU437" i="16"/>
  <c r="AZ437" i="16" s="1"/>
  <c r="K442" i="8"/>
  <c r="AX437" i="16" s="1"/>
  <c r="AU438" i="16"/>
  <c r="AZ438" i="16" s="1"/>
  <c r="K443" i="8"/>
  <c r="AX438" i="16" s="1"/>
  <c r="AU439" i="16"/>
  <c r="AZ439" i="16" s="1"/>
  <c r="K444" i="8"/>
  <c r="AX439" i="16" s="1"/>
  <c r="K407" i="8"/>
  <c r="AX402" i="16" s="1"/>
  <c r="AU402" i="16"/>
  <c r="AZ402" i="16" s="1"/>
  <c r="AU453" i="16"/>
  <c r="AZ453" i="16" s="1"/>
  <c r="K458" i="8"/>
  <c r="AX453" i="16" s="1"/>
  <c r="K104" i="8"/>
  <c r="AX99" i="16" s="1"/>
  <c r="AU99" i="16"/>
  <c r="AZ99" i="16" s="1"/>
  <c r="K105" i="8"/>
  <c r="AX100" i="16" s="1"/>
  <c r="AU100" i="16"/>
  <c r="AZ100" i="16" s="1"/>
  <c r="K106" i="8"/>
  <c r="AX101" i="16" s="1"/>
  <c r="AU101" i="16"/>
  <c r="AZ101" i="16" s="1"/>
  <c r="K107" i="8"/>
  <c r="AX102" i="16" s="1"/>
  <c r="AU102" i="16"/>
  <c r="AZ102" i="16" s="1"/>
  <c r="K108" i="8"/>
  <c r="AX103" i="16" s="1"/>
  <c r="AU103" i="16"/>
  <c r="AZ103" i="16" s="1"/>
  <c r="AU104" i="16"/>
  <c r="AZ104" i="16" s="1"/>
  <c r="K109" i="8"/>
  <c r="AX104" i="16" s="1"/>
  <c r="AU105" i="16"/>
  <c r="AZ105" i="16" s="1"/>
  <c r="K110" i="8"/>
  <c r="AX105" i="16" s="1"/>
  <c r="AU106" i="16"/>
  <c r="AZ106" i="16" s="1"/>
  <c r="K111" i="8"/>
  <c r="AX106" i="16" s="1"/>
  <c r="K112" i="8"/>
  <c r="AX107" i="16" s="1"/>
  <c r="AU107" i="16"/>
  <c r="AZ107" i="16" s="1"/>
  <c r="K113" i="8"/>
  <c r="AX108" i="16" s="1"/>
  <c r="AU108" i="16"/>
  <c r="AZ108" i="16" s="1"/>
  <c r="AU109" i="16"/>
  <c r="AZ109" i="16" s="1"/>
  <c r="K114" i="8"/>
  <c r="AX109" i="16" s="1"/>
  <c r="K115" i="8"/>
  <c r="AX110" i="16" s="1"/>
  <c r="AU110" i="16"/>
  <c r="AZ110" i="16" s="1"/>
  <c r="K116" i="8"/>
  <c r="AX111" i="16" s="1"/>
  <c r="AU111" i="16"/>
  <c r="AZ111" i="16" s="1"/>
  <c r="AU112" i="16"/>
  <c r="AZ112" i="16" s="1"/>
  <c r="K117" i="8"/>
  <c r="AX112" i="16" s="1"/>
  <c r="K118" i="8"/>
  <c r="AX113" i="16" s="1"/>
  <c r="AU113" i="16"/>
  <c r="AZ113" i="16" s="1"/>
  <c r="AU114" i="16"/>
  <c r="AZ114" i="16" s="1"/>
  <c r="K119" i="8"/>
  <c r="AX114" i="16" s="1"/>
  <c r="K120" i="8"/>
  <c r="AX115" i="16" s="1"/>
  <c r="AU115" i="16"/>
  <c r="AZ115" i="16" s="1"/>
  <c r="K121" i="8"/>
  <c r="AX116" i="16" s="1"/>
  <c r="AU116" i="16"/>
  <c r="AZ116" i="16" s="1"/>
  <c r="K122" i="8"/>
  <c r="AX117" i="16" s="1"/>
  <c r="AU117" i="16"/>
  <c r="AZ117" i="16" s="1"/>
  <c r="AU118" i="16"/>
  <c r="AZ118" i="16" s="1"/>
  <c r="K123" i="8"/>
  <c r="AX118" i="16" s="1"/>
  <c r="K124" i="8"/>
  <c r="AX119" i="16" s="1"/>
  <c r="AU119" i="16"/>
  <c r="AZ119" i="16" s="1"/>
  <c r="AU120" i="16"/>
  <c r="AZ120" i="16" s="1"/>
  <c r="K125" i="8"/>
  <c r="AX120" i="16" s="1"/>
  <c r="K126" i="8"/>
  <c r="AX121" i="16" s="1"/>
  <c r="AU121" i="16"/>
  <c r="AZ121" i="16" s="1"/>
  <c r="K127" i="8"/>
  <c r="AX122" i="16" s="1"/>
  <c r="AU122" i="16"/>
  <c r="AZ122" i="16" s="1"/>
  <c r="K128" i="8"/>
  <c r="AX123" i="16" s="1"/>
  <c r="AU123" i="16"/>
  <c r="AZ123" i="16" s="1"/>
  <c r="AU124" i="16"/>
  <c r="AZ124" i="16" s="1"/>
  <c r="K129" i="8"/>
  <c r="AX124" i="16" s="1"/>
  <c r="AU125" i="16"/>
  <c r="AZ125" i="16" s="1"/>
  <c r="K130" i="8"/>
  <c r="AX125" i="16" s="1"/>
  <c r="K131" i="8"/>
  <c r="AX126" i="16" s="1"/>
  <c r="AU126" i="16"/>
  <c r="AZ126" i="16" s="1"/>
  <c r="AU127" i="16"/>
  <c r="AZ127" i="16" s="1"/>
  <c r="K132" i="8"/>
  <c r="AX127" i="16" s="1"/>
  <c r="AU128" i="16"/>
  <c r="AZ128" i="16" s="1"/>
  <c r="K133" i="8"/>
  <c r="AX128" i="16" s="1"/>
  <c r="AU129" i="16"/>
  <c r="AZ129" i="16" s="1"/>
  <c r="K134" i="8"/>
  <c r="AX129" i="16" s="1"/>
  <c r="AU130" i="16"/>
  <c r="AZ130" i="16" s="1"/>
  <c r="K135" i="8"/>
  <c r="AX130" i="16" s="1"/>
  <c r="AU131" i="16"/>
  <c r="AZ131" i="16" s="1"/>
  <c r="K136" i="8"/>
  <c r="AX131" i="16" s="1"/>
  <c r="AU132" i="16"/>
  <c r="AZ132" i="16" s="1"/>
  <c r="K137" i="8"/>
  <c r="AX132" i="16" s="1"/>
  <c r="AU133" i="16"/>
  <c r="AZ133" i="16" s="1"/>
  <c r="K138" i="8"/>
  <c r="AX133" i="16" s="1"/>
  <c r="AU134" i="16"/>
  <c r="AZ134" i="16" s="1"/>
  <c r="K139" i="8"/>
  <c r="AX134" i="16" s="1"/>
  <c r="AU135" i="16"/>
  <c r="AZ135" i="16" s="1"/>
  <c r="K140" i="8"/>
  <c r="AX135" i="16" s="1"/>
  <c r="AU136" i="16"/>
  <c r="AZ136" i="16" s="1"/>
  <c r="K141" i="8"/>
  <c r="AX136" i="16" s="1"/>
  <c r="AU137" i="16"/>
  <c r="AZ137" i="16" s="1"/>
  <c r="K142" i="8"/>
  <c r="AX137" i="16" s="1"/>
  <c r="K143" i="8"/>
  <c r="AX138" i="16" s="1"/>
  <c r="AU138" i="16"/>
  <c r="AZ138" i="16" s="1"/>
  <c r="AU139" i="16"/>
  <c r="AZ139" i="16" s="1"/>
  <c r="K144" i="8"/>
  <c r="AX139" i="16" s="1"/>
  <c r="AU140" i="16"/>
  <c r="AZ140" i="16" s="1"/>
  <c r="K145" i="8"/>
  <c r="AX140" i="16" s="1"/>
  <c r="K146" i="8"/>
  <c r="AX141" i="16" s="1"/>
  <c r="AU141" i="16"/>
  <c r="AZ141" i="16" s="1"/>
  <c r="AU142" i="16"/>
  <c r="AZ142" i="16" s="1"/>
  <c r="K147" i="8"/>
  <c r="AX142" i="16" s="1"/>
  <c r="AU143" i="16"/>
  <c r="AZ143" i="16" s="1"/>
  <c r="K148" i="8"/>
  <c r="AX143" i="16" s="1"/>
  <c r="K149" i="8"/>
  <c r="AX144" i="16" s="1"/>
  <c r="AU144" i="16"/>
  <c r="AZ144" i="16" s="1"/>
  <c r="AU145" i="16"/>
  <c r="AZ145" i="16" s="1"/>
  <c r="K150" i="8"/>
  <c r="AX145" i="16" s="1"/>
  <c r="AU146" i="16"/>
  <c r="AZ146" i="16" s="1"/>
  <c r="K151" i="8"/>
  <c r="AX146" i="16" s="1"/>
  <c r="AU147" i="16"/>
  <c r="AZ147" i="16" s="1"/>
  <c r="K152" i="8"/>
  <c r="AX147" i="16" s="1"/>
  <c r="K153" i="8"/>
  <c r="AX148" i="16" s="1"/>
  <c r="AU148" i="16"/>
  <c r="AZ148" i="16" s="1"/>
  <c r="K154" i="8"/>
  <c r="AX149" i="16" s="1"/>
  <c r="AU149" i="16"/>
  <c r="AZ149" i="16" s="1"/>
  <c r="AU150" i="16"/>
  <c r="AZ150" i="16" s="1"/>
  <c r="K155" i="8"/>
  <c r="AX150" i="16" s="1"/>
  <c r="K156" i="8"/>
  <c r="AX151" i="16" s="1"/>
  <c r="AU151" i="16"/>
  <c r="AZ151" i="16" s="1"/>
  <c r="AU152" i="16"/>
  <c r="AZ152" i="16" s="1"/>
  <c r="K157" i="8"/>
  <c r="AX152" i="16" s="1"/>
  <c r="K158" i="8"/>
  <c r="AX153" i="16" s="1"/>
  <c r="AU153" i="16"/>
  <c r="AZ153" i="16" s="1"/>
  <c r="K159" i="8"/>
  <c r="AX154" i="16" s="1"/>
  <c r="AU154" i="16"/>
  <c r="AZ154" i="16" s="1"/>
  <c r="AU155" i="16"/>
  <c r="AZ155" i="16" s="1"/>
  <c r="K160" i="8"/>
  <c r="AX155" i="16" s="1"/>
  <c r="K161" i="8"/>
  <c r="AX156" i="16" s="1"/>
  <c r="AU156" i="16"/>
  <c r="AZ156" i="16" s="1"/>
  <c r="K162" i="8"/>
  <c r="AX157" i="16" s="1"/>
  <c r="AU157" i="16"/>
  <c r="AZ157" i="16" s="1"/>
  <c r="AU158" i="16"/>
  <c r="AZ158" i="16" s="1"/>
  <c r="K163" i="8"/>
  <c r="AX158" i="16" s="1"/>
  <c r="K164" i="8"/>
  <c r="AX159" i="16" s="1"/>
  <c r="AU159" i="16"/>
  <c r="AZ159" i="16" s="1"/>
  <c r="K165" i="8"/>
  <c r="AX160" i="16" s="1"/>
  <c r="AU160" i="16"/>
  <c r="AZ160" i="16" s="1"/>
  <c r="K166" i="8"/>
  <c r="AX161" i="16" s="1"/>
  <c r="AU161" i="16"/>
  <c r="AZ161" i="16" s="1"/>
  <c r="AU162" i="16"/>
  <c r="AZ162" i="16" s="1"/>
  <c r="K167" i="8"/>
  <c r="AX162" i="16" s="1"/>
  <c r="AU163" i="16"/>
  <c r="AZ163" i="16" s="1"/>
  <c r="K168" i="8"/>
  <c r="AX163" i="16" s="1"/>
  <c r="AU164" i="16"/>
  <c r="AZ164" i="16" s="1"/>
  <c r="K169" i="8"/>
  <c r="AX164" i="16" s="1"/>
  <c r="AU165" i="16"/>
  <c r="AZ165" i="16" s="1"/>
  <c r="K170" i="8"/>
  <c r="AX165" i="16" s="1"/>
  <c r="K171" i="8"/>
  <c r="AX166" i="16" s="1"/>
  <c r="AU166" i="16"/>
  <c r="AZ166" i="16" s="1"/>
  <c r="K172" i="8"/>
  <c r="AX167" i="16" s="1"/>
  <c r="AU167" i="16"/>
  <c r="AZ167" i="16" s="1"/>
  <c r="AU168" i="16"/>
  <c r="AZ168" i="16" s="1"/>
  <c r="K173" i="8"/>
  <c r="AX168" i="16" s="1"/>
  <c r="K174" i="8"/>
  <c r="AX169" i="16" s="1"/>
  <c r="AU169" i="16"/>
  <c r="AZ169" i="16" s="1"/>
  <c r="AU170" i="16"/>
  <c r="AZ170" i="16" s="1"/>
  <c r="K175" i="8"/>
  <c r="AX170" i="16" s="1"/>
  <c r="AU171" i="16"/>
  <c r="AZ171" i="16" s="1"/>
  <c r="K176" i="8"/>
  <c r="AX171" i="16" s="1"/>
  <c r="K177" i="8"/>
  <c r="AX172" i="16" s="1"/>
  <c r="AU172" i="16"/>
  <c r="AZ172" i="16" s="1"/>
  <c r="AU173" i="16"/>
  <c r="AZ173" i="16" s="1"/>
  <c r="K178" i="8"/>
  <c r="AX173" i="16" s="1"/>
  <c r="AU174" i="16"/>
  <c r="AZ174" i="16" s="1"/>
  <c r="K179" i="8"/>
  <c r="AX174" i="16" s="1"/>
  <c r="AU175" i="16"/>
  <c r="AZ175" i="16" s="1"/>
  <c r="K180" i="8"/>
  <c r="AX175" i="16" s="1"/>
  <c r="K181" i="8"/>
  <c r="AX176" i="16" s="1"/>
  <c r="AU176" i="16"/>
  <c r="AZ176" i="16" s="1"/>
  <c r="K182" i="8"/>
  <c r="AX177" i="16" s="1"/>
  <c r="AU177" i="16"/>
  <c r="AZ177" i="16" s="1"/>
  <c r="K183" i="8"/>
  <c r="AX178" i="16" s="1"/>
  <c r="AU178" i="16"/>
  <c r="AZ178" i="16" s="1"/>
  <c r="AU179" i="16"/>
  <c r="AZ179" i="16" s="1"/>
  <c r="K184" i="8"/>
  <c r="AX179" i="16" s="1"/>
  <c r="K185" i="8"/>
  <c r="AX180" i="16" s="1"/>
  <c r="AU180" i="16"/>
  <c r="AZ180" i="16" s="1"/>
  <c r="K186" i="8"/>
  <c r="AX181" i="16" s="1"/>
  <c r="AU181" i="16"/>
  <c r="AZ181" i="16" s="1"/>
  <c r="K187" i="8"/>
  <c r="AX182" i="16" s="1"/>
  <c r="AU182" i="16"/>
  <c r="AZ182" i="16" s="1"/>
  <c r="AU183" i="16"/>
  <c r="AZ183" i="16" s="1"/>
  <c r="K188" i="8"/>
  <c r="AX183" i="16" s="1"/>
  <c r="K189" i="8"/>
  <c r="AX184" i="16" s="1"/>
  <c r="AU184" i="16"/>
  <c r="AZ184" i="16" s="1"/>
  <c r="K190" i="8"/>
  <c r="AX185" i="16" s="1"/>
  <c r="AU185" i="16"/>
  <c r="AZ185" i="16" s="1"/>
  <c r="AU186" i="16"/>
  <c r="AZ186" i="16" s="1"/>
  <c r="K191" i="8"/>
  <c r="AX186" i="16" s="1"/>
  <c r="K192" i="8"/>
  <c r="AX187" i="16" s="1"/>
  <c r="AU187" i="16"/>
  <c r="AZ187" i="16" s="1"/>
  <c r="K193" i="8"/>
  <c r="AX188" i="16" s="1"/>
  <c r="AU188" i="16"/>
  <c r="AZ188" i="16" s="1"/>
  <c r="K194" i="8"/>
  <c r="AX189" i="16" s="1"/>
  <c r="AU189" i="16"/>
  <c r="AZ189" i="16" s="1"/>
  <c r="K195" i="8"/>
  <c r="AX190" i="16" s="1"/>
  <c r="AU190" i="16"/>
  <c r="AZ190" i="16" s="1"/>
  <c r="AU191" i="16"/>
  <c r="AZ191" i="16" s="1"/>
  <c r="K196" i="8"/>
  <c r="AX191" i="16" s="1"/>
  <c r="AU192" i="16"/>
  <c r="AZ192" i="16" s="1"/>
  <c r="K197" i="8"/>
  <c r="AX192" i="16" s="1"/>
  <c r="AU193" i="16"/>
  <c r="AZ193" i="16" s="1"/>
  <c r="K198" i="8"/>
  <c r="AX193" i="16" s="1"/>
  <c r="AU194" i="16"/>
  <c r="AZ194" i="16" s="1"/>
  <c r="K199" i="8"/>
  <c r="AX194" i="16" s="1"/>
  <c r="AU195" i="16"/>
  <c r="AZ195" i="16" s="1"/>
  <c r="K200" i="8"/>
  <c r="AX195" i="16" s="1"/>
  <c r="AU196" i="16"/>
  <c r="AZ196" i="16" s="1"/>
  <c r="K201" i="8"/>
  <c r="AX196" i="16" s="1"/>
  <c r="AU197" i="16"/>
  <c r="AZ197" i="16" s="1"/>
  <c r="K202" i="8"/>
  <c r="AX197" i="16" s="1"/>
  <c r="K203" i="8"/>
  <c r="AX198" i="16" s="1"/>
  <c r="AU198" i="16"/>
  <c r="AZ198" i="16" s="1"/>
  <c r="AU199" i="16"/>
  <c r="AZ199" i="16" s="1"/>
  <c r="K204" i="8"/>
  <c r="AX199" i="16" s="1"/>
  <c r="K205" i="8"/>
  <c r="AX200" i="16" s="1"/>
  <c r="AU200" i="16"/>
  <c r="AZ200" i="16" s="1"/>
  <c r="K206" i="8"/>
  <c r="AX201" i="16" s="1"/>
  <c r="AU201" i="16"/>
  <c r="AZ201" i="16" s="1"/>
  <c r="AU202" i="16"/>
  <c r="AZ202" i="16" s="1"/>
  <c r="K207" i="8"/>
  <c r="AX202" i="16" s="1"/>
  <c r="K208" i="8"/>
  <c r="AX203" i="16" s="1"/>
  <c r="AU203" i="16"/>
  <c r="AZ203" i="16" s="1"/>
  <c r="K209" i="8"/>
  <c r="AX204" i="16" s="1"/>
  <c r="AU204" i="16"/>
  <c r="AZ204" i="16" s="1"/>
  <c r="K210" i="8"/>
  <c r="AX205" i="16" s="1"/>
  <c r="AU205" i="16"/>
  <c r="AZ205" i="16" s="1"/>
  <c r="AU206" i="16"/>
  <c r="AZ206" i="16" s="1"/>
  <c r="K211" i="8"/>
  <c r="AX206" i="16" s="1"/>
  <c r="K212" i="8"/>
  <c r="AX207" i="16" s="1"/>
  <c r="AU207" i="16"/>
  <c r="AZ207" i="16" s="1"/>
  <c r="AU208" i="16"/>
  <c r="AZ208" i="16" s="1"/>
  <c r="K213" i="8"/>
  <c r="AX208" i="16" s="1"/>
  <c r="K214" i="8"/>
  <c r="AX209" i="16" s="1"/>
  <c r="AU209" i="16"/>
  <c r="AZ209" i="16" s="1"/>
  <c r="K215" i="8"/>
  <c r="AX210" i="16" s="1"/>
  <c r="AU210" i="16"/>
  <c r="AZ210" i="16" s="1"/>
  <c r="AU211" i="16"/>
  <c r="AZ211" i="16" s="1"/>
  <c r="K216" i="8"/>
  <c r="AX211" i="16" s="1"/>
  <c r="AU212" i="16"/>
  <c r="AZ212" i="16" s="1"/>
  <c r="K217" i="8"/>
  <c r="AX212" i="16" s="1"/>
  <c r="K218" i="8"/>
  <c r="AX213" i="16" s="1"/>
  <c r="AU213" i="16"/>
  <c r="AZ213" i="16" s="1"/>
  <c r="K219" i="8"/>
  <c r="AX214" i="16" s="1"/>
  <c r="AU214" i="16"/>
  <c r="AZ214" i="16" s="1"/>
  <c r="K220" i="8"/>
  <c r="AX215" i="16" s="1"/>
  <c r="AU215" i="16"/>
  <c r="AZ215" i="16" s="1"/>
  <c r="AU216" i="16"/>
  <c r="AZ216" i="16" s="1"/>
  <c r="K221" i="8"/>
  <c r="AX216" i="16" s="1"/>
  <c r="K222" i="8"/>
  <c r="AX217" i="16" s="1"/>
  <c r="AU217" i="16"/>
  <c r="AZ217" i="16" s="1"/>
  <c r="K223" i="8"/>
  <c r="AX218" i="16" s="1"/>
  <c r="AU218" i="16"/>
  <c r="AZ218" i="16" s="1"/>
  <c r="K224" i="8"/>
  <c r="AX219" i="16" s="1"/>
  <c r="AU219" i="16"/>
  <c r="AZ219" i="16" s="1"/>
  <c r="K225" i="8"/>
  <c r="AX220" i="16" s="1"/>
  <c r="AU220" i="16"/>
  <c r="AZ220" i="16" s="1"/>
  <c r="K226" i="8"/>
  <c r="AX221" i="16" s="1"/>
  <c r="AU221" i="16"/>
  <c r="AZ221" i="16" s="1"/>
  <c r="K227" i="8"/>
  <c r="AX222" i="16" s="1"/>
  <c r="AU222" i="16"/>
  <c r="AZ222" i="16" s="1"/>
  <c r="AU223" i="16"/>
  <c r="AZ223" i="16" s="1"/>
  <c r="K228" i="8"/>
  <c r="AX223" i="16" s="1"/>
  <c r="AU224" i="16"/>
  <c r="AZ224" i="16" s="1"/>
  <c r="K229" i="8"/>
  <c r="AX224" i="16" s="1"/>
  <c r="AU225" i="16"/>
  <c r="AZ225" i="16" s="1"/>
  <c r="K230" i="8"/>
  <c r="AX225" i="16" s="1"/>
  <c r="AU226" i="16"/>
  <c r="AZ226" i="16" s="1"/>
  <c r="K231" i="8"/>
  <c r="AX226" i="16" s="1"/>
  <c r="K232" i="8"/>
  <c r="AX227" i="16" s="1"/>
  <c r="AU227" i="16"/>
  <c r="AZ227" i="16" s="1"/>
  <c r="K233" i="8"/>
  <c r="AX228" i="16" s="1"/>
  <c r="AU228" i="16"/>
  <c r="AZ228" i="16" s="1"/>
  <c r="AU229" i="16"/>
  <c r="AZ229" i="16" s="1"/>
  <c r="K234" i="8"/>
  <c r="AX229" i="16" s="1"/>
  <c r="K235" i="8"/>
  <c r="AX230" i="16" s="1"/>
  <c r="AU230" i="16"/>
  <c r="AZ230" i="16" s="1"/>
  <c r="AU231" i="16"/>
  <c r="AZ231" i="16" s="1"/>
  <c r="K236" i="8"/>
  <c r="AX231" i="16" s="1"/>
  <c r="K237" i="8"/>
  <c r="AX232" i="16" s="1"/>
  <c r="AU232" i="16"/>
  <c r="AZ232" i="16" s="1"/>
  <c r="AU233" i="16"/>
  <c r="AZ233" i="16" s="1"/>
  <c r="K238" i="8"/>
  <c r="AX233" i="16" s="1"/>
  <c r="K239" i="8"/>
  <c r="AX234" i="16" s="1"/>
  <c r="AU234" i="16"/>
  <c r="AZ234" i="16" s="1"/>
  <c r="K240" i="8"/>
  <c r="AX235" i="16" s="1"/>
  <c r="AU235" i="16"/>
  <c r="AZ235" i="16" s="1"/>
  <c r="AU236" i="16"/>
  <c r="AZ236" i="16" s="1"/>
  <c r="K241" i="8"/>
  <c r="AX236" i="16" s="1"/>
  <c r="K242" i="8"/>
  <c r="AX237" i="16" s="1"/>
  <c r="AU237" i="16"/>
  <c r="AZ237" i="16" s="1"/>
  <c r="AU238" i="16"/>
  <c r="AZ238" i="16" s="1"/>
  <c r="K243" i="8"/>
  <c r="AX238" i="16" s="1"/>
  <c r="K244" i="8"/>
  <c r="AX239" i="16" s="1"/>
  <c r="AU239" i="16"/>
  <c r="AZ239" i="16" s="1"/>
  <c r="K245" i="8"/>
  <c r="AX240" i="16" s="1"/>
  <c r="AU240" i="16"/>
  <c r="AZ240" i="16" s="1"/>
  <c r="AU241" i="16"/>
  <c r="AZ241" i="16" s="1"/>
  <c r="K246" i="8"/>
  <c r="AX241" i="16" s="1"/>
  <c r="K247" i="8"/>
  <c r="AX242" i="16" s="1"/>
  <c r="AU242" i="16"/>
  <c r="AZ242" i="16" s="1"/>
  <c r="AU243" i="16"/>
  <c r="AZ243" i="16" s="1"/>
  <c r="K248" i="8"/>
  <c r="AX243" i="16" s="1"/>
  <c r="K249" i="8"/>
  <c r="AX244" i="16" s="1"/>
  <c r="AU244" i="16"/>
  <c r="AZ244" i="16" s="1"/>
  <c r="AU245" i="16"/>
  <c r="AZ245" i="16" s="1"/>
  <c r="K250" i="8"/>
  <c r="AX245" i="16" s="1"/>
  <c r="K251" i="8"/>
  <c r="AX246" i="16" s="1"/>
  <c r="AU246" i="16"/>
  <c r="AZ246" i="16" s="1"/>
  <c r="K252" i="8"/>
  <c r="AX247" i="16" s="1"/>
  <c r="AU247" i="16"/>
  <c r="AZ247" i="16" s="1"/>
  <c r="AU248" i="16"/>
  <c r="AZ248" i="16" s="1"/>
  <c r="K253" i="8"/>
  <c r="AX248" i="16" s="1"/>
  <c r="AU249" i="16"/>
  <c r="AZ249" i="16" s="1"/>
  <c r="K254" i="8"/>
  <c r="AX249" i="16" s="1"/>
  <c r="AU250" i="16"/>
  <c r="AZ250" i="16" s="1"/>
  <c r="K255" i="8"/>
  <c r="AX250" i="16" s="1"/>
  <c r="K256" i="8"/>
  <c r="AX251" i="16" s="1"/>
  <c r="AU251" i="16"/>
  <c r="AZ251" i="16" s="1"/>
  <c r="AU252" i="16"/>
  <c r="AZ252" i="16" s="1"/>
  <c r="K257" i="8"/>
  <c r="AX252" i="16" s="1"/>
  <c r="AU253" i="16"/>
  <c r="AZ253" i="16" s="1"/>
  <c r="K258" i="8"/>
  <c r="AX253" i="16" s="1"/>
  <c r="K259" i="8"/>
  <c r="AX254" i="16" s="1"/>
  <c r="AU254" i="16"/>
  <c r="AZ254" i="16" s="1"/>
  <c r="AU255" i="16"/>
  <c r="AZ255" i="16" s="1"/>
  <c r="K260" i="8"/>
  <c r="AX255" i="16" s="1"/>
  <c r="K261" i="8"/>
  <c r="AX256" i="16" s="1"/>
  <c r="AU256" i="16"/>
  <c r="AZ256" i="16" s="1"/>
  <c r="K262" i="8"/>
  <c r="AX257" i="16" s="1"/>
  <c r="AU257" i="16"/>
  <c r="AZ257" i="16" s="1"/>
  <c r="AU258" i="16"/>
  <c r="AZ258" i="16" s="1"/>
  <c r="K263" i="8"/>
  <c r="AX258" i="16" s="1"/>
  <c r="AU259" i="16"/>
  <c r="AZ259" i="16" s="1"/>
  <c r="K264" i="8"/>
  <c r="AX259" i="16" s="1"/>
  <c r="K265" i="8"/>
  <c r="AX260" i="16" s="1"/>
  <c r="AU260" i="16"/>
  <c r="AZ260" i="16" s="1"/>
  <c r="K266" i="8"/>
  <c r="AX261" i="16" s="1"/>
  <c r="AU261" i="16"/>
  <c r="AZ261" i="16" s="1"/>
  <c r="AU262" i="16"/>
  <c r="AZ262" i="16" s="1"/>
  <c r="K267" i="8"/>
  <c r="AX262" i="16" s="1"/>
  <c r="K268" i="8"/>
  <c r="AX263" i="16" s="1"/>
  <c r="AU263" i="16"/>
  <c r="AZ263" i="16" s="1"/>
  <c r="K269" i="8"/>
  <c r="AX264" i="16" s="1"/>
  <c r="AU264" i="16"/>
  <c r="AZ264" i="16" s="1"/>
  <c r="AU265" i="16"/>
  <c r="AZ265" i="16" s="1"/>
  <c r="K270" i="8"/>
  <c r="AX265" i="16" s="1"/>
  <c r="K271" i="8"/>
  <c r="AX266" i="16" s="1"/>
  <c r="AU266" i="16"/>
  <c r="AZ266" i="16" s="1"/>
  <c r="K272" i="8"/>
  <c r="AX267" i="16" s="1"/>
  <c r="AU267" i="16"/>
  <c r="AZ267" i="16" s="1"/>
  <c r="AU268" i="16"/>
  <c r="AZ268" i="16" s="1"/>
  <c r="K273" i="8"/>
  <c r="AX268" i="16" s="1"/>
  <c r="K274" i="8"/>
  <c r="AX269" i="16" s="1"/>
  <c r="AU269" i="16"/>
  <c r="AZ269" i="16" s="1"/>
  <c r="AU270" i="16"/>
  <c r="AZ270" i="16" s="1"/>
  <c r="K275" i="8"/>
  <c r="AX270" i="16" s="1"/>
  <c r="K276" i="8"/>
  <c r="AX271" i="16" s="1"/>
  <c r="AU271" i="16"/>
  <c r="AZ271" i="16" s="1"/>
  <c r="K277" i="8"/>
  <c r="AX272" i="16" s="1"/>
  <c r="AU272" i="16"/>
  <c r="AZ272" i="16" s="1"/>
  <c r="AU273" i="16"/>
  <c r="AZ273" i="16" s="1"/>
  <c r="K278" i="8"/>
  <c r="AX273" i="16" s="1"/>
  <c r="K279" i="8"/>
  <c r="AX274" i="16" s="1"/>
  <c r="AU274" i="16"/>
  <c r="AZ274" i="16" s="1"/>
  <c r="AU275" i="16"/>
  <c r="AZ275" i="16" s="1"/>
  <c r="K280" i="8"/>
  <c r="AX275" i="16" s="1"/>
  <c r="K281" i="8"/>
  <c r="AX276" i="16" s="1"/>
  <c r="AU276" i="16"/>
  <c r="AZ276" i="16" s="1"/>
  <c r="AU277" i="16"/>
  <c r="AZ277" i="16" s="1"/>
  <c r="K282" i="8"/>
  <c r="AX277" i="16" s="1"/>
  <c r="K283" i="8"/>
  <c r="AX278" i="16" s="1"/>
  <c r="AU278" i="16"/>
  <c r="AZ278" i="16" s="1"/>
  <c r="K284" i="8"/>
  <c r="AX279" i="16" s="1"/>
  <c r="AU279" i="16"/>
  <c r="AZ279" i="16" s="1"/>
  <c r="AU280" i="16"/>
  <c r="AZ280" i="16" s="1"/>
  <c r="K285" i="8"/>
  <c r="AX280" i="16" s="1"/>
  <c r="K286" i="8"/>
  <c r="AX281" i="16" s="1"/>
  <c r="AU281" i="16"/>
  <c r="AZ281" i="16" s="1"/>
  <c r="K287" i="8"/>
  <c r="AX282" i="16" s="1"/>
  <c r="AU282" i="16"/>
  <c r="AZ282" i="16" s="1"/>
  <c r="AU283" i="16"/>
  <c r="AZ283" i="16" s="1"/>
  <c r="K288" i="8"/>
  <c r="AX283" i="16" s="1"/>
  <c r="K289" i="8"/>
  <c r="AX284" i="16" s="1"/>
  <c r="AU284" i="16"/>
  <c r="AZ284" i="16" s="1"/>
  <c r="AU285" i="16"/>
  <c r="AZ285" i="16" s="1"/>
  <c r="K290" i="8"/>
  <c r="AX285" i="16" s="1"/>
  <c r="K291" i="8"/>
  <c r="AX286" i="16" s="1"/>
  <c r="AU286" i="16"/>
  <c r="AZ286" i="16" s="1"/>
  <c r="AU287" i="16"/>
  <c r="AZ287" i="16" s="1"/>
  <c r="K292" i="8"/>
  <c r="AX287" i="16" s="1"/>
  <c r="K293" i="8"/>
  <c r="AX288" i="16" s="1"/>
  <c r="AU288" i="16"/>
  <c r="AZ288" i="16" s="1"/>
  <c r="AU289" i="16"/>
  <c r="AZ289" i="16" s="1"/>
  <c r="K294" i="8"/>
  <c r="AX289" i="16" s="1"/>
  <c r="K295" i="8"/>
  <c r="AX290" i="16" s="1"/>
  <c r="AU290" i="16"/>
  <c r="AZ290" i="16" s="1"/>
  <c r="AU291" i="16"/>
  <c r="AZ291" i="16" s="1"/>
  <c r="K296" i="8"/>
  <c r="AX291" i="16" s="1"/>
  <c r="AU292" i="16"/>
  <c r="AZ292" i="16" s="1"/>
  <c r="K297" i="8"/>
  <c r="AX292" i="16" s="1"/>
  <c r="AU293" i="16"/>
  <c r="AZ293" i="16" s="1"/>
  <c r="K298" i="8"/>
  <c r="AX293" i="16" s="1"/>
  <c r="K299" i="8"/>
  <c r="AX294" i="16" s="1"/>
  <c r="AU294" i="16"/>
  <c r="AZ294" i="16" s="1"/>
  <c r="AU295" i="16"/>
  <c r="AZ295" i="16" s="1"/>
  <c r="K300" i="8"/>
  <c r="AX295" i="16" s="1"/>
  <c r="K301" i="8"/>
  <c r="AX296" i="16" s="1"/>
  <c r="AU296" i="16"/>
  <c r="AZ296" i="16" s="1"/>
  <c r="AU297" i="16"/>
  <c r="AZ297" i="16" s="1"/>
  <c r="K302" i="8"/>
  <c r="AX297" i="16" s="1"/>
  <c r="K303" i="8"/>
  <c r="AX298" i="16" s="1"/>
  <c r="AU298" i="16"/>
  <c r="AZ298" i="16" s="1"/>
  <c r="AF25" i="13" l="1"/>
  <c r="AT503" i="16"/>
  <c r="AW11" i="16"/>
  <c r="AW503" i="16" s="1"/>
  <c r="BA4" i="16"/>
  <c r="AY4" i="16"/>
  <c r="AZ4" i="16"/>
  <c r="AZ5" i="16"/>
  <c r="AZ10" i="16"/>
  <c r="AZ11" i="16"/>
  <c r="BA11" i="16"/>
  <c r="AY11" i="16"/>
  <c r="AZ3" i="16"/>
  <c r="AY3" i="16"/>
  <c r="BA3" i="16"/>
  <c r="AY5" i="16"/>
  <c r="BA5" i="16"/>
  <c r="BA6" i="16"/>
  <c r="AY6" i="16"/>
  <c r="AY7" i="16"/>
  <c r="BA7" i="16"/>
  <c r="BA8" i="16"/>
  <c r="AY8" i="16"/>
  <c r="BA9" i="16"/>
  <c r="AY9" i="16"/>
  <c r="BA10" i="16"/>
  <c r="AY10" i="16"/>
  <c r="AD30" i="13" l="1"/>
  <c r="BA503" i="16"/>
  <c r="AY503" i="16"/>
</calcChain>
</file>

<file path=xl/sharedStrings.xml><?xml version="1.0" encoding="utf-8"?>
<sst xmlns="http://schemas.openxmlformats.org/spreadsheetml/2006/main" count="1120" uniqueCount="464">
  <si>
    <t>🌎  CALCULADORA PROFESIONAL DE COSTOS DE IMPORTACIÓN</t>
  </si>
  <si>
    <t>P E R Ú   —   S I S T E M A   D E   G E S T I Ó N   A D U A N E R A</t>
  </si>
  <si>
    <t>La herramienta definitiva para calcular costos, tributos y precios de importación en el Perú</t>
  </si>
  <si>
    <t>✦  ¿QUÉ INCLUYE ESTA HERRAMIENTA?  ✦</t>
  </si>
  <si>
    <t xml:space="preserve">  📋  DATOS GENERALES</t>
  </si>
  <si>
    <t xml:space="preserve">  Registro completo del DUA, importador, Incoterm y parámetros tributarios configurables</t>
  </si>
  <si>
    <t xml:space="preserve">  🧾  FACTURA COMERCIAL</t>
  </si>
  <si>
    <t xml:space="preserve">  Ingreso de hasta 30+ productos con cálculo automático de FOB total y prorrateo unitario</t>
  </si>
  <si>
    <t xml:space="preserve">  📦  GASTOS DE IMPORTACIÓN</t>
  </si>
  <si>
    <t xml:space="preserve">  21 conceptos pre-cargados: handling, tracción, almacenaje, agente, transporte y más</t>
  </si>
  <si>
    <t xml:space="preserve">  ⚖️  TRIBUTOS ADUANEROS</t>
  </si>
  <si>
    <t xml:space="preserve">  Cálculo automático: CIF, ADV, IPM, IGV, Deuda Aduanera y Percepción según SUNAT</t>
  </si>
  <si>
    <t xml:space="preserve">  🧮  COSTOS POR PRODUCTO</t>
  </si>
  <si>
    <t xml:space="preserve">  Factor de prorrateo (6 dígitos) y costo unitario en USD y S/. para cada producto</t>
  </si>
  <si>
    <t xml:space="preserve">  💰  PRECIO DE VENTA</t>
  </si>
  <si>
    <t xml:space="preserve">  Margen global o por producto. VV = CT/(1-Margen%). Punto de equilibrio automático</t>
  </si>
  <si>
    <t xml:space="preserve">  🏦  CRÉDITO FISCAL</t>
  </si>
  <si>
    <t xml:space="preserve">  Detalle completo: IGV, IPM, Percepción y gastos afectos. Valor total recuperable en S/.</t>
  </si>
  <si>
    <t xml:space="preserve">  📊  DASHBOARD EJECUTIVO</t>
  </si>
  <si>
    <t xml:space="preserve">  8+ gráficos dinámicos: costos, tributos, márgenes, rentabilidad por producto y más</t>
  </si>
  <si>
    <t>✦  FLUJO DE TRABAJO — 8 PASOS SIMPLES  ✦</t>
  </si>
  <si>
    <t>PASO 1
Configura</t>
  </si>
  <si>
    <t>PASO 2
Carga</t>
  </si>
  <si>
    <t>PASO 3
Registra</t>
  </si>
  <si>
    <t>PASO 4
Automático</t>
  </si>
  <si>
    <t>PASO 5
Analiza</t>
  </si>
  <si>
    <t>PASO 6
Define</t>
  </si>
  <si>
    <t>PASO 7
Recupera</t>
  </si>
  <si>
    <t>PASO 8
Decide</t>
  </si>
  <si>
    <t>Datos generales, tipo de cambio y parámetros tributarios</t>
  </si>
  <si>
    <t>Productos de la factura comercial con FOB unitario</t>
  </si>
  <si>
    <t>Gastos de importación pagados a operadores y agentes</t>
  </si>
  <si>
    <t>El sistema calcula CIF, tributos y deuda aduanera</t>
  </si>
  <si>
    <t>Revisa el costo unitario y factor de prorrateo</t>
  </si>
  <si>
    <t>Establece tu margen y obtén precios de venta sugeridos</t>
  </si>
  <si>
    <t>Visualiza tu crédito fiscal total a recuperar</t>
  </si>
  <si>
    <t>Revisa el dashboard con todos los KPIs y gráficos</t>
  </si>
  <si>
    <t>✦  LEYENDA DE COLORES  ✦</t>
  </si>
  <si>
    <t>🟡 AMARILLO
Campo editable — ingresa tus datos aquí</t>
  </si>
  <si>
    <t>🟢 VERDE
Calculado automáticamente — no editar</t>
  </si>
  <si>
    <t>🔵 AZUL
Total o resumen principal de la sección</t>
  </si>
  <si>
    <t>🟠 NARANJA
Precio de venta o margen de ganancia</t>
  </si>
  <si>
    <t>⚠️  IMPORTANTE: Actualice el Tipo de Cambio antes de cada operación  |  Verifique el Ad Valorem con su Agente de Aduanas</t>
  </si>
  <si>
    <t>Versión 2.0  |  2026</t>
  </si>
  <si>
    <t>PASO 1 — 📋 DATOS GENERALES</t>
  </si>
  <si>
    <t>→ Complete todos los datos en color AMARILLO: DUA, razón social, RUC, fecha, país, proveedor, incoterm, canal.</t>
  </si>
  <si>
    <t>→ IMPORTANTE: Actualice el Tipo de Cambio USD→PEN antes de cada operación (fuente: SUNAT / BCR).</t>
  </si>
  <si>
    <t>→ Configure los parámetros tributarios: Ad Valorem según partida arancelaria (0%, 6% u 11%), percepción según tipo de importador.</t>
  </si>
  <si>
    <t>→ Tasas de percepción: 10% = primera importación / empresa nueva | 3.5% = producto nuevo importador frecuente | 5% = producto de segundo uso.</t>
  </si>
  <si>
    <t>PASO 2 — 🧾 FACTURA COMERCIAL</t>
  </si>
  <si>
    <t>→ Ingrese cada producto: descripción, unidad de medida, cantidad total y precio FOB unitario en USD.</t>
  </si>
  <si>
    <t>→ El sistema calcula automáticamente el FOB Total, el Factor de Prorrateo y el Costo Unitario.</t>
  </si>
  <si>
    <t>→ Puede manejar hasta 30 productos diferentes en una misma importación.</t>
  </si>
  <si>
    <t>PASO 3 — 📦 GASTOS DE IMPORTACIÓN</t>
  </si>
  <si>
    <t>→ Ingrese el monto de cada gasto pagado a los operadores: handling, descarga, tracción, almacenaje, transporte, etc.</t>
  </si>
  <si>
    <t>→ Los gastos marcados ⭐ son afectos a IGV (18%) y generan crédito fiscal.</t>
  </si>
  <si>
    <t>→ El Derecho de Emisión del Seguro y la Comisión del Agente se calculan automáticamente.</t>
  </si>
  <si>
    <t>→ Complete también los gastos administrativos y financieros (transferencias, intereses de letras, carta de crédito).</t>
  </si>
  <si>
    <t>PASO 4 — 🧾 TRIBUTOS ADUANA (automático)</t>
  </si>
  <si>
    <t>→ Esta hoja se calcula SOLA. Solo ingrese el monto del Flete Internacional (del BL / AWB).</t>
  </si>
  <si>
    <t>→ El sistema calcula: Suma Asegurada, Prima Neta, CIF, ADV, IPM, IGV, Deuda Aduanera y Percepción.</t>
  </si>
  <si>
    <t>PASO 5 — 🧮 COSTOS POR PRODUCTO (automático)</t>
  </si>
  <si>
    <t>→ Esta hoja se calcula SOLA. Muestra el Factor de Prorrateo y el Costo Unitario por producto en USD y S/.</t>
  </si>
  <si>
    <t>→ Fórmula: Factor = Costo Total Importación / FOB Total | Costo Unit. = Factor × FOB Unit.</t>
  </si>
  <si>
    <t>PASO 6 — 💰 PRECIO DE VENTA</t>
  </si>
  <si>
    <t>→ Ingrese su margen de ganancia global (celda amarilla arriba). Por defecto: 40% de utilidad.</t>
  </si>
  <si>
    <t>→ Puede personalizar el margen producto por producto modificando la columna E.</t>
  </si>
  <si>
    <t>→ El sistema calcula: Valor de Venta, Precio con IGV, Ganancia Unitaria y Punto de Equilibrio.</t>
  </si>
  <si>
    <t>→ Fórmula usada: VV = Costo Total / (1 - Margen%) — política de utilidad sobre el precio de venta.</t>
  </si>
  <si>
    <t>PASO 7 — 🏦 CRÉDITO FISCAL (automático)</t>
  </si>
  <si>
    <t>→ Esta hoja se calcula SOLA. Muestra todo el crédito fiscal que el importador puede recuperar.</t>
  </si>
  <si>
    <t>→ Incluye: IGV Seguro + IPM + IGV Aduanas + Percepción + IGV de gastos afectos.</t>
  </si>
  <si>
    <t>→ Recuerde: El Crédito Fiscal NO es costo — se recupera al vender y cobrar IGV.</t>
  </si>
  <si>
    <t>PASO 8 — 📊 DASHBOARD</t>
  </si>
  <si>
    <t>→ Vista ejecutiva con todos los KPIs: costo total, FOB, aranceles, crédito fiscal, margen global y utilidad.</t>
  </si>
  <si>
    <t>→ Incluye gráfico de desglose de costos y resumen de rentabilidad.</t>
  </si>
  <si>
    <t>LEYENDA DE COLORES</t>
  </si>
  <si>
    <t>🟡 AMARILLO = Campo editable por el usuario | 🟢 VERDE = Calculado automáticamente | 🔵 AZUL = Total o resumen</t>
  </si>
  <si>
    <t>⚠️  NOTAS IMPORTANTES</t>
  </si>
  <si>
    <t>⚠️  Actualice el tipo de cambio ANTES de cada cálculo.</t>
  </si>
  <si>
    <t>⚠️  Verifique el Ad Valorem con su agente aduanero según la partida arancelaria SUNAT.</t>
  </si>
  <si>
    <t>⚠️  Esta plantilla es una herramienta de estimación profesional — consulte siempre a un agente de aduanas certificado.</t>
  </si>
  <si>
    <t>📋 CALCULADORA DE COSTOS DE IMPORTACIÓN — PERÚ</t>
  </si>
  <si>
    <t>Complete los datos en AMARILLO 🟡. Los campos en VERDE 🟢 se calculan automáticamente.</t>
  </si>
  <si>
    <t xml:space="preserve">  📄 DATOS DE LA OPERACIÓN DE IMPORTACIÓN</t>
  </si>
  <si>
    <t>Número de DUA / DAM</t>
  </si>
  <si>
    <t>DAM-2025-000001</t>
  </si>
  <si>
    <t>Razón Social del Importador</t>
  </si>
  <si>
    <t>EMPRESA IMPORTADORA S.A.C.</t>
  </si>
  <si>
    <t>RUC del Importador</t>
  </si>
  <si>
    <t>20XXXXXXXXX</t>
  </si>
  <si>
    <t>Fecha de Numeración DAM</t>
  </si>
  <si>
    <t>24/02/2026</t>
  </si>
  <si>
    <t>País de Origen</t>
  </si>
  <si>
    <t>China</t>
  </si>
  <si>
    <t>Proveedor / Exportador</t>
  </si>
  <si>
    <t>HWPI Co. Ltd.</t>
  </si>
  <si>
    <t>Incoterm</t>
  </si>
  <si>
    <t>FOB</t>
  </si>
  <si>
    <t>Vía de Transporte</t>
  </si>
  <si>
    <t>Marítima</t>
  </si>
  <si>
    <t>Puerto de Embarque</t>
  </si>
  <si>
    <t>Shekou, China</t>
  </si>
  <si>
    <t>Puerto de Destino</t>
  </si>
  <si>
    <t>Callao, Perú</t>
  </si>
  <si>
    <t>Agente de Aduanas</t>
  </si>
  <si>
    <t>Agencia SAC</t>
  </si>
  <si>
    <t>Canal de Control</t>
  </si>
  <si>
    <t>Naranja</t>
  </si>
  <si>
    <t xml:space="preserve">  ⚖️ PARÁMETROS TRIBUTARIOS (Configuración)</t>
  </si>
  <si>
    <t>Tipo de Cambio USD → PEN</t>
  </si>
  <si>
    <t>Actualizar según SUNAT / BCR</t>
  </si>
  <si>
    <t>Ad Valorem — Arancel (%)</t>
  </si>
  <si>
    <t>0%, 6% u 11% según partida arancelaria</t>
  </si>
  <si>
    <t>IGV (%)</t>
  </si>
  <si>
    <t>Fijo 16%</t>
  </si>
  <si>
    <t>IPM (%)</t>
  </si>
  <si>
    <t>Fijo 2%</t>
  </si>
  <si>
    <t>Percepción IGV (%)</t>
  </si>
  <si>
    <t>10% nueva empresa / 3.5% producto nuevo / 5% segundo uso</t>
  </si>
  <si>
    <t>Prima Neta Seguro (%)</t>
  </si>
  <si>
    <t>% sobre la Suma Asegurada</t>
  </si>
  <si>
    <t>Derecho de Emisión Seguro (%)</t>
  </si>
  <si>
    <t>3% sobre Prima Neta — negociable</t>
  </si>
  <si>
    <t>Deducible Seguro (%)</t>
  </si>
  <si>
    <t>% del que somos responsables en siniestro</t>
  </si>
  <si>
    <t>Comisión Agente Aduanas (%)</t>
  </si>
  <si>
    <t>% sobre CIF (mín. S/. 100)</t>
  </si>
  <si>
    <t>IGV Servicios (%)</t>
  </si>
  <si>
    <t>18% (IGV 16% + IPM 2%)</t>
  </si>
  <si>
    <t>🟡 Amarillo = Dato editable   🟢 Verde = Calculado automáticamente   🔵 Azul = Total general</t>
  </si>
  <si>
    <t>🧾 FACTURA COMERCIAL — DETALLE DE PRODUCTOS</t>
  </si>
  <si>
    <t>Ingrese cada producto: descripción, unidad, cantidad y precio FOB unitario (USD).</t>
  </si>
  <si>
    <t>#</t>
  </si>
  <si>
    <t>DESCRIPCIÓN DEL PRODUCTO</t>
  </si>
  <si>
    <t>UNIDAD
MEDIDA</t>
  </si>
  <si>
    <t>CANTIDAD
(unid.)</t>
  </si>
  <si>
    <t>FOB UNIT.
(USD)</t>
  </si>
  <si>
    <t>FOB TOTAL
(USD)</t>
  </si>
  <si>
    <t>FACTOR
PRORRATEO</t>
  </si>
  <si>
    <t>COSTO
UNIT. (PEN)</t>
  </si>
  <si>
    <t>PRECIO
VENTA (PEN)</t>
  </si>
  <si>
    <t>Unid.</t>
  </si>
  <si>
    <t>Free Wheel Motor OPP Bag 21cm</t>
  </si>
  <si>
    <t>TOTAL FOB (USD)</t>
  </si>
  <si>
    <t>📦 GASTOS DE IMPORTACIÓN (Tercer Elemento)</t>
  </si>
  <si>
    <t>Ingrese el monto de cada gasto. Los gastos marcados con ⭐ están sujetos a IGV del 18%.</t>
  </si>
  <si>
    <t>CONCEPTO / GASTO</t>
  </si>
  <si>
    <t>MONTO (USD)</t>
  </si>
  <si>
    <t>AFECTO IGV</t>
  </si>
  <si>
    <t>NOTAS</t>
  </si>
  <si>
    <t>⭐ Derecho de Emisión (Seguro)</t>
  </si>
  <si>
    <t>SÍ</t>
  </si>
  <si>
    <t>Auto-calculado desde Tributos Aduana</t>
  </si>
  <si>
    <t>⭐ Handling</t>
  </si>
  <si>
    <t>Manipuleo de la carga</t>
  </si>
  <si>
    <t>⭐ Servicio de Descarga</t>
  </si>
  <si>
    <t>Descarga del contenedor</t>
  </si>
  <si>
    <t>⭐ Movilización de Carga</t>
  </si>
  <si>
    <t>Traslado interno del terminal</t>
  </si>
  <si>
    <t>⭐ Tracción</t>
  </si>
  <si>
    <t>Transporte del contenedor</t>
  </si>
  <si>
    <t>⭐ Servicio al Cliente (V°B°)</t>
  </si>
  <si>
    <t>Verificación de pago del flete</t>
  </si>
  <si>
    <t>⭐ Gastos Operativos Agente</t>
  </si>
  <si>
    <t>Gestión del despacho</t>
  </si>
  <si>
    <t>⭐ Almacenaje</t>
  </si>
  <si>
    <t>Días de almacén temporal</t>
  </si>
  <si>
    <t>⭐ Cargadores / Cuadrilla</t>
  </si>
  <si>
    <t>Personal de carga</t>
  </si>
  <si>
    <t>⭐ Serv. Administrativos</t>
  </si>
  <si>
    <t>Documentación</t>
  </si>
  <si>
    <t>⭐ Seguro de Contenedor</t>
  </si>
  <si>
    <t>Seguro de la carga en tránsito local</t>
  </si>
  <si>
    <t>⭐ Posicionamiento de Carga</t>
  </si>
  <si>
    <t>Reconocimiento físico si aplica</t>
  </si>
  <si>
    <t>⭐ Transporte Interno / Última Milla</t>
  </si>
  <si>
    <t>Traslado a almacenes del importador</t>
  </si>
  <si>
    <t>⭐ Precinto</t>
  </si>
  <si>
    <t>Precinto de contenedor</t>
  </si>
  <si>
    <t>⭐ Otros Gastos</t>
  </si>
  <si>
    <t>Gastos varios justificados</t>
  </si>
  <si>
    <t>⭐ Comisión del Agente de Aduanas</t>
  </si>
  <si>
    <t>Auto-calculado: MAX(1% CIF, USD 100)</t>
  </si>
  <si>
    <t>Gastos Administrativos Empresa</t>
  </si>
  <si>
    <t>NO</t>
  </si>
  <si>
    <t>Gastos internos asignados a esta op.</t>
  </si>
  <si>
    <t>Comisión por Transferencia Bancaria</t>
  </si>
  <si>
    <t>Comisión del banco por la transferencia</t>
  </si>
  <si>
    <t>Intereses de Letras</t>
  </si>
  <si>
    <t>Si se financia con letras (ver tabla)</t>
  </si>
  <si>
    <t>Emisión Carta de Crédito</t>
  </si>
  <si>
    <t>Si pago con carta de crédito</t>
  </si>
  <si>
    <t>Comisiones C/C</t>
  </si>
  <si>
    <t>1.2% CFR si aplica carta de crédito</t>
  </si>
  <si>
    <t>SUB-TOTAL AFECTOS A IGV (US$)</t>
  </si>
  <si>
    <t>SUB-TOTAL NO AFECTOS A IGV (US$)</t>
  </si>
  <si>
    <t>No genera IGV</t>
  </si>
  <si>
    <t>Tipo</t>
  </si>
  <si>
    <t>US$</t>
  </si>
  <si>
    <t>Afectos IGV</t>
  </si>
  <si>
    <t>No Afectos</t>
  </si>
  <si>
    <t>🧾 TRIBUTOS ADUANEROS — CÁLCULO AUTOMÁTICO</t>
  </si>
  <si>
    <t>Todos los valores se calculan automáticamente. Solo configure los parámetros en '📋 Datos Generales'.</t>
  </si>
  <si>
    <t xml:space="preserve">  🛡️ CÁLCULO DEL SEGURO (Prima Neta → Suma Asegurada)</t>
  </si>
  <si>
    <t>FOB Total (USD)</t>
  </si>
  <si>
    <t>Valor FOB total de la factura comercial</t>
  </si>
  <si>
    <t>Componente</t>
  </si>
  <si>
    <t>Monto US$</t>
  </si>
  <si>
    <t>Flete Internacional (USD)</t>
  </si>
  <si>
    <t>Monto del flete — copiar del BL/AWB</t>
  </si>
  <si>
    <t>Ad Valorem</t>
  </si>
  <si>
    <t>CFR = FOB + Flete (USD)</t>
  </si>
  <si>
    <t>Valor CFR = base para calcular SA</t>
  </si>
  <si>
    <t>IPM</t>
  </si>
  <si>
    <t>Suma Asegurada (USD)</t>
  </si>
  <si>
    <t>SA = CFR / (1 - deducible%) — Fórmula del libro</t>
  </si>
  <si>
    <t>IGV Aduanas</t>
  </si>
  <si>
    <t>Prima Neta (USD)</t>
  </si>
  <si>
    <t>Prima Neta = SA × 24%</t>
  </si>
  <si>
    <t>Percepción</t>
  </si>
  <si>
    <t>D. Emisión Seguro (USD)</t>
  </si>
  <si>
    <t>Derecho de Emisión = 3% × Prima Neta → va a Gastos</t>
  </si>
  <si>
    <t>IGV Seguro (USD)</t>
  </si>
  <si>
    <t>IGV sobre Prima Neta → va a Crédito Fiscal</t>
  </si>
  <si>
    <t>Seguro (Prima Neta) → CIF</t>
  </si>
  <si>
    <t>Prima Neta forma parte del CIF</t>
  </si>
  <si>
    <t>CIF = CFR + Prima Neta</t>
  </si>
  <si>
    <t>CIF = Valor en Aduanas</t>
  </si>
  <si>
    <t xml:space="preserve">  ⚖️ DEUDA ADUANERA (ADEUDO) — Pago a SUNAT-ADUANAS</t>
  </si>
  <si>
    <t>Ad Valorem — ADV (USD)</t>
  </si>
  <si>
    <t>ADV = CIF × Ad Valorem% — redondeado entero</t>
  </si>
  <si>
    <t>IPM (USD)</t>
  </si>
  <si>
    <t>IPM = (CIF + ADV) × 2% — redondeado</t>
  </si>
  <si>
    <t>IGV (USD)</t>
  </si>
  <si>
    <t>IGV = (CIF + ADV) × 16% — redondeado</t>
  </si>
  <si>
    <t>Flete</t>
  </si>
  <si>
    <t>DEUDA ADUANERA = DA (USD)</t>
  </si>
  <si>
    <t>DA = ADV + IPM + IGV</t>
  </si>
  <si>
    <t>Seguro</t>
  </si>
  <si>
    <t xml:space="preserve">  💸 PERCEPCIÓN IGV Y DERECHOS (costo real)</t>
  </si>
  <si>
    <t>Percepción IGV (USD)</t>
  </si>
  <si>
    <t>Base = CIF + DA — tasa según tipo importador</t>
  </si>
  <si>
    <t>DERECHOS = ADV (USD)</t>
  </si>
  <si>
    <t>Solo el ADV es costo (IPM e IGV = crédito fiscal)</t>
  </si>
  <si>
    <t>Comisión Agente (USD)</t>
  </si>
  <si>
    <t>Máx entre 1% CIF y mín USD 100</t>
  </si>
  <si>
    <t>🧮 COSTO DE IMPORTACIÓN POR PRODUCTO (Factor de Prorrateo)</t>
  </si>
  <si>
    <t>El Costo Unitario se calcula multiplicando el Factor de Prorrateo × FOB Unitario. Factor = C/M Total / FOB Total</t>
  </si>
  <si>
    <t>COSTO TOTAL DE IMPORTACIÓN (US$)</t>
  </si>
  <si>
    <t>FACTOR DE PRORRATEO = C/M Total (US$) / FOB Total (US$)</t>
  </si>
  <si>
    <t>PRODUCTO</t>
  </si>
  <si>
    <t>CANTIDAD</t>
  </si>
  <si>
    <t>C/M UNIT.
(USD)</t>
  </si>
  <si>
    <t>C/M UNIT.
(PEN)</t>
  </si>
  <si>
    <t>💰 PRECIO DE VENTA — POLÍTICA DE UTILIDADES</t>
  </si>
  <si>
    <t>Ingrese su margen de ganancia deseado. VV = Costo Total / (1 - Margen%) — Precio de Venta incluye IGV (18%).</t>
  </si>
  <si>
    <t>MARGEN
%</t>
  </si>
  <si>
    <t>VALOR VENTA
UNIT. (S/.)</t>
  </si>
  <si>
    <t>PRECIO VENTA
UNIT. c/IGV (S/.)</t>
  </si>
  <si>
    <t>GANANCIA
UNIT. (S/.)</t>
  </si>
  <si>
    <t>PUNTO
EQUILIBRIO</t>
  </si>
  <si>
    <t>🏦 CRÉDITO FISCAL DEL IMPORTADOR</t>
  </si>
  <si>
    <t>El Crédito Fiscal se recupera al vender los productos. IPM, IGV y Percepción NO son costo — se recuperan.</t>
  </si>
  <si>
    <t xml:space="preserve">  🏦 DETALLE DEL CRÉDITO FISCAL (en US$ — convertir a S/. con TC)</t>
  </si>
  <si>
    <t>IGV del Seguro (Crédito Fiscal)</t>
  </si>
  <si>
    <t>IGV pagado a Cía. de Seguros</t>
  </si>
  <si>
    <t>IPM — Derechos (Crédito Fiscal)</t>
  </si>
  <si>
    <t>IPM pagado a SUNAT-Aduanas</t>
  </si>
  <si>
    <t>IGV — Derechos (Crédito Fiscal)</t>
  </si>
  <si>
    <t>IGV pagado a SUNAT-Aduanas</t>
  </si>
  <si>
    <t>Percepción IGV (Crédito Fiscal)</t>
  </si>
  <si>
    <t>Percepción pagada — se recupera</t>
  </si>
  <si>
    <t>IGV Gastos Afectos (Crédito Fiscal)</t>
  </si>
  <si>
    <t>18% de gastos afectos</t>
  </si>
  <si>
    <t>✅ TOTAL CRÉDITO FISCAL (US$)</t>
  </si>
  <si>
    <t>✅ TOTAL CRÉDITO FISCAL (S/. PEN)</t>
  </si>
  <si>
    <t>📌 ¿QUÉ ES EL CRÉDITO FISCAL?
El IGV, IPM y la Percepción que pagas al importar NO son un costo definitivo.
Los recuperas cuando vendes tus productos y cobras IGV a tus clientes.
El importador declara ante SUNAT: IGV cobrado en ventas - Crédito Fiscal = IGV a pagar.
⚠️ SOLO el Ad Valorem (ADV) es un costo real de importación.</t>
  </si>
  <si>
    <t>📊  CALCULADORA DE COSTOS DE IMPORTACIÓN — DASHBOARD EJECUTIVO</t>
  </si>
  <si>
    <t>💰 COSTO TOTAL
IMPORTACIÓN
(S/.)</t>
  </si>
  <si>
    <t>📦 VALOR CIF
(US$)</t>
  </si>
  <si>
    <t>⚖️ ADV
ARANCEL
(US$)</t>
  </si>
  <si>
    <t>📋 DEUDA
ADUANERA
(US$)</t>
  </si>
  <si>
    <t>💹 INGRESOS
EST. TOTALES
(S/.)</t>
  </si>
  <si>
    <t>🏦 CRÉDITO
FISCAL
(US$)</t>
  </si>
  <si>
    <t>📈 MARGEN
GLOBAL
(%)</t>
  </si>
  <si>
    <t>🎯 PERCEPCIÓN
IGV
(US$)</t>
  </si>
  <si>
    <t>PERCEPCIÓN
IGV (US$)</t>
  </si>
  <si>
    <t>TIPO DE
CAMBIO (PEN)</t>
  </si>
  <si>
    <t>AD VALOREM
(%)</t>
  </si>
  <si>
    <t>PERCEPCIÓN
(%)</t>
  </si>
  <si>
    <t>CIF = VALOR
EN ADUANAS (US$)</t>
  </si>
  <si>
    <t xml:space="preserve">  📊 DESGLOSE DE COSTOS DE IMPORTACIÓN</t>
  </si>
  <si>
    <t>CONCEPTO</t>
  </si>
  <si>
    <t>MONTO (US$)</t>
  </si>
  <si>
    <t>MONTO (S/.)</t>
  </si>
  <si>
    <t>% DEL TOTAL</t>
  </si>
  <si>
    <t>Valor FOB Total</t>
  </si>
  <si>
    <t>Flete Internacional</t>
  </si>
  <si>
    <t>Seguro (Prima Neta)</t>
  </si>
  <si>
    <t>Aranceles (ADV)</t>
  </si>
  <si>
    <t>IGV + IPM Aduanas</t>
  </si>
  <si>
    <t>Percepción IGV</t>
  </si>
  <si>
    <t>Gastos de Importación</t>
  </si>
  <si>
    <t xml:space="preserve">  💹 RESUMEN DE RENTABILIDAD</t>
  </si>
  <si>
    <t>Costo Total Importación (S/.)</t>
  </si>
  <si>
    <t>Ingresos Totales si se vende todo (S/.)</t>
  </si>
  <si>
    <t>Utilidad Bruta Total (S/.)</t>
  </si>
  <si>
    <t>Margen Global Real (%)</t>
  </si>
  <si>
    <t>Crédito Fiscal a Favor (US$)</t>
  </si>
  <si>
    <t>Crédito Fiscal a Favor (S/.)</t>
  </si>
  <si>
    <t xml:space="preserve">  💹 ANÁLISIS DE RENTABILIDAD Y PRECIOS POR PRODUCTO</t>
  </si>
  <si>
    <t>🏷️ TOTAL
INGRESOS (S/.)</t>
  </si>
  <si>
    <t>📦 COSTO
TOTAL (S/.)</t>
  </si>
  <si>
    <t>💵 UTILIDAD
BRUTA (S/.)</t>
  </si>
  <si>
    <t>📊 MARGEN
NETO (%)</t>
  </si>
  <si>
    <t>🏦 CF a FAVOR
(US$)</t>
  </si>
  <si>
    <t>🏦 CF a FAVOR
(S/.)</t>
  </si>
  <si>
    <t>📦 PRODS.
IMPORTADOS</t>
  </si>
  <si>
    <t>💲 FOB
PROMEDIO (US$)</t>
  </si>
  <si>
    <t xml:space="preserve">  🏦 DETALLE CRÉDITO FISCAL vs COSTOS REALES</t>
  </si>
  <si>
    <t>TIPO</t>
  </si>
  <si>
    <t>Ad Valorem (COSTO REAL)</t>
  </si>
  <si>
    <t>💸 COSTO</t>
  </si>
  <si>
    <t>IPM (Crédito Fiscal)</t>
  </si>
  <si>
    <t>✅ CF</t>
  </si>
  <si>
    <t>IGV Aduanas (Crédito Fiscal)</t>
  </si>
  <si>
    <t>Percepción (Crédito Fiscal)</t>
  </si>
  <si>
    <t>IGV Seguro (Crédito Fiscal)</t>
  </si>
  <si>
    <t>IGV Gastos Afectos (CF)</t>
  </si>
  <si>
    <t>TOTAL CRÉDITO FISCAL (US$)</t>
  </si>
  <si>
    <t>COSTO REAL: ='🧾 Tributos Aduana'!C16&amp;" US$"</t>
  </si>
  <si>
    <t>S/.</t>
  </si>
  <si>
    <t>FOB Mercadería</t>
  </si>
  <si>
    <t>Gastos Operativos</t>
  </si>
  <si>
    <t>Gastos Admin/Fin.</t>
  </si>
  <si>
    <t>Tributo</t>
  </si>
  <si>
    <t>IGV Seguro</t>
  </si>
  <si>
    <t>Producto</t>
  </si>
  <si>
    <t>FOB Total US$</t>
  </si>
  <si>
    <t>C/M Unit PEN</t>
  </si>
  <si>
    <t>PV Unit PEN</t>
  </si>
  <si>
    <t>Ganancia Unit PEN</t>
  </si>
  <si>
    <t>Concepto</t>
  </si>
  <si>
    <t>IGV Gastos</t>
  </si>
  <si>
    <t>Costo Real (ADV)</t>
  </si>
  <si>
    <t>Crédito Fiscal</t>
  </si>
  <si>
    <t>📧 Herramienta desarrollada para uso profesional en comercio exterior peruano
Elaborado por : Rosalinda Jiménez Espinoza
By Sally Control Tower
Con Derechos de Autoria</t>
  </si>
  <si>
    <t>MARGEN DE UTILIDAD GLOBAL 
(aplica a todos — puedes personalizar por producto ↓)</t>
  </si>
  <si>
    <t xml:space="preserve">  🔍  ANÁLISIS DETALLADO POR PRODUCTO — TODOS LOS COSTOS, TRIBUTOS Y MÁRGENES</t>
  </si>
  <si>
    <t>📦 FOB TOTAL (US$):</t>
  </si>
  <si>
    <t>🚢 CIF (US$):</t>
  </si>
  <si>
    <t>⚖️ FACTOR PRORRATEO:</t>
  </si>
  <si>
    <t>💱 TIPO DE CAMBIO:</t>
  </si>
  <si>
    <t>📊 COSTO TOTAL (US$):</t>
  </si>
  <si>
    <t>🏦 CRÉDITO FISCAL (US$):</t>
  </si>
  <si>
    <t xml:space="preserve">  📦  SECCIÓN 1: IDENTIFICACIÓN DEL PRODUCTO Y VALOR FOB</t>
  </si>
  <si>
    <t>UNIDAD</t>
  </si>
  <si>
    <t>FOB UNIT.
(US$)</t>
  </si>
  <si>
    <t>FOB TOTAL
(US$)</t>
  </si>
  <si>
    <t>% PART.
FOB</t>
  </si>
  <si>
    <t>FOB UNIT.
(S/.)</t>
  </si>
  <si>
    <t>FOB TOTAL
(S/.)</t>
  </si>
  <si>
    <t>✦  TOTALES</t>
  </si>
  <si>
    <t xml:space="preserve">  ⚖️  SECCIÓN 2: TRIBUTOS ADUANEROS POR PRODUCTO (prorrateo por FOB)</t>
  </si>
  <si>
    <t>ADV UNIT.
(US$)
⚠️COSTO</t>
  </si>
  <si>
    <t>IPM UNIT.
(US$)
✅CF</t>
  </si>
  <si>
    <t>IGV UNIT.
(US$)
✅CF</t>
  </si>
  <si>
    <t>PERCEP.
UNIT.(US$)
✅CF</t>
  </si>
  <si>
    <t>DEUDA
ADUANERA
UNIT.</t>
  </si>
  <si>
    <t>ADV UNIT.
(S/.)</t>
  </si>
  <si>
    <t>IPM UNIT.
(S/.)</t>
  </si>
  <si>
    <t>IGV UNIT.
(S/.)</t>
  </si>
  <si>
    <t>PERCEP.
UNIT.(S/.)</t>
  </si>
  <si>
    <t>TOTAL TRIB.
UNIT.(US$)</t>
  </si>
  <si>
    <t>TOTAL TRIB.
UNIT.(S/.)</t>
  </si>
  <si>
    <t xml:space="preserve">  🧮  SECCIÓN 3: COSTO DE IMPORTACIÓN · CRÉDITO FISCAL · PRECIO DE VENTA · MARGEN</t>
  </si>
  <si>
    <t>GASTOS IMP.
UNIT.(US$)</t>
  </si>
  <si>
    <t>GASTOS IMP.
UNIT.(S/.)</t>
  </si>
  <si>
    <t>C/M UNIT.
(US$)</t>
  </si>
  <si>
    <t>C/M UNIT.
(S/.)</t>
  </si>
  <si>
    <t>ADV UNIT.
⚠️COSTO(US$)</t>
  </si>
  <si>
    <t>CF UNIT.
✅RECUP.(US$)</t>
  </si>
  <si>
    <t>CF UNIT.
✅RECUP.(S/.)</t>
  </si>
  <si>
    <t>VALOR VTA.
UNIT.(S/.)</t>
  </si>
  <si>
    <t>PRECIO VTA.
c/IGV(S/.)</t>
  </si>
  <si>
    <t>GANANCIA
UNIT.(S/.)</t>
  </si>
  <si>
    <t>GANANCIA
TOTAL(S/.)</t>
  </si>
  <si>
    <t>% UTILIDAD
S/PRECIO</t>
  </si>
  <si>
    <t>ROI
UNIT.</t>
  </si>
  <si>
    <t>CLASIF.
MARGEN</t>
  </si>
  <si>
    <t>✦  TOTALES Y PROMEDIOS</t>
  </si>
  <si>
    <t xml:space="preserve">  📊  SECCIÓN 4: RESUMEN VISUAL — TOP PRODUCTOS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</si>
  <si>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</si>
  <si>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</si>
  <si>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</si>
  <si>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</si>
  <si>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</si>
  <si>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</si>
  <si>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</si>
  <si>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</si>
  <si>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</si>
  <si>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C/M</t>
  </si>
  <si>
    <t>PV</t>
  </si>
  <si>
    <t>GAN.</t>
  </si>
  <si>
    <t>MARG.</t>
  </si>
  <si>
    <t>ROI</t>
  </si>
  <si>
    <t xml:space="preserve">  🔍  DETALLE POR PRODUCTO — Todos los valores se calculan automáticamente desde las hojas fuente  ·  © 2026</t>
  </si>
  <si>
    <t>Ganancia Total S/.</t>
  </si>
  <si>
    <t>C/M Unit S/.</t>
  </si>
  <si>
    <t>PV Unit S/.</t>
  </si>
  <si>
    <t>LISTA DE PRODUCTOS</t>
  </si>
  <si>
    <t>¿</t>
  </si>
  <si>
    <t>Case Transparente TPU iPhone 15</t>
  </si>
  <si>
    <t>Cable USB-C Trenzado 1m</t>
  </si>
  <si>
    <t>Protector Pantalla Vidrio Templado</t>
  </si>
  <si>
    <t>Audífonos In-Ear con Micrófono</t>
  </si>
  <si>
    <t>Cable Micro USB 2m Nylon</t>
  </si>
  <si>
    <t>Soporte Anillo Pop Socket Metálico</t>
  </si>
  <si>
    <t>Cargador Inalámbrico 15W Qi</t>
  </si>
  <si>
    <t>Case Wallet Cuero PU Samsung S24</t>
  </si>
  <si>
    <t>Adaptador USB-C a Jack 3.5mm</t>
  </si>
  <si>
    <t>='🧾 Factura Comercial'!E5:E34</t>
  </si>
  <si>
    <t>FOB UNIT. 
(US$)</t>
  </si>
  <si>
    <t>TOTAL PAGO
SUNAT
UNIT.(US$)</t>
  </si>
  <si>
    <t>ADV UNIT.
⚠️COSTO
(US$)</t>
  </si>
  <si>
    <t>CF UNIT.
✅RECUP.
(US$)</t>
  </si>
  <si>
    <t>⭐ TOTAL COSTOS IMPORTACIÓN (US$)</t>
  </si>
  <si>
    <t>FACTOR DE PRORRATEO = PV TOTAL / FOB TOTAL</t>
  </si>
  <si>
    <t>VALOR DE VENTA TOTAL SIN IGV  USD</t>
  </si>
  <si>
    <t>PARTICIPACIÓN</t>
  </si>
  <si>
    <t>DEUDA
ADUANERA
TOTAL</t>
  </si>
  <si>
    <t>IPM TOTAL
(S/.)2</t>
  </si>
  <si>
    <t>IGV TOTAL
(S/.)2</t>
  </si>
  <si>
    <t>PERCEP.
TOTAL.(S/.)2</t>
  </si>
  <si>
    <t>TOTAL PAGO
SUNAT
TOTAL(US$)</t>
  </si>
  <si>
    <t>TOTAL TRIB.
TOTAL .(S/.)</t>
  </si>
  <si>
    <t xml:space="preserve"> 🧮  SECCIÓN 3: COSTO DE IMPORTACIÓN · CRÉDITO FISCAL · PRECIO DE VENTA · MARGENARGEN</t>
  </si>
  <si>
    <t>GASTOS IMP.
TOTAL.(US$)2</t>
  </si>
  <si>
    <t>GASTOS IMP.
TOTAL.(S/.)2</t>
  </si>
  <si>
    <t>ADV TOTAL
(US$)
⚠️COSTO</t>
  </si>
  <si>
    <t>IPM TOTAL
(US$)
✅CF</t>
  </si>
  <si>
    <t>IGV  TOTAL
(US$)
✅CF</t>
  </si>
  <si>
    <t>PERCEP.
TOTAL.(US$)
✅CF</t>
  </si>
  <si>
    <t>ADV  TOTAL.
(S/.)</t>
  </si>
  <si>
    <t>% PARTICIPACÓN</t>
  </si>
  <si>
    <t xml:space="preserve">                   📖 GUÍA COMPLETA DE USO — CALCULADORA DE COSTOS DE IMPORTACIÓN PERÚ</t>
  </si>
  <si>
    <t>Proforma Comercial y/o Factura Invoice</t>
  </si>
  <si>
    <t>Proforma o Liquidación del Agente de Aduana</t>
  </si>
  <si>
    <t>Derechos de Aduana</t>
  </si>
  <si>
    <t>Comisión del Agente</t>
  </si>
  <si>
    <t>Gastos de Nacionalizacion</t>
  </si>
  <si>
    <t>Transporte Interno</t>
  </si>
  <si>
    <t>DOCUMENTOS QUE DEBES DE TENER 
A LA MANO PARA LLENAR LA PLANTILLA</t>
  </si>
  <si>
    <t>-</t>
  </si>
  <si>
    <r>
      <rPr>
        <b/>
        <sz val="16"/>
        <color rgb="FFFF0000"/>
        <rFont val="Calibri"/>
        <family val="2"/>
      </rPr>
      <t>"📌 NOTA IMPORTANTE — USO DE LA PLANTILLA</t>
    </r>
    <r>
      <rPr>
        <sz val="11"/>
        <color theme="1"/>
        <rFont val="Calibri"/>
        <family val="2"/>
        <charset val="1"/>
      </rPr>
      <t xml:space="preserve">
</t>
    </r>
    <r>
      <rPr>
        <sz val="14"/>
        <color theme="1"/>
        <rFont val="Calibri"/>
        <family val="2"/>
      </rPr>
      <t xml:space="preserve">Esta calculadora está diseñada para ser usada por operación de importación.
Si realizas varias importaciones, te recomendamos seguir este flujo de trabajo:
1️⃣ Completa esta plantilla con los datos de tu importación actual.
2️⃣ Guarda el archivo con un nombre que identifique la operación — por ejemplo: Importación_Enero2026_China o DAM-2026-000001.
3️⃣ Para tu próxima importación, abre el archivo original, </t>
    </r>
    <r>
      <rPr>
        <b/>
        <u/>
        <sz val="14"/>
        <color theme="1"/>
        <rFont val="Calibri"/>
        <family val="2"/>
      </rPr>
      <t>haz una copia y renómbrala.</t>
    </r>
    <r>
      <rPr>
        <sz val="14"/>
        <color theme="1"/>
        <rFont val="Calibri"/>
        <family val="2"/>
      </rPr>
      <t xml:space="preserve">
De esta forma tendrás un historial ordenado de cada importación, con todos sus costos, tributos y márgenes guardados por separado.
✅ Así podrás comparar operaciones, identificar en cuál ganaste más y tomar mejores decisiones en cada nueva importación."</t>
    </r>
  </si>
  <si>
    <t>Adaptador YYY 67</t>
  </si>
  <si>
    <t>MONTO TOTAL FOB USD</t>
  </si>
  <si>
    <t>C/M TOTAL
(S/.)2</t>
  </si>
  <si>
    <t>VALOR VTA.
TOTAL (S/.)</t>
  </si>
  <si>
    <t>GANANCIA
TOTAL.(S/.)</t>
  </si>
  <si>
    <t>DEUDA
ADUANERA
TOTAL (s/.)2</t>
  </si>
  <si>
    <t>DEUDA
ADUANERA
UNIT. /S/.)</t>
  </si>
  <si>
    <t>TOTAL CREDITO FISCAL POR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</si>
</sst>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0.000"/>
    <numFmt numFmtId="165" formatCode="0.0%"/>
    <numFmt numFmtId="166" formatCode="#,##0.0000"/>
    <numFmt numFmtId="167" formatCode="0.000000"/>
    <numFmt numFmtId="168" formatCode="&quot;S/.&quot;#,##0.00"/>
    <numFmt numFmtId="169" formatCode="&quot;US$&quot;#,##0.00"/>
    <numFmt numFmtId="170" formatCode="&quot;IGV US$&quot;#,##0.00"/>
    <numFmt numFmtId="171" formatCode="&quot;S/.&quot;0.000"/>
    <numFmt numFmtId="172" formatCode="&quot;US$&quot;#,##0.000"/>
    <numFmt numFmtId="173" formatCode="&quot;S/.&quot;#,##0.000"/>
    <numFmt numFmtId="174" formatCode="#,##0&quot; unid.&quot;"/>
    <numFmt numFmtId="175" formatCode="[$$-409]#,##0.00"/>
    <numFmt numFmtId="176" formatCode="&quot;S/&quot;\ #,##0.00"/>
    <numFmt numFmtId="177" formatCode="[$$-540A]#,##0.00"/>
    <numFmt numFmtId="178" formatCode="_-* #,##0_-;\-* #,##0_-;_-* &quot;-&quot;??_-;_-@_-"/>
    <numFmt numFmtId="179" formatCode="&quot;S/&quot;\ #,##0.000"/>
    <numFmt numFmtId="180" formatCode="[$$-540A]#,##0.000"/>
    <numFmt numFmtId="181" formatCode="[$$-540A]#,##0"/>
    <numFmt numFmtId="182" formatCode="&quot;US$&quot;#,##0"/>
    <numFmt numFmtId="183" formatCode="&quot;S/.&quot;#,##0.0"/>
    <numFmt numFmtId="185" formatCode="_-&quot;S/&quot;\ * #,##0.000_-;\-&quot;S/&quot;\ * #,##0.000_-;_-&quot;S/&quot;\ * &quot;-&quot;??_-;_-@_-"/>
  </numFmts>
  <fonts count="152" x14ac:knownFonts="1">
    <font>
      <sz val="11"/>
      <color theme="1"/>
      <name val="Calibri"/>
      <family val="2"/>
      <charset val="1"/>
    </font>
    <font>
      <b/>
      <sz val="14"/>
      <color rgb="FFFFC000"/>
      <name val="Arial"/>
      <family val="2"/>
    </font>
    <font>
      <b/>
      <sz val="13"/>
      <color rgb="FF1F3864"/>
      <name val="Arial"/>
      <family val="2"/>
    </font>
    <font>
      <b/>
      <sz val="10"/>
      <color rgb="FFFFFFFF"/>
      <name val="Arial"/>
      <family val="2"/>
    </font>
    <font>
      <sz val="9"/>
      <color rgb="FF1F3864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1F3864"/>
      <name val="Arial"/>
      <family val="2"/>
    </font>
    <font>
      <b/>
      <sz val="11"/>
      <color rgb="FFFFFFFF"/>
      <name val="Arial"/>
      <family val="2"/>
    </font>
    <font>
      <b/>
      <sz val="8"/>
      <color rgb="FF1F3864"/>
      <name val="Arial"/>
      <family val="2"/>
    </font>
    <font>
      <b/>
      <sz val="9"/>
      <color rgb="FF1F3864"/>
      <name val="Arial"/>
      <family val="2"/>
    </font>
    <font>
      <i/>
      <sz val="9"/>
      <color rgb="FFFFFFFF"/>
      <name val="Arial"/>
      <family val="2"/>
    </font>
    <font>
      <b/>
      <sz val="9"/>
      <color rgb="FFFFC000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1F3864"/>
      <name val="Arial"/>
      <family val="2"/>
    </font>
    <font>
      <sz val="9"/>
      <color rgb="FF000000"/>
      <name val="Arial"/>
      <family val="2"/>
    </font>
    <font>
      <sz val="10"/>
      <color rgb="FF0000FF"/>
      <name val="Arial"/>
      <family val="2"/>
    </font>
    <font>
      <i/>
      <sz val="8"/>
      <color rgb="FF595959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b/>
      <sz val="9"/>
      <color rgb="FF2E75B6"/>
      <name val="Arial"/>
      <family val="2"/>
    </font>
    <font>
      <b/>
      <sz val="9"/>
      <color rgb="FFC55A11"/>
      <name val="Arial"/>
      <family val="2"/>
    </font>
    <font>
      <b/>
      <sz val="9"/>
      <color rgb="FF008000"/>
      <name val="Arial"/>
      <family val="2"/>
    </font>
    <font>
      <b/>
      <sz val="9"/>
      <color rgb="FFC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11"/>
      <color rgb="FF2E75B6"/>
      <name val="Arial"/>
      <family val="2"/>
    </font>
    <font>
      <b/>
      <sz val="11"/>
      <color rgb="FF1F3864"/>
      <name val="Arial"/>
      <family val="2"/>
    </font>
    <font>
      <b/>
      <sz val="12"/>
      <color rgb="FFC55A11"/>
      <name val="Arial"/>
      <family val="2"/>
    </font>
    <font>
      <b/>
      <sz val="10"/>
      <color rgb="FF1F3864"/>
      <name val="Arial"/>
      <family val="2"/>
    </font>
    <font>
      <b/>
      <sz val="10"/>
      <color rgb="FF000000"/>
      <name val="Arial"/>
      <family val="2"/>
    </font>
    <font>
      <b/>
      <sz val="12"/>
      <color rgb="FF0000FF"/>
      <name val="Arial"/>
      <family val="2"/>
    </font>
    <font>
      <b/>
      <sz val="11"/>
      <color rgb="FF70AD47"/>
      <name val="Arial"/>
      <family val="2"/>
    </font>
    <font>
      <b/>
      <sz val="12"/>
      <color rgb="FFFFFFFF"/>
      <name val="Arial"/>
      <family val="2"/>
    </font>
    <font>
      <sz val="10"/>
      <color rgb="FF1F3864"/>
      <name val="Arial"/>
      <family val="2"/>
    </font>
    <font>
      <b/>
      <sz val="18"/>
      <color rgb="FFFFFFFF"/>
      <name val="Arial"/>
      <family val="2"/>
    </font>
    <font>
      <b/>
      <sz val="8"/>
      <color rgb="FFFFFFFF"/>
      <name val="Arial"/>
      <family val="2"/>
    </font>
    <font>
      <b/>
      <sz val="14"/>
      <color rgb="FF1F3864"/>
      <name val="Arial"/>
      <family val="2"/>
    </font>
    <font>
      <b/>
      <sz val="14"/>
      <color rgb="FF2E75B6"/>
      <name val="Arial"/>
      <family val="2"/>
    </font>
    <font>
      <b/>
      <sz val="14"/>
      <color rgb="FF1F6B75"/>
      <name val="Arial"/>
      <family val="2"/>
    </font>
    <font>
      <b/>
      <sz val="14"/>
      <color rgb="FFC55A11"/>
      <name val="Arial"/>
      <family val="2"/>
    </font>
    <font>
      <b/>
      <sz val="14"/>
      <color rgb="FF70AD47"/>
      <name val="Arial"/>
      <family val="2"/>
    </font>
    <font>
      <b/>
      <sz val="14"/>
      <color rgb="FF7030A0"/>
      <name val="Arial"/>
      <family val="2"/>
    </font>
    <font>
      <b/>
      <sz val="14"/>
      <color rgb="FFE74C3C"/>
      <name val="Arial"/>
      <family val="2"/>
    </font>
    <font>
      <b/>
      <sz val="14"/>
      <color rgb="FFB8860B"/>
      <name val="Arial"/>
      <family val="2"/>
    </font>
    <font>
      <b/>
      <sz val="13"/>
      <color rgb="FF2E75B6"/>
      <name val="Arial"/>
      <family val="2"/>
    </font>
    <font>
      <b/>
      <sz val="13"/>
      <color rgb="FF1F6B75"/>
      <name val="Arial"/>
      <family val="2"/>
    </font>
    <font>
      <b/>
      <sz val="13"/>
      <color rgb="FFC55A11"/>
      <name val="Arial"/>
      <family val="2"/>
    </font>
    <font>
      <b/>
      <sz val="13"/>
      <color rgb="FF70AD47"/>
      <name val="Arial"/>
      <family val="2"/>
    </font>
    <font>
      <b/>
      <sz val="13"/>
      <color rgb="FF7030A0"/>
      <name val="Arial"/>
      <family val="2"/>
    </font>
    <font>
      <b/>
      <sz val="13"/>
      <color rgb="FFB8860B"/>
      <name val="Arial"/>
      <family val="2"/>
    </font>
    <font>
      <b/>
      <sz val="13"/>
      <color rgb="FFE74C3C"/>
      <name val="Arial"/>
      <family val="2"/>
    </font>
    <font>
      <b/>
      <sz val="9"/>
      <color rgb="FF70AD47"/>
      <name val="Arial"/>
      <family val="2"/>
    </font>
    <font>
      <sz val="9"/>
      <color rgb="FF1F3864"/>
      <name val="Arial"/>
      <family val="2"/>
    </font>
    <font>
      <b/>
      <sz val="10"/>
      <color rgb="FFFFFFFF"/>
      <name val="Arial"/>
      <family val="2"/>
    </font>
    <font>
      <i/>
      <sz val="9"/>
      <color rgb="FF1F3864"/>
      <name val="Arial"/>
      <family val="2"/>
    </font>
    <font>
      <b/>
      <sz val="9"/>
      <color theme="0"/>
      <name val="Arial"/>
      <family val="2"/>
    </font>
    <font>
      <sz val="11"/>
      <color theme="0"/>
      <name val="Calibri"/>
      <family val="2"/>
      <charset val="1"/>
    </font>
    <font>
      <b/>
      <sz val="9"/>
      <name val="Arial"/>
      <family val="2"/>
    </font>
    <font>
      <b/>
      <sz val="9"/>
      <color theme="1" tint="0.499984740745262"/>
      <name val="Arial"/>
      <family val="2"/>
    </font>
    <font>
      <sz val="11"/>
      <color theme="1" tint="0.499984740745262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b/>
      <sz val="15"/>
      <name val="Arial"/>
      <family val="2"/>
    </font>
    <font>
      <b/>
      <sz val="22"/>
      <name val="Arial"/>
      <family val="2"/>
    </font>
    <font>
      <i/>
      <sz val="12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sz val="11"/>
      <name val="Calibri"/>
      <family val="2"/>
      <charset val="1"/>
    </font>
    <font>
      <i/>
      <sz val="9"/>
      <color rgb="FFFFC000"/>
      <name val="Arial"/>
      <family val="2"/>
    </font>
    <font>
      <b/>
      <sz val="16"/>
      <name val="Arial"/>
      <family val="2"/>
    </font>
    <font>
      <b/>
      <sz val="10"/>
      <color rgb="FF000000"/>
      <name val="Arial"/>
      <family val="2"/>
    </font>
    <font>
      <b/>
      <sz val="12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 tint="0.34998626667073579"/>
      <name val="Calibri"/>
      <family val="2"/>
      <charset val="1"/>
    </font>
    <font>
      <b/>
      <sz val="18"/>
      <color theme="0" tint="-0.499984740745262"/>
      <name val="Arial"/>
      <family val="2"/>
    </font>
    <font>
      <b/>
      <sz val="18"/>
      <color theme="0" tint="-0.34998626667073579"/>
      <name val="Arial"/>
      <family val="2"/>
    </font>
    <font>
      <sz val="11"/>
      <color theme="0" tint="-0.34998626667073579"/>
      <name val="Calibri"/>
      <family val="2"/>
    </font>
    <font>
      <sz val="10"/>
      <color theme="0" tint="-0.34998626667073579"/>
      <name val="Calibri"/>
      <family val="2"/>
    </font>
    <font>
      <i/>
      <sz val="8"/>
      <color theme="0" tint="-0.34998626667073579"/>
      <name val="Calibri"/>
      <family val="2"/>
    </font>
    <font>
      <b/>
      <sz val="20"/>
      <name val="Calibri"/>
      <family val="2"/>
    </font>
    <font>
      <sz val="11"/>
      <name val="Calibri"/>
      <family val="2"/>
    </font>
    <font>
      <sz val="11"/>
      <color theme="1" tint="0.34998626667073579"/>
      <name val="Calibri"/>
      <family val="2"/>
    </font>
    <font>
      <sz val="8"/>
      <color theme="1" tint="0.34998626667073579"/>
      <name val="Calibri"/>
      <family val="2"/>
    </font>
    <font>
      <b/>
      <sz val="9"/>
      <color theme="1" tint="0.34998626667073579"/>
      <name val="Calibri"/>
      <family val="2"/>
    </font>
    <font>
      <b/>
      <sz val="8"/>
      <color theme="1" tint="0.34998626667073579"/>
      <name val="Calibri"/>
      <family val="2"/>
    </font>
    <font>
      <b/>
      <sz val="10"/>
      <name val="Calibri"/>
      <family val="2"/>
    </font>
    <font>
      <b/>
      <sz val="7"/>
      <color theme="1" tint="0.34998626667073579"/>
      <name val="Calibri"/>
      <family val="2"/>
    </font>
    <font>
      <sz val="9"/>
      <color theme="1" tint="0.249977111117893"/>
      <name val="Calibri"/>
      <family val="2"/>
    </font>
    <font>
      <b/>
      <sz val="9"/>
      <color theme="1" tint="0.249977111117893"/>
      <name val="Calibri"/>
      <family val="2"/>
    </font>
    <font>
      <sz val="10"/>
      <color theme="1" tint="0.249977111117893"/>
      <name val="Calibri"/>
      <family val="2"/>
    </font>
    <font>
      <sz val="8"/>
      <color theme="1" tint="0.249977111117893"/>
      <name val="Calibri"/>
      <family val="2"/>
    </font>
    <font>
      <b/>
      <sz val="8"/>
      <color theme="1" tint="0.249977111117893"/>
      <name val="Calibri"/>
      <family val="2"/>
    </font>
    <font>
      <sz val="11"/>
      <color theme="1" tint="0.249977111117893"/>
      <name val="Calibri"/>
      <family val="2"/>
    </font>
    <font>
      <b/>
      <sz val="7"/>
      <color theme="1" tint="0.249977111117893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7"/>
      <color theme="1" tint="0.249977111117893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</font>
    <font>
      <sz val="12"/>
      <color theme="1"/>
      <name val="Calibri"/>
      <family val="2"/>
      <charset val="1"/>
    </font>
    <font>
      <b/>
      <sz val="28"/>
      <color theme="1" tint="0.249977111117893"/>
      <name val="Calibri"/>
      <family val="2"/>
      <scheme val="minor"/>
    </font>
    <font>
      <b/>
      <sz val="24"/>
      <color theme="1" tint="0.249977111117893"/>
      <name val="Arial"/>
      <family val="2"/>
    </font>
    <font>
      <i/>
      <sz val="11"/>
      <color rgb="FF595959"/>
      <name val="Arial"/>
      <family val="2"/>
    </font>
    <font>
      <i/>
      <sz val="12"/>
      <color rgb="FF1F3864"/>
      <name val="Arial"/>
      <family val="2"/>
    </font>
    <font>
      <i/>
      <sz val="11"/>
      <color rgb="FF1F3864"/>
      <name val="Arial"/>
      <family val="2"/>
    </font>
    <font>
      <i/>
      <sz val="10"/>
      <color rgb="FF595959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0000FF"/>
      <name val="Arial"/>
      <family val="2"/>
    </font>
    <font>
      <b/>
      <sz val="11"/>
      <color theme="1" tint="0.14999847407452621"/>
      <name val="Calibri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1" tint="0.14999847407452621"/>
      <name val="Calibri"/>
      <family val="2"/>
    </font>
    <font>
      <sz val="16"/>
      <color theme="1"/>
      <name val="Calibri"/>
      <family val="2"/>
      <charset val="1"/>
    </font>
    <font>
      <sz val="20"/>
      <color theme="0"/>
      <name val="Calibri"/>
      <family val="2"/>
      <charset val="1"/>
    </font>
    <font>
      <sz val="18"/>
      <color theme="0"/>
      <name val="Calibri"/>
      <family val="2"/>
      <charset val="1"/>
    </font>
    <font>
      <b/>
      <sz val="18"/>
      <color theme="0"/>
      <name val="Arial"/>
      <family val="2"/>
    </font>
    <font>
      <sz val="16"/>
      <name val="Calibri"/>
      <family val="2"/>
      <charset val="1"/>
    </font>
    <font>
      <sz val="16"/>
      <color theme="0"/>
      <name val="Calibri"/>
      <family val="2"/>
      <charset val="1"/>
    </font>
    <font>
      <b/>
      <sz val="28"/>
      <color theme="0" tint="-0.34998626667073579"/>
      <name val="Arial"/>
      <family val="2"/>
    </font>
    <font>
      <b/>
      <sz val="12"/>
      <color rgb="FF595959"/>
      <name val="Arial"/>
      <family val="2"/>
    </font>
    <font>
      <b/>
      <sz val="20"/>
      <color theme="1"/>
      <name val="Eras Bold ITC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sz val="20"/>
      <color theme="0"/>
      <name val="Eras Bold ITC"/>
      <family val="2"/>
    </font>
    <font>
      <b/>
      <sz val="16"/>
      <color rgb="FFFF0000"/>
      <name val="Calibri"/>
      <family val="2"/>
    </font>
    <font>
      <sz val="11"/>
      <color theme="1"/>
      <name val="Calibri"/>
      <family val="2"/>
    </font>
    <font>
      <b/>
      <u/>
      <sz val="14"/>
      <color theme="1"/>
      <name val="Calibri"/>
      <family val="2"/>
    </font>
    <font>
      <b/>
      <sz val="14"/>
      <color theme="1"/>
      <name val="Calibri"/>
      <family val="2"/>
    </font>
    <font>
      <i/>
      <sz val="16"/>
      <color theme="1"/>
      <name val="Calibri"/>
      <family val="2"/>
    </font>
    <font>
      <b/>
      <sz val="18"/>
      <name val="Arial"/>
      <family val="2"/>
    </font>
    <font>
      <sz val="11"/>
      <name val="Cavolini"/>
      <family val="4"/>
    </font>
    <font>
      <sz val="14"/>
      <name val="Calibri"/>
      <family val="2"/>
      <charset val="1"/>
    </font>
    <font>
      <sz val="20"/>
      <name val="Calibri"/>
      <family val="2"/>
      <charset val="1"/>
    </font>
    <font>
      <sz val="24"/>
      <name val="Calibri"/>
      <family val="2"/>
      <charset val="1"/>
    </font>
    <font>
      <sz val="24"/>
      <color theme="0"/>
      <name val="Calibri"/>
      <family val="2"/>
      <charset val="1"/>
    </font>
    <font>
      <b/>
      <sz val="18"/>
      <color rgb="FFFF0000"/>
      <name val="Arial"/>
      <family val="2"/>
    </font>
    <font>
      <sz val="11"/>
      <color theme="0"/>
      <name val="Cavolini"/>
      <family val="4"/>
    </font>
    <font>
      <sz val="14"/>
      <color theme="0"/>
      <name val="Calibri"/>
      <family val="2"/>
      <charset val="1"/>
    </font>
    <font>
      <sz val="26"/>
      <color theme="0"/>
      <name val="Calibri"/>
      <family val="2"/>
      <charset val="1"/>
    </font>
    <font>
      <b/>
      <sz val="18"/>
      <name val="Microsoft GothicNeo"/>
      <family val="2"/>
      <charset val="129"/>
    </font>
    <font>
      <sz val="14"/>
      <name val="NSimSun"/>
      <family val="3"/>
    </font>
    <font>
      <sz val="10"/>
      <color theme="0"/>
      <name val="Calibri"/>
      <family val="2"/>
      <charset val="1"/>
    </font>
  </fonts>
  <fills count="83">
    <fill>
      <patternFill patternType="none"/>
    </fill>
    <fill>
      <patternFill patternType="gray125"/>
    </fill>
    <fill>
      <patternFill patternType="solid">
        <fgColor rgb="FF1F3864"/>
        <bgColor rgb="FF3A608D"/>
      </patternFill>
    </fill>
    <fill>
      <patternFill patternType="solid">
        <fgColor rgb="FFFFC000"/>
        <bgColor rgb="FFFFC00B"/>
      </patternFill>
    </fill>
    <fill>
      <patternFill patternType="solid">
        <fgColor rgb="FF2E75B6"/>
        <bgColor rgb="FF4672A8"/>
      </patternFill>
    </fill>
    <fill>
      <patternFill patternType="solid">
        <fgColor rgb="FFFFF2CC"/>
        <bgColor rgb="FFFDF2DA"/>
      </patternFill>
    </fill>
    <fill>
      <patternFill patternType="solid">
        <fgColor rgb="FFDEEAF1"/>
        <bgColor rgb="FFD6E8EA"/>
      </patternFill>
    </fill>
    <fill>
      <patternFill patternType="solid">
        <fgColor rgb="FFBDD7EE"/>
        <bgColor rgb="FFD9D9D9"/>
      </patternFill>
    </fill>
    <fill>
      <patternFill patternType="solid">
        <fgColor rgb="FF1F6B75"/>
        <bgColor rgb="FF3A608D"/>
      </patternFill>
    </fill>
    <fill>
      <patternFill patternType="solid">
        <fgColor rgb="FFD6E8EA"/>
        <bgColor rgb="FFDEEAF1"/>
      </patternFill>
    </fill>
    <fill>
      <patternFill patternType="solid">
        <fgColor rgb="FFC55A11"/>
        <bgColor rgb="FFC0504D"/>
      </patternFill>
    </fill>
    <fill>
      <patternFill patternType="solid">
        <fgColor rgb="FFFCE4D6"/>
        <bgColor rgb="FFFDF2DA"/>
      </patternFill>
    </fill>
    <fill>
      <patternFill patternType="solid">
        <fgColor rgb="FF70AD47"/>
        <bgColor rgb="FF8AA64F"/>
      </patternFill>
    </fill>
    <fill>
      <patternFill patternType="solid">
        <fgColor rgb="FFE2EFDA"/>
        <bgColor rgb="FFDEEAF1"/>
      </patternFill>
    </fill>
    <fill>
      <patternFill patternType="solid">
        <fgColor rgb="FF7030A0"/>
        <bgColor rgb="FF5F4A78"/>
      </patternFill>
    </fill>
    <fill>
      <patternFill patternType="solid">
        <fgColor rgb="FFE8DAEF"/>
        <bgColor rgb="FFD9D9D9"/>
      </patternFill>
    </fill>
    <fill>
      <patternFill patternType="solid">
        <fgColor rgb="FFFFC00B"/>
        <bgColor rgb="FFFFC000"/>
      </patternFill>
    </fill>
    <fill>
      <patternFill patternType="solid">
        <fgColor rgb="FFF2F2F2"/>
        <bgColor rgb="FFFDF2DA"/>
      </patternFill>
    </fill>
    <fill>
      <patternFill patternType="solid">
        <fgColor rgb="FFC00000"/>
        <bgColor rgb="FF8F3B39"/>
      </patternFill>
    </fill>
    <fill>
      <patternFill patternType="solid">
        <fgColor rgb="FFFFFFFF"/>
        <bgColor rgb="FFF2F2F2"/>
      </patternFill>
    </fill>
    <fill>
      <patternFill patternType="solid">
        <fgColor rgb="FFE74C3C"/>
        <bgColor rgb="FFC0504D"/>
      </patternFill>
    </fill>
    <fill>
      <patternFill patternType="solid">
        <fgColor rgb="FFB8860B"/>
        <bgColor rgb="FFDC853E"/>
      </patternFill>
    </fill>
    <fill>
      <patternFill patternType="solid">
        <fgColor rgb="FFFDF2DA"/>
        <bgColor rgb="FFFFF2CC"/>
      </patternFill>
    </fill>
    <fill>
      <patternFill patternType="solid">
        <fgColor rgb="FF0A4174"/>
        <bgColor rgb="FF3A608D"/>
      </patternFill>
    </fill>
    <fill>
      <patternFill patternType="solid">
        <fgColor rgb="FF0A4174"/>
        <bgColor indexed="64"/>
      </patternFill>
    </fill>
    <fill>
      <patternFill patternType="solid">
        <fgColor theme="6" tint="0.39997558519241921"/>
        <bgColor rgb="FFDEEAF1"/>
      </patternFill>
    </fill>
    <fill>
      <patternFill patternType="solid">
        <fgColor theme="4" tint="0.39997558519241921"/>
        <bgColor rgb="FFD6E8EA"/>
      </patternFill>
    </fill>
    <fill>
      <patternFill patternType="solid">
        <fgColor rgb="FFFEFCA2"/>
        <bgColor rgb="FFFDF2DA"/>
      </patternFill>
    </fill>
    <fill>
      <patternFill patternType="solid">
        <fgColor rgb="FFFFE181"/>
        <bgColor rgb="FFFDF2DA"/>
      </patternFill>
    </fill>
    <fill>
      <patternFill patternType="solid">
        <fgColor rgb="FF4E8EA2"/>
        <bgColor indexed="64"/>
      </patternFill>
    </fill>
    <fill>
      <patternFill patternType="solid">
        <fgColor rgb="FF0A4174"/>
        <bgColor rgb="FF4672A8"/>
      </patternFill>
    </fill>
    <fill>
      <patternFill patternType="solid">
        <fgColor rgb="FF0A4174"/>
        <bgColor rgb="FFD6E8EA"/>
      </patternFill>
    </fill>
    <fill>
      <patternFill patternType="solid">
        <fgColor theme="0"/>
        <bgColor indexed="64"/>
      </patternFill>
    </fill>
    <fill>
      <patternFill patternType="solid">
        <fgColor rgb="FFF3F3F3"/>
        <bgColor rgb="FF3A608D"/>
      </patternFill>
    </fill>
    <fill>
      <patternFill patternType="solid">
        <fgColor rgb="FFACBBC8"/>
        <bgColor rgb="FF3A608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rgb="FF3A608D"/>
      </patternFill>
    </fill>
    <fill>
      <patternFill patternType="solid">
        <fgColor rgb="FFACBBC8"/>
        <bgColor rgb="FF4672A8"/>
      </patternFill>
    </fill>
    <fill>
      <patternFill patternType="solid">
        <fgColor rgb="FFACBBC8"/>
        <bgColor indexed="64"/>
      </patternFill>
    </fill>
    <fill>
      <patternFill patternType="solid">
        <fgColor rgb="FFACBBC8"/>
        <bgColor rgb="FFC0504D"/>
      </patternFill>
    </fill>
    <fill>
      <patternFill patternType="solid">
        <fgColor theme="0" tint="-4.9989318521683403E-2"/>
        <bgColor rgb="FF4672A8"/>
      </patternFill>
    </fill>
    <fill>
      <patternFill patternType="solid">
        <fgColor theme="0"/>
        <bgColor rgb="FF4672A8"/>
      </patternFill>
    </fill>
    <fill>
      <patternFill patternType="solid">
        <fgColor rgb="FF8EA2B3"/>
        <bgColor indexed="64"/>
      </patternFill>
    </fill>
    <fill>
      <patternFill patternType="solid">
        <fgColor theme="0" tint="-4.9989318521683403E-2"/>
        <bgColor rgb="FF161B22"/>
      </patternFill>
    </fill>
    <fill>
      <patternFill patternType="solid">
        <fgColor theme="0" tint="-4.9989318521683403E-2"/>
        <bgColor rgb="FF1A1A2B"/>
      </patternFill>
    </fill>
    <fill>
      <patternFill patternType="solid">
        <fgColor theme="0" tint="-4.9989318521683403E-2"/>
        <bgColor rgb="FF00C8F0"/>
      </patternFill>
    </fill>
    <fill>
      <patternFill patternType="solid">
        <fgColor theme="0" tint="-4.9989318521683403E-2"/>
        <bgColor rgb="FF00D4FF"/>
      </patternFill>
    </fill>
    <fill>
      <patternFill patternType="solid">
        <fgColor theme="0" tint="-4.9989318521683403E-2"/>
        <bgColor rgb="FF00B0CF"/>
      </patternFill>
    </fill>
    <fill>
      <patternFill patternType="solid">
        <fgColor theme="0" tint="-4.9989318521683403E-2"/>
        <bgColor rgb="FF00FFC6"/>
      </patternFill>
    </fill>
    <fill>
      <patternFill patternType="solid">
        <fgColor theme="0" tint="-4.9989318521683403E-2"/>
        <bgColor rgb="FFFFC000"/>
      </patternFill>
    </fill>
    <fill>
      <patternFill patternType="solid">
        <fgColor theme="0" tint="-4.9989318521683403E-2"/>
        <bgColor rgb="FFFF6D36"/>
      </patternFill>
    </fill>
    <fill>
      <patternFill patternType="solid">
        <fgColor theme="0" tint="-4.9989318521683403E-2"/>
        <bgColor rgb="FFFF3CAC"/>
      </patternFill>
    </fill>
    <fill>
      <patternFill patternType="solid">
        <fgColor theme="0" tint="-4.9989318521683403E-2"/>
        <bgColor rgb="FFBF5FFF"/>
      </patternFill>
    </fill>
    <fill>
      <patternFill patternType="solid">
        <fgColor theme="0" tint="-4.9989318521683403E-2"/>
        <bgColor rgb="FF1C2333"/>
      </patternFill>
    </fill>
    <fill>
      <patternFill patternType="solid">
        <fgColor theme="0" tint="-4.9989318521683403E-2"/>
        <bgColor rgb="FF2B2209"/>
      </patternFill>
    </fill>
    <fill>
      <patternFill patternType="solid">
        <fgColor theme="0" tint="-4.9989318521683403E-2"/>
        <bgColor rgb="FF0D2B1A"/>
      </patternFill>
    </fill>
    <fill>
      <patternFill patternType="solid">
        <fgColor theme="0" tint="-4.9989318521683403E-2"/>
        <bgColor rgb="FF0D2B2B"/>
      </patternFill>
    </fill>
    <fill>
      <patternFill patternType="solid">
        <fgColor theme="0" tint="-4.9989318521683403E-2"/>
        <bgColor rgb="FF2B1A0D"/>
      </patternFill>
    </fill>
    <fill>
      <patternFill patternType="solid">
        <fgColor rgb="FFACBBC8"/>
        <bgColor rgb="FF161B22"/>
      </patternFill>
    </fill>
    <fill>
      <patternFill patternType="solid">
        <fgColor rgb="FFA9C9D3"/>
        <bgColor rgb="FF1A1A2B"/>
      </patternFill>
    </fill>
    <fill>
      <patternFill patternType="solid">
        <fgColor rgb="FFA9C9D3"/>
        <bgColor indexed="64"/>
      </patternFill>
    </fill>
    <fill>
      <patternFill patternType="solid">
        <fgColor rgb="FFBDD8E9"/>
        <bgColor rgb="FF1A1A2B"/>
      </patternFill>
    </fill>
    <fill>
      <patternFill patternType="solid">
        <fgColor rgb="FFACBBC8"/>
        <bgColor rgb="FF1A1A2B"/>
      </patternFill>
    </fill>
    <fill>
      <patternFill patternType="solid">
        <fgColor rgb="FF6EA2B3"/>
        <bgColor rgb="FF1A1A2B"/>
      </patternFill>
    </fill>
    <fill>
      <patternFill patternType="solid">
        <fgColor rgb="FF4E8EA2"/>
        <bgColor rgb="FF1A1A2B"/>
      </patternFill>
    </fill>
    <fill>
      <patternFill patternType="solid">
        <fgColor rgb="FF8EA2B3"/>
        <bgColor rgb="FF1A1A2B"/>
      </patternFill>
    </fill>
    <fill>
      <patternFill patternType="solid">
        <fgColor rgb="FF8EA2B3"/>
        <bgColor rgb="FF1C2333"/>
      </patternFill>
    </fill>
    <fill>
      <patternFill patternType="solid">
        <fgColor rgb="FF8EA2B3"/>
        <bgColor rgb="FF0D2B1A"/>
      </patternFill>
    </fill>
    <fill>
      <patternFill patternType="solid">
        <fgColor rgb="FF8EA2B3"/>
        <bgColor rgb="FF0D2B2B"/>
      </patternFill>
    </fill>
    <fill>
      <patternFill patternType="solid">
        <fgColor rgb="FF8EA2B3"/>
        <bgColor rgb="FF2B2209"/>
      </patternFill>
    </fill>
    <fill>
      <patternFill patternType="solid">
        <fgColor rgb="FF8EA2B3"/>
        <bgColor rgb="FF2B1A0D"/>
      </patternFill>
    </fill>
    <fill>
      <patternFill patternType="solid">
        <fgColor rgb="FF8EA2B3"/>
        <bgColor rgb="FF161B22"/>
      </patternFill>
    </fill>
    <fill>
      <patternFill patternType="solid">
        <fgColor rgb="FF49769F"/>
        <bgColor indexed="64"/>
      </patternFill>
    </fill>
    <fill>
      <gradientFill degree="90">
        <stop position="0">
          <color theme="0"/>
        </stop>
        <stop position="0.5">
          <color rgb="FFA9C9D3"/>
        </stop>
        <stop position="1">
          <color theme="0"/>
        </stop>
      </gradientFill>
    </fill>
    <fill>
      <patternFill patternType="solid">
        <fgColor theme="9" tint="0.59999389629810485"/>
        <bgColor indexed="64"/>
      </patternFill>
    </fill>
    <fill>
      <patternFill patternType="solid">
        <fgColor rgb="FFFFFF85"/>
        <bgColor indexed="64"/>
      </patternFill>
    </fill>
    <fill>
      <patternFill patternType="solid">
        <fgColor theme="8" tint="0.79998168889431442"/>
        <bgColor rgb="FF4672A8"/>
      </patternFill>
    </fill>
    <fill>
      <patternFill patternType="solid">
        <fgColor theme="3"/>
        <bgColor indexed="64"/>
      </patternFill>
    </fill>
    <fill>
      <patternFill patternType="solid">
        <fgColor rgb="FFFFFF85"/>
        <bgColor rgb="FFDEEAF1"/>
      </patternFill>
    </fill>
    <fill>
      <patternFill patternType="solid">
        <fgColor rgb="FFFFFF85"/>
        <bgColor rgb="FFFDF2DA"/>
      </patternFill>
    </fill>
    <fill>
      <patternFill patternType="solid">
        <fgColor theme="0" tint="-0.14999847407452621"/>
        <bgColor rgb="FFFDF2DA"/>
      </patternFill>
    </fill>
    <fill>
      <patternFill patternType="solid">
        <fgColor rgb="FFFFFFB3"/>
        <bgColor rgb="FFFDF2DA"/>
      </patternFill>
    </fill>
  </fills>
  <borders count="97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medium">
        <color rgb="FF1F6B75"/>
      </left>
      <right style="medium">
        <color rgb="FF1F6B75"/>
      </right>
      <top style="medium">
        <color rgb="FF1F6B75"/>
      </top>
      <bottom style="medium">
        <color rgb="FF1F6B75"/>
      </bottom>
      <diagonal/>
    </border>
    <border>
      <left style="thin">
        <color rgb="FF1F6B75"/>
      </left>
      <right/>
      <top style="thin">
        <color rgb="FF1F6B75"/>
      </top>
      <bottom style="thin">
        <color rgb="FF1F6B75"/>
      </bottom>
      <diagonal/>
    </border>
    <border>
      <left style="medium">
        <color rgb="FFC55A11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thin">
        <color rgb="FFC55A11"/>
      </left>
      <right/>
      <top style="thin">
        <color rgb="FFC55A11"/>
      </top>
      <bottom style="thin">
        <color rgb="FFC55A11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1F6B75"/>
      </left>
      <right style="thin">
        <color rgb="FF1F6B75"/>
      </right>
      <top style="thin">
        <color rgb="FF1F6B75"/>
      </top>
      <bottom style="thin">
        <color rgb="FF1F6B75"/>
      </bottom>
      <diagonal/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 style="medium">
        <color rgb="FFE74C3C"/>
      </left>
      <right style="medium">
        <color rgb="FFE74C3C"/>
      </right>
      <top style="medium">
        <color rgb="FFE74C3C"/>
      </top>
      <bottom style="medium">
        <color rgb="FFE74C3C"/>
      </bottom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1F6B75"/>
      </left>
      <right/>
      <top style="medium">
        <color rgb="FF1F6B75"/>
      </top>
      <bottom style="medium">
        <color rgb="FF1F6B75"/>
      </bottom>
      <diagonal/>
    </border>
    <border>
      <left style="medium">
        <color rgb="FFFFC00B"/>
      </left>
      <right style="medium">
        <color rgb="FFFFC00B"/>
      </right>
      <top style="medium">
        <color rgb="FFFFC00B"/>
      </top>
      <bottom/>
      <diagonal/>
    </border>
    <border>
      <left style="thin">
        <color rgb="FFFFC00B"/>
      </left>
      <right/>
      <top style="thin">
        <color rgb="FFFFC00B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ck">
        <color theme="0" tint="-0.14990691854609822"/>
      </right>
      <top/>
      <bottom style="thick">
        <color theme="0" tint="-0.14990691854609822"/>
      </bottom>
      <diagonal/>
    </border>
    <border>
      <left/>
      <right/>
      <top/>
      <bottom style="thick">
        <color theme="0" tint="-0.14990691854609822"/>
      </bottom>
      <diagonal/>
    </border>
    <border>
      <left style="medium">
        <color rgb="FF1F3864"/>
      </left>
      <right/>
      <top style="thin">
        <color indexed="64"/>
      </top>
      <bottom style="medium">
        <color rgb="FF1F38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1F3864"/>
      </bottom>
      <diagonal/>
    </border>
    <border>
      <left style="medium">
        <color rgb="FF1F3864"/>
      </left>
      <right style="thin">
        <color indexed="64"/>
      </right>
      <top style="thin">
        <color indexed="64"/>
      </top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indexed="64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2E75B6"/>
      </left>
      <right style="thin">
        <color indexed="64"/>
      </right>
      <top style="thin">
        <color rgb="FF2E75B6"/>
      </top>
      <bottom style="thin">
        <color rgb="FF2E75B6"/>
      </bottom>
      <diagonal/>
    </border>
    <border>
      <left style="thin">
        <color indexed="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 style="thin">
        <color indexed="64"/>
      </right>
      <top style="thin">
        <color rgb="FF1F3864"/>
      </top>
      <bottom style="thin">
        <color rgb="FF1F3864"/>
      </bottom>
      <diagonal/>
    </border>
    <border>
      <left style="thin">
        <color indexed="64"/>
      </left>
      <right style="medium">
        <color rgb="FF1F6B75"/>
      </right>
      <top style="medium">
        <color rgb="FF1F6B75"/>
      </top>
      <bottom style="medium">
        <color rgb="FF1F6B75"/>
      </bottom>
      <diagonal/>
    </border>
    <border>
      <left style="thin">
        <color rgb="FF1F6B75"/>
      </left>
      <right style="thin">
        <color indexed="64"/>
      </right>
      <top style="thin">
        <color rgb="FF1F6B75"/>
      </top>
      <bottom style="thin">
        <color rgb="FF1F6B75"/>
      </bottom>
      <diagonal/>
    </border>
    <border>
      <left style="thin">
        <color indexed="64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thin">
        <color rgb="FFC55A11"/>
      </left>
      <right style="thin">
        <color indexed="64"/>
      </right>
      <top style="thin">
        <color rgb="FFC55A11"/>
      </top>
      <bottom style="thin">
        <color rgb="FFC55A11"/>
      </bottom>
      <diagonal/>
    </border>
    <border>
      <left style="thin">
        <color indexed="64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thin">
        <color rgb="FF70AD47"/>
      </left>
      <right style="thin">
        <color indexed="64"/>
      </right>
      <top style="thin">
        <color rgb="FF70AD47"/>
      </top>
      <bottom style="thin">
        <color rgb="FF70AD47"/>
      </bottom>
      <diagonal/>
    </border>
    <border>
      <left style="thin">
        <color indexed="64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indexed="64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 style="medium">
        <color rgb="FFFFC00B"/>
      </right>
      <top style="medium">
        <color rgb="FFFFC00B"/>
      </top>
      <bottom/>
      <diagonal/>
    </border>
    <border>
      <left style="thin">
        <color rgb="FFFFC00B"/>
      </left>
      <right style="thin">
        <color indexed="64"/>
      </right>
      <top style="thin">
        <color rgb="FFFFC00B"/>
      </top>
      <bottom/>
      <diagonal/>
    </border>
    <border>
      <left style="thin">
        <color indexed="64"/>
      </left>
      <right/>
      <top style="medium">
        <color rgb="FFFFC000"/>
      </top>
      <bottom style="medium">
        <color rgb="FFFFC000"/>
      </bottom>
      <diagonal/>
    </border>
    <border>
      <left/>
      <right style="thin">
        <color indexed="64"/>
      </right>
      <top style="medium">
        <color rgb="FFFFC000"/>
      </top>
      <bottom style="medium">
        <color rgb="FFFFC000"/>
      </bottom>
      <diagonal/>
    </border>
    <border>
      <left style="medium">
        <color rgb="FF1F3864"/>
      </left>
      <right style="thin">
        <color indexed="64"/>
      </right>
      <top style="medium">
        <color rgb="FF1F3864"/>
      </top>
      <bottom style="medium">
        <color rgb="FF1F3864"/>
      </bottom>
      <diagonal/>
    </border>
    <border>
      <left style="thin">
        <color indexed="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indexed="64"/>
      </left>
      <right/>
      <top style="thin">
        <color rgb="FFC55A11"/>
      </top>
      <bottom style="thin">
        <color rgb="FFC55A1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rgb="FFC55A11"/>
      </right>
      <top/>
      <bottom style="medium">
        <color rgb="FFC55A1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75B6"/>
      </left>
      <right/>
      <top style="thin">
        <color rgb="FF2E75B6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thick">
        <color rgb="FF00FFC6"/>
      </left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/>
      <bottom style="double">
        <color theme="0" tint="-0.149937437055574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rgb="FF8EA2B3"/>
      </right>
      <top/>
      <bottom/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78" fillId="0" borderId="0" applyFont="0" applyFill="0" applyBorder="0" applyAlignment="0" applyProtection="0"/>
    <xf numFmtId="9" fontId="78" fillId="0" borderId="0" applyFont="0" applyFill="0" applyBorder="0" applyAlignment="0" applyProtection="0"/>
  </cellStyleXfs>
  <cellXfs count="552">
    <xf numFmtId="0" fontId="0" fillId="0" borderId="0" xfId="0"/>
    <xf numFmtId="0" fontId="3" fillId="8" borderId="7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16" fillId="17" borderId="21" xfId="0" applyFont="1" applyFill="1" applyBorder="1" applyAlignment="1">
      <alignment horizontal="left" vertical="center" wrapText="1"/>
    </xf>
    <xf numFmtId="0" fontId="19" fillId="7" borderId="21" xfId="0" applyFont="1" applyFill="1" applyBorder="1" applyAlignment="1">
      <alignment horizontal="center" vertical="center"/>
    </xf>
    <xf numFmtId="168" fontId="23" fillId="11" borderId="21" xfId="0" applyNumberFormat="1" applyFont="1" applyFill="1" applyBorder="1" applyAlignment="1">
      <alignment horizontal="right" vertical="center"/>
    </xf>
    <xf numFmtId="169" fontId="8" fillId="2" borderId="5" xfId="0" applyNumberFormat="1" applyFont="1" applyFill="1" applyBorder="1" applyAlignment="1">
      <alignment horizontal="right" vertical="center"/>
    </xf>
    <xf numFmtId="0" fontId="24" fillId="13" borderId="21" xfId="0" applyFont="1" applyFill="1" applyBorder="1" applyAlignment="1">
      <alignment horizontal="center" vertical="center"/>
    </xf>
    <xf numFmtId="0" fontId="16" fillId="19" borderId="21" xfId="0" applyFont="1" applyFill="1" applyBorder="1" applyAlignment="1">
      <alignment horizontal="left" vertical="center" wrapText="1"/>
    </xf>
    <xf numFmtId="0" fontId="25" fillId="11" borderId="21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right" vertical="center"/>
    </xf>
    <xf numFmtId="169" fontId="3" fillId="12" borderId="11" xfId="0" applyNumberFormat="1" applyFont="1" applyFill="1" applyBorder="1" applyAlignment="1">
      <alignment horizontal="right" vertical="center"/>
    </xf>
    <xf numFmtId="170" fontId="6" fillId="12" borderId="21" xfId="0" applyNumberFormat="1" applyFont="1" applyFill="1" applyBorder="1" applyAlignment="1">
      <alignment horizontal="right" vertical="center"/>
    </xf>
    <xf numFmtId="0" fontId="3" fillId="8" borderId="7" xfId="0" applyFont="1" applyFill="1" applyBorder="1" applyAlignment="1">
      <alignment horizontal="right" vertical="center"/>
    </xf>
    <xf numFmtId="169" fontId="3" fillId="8" borderId="7" xfId="0" applyNumberFormat="1" applyFont="1" applyFill="1" applyBorder="1" applyAlignment="1">
      <alignment horizontal="right" vertical="center"/>
    </xf>
    <xf numFmtId="0" fontId="11" fillId="8" borderId="21" xfId="0" applyFont="1" applyFill="1" applyBorder="1" applyAlignment="1">
      <alignment horizontal="center" vertical="center"/>
    </xf>
    <xf numFmtId="169" fontId="0" fillId="0" borderId="0" xfId="0" applyNumberFormat="1"/>
    <xf numFmtId="169" fontId="26" fillId="13" borderId="21" xfId="0" applyNumberFormat="1" applyFont="1" applyFill="1" applyBorder="1" applyAlignment="1">
      <alignment horizontal="right" vertical="center"/>
    </xf>
    <xf numFmtId="169" fontId="27" fillId="9" borderId="21" xfId="0" applyNumberFormat="1" applyFont="1" applyFill="1" applyBorder="1" applyAlignment="1">
      <alignment horizontal="right" vertical="center"/>
    </xf>
    <xf numFmtId="0" fontId="19" fillId="11" borderId="21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8" borderId="7" xfId="0" applyFont="1" applyFill="1" applyBorder="1" applyAlignment="1">
      <alignment horizontal="center" vertical="center" wrapText="1"/>
    </xf>
    <xf numFmtId="0" fontId="38" fillId="10" borderId="9" xfId="0" applyFont="1" applyFill="1" applyBorder="1" applyAlignment="1">
      <alignment horizontal="center" vertical="center" wrapText="1"/>
    </xf>
    <xf numFmtId="0" fontId="38" fillId="12" borderId="11" xfId="0" applyFont="1" applyFill="1" applyBorder="1" applyAlignment="1">
      <alignment horizontal="center" vertical="center" wrapText="1"/>
    </xf>
    <xf numFmtId="0" fontId="38" fillId="14" borderId="13" xfId="0" applyFont="1" applyFill="1" applyBorder="1" applyAlignment="1">
      <alignment horizontal="center" vertical="center" wrapText="1"/>
    </xf>
    <xf numFmtId="0" fontId="38" fillId="20" borderId="23" xfId="0" applyFont="1" applyFill="1" applyBorder="1" applyAlignment="1">
      <alignment horizontal="center" vertical="center" wrapText="1"/>
    </xf>
    <xf numFmtId="0" fontId="38" fillId="21" borderId="24" xfId="0" applyFont="1" applyFill="1" applyBorder="1" applyAlignment="1">
      <alignment horizontal="center" vertical="center" wrapText="1"/>
    </xf>
    <xf numFmtId="168" fontId="39" fillId="6" borderId="5" xfId="0" applyNumberFormat="1" applyFont="1" applyFill="1" applyBorder="1" applyAlignment="1">
      <alignment horizontal="center" vertical="center"/>
    </xf>
    <xf numFmtId="169" fontId="40" fillId="7" borderId="3" xfId="0" applyNumberFormat="1" applyFont="1" applyFill="1" applyBorder="1" applyAlignment="1">
      <alignment horizontal="center" vertical="center"/>
    </xf>
    <xf numFmtId="169" fontId="41" fillId="9" borderId="7" xfId="0" applyNumberFormat="1" applyFont="1" applyFill="1" applyBorder="1" applyAlignment="1">
      <alignment horizontal="center" vertical="center"/>
    </xf>
    <xf numFmtId="169" fontId="42" fillId="11" borderId="9" xfId="0" applyNumberFormat="1" applyFont="1" applyFill="1" applyBorder="1" applyAlignment="1">
      <alignment horizontal="center" vertical="center"/>
    </xf>
    <xf numFmtId="168" fontId="43" fillId="13" borderId="11" xfId="0" applyNumberFormat="1" applyFont="1" applyFill="1" applyBorder="1" applyAlignment="1">
      <alignment horizontal="center" vertical="center"/>
    </xf>
    <xf numFmtId="169" fontId="44" fillId="15" borderId="13" xfId="0" applyNumberFormat="1" applyFont="1" applyFill="1" applyBorder="1" applyAlignment="1">
      <alignment horizontal="center" vertical="center"/>
    </xf>
    <xf numFmtId="165" fontId="45" fillId="11" borderId="23" xfId="0" applyNumberFormat="1" applyFont="1" applyFill="1" applyBorder="1" applyAlignment="1">
      <alignment horizontal="center" vertical="center"/>
    </xf>
    <xf numFmtId="169" fontId="46" fillId="22" borderId="24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169" fontId="47" fillId="6" borderId="5" xfId="0" applyNumberFormat="1" applyFont="1" applyFill="1" applyBorder="1" applyAlignment="1">
      <alignment horizontal="center" vertical="center"/>
    </xf>
    <xf numFmtId="164" fontId="48" fillId="9" borderId="5" xfId="0" applyNumberFormat="1" applyFont="1" applyFill="1" applyBorder="1" applyAlignment="1">
      <alignment horizontal="center" vertical="center"/>
    </xf>
    <xf numFmtId="165" fontId="2" fillId="6" borderId="5" xfId="0" applyNumberFormat="1" applyFont="1" applyFill="1" applyBorder="1" applyAlignment="1">
      <alignment horizontal="center" vertical="center"/>
    </xf>
    <xf numFmtId="165" fontId="49" fillId="11" borderId="5" xfId="0" applyNumberFormat="1" applyFont="1" applyFill="1" applyBorder="1" applyAlignment="1">
      <alignment horizontal="center" vertical="center"/>
    </xf>
    <xf numFmtId="169" fontId="50" fillId="13" borderId="5" xfId="0" applyNumberFormat="1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16" fillId="17" borderId="21" xfId="0" applyFont="1" applyFill="1" applyBorder="1" applyAlignment="1">
      <alignment horizontal="left" vertical="center"/>
    </xf>
    <xf numFmtId="169" fontId="16" fillId="17" borderId="21" xfId="0" applyNumberFormat="1" applyFont="1" applyFill="1" applyBorder="1" applyAlignment="1">
      <alignment horizontal="right" vertical="center"/>
    </xf>
    <xf numFmtId="168" fontId="16" fillId="17" borderId="21" xfId="0" applyNumberFormat="1" applyFont="1" applyFill="1" applyBorder="1" applyAlignment="1">
      <alignment horizontal="right" vertical="center"/>
    </xf>
    <xf numFmtId="165" fontId="16" fillId="17" borderId="21" xfId="0" applyNumberFormat="1" applyFont="1" applyFill="1" applyBorder="1" applyAlignment="1">
      <alignment horizontal="center" vertical="center"/>
    </xf>
    <xf numFmtId="0" fontId="16" fillId="19" borderId="21" xfId="0" applyFont="1" applyFill="1" applyBorder="1" applyAlignment="1">
      <alignment horizontal="left" vertical="center"/>
    </xf>
    <xf numFmtId="169" fontId="16" fillId="19" borderId="21" xfId="0" applyNumberFormat="1" applyFont="1" applyFill="1" applyBorder="1" applyAlignment="1">
      <alignment horizontal="right" vertical="center"/>
    </xf>
    <xf numFmtId="168" fontId="16" fillId="19" borderId="21" xfId="0" applyNumberFormat="1" applyFont="1" applyFill="1" applyBorder="1" applyAlignment="1">
      <alignment horizontal="right" vertical="center"/>
    </xf>
    <xf numFmtId="165" fontId="16" fillId="19" borderId="21" xfId="0" applyNumberFormat="1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left" vertical="center"/>
    </xf>
    <xf numFmtId="168" fontId="14" fillId="9" borderId="21" xfId="0" applyNumberFormat="1" applyFont="1" applyFill="1" applyBorder="1" applyAlignment="1">
      <alignment horizontal="right" vertical="center"/>
    </xf>
    <xf numFmtId="168" fontId="34" fillId="13" borderId="11" xfId="0" applyNumberFormat="1" applyFont="1" applyFill="1" applyBorder="1"/>
    <xf numFmtId="165" fontId="34" fillId="13" borderId="11" xfId="0" applyNumberFormat="1" applyFont="1" applyFill="1" applyBorder="1"/>
    <xf numFmtId="165" fontId="13" fillId="12" borderId="11" xfId="0" applyNumberFormat="1" applyFont="1" applyFill="1" applyBorder="1" applyAlignment="1">
      <alignment horizontal="center" vertical="center"/>
    </xf>
    <xf numFmtId="169" fontId="31" fillId="6" borderId="5" xfId="0" applyNumberFormat="1" applyFont="1" applyFill="1" applyBorder="1"/>
    <xf numFmtId="168" fontId="31" fillId="6" borderId="5" xfId="0" applyNumberFormat="1" applyFont="1" applyFill="1" applyBorder="1"/>
    <xf numFmtId="168" fontId="50" fillId="13" borderId="11" xfId="0" applyNumberFormat="1" applyFont="1" applyFill="1" applyBorder="1" applyAlignment="1">
      <alignment horizontal="center" vertical="center"/>
    </xf>
    <xf numFmtId="168" fontId="2" fillId="6" borderId="5" xfId="0" applyNumberFormat="1" applyFont="1" applyFill="1" applyBorder="1" applyAlignment="1">
      <alignment horizontal="center" vertical="center"/>
    </xf>
    <xf numFmtId="168" fontId="48" fillId="9" borderId="7" xfId="0" applyNumberFormat="1" applyFont="1" applyFill="1" applyBorder="1" applyAlignment="1">
      <alignment horizontal="center" vertical="center"/>
    </xf>
    <xf numFmtId="165" fontId="49" fillId="11" borderId="9" xfId="0" applyNumberFormat="1" applyFont="1" applyFill="1" applyBorder="1" applyAlignment="1">
      <alignment horizontal="center" vertical="center"/>
    </xf>
    <xf numFmtId="169" fontId="51" fillId="15" borderId="13" xfId="0" applyNumberFormat="1" applyFont="1" applyFill="1" applyBorder="1" applyAlignment="1">
      <alignment horizontal="center" vertical="center"/>
    </xf>
    <xf numFmtId="168" fontId="47" fillId="7" borderId="3" xfId="0" applyNumberFormat="1" applyFont="1" applyFill="1" applyBorder="1" applyAlignment="1">
      <alignment horizontal="center" vertical="center"/>
    </xf>
    <xf numFmtId="3" fontId="52" fillId="22" borderId="24" xfId="0" applyNumberFormat="1" applyFont="1" applyFill="1" applyBorder="1" applyAlignment="1">
      <alignment horizontal="center" vertical="center"/>
    </xf>
    <xf numFmtId="169" fontId="53" fillId="11" borderId="23" xfId="0" applyNumberFormat="1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169" fontId="23" fillId="17" borderId="21" xfId="0" applyNumberFormat="1" applyFont="1" applyFill="1" applyBorder="1" applyAlignment="1">
      <alignment horizontal="right" vertical="center"/>
    </xf>
    <xf numFmtId="0" fontId="6" fillId="10" borderId="21" xfId="0" applyFont="1" applyFill="1" applyBorder="1" applyAlignment="1">
      <alignment horizontal="center" vertical="center"/>
    </xf>
    <xf numFmtId="169" fontId="54" fillId="19" borderId="21" xfId="0" applyNumberFormat="1" applyFont="1" applyFill="1" applyBorder="1" applyAlignment="1">
      <alignment horizontal="right" vertical="center"/>
    </xf>
    <xf numFmtId="0" fontId="6" fillId="12" borderId="21" xfId="0" applyFont="1" applyFill="1" applyBorder="1" applyAlignment="1">
      <alignment horizontal="center" vertical="center"/>
    </xf>
    <xf numFmtId="169" fontId="54" fillId="17" borderId="21" xfId="0" applyNumberFormat="1" applyFont="1" applyFill="1" applyBorder="1" applyAlignment="1">
      <alignment horizontal="right" vertical="center"/>
    </xf>
    <xf numFmtId="168" fontId="3" fillId="8" borderId="7" xfId="0" applyNumberFormat="1" applyFont="1" applyFill="1" applyBorder="1" applyAlignment="1">
      <alignment horizontal="right" vertical="center"/>
    </xf>
    <xf numFmtId="0" fontId="3" fillId="10" borderId="9" xfId="0" applyFont="1" applyFill="1" applyBorder="1" applyAlignment="1">
      <alignment horizontal="right" vertical="center"/>
    </xf>
    <xf numFmtId="168" fontId="0" fillId="0" borderId="0" xfId="0" applyNumberFormat="1"/>
    <xf numFmtId="0" fontId="0" fillId="24" borderId="0" xfId="0" applyFill="1"/>
    <xf numFmtId="0" fontId="0" fillId="29" borderId="0" xfId="0" applyFill="1"/>
    <xf numFmtId="0" fontId="0" fillId="32" borderId="0" xfId="0" applyFill="1"/>
    <xf numFmtId="0" fontId="59" fillId="32" borderId="0" xfId="0" applyFont="1" applyFill="1"/>
    <xf numFmtId="0" fontId="19" fillId="7" borderId="29" xfId="0" applyFont="1" applyFill="1" applyBorder="1" applyAlignment="1">
      <alignment horizontal="center" vertical="center"/>
    </xf>
    <xf numFmtId="168" fontId="22" fillId="6" borderId="29" xfId="0" applyNumberFormat="1" applyFont="1" applyFill="1" applyBorder="1" applyAlignment="1">
      <alignment horizontal="right" vertical="center"/>
    </xf>
    <xf numFmtId="168" fontId="23" fillId="11" borderId="29" xfId="0" applyNumberFormat="1" applyFont="1" applyFill="1" applyBorder="1" applyAlignment="1">
      <alignment horizontal="right" vertical="center"/>
    </xf>
    <xf numFmtId="168" fontId="23" fillId="11" borderId="30" xfId="0" applyNumberFormat="1" applyFont="1" applyFill="1" applyBorder="1" applyAlignment="1">
      <alignment horizontal="right" vertical="center"/>
    </xf>
    <xf numFmtId="0" fontId="61" fillId="33" borderId="0" xfId="0" applyFont="1" applyFill="1" applyAlignment="1">
      <alignment horizontal="center" vertical="center" wrapText="1"/>
    </xf>
    <xf numFmtId="0" fontId="0" fillId="35" borderId="0" xfId="0" applyFill="1"/>
    <xf numFmtId="169" fontId="64" fillId="34" borderId="0" xfId="0" applyNumberFormat="1" applyFont="1" applyFill="1" applyAlignment="1">
      <alignment horizontal="right" vertical="center"/>
    </xf>
    <xf numFmtId="0" fontId="62" fillId="34" borderId="0" xfId="0" applyFont="1" applyFill="1"/>
    <xf numFmtId="0" fontId="6" fillId="2" borderId="43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7" fillId="6" borderId="58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0" fillId="39" borderId="0" xfId="0" applyFill="1"/>
    <xf numFmtId="0" fontId="70" fillId="39" borderId="0" xfId="0" applyFont="1" applyFill="1"/>
    <xf numFmtId="169" fontId="0" fillId="35" borderId="0" xfId="0" applyNumberFormat="1" applyFill="1"/>
    <xf numFmtId="0" fontId="8" fillId="2" borderId="5" xfId="0" applyFont="1" applyFill="1" applyBorder="1" applyAlignment="1">
      <alignment horizontal="left" vertical="center"/>
    </xf>
    <xf numFmtId="0" fontId="16" fillId="17" borderId="29" xfId="0" applyFont="1" applyFill="1" applyBorder="1" applyAlignment="1">
      <alignment horizontal="left" vertical="center" wrapText="1"/>
    </xf>
    <xf numFmtId="0" fontId="24" fillId="13" borderId="29" xfId="0" applyFont="1" applyFill="1" applyBorder="1" applyAlignment="1">
      <alignment horizontal="center" vertical="center"/>
    </xf>
    <xf numFmtId="0" fontId="63" fillId="34" borderId="0" xfId="0" applyFont="1" applyFill="1" applyAlignment="1">
      <alignment horizontal="center" vertical="center" wrapText="1"/>
    </xf>
    <xf numFmtId="0" fontId="60" fillId="38" borderId="0" xfId="0" applyFont="1" applyFill="1" applyAlignment="1">
      <alignment horizontal="center" vertical="center" wrapText="1"/>
    </xf>
    <xf numFmtId="0" fontId="19" fillId="11" borderId="29" xfId="0" applyFont="1" applyFill="1" applyBorder="1" applyAlignment="1">
      <alignment horizontal="center" vertical="center"/>
    </xf>
    <xf numFmtId="0" fontId="60" fillId="40" borderId="0" xfId="0" applyFont="1" applyFill="1" applyAlignment="1">
      <alignment horizontal="center" vertical="center" wrapText="1"/>
    </xf>
    <xf numFmtId="168" fontId="8" fillId="10" borderId="75" xfId="0" applyNumberFormat="1" applyFont="1" applyFill="1" applyBorder="1" applyAlignment="1">
      <alignment horizontal="right" vertical="center"/>
    </xf>
    <xf numFmtId="0" fontId="14" fillId="17" borderId="20" xfId="0" applyFont="1" applyFill="1" applyBorder="1" applyAlignment="1">
      <alignment horizontal="left" vertical="center" wrapText="1"/>
    </xf>
    <xf numFmtId="0" fontId="14" fillId="19" borderId="20" xfId="0" applyFont="1" applyFill="1" applyBorder="1" applyAlignment="1">
      <alignment horizontal="left" vertical="center" wrapText="1"/>
    </xf>
    <xf numFmtId="0" fontId="18" fillId="17" borderId="76" xfId="0" applyFont="1" applyFill="1" applyBorder="1" applyAlignment="1">
      <alignment horizontal="left" vertical="center" wrapText="1"/>
    </xf>
    <xf numFmtId="0" fontId="18" fillId="19" borderId="76" xfId="0" applyFont="1" applyFill="1" applyBorder="1" applyAlignment="1">
      <alignment horizontal="left" vertical="center" wrapText="1"/>
    </xf>
    <xf numFmtId="169" fontId="34" fillId="13" borderId="74" xfId="0" applyNumberFormat="1" applyFont="1" applyFill="1" applyBorder="1" applyAlignment="1">
      <alignment horizontal="right" vertical="center"/>
    </xf>
    <xf numFmtId="169" fontId="34" fillId="13" borderId="78" xfId="0" applyNumberFormat="1" applyFont="1" applyFill="1" applyBorder="1" applyAlignment="1">
      <alignment horizontal="right" vertical="center"/>
    </xf>
    <xf numFmtId="169" fontId="34" fillId="13" borderId="79" xfId="0" applyNumberFormat="1" applyFont="1" applyFill="1" applyBorder="1" applyAlignment="1">
      <alignment horizontal="right" vertical="center"/>
    </xf>
    <xf numFmtId="0" fontId="35" fillId="12" borderId="80" xfId="0" applyFont="1" applyFill="1" applyBorder="1" applyAlignment="1">
      <alignment horizontal="left" vertical="center"/>
    </xf>
    <xf numFmtId="169" fontId="5" fillId="12" borderId="81" xfId="0" applyNumberFormat="1" applyFont="1" applyFill="1" applyBorder="1" applyAlignment="1">
      <alignment horizontal="right" vertical="center"/>
    </xf>
    <xf numFmtId="0" fontId="74" fillId="34" borderId="0" xfId="0" applyFont="1" applyFill="1" applyAlignment="1">
      <alignment horizontal="left" vertical="center"/>
    </xf>
    <xf numFmtId="168" fontId="68" fillId="34" borderId="0" xfId="0" applyNumberFormat="1" applyFont="1" applyFill="1" applyAlignment="1">
      <alignment horizontal="right" vertical="center"/>
    </xf>
    <xf numFmtId="0" fontId="75" fillId="2" borderId="5" xfId="0" applyFont="1" applyFill="1" applyBorder="1" applyAlignment="1">
      <alignment horizontal="center" vertical="center" wrapText="1"/>
    </xf>
    <xf numFmtId="0" fontId="75" fillId="4" borderId="3" xfId="0" applyFont="1" applyFill="1" applyBorder="1" applyAlignment="1">
      <alignment horizontal="center" vertical="center" wrapText="1"/>
    </xf>
    <xf numFmtId="0" fontId="75" fillId="8" borderId="7" xfId="0" applyFont="1" applyFill="1" applyBorder="1" applyAlignment="1">
      <alignment horizontal="center" vertical="center" wrapText="1"/>
    </xf>
    <xf numFmtId="0" fontId="75" fillId="10" borderId="9" xfId="0" applyFont="1" applyFill="1" applyBorder="1" applyAlignment="1">
      <alignment horizontal="center" vertical="center" wrapText="1"/>
    </xf>
    <xf numFmtId="0" fontId="75" fillId="12" borderId="11" xfId="0" applyFont="1" applyFill="1" applyBorder="1" applyAlignment="1">
      <alignment horizontal="center" vertical="center" wrapText="1"/>
    </xf>
    <xf numFmtId="0" fontId="75" fillId="14" borderId="13" xfId="0" applyFont="1" applyFill="1" applyBorder="1" applyAlignment="1">
      <alignment horizontal="center" vertical="center" wrapText="1"/>
    </xf>
    <xf numFmtId="0" fontId="75" fillId="20" borderId="23" xfId="0" applyFont="1" applyFill="1" applyBorder="1" applyAlignment="1">
      <alignment horizontal="center" vertical="center" wrapText="1"/>
    </xf>
    <xf numFmtId="0" fontId="75" fillId="21" borderId="24" xfId="0" applyFont="1" applyFill="1" applyBorder="1" applyAlignment="1">
      <alignment horizontal="center" vertical="center" wrapText="1"/>
    </xf>
    <xf numFmtId="0" fontId="76" fillId="8" borderId="5" xfId="0" applyFont="1" applyFill="1" applyBorder="1" applyAlignment="1">
      <alignment horizontal="center" vertical="center" wrapText="1"/>
    </xf>
    <xf numFmtId="0" fontId="76" fillId="2" borderId="5" xfId="0" applyFont="1" applyFill="1" applyBorder="1" applyAlignment="1">
      <alignment horizontal="center" vertical="center" wrapText="1"/>
    </xf>
    <xf numFmtId="0" fontId="76" fillId="10" borderId="5" xfId="0" applyFont="1" applyFill="1" applyBorder="1" applyAlignment="1">
      <alignment horizontal="center" vertical="center" wrapText="1"/>
    </xf>
    <xf numFmtId="0" fontId="76" fillId="12" borderId="5" xfId="0" applyFont="1" applyFill="1" applyBorder="1" applyAlignment="1">
      <alignment horizontal="center" vertical="center" wrapText="1"/>
    </xf>
    <xf numFmtId="0" fontId="79" fillId="35" borderId="0" xfId="0" applyFont="1" applyFill="1"/>
    <xf numFmtId="0" fontId="80" fillId="41" borderId="0" xfId="0" applyFont="1" applyFill="1" applyAlignment="1">
      <alignment horizontal="left" vertical="center"/>
    </xf>
    <xf numFmtId="0" fontId="80" fillId="42" borderId="0" xfId="0" applyFont="1" applyFill="1" applyAlignment="1">
      <alignment horizontal="left" vertical="center"/>
    </xf>
    <xf numFmtId="0" fontId="79" fillId="32" borderId="0" xfId="0" applyFont="1" applyFill="1"/>
    <xf numFmtId="0" fontId="77" fillId="32" borderId="0" xfId="0" applyFont="1" applyFill="1"/>
    <xf numFmtId="0" fontId="0" fillId="43" borderId="0" xfId="0" applyFill="1"/>
    <xf numFmtId="0" fontId="81" fillId="41" borderId="0" xfId="0" applyFont="1" applyFill="1" applyAlignment="1">
      <alignment horizontal="left" vertical="center"/>
    </xf>
    <xf numFmtId="0" fontId="82" fillId="35" borderId="0" xfId="0" applyFont="1" applyFill="1"/>
    <xf numFmtId="0" fontId="82" fillId="44" borderId="0" xfId="0" applyFont="1" applyFill="1"/>
    <xf numFmtId="0" fontId="82" fillId="46" borderId="0" xfId="0" applyFont="1" applyFill="1"/>
    <xf numFmtId="0" fontId="82" fillId="47" borderId="0" xfId="0" applyFont="1" applyFill="1"/>
    <xf numFmtId="0" fontId="82" fillId="48" borderId="0" xfId="0" applyFont="1" applyFill="1"/>
    <xf numFmtId="0" fontId="82" fillId="49" borderId="0" xfId="0" applyFont="1" applyFill="1"/>
    <xf numFmtId="0" fontId="82" fillId="50" borderId="0" xfId="0" applyFont="1" applyFill="1"/>
    <xf numFmtId="0" fontId="82" fillId="51" borderId="0" xfId="0" applyFont="1" applyFill="1"/>
    <xf numFmtId="0" fontId="82" fillId="52" borderId="0" xfId="0" applyFont="1" applyFill="1"/>
    <xf numFmtId="0" fontId="82" fillId="53" borderId="0" xfId="0" applyFont="1" applyFill="1"/>
    <xf numFmtId="0" fontId="83" fillId="45" borderId="0" xfId="0" applyFont="1" applyFill="1" applyAlignment="1">
      <alignment horizontal="center" vertical="center"/>
    </xf>
    <xf numFmtId="168" fontId="82" fillId="35" borderId="0" xfId="0" applyNumberFormat="1" applyFont="1" applyFill="1"/>
    <xf numFmtId="0" fontId="87" fillId="60" borderId="0" xfId="0" applyFont="1" applyFill="1" applyAlignment="1">
      <alignment horizontal="left"/>
    </xf>
    <xf numFmtId="0" fontId="88" fillId="60" borderId="0" xfId="0" applyFont="1" applyFill="1" applyAlignment="1">
      <alignment horizontal="left" vertical="center"/>
    </xf>
    <xf numFmtId="0" fontId="87" fillId="61" borderId="0" xfId="0" applyFont="1" applyFill="1" applyAlignment="1">
      <alignment horizontal="left"/>
    </xf>
    <xf numFmtId="0" fontId="87" fillId="45" borderId="0" xfId="0" applyFont="1" applyFill="1" applyAlignment="1">
      <alignment horizontal="left"/>
    </xf>
    <xf numFmtId="0" fontId="90" fillId="63" borderId="0" xfId="0" applyFont="1" applyFill="1" applyAlignment="1">
      <alignment horizontal="center" vertical="center" wrapText="1"/>
    </xf>
    <xf numFmtId="0" fontId="86" fillId="44" borderId="0" xfId="0" applyFont="1" applyFill="1"/>
    <xf numFmtId="0" fontId="86" fillId="35" borderId="0" xfId="0" applyFont="1" applyFill="1"/>
    <xf numFmtId="0" fontId="92" fillId="63" borderId="0" xfId="0" applyFont="1" applyFill="1" applyAlignment="1">
      <alignment horizontal="center" vertical="center" wrapText="1"/>
    </xf>
    <xf numFmtId="3" fontId="93" fillId="54" borderId="84" xfId="0" applyNumberFormat="1" applyFont="1" applyFill="1" applyBorder="1" applyAlignment="1">
      <alignment horizontal="center" vertical="center"/>
    </xf>
    <xf numFmtId="49" fontId="93" fillId="54" borderId="84" xfId="0" applyNumberFormat="1" applyFont="1" applyFill="1" applyBorder="1" applyAlignment="1">
      <alignment horizontal="left" vertical="center"/>
    </xf>
    <xf numFmtId="49" fontId="93" fillId="54" borderId="84" xfId="0" applyNumberFormat="1" applyFont="1" applyFill="1" applyBorder="1" applyAlignment="1">
      <alignment horizontal="center" vertical="center"/>
    </xf>
    <xf numFmtId="3" fontId="94" fillId="54" borderId="84" xfId="0" applyNumberFormat="1" applyFont="1" applyFill="1" applyBorder="1" applyAlignment="1">
      <alignment horizontal="center" vertical="center"/>
    </xf>
    <xf numFmtId="169" fontId="94" fillId="54" borderId="84" xfId="0" applyNumberFormat="1" applyFont="1" applyFill="1" applyBorder="1" applyAlignment="1">
      <alignment horizontal="center" vertical="center"/>
    </xf>
    <xf numFmtId="165" fontId="94" fillId="54" borderId="84" xfId="0" applyNumberFormat="1" applyFont="1" applyFill="1" applyBorder="1" applyAlignment="1">
      <alignment horizontal="center" vertical="center"/>
    </xf>
    <xf numFmtId="168" fontId="94" fillId="54" borderId="84" xfId="0" applyNumberFormat="1" applyFont="1" applyFill="1" applyBorder="1" applyAlignment="1">
      <alignment horizontal="center" vertical="center"/>
    </xf>
    <xf numFmtId="3" fontId="93" fillId="45" borderId="83" xfId="0" applyNumberFormat="1" applyFont="1" applyFill="1" applyBorder="1" applyAlignment="1">
      <alignment horizontal="center" vertical="center"/>
    </xf>
    <xf numFmtId="49" fontId="93" fillId="45" borderId="83" xfId="0" applyNumberFormat="1" applyFont="1" applyFill="1" applyBorder="1" applyAlignment="1">
      <alignment horizontal="left" vertical="center"/>
    </xf>
    <xf numFmtId="49" fontId="93" fillId="45" borderId="83" xfId="0" applyNumberFormat="1" applyFont="1" applyFill="1" applyBorder="1" applyAlignment="1">
      <alignment horizontal="center" vertical="center"/>
    </xf>
    <xf numFmtId="3" fontId="94" fillId="45" borderId="83" xfId="0" applyNumberFormat="1" applyFont="1" applyFill="1" applyBorder="1" applyAlignment="1">
      <alignment horizontal="center" vertical="center"/>
    </xf>
    <xf numFmtId="169" fontId="94" fillId="45" borderId="83" xfId="0" applyNumberFormat="1" applyFont="1" applyFill="1" applyBorder="1" applyAlignment="1">
      <alignment horizontal="center" vertical="center"/>
    </xf>
    <xf numFmtId="165" fontId="94" fillId="45" borderId="83" xfId="0" applyNumberFormat="1" applyFont="1" applyFill="1" applyBorder="1" applyAlignment="1">
      <alignment horizontal="center" vertical="center"/>
    </xf>
    <xf numFmtId="168" fontId="94" fillId="45" borderId="83" xfId="0" applyNumberFormat="1" applyFont="1" applyFill="1" applyBorder="1" applyAlignment="1">
      <alignment horizontal="center" vertical="center"/>
    </xf>
    <xf numFmtId="3" fontId="93" fillId="54" borderId="83" xfId="0" applyNumberFormat="1" applyFont="1" applyFill="1" applyBorder="1" applyAlignment="1">
      <alignment horizontal="center" vertical="center"/>
    </xf>
    <xf numFmtId="49" fontId="93" fillId="54" borderId="83" xfId="0" applyNumberFormat="1" applyFont="1" applyFill="1" applyBorder="1" applyAlignment="1">
      <alignment horizontal="left" vertical="center"/>
    </xf>
    <xf numFmtId="49" fontId="93" fillId="54" borderId="83" xfId="0" applyNumberFormat="1" applyFont="1" applyFill="1" applyBorder="1" applyAlignment="1">
      <alignment horizontal="center" vertical="center"/>
    </xf>
    <xf numFmtId="3" fontId="94" fillId="54" borderId="83" xfId="0" applyNumberFormat="1" applyFont="1" applyFill="1" applyBorder="1" applyAlignment="1">
      <alignment horizontal="center" vertical="center"/>
    </xf>
    <xf numFmtId="169" fontId="94" fillId="54" borderId="83" xfId="0" applyNumberFormat="1" applyFont="1" applyFill="1" applyBorder="1" applyAlignment="1">
      <alignment horizontal="center" vertical="center"/>
    </xf>
    <xf numFmtId="165" fontId="94" fillId="54" borderId="83" xfId="0" applyNumberFormat="1" applyFont="1" applyFill="1" applyBorder="1" applyAlignment="1">
      <alignment horizontal="center" vertical="center"/>
    </xf>
    <xf numFmtId="168" fontId="94" fillId="54" borderId="83" xfId="0" applyNumberFormat="1" applyFont="1" applyFill="1" applyBorder="1" applyAlignment="1">
      <alignment horizontal="center" vertical="center"/>
    </xf>
    <xf numFmtId="0" fontId="95" fillId="45" borderId="0" xfId="0" applyFont="1" applyFill="1" applyAlignment="1">
      <alignment horizontal="center" vertical="center"/>
    </xf>
    <xf numFmtId="3" fontId="94" fillId="45" borderId="85" xfId="0" applyNumberFormat="1" applyFont="1" applyFill="1" applyBorder="1" applyAlignment="1">
      <alignment horizontal="center" vertical="center"/>
    </xf>
    <xf numFmtId="0" fontId="94" fillId="45" borderId="85" xfId="0" applyFont="1" applyFill="1" applyBorder="1" applyAlignment="1">
      <alignment horizontal="center" vertical="center"/>
    </xf>
    <xf numFmtId="169" fontId="94" fillId="45" borderId="85" xfId="0" applyNumberFormat="1" applyFont="1" applyFill="1" applyBorder="1" applyAlignment="1">
      <alignment horizontal="center" vertical="center"/>
    </xf>
    <xf numFmtId="165" fontId="94" fillId="45" borderId="85" xfId="0" applyNumberFormat="1" applyFont="1" applyFill="1" applyBorder="1" applyAlignment="1">
      <alignment horizontal="center" vertical="center"/>
    </xf>
    <xf numFmtId="168" fontId="94" fillId="45" borderId="85" xfId="0" applyNumberFormat="1" applyFont="1" applyFill="1" applyBorder="1" applyAlignment="1">
      <alignment horizontal="center" vertical="center"/>
    </xf>
    <xf numFmtId="0" fontId="98" fillId="45" borderId="0" xfId="0" applyFont="1" applyFill="1"/>
    <xf numFmtId="3" fontId="96" fillId="55" borderId="83" xfId="0" applyNumberFormat="1" applyFont="1" applyFill="1" applyBorder="1" applyAlignment="1">
      <alignment horizontal="center" vertical="center"/>
    </xf>
    <xf numFmtId="49" fontId="96" fillId="55" borderId="83" xfId="0" applyNumberFormat="1" applyFont="1" applyFill="1" applyBorder="1" applyAlignment="1">
      <alignment horizontal="left" vertical="center"/>
    </xf>
    <xf numFmtId="167" fontId="97" fillId="55" borderId="83" xfId="0" applyNumberFormat="1" applyFont="1" applyFill="1" applyBorder="1" applyAlignment="1">
      <alignment horizontal="center" vertical="center"/>
    </xf>
    <xf numFmtId="172" fontId="97" fillId="55" borderId="83" xfId="0" applyNumberFormat="1" applyFont="1" applyFill="1" applyBorder="1" applyAlignment="1">
      <alignment horizontal="center" vertical="center"/>
    </xf>
    <xf numFmtId="173" fontId="96" fillId="55" borderId="83" xfId="0" applyNumberFormat="1" applyFont="1" applyFill="1" applyBorder="1" applyAlignment="1">
      <alignment horizontal="center" vertical="center"/>
    </xf>
    <xf numFmtId="172" fontId="96" fillId="55" borderId="83" xfId="0" applyNumberFormat="1" applyFont="1" applyFill="1" applyBorder="1" applyAlignment="1">
      <alignment horizontal="center" vertical="center"/>
    </xf>
    <xf numFmtId="3" fontId="96" fillId="45" borderId="83" xfId="0" applyNumberFormat="1" applyFont="1" applyFill="1" applyBorder="1" applyAlignment="1">
      <alignment horizontal="center" vertical="center"/>
    </xf>
    <xf numFmtId="49" fontId="96" fillId="45" borderId="83" xfId="0" applyNumberFormat="1" applyFont="1" applyFill="1" applyBorder="1" applyAlignment="1">
      <alignment horizontal="left" vertical="center"/>
    </xf>
    <xf numFmtId="167" fontId="97" fillId="45" borderId="83" xfId="0" applyNumberFormat="1" applyFont="1" applyFill="1" applyBorder="1" applyAlignment="1">
      <alignment horizontal="center" vertical="center"/>
    </xf>
    <xf numFmtId="172" fontId="97" fillId="45" borderId="83" xfId="0" applyNumberFormat="1" applyFont="1" applyFill="1" applyBorder="1" applyAlignment="1">
      <alignment horizontal="center" vertical="center"/>
    </xf>
    <xf numFmtId="173" fontId="96" fillId="45" borderId="83" xfId="0" applyNumberFormat="1" applyFont="1" applyFill="1" applyBorder="1" applyAlignment="1">
      <alignment horizontal="center" vertical="center"/>
    </xf>
    <xf numFmtId="172" fontId="96" fillId="45" borderId="83" xfId="0" applyNumberFormat="1" applyFont="1" applyFill="1" applyBorder="1" applyAlignment="1">
      <alignment horizontal="center" vertical="center"/>
    </xf>
    <xf numFmtId="0" fontId="99" fillId="66" borderId="0" xfId="0" applyFont="1" applyFill="1" applyAlignment="1">
      <alignment horizontal="center" vertical="center" wrapText="1"/>
    </xf>
    <xf numFmtId="165" fontId="94" fillId="45" borderId="0" xfId="0" applyNumberFormat="1" applyFont="1" applyFill="1" applyAlignment="1">
      <alignment horizontal="center" vertical="center"/>
    </xf>
    <xf numFmtId="0" fontId="99" fillId="54" borderId="70" xfId="0" applyFont="1" applyFill="1" applyBorder="1" applyAlignment="1">
      <alignment horizontal="right" vertical="center"/>
    </xf>
    <xf numFmtId="168" fontId="97" fillId="54" borderId="70" xfId="0" applyNumberFormat="1" applyFont="1" applyFill="1" applyBorder="1" applyAlignment="1">
      <alignment horizontal="left" vertical="center"/>
    </xf>
    <xf numFmtId="0" fontId="99" fillId="56" borderId="70" xfId="0" applyFont="1" applyFill="1" applyBorder="1" applyAlignment="1">
      <alignment horizontal="right" vertical="center"/>
    </xf>
    <xf numFmtId="168" fontId="97" fillId="56" borderId="70" xfId="0" applyNumberFormat="1" applyFont="1" applyFill="1" applyBorder="1" applyAlignment="1">
      <alignment horizontal="left" vertical="center"/>
    </xf>
    <xf numFmtId="0" fontId="99" fillId="57" borderId="70" xfId="0" applyFont="1" applyFill="1" applyBorder="1" applyAlignment="1">
      <alignment horizontal="right" vertical="center"/>
    </xf>
    <xf numFmtId="168" fontId="97" fillId="57" borderId="70" xfId="0" applyNumberFormat="1" applyFont="1" applyFill="1" applyBorder="1" applyAlignment="1">
      <alignment horizontal="left" vertical="center"/>
    </xf>
    <xf numFmtId="0" fontId="99" fillId="55" borderId="70" xfId="0" applyFont="1" applyFill="1" applyBorder="1" applyAlignment="1">
      <alignment horizontal="right" vertical="center"/>
    </xf>
    <xf numFmtId="168" fontId="97" fillId="55" borderId="70" xfId="0" applyNumberFormat="1" applyFont="1" applyFill="1" applyBorder="1" applyAlignment="1">
      <alignment horizontal="left" vertical="center"/>
    </xf>
    <xf numFmtId="0" fontId="99" fillId="45" borderId="70" xfId="0" applyFont="1" applyFill="1" applyBorder="1" applyAlignment="1">
      <alignment horizontal="right" vertical="center"/>
    </xf>
    <xf numFmtId="168" fontId="97" fillId="45" borderId="70" xfId="0" applyNumberFormat="1" applyFont="1" applyFill="1" applyBorder="1" applyAlignment="1">
      <alignment horizontal="left" vertical="center"/>
    </xf>
    <xf numFmtId="0" fontId="99" fillId="58" borderId="70" xfId="0" applyFont="1" applyFill="1" applyBorder="1" applyAlignment="1">
      <alignment horizontal="right" vertical="center"/>
    </xf>
    <xf numFmtId="168" fontId="97" fillId="58" borderId="70" xfId="0" applyNumberFormat="1" applyFont="1" applyFill="1" applyBorder="1" applyAlignment="1">
      <alignment horizontal="left" vertical="center"/>
    </xf>
    <xf numFmtId="0" fontId="99" fillId="44" borderId="70" xfId="0" applyFont="1" applyFill="1" applyBorder="1" applyAlignment="1">
      <alignment horizontal="right" vertical="center"/>
    </xf>
    <xf numFmtId="168" fontId="97" fillId="44" borderId="70" xfId="0" applyNumberFormat="1" applyFont="1" applyFill="1" applyBorder="1" applyAlignment="1">
      <alignment horizontal="left" vertical="center"/>
    </xf>
    <xf numFmtId="165" fontId="97" fillId="54" borderId="70" xfId="0" applyNumberFormat="1" applyFont="1" applyFill="1" applyBorder="1" applyAlignment="1">
      <alignment horizontal="left" vertical="center"/>
    </xf>
    <xf numFmtId="165" fontId="97" fillId="56" borderId="70" xfId="0" applyNumberFormat="1" applyFont="1" applyFill="1" applyBorder="1" applyAlignment="1">
      <alignment horizontal="left" vertical="center"/>
    </xf>
    <xf numFmtId="165" fontId="97" fillId="57" borderId="70" xfId="0" applyNumberFormat="1" applyFont="1" applyFill="1" applyBorder="1" applyAlignment="1">
      <alignment horizontal="left" vertical="center"/>
    </xf>
    <xf numFmtId="165" fontId="97" fillId="55" borderId="70" xfId="0" applyNumberFormat="1" applyFont="1" applyFill="1" applyBorder="1" applyAlignment="1">
      <alignment horizontal="left" vertical="center"/>
    </xf>
    <xf numFmtId="165" fontId="97" fillId="45" borderId="70" xfId="0" applyNumberFormat="1" applyFont="1" applyFill="1" applyBorder="1" applyAlignment="1">
      <alignment horizontal="left" vertical="center"/>
    </xf>
    <xf numFmtId="165" fontId="97" fillId="58" borderId="70" xfId="0" applyNumberFormat="1" applyFont="1" applyFill="1" applyBorder="1" applyAlignment="1">
      <alignment horizontal="left" vertical="center"/>
    </xf>
    <xf numFmtId="165" fontId="97" fillId="44" borderId="70" xfId="0" applyNumberFormat="1" applyFont="1" applyFill="1" applyBorder="1" applyAlignment="1">
      <alignment horizontal="left" vertical="center"/>
    </xf>
    <xf numFmtId="0" fontId="82" fillId="46" borderId="70" xfId="0" applyFont="1" applyFill="1" applyBorder="1"/>
    <xf numFmtId="0" fontId="82" fillId="47" borderId="70" xfId="0" applyFont="1" applyFill="1" applyBorder="1"/>
    <xf numFmtId="0" fontId="82" fillId="49" borderId="70" xfId="0" applyFont="1" applyFill="1" applyBorder="1"/>
    <xf numFmtId="0" fontId="82" fillId="51" borderId="70" xfId="0" applyFont="1" applyFill="1" applyBorder="1"/>
    <xf numFmtId="0" fontId="82" fillId="52" borderId="70" xfId="0" applyFont="1" applyFill="1" applyBorder="1"/>
    <xf numFmtId="0" fontId="82" fillId="50" borderId="70" xfId="0" applyFont="1" applyFill="1" applyBorder="1"/>
    <xf numFmtId="0" fontId="82" fillId="53" borderId="70" xfId="0" applyFont="1" applyFill="1" applyBorder="1"/>
    <xf numFmtId="169" fontId="94" fillId="45" borderId="87" xfId="0" applyNumberFormat="1" applyFont="1" applyFill="1" applyBorder="1" applyAlignment="1">
      <alignment horizontal="center" vertical="center"/>
    </xf>
    <xf numFmtId="168" fontId="94" fillId="45" borderId="87" xfId="0" applyNumberFormat="1" applyFont="1" applyFill="1" applyBorder="1" applyAlignment="1">
      <alignment horizontal="center" vertical="center"/>
    </xf>
    <xf numFmtId="165" fontId="94" fillId="45" borderId="87" xfId="0" applyNumberFormat="1" applyFont="1" applyFill="1" applyBorder="1" applyAlignment="1">
      <alignment horizontal="center" vertical="center"/>
    </xf>
    <xf numFmtId="3" fontId="96" fillId="45" borderId="86" xfId="0" applyNumberFormat="1" applyFont="1" applyFill="1" applyBorder="1" applyAlignment="1">
      <alignment horizontal="center" vertical="center"/>
    </xf>
    <xf numFmtId="49" fontId="96" fillId="45" borderId="86" xfId="0" applyNumberFormat="1" applyFont="1" applyFill="1" applyBorder="1" applyAlignment="1">
      <alignment horizontal="left" vertical="center"/>
    </xf>
    <xf numFmtId="172" fontId="96" fillId="45" borderId="86" xfId="0" applyNumberFormat="1" applyFont="1" applyFill="1" applyBorder="1" applyAlignment="1">
      <alignment horizontal="center" vertical="center"/>
    </xf>
    <xf numFmtId="173" fontId="96" fillId="45" borderId="86" xfId="0" applyNumberFormat="1" applyFont="1" applyFill="1" applyBorder="1" applyAlignment="1">
      <alignment horizontal="center" vertical="center"/>
    </xf>
    <xf numFmtId="172" fontId="97" fillId="45" borderId="86" xfId="0" applyNumberFormat="1" applyFont="1" applyFill="1" applyBorder="1" applyAlignment="1">
      <alignment horizontal="center" vertical="center"/>
    </xf>
    <xf numFmtId="173" fontId="97" fillId="45" borderId="86" xfId="0" applyNumberFormat="1" applyFont="1" applyFill="1" applyBorder="1" applyAlignment="1">
      <alignment horizontal="center" vertical="center"/>
    </xf>
    <xf numFmtId="165" fontId="97" fillId="45" borderId="86" xfId="0" applyNumberFormat="1" applyFont="1" applyFill="1" applyBorder="1" applyAlignment="1">
      <alignment horizontal="center" vertical="center"/>
    </xf>
    <xf numFmtId="174" fontId="96" fillId="45" borderId="86" xfId="0" applyNumberFormat="1" applyFont="1" applyFill="1" applyBorder="1" applyAlignment="1">
      <alignment horizontal="center" vertical="center"/>
    </xf>
    <xf numFmtId="168" fontId="97" fillId="45" borderId="86" xfId="0" applyNumberFormat="1" applyFont="1" applyFill="1" applyBorder="1" applyAlignment="1">
      <alignment horizontal="center" vertical="center"/>
    </xf>
    <xf numFmtId="49" fontId="96" fillId="45" borderId="86" xfId="0" applyNumberFormat="1" applyFont="1" applyFill="1" applyBorder="1" applyAlignment="1">
      <alignment horizontal="center" vertical="center"/>
    </xf>
    <xf numFmtId="177" fontId="21" fillId="13" borderId="29" xfId="0" applyNumberFormat="1" applyFont="1" applyFill="1" applyBorder="1" applyAlignment="1">
      <alignment horizontal="right" vertical="center"/>
    </xf>
    <xf numFmtId="177" fontId="21" fillId="13" borderId="21" xfId="0" applyNumberFormat="1" applyFont="1" applyFill="1" applyBorder="1" applyAlignment="1">
      <alignment horizontal="right" vertical="center"/>
    </xf>
    <xf numFmtId="177" fontId="21" fillId="13" borderId="30" xfId="0" applyNumberFormat="1" applyFont="1" applyFill="1" applyBorder="1" applyAlignment="1">
      <alignment horizontal="right" vertical="center"/>
    </xf>
    <xf numFmtId="0" fontId="112" fillId="17" borderId="29" xfId="0" applyFont="1" applyFill="1" applyBorder="1" applyAlignment="1">
      <alignment horizontal="left" vertical="center" wrapText="1"/>
    </xf>
    <xf numFmtId="0" fontId="112" fillId="19" borderId="21" xfId="0" applyFont="1" applyFill="1" applyBorder="1" applyAlignment="1">
      <alignment horizontal="left" vertical="center" wrapText="1"/>
    </xf>
    <xf numFmtId="0" fontId="112" fillId="17" borderId="21" xfId="0" applyFont="1" applyFill="1" applyBorder="1" applyAlignment="1">
      <alignment horizontal="left" vertical="center" wrapText="1"/>
    </xf>
    <xf numFmtId="0" fontId="109" fillId="17" borderId="21" xfId="0" applyFont="1" applyFill="1" applyBorder="1" applyAlignment="1">
      <alignment horizontal="left" vertical="center" wrapText="1"/>
    </xf>
    <xf numFmtId="0" fontId="109" fillId="19" borderId="21" xfId="0" applyFont="1" applyFill="1" applyBorder="1" applyAlignment="1">
      <alignment horizontal="left" vertical="center" wrapText="1"/>
    </xf>
    <xf numFmtId="0" fontId="109" fillId="9" borderId="21" xfId="0" applyFont="1" applyFill="1" applyBorder="1" applyAlignment="1">
      <alignment horizontal="left" vertical="center" wrapText="1"/>
    </xf>
    <xf numFmtId="0" fontId="113" fillId="17" borderId="21" xfId="0" applyFont="1" applyFill="1" applyBorder="1" applyAlignment="1">
      <alignment horizontal="left" vertical="center" wrapText="1"/>
    </xf>
    <xf numFmtId="0" fontId="113" fillId="19" borderId="21" xfId="0" applyFont="1" applyFill="1" applyBorder="1" applyAlignment="1">
      <alignment horizontal="left" vertical="center" wrapText="1"/>
    </xf>
    <xf numFmtId="0" fontId="115" fillId="9" borderId="21" xfId="0" applyFont="1" applyFill="1" applyBorder="1" applyAlignment="1">
      <alignment horizontal="left" vertical="center" wrapText="1"/>
    </xf>
    <xf numFmtId="0" fontId="116" fillId="13" borderId="29" xfId="0" applyFont="1" applyFill="1" applyBorder="1" applyAlignment="1">
      <alignment horizontal="left" vertical="center" wrapText="1"/>
    </xf>
    <xf numFmtId="3" fontId="116" fillId="13" borderId="29" xfId="0" applyNumberFormat="1" applyFont="1" applyFill="1" applyBorder="1" applyAlignment="1">
      <alignment horizontal="right" vertical="center"/>
    </xf>
    <xf numFmtId="166" fontId="116" fillId="13" borderId="29" xfId="0" applyNumberFormat="1" applyFont="1" applyFill="1" applyBorder="1" applyAlignment="1">
      <alignment horizontal="right" vertical="center"/>
    </xf>
    <xf numFmtId="169" fontId="116" fillId="13" borderId="29" xfId="0" applyNumberFormat="1" applyFont="1" applyFill="1" applyBorder="1" applyAlignment="1">
      <alignment horizontal="right" vertical="center"/>
    </xf>
    <xf numFmtId="169" fontId="28" fillId="6" borderId="70" xfId="0" applyNumberFormat="1" applyFont="1" applyFill="1" applyBorder="1" applyAlignment="1">
      <alignment horizontal="right" vertical="center"/>
    </xf>
    <xf numFmtId="168" fontId="29" fillId="7" borderId="70" xfId="0" applyNumberFormat="1" applyFont="1" applyFill="1" applyBorder="1" applyAlignment="1">
      <alignment horizontal="right" vertical="center"/>
    </xf>
    <xf numFmtId="0" fontId="116" fillId="13" borderId="21" xfId="0" applyFont="1" applyFill="1" applyBorder="1" applyAlignment="1">
      <alignment horizontal="left" vertical="center" wrapText="1"/>
    </xf>
    <xf numFmtId="3" fontId="116" fillId="13" borderId="21" xfId="0" applyNumberFormat="1" applyFont="1" applyFill="1" applyBorder="1" applyAlignment="1">
      <alignment horizontal="right" vertical="center"/>
    </xf>
    <xf numFmtId="166" fontId="116" fillId="13" borderId="21" xfId="0" applyNumberFormat="1" applyFont="1" applyFill="1" applyBorder="1" applyAlignment="1">
      <alignment horizontal="right" vertical="center"/>
    </xf>
    <xf numFmtId="169" fontId="116" fillId="13" borderId="21" xfId="0" applyNumberFormat="1" applyFont="1" applyFill="1" applyBorder="1" applyAlignment="1">
      <alignment horizontal="right" vertical="center"/>
    </xf>
    <xf numFmtId="168" fontId="116" fillId="13" borderId="29" xfId="0" applyNumberFormat="1" applyFont="1" applyFill="1" applyBorder="1" applyAlignment="1">
      <alignment horizontal="right" vertical="center"/>
    </xf>
    <xf numFmtId="168" fontId="29" fillId="6" borderId="74" xfId="0" applyNumberFormat="1" applyFont="1" applyFill="1" applyBorder="1" applyAlignment="1">
      <alignment horizontal="right" vertical="center"/>
    </xf>
    <xf numFmtId="168" fontId="34" fillId="13" borderId="29" xfId="0" applyNumberFormat="1" applyFont="1" applyFill="1" applyBorder="1" applyAlignment="1">
      <alignment horizontal="right" vertical="center"/>
    </xf>
    <xf numFmtId="3" fontId="113" fillId="17" borderId="29" xfId="0" applyNumberFormat="1" applyFont="1" applyFill="1" applyBorder="1" applyAlignment="1">
      <alignment horizontal="center" vertical="center"/>
    </xf>
    <xf numFmtId="168" fontId="116" fillId="13" borderId="21" xfId="0" applyNumberFormat="1" applyFont="1" applyFill="1" applyBorder="1" applyAlignment="1">
      <alignment horizontal="right" vertical="center"/>
    </xf>
    <xf numFmtId="0" fontId="118" fillId="63" borderId="0" xfId="0" applyFont="1" applyFill="1" applyAlignment="1">
      <alignment horizontal="center" vertical="center" wrapText="1"/>
    </xf>
    <xf numFmtId="0" fontId="118" fillId="0" borderId="0" xfId="0" applyFont="1"/>
    <xf numFmtId="0" fontId="119" fillId="0" borderId="0" xfId="0" applyFont="1" applyAlignment="1">
      <alignment horizontal="center" vertical="center"/>
    </xf>
    <xf numFmtId="0" fontId="0" fillId="35" borderId="92" xfId="0" applyFill="1" applyBorder="1"/>
    <xf numFmtId="3" fontId="0" fillId="35" borderId="92" xfId="1" applyNumberFormat="1" applyFont="1" applyFill="1" applyBorder="1"/>
    <xf numFmtId="175" fontId="0" fillId="35" borderId="92" xfId="0" applyNumberFormat="1" applyFill="1" applyBorder="1"/>
    <xf numFmtId="165" fontId="0" fillId="35" borderId="92" xfId="2" applyNumberFormat="1" applyFont="1" applyFill="1" applyBorder="1"/>
    <xf numFmtId="176" fontId="0" fillId="35" borderId="92" xfId="0" applyNumberFormat="1" applyFill="1" applyBorder="1"/>
    <xf numFmtId="180" fontId="0" fillId="35" borderId="92" xfId="0" applyNumberFormat="1" applyFill="1" applyBorder="1"/>
    <xf numFmtId="177" fontId="0" fillId="35" borderId="92" xfId="0" applyNumberFormat="1" applyFill="1" applyBorder="1"/>
    <xf numFmtId="179" fontId="0" fillId="35" borderId="92" xfId="0" applyNumberFormat="1" applyFill="1" applyBorder="1"/>
    <xf numFmtId="49" fontId="104" fillId="0" borderId="0" xfId="0" applyNumberFormat="1" applyFont="1"/>
    <xf numFmtId="3" fontId="104" fillId="0" borderId="0" xfId="0" applyNumberFormat="1" applyFont="1"/>
    <xf numFmtId="177" fontId="104" fillId="0" borderId="0" xfId="0" applyNumberFormat="1" applyFont="1"/>
    <xf numFmtId="176" fontId="104" fillId="0" borderId="0" xfId="0" applyNumberFormat="1" applyFont="1"/>
    <xf numFmtId="0" fontId="104" fillId="0" borderId="0" xfId="0" applyFont="1"/>
    <xf numFmtId="180" fontId="104" fillId="0" borderId="0" xfId="0" applyNumberFormat="1" applyFont="1"/>
    <xf numFmtId="9" fontId="0" fillId="35" borderId="92" xfId="2" applyFont="1" applyFill="1" applyBorder="1"/>
    <xf numFmtId="3" fontId="0" fillId="35" borderId="92" xfId="0" applyNumberFormat="1" applyFill="1" applyBorder="1" applyAlignment="1">
      <alignment horizontal="right" vertical="center"/>
    </xf>
    <xf numFmtId="0" fontId="122" fillId="32" borderId="0" xfId="0" applyFont="1" applyFill="1"/>
    <xf numFmtId="176" fontId="0" fillId="0" borderId="0" xfId="0" applyNumberFormat="1"/>
    <xf numFmtId="182" fontId="0" fillId="0" borderId="0" xfId="0" applyNumberFormat="1"/>
    <xf numFmtId="183" fontId="0" fillId="0" borderId="0" xfId="0" applyNumberFormat="1"/>
    <xf numFmtId="181" fontId="0" fillId="0" borderId="0" xfId="0" applyNumberFormat="1"/>
    <xf numFmtId="0" fontId="80" fillId="74" borderId="0" xfId="0" applyFont="1" applyFill="1" applyAlignment="1">
      <alignment horizontal="left" vertical="center"/>
    </xf>
    <xf numFmtId="0" fontId="79" fillId="74" borderId="0" xfId="0" applyFont="1" applyFill="1"/>
    <xf numFmtId="165" fontId="21" fillId="13" borderId="29" xfId="2" applyNumberFormat="1" applyFont="1" applyFill="1" applyBorder="1" applyAlignment="1">
      <alignment horizontal="right" vertical="center"/>
    </xf>
    <xf numFmtId="165" fontId="116" fillId="13" borderId="64" xfId="2" applyNumberFormat="1" applyFont="1" applyFill="1" applyBorder="1" applyAlignment="1">
      <alignment horizontal="right" vertical="center"/>
    </xf>
    <xf numFmtId="177" fontId="104" fillId="75" borderId="0" xfId="0" applyNumberFormat="1" applyFont="1" applyFill="1"/>
    <xf numFmtId="177" fontId="104" fillId="76" borderId="0" xfId="0" applyNumberFormat="1" applyFont="1" applyFill="1"/>
    <xf numFmtId="176" fontId="104" fillId="76" borderId="0" xfId="0" applyNumberFormat="1" applyFont="1" applyFill="1"/>
    <xf numFmtId="176" fontId="104" fillId="75" borderId="0" xfId="0" applyNumberFormat="1" applyFont="1" applyFill="1"/>
    <xf numFmtId="176" fontId="123" fillId="32" borderId="0" xfId="0" applyNumberFormat="1" applyFont="1" applyFill="1"/>
    <xf numFmtId="176" fontId="124" fillId="32" borderId="0" xfId="0" applyNumberFormat="1" applyFont="1" applyFill="1"/>
    <xf numFmtId="179" fontId="124" fillId="32" borderId="0" xfId="0" applyNumberFormat="1" applyFont="1" applyFill="1"/>
    <xf numFmtId="178" fontId="125" fillId="42" borderId="0" xfId="1" applyNumberFormat="1" applyFont="1" applyFill="1" applyBorder="1" applyAlignment="1">
      <alignment vertical="center"/>
    </xf>
    <xf numFmtId="43" fontId="125" fillId="42" borderId="0" xfId="1" applyFont="1" applyFill="1" applyBorder="1" applyAlignment="1">
      <alignment vertical="center"/>
    </xf>
    <xf numFmtId="0" fontId="125" fillId="42" borderId="0" xfId="0" applyFont="1" applyFill="1" applyAlignment="1">
      <alignment horizontal="left" vertical="center"/>
    </xf>
    <xf numFmtId="177" fontId="125" fillId="42" borderId="0" xfId="1" applyNumberFormat="1" applyFont="1" applyFill="1" applyBorder="1" applyAlignment="1">
      <alignment vertical="center"/>
    </xf>
    <xf numFmtId="177" fontId="125" fillId="42" borderId="0" xfId="0" applyNumberFormat="1" applyFont="1" applyFill="1" applyAlignment="1">
      <alignment horizontal="left" vertical="center"/>
    </xf>
    <xf numFmtId="165" fontId="125" fillId="42" borderId="0" xfId="2" applyNumberFormat="1" applyFont="1" applyFill="1" applyBorder="1" applyAlignment="1">
      <alignment vertical="center"/>
    </xf>
    <xf numFmtId="176" fontId="125" fillId="42" borderId="0" xfId="1" applyNumberFormat="1" applyFont="1" applyFill="1" applyBorder="1" applyAlignment="1">
      <alignment vertical="center"/>
    </xf>
    <xf numFmtId="176" fontId="125" fillId="42" borderId="0" xfId="0" applyNumberFormat="1" applyFont="1" applyFill="1" applyAlignment="1">
      <alignment horizontal="left" vertical="center"/>
    </xf>
    <xf numFmtId="0" fontId="70" fillId="32" borderId="0" xfId="0" applyFont="1" applyFill="1"/>
    <xf numFmtId="0" fontId="126" fillId="32" borderId="0" xfId="0" applyFont="1" applyFill="1"/>
    <xf numFmtId="0" fontId="127" fillId="32" borderId="0" xfId="0" applyFont="1" applyFill="1"/>
    <xf numFmtId="176" fontId="127" fillId="32" borderId="0" xfId="0" applyNumberFormat="1" applyFont="1" applyFill="1"/>
    <xf numFmtId="10" fontId="127" fillId="32" borderId="0" xfId="2" applyNumberFormat="1" applyFont="1" applyFill="1"/>
    <xf numFmtId="165" fontId="127" fillId="32" borderId="0" xfId="2" applyNumberFormat="1" applyFont="1" applyFill="1"/>
    <xf numFmtId="0" fontId="114" fillId="0" borderId="0" xfId="0" applyFont="1" applyAlignment="1">
      <alignment horizontal="left" vertical="center" wrapText="1"/>
    </xf>
    <xf numFmtId="0" fontId="35" fillId="4" borderId="0" xfId="0" applyFont="1" applyFill="1" applyAlignment="1">
      <alignment horizontal="left" vertical="center"/>
    </xf>
    <xf numFmtId="0" fontId="35" fillId="10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8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29" fillId="17" borderId="0" xfId="0" applyFont="1" applyFill="1" applyAlignment="1">
      <alignment horizontal="left" vertical="center"/>
    </xf>
    <xf numFmtId="0" fontId="35" fillId="18" borderId="0" xfId="0" applyFont="1" applyFill="1" applyAlignment="1">
      <alignment horizontal="left" vertical="center"/>
    </xf>
    <xf numFmtId="0" fontId="106" fillId="0" borderId="0" xfId="0" applyFont="1"/>
    <xf numFmtId="0" fontId="130" fillId="0" borderId="0" xfId="0" applyFont="1" applyAlignment="1">
      <alignment wrapText="1"/>
    </xf>
    <xf numFmtId="0" fontId="132" fillId="35" borderId="0" xfId="0" applyFont="1" applyFill="1"/>
    <xf numFmtId="0" fontId="104" fillId="35" borderId="0" xfId="0" applyFont="1" applyFill="1"/>
    <xf numFmtId="0" fontId="131" fillId="35" borderId="0" xfId="0" applyFont="1" applyFill="1"/>
    <xf numFmtId="169" fontId="26" fillId="79" borderId="21" xfId="0" applyNumberFormat="1" applyFont="1" applyFill="1" applyBorder="1" applyAlignment="1">
      <alignment horizontal="right" vertical="center"/>
    </xf>
    <xf numFmtId="169" fontId="17" fillId="80" borderId="21" xfId="0" applyNumberFormat="1" applyFont="1" applyFill="1" applyBorder="1" applyAlignment="1">
      <alignment horizontal="right" vertical="center"/>
    </xf>
    <xf numFmtId="165" fontId="17" fillId="81" borderId="21" xfId="0" applyNumberFormat="1" applyFont="1" applyFill="1" applyBorder="1" applyAlignment="1">
      <alignment horizontal="right" vertical="center"/>
    </xf>
    <xf numFmtId="164" fontId="17" fillId="82" borderId="21" xfId="0" applyNumberFormat="1" applyFont="1" applyFill="1" applyBorder="1" applyAlignment="1">
      <alignment horizontal="right" vertical="center"/>
    </xf>
    <xf numFmtId="165" fontId="17" fillId="82" borderId="21" xfId="0" applyNumberFormat="1" applyFont="1" applyFill="1" applyBorder="1" applyAlignment="1">
      <alignment horizontal="right" vertical="center"/>
    </xf>
    <xf numFmtId="0" fontId="20" fillId="82" borderId="29" xfId="0" applyFont="1" applyFill="1" applyBorder="1" applyAlignment="1">
      <alignment horizontal="left" vertical="center" wrapText="1"/>
    </xf>
    <xf numFmtId="0" fontId="20" fillId="82" borderId="29" xfId="0" applyFont="1" applyFill="1" applyBorder="1" applyAlignment="1">
      <alignment horizontal="center" vertical="center"/>
    </xf>
    <xf numFmtId="3" fontId="20" fillId="82" borderId="29" xfId="0" applyNumberFormat="1" applyFont="1" applyFill="1" applyBorder="1" applyAlignment="1">
      <alignment horizontal="right" vertical="center"/>
    </xf>
    <xf numFmtId="177" fontId="20" fillId="82" borderId="29" xfId="0" applyNumberFormat="1" applyFont="1" applyFill="1" applyBorder="1" applyAlignment="1">
      <alignment horizontal="right" vertical="center"/>
    </xf>
    <xf numFmtId="0" fontId="20" fillId="82" borderId="21" xfId="0" applyFont="1" applyFill="1" applyBorder="1" applyAlignment="1">
      <alignment horizontal="left" vertical="center" wrapText="1"/>
    </xf>
    <xf numFmtId="0" fontId="20" fillId="82" borderId="21" xfId="0" applyFont="1" applyFill="1" applyBorder="1" applyAlignment="1">
      <alignment horizontal="center" vertical="center"/>
    </xf>
    <xf numFmtId="3" fontId="20" fillId="82" borderId="21" xfId="0" applyNumberFormat="1" applyFont="1" applyFill="1" applyBorder="1" applyAlignment="1">
      <alignment horizontal="right" vertical="center"/>
    </xf>
    <xf numFmtId="177" fontId="20" fillId="82" borderId="21" xfId="0" applyNumberFormat="1" applyFont="1" applyFill="1" applyBorder="1" applyAlignment="1">
      <alignment horizontal="right" vertical="center"/>
    </xf>
    <xf numFmtId="0" fontId="20" fillId="82" borderId="30" xfId="0" applyFont="1" applyFill="1" applyBorder="1" applyAlignment="1">
      <alignment horizontal="left" vertical="center" wrapText="1"/>
    </xf>
    <xf numFmtId="0" fontId="20" fillId="82" borderId="30" xfId="0" applyFont="1" applyFill="1" applyBorder="1" applyAlignment="1">
      <alignment horizontal="center" vertical="center"/>
    </xf>
    <xf numFmtId="3" fontId="20" fillId="82" borderId="30" xfId="0" applyNumberFormat="1" applyFont="1" applyFill="1" applyBorder="1" applyAlignment="1">
      <alignment horizontal="right" vertical="center"/>
    </xf>
    <xf numFmtId="177" fontId="20" fillId="82" borderId="30" xfId="0" applyNumberFormat="1" applyFont="1" applyFill="1" applyBorder="1" applyAlignment="1">
      <alignment horizontal="right" vertical="center"/>
    </xf>
    <xf numFmtId="165" fontId="117" fillId="82" borderId="64" xfId="0" applyNumberFormat="1" applyFont="1" applyFill="1" applyBorder="1" applyAlignment="1">
      <alignment horizontal="center" vertical="center"/>
    </xf>
    <xf numFmtId="165" fontId="117" fillId="82" borderId="20" xfId="0" applyNumberFormat="1" applyFont="1" applyFill="1" applyBorder="1" applyAlignment="1">
      <alignment horizontal="center" vertical="center"/>
    </xf>
    <xf numFmtId="0" fontId="80" fillId="41" borderId="0" xfId="0" applyFont="1" applyFill="1" applyAlignment="1">
      <alignment horizontal="center" vertical="center"/>
    </xf>
    <xf numFmtId="0" fontId="81" fillId="41" borderId="0" xfId="0" applyFont="1" applyFill="1" applyAlignment="1">
      <alignment horizontal="left" vertical="center"/>
    </xf>
    <xf numFmtId="0" fontId="0" fillId="3" borderId="34" xfId="0" applyFill="1" applyBorder="1"/>
    <xf numFmtId="0" fontId="0" fillId="3" borderId="0" xfId="0" applyFill="1"/>
    <xf numFmtId="0" fontId="0" fillId="3" borderId="38" xfId="0" applyFill="1" applyBorder="1"/>
    <xf numFmtId="0" fontId="10" fillId="11" borderId="59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1" borderId="48" xfId="0" applyFont="1" applyFill="1" applyBorder="1" applyAlignment="1">
      <alignment horizontal="center" vertical="center" wrapText="1"/>
    </xf>
    <xf numFmtId="0" fontId="71" fillId="2" borderId="60" xfId="0" applyFont="1" applyFill="1" applyBorder="1" applyAlignment="1">
      <alignment horizontal="left" vertical="center" wrapText="1"/>
    </xf>
    <xf numFmtId="0" fontId="71" fillId="2" borderId="61" xfId="0" applyFont="1" applyFill="1" applyBorder="1" applyAlignment="1">
      <alignment horizontal="left" vertical="center"/>
    </xf>
    <xf numFmtId="0" fontId="12" fillId="2" borderId="61" xfId="0" applyFont="1" applyFill="1" applyBorder="1" applyAlignment="1">
      <alignment horizontal="right" vertical="center"/>
    </xf>
    <xf numFmtId="0" fontId="12" fillId="2" borderId="62" xfId="0" applyFont="1" applyFill="1" applyBorder="1" applyAlignment="1">
      <alignment horizontal="right" vertical="center"/>
    </xf>
    <xf numFmtId="0" fontId="0" fillId="37" borderId="0" xfId="0" applyFill="1"/>
    <xf numFmtId="0" fontId="64" fillId="34" borderId="66" xfId="0" applyFont="1" applyFill="1" applyBorder="1" applyAlignment="1">
      <alignment horizontal="center" vertical="center"/>
    </xf>
    <xf numFmtId="0" fontId="64" fillId="34" borderId="67" xfId="0" applyFont="1" applyFill="1" applyBorder="1" applyAlignment="1">
      <alignment horizontal="center" vertical="center"/>
    </xf>
    <xf numFmtId="0" fontId="64" fillId="34" borderId="68" xfId="0" applyFont="1" applyFill="1" applyBorder="1" applyAlignment="1">
      <alignment horizontal="center" vertical="center"/>
    </xf>
    <xf numFmtId="0" fontId="9" fillId="27" borderId="63" xfId="0" applyFont="1" applyFill="1" applyBorder="1" applyAlignment="1">
      <alignment horizontal="center" vertical="center" wrapText="1"/>
    </xf>
    <xf numFmtId="0" fontId="9" fillId="27" borderId="64" xfId="0" applyFont="1" applyFill="1" applyBorder="1" applyAlignment="1">
      <alignment horizontal="center" vertical="center" wrapText="1"/>
    </xf>
    <xf numFmtId="0" fontId="9" fillId="25" borderId="64" xfId="0" applyFont="1" applyFill="1" applyBorder="1" applyAlignment="1">
      <alignment horizontal="center" vertical="center" wrapText="1"/>
    </xf>
    <xf numFmtId="0" fontId="9" fillId="26" borderId="64" xfId="0" applyFont="1" applyFill="1" applyBorder="1" applyAlignment="1">
      <alignment horizontal="center" vertical="center" wrapText="1"/>
    </xf>
    <xf numFmtId="0" fontId="9" fillId="28" borderId="64" xfId="0" applyFont="1" applyFill="1" applyBorder="1" applyAlignment="1">
      <alignment horizontal="center" vertical="center" wrapText="1"/>
    </xf>
    <xf numFmtId="0" fontId="9" fillId="28" borderId="65" xfId="0" applyFont="1" applyFill="1" applyBorder="1" applyAlignment="1">
      <alignment horizontal="center" vertical="center" wrapText="1"/>
    </xf>
    <xf numFmtId="0" fontId="56" fillId="16" borderId="53" xfId="0" applyFont="1" applyFill="1" applyBorder="1" applyAlignment="1">
      <alignment horizontal="left" vertical="center"/>
    </xf>
    <xf numFmtId="0" fontId="3" fillId="16" borderId="26" xfId="0" applyFont="1" applyFill="1" applyBorder="1" applyAlignment="1">
      <alignment horizontal="left" vertical="center"/>
    </xf>
    <xf numFmtId="0" fontId="4" fillId="5" borderId="27" xfId="0" applyFont="1" applyFill="1" applyBorder="1" applyAlignment="1">
      <alignment horizontal="left" vertical="center" wrapText="1"/>
    </xf>
    <xf numFmtId="0" fontId="4" fillId="5" borderId="54" xfId="0" applyFont="1" applyFill="1" applyBorder="1" applyAlignment="1">
      <alignment horizontal="left" vertical="center" wrapText="1"/>
    </xf>
    <xf numFmtId="0" fontId="0" fillId="3" borderId="55" xfId="0" applyFill="1" applyBorder="1"/>
    <xf numFmtId="0" fontId="0" fillId="3" borderId="28" xfId="0" applyFill="1" applyBorder="1"/>
    <xf numFmtId="0" fontId="0" fillId="3" borderId="56" xfId="0" applyFill="1" applyBorder="1"/>
    <xf numFmtId="0" fontId="68" fillId="34" borderId="34" xfId="0" applyFont="1" applyFill="1" applyBorder="1" applyAlignment="1">
      <alignment horizontal="center" vertical="center"/>
    </xf>
    <xf numFmtId="0" fontId="68" fillId="34" borderId="0" xfId="0" applyFont="1" applyFill="1" applyAlignment="1">
      <alignment horizontal="center" vertical="center"/>
    </xf>
    <xf numFmtId="0" fontId="68" fillId="34" borderId="38" xfId="0" applyFont="1" applyFill="1" applyBorder="1" applyAlignment="1">
      <alignment horizontal="center" vertical="center"/>
    </xf>
    <xf numFmtId="0" fontId="3" fillId="12" borderId="49" xfId="0" applyFont="1" applyFill="1" applyBorder="1" applyAlignment="1">
      <alignment horizontal="left" vertical="center"/>
    </xf>
    <xf numFmtId="0" fontId="3" fillId="12" borderId="11" xfId="0" applyFont="1" applyFill="1" applyBorder="1" applyAlignment="1">
      <alignment horizontal="left" vertical="center"/>
    </xf>
    <xf numFmtId="0" fontId="4" fillId="13" borderId="12" xfId="0" applyFont="1" applyFill="1" applyBorder="1" applyAlignment="1">
      <alignment horizontal="left" vertical="center" wrapText="1"/>
    </xf>
    <xf numFmtId="0" fontId="4" fillId="13" borderId="50" xfId="0" applyFont="1" applyFill="1" applyBorder="1" applyAlignment="1">
      <alignment horizontal="left" vertical="center" wrapText="1"/>
    </xf>
    <xf numFmtId="0" fontId="3" fillId="14" borderId="51" xfId="0" applyFont="1" applyFill="1" applyBorder="1" applyAlignment="1">
      <alignment horizontal="left" vertical="center"/>
    </xf>
    <xf numFmtId="0" fontId="3" fillId="14" borderId="13" xfId="0" applyFont="1" applyFill="1" applyBorder="1" applyAlignment="1">
      <alignment horizontal="left" vertical="center"/>
    </xf>
    <xf numFmtId="0" fontId="4" fillId="15" borderId="14" xfId="0" applyFont="1" applyFill="1" applyBorder="1" applyAlignment="1">
      <alignment horizontal="left" vertical="center" wrapText="1"/>
    </xf>
    <xf numFmtId="0" fontId="4" fillId="15" borderId="52" xfId="0" applyFont="1" applyFill="1" applyBorder="1" applyAlignment="1">
      <alignment horizontal="left" vertical="center" wrapText="1"/>
    </xf>
    <xf numFmtId="0" fontId="3" fillId="2" borderId="4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 vertical="center" wrapText="1"/>
    </xf>
    <xf numFmtId="0" fontId="4" fillId="6" borderId="44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44" xfId="0" applyFont="1" applyFill="1" applyBorder="1" applyAlignment="1">
      <alignment horizontal="left" vertical="center" wrapText="1"/>
    </xf>
    <xf numFmtId="0" fontId="3" fillId="8" borderId="45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0" fontId="55" fillId="9" borderId="8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left" vertical="center" wrapText="1"/>
    </xf>
    <xf numFmtId="0" fontId="4" fillId="9" borderId="46" xfId="0" applyFont="1" applyFill="1" applyBorder="1" applyAlignment="1">
      <alignment horizontal="left" vertical="center" wrapText="1"/>
    </xf>
    <xf numFmtId="0" fontId="3" fillId="10" borderId="47" xfId="0" applyFont="1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4" fillId="11" borderId="10" xfId="0" applyFont="1" applyFill="1" applyBorder="1" applyAlignment="1">
      <alignment horizontal="left" vertical="center" wrapText="1"/>
    </xf>
    <xf numFmtId="0" fontId="4" fillId="11" borderId="48" xfId="0" applyFont="1" applyFill="1" applyBorder="1" applyAlignment="1">
      <alignment horizontal="left" vertical="center" wrapText="1"/>
    </xf>
    <xf numFmtId="0" fontId="67" fillId="38" borderId="34" xfId="0" applyFont="1" applyFill="1" applyBorder="1" applyAlignment="1">
      <alignment horizontal="center" vertical="center" wrapText="1"/>
    </xf>
    <xf numFmtId="0" fontId="67" fillId="38" borderId="0" xfId="0" applyFont="1" applyFill="1" applyAlignment="1">
      <alignment horizontal="center" vertical="center" wrapText="1"/>
    </xf>
    <xf numFmtId="0" fontId="67" fillId="38" borderId="38" xfId="0" applyFont="1" applyFill="1" applyBorder="1" applyAlignment="1">
      <alignment horizontal="center" vertical="center" wrapText="1"/>
    </xf>
    <xf numFmtId="0" fontId="0" fillId="2" borderId="34" xfId="0" applyFill="1" applyBorder="1"/>
    <xf numFmtId="0" fontId="0" fillId="2" borderId="0" xfId="0" applyFill="1"/>
    <xf numFmtId="0" fontId="0" fillId="2" borderId="38" xfId="0" applyFill="1" applyBorder="1"/>
    <xf numFmtId="0" fontId="2" fillId="5" borderId="3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 wrapText="1"/>
    </xf>
    <xf numFmtId="0" fontId="4" fillId="6" borderId="42" xfId="0" applyFont="1" applyFill="1" applyBorder="1" applyAlignment="1">
      <alignment horizontal="left" vertical="center" wrapText="1"/>
    </xf>
    <xf numFmtId="0" fontId="66" fillId="34" borderId="35" xfId="0" applyFont="1" applyFill="1" applyBorder="1" applyAlignment="1">
      <alignment horizontal="center" vertical="center"/>
    </xf>
    <xf numFmtId="0" fontId="66" fillId="34" borderId="33" xfId="0" applyFont="1" applyFill="1" applyBorder="1" applyAlignment="1">
      <alignment horizontal="center" vertical="center"/>
    </xf>
    <xf numFmtId="0" fontId="66" fillId="34" borderId="36" xfId="0" applyFont="1" applyFill="1" applyBorder="1" applyAlignment="1">
      <alignment horizontal="center" vertical="center"/>
    </xf>
    <xf numFmtId="0" fontId="1" fillId="23" borderId="34" xfId="0" applyFont="1" applyFill="1" applyBorder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" fillId="23" borderId="38" xfId="0" applyFont="1" applyFill="1" applyBorder="1" applyAlignment="1">
      <alignment horizontal="center" vertical="center"/>
    </xf>
    <xf numFmtId="0" fontId="69" fillId="34" borderId="0" xfId="0" applyFont="1" applyFill="1" applyAlignment="1">
      <alignment horizontal="left" vertical="center"/>
    </xf>
    <xf numFmtId="0" fontId="135" fillId="0" borderId="0" xfId="0" applyFont="1" applyAlignment="1">
      <alignment horizontal="left" vertical="center" wrapText="1"/>
    </xf>
    <xf numFmtId="0" fontId="133" fillId="78" borderId="0" xfId="0" applyFont="1" applyFill="1" applyAlignment="1">
      <alignment horizontal="left" vertical="center" wrapText="1"/>
    </xf>
    <xf numFmtId="0" fontId="109" fillId="17" borderId="20" xfId="0" applyFont="1" applyFill="1" applyBorder="1" applyAlignment="1">
      <alignment horizontal="left" vertical="center" wrapText="1"/>
    </xf>
    <xf numFmtId="0" fontId="58" fillId="31" borderId="0" xfId="0" applyFont="1" applyFill="1" applyAlignment="1">
      <alignment horizontal="center" vertical="center"/>
    </xf>
    <xf numFmtId="0" fontId="3" fillId="30" borderId="4" xfId="0" applyFont="1" applyFill="1" applyBorder="1" applyAlignment="1">
      <alignment horizontal="left" vertical="center"/>
    </xf>
    <xf numFmtId="0" fontId="17" fillId="82" borderId="20" xfId="0" applyFont="1" applyFill="1" applyBorder="1" applyAlignment="1">
      <alignment horizontal="left" vertical="center"/>
    </xf>
    <xf numFmtId="0" fontId="72" fillId="34" borderId="0" xfId="0" applyFont="1" applyFill="1" applyAlignment="1">
      <alignment horizontal="center" vertical="center"/>
    </xf>
    <xf numFmtId="0" fontId="57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63" fillId="34" borderId="0" xfId="0" applyFont="1" applyFill="1" applyAlignment="1">
      <alignment horizontal="right" vertical="center"/>
    </xf>
    <xf numFmtId="0" fontId="110" fillId="36" borderId="0" xfId="0" applyFont="1" applyFill="1" applyAlignment="1">
      <alignment horizontal="center" vertical="center"/>
    </xf>
    <xf numFmtId="0" fontId="65" fillId="34" borderId="32" xfId="0" applyFont="1" applyFill="1" applyBorder="1" applyAlignment="1">
      <alignment horizontal="center" vertical="center"/>
    </xf>
    <xf numFmtId="0" fontId="65" fillId="34" borderId="31" xfId="0" applyFont="1" applyFill="1" applyBorder="1" applyAlignment="1">
      <alignment horizontal="center" vertical="center"/>
    </xf>
    <xf numFmtId="0" fontId="65" fillId="34" borderId="0" xfId="0" applyFont="1" applyFill="1" applyAlignment="1">
      <alignment horizontal="center" vertical="center"/>
    </xf>
    <xf numFmtId="0" fontId="111" fillId="6" borderId="0" xfId="0" applyFont="1" applyFill="1" applyAlignment="1">
      <alignment horizontal="center" vertical="center"/>
    </xf>
    <xf numFmtId="0" fontId="63" fillId="38" borderId="4" xfId="0" applyFont="1" applyFill="1" applyBorder="1" applyAlignment="1">
      <alignment horizontal="left" vertical="center"/>
    </xf>
    <xf numFmtId="0" fontId="19" fillId="17" borderId="37" xfId="0" applyFont="1" applyFill="1" applyBorder="1" applyAlignment="1">
      <alignment horizontal="left" vertical="center"/>
    </xf>
    <xf numFmtId="0" fontId="19" fillId="17" borderId="66" xfId="0" applyFont="1" applyFill="1" applyBorder="1" applyAlignment="1">
      <alignment horizontal="left" vertical="center"/>
    </xf>
    <xf numFmtId="0" fontId="110" fillId="6" borderId="0" xfId="0" applyFont="1" applyFill="1" applyAlignment="1">
      <alignment horizontal="center" vertical="center"/>
    </xf>
    <xf numFmtId="168" fontId="29" fillId="7" borderId="37" xfId="0" applyNumberFormat="1" applyFont="1" applyFill="1" applyBorder="1" applyAlignment="1">
      <alignment horizontal="center" vertical="center"/>
    </xf>
    <xf numFmtId="167" fontId="30" fillId="11" borderId="37" xfId="0" applyNumberFormat="1" applyFont="1" applyFill="1" applyBorder="1" applyAlignment="1">
      <alignment horizontal="center" vertical="center"/>
    </xf>
    <xf numFmtId="0" fontId="19" fillId="17" borderId="37" xfId="0" applyFont="1" applyFill="1" applyBorder="1" applyAlignment="1">
      <alignment horizontal="right" vertical="center"/>
    </xf>
    <xf numFmtId="0" fontId="19" fillId="17" borderId="66" xfId="0" applyFont="1" applyFill="1" applyBorder="1" applyAlignment="1">
      <alignment horizontal="right" vertical="center"/>
    </xf>
    <xf numFmtId="169" fontId="28" fillId="6" borderId="37" xfId="0" applyNumberFormat="1" applyFont="1" applyFill="1" applyBorder="1" applyAlignment="1">
      <alignment horizontal="right" vertical="center"/>
    </xf>
    <xf numFmtId="0" fontId="73" fillId="17" borderId="30" xfId="0" applyFont="1" applyFill="1" applyBorder="1" applyAlignment="1">
      <alignment horizontal="center" vertical="center" wrapText="1"/>
    </xf>
    <xf numFmtId="0" fontId="32" fillId="17" borderId="30" xfId="0" applyFont="1" applyFill="1" applyBorder="1" applyAlignment="1">
      <alignment horizontal="center" vertical="center"/>
    </xf>
    <xf numFmtId="0" fontId="32" fillId="17" borderId="69" xfId="0" applyFont="1" applyFill="1" applyBorder="1" applyAlignment="1">
      <alignment horizontal="center" vertical="center"/>
    </xf>
    <xf numFmtId="165" fontId="33" fillId="82" borderId="71" xfId="0" applyNumberFormat="1" applyFont="1" applyFill="1" applyBorder="1" applyAlignment="1">
      <alignment horizontal="center" vertical="center"/>
    </xf>
    <xf numFmtId="165" fontId="33" fillId="82" borderId="72" xfId="0" applyNumberFormat="1" applyFont="1" applyFill="1" applyBorder="1" applyAlignment="1">
      <alignment horizontal="center" vertical="center"/>
    </xf>
    <xf numFmtId="165" fontId="33" fillId="82" borderId="73" xfId="0" applyNumberFormat="1" applyFont="1" applyFill="1" applyBorder="1" applyAlignment="1">
      <alignment horizontal="center" vertical="center"/>
    </xf>
    <xf numFmtId="167" fontId="30" fillId="11" borderId="66" xfId="1" applyNumberFormat="1" applyFont="1" applyFill="1" applyBorder="1" applyAlignment="1">
      <alignment horizontal="center" vertical="center"/>
    </xf>
    <xf numFmtId="167" fontId="30" fillId="11" borderId="67" xfId="1" applyNumberFormat="1" applyFont="1" applyFill="1" applyBorder="1" applyAlignment="1">
      <alignment horizontal="center" vertical="center"/>
    </xf>
    <xf numFmtId="167" fontId="30" fillId="11" borderId="68" xfId="1" applyNumberFormat="1" applyFont="1" applyFill="1" applyBorder="1" applyAlignment="1">
      <alignment horizontal="center" vertical="center"/>
    </xf>
    <xf numFmtId="0" fontId="19" fillId="17" borderId="66" xfId="0" applyFont="1" applyFill="1" applyBorder="1" applyAlignment="1">
      <alignment horizontal="center" vertical="center"/>
    </xf>
    <xf numFmtId="0" fontId="19" fillId="17" borderId="67" xfId="0" applyFont="1" applyFill="1" applyBorder="1" applyAlignment="1">
      <alignment horizontal="center" vertical="center"/>
    </xf>
    <xf numFmtId="0" fontId="19" fillId="17" borderId="68" xfId="0" applyFont="1" applyFill="1" applyBorder="1" applyAlignment="1">
      <alignment horizontal="center" vertical="center"/>
    </xf>
    <xf numFmtId="0" fontId="32" fillId="17" borderId="30" xfId="0" applyFont="1" applyFill="1" applyBorder="1" applyAlignment="1">
      <alignment horizontal="center" vertical="center" wrapText="1"/>
    </xf>
    <xf numFmtId="177" fontId="33" fillId="5" borderId="71" xfId="0" applyNumberFormat="1" applyFont="1" applyFill="1" applyBorder="1" applyAlignment="1">
      <alignment horizontal="center" vertical="center"/>
    </xf>
    <xf numFmtId="177" fontId="33" fillId="5" borderId="72" xfId="0" applyNumberFormat="1" applyFont="1" applyFill="1" applyBorder="1" applyAlignment="1">
      <alignment horizontal="center" vertical="center"/>
    </xf>
    <xf numFmtId="177" fontId="33" fillId="5" borderId="73" xfId="0" applyNumberFormat="1" applyFont="1" applyFill="1" applyBorder="1" applyAlignment="1">
      <alignment horizontal="center" vertical="center"/>
    </xf>
    <xf numFmtId="0" fontId="63" fillId="38" borderId="77" xfId="0" applyFont="1" applyFill="1" applyBorder="1" applyAlignment="1">
      <alignment horizontal="left" vertical="center"/>
    </xf>
    <xf numFmtId="0" fontId="36" fillId="6" borderId="22" xfId="0" applyFont="1" applyFill="1" applyBorder="1" applyAlignment="1">
      <alignment horizontal="left" vertical="top" wrapText="1"/>
    </xf>
    <xf numFmtId="0" fontId="120" fillId="73" borderId="88" xfId="0" applyFont="1" applyFill="1" applyBorder="1" applyAlignment="1">
      <alignment horizontal="center" vertical="center"/>
    </xf>
    <xf numFmtId="0" fontId="120" fillId="73" borderId="89" xfId="0" applyFont="1" applyFill="1" applyBorder="1" applyAlignment="1">
      <alignment horizontal="center" vertical="center"/>
    </xf>
    <xf numFmtId="0" fontId="120" fillId="73" borderId="90" xfId="0" applyFont="1" applyFill="1" applyBorder="1" applyAlignment="1">
      <alignment horizontal="center" vertical="center"/>
    </xf>
    <xf numFmtId="0" fontId="120" fillId="24" borderId="88" xfId="0" applyFont="1" applyFill="1" applyBorder="1" applyAlignment="1">
      <alignment horizontal="center" vertical="center"/>
    </xf>
    <xf numFmtId="0" fontId="120" fillId="24" borderId="89" xfId="0" applyFont="1" applyFill="1" applyBorder="1" applyAlignment="1">
      <alignment horizontal="center" vertical="center"/>
    </xf>
    <xf numFmtId="0" fontId="120" fillId="24" borderId="90" xfId="0" applyFont="1" applyFill="1" applyBorder="1" applyAlignment="1">
      <alignment horizontal="center" vertical="center"/>
    </xf>
    <xf numFmtId="0" fontId="121" fillId="43" borderId="89" xfId="0" applyFont="1" applyFill="1" applyBorder="1" applyAlignment="1">
      <alignment horizontal="center" vertical="center"/>
    </xf>
    <xf numFmtId="0" fontId="121" fillId="43" borderId="90" xfId="0" applyFont="1" applyFill="1" applyBorder="1" applyAlignment="1">
      <alignment horizontal="center" vertical="center"/>
    </xf>
    <xf numFmtId="0" fontId="35" fillId="8" borderId="25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35" fillId="2" borderId="1" xfId="0" applyFont="1" applyFill="1" applyBorder="1" applyAlignment="1">
      <alignment horizontal="left" vertical="center"/>
    </xf>
    <xf numFmtId="0" fontId="94" fillId="45" borderId="0" xfId="0" applyFont="1" applyFill="1" applyAlignment="1">
      <alignment horizontal="left" vertical="center"/>
    </xf>
    <xf numFmtId="0" fontId="85" fillId="59" borderId="0" xfId="0" applyFont="1" applyFill="1" applyAlignment="1">
      <alignment horizontal="left" vertical="center"/>
    </xf>
    <xf numFmtId="169" fontId="89" fillId="60" borderId="0" xfId="0" applyNumberFormat="1" applyFont="1" applyFill="1" applyAlignment="1">
      <alignment horizontal="left" vertical="center"/>
    </xf>
    <xf numFmtId="167" fontId="89" fillId="60" borderId="0" xfId="0" applyNumberFormat="1" applyFont="1" applyFill="1" applyAlignment="1">
      <alignment horizontal="left" vertical="center"/>
    </xf>
    <xf numFmtId="171" fontId="89" fillId="60" borderId="0" xfId="0" applyNumberFormat="1" applyFont="1" applyFill="1" applyAlignment="1">
      <alignment horizontal="left" vertical="center"/>
    </xf>
    <xf numFmtId="0" fontId="91" fillId="62" borderId="0" xfId="0" applyFont="1" applyFill="1" applyAlignment="1">
      <alignment horizontal="left" vertical="center"/>
    </xf>
    <xf numFmtId="0" fontId="91" fillId="60" borderId="0" xfId="0" applyFont="1" applyFill="1" applyAlignment="1">
      <alignment horizontal="left" vertical="center"/>
    </xf>
    <xf numFmtId="0" fontId="91" fillId="64" borderId="0" xfId="0" applyFont="1" applyFill="1" applyAlignment="1">
      <alignment horizontal="left" vertical="center"/>
    </xf>
    <xf numFmtId="0" fontId="100" fillId="65" borderId="82" xfId="0" applyFont="1" applyFill="1" applyBorder="1" applyAlignment="1">
      <alignment horizontal="left" vertical="center"/>
    </xf>
    <xf numFmtId="0" fontId="101" fillId="67" borderId="0" xfId="0" applyFont="1" applyFill="1" applyAlignment="1">
      <alignment horizontal="center" vertical="center"/>
    </xf>
    <xf numFmtId="0" fontId="101" fillId="68" borderId="0" xfId="0" applyFont="1" applyFill="1" applyAlignment="1">
      <alignment horizontal="center" vertical="center"/>
    </xf>
    <xf numFmtId="0" fontId="101" fillId="69" borderId="0" xfId="0" applyFont="1" applyFill="1" applyAlignment="1">
      <alignment horizontal="center" vertical="center"/>
    </xf>
    <xf numFmtId="0" fontId="101" fillId="70" borderId="0" xfId="0" applyFont="1" applyFill="1" applyAlignment="1">
      <alignment horizontal="center" vertical="center"/>
    </xf>
    <xf numFmtId="0" fontId="101" fillId="66" borderId="0" xfId="0" applyFont="1" applyFill="1" applyAlignment="1">
      <alignment horizontal="center" vertical="center"/>
    </xf>
    <xf numFmtId="0" fontId="101" fillId="71" borderId="0" xfId="0" applyFont="1" applyFill="1" applyAlignment="1">
      <alignment horizontal="center" vertical="center"/>
    </xf>
    <xf numFmtId="0" fontId="101" fillId="72" borderId="0" xfId="0" applyFont="1" applyFill="1" applyAlignment="1">
      <alignment horizontal="center" vertical="center"/>
    </xf>
    <xf numFmtId="0" fontId="94" fillId="67" borderId="0" xfId="0" applyFont="1" applyFill="1" applyAlignment="1">
      <alignment horizontal="center" vertical="center"/>
    </xf>
    <xf numFmtId="0" fontId="102" fillId="71" borderId="0" xfId="0" applyFont="1" applyFill="1" applyAlignment="1">
      <alignment horizontal="center" vertical="center" wrapText="1"/>
    </xf>
    <xf numFmtId="0" fontId="102" fillId="72" borderId="0" xfId="0" applyFont="1" applyFill="1" applyAlignment="1">
      <alignment horizontal="center" vertical="center" wrapText="1"/>
    </xf>
    <xf numFmtId="0" fontId="103" fillId="67" borderId="0" xfId="0" applyFont="1" applyFill="1" applyAlignment="1">
      <alignment horizontal="center" vertical="center" wrapText="1"/>
    </xf>
    <xf numFmtId="0" fontId="84" fillId="44" borderId="0" xfId="0" applyFont="1" applyFill="1" applyAlignment="1">
      <alignment horizontal="center" vertical="center"/>
    </xf>
    <xf numFmtId="0" fontId="102" fillId="67" borderId="0" xfId="0" applyFont="1" applyFill="1" applyAlignment="1">
      <alignment horizontal="center" vertical="center" wrapText="1"/>
    </xf>
    <xf numFmtId="0" fontId="102" fillId="68" borderId="0" xfId="0" applyFont="1" applyFill="1" applyAlignment="1">
      <alignment horizontal="center" vertical="center" wrapText="1"/>
    </xf>
    <xf numFmtId="0" fontId="102" fillId="69" borderId="0" xfId="0" applyFont="1" applyFill="1" applyAlignment="1">
      <alignment horizontal="center" vertical="center" wrapText="1"/>
    </xf>
    <xf numFmtId="0" fontId="102" fillId="70" borderId="0" xfId="0" applyFont="1" applyFill="1" applyAlignment="1">
      <alignment horizontal="center" vertical="center" wrapText="1"/>
    </xf>
    <xf numFmtId="0" fontId="102" fillId="66" borderId="0" xfId="0" applyFont="1" applyFill="1" applyAlignment="1">
      <alignment horizontal="center" vertical="center" wrapText="1"/>
    </xf>
    <xf numFmtId="0" fontId="128" fillId="41" borderId="0" xfId="0" applyFont="1" applyFill="1" applyAlignment="1">
      <alignment horizontal="left" vertical="center"/>
    </xf>
    <xf numFmtId="0" fontId="108" fillId="0" borderId="0" xfId="0" applyFont="1" applyAlignment="1">
      <alignment horizontal="center" vertical="center"/>
    </xf>
    <xf numFmtId="0" fontId="108" fillId="0" borderId="91" xfId="0" applyFont="1" applyBorder="1" applyAlignment="1">
      <alignment horizontal="center" vertical="center"/>
    </xf>
    <xf numFmtId="0" fontId="107" fillId="77" borderId="93" xfId="0" applyFont="1" applyFill="1" applyBorder="1" applyAlignment="1">
      <alignment horizontal="center" vertical="center"/>
    </xf>
    <xf numFmtId="0" fontId="107" fillId="77" borderId="94" xfId="0" applyFont="1" applyFill="1" applyBorder="1" applyAlignment="1">
      <alignment horizontal="center" vertical="center"/>
    </xf>
    <xf numFmtId="0" fontId="107" fillId="77" borderId="95" xfId="0" applyFont="1" applyFill="1" applyBorder="1" applyAlignment="1">
      <alignment horizontal="center" vertical="center"/>
    </xf>
    <xf numFmtId="0" fontId="137" fillId="35" borderId="0" xfId="0" applyFont="1" applyFill="1"/>
    <xf numFmtId="169" fontId="138" fillId="32" borderId="96" xfId="0" applyNumberFormat="1" applyFont="1" applyFill="1" applyBorder="1"/>
    <xf numFmtId="0" fontId="139" fillId="42" borderId="0" xfId="0" applyFont="1" applyFill="1" applyAlignment="1">
      <alignment horizontal="left" vertical="center"/>
    </xf>
    <xf numFmtId="177" fontId="139" fillId="42" borderId="0" xfId="1" applyNumberFormat="1" applyFont="1" applyFill="1" applyBorder="1" applyAlignment="1">
      <alignment vertical="center"/>
    </xf>
    <xf numFmtId="0" fontId="140" fillId="32" borderId="0" xfId="0" applyFont="1" applyFill="1"/>
    <xf numFmtId="0" fontId="142" fillId="32" borderId="0" xfId="0" applyFont="1" applyFill="1"/>
    <xf numFmtId="177" fontId="143" fillId="32" borderId="0" xfId="0" applyNumberFormat="1" applyFont="1" applyFill="1"/>
    <xf numFmtId="165" fontId="125" fillId="42" borderId="0" xfId="2" applyNumberFormat="1" applyFont="1" applyFill="1" applyAlignment="1">
      <alignment horizontal="left" vertical="center"/>
    </xf>
    <xf numFmtId="0" fontId="141" fillId="32" borderId="0" xfId="0" applyFont="1" applyFill="1" applyAlignment="1">
      <alignment horizontal="left" vertical="center"/>
    </xf>
    <xf numFmtId="0" fontId="141" fillId="32" borderId="0" xfId="0" applyFont="1" applyFill="1" applyAlignment="1">
      <alignment horizontal="left" vertical="center"/>
    </xf>
    <xf numFmtId="176" fontId="142" fillId="32" borderId="0" xfId="0" applyNumberFormat="1" applyFont="1" applyFill="1"/>
    <xf numFmtId="9" fontId="142" fillId="32" borderId="0" xfId="2" applyFont="1" applyFill="1"/>
    <xf numFmtId="176" fontId="70" fillId="32" borderId="0" xfId="0" applyNumberFormat="1" applyFont="1" applyFill="1"/>
    <xf numFmtId="180" fontId="126" fillId="32" borderId="0" xfId="0" applyNumberFormat="1" applyFont="1" applyFill="1"/>
    <xf numFmtId="176" fontId="126" fillId="32" borderId="0" xfId="0" applyNumberFormat="1" applyFont="1" applyFill="1"/>
    <xf numFmtId="177" fontId="126" fillId="32" borderId="0" xfId="0" applyNumberFormat="1" applyFont="1" applyFill="1"/>
    <xf numFmtId="179" fontId="126" fillId="32" borderId="0" xfId="0" applyNumberFormat="1" applyFont="1" applyFill="1"/>
    <xf numFmtId="9" fontId="126" fillId="32" borderId="0" xfId="2" applyFont="1" applyFill="1"/>
    <xf numFmtId="0" fontId="145" fillId="42" borderId="0" xfId="0" applyFont="1" applyFill="1" applyAlignment="1">
      <alignment horizontal="left" vertical="center"/>
    </xf>
    <xf numFmtId="0" fontId="59" fillId="32" borderId="0" xfId="0" applyFont="1" applyFill="1" applyAlignment="1">
      <alignment horizontal="left" vertical="top"/>
    </xf>
    <xf numFmtId="0" fontId="146" fillId="32" borderId="0" xfId="0" applyFont="1" applyFill="1"/>
    <xf numFmtId="0" fontId="147" fillId="32" borderId="0" xfId="0" applyFont="1" applyFill="1" applyAlignment="1">
      <alignment horizontal="left" vertical="center"/>
    </xf>
    <xf numFmtId="44" fontId="123" fillId="32" borderId="0" xfId="0" applyNumberFormat="1" applyFont="1" applyFill="1"/>
    <xf numFmtId="185" fontId="123" fillId="32" borderId="0" xfId="0" applyNumberFormat="1" applyFont="1" applyFill="1"/>
    <xf numFmtId="9" fontId="127" fillId="32" borderId="0" xfId="0" applyNumberFormat="1" applyFont="1" applyFill="1"/>
    <xf numFmtId="0" fontId="147" fillId="32" borderId="0" xfId="0" applyFont="1" applyFill="1" applyAlignment="1">
      <alignment vertical="center"/>
    </xf>
    <xf numFmtId="2" fontId="124" fillId="32" borderId="0" xfId="0" applyNumberFormat="1" applyFont="1" applyFill="1"/>
    <xf numFmtId="0" fontId="123" fillId="32" borderId="0" xfId="0" applyFont="1" applyFill="1"/>
    <xf numFmtId="0" fontId="139" fillId="41" borderId="0" xfId="0" applyFont="1" applyFill="1" applyAlignment="1">
      <alignment horizontal="left" vertical="center"/>
    </xf>
    <xf numFmtId="0" fontId="141" fillId="32" borderId="0" xfId="0" applyFont="1" applyFill="1" applyAlignment="1">
      <alignment vertical="center"/>
    </xf>
    <xf numFmtId="0" fontId="149" fillId="42" borderId="0" xfId="0" applyFont="1" applyFill="1" applyAlignment="1">
      <alignment horizontal="left" vertical="center"/>
    </xf>
    <xf numFmtId="0" fontId="150" fillId="32" borderId="0" xfId="0" applyFont="1" applyFill="1" applyAlignment="1">
      <alignment horizontal="left" vertical="center"/>
    </xf>
    <xf numFmtId="0" fontId="139" fillId="74" borderId="0" xfId="0" applyFont="1" applyFill="1" applyAlignment="1">
      <alignment horizontal="left" vertical="center"/>
    </xf>
    <xf numFmtId="0" fontId="70" fillId="74" borderId="0" xfId="0" applyFont="1" applyFill="1"/>
    <xf numFmtId="0" fontId="151" fillId="32" borderId="0" xfId="0" applyFont="1" applyFill="1"/>
    <xf numFmtId="165" fontId="144" fillId="32" borderId="0" xfId="2" applyNumberFormat="1" applyFont="1" applyFill="1"/>
    <xf numFmtId="1" fontId="148" fillId="32" borderId="0" xfId="0" applyNumberFormat="1" applyFont="1" applyFill="1"/>
  </cellXfs>
  <cellStyles count="3">
    <cellStyle name="Millares" xfId="1" builtinId="3"/>
    <cellStyle name="Normal" xfId="0" builtinId="0"/>
    <cellStyle name="Porcentaje" xfId="2" builtinId="5"/>
  </cellStyles>
  <dxfs count="58"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numFmt numFmtId="165" formatCode="0.0%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65" formatCode="0.0%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9" formatCode="&quot;S/&quot;\ 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80" formatCode="[$$-540A]#,##0.0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/>
        <horizontal/>
      </border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7" formatCode="[$$-540A]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 outline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</border>
    </dxf>
    <dxf>
      <numFmt numFmtId="176" formatCode="&quot;S/&quot;\ 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0.0%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numFmt numFmtId="175" formatCode="[$$-409]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numFmt numFmtId="175" formatCode="[$$-409]#,##0.0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double">
          <color theme="0" tint="-0.499984740745262"/>
        </left>
        <right style="double">
          <color theme="0" tint="-0.499984740745262"/>
        </right>
        <top style="double">
          <color theme="0" tint="-0.499984740745262"/>
        </top>
        <bottom style="double">
          <color theme="0" tint="-0.499984740745262"/>
        </bottom>
        <vertical style="double">
          <color theme="0" tint="-0.499984740745262"/>
        </vertical>
        <horizontal style="double">
          <color theme="0" tint="-0.499984740745262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none"/>
      </font>
      <fill>
        <patternFill patternType="solid">
          <fgColor rgb="FF1A1A2B"/>
          <bgColor rgb="FFACBBC8"/>
        </patternFill>
      </fill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ción de datos 1" pivot="0" table="0" count="0" xr9:uid="{3495D453-FF24-4960-8A71-8EDB4D1EEC7B}"/>
    <tableStyle name="Estilo de segmentación de datos 2" pivot="0" table="0" count="1" xr9:uid="{8E17CFDE-75AA-4E64-85B2-E0E43F2C1EC8}"/>
  </tableStyles>
  <colors>
    <indexedColors>
      <rgbColor rgb="FF000000"/>
      <rgbColor rgb="FFFFFFFF"/>
      <rgbColor rgb="FFC00000"/>
      <rgbColor rgb="FF70AD47"/>
      <rgbColor rgb="FF0000FF"/>
      <rgbColor rgb="FFFFC00B"/>
      <rgbColor rgb="FFB3B3B3"/>
      <rgbColor rgb="FF4F81BD"/>
      <rgbColor rgb="FFC55A11"/>
      <rgbColor rgb="FF008000"/>
      <rgbColor rgb="FF8AA64F"/>
      <rgbColor rgb="FFB8860B"/>
      <rgbColor rgb="FF7030A0"/>
      <rgbColor rgb="FF1F6B75"/>
      <rgbColor rgb="FFBFBFBF"/>
      <rgbColor rgb="FF738B42"/>
      <rgbColor rgb="FF93A9CE"/>
      <rgbColor rgb="FF8F3B39"/>
      <rgbColor rgb="FFFFF2CC"/>
      <rgbColor rgb="FFDEEAF1"/>
      <rgbColor rgb="FF7C619D"/>
      <rgbColor rgb="FFDC853E"/>
      <rgbColor rgb="FF3A608D"/>
      <rgbColor rgb="FFBDD7EE"/>
      <rgbColor rgb="FFF2F2F2"/>
      <rgbColor rgb="FFE8DAEF"/>
      <rgbColor rgb="FFB8CD97"/>
      <rgbColor rgb="FF96B656"/>
      <rgbColor rgb="FFC0504D"/>
      <rgbColor rgb="FF8064A2"/>
      <rgbColor rgb="FF4672A8"/>
      <rgbColor rgb="FFD9D9D9"/>
      <rgbColor rgb="FF47A2BD"/>
      <rgbColor rgb="FFD6E8EA"/>
      <rgbColor rgb="FFE2EFDA"/>
      <rgbColor rgb="FFFDF2DA"/>
      <rgbColor rgb="FF99CCFF"/>
      <rgbColor rgb="FFD09493"/>
      <rgbColor rgb="FFB9AFC9"/>
      <rgbColor rgb="FFFCE4D6"/>
      <rgbColor rgb="FF2E75B6"/>
      <rgbColor rgb="FF4BACC6"/>
      <rgbColor rgb="FF9BBB59"/>
      <rgbColor rgb="FFFFC000"/>
      <rgbColor rgb="FFF79646"/>
      <rgbColor rgb="FFE74C3C"/>
      <rgbColor rgb="FF725990"/>
      <rgbColor rgb="FFA99BBD"/>
      <rgbColor rgb="FF1F3864"/>
      <rgbColor rgb="FF378093"/>
      <rgbColor rgb="FF4C7DB7"/>
      <rgbColor rgb="FF6A5286"/>
      <rgbColor rgb="FFBA4D4A"/>
      <rgbColor rgb="FFAB4744"/>
      <rgbColor rgb="FF5F4A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EA2B3"/>
      <color rgb="FFE6E4D0"/>
      <color rgb="FFFFFFB3"/>
      <color rgb="FFA9C9D3"/>
      <color rgb="FF0A4174"/>
      <color rgb="FFFFFF85"/>
      <color rgb="FF0099CC"/>
      <color rgb="FF00D661"/>
      <color rgb="FFC55E5B"/>
      <color rgb="FFEE0000"/>
    </mruColors>
  </colors>
  <extLst>
    <ext xmlns:x14="http://schemas.microsoft.com/office/spreadsheetml/2009/9/main" uri="{46F421CA-312F-682f-3DD2-61675219B42D}">
      <x14:dxfs count="1">
        <dxf>
          <font>
            <color theme="5" tint="-0.24994659260841701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/>
        <x14:slicerStyle name="Estilo de segmentación de datos 2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FOB por Producto (US$)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'🧾 Factura Comercial'!$I$6</c:f>
              <c:strCache>
                <c:ptCount val="1"/>
                <c:pt idx="0">
                  <c:v>FOB TOTAL
(USD)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'🧾 Factura Comercial'!$E$7:$E$506</c:f>
              <c:strCache>
                <c:ptCount val="28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  <c:pt idx="9">
                  <c:v>Adaptador YYY 67</c:v>
                </c:pt>
                <c:pt idx="10">
                  <c:v>Case Transparente TPU iPhone 15</c:v>
                </c:pt>
                <c:pt idx="11">
                  <c:v>Cable USB-C Trenzado 1m</c:v>
                </c:pt>
                <c:pt idx="12">
                  <c:v>Protector Pantalla Vidrio Templado</c:v>
                </c:pt>
                <c:pt idx="13">
                  <c:v>Audífonos In-Ear con Micrófono</c:v>
                </c:pt>
                <c:pt idx="14">
                  <c:v>Cable Micro USB 2m Nylon</c:v>
                </c:pt>
                <c:pt idx="15">
                  <c:v>Soporte Anillo Pop Socket Metálico</c:v>
                </c:pt>
                <c:pt idx="16">
                  <c:v>Cargador Inalámbrico 15W Qi</c:v>
                </c:pt>
                <c:pt idx="17">
                  <c:v>Case Wallet Cuero PU Samsung S24</c:v>
                </c:pt>
                <c:pt idx="18">
                  <c:v>Adaptador USB-C a Jack 3.5mm</c:v>
                </c:pt>
                <c:pt idx="19">
                  <c:v>Case Transparente TPU iPhone 15</c:v>
                </c:pt>
                <c:pt idx="20">
                  <c:v>Cable USB-C Trenzado 1m</c:v>
                </c:pt>
                <c:pt idx="21">
                  <c:v>Protector Pantalla Vidrio Templado</c:v>
                </c:pt>
                <c:pt idx="22">
                  <c:v>Audífonos In-Ear con Micrófono</c:v>
                </c:pt>
                <c:pt idx="23">
                  <c:v>Cable Micro USB 2m Nylon</c:v>
                </c:pt>
                <c:pt idx="24">
                  <c:v>Soporte Anillo Pop Socket Metálico</c:v>
                </c:pt>
                <c:pt idx="25">
                  <c:v>Cargador Inalámbrico 15W Qi</c:v>
                </c:pt>
                <c:pt idx="26">
                  <c:v>Case Wallet Cuero PU Samsung S24</c:v>
                </c:pt>
                <c:pt idx="27">
                  <c:v>Adaptador USB-C a Jack 3.5mm</c:v>
                </c:pt>
              </c:strCache>
            </c:strRef>
          </c:cat>
          <c:val>
            <c:numRef>
              <c:f>'🧾 Factura Comercial'!$I$7:$I$506</c:f>
              <c:numCache>
                <c:formatCode>[$$-540A]#,##0.00</c:formatCode>
                <c:ptCount val="28"/>
                <c:pt idx="0">
                  <c:v>580.79999999999995</c:v>
                </c:pt>
                <c:pt idx="1">
                  <c:v>1958.4</c:v>
                </c:pt>
                <c:pt idx="2">
                  <c:v>1152</c:v>
                </c:pt>
                <c:pt idx="3">
                  <c:v>3476.1600000000003</c:v>
                </c:pt>
                <c:pt idx="4">
                  <c:v>2246.4</c:v>
                </c:pt>
                <c:pt idx="5">
                  <c:v>626.4</c:v>
                </c:pt>
                <c:pt idx="6">
                  <c:v>1370.4</c:v>
                </c:pt>
                <c:pt idx="7">
                  <c:v>1459.2</c:v>
                </c:pt>
                <c:pt idx="8">
                  <c:v>1344.0000000000002</c:v>
                </c:pt>
                <c:pt idx="9">
                  <c:v>1000</c:v>
                </c:pt>
                <c:pt idx="10">
                  <c:v>580.79999999999995</c:v>
                </c:pt>
                <c:pt idx="11">
                  <c:v>1958.4</c:v>
                </c:pt>
                <c:pt idx="12">
                  <c:v>1152</c:v>
                </c:pt>
                <c:pt idx="13">
                  <c:v>3476.1600000000003</c:v>
                </c:pt>
                <c:pt idx="14">
                  <c:v>2246.4</c:v>
                </c:pt>
                <c:pt idx="15">
                  <c:v>626.4</c:v>
                </c:pt>
                <c:pt idx="16">
                  <c:v>1370.4</c:v>
                </c:pt>
                <c:pt idx="17">
                  <c:v>1459.2</c:v>
                </c:pt>
                <c:pt idx="18">
                  <c:v>1344.0000000000002</c:v>
                </c:pt>
                <c:pt idx="19">
                  <c:v>580.79999999999995</c:v>
                </c:pt>
                <c:pt idx="20">
                  <c:v>1958.4</c:v>
                </c:pt>
                <c:pt idx="21">
                  <c:v>1152</c:v>
                </c:pt>
                <c:pt idx="22">
                  <c:v>3476.1600000000003</c:v>
                </c:pt>
                <c:pt idx="23">
                  <c:v>2246.4</c:v>
                </c:pt>
                <c:pt idx="24">
                  <c:v>626.4</c:v>
                </c:pt>
                <c:pt idx="25">
                  <c:v>1370.4</c:v>
                </c:pt>
                <c:pt idx="26">
                  <c:v>1459.2</c:v>
                </c:pt>
                <c:pt idx="27">
                  <c:v>1344.0000000000002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4-4DCD-BFC9-735308D076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0933"/>
        <c:axId val="80987749"/>
      </c:barChart>
      <c:catAx>
        <c:axId val="11040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E"/>
          </a:p>
        </c:txPr>
        <c:crossAx val="80987749"/>
        <c:crosses val="autoZero"/>
        <c:auto val="1"/>
        <c:lblAlgn val="ctr"/>
        <c:lblOffset val="100"/>
        <c:noMultiLvlLbl val="0"/>
      </c:catAx>
      <c:valAx>
        <c:axId val="80987749"/>
        <c:scaling>
          <c:orientation val="minMax"/>
        </c:scaling>
        <c:delete val="1"/>
        <c:axPos val="b"/>
        <c:numFmt formatCode="#,##0.00" sourceLinked="0"/>
        <c:majorTickMark val="none"/>
        <c:minorTickMark val="none"/>
        <c:tickLblPos val="nextTo"/>
        <c:crossAx val="11040933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noFill/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FOB por Producto (US$)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'🧾 Factura Comercial'!$I$6</c:f>
              <c:strCache>
                <c:ptCount val="1"/>
                <c:pt idx="0">
                  <c:v>FOB TOTAL
(USD)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'🧾 Factura Comercial'!$E$7:$E$506</c:f>
              <c:strCache>
                <c:ptCount val="28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  <c:pt idx="9">
                  <c:v>Adaptador YYY 67</c:v>
                </c:pt>
                <c:pt idx="10">
                  <c:v>Case Transparente TPU iPhone 15</c:v>
                </c:pt>
                <c:pt idx="11">
                  <c:v>Cable USB-C Trenzado 1m</c:v>
                </c:pt>
                <c:pt idx="12">
                  <c:v>Protector Pantalla Vidrio Templado</c:v>
                </c:pt>
                <c:pt idx="13">
                  <c:v>Audífonos In-Ear con Micrófono</c:v>
                </c:pt>
                <c:pt idx="14">
                  <c:v>Cable Micro USB 2m Nylon</c:v>
                </c:pt>
                <c:pt idx="15">
                  <c:v>Soporte Anillo Pop Socket Metálico</c:v>
                </c:pt>
                <c:pt idx="16">
                  <c:v>Cargador Inalámbrico 15W Qi</c:v>
                </c:pt>
                <c:pt idx="17">
                  <c:v>Case Wallet Cuero PU Samsung S24</c:v>
                </c:pt>
                <c:pt idx="18">
                  <c:v>Adaptador USB-C a Jack 3.5mm</c:v>
                </c:pt>
                <c:pt idx="19">
                  <c:v>Case Transparente TPU iPhone 15</c:v>
                </c:pt>
                <c:pt idx="20">
                  <c:v>Cable USB-C Trenzado 1m</c:v>
                </c:pt>
                <c:pt idx="21">
                  <c:v>Protector Pantalla Vidrio Templado</c:v>
                </c:pt>
                <c:pt idx="22">
                  <c:v>Audífonos In-Ear con Micrófono</c:v>
                </c:pt>
                <c:pt idx="23">
                  <c:v>Cable Micro USB 2m Nylon</c:v>
                </c:pt>
                <c:pt idx="24">
                  <c:v>Soporte Anillo Pop Socket Metálico</c:v>
                </c:pt>
                <c:pt idx="25">
                  <c:v>Cargador Inalámbrico 15W Qi</c:v>
                </c:pt>
                <c:pt idx="26">
                  <c:v>Case Wallet Cuero PU Samsung S24</c:v>
                </c:pt>
                <c:pt idx="27">
                  <c:v>Adaptador USB-C a Jack 3.5mm</c:v>
                </c:pt>
              </c:strCache>
            </c:strRef>
          </c:cat>
          <c:val>
            <c:numRef>
              <c:f>'🧾 Factura Comercial'!$J$7:$J$506</c:f>
              <c:numCache>
                <c:formatCode>0.0%</c:formatCode>
                <c:ptCount val="28"/>
                <c:pt idx="0">
                  <c:v>1.3308500575601812E-2</c:v>
                </c:pt>
                <c:pt idx="1">
                  <c:v>4.4874944089632565E-2</c:v>
                </c:pt>
                <c:pt idx="2">
                  <c:v>2.6397025935077978E-2</c:v>
                </c:pt>
                <c:pt idx="3">
                  <c:v>7.9653025759097801E-2</c:v>
                </c:pt>
                <c:pt idx="4">
                  <c:v>5.147420057340206E-2</c:v>
                </c:pt>
                <c:pt idx="5">
                  <c:v>1.435338285219865E-2</c:v>
                </c:pt>
                <c:pt idx="6">
                  <c:v>3.1401462101936513E-2</c:v>
                </c:pt>
                <c:pt idx="7">
                  <c:v>3.3436232851098771E-2</c:v>
                </c:pt>
                <c:pt idx="8">
                  <c:v>3.0796530257590979E-2</c:v>
                </c:pt>
                <c:pt idx="9">
                  <c:v>2.2914085013088521E-2</c:v>
                </c:pt>
                <c:pt idx="10">
                  <c:v>1.3308500575601812E-2</c:v>
                </c:pt>
                <c:pt idx="11">
                  <c:v>4.4874944089632565E-2</c:v>
                </c:pt>
                <c:pt idx="12">
                  <c:v>2.6397025935077978E-2</c:v>
                </c:pt>
                <c:pt idx="13">
                  <c:v>7.9653025759097801E-2</c:v>
                </c:pt>
                <c:pt idx="14">
                  <c:v>5.147420057340206E-2</c:v>
                </c:pt>
                <c:pt idx="15">
                  <c:v>1.435338285219865E-2</c:v>
                </c:pt>
                <c:pt idx="16">
                  <c:v>3.1401462101936513E-2</c:v>
                </c:pt>
                <c:pt idx="17">
                  <c:v>3.3436232851098771E-2</c:v>
                </c:pt>
                <c:pt idx="18">
                  <c:v>3.0796530257590979E-2</c:v>
                </c:pt>
                <c:pt idx="19">
                  <c:v>1.3308500575601812E-2</c:v>
                </c:pt>
                <c:pt idx="20">
                  <c:v>4.4874944089632565E-2</c:v>
                </c:pt>
                <c:pt idx="21">
                  <c:v>2.6397025935077978E-2</c:v>
                </c:pt>
                <c:pt idx="22">
                  <c:v>7.9653025759097801E-2</c:v>
                </c:pt>
                <c:pt idx="23">
                  <c:v>5.147420057340206E-2</c:v>
                </c:pt>
                <c:pt idx="24">
                  <c:v>1.435338285219865E-2</c:v>
                </c:pt>
                <c:pt idx="25">
                  <c:v>3.1401462101936513E-2</c:v>
                </c:pt>
                <c:pt idx="26">
                  <c:v>3.3436232851098771E-2</c:v>
                </c:pt>
                <c:pt idx="27">
                  <c:v>3.0796530257590979E-2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A-46D2-8C99-B122D8D610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0933"/>
        <c:axId val="80987749"/>
      </c:barChart>
      <c:catAx>
        <c:axId val="1104093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PE"/>
          </a:p>
        </c:txPr>
        <c:crossAx val="80987749"/>
        <c:crosses val="autoZero"/>
        <c:auto val="1"/>
        <c:lblAlgn val="ctr"/>
        <c:lblOffset val="100"/>
        <c:noMultiLvlLbl val="0"/>
      </c:catAx>
      <c:valAx>
        <c:axId val="80987749"/>
        <c:scaling>
          <c:orientation val="minMax"/>
        </c:scaling>
        <c:delete val="1"/>
        <c:axPos val="b"/>
        <c:numFmt formatCode="#,##0.00" sourceLinked="0"/>
        <c:majorTickMark val="none"/>
        <c:minorTickMark val="none"/>
        <c:tickLblPos val="nextTo"/>
        <c:crossAx val="11040933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noFill/>
    <a:ln w="9360" cap="flat" cmpd="sng" algn="ctr">
      <a:noFill/>
      <a:prstDash val="solid"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Afectos vs No Afectos a IGV</a:t>
            </a:r>
          </a:p>
        </c:rich>
      </c:tx>
      <c:layout>
        <c:manualLayout>
          <c:xMode val="edge"/>
          <c:yMode val="edge"/>
          <c:x val="0.17428183546022263"/>
          <c:y val="1.4109347442680775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45657223881498"/>
          <c:y val="0.46913580246913578"/>
          <c:w val="0.5549464506591848"/>
          <c:h val="0.39294532627865963"/>
        </c:manualLayout>
      </c:layout>
      <c:ofPieChart>
        <c:ofPieType val="pie"/>
        <c:varyColors val="1"/>
        <c:ser>
          <c:idx val="0"/>
          <c:order val="0"/>
          <c:tx>
            <c:strRef>
              <c:f>'📦 Gastos Importación'!$I$30</c:f>
              <c:strCache>
                <c:ptCount val="1"/>
                <c:pt idx="0">
                  <c:v>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934-4A73-93B5-E9C38D5D40D8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934-4A73-93B5-E9C38D5D40D8}"/>
              </c:ext>
            </c:extLst>
          </c:dPt>
          <c:dLbls>
            <c:dLbl>
              <c:idx val="0"/>
              <c:layout>
                <c:manualLayout>
                  <c:x val="0.11221256825655412"/>
                  <c:y val="-0.2355905511811023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23739704950673"/>
                      <c:h val="0.193368606701940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934-4A73-93B5-E9C38D5D40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34-4A73-93B5-E9C38D5D40D8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'📦 Gastos Importación'!$H$31:$H$32</c:f>
              <c:strCache>
                <c:ptCount val="2"/>
                <c:pt idx="0">
                  <c:v>Afectos IGV</c:v>
                </c:pt>
                <c:pt idx="1">
                  <c:v>No Afectos</c:v>
                </c:pt>
              </c:strCache>
            </c:strRef>
          </c:cat>
          <c:val>
            <c:numRef>
              <c:f>'📦 Gastos Importación'!$I$31:$I$32</c:f>
              <c:numCache>
                <c:formatCode>"US$"#,##0.00</c:formatCode>
                <c:ptCount val="2"/>
                <c:pt idx="0">
                  <c:v>997.2399999999999</c:v>
                </c:pt>
                <c:pt idx="1">
                  <c:v>167.5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34-4A73-93B5-E9C38D5D40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/>
      </c:ofPieChart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Gastos de Importación por Concepto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'📦 Gastos Importación'!$E$4</c:f>
              <c:strCache>
                <c:ptCount val="1"/>
                <c:pt idx="0">
                  <c:v>MONTO (USD)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Gastos Importación'!$D$6:$D$20</c:f>
              <c:strCache>
                <c:ptCount val="15"/>
                <c:pt idx="0">
                  <c:v>⭐ Handling</c:v>
                </c:pt>
                <c:pt idx="1">
                  <c:v>⭐ Servicio de Descarga</c:v>
                </c:pt>
                <c:pt idx="2">
                  <c:v>⭐ Movilización de Carga</c:v>
                </c:pt>
                <c:pt idx="3">
                  <c:v>⭐ Tracción</c:v>
                </c:pt>
                <c:pt idx="4">
                  <c:v>⭐ Servicio al Cliente (V°B°)</c:v>
                </c:pt>
                <c:pt idx="5">
                  <c:v>⭐ Gastos Operativos Agente</c:v>
                </c:pt>
                <c:pt idx="6">
                  <c:v>⭐ Almacenaje</c:v>
                </c:pt>
                <c:pt idx="7">
                  <c:v>⭐ Cargadores / Cuadrilla</c:v>
                </c:pt>
                <c:pt idx="8">
                  <c:v>⭐ Serv. Administrativos</c:v>
                </c:pt>
                <c:pt idx="9">
                  <c:v>⭐ Seguro de Contenedor</c:v>
                </c:pt>
                <c:pt idx="10">
                  <c:v>⭐ Posicionamiento de Carga</c:v>
                </c:pt>
                <c:pt idx="11">
                  <c:v>⭐ Transporte Interno / Última Milla</c:v>
                </c:pt>
                <c:pt idx="12">
                  <c:v>⭐ Precinto</c:v>
                </c:pt>
                <c:pt idx="13">
                  <c:v>⭐ Otros Gastos</c:v>
                </c:pt>
                <c:pt idx="14">
                  <c:v>⭐ Comisión del Agente de Aduanas</c:v>
                </c:pt>
              </c:strCache>
            </c:strRef>
          </c:cat>
          <c:val>
            <c:numRef>
              <c:f>'📦 Gastos Importación'!$E$6:$E$20</c:f>
              <c:numCache>
                <c:formatCode>[$$-540A]#,##0.00</c:formatCode>
                <c:ptCount val="15"/>
                <c:pt idx="0">
                  <c:v>34.03</c:v>
                </c:pt>
                <c:pt idx="1">
                  <c:v>100.69</c:v>
                </c:pt>
                <c:pt idx="2">
                  <c:v>36.46</c:v>
                </c:pt>
                <c:pt idx="3">
                  <c:v>48.61</c:v>
                </c:pt>
                <c:pt idx="4">
                  <c:v>12.15</c:v>
                </c:pt>
                <c:pt idx="5">
                  <c:v>70</c:v>
                </c:pt>
                <c:pt idx="6">
                  <c:v>121.53</c:v>
                </c:pt>
                <c:pt idx="7">
                  <c:v>62.5</c:v>
                </c:pt>
                <c:pt idx="8">
                  <c:v>13.89</c:v>
                </c:pt>
                <c:pt idx="9">
                  <c:v>41.67</c:v>
                </c:pt>
                <c:pt idx="10">
                  <c:v>62.5</c:v>
                </c:pt>
                <c:pt idx="11">
                  <c:v>104.17</c:v>
                </c:pt>
                <c:pt idx="12">
                  <c:v>3.13</c:v>
                </c:pt>
                <c:pt idx="13">
                  <c:v>121.53</c:v>
                </c:pt>
                <c:pt idx="14">
                  <c:v>164.38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1-434E-ADFB-ED334DC47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636541"/>
        <c:axId val="26015117"/>
      </c:barChart>
      <c:catAx>
        <c:axId val="9863654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6015117"/>
        <c:crosses val="autoZero"/>
        <c:auto val="1"/>
        <c:lblAlgn val="ctr"/>
        <c:lblOffset val="100"/>
        <c:noMultiLvlLbl val="0"/>
      </c:catAx>
      <c:valAx>
        <c:axId val="26015117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863654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-1" baseline="0">
                <a:solidFill>
                  <a:srgbClr val="000000"/>
                </a:solidFill>
                <a:latin typeface="Calibri"/>
              </a:rPr>
              <a:t>Composición Deuda Aduanera + Percepción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'🧾 Tributos Aduana'!$G$35</c:f>
              <c:strCache>
                <c:ptCount val="1"/>
                <c:pt idx="0">
                  <c:v>Monto US$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7D-4566-B31D-D1AEB87BCE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7D-4566-B31D-D1AEB87BCE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7D-4566-B31D-D1AEB87BCE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7D-4566-B31D-D1AEB87BCE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'🧾 Tributos Aduana'!$F$36:$F$39</c:f>
              <c:strCache>
                <c:ptCount val="4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</c:strCache>
            </c:strRef>
          </c:cat>
          <c:val>
            <c:numRef>
              <c:f>'🧾 Tributos Aduana'!$G$36:$G$39</c:f>
              <c:numCache>
                <c:formatCode>"US$"#,##0.00</c:formatCode>
                <c:ptCount val="4"/>
                <c:pt idx="0">
                  <c:v>2752</c:v>
                </c:pt>
                <c:pt idx="1">
                  <c:v>972</c:v>
                </c:pt>
                <c:pt idx="2">
                  <c:v>7779</c:v>
                </c:pt>
                <c:pt idx="3">
                  <c:v>2007.9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2-493B-AC12-1755F54912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s-PE" sz="1400" b="1" i="0" u="none" strike="noStrike" kern="1200" spc="-1" baseline="0">
                <a:solidFill>
                  <a:srgbClr val="000000"/>
                </a:solidFill>
                <a:latin typeface="Calibri"/>
              </a:rPr>
              <a:t>Composición del Valor CIF (US$)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r>
              <a:rPr lang="en-US" b="1"/>
              <a:t> US$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'🧾 Tributos Aduana'!$G$42</c:f>
              <c:strCache>
                <c:ptCount val="1"/>
                <c:pt idx="0">
                  <c:v>Monto US$</c:v>
                </c:pt>
              </c:strCache>
            </c:strRef>
          </c:tx>
          <c:spPr>
            <a:solidFill>
              <a:srgbClr val="ACBBC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'🧾 Tributos Aduana'!$F$43:$F$45</c:f>
              <c:strCache>
                <c:ptCount val="3"/>
                <c:pt idx="0">
                  <c:v>FOB</c:v>
                </c:pt>
                <c:pt idx="1">
                  <c:v>Flete</c:v>
                </c:pt>
                <c:pt idx="2">
                  <c:v>Seguro</c:v>
                </c:pt>
              </c:strCache>
            </c:strRef>
          </c:cat>
          <c:val>
            <c:numRef>
              <c:f>'🧾 Tributos Aduana'!$G$43:$G$45</c:f>
              <c:numCache>
                <c:formatCode>"US$"#,##0.00</c:formatCode>
                <c:ptCount val="3"/>
                <c:pt idx="0">
                  <c:v>43641.280000000006</c:v>
                </c:pt>
                <c:pt idx="1">
                  <c:v>2090</c:v>
                </c:pt>
                <c:pt idx="2">
                  <c:v>134.27000000000001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8-43A8-AA63-483BECF31C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92426736"/>
        <c:axId val="2092424816"/>
      </c:barChart>
      <c:catAx>
        <c:axId val="209242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424816"/>
        <c:crosses val="autoZero"/>
        <c:auto val="1"/>
        <c:lblAlgn val="ctr"/>
        <c:lblOffset val="100"/>
        <c:noMultiLvlLbl val="0"/>
      </c:catAx>
      <c:valAx>
        <c:axId val="2092424816"/>
        <c:scaling>
          <c:orientation val="minMax"/>
        </c:scaling>
        <c:delete val="0"/>
        <c:axPos val="l"/>
        <c:numFmt formatCode="&quot;US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42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de Importación Unitario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'🧮 Costos x Producto'!$K$6</c:f>
              <c:strCache>
                <c:ptCount val="1"/>
                <c:pt idx="0">
                  <c:v>C/M UNIT.
(PEN)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'🧮 Costos x Producto'!$E$7:$E$505</c:f>
              <c:strCache>
                <c:ptCount val="28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  <c:pt idx="9">
                  <c:v>Adaptador YYY 67</c:v>
                </c:pt>
                <c:pt idx="10">
                  <c:v>Case Transparente TPU iPhone 15</c:v>
                </c:pt>
                <c:pt idx="11">
                  <c:v>Cable USB-C Trenzado 1m</c:v>
                </c:pt>
                <c:pt idx="12">
                  <c:v>Protector Pantalla Vidrio Templado</c:v>
                </c:pt>
                <c:pt idx="13">
                  <c:v>Audífonos In-Ear con Micrófono</c:v>
                </c:pt>
                <c:pt idx="14">
                  <c:v>Cable Micro USB 2m Nylon</c:v>
                </c:pt>
                <c:pt idx="15">
                  <c:v>Soporte Anillo Pop Socket Metálico</c:v>
                </c:pt>
                <c:pt idx="16">
                  <c:v>Cargador Inalámbrico 15W Qi</c:v>
                </c:pt>
                <c:pt idx="17">
                  <c:v>Case Wallet Cuero PU Samsung S24</c:v>
                </c:pt>
                <c:pt idx="18">
                  <c:v>Adaptador USB-C a Jack 3.5mm</c:v>
                </c:pt>
                <c:pt idx="19">
                  <c:v>Case Transparente TPU iPhone 15</c:v>
                </c:pt>
                <c:pt idx="20">
                  <c:v>Cable USB-C Trenzado 1m</c:v>
                </c:pt>
                <c:pt idx="21">
                  <c:v>Protector Pantalla Vidrio Templado</c:v>
                </c:pt>
                <c:pt idx="22">
                  <c:v>Audífonos In-Ear con Micrófono</c:v>
                </c:pt>
                <c:pt idx="23">
                  <c:v>Cable Micro USB 2m Nylon</c:v>
                </c:pt>
                <c:pt idx="24">
                  <c:v>Soporte Anillo Pop Socket Metálico</c:v>
                </c:pt>
                <c:pt idx="25">
                  <c:v>Cargador Inalámbrico 15W Qi</c:v>
                </c:pt>
                <c:pt idx="26">
                  <c:v>Case Wallet Cuero PU Samsung S24</c:v>
                </c:pt>
                <c:pt idx="27">
                  <c:v>Adaptador USB-C a Jack 3.5mm</c:v>
                </c:pt>
              </c:strCache>
            </c:strRef>
          </c:cat>
          <c:val>
            <c:numRef>
              <c:f>'🧮 Costos x Producto'!$K$7:$K$505</c:f>
              <c:numCache>
                <c:formatCode>"S/."#,##0.00</c:formatCode>
                <c:ptCount val="28"/>
                <c:pt idx="0">
                  <c:v>5.1345891721782673</c:v>
                </c:pt>
                <c:pt idx="1">
                  <c:v>2.8855542455216714</c:v>
                </c:pt>
                <c:pt idx="2">
                  <c:v>1.6973848503068654</c:v>
                </c:pt>
                <c:pt idx="3">
                  <c:v>1.4427771227608357</c:v>
                </c:pt>
                <c:pt idx="4">
                  <c:v>1.1033001526994626</c:v>
                </c:pt>
                <c:pt idx="5">
                  <c:v>1.2306040164724774</c:v>
                </c:pt>
                <c:pt idx="6">
                  <c:v>24.230168738130505</c:v>
                </c:pt>
                <c:pt idx="7">
                  <c:v>3.2250312155830443</c:v>
                </c:pt>
                <c:pt idx="8">
                  <c:v>1.1881693952148058</c:v>
                </c:pt>
                <c:pt idx="9">
                  <c:v>2.1217310628835819</c:v>
                </c:pt>
                <c:pt idx="10">
                  <c:v>5.1345891721782673</c:v>
                </c:pt>
                <c:pt idx="11">
                  <c:v>2.8855542455216714</c:v>
                </c:pt>
                <c:pt idx="12">
                  <c:v>1.6973848503068654</c:v>
                </c:pt>
                <c:pt idx="13">
                  <c:v>1.4427771227608357</c:v>
                </c:pt>
                <c:pt idx="14">
                  <c:v>1.1033001526994626</c:v>
                </c:pt>
                <c:pt idx="15">
                  <c:v>1.2306040164724774</c:v>
                </c:pt>
                <c:pt idx="16">
                  <c:v>24.230168738130505</c:v>
                </c:pt>
                <c:pt idx="17">
                  <c:v>3.2250312155830443</c:v>
                </c:pt>
                <c:pt idx="18">
                  <c:v>1.1881693952148058</c:v>
                </c:pt>
                <c:pt idx="19">
                  <c:v>5.1345891721782673</c:v>
                </c:pt>
                <c:pt idx="20">
                  <c:v>2.8855542455216714</c:v>
                </c:pt>
                <c:pt idx="21">
                  <c:v>1.6973848503068654</c:v>
                </c:pt>
                <c:pt idx="22">
                  <c:v>1.4427771227608357</c:v>
                </c:pt>
                <c:pt idx="23">
                  <c:v>1.1033001526994626</c:v>
                </c:pt>
                <c:pt idx="24">
                  <c:v>1.2306040164724774</c:v>
                </c:pt>
                <c:pt idx="25">
                  <c:v>24.230168738130505</c:v>
                </c:pt>
                <c:pt idx="26">
                  <c:v>3.2250312155830443</c:v>
                </c:pt>
                <c:pt idx="27">
                  <c:v>1.1881693952148058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C-47C1-A161-EA430510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48022"/>
        <c:axId val="65538629"/>
      </c:barChart>
      <c:catAx>
        <c:axId val="424480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5538629"/>
        <c:crosses val="autoZero"/>
        <c:auto val="1"/>
        <c:lblAlgn val="ctr"/>
        <c:lblOffset val="100"/>
        <c:noMultiLvlLbl val="0"/>
      </c:catAx>
      <c:valAx>
        <c:axId val="65538629"/>
        <c:scaling>
          <c:orientation val="minMax"/>
        </c:scaling>
        <c:delete val="0"/>
        <c:axPos val="l"/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244802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/ Valor Venta / Precio Final (S/.) — Top 9 Productos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'💰 Precio de Venta'!$F$7</c:f>
              <c:strCache>
                <c:ptCount val="1"/>
                <c:pt idx="0">
                  <c:v>C/M UNIT.
(PEN)</c:v>
                </c:pt>
              </c:strCache>
            </c:strRef>
          </c:tx>
          <c:spPr>
            <a:solidFill>
              <a:srgbClr val="6A52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Venta'!$E$8:$E$520</c:f>
              <c:strCache>
                <c:ptCount val="28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  <c:pt idx="9">
                  <c:v>Adaptador YYY 67</c:v>
                </c:pt>
                <c:pt idx="10">
                  <c:v>Case Transparente TPU iPhone 15</c:v>
                </c:pt>
                <c:pt idx="11">
                  <c:v>Cable USB-C Trenzado 1m</c:v>
                </c:pt>
                <c:pt idx="12">
                  <c:v>Protector Pantalla Vidrio Templado</c:v>
                </c:pt>
                <c:pt idx="13">
                  <c:v>Audífonos In-Ear con Micrófono</c:v>
                </c:pt>
                <c:pt idx="14">
                  <c:v>Cable Micro USB 2m Nylon</c:v>
                </c:pt>
                <c:pt idx="15">
                  <c:v>Soporte Anillo Pop Socket Metálico</c:v>
                </c:pt>
                <c:pt idx="16">
                  <c:v>Cargador Inalámbrico 15W Qi</c:v>
                </c:pt>
                <c:pt idx="17">
                  <c:v>Case Wallet Cuero PU Samsung S24</c:v>
                </c:pt>
                <c:pt idx="18">
                  <c:v>Adaptador USB-C a Jack 3.5mm</c:v>
                </c:pt>
                <c:pt idx="19">
                  <c:v>Case Transparente TPU iPhone 15</c:v>
                </c:pt>
                <c:pt idx="20">
                  <c:v>Cable USB-C Trenzado 1m</c:v>
                </c:pt>
                <c:pt idx="21">
                  <c:v>Protector Pantalla Vidrio Templado</c:v>
                </c:pt>
                <c:pt idx="22">
                  <c:v>Audífonos In-Ear con Micrófono</c:v>
                </c:pt>
                <c:pt idx="23">
                  <c:v>Cable Micro USB 2m Nylon</c:v>
                </c:pt>
                <c:pt idx="24">
                  <c:v>Soporte Anillo Pop Socket Metálico</c:v>
                </c:pt>
                <c:pt idx="25">
                  <c:v>Cargador Inalámbrico 15W Qi</c:v>
                </c:pt>
                <c:pt idx="26">
                  <c:v>Case Wallet Cuero PU Samsung S24</c:v>
                </c:pt>
                <c:pt idx="27">
                  <c:v>Adaptador USB-C a Jack 3.5mm</c:v>
                </c:pt>
              </c:strCache>
            </c:strRef>
          </c:cat>
          <c:val>
            <c:numRef>
              <c:f>'💰 Precio de Venta'!$F$8:$F$520</c:f>
              <c:numCache>
                <c:formatCode>"S/."#,##0.00</c:formatCode>
                <c:ptCount val="28"/>
                <c:pt idx="0">
                  <c:v>5.1345891721782673</c:v>
                </c:pt>
                <c:pt idx="1">
                  <c:v>2.8855542455216714</c:v>
                </c:pt>
                <c:pt idx="2">
                  <c:v>1.6973848503068654</c:v>
                </c:pt>
                <c:pt idx="3">
                  <c:v>1.4427771227608357</c:v>
                </c:pt>
                <c:pt idx="4">
                  <c:v>1.1033001526994626</c:v>
                </c:pt>
                <c:pt idx="5">
                  <c:v>1.2306040164724774</c:v>
                </c:pt>
                <c:pt idx="6">
                  <c:v>24.230168738130505</c:v>
                </c:pt>
                <c:pt idx="7">
                  <c:v>3.2250312155830443</c:v>
                </c:pt>
                <c:pt idx="8">
                  <c:v>1.1881693952148058</c:v>
                </c:pt>
                <c:pt idx="9">
                  <c:v>2.1217310628835819</c:v>
                </c:pt>
                <c:pt idx="10">
                  <c:v>5.1345891721782673</c:v>
                </c:pt>
                <c:pt idx="11">
                  <c:v>2.8855542455216714</c:v>
                </c:pt>
                <c:pt idx="12">
                  <c:v>1.6973848503068654</c:v>
                </c:pt>
                <c:pt idx="13">
                  <c:v>1.4427771227608357</c:v>
                </c:pt>
                <c:pt idx="14">
                  <c:v>1.1033001526994626</c:v>
                </c:pt>
                <c:pt idx="15">
                  <c:v>1.2306040164724774</c:v>
                </c:pt>
                <c:pt idx="16">
                  <c:v>24.230168738130505</c:v>
                </c:pt>
                <c:pt idx="17">
                  <c:v>3.2250312155830443</c:v>
                </c:pt>
                <c:pt idx="18">
                  <c:v>1.1881693952148058</c:v>
                </c:pt>
                <c:pt idx="19">
                  <c:v>5.1345891721782673</c:v>
                </c:pt>
                <c:pt idx="20">
                  <c:v>2.8855542455216714</c:v>
                </c:pt>
                <c:pt idx="21">
                  <c:v>1.6973848503068654</c:v>
                </c:pt>
                <c:pt idx="22">
                  <c:v>1.4427771227608357</c:v>
                </c:pt>
                <c:pt idx="23">
                  <c:v>1.1033001526994626</c:v>
                </c:pt>
                <c:pt idx="24">
                  <c:v>1.2306040164724774</c:v>
                </c:pt>
                <c:pt idx="25">
                  <c:v>24.230168738130505</c:v>
                </c:pt>
                <c:pt idx="26">
                  <c:v>3.2250312155830443</c:v>
                </c:pt>
                <c:pt idx="27">
                  <c:v>1.1881693952148058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8-4DE4-82C0-60F5E1627168}"/>
            </c:ext>
          </c:extLst>
        </c:ser>
        <c:ser>
          <c:idx val="1"/>
          <c:order val="1"/>
          <c:tx>
            <c:strRef>
              <c:f>'💰 Precio de Venta'!$H$7</c:f>
              <c:strCache>
                <c:ptCount val="1"/>
                <c:pt idx="0">
                  <c:v>VALOR VENTA
UNIT. (S/.)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Venta'!$E$8:$E$520</c:f>
              <c:strCache>
                <c:ptCount val="28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  <c:pt idx="9">
                  <c:v>Adaptador YYY 67</c:v>
                </c:pt>
                <c:pt idx="10">
                  <c:v>Case Transparente TPU iPhone 15</c:v>
                </c:pt>
                <c:pt idx="11">
                  <c:v>Cable USB-C Trenzado 1m</c:v>
                </c:pt>
                <c:pt idx="12">
                  <c:v>Protector Pantalla Vidrio Templado</c:v>
                </c:pt>
                <c:pt idx="13">
                  <c:v>Audífonos In-Ear con Micrófono</c:v>
                </c:pt>
                <c:pt idx="14">
                  <c:v>Cable Micro USB 2m Nylon</c:v>
                </c:pt>
                <c:pt idx="15">
                  <c:v>Soporte Anillo Pop Socket Metálico</c:v>
                </c:pt>
                <c:pt idx="16">
                  <c:v>Cargador Inalámbrico 15W Qi</c:v>
                </c:pt>
                <c:pt idx="17">
                  <c:v>Case Wallet Cuero PU Samsung S24</c:v>
                </c:pt>
                <c:pt idx="18">
                  <c:v>Adaptador USB-C a Jack 3.5mm</c:v>
                </c:pt>
                <c:pt idx="19">
                  <c:v>Case Transparente TPU iPhone 15</c:v>
                </c:pt>
                <c:pt idx="20">
                  <c:v>Cable USB-C Trenzado 1m</c:v>
                </c:pt>
                <c:pt idx="21">
                  <c:v>Protector Pantalla Vidrio Templado</c:v>
                </c:pt>
                <c:pt idx="22">
                  <c:v>Audífonos In-Ear con Micrófono</c:v>
                </c:pt>
                <c:pt idx="23">
                  <c:v>Cable Micro USB 2m Nylon</c:v>
                </c:pt>
                <c:pt idx="24">
                  <c:v>Soporte Anillo Pop Socket Metálico</c:v>
                </c:pt>
                <c:pt idx="25">
                  <c:v>Cargador Inalámbrico 15W Qi</c:v>
                </c:pt>
                <c:pt idx="26">
                  <c:v>Case Wallet Cuero PU Samsung S24</c:v>
                </c:pt>
                <c:pt idx="27">
                  <c:v>Adaptador USB-C a Jack 3.5mm</c:v>
                </c:pt>
              </c:strCache>
            </c:strRef>
          </c:cat>
          <c:val>
            <c:numRef>
              <c:f>'💰 Precio de Venta'!$H$8:$H$520</c:f>
              <c:numCache>
                <c:formatCode>"S/."#,##0.00</c:formatCode>
                <c:ptCount val="28"/>
                <c:pt idx="0">
                  <c:v>8.5576486202971118</c:v>
                </c:pt>
                <c:pt idx="1">
                  <c:v>4.8092570758694526</c:v>
                </c:pt>
                <c:pt idx="2">
                  <c:v>2.8289747505114424</c:v>
                </c:pt>
                <c:pt idx="3">
                  <c:v>2.4046285379347263</c:v>
                </c:pt>
                <c:pt idx="4">
                  <c:v>1.8388335878324378</c:v>
                </c:pt>
                <c:pt idx="5">
                  <c:v>2.0510066941207956</c:v>
                </c:pt>
                <c:pt idx="6">
                  <c:v>40.383614563550843</c:v>
                </c:pt>
                <c:pt idx="7">
                  <c:v>5.3750520259717405</c:v>
                </c:pt>
                <c:pt idx="8">
                  <c:v>1.9802823253580097</c:v>
                </c:pt>
                <c:pt idx="9">
                  <c:v>3.5362184381393034</c:v>
                </c:pt>
                <c:pt idx="10">
                  <c:v>8.5576486202971118</c:v>
                </c:pt>
                <c:pt idx="11">
                  <c:v>4.8092570758694526</c:v>
                </c:pt>
                <c:pt idx="12">
                  <c:v>2.8289747505114424</c:v>
                </c:pt>
                <c:pt idx="13">
                  <c:v>2.4046285379347263</c:v>
                </c:pt>
                <c:pt idx="14">
                  <c:v>1.8388335878324378</c:v>
                </c:pt>
                <c:pt idx="15">
                  <c:v>2.0510066941207956</c:v>
                </c:pt>
                <c:pt idx="16">
                  <c:v>40.383614563550843</c:v>
                </c:pt>
                <c:pt idx="17">
                  <c:v>5.3750520259717405</c:v>
                </c:pt>
                <c:pt idx="18">
                  <c:v>1.9802823253580097</c:v>
                </c:pt>
                <c:pt idx="19">
                  <c:v>8.5576486202971118</c:v>
                </c:pt>
                <c:pt idx="20">
                  <c:v>4.8092570758694526</c:v>
                </c:pt>
                <c:pt idx="21">
                  <c:v>2.8289747505114424</c:v>
                </c:pt>
                <c:pt idx="22">
                  <c:v>2.4046285379347263</c:v>
                </c:pt>
                <c:pt idx="23">
                  <c:v>1.8388335878324378</c:v>
                </c:pt>
                <c:pt idx="24">
                  <c:v>2.0510066941207956</c:v>
                </c:pt>
                <c:pt idx="25">
                  <c:v>40.383614563550843</c:v>
                </c:pt>
                <c:pt idx="26">
                  <c:v>5.3750520259717405</c:v>
                </c:pt>
                <c:pt idx="27">
                  <c:v>1.9802823253580097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8-4DE4-82C0-60F5E1627168}"/>
            </c:ext>
          </c:extLst>
        </c:ser>
        <c:ser>
          <c:idx val="2"/>
          <c:order val="2"/>
          <c:tx>
            <c:strRef>
              <c:f>'💰 Precio de Venta'!$I$7</c:f>
              <c:strCache>
                <c:ptCount val="1"/>
                <c:pt idx="0">
                  <c:v>PRECIO VENTA
UNIT. c/IGV (S/.)</c:v>
                </c:pt>
              </c:strCache>
            </c:strRef>
          </c:tx>
          <c:spPr>
            <a:solidFill>
              <a:srgbClr val="B9AFC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Venta'!$E$8:$E$520</c:f>
              <c:strCache>
                <c:ptCount val="28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  <c:pt idx="9">
                  <c:v>Adaptador YYY 67</c:v>
                </c:pt>
                <c:pt idx="10">
                  <c:v>Case Transparente TPU iPhone 15</c:v>
                </c:pt>
                <c:pt idx="11">
                  <c:v>Cable USB-C Trenzado 1m</c:v>
                </c:pt>
                <c:pt idx="12">
                  <c:v>Protector Pantalla Vidrio Templado</c:v>
                </c:pt>
                <c:pt idx="13">
                  <c:v>Audífonos In-Ear con Micrófono</c:v>
                </c:pt>
                <c:pt idx="14">
                  <c:v>Cable Micro USB 2m Nylon</c:v>
                </c:pt>
                <c:pt idx="15">
                  <c:v>Soporte Anillo Pop Socket Metálico</c:v>
                </c:pt>
                <c:pt idx="16">
                  <c:v>Cargador Inalámbrico 15W Qi</c:v>
                </c:pt>
                <c:pt idx="17">
                  <c:v>Case Wallet Cuero PU Samsung S24</c:v>
                </c:pt>
                <c:pt idx="18">
                  <c:v>Adaptador USB-C a Jack 3.5mm</c:v>
                </c:pt>
                <c:pt idx="19">
                  <c:v>Case Transparente TPU iPhone 15</c:v>
                </c:pt>
                <c:pt idx="20">
                  <c:v>Cable USB-C Trenzado 1m</c:v>
                </c:pt>
                <c:pt idx="21">
                  <c:v>Protector Pantalla Vidrio Templado</c:v>
                </c:pt>
                <c:pt idx="22">
                  <c:v>Audífonos In-Ear con Micrófono</c:v>
                </c:pt>
                <c:pt idx="23">
                  <c:v>Cable Micro USB 2m Nylon</c:v>
                </c:pt>
                <c:pt idx="24">
                  <c:v>Soporte Anillo Pop Socket Metálico</c:v>
                </c:pt>
                <c:pt idx="25">
                  <c:v>Cargador Inalámbrico 15W Qi</c:v>
                </c:pt>
                <c:pt idx="26">
                  <c:v>Case Wallet Cuero PU Samsung S24</c:v>
                </c:pt>
                <c:pt idx="27">
                  <c:v>Adaptador USB-C a Jack 3.5mm</c:v>
                </c:pt>
              </c:strCache>
            </c:strRef>
          </c:cat>
          <c:val>
            <c:numRef>
              <c:f>'💰 Precio de Venta'!$I$8:$I$520</c:f>
              <c:numCache>
                <c:formatCode>"S/."#,##0.00</c:formatCode>
                <c:ptCount val="28"/>
                <c:pt idx="0">
                  <c:v>10.098025371950591</c:v>
                </c:pt>
                <c:pt idx="1">
                  <c:v>5.6749233495259537</c:v>
                </c:pt>
                <c:pt idx="2">
                  <c:v>3.3381902056035018</c:v>
                </c:pt>
                <c:pt idx="3">
                  <c:v>2.8374616747629768</c:v>
                </c:pt>
                <c:pt idx="4">
                  <c:v>2.1698236336422765</c:v>
                </c:pt>
                <c:pt idx="5">
                  <c:v>2.4201878990625385</c:v>
                </c:pt>
                <c:pt idx="6">
                  <c:v>47.652665184989992</c:v>
                </c:pt>
                <c:pt idx="7">
                  <c:v>6.3425613906466536</c:v>
                </c:pt>
                <c:pt idx="8">
                  <c:v>2.3367331439224515</c:v>
                </c:pt>
                <c:pt idx="9">
                  <c:v>4.172737757004378</c:v>
                </c:pt>
                <c:pt idx="10">
                  <c:v>10.098025371950591</c:v>
                </c:pt>
                <c:pt idx="11">
                  <c:v>5.6749233495259537</c:v>
                </c:pt>
                <c:pt idx="12">
                  <c:v>3.3381902056035018</c:v>
                </c:pt>
                <c:pt idx="13">
                  <c:v>2.8374616747629768</c:v>
                </c:pt>
                <c:pt idx="14">
                  <c:v>2.1698236336422765</c:v>
                </c:pt>
                <c:pt idx="15">
                  <c:v>2.4201878990625385</c:v>
                </c:pt>
                <c:pt idx="16">
                  <c:v>47.652665184989992</c:v>
                </c:pt>
                <c:pt idx="17">
                  <c:v>6.3425613906466536</c:v>
                </c:pt>
                <c:pt idx="18">
                  <c:v>2.3367331439224515</c:v>
                </c:pt>
                <c:pt idx="19">
                  <c:v>10.098025371950591</c:v>
                </c:pt>
                <c:pt idx="20">
                  <c:v>5.6749233495259537</c:v>
                </c:pt>
                <c:pt idx="21">
                  <c:v>3.3381902056035018</c:v>
                </c:pt>
                <c:pt idx="22">
                  <c:v>2.8374616747629768</c:v>
                </c:pt>
                <c:pt idx="23">
                  <c:v>2.1698236336422765</c:v>
                </c:pt>
                <c:pt idx="24">
                  <c:v>2.4201878990625385</c:v>
                </c:pt>
                <c:pt idx="25">
                  <c:v>47.652665184989992</c:v>
                </c:pt>
                <c:pt idx="26">
                  <c:v>6.3425613906466536</c:v>
                </c:pt>
                <c:pt idx="27">
                  <c:v>2.3367331439224515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88-4DE4-82C0-60F5E1627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094885"/>
        <c:axId val="47906988"/>
      </c:barChart>
      <c:catAx>
        <c:axId val="840948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7906988"/>
        <c:crosses val="autoZero"/>
        <c:auto val="1"/>
        <c:lblAlgn val="ctr"/>
        <c:lblOffset val="100"/>
        <c:noMultiLvlLbl val="0"/>
      </c:catAx>
      <c:valAx>
        <c:axId val="479069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4094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Ganancia Unitaria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'💰 Precio de Venta'!$J$7</c:f>
              <c:strCache>
                <c:ptCount val="1"/>
                <c:pt idx="0">
                  <c:v>GANANCIA
UNIT. (S/.)</c:v>
                </c:pt>
              </c:strCache>
            </c:strRef>
          </c:tx>
          <c:spPr>
            <a:solidFill>
              <a:srgbClr val="49769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Precio de Venta'!$E$8:$E$520</c:f>
              <c:strCache>
                <c:ptCount val="28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  <c:pt idx="9">
                  <c:v>Adaptador YYY 67</c:v>
                </c:pt>
                <c:pt idx="10">
                  <c:v>Case Transparente TPU iPhone 15</c:v>
                </c:pt>
                <c:pt idx="11">
                  <c:v>Cable USB-C Trenzado 1m</c:v>
                </c:pt>
                <c:pt idx="12">
                  <c:v>Protector Pantalla Vidrio Templado</c:v>
                </c:pt>
                <c:pt idx="13">
                  <c:v>Audífonos In-Ear con Micrófono</c:v>
                </c:pt>
                <c:pt idx="14">
                  <c:v>Cable Micro USB 2m Nylon</c:v>
                </c:pt>
                <c:pt idx="15">
                  <c:v>Soporte Anillo Pop Socket Metálico</c:v>
                </c:pt>
                <c:pt idx="16">
                  <c:v>Cargador Inalámbrico 15W Qi</c:v>
                </c:pt>
                <c:pt idx="17">
                  <c:v>Case Wallet Cuero PU Samsung S24</c:v>
                </c:pt>
                <c:pt idx="18">
                  <c:v>Adaptador USB-C a Jack 3.5mm</c:v>
                </c:pt>
                <c:pt idx="19">
                  <c:v>Case Transparente TPU iPhone 15</c:v>
                </c:pt>
                <c:pt idx="20">
                  <c:v>Cable USB-C Trenzado 1m</c:v>
                </c:pt>
                <c:pt idx="21">
                  <c:v>Protector Pantalla Vidrio Templado</c:v>
                </c:pt>
                <c:pt idx="22">
                  <c:v>Audífonos In-Ear con Micrófono</c:v>
                </c:pt>
                <c:pt idx="23">
                  <c:v>Cable Micro USB 2m Nylon</c:v>
                </c:pt>
                <c:pt idx="24">
                  <c:v>Soporte Anillo Pop Socket Metálico</c:v>
                </c:pt>
                <c:pt idx="25">
                  <c:v>Cargador Inalámbrico 15W Qi</c:v>
                </c:pt>
                <c:pt idx="26">
                  <c:v>Case Wallet Cuero PU Samsung S24</c:v>
                </c:pt>
                <c:pt idx="27">
                  <c:v>Adaptador USB-C a Jack 3.5mm</c:v>
                </c:pt>
              </c:strCache>
            </c:strRef>
          </c:cat>
          <c:val>
            <c:numRef>
              <c:f>'💰 Precio de Venta'!$J$8:$J$520</c:f>
              <c:numCache>
                <c:formatCode>"S/."#,##0.00</c:formatCode>
                <c:ptCount val="28"/>
                <c:pt idx="0">
                  <c:v>3.4230594481188445</c:v>
                </c:pt>
                <c:pt idx="1">
                  <c:v>1.9237028303477812</c:v>
                </c:pt>
                <c:pt idx="2">
                  <c:v>1.1315899002045771</c:v>
                </c:pt>
                <c:pt idx="3">
                  <c:v>0.96185141517389061</c:v>
                </c:pt>
                <c:pt idx="4">
                  <c:v>0.7355334351329752</c:v>
                </c:pt>
                <c:pt idx="5">
                  <c:v>0.8204026776483182</c:v>
                </c:pt>
                <c:pt idx="6">
                  <c:v>16.153445825420338</c:v>
                </c:pt>
                <c:pt idx="7">
                  <c:v>2.1500208103886962</c:v>
                </c:pt>
                <c:pt idx="8">
                  <c:v>0.79211293014320394</c:v>
                </c:pt>
                <c:pt idx="9">
                  <c:v>1.4144873752557214</c:v>
                </c:pt>
                <c:pt idx="10">
                  <c:v>3.4230594481188445</c:v>
                </c:pt>
                <c:pt idx="11">
                  <c:v>1.9237028303477812</c:v>
                </c:pt>
                <c:pt idx="12">
                  <c:v>1.1315899002045771</c:v>
                </c:pt>
                <c:pt idx="13">
                  <c:v>0.96185141517389061</c:v>
                </c:pt>
                <c:pt idx="14">
                  <c:v>0.7355334351329752</c:v>
                </c:pt>
                <c:pt idx="15">
                  <c:v>0.8204026776483182</c:v>
                </c:pt>
                <c:pt idx="16">
                  <c:v>16.153445825420338</c:v>
                </c:pt>
                <c:pt idx="17">
                  <c:v>2.1500208103886962</c:v>
                </c:pt>
                <c:pt idx="18">
                  <c:v>0.79211293014320394</c:v>
                </c:pt>
                <c:pt idx="19">
                  <c:v>3.4230594481188445</c:v>
                </c:pt>
                <c:pt idx="20">
                  <c:v>1.9237028303477812</c:v>
                </c:pt>
                <c:pt idx="21">
                  <c:v>1.1315899002045771</c:v>
                </c:pt>
                <c:pt idx="22">
                  <c:v>0.96185141517389061</c:v>
                </c:pt>
                <c:pt idx="23">
                  <c:v>0.7355334351329752</c:v>
                </c:pt>
                <c:pt idx="24">
                  <c:v>0.8204026776483182</c:v>
                </c:pt>
                <c:pt idx="25">
                  <c:v>16.153445825420338</c:v>
                </c:pt>
                <c:pt idx="26">
                  <c:v>2.1500208103886962</c:v>
                </c:pt>
                <c:pt idx="27">
                  <c:v>0.79211293014320394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E-484F-9EDC-2A2FBDB2B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46468"/>
        <c:axId val="12148201"/>
      </c:barChart>
      <c:catAx>
        <c:axId val="511464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12148201"/>
        <c:crosses val="autoZero"/>
        <c:auto val="1"/>
        <c:lblAlgn val="ctr"/>
        <c:lblOffset val="100"/>
        <c:noMultiLvlLbl val="0"/>
      </c:catAx>
      <c:valAx>
        <c:axId val="121482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511464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Detalle Crédito Fiscal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'🏦 Crédito Fiscal'!$C$10</c:f>
              <c:strCache>
                <c:ptCount val="1"/>
              </c:strCache>
            </c:strRef>
          </c:tx>
          <c:spPr>
            <a:solidFill>
              <a:srgbClr val="4E8E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'🏦 Crédito Fiscal'!$B$11:$B$15</c:f>
              <c:strCache>
                <c:ptCount val="5"/>
                <c:pt idx="0">
                  <c:v>IGV del Seguro (Crédito Fiscal)</c:v>
                </c:pt>
                <c:pt idx="1">
                  <c:v>IPM — Derechos (Crédito Fiscal)</c:v>
                </c:pt>
                <c:pt idx="2">
                  <c:v>IGV — Derechos (Crédito Fiscal)</c:v>
                </c:pt>
                <c:pt idx="3">
                  <c:v>Percepción IGV (Crédito Fiscal)</c:v>
                </c:pt>
                <c:pt idx="4">
                  <c:v>IGV Gastos Afectos (Crédito Fiscal)</c:v>
                </c:pt>
              </c:strCache>
            </c:strRef>
          </c:cat>
          <c:val>
            <c:numRef>
              <c:f>'🏦 Crédito Fiscal'!$C$11:$C$15</c:f>
              <c:numCache>
                <c:formatCode>"US$"#,##0.00</c:formatCode>
                <c:ptCount val="5"/>
                <c:pt idx="0">
                  <c:v>24.168600000000001</c:v>
                </c:pt>
                <c:pt idx="1">
                  <c:v>972</c:v>
                </c:pt>
                <c:pt idx="2">
                  <c:v>7779</c:v>
                </c:pt>
                <c:pt idx="3">
                  <c:v>2007.9</c:v>
                </c:pt>
                <c:pt idx="4">
                  <c:v>179.50319999999996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2-43CA-8270-C93604A7C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01019"/>
        <c:axId val="34411680"/>
      </c:barChart>
      <c:catAx>
        <c:axId val="4820101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4411680"/>
        <c:crosses val="autoZero"/>
        <c:auto val="1"/>
        <c:lblAlgn val="ctr"/>
        <c:lblOffset val="100"/>
        <c:noMultiLvlLbl val="0"/>
      </c:catAx>
      <c:valAx>
        <c:axId val="3441168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&quot;US$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82010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del Crédito Fiscal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'🏦 Crédito Fiscal'!$C$10</c:f>
              <c:strCache>
                <c:ptCount val="1"/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D83-4DC7-9D4D-C623408D057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D83-4DC7-9D4D-C623408D057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738B42"/>
                  </a:gs>
                  <a:gs pos="80000">
                    <a:srgbClr val="96B556"/>
                  </a:gs>
                  <a:gs pos="100000">
                    <a:srgbClr val="96B65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D83-4DC7-9D4D-C623408D057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F4A78"/>
                  </a:gs>
                  <a:gs pos="80000">
                    <a:srgbClr val="7C609C"/>
                  </a:gs>
                  <a:gs pos="100000">
                    <a:srgbClr val="7C619D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D83-4DC7-9D4D-C623408D057A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D83-4DC7-9D4D-C623408D057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83-4DC7-9D4D-C623408D057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83-4DC7-9D4D-C623408D057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83-4DC7-9D4D-C623408D057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83-4DC7-9D4D-C623408D057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83-4DC7-9D4D-C623408D05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'🏦 Crédito Fiscal'!$B$11:$B$15</c:f>
              <c:strCache>
                <c:ptCount val="5"/>
                <c:pt idx="0">
                  <c:v>IGV del Seguro (Crédito Fiscal)</c:v>
                </c:pt>
                <c:pt idx="1">
                  <c:v>IPM — Derechos (Crédito Fiscal)</c:v>
                </c:pt>
                <c:pt idx="2">
                  <c:v>IGV — Derechos (Crédito Fiscal)</c:v>
                </c:pt>
                <c:pt idx="3">
                  <c:v>Percepción IGV (Crédito Fiscal)</c:v>
                </c:pt>
                <c:pt idx="4">
                  <c:v>IGV Gastos Afectos (Crédito Fiscal)</c:v>
                </c:pt>
              </c:strCache>
            </c:strRef>
          </c:cat>
          <c:val>
            <c:numRef>
              <c:f>'🏦 Crédito Fiscal'!$C$11:$C$15</c:f>
              <c:numCache>
                <c:formatCode>"US$"#,##0.00</c:formatCode>
                <c:ptCount val="5"/>
                <c:pt idx="0">
                  <c:v>24.168600000000001</c:v>
                </c:pt>
                <c:pt idx="1">
                  <c:v>972</c:v>
                </c:pt>
                <c:pt idx="2">
                  <c:v>7779</c:v>
                </c:pt>
                <c:pt idx="3">
                  <c:v>2007.9</c:v>
                </c:pt>
                <c:pt idx="4">
                  <c:v>179.50319999999996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83-4DC7-9D4D-C623408D0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Composición del Costo de Importación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Dashboard'!$O$60</c:f>
              <c:strCache>
                <c:ptCount val="1"/>
                <c:pt idx="0">
                  <c:v>US$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explosion val="10"/>
            <c:extLst>
              <c:ext xmlns:c16="http://schemas.microsoft.com/office/drawing/2014/chart" uri="{C3380CC4-5D6E-409C-BE32-E72D297353CC}">
                <c16:uniqueId val="{00000001-15A0-43A5-892F-7A9A2841463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5A0-43A5-892F-7A9A2841463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5A0-43A5-892F-7A9A2841463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5A0-43A5-892F-7A9A2841463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5A0-43A5-892F-7A9A28414635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15A0-43A5-892F-7A9A28414635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Dashboard'!$O$61:$O$66</c:f>
              <c:numCache>
                <c:formatCode>"US$"#,##0</c:formatCode>
                <c:ptCount val="6"/>
                <c:pt idx="0">
                  <c:v>43641.280000000006</c:v>
                </c:pt>
                <c:pt idx="1">
                  <c:v>2090</c:v>
                </c:pt>
                <c:pt idx="2">
                  <c:v>134.27000000000001</c:v>
                </c:pt>
                <c:pt idx="3">
                  <c:v>2752</c:v>
                </c:pt>
                <c:pt idx="4">
                  <c:v>997.2399999999999</c:v>
                </c:pt>
                <c:pt idx="5">
                  <c:v>167.5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A0-43A5-892F-7A9A284146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Costos por Componente (S/.)</a:t>
            </a:r>
          </a:p>
        </c:rich>
      </c:tx>
      <c:layout>
        <c:manualLayout>
          <c:xMode val="edge"/>
          <c:yMode val="edge"/>
          <c:x val="0.31208293963254591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Dashboard'!$P$60</c:f>
              <c:strCache>
                <c:ptCount val="1"/>
                <c:pt idx="0">
                  <c:v>S/.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Dashboard'!$P$61:$P$66</c:f>
              <c:numCache>
                <c:formatCode>"S/"\ #,##0.00</c:formatCode>
                <c:ptCount val="6"/>
                <c:pt idx="0">
                  <c:v>162345.56160000004</c:v>
                </c:pt>
                <c:pt idx="1">
                  <c:v>7774.8</c:v>
                </c:pt>
                <c:pt idx="2">
                  <c:v>499.48440000000005</c:v>
                </c:pt>
                <c:pt idx="3">
                  <c:v>10237.44</c:v>
                </c:pt>
                <c:pt idx="4">
                  <c:v>3709.7327999999998</c:v>
                </c:pt>
                <c:pt idx="5">
                  <c:v>623.1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F-4A69-AF6F-0A9E9C9CB0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2661779"/>
        <c:axId val="82017399"/>
      </c:barChart>
      <c:catAx>
        <c:axId val="5266177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2017399"/>
        <c:crosses val="autoZero"/>
        <c:auto val="1"/>
        <c:lblAlgn val="ctr"/>
        <c:lblOffset val="100"/>
        <c:noMultiLvlLbl val="0"/>
      </c:catAx>
      <c:valAx>
        <c:axId val="8201739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52661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de Tributos Aduaneros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Dashboard'!$O$70</c:f>
              <c:strCache>
                <c:ptCount val="1"/>
                <c:pt idx="0">
                  <c:v>Monto 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951-4CBF-AC3B-5289526E732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951-4CBF-AC3B-5289526E7324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738B42"/>
                  </a:gs>
                  <a:gs pos="80000">
                    <a:srgbClr val="96B556"/>
                  </a:gs>
                  <a:gs pos="100000">
                    <a:srgbClr val="96B65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951-4CBF-AC3B-5289526E7324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F4A78"/>
                  </a:gs>
                  <a:gs pos="80000">
                    <a:srgbClr val="7C609C"/>
                  </a:gs>
                  <a:gs pos="100000">
                    <a:srgbClr val="7C619D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951-4CBF-AC3B-5289526E7324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951-4CBF-AC3B-5289526E7324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Dashboard'!$N$71:$N$75</c:f>
              <c:strCache>
                <c:ptCount val="5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  <c:pt idx="4">
                  <c:v>IGV Seguro</c:v>
                </c:pt>
              </c:strCache>
            </c:strRef>
          </c:cat>
          <c:val>
            <c:numRef>
              <c:f>'📊 Dashboard'!$O$71:$O$75</c:f>
              <c:numCache>
                <c:formatCode>"US$"#,##0</c:formatCode>
                <c:ptCount val="5"/>
                <c:pt idx="0">
                  <c:v>2752</c:v>
                </c:pt>
                <c:pt idx="1">
                  <c:v>972</c:v>
                </c:pt>
                <c:pt idx="2">
                  <c:v>7779</c:v>
                </c:pt>
                <c:pt idx="3">
                  <c:v>2007.9</c:v>
                </c:pt>
                <c:pt idx="4">
                  <c:v>24.168600000000001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51-4CBF-AC3B-5289526E7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vs Precio de Venta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Dashboard'!$P$80</c:f>
              <c:strCache>
                <c:ptCount val="1"/>
                <c:pt idx="0">
                  <c:v>C/M Unit PEN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Dashboard'!$P$81:$P$89</c:f>
              <c:numCache>
                <c:formatCode>"S/."#,##0.00</c:formatCode>
                <c:ptCount val="9"/>
                <c:pt idx="0">
                  <c:v>5.1345891721782673</c:v>
                </c:pt>
                <c:pt idx="1">
                  <c:v>2.8855542455216714</c:v>
                </c:pt>
                <c:pt idx="2">
                  <c:v>1.6973848503068654</c:v>
                </c:pt>
                <c:pt idx="3">
                  <c:v>1.4427771227608357</c:v>
                </c:pt>
                <c:pt idx="4">
                  <c:v>1.1033001526994626</c:v>
                </c:pt>
                <c:pt idx="5">
                  <c:v>1.2306040164724774</c:v>
                </c:pt>
                <c:pt idx="6">
                  <c:v>24.230168738130505</c:v>
                </c:pt>
                <c:pt idx="7">
                  <c:v>3.2250312155830443</c:v>
                </c:pt>
                <c:pt idx="8">
                  <c:v>1.1881693952148058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2-4CFB-8615-B0243C6A492B}"/>
            </c:ext>
          </c:extLst>
        </c:ser>
        <c:ser>
          <c:idx val="1"/>
          <c:order val="1"/>
          <c:tx>
            <c:strRef>
              <c:f>'📊 Dashboard'!$Q$80</c:f>
              <c:strCache>
                <c:ptCount val="1"/>
                <c:pt idx="0">
                  <c:v>PV Unit PEN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Dashboard'!$Q$81:$Q$89</c:f>
              <c:numCache>
                <c:formatCode>"S/."#,##0.00</c:formatCode>
                <c:ptCount val="9"/>
                <c:pt idx="0">
                  <c:v>8.5576486202971118</c:v>
                </c:pt>
                <c:pt idx="1">
                  <c:v>4.8092570758694526</c:v>
                </c:pt>
                <c:pt idx="2">
                  <c:v>2.8289747505114424</c:v>
                </c:pt>
                <c:pt idx="3">
                  <c:v>2.4046285379347263</c:v>
                </c:pt>
                <c:pt idx="4">
                  <c:v>1.8388335878324378</c:v>
                </c:pt>
                <c:pt idx="5">
                  <c:v>2.0510066941207956</c:v>
                </c:pt>
                <c:pt idx="6">
                  <c:v>40.383614563550843</c:v>
                </c:pt>
                <c:pt idx="7">
                  <c:v>5.3750520259717405</c:v>
                </c:pt>
                <c:pt idx="8">
                  <c:v>1.9802823253580097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2-4CFB-8615-B0243C6A49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245418"/>
        <c:axId val="70960730"/>
      </c:barChart>
      <c:catAx>
        <c:axId val="692454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0960730"/>
        <c:crosses val="autoZero"/>
        <c:auto val="1"/>
        <c:lblAlgn val="ctr"/>
        <c:lblOffset val="100"/>
        <c:noMultiLvlLbl val="0"/>
      </c:catAx>
      <c:valAx>
        <c:axId val="709607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92454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FOB Total por Producto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Dashboard'!$O$80</c:f>
              <c:strCache>
                <c:ptCount val="1"/>
                <c:pt idx="0">
                  <c:v>FOB Total US$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Dashboard'!$O$81:$O$89</c:f>
              <c:numCache>
                <c:formatCode>[$$-540A]#,##0</c:formatCode>
                <c:ptCount val="9"/>
                <c:pt idx="0">
                  <c:v>580.79999999999995</c:v>
                </c:pt>
                <c:pt idx="1">
                  <c:v>1958.4</c:v>
                </c:pt>
                <c:pt idx="2">
                  <c:v>1152</c:v>
                </c:pt>
                <c:pt idx="3">
                  <c:v>3476.1600000000003</c:v>
                </c:pt>
                <c:pt idx="4">
                  <c:v>2246.4</c:v>
                </c:pt>
                <c:pt idx="5">
                  <c:v>626.4</c:v>
                </c:pt>
                <c:pt idx="6">
                  <c:v>1370.4</c:v>
                </c:pt>
                <c:pt idx="7">
                  <c:v>1459.2</c:v>
                </c:pt>
                <c:pt idx="8">
                  <c:v>1344.0000000000002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2-409F-8355-009E2B91E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58713"/>
        <c:axId val="23386600"/>
      </c:barChart>
      <c:catAx>
        <c:axId val="6065871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3386600"/>
        <c:crosses val="autoZero"/>
        <c:auto val="1"/>
        <c:lblAlgn val="ctr"/>
        <c:lblOffset val="100"/>
        <c:noMultiLvlLbl val="0"/>
      </c:catAx>
      <c:valAx>
        <c:axId val="2338660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06587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Ganancia Unitaria por Producto (S/.)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Dashboard'!$R$80</c:f>
              <c:strCache>
                <c:ptCount val="1"/>
                <c:pt idx="0">
                  <c:v>Ganancia Unit PEN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Dashboard'!$N$81:$N$89</c:f>
              <c:strCache>
                <c:ptCount val="9"/>
                <c:pt idx="0">
                  <c:v>Case Transparente TPU iPhone 15</c:v>
                </c:pt>
                <c:pt idx="1">
                  <c:v>Cable USB-C Trenzado 1m</c:v>
                </c:pt>
                <c:pt idx="2">
                  <c:v>Protector Pantalla Vidrio Templado</c:v>
                </c:pt>
                <c:pt idx="3">
                  <c:v>Audífonos In-Ear con Micrófono</c:v>
                </c:pt>
                <c:pt idx="4">
                  <c:v>Cable Micro USB 2m Nylon</c:v>
                </c:pt>
                <c:pt idx="5">
                  <c:v>Soporte Anillo Pop Socket Metálico</c:v>
                </c:pt>
                <c:pt idx="6">
                  <c:v>Cargador Inalámbrico 15W Qi</c:v>
                </c:pt>
                <c:pt idx="7">
                  <c:v>Case Wallet Cuero PU Samsung S24</c:v>
                </c:pt>
                <c:pt idx="8">
                  <c:v>Adaptador USB-C a Jack 3.5mm</c:v>
                </c:pt>
              </c:strCache>
            </c:strRef>
          </c:cat>
          <c:val>
            <c:numRef>
              <c:f>'📊 Dashboard'!$R$81:$R$89</c:f>
              <c:numCache>
                <c:formatCode>"S/."#,##0.0</c:formatCode>
                <c:ptCount val="9"/>
                <c:pt idx="0">
                  <c:v>3.4230594481188445</c:v>
                </c:pt>
                <c:pt idx="1">
                  <c:v>1.9237028303477812</c:v>
                </c:pt>
                <c:pt idx="2">
                  <c:v>1.1315899002045771</c:v>
                </c:pt>
                <c:pt idx="3">
                  <c:v>0.96185141517389061</c:v>
                </c:pt>
                <c:pt idx="4">
                  <c:v>0.7355334351329752</c:v>
                </c:pt>
                <c:pt idx="5">
                  <c:v>0.8204026776483182</c:v>
                </c:pt>
                <c:pt idx="6">
                  <c:v>16.153445825420338</c:v>
                </c:pt>
                <c:pt idx="7">
                  <c:v>2.1500208103886962</c:v>
                </c:pt>
                <c:pt idx="8">
                  <c:v>0.79211293014320394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4-4D54-9333-2E51B6BFD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88957"/>
        <c:axId val="66832347"/>
      </c:barChart>
      <c:catAx>
        <c:axId val="809889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6832347"/>
        <c:crosses val="autoZero"/>
        <c:auto val="1"/>
        <c:lblAlgn val="ctr"/>
        <c:lblOffset val="100"/>
        <c:noMultiLvlLbl val="0"/>
      </c:catAx>
      <c:valAx>
        <c:axId val="668323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0988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ADV (Costo) vs Crédito Fiscal por Concepto (US$)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Dashboard'!$O$90</c:f>
              <c:strCache>
                <c:ptCount val="1"/>
                <c:pt idx="0">
                  <c:v>Monto US$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Dashboard'!$N$91:$N$96</c:f>
              <c:strCache>
                <c:ptCount val="6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  <c:pt idx="4">
                  <c:v>IGV Seguro</c:v>
                </c:pt>
                <c:pt idx="5">
                  <c:v>IGV Gastos</c:v>
                </c:pt>
              </c:strCache>
            </c:strRef>
          </c:cat>
          <c:val>
            <c:numRef>
              <c:f>'📊 Dashboard'!$O$91:$O$96</c:f>
              <c:numCache>
                <c:formatCode>"US$"#,##0</c:formatCode>
                <c:ptCount val="6"/>
                <c:pt idx="0">
                  <c:v>2752</c:v>
                </c:pt>
                <c:pt idx="1">
                  <c:v>972</c:v>
                </c:pt>
                <c:pt idx="2">
                  <c:v>7779</c:v>
                </c:pt>
                <c:pt idx="3">
                  <c:v>2007.9</c:v>
                </c:pt>
                <c:pt idx="4">
                  <c:v>24.168600000000001</c:v>
                </c:pt>
                <c:pt idx="5">
                  <c:v>179.50319999999996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5-4CA9-AE04-EA8408A8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773249"/>
        <c:axId val="84517053"/>
      </c:barChart>
      <c:catAx>
        <c:axId val="327732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4517053"/>
        <c:crosses val="autoZero"/>
        <c:auto val="1"/>
        <c:lblAlgn val="ctr"/>
        <c:lblOffset val="100"/>
        <c:noMultiLvlLbl val="0"/>
      </c:catAx>
      <c:valAx>
        <c:axId val="845170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US$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32773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Costo Real vs Crédito Fiscal Recuperable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Dashboard'!$O$100</c:f>
              <c:strCache>
                <c:ptCount val="1"/>
                <c:pt idx="0">
                  <c:v>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9FD-4AA2-9149-B958FC0066F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9FD-4AA2-9149-B958FC0066F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FD-4AA2-9149-B958FC0066F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FD-4AA2-9149-B958FC0066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Dashboard'!$N$101:$N$102</c:f>
              <c:strCache>
                <c:ptCount val="2"/>
                <c:pt idx="0">
                  <c:v>Costo Real (ADV)</c:v>
                </c:pt>
                <c:pt idx="1">
                  <c:v>Crédito Fiscal</c:v>
                </c:pt>
              </c:strCache>
            </c:strRef>
          </c:cat>
          <c:val>
            <c:numRef>
              <c:f>'📊 Dashboard'!$O$101:$O$102</c:f>
              <c:numCache>
                <c:formatCode>"US$"#,##0.00</c:formatCode>
                <c:ptCount val="2"/>
                <c:pt idx="0">
                  <c:v>2752</c:v>
                </c:pt>
                <c:pt idx="1">
                  <c:v>10962.5718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FD-4AA2-9149-B958FC006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600" b="1" i="0" u="none" strike="noStrike" kern="1200" spc="-1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Composición del Costo de Importación (US$)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7856255468066493"/>
          <c:y val="0.32201953922426363"/>
          <c:w val="0.37207655293088371"/>
          <c:h val="0.62012758821813951"/>
        </c:manualLayout>
      </c:layout>
      <c:pieChart>
        <c:varyColors val="1"/>
        <c:ser>
          <c:idx val="0"/>
          <c:order val="0"/>
          <c:tx>
            <c:strRef>
              <c:f>'📊 Dashboard'!$O$60</c:f>
              <c:strCache>
                <c:ptCount val="1"/>
                <c:pt idx="0">
                  <c:v>US$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14-4FB2-9BE8-6EFCF49448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914-4FB2-9BE8-6EFCF49448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914-4FB2-9BE8-6EFCF49448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14-4FB2-9BE8-6EFCF49448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-3.6807151755478742E-3"/>
                  <c:y val="7.11679790026246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14-4FB2-9BE8-6EFCF49448DC}"/>
                </c:ext>
              </c:extLst>
            </c:dLbl>
            <c:dLbl>
              <c:idx val="2"/>
              <c:layout>
                <c:manualLayout>
                  <c:x val="-3.7650237748495428E-2"/>
                  <c:y val="3.543525809273840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14-4FB2-9BE8-6EFCF49448DC}"/>
                </c:ext>
              </c:extLst>
            </c:dLbl>
            <c:dLbl>
              <c:idx val="3"/>
              <c:layout>
                <c:manualLayout>
                  <c:x val="2.4325355745442425E-3"/>
                  <c:y val="-2.101669582968795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14-4FB2-9BE8-6EFCF49448DC}"/>
                </c:ext>
              </c:extLst>
            </c:dLbl>
            <c:dLbl>
              <c:idx val="4"/>
              <c:layout>
                <c:manualLayout>
                  <c:x val="3.6225501377362135E-2"/>
                  <c:y val="-2.427748614756488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14-4FB2-9BE8-6EFCF49448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Dashboard'!$O$61:$O$66</c:f>
              <c:numCache>
                <c:formatCode>"US$"#,##0</c:formatCode>
                <c:ptCount val="6"/>
                <c:pt idx="0">
                  <c:v>43641.280000000006</c:v>
                </c:pt>
                <c:pt idx="1">
                  <c:v>2090</c:v>
                </c:pt>
                <c:pt idx="2">
                  <c:v>134.27000000000001</c:v>
                </c:pt>
                <c:pt idx="3">
                  <c:v>2752</c:v>
                </c:pt>
                <c:pt idx="4">
                  <c:v>997.2399999999999</c:v>
                </c:pt>
                <c:pt idx="5">
                  <c:v>167.5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4-4FB2-9BE8-6EFCF49448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8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s-PE" sz="2800">
                <a:solidFill>
                  <a:schemeClr val="tx1">
                    <a:lumMod val="65000"/>
                    <a:lumOff val="35000"/>
                  </a:schemeClr>
                </a:solidFill>
              </a:rPr>
              <a:t>Costos por Componente (S/.)</a:t>
            </a:r>
          </a:p>
        </c:rich>
      </c:tx>
      <c:layout>
        <c:manualLayout>
          <c:xMode val="edge"/>
          <c:yMode val="edge"/>
          <c:x val="0.29538578235014562"/>
          <c:y val="2.50000000000000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Dashboard'!$P$60</c:f>
              <c:strCache>
                <c:ptCount val="1"/>
                <c:pt idx="0">
                  <c:v>S/.</c:v>
                </c:pt>
              </c:strCache>
            </c:strRef>
          </c:tx>
          <c:spPr>
            <a:solidFill>
              <a:srgbClr val="6EA2B3"/>
            </a:solidFill>
            <a:ln w="0">
              <a:noFill/>
            </a:ln>
            <a:effectLst>
              <a:glow>
                <a:schemeClr val="accent1">
                  <a:alpha val="40000"/>
                </a:schemeClr>
              </a:glow>
              <a:outerShdw dir="21540000" rotWithShape="0">
                <a:srgbClr val="49769F">
                  <a:alpha val="40000"/>
                </a:srgb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 w="0"/>
              <a:bevelB w="114300" prst="hardEdge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Dashboard'!$P$61:$P$66</c:f>
              <c:numCache>
                <c:formatCode>"S/"\ #,##0.00</c:formatCode>
                <c:ptCount val="6"/>
                <c:pt idx="0">
                  <c:v>162345.56160000004</c:v>
                </c:pt>
                <c:pt idx="1">
                  <c:v>7774.8</c:v>
                </c:pt>
                <c:pt idx="2">
                  <c:v>499.48440000000005</c:v>
                </c:pt>
                <c:pt idx="3">
                  <c:v>10237.44</c:v>
                </c:pt>
                <c:pt idx="4">
                  <c:v>3709.7327999999998</c:v>
                </c:pt>
                <c:pt idx="5">
                  <c:v>623.1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B-47C3-8242-CA17F3E5E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61779"/>
        <c:axId val="82017399"/>
      </c:barChart>
      <c:catAx>
        <c:axId val="5266177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800" b="1"/>
            </a:pPr>
            <a:endParaRPr lang="es-PE"/>
          </a:p>
        </c:txPr>
        <c:crossAx val="82017399"/>
        <c:crosses val="autoZero"/>
        <c:auto val="1"/>
        <c:lblAlgn val="ctr"/>
        <c:lblOffset val="100"/>
        <c:noMultiLvlLbl val="0"/>
      </c:catAx>
      <c:valAx>
        <c:axId val="820173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52661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  <a:effectLst>
      <a:glow rad="12700">
        <a:schemeClr val="accent1">
          <a:alpha val="77000"/>
        </a:schemeClr>
      </a:glow>
      <a:softEdge rad="88900"/>
    </a:effectLst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8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lang="es-PE" sz="28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Distribución de Tributos Aduaneros (US$)</a:t>
            </a:r>
          </a:p>
        </c:rich>
      </c:tx>
      <c:layout>
        <c:manualLayout>
          <c:xMode val="edge"/>
          <c:yMode val="edge"/>
          <c:x val="0.11950152874920768"/>
          <c:y val="2.9667704539089075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1851400463231"/>
          <c:y val="0.28085270243544719"/>
          <c:w val="0.48201750901544926"/>
          <c:h val="0.68098219067540311"/>
        </c:manualLayout>
      </c:layout>
      <c:pieChart>
        <c:varyColors val="1"/>
        <c:ser>
          <c:idx val="0"/>
          <c:order val="0"/>
          <c:tx>
            <c:strRef>
              <c:f>'📊 Dashboard'!$O$70</c:f>
              <c:strCache>
                <c:ptCount val="1"/>
                <c:pt idx="0">
                  <c:v>Monto US$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solidFill>
                <a:srgbClr val="6EA2B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0-8D4C-4432-839B-1DC7FFBEE48C}"/>
              </c:ext>
            </c:extLst>
          </c:dPt>
          <c:dPt>
            <c:idx val="1"/>
            <c:bubble3D val="0"/>
            <c:spPr>
              <a:solidFill>
                <a:srgbClr val="BDD8E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8D4C-4432-839B-1DC7FFBEE48C}"/>
              </c:ext>
            </c:extLst>
          </c:dPt>
          <c:dPt>
            <c:idx val="2"/>
            <c:bubble3D val="0"/>
            <c:spPr>
              <a:solidFill>
                <a:srgbClr val="7BBDE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8D4C-4432-839B-1DC7FFBEE48C}"/>
              </c:ext>
            </c:extLst>
          </c:dPt>
          <c:dPt>
            <c:idx val="3"/>
            <c:bubble3D val="0"/>
            <c:spPr>
              <a:solidFill>
                <a:srgbClr val="49769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8D4C-4432-839B-1DC7FFBEE48C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8D4C-4432-839B-1DC7FFBEE48C}"/>
              </c:ext>
            </c:extLst>
          </c:dPt>
          <c:dLbls>
            <c:dLbl>
              <c:idx val="4"/>
              <c:layout>
                <c:manualLayout>
                  <c:x val="0.20217177054146501"/>
                  <c:y val="0.4457266600026849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4C-4432-839B-1DC7FFBEE4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1"/>
                </a:pPr>
                <a:endParaRPr lang="es-P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Dashboard'!$N$71:$N$75</c:f>
              <c:strCache>
                <c:ptCount val="5"/>
                <c:pt idx="0">
                  <c:v>Ad Valorem</c:v>
                </c:pt>
                <c:pt idx="1">
                  <c:v>IPM</c:v>
                </c:pt>
                <c:pt idx="2">
                  <c:v>IGV Aduanas</c:v>
                </c:pt>
                <c:pt idx="3">
                  <c:v>Percepción</c:v>
                </c:pt>
                <c:pt idx="4">
                  <c:v>IGV Seguro</c:v>
                </c:pt>
              </c:strCache>
            </c:strRef>
          </c:cat>
          <c:val>
            <c:numRef>
              <c:f>'📊 Dashboard'!$O$71:$O$75</c:f>
              <c:numCache>
                <c:formatCode>"US$"#,##0</c:formatCode>
                <c:ptCount val="5"/>
                <c:pt idx="0">
                  <c:v>2752</c:v>
                </c:pt>
                <c:pt idx="1">
                  <c:v>972</c:v>
                </c:pt>
                <c:pt idx="2">
                  <c:v>7779</c:v>
                </c:pt>
                <c:pt idx="3">
                  <c:v>2007.9</c:v>
                </c:pt>
                <c:pt idx="4">
                  <c:v>24.168600000000001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4C-4432-839B-1DC7FFBEE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4058723738839729"/>
          <c:y val="0.35873042338468114"/>
          <c:w val="0.3399475153582589"/>
          <c:h val="0.525226748776935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2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2400" b="1" i="0" u="none" strike="noStrike" kern="1200" spc="-1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Composición del Costo de Importación (US$)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7.5933221726682418E-2"/>
          <c:y val="0.2639164775815292"/>
          <c:w val="0.51015964335239583"/>
          <c:h val="0.5862362453541955"/>
        </c:manualLayout>
      </c:layout>
      <c:pieChart>
        <c:varyColors val="1"/>
        <c:ser>
          <c:idx val="0"/>
          <c:order val="0"/>
          <c:tx>
            <c:strRef>
              <c:f>'📊 Dashboard'!$O$60</c:f>
              <c:strCache>
                <c:ptCount val="1"/>
                <c:pt idx="0">
                  <c:v>US$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13-4885-90BF-DE7B6D9D32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13-4885-90BF-DE7B6D9D32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13-4885-90BF-DE7B6D9D32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13-4885-90BF-DE7B6D9D32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013-4885-90BF-DE7B6D9D32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013-4885-90BF-DE7B6D9D325A}"/>
              </c:ext>
            </c:extLst>
          </c:dPt>
          <c:dLbls>
            <c:dLbl>
              <c:idx val="1"/>
              <c:layout>
                <c:manualLayout>
                  <c:x val="-3.6807151755478742E-3"/>
                  <c:y val="7.11679790026246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13-4885-90BF-DE7B6D9D325A}"/>
                </c:ext>
              </c:extLst>
            </c:dLbl>
            <c:dLbl>
              <c:idx val="2"/>
              <c:layout>
                <c:manualLayout>
                  <c:x val="-3.7650237748495428E-2"/>
                  <c:y val="3.543525809273840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13-4885-90BF-DE7B6D9D325A}"/>
                </c:ext>
              </c:extLst>
            </c:dLbl>
            <c:dLbl>
              <c:idx val="3"/>
              <c:layout>
                <c:manualLayout>
                  <c:x val="2.4325355745442425E-3"/>
                  <c:y val="-2.101669582968795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13-4885-90BF-DE7B6D9D325A}"/>
                </c:ext>
              </c:extLst>
            </c:dLbl>
            <c:dLbl>
              <c:idx val="4"/>
              <c:layout>
                <c:manualLayout>
                  <c:x val="3.6225501377362135E-2"/>
                  <c:y val="-2.427748614756488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13-4885-90BF-DE7B6D9D32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Dashboard'!$N$61:$N$66</c:f>
              <c:strCache>
                <c:ptCount val="6"/>
                <c:pt idx="0">
                  <c:v>FOB Mercadería</c:v>
                </c:pt>
                <c:pt idx="1">
                  <c:v>Flete</c:v>
                </c:pt>
                <c:pt idx="2">
                  <c:v>Seguro</c:v>
                </c:pt>
                <c:pt idx="3">
                  <c:v>Aranceles (ADV)</c:v>
                </c:pt>
                <c:pt idx="4">
                  <c:v>Gastos Operativos</c:v>
                </c:pt>
                <c:pt idx="5">
                  <c:v>Gastos Admin/Fin.</c:v>
                </c:pt>
              </c:strCache>
            </c:strRef>
          </c:cat>
          <c:val>
            <c:numRef>
              <c:f>'📊 Dashboard'!$O$61:$O$66</c:f>
              <c:numCache>
                <c:formatCode>"US$"#,##0</c:formatCode>
                <c:ptCount val="6"/>
                <c:pt idx="0">
                  <c:v>43641.280000000006</c:v>
                </c:pt>
                <c:pt idx="1">
                  <c:v>2090</c:v>
                </c:pt>
                <c:pt idx="2">
                  <c:v>134.27000000000001</c:v>
                </c:pt>
                <c:pt idx="3">
                  <c:v>2752</c:v>
                </c:pt>
                <c:pt idx="4">
                  <c:v>997.2399999999999</c:v>
                </c:pt>
                <c:pt idx="5">
                  <c:v>167.5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13-4885-90BF-DE7B6D9D32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'[1]🔍 Detalle x Producto'!$C$200</c:f>
              <c:strCache>
                <c:ptCount val="1"/>
                <c:pt idx="0">
                  <c:v>Ganancia Total S/.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'[1]🔍 Detalle x Producto'!$B$201:$B$209</c:f>
              <c:strCache>
                <c:ptCount val="9"/>
                <c:pt idx="0">
                  <c:v>Friction Car Platform Cover</c:v>
                </c:pt>
                <c:pt idx="1">
                  <c:v>Friction Cars OPP Bag 23cm</c:v>
                </c:pt>
                <c:pt idx="2">
                  <c:v>Free Wheel Motor OPP Bag 21cm</c:v>
                </c:pt>
                <c:pt idx="3">
                  <c:v>Friction Cars OPP Bag 22cm</c:v>
                </c:pt>
                <c:pt idx="4">
                  <c:v>Pull Line Friction Car OPP Bag</c:v>
                </c:pt>
                <c:pt idx="5">
                  <c:v>Friction Car OPP Bag</c:v>
                </c:pt>
                <c:pt idx="6">
                  <c:v>Free Wheel Ride on Digger Handle</c:v>
                </c:pt>
                <c:pt idx="7">
                  <c:v>Friction Car with Music and Light</c:v>
                </c:pt>
                <c:pt idx="8">
                  <c:v>Pull Line Function Car OPP Bag</c:v>
                </c:pt>
              </c:strCache>
            </c:strRef>
          </c:cat>
          <c:val>
            <c:numRef>
              <c:f>'[1]🔍 Detalle x Producto'!$C$201:$C$209</c:f>
              <c:numCache>
                <c:formatCode>General</c:formatCode>
                <c:ptCount val="9"/>
                <c:pt idx="0">
                  <c:v>3211.9666887620201</c:v>
                </c:pt>
                <c:pt idx="1">
                  <c:v>10830.433132354599</c:v>
                </c:pt>
                <c:pt idx="2">
                  <c:v>6370.8430190321096</c:v>
                </c:pt>
                <c:pt idx="3">
                  <c:v>19224.018809929399</c:v>
                </c:pt>
                <c:pt idx="4">
                  <c:v>12423.143887112599</c:v>
                </c:pt>
                <c:pt idx="5">
                  <c:v>3464.14589159871</c:v>
                </c:pt>
                <c:pt idx="6">
                  <c:v>7578.6486747236204</c:v>
                </c:pt>
                <c:pt idx="7">
                  <c:v>8069.7344907740098</c:v>
                </c:pt>
                <c:pt idx="8">
                  <c:v>7432.6501888707999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4-414C-B624-4B0D857E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97738"/>
        <c:axId val="9890003"/>
      </c:barChart>
      <c:catAx>
        <c:axId val="464977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890003"/>
        <c:crosses val="autoZero"/>
        <c:auto val="1"/>
        <c:lblAlgn val="ctr"/>
        <c:lblOffset val="100"/>
        <c:noMultiLvlLbl val="0"/>
      </c:catAx>
      <c:valAx>
        <c:axId val="98900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64977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'[1]🔍 Detalle x Producto'!$D$200</c:f>
              <c:strCache>
                <c:ptCount val="1"/>
                <c:pt idx="0">
                  <c:v>C/M Unit S/.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'[1]🔍 Detalle x Producto'!$B$201:$B$209</c:f>
              <c:strCache>
                <c:ptCount val="9"/>
                <c:pt idx="0">
                  <c:v>Friction Car Platform Cover</c:v>
                </c:pt>
                <c:pt idx="1">
                  <c:v>Friction Cars OPP Bag 23cm</c:v>
                </c:pt>
                <c:pt idx="2">
                  <c:v>Free Wheel Motor OPP Bag 21cm</c:v>
                </c:pt>
                <c:pt idx="3">
                  <c:v>Friction Cars OPP Bag 22cm</c:v>
                </c:pt>
                <c:pt idx="4">
                  <c:v>Pull Line Friction Car OPP Bag</c:v>
                </c:pt>
                <c:pt idx="5">
                  <c:v>Friction Car OPP Bag</c:v>
                </c:pt>
                <c:pt idx="6">
                  <c:v>Free Wheel Ride on Digger Handle</c:v>
                </c:pt>
                <c:pt idx="7">
                  <c:v>Friction Car with Music and Light</c:v>
                </c:pt>
                <c:pt idx="8">
                  <c:v>Pull Line Function Car OPP Bag</c:v>
                </c:pt>
              </c:strCache>
            </c:strRef>
          </c:cat>
          <c:val>
            <c:numRef>
              <c:f>'[1]🔍 Detalle x Producto'!$D$201:$D$209</c:f>
              <c:numCache>
                <c:formatCode>General</c:formatCode>
                <c:ptCount val="9"/>
                <c:pt idx="0">
                  <c:v>10.0373959023813</c:v>
                </c:pt>
                <c:pt idx="1">
                  <c:v>5.6408505897680197</c:v>
                </c:pt>
                <c:pt idx="2">
                  <c:v>3.31814740574589</c:v>
                </c:pt>
                <c:pt idx="3">
                  <c:v>2.8204252948840098</c:v>
                </c:pt>
                <c:pt idx="4">
                  <c:v>2.15679581373483</c:v>
                </c:pt>
                <c:pt idx="5">
                  <c:v>2.40565686916577</c:v>
                </c:pt>
                <c:pt idx="6">
                  <c:v>47.366554217022603</c:v>
                </c:pt>
                <c:pt idx="7">
                  <c:v>6.3044800709172</c:v>
                </c:pt>
                <c:pt idx="8">
                  <c:v>2.3227031840221302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0-4E25-A82E-302DB662A595}"/>
            </c:ext>
          </c:extLst>
        </c:ser>
        <c:ser>
          <c:idx val="1"/>
          <c:order val="1"/>
          <c:tx>
            <c:strRef>
              <c:f>'[1]🔍 Detalle x Producto'!$E$200</c:f>
              <c:strCache>
                <c:ptCount val="1"/>
                <c:pt idx="0">
                  <c:v>PV Unit S/.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'[1]🔍 Detalle x Producto'!$B$201:$B$209</c:f>
              <c:strCache>
                <c:ptCount val="9"/>
                <c:pt idx="0">
                  <c:v>Friction Car Platform Cover</c:v>
                </c:pt>
                <c:pt idx="1">
                  <c:v>Friction Cars OPP Bag 23cm</c:v>
                </c:pt>
                <c:pt idx="2">
                  <c:v>Free Wheel Motor OPP Bag 21cm</c:v>
                </c:pt>
                <c:pt idx="3">
                  <c:v>Friction Cars OPP Bag 22cm</c:v>
                </c:pt>
                <c:pt idx="4">
                  <c:v>Pull Line Friction Car OPP Bag</c:v>
                </c:pt>
                <c:pt idx="5">
                  <c:v>Friction Car OPP Bag</c:v>
                </c:pt>
                <c:pt idx="6">
                  <c:v>Free Wheel Ride on Digger Handle</c:v>
                </c:pt>
                <c:pt idx="7">
                  <c:v>Friction Car with Music and Light</c:v>
                </c:pt>
                <c:pt idx="8">
                  <c:v>Pull Line Function Car OPP Bag</c:v>
                </c:pt>
              </c:strCache>
            </c:strRef>
          </c:cat>
          <c:val>
            <c:numRef>
              <c:f>'[1]🔍 Detalle x Producto'!$E$201:$E$209</c:f>
              <c:numCache>
                <c:formatCode>General</c:formatCode>
                <c:ptCount val="9"/>
                <c:pt idx="0">
                  <c:v>19.740211941349902</c:v>
                </c:pt>
                <c:pt idx="1">
                  <c:v>11.0936728265438</c:v>
                </c:pt>
                <c:pt idx="2">
                  <c:v>6.5256898979669202</c:v>
                </c:pt>
                <c:pt idx="3">
                  <c:v>5.5468364132718797</c:v>
                </c:pt>
                <c:pt idx="4">
                  <c:v>4.2416984336784997</c:v>
                </c:pt>
                <c:pt idx="5">
                  <c:v>4.73112517602602</c:v>
                </c:pt>
                <c:pt idx="6">
                  <c:v>93.154223293477799</c:v>
                </c:pt>
                <c:pt idx="7">
                  <c:v>12.398810806137201</c:v>
                </c:pt>
                <c:pt idx="8">
                  <c:v>4.5679829285768498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0-4E25-A82E-302DB662A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83836"/>
        <c:axId val="61716809"/>
      </c:barChart>
      <c:catAx>
        <c:axId val="943838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1716809"/>
        <c:crosses val="autoZero"/>
        <c:auto val="1"/>
        <c:lblAlgn val="ctr"/>
        <c:lblOffset val="100"/>
        <c:noMultiLvlLbl val="0"/>
      </c:catAx>
      <c:valAx>
        <c:axId val="617168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S/.&quot;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943838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&#128214; Instrucciones'!A1"/><Relationship Id="rId13" Type="http://schemas.openxmlformats.org/officeDocument/2006/relationships/hyperlink" Target="#'&#127974; Cr&#233;dito Fiscal'!A1"/><Relationship Id="rId3" Type="http://schemas.openxmlformats.org/officeDocument/2006/relationships/image" Target="../media/image2.svg"/><Relationship Id="rId7" Type="http://schemas.openxmlformats.org/officeDocument/2006/relationships/hyperlink" Target="#'&#129534; Factura Comercial'!A1"/><Relationship Id="rId12" Type="http://schemas.openxmlformats.org/officeDocument/2006/relationships/hyperlink" Target="#'&#128176; Precio de Venta'!A1"/><Relationship Id="rId2" Type="http://schemas.openxmlformats.org/officeDocument/2006/relationships/image" Target="../media/image1.png"/><Relationship Id="rId1" Type="http://schemas.openxmlformats.org/officeDocument/2006/relationships/hyperlink" Target="#'&#128203; Datos Generales'!A1"/><Relationship Id="rId6" Type="http://schemas.openxmlformats.org/officeDocument/2006/relationships/hyperlink" Target="#'&#129518; Costos x Producto'!A1"/><Relationship Id="rId11" Type="http://schemas.openxmlformats.org/officeDocument/2006/relationships/image" Target="../media/image4.svg"/><Relationship Id="rId5" Type="http://schemas.openxmlformats.org/officeDocument/2006/relationships/hyperlink" Target="#'&#129534; Tributos Aduana'!A1"/><Relationship Id="rId15" Type="http://schemas.openxmlformats.org/officeDocument/2006/relationships/hyperlink" Target="#'&#128202; KPI x Producto'!A1"/><Relationship Id="rId10" Type="http://schemas.openxmlformats.org/officeDocument/2006/relationships/image" Target="../media/image3.png"/><Relationship Id="rId4" Type="http://schemas.openxmlformats.org/officeDocument/2006/relationships/hyperlink" Target="#'&#128230; Gastos Importaci&#243;n'!A1"/><Relationship Id="rId9" Type="http://schemas.openxmlformats.org/officeDocument/2006/relationships/hyperlink" Target="CALCULADORA%20COSTOS%20DE%20IMPORTACION%20SALLY%20FINAL.xlsx" TargetMode="External"/><Relationship Id="rId14" Type="http://schemas.openxmlformats.org/officeDocument/2006/relationships/hyperlink" Target="#'&#128202; Dashboard General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&#127968; PORTADA'!A1"/><Relationship Id="rId13" Type="http://schemas.openxmlformats.org/officeDocument/2006/relationships/hyperlink" Target="#'&#128202; Dashboard General'!A1"/><Relationship Id="rId3" Type="http://schemas.openxmlformats.org/officeDocument/2006/relationships/image" Target="../media/image2.svg"/><Relationship Id="rId7" Type="http://schemas.openxmlformats.org/officeDocument/2006/relationships/hyperlink" Target="#'&#129534; Factura Comercial'!A1"/><Relationship Id="rId12" Type="http://schemas.openxmlformats.org/officeDocument/2006/relationships/hyperlink" Target="#'&#127974; Cr&#233;dito Fiscal'!A1"/><Relationship Id="rId2" Type="http://schemas.openxmlformats.org/officeDocument/2006/relationships/image" Target="../media/image1.png"/><Relationship Id="rId1" Type="http://schemas.openxmlformats.org/officeDocument/2006/relationships/hyperlink" Target="#'&#128203; Datos Generales'!A1"/><Relationship Id="rId6" Type="http://schemas.openxmlformats.org/officeDocument/2006/relationships/hyperlink" Target="#'&#129518; Costos x Producto'!A1"/><Relationship Id="rId11" Type="http://schemas.openxmlformats.org/officeDocument/2006/relationships/hyperlink" Target="#'&#128176; Precio de Venta'!A1"/><Relationship Id="rId5" Type="http://schemas.openxmlformats.org/officeDocument/2006/relationships/hyperlink" Target="#'&#129534; Tributos Aduana'!A1"/><Relationship Id="rId10" Type="http://schemas.openxmlformats.org/officeDocument/2006/relationships/image" Target="../media/image6.svg"/><Relationship Id="rId4" Type="http://schemas.openxmlformats.org/officeDocument/2006/relationships/hyperlink" Target="#'&#128230; Gastos Importaci&#243;n'!A1"/><Relationship Id="rId9" Type="http://schemas.openxmlformats.org/officeDocument/2006/relationships/image" Target="../media/image5.png"/><Relationship Id="rId14" Type="http://schemas.openxmlformats.org/officeDocument/2006/relationships/hyperlink" Target="#'&#128202; KPI x Producto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&#128214; Instrucciones'!A1"/><Relationship Id="rId13" Type="http://schemas.openxmlformats.org/officeDocument/2006/relationships/hyperlink" Target="#'&#128202; Dashboard General'!A1"/><Relationship Id="rId3" Type="http://schemas.openxmlformats.org/officeDocument/2006/relationships/hyperlink" Target="#'&#129518; Costos x Producto'!A1"/><Relationship Id="rId7" Type="http://schemas.openxmlformats.org/officeDocument/2006/relationships/image" Target="../media/image6.svg"/><Relationship Id="rId12" Type="http://schemas.openxmlformats.org/officeDocument/2006/relationships/hyperlink" Target="#'&#127974; Cr&#233;dito Fiscal'!A1"/><Relationship Id="rId2" Type="http://schemas.openxmlformats.org/officeDocument/2006/relationships/hyperlink" Target="#'&#129534; Tributos Aduana'!A1"/><Relationship Id="rId1" Type="http://schemas.openxmlformats.org/officeDocument/2006/relationships/hyperlink" Target="#'&#128230; Gastos Importaci&#243;n'!A1"/><Relationship Id="rId6" Type="http://schemas.openxmlformats.org/officeDocument/2006/relationships/image" Target="../media/image5.png"/><Relationship Id="rId11" Type="http://schemas.openxmlformats.org/officeDocument/2006/relationships/hyperlink" Target="#'&#128176; Precio de Venta'!A1"/><Relationship Id="rId5" Type="http://schemas.openxmlformats.org/officeDocument/2006/relationships/hyperlink" Target="#'&#127968; PORTADA'!A1"/><Relationship Id="rId10" Type="http://schemas.openxmlformats.org/officeDocument/2006/relationships/image" Target="../media/image4.svg"/><Relationship Id="rId4" Type="http://schemas.openxmlformats.org/officeDocument/2006/relationships/hyperlink" Target="#'&#129534; Factura Comercial'!A1"/><Relationship Id="rId9" Type="http://schemas.openxmlformats.org/officeDocument/2006/relationships/image" Target="../media/image3.png"/><Relationship Id="rId14" Type="http://schemas.openxmlformats.org/officeDocument/2006/relationships/hyperlink" Target="#'&#128202; KPI x Producto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3.png"/><Relationship Id="rId18" Type="http://schemas.openxmlformats.org/officeDocument/2006/relationships/hyperlink" Target="#'&#128202; KPI x Producto'!A1"/><Relationship Id="rId3" Type="http://schemas.openxmlformats.org/officeDocument/2006/relationships/hyperlink" Target="CALCULADORA%20COSTOS%20DE%20IMPORTACION%20SALLY%20FINAL.xlsx" TargetMode="External"/><Relationship Id="rId7" Type="http://schemas.openxmlformats.org/officeDocument/2006/relationships/image" Target="../media/image1.png"/><Relationship Id="rId12" Type="http://schemas.openxmlformats.org/officeDocument/2006/relationships/hyperlink" Target="#'&#128214; Instrucciones'!A1"/><Relationship Id="rId17" Type="http://schemas.openxmlformats.org/officeDocument/2006/relationships/hyperlink" Target="#'&#128202; Dashboard General'!A1"/><Relationship Id="rId2" Type="http://schemas.openxmlformats.org/officeDocument/2006/relationships/hyperlink" Target="#'&#127968; PORTADA'!A1"/><Relationship Id="rId16" Type="http://schemas.openxmlformats.org/officeDocument/2006/relationships/hyperlink" Target="#'&#127974; Cr&#233;dito Fiscal'!A1"/><Relationship Id="rId1" Type="http://schemas.openxmlformats.org/officeDocument/2006/relationships/chart" Target="../charts/chart1.xml"/><Relationship Id="rId6" Type="http://schemas.openxmlformats.org/officeDocument/2006/relationships/hyperlink" Target="#'&#128203; Datos Generales'!A1"/><Relationship Id="rId11" Type="http://schemas.openxmlformats.org/officeDocument/2006/relationships/hyperlink" Target="#'&#129518; Costos x Producto'!A1"/><Relationship Id="rId5" Type="http://schemas.openxmlformats.org/officeDocument/2006/relationships/image" Target="../media/image8.svg"/><Relationship Id="rId15" Type="http://schemas.openxmlformats.org/officeDocument/2006/relationships/hyperlink" Target="#'&#128176; Precio de Venta'!A1"/><Relationship Id="rId10" Type="http://schemas.openxmlformats.org/officeDocument/2006/relationships/hyperlink" Target="#'&#129534; Tributos Aduana'!A1"/><Relationship Id="rId19" Type="http://schemas.openxmlformats.org/officeDocument/2006/relationships/chart" Target="../charts/chart2.xml"/><Relationship Id="rId4" Type="http://schemas.openxmlformats.org/officeDocument/2006/relationships/image" Target="../media/image7.png"/><Relationship Id="rId9" Type="http://schemas.openxmlformats.org/officeDocument/2006/relationships/hyperlink" Target="#'&#128230; Gastos Importaci&#243;n'!A1"/><Relationship Id="rId1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hyperlink" Target="#'&#128214; Instrucciones'!A1"/><Relationship Id="rId18" Type="http://schemas.openxmlformats.org/officeDocument/2006/relationships/hyperlink" Target="#'&#128202; Dashboard General'!A1"/><Relationship Id="rId3" Type="http://schemas.openxmlformats.org/officeDocument/2006/relationships/hyperlink" Target="CALCULADORA%20COSTOS%20DE%20IMPORTACION%20SALLY%20FINAL.xlsx" TargetMode="External"/><Relationship Id="rId7" Type="http://schemas.openxmlformats.org/officeDocument/2006/relationships/image" Target="../media/image1.png"/><Relationship Id="rId12" Type="http://schemas.openxmlformats.org/officeDocument/2006/relationships/chart" Target="../charts/chart4.xml"/><Relationship Id="rId17" Type="http://schemas.openxmlformats.org/officeDocument/2006/relationships/hyperlink" Target="#'&#127974; Cr&#233;dito Fiscal'!A1"/><Relationship Id="rId2" Type="http://schemas.openxmlformats.org/officeDocument/2006/relationships/hyperlink" Target="#'&#127968; PORTADA'!A1"/><Relationship Id="rId16" Type="http://schemas.openxmlformats.org/officeDocument/2006/relationships/hyperlink" Target="#'&#128176; Precio de Venta'!A1"/><Relationship Id="rId1" Type="http://schemas.openxmlformats.org/officeDocument/2006/relationships/chart" Target="../charts/chart3.xml"/><Relationship Id="rId6" Type="http://schemas.openxmlformats.org/officeDocument/2006/relationships/hyperlink" Target="#'&#128203; Datos Generales'!A1"/><Relationship Id="rId11" Type="http://schemas.openxmlformats.org/officeDocument/2006/relationships/hyperlink" Target="#'&#129518; Costos x Producto'!A1"/><Relationship Id="rId5" Type="http://schemas.openxmlformats.org/officeDocument/2006/relationships/image" Target="../media/image9.svg"/><Relationship Id="rId15" Type="http://schemas.openxmlformats.org/officeDocument/2006/relationships/image" Target="../media/image4.svg"/><Relationship Id="rId10" Type="http://schemas.openxmlformats.org/officeDocument/2006/relationships/hyperlink" Target="#'&#129534; Tributos Aduana'!A1"/><Relationship Id="rId19" Type="http://schemas.openxmlformats.org/officeDocument/2006/relationships/hyperlink" Target="#'&#128202; KPI x Producto'!A1"/><Relationship Id="rId4" Type="http://schemas.openxmlformats.org/officeDocument/2006/relationships/image" Target="../media/image7.png"/><Relationship Id="rId9" Type="http://schemas.openxmlformats.org/officeDocument/2006/relationships/hyperlink" Target="#'&#129534; Factura Comercial'!A1"/><Relationship Id="rId1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3.png"/><Relationship Id="rId18" Type="http://schemas.openxmlformats.org/officeDocument/2006/relationships/hyperlink" Target="#'&#128202; KPI x Producto'!A1"/><Relationship Id="rId3" Type="http://schemas.openxmlformats.org/officeDocument/2006/relationships/hyperlink" Target="#'&#127968; PORTADA'!A1"/><Relationship Id="rId7" Type="http://schemas.openxmlformats.org/officeDocument/2006/relationships/hyperlink" Target="#'&#128203; Datos Generales'!A1"/><Relationship Id="rId12" Type="http://schemas.openxmlformats.org/officeDocument/2006/relationships/hyperlink" Target="#'&#128214; Instrucciones'!A1"/><Relationship Id="rId17" Type="http://schemas.openxmlformats.org/officeDocument/2006/relationships/hyperlink" Target="#'&#128202; Dashboard General'!A1"/><Relationship Id="rId2" Type="http://schemas.openxmlformats.org/officeDocument/2006/relationships/chart" Target="../charts/chart6.xml"/><Relationship Id="rId16" Type="http://schemas.openxmlformats.org/officeDocument/2006/relationships/hyperlink" Target="#'&#127974; Cr&#233;dito Fiscal'!A1"/><Relationship Id="rId1" Type="http://schemas.openxmlformats.org/officeDocument/2006/relationships/chart" Target="../charts/chart5.xml"/><Relationship Id="rId6" Type="http://schemas.openxmlformats.org/officeDocument/2006/relationships/image" Target="../media/image9.svg"/><Relationship Id="rId11" Type="http://schemas.openxmlformats.org/officeDocument/2006/relationships/hyperlink" Target="#'&#128230; Gastos Importaci&#243;n'!A1"/><Relationship Id="rId5" Type="http://schemas.openxmlformats.org/officeDocument/2006/relationships/image" Target="../media/image7.png"/><Relationship Id="rId15" Type="http://schemas.openxmlformats.org/officeDocument/2006/relationships/hyperlink" Target="#'&#128176; Precio de Venta'!A1"/><Relationship Id="rId10" Type="http://schemas.openxmlformats.org/officeDocument/2006/relationships/hyperlink" Target="#'&#129534; Factura Comercial'!A1"/><Relationship Id="rId19" Type="http://schemas.openxmlformats.org/officeDocument/2006/relationships/hyperlink" Target="#'&#129518; Costos x Producto'!A1"/><Relationship Id="rId4" Type="http://schemas.openxmlformats.org/officeDocument/2006/relationships/hyperlink" Target="CALCULADORA%20COSTOS%20DE%20IMPORTACION%20SALLY%20FINAL.xlsx" TargetMode="External"/><Relationship Id="rId9" Type="http://schemas.openxmlformats.org/officeDocument/2006/relationships/image" Target="../media/image2.svg"/><Relationship Id="rId14" Type="http://schemas.openxmlformats.org/officeDocument/2006/relationships/image" Target="../media/image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&#129534; Factura Comercial'!A1"/><Relationship Id="rId13" Type="http://schemas.openxmlformats.org/officeDocument/2006/relationships/image" Target="../media/image4.svg"/><Relationship Id="rId18" Type="http://schemas.openxmlformats.org/officeDocument/2006/relationships/hyperlink" Target="#'&#128202; KPI x Producto'!A1"/><Relationship Id="rId3" Type="http://schemas.openxmlformats.org/officeDocument/2006/relationships/image" Target="../media/image7.png"/><Relationship Id="rId7" Type="http://schemas.openxmlformats.org/officeDocument/2006/relationships/image" Target="../media/image2.svg"/><Relationship Id="rId12" Type="http://schemas.openxmlformats.org/officeDocument/2006/relationships/image" Target="../media/image3.png"/><Relationship Id="rId17" Type="http://schemas.openxmlformats.org/officeDocument/2006/relationships/hyperlink" Target="#'&#128202; Dashboard General'!A1"/><Relationship Id="rId2" Type="http://schemas.openxmlformats.org/officeDocument/2006/relationships/hyperlink" Target="CALCULADORA%20COSTOS%20DE%20IMPORTACION%20SALLY%20FINAL.xlsx" TargetMode="External"/><Relationship Id="rId16" Type="http://schemas.openxmlformats.org/officeDocument/2006/relationships/hyperlink" Target="#'&#127974; Cr&#233;dito Fiscal'!A1"/><Relationship Id="rId1" Type="http://schemas.openxmlformats.org/officeDocument/2006/relationships/hyperlink" Target="#'&#127968; PORTADA'!A1"/><Relationship Id="rId6" Type="http://schemas.openxmlformats.org/officeDocument/2006/relationships/image" Target="../media/image1.png"/><Relationship Id="rId11" Type="http://schemas.openxmlformats.org/officeDocument/2006/relationships/hyperlink" Target="#'&#128214; Instrucciones'!A1"/><Relationship Id="rId5" Type="http://schemas.openxmlformats.org/officeDocument/2006/relationships/hyperlink" Target="#'&#128203; Datos Generales'!A1"/><Relationship Id="rId15" Type="http://schemas.openxmlformats.org/officeDocument/2006/relationships/hyperlink" Target="#'&#128176; Precio de Venta'!A1"/><Relationship Id="rId10" Type="http://schemas.openxmlformats.org/officeDocument/2006/relationships/hyperlink" Target="#'&#129518; Costos x Producto'!A1"/><Relationship Id="rId4" Type="http://schemas.openxmlformats.org/officeDocument/2006/relationships/image" Target="../media/image9.svg"/><Relationship Id="rId9" Type="http://schemas.openxmlformats.org/officeDocument/2006/relationships/hyperlink" Target="#'&#128230; Gastos Importaci&#243;n'!A1"/><Relationship Id="rId14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hyperlink" Target="#'&#128214; Instrucciones'!A1"/><Relationship Id="rId18" Type="http://schemas.openxmlformats.org/officeDocument/2006/relationships/hyperlink" Target="#'&#128202; KPI x Producto'!A1"/><Relationship Id="rId3" Type="http://schemas.openxmlformats.org/officeDocument/2006/relationships/hyperlink" Target="#'&#127968; PORTADA'!A1"/><Relationship Id="rId7" Type="http://schemas.openxmlformats.org/officeDocument/2006/relationships/hyperlink" Target="#'&#128203; Datos Generales'!A1"/><Relationship Id="rId12" Type="http://schemas.openxmlformats.org/officeDocument/2006/relationships/hyperlink" Target="#'&#129518; Costos x Producto'!A1"/><Relationship Id="rId17" Type="http://schemas.openxmlformats.org/officeDocument/2006/relationships/hyperlink" Target="#'&#128202; Dashboard General'!A1"/><Relationship Id="rId2" Type="http://schemas.openxmlformats.org/officeDocument/2006/relationships/chart" Target="../charts/chart9.xml"/><Relationship Id="rId16" Type="http://schemas.openxmlformats.org/officeDocument/2006/relationships/hyperlink" Target="#'&#127974; Cr&#233;dito Fiscal'!A1"/><Relationship Id="rId1" Type="http://schemas.openxmlformats.org/officeDocument/2006/relationships/chart" Target="../charts/chart8.xml"/><Relationship Id="rId6" Type="http://schemas.openxmlformats.org/officeDocument/2006/relationships/image" Target="../media/image9.svg"/><Relationship Id="rId11" Type="http://schemas.openxmlformats.org/officeDocument/2006/relationships/hyperlink" Target="#'&#128230; Gastos Importaci&#243;n'!A1"/><Relationship Id="rId5" Type="http://schemas.openxmlformats.org/officeDocument/2006/relationships/image" Target="../media/image7.png"/><Relationship Id="rId15" Type="http://schemas.openxmlformats.org/officeDocument/2006/relationships/image" Target="../media/image4.svg"/><Relationship Id="rId10" Type="http://schemas.openxmlformats.org/officeDocument/2006/relationships/hyperlink" Target="#'&#129534; Factura Comercial'!A1"/><Relationship Id="rId4" Type="http://schemas.openxmlformats.org/officeDocument/2006/relationships/hyperlink" Target="CALCULADORA%20COSTOS%20DE%20IMPORTACION%20SALLY%20FINAL.xlsx" TargetMode="External"/><Relationship Id="rId9" Type="http://schemas.openxmlformats.org/officeDocument/2006/relationships/image" Target="../media/image2.svg"/><Relationship Id="rId14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CALCULADORA%20COSTOS%20DE%20IMPORTACION%20SALLY%20FINAL.xlsx" TargetMode="External"/><Relationship Id="rId13" Type="http://schemas.openxmlformats.org/officeDocument/2006/relationships/image" Target="../media/image4.svg"/><Relationship Id="rId18" Type="http://schemas.openxmlformats.org/officeDocument/2006/relationships/hyperlink" Target="#'&#128230; Gastos Importaci&#243;n'!A1"/><Relationship Id="rId3" Type="http://schemas.openxmlformats.org/officeDocument/2006/relationships/hyperlink" Target="#'&#129518; Costos x Producto'!A1"/><Relationship Id="rId7" Type="http://schemas.openxmlformats.org/officeDocument/2006/relationships/hyperlink" Target="#'&#127968; PORTADA'!A1"/><Relationship Id="rId12" Type="http://schemas.openxmlformats.org/officeDocument/2006/relationships/image" Target="../media/image3.png"/><Relationship Id="rId17" Type="http://schemas.openxmlformats.org/officeDocument/2006/relationships/hyperlink" Target="#'&#129534; Factura Comercial'!A1"/><Relationship Id="rId2" Type="http://schemas.openxmlformats.org/officeDocument/2006/relationships/chart" Target="../charts/chart11.xml"/><Relationship Id="rId16" Type="http://schemas.openxmlformats.org/officeDocument/2006/relationships/image" Target="../media/image2.svg"/><Relationship Id="rId1" Type="http://schemas.openxmlformats.org/officeDocument/2006/relationships/chart" Target="../charts/chart10.xml"/><Relationship Id="rId6" Type="http://schemas.openxmlformats.org/officeDocument/2006/relationships/hyperlink" Target="#'&#128202; KPI x Producto'!A1"/><Relationship Id="rId11" Type="http://schemas.openxmlformats.org/officeDocument/2006/relationships/hyperlink" Target="#'&#128214; Instrucciones'!A1"/><Relationship Id="rId5" Type="http://schemas.openxmlformats.org/officeDocument/2006/relationships/hyperlink" Target="#'&#128202; Dashboard General'!A1"/><Relationship Id="rId15" Type="http://schemas.openxmlformats.org/officeDocument/2006/relationships/image" Target="../media/image1.png"/><Relationship Id="rId10" Type="http://schemas.openxmlformats.org/officeDocument/2006/relationships/image" Target="../media/image9.svg"/><Relationship Id="rId4" Type="http://schemas.openxmlformats.org/officeDocument/2006/relationships/hyperlink" Target="#'&#128176; Precio de Venta'!A1"/><Relationship Id="rId9" Type="http://schemas.openxmlformats.org/officeDocument/2006/relationships/image" Target="../media/image7.png"/><Relationship Id="rId14" Type="http://schemas.openxmlformats.org/officeDocument/2006/relationships/hyperlink" Target="#'&#128203; Datos Generales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&#127974; Cr&#233;dito Fiscal'!A1"/><Relationship Id="rId13" Type="http://schemas.openxmlformats.org/officeDocument/2006/relationships/hyperlink" Target="#'&#128230; Gastos Importaci&#243;n'!A1"/><Relationship Id="rId3" Type="http://schemas.openxmlformats.org/officeDocument/2006/relationships/image" Target="../media/image10.png"/><Relationship Id="rId7" Type="http://schemas.openxmlformats.org/officeDocument/2006/relationships/image" Target="../media/image6.svg"/><Relationship Id="rId12" Type="http://schemas.openxmlformats.org/officeDocument/2006/relationships/hyperlink" Target="#'&#128202; KPI x Producto'!A1"/><Relationship Id="rId17" Type="http://schemas.openxmlformats.org/officeDocument/2006/relationships/chart" Target="../charts/chart23.xml"/><Relationship Id="rId2" Type="http://schemas.openxmlformats.org/officeDocument/2006/relationships/chart" Target="../charts/chart22.xml"/><Relationship Id="rId16" Type="http://schemas.openxmlformats.org/officeDocument/2006/relationships/hyperlink" Target="#'&#128214; Instrucciones'!A1"/><Relationship Id="rId1" Type="http://schemas.openxmlformats.org/officeDocument/2006/relationships/chart" Target="../charts/chart21.xml"/><Relationship Id="rId6" Type="http://schemas.openxmlformats.org/officeDocument/2006/relationships/image" Target="../media/image5.png"/><Relationship Id="rId11" Type="http://schemas.openxmlformats.org/officeDocument/2006/relationships/hyperlink" Target="#'&#129518; Costos x Producto'!A1"/><Relationship Id="rId5" Type="http://schemas.openxmlformats.org/officeDocument/2006/relationships/hyperlink" Target="#'&#127968; PORTADA'!A1"/><Relationship Id="rId15" Type="http://schemas.openxmlformats.org/officeDocument/2006/relationships/hyperlink" Target="#'&#128203; Datos Generales'!A1"/><Relationship Id="rId10" Type="http://schemas.openxmlformats.org/officeDocument/2006/relationships/hyperlink" Target="#'&#129534; Tributos Aduana'!A1"/><Relationship Id="rId4" Type="http://schemas.openxmlformats.org/officeDocument/2006/relationships/image" Target="../media/image11.svg"/><Relationship Id="rId9" Type="http://schemas.openxmlformats.org/officeDocument/2006/relationships/hyperlink" Target="#'&#128176; Precio de Venta'!A1"/><Relationship Id="rId14" Type="http://schemas.openxmlformats.org/officeDocument/2006/relationships/hyperlink" Target="#'&#129534; Factura Comercial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&#129534; Tributos Aduana'!A1"/><Relationship Id="rId13" Type="http://schemas.openxmlformats.org/officeDocument/2006/relationships/hyperlink" Target="#'&#128203; Datos Generales'!A1"/><Relationship Id="rId3" Type="http://schemas.openxmlformats.org/officeDocument/2006/relationships/hyperlink" Target="#'&#127968; PORTADA'!A1"/><Relationship Id="rId7" Type="http://schemas.openxmlformats.org/officeDocument/2006/relationships/hyperlink" Target="#'&#128176; Precio de Venta'!A1"/><Relationship Id="rId12" Type="http://schemas.openxmlformats.org/officeDocument/2006/relationships/hyperlink" Target="#'&#129534; Factura Comercial'!A1"/><Relationship Id="rId2" Type="http://schemas.openxmlformats.org/officeDocument/2006/relationships/image" Target="../media/image11.svg"/><Relationship Id="rId1" Type="http://schemas.openxmlformats.org/officeDocument/2006/relationships/image" Target="../media/image10.png"/><Relationship Id="rId6" Type="http://schemas.openxmlformats.org/officeDocument/2006/relationships/hyperlink" Target="#'&#127974; Cr&#233;dito Fiscal'!A1"/><Relationship Id="rId11" Type="http://schemas.openxmlformats.org/officeDocument/2006/relationships/hyperlink" Target="#'&#128230; Gastos Importaci&#243;n'!A1"/><Relationship Id="rId5" Type="http://schemas.openxmlformats.org/officeDocument/2006/relationships/image" Target="../media/image6.svg"/><Relationship Id="rId10" Type="http://schemas.openxmlformats.org/officeDocument/2006/relationships/hyperlink" Target="#'&#128202; Dashboard General'!A1"/><Relationship Id="rId4" Type="http://schemas.openxmlformats.org/officeDocument/2006/relationships/image" Target="../media/image5.png"/><Relationship Id="rId9" Type="http://schemas.openxmlformats.org/officeDocument/2006/relationships/hyperlink" Target="#'&#129518; Costos x Producto'!A1"/><Relationship Id="rId14" Type="http://schemas.openxmlformats.org/officeDocument/2006/relationships/hyperlink" Target="#'&#128214; Instruccione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19050</xdr:rowOff>
    </xdr:from>
    <xdr:to>
      <xdr:col>3</xdr:col>
      <xdr:colOff>246529</xdr:colOff>
      <xdr:row>26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B101F8B-03D3-40B3-BFA2-755C06E7E13A}"/>
            </a:ext>
          </a:extLst>
        </xdr:cNvPr>
        <xdr:cNvSpPr/>
      </xdr:nvSpPr>
      <xdr:spPr>
        <a:xfrm>
          <a:off x="229721" y="119903"/>
          <a:ext cx="868455" cy="816124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189939</xdr:colOff>
      <xdr:row>2</xdr:row>
      <xdr:rowOff>275593</xdr:rowOff>
    </xdr:from>
    <xdr:to>
      <xdr:col>3</xdr:col>
      <xdr:colOff>115980</xdr:colOff>
      <xdr:row>5</xdr:row>
      <xdr:rowOff>262145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9DA97B22-1ADF-44CD-ACBE-0FF7CD549FA5}"/>
            </a:ext>
          </a:extLst>
        </xdr:cNvPr>
        <xdr:cNvGrpSpPr/>
      </xdr:nvGrpSpPr>
      <xdr:grpSpPr>
        <a:xfrm>
          <a:off x="322461" y="1070723"/>
          <a:ext cx="654910" cy="674009"/>
          <a:chOff x="430141" y="1986147"/>
          <a:chExt cx="650642" cy="682857"/>
        </a:xfrm>
      </xdr:grpSpPr>
      <xdr:sp macro="" textlink="">
        <xdr:nvSpPr>
          <xdr:cNvPr id="7" name="Rectángulo: esquinas redondeada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19CC38C-1EC8-A0B3-4720-1CBF2F0FBCCA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8" name="Gráfico 7" descr="Búsqueda de carpetas contorno">
            <a:extLst>
              <a:ext uri="{FF2B5EF4-FFF2-40B4-BE49-F238E27FC236}">
                <a16:creationId xmlns:a16="http://schemas.microsoft.com/office/drawing/2014/main" id="{24713B7F-685C-0C88-D5F5-07A8B8EEC1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185456</xdr:colOff>
      <xdr:row>8</xdr:row>
      <xdr:rowOff>301366</xdr:rowOff>
    </xdr:from>
    <xdr:to>
      <xdr:col>3</xdr:col>
      <xdr:colOff>117638</xdr:colOff>
      <xdr:row>10</xdr:row>
      <xdr:rowOff>326018</xdr:rowOff>
    </xdr:to>
    <xdr:sp macro="" textlink="">
      <xdr:nvSpPr>
        <xdr:cNvPr id="9" name="Rectángulo: esquinas redondeada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806678-B07F-4EA6-8677-C4B2B486228D}"/>
            </a:ext>
          </a:extLst>
        </xdr:cNvPr>
        <xdr:cNvSpPr/>
      </xdr:nvSpPr>
      <xdr:spPr>
        <a:xfrm>
          <a:off x="328331" y="2587366"/>
          <a:ext cx="646557" cy="691402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1</xdr:col>
      <xdr:colOff>180975</xdr:colOff>
      <xdr:row>11</xdr:row>
      <xdr:rowOff>109745</xdr:rowOff>
    </xdr:from>
    <xdr:to>
      <xdr:col>3</xdr:col>
      <xdr:colOff>124208</xdr:colOff>
      <xdr:row>13</xdr:row>
      <xdr:rowOff>134397</xdr:rowOff>
    </xdr:to>
    <xdr:sp macro="" textlink="">
      <xdr:nvSpPr>
        <xdr:cNvPr id="10" name="Rectángulo: esquinas redondeada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12946D-5A7B-4021-8ECB-67BD3EA12A8C}"/>
            </a:ext>
          </a:extLst>
        </xdr:cNvPr>
        <xdr:cNvSpPr/>
      </xdr:nvSpPr>
      <xdr:spPr>
        <a:xfrm>
          <a:off x="323850" y="3395870"/>
          <a:ext cx="657608" cy="691402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1</xdr:col>
      <xdr:colOff>187698</xdr:colOff>
      <xdr:row>13</xdr:row>
      <xdr:rowOff>241974</xdr:rowOff>
    </xdr:from>
    <xdr:to>
      <xdr:col>3</xdr:col>
      <xdr:colOff>124208</xdr:colOff>
      <xdr:row>15</xdr:row>
      <xdr:rowOff>266626</xdr:rowOff>
    </xdr:to>
    <xdr:sp macro="" textlink="">
      <xdr:nvSpPr>
        <xdr:cNvPr id="11" name="Rectángulo: esquinas redondeada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A8FC31F-4178-493B-A496-A342BCB3479D}"/>
            </a:ext>
          </a:extLst>
        </xdr:cNvPr>
        <xdr:cNvSpPr/>
      </xdr:nvSpPr>
      <xdr:spPr>
        <a:xfrm>
          <a:off x="330573" y="4194849"/>
          <a:ext cx="650885" cy="69140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185456</xdr:colOff>
      <xdr:row>6</xdr:row>
      <xdr:rowOff>1329</xdr:rowOff>
    </xdr:from>
    <xdr:to>
      <xdr:col>3</xdr:col>
      <xdr:colOff>117638</xdr:colOff>
      <xdr:row>8</xdr:row>
      <xdr:rowOff>202193</xdr:rowOff>
    </xdr:to>
    <xdr:sp macro="" textlink="">
      <xdr:nvSpPr>
        <xdr:cNvPr id="12" name="Rectángulo: esquinas redondeada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D03CBF-5497-4693-BD21-480E3DAE50E1}"/>
            </a:ext>
          </a:extLst>
        </xdr:cNvPr>
        <xdr:cNvSpPr/>
      </xdr:nvSpPr>
      <xdr:spPr>
        <a:xfrm>
          <a:off x="328331" y="1811079"/>
          <a:ext cx="646557" cy="677114"/>
        </a:xfrm>
        <a:prstGeom prst="roundRect">
          <a:avLst/>
        </a:prstGeom>
        <a:solidFill>
          <a:srgbClr val="BDD8E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FACTURA</a:t>
          </a:r>
        </a:p>
        <a:p>
          <a:pPr algn="ctr"/>
          <a:r>
            <a:rPr lang="es-PE" sz="800" b="1">
              <a:solidFill>
                <a:sysClr val="windowText" lastClr="000000"/>
              </a:solidFill>
            </a:rPr>
            <a:t>INVOICE</a:t>
          </a:r>
        </a:p>
      </xdr:txBody>
    </xdr:sp>
    <xdr:clientData/>
  </xdr:twoCellAnchor>
  <xdr:twoCellAnchor>
    <xdr:from>
      <xdr:col>1</xdr:col>
      <xdr:colOff>183215</xdr:colOff>
      <xdr:row>1</xdr:row>
      <xdr:rowOff>209548</xdr:rowOff>
    </xdr:from>
    <xdr:to>
      <xdr:col>3</xdr:col>
      <xdr:colOff>109256</xdr:colOff>
      <xdr:row>2</xdr:row>
      <xdr:rowOff>186575</xdr:rowOff>
    </xdr:to>
    <xdr:grpSp>
      <xdr:nvGrpSpPr>
        <xdr:cNvPr id="15" name="Grupo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A81E79E-8455-B8A9-0EBE-A6AEE84B2DC6}"/>
            </a:ext>
          </a:extLst>
        </xdr:cNvPr>
        <xdr:cNvGrpSpPr/>
      </xdr:nvGrpSpPr>
      <xdr:grpSpPr>
        <a:xfrm>
          <a:off x="315737" y="308939"/>
          <a:ext cx="654910" cy="672766"/>
          <a:chOff x="316565" y="209550"/>
          <a:chExt cx="649941" cy="674257"/>
        </a:xfrm>
      </xdr:grpSpPr>
      <xdr:sp macro="" textlink="">
        <xdr:nvSpPr>
          <xdr:cNvPr id="4" name="Rectángulo: esquinas redondeadas 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C8BC4333-54BB-ADC8-E7C5-6DB4F488EC84}"/>
              </a:ext>
            </a:extLst>
          </xdr:cNvPr>
          <xdr:cNvSpPr/>
        </xdr:nvSpPr>
        <xdr:spPr>
          <a:xfrm>
            <a:off x="316565" y="209550"/>
            <a:ext cx="649941" cy="674257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14" name="Gráfico 13" descr="Lupa con relleno sólido">
            <a:extLst>
              <a:ext uri="{FF2B5EF4-FFF2-40B4-BE49-F238E27FC236}">
                <a16:creationId xmlns:a16="http://schemas.microsoft.com/office/drawing/2014/main" id="{2B459AA2-64C4-6C75-E431-24831D7815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491490" y="491490"/>
            <a:ext cx="281940" cy="28194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169451</xdr:colOff>
      <xdr:row>16</xdr:row>
      <xdr:rowOff>32036</xdr:rowOff>
    </xdr:from>
    <xdr:to>
      <xdr:col>3</xdr:col>
      <xdr:colOff>129343</xdr:colOff>
      <xdr:row>18</xdr:row>
      <xdr:rowOff>249594</xdr:rowOff>
    </xdr:to>
    <xdr:sp macro="" textlink="">
      <xdr:nvSpPr>
        <xdr:cNvPr id="16" name="Rectángulo: esquinas redondeada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FFAD7B0-51A2-470C-9D67-54CEE85D113C}"/>
            </a:ext>
          </a:extLst>
        </xdr:cNvPr>
        <xdr:cNvSpPr/>
      </xdr:nvSpPr>
      <xdr:spPr>
        <a:xfrm>
          <a:off x="312326" y="4985036"/>
          <a:ext cx="674267" cy="693808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1</xdr:col>
      <xdr:colOff>176174</xdr:colOff>
      <xdr:row>18</xdr:row>
      <xdr:rowOff>361358</xdr:rowOff>
    </xdr:from>
    <xdr:to>
      <xdr:col>3</xdr:col>
      <xdr:colOff>129343</xdr:colOff>
      <xdr:row>21</xdr:row>
      <xdr:rowOff>22224</xdr:rowOff>
    </xdr:to>
    <xdr:sp macro="" textlink="">
      <xdr:nvSpPr>
        <xdr:cNvPr id="17" name="Rectángulo: esquinas redondeada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57B91D0-3802-42CC-9E16-6527AAAD0730}"/>
            </a:ext>
          </a:extLst>
        </xdr:cNvPr>
        <xdr:cNvSpPr/>
      </xdr:nvSpPr>
      <xdr:spPr>
        <a:xfrm>
          <a:off x="319049" y="5790608"/>
          <a:ext cx="667544" cy="68480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191798</xdr:colOff>
      <xdr:row>21</xdr:row>
      <xdr:rowOff>134147</xdr:rowOff>
    </xdr:from>
    <xdr:to>
      <xdr:col>3</xdr:col>
      <xdr:colOff>151690</xdr:colOff>
      <xdr:row>23</xdr:row>
      <xdr:rowOff>113580</xdr:rowOff>
    </xdr:to>
    <xdr:sp macro="" textlink="">
      <xdr:nvSpPr>
        <xdr:cNvPr id="18" name="Rectángulo: esquinas redondeada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2154A39-77DE-4743-87FE-29B5162BFDD1}"/>
            </a:ext>
          </a:extLst>
        </xdr:cNvPr>
        <xdr:cNvSpPr/>
      </xdr:nvSpPr>
      <xdr:spPr>
        <a:xfrm>
          <a:off x="334673" y="6587335"/>
          <a:ext cx="674267" cy="693808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1</xdr:col>
      <xdr:colOff>183932</xdr:colOff>
      <xdr:row>24</xdr:row>
      <xdr:rowOff>101817</xdr:rowOff>
    </xdr:from>
    <xdr:to>
      <xdr:col>3</xdr:col>
      <xdr:colOff>142149</xdr:colOff>
      <xdr:row>25</xdr:row>
      <xdr:rowOff>424821</xdr:rowOff>
    </xdr:to>
    <xdr:sp macro="" textlink="">
      <xdr:nvSpPr>
        <xdr:cNvPr id="3" name="Rectángulo: esquinas redondeadas 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9601F64-386D-4795-ADF9-2E55EDC224D2}"/>
            </a:ext>
          </a:extLst>
        </xdr:cNvPr>
        <xdr:cNvSpPr/>
      </xdr:nvSpPr>
      <xdr:spPr>
        <a:xfrm>
          <a:off x="326807" y="7388442"/>
          <a:ext cx="672592" cy="68019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114299</xdr:rowOff>
    </xdr:from>
    <xdr:to>
      <xdr:col>4</xdr:col>
      <xdr:colOff>95250</xdr:colOff>
      <xdr:row>50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2F9DE-7A57-44BD-3214-D9B1EBB7B4EB}"/>
            </a:ext>
          </a:extLst>
        </xdr:cNvPr>
        <xdr:cNvSpPr/>
      </xdr:nvSpPr>
      <xdr:spPr>
        <a:xfrm>
          <a:off x="771525" y="742949"/>
          <a:ext cx="6696075" cy="12058651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125558</xdr:colOff>
      <xdr:row>1</xdr:row>
      <xdr:rowOff>131619</xdr:rowOff>
    </xdr:from>
    <xdr:to>
      <xdr:col>2</xdr:col>
      <xdr:colOff>140888</xdr:colOff>
      <xdr:row>26</xdr:row>
      <xdr:rowOff>142876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DCB112D-698D-45EA-8888-19CFC2862C84}"/>
            </a:ext>
          </a:extLst>
        </xdr:cNvPr>
        <xdr:cNvSpPr/>
      </xdr:nvSpPr>
      <xdr:spPr>
        <a:xfrm>
          <a:off x="125558" y="569769"/>
          <a:ext cx="863055" cy="7907482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220247</xdr:colOff>
      <xdr:row>4</xdr:row>
      <xdr:rowOff>140514</xdr:rowOff>
    </xdr:from>
    <xdr:to>
      <xdr:col>2</xdr:col>
      <xdr:colOff>29389</xdr:colOff>
      <xdr:row>6</xdr:row>
      <xdr:rowOff>108016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67B4A5E9-8967-4FBA-88C5-EE7FF4F62E08}"/>
            </a:ext>
          </a:extLst>
        </xdr:cNvPr>
        <xdr:cNvGrpSpPr/>
      </xdr:nvGrpSpPr>
      <xdr:grpSpPr>
        <a:xfrm>
          <a:off x="220247" y="1417985"/>
          <a:ext cx="660789" cy="662266"/>
          <a:chOff x="430141" y="1986147"/>
          <a:chExt cx="650642" cy="682857"/>
        </a:xfrm>
      </xdr:grpSpPr>
      <xdr:sp macro="" textlink="">
        <xdr:nvSpPr>
          <xdr:cNvPr id="9" name="Rectángulo: esquinas redondeadas 8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10CE3128-28D0-9695-B98C-9F1A11A66A4A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0" name="Gráfico 9" descr="Búsqueda de carpetas contorno">
            <a:extLst>
              <a:ext uri="{FF2B5EF4-FFF2-40B4-BE49-F238E27FC236}">
                <a16:creationId xmlns:a16="http://schemas.microsoft.com/office/drawing/2014/main" id="{ED66CEB3-FF3E-840C-AA0B-E81D5864CD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215764</xdr:colOff>
      <xdr:row>9</xdr:row>
      <xdr:rowOff>137712</xdr:rowOff>
    </xdr:from>
    <xdr:to>
      <xdr:col>2</xdr:col>
      <xdr:colOff>31047</xdr:colOff>
      <xdr:row>11</xdr:row>
      <xdr:rowOff>105214</xdr:rowOff>
    </xdr:to>
    <xdr:sp macro="" textlink="">
      <xdr:nvSpPr>
        <xdr:cNvPr id="11" name="Rectángulo: esquinas redondeada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447438B-4964-4BA4-98A1-B073BEC7C389}"/>
            </a:ext>
          </a:extLst>
        </xdr:cNvPr>
        <xdr:cNvSpPr/>
      </xdr:nvSpPr>
      <xdr:spPr>
        <a:xfrm>
          <a:off x="215764" y="3116439"/>
          <a:ext cx="663874" cy="660230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0</xdr:col>
      <xdr:colOff>211283</xdr:colOff>
      <xdr:row>11</xdr:row>
      <xdr:rowOff>212791</xdr:rowOff>
    </xdr:from>
    <xdr:to>
      <xdr:col>2</xdr:col>
      <xdr:colOff>37617</xdr:colOff>
      <xdr:row>13</xdr:row>
      <xdr:rowOff>342218</xdr:rowOff>
    </xdr:to>
    <xdr:sp macro="" textlink="">
      <xdr:nvSpPr>
        <xdr:cNvPr id="12" name="Rectángulo: esquinas redondeada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E89471-49A9-4AC0-B8F0-43AD1A05BF4E}"/>
            </a:ext>
          </a:extLst>
        </xdr:cNvPr>
        <xdr:cNvSpPr/>
      </xdr:nvSpPr>
      <xdr:spPr>
        <a:xfrm>
          <a:off x="211283" y="3884246"/>
          <a:ext cx="674925" cy="666290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0</xdr:col>
      <xdr:colOff>218006</xdr:colOff>
      <xdr:row>14</xdr:row>
      <xdr:rowOff>97370</xdr:rowOff>
    </xdr:from>
    <xdr:to>
      <xdr:col>2</xdr:col>
      <xdr:colOff>37617</xdr:colOff>
      <xdr:row>16</xdr:row>
      <xdr:rowOff>64872</xdr:rowOff>
    </xdr:to>
    <xdr:sp macro="" textlink="">
      <xdr:nvSpPr>
        <xdr:cNvPr id="13" name="Rectángulo: esquinas redondeada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AB40709-8ABF-49CD-9F78-C285720BC5E0}"/>
            </a:ext>
          </a:extLst>
        </xdr:cNvPr>
        <xdr:cNvSpPr/>
      </xdr:nvSpPr>
      <xdr:spPr>
        <a:xfrm>
          <a:off x="218006" y="4652052"/>
          <a:ext cx="668202" cy="660229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215764</xdr:colOff>
      <xdr:row>6</xdr:row>
      <xdr:rowOff>204387</xdr:rowOff>
    </xdr:from>
    <xdr:to>
      <xdr:col>2</xdr:col>
      <xdr:colOff>31047</xdr:colOff>
      <xdr:row>9</xdr:row>
      <xdr:rowOff>38539</xdr:rowOff>
    </xdr:to>
    <xdr:sp macro="" textlink="">
      <xdr:nvSpPr>
        <xdr:cNvPr id="14" name="Rectángulo: esquinas redondeada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095E14-A001-4D96-9852-8512310482D9}"/>
            </a:ext>
          </a:extLst>
        </xdr:cNvPr>
        <xdr:cNvSpPr/>
      </xdr:nvSpPr>
      <xdr:spPr>
        <a:xfrm>
          <a:off x="215764" y="2351842"/>
          <a:ext cx="663874" cy="665424"/>
        </a:xfrm>
        <a:prstGeom prst="roundRect">
          <a:avLst/>
        </a:prstGeom>
        <a:solidFill>
          <a:srgbClr val="BDD8E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FACTURA</a:t>
          </a:r>
        </a:p>
        <a:p>
          <a:pPr algn="ctr"/>
          <a:r>
            <a:rPr lang="es-PE" sz="800" b="1">
              <a:solidFill>
                <a:sysClr val="windowText" lastClr="000000"/>
              </a:solidFill>
            </a:rPr>
            <a:t>INVOICE</a:t>
          </a:r>
        </a:p>
      </xdr:txBody>
    </xdr:sp>
    <xdr:clientData/>
  </xdr:twoCellAnchor>
  <xdr:twoCellAnchor>
    <xdr:from>
      <xdr:col>0</xdr:col>
      <xdr:colOff>230662</xdr:colOff>
      <xdr:row>1</xdr:row>
      <xdr:rowOff>229556</xdr:rowOff>
    </xdr:from>
    <xdr:to>
      <xdr:col>2</xdr:col>
      <xdr:colOff>33206</xdr:colOff>
      <xdr:row>4</xdr:row>
      <xdr:rowOff>47943</xdr:rowOff>
    </xdr:to>
    <xdr:sp macro="" textlink="">
      <xdr:nvSpPr>
        <xdr:cNvPr id="15" name="Rectángulo: esquinas redondeada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62852C-F589-490E-B263-A618738ABD22}"/>
            </a:ext>
          </a:extLst>
        </xdr:cNvPr>
        <xdr:cNvSpPr/>
      </xdr:nvSpPr>
      <xdr:spPr>
        <a:xfrm>
          <a:off x="230662" y="860177"/>
          <a:ext cx="649941" cy="672352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/>
            <a:t>Inicio</a:t>
          </a:r>
        </a:p>
        <a:p>
          <a:pPr algn="ctr"/>
          <a:endParaRPr lang="es-PE" sz="1200" b="1"/>
        </a:p>
      </xdr:txBody>
    </xdr:sp>
    <xdr:clientData/>
  </xdr:twoCellAnchor>
  <xdr:twoCellAnchor editAs="oneCell">
    <xdr:from>
      <xdr:col>0</xdr:col>
      <xdr:colOff>400707</xdr:colOff>
      <xdr:row>3</xdr:row>
      <xdr:rowOff>14450</xdr:rowOff>
    </xdr:from>
    <xdr:to>
      <xdr:col>1</xdr:col>
      <xdr:colOff>315311</xdr:colOff>
      <xdr:row>3</xdr:row>
      <xdr:rowOff>336330</xdr:rowOff>
    </xdr:to>
    <xdr:pic>
      <xdr:nvPicPr>
        <xdr:cNvPr id="17" name="Gráfico 16" descr="Hogar contorno">
          <a:extLst>
            <a:ext uri="{FF2B5EF4-FFF2-40B4-BE49-F238E27FC236}">
              <a16:creationId xmlns:a16="http://schemas.microsoft.com/office/drawing/2014/main" id="{BAE9DDBC-E52F-0F69-6231-5DFFE6305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00707" y="1144312"/>
          <a:ext cx="321880" cy="321880"/>
        </a:xfrm>
        <a:prstGeom prst="rect">
          <a:avLst/>
        </a:prstGeom>
      </xdr:spPr>
    </xdr:pic>
    <xdr:clientData/>
  </xdr:twoCellAnchor>
  <xdr:twoCellAnchor>
    <xdr:from>
      <xdr:col>0</xdr:col>
      <xdr:colOff>208531</xdr:colOff>
      <xdr:row>16</xdr:row>
      <xdr:rowOff>157370</xdr:rowOff>
    </xdr:from>
    <xdr:to>
      <xdr:col>2</xdr:col>
      <xdr:colOff>50961</xdr:colOff>
      <xdr:row>18</xdr:row>
      <xdr:rowOff>125884</xdr:rowOff>
    </xdr:to>
    <xdr:sp macro="" textlink="">
      <xdr:nvSpPr>
        <xdr:cNvPr id="31" name="Rectángulo: esquinas redondeadas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3616F8E-DD8B-45D8-A277-6724AEC7953F}"/>
            </a:ext>
          </a:extLst>
        </xdr:cNvPr>
        <xdr:cNvSpPr/>
      </xdr:nvSpPr>
      <xdr:spPr>
        <a:xfrm>
          <a:off x="208531" y="5334000"/>
          <a:ext cx="687256" cy="68081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215254</xdr:colOff>
      <xdr:row>19</xdr:row>
      <xdr:rowOff>47148</xdr:rowOff>
    </xdr:from>
    <xdr:to>
      <xdr:col>2</xdr:col>
      <xdr:colOff>50961</xdr:colOff>
      <xdr:row>21</xdr:row>
      <xdr:rowOff>23978</xdr:rowOff>
    </xdr:to>
    <xdr:sp macro="" textlink="">
      <xdr:nvSpPr>
        <xdr:cNvPr id="32" name="Rectángulo: esquinas redondeadas 3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988806-49A6-42C2-A5DC-66B39D7DA28F}"/>
            </a:ext>
          </a:extLst>
        </xdr:cNvPr>
        <xdr:cNvSpPr/>
      </xdr:nvSpPr>
      <xdr:spPr>
        <a:xfrm>
          <a:off x="215254" y="6126583"/>
          <a:ext cx="680533" cy="68913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219149</xdr:colOff>
      <xdr:row>21</xdr:row>
      <xdr:rowOff>141143</xdr:rowOff>
    </xdr:from>
    <xdr:to>
      <xdr:col>2</xdr:col>
      <xdr:colOff>48492</xdr:colOff>
      <xdr:row>23</xdr:row>
      <xdr:rowOff>283621</xdr:rowOff>
    </xdr:to>
    <xdr:sp macro="" textlink="">
      <xdr:nvSpPr>
        <xdr:cNvPr id="6" name="Rectángulo: esquinas redondeadas 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D63294B-9FF5-4F64-B119-4F6EF5C11D11}"/>
            </a:ext>
          </a:extLst>
        </xdr:cNvPr>
        <xdr:cNvSpPr/>
      </xdr:nvSpPr>
      <xdr:spPr>
        <a:xfrm>
          <a:off x="219149" y="6875318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220808</xdr:colOff>
      <xdr:row>24</xdr:row>
      <xdr:rowOff>42698</xdr:rowOff>
    </xdr:from>
    <xdr:to>
      <xdr:col>2</xdr:col>
      <xdr:colOff>48476</xdr:colOff>
      <xdr:row>26</xdr:row>
      <xdr:rowOff>8234</xdr:rowOff>
    </xdr:to>
    <xdr:sp macro="" textlink="">
      <xdr:nvSpPr>
        <xdr:cNvPr id="7" name="Rectángulo: esquinas redondeadas 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62FCF0E-3CB3-4368-BBBA-3284AB78FCF3}"/>
            </a:ext>
          </a:extLst>
        </xdr:cNvPr>
        <xdr:cNvSpPr/>
      </xdr:nvSpPr>
      <xdr:spPr>
        <a:xfrm>
          <a:off x="220808" y="7672223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47625</xdr:rowOff>
    </xdr:from>
    <xdr:to>
      <xdr:col>2</xdr:col>
      <xdr:colOff>125548</xdr:colOff>
      <xdr:row>35</xdr:row>
      <xdr:rowOff>158750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15CF08B-76B9-48BC-9B07-69DE1177C235}"/>
            </a:ext>
          </a:extLst>
        </xdr:cNvPr>
        <xdr:cNvSpPr/>
      </xdr:nvSpPr>
      <xdr:spPr>
        <a:xfrm>
          <a:off x="161925" y="619125"/>
          <a:ext cx="863206" cy="7815792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252131</xdr:colOff>
      <xdr:row>11</xdr:row>
      <xdr:rowOff>172100</xdr:rowOff>
    </xdr:from>
    <xdr:to>
      <xdr:col>2</xdr:col>
      <xdr:colOff>15707</xdr:colOff>
      <xdr:row>14</xdr:row>
      <xdr:rowOff>104223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0ED818-89A9-4583-9443-F8F0D195AD5D}"/>
            </a:ext>
          </a:extLst>
        </xdr:cNvPr>
        <xdr:cNvSpPr/>
      </xdr:nvSpPr>
      <xdr:spPr>
        <a:xfrm>
          <a:off x="252131" y="3020075"/>
          <a:ext cx="658926" cy="675073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0</xdr:col>
      <xdr:colOff>247650</xdr:colOff>
      <xdr:row>14</xdr:row>
      <xdr:rowOff>211800</xdr:rowOff>
    </xdr:from>
    <xdr:to>
      <xdr:col>2</xdr:col>
      <xdr:colOff>22277</xdr:colOff>
      <xdr:row>17</xdr:row>
      <xdr:rowOff>199713</xdr:rowOff>
    </xdr:to>
    <xdr:sp macro="" textlink="">
      <xdr:nvSpPr>
        <xdr:cNvPr id="7" name="Rectángulo: esquinas redondeada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9A0572-EC8F-4E29-ADD5-425AF1475AAD}"/>
            </a:ext>
          </a:extLst>
        </xdr:cNvPr>
        <xdr:cNvSpPr/>
      </xdr:nvSpPr>
      <xdr:spPr>
        <a:xfrm>
          <a:off x="247650" y="3802725"/>
          <a:ext cx="669977" cy="673713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0</xdr:col>
      <xdr:colOff>254373</xdr:colOff>
      <xdr:row>18</xdr:row>
      <xdr:rowOff>61001</xdr:rowOff>
    </xdr:from>
    <xdr:to>
      <xdr:col>2</xdr:col>
      <xdr:colOff>22277</xdr:colOff>
      <xdr:row>20</xdr:row>
      <xdr:rowOff>240774</xdr:rowOff>
    </xdr:to>
    <xdr:sp macro="" textlink="">
      <xdr:nvSpPr>
        <xdr:cNvPr id="8" name="Rectángulo: esquinas redondeada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899CB5-2191-4748-A961-8C5E4730A098}"/>
            </a:ext>
          </a:extLst>
        </xdr:cNvPr>
        <xdr:cNvSpPr/>
      </xdr:nvSpPr>
      <xdr:spPr>
        <a:xfrm>
          <a:off x="254373" y="4585376"/>
          <a:ext cx="663254" cy="675073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252131</xdr:colOff>
      <xdr:row>8</xdr:row>
      <xdr:rowOff>138082</xdr:rowOff>
    </xdr:from>
    <xdr:to>
      <xdr:col>2</xdr:col>
      <xdr:colOff>15707</xdr:colOff>
      <xdr:row>11</xdr:row>
      <xdr:rowOff>72927</xdr:rowOff>
    </xdr:to>
    <xdr:sp macro="" textlink="">
      <xdr:nvSpPr>
        <xdr:cNvPr id="9" name="Rectángulo: esquinas redondeada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936399-59DB-476E-9988-6EDBD8FDEC4F}"/>
            </a:ext>
          </a:extLst>
        </xdr:cNvPr>
        <xdr:cNvSpPr/>
      </xdr:nvSpPr>
      <xdr:spPr>
        <a:xfrm>
          <a:off x="252131" y="2243107"/>
          <a:ext cx="658926" cy="677795"/>
        </a:xfrm>
        <a:prstGeom prst="roundRect">
          <a:avLst/>
        </a:prstGeom>
        <a:solidFill>
          <a:srgbClr val="BDD8E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FACTURA</a:t>
          </a:r>
        </a:p>
        <a:p>
          <a:pPr algn="ctr"/>
          <a:r>
            <a:rPr lang="es-PE" sz="800" b="1">
              <a:solidFill>
                <a:sysClr val="windowText" lastClr="000000"/>
              </a:solidFill>
            </a:rPr>
            <a:t>INVOICE</a:t>
          </a:r>
        </a:p>
      </xdr:txBody>
    </xdr:sp>
    <xdr:clientData/>
  </xdr:twoCellAnchor>
  <xdr:twoCellAnchor>
    <xdr:from>
      <xdr:col>0</xdr:col>
      <xdr:colOff>267029</xdr:colOff>
      <xdr:row>1</xdr:row>
      <xdr:rowOff>145562</xdr:rowOff>
    </xdr:from>
    <xdr:to>
      <xdr:col>2</xdr:col>
      <xdr:colOff>17866</xdr:colOff>
      <xdr:row>5</xdr:row>
      <xdr:rowOff>17016</xdr:rowOff>
    </xdr:to>
    <xdr:sp macro="" textlink="">
      <xdr:nvSpPr>
        <xdr:cNvPr id="10" name="Rectángulo: esquinas redondeada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75D437-339C-4267-A4B0-A04E8D2C2A51}"/>
            </a:ext>
          </a:extLst>
        </xdr:cNvPr>
        <xdr:cNvSpPr/>
      </xdr:nvSpPr>
      <xdr:spPr>
        <a:xfrm>
          <a:off x="267029" y="717062"/>
          <a:ext cx="646187" cy="66202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/>
            <a:t>Inicio</a:t>
          </a:r>
        </a:p>
        <a:p>
          <a:pPr algn="ctr"/>
          <a:endParaRPr lang="es-PE" sz="1200" b="1"/>
        </a:p>
      </xdr:txBody>
    </xdr:sp>
    <xdr:clientData/>
  </xdr:twoCellAnchor>
  <xdr:twoCellAnchor editAs="oneCell">
    <xdr:from>
      <xdr:col>0</xdr:col>
      <xdr:colOff>437074</xdr:colOff>
      <xdr:row>3</xdr:row>
      <xdr:rowOff>125038</xdr:rowOff>
    </xdr:from>
    <xdr:to>
      <xdr:col>1</xdr:col>
      <xdr:colOff>274117</xdr:colOff>
      <xdr:row>4</xdr:row>
      <xdr:rowOff>199268</xdr:rowOff>
    </xdr:to>
    <xdr:pic>
      <xdr:nvPicPr>
        <xdr:cNvPr id="11" name="Gráfico 10" descr="Hogar contorno">
          <a:extLst>
            <a:ext uri="{FF2B5EF4-FFF2-40B4-BE49-F238E27FC236}">
              <a16:creationId xmlns:a16="http://schemas.microsoft.com/office/drawing/2014/main" id="{8F81A9D9-C3A3-46DD-99FD-208AB585D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37074" y="991813"/>
          <a:ext cx="322818" cy="321880"/>
        </a:xfrm>
        <a:prstGeom prst="rect">
          <a:avLst/>
        </a:prstGeom>
      </xdr:spPr>
    </xdr:pic>
    <xdr:clientData/>
  </xdr:twoCellAnchor>
  <xdr:twoCellAnchor>
    <xdr:from>
      <xdr:col>0</xdr:col>
      <xdr:colOff>262189</xdr:colOff>
      <xdr:row>5</xdr:row>
      <xdr:rowOff>107783</xdr:rowOff>
    </xdr:from>
    <xdr:to>
      <xdr:col>2</xdr:col>
      <xdr:colOff>14775</xdr:colOff>
      <xdr:row>8</xdr:row>
      <xdr:rowOff>45106</xdr:rowOff>
    </xdr:to>
    <xdr:sp macro="" textlink="">
      <xdr:nvSpPr>
        <xdr:cNvPr id="17" name="Rectángulo: esquinas redondeadas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FAFB974-D2C7-41F9-9555-96DF6B1D92D8}"/>
            </a:ext>
          </a:extLst>
        </xdr:cNvPr>
        <xdr:cNvSpPr/>
      </xdr:nvSpPr>
      <xdr:spPr>
        <a:xfrm>
          <a:off x="262189" y="1466349"/>
          <a:ext cx="649941" cy="674257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80" b="1"/>
            <a:t>INTRODUCCIÓN</a:t>
          </a:r>
        </a:p>
        <a:p>
          <a:pPr algn="ctr"/>
          <a:endParaRPr lang="es-PE" sz="1100" b="1"/>
        </a:p>
      </xdr:txBody>
    </xdr:sp>
    <xdr:clientData/>
  </xdr:twoCellAnchor>
  <xdr:twoCellAnchor>
    <xdr:from>
      <xdr:col>0</xdr:col>
      <xdr:colOff>437114</xdr:colOff>
      <xdr:row>6</xdr:row>
      <xdr:rowOff>144078</xdr:rowOff>
    </xdr:from>
    <xdr:to>
      <xdr:col>1</xdr:col>
      <xdr:colOff>232778</xdr:colOff>
      <xdr:row>7</xdr:row>
      <xdr:rowOff>180374</xdr:rowOff>
    </xdr:to>
    <xdr:pic>
      <xdr:nvPicPr>
        <xdr:cNvPr id="18" name="Gráfico 17" descr="Lupa con relleno sólido">
          <a:extLst>
            <a:ext uri="{FF2B5EF4-FFF2-40B4-BE49-F238E27FC236}">
              <a16:creationId xmlns:a16="http://schemas.microsoft.com/office/drawing/2014/main" id="{852914C2-BE06-4CA5-8B8B-5C9205993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37114" y="1748289"/>
          <a:ext cx="281940" cy="281940"/>
        </a:xfrm>
        <a:prstGeom prst="rect">
          <a:avLst/>
        </a:prstGeom>
      </xdr:spPr>
    </xdr:pic>
    <xdr:clientData/>
  </xdr:twoCellAnchor>
  <xdr:twoCellAnchor>
    <xdr:from>
      <xdr:col>0</xdr:col>
      <xdr:colOff>235097</xdr:colOff>
      <xdr:row>21</xdr:row>
      <xdr:rowOff>107830</xdr:rowOff>
    </xdr:from>
    <xdr:to>
      <xdr:col>2</xdr:col>
      <xdr:colOff>23768</xdr:colOff>
      <xdr:row>24</xdr:row>
      <xdr:rowOff>33837</xdr:rowOff>
    </xdr:to>
    <xdr:sp macro="" textlink="">
      <xdr:nvSpPr>
        <xdr:cNvPr id="25" name="Rectángulo: esquinas redondeada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821BA07-BA20-4D95-9A24-A343420521F0}"/>
            </a:ext>
          </a:extLst>
        </xdr:cNvPr>
        <xdr:cNvSpPr/>
      </xdr:nvSpPr>
      <xdr:spPr>
        <a:xfrm>
          <a:off x="235097" y="5445424"/>
          <a:ext cx="687256" cy="68081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241820</xdr:colOff>
      <xdr:row>24</xdr:row>
      <xdr:rowOff>145601</xdr:rowOff>
    </xdr:from>
    <xdr:to>
      <xdr:col>2</xdr:col>
      <xdr:colOff>23768</xdr:colOff>
      <xdr:row>27</xdr:row>
      <xdr:rowOff>79924</xdr:rowOff>
    </xdr:to>
    <xdr:sp macro="" textlink="">
      <xdr:nvSpPr>
        <xdr:cNvPr id="26" name="Rectángulo: esquinas redondeada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D1AE4F1-D2A2-4CAB-A8CA-FAEFEBD7CB9C}"/>
            </a:ext>
          </a:extLst>
        </xdr:cNvPr>
        <xdr:cNvSpPr/>
      </xdr:nvSpPr>
      <xdr:spPr>
        <a:xfrm>
          <a:off x="241820" y="6238007"/>
          <a:ext cx="680533" cy="68913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254000</xdr:colOff>
      <xdr:row>27</xdr:row>
      <xdr:rowOff>190499</xdr:rowOff>
    </xdr:from>
    <xdr:to>
      <xdr:col>2</xdr:col>
      <xdr:colOff>31485</xdr:colOff>
      <xdr:row>31</xdr:row>
      <xdr:rowOff>18652</xdr:rowOff>
    </xdr:to>
    <xdr:sp macro="" textlink="">
      <xdr:nvSpPr>
        <xdr:cNvPr id="5" name="Rectángulo: esquinas redondeada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0315E02-B8D0-4085-84E4-E1F45EDC7F13}"/>
            </a:ext>
          </a:extLst>
        </xdr:cNvPr>
        <xdr:cNvSpPr/>
      </xdr:nvSpPr>
      <xdr:spPr>
        <a:xfrm>
          <a:off x="254000" y="6847416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255659</xdr:colOff>
      <xdr:row>31</xdr:row>
      <xdr:rowOff>130154</xdr:rowOff>
    </xdr:from>
    <xdr:to>
      <xdr:col>2</xdr:col>
      <xdr:colOff>31469</xdr:colOff>
      <xdr:row>35</xdr:row>
      <xdr:rowOff>38540</xdr:rowOff>
    </xdr:to>
    <xdr:sp macro="" textlink="">
      <xdr:nvSpPr>
        <xdr:cNvPr id="12" name="Rectángulo: esquinas redondeadas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E5EE7D3-00B7-403E-8730-B9523D9A6198}"/>
            </a:ext>
          </a:extLst>
        </xdr:cNvPr>
        <xdr:cNvSpPr/>
      </xdr:nvSpPr>
      <xdr:spPr>
        <a:xfrm>
          <a:off x="255659" y="7644321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544607</xdr:colOff>
      <xdr:row>3</xdr:row>
      <xdr:rowOff>17931</xdr:rowOff>
    </xdr:from>
    <xdr:to>
      <xdr:col>23</xdr:col>
      <xdr:colOff>2225489</xdr:colOff>
      <xdr:row>513</xdr:row>
      <xdr:rowOff>145677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AB287CC1-EFCE-4869-96EB-3A0D067B1F8B}"/>
            </a:ext>
          </a:extLst>
        </xdr:cNvPr>
        <xdr:cNvSpPr/>
      </xdr:nvSpPr>
      <xdr:spPr>
        <a:xfrm>
          <a:off x="16893989" y="690284"/>
          <a:ext cx="4930588" cy="931656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78441</xdr:colOff>
      <xdr:row>2</xdr:row>
      <xdr:rowOff>179296</xdr:rowOff>
    </xdr:from>
    <xdr:to>
      <xdr:col>2</xdr:col>
      <xdr:colOff>351864</xdr:colOff>
      <xdr:row>34</xdr:row>
      <xdr:rowOff>51128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898D5792-76AA-473D-91CD-5BC7DD0837E3}"/>
            </a:ext>
          </a:extLst>
        </xdr:cNvPr>
        <xdr:cNvSpPr/>
      </xdr:nvSpPr>
      <xdr:spPr>
        <a:xfrm>
          <a:off x="168088" y="369796"/>
          <a:ext cx="856129" cy="8108156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369795</xdr:colOff>
      <xdr:row>3</xdr:row>
      <xdr:rowOff>11206</xdr:rowOff>
    </xdr:from>
    <xdr:to>
      <xdr:col>21</xdr:col>
      <xdr:colOff>212912</xdr:colOff>
      <xdr:row>513</xdr:row>
      <xdr:rowOff>168088</xdr:rowOff>
    </xdr:to>
    <xdr:sp macro="" textlink="">
      <xdr:nvSpPr>
        <xdr:cNvPr id="34" name="Rectángulo: esquinas redondeadas 33">
          <a:extLst>
            <a:ext uri="{FF2B5EF4-FFF2-40B4-BE49-F238E27FC236}">
              <a16:creationId xmlns:a16="http://schemas.microsoft.com/office/drawing/2014/main" id="{463B5121-E801-F96C-C5C3-E9587C5BADE6}"/>
            </a:ext>
          </a:extLst>
        </xdr:cNvPr>
        <xdr:cNvSpPr/>
      </xdr:nvSpPr>
      <xdr:spPr>
        <a:xfrm>
          <a:off x="11407589" y="201706"/>
          <a:ext cx="4930588" cy="9345706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13</xdr:col>
      <xdr:colOff>66535</xdr:colOff>
      <xdr:row>3</xdr:row>
      <xdr:rowOff>116260</xdr:rowOff>
    </xdr:from>
    <xdr:to>
      <xdr:col>21</xdr:col>
      <xdr:colOff>123265</xdr:colOff>
      <xdr:row>513</xdr:row>
      <xdr:rowOff>112059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171915</xdr:colOff>
      <xdr:row>3</xdr:row>
      <xdr:rowOff>65598</xdr:rowOff>
    </xdr:from>
    <xdr:to>
      <xdr:col>2</xdr:col>
      <xdr:colOff>239150</xdr:colOff>
      <xdr:row>5</xdr:row>
      <xdr:rowOff>31979</xdr:rowOff>
    </xdr:to>
    <xdr:grpSp>
      <xdr:nvGrpSpPr>
        <xdr:cNvPr id="28" name="Grupo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37C4A1-AFE6-1AEE-F804-7C29C67BF778}"/>
            </a:ext>
          </a:extLst>
        </xdr:cNvPr>
        <xdr:cNvGrpSpPr/>
      </xdr:nvGrpSpPr>
      <xdr:grpSpPr>
        <a:xfrm>
          <a:off x="261562" y="737951"/>
          <a:ext cx="649941" cy="672352"/>
          <a:chOff x="427899" y="446598"/>
          <a:chExt cx="650642" cy="674803"/>
        </a:xfrm>
      </xdr:grpSpPr>
      <xdr:sp macro="" textlink="">
        <xdr:nvSpPr>
          <xdr:cNvPr id="13" name="Rectángulo: esquinas redondeadas 12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2DF5E3BA-F266-08A2-85C9-CC0F8918EFB2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15" name="Gráfico 14" descr="Hogar contorno">
            <a:extLst>
              <a:ext uri="{FF2B5EF4-FFF2-40B4-BE49-F238E27FC236}">
                <a16:creationId xmlns:a16="http://schemas.microsoft.com/office/drawing/2014/main" id="{578A428B-6121-F3B5-20B4-E77A9DAAAF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174157</xdr:colOff>
      <xdr:row>7</xdr:row>
      <xdr:rowOff>206163</xdr:rowOff>
    </xdr:from>
    <xdr:to>
      <xdr:col>2</xdr:col>
      <xdr:colOff>241392</xdr:colOff>
      <xdr:row>10</xdr:row>
      <xdr:rowOff>138926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B12B710C-D2F2-8C9D-2B41-8456D3AE8907}"/>
            </a:ext>
          </a:extLst>
        </xdr:cNvPr>
        <xdr:cNvGrpSpPr/>
      </xdr:nvGrpSpPr>
      <xdr:grpSpPr>
        <a:xfrm>
          <a:off x="263804" y="2268045"/>
          <a:ext cx="649941" cy="672352"/>
          <a:chOff x="430141" y="1986147"/>
          <a:chExt cx="650642" cy="682857"/>
        </a:xfrm>
      </xdr:grpSpPr>
      <xdr:sp macro="" textlink="">
        <xdr:nvSpPr>
          <xdr:cNvPr id="22" name="Rectángulo: esquinas redondeadas 2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F6DAAA3C-6402-4E3F-C916-B6AAC472A3C2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27" name="Gráfico 26" descr="Búsqueda de carpetas contorno">
            <a:extLst>
              <a:ext uri="{FF2B5EF4-FFF2-40B4-BE49-F238E27FC236}">
                <a16:creationId xmlns:a16="http://schemas.microsoft.com/office/drawing/2014/main" id="{CFE1EAEB-A023-2C59-E97D-3850A670FC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169674</xdr:colOff>
      <xdr:row>10</xdr:row>
      <xdr:rowOff>235297</xdr:rowOff>
    </xdr:from>
    <xdr:to>
      <xdr:col>2</xdr:col>
      <xdr:colOff>243050</xdr:colOff>
      <xdr:row>13</xdr:row>
      <xdr:rowOff>168061</xdr:rowOff>
    </xdr:to>
    <xdr:sp macro="" textlink="">
      <xdr:nvSpPr>
        <xdr:cNvPr id="38" name="Rectángulo: esquinas redondeadas 3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6755BB7-B787-4469-A1F6-620C7E270CA3}"/>
            </a:ext>
          </a:extLst>
        </xdr:cNvPr>
        <xdr:cNvSpPr/>
      </xdr:nvSpPr>
      <xdr:spPr>
        <a:xfrm>
          <a:off x="425864" y="2757780"/>
          <a:ext cx="651445" cy="681626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/>
            <a:t>GASTOS DE IMPORT</a:t>
          </a:r>
        </a:p>
      </xdr:txBody>
    </xdr:sp>
    <xdr:clientData/>
  </xdr:twoCellAnchor>
  <xdr:twoCellAnchor>
    <xdr:from>
      <xdr:col>1</xdr:col>
      <xdr:colOff>165193</xdr:colOff>
      <xdr:row>14</xdr:row>
      <xdr:rowOff>29109</xdr:rowOff>
    </xdr:from>
    <xdr:to>
      <xdr:col>2</xdr:col>
      <xdr:colOff>249620</xdr:colOff>
      <xdr:row>16</xdr:row>
      <xdr:rowOff>208402</xdr:rowOff>
    </xdr:to>
    <xdr:sp macro="" textlink="">
      <xdr:nvSpPr>
        <xdr:cNvPr id="39" name="Rectángulo: esquinas redondeadas 3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9457A88-232D-44AD-B13D-DE64FBD1E1D5}"/>
            </a:ext>
          </a:extLst>
        </xdr:cNvPr>
        <xdr:cNvSpPr/>
      </xdr:nvSpPr>
      <xdr:spPr>
        <a:xfrm>
          <a:off x="421383" y="3550075"/>
          <a:ext cx="662496" cy="678534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1</xdr:col>
      <xdr:colOff>171916</xdr:colOff>
      <xdr:row>17</xdr:row>
      <xdr:rowOff>69449</xdr:rowOff>
    </xdr:from>
    <xdr:to>
      <xdr:col>2</xdr:col>
      <xdr:colOff>249620</xdr:colOff>
      <xdr:row>20</xdr:row>
      <xdr:rowOff>2213</xdr:rowOff>
    </xdr:to>
    <xdr:sp macro="" textlink="">
      <xdr:nvSpPr>
        <xdr:cNvPr id="40" name="Rectángulo: esquinas redondeadas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9FF9D20-536A-4768-A090-6FF20E8AB718}"/>
            </a:ext>
          </a:extLst>
        </xdr:cNvPr>
        <xdr:cNvSpPr/>
      </xdr:nvSpPr>
      <xdr:spPr>
        <a:xfrm>
          <a:off x="428106" y="4339277"/>
          <a:ext cx="655773" cy="68162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180473</xdr:colOff>
      <xdr:row>5</xdr:row>
      <xdr:rowOff>110290</xdr:rowOff>
    </xdr:from>
    <xdr:to>
      <xdr:col>2</xdr:col>
      <xdr:colOff>248888</xdr:colOff>
      <xdr:row>7</xdr:row>
      <xdr:rowOff>102757</xdr:rowOff>
    </xdr:to>
    <xdr:sp macro="" textlink="">
      <xdr:nvSpPr>
        <xdr:cNvPr id="44" name="Rectángulo: esquinas redondeadas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8EDE189-F82D-4AA9-BC36-BF222826A39C}"/>
            </a:ext>
          </a:extLst>
        </xdr:cNvPr>
        <xdr:cNvSpPr/>
      </xdr:nvSpPr>
      <xdr:spPr>
        <a:xfrm>
          <a:off x="265697" y="1007645"/>
          <a:ext cx="649941" cy="674257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80" b="1"/>
            <a:t>INTRODUCCIÓN</a:t>
          </a:r>
        </a:p>
        <a:p>
          <a:pPr algn="ctr"/>
          <a:endParaRPr lang="es-PE" sz="1100" b="1"/>
        </a:p>
      </xdr:txBody>
    </xdr:sp>
    <xdr:clientData/>
  </xdr:twoCellAnchor>
  <xdr:twoCellAnchor>
    <xdr:from>
      <xdr:col>1</xdr:col>
      <xdr:colOff>355398</xdr:colOff>
      <xdr:row>5</xdr:row>
      <xdr:rowOff>392230</xdr:rowOff>
    </xdr:from>
    <xdr:to>
      <xdr:col>2</xdr:col>
      <xdr:colOff>55812</xdr:colOff>
      <xdr:row>6</xdr:row>
      <xdr:rowOff>238025</xdr:rowOff>
    </xdr:to>
    <xdr:pic>
      <xdr:nvPicPr>
        <xdr:cNvPr id="45" name="Gráfico 44" descr="Lupa con relleno sólido">
          <a:extLst>
            <a:ext uri="{FF2B5EF4-FFF2-40B4-BE49-F238E27FC236}">
              <a16:creationId xmlns:a16="http://schemas.microsoft.com/office/drawing/2014/main" id="{A06FDF77-7F26-4D7F-B520-019A2F99F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40622" y="1289585"/>
          <a:ext cx="281940" cy="281940"/>
        </a:xfrm>
        <a:prstGeom prst="rect">
          <a:avLst/>
        </a:prstGeom>
      </xdr:spPr>
    </xdr:pic>
    <xdr:clientData/>
  </xdr:twoCellAnchor>
  <xdr:twoCellAnchor>
    <xdr:from>
      <xdr:col>1</xdr:col>
      <xdr:colOff>160215</xdr:colOff>
      <xdr:row>20</xdr:row>
      <xdr:rowOff>134327</xdr:rowOff>
    </xdr:from>
    <xdr:to>
      <xdr:col>2</xdr:col>
      <xdr:colOff>261317</xdr:colOff>
      <xdr:row>23</xdr:row>
      <xdr:rowOff>82453</xdr:rowOff>
    </xdr:to>
    <xdr:sp macro="" textlink="">
      <xdr:nvSpPr>
        <xdr:cNvPr id="55" name="Rectángulo: esquinas redondeadas 5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070A683-1E99-49BD-8E94-0CBA5C64404F}"/>
            </a:ext>
          </a:extLst>
        </xdr:cNvPr>
        <xdr:cNvSpPr/>
      </xdr:nvSpPr>
      <xdr:spPr>
        <a:xfrm>
          <a:off x="245696" y="4884615"/>
          <a:ext cx="687256" cy="680819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1</xdr:col>
      <xdr:colOff>166938</xdr:colOff>
      <xdr:row>23</xdr:row>
      <xdr:rowOff>194217</xdr:rowOff>
    </xdr:from>
    <xdr:to>
      <xdr:col>2</xdr:col>
      <xdr:colOff>261317</xdr:colOff>
      <xdr:row>26</xdr:row>
      <xdr:rowOff>150659</xdr:rowOff>
    </xdr:to>
    <xdr:sp macro="" textlink="">
      <xdr:nvSpPr>
        <xdr:cNvPr id="56" name="Rectángulo: esquinas redondeadas 5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F3A62BC-0871-4166-A413-26A12577793F}"/>
            </a:ext>
          </a:extLst>
        </xdr:cNvPr>
        <xdr:cNvSpPr/>
      </xdr:nvSpPr>
      <xdr:spPr>
        <a:xfrm>
          <a:off x="252419" y="5677198"/>
          <a:ext cx="680533" cy="689134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166687</xdr:colOff>
      <xdr:row>27</xdr:row>
      <xdr:rowOff>23813</xdr:rowOff>
    </xdr:from>
    <xdr:to>
      <xdr:col>2</xdr:col>
      <xdr:colOff>260349</xdr:colOff>
      <xdr:row>29</xdr:row>
      <xdr:rowOff>209153</xdr:rowOff>
    </xdr:to>
    <xdr:sp macro="" textlink="">
      <xdr:nvSpPr>
        <xdr:cNvPr id="4" name="Rectángulo: esquinas redondeadas 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C80F7B4-00CB-457F-BBDF-1BAC0FDD114F}"/>
            </a:ext>
          </a:extLst>
        </xdr:cNvPr>
        <xdr:cNvSpPr/>
      </xdr:nvSpPr>
      <xdr:spPr>
        <a:xfrm>
          <a:off x="250031" y="6607969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1</xdr:col>
      <xdr:colOff>156440</xdr:colOff>
      <xdr:row>30</xdr:row>
      <xdr:rowOff>70622</xdr:rowOff>
    </xdr:from>
    <xdr:to>
      <xdr:col>2</xdr:col>
      <xdr:colOff>248427</xdr:colOff>
      <xdr:row>32</xdr:row>
      <xdr:rowOff>240945</xdr:rowOff>
    </xdr:to>
    <xdr:sp macro="" textlink="">
      <xdr:nvSpPr>
        <xdr:cNvPr id="5" name="Rectángulo: esquinas redondeada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4A0F271-403A-47CA-8791-3B560708D21D}"/>
            </a:ext>
          </a:extLst>
        </xdr:cNvPr>
        <xdr:cNvSpPr/>
      </xdr:nvSpPr>
      <xdr:spPr>
        <a:xfrm>
          <a:off x="239784" y="7404872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>
    <xdr:from>
      <xdr:col>1</xdr:col>
      <xdr:colOff>168346</xdr:colOff>
      <xdr:row>30</xdr:row>
      <xdr:rowOff>70624</xdr:rowOff>
    </xdr:from>
    <xdr:to>
      <xdr:col>2</xdr:col>
      <xdr:colOff>260333</xdr:colOff>
      <xdr:row>32</xdr:row>
      <xdr:rowOff>240947</xdr:rowOff>
    </xdr:to>
    <xdr:sp macro="" textlink="">
      <xdr:nvSpPr>
        <xdr:cNvPr id="7" name="Rectángulo: esquinas redondeadas 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E0AE2DF-4596-4416-9227-8F79D905B348}"/>
            </a:ext>
          </a:extLst>
        </xdr:cNvPr>
        <xdr:cNvSpPr/>
      </xdr:nvSpPr>
      <xdr:spPr>
        <a:xfrm>
          <a:off x="251690" y="7404874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 editAs="oneCell">
    <xdr:from>
      <xdr:col>22</xdr:col>
      <xdr:colOff>96370</xdr:colOff>
      <xdr:row>3</xdr:row>
      <xdr:rowOff>96371</xdr:rowOff>
    </xdr:from>
    <xdr:to>
      <xdr:col>23</xdr:col>
      <xdr:colOff>2147747</xdr:colOff>
      <xdr:row>513</xdr:row>
      <xdr:rowOff>92170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31D275E7-4B1F-439C-BF69-322B00AFE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180976</xdr:rowOff>
    </xdr:from>
    <xdr:to>
      <xdr:col>2</xdr:col>
      <xdr:colOff>141754</xdr:colOff>
      <xdr:row>31</xdr:row>
      <xdr:rowOff>179918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8DAE9AD-A08D-49A2-B456-33B66235C6FA}"/>
            </a:ext>
          </a:extLst>
        </xdr:cNvPr>
        <xdr:cNvSpPr/>
      </xdr:nvSpPr>
      <xdr:spPr>
        <a:xfrm>
          <a:off x="114300" y="180976"/>
          <a:ext cx="863537" cy="7841192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171450</xdr:colOff>
      <xdr:row>1</xdr:row>
      <xdr:rowOff>38101</xdr:rowOff>
    </xdr:from>
    <xdr:to>
      <xdr:col>12</xdr:col>
      <xdr:colOff>361950</xdr:colOff>
      <xdr:row>6</xdr:row>
      <xdr:rowOff>161925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F8B3E89B-B717-4BE5-BA61-31DBFA85D345}"/>
            </a:ext>
          </a:extLst>
        </xdr:cNvPr>
        <xdr:cNvSpPr/>
      </xdr:nvSpPr>
      <xdr:spPr>
        <a:xfrm>
          <a:off x="8020050" y="228601"/>
          <a:ext cx="3514725" cy="167639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238124</xdr:colOff>
      <xdr:row>1</xdr:row>
      <xdr:rowOff>85725</xdr:rowOff>
    </xdr:from>
    <xdr:to>
      <xdr:col>12</xdr:col>
      <xdr:colOff>147108</xdr:colOff>
      <xdr:row>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206747</xdr:colOff>
      <xdr:row>1</xdr:row>
      <xdr:rowOff>76200</xdr:rowOff>
    </xdr:from>
    <xdr:to>
      <xdr:col>2</xdr:col>
      <xdr:colOff>28013</xdr:colOff>
      <xdr:row>3</xdr:row>
      <xdr:rowOff>43702</xdr:rowOff>
    </xdr:to>
    <xdr:grpSp>
      <xdr:nvGrpSpPr>
        <xdr:cNvPr id="5" name="Grup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A1BD8E-6A63-431B-AED5-EBFEB0444E3C}"/>
            </a:ext>
          </a:extLst>
        </xdr:cNvPr>
        <xdr:cNvGrpSpPr/>
      </xdr:nvGrpSpPr>
      <xdr:grpSpPr>
        <a:xfrm>
          <a:off x="206747" y="266700"/>
          <a:ext cx="649941" cy="672352"/>
          <a:chOff x="427899" y="446598"/>
          <a:chExt cx="650642" cy="674803"/>
        </a:xfrm>
      </xdr:grpSpPr>
      <xdr:sp macro="" textlink="">
        <xdr:nvSpPr>
          <xdr:cNvPr id="6" name="Rectángulo: esquinas redondeadas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117485D-C6C6-887A-9B8A-5A93BFAC37CF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7" name="Gráfico 6" descr="Hogar contorno">
            <a:extLst>
              <a:ext uri="{FF2B5EF4-FFF2-40B4-BE49-F238E27FC236}">
                <a16:creationId xmlns:a16="http://schemas.microsoft.com/office/drawing/2014/main" id="{7A137541-B45A-FEB2-3051-50E639BBDD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208989</xdr:colOff>
      <xdr:row>6</xdr:row>
      <xdr:rowOff>53719</xdr:rowOff>
    </xdr:from>
    <xdr:to>
      <xdr:col>2</xdr:col>
      <xdr:colOff>30255</xdr:colOff>
      <xdr:row>8</xdr:row>
      <xdr:rowOff>230771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4FF48E6D-7026-4DE2-9A38-006AFA967536}"/>
            </a:ext>
          </a:extLst>
        </xdr:cNvPr>
        <xdr:cNvGrpSpPr/>
      </xdr:nvGrpSpPr>
      <xdr:grpSpPr>
        <a:xfrm>
          <a:off x="208989" y="1796794"/>
          <a:ext cx="649941" cy="672352"/>
          <a:chOff x="430141" y="1986147"/>
          <a:chExt cx="650642" cy="682857"/>
        </a:xfrm>
      </xdr:grpSpPr>
      <xdr:sp macro="" textlink="">
        <xdr:nvSpPr>
          <xdr:cNvPr id="12" name="Rectángulo: esquinas redondeadas 11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2D6B48C4-14D7-C0E1-F43B-FB5F4CACD4A0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3" name="Gráfico 12" descr="Búsqueda de carpetas contorno">
            <a:extLst>
              <a:ext uri="{FF2B5EF4-FFF2-40B4-BE49-F238E27FC236}">
                <a16:creationId xmlns:a16="http://schemas.microsoft.com/office/drawing/2014/main" id="{6A9D28BB-38F5-AB06-B9F7-2A17ABF2ED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204506</xdr:colOff>
      <xdr:row>9</xdr:row>
      <xdr:rowOff>79492</xdr:rowOff>
    </xdr:from>
    <xdr:to>
      <xdr:col>2</xdr:col>
      <xdr:colOff>31913</xdr:colOff>
      <xdr:row>12</xdr:row>
      <xdr:rowOff>8894</xdr:rowOff>
    </xdr:to>
    <xdr:sp macro="" textlink="">
      <xdr:nvSpPr>
        <xdr:cNvPr id="14" name="Rectángulo: esquinas redondeada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FC4AE23-3F94-4AF2-9347-DE55AC7915FD}"/>
            </a:ext>
          </a:extLst>
        </xdr:cNvPr>
        <xdr:cNvSpPr/>
      </xdr:nvSpPr>
      <xdr:spPr>
        <a:xfrm>
          <a:off x="204506" y="2565517"/>
          <a:ext cx="656082" cy="672352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0</xdr:col>
      <xdr:colOff>200025</xdr:colOff>
      <xdr:row>12</xdr:row>
      <xdr:rowOff>116471</xdr:rowOff>
    </xdr:from>
    <xdr:to>
      <xdr:col>2</xdr:col>
      <xdr:colOff>38483</xdr:colOff>
      <xdr:row>15</xdr:row>
      <xdr:rowOff>45873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28AB74E-C06E-46C7-B0A9-9E25C44BFE9E}"/>
            </a:ext>
          </a:extLst>
        </xdr:cNvPr>
        <xdr:cNvSpPr/>
      </xdr:nvSpPr>
      <xdr:spPr>
        <a:xfrm>
          <a:off x="200025" y="3345446"/>
          <a:ext cx="667133" cy="672352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>
              <a:solidFill>
                <a:sysClr val="windowText" lastClr="000000"/>
              </a:solidFill>
            </a:rPr>
            <a:t>TRIBUTOS DE ADUANA</a:t>
          </a:r>
        </a:p>
      </xdr:txBody>
    </xdr:sp>
    <xdr:clientData/>
  </xdr:twoCellAnchor>
  <xdr:twoCellAnchor>
    <xdr:from>
      <xdr:col>0</xdr:col>
      <xdr:colOff>206748</xdr:colOff>
      <xdr:row>15</xdr:row>
      <xdr:rowOff>153450</xdr:rowOff>
    </xdr:from>
    <xdr:to>
      <xdr:col>2</xdr:col>
      <xdr:colOff>38483</xdr:colOff>
      <xdr:row>18</xdr:row>
      <xdr:rowOff>82852</xdr:rowOff>
    </xdr:to>
    <xdr:sp macro="" textlink="">
      <xdr:nvSpPr>
        <xdr:cNvPr id="16" name="Rectángulo: esquinas redondeadas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ABB0687-1F7E-4EAD-8ABE-07C489C0C4DA}"/>
            </a:ext>
          </a:extLst>
        </xdr:cNvPr>
        <xdr:cNvSpPr/>
      </xdr:nvSpPr>
      <xdr:spPr>
        <a:xfrm>
          <a:off x="206748" y="4125375"/>
          <a:ext cx="660410" cy="67235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180975</xdr:colOff>
      <xdr:row>7</xdr:row>
      <xdr:rowOff>142876</xdr:rowOff>
    </xdr:from>
    <xdr:to>
      <xdr:col>12</xdr:col>
      <xdr:colOff>390525</xdr:colOff>
      <xdr:row>24</xdr:row>
      <xdr:rowOff>219075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73B5E09D-666A-4152-B95F-4ED881844D1C}"/>
            </a:ext>
          </a:extLst>
        </xdr:cNvPr>
        <xdr:cNvSpPr/>
      </xdr:nvSpPr>
      <xdr:spPr>
        <a:xfrm>
          <a:off x="8029575" y="2133601"/>
          <a:ext cx="3533775" cy="428624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228601</xdr:colOff>
      <xdr:row>7</xdr:row>
      <xdr:rowOff>190499</xdr:rowOff>
    </xdr:from>
    <xdr:to>
      <xdr:col>12</xdr:col>
      <xdr:colOff>299509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205540</xdr:colOff>
      <xdr:row>3</xdr:row>
      <xdr:rowOff>125329</xdr:rowOff>
    </xdr:from>
    <xdr:to>
      <xdr:col>2</xdr:col>
      <xdr:colOff>23297</xdr:colOff>
      <xdr:row>5</xdr:row>
      <xdr:rowOff>203020</xdr:rowOff>
    </xdr:to>
    <xdr:grpSp>
      <xdr:nvGrpSpPr>
        <xdr:cNvPr id="21" name="Grupo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9D0DCC2-B284-66F6-0C74-00C048E8476B}"/>
            </a:ext>
          </a:extLst>
        </xdr:cNvPr>
        <xdr:cNvGrpSpPr/>
      </xdr:nvGrpSpPr>
      <xdr:grpSpPr>
        <a:xfrm>
          <a:off x="205540" y="1020679"/>
          <a:ext cx="646432" cy="677766"/>
          <a:chOff x="205540" y="1026619"/>
          <a:chExt cx="647354" cy="671724"/>
        </a:xfrm>
      </xdr:grpSpPr>
      <xdr:sp macro="" textlink="">
        <xdr:nvSpPr>
          <xdr:cNvPr id="19" name="Rectángulo: esquinas redondeadas 1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1D2BE35-B7F4-4770-98C2-2B7CE5A0C75D}"/>
              </a:ext>
            </a:extLst>
          </xdr:cNvPr>
          <xdr:cNvSpPr/>
        </xdr:nvSpPr>
        <xdr:spPr>
          <a:xfrm>
            <a:off x="205540" y="1026619"/>
            <a:ext cx="647354" cy="671724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20" name="Gráfico 19" descr="Lupa con relleno sólido">
            <a:extLst>
              <a:ext uri="{FF2B5EF4-FFF2-40B4-BE49-F238E27FC236}">
                <a16:creationId xmlns:a16="http://schemas.microsoft.com/office/drawing/2014/main" id="{8FC6B28B-6198-4EA3-B501-D8F39A0415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380465" y="1305864"/>
            <a:ext cx="280538" cy="28210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196061</xdr:colOff>
      <xdr:row>18</xdr:row>
      <xdr:rowOff>184355</xdr:rowOff>
    </xdr:from>
    <xdr:to>
      <xdr:col>2</xdr:col>
      <xdr:colOff>50272</xdr:colOff>
      <xdr:row>21</xdr:row>
      <xdr:rowOff>134649</xdr:rowOff>
    </xdr:to>
    <xdr:sp macro="" textlink="">
      <xdr:nvSpPr>
        <xdr:cNvPr id="37" name="Rectángulo: esquinas redondeadas 3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2E8FDB5-011D-4457-85BC-A55B70137D7B}"/>
            </a:ext>
          </a:extLst>
        </xdr:cNvPr>
        <xdr:cNvSpPr/>
      </xdr:nvSpPr>
      <xdr:spPr>
        <a:xfrm>
          <a:off x="196061" y="4875161"/>
          <a:ext cx="683808" cy="687714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202784</xdr:colOff>
      <xdr:row>22</xdr:row>
      <xdr:rowOff>607</xdr:rowOff>
    </xdr:from>
    <xdr:to>
      <xdr:col>2</xdr:col>
      <xdr:colOff>50272</xdr:colOff>
      <xdr:row>24</xdr:row>
      <xdr:rowOff>205024</xdr:rowOff>
    </xdr:to>
    <xdr:sp macro="" textlink="">
      <xdr:nvSpPr>
        <xdr:cNvPr id="38" name="Rectángulo: esquinas redondeadas 3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3ED3DE4-CDD1-44FF-A6DF-F56F9E6FFED8}"/>
            </a:ext>
          </a:extLst>
        </xdr:cNvPr>
        <xdr:cNvSpPr/>
      </xdr:nvSpPr>
      <xdr:spPr>
        <a:xfrm>
          <a:off x="202784" y="5674639"/>
          <a:ext cx="677085" cy="696030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201084</xdr:colOff>
      <xdr:row>25</xdr:row>
      <xdr:rowOff>52917</xdr:rowOff>
    </xdr:from>
    <xdr:to>
      <xdr:col>2</xdr:col>
      <xdr:colOff>42069</xdr:colOff>
      <xdr:row>27</xdr:row>
      <xdr:rowOff>187986</xdr:rowOff>
    </xdr:to>
    <xdr:sp macro="" textlink="">
      <xdr:nvSpPr>
        <xdr:cNvPr id="8" name="Rectángulo: esquinas redondeadas 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B972B28-E90C-4150-83F1-8854106A2A76}"/>
            </a:ext>
          </a:extLst>
        </xdr:cNvPr>
        <xdr:cNvSpPr/>
      </xdr:nvSpPr>
      <xdr:spPr>
        <a:xfrm>
          <a:off x="201084" y="6413500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202743</xdr:colOff>
      <xdr:row>28</xdr:row>
      <xdr:rowOff>24322</xdr:rowOff>
    </xdr:from>
    <xdr:to>
      <xdr:col>2</xdr:col>
      <xdr:colOff>42053</xdr:colOff>
      <xdr:row>31</xdr:row>
      <xdr:rowOff>38541</xdr:rowOff>
    </xdr:to>
    <xdr:sp macro="" textlink="">
      <xdr:nvSpPr>
        <xdr:cNvPr id="9" name="Rectángulo: esquinas redondeadas 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57D1F6F-0D2E-4E39-9678-473541808B9C}"/>
            </a:ext>
          </a:extLst>
        </xdr:cNvPr>
        <xdr:cNvSpPr/>
      </xdr:nvSpPr>
      <xdr:spPr>
        <a:xfrm>
          <a:off x="202743" y="7210405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206542</xdr:colOff>
      <xdr:row>8</xdr:row>
      <xdr:rowOff>139868</xdr:rowOff>
    </xdr:from>
    <xdr:to>
      <xdr:col>13</xdr:col>
      <xdr:colOff>330367</xdr:colOff>
      <xdr:row>25</xdr:row>
      <xdr:rowOff>20053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3D5E3CF9-E5F7-4362-9B35-F0CC9710E207}"/>
            </a:ext>
          </a:extLst>
        </xdr:cNvPr>
        <xdr:cNvSpPr/>
      </xdr:nvSpPr>
      <xdr:spPr>
        <a:xfrm>
          <a:off x="6753726" y="2225342"/>
          <a:ext cx="3562852" cy="4021053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73270</xdr:colOff>
      <xdr:row>1</xdr:row>
      <xdr:rowOff>7328</xdr:rowOff>
    </xdr:from>
    <xdr:to>
      <xdr:col>3</xdr:col>
      <xdr:colOff>144987</xdr:colOff>
      <xdr:row>17</xdr:row>
      <xdr:rowOff>44824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C95EA35D-5C36-4646-BADC-2EB623FB67B5}"/>
            </a:ext>
          </a:extLst>
        </xdr:cNvPr>
        <xdr:cNvSpPr/>
      </xdr:nvSpPr>
      <xdr:spPr>
        <a:xfrm>
          <a:off x="230152" y="197828"/>
          <a:ext cx="856129" cy="4082820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219075</xdr:colOff>
      <xdr:row>1</xdr:row>
      <xdr:rowOff>9526</xdr:rowOff>
    </xdr:from>
    <xdr:to>
      <xdr:col>13</xdr:col>
      <xdr:colOff>342900</xdr:colOff>
      <xdr:row>7</xdr:row>
      <xdr:rowOff>161925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0831984-3B37-4751-BBC4-AA479176CE26}"/>
            </a:ext>
          </a:extLst>
        </xdr:cNvPr>
        <xdr:cNvSpPr/>
      </xdr:nvSpPr>
      <xdr:spPr>
        <a:xfrm>
          <a:off x="6743700" y="200026"/>
          <a:ext cx="3552825" cy="179069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9525</xdr:colOff>
      <xdr:row>0</xdr:row>
      <xdr:rowOff>161925</xdr:rowOff>
    </xdr:from>
    <xdr:to>
      <xdr:col>13</xdr:col>
      <xdr:colOff>266701</xdr:colOff>
      <xdr:row>7</xdr:row>
      <xdr:rowOff>161925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6A0EE4B-BAC0-A186-6EBC-892709CD6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8</xdr:row>
      <xdr:rowOff>200025</xdr:rowOff>
    </xdr:from>
    <xdr:to>
      <xdr:col>13</xdr:col>
      <xdr:colOff>314325</xdr:colOff>
      <xdr:row>24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C08E043-0E9C-58DA-61EE-CFC74577E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163606</xdr:colOff>
      <xdr:row>1</xdr:row>
      <xdr:rowOff>168090</xdr:rowOff>
    </xdr:from>
    <xdr:to>
      <xdr:col>3</xdr:col>
      <xdr:colOff>29135</xdr:colOff>
      <xdr:row>3</xdr:row>
      <xdr:rowOff>134471</xdr:rowOff>
    </xdr:to>
    <xdr:grpSp>
      <xdr:nvGrpSpPr>
        <xdr:cNvPr id="8" name="Grup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ABFE1E-B409-41B6-81C4-8FEF97F33099}"/>
            </a:ext>
          </a:extLst>
        </xdr:cNvPr>
        <xdr:cNvGrpSpPr/>
      </xdr:nvGrpSpPr>
      <xdr:grpSpPr>
        <a:xfrm>
          <a:off x="318905" y="354449"/>
          <a:ext cx="652377" cy="670402"/>
          <a:chOff x="427899" y="446598"/>
          <a:chExt cx="650642" cy="674803"/>
        </a:xfrm>
      </xdr:grpSpPr>
      <xdr:sp macro="" textlink="">
        <xdr:nvSpPr>
          <xdr:cNvPr id="9" name="Rectángulo: esquinas redondeadas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18714CB-3B35-4F9B-3C41-99B421EB652F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10" name="Gráfico 9" descr="Hogar contorno">
            <a:extLst>
              <a:ext uri="{FF2B5EF4-FFF2-40B4-BE49-F238E27FC236}">
                <a16:creationId xmlns:a16="http://schemas.microsoft.com/office/drawing/2014/main" id="{1CD232E4-269D-EC62-985B-8646A9CC56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165848</xdr:colOff>
      <xdr:row>7</xdr:row>
      <xdr:rowOff>62125</xdr:rowOff>
    </xdr:from>
    <xdr:to>
      <xdr:col>3</xdr:col>
      <xdr:colOff>31377</xdr:colOff>
      <xdr:row>9</xdr:row>
      <xdr:rowOff>241418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147EDADB-F83B-4506-8796-8441A9815CEA}"/>
            </a:ext>
          </a:extLst>
        </xdr:cNvPr>
        <xdr:cNvGrpSpPr/>
      </xdr:nvGrpSpPr>
      <xdr:grpSpPr>
        <a:xfrm>
          <a:off x="321147" y="1884299"/>
          <a:ext cx="652377" cy="676249"/>
          <a:chOff x="430141" y="1986147"/>
          <a:chExt cx="650642" cy="682857"/>
        </a:xfrm>
      </xdr:grpSpPr>
      <xdr:sp macro="" textlink="">
        <xdr:nvSpPr>
          <xdr:cNvPr id="15" name="Rectángulo: esquinas redondeadas 14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3B26FAC-A6F6-164F-4933-A802BF0AC54E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6" name="Gráfico 15" descr="Búsqueda de carpetas contorno">
            <a:extLst>
              <a:ext uri="{FF2B5EF4-FFF2-40B4-BE49-F238E27FC236}">
                <a16:creationId xmlns:a16="http://schemas.microsoft.com/office/drawing/2014/main" id="{2790EC0F-2B29-5B3B-7057-54EF81672C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161365</xdr:colOff>
      <xdr:row>10</xdr:row>
      <xdr:rowOff>91260</xdr:rowOff>
    </xdr:from>
    <xdr:to>
      <xdr:col>3</xdr:col>
      <xdr:colOff>33035</xdr:colOff>
      <xdr:row>13</xdr:row>
      <xdr:rowOff>24024</xdr:rowOff>
    </xdr:to>
    <xdr:sp macro="" textlink="">
      <xdr:nvSpPr>
        <xdr:cNvPr id="17" name="Rectángulo: esquinas redondeadas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4A1F86-111E-4089-9D90-04CCE99B5347}"/>
            </a:ext>
          </a:extLst>
        </xdr:cNvPr>
        <xdr:cNvSpPr/>
      </xdr:nvSpPr>
      <xdr:spPr>
        <a:xfrm>
          <a:off x="161365" y="2657407"/>
          <a:ext cx="656082" cy="672352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1</xdr:col>
      <xdr:colOff>156884</xdr:colOff>
      <xdr:row>13</xdr:row>
      <xdr:rowOff>131601</xdr:rowOff>
    </xdr:from>
    <xdr:to>
      <xdr:col>3</xdr:col>
      <xdr:colOff>39605</xdr:colOff>
      <xdr:row>16</xdr:row>
      <xdr:rowOff>120394</xdr:rowOff>
    </xdr:to>
    <xdr:sp macro="" textlink="">
      <xdr:nvSpPr>
        <xdr:cNvPr id="18" name="Rectángulo: esquinas redondeadas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B2AF746-00C1-48A5-918F-58D1D0239602}"/>
            </a:ext>
          </a:extLst>
        </xdr:cNvPr>
        <xdr:cNvSpPr/>
      </xdr:nvSpPr>
      <xdr:spPr>
        <a:xfrm>
          <a:off x="156884" y="3437336"/>
          <a:ext cx="667133" cy="672352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1</xdr:col>
      <xdr:colOff>168519</xdr:colOff>
      <xdr:row>4</xdr:row>
      <xdr:rowOff>32393</xdr:rowOff>
    </xdr:from>
    <xdr:to>
      <xdr:col>3</xdr:col>
      <xdr:colOff>26381</xdr:colOff>
      <xdr:row>6</xdr:row>
      <xdr:rowOff>215360</xdr:rowOff>
    </xdr:to>
    <xdr:grpSp>
      <xdr:nvGrpSpPr>
        <xdr:cNvPr id="24" name="Grupo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18B2852-57AD-13D6-D605-28E9148F4A4C}"/>
            </a:ext>
          </a:extLst>
        </xdr:cNvPr>
        <xdr:cNvGrpSpPr/>
      </xdr:nvGrpSpPr>
      <xdr:grpSpPr>
        <a:xfrm>
          <a:off x="323818" y="1109132"/>
          <a:ext cx="644710" cy="679924"/>
          <a:chOff x="318914" y="1115235"/>
          <a:chExt cx="649941" cy="684283"/>
        </a:xfrm>
      </xdr:grpSpPr>
      <xdr:sp macro="" textlink="">
        <xdr:nvSpPr>
          <xdr:cNvPr id="22" name="Rectángulo: esquinas redondeadas 2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AA0EB63-41B9-4BA4-89E1-0ED32F0E6BE4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23" name="Gráfico 22" descr="Lupa con relleno sólido">
            <a:extLst>
              <a:ext uri="{FF2B5EF4-FFF2-40B4-BE49-F238E27FC236}">
                <a16:creationId xmlns:a16="http://schemas.microsoft.com/office/drawing/2014/main" id="{D617F656-B171-4C4C-ADCD-816C0BF4E1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50858</xdr:colOff>
      <xdr:row>0</xdr:row>
      <xdr:rowOff>153003</xdr:rowOff>
    </xdr:from>
    <xdr:to>
      <xdr:col>15</xdr:col>
      <xdr:colOff>324281</xdr:colOff>
      <xdr:row>17</xdr:row>
      <xdr:rowOff>33617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A6EF187-CA03-4E25-8A91-CC5D7389C059}"/>
            </a:ext>
          </a:extLst>
        </xdr:cNvPr>
        <xdr:cNvSpPr/>
      </xdr:nvSpPr>
      <xdr:spPr>
        <a:xfrm>
          <a:off x="10618005" y="153003"/>
          <a:ext cx="856129" cy="4116438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14</xdr:col>
      <xdr:colOff>118241</xdr:colOff>
      <xdr:row>3</xdr:row>
      <xdr:rowOff>189320</xdr:rowOff>
    </xdr:from>
    <xdr:to>
      <xdr:col>15</xdr:col>
      <xdr:colOff>211676</xdr:colOff>
      <xdr:row>6</xdr:row>
      <xdr:rowOff>185220</xdr:rowOff>
    </xdr:to>
    <xdr:sp macro="" textlink="">
      <xdr:nvSpPr>
        <xdr:cNvPr id="28" name="Rectángulo: esquinas redondeadas 2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FD727F1-A4BA-4ED9-B8EB-C67EA86493AC}"/>
            </a:ext>
          </a:extLst>
        </xdr:cNvPr>
        <xdr:cNvSpPr/>
      </xdr:nvSpPr>
      <xdr:spPr>
        <a:xfrm>
          <a:off x="10685388" y="1085791"/>
          <a:ext cx="676141" cy="679458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14</xdr:col>
      <xdr:colOff>124964</xdr:colOff>
      <xdr:row>7</xdr:row>
      <xdr:rowOff>20376</xdr:rowOff>
    </xdr:from>
    <xdr:to>
      <xdr:col>15</xdr:col>
      <xdr:colOff>211676</xdr:colOff>
      <xdr:row>9</xdr:row>
      <xdr:rowOff>215089</xdr:rowOff>
    </xdr:to>
    <xdr:sp macro="" textlink="">
      <xdr:nvSpPr>
        <xdr:cNvPr id="29" name="Rectángulo: esquinas redondeadas 2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FBD45E3-578E-46A0-A788-D835ADCFBACF}"/>
            </a:ext>
          </a:extLst>
        </xdr:cNvPr>
        <xdr:cNvSpPr/>
      </xdr:nvSpPr>
      <xdr:spPr>
        <a:xfrm>
          <a:off x="10692111" y="1846935"/>
          <a:ext cx="669418" cy="687772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123265</xdr:colOff>
      <xdr:row>10</xdr:row>
      <xdr:rowOff>67235</xdr:rowOff>
    </xdr:from>
    <xdr:to>
      <xdr:col>15</xdr:col>
      <xdr:colOff>217627</xdr:colOff>
      <xdr:row>13</xdr:row>
      <xdr:rowOff>13050</xdr:rowOff>
    </xdr:to>
    <xdr:sp macro="" textlink="">
      <xdr:nvSpPr>
        <xdr:cNvPr id="4" name="Rectángulo: esquinas redondeadas 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9BE0336-A236-4316-9561-304589096017}"/>
            </a:ext>
          </a:extLst>
        </xdr:cNvPr>
        <xdr:cNvSpPr/>
      </xdr:nvSpPr>
      <xdr:spPr>
        <a:xfrm>
          <a:off x="10690412" y="2633382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14</xdr:col>
      <xdr:colOff>136130</xdr:colOff>
      <xdr:row>13</xdr:row>
      <xdr:rowOff>102140</xdr:rowOff>
    </xdr:from>
    <xdr:to>
      <xdr:col>15</xdr:col>
      <xdr:colOff>228817</xdr:colOff>
      <xdr:row>16</xdr:row>
      <xdr:rowOff>88967</xdr:rowOff>
    </xdr:to>
    <xdr:sp macro="" textlink="">
      <xdr:nvSpPr>
        <xdr:cNvPr id="5" name="Rectángulo: esquinas redondeada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B62812F-0DEC-4E23-80DA-BB42DFDC0B77}"/>
            </a:ext>
          </a:extLst>
        </xdr:cNvPr>
        <xdr:cNvSpPr/>
      </xdr:nvSpPr>
      <xdr:spPr>
        <a:xfrm>
          <a:off x="10703277" y="3407875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>
    <xdr:from>
      <xdr:col>14</xdr:col>
      <xdr:colOff>129989</xdr:colOff>
      <xdr:row>1</xdr:row>
      <xdr:rowOff>127118</xdr:rowOff>
    </xdr:from>
    <xdr:to>
      <xdr:col>15</xdr:col>
      <xdr:colOff>207693</xdr:colOff>
      <xdr:row>3</xdr:row>
      <xdr:rowOff>93499</xdr:rowOff>
    </xdr:to>
    <xdr:sp macro="" textlink="">
      <xdr:nvSpPr>
        <xdr:cNvPr id="19" name="Rectángulo: esquinas redondeadas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E33D6F7-87A5-464F-A587-0FE5E9283961}"/>
            </a:ext>
          </a:extLst>
        </xdr:cNvPr>
        <xdr:cNvSpPr/>
      </xdr:nvSpPr>
      <xdr:spPr>
        <a:xfrm>
          <a:off x="10697136" y="317618"/>
          <a:ext cx="660410" cy="672352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600" b="1">
              <a:solidFill>
                <a:sysClr val="windowText" lastClr="000000"/>
              </a:solidFill>
            </a:rPr>
            <a:t>COSTOS 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POR PRODUCTO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28575</xdr:rowOff>
    </xdr:from>
    <xdr:to>
      <xdr:col>2</xdr:col>
      <xdr:colOff>149421</xdr:colOff>
      <xdr:row>31</xdr:row>
      <xdr:rowOff>66262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B55B7B09-5970-46C3-BC22-A00935A48066}"/>
            </a:ext>
          </a:extLst>
        </xdr:cNvPr>
        <xdr:cNvSpPr/>
      </xdr:nvSpPr>
      <xdr:spPr>
        <a:xfrm>
          <a:off x="161925" y="219075"/>
          <a:ext cx="865453" cy="799727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238044</xdr:colOff>
      <xdr:row>1</xdr:row>
      <xdr:rowOff>163286</xdr:rowOff>
    </xdr:from>
    <xdr:to>
      <xdr:col>2</xdr:col>
      <xdr:colOff>28877</xdr:colOff>
      <xdr:row>3</xdr:row>
      <xdr:rowOff>125299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C288C2-3B66-48C0-9B49-AD55E7528D56}"/>
            </a:ext>
          </a:extLst>
        </xdr:cNvPr>
        <xdr:cNvGrpSpPr/>
      </xdr:nvGrpSpPr>
      <xdr:grpSpPr>
        <a:xfrm>
          <a:off x="238044" y="353786"/>
          <a:ext cx="661690" cy="669584"/>
          <a:chOff x="427899" y="446598"/>
          <a:chExt cx="650642" cy="674803"/>
        </a:xfrm>
      </xdr:grpSpPr>
      <xdr:sp macro="" textlink="">
        <xdr:nvSpPr>
          <xdr:cNvPr id="3" name="Rectángulo: esquinas redondeada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9FBC2652-0B65-2E25-7452-00EE65470341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4" name="Gráfico 3" descr="Hogar contorno">
            <a:extLst>
              <a:ext uri="{FF2B5EF4-FFF2-40B4-BE49-F238E27FC236}">
                <a16:creationId xmlns:a16="http://schemas.microsoft.com/office/drawing/2014/main" id="{8B907BD2-4369-66B8-2F70-C73FBFB916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240286</xdr:colOff>
      <xdr:row>5</xdr:row>
      <xdr:rowOff>385826</xdr:rowOff>
    </xdr:from>
    <xdr:to>
      <xdr:col>2</xdr:col>
      <xdr:colOff>31119</xdr:colOff>
      <xdr:row>8</xdr:row>
      <xdr:rowOff>135707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2D0F4FC9-4C95-4564-B815-32C03678F839}"/>
            </a:ext>
          </a:extLst>
        </xdr:cNvPr>
        <xdr:cNvGrpSpPr/>
      </xdr:nvGrpSpPr>
      <xdr:grpSpPr>
        <a:xfrm>
          <a:off x="240286" y="1882612"/>
          <a:ext cx="661690" cy="675166"/>
          <a:chOff x="430141" y="1986147"/>
          <a:chExt cx="650642" cy="682857"/>
        </a:xfrm>
      </xdr:grpSpPr>
      <xdr:sp macro="" textlink="">
        <xdr:nvSpPr>
          <xdr:cNvPr id="8" name="Rectángulo: esquinas redondeadas 7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30F1CBD-C1ED-80F8-1C40-534B3E868F8C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9" name="Gráfico 8" descr="Búsqueda de carpetas contorno">
            <a:extLst>
              <a:ext uri="{FF2B5EF4-FFF2-40B4-BE49-F238E27FC236}">
                <a16:creationId xmlns:a16="http://schemas.microsoft.com/office/drawing/2014/main" id="{2CE58CB0-7271-6EE7-14CD-FDD6BE6E49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235803</xdr:colOff>
      <xdr:row>8</xdr:row>
      <xdr:rowOff>233485</xdr:rowOff>
    </xdr:from>
    <xdr:to>
      <xdr:col>2</xdr:col>
      <xdr:colOff>32777</xdr:colOff>
      <xdr:row>11</xdr:row>
      <xdr:rowOff>177994</xdr:rowOff>
    </xdr:to>
    <xdr:sp macro="" textlink="">
      <xdr:nvSpPr>
        <xdr:cNvPr id="10" name="Rectángulo: esquinas redondeada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8776D71-0358-41A6-BE75-96718C642617}"/>
            </a:ext>
          </a:extLst>
        </xdr:cNvPr>
        <xdr:cNvSpPr/>
      </xdr:nvSpPr>
      <xdr:spPr>
        <a:xfrm>
          <a:off x="235803" y="2655556"/>
          <a:ext cx="667831" cy="679295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0</xdr:col>
      <xdr:colOff>231322</xdr:colOff>
      <xdr:row>12</xdr:row>
      <xdr:rowOff>37920</xdr:rowOff>
    </xdr:from>
    <xdr:to>
      <xdr:col>2</xdr:col>
      <xdr:colOff>39347</xdr:colOff>
      <xdr:row>14</xdr:row>
      <xdr:rowOff>220508</xdr:rowOff>
    </xdr:to>
    <xdr:sp macro="" textlink="">
      <xdr:nvSpPr>
        <xdr:cNvPr id="11" name="Rectángulo: esquinas redondeada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91D2296-24E8-40CD-8EFA-FA3433450CED}"/>
            </a:ext>
          </a:extLst>
        </xdr:cNvPr>
        <xdr:cNvSpPr/>
      </xdr:nvSpPr>
      <xdr:spPr>
        <a:xfrm>
          <a:off x="231322" y="3439706"/>
          <a:ext cx="678882" cy="672445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0</xdr:col>
      <xdr:colOff>238045</xdr:colOff>
      <xdr:row>15</xdr:row>
      <xdr:rowOff>83157</xdr:rowOff>
    </xdr:from>
    <xdr:to>
      <xdr:col>2</xdr:col>
      <xdr:colOff>39347</xdr:colOff>
      <xdr:row>18</xdr:row>
      <xdr:rowOff>24945</xdr:rowOff>
    </xdr:to>
    <xdr:sp macro="" textlink="">
      <xdr:nvSpPr>
        <xdr:cNvPr id="12" name="Rectángulo: esquinas redondeada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284F2BE-C959-4A18-AA8E-9B06D5A5FB90}"/>
            </a:ext>
          </a:extLst>
        </xdr:cNvPr>
        <xdr:cNvSpPr/>
      </xdr:nvSpPr>
      <xdr:spPr>
        <a:xfrm>
          <a:off x="238045" y="4219728"/>
          <a:ext cx="672159" cy="676574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TRIBUTOS</a:t>
          </a:r>
          <a:r>
            <a:rPr lang="es-PE" sz="800" b="1" baseline="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DE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ADUANA</a:t>
          </a:r>
          <a:endParaRPr lang="es-PE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242957</xdr:colOff>
      <xdr:row>3</xdr:row>
      <xdr:rowOff>213721</xdr:rowOff>
    </xdr:from>
    <xdr:to>
      <xdr:col>2</xdr:col>
      <xdr:colOff>26123</xdr:colOff>
      <xdr:row>5</xdr:row>
      <xdr:rowOff>291124</xdr:rowOff>
    </xdr:to>
    <xdr:grpSp>
      <xdr:nvGrpSpPr>
        <xdr:cNvPr id="13" name="Grupo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3ACA0F5-FD1B-421A-807C-964360EBA219}"/>
            </a:ext>
          </a:extLst>
        </xdr:cNvPr>
        <xdr:cNvGrpSpPr/>
      </xdr:nvGrpSpPr>
      <xdr:grpSpPr>
        <a:xfrm>
          <a:off x="242957" y="1111792"/>
          <a:ext cx="654023" cy="676118"/>
          <a:chOff x="318914" y="1115235"/>
          <a:chExt cx="649941" cy="684283"/>
        </a:xfrm>
      </xdr:grpSpPr>
      <xdr:sp macro="" textlink="">
        <xdr:nvSpPr>
          <xdr:cNvPr id="14" name="Rectángulo: esquinas redondeadas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05B5A37-ADAF-85E4-44C3-559E7D63B37C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15" name="Gráfico 14" descr="Lupa con relleno sólido">
            <a:extLst>
              <a:ext uri="{FF2B5EF4-FFF2-40B4-BE49-F238E27FC236}">
                <a16:creationId xmlns:a16="http://schemas.microsoft.com/office/drawing/2014/main" id="{B5A78A04-7B6B-C706-C083-4DAAB23782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203060</xdr:colOff>
      <xdr:row>1</xdr:row>
      <xdr:rowOff>8373</xdr:rowOff>
    </xdr:from>
    <xdr:to>
      <xdr:col>33</xdr:col>
      <xdr:colOff>449036</xdr:colOff>
      <xdr:row>12</xdr:row>
      <xdr:rowOff>8373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4EAE25E6-87FB-4DAD-A3A0-5FB020FC321C}"/>
            </a:ext>
          </a:extLst>
        </xdr:cNvPr>
        <xdr:cNvSpPr/>
      </xdr:nvSpPr>
      <xdr:spPr>
        <a:xfrm>
          <a:off x="10721381" y="198873"/>
          <a:ext cx="13118334" cy="3211286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11</xdr:col>
      <xdr:colOff>396700</xdr:colOff>
      <xdr:row>1</xdr:row>
      <xdr:rowOff>40819</xdr:rowOff>
    </xdr:from>
    <xdr:to>
      <xdr:col>33</xdr:col>
      <xdr:colOff>340178</xdr:colOff>
      <xdr:row>11</xdr:row>
      <xdr:rowOff>193850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225584</xdr:colOff>
      <xdr:row>18</xdr:row>
      <xdr:rowOff>123264</xdr:rowOff>
    </xdr:from>
    <xdr:to>
      <xdr:col>2</xdr:col>
      <xdr:colOff>35333</xdr:colOff>
      <xdr:row>21</xdr:row>
      <xdr:rowOff>71390</xdr:rowOff>
    </xdr:to>
    <xdr:sp macro="" textlink="">
      <xdr:nvSpPr>
        <xdr:cNvPr id="36" name="Rectángulo: esquinas redondeadas 3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DF55F02-AC13-443B-BF1D-BB5829CFD2D7}"/>
            </a:ext>
          </a:extLst>
        </xdr:cNvPr>
        <xdr:cNvSpPr/>
      </xdr:nvSpPr>
      <xdr:spPr>
        <a:xfrm>
          <a:off x="225584" y="5009029"/>
          <a:ext cx="683808" cy="687714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DE VENTA</a:t>
          </a:r>
        </a:p>
      </xdr:txBody>
    </xdr:sp>
    <xdr:clientData/>
  </xdr:twoCellAnchor>
  <xdr:twoCellAnchor>
    <xdr:from>
      <xdr:col>0</xdr:col>
      <xdr:colOff>232307</xdr:colOff>
      <xdr:row>21</xdr:row>
      <xdr:rowOff>153076</xdr:rowOff>
    </xdr:from>
    <xdr:to>
      <xdr:col>2</xdr:col>
      <xdr:colOff>35333</xdr:colOff>
      <xdr:row>24</xdr:row>
      <xdr:rowOff>109518</xdr:rowOff>
    </xdr:to>
    <xdr:sp macro="" textlink="">
      <xdr:nvSpPr>
        <xdr:cNvPr id="37" name="Rectángulo: esquinas redondeadas 3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D886E4C-64E9-4971-BE69-0B9559E40883}"/>
            </a:ext>
          </a:extLst>
        </xdr:cNvPr>
        <xdr:cNvSpPr/>
      </xdr:nvSpPr>
      <xdr:spPr>
        <a:xfrm>
          <a:off x="232307" y="5778429"/>
          <a:ext cx="677085" cy="696030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240196</xdr:colOff>
      <xdr:row>24</xdr:row>
      <xdr:rowOff>198783</xdr:rowOff>
    </xdr:from>
    <xdr:to>
      <xdr:col>2</xdr:col>
      <xdr:colOff>39307</xdr:colOff>
      <xdr:row>27</xdr:row>
      <xdr:rowOff>138751</xdr:rowOff>
    </xdr:to>
    <xdr:sp macro="" textlink="">
      <xdr:nvSpPr>
        <xdr:cNvPr id="23" name="Rectángulo: esquinas redondeadas 2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CABE3CE-94E4-4840-9B73-042D5877992D}"/>
            </a:ext>
          </a:extLst>
        </xdr:cNvPr>
        <xdr:cNvSpPr/>
      </xdr:nvSpPr>
      <xdr:spPr>
        <a:xfrm>
          <a:off x="240196" y="6609522"/>
          <a:ext cx="677068" cy="685403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253061</xdr:colOff>
      <xdr:row>27</xdr:row>
      <xdr:rowOff>227841</xdr:rowOff>
    </xdr:from>
    <xdr:to>
      <xdr:col>2</xdr:col>
      <xdr:colOff>50497</xdr:colOff>
      <xdr:row>30</xdr:row>
      <xdr:rowOff>152792</xdr:rowOff>
    </xdr:to>
    <xdr:sp macro="" textlink="">
      <xdr:nvSpPr>
        <xdr:cNvPr id="24" name="Rectángulo: esquinas redondeadas 2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2FD3AA6-5BC3-41E7-B841-94357CE40F2E}"/>
            </a:ext>
          </a:extLst>
        </xdr:cNvPr>
        <xdr:cNvSpPr/>
      </xdr:nvSpPr>
      <xdr:spPr>
        <a:xfrm>
          <a:off x="253061" y="7384015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1</xdr:row>
      <xdr:rowOff>66675</xdr:rowOff>
    </xdr:from>
    <xdr:to>
      <xdr:col>25</xdr:col>
      <xdr:colOff>246530</xdr:colOff>
      <xdr:row>9</xdr:row>
      <xdr:rowOff>56030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D4A9210-63BB-43EA-B1B2-0DF3CD1D08C0}"/>
            </a:ext>
          </a:extLst>
        </xdr:cNvPr>
        <xdr:cNvSpPr/>
      </xdr:nvSpPr>
      <xdr:spPr>
        <a:xfrm>
          <a:off x="10479181" y="257175"/>
          <a:ext cx="8223437" cy="2723590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11</xdr:col>
      <xdr:colOff>264583</xdr:colOff>
      <xdr:row>1</xdr:row>
      <xdr:rowOff>158750</xdr:rowOff>
    </xdr:from>
    <xdr:to>
      <xdr:col>25</xdr:col>
      <xdr:colOff>67236</xdr:colOff>
      <xdr:row>8</xdr:row>
      <xdr:rowOff>145676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180785</xdr:colOff>
      <xdr:row>9</xdr:row>
      <xdr:rowOff>244104</xdr:rowOff>
    </xdr:from>
    <xdr:to>
      <xdr:col>25</xdr:col>
      <xdr:colOff>324970</xdr:colOff>
      <xdr:row>19</xdr:row>
      <xdr:rowOff>78442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206EB663-6539-49A2-A355-E6F4134457C4}"/>
            </a:ext>
          </a:extLst>
        </xdr:cNvPr>
        <xdr:cNvSpPr/>
      </xdr:nvSpPr>
      <xdr:spPr>
        <a:xfrm>
          <a:off x="10478991" y="3168839"/>
          <a:ext cx="8302067" cy="2299632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11</xdr:col>
      <xdr:colOff>212911</xdr:colOff>
      <xdr:row>10</xdr:row>
      <xdr:rowOff>44822</xdr:rowOff>
    </xdr:from>
    <xdr:to>
      <xdr:col>25</xdr:col>
      <xdr:colOff>302559</xdr:colOff>
      <xdr:row>19</xdr:row>
      <xdr:rowOff>22411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89647</xdr:colOff>
      <xdr:row>1</xdr:row>
      <xdr:rowOff>17318</xdr:rowOff>
    </xdr:from>
    <xdr:to>
      <xdr:col>2</xdr:col>
      <xdr:colOff>145936</xdr:colOff>
      <xdr:row>33</xdr:row>
      <xdr:rowOff>16565</xdr:rowOff>
    </xdr:to>
    <xdr:sp macro="" textlink="">
      <xdr:nvSpPr>
        <xdr:cNvPr id="54" name="Rectángulo: esquinas redondeadas 53">
          <a:extLst>
            <a:ext uri="{FF2B5EF4-FFF2-40B4-BE49-F238E27FC236}">
              <a16:creationId xmlns:a16="http://schemas.microsoft.com/office/drawing/2014/main" id="{E3A67438-4BB8-4BF7-9034-C783C8A4F89E}"/>
            </a:ext>
          </a:extLst>
        </xdr:cNvPr>
        <xdr:cNvSpPr/>
      </xdr:nvSpPr>
      <xdr:spPr>
        <a:xfrm>
          <a:off x="89647" y="207818"/>
          <a:ext cx="851419" cy="792570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152401</xdr:colOff>
      <xdr:row>1</xdr:row>
      <xdr:rowOff>152029</xdr:rowOff>
    </xdr:from>
    <xdr:to>
      <xdr:col>2</xdr:col>
      <xdr:colOff>25393</xdr:colOff>
      <xdr:row>3</xdr:row>
      <xdr:rowOff>115004</xdr:rowOff>
    </xdr:to>
    <xdr:grpSp>
      <xdr:nvGrpSpPr>
        <xdr:cNvPr id="55" name="Grupo 5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904147-4A26-4D61-A1AB-F89624BE8338}"/>
            </a:ext>
          </a:extLst>
        </xdr:cNvPr>
        <xdr:cNvGrpSpPr/>
      </xdr:nvGrpSpPr>
      <xdr:grpSpPr>
        <a:xfrm>
          <a:off x="152401" y="342529"/>
          <a:ext cx="679816" cy="668946"/>
          <a:chOff x="427899" y="446598"/>
          <a:chExt cx="650642" cy="674803"/>
        </a:xfrm>
      </xdr:grpSpPr>
      <xdr:sp macro="" textlink="">
        <xdr:nvSpPr>
          <xdr:cNvPr id="56" name="Rectángulo: esquinas redondeadas 5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7FE43AE-5075-DBA9-C407-0FD98D7E87CE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57" name="Gráfico 56" descr="Hogar contorno">
            <a:extLst>
              <a:ext uri="{FF2B5EF4-FFF2-40B4-BE49-F238E27FC236}">
                <a16:creationId xmlns:a16="http://schemas.microsoft.com/office/drawing/2014/main" id="{CD3B9F81-6F06-536F-0AA4-95F71376AE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152401</xdr:colOff>
      <xdr:row>6</xdr:row>
      <xdr:rowOff>26498</xdr:rowOff>
    </xdr:from>
    <xdr:to>
      <xdr:col>2</xdr:col>
      <xdr:colOff>27635</xdr:colOff>
      <xdr:row>8</xdr:row>
      <xdr:rowOff>22607</xdr:rowOff>
    </xdr:to>
    <xdr:grpSp>
      <xdr:nvGrpSpPr>
        <xdr:cNvPr id="58" name="Grupo 57">
          <a:extLst>
            <a:ext uri="{FF2B5EF4-FFF2-40B4-BE49-F238E27FC236}">
              <a16:creationId xmlns:a16="http://schemas.microsoft.com/office/drawing/2014/main" id="{0964B194-8FF1-4384-8FC8-58C3578523E7}"/>
            </a:ext>
          </a:extLst>
        </xdr:cNvPr>
        <xdr:cNvGrpSpPr/>
      </xdr:nvGrpSpPr>
      <xdr:grpSpPr>
        <a:xfrm>
          <a:off x="152401" y="2021145"/>
          <a:ext cx="682058" cy="679668"/>
          <a:chOff x="430141" y="1986147"/>
          <a:chExt cx="650642" cy="682857"/>
        </a:xfrm>
      </xdr:grpSpPr>
      <xdr:sp macro="" textlink="">
        <xdr:nvSpPr>
          <xdr:cNvPr id="59" name="Rectángulo: esquinas redondeadas 5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8B9DBB07-172B-EDEA-C95B-19AA32990F4F}"/>
              </a:ext>
            </a:extLst>
          </xdr:cNvPr>
          <xdr:cNvSpPr/>
        </xdr:nvSpPr>
        <xdr:spPr>
          <a:xfrm>
            <a:off x="430141" y="1986147"/>
            <a:ext cx="650642" cy="682857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60" name="Gráfico 59" descr="Búsqueda de carpetas contorno">
            <a:extLst>
              <a:ext uri="{FF2B5EF4-FFF2-40B4-BE49-F238E27FC236}">
                <a16:creationId xmlns:a16="http://schemas.microsoft.com/office/drawing/2014/main" id="{9EBA5989-9857-FE3A-A168-719E8AE94D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152400</xdr:colOff>
      <xdr:row>8</xdr:row>
      <xdr:rowOff>120385</xdr:rowOff>
    </xdr:from>
    <xdr:to>
      <xdr:col>2</xdr:col>
      <xdr:colOff>29292</xdr:colOff>
      <xdr:row>11</xdr:row>
      <xdr:rowOff>62008</xdr:rowOff>
    </xdr:to>
    <xdr:sp macro="" textlink="">
      <xdr:nvSpPr>
        <xdr:cNvPr id="61" name="Rectángulo: esquinas redondeadas 6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1878890-EF4F-488B-BA98-12963994016A}"/>
            </a:ext>
          </a:extLst>
        </xdr:cNvPr>
        <xdr:cNvSpPr/>
      </xdr:nvSpPr>
      <xdr:spPr>
        <a:xfrm>
          <a:off x="152400" y="2670154"/>
          <a:ext cx="682854" cy="688969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0</xdr:col>
      <xdr:colOff>152400</xdr:colOff>
      <xdr:row>11</xdr:row>
      <xdr:rowOff>170087</xdr:rowOff>
    </xdr:from>
    <xdr:to>
      <xdr:col>2</xdr:col>
      <xdr:colOff>35862</xdr:colOff>
      <xdr:row>14</xdr:row>
      <xdr:rowOff>101635</xdr:rowOff>
    </xdr:to>
    <xdr:sp macro="" textlink="">
      <xdr:nvSpPr>
        <xdr:cNvPr id="62" name="Rectángulo: esquinas redondeadas 6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9E1AFBD-DF97-4209-8A32-BB29C9A20C62}"/>
            </a:ext>
          </a:extLst>
        </xdr:cNvPr>
        <xdr:cNvSpPr/>
      </xdr:nvSpPr>
      <xdr:spPr>
        <a:xfrm>
          <a:off x="152400" y="3467202"/>
          <a:ext cx="689424" cy="678895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0</xdr:col>
      <xdr:colOff>152400</xdr:colOff>
      <xdr:row>14</xdr:row>
      <xdr:rowOff>212437</xdr:rowOff>
    </xdr:from>
    <xdr:to>
      <xdr:col>2</xdr:col>
      <xdr:colOff>35862</xdr:colOff>
      <xdr:row>17</xdr:row>
      <xdr:rowOff>151339</xdr:rowOff>
    </xdr:to>
    <xdr:sp macro="" textlink="">
      <xdr:nvSpPr>
        <xdr:cNvPr id="63" name="Rectángulo: esquinas redondeadas 6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DC0C1B5-3C84-482A-8BA7-BF877D90B1A5}"/>
            </a:ext>
          </a:extLst>
        </xdr:cNvPr>
        <xdr:cNvSpPr/>
      </xdr:nvSpPr>
      <xdr:spPr>
        <a:xfrm>
          <a:off x="152400" y="4256899"/>
          <a:ext cx="689424" cy="686248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TRIBUTOS</a:t>
          </a:r>
          <a:r>
            <a:rPr lang="es-PE" sz="800" b="1" baseline="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DE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ADUANA</a:t>
          </a:r>
          <a:endParaRPr lang="es-PE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152401</xdr:colOff>
      <xdr:row>3</xdr:row>
      <xdr:rowOff>219801</xdr:rowOff>
    </xdr:from>
    <xdr:to>
      <xdr:col>2</xdr:col>
      <xdr:colOff>43961</xdr:colOff>
      <xdr:row>5</xdr:row>
      <xdr:rowOff>254180</xdr:rowOff>
    </xdr:to>
    <xdr:grpSp>
      <xdr:nvGrpSpPr>
        <xdr:cNvPr id="64" name="Grupo 6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3E0AA9E-D023-48A7-AABF-54B6A42792DD}"/>
            </a:ext>
          </a:extLst>
        </xdr:cNvPr>
        <xdr:cNvGrpSpPr/>
      </xdr:nvGrpSpPr>
      <xdr:grpSpPr>
        <a:xfrm>
          <a:off x="152401" y="1116272"/>
          <a:ext cx="698384" cy="807584"/>
          <a:chOff x="318914" y="1115235"/>
          <a:chExt cx="649941" cy="684283"/>
        </a:xfrm>
      </xdr:grpSpPr>
      <xdr:sp macro="" textlink="">
        <xdr:nvSpPr>
          <xdr:cNvPr id="65" name="Rectángulo: esquinas redondeadas 6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BD62880-C508-89C6-F69D-A743953F08E9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66" name="Gráfico 65" descr="Lupa con relleno sólido">
            <a:extLst>
              <a:ext uri="{FF2B5EF4-FFF2-40B4-BE49-F238E27FC236}">
                <a16:creationId xmlns:a16="http://schemas.microsoft.com/office/drawing/2014/main" id="{9F466080-89CB-03F7-6D63-A1A1098C94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142875</xdr:colOff>
      <xdr:row>18</xdr:row>
      <xdr:rowOff>543</xdr:rowOff>
    </xdr:from>
    <xdr:to>
      <xdr:col>2</xdr:col>
      <xdr:colOff>31848</xdr:colOff>
      <xdr:row>20</xdr:row>
      <xdr:rowOff>194897</xdr:rowOff>
    </xdr:to>
    <xdr:sp macro="" textlink="">
      <xdr:nvSpPr>
        <xdr:cNvPr id="67" name="Rectángulo: esquinas redondeadas 6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8F074CE-CDD1-4434-AAE4-F1D3832ECDE8}"/>
            </a:ext>
          </a:extLst>
        </xdr:cNvPr>
        <xdr:cNvSpPr/>
      </xdr:nvSpPr>
      <xdr:spPr>
        <a:xfrm>
          <a:off x="142875" y="5041466"/>
          <a:ext cx="694935" cy="692585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COSTO DEL PRODUC</a:t>
          </a:r>
        </a:p>
      </xdr:txBody>
    </xdr:sp>
    <xdr:clientData/>
  </xdr:twoCellAnchor>
  <xdr:twoCellAnchor>
    <xdr:from>
      <xdr:col>0</xdr:col>
      <xdr:colOff>152401</xdr:colOff>
      <xdr:row>21</xdr:row>
      <xdr:rowOff>27468</xdr:rowOff>
    </xdr:from>
    <xdr:to>
      <xdr:col>2</xdr:col>
      <xdr:colOff>31849</xdr:colOff>
      <xdr:row>23</xdr:row>
      <xdr:rowOff>230139</xdr:rowOff>
    </xdr:to>
    <xdr:sp macro="" textlink="">
      <xdr:nvSpPr>
        <xdr:cNvPr id="68" name="Rectángulo: esquinas redondeadas 6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7E62AC3-3DA4-4DC5-A283-F34EB846DBFD}"/>
            </a:ext>
          </a:extLst>
        </xdr:cNvPr>
        <xdr:cNvSpPr/>
      </xdr:nvSpPr>
      <xdr:spPr>
        <a:xfrm>
          <a:off x="152401" y="5815737"/>
          <a:ext cx="685410" cy="700902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CRÉDITO</a:t>
          </a:r>
          <a:r>
            <a:rPr lang="es-PE" sz="900" b="1" baseline="0">
              <a:solidFill>
                <a:schemeClr val="bg1"/>
              </a:solidFill>
            </a:rPr>
            <a:t> FISCAL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157370</xdr:colOff>
      <xdr:row>24</xdr:row>
      <xdr:rowOff>89828</xdr:rowOff>
    </xdr:from>
    <xdr:to>
      <xdr:col>2</xdr:col>
      <xdr:colOff>39308</xdr:colOff>
      <xdr:row>27</xdr:row>
      <xdr:rowOff>29796</xdr:rowOff>
    </xdr:to>
    <xdr:sp macro="" textlink="">
      <xdr:nvSpPr>
        <xdr:cNvPr id="4" name="Rectángulo: esquinas redondeadas 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25CEE0C-1B00-4DA9-8EEC-0B73FC6E7FE6}"/>
            </a:ext>
          </a:extLst>
        </xdr:cNvPr>
        <xdr:cNvSpPr/>
      </xdr:nvSpPr>
      <xdr:spPr>
        <a:xfrm>
          <a:off x="157370" y="6625443"/>
          <a:ext cx="687900" cy="687315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0</xdr:col>
      <xdr:colOff>170235</xdr:colOff>
      <xdr:row>27</xdr:row>
      <xdr:rowOff>118886</xdr:rowOff>
    </xdr:from>
    <xdr:to>
      <xdr:col>2</xdr:col>
      <xdr:colOff>50498</xdr:colOff>
      <xdr:row>30</xdr:row>
      <xdr:rowOff>43837</xdr:rowOff>
    </xdr:to>
    <xdr:sp macro="" textlink="">
      <xdr:nvSpPr>
        <xdr:cNvPr id="5" name="Rectángulo: esquinas redondeada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CABE30F-2905-48A8-9F23-39831582E7FB}"/>
            </a:ext>
          </a:extLst>
        </xdr:cNvPr>
        <xdr:cNvSpPr/>
      </xdr:nvSpPr>
      <xdr:spPr>
        <a:xfrm>
          <a:off x="170235" y="7401848"/>
          <a:ext cx="686225" cy="672297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76200</xdr:rowOff>
    </xdr:from>
    <xdr:to>
      <xdr:col>12</xdr:col>
      <xdr:colOff>133350</xdr:colOff>
      <xdr:row>16</xdr:row>
      <xdr:rowOff>9525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80E89CDD-71BB-41CE-8F03-A19E7D538867}"/>
            </a:ext>
          </a:extLst>
        </xdr:cNvPr>
        <xdr:cNvSpPr/>
      </xdr:nvSpPr>
      <xdr:spPr>
        <a:xfrm>
          <a:off x="7505700" y="266700"/>
          <a:ext cx="4200525" cy="2809875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5</xdr:col>
      <xdr:colOff>152400</xdr:colOff>
      <xdr:row>6</xdr:row>
      <xdr:rowOff>104776</xdr:rowOff>
    </xdr:from>
    <xdr:to>
      <xdr:col>12</xdr:col>
      <xdr:colOff>76200</xdr:colOff>
      <xdr:row>15</xdr:row>
      <xdr:rowOff>247651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180976</xdr:colOff>
      <xdr:row>16</xdr:row>
      <xdr:rowOff>247651</xdr:rowOff>
    </xdr:from>
    <xdr:to>
      <xdr:col>12</xdr:col>
      <xdr:colOff>219076</xdr:colOff>
      <xdr:row>23</xdr:row>
      <xdr:rowOff>152401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BE5E5528-AD03-4AD4-976D-2DB323F155BD}"/>
            </a:ext>
          </a:extLst>
        </xdr:cNvPr>
        <xdr:cNvSpPr/>
      </xdr:nvSpPr>
      <xdr:spPr>
        <a:xfrm>
          <a:off x="7486651" y="3314701"/>
          <a:ext cx="4305300" cy="2362200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3</xdr:col>
      <xdr:colOff>1828800</xdr:colOff>
      <xdr:row>16</xdr:row>
      <xdr:rowOff>257175</xdr:rowOff>
    </xdr:from>
    <xdr:to>
      <xdr:col>12</xdr:col>
      <xdr:colOff>9526</xdr:colOff>
      <xdr:row>23</xdr:row>
      <xdr:rowOff>171451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19051</xdr:colOff>
      <xdr:row>1</xdr:row>
      <xdr:rowOff>19051</xdr:rowOff>
    </xdr:from>
    <xdr:to>
      <xdr:col>8</xdr:col>
      <xdr:colOff>361950</xdr:colOff>
      <xdr:row>5</xdr:row>
      <xdr:rowOff>123825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90CA7FAE-F799-418C-A165-E5D97E5F58F3}"/>
            </a:ext>
          </a:extLst>
        </xdr:cNvPr>
        <xdr:cNvSpPr/>
      </xdr:nvSpPr>
      <xdr:spPr>
        <a:xfrm>
          <a:off x="1085851" y="104776"/>
          <a:ext cx="8524874" cy="866774"/>
        </a:xfrm>
        <a:prstGeom prst="roundRect">
          <a:avLst>
            <a:gd name="adj" fmla="val 7098"/>
          </a:avLst>
        </a:prstGeom>
        <a:solidFill>
          <a:srgbClr val="ACBBC8"/>
        </a:solidFill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815228</xdr:colOff>
      <xdr:row>1</xdr:row>
      <xdr:rowOff>96380</xdr:rowOff>
    </xdr:from>
    <xdr:to>
      <xdr:col>3</xdr:col>
      <xdr:colOff>1492028</xdr:colOff>
      <xdr:row>5</xdr:row>
      <xdr:rowOff>3980</xdr:rowOff>
    </xdr:to>
    <xdr:sp macro="" textlink="">
      <xdr:nvSpPr>
        <xdr:cNvPr id="19" name="Rectángulo: esquinas redondeada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492D7F-1AB6-4F01-AB24-4FE25E658ACF}"/>
            </a:ext>
          </a:extLst>
        </xdr:cNvPr>
        <xdr:cNvSpPr/>
      </xdr:nvSpPr>
      <xdr:spPr>
        <a:xfrm>
          <a:off x="6254003" y="182105"/>
          <a:ext cx="676800" cy="669600"/>
        </a:xfrm>
        <a:prstGeom prst="roundRect">
          <a:avLst/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COSTO DEL PRODUC</a:t>
          </a:r>
        </a:p>
      </xdr:txBody>
    </xdr:sp>
    <xdr:clientData/>
  </xdr:twoCellAnchor>
  <xdr:twoCellAnchor>
    <xdr:from>
      <xdr:col>3</xdr:col>
      <xdr:colOff>1691529</xdr:colOff>
      <xdr:row>1</xdr:row>
      <xdr:rowOff>96091</xdr:rowOff>
    </xdr:from>
    <xdr:to>
      <xdr:col>5</xdr:col>
      <xdr:colOff>301404</xdr:colOff>
      <xdr:row>5</xdr:row>
      <xdr:rowOff>3691</xdr:rowOff>
    </xdr:to>
    <xdr:sp macro="" textlink="">
      <xdr:nvSpPr>
        <xdr:cNvPr id="20" name="Rectángulo: esquinas redondeadas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DDBE2-EB7C-40EF-A07C-6419D18345C4}"/>
            </a:ext>
          </a:extLst>
        </xdr:cNvPr>
        <xdr:cNvSpPr/>
      </xdr:nvSpPr>
      <xdr:spPr>
        <a:xfrm>
          <a:off x="7130304" y="181816"/>
          <a:ext cx="676800" cy="669600"/>
        </a:xfrm>
        <a:prstGeom prst="roundRect">
          <a:avLst/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PRECIO VENTA</a:t>
          </a:r>
          <a:endParaRPr lang="es-P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438150</xdr:colOff>
      <xdr:row>1</xdr:row>
      <xdr:rowOff>95250</xdr:rowOff>
    </xdr:from>
    <xdr:to>
      <xdr:col>6</xdr:col>
      <xdr:colOff>533925</xdr:colOff>
      <xdr:row>5</xdr:row>
      <xdr:rowOff>2850</xdr:rowOff>
    </xdr:to>
    <xdr:sp macro="" textlink="">
      <xdr:nvSpPr>
        <xdr:cNvPr id="25" name="Rectángulo: esquinas redondeadas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0CA6EC-539A-467E-AA8B-BB2512D1E173}"/>
            </a:ext>
          </a:extLst>
        </xdr:cNvPr>
        <xdr:cNvSpPr/>
      </xdr:nvSpPr>
      <xdr:spPr>
        <a:xfrm>
          <a:off x="7943850" y="180975"/>
          <a:ext cx="676800" cy="669600"/>
        </a:xfrm>
        <a:prstGeom prst="roundRect">
          <a:avLst/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bg1"/>
              </a:solidFill>
            </a:rPr>
            <a:t>KPI</a:t>
          </a:r>
        </a:p>
        <a:p>
          <a:pPr algn="ctr"/>
          <a:r>
            <a:rPr lang="es-PE" sz="800" b="1">
              <a:solidFill>
                <a:schemeClr val="bg1"/>
              </a:solidFill>
            </a:rPr>
            <a:t>GENERAL</a:t>
          </a:r>
        </a:p>
      </xdr:txBody>
    </xdr:sp>
    <xdr:clientData/>
  </xdr:twoCellAnchor>
  <xdr:twoCellAnchor>
    <xdr:from>
      <xdr:col>7</xdr:col>
      <xdr:colOff>98590</xdr:colOff>
      <xdr:row>1</xdr:row>
      <xdr:rowOff>98218</xdr:rowOff>
    </xdr:from>
    <xdr:to>
      <xdr:col>8</xdr:col>
      <xdr:colOff>192958</xdr:colOff>
      <xdr:row>5</xdr:row>
      <xdr:rowOff>6604</xdr:rowOff>
    </xdr:to>
    <xdr:sp macro="" textlink="">
      <xdr:nvSpPr>
        <xdr:cNvPr id="26" name="Rectángulo: esquinas redondeadas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C7CC54-7790-47B9-85EA-8AA21D4B55FB}"/>
            </a:ext>
          </a:extLst>
        </xdr:cNvPr>
        <xdr:cNvSpPr/>
      </xdr:nvSpPr>
      <xdr:spPr>
        <a:xfrm>
          <a:off x="8766340" y="183943"/>
          <a:ext cx="675393" cy="670386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</a:t>
          </a:r>
        </a:p>
        <a:p>
          <a:pPr algn="ctr"/>
          <a:r>
            <a:rPr lang="es-PE" sz="6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>
    <xdr:from>
      <xdr:col>1</xdr:col>
      <xdr:colOff>158004</xdr:colOff>
      <xdr:row>1</xdr:row>
      <xdr:rowOff>96611</xdr:rowOff>
    </xdr:from>
    <xdr:to>
      <xdr:col>1</xdr:col>
      <xdr:colOff>833817</xdr:colOff>
      <xdr:row>5</xdr:row>
      <xdr:rowOff>5157</xdr:rowOff>
    </xdr:to>
    <xdr:grpSp>
      <xdr:nvGrpSpPr>
        <xdr:cNvPr id="5" name="Grupo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F5A6AB-4E06-4E27-BE51-0537A242179D}"/>
            </a:ext>
          </a:extLst>
        </xdr:cNvPr>
        <xdr:cNvGrpSpPr/>
      </xdr:nvGrpSpPr>
      <xdr:grpSpPr>
        <a:xfrm>
          <a:off x="443754" y="182336"/>
          <a:ext cx="675813" cy="670546"/>
          <a:chOff x="427899" y="446598"/>
          <a:chExt cx="650642" cy="674803"/>
        </a:xfrm>
      </xdr:grpSpPr>
      <xdr:sp macro="" textlink="">
        <xdr:nvSpPr>
          <xdr:cNvPr id="6" name="Rectángulo: esquinas redondeadas 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0AE4B0D-3864-3F33-8E6B-FDB74B9BD29E}"/>
              </a:ext>
            </a:extLst>
          </xdr:cNvPr>
          <xdr:cNvSpPr/>
        </xdr:nvSpPr>
        <xdr:spPr>
          <a:xfrm>
            <a:off x="427899" y="446598"/>
            <a:ext cx="650642" cy="674803"/>
          </a:xfrm>
          <a:prstGeom prst="roundRect">
            <a:avLst/>
          </a:prstGeom>
          <a:solidFill>
            <a:srgbClr val="001D39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Inicio</a:t>
            </a:r>
          </a:p>
          <a:p>
            <a:pPr algn="ctr"/>
            <a:endParaRPr lang="es-PE" sz="1200" b="1"/>
          </a:p>
        </xdr:txBody>
      </xdr:sp>
      <xdr:pic>
        <xdr:nvPicPr>
          <xdr:cNvPr id="7" name="Gráfico 6" descr="Hogar contorno">
            <a:extLst>
              <a:ext uri="{FF2B5EF4-FFF2-40B4-BE49-F238E27FC236}">
                <a16:creationId xmlns:a16="http://schemas.microsoft.com/office/drawing/2014/main" id="{243F414E-273F-8F89-6269-5188AB480D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19971" y="736506"/>
            <a:ext cx="268035" cy="27013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986678</xdr:colOff>
      <xdr:row>1</xdr:row>
      <xdr:rowOff>103104</xdr:rowOff>
    </xdr:from>
    <xdr:to>
      <xdr:col>1</xdr:col>
      <xdr:colOff>1663478</xdr:colOff>
      <xdr:row>5</xdr:row>
      <xdr:rowOff>10704</xdr:rowOff>
    </xdr:to>
    <xdr:grpSp>
      <xdr:nvGrpSpPr>
        <xdr:cNvPr id="16" name="Grupo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14136E5-94E3-47FC-A65A-CF7C86358DCF}"/>
            </a:ext>
          </a:extLst>
        </xdr:cNvPr>
        <xdr:cNvGrpSpPr/>
      </xdr:nvGrpSpPr>
      <xdr:grpSpPr>
        <a:xfrm>
          <a:off x="1272428" y="188829"/>
          <a:ext cx="676800" cy="669600"/>
          <a:chOff x="318914" y="1115235"/>
          <a:chExt cx="649941" cy="684283"/>
        </a:xfrm>
      </xdr:grpSpPr>
      <xdr:sp macro="" textlink="">
        <xdr:nvSpPr>
          <xdr:cNvPr id="17" name="Rectángulo: esquinas redondeadas 16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163086F8-1C35-6421-EC69-9F044A21D7A3}"/>
              </a:ext>
            </a:extLst>
          </xdr:cNvPr>
          <xdr:cNvSpPr/>
        </xdr:nvSpPr>
        <xdr:spPr>
          <a:xfrm>
            <a:off x="318914" y="1115235"/>
            <a:ext cx="649941" cy="684283"/>
          </a:xfrm>
          <a:prstGeom prst="roundRect">
            <a:avLst/>
          </a:prstGeom>
          <a:solidFill>
            <a:srgbClr val="0A4174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480" b="1"/>
              <a:t>INTRODUCCIÓN</a:t>
            </a:r>
          </a:p>
          <a:p>
            <a:pPr algn="ctr"/>
            <a:endParaRPr lang="es-PE" sz="1100" b="1"/>
          </a:p>
        </xdr:txBody>
      </xdr:sp>
      <xdr:pic>
        <xdr:nvPicPr>
          <xdr:cNvPr id="18" name="Gráfico 17" descr="Lupa con relleno sólido">
            <a:extLst>
              <a:ext uri="{FF2B5EF4-FFF2-40B4-BE49-F238E27FC236}">
                <a16:creationId xmlns:a16="http://schemas.microsoft.com/office/drawing/2014/main" id="{985257F3-9AD8-F3CA-A96F-D23FB869B0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493839" y="1402188"/>
            <a:ext cx="281940" cy="28695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1815354</xdr:colOff>
      <xdr:row>1</xdr:row>
      <xdr:rowOff>102028</xdr:rowOff>
    </xdr:from>
    <xdr:to>
      <xdr:col>1</xdr:col>
      <xdr:colOff>2493409</xdr:colOff>
      <xdr:row>5</xdr:row>
      <xdr:rowOff>9628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FD88BDA7-8096-4745-853A-9098D773E788}"/>
            </a:ext>
          </a:extLst>
        </xdr:cNvPr>
        <xdr:cNvGrpSpPr/>
      </xdr:nvGrpSpPr>
      <xdr:grpSpPr>
        <a:xfrm>
          <a:off x="2101104" y="187753"/>
          <a:ext cx="678055" cy="669600"/>
          <a:chOff x="430141" y="1986147"/>
          <a:chExt cx="650642" cy="680135"/>
        </a:xfrm>
      </xdr:grpSpPr>
      <xdr:sp macro="" textlink="">
        <xdr:nvSpPr>
          <xdr:cNvPr id="9" name="Rectángulo: esquinas redondeadas 8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77E44725-5250-2A1E-ADD6-CD4E9823E139}"/>
              </a:ext>
            </a:extLst>
          </xdr:cNvPr>
          <xdr:cNvSpPr/>
        </xdr:nvSpPr>
        <xdr:spPr>
          <a:xfrm>
            <a:off x="430141" y="1986147"/>
            <a:ext cx="650642" cy="680135"/>
          </a:xfrm>
          <a:prstGeom prst="roundRect">
            <a:avLst/>
          </a:prstGeom>
          <a:solidFill>
            <a:srgbClr val="49769F"/>
          </a:solidFill>
          <a:ln w="9525">
            <a:solidFill>
              <a:schemeClr val="tx1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/>
              <a:t>Datos</a:t>
            </a:r>
          </a:p>
          <a:p>
            <a:pPr algn="ctr"/>
            <a:endParaRPr lang="es-PE" sz="1200" b="1"/>
          </a:p>
        </xdr:txBody>
      </xdr:sp>
      <xdr:pic>
        <xdr:nvPicPr>
          <xdr:cNvPr id="12" name="Gráfico 11" descr="Búsqueda de carpetas contorno">
            <a:extLst>
              <a:ext uri="{FF2B5EF4-FFF2-40B4-BE49-F238E27FC236}">
                <a16:creationId xmlns:a16="http://schemas.microsoft.com/office/drawing/2014/main" id="{7288B255-A14A-B2FD-300D-AEA0332E30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613173" y="2274094"/>
            <a:ext cx="265509" cy="26550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2663078</xdr:colOff>
      <xdr:row>1</xdr:row>
      <xdr:rowOff>110087</xdr:rowOff>
    </xdr:from>
    <xdr:to>
      <xdr:col>2</xdr:col>
      <xdr:colOff>434753</xdr:colOff>
      <xdr:row>5</xdr:row>
      <xdr:rowOff>17687</xdr:rowOff>
    </xdr:to>
    <xdr:sp macro="" textlink="">
      <xdr:nvSpPr>
        <xdr:cNvPr id="13" name="Rectángulo: esquinas redondeadas 1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F2908A6-A08A-4919-82CC-A36390267DBB}"/>
            </a:ext>
          </a:extLst>
        </xdr:cNvPr>
        <xdr:cNvSpPr/>
      </xdr:nvSpPr>
      <xdr:spPr>
        <a:xfrm>
          <a:off x="3729878" y="195812"/>
          <a:ext cx="676800" cy="669600"/>
        </a:xfrm>
        <a:prstGeom prst="roundRect">
          <a:avLst/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700" b="1"/>
            <a:t>FACTURA</a:t>
          </a:r>
          <a:r>
            <a:rPr lang="es-PE" sz="700" b="1" baseline="0"/>
            <a:t> COMECIAL </a:t>
          </a:r>
          <a:endParaRPr lang="es-PE" sz="700" b="1"/>
        </a:p>
      </xdr:txBody>
    </xdr:sp>
    <xdr:clientData/>
  </xdr:twoCellAnchor>
  <xdr:twoCellAnchor>
    <xdr:from>
      <xdr:col>2</xdr:col>
      <xdr:colOff>596153</xdr:colOff>
      <xdr:row>1</xdr:row>
      <xdr:rowOff>109336</xdr:rowOff>
    </xdr:from>
    <xdr:to>
      <xdr:col>2</xdr:col>
      <xdr:colOff>1272953</xdr:colOff>
      <xdr:row>5</xdr:row>
      <xdr:rowOff>16936</xdr:rowOff>
    </xdr:to>
    <xdr:sp macro="" textlink="">
      <xdr:nvSpPr>
        <xdr:cNvPr id="14" name="Rectángulo: esquinas redondeadas 1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C0D357D-565E-4354-A69D-422E2C87FA2B}"/>
            </a:ext>
          </a:extLst>
        </xdr:cNvPr>
        <xdr:cNvSpPr/>
      </xdr:nvSpPr>
      <xdr:spPr>
        <a:xfrm>
          <a:off x="4568078" y="195061"/>
          <a:ext cx="676800" cy="669600"/>
        </a:xfrm>
        <a:prstGeom prst="roundRect">
          <a:avLst/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chemeClr val="bg1"/>
              </a:solidFill>
            </a:rPr>
            <a:t>GASTOS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 DE </a:t>
          </a:r>
        </a:p>
        <a:p>
          <a:pPr algn="ctr"/>
          <a:r>
            <a:rPr lang="es-PE" sz="900" b="1">
              <a:solidFill>
                <a:schemeClr val="bg1"/>
              </a:solidFill>
            </a:rPr>
            <a:t>IMORT</a:t>
          </a:r>
        </a:p>
      </xdr:txBody>
    </xdr:sp>
    <xdr:clientData/>
  </xdr:twoCellAnchor>
  <xdr:twoCellAnchor>
    <xdr:from>
      <xdr:col>2</xdr:col>
      <xdr:colOff>1443878</xdr:colOff>
      <xdr:row>1</xdr:row>
      <xdr:rowOff>105423</xdr:rowOff>
    </xdr:from>
    <xdr:to>
      <xdr:col>3</xdr:col>
      <xdr:colOff>653828</xdr:colOff>
      <xdr:row>5</xdr:row>
      <xdr:rowOff>13023</xdr:rowOff>
    </xdr:to>
    <xdr:sp macro="" textlink="">
      <xdr:nvSpPr>
        <xdr:cNvPr id="15" name="Rectángulo: esquinas redondeada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462619-0513-4BA1-8664-DA9FA5510841}"/>
            </a:ext>
          </a:extLst>
        </xdr:cNvPr>
        <xdr:cNvSpPr/>
      </xdr:nvSpPr>
      <xdr:spPr>
        <a:xfrm>
          <a:off x="5415803" y="191148"/>
          <a:ext cx="676800" cy="669600"/>
        </a:xfrm>
        <a:prstGeom prst="roundRect">
          <a:avLst/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800" b="1">
              <a:solidFill>
                <a:sysClr val="windowText" lastClr="000000"/>
              </a:solidFill>
            </a:rPr>
            <a:t>TRIBUTOS</a:t>
          </a:r>
          <a:r>
            <a:rPr lang="es-PE" sz="800" b="1" baseline="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DE </a:t>
          </a:r>
        </a:p>
        <a:p>
          <a:pPr algn="ctr"/>
          <a:r>
            <a:rPr lang="es-PE" sz="800" b="1" baseline="0">
              <a:solidFill>
                <a:sysClr val="windowText" lastClr="000000"/>
              </a:solidFill>
            </a:rPr>
            <a:t>ADUANA</a:t>
          </a:r>
          <a:endParaRPr lang="es-PE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313764</xdr:colOff>
      <xdr:row>7</xdr:row>
      <xdr:rowOff>190499</xdr:rowOff>
    </xdr:from>
    <xdr:to>
      <xdr:col>13</xdr:col>
      <xdr:colOff>714794</xdr:colOff>
      <xdr:row>20</xdr:row>
      <xdr:rowOff>178697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358587</xdr:colOff>
      <xdr:row>13</xdr:row>
      <xdr:rowOff>246527</xdr:rowOff>
    </xdr:from>
    <xdr:to>
      <xdr:col>28</xdr:col>
      <xdr:colOff>421925</xdr:colOff>
      <xdr:row>27</xdr:row>
      <xdr:rowOff>224117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11207</xdr:colOff>
      <xdr:row>3</xdr:row>
      <xdr:rowOff>358588</xdr:rowOff>
    </xdr:from>
    <xdr:to>
      <xdr:col>18</xdr:col>
      <xdr:colOff>257163</xdr:colOff>
      <xdr:row>13</xdr:row>
      <xdr:rowOff>10609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380999</xdr:colOff>
      <xdr:row>28</xdr:row>
      <xdr:rowOff>179294</xdr:rowOff>
    </xdr:from>
    <xdr:to>
      <xdr:col>6</xdr:col>
      <xdr:colOff>322483</xdr:colOff>
      <xdr:row>43</xdr:row>
      <xdr:rowOff>135360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537883</xdr:colOff>
      <xdr:row>28</xdr:row>
      <xdr:rowOff>168089</xdr:rowOff>
    </xdr:from>
    <xdr:to>
      <xdr:col>7</xdr:col>
      <xdr:colOff>1294317</xdr:colOff>
      <xdr:row>44</xdr:row>
      <xdr:rowOff>45713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22411</xdr:colOff>
      <xdr:row>28</xdr:row>
      <xdr:rowOff>156883</xdr:rowOff>
    </xdr:from>
    <xdr:to>
      <xdr:col>9</xdr:col>
      <xdr:colOff>1175065</xdr:colOff>
      <xdr:row>44</xdr:row>
      <xdr:rowOff>68125</xdr:rowOff>
    </xdr:to>
    <xdr:graphicFrame macro="">
      <xdr:nvGraphicFramePr>
        <xdr:cNvPr id="17" name="Chart 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190500</xdr:colOff>
      <xdr:row>58</xdr:row>
      <xdr:rowOff>67236</xdr:rowOff>
    </xdr:from>
    <xdr:to>
      <xdr:col>8</xdr:col>
      <xdr:colOff>691954</xdr:colOff>
      <xdr:row>69</xdr:row>
      <xdr:rowOff>121458</xdr:rowOff>
    </xdr:to>
    <xdr:graphicFrame macro="">
      <xdr:nvGraphicFramePr>
        <xdr:cNvPr id="18" name="Chart 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</xdr:col>
      <xdr:colOff>0</xdr:colOff>
      <xdr:row>58</xdr:row>
      <xdr:rowOff>112058</xdr:rowOff>
    </xdr:from>
    <xdr:to>
      <xdr:col>5</xdr:col>
      <xdr:colOff>1333500</xdr:colOff>
      <xdr:row>70</xdr:row>
      <xdr:rowOff>87839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938892</xdr:colOff>
      <xdr:row>66</xdr:row>
      <xdr:rowOff>118382</xdr:rowOff>
    </xdr:from>
    <xdr:to>
      <xdr:col>11</xdr:col>
      <xdr:colOff>1102178</xdr:colOff>
      <xdr:row>81</xdr:row>
      <xdr:rowOff>4082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A1B248-646C-0789-7F23-F200661F6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67104</xdr:colOff>
      <xdr:row>13</xdr:row>
      <xdr:rowOff>95251</xdr:rowOff>
    </xdr:from>
    <xdr:to>
      <xdr:col>45</xdr:col>
      <xdr:colOff>666750</xdr:colOff>
      <xdr:row>57</xdr:row>
      <xdr:rowOff>2666999</xdr:rowOff>
    </xdr:to>
    <xdr:sp macro="" textlink="">
      <xdr:nvSpPr>
        <xdr:cNvPr id="70" name="Rectángulo: esquinas redondeadas 69">
          <a:extLst>
            <a:ext uri="{FF2B5EF4-FFF2-40B4-BE49-F238E27FC236}">
              <a16:creationId xmlns:a16="http://schemas.microsoft.com/office/drawing/2014/main" id="{F3AE939F-C46C-4AC2-888D-B47E890ED41E}"/>
            </a:ext>
          </a:extLst>
        </xdr:cNvPr>
        <xdr:cNvSpPr/>
      </xdr:nvSpPr>
      <xdr:spPr>
        <a:xfrm>
          <a:off x="1305354" y="2738439"/>
          <a:ext cx="31841646" cy="11906248"/>
        </a:xfrm>
        <a:prstGeom prst="roundRect">
          <a:avLst>
            <a:gd name="adj" fmla="val 3565"/>
          </a:avLst>
        </a:prstGeom>
        <a:solidFill>
          <a:srgbClr val="DCEBF4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36</xdr:col>
      <xdr:colOff>194994</xdr:colOff>
      <xdr:row>34</xdr:row>
      <xdr:rowOff>132080</xdr:rowOff>
    </xdr:from>
    <xdr:to>
      <xdr:col>45</xdr:col>
      <xdr:colOff>380999</xdr:colOff>
      <xdr:row>57</xdr:row>
      <xdr:rowOff>2166937</xdr:rowOff>
    </xdr:to>
    <xdr:sp macro="" textlink="">
      <xdr:nvSpPr>
        <xdr:cNvPr id="69" name="Rectángulo: esquinas redondeadas 68">
          <a:extLst>
            <a:ext uri="{FF2B5EF4-FFF2-40B4-BE49-F238E27FC236}">
              <a16:creationId xmlns:a16="http://schemas.microsoft.com/office/drawing/2014/main" id="{F0A9C3C7-D9FB-4A13-9A5A-E7FD5BD56D09}"/>
            </a:ext>
          </a:extLst>
        </xdr:cNvPr>
        <xdr:cNvSpPr/>
      </xdr:nvSpPr>
      <xdr:spPr>
        <a:xfrm>
          <a:off x="25808585" y="7734762"/>
          <a:ext cx="7044005" cy="6416357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23</xdr:col>
      <xdr:colOff>752252</xdr:colOff>
      <xdr:row>26</xdr:row>
      <xdr:rowOff>130214</xdr:rowOff>
    </xdr:from>
    <xdr:to>
      <xdr:col>35</xdr:col>
      <xdr:colOff>547687</xdr:colOff>
      <xdr:row>57</xdr:row>
      <xdr:rowOff>2251363</xdr:rowOff>
    </xdr:to>
    <xdr:sp macro="" textlink="">
      <xdr:nvSpPr>
        <xdr:cNvPr id="48" name="Rectángulo: esquinas redondeadas 47">
          <a:extLst>
            <a:ext uri="{FF2B5EF4-FFF2-40B4-BE49-F238E27FC236}">
              <a16:creationId xmlns:a16="http://schemas.microsoft.com/office/drawing/2014/main" id="{BD3A5B4A-E493-455A-9362-93A621EA6767}"/>
            </a:ext>
          </a:extLst>
        </xdr:cNvPr>
        <xdr:cNvSpPr/>
      </xdr:nvSpPr>
      <xdr:spPr>
        <a:xfrm>
          <a:off x="16459843" y="6104987"/>
          <a:ext cx="8939435" cy="8130558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oneCellAnchor>
    <xdr:from>
      <xdr:col>1</xdr:col>
      <xdr:colOff>673537</xdr:colOff>
      <xdr:row>4</xdr:row>
      <xdr:rowOff>133690</xdr:rowOff>
    </xdr:from>
    <xdr:ext cx="3257109" cy="798617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79C49D0-448B-2221-135D-DBA4046B888B}"/>
            </a:ext>
          </a:extLst>
        </xdr:cNvPr>
        <xdr:cNvSpPr/>
      </xdr:nvSpPr>
      <xdr:spPr>
        <a:xfrm>
          <a:off x="1149787" y="895690"/>
          <a:ext cx="3257109" cy="79861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4800" b="1" cap="none" spc="0">
              <a:ln w="0"/>
              <a:solidFill>
                <a:srgbClr val="49769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Narrow" panose="020B0606020202030204" pitchFamily="34" charset="0"/>
            </a:rPr>
            <a:t>Dashboard</a:t>
          </a:r>
        </a:p>
      </xdr:txBody>
    </xdr:sp>
    <xdr:clientData/>
  </xdr:oneCellAnchor>
  <xdr:oneCellAnchor>
    <xdr:from>
      <xdr:col>1</xdr:col>
      <xdr:colOff>705782</xdr:colOff>
      <xdr:row>9</xdr:row>
      <xdr:rowOff>10914</xdr:rowOff>
    </xdr:from>
    <xdr:ext cx="3541357" cy="476477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15C728C-2C3A-49B8-B189-28A7C4DC0EFB}"/>
            </a:ext>
          </a:extLst>
        </xdr:cNvPr>
        <xdr:cNvSpPr/>
      </xdr:nvSpPr>
      <xdr:spPr>
        <a:xfrm>
          <a:off x="1182032" y="1606352"/>
          <a:ext cx="3541357" cy="476477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2800" b="0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badi ExtraLight" panose="020F0502020204030204" pitchFamily="34" charset="0"/>
            </a:rPr>
            <a:t>Costos de Importación</a:t>
          </a:r>
        </a:p>
      </xdr:txBody>
    </xdr:sp>
    <xdr:clientData/>
  </xdr:oneCellAnchor>
  <xdr:twoCellAnchor>
    <xdr:from>
      <xdr:col>8</xdr:col>
      <xdr:colOff>439299</xdr:colOff>
      <xdr:row>4</xdr:row>
      <xdr:rowOff>155438</xdr:rowOff>
    </xdr:from>
    <xdr:to>
      <xdr:col>34</xdr:col>
      <xdr:colOff>266700</xdr:colOff>
      <xdr:row>10</xdr:row>
      <xdr:rowOff>121864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C811DFE1-B4B4-4894-9EEC-5BAB07FE1484}"/>
            </a:ext>
          </a:extLst>
        </xdr:cNvPr>
        <xdr:cNvSpPr/>
      </xdr:nvSpPr>
      <xdr:spPr>
        <a:xfrm>
          <a:off x="4744599" y="917438"/>
          <a:ext cx="19639401" cy="995126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000" b="1">
              <a:solidFill>
                <a:schemeClr val="bg1">
                  <a:lumMod val="50000"/>
                </a:schemeClr>
              </a:solidFill>
            </a:rPr>
            <a:t>📊  CALCULADORA DE COSTOS DE IMPORTACIÓN — DASHBOARD EJECUTIVO</a:t>
          </a:r>
        </a:p>
      </xdr:txBody>
    </xdr:sp>
    <xdr:clientData/>
  </xdr:twoCellAnchor>
  <xdr:twoCellAnchor editAs="oneCell">
    <xdr:from>
      <xdr:col>24</xdr:col>
      <xdr:colOff>122813</xdr:colOff>
      <xdr:row>26</xdr:row>
      <xdr:rowOff>223119</xdr:rowOff>
    </xdr:from>
    <xdr:to>
      <xdr:col>35</xdr:col>
      <xdr:colOff>333374</xdr:colOff>
      <xdr:row>57</xdr:row>
      <xdr:rowOff>2000249</xdr:rowOff>
    </xdr:to>
    <xdr:graphicFrame macro="">
      <xdr:nvGraphicFramePr>
        <xdr:cNvPr id="47" name="Chart 2">
          <a:extLst>
            <a:ext uri="{FF2B5EF4-FFF2-40B4-BE49-F238E27FC236}">
              <a16:creationId xmlns:a16="http://schemas.microsoft.com/office/drawing/2014/main" id="{F2177E3C-B7D9-4C06-93E7-154F06F74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134694</xdr:colOff>
      <xdr:row>14</xdr:row>
      <xdr:rowOff>40171</xdr:rowOff>
    </xdr:from>
    <xdr:to>
      <xdr:col>45</xdr:col>
      <xdr:colOff>309562</xdr:colOff>
      <xdr:row>32</xdr:row>
      <xdr:rowOff>142873</xdr:rowOff>
    </xdr:to>
    <xdr:sp macro="" textlink="">
      <xdr:nvSpPr>
        <xdr:cNvPr id="63" name="Rectángulo: esquinas redondeadas 62">
          <a:extLst>
            <a:ext uri="{FF2B5EF4-FFF2-40B4-BE49-F238E27FC236}">
              <a16:creationId xmlns:a16="http://schemas.microsoft.com/office/drawing/2014/main" id="{13F17363-B870-4DA4-8557-CE6AB0C67FEB}"/>
            </a:ext>
          </a:extLst>
        </xdr:cNvPr>
        <xdr:cNvSpPr/>
      </xdr:nvSpPr>
      <xdr:spPr>
        <a:xfrm>
          <a:off x="25756944" y="2826234"/>
          <a:ext cx="7032868" cy="4531827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36</xdr:col>
      <xdr:colOff>41917</xdr:colOff>
      <xdr:row>14</xdr:row>
      <xdr:rowOff>188673</xdr:rowOff>
    </xdr:from>
    <xdr:to>
      <xdr:col>45</xdr:col>
      <xdr:colOff>142874</xdr:colOff>
      <xdr:row>31</xdr:row>
      <xdr:rowOff>166687</xdr:rowOff>
    </xdr:to>
    <xdr:graphicFrame macro="">
      <xdr:nvGraphicFramePr>
        <xdr:cNvPr id="55" name="Chart 3">
          <a:extLst>
            <a:ext uri="{FF2B5EF4-FFF2-40B4-BE49-F238E27FC236}">
              <a16:creationId xmlns:a16="http://schemas.microsoft.com/office/drawing/2014/main" id="{B4D242D9-3899-4007-BC45-7497B58F5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648783</xdr:colOff>
      <xdr:row>0</xdr:row>
      <xdr:rowOff>137464</xdr:rowOff>
    </xdr:from>
    <xdr:to>
      <xdr:col>3</xdr:col>
      <xdr:colOff>153005</xdr:colOff>
      <xdr:row>3</xdr:row>
      <xdr:rowOff>169597</xdr:rowOff>
    </xdr:to>
    <xdr:pic>
      <xdr:nvPicPr>
        <xdr:cNvPr id="108" name="Gráfico 107" descr="Signo de intercalación hacia la derecha con relleno sólido">
          <a:extLst>
            <a:ext uri="{FF2B5EF4-FFF2-40B4-BE49-F238E27FC236}">
              <a16:creationId xmlns:a16="http://schemas.microsoft.com/office/drawing/2014/main" id="{E624D61F-3317-39F6-E8F3-53C6205C7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25033" y="137464"/>
          <a:ext cx="599597" cy="603633"/>
        </a:xfrm>
        <a:prstGeom prst="rect">
          <a:avLst/>
        </a:prstGeom>
      </xdr:spPr>
    </xdr:pic>
    <xdr:clientData/>
  </xdr:twoCellAnchor>
  <xdr:twoCellAnchor editAs="oneCell">
    <xdr:from>
      <xdr:col>2</xdr:col>
      <xdr:colOff>75933</xdr:colOff>
      <xdr:row>0</xdr:row>
      <xdr:rowOff>135784</xdr:rowOff>
    </xdr:from>
    <xdr:to>
      <xdr:col>3</xdr:col>
      <xdr:colOff>349682</xdr:colOff>
      <xdr:row>3</xdr:row>
      <xdr:rowOff>167918</xdr:rowOff>
    </xdr:to>
    <xdr:pic>
      <xdr:nvPicPr>
        <xdr:cNvPr id="109" name="Gráfico 108" descr="Signo de intercalación hacia la derecha con relleno sólido">
          <a:extLst>
            <a:ext uri="{FF2B5EF4-FFF2-40B4-BE49-F238E27FC236}">
              <a16:creationId xmlns:a16="http://schemas.microsoft.com/office/drawing/2014/main" id="{0868855F-EFAE-47F6-A1F6-6F7104D4E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14183" y="135784"/>
          <a:ext cx="607124" cy="603634"/>
        </a:xfrm>
        <a:prstGeom prst="rect">
          <a:avLst/>
        </a:prstGeom>
      </xdr:spPr>
    </xdr:pic>
    <xdr:clientData/>
  </xdr:twoCellAnchor>
  <xdr:twoCellAnchor editAs="oneCell">
    <xdr:from>
      <xdr:col>2</xdr:col>
      <xdr:colOff>287546</xdr:colOff>
      <xdr:row>0</xdr:row>
      <xdr:rowOff>143905</xdr:rowOff>
    </xdr:from>
    <xdr:to>
      <xdr:col>3</xdr:col>
      <xdr:colOff>547686</xdr:colOff>
      <xdr:row>3</xdr:row>
      <xdr:rowOff>176038</xdr:rowOff>
    </xdr:to>
    <xdr:pic>
      <xdr:nvPicPr>
        <xdr:cNvPr id="110" name="Gráfico 109" descr="Signo de intercalación hacia la derecha con relleno sólido">
          <a:extLst>
            <a:ext uri="{FF2B5EF4-FFF2-40B4-BE49-F238E27FC236}">
              <a16:creationId xmlns:a16="http://schemas.microsoft.com/office/drawing/2014/main" id="{A0F8F319-409F-4E6F-97B0-4F24F6AD6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25796" y="143905"/>
          <a:ext cx="593515" cy="603633"/>
        </a:xfrm>
        <a:prstGeom prst="rect">
          <a:avLst/>
        </a:prstGeom>
      </xdr:spPr>
    </xdr:pic>
    <xdr:clientData/>
  </xdr:twoCellAnchor>
  <xdr:twoCellAnchor editAs="oneCell">
    <xdr:from>
      <xdr:col>34</xdr:col>
      <xdr:colOff>268866</xdr:colOff>
      <xdr:row>0</xdr:row>
      <xdr:rowOff>0</xdr:rowOff>
    </xdr:from>
    <xdr:to>
      <xdr:col>35</xdr:col>
      <xdr:colOff>212168</xdr:colOff>
      <xdr:row>3</xdr:row>
      <xdr:rowOff>116571</xdr:rowOff>
    </xdr:to>
    <xdr:pic>
      <xdr:nvPicPr>
        <xdr:cNvPr id="112" name="Gráfico 111" descr="Hogar contorn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F830CD-DB65-60AE-3346-8D5AD5D8A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4386166" y="0"/>
          <a:ext cx="705302" cy="688071"/>
        </a:xfrm>
        <a:prstGeom prst="rect">
          <a:avLst/>
        </a:prstGeom>
      </xdr:spPr>
    </xdr:pic>
    <xdr:clientData/>
  </xdr:twoCellAnchor>
  <xdr:twoCellAnchor>
    <xdr:from>
      <xdr:col>15</xdr:col>
      <xdr:colOff>69457</xdr:colOff>
      <xdr:row>23</xdr:row>
      <xdr:rowOff>167231</xdr:rowOff>
    </xdr:from>
    <xdr:to>
      <xdr:col>15</xdr:col>
      <xdr:colOff>69457</xdr:colOff>
      <xdr:row>23</xdr:row>
      <xdr:rowOff>167231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8104F7C6-363E-4D00-94EC-9A6D5BFF5302}"/>
            </a:ext>
          </a:extLst>
        </xdr:cNvPr>
        <xdr:cNvCxnSpPr>
          <a:cxnSpLocks/>
        </xdr:cNvCxnSpPr>
      </xdr:nvCxnSpPr>
      <xdr:spPr>
        <a:xfrm>
          <a:off x="9681048" y="5605140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71438</xdr:colOff>
      <xdr:row>57</xdr:row>
      <xdr:rowOff>109478</xdr:rowOff>
    </xdr:from>
    <xdr:to>
      <xdr:col>5</xdr:col>
      <xdr:colOff>74261</xdr:colOff>
      <xdr:row>57</xdr:row>
      <xdr:rowOff>2286000</xdr:rowOff>
    </xdr:to>
    <xdr:sp macro="" textlink="">
      <xdr:nvSpPr>
        <xdr:cNvPr id="6" name="Rectángulo: esquinas redondeadas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480D5F-61EA-4A7C-87D1-AA434991BE71}"/>
            </a:ext>
          </a:extLst>
        </xdr:cNvPr>
        <xdr:cNvSpPr/>
      </xdr:nvSpPr>
      <xdr:spPr>
        <a:xfrm>
          <a:off x="1649867" y="12110978"/>
          <a:ext cx="941715" cy="2176522"/>
        </a:xfrm>
        <a:prstGeom prst="roundRect">
          <a:avLst>
            <a:gd name="adj" fmla="val 0"/>
          </a:avLst>
        </a:prstGeom>
        <a:solidFill>
          <a:srgbClr val="ACBBC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CRÉDITO</a:t>
          </a:r>
          <a:r>
            <a:rPr lang="es-PE" sz="1800" b="1" baseline="0">
              <a:solidFill>
                <a:sysClr val="windowText" lastClr="000000"/>
              </a:solidFill>
            </a:rPr>
            <a:t> FISCAL</a:t>
          </a:r>
          <a:endParaRPr lang="es-PE" sz="4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74011</xdr:colOff>
      <xdr:row>42</xdr:row>
      <xdr:rowOff>184</xdr:rowOff>
    </xdr:from>
    <xdr:to>
      <xdr:col>5</xdr:col>
      <xdr:colOff>27249</xdr:colOff>
      <xdr:row>57</xdr:row>
      <xdr:rowOff>100203</xdr:rowOff>
    </xdr:to>
    <xdr:sp macro="" textlink="">
      <xdr:nvSpPr>
        <xdr:cNvPr id="7" name="Rectángulo: esquinas redondeadas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0050350-D378-44A4-B345-90E1FD072A77}"/>
            </a:ext>
          </a:extLst>
        </xdr:cNvPr>
        <xdr:cNvSpPr/>
      </xdr:nvSpPr>
      <xdr:spPr>
        <a:xfrm>
          <a:off x="1640344" y="9165351"/>
          <a:ext cx="905738" cy="2957519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0">
              <a:solidFill>
                <a:schemeClr val="bg1"/>
              </a:solidFill>
            </a:rPr>
            <a:t>PRECIO DE VENTA</a:t>
          </a:r>
          <a:endParaRPr lang="es-PE" sz="48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74011</xdr:colOff>
      <xdr:row>14</xdr:row>
      <xdr:rowOff>88021</xdr:rowOff>
    </xdr:from>
    <xdr:to>
      <xdr:col>6</xdr:col>
      <xdr:colOff>7336</xdr:colOff>
      <xdr:row>26</xdr:row>
      <xdr:rowOff>198185</xdr:rowOff>
    </xdr:to>
    <xdr:sp macro="" textlink="">
      <xdr:nvSpPr>
        <xdr:cNvPr id="8" name="Rectángulo: esquinas redondeadas 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5C62A4D-2A0D-4581-998A-2BB66D9F31AB}"/>
            </a:ext>
          </a:extLst>
        </xdr:cNvPr>
        <xdr:cNvSpPr/>
      </xdr:nvSpPr>
      <xdr:spPr>
        <a:xfrm>
          <a:off x="1640344" y="2882021"/>
          <a:ext cx="970492" cy="3327497"/>
        </a:xfrm>
        <a:prstGeom prst="roundRect">
          <a:avLst>
            <a:gd name="adj" fmla="val 0"/>
          </a:avLst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000" b="0">
              <a:solidFill>
                <a:sysClr val="windowText" lastClr="000000"/>
              </a:solidFill>
            </a:rPr>
            <a:t>TRIBUTOS</a:t>
          </a:r>
          <a:r>
            <a:rPr lang="es-PE" sz="2000" b="0" baseline="0">
              <a:solidFill>
                <a:sysClr val="windowText" lastClr="000000"/>
              </a:solidFill>
            </a:rPr>
            <a:t> DE ADUANA</a:t>
          </a:r>
          <a:endParaRPr lang="es-PE" sz="44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74011</xdr:colOff>
      <xdr:row>26</xdr:row>
      <xdr:rowOff>179624</xdr:rowOff>
    </xdr:from>
    <xdr:to>
      <xdr:col>5</xdr:col>
      <xdr:colOff>66479</xdr:colOff>
      <xdr:row>41</xdr:row>
      <xdr:rowOff>173112</xdr:rowOff>
    </xdr:to>
    <xdr:sp macro="" textlink="">
      <xdr:nvSpPr>
        <xdr:cNvPr id="9" name="Rectángulo: esquinas redondeadas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9B8974A-32E8-40F1-B0C6-17E0D9E26908}"/>
            </a:ext>
          </a:extLst>
        </xdr:cNvPr>
        <xdr:cNvSpPr/>
      </xdr:nvSpPr>
      <xdr:spPr>
        <a:xfrm>
          <a:off x="1640344" y="6190957"/>
          <a:ext cx="944968" cy="2956822"/>
        </a:xfrm>
        <a:prstGeom prst="roundRect">
          <a:avLst>
            <a:gd name="adj" fmla="val 0"/>
          </a:avLst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chemeClr val="bg1"/>
              </a:solidFill>
            </a:rPr>
            <a:t>COSTO DEL PRODUCTO</a:t>
          </a:r>
        </a:p>
      </xdr:txBody>
    </xdr:sp>
    <xdr:clientData/>
  </xdr:twoCellAnchor>
  <xdr:twoCellAnchor>
    <xdr:from>
      <xdr:col>6</xdr:col>
      <xdr:colOff>799007</xdr:colOff>
      <xdr:row>11</xdr:row>
      <xdr:rowOff>47625</xdr:rowOff>
    </xdr:from>
    <xdr:to>
      <xdr:col>6</xdr:col>
      <xdr:colOff>799007</xdr:colOff>
      <xdr:row>11</xdr:row>
      <xdr:rowOff>47625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6B8799EF-DD2B-4E2D-9A43-4ACDF3633999}"/>
            </a:ext>
          </a:extLst>
        </xdr:cNvPr>
        <xdr:cNvCxnSpPr>
          <a:cxnSpLocks/>
        </xdr:cNvCxnSpPr>
      </xdr:nvCxnSpPr>
      <xdr:spPr>
        <a:xfrm>
          <a:off x="3418382" y="2024063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23587</xdr:colOff>
      <xdr:row>57</xdr:row>
      <xdr:rowOff>288594</xdr:rowOff>
    </xdr:from>
    <xdr:to>
      <xdr:col>6</xdr:col>
      <xdr:colOff>822458</xdr:colOff>
      <xdr:row>57</xdr:row>
      <xdr:rowOff>2286000</xdr:rowOff>
    </xdr:to>
    <xdr:sp macro="" textlink="">
      <xdr:nvSpPr>
        <xdr:cNvPr id="11" name="Rectángulo: esquinas redondeadas 1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EA523FF-19C4-4328-9AA6-05E103D48478}"/>
            </a:ext>
          </a:extLst>
        </xdr:cNvPr>
        <xdr:cNvSpPr/>
      </xdr:nvSpPr>
      <xdr:spPr>
        <a:xfrm>
          <a:off x="2540908" y="12290094"/>
          <a:ext cx="880514" cy="1997406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KPI - PRODUCTO</a:t>
          </a:r>
        </a:p>
      </xdr:txBody>
    </xdr:sp>
    <xdr:clientData/>
  </xdr:twoCellAnchor>
  <xdr:twoCellAnchor>
    <xdr:from>
      <xdr:col>5</xdr:col>
      <xdr:colOff>26791</xdr:colOff>
      <xdr:row>47</xdr:row>
      <xdr:rowOff>131318</xdr:rowOff>
    </xdr:from>
    <xdr:to>
      <xdr:col>6</xdr:col>
      <xdr:colOff>829262</xdr:colOff>
      <xdr:row>57</xdr:row>
      <xdr:rowOff>310598</xdr:rowOff>
    </xdr:to>
    <xdr:sp macro="" textlink="">
      <xdr:nvSpPr>
        <xdr:cNvPr id="13" name="Rectángulo: esquinas redondeadas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A2F2485-1A7D-4EE1-9B70-0E0C6B39C316}"/>
            </a:ext>
          </a:extLst>
        </xdr:cNvPr>
        <xdr:cNvSpPr/>
      </xdr:nvSpPr>
      <xdr:spPr>
        <a:xfrm>
          <a:off x="2552987" y="10049742"/>
          <a:ext cx="885297" cy="2042867"/>
        </a:xfrm>
        <a:prstGeom prst="roundRect">
          <a:avLst>
            <a:gd name="adj" fmla="val 0"/>
          </a:avLst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GASTOS DE IMPORTACIÓN</a:t>
          </a:r>
        </a:p>
      </xdr:txBody>
    </xdr:sp>
    <xdr:clientData/>
  </xdr:twoCellAnchor>
  <xdr:twoCellAnchor>
    <xdr:from>
      <xdr:col>5</xdr:col>
      <xdr:colOff>21854</xdr:colOff>
      <xdr:row>39</xdr:row>
      <xdr:rowOff>68972</xdr:rowOff>
    </xdr:from>
    <xdr:to>
      <xdr:col>6</xdr:col>
      <xdr:colOff>820725</xdr:colOff>
      <xdr:row>47</xdr:row>
      <xdr:rowOff>147731</xdr:rowOff>
    </xdr:to>
    <xdr:sp macro="" textlink="">
      <xdr:nvSpPr>
        <xdr:cNvPr id="14" name="Rectángulo: esquinas redondeadas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7C0FE6F-D352-41BC-839E-0D39EC376853}"/>
            </a:ext>
          </a:extLst>
        </xdr:cNvPr>
        <xdr:cNvSpPr/>
      </xdr:nvSpPr>
      <xdr:spPr>
        <a:xfrm>
          <a:off x="2540687" y="8662639"/>
          <a:ext cx="883538" cy="1602759"/>
        </a:xfrm>
        <a:prstGeom prst="roundRect">
          <a:avLst>
            <a:gd name="adj" fmla="val 0"/>
          </a:avLst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FACTURA</a:t>
          </a:r>
          <a:r>
            <a:rPr lang="es-PE" sz="1800" b="1" baseline="0">
              <a:solidFill>
                <a:sysClr val="windowText" lastClr="000000"/>
              </a:solidFill>
            </a:rPr>
            <a:t> COMECIAL </a:t>
          </a:r>
          <a:endParaRPr lang="es-PE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10547</xdr:colOff>
      <xdr:row>29</xdr:row>
      <xdr:rowOff>48367</xdr:rowOff>
    </xdr:from>
    <xdr:to>
      <xdr:col>6</xdr:col>
      <xdr:colOff>818077</xdr:colOff>
      <xdr:row>39</xdr:row>
      <xdr:rowOff>47114</xdr:rowOff>
    </xdr:to>
    <xdr:sp macro="" textlink="">
      <xdr:nvSpPr>
        <xdr:cNvPr id="15" name="Rectángulo: esquinas redondeadas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78F38DC-5110-4928-AFED-BCCE3F7DC143}"/>
            </a:ext>
          </a:extLst>
        </xdr:cNvPr>
        <xdr:cNvSpPr/>
      </xdr:nvSpPr>
      <xdr:spPr>
        <a:xfrm>
          <a:off x="2529380" y="6737034"/>
          <a:ext cx="892197" cy="1903747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1">
              <a:solidFill>
                <a:sysClr val="windowText" lastClr="000000"/>
              </a:solidFill>
            </a:rPr>
            <a:t>DATOS</a:t>
          </a:r>
        </a:p>
      </xdr:txBody>
    </xdr:sp>
    <xdr:clientData/>
  </xdr:twoCellAnchor>
  <xdr:twoCellAnchor>
    <xdr:from>
      <xdr:col>5</xdr:col>
      <xdr:colOff>5147</xdr:colOff>
      <xdr:row>19</xdr:row>
      <xdr:rowOff>73939</xdr:rowOff>
    </xdr:from>
    <xdr:to>
      <xdr:col>6</xdr:col>
      <xdr:colOff>813543</xdr:colOff>
      <xdr:row>29</xdr:row>
      <xdr:rowOff>35201</xdr:rowOff>
    </xdr:to>
    <xdr:sp macro="" textlink="">
      <xdr:nvSpPr>
        <xdr:cNvPr id="16" name="Rectángulo: esquinas redondeadas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6D3417D-16B8-4B23-BC67-AFC905F7A16C}"/>
            </a:ext>
          </a:extLst>
        </xdr:cNvPr>
        <xdr:cNvSpPr/>
      </xdr:nvSpPr>
      <xdr:spPr>
        <a:xfrm>
          <a:off x="2523980" y="4772939"/>
          <a:ext cx="893063" cy="1950929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0"/>
            <a:t>INTRODUCCIÓN</a:t>
          </a:r>
        </a:p>
        <a:p>
          <a:pPr algn="ctr"/>
          <a:endParaRPr lang="es-PE" sz="4400" b="1"/>
        </a:p>
      </xdr:txBody>
    </xdr:sp>
    <xdr:clientData/>
  </xdr:twoCellAnchor>
  <xdr:twoCellAnchor>
    <xdr:from>
      <xdr:col>5</xdr:col>
      <xdr:colOff>7336</xdr:colOff>
      <xdr:row>14</xdr:row>
      <xdr:rowOff>83692</xdr:rowOff>
    </xdr:from>
    <xdr:to>
      <xdr:col>6</xdr:col>
      <xdr:colOff>810732</xdr:colOff>
      <xdr:row>19</xdr:row>
      <xdr:rowOff>92351</xdr:rowOff>
    </xdr:to>
    <xdr:sp macro="" textlink="">
      <xdr:nvSpPr>
        <xdr:cNvPr id="17" name="Rectángulo: esquinas redondeada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3921A1-6715-48B8-BECA-C07DF945960A}"/>
            </a:ext>
          </a:extLst>
        </xdr:cNvPr>
        <xdr:cNvSpPr/>
      </xdr:nvSpPr>
      <xdr:spPr>
        <a:xfrm>
          <a:off x="2526169" y="2877692"/>
          <a:ext cx="888063" cy="1913659"/>
        </a:xfrm>
        <a:prstGeom prst="roundRect">
          <a:avLst>
            <a:gd name="adj" fmla="val 0"/>
          </a:avLst>
        </a:prstGeom>
        <a:solidFill>
          <a:srgbClr val="002060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1"/>
        <a:lstStyle/>
        <a:p>
          <a:pPr algn="ctr"/>
          <a:r>
            <a:rPr lang="es-PE" sz="2400" b="0">
              <a:effectLst>
                <a:outerShdw blurRad="50800" dist="50800" dir="5400000" sx="6000" sy="6000" algn="ctr" rotWithShape="0">
                  <a:srgbClr val="000000">
                    <a:alpha val="43137"/>
                  </a:srgbClr>
                </a:outerShdw>
              </a:effectLst>
            </a:rPr>
            <a:t>INICIO</a:t>
          </a:r>
        </a:p>
        <a:p>
          <a:pPr algn="ctr"/>
          <a:endParaRPr lang="es-PE" sz="2400" b="0"/>
        </a:p>
      </xdr:txBody>
    </xdr:sp>
    <xdr:clientData/>
  </xdr:twoCellAnchor>
  <xdr:twoCellAnchor>
    <xdr:from>
      <xdr:col>6</xdr:col>
      <xdr:colOff>793871</xdr:colOff>
      <xdr:row>14</xdr:row>
      <xdr:rowOff>79438</xdr:rowOff>
    </xdr:from>
    <xdr:to>
      <xdr:col>7</xdr:col>
      <xdr:colOff>95250</xdr:colOff>
      <xdr:row>57</xdr:row>
      <xdr:rowOff>2286000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39FCDA2C-F91E-4DD0-BA43-791F0647005F}"/>
            </a:ext>
          </a:extLst>
        </xdr:cNvPr>
        <xdr:cNvSpPr/>
      </xdr:nvSpPr>
      <xdr:spPr>
        <a:xfrm>
          <a:off x="3392835" y="2868902"/>
          <a:ext cx="213058" cy="11418598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23</xdr:col>
      <xdr:colOff>598561</xdr:colOff>
      <xdr:row>16</xdr:row>
      <xdr:rowOff>13856</xdr:rowOff>
    </xdr:from>
    <xdr:to>
      <xdr:col>27</xdr:col>
      <xdr:colOff>548098</xdr:colOff>
      <xdr:row>25</xdr:row>
      <xdr:rowOff>90056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E320AB29-49A7-4B4F-9704-0D16D1165F73}"/>
            </a:ext>
          </a:extLst>
        </xdr:cNvPr>
        <xdr:cNvSpPr/>
      </xdr:nvSpPr>
      <xdr:spPr>
        <a:xfrm>
          <a:off x="16306152" y="3546765"/>
          <a:ext cx="2997537" cy="2275609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Valor</a:t>
          </a:r>
          <a:r>
            <a:rPr lang="es-PE" sz="2400" b="0" i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Flete</a:t>
          </a:r>
        </a:p>
        <a:p>
          <a:pPr algn="l"/>
          <a:r>
            <a:rPr lang="es-PE" sz="2400" b="0" i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(US$)</a:t>
          </a:r>
          <a:endParaRPr lang="es-PE" sz="1800" b="0" i="0">
            <a:solidFill>
              <a:schemeClr val="tx1">
                <a:lumMod val="65000"/>
                <a:lumOff val="3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1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Tributos</a:t>
          </a:r>
          <a:r>
            <a:rPr lang="es-PE" sz="18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de Aduana</a:t>
          </a:r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23</xdr:col>
      <xdr:colOff>598496</xdr:colOff>
      <xdr:row>18</xdr:row>
      <xdr:rowOff>132057</xdr:rowOff>
    </xdr:from>
    <xdr:to>
      <xdr:col>27</xdr:col>
      <xdr:colOff>550838</xdr:colOff>
      <xdr:row>21</xdr:row>
      <xdr:rowOff>31175</xdr:rowOff>
    </xdr:to>
    <xdr:sp macro="" textlink="'🧾 Tributos Aduana'!$F$7">
      <xdr:nvSpPr>
        <xdr:cNvPr id="23" name="Rectángulo 22">
          <a:extLst>
            <a:ext uri="{FF2B5EF4-FFF2-40B4-BE49-F238E27FC236}">
              <a16:creationId xmlns:a16="http://schemas.microsoft.com/office/drawing/2014/main" id="{78B9F537-D70E-42AC-AE55-94D53B276EA6}"/>
            </a:ext>
          </a:extLst>
        </xdr:cNvPr>
        <xdr:cNvSpPr/>
      </xdr:nvSpPr>
      <xdr:spPr>
        <a:xfrm>
          <a:off x="16306087" y="4426966"/>
          <a:ext cx="3000342" cy="661118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7BF4C26C-25BE-4A6B-B92C-A8E3FA78811D}" type="TxLink">
            <a:rPr lang="en-US" sz="32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l"/>
            <a:t>US$2,090.00</a:t>
          </a:fld>
          <a:endParaRPr lang="es-PE" sz="3200" b="1" i="0" u="none" strike="noStrike">
            <a:solidFill>
              <a:schemeClr val="tx1">
                <a:lumMod val="85000"/>
                <a:lumOff val="15000"/>
              </a:schemeClr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19</xdr:col>
      <xdr:colOff>559442</xdr:colOff>
      <xdr:row>16</xdr:row>
      <xdr:rowOff>10392</xdr:rowOff>
    </xdr:from>
    <xdr:to>
      <xdr:col>23</xdr:col>
      <xdr:colOff>508979</xdr:colOff>
      <xdr:row>25</xdr:row>
      <xdr:rowOff>86592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860903C4-700F-F4F0-9D81-8D5CE4BFD797}"/>
            </a:ext>
          </a:extLst>
        </xdr:cNvPr>
        <xdr:cNvSpPr/>
      </xdr:nvSpPr>
      <xdr:spPr>
        <a:xfrm>
          <a:off x="13219033" y="3543301"/>
          <a:ext cx="2997537" cy="2275609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Valor</a:t>
          </a:r>
          <a:r>
            <a:rPr lang="es-PE" sz="2400" b="0" i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FOB</a:t>
          </a:r>
        </a:p>
        <a:p>
          <a:pPr algn="l"/>
          <a:r>
            <a:rPr lang="es-PE" sz="2400" b="0" i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(US$)</a:t>
          </a:r>
          <a:endParaRPr lang="es-PE" sz="1800" b="0" i="0">
            <a:solidFill>
              <a:schemeClr val="tx1">
                <a:lumMod val="65000"/>
                <a:lumOff val="3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1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Tributos</a:t>
          </a:r>
          <a:r>
            <a:rPr lang="es-PE" sz="18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de Aduana</a:t>
          </a:r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19</xdr:col>
      <xdr:colOff>559377</xdr:colOff>
      <xdr:row>18</xdr:row>
      <xdr:rowOff>128593</xdr:rowOff>
    </xdr:from>
    <xdr:to>
      <xdr:col>23</xdr:col>
      <xdr:colOff>511719</xdr:colOff>
      <xdr:row>21</xdr:row>
      <xdr:rowOff>27711</xdr:rowOff>
    </xdr:to>
    <xdr:sp macro="" textlink="'🧾 Tributos Aduana'!$F$6">
      <xdr:nvSpPr>
        <xdr:cNvPr id="31" name="Rectángulo 30">
          <a:extLst>
            <a:ext uri="{FF2B5EF4-FFF2-40B4-BE49-F238E27FC236}">
              <a16:creationId xmlns:a16="http://schemas.microsoft.com/office/drawing/2014/main" id="{EF42A5EA-9DC7-C339-D632-9911F62156C0}"/>
            </a:ext>
          </a:extLst>
        </xdr:cNvPr>
        <xdr:cNvSpPr/>
      </xdr:nvSpPr>
      <xdr:spPr>
        <a:xfrm>
          <a:off x="13218968" y="4423502"/>
          <a:ext cx="3000342" cy="661118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A4953BED-0E18-4EA8-8DE8-48D1E5375894}" type="TxLink">
            <a:rPr lang="en-US" sz="32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l"/>
            <a:t>US$43,641.28</a:t>
          </a:fld>
          <a:endParaRPr lang="es-PE" sz="3200" b="1" i="0" u="none" strike="noStrike">
            <a:solidFill>
              <a:schemeClr val="tx1">
                <a:lumMod val="85000"/>
                <a:lumOff val="15000"/>
              </a:schemeClr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27</xdr:col>
      <xdr:colOff>646034</xdr:colOff>
      <xdr:row>16</xdr:row>
      <xdr:rowOff>10392</xdr:rowOff>
    </xdr:from>
    <xdr:to>
      <xdr:col>31</xdr:col>
      <xdr:colOff>595571</xdr:colOff>
      <xdr:row>25</xdr:row>
      <xdr:rowOff>86592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7BFDA852-4FD5-2AF5-5388-85342A1515CD}"/>
            </a:ext>
          </a:extLst>
        </xdr:cNvPr>
        <xdr:cNvSpPr/>
      </xdr:nvSpPr>
      <xdr:spPr>
        <a:xfrm>
          <a:off x="19401625" y="3543301"/>
          <a:ext cx="2997537" cy="2275609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Seguro</a:t>
          </a:r>
          <a:endParaRPr lang="es-PE" sz="2400" b="0" i="0" baseline="0">
            <a:solidFill>
              <a:schemeClr val="tx1">
                <a:lumMod val="65000"/>
                <a:lumOff val="3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400" b="0" i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(US$)</a:t>
          </a:r>
          <a:endParaRPr lang="es-PE" sz="1800" b="0" i="0">
            <a:solidFill>
              <a:schemeClr val="tx1">
                <a:lumMod val="65000"/>
                <a:lumOff val="3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1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Tributos</a:t>
          </a:r>
          <a:r>
            <a:rPr lang="es-PE" sz="18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de Aduana</a:t>
          </a:r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27</xdr:col>
      <xdr:colOff>645969</xdr:colOff>
      <xdr:row>18</xdr:row>
      <xdr:rowOff>128593</xdr:rowOff>
    </xdr:from>
    <xdr:to>
      <xdr:col>31</xdr:col>
      <xdr:colOff>598311</xdr:colOff>
      <xdr:row>21</xdr:row>
      <xdr:rowOff>27711</xdr:rowOff>
    </xdr:to>
    <xdr:sp macro="" textlink="'🧾 Tributos Aduana'!$F$10">
      <xdr:nvSpPr>
        <xdr:cNvPr id="36" name="Rectángulo 35">
          <a:extLst>
            <a:ext uri="{FF2B5EF4-FFF2-40B4-BE49-F238E27FC236}">
              <a16:creationId xmlns:a16="http://schemas.microsoft.com/office/drawing/2014/main" id="{13EAA9F2-E878-CFAC-3108-54F217E2A354}"/>
            </a:ext>
          </a:extLst>
        </xdr:cNvPr>
        <xdr:cNvSpPr/>
      </xdr:nvSpPr>
      <xdr:spPr>
        <a:xfrm>
          <a:off x="19401560" y="4423502"/>
          <a:ext cx="3000342" cy="661118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7EE5AADD-4641-4408-A794-41AE958B86AF}" type="TxLink">
            <a:rPr lang="en-US" sz="32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l"/>
            <a:t>US$134.27</a:t>
          </a:fld>
          <a:endParaRPr lang="es-PE" sz="3200" b="1" i="0" u="none" strike="noStrike">
            <a:solidFill>
              <a:schemeClr val="tx1">
                <a:lumMod val="85000"/>
                <a:lumOff val="15000"/>
              </a:schemeClr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31</xdr:col>
      <xdr:colOff>694525</xdr:colOff>
      <xdr:row>16</xdr:row>
      <xdr:rowOff>6112</xdr:rowOff>
    </xdr:from>
    <xdr:to>
      <xdr:col>35</xdr:col>
      <xdr:colOff>644062</xdr:colOff>
      <xdr:row>25</xdr:row>
      <xdr:rowOff>90972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B5F39E25-E506-4271-9DB9-499E707E7E0E}"/>
            </a:ext>
          </a:extLst>
        </xdr:cNvPr>
        <xdr:cNvSpPr/>
      </xdr:nvSpPr>
      <xdr:spPr>
        <a:xfrm>
          <a:off x="22498116" y="3539021"/>
          <a:ext cx="2997537" cy="2284269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Valor</a:t>
          </a:r>
          <a:r>
            <a:rPr lang="es-PE" sz="2400" b="0" i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CIF</a:t>
          </a:r>
        </a:p>
        <a:p>
          <a:pPr algn="l"/>
          <a:r>
            <a:rPr lang="es-PE" sz="2400" b="0" i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(US$)</a:t>
          </a:r>
          <a:endParaRPr lang="es-PE" sz="1800" b="0" i="0">
            <a:solidFill>
              <a:schemeClr val="tx1">
                <a:lumMod val="65000"/>
                <a:lumOff val="3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1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Tributos</a:t>
          </a:r>
          <a:r>
            <a:rPr lang="es-PE" sz="18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de Aduana</a:t>
          </a:r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31</xdr:col>
      <xdr:colOff>694460</xdr:colOff>
      <xdr:row>18</xdr:row>
      <xdr:rowOff>125129</xdr:rowOff>
    </xdr:from>
    <xdr:to>
      <xdr:col>35</xdr:col>
      <xdr:colOff>646802</xdr:colOff>
      <xdr:row>21</xdr:row>
      <xdr:rowOff>24247</xdr:rowOff>
    </xdr:to>
    <xdr:sp macro="" textlink="'🧾 Tributos Aduana'!$F$14">
      <xdr:nvSpPr>
        <xdr:cNvPr id="39" name="Rectángulo 38">
          <a:extLst>
            <a:ext uri="{FF2B5EF4-FFF2-40B4-BE49-F238E27FC236}">
              <a16:creationId xmlns:a16="http://schemas.microsoft.com/office/drawing/2014/main" id="{B13F4F75-3686-48F2-9A2A-219A55801A38}"/>
            </a:ext>
          </a:extLst>
        </xdr:cNvPr>
        <xdr:cNvSpPr/>
      </xdr:nvSpPr>
      <xdr:spPr>
        <a:xfrm>
          <a:off x="22498051" y="4420038"/>
          <a:ext cx="3000342" cy="661118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244B4036-F808-4107-81E7-E9DB1F105859}" type="TxLink">
            <a:rPr lang="en-US" sz="32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l"/>
            <a:t>US$45,865.55</a:t>
          </a:fld>
          <a:endParaRPr lang="es-PE" sz="3200" b="1" i="0" u="none" strike="noStrike">
            <a:solidFill>
              <a:schemeClr val="tx1">
                <a:lumMod val="85000"/>
                <a:lumOff val="15000"/>
              </a:schemeClr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19</xdr:col>
      <xdr:colOff>566304</xdr:colOff>
      <xdr:row>14</xdr:row>
      <xdr:rowOff>114301</xdr:rowOff>
    </xdr:from>
    <xdr:to>
      <xdr:col>35</xdr:col>
      <xdr:colOff>585354</xdr:colOff>
      <xdr:row>15</xdr:row>
      <xdr:rowOff>266700</xdr:rowOff>
    </xdr:to>
    <xdr:sp macro="" textlink="">
      <xdr:nvSpPr>
        <xdr:cNvPr id="40" name="Rectángulo: esquinas redondeadas 39">
          <a:extLst>
            <a:ext uri="{FF2B5EF4-FFF2-40B4-BE49-F238E27FC236}">
              <a16:creationId xmlns:a16="http://schemas.microsoft.com/office/drawing/2014/main" id="{29520986-E88B-4945-8646-2950253A66E7}"/>
            </a:ext>
          </a:extLst>
        </xdr:cNvPr>
        <xdr:cNvSpPr/>
      </xdr:nvSpPr>
      <xdr:spPr>
        <a:xfrm>
          <a:off x="13225895" y="2885210"/>
          <a:ext cx="12211050" cy="53339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800" b="1">
              <a:solidFill>
                <a:schemeClr val="bg1">
                  <a:lumMod val="50000"/>
                </a:schemeClr>
              </a:solidFill>
            </a:rPr>
            <a:t>📊    📦  SECCIÓN 1: VALOR</a:t>
          </a:r>
          <a:r>
            <a:rPr lang="es-PE" sz="2800" b="1" baseline="0">
              <a:solidFill>
                <a:schemeClr val="bg1">
                  <a:lumMod val="50000"/>
                </a:schemeClr>
              </a:solidFill>
            </a:rPr>
            <a:t> DE LA MERCADERIA</a:t>
          </a:r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481445</xdr:colOff>
      <xdr:row>14</xdr:row>
      <xdr:rowOff>114301</xdr:rowOff>
    </xdr:from>
    <xdr:to>
      <xdr:col>19</xdr:col>
      <xdr:colOff>346365</xdr:colOff>
      <xdr:row>15</xdr:row>
      <xdr:rowOff>275359</xdr:rowOff>
    </xdr:to>
    <xdr:sp macro="" textlink="">
      <xdr:nvSpPr>
        <xdr:cNvPr id="45" name="Rectángulo: esquinas redondeadas 44">
          <a:extLst>
            <a:ext uri="{FF2B5EF4-FFF2-40B4-BE49-F238E27FC236}">
              <a16:creationId xmlns:a16="http://schemas.microsoft.com/office/drawing/2014/main" id="{76A2AA59-7806-41DB-A43E-28AF7D0811C9}"/>
            </a:ext>
          </a:extLst>
        </xdr:cNvPr>
        <xdr:cNvSpPr/>
      </xdr:nvSpPr>
      <xdr:spPr>
        <a:xfrm>
          <a:off x="3997036" y="2885210"/>
          <a:ext cx="9008920" cy="542058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800" b="1">
              <a:solidFill>
                <a:schemeClr val="bg1">
                  <a:lumMod val="50000"/>
                </a:schemeClr>
              </a:solidFill>
            </a:rPr>
            <a:t>📦  TAZAS</a:t>
          </a:r>
        </a:p>
      </xdr:txBody>
    </xdr:sp>
    <xdr:clientData/>
  </xdr:twoCellAnchor>
  <xdr:twoCellAnchor>
    <xdr:from>
      <xdr:col>7</xdr:col>
      <xdr:colOff>412580</xdr:colOff>
      <xdr:row>16</xdr:row>
      <xdr:rowOff>42266</xdr:rowOff>
    </xdr:from>
    <xdr:to>
      <xdr:col>9</xdr:col>
      <xdr:colOff>659687</xdr:colOff>
      <xdr:row>24</xdr:row>
      <xdr:rowOff>50937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99E5E59A-6388-464E-8008-30BAAAC1C8EA}"/>
            </a:ext>
          </a:extLst>
        </xdr:cNvPr>
        <xdr:cNvSpPr/>
      </xdr:nvSpPr>
      <xdr:spPr>
        <a:xfrm>
          <a:off x="3928171" y="3575175"/>
          <a:ext cx="1771107" cy="210417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0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AD Valorem</a:t>
          </a:r>
        </a:p>
        <a:p>
          <a:pPr algn="l"/>
          <a:r>
            <a:rPr lang="es-PE" sz="20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16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(%) </a:t>
          </a:r>
          <a:endParaRPr lang="es-PE" sz="2000" b="0" i="0">
            <a:solidFill>
              <a:schemeClr val="tx1">
                <a:lumMod val="65000"/>
                <a:lumOff val="3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7</xdr:col>
      <xdr:colOff>423787</xdr:colOff>
      <xdr:row>18</xdr:row>
      <xdr:rowOff>363887</xdr:rowOff>
    </xdr:from>
    <xdr:to>
      <xdr:col>9</xdr:col>
      <xdr:colOff>661353</xdr:colOff>
      <xdr:row>25</xdr:row>
      <xdr:rowOff>1093</xdr:rowOff>
    </xdr:to>
    <xdr:sp macro="" textlink="'📋 Datos Generales'!E20">
      <xdr:nvSpPr>
        <xdr:cNvPr id="53" name="Rectángulo 52">
          <a:extLst>
            <a:ext uri="{FF2B5EF4-FFF2-40B4-BE49-F238E27FC236}">
              <a16:creationId xmlns:a16="http://schemas.microsoft.com/office/drawing/2014/main" id="{7B0E9B6B-B2DE-4583-A80A-2197FEF1380D}"/>
            </a:ext>
          </a:extLst>
        </xdr:cNvPr>
        <xdr:cNvSpPr/>
      </xdr:nvSpPr>
      <xdr:spPr>
        <a:xfrm>
          <a:off x="3939378" y="4658796"/>
          <a:ext cx="1761566" cy="1074615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02A7423-BD41-48D5-8F44-84BA10600FA4}" type="TxLink">
            <a:rPr lang="en-US" sz="3200" b="1" i="0" u="none" strike="noStrike">
              <a:solidFill>
                <a:schemeClr val="bg1"/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ctr"/>
            <a:t>6.0%</a:t>
          </a:fld>
          <a:endParaRPr lang="es-PE" sz="3200" b="1" i="0" u="none" strike="noStrike">
            <a:solidFill>
              <a:schemeClr val="bg1"/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9</xdr:col>
      <xdr:colOff>713714</xdr:colOff>
      <xdr:row>16</xdr:row>
      <xdr:rowOff>26577</xdr:rowOff>
    </xdr:from>
    <xdr:to>
      <xdr:col>12</xdr:col>
      <xdr:colOff>198821</xdr:colOff>
      <xdr:row>24</xdr:row>
      <xdr:rowOff>35248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4B103BB4-BDCB-4CBB-93CB-3553674423B6}"/>
            </a:ext>
          </a:extLst>
        </xdr:cNvPr>
        <xdr:cNvSpPr/>
      </xdr:nvSpPr>
      <xdr:spPr>
        <a:xfrm>
          <a:off x="5753305" y="3559486"/>
          <a:ext cx="1771107" cy="210417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4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IPM</a:t>
          </a:r>
        </a:p>
        <a:p>
          <a:pPr algn="l"/>
          <a:r>
            <a:rPr lang="es-PE" sz="24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18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(%) </a:t>
          </a:r>
          <a:endParaRPr lang="es-PE" sz="2400" b="0" i="0">
            <a:solidFill>
              <a:schemeClr val="tx1">
                <a:lumMod val="65000"/>
                <a:lumOff val="3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724921</xdr:colOff>
      <xdr:row>18</xdr:row>
      <xdr:rowOff>348198</xdr:rowOff>
    </xdr:from>
    <xdr:to>
      <xdr:col>12</xdr:col>
      <xdr:colOff>200487</xdr:colOff>
      <xdr:row>24</xdr:row>
      <xdr:rowOff>89313</xdr:rowOff>
    </xdr:to>
    <xdr:sp macro="" textlink="'📋 Datos Generales'!E22">
      <xdr:nvSpPr>
        <xdr:cNvPr id="57" name="Rectángulo 56">
          <a:extLst>
            <a:ext uri="{FF2B5EF4-FFF2-40B4-BE49-F238E27FC236}">
              <a16:creationId xmlns:a16="http://schemas.microsoft.com/office/drawing/2014/main" id="{92B45F89-C8CC-4653-A42F-59F489BBC965}"/>
            </a:ext>
          </a:extLst>
        </xdr:cNvPr>
        <xdr:cNvSpPr/>
      </xdr:nvSpPr>
      <xdr:spPr>
        <a:xfrm>
          <a:off x="5764512" y="4643107"/>
          <a:ext cx="1761566" cy="1074615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174CBC5-D60C-4FCA-8F0C-0CC536D01F54}" type="TxLink">
            <a:rPr lang="en-US" sz="3200" b="1" i="0" u="none" strike="noStrike">
              <a:solidFill>
                <a:schemeClr val="bg1"/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ctr"/>
            <a:t>2.0%</a:t>
          </a:fld>
          <a:endParaRPr lang="es-PE" sz="3200" b="1" i="0" u="none" strike="noStrike">
            <a:solidFill>
              <a:schemeClr val="bg1"/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12</xdr:col>
      <xdr:colOff>264052</xdr:colOff>
      <xdr:row>16</xdr:row>
      <xdr:rowOff>34319</xdr:rowOff>
    </xdr:from>
    <xdr:to>
      <xdr:col>14</xdr:col>
      <xdr:colOff>511159</xdr:colOff>
      <xdr:row>24</xdr:row>
      <xdr:rowOff>42990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C6A5B323-DE97-48E8-82F7-19A024C37954}"/>
            </a:ext>
          </a:extLst>
        </xdr:cNvPr>
        <xdr:cNvSpPr/>
      </xdr:nvSpPr>
      <xdr:spPr>
        <a:xfrm>
          <a:off x="7589643" y="3567228"/>
          <a:ext cx="1771107" cy="210417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4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IGV</a:t>
          </a:r>
        </a:p>
        <a:p>
          <a:pPr algn="l"/>
          <a:r>
            <a:rPr lang="es-PE" sz="24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18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(%) </a:t>
          </a:r>
          <a:endParaRPr lang="es-PE" sz="2400" b="0" i="0">
            <a:solidFill>
              <a:schemeClr val="tx1">
                <a:lumMod val="65000"/>
                <a:lumOff val="3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12</xdr:col>
      <xdr:colOff>275259</xdr:colOff>
      <xdr:row>18</xdr:row>
      <xdr:rowOff>355940</xdr:rowOff>
    </xdr:from>
    <xdr:to>
      <xdr:col>14</xdr:col>
      <xdr:colOff>512825</xdr:colOff>
      <xdr:row>24</xdr:row>
      <xdr:rowOff>97055</xdr:rowOff>
    </xdr:to>
    <xdr:sp macro="" textlink="'📋 Datos Generales'!E21">
      <xdr:nvSpPr>
        <xdr:cNvPr id="67" name="Rectángulo 66">
          <a:extLst>
            <a:ext uri="{FF2B5EF4-FFF2-40B4-BE49-F238E27FC236}">
              <a16:creationId xmlns:a16="http://schemas.microsoft.com/office/drawing/2014/main" id="{C957E486-A98D-4F28-AA49-DE9D173E90C6}"/>
            </a:ext>
          </a:extLst>
        </xdr:cNvPr>
        <xdr:cNvSpPr/>
      </xdr:nvSpPr>
      <xdr:spPr>
        <a:xfrm>
          <a:off x="7600850" y="4650849"/>
          <a:ext cx="1761566" cy="1074615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E719826-3892-4DA4-BC12-CA7666AD1D1E}" type="TxLink">
            <a:rPr lang="en-US" sz="3200" b="1" i="0" u="none" strike="noStrike">
              <a:solidFill>
                <a:schemeClr val="bg1"/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ctr"/>
            <a:t>16.0%</a:t>
          </a:fld>
          <a:endParaRPr lang="es-PE" sz="3200" b="1" i="0" u="none" strike="noStrike">
            <a:solidFill>
              <a:schemeClr val="bg1"/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14</xdr:col>
      <xdr:colOff>582500</xdr:colOff>
      <xdr:row>16</xdr:row>
      <xdr:rowOff>42062</xdr:rowOff>
    </xdr:from>
    <xdr:to>
      <xdr:col>17</xdr:col>
      <xdr:colOff>67607</xdr:colOff>
      <xdr:row>24</xdr:row>
      <xdr:rowOff>50733</xdr:rowOff>
    </xdr:to>
    <xdr:sp macro="" textlink="">
      <xdr:nvSpPr>
        <xdr:cNvPr id="71" name="Rectángulo 70">
          <a:extLst>
            <a:ext uri="{FF2B5EF4-FFF2-40B4-BE49-F238E27FC236}">
              <a16:creationId xmlns:a16="http://schemas.microsoft.com/office/drawing/2014/main" id="{C99DCF35-790B-4638-BDBB-3D49434C0E73}"/>
            </a:ext>
          </a:extLst>
        </xdr:cNvPr>
        <xdr:cNvSpPr/>
      </xdr:nvSpPr>
      <xdr:spPr>
        <a:xfrm>
          <a:off x="9432091" y="3574971"/>
          <a:ext cx="1771107" cy="210417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4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Percepción</a:t>
          </a:r>
        </a:p>
        <a:p>
          <a:pPr algn="l"/>
          <a:r>
            <a:rPr lang="es-PE" sz="24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18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(%) </a:t>
          </a:r>
          <a:endParaRPr lang="es-PE" sz="2400" b="0" i="0">
            <a:solidFill>
              <a:schemeClr val="tx1">
                <a:lumMod val="65000"/>
                <a:lumOff val="3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14</xdr:col>
      <xdr:colOff>593707</xdr:colOff>
      <xdr:row>18</xdr:row>
      <xdr:rowOff>363683</xdr:rowOff>
    </xdr:from>
    <xdr:to>
      <xdr:col>17</xdr:col>
      <xdr:colOff>69273</xdr:colOff>
      <xdr:row>25</xdr:row>
      <xdr:rowOff>889</xdr:rowOff>
    </xdr:to>
    <xdr:sp macro="" textlink="'📋 Datos Generales'!E23">
      <xdr:nvSpPr>
        <xdr:cNvPr id="72" name="Rectángulo 71">
          <a:extLst>
            <a:ext uri="{FF2B5EF4-FFF2-40B4-BE49-F238E27FC236}">
              <a16:creationId xmlns:a16="http://schemas.microsoft.com/office/drawing/2014/main" id="{197B37C1-45F0-4596-AC10-4602714D1DA9}"/>
            </a:ext>
          </a:extLst>
        </xdr:cNvPr>
        <xdr:cNvSpPr/>
      </xdr:nvSpPr>
      <xdr:spPr>
        <a:xfrm>
          <a:off x="9443298" y="4658592"/>
          <a:ext cx="1761566" cy="1074615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E6D2636-C959-4056-8A97-5C0E38A2AFDC}" type="TxLink">
            <a:rPr lang="en-US" sz="3200" b="1" i="0" u="none" strike="noStrike">
              <a:solidFill>
                <a:schemeClr val="bg1"/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ctr"/>
            <a:t>3.5%</a:t>
          </a:fld>
          <a:endParaRPr lang="es-PE" sz="3200" b="1" i="0" u="none" strike="noStrike">
            <a:solidFill>
              <a:schemeClr val="bg1"/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17</xdr:col>
      <xdr:colOff>138950</xdr:colOff>
      <xdr:row>16</xdr:row>
      <xdr:rowOff>31466</xdr:rowOff>
    </xdr:from>
    <xdr:to>
      <xdr:col>19</xdr:col>
      <xdr:colOff>386057</xdr:colOff>
      <xdr:row>24</xdr:row>
      <xdr:rowOff>40137</xdr:rowOff>
    </xdr:to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2F68BB89-D212-4206-88DD-5BFE27CE4387}"/>
            </a:ext>
          </a:extLst>
        </xdr:cNvPr>
        <xdr:cNvSpPr/>
      </xdr:nvSpPr>
      <xdr:spPr>
        <a:xfrm>
          <a:off x="11274541" y="3564375"/>
          <a:ext cx="1771107" cy="210417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0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Tipo</a:t>
          </a:r>
          <a:r>
            <a:rPr lang="es-PE" sz="2000" b="0" i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de </a:t>
          </a:r>
        </a:p>
        <a:p>
          <a:pPr algn="l"/>
          <a:r>
            <a:rPr lang="es-PE" sz="2000" b="0" i="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cambio</a:t>
          </a:r>
          <a:endParaRPr lang="es-PE" sz="2000" b="0" i="0">
            <a:solidFill>
              <a:schemeClr val="tx1">
                <a:lumMod val="65000"/>
                <a:lumOff val="3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1600" b="0" i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(%) </a:t>
          </a:r>
          <a:endParaRPr lang="es-PE" sz="2000" b="0" i="0">
            <a:solidFill>
              <a:schemeClr val="tx1">
                <a:lumMod val="65000"/>
                <a:lumOff val="3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17</xdr:col>
      <xdr:colOff>150157</xdr:colOff>
      <xdr:row>18</xdr:row>
      <xdr:rowOff>353087</xdr:rowOff>
    </xdr:from>
    <xdr:to>
      <xdr:col>19</xdr:col>
      <xdr:colOff>387723</xdr:colOff>
      <xdr:row>24</xdr:row>
      <xdr:rowOff>94202</xdr:rowOff>
    </xdr:to>
    <xdr:sp macro="" textlink="'📋 Datos Generales'!E19">
      <xdr:nvSpPr>
        <xdr:cNvPr id="74" name="Rectángulo 73">
          <a:extLst>
            <a:ext uri="{FF2B5EF4-FFF2-40B4-BE49-F238E27FC236}">
              <a16:creationId xmlns:a16="http://schemas.microsoft.com/office/drawing/2014/main" id="{06E32E90-C69C-4055-A320-C789A81F09AD}"/>
            </a:ext>
          </a:extLst>
        </xdr:cNvPr>
        <xdr:cNvSpPr/>
      </xdr:nvSpPr>
      <xdr:spPr>
        <a:xfrm>
          <a:off x="11285748" y="4647996"/>
          <a:ext cx="1761566" cy="1074615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7E88B40-06DA-4194-BA71-D163416354A5}" type="TxLink">
            <a:rPr lang="en-US" sz="3200" b="1" i="0" u="none" strike="noStrike">
              <a:solidFill>
                <a:schemeClr val="bg1"/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ctr"/>
            <a:t>3.720</a:t>
          </a:fld>
          <a:endParaRPr lang="es-PE" sz="3200" b="1" i="0" u="none" strike="noStrike">
            <a:solidFill>
              <a:schemeClr val="bg1"/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7</xdr:col>
      <xdr:colOff>493567</xdr:colOff>
      <xdr:row>26</xdr:row>
      <xdr:rowOff>41565</xdr:rowOff>
    </xdr:from>
    <xdr:to>
      <xdr:col>23</xdr:col>
      <xdr:colOff>432954</xdr:colOff>
      <xdr:row>28</xdr:row>
      <xdr:rowOff>90055</xdr:rowOff>
    </xdr:to>
    <xdr:sp macro="" textlink="">
      <xdr:nvSpPr>
        <xdr:cNvPr id="80" name="Rectángulo: esquinas redondeadas 79">
          <a:extLst>
            <a:ext uri="{FF2B5EF4-FFF2-40B4-BE49-F238E27FC236}">
              <a16:creationId xmlns:a16="http://schemas.microsoft.com/office/drawing/2014/main" id="{3BBAEC6E-B9F6-43C1-933E-C9EBFED3F64F}"/>
            </a:ext>
          </a:extLst>
        </xdr:cNvPr>
        <xdr:cNvSpPr/>
      </xdr:nvSpPr>
      <xdr:spPr>
        <a:xfrm>
          <a:off x="4009158" y="6016338"/>
          <a:ext cx="12131387" cy="53339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800" b="1">
              <a:solidFill>
                <a:schemeClr val="bg1">
                  <a:lumMod val="50000"/>
                </a:schemeClr>
              </a:solidFill>
            </a:rPr>
            <a:t>📊    📦  SECCIÓN 2: TRIBUTOS TOTALES</a:t>
          </a:r>
        </a:p>
      </xdr:txBody>
    </xdr:sp>
    <xdr:clientData/>
  </xdr:twoCellAnchor>
  <xdr:twoCellAnchor>
    <xdr:from>
      <xdr:col>7</xdr:col>
      <xdr:colOff>450273</xdr:colOff>
      <xdr:row>29</xdr:row>
      <xdr:rowOff>83932</xdr:rowOff>
    </xdr:from>
    <xdr:to>
      <xdr:col>10</xdr:col>
      <xdr:colOff>432954</xdr:colOff>
      <xdr:row>44</xdr:row>
      <xdr:rowOff>167845</xdr:rowOff>
    </xdr:to>
    <xdr:sp macro="" textlink="">
      <xdr:nvSpPr>
        <xdr:cNvPr id="82" name="Rectángulo 81">
          <a:extLst>
            <a:ext uri="{FF2B5EF4-FFF2-40B4-BE49-F238E27FC236}">
              <a16:creationId xmlns:a16="http://schemas.microsoft.com/office/drawing/2014/main" id="{55B61D62-D8C4-4522-AC21-546F769F58FD}"/>
            </a:ext>
          </a:extLst>
        </xdr:cNvPr>
        <xdr:cNvSpPr/>
      </xdr:nvSpPr>
      <xdr:spPr>
        <a:xfrm>
          <a:off x="3965864" y="6734114"/>
          <a:ext cx="2268681" cy="2941413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ADV Total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Costo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7</xdr:col>
      <xdr:colOff>462638</xdr:colOff>
      <xdr:row>35</xdr:row>
      <xdr:rowOff>150078</xdr:rowOff>
    </xdr:from>
    <xdr:to>
      <xdr:col>10</xdr:col>
      <xdr:colOff>415636</xdr:colOff>
      <xdr:row>40</xdr:row>
      <xdr:rowOff>155067</xdr:rowOff>
    </xdr:to>
    <xdr:sp macro="" textlink="'Detallado por producto'!$V$503">
      <xdr:nvSpPr>
        <xdr:cNvPr id="83" name="Rectángulo 82">
          <a:extLst>
            <a:ext uri="{FF2B5EF4-FFF2-40B4-BE49-F238E27FC236}">
              <a16:creationId xmlns:a16="http://schemas.microsoft.com/office/drawing/2014/main" id="{2A3C9A93-8442-4B18-A7F6-2903A1752713}"/>
            </a:ext>
          </a:extLst>
        </xdr:cNvPr>
        <xdr:cNvSpPr/>
      </xdr:nvSpPr>
      <xdr:spPr>
        <a:xfrm>
          <a:off x="3978229" y="7943260"/>
          <a:ext cx="2238998" cy="957489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E2DEB8E-B99C-4E2B-AE25-2516D7678558}" type="TxLink">
            <a:rPr lang="en-US" sz="2400" b="1" i="0" u="none" strike="noStrike">
              <a:solidFill>
                <a:schemeClr val="bg1"/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ctr"/>
            <a:t>S/ 10,237.44</a:t>
          </a:fld>
          <a:endParaRPr lang="es-PE" sz="2400" b="1" i="0" u="none" strike="noStrike">
            <a:solidFill>
              <a:schemeClr val="bg1"/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10</xdr:col>
      <xdr:colOff>482308</xdr:colOff>
      <xdr:row>29</xdr:row>
      <xdr:rowOff>80530</xdr:rowOff>
    </xdr:from>
    <xdr:to>
      <xdr:col>13</xdr:col>
      <xdr:colOff>502228</xdr:colOff>
      <xdr:row>44</xdr:row>
      <xdr:rowOff>164443</xdr:rowOff>
    </xdr:to>
    <xdr:sp macro="" textlink="">
      <xdr:nvSpPr>
        <xdr:cNvPr id="84" name="Rectángulo 83">
          <a:extLst>
            <a:ext uri="{FF2B5EF4-FFF2-40B4-BE49-F238E27FC236}">
              <a16:creationId xmlns:a16="http://schemas.microsoft.com/office/drawing/2014/main" id="{A6091135-6A0B-46A4-A960-640FE9210276}"/>
            </a:ext>
          </a:extLst>
        </xdr:cNvPr>
        <xdr:cNvSpPr/>
      </xdr:nvSpPr>
      <xdr:spPr>
        <a:xfrm>
          <a:off x="6283899" y="6730712"/>
          <a:ext cx="2305920" cy="2941413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IMP Total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CF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494941</xdr:colOff>
      <xdr:row>35</xdr:row>
      <xdr:rowOff>146676</xdr:rowOff>
    </xdr:from>
    <xdr:to>
      <xdr:col>13</xdr:col>
      <xdr:colOff>506011</xdr:colOff>
      <xdr:row>40</xdr:row>
      <xdr:rowOff>151665</xdr:rowOff>
    </xdr:to>
    <xdr:sp macro="" textlink="'Detallado por producto'!$X$503">
      <xdr:nvSpPr>
        <xdr:cNvPr id="85" name="Rectángulo 84">
          <a:extLst>
            <a:ext uri="{FF2B5EF4-FFF2-40B4-BE49-F238E27FC236}">
              <a16:creationId xmlns:a16="http://schemas.microsoft.com/office/drawing/2014/main" id="{F7256025-897B-487D-BCA6-49A1B1E9C550}"/>
            </a:ext>
          </a:extLst>
        </xdr:cNvPr>
        <xdr:cNvSpPr/>
      </xdr:nvSpPr>
      <xdr:spPr>
        <a:xfrm>
          <a:off x="6296532" y="7939858"/>
          <a:ext cx="2297070" cy="957489"/>
        </a:xfrm>
        <a:prstGeom prst="rect">
          <a:avLst/>
        </a:prstGeom>
        <a:solidFill>
          <a:srgbClr val="6EA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C87C12F7-5CA8-4E92-A330-387D9269282D}" type="TxLink">
            <a:rPr lang="en-US" sz="2400" b="1" i="0" u="none" strike="noStrike">
              <a:solidFill>
                <a:sysClr val="windowText" lastClr="000000"/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ctr"/>
            <a:t>S/ 3,615.84</a:t>
          </a:fld>
          <a:endParaRPr lang="es-PE" sz="2400" b="1" i="0" u="none" strike="noStrike">
            <a:solidFill>
              <a:sysClr val="windowText" lastClr="000000"/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13</xdr:col>
      <xdr:colOff>592919</xdr:colOff>
      <xdr:row>29</xdr:row>
      <xdr:rowOff>83560</xdr:rowOff>
    </xdr:from>
    <xdr:to>
      <xdr:col>16</xdr:col>
      <xdr:colOff>536865</xdr:colOff>
      <xdr:row>44</xdr:row>
      <xdr:rowOff>167473</xdr:rowOff>
    </xdr:to>
    <xdr:sp macro="" textlink="">
      <xdr:nvSpPr>
        <xdr:cNvPr id="86" name="Rectángulo 85">
          <a:extLst>
            <a:ext uri="{FF2B5EF4-FFF2-40B4-BE49-F238E27FC236}">
              <a16:creationId xmlns:a16="http://schemas.microsoft.com/office/drawing/2014/main" id="{47D00F0C-742B-4768-B53A-C39DB76FE724}"/>
            </a:ext>
          </a:extLst>
        </xdr:cNvPr>
        <xdr:cNvSpPr/>
      </xdr:nvSpPr>
      <xdr:spPr>
        <a:xfrm>
          <a:off x="8680510" y="6733742"/>
          <a:ext cx="2229946" cy="2941413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IGV Total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CF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13</xdr:col>
      <xdr:colOff>605425</xdr:colOff>
      <xdr:row>35</xdr:row>
      <xdr:rowOff>149706</xdr:rowOff>
    </xdr:from>
    <xdr:to>
      <xdr:col>16</xdr:col>
      <xdr:colOff>541333</xdr:colOff>
      <xdr:row>40</xdr:row>
      <xdr:rowOff>154695</xdr:rowOff>
    </xdr:to>
    <xdr:sp macro="" textlink="'Detallado por producto'!Z503">
      <xdr:nvSpPr>
        <xdr:cNvPr id="87" name="Rectángulo 86">
          <a:extLst>
            <a:ext uri="{FF2B5EF4-FFF2-40B4-BE49-F238E27FC236}">
              <a16:creationId xmlns:a16="http://schemas.microsoft.com/office/drawing/2014/main" id="{479B04A1-839A-4AF0-A31E-36223C6A3223}"/>
            </a:ext>
          </a:extLst>
        </xdr:cNvPr>
        <xdr:cNvSpPr/>
      </xdr:nvSpPr>
      <xdr:spPr>
        <a:xfrm>
          <a:off x="8693016" y="7942888"/>
          <a:ext cx="2221908" cy="957489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56DE32B-5F6F-4A30-A868-1CA8A0FA6B84}" type="TxLink">
            <a:rPr lang="en-US" sz="2400" b="1" i="0" u="none" strike="noStrike">
              <a:solidFill>
                <a:schemeClr val="bg1"/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ctr"/>
            <a:t>S/ 28,937.88</a:t>
          </a:fld>
          <a:endParaRPr lang="es-PE" sz="2400" b="1" i="0" u="none" strike="noStrike">
            <a:solidFill>
              <a:schemeClr val="bg1"/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16</xdr:col>
      <xdr:colOff>632504</xdr:colOff>
      <xdr:row>29</xdr:row>
      <xdr:rowOff>103909</xdr:rowOff>
    </xdr:from>
    <xdr:to>
      <xdr:col>20</xdr:col>
      <xdr:colOff>109582</xdr:colOff>
      <xdr:row>44</xdr:row>
      <xdr:rowOff>187822</xdr:rowOff>
    </xdr:to>
    <xdr:sp macro="" textlink="">
      <xdr:nvSpPr>
        <xdr:cNvPr id="88" name="Rectángulo 87">
          <a:extLst>
            <a:ext uri="{FF2B5EF4-FFF2-40B4-BE49-F238E27FC236}">
              <a16:creationId xmlns:a16="http://schemas.microsoft.com/office/drawing/2014/main" id="{2D9F0DF7-EBD4-4ADF-B07D-55251C81E18E}"/>
            </a:ext>
          </a:extLst>
        </xdr:cNvPr>
        <xdr:cNvSpPr/>
      </xdr:nvSpPr>
      <xdr:spPr>
        <a:xfrm>
          <a:off x="11006095" y="6754091"/>
          <a:ext cx="2525078" cy="2941413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Percepción</a:t>
          </a:r>
          <a:r>
            <a:rPr lang="es-PE" sz="32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</a:t>
          </a:r>
        </a:p>
        <a:p>
          <a:pPr algn="l"/>
          <a:r>
            <a:rPr lang="es-PE" sz="32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Total</a:t>
          </a:r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CF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16</xdr:col>
      <xdr:colOff>645091</xdr:colOff>
      <xdr:row>35</xdr:row>
      <xdr:rowOff>177993</xdr:rowOff>
    </xdr:from>
    <xdr:to>
      <xdr:col>20</xdr:col>
      <xdr:colOff>114079</xdr:colOff>
      <xdr:row>40</xdr:row>
      <xdr:rowOff>175044</xdr:rowOff>
    </xdr:to>
    <xdr:sp macro="" textlink="'Detallado por producto'!$AB$503">
      <xdr:nvSpPr>
        <xdr:cNvPr id="89" name="Rectángulo 88">
          <a:extLst>
            <a:ext uri="{FF2B5EF4-FFF2-40B4-BE49-F238E27FC236}">
              <a16:creationId xmlns:a16="http://schemas.microsoft.com/office/drawing/2014/main" id="{DC5D53D6-CA13-478D-B0CC-6B58724A659B}"/>
            </a:ext>
          </a:extLst>
        </xdr:cNvPr>
        <xdr:cNvSpPr/>
      </xdr:nvSpPr>
      <xdr:spPr>
        <a:xfrm>
          <a:off x="11018682" y="7971175"/>
          <a:ext cx="2516988" cy="949551"/>
        </a:xfrm>
        <a:prstGeom prst="rect">
          <a:avLst/>
        </a:prstGeom>
        <a:solidFill>
          <a:srgbClr val="6EA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54CF461-B951-48D5-A88D-B43ECBB09CA7}" type="TxLink">
            <a:rPr lang="en-US" sz="2400" b="1" i="0" u="none" strike="noStrike">
              <a:solidFill>
                <a:sysClr val="windowText" lastClr="000000"/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ctr"/>
            <a:t>S/ 7,469.39</a:t>
          </a:fld>
          <a:endParaRPr lang="es-PE" sz="2400" b="1" i="0" u="none" strike="noStrike">
            <a:solidFill>
              <a:sysClr val="windowText" lastClr="000000"/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20</xdr:col>
      <xdr:colOff>199224</xdr:colOff>
      <xdr:row>29</xdr:row>
      <xdr:rowOff>103908</xdr:rowOff>
    </xdr:from>
    <xdr:to>
      <xdr:col>23</xdr:col>
      <xdr:colOff>431282</xdr:colOff>
      <xdr:row>44</xdr:row>
      <xdr:rowOff>187821</xdr:rowOff>
    </xdr:to>
    <xdr:sp macro="" textlink="">
      <xdr:nvSpPr>
        <xdr:cNvPr id="90" name="Rectángulo 89">
          <a:extLst>
            <a:ext uri="{FF2B5EF4-FFF2-40B4-BE49-F238E27FC236}">
              <a16:creationId xmlns:a16="http://schemas.microsoft.com/office/drawing/2014/main" id="{D543A1A7-B54F-466A-9F3B-E9E912AAE1D8}"/>
            </a:ext>
          </a:extLst>
        </xdr:cNvPr>
        <xdr:cNvSpPr/>
      </xdr:nvSpPr>
      <xdr:spPr>
        <a:xfrm>
          <a:off x="13620815" y="6754090"/>
          <a:ext cx="2518058" cy="2941413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Deuda     </a:t>
          </a:r>
        </a:p>
        <a:p>
          <a:pPr algn="l"/>
          <a:r>
            <a:rPr lang="es-PE" sz="28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Aduanera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</a:t>
          </a:r>
        </a:p>
        <a:p>
          <a:pPr algn="l"/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1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18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18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1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DA</a:t>
          </a:r>
          <a:endParaRPr lang="es-PE" sz="28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20</xdr:col>
      <xdr:colOff>211694</xdr:colOff>
      <xdr:row>35</xdr:row>
      <xdr:rowOff>177992</xdr:rowOff>
    </xdr:from>
    <xdr:to>
      <xdr:col>23</xdr:col>
      <xdr:colOff>435736</xdr:colOff>
      <xdr:row>40</xdr:row>
      <xdr:rowOff>175043</xdr:rowOff>
    </xdr:to>
    <xdr:sp macro="" textlink="'Detallado por producto'!$T$503">
      <xdr:nvSpPr>
        <xdr:cNvPr id="91" name="Rectángulo 90">
          <a:extLst>
            <a:ext uri="{FF2B5EF4-FFF2-40B4-BE49-F238E27FC236}">
              <a16:creationId xmlns:a16="http://schemas.microsoft.com/office/drawing/2014/main" id="{1FBDD02E-F4C2-4D41-A172-4B04D308E7A8}"/>
            </a:ext>
          </a:extLst>
        </xdr:cNvPr>
        <xdr:cNvSpPr/>
      </xdr:nvSpPr>
      <xdr:spPr>
        <a:xfrm>
          <a:off x="13633285" y="7971174"/>
          <a:ext cx="2510042" cy="949551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5E900EB-543C-4CAC-97BF-E4AFEA1EA7B7}" type="TxLink">
            <a:rPr lang="en-US" sz="2400" b="1" i="0" u="none" strike="noStrike">
              <a:solidFill>
                <a:schemeClr val="bg1"/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ctr"/>
            <a:t>S/ 42,791.16</a:t>
          </a:fld>
          <a:endParaRPr lang="es-PE" sz="2400" b="1" i="0" u="none" strike="noStrike">
            <a:solidFill>
              <a:schemeClr val="bg1"/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7</xdr:col>
      <xdr:colOff>502227</xdr:colOff>
      <xdr:row>46</xdr:row>
      <xdr:rowOff>17318</xdr:rowOff>
    </xdr:from>
    <xdr:to>
      <xdr:col>23</xdr:col>
      <xdr:colOff>441614</xdr:colOff>
      <xdr:row>48</xdr:row>
      <xdr:rowOff>169717</xdr:rowOff>
    </xdr:to>
    <xdr:sp macro="" textlink="">
      <xdr:nvSpPr>
        <xdr:cNvPr id="92" name="Rectángulo: esquinas redondeadas 91">
          <a:extLst>
            <a:ext uri="{FF2B5EF4-FFF2-40B4-BE49-F238E27FC236}">
              <a16:creationId xmlns:a16="http://schemas.microsoft.com/office/drawing/2014/main" id="{ECD805F0-AE1C-4BCB-8CAD-C20C226CEE0B}"/>
            </a:ext>
          </a:extLst>
        </xdr:cNvPr>
        <xdr:cNvSpPr/>
      </xdr:nvSpPr>
      <xdr:spPr>
        <a:xfrm>
          <a:off x="4017818" y="9906000"/>
          <a:ext cx="12131387" cy="53339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800" b="1">
              <a:solidFill>
                <a:schemeClr val="bg1">
                  <a:lumMod val="50000"/>
                </a:schemeClr>
              </a:solidFill>
            </a:rPr>
            <a:t>📊    📦  SECCIÓN 3: GASTOS</a:t>
          </a:r>
          <a:r>
            <a:rPr lang="es-PE" sz="2800" b="1" baseline="0">
              <a:solidFill>
                <a:schemeClr val="bg1">
                  <a:lumMod val="50000"/>
                </a:schemeClr>
              </a:solidFill>
            </a:rPr>
            <a:t> POR NACIONALIZACIÓN Y RENTABILIDAD</a:t>
          </a:r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407847</xdr:colOff>
      <xdr:row>50</xdr:row>
      <xdr:rowOff>17318</xdr:rowOff>
    </xdr:from>
    <xdr:to>
      <xdr:col>11</xdr:col>
      <xdr:colOff>436807</xdr:colOff>
      <xdr:row>57</xdr:row>
      <xdr:rowOff>2285999</xdr:rowOff>
    </xdr:to>
    <xdr:sp macro="" textlink="">
      <xdr:nvSpPr>
        <xdr:cNvPr id="95" name="Rectángulo 94">
          <a:extLst>
            <a:ext uri="{FF2B5EF4-FFF2-40B4-BE49-F238E27FC236}">
              <a16:creationId xmlns:a16="http://schemas.microsoft.com/office/drawing/2014/main" id="{C2F07BDE-CE52-48D0-901D-1C7DD6088553}"/>
            </a:ext>
          </a:extLst>
        </xdr:cNvPr>
        <xdr:cNvSpPr/>
      </xdr:nvSpPr>
      <xdr:spPr>
        <a:xfrm>
          <a:off x="3923438" y="10668000"/>
          <a:ext cx="3076960" cy="360218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28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Costos Total </a:t>
          </a:r>
        </a:p>
        <a:p>
          <a:pPr algn="l"/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0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0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28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Incluye gastos de   </a:t>
          </a:r>
          <a:endParaRPr lang="es-PE" sz="6000">
            <a:solidFill>
              <a:sysClr val="windowText" lastClr="000000"/>
            </a:solidFill>
            <a:effectLst/>
          </a:endParaRPr>
        </a:p>
        <a:p>
          <a:r>
            <a:rPr lang="es-PE" sz="28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Importación</a:t>
          </a:r>
          <a:endParaRPr lang="es-PE" sz="60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7</xdr:col>
      <xdr:colOff>415638</xdr:colOff>
      <xdr:row>55</xdr:row>
      <xdr:rowOff>122286</xdr:rowOff>
    </xdr:from>
    <xdr:to>
      <xdr:col>11</xdr:col>
      <xdr:colOff>467592</xdr:colOff>
      <xdr:row>57</xdr:row>
      <xdr:rowOff>710044</xdr:rowOff>
    </xdr:to>
    <xdr:sp macro="" textlink="'Detallado por producto'!$AM$503">
      <xdr:nvSpPr>
        <xdr:cNvPr id="96" name="Rectángulo 95">
          <a:extLst>
            <a:ext uri="{FF2B5EF4-FFF2-40B4-BE49-F238E27FC236}">
              <a16:creationId xmlns:a16="http://schemas.microsoft.com/office/drawing/2014/main" id="{CBBF90AD-713D-4365-A092-52BDB5F7F8D8}"/>
            </a:ext>
          </a:extLst>
        </xdr:cNvPr>
        <xdr:cNvSpPr/>
      </xdr:nvSpPr>
      <xdr:spPr>
        <a:xfrm>
          <a:off x="3931229" y="11725468"/>
          <a:ext cx="3099954" cy="9687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E15EBDBF-EA67-4700-92A1-A2B0965C073C}" type="TxLink">
            <a:rPr lang="en-US" sz="32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l"/>
            <a:t>S/ 185,190.12</a:t>
          </a:fld>
          <a:endParaRPr lang="es-PE" sz="3200" b="1" i="0" u="none" strike="noStrike">
            <a:solidFill>
              <a:schemeClr val="tx1">
                <a:lumMod val="85000"/>
                <a:lumOff val="15000"/>
              </a:schemeClr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11</xdr:col>
      <xdr:colOff>490974</xdr:colOff>
      <xdr:row>50</xdr:row>
      <xdr:rowOff>13854</xdr:rowOff>
    </xdr:from>
    <xdr:to>
      <xdr:col>15</xdr:col>
      <xdr:colOff>519934</xdr:colOff>
      <xdr:row>57</xdr:row>
      <xdr:rowOff>2282535</xdr:rowOff>
    </xdr:to>
    <xdr:sp macro="" textlink="">
      <xdr:nvSpPr>
        <xdr:cNvPr id="100" name="Rectángulo 99">
          <a:extLst>
            <a:ext uri="{FF2B5EF4-FFF2-40B4-BE49-F238E27FC236}">
              <a16:creationId xmlns:a16="http://schemas.microsoft.com/office/drawing/2014/main" id="{AFF7C812-FED6-41BA-8C8F-79D1F1FB34A6}"/>
            </a:ext>
          </a:extLst>
        </xdr:cNvPr>
        <xdr:cNvSpPr/>
      </xdr:nvSpPr>
      <xdr:spPr>
        <a:xfrm>
          <a:off x="7054565" y="10664536"/>
          <a:ext cx="3076960" cy="360218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28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Valor</a:t>
          </a:r>
          <a:r>
            <a:rPr lang="es-PE" sz="2800" b="1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Venta Total</a:t>
          </a:r>
          <a:endParaRPr lang="es-PE" sz="2800" b="1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0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s-PE" sz="60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28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18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En caso se vendieran todas</a:t>
          </a:r>
        </a:p>
        <a:p>
          <a:pPr marL="0" indent="0" algn="l"/>
          <a:r>
            <a:rPr lang="es-PE" sz="18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las unidades (No Incluye </a:t>
          </a:r>
        </a:p>
        <a:p>
          <a:pPr marL="0" indent="0" algn="l"/>
          <a:r>
            <a:rPr lang="es-PE" sz="18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Impuestos)</a:t>
          </a:r>
          <a:endParaRPr lang="es-PE" sz="4400" b="0" i="1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498765</xdr:colOff>
      <xdr:row>55</xdr:row>
      <xdr:rowOff>118822</xdr:rowOff>
    </xdr:from>
    <xdr:to>
      <xdr:col>15</xdr:col>
      <xdr:colOff>550719</xdr:colOff>
      <xdr:row>57</xdr:row>
      <xdr:rowOff>706580</xdr:rowOff>
    </xdr:to>
    <xdr:sp macro="" textlink="'Detallado por producto'!$AT$503">
      <xdr:nvSpPr>
        <xdr:cNvPr id="102" name="Rectángulo 101">
          <a:extLst>
            <a:ext uri="{FF2B5EF4-FFF2-40B4-BE49-F238E27FC236}">
              <a16:creationId xmlns:a16="http://schemas.microsoft.com/office/drawing/2014/main" id="{5E7865F5-7EAE-47D9-9084-DA4ADC2F6DEA}"/>
            </a:ext>
          </a:extLst>
        </xdr:cNvPr>
        <xdr:cNvSpPr/>
      </xdr:nvSpPr>
      <xdr:spPr>
        <a:xfrm>
          <a:off x="7062356" y="11722004"/>
          <a:ext cx="3099954" cy="9687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5BB9DDC2-101D-44A7-B7EF-ED8F482E0677}" type="TxLink">
            <a:rPr lang="en-US" sz="32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l"/>
            <a:t>S/ 308,650.20</a:t>
          </a:fld>
          <a:endParaRPr lang="es-PE" sz="3200" b="1" i="0" u="none" strike="noStrike">
            <a:solidFill>
              <a:schemeClr val="tx1">
                <a:lumMod val="85000"/>
                <a:lumOff val="15000"/>
              </a:schemeClr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15</xdr:col>
      <xdr:colOff>608737</xdr:colOff>
      <xdr:row>50</xdr:row>
      <xdr:rowOff>10391</xdr:rowOff>
    </xdr:from>
    <xdr:to>
      <xdr:col>19</xdr:col>
      <xdr:colOff>637697</xdr:colOff>
      <xdr:row>57</xdr:row>
      <xdr:rowOff>2279072</xdr:rowOff>
    </xdr:to>
    <xdr:sp macro="" textlink="">
      <xdr:nvSpPr>
        <xdr:cNvPr id="107" name="Rectángulo 106">
          <a:extLst>
            <a:ext uri="{FF2B5EF4-FFF2-40B4-BE49-F238E27FC236}">
              <a16:creationId xmlns:a16="http://schemas.microsoft.com/office/drawing/2014/main" id="{CF1C342B-DE05-43E8-979C-E18CFBECE2D6}"/>
            </a:ext>
          </a:extLst>
        </xdr:cNvPr>
        <xdr:cNvSpPr/>
      </xdr:nvSpPr>
      <xdr:spPr>
        <a:xfrm>
          <a:off x="10220328" y="10661073"/>
          <a:ext cx="3076960" cy="360218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28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Ganancia</a:t>
          </a:r>
          <a:r>
            <a:rPr lang="es-PE" sz="2800" b="1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Total</a:t>
          </a:r>
          <a:endParaRPr lang="es-PE" sz="2800" b="1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0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s-PE" sz="60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28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18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En caso se vendieran todas</a:t>
          </a:r>
        </a:p>
        <a:p>
          <a:pPr marL="0" indent="0" algn="l"/>
          <a:r>
            <a:rPr lang="es-PE" sz="18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las unidades (No Incluye </a:t>
          </a:r>
        </a:p>
        <a:p>
          <a:pPr marL="0" indent="0" algn="l"/>
          <a:r>
            <a:rPr lang="es-PE" sz="18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Impuestos)</a:t>
          </a:r>
          <a:endParaRPr lang="es-PE" sz="4400" b="0" i="1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616528</xdr:colOff>
      <xdr:row>55</xdr:row>
      <xdr:rowOff>115359</xdr:rowOff>
    </xdr:from>
    <xdr:to>
      <xdr:col>19</xdr:col>
      <xdr:colOff>668482</xdr:colOff>
      <xdr:row>57</xdr:row>
      <xdr:rowOff>703117</xdr:rowOff>
    </xdr:to>
    <xdr:sp macro="" textlink="'Detallado por producto'!$AW$503">
      <xdr:nvSpPr>
        <xdr:cNvPr id="111" name="Rectángulo 110">
          <a:extLst>
            <a:ext uri="{FF2B5EF4-FFF2-40B4-BE49-F238E27FC236}">
              <a16:creationId xmlns:a16="http://schemas.microsoft.com/office/drawing/2014/main" id="{D7BBAE83-4D4B-4AF5-9FB8-F9725130176E}"/>
            </a:ext>
          </a:extLst>
        </xdr:cNvPr>
        <xdr:cNvSpPr/>
      </xdr:nvSpPr>
      <xdr:spPr>
        <a:xfrm>
          <a:off x="10228119" y="11718541"/>
          <a:ext cx="3099954" cy="9687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3BE93E9B-99C6-4A37-B21D-3FF31C964DB0}" type="TxLink">
            <a:rPr lang="en-US" sz="32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l"/>
            <a:t>S/ 123,460.08</a:t>
          </a:fld>
          <a:endParaRPr lang="es-PE" sz="3200" b="1" i="0" u="none" strike="noStrike">
            <a:solidFill>
              <a:schemeClr val="tx1">
                <a:lumMod val="85000"/>
                <a:lumOff val="15000"/>
              </a:schemeClr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19</xdr:col>
      <xdr:colOff>691865</xdr:colOff>
      <xdr:row>50</xdr:row>
      <xdr:rowOff>24245</xdr:rowOff>
    </xdr:from>
    <xdr:to>
      <xdr:col>23</xdr:col>
      <xdr:colOff>484909</xdr:colOff>
      <xdr:row>57</xdr:row>
      <xdr:rowOff>2292926</xdr:rowOff>
    </xdr:to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290F257E-22CE-45C7-8D76-14D339C40C4A}"/>
            </a:ext>
          </a:extLst>
        </xdr:cNvPr>
        <xdr:cNvSpPr/>
      </xdr:nvSpPr>
      <xdr:spPr>
        <a:xfrm>
          <a:off x="13351456" y="10674927"/>
          <a:ext cx="2841044" cy="360218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28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Crédito</a:t>
          </a:r>
          <a:r>
            <a:rPr lang="es-PE" sz="2800" b="1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Fiscal   </a:t>
          </a:r>
        </a:p>
        <a:p>
          <a:pPr algn="l"/>
          <a:r>
            <a:rPr lang="es-PE" sz="2800" b="1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Total</a:t>
          </a:r>
          <a:endParaRPr lang="es-PE" sz="2800" b="1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0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s-PE" sz="60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28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PE" sz="4400" b="0" i="1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19</xdr:col>
      <xdr:colOff>682338</xdr:colOff>
      <xdr:row>57</xdr:row>
      <xdr:rowOff>59940</xdr:rowOff>
    </xdr:from>
    <xdr:to>
      <xdr:col>23</xdr:col>
      <xdr:colOff>502227</xdr:colOff>
      <xdr:row>57</xdr:row>
      <xdr:rowOff>2286000</xdr:rowOff>
    </xdr:to>
    <xdr:sp macro="" textlink="'Detallado por producto'!$AQ$503">
      <xdr:nvSpPr>
        <xdr:cNvPr id="114" name="Rectángulo 113">
          <a:extLst>
            <a:ext uri="{FF2B5EF4-FFF2-40B4-BE49-F238E27FC236}">
              <a16:creationId xmlns:a16="http://schemas.microsoft.com/office/drawing/2014/main" id="{AA21285D-1A65-497D-A126-EDC9DCDD342C}"/>
            </a:ext>
          </a:extLst>
        </xdr:cNvPr>
        <xdr:cNvSpPr/>
      </xdr:nvSpPr>
      <xdr:spPr>
        <a:xfrm>
          <a:off x="13341929" y="12044122"/>
          <a:ext cx="2867889" cy="22260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E800E50-4DC5-4589-A4C2-5529DE6EB017}" type="TxLink">
            <a:rPr lang="en-US" sz="32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Kermit Semibold" panose="020F0502020204030204" pitchFamily="34" charset="0"/>
              <a:ea typeface="+mn-ea"/>
              <a:cs typeface="Biome Light" panose="020B0502040204020203" pitchFamily="34" charset="0"/>
            </a:rPr>
            <a:pPr marL="0" indent="0" algn="ctr"/>
            <a:t>S/ 40,780.77</a:t>
          </a:fld>
          <a:endParaRPr lang="es-PE" sz="3200" b="1" i="0" u="none" strike="noStrike">
            <a:solidFill>
              <a:schemeClr val="tx1">
                <a:lumMod val="85000"/>
                <a:lumOff val="15000"/>
              </a:schemeClr>
            </a:solidFill>
            <a:latin typeface="Kermit Semibold" panose="020F0502020204030204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36</xdr:col>
      <xdr:colOff>190499</xdr:colOff>
      <xdr:row>35</xdr:row>
      <xdr:rowOff>121228</xdr:rowOff>
    </xdr:from>
    <xdr:to>
      <xdr:col>45</xdr:col>
      <xdr:colOff>138545</xdr:colOff>
      <xdr:row>57</xdr:row>
      <xdr:rowOff>1853045</xdr:rowOff>
    </xdr:to>
    <xdr:graphicFrame macro="">
      <xdr:nvGraphicFramePr>
        <xdr:cNvPr id="115" name="Gráfico 114">
          <a:extLst>
            <a:ext uri="{FF2B5EF4-FFF2-40B4-BE49-F238E27FC236}">
              <a16:creationId xmlns:a16="http://schemas.microsoft.com/office/drawing/2014/main" id="{AE684CFC-38AA-4EF1-AE06-FC386B898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53</xdr:row>
      <xdr:rowOff>133350</xdr:rowOff>
    </xdr:from>
    <xdr:to>
      <xdr:col>2</xdr:col>
      <xdr:colOff>1571625</xdr:colOff>
      <xdr:row>71</xdr:row>
      <xdr:rowOff>40515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24C148-176F-43B2-8547-A2ED57C04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1724025</xdr:colOff>
      <xdr:row>53</xdr:row>
      <xdr:rowOff>133350</xdr:rowOff>
    </xdr:from>
    <xdr:to>
      <xdr:col>8</xdr:col>
      <xdr:colOff>501495</xdr:colOff>
      <xdr:row>71</xdr:row>
      <xdr:rowOff>40515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E8F8C4-58F2-4857-BD74-47E265545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825500</xdr:colOff>
      <xdr:row>96</xdr:row>
      <xdr:rowOff>101602</xdr:rowOff>
    </xdr:from>
    <xdr:to>
      <xdr:col>48</xdr:col>
      <xdr:colOff>381000</xdr:colOff>
      <xdr:row>171</xdr:row>
      <xdr:rowOff>31750</xdr:rowOff>
    </xdr:to>
    <xdr:sp macro="" textlink="">
      <xdr:nvSpPr>
        <xdr:cNvPr id="234" name="Rectángulo: esquinas redondeadas 233">
          <a:extLst>
            <a:ext uri="{FF2B5EF4-FFF2-40B4-BE49-F238E27FC236}">
              <a16:creationId xmlns:a16="http://schemas.microsoft.com/office/drawing/2014/main" id="{C8F2D9E6-4F4D-4901-9D18-3C57048F0CAD}"/>
            </a:ext>
          </a:extLst>
        </xdr:cNvPr>
        <xdr:cNvSpPr/>
      </xdr:nvSpPr>
      <xdr:spPr>
        <a:xfrm>
          <a:off x="3619500" y="25755602"/>
          <a:ext cx="40259000" cy="14217648"/>
        </a:xfrm>
        <a:prstGeom prst="roundRect">
          <a:avLst>
            <a:gd name="adj" fmla="val 1274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innerShdw blurRad="38100" dist="50800" dir="2700000">
            <a:prstClr val="black">
              <a:alpha val="53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708932</xdr:colOff>
      <xdr:row>15</xdr:row>
      <xdr:rowOff>93909</xdr:rowOff>
    </xdr:from>
    <xdr:to>
      <xdr:col>6</xdr:col>
      <xdr:colOff>122465</xdr:colOff>
      <xdr:row>70</xdr:row>
      <xdr:rowOff>544286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FDE29841-7F02-4F7D-A64A-88F887FF6F79}"/>
            </a:ext>
          </a:extLst>
        </xdr:cNvPr>
        <xdr:cNvSpPr/>
      </xdr:nvSpPr>
      <xdr:spPr>
        <a:xfrm>
          <a:off x="2328182" y="3808659"/>
          <a:ext cx="334283" cy="13658377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2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oneCellAnchor>
    <xdr:from>
      <xdr:col>0</xdr:col>
      <xdr:colOff>721162</xdr:colOff>
      <xdr:row>3</xdr:row>
      <xdr:rowOff>157503</xdr:rowOff>
    </xdr:from>
    <xdr:ext cx="3257109" cy="886909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9752376-CAB6-41DC-8BBB-962EBE3D56CE}"/>
            </a:ext>
          </a:extLst>
        </xdr:cNvPr>
        <xdr:cNvSpPr/>
      </xdr:nvSpPr>
      <xdr:spPr>
        <a:xfrm>
          <a:off x="721162" y="729003"/>
          <a:ext cx="3257109" cy="88690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5400" b="1" cap="none" spc="0">
              <a:ln w="0"/>
              <a:solidFill>
                <a:srgbClr val="49769F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rial Narrow" panose="020B0606020202030204" pitchFamily="34" charset="0"/>
            </a:rPr>
            <a:t>Dashboard</a:t>
          </a:r>
        </a:p>
      </xdr:txBody>
    </xdr:sp>
    <xdr:clientData/>
  </xdr:oneCellAnchor>
  <xdr:oneCellAnchor>
    <xdr:from>
      <xdr:col>0</xdr:col>
      <xdr:colOff>729596</xdr:colOff>
      <xdr:row>8</xdr:row>
      <xdr:rowOff>82350</xdr:rowOff>
    </xdr:from>
    <xdr:ext cx="4294842" cy="58625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92A490B-E633-4BDC-A022-4077FAD3345D}"/>
            </a:ext>
          </a:extLst>
        </xdr:cNvPr>
        <xdr:cNvSpPr/>
      </xdr:nvSpPr>
      <xdr:spPr>
        <a:xfrm>
          <a:off x="729596" y="1487288"/>
          <a:ext cx="4294842" cy="58625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es-ES" sz="3600" b="0" cap="none" spc="0">
              <a:ln w="0"/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badi ExtraLight" panose="020F0502020204030204" pitchFamily="34" charset="0"/>
            </a:rPr>
            <a:t>Costos de Importación</a:t>
          </a:r>
        </a:p>
      </xdr:txBody>
    </xdr:sp>
    <xdr:clientData/>
  </xdr:oneCellAnchor>
  <xdr:twoCellAnchor>
    <xdr:from>
      <xdr:col>8</xdr:col>
      <xdr:colOff>595313</xdr:colOff>
      <xdr:row>5</xdr:row>
      <xdr:rowOff>12562</xdr:rowOff>
    </xdr:from>
    <xdr:to>
      <xdr:col>42</xdr:col>
      <xdr:colOff>476250</xdr:colOff>
      <xdr:row>10</xdr:row>
      <xdr:rowOff>169488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0FA9FD86-E1EC-4695-9B9B-6C65B992D712}"/>
            </a:ext>
          </a:extLst>
        </xdr:cNvPr>
        <xdr:cNvSpPr/>
      </xdr:nvSpPr>
      <xdr:spPr>
        <a:xfrm>
          <a:off x="4659313" y="965062"/>
          <a:ext cx="33027937" cy="1014176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4000" b="1">
              <a:solidFill>
                <a:schemeClr val="bg1">
                  <a:lumMod val="50000"/>
                </a:schemeClr>
              </a:solidFill>
            </a:rPr>
            <a:t>📊  DASHBOARD POR</a:t>
          </a:r>
          <a:r>
            <a:rPr lang="es-PE" sz="4000" b="1" baseline="0">
              <a:solidFill>
                <a:schemeClr val="bg1">
                  <a:lumMod val="50000"/>
                </a:schemeClr>
              </a:solidFill>
            </a:rPr>
            <a:t> PRODUCTO</a:t>
          </a:r>
          <a:endParaRPr lang="es-PE" sz="40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29654</xdr:colOff>
      <xdr:row>0</xdr:row>
      <xdr:rowOff>18406</xdr:rowOff>
    </xdr:from>
    <xdr:to>
      <xdr:col>2</xdr:col>
      <xdr:colOff>279776</xdr:colOff>
      <xdr:row>3</xdr:row>
      <xdr:rowOff>120504</xdr:rowOff>
    </xdr:to>
    <xdr:pic>
      <xdr:nvPicPr>
        <xdr:cNvPr id="77" name="Gráfico 76" descr="Signo de intercalación hacia la derecha con relleno sólido">
          <a:extLst>
            <a:ext uri="{FF2B5EF4-FFF2-40B4-BE49-F238E27FC236}">
              <a16:creationId xmlns:a16="http://schemas.microsoft.com/office/drawing/2014/main" id="{CB7A189A-12DD-4DC2-810F-4CF36FB86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1654" y="18406"/>
          <a:ext cx="583497" cy="673598"/>
        </a:xfrm>
        <a:prstGeom prst="rect">
          <a:avLst/>
        </a:prstGeom>
      </xdr:spPr>
    </xdr:pic>
    <xdr:clientData/>
  </xdr:twoCellAnchor>
  <xdr:twoCellAnchor editAs="oneCell">
    <xdr:from>
      <xdr:col>1</xdr:col>
      <xdr:colOff>218804</xdr:colOff>
      <xdr:row>0</xdr:row>
      <xdr:rowOff>16724</xdr:rowOff>
    </xdr:from>
    <xdr:to>
      <xdr:col>2</xdr:col>
      <xdr:colOff>476250</xdr:colOff>
      <xdr:row>3</xdr:row>
      <xdr:rowOff>118821</xdr:rowOff>
    </xdr:to>
    <xdr:pic>
      <xdr:nvPicPr>
        <xdr:cNvPr id="78" name="Gráfico 77" descr="Signo de intercalación hacia la derecha con relleno sólido">
          <a:extLst>
            <a:ext uri="{FF2B5EF4-FFF2-40B4-BE49-F238E27FC236}">
              <a16:creationId xmlns:a16="http://schemas.microsoft.com/office/drawing/2014/main" id="{18997FB8-DA7A-4C5B-8DB0-E267070C6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80804" y="16724"/>
          <a:ext cx="590821" cy="673597"/>
        </a:xfrm>
        <a:prstGeom prst="rect">
          <a:avLst/>
        </a:prstGeom>
      </xdr:spPr>
    </xdr:pic>
    <xdr:clientData/>
  </xdr:twoCellAnchor>
  <xdr:twoCellAnchor editAs="oneCell">
    <xdr:from>
      <xdr:col>2</xdr:col>
      <xdr:colOff>97043</xdr:colOff>
      <xdr:row>0</xdr:row>
      <xdr:rowOff>24847</xdr:rowOff>
    </xdr:from>
    <xdr:to>
      <xdr:col>2</xdr:col>
      <xdr:colOff>697699</xdr:colOff>
      <xdr:row>3</xdr:row>
      <xdr:rowOff>126945</xdr:rowOff>
    </xdr:to>
    <xdr:pic>
      <xdr:nvPicPr>
        <xdr:cNvPr id="79" name="Gráfico 78" descr="Signo de intercalación hacia la derecha con relleno sólido">
          <a:extLst>
            <a:ext uri="{FF2B5EF4-FFF2-40B4-BE49-F238E27FC236}">
              <a16:creationId xmlns:a16="http://schemas.microsoft.com/office/drawing/2014/main" id="{3754FE2B-1EAD-492F-A7A5-7FDE17029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92418" y="24847"/>
          <a:ext cx="600656" cy="673598"/>
        </a:xfrm>
        <a:prstGeom prst="rect">
          <a:avLst/>
        </a:prstGeom>
      </xdr:spPr>
    </xdr:pic>
    <xdr:clientData/>
  </xdr:twoCellAnchor>
  <xdr:twoCellAnchor editAs="oneCell">
    <xdr:from>
      <xdr:col>40</xdr:col>
      <xdr:colOff>287916</xdr:colOff>
      <xdr:row>0</xdr:row>
      <xdr:rowOff>0</xdr:rowOff>
    </xdr:from>
    <xdr:to>
      <xdr:col>42</xdr:col>
      <xdr:colOff>88341</xdr:colOff>
      <xdr:row>3</xdr:row>
      <xdr:rowOff>116571</xdr:rowOff>
    </xdr:to>
    <xdr:pic>
      <xdr:nvPicPr>
        <xdr:cNvPr id="80" name="Gráfico 79" descr="Hogar contorn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E070F9-A1B9-413B-ABEE-0853D460E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0910791" y="0"/>
          <a:ext cx="705302" cy="688071"/>
        </a:xfrm>
        <a:prstGeom prst="rect">
          <a:avLst/>
        </a:prstGeom>
      </xdr:spPr>
    </xdr:pic>
    <xdr:clientData/>
  </xdr:twoCellAnchor>
  <xdr:twoCellAnchor>
    <xdr:from>
      <xdr:col>7</xdr:col>
      <xdr:colOff>128009</xdr:colOff>
      <xdr:row>15</xdr:row>
      <xdr:rowOff>119056</xdr:rowOff>
    </xdr:from>
    <xdr:to>
      <xdr:col>23</xdr:col>
      <xdr:colOff>335017</xdr:colOff>
      <xdr:row>19</xdr:row>
      <xdr:rowOff>95245</xdr:rowOff>
    </xdr:to>
    <xdr:sp macro="" textlink="">
      <xdr:nvSpPr>
        <xdr:cNvPr id="84" name="Rectángulo: esquinas redondeadas 83">
          <a:extLst>
            <a:ext uri="{FF2B5EF4-FFF2-40B4-BE49-F238E27FC236}">
              <a16:creationId xmlns:a16="http://schemas.microsoft.com/office/drawing/2014/main" id="{647F0A92-90D5-4D1F-8ABE-6CC607C397DA}"/>
            </a:ext>
          </a:extLst>
        </xdr:cNvPr>
        <xdr:cNvSpPr/>
      </xdr:nvSpPr>
      <xdr:spPr>
        <a:xfrm>
          <a:off x="2900112" y="3830522"/>
          <a:ext cx="18403043" cy="1027223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PE" sz="4800" b="1">
              <a:solidFill>
                <a:schemeClr val="bg1">
                  <a:lumMod val="50000"/>
                </a:schemeClr>
              </a:solidFill>
            </a:rPr>
            <a:t>📊    📦  SECCIÓN 1: COSTOS</a:t>
          </a:r>
          <a:r>
            <a:rPr lang="es-PE" sz="4800" b="1" baseline="0">
              <a:solidFill>
                <a:schemeClr val="bg1">
                  <a:lumMod val="50000"/>
                </a:schemeClr>
              </a:solidFill>
            </a:rPr>
            <a:t> UNITARIOS POR PRODUCTOS</a:t>
          </a:r>
          <a:endParaRPr lang="es-PE" sz="48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306267</xdr:colOff>
      <xdr:row>56</xdr:row>
      <xdr:rowOff>136071</xdr:rowOff>
    </xdr:from>
    <xdr:to>
      <xdr:col>3</xdr:col>
      <xdr:colOff>166215</xdr:colOff>
      <xdr:row>70</xdr:row>
      <xdr:rowOff>551091</xdr:rowOff>
    </xdr:to>
    <xdr:sp macro="" textlink="">
      <xdr:nvSpPr>
        <xdr:cNvPr id="215" name="Rectángulo: esquinas redondeadas 2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276906F-B045-4223-AA33-BC1B30F595F4}"/>
            </a:ext>
          </a:extLst>
        </xdr:cNvPr>
        <xdr:cNvSpPr/>
      </xdr:nvSpPr>
      <xdr:spPr>
        <a:xfrm>
          <a:off x="564803" y="14042571"/>
          <a:ext cx="948519" cy="3463020"/>
        </a:xfrm>
        <a:prstGeom prst="roundRect">
          <a:avLst>
            <a:gd name="adj" fmla="val 0"/>
          </a:avLst>
        </a:prstGeom>
        <a:solidFill>
          <a:srgbClr val="ACBBC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800" b="1">
              <a:solidFill>
                <a:sysClr val="windowText" lastClr="000000"/>
              </a:solidFill>
            </a:rPr>
            <a:t>CRÉDITO</a:t>
          </a:r>
          <a:r>
            <a:rPr lang="es-PE" sz="2800" b="1" baseline="0">
              <a:solidFill>
                <a:sysClr val="windowText" lastClr="000000"/>
              </a:solidFill>
            </a:rPr>
            <a:t> FISCAL</a:t>
          </a:r>
          <a:endParaRPr lang="es-PE" sz="5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322447</xdr:colOff>
      <xdr:row>41</xdr:row>
      <xdr:rowOff>98333</xdr:rowOff>
    </xdr:from>
    <xdr:to>
      <xdr:col>3</xdr:col>
      <xdr:colOff>132810</xdr:colOff>
      <xdr:row>56</xdr:row>
      <xdr:rowOff>126915</xdr:rowOff>
    </xdr:to>
    <xdr:sp macro="" textlink="">
      <xdr:nvSpPr>
        <xdr:cNvPr id="212" name="Rectángulo: esquinas redondeadas 2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266496-8710-446B-9EA4-F729171469D7}"/>
            </a:ext>
          </a:extLst>
        </xdr:cNvPr>
        <xdr:cNvSpPr/>
      </xdr:nvSpPr>
      <xdr:spPr>
        <a:xfrm>
          <a:off x="584385" y="10861583"/>
          <a:ext cx="905738" cy="3028957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0">
              <a:solidFill>
                <a:schemeClr val="bg1"/>
              </a:solidFill>
            </a:rPr>
            <a:t>PRECIO DE VENTA</a:t>
          </a:r>
          <a:endParaRPr lang="es-PE" sz="48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322447</xdr:colOff>
      <xdr:row>15</xdr:row>
      <xdr:rowOff>90920</xdr:rowOff>
    </xdr:from>
    <xdr:to>
      <xdr:col>4</xdr:col>
      <xdr:colOff>17647</xdr:colOff>
      <xdr:row>28</xdr:row>
      <xdr:rowOff>171450</xdr:rowOff>
    </xdr:to>
    <xdr:sp macro="" textlink="">
      <xdr:nvSpPr>
        <xdr:cNvPr id="213" name="Rectángulo: esquinas redondeadas 2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EEE63A2-7A3B-439A-8962-DEAA1F0AD8D1}"/>
            </a:ext>
          </a:extLst>
        </xdr:cNvPr>
        <xdr:cNvSpPr/>
      </xdr:nvSpPr>
      <xdr:spPr>
        <a:xfrm>
          <a:off x="584385" y="3781858"/>
          <a:ext cx="981075" cy="3723842"/>
        </a:xfrm>
        <a:prstGeom prst="roundRect">
          <a:avLst>
            <a:gd name="adj" fmla="val 0"/>
          </a:avLst>
        </a:prstGeom>
        <a:solidFill>
          <a:srgbClr val="7BBDE8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1">
              <a:solidFill>
                <a:sysClr val="windowText" lastClr="000000"/>
              </a:solidFill>
            </a:rPr>
            <a:t>TRIBUTOS</a:t>
          </a:r>
          <a:r>
            <a:rPr lang="es-PE" sz="2400" b="1" baseline="0">
              <a:solidFill>
                <a:sysClr val="windowText" lastClr="000000"/>
              </a:solidFill>
            </a:rPr>
            <a:t> DE ADUANA</a:t>
          </a:r>
          <a:endParaRPr lang="es-PE" sz="4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322447</xdr:colOff>
      <xdr:row>28</xdr:row>
      <xdr:rowOff>152889</xdr:rowOff>
    </xdr:from>
    <xdr:to>
      <xdr:col>3</xdr:col>
      <xdr:colOff>172040</xdr:colOff>
      <xdr:row>41</xdr:row>
      <xdr:rowOff>80761</xdr:rowOff>
    </xdr:to>
    <xdr:sp macro="" textlink="">
      <xdr:nvSpPr>
        <xdr:cNvPr id="214" name="Rectángulo: esquinas redondeadas 2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DE7C92-3632-421F-A7B9-4813FC0377EE}"/>
            </a:ext>
          </a:extLst>
        </xdr:cNvPr>
        <xdr:cNvSpPr/>
      </xdr:nvSpPr>
      <xdr:spPr>
        <a:xfrm>
          <a:off x="584385" y="7487139"/>
          <a:ext cx="944968" cy="3356872"/>
        </a:xfrm>
        <a:prstGeom prst="roundRect">
          <a:avLst>
            <a:gd name="adj" fmla="val 0"/>
          </a:avLst>
        </a:prstGeom>
        <a:solidFill>
          <a:srgbClr val="001D39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chemeClr val="bg1"/>
              </a:solidFill>
            </a:rPr>
            <a:t>COSTO DEL PRODUCTO</a:t>
          </a:r>
        </a:p>
      </xdr:txBody>
    </xdr:sp>
    <xdr:clientData/>
  </xdr:twoCellAnchor>
  <xdr:twoCellAnchor>
    <xdr:from>
      <xdr:col>5</xdr:col>
      <xdr:colOff>714068</xdr:colOff>
      <xdr:row>13</xdr:row>
      <xdr:rowOff>340509</xdr:rowOff>
    </xdr:from>
    <xdr:to>
      <xdr:col>5</xdr:col>
      <xdr:colOff>714068</xdr:colOff>
      <xdr:row>13</xdr:row>
      <xdr:rowOff>340509</xdr:rowOff>
    </xdr:to>
    <xdr:cxnSp macro="">
      <xdr:nvCxnSpPr>
        <xdr:cNvPr id="216" name="Conector recto 215">
          <a:extLst>
            <a:ext uri="{FF2B5EF4-FFF2-40B4-BE49-F238E27FC236}">
              <a16:creationId xmlns:a16="http://schemas.microsoft.com/office/drawing/2014/main" id="{C0362EB4-3223-493E-A23D-A74802EADA61}"/>
            </a:ext>
          </a:extLst>
        </xdr:cNvPr>
        <xdr:cNvCxnSpPr>
          <a:cxnSpLocks/>
        </xdr:cNvCxnSpPr>
      </xdr:nvCxnSpPr>
      <xdr:spPr>
        <a:xfrm>
          <a:off x="2857193" y="2936072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142755</xdr:colOff>
      <xdr:row>61</xdr:row>
      <xdr:rowOff>0</xdr:rowOff>
    </xdr:from>
    <xdr:to>
      <xdr:col>5</xdr:col>
      <xdr:colOff>751126</xdr:colOff>
      <xdr:row>70</xdr:row>
      <xdr:rowOff>544287</xdr:rowOff>
    </xdr:to>
    <xdr:sp macro="" textlink="">
      <xdr:nvSpPr>
        <xdr:cNvPr id="217" name="Rectángulo: esquinas redondeadas 2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6CA5E41-3BDF-4494-AAC3-17CE8EA993EF}"/>
            </a:ext>
          </a:extLst>
        </xdr:cNvPr>
        <xdr:cNvSpPr/>
      </xdr:nvSpPr>
      <xdr:spPr>
        <a:xfrm>
          <a:off x="1489862" y="14940643"/>
          <a:ext cx="866907" cy="2558144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800" b="1">
              <a:solidFill>
                <a:sysClr val="windowText" lastClr="000000"/>
              </a:solidFill>
            </a:rPr>
            <a:t>KPI GENERAL</a:t>
          </a:r>
        </a:p>
      </xdr:txBody>
    </xdr:sp>
    <xdr:clientData/>
  </xdr:twoCellAnchor>
  <xdr:twoCellAnchor>
    <xdr:from>
      <xdr:col>3</xdr:col>
      <xdr:colOff>132352</xdr:colOff>
      <xdr:row>46</xdr:row>
      <xdr:rowOff>181842</xdr:rowOff>
    </xdr:from>
    <xdr:to>
      <xdr:col>5</xdr:col>
      <xdr:colOff>744323</xdr:colOff>
      <xdr:row>60</xdr:row>
      <xdr:rowOff>176893</xdr:rowOff>
    </xdr:to>
    <xdr:sp macro="" textlink="">
      <xdr:nvSpPr>
        <xdr:cNvPr id="219" name="Rectángulo: esquinas redondeadas 2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BE96D85-3EDC-48A8-832B-B9F564DB5033}"/>
            </a:ext>
          </a:extLst>
        </xdr:cNvPr>
        <xdr:cNvSpPr/>
      </xdr:nvSpPr>
      <xdr:spPr>
        <a:xfrm>
          <a:off x="1479459" y="12020056"/>
          <a:ext cx="870507" cy="2906980"/>
        </a:xfrm>
        <a:prstGeom prst="roundRect">
          <a:avLst>
            <a:gd name="adj" fmla="val 0"/>
          </a:avLst>
        </a:prstGeom>
        <a:solidFill>
          <a:srgbClr val="6EA2B3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GASTOS DE IMPORTACIÓN</a:t>
          </a:r>
        </a:p>
      </xdr:txBody>
    </xdr:sp>
    <xdr:clientData/>
  </xdr:twoCellAnchor>
  <xdr:twoCellAnchor>
    <xdr:from>
      <xdr:col>3</xdr:col>
      <xdr:colOff>127415</xdr:colOff>
      <xdr:row>39</xdr:row>
      <xdr:rowOff>71871</xdr:rowOff>
    </xdr:from>
    <xdr:to>
      <xdr:col>5</xdr:col>
      <xdr:colOff>735786</xdr:colOff>
      <xdr:row>47</xdr:row>
      <xdr:rowOff>55380</xdr:rowOff>
    </xdr:to>
    <xdr:sp macro="" textlink="">
      <xdr:nvSpPr>
        <xdr:cNvPr id="218" name="Rectángulo: esquinas redondeadas 2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0C2FE40-0852-412B-B8E1-375F5DC6DAEE}"/>
            </a:ext>
          </a:extLst>
        </xdr:cNvPr>
        <xdr:cNvSpPr/>
      </xdr:nvSpPr>
      <xdr:spPr>
        <a:xfrm>
          <a:off x="1484728" y="10358871"/>
          <a:ext cx="894121" cy="1602759"/>
        </a:xfrm>
        <a:prstGeom prst="roundRect">
          <a:avLst>
            <a:gd name="adj" fmla="val 0"/>
          </a:avLst>
        </a:prstGeom>
        <a:solidFill>
          <a:srgbClr val="4E8EA2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1">
              <a:solidFill>
                <a:sysClr val="windowText" lastClr="000000"/>
              </a:solidFill>
            </a:rPr>
            <a:t>FACTURA</a:t>
          </a:r>
          <a:r>
            <a:rPr lang="es-PE" sz="1800" b="1" baseline="0">
              <a:solidFill>
                <a:sysClr val="windowText" lastClr="000000"/>
              </a:solidFill>
            </a:rPr>
            <a:t> COMECIAL </a:t>
          </a:r>
          <a:endParaRPr lang="es-PE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116108</xdr:colOff>
      <xdr:row>30</xdr:row>
      <xdr:rowOff>146516</xdr:rowOff>
    </xdr:from>
    <xdr:to>
      <xdr:col>5</xdr:col>
      <xdr:colOff>733138</xdr:colOff>
      <xdr:row>39</xdr:row>
      <xdr:rowOff>50013</xdr:rowOff>
    </xdr:to>
    <xdr:sp macro="" textlink="">
      <xdr:nvSpPr>
        <xdr:cNvPr id="220" name="Rectángulo: esquinas redondeadas 21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B3F5693-EE3D-425F-A0C0-85F4079DF29A}"/>
            </a:ext>
          </a:extLst>
        </xdr:cNvPr>
        <xdr:cNvSpPr/>
      </xdr:nvSpPr>
      <xdr:spPr>
        <a:xfrm>
          <a:off x="1473421" y="8004641"/>
          <a:ext cx="902780" cy="2332372"/>
        </a:xfrm>
        <a:prstGeom prst="roundRect">
          <a:avLst>
            <a:gd name="adj" fmla="val 0"/>
          </a:avLst>
        </a:prstGeom>
        <a:solidFill>
          <a:srgbClr val="49769F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2400" b="1">
              <a:solidFill>
                <a:sysClr val="windowText" lastClr="000000"/>
              </a:solidFill>
            </a:rPr>
            <a:t>DATOS</a:t>
          </a:r>
        </a:p>
      </xdr:txBody>
    </xdr:sp>
    <xdr:clientData/>
  </xdr:twoCellAnchor>
  <xdr:twoCellAnchor>
    <xdr:from>
      <xdr:col>3</xdr:col>
      <xdr:colOff>110708</xdr:colOff>
      <xdr:row>21</xdr:row>
      <xdr:rowOff>172088</xdr:rowOff>
    </xdr:from>
    <xdr:to>
      <xdr:col>5</xdr:col>
      <xdr:colOff>728604</xdr:colOff>
      <xdr:row>30</xdr:row>
      <xdr:rowOff>133350</xdr:rowOff>
    </xdr:to>
    <xdr:sp macro="" textlink="">
      <xdr:nvSpPr>
        <xdr:cNvPr id="221" name="Rectángulo: esquinas redondeadas 22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7070223-BDE7-4BB9-8787-EF86D3AB0BE4}"/>
            </a:ext>
          </a:extLst>
        </xdr:cNvPr>
        <xdr:cNvSpPr/>
      </xdr:nvSpPr>
      <xdr:spPr>
        <a:xfrm>
          <a:off x="1468021" y="5672776"/>
          <a:ext cx="903646" cy="2318699"/>
        </a:xfrm>
        <a:prstGeom prst="roundRect">
          <a:avLst>
            <a:gd name="adj" fmla="val 0"/>
          </a:avLst>
        </a:prstGeom>
        <a:solidFill>
          <a:srgbClr val="0A4174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s-PE" sz="1800" b="0"/>
            <a:t>INTRODUCCIÓN</a:t>
          </a:r>
        </a:p>
        <a:p>
          <a:pPr algn="ctr"/>
          <a:endParaRPr lang="es-PE" sz="4400" b="1"/>
        </a:p>
      </xdr:txBody>
    </xdr:sp>
    <xdr:clientData/>
  </xdr:twoCellAnchor>
  <xdr:twoCellAnchor>
    <xdr:from>
      <xdr:col>3</xdr:col>
      <xdr:colOff>112897</xdr:colOff>
      <xdr:row>15</xdr:row>
      <xdr:rowOff>86591</xdr:rowOff>
    </xdr:from>
    <xdr:to>
      <xdr:col>5</xdr:col>
      <xdr:colOff>725793</xdr:colOff>
      <xdr:row>21</xdr:row>
      <xdr:rowOff>190500</xdr:rowOff>
    </xdr:to>
    <xdr:sp macro="" textlink="">
      <xdr:nvSpPr>
        <xdr:cNvPr id="222" name="Rectángulo: esquinas redondeadas 22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63C78A-A1A6-49BB-A402-916B3AC1545F}"/>
            </a:ext>
          </a:extLst>
        </xdr:cNvPr>
        <xdr:cNvSpPr/>
      </xdr:nvSpPr>
      <xdr:spPr>
        <a:xfrm>
          <a:off x="1470210" y="3777529"/>
          <a:ext cx="898646" cy="1913659"/>
        </a:xfrm>
        <a:prstGeom prst="roundRect">
          <a:avLst>
            <a:gd name="adj" fmla="val 0"/>
          </a:avLst>
        </a:prstGeom>
        <a:solidFill>
          <a:srgbClr val="002060"/>
        </a:solidFill>
        <a:ln w="9525">
          <a:solidFill>
            <a:schemeClr val="tx1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1"/>
        <a:lstStyle/>
        <a:p>
          <a:pPr algn="ctr"/>
          <a:r>
            <a:rPr lang="es-PE" sz="2400" b="0">
              <a:effectLst>
                <a:outerShdw blurRad="50800" dist="50800" dir="5400000" sx="6000" sy="6000" algn="ctr" rotWithShape="0">
                  <a:srgbClr val="000000">
                    <a:alpha val="43137"/>
                  </a:srgbClr>
                </a:outerShdw>
              </a:effectLst>
            </a:rPr>
            <a:t>INICIO</a:t>
          </a:r>
        </a:p>
        <a:p>
          <a:pPr algn="ctr"/>
          <a:endParaRPr lang="es-PE" sz="2400" b="0"/>
        </a:p>
      </xdr:txBody>
    </xdr:sp>
    <xdr:clientData/>
  </xdr:twoCellAnchor>
  <xdr:twoCellAnchor>
    <xdr:from>
      <xdr:col>27</xdr:col>
      <xdr:colOff>652465</xdr:colOff>
      <xdr:row>40</xdr:row>
      <xdr:rowOff>57150</xdr:rowOff>
    </xdr:from>
    <xdr:to>
      <xdr:col>31</xdr:col>
      <xdr:colOff>781052</xdr:colOff>
      <xdr:row>58</xdr:row>
      <xdr:rowOff>138112</xdr:rowOff>
    </xdr:to>
    <xdr:sp macro="" textlink="$AF$35">
      <xdr:nvSpPr>
        <xdr:cNvPr id="31" name="Diagrama de flujo: disco magnético 30">
          <a:extLst>
            <a:ext uri="{FF2B5EF4-FFF2-40B4-BE49-F238E27FC236}">
              <a16:creationId xmlns:a16="http://schemas.microsoft.com/office/drawing/2014/main" id="{C1EDDA03-178F-BDF2-2719-4168687C3644}"/>
            </a:ext>
          </a:extLst>
        </xdr:cNvPr>
        <xdr:cNvSpPr/>
      </xdr:nvSpPr>
      <xdr:spPr>
        <a:xfrm>
          <a:off x="27036715" y="10677525"/>
          <a:ext cx="3748087" cy="3795712"/>
        </a:xfrm>
        <a:prstGeom prst="flowChartMagneticDisk">
          <a:avLst/>
        </a:prstGeom>
        <a:solidFill>
          <a:schemeClr val="bg2"/>
        </a:solidFill>
        <a:ln>
          <a:solidFill>
            <a:schemeClr val="tx1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BB016FD-64B6-413D-80C0-506125553FB7}" type="TxLink">
            <a:rPr lang="en-US" sz="4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S/ 542.73</a:t>
          </a:fld>
          <a:endParaRPr lang="es-PE" sz="3070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27</xdr:col>
      <xdr:colOff>567378</xdr:colOff>
      <xdr:row>35</xdr:row>
      <xdr:rowOff>214313</xdr:rowOff>
    </xdr:from>
    <xdr:to>
      <xdr:col>31</xdr:col>
      <xdr:colOff>852488</xdr:colOff>
      <xdr:row>39</xdr:row>
      <xdr:rowOff>177353</xdr:rowOff>
    </xdr:to>
    <xdr:sp macro="" textlink="'🏦Detallado por Producto'!N20">
      <xdr:nvSpPr>
        <xdr:cNvPr id="35" name="Rectángulo 34">
          <a:extLst>
            <a:ext uri="{FF2B5EF4-FFF2-40B4-BE49-F238E27FC236}">
              <a16:creationId xmlns:a16="http://schemas.microsoft.com/office/drawing/2014/main" id="{4917C1E2-5CAC-4A0B-BC71-26A286D6D296}"/>
            </a:ext>
          </a:extLst>
        </xdr:cNvPr>
        <xdr:cNvSpPr/>
      </xdr:nvSpPr>
      <xdr:spPr>
        <a:xfrm>
          <a:off x="26951628" y="9691688"/>
          <a:ext cx="3904610" cy="820290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rgbClr val="BDD8E9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ysClr val="windowText" lastClr="000000"/>
              </a:solidFill>
            </a:rPr>
            <a:t>CRÉDITO</a:t>
          </a:r>
          <a:r>
            <a:rPr lang="es-PE" sz="3200" b="1" baseline="0">
              <a:solidFill>
                <a:sysClr val="windowText" lastClr="000000"/>
              </a:solidFill>
            </a:rPr>
            <a:t> FISCAL</a:t>
          </a:r>
          <a:endParaRPr lang="es-PE" sz="3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93087</xdr:colOff>
      <xdr:row>19</xdr:row>
      <xdr:rowOff>380987</xdr:rowOff>
    </xdr:from>
    <xdr:to>
      <xdr:col>9</xdr:col>
      <xdr:colOff>190502</xdr:colOff>
      <xdr:row>31</xdr:row>
      <xdr:rowOff>212144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743DD7D3-BCF6-8F94-FF58-FCE094160246}"/>
            </a:ext>
          </a:extLst>
        </xdr:cNvPr>
        <xdr:cNvSpPr/>
      </xdr:nvSpPr>
      <xdr:spPr>
        <a:xfrm>
          <a:off x="2863996" y="5108851"/>
          <a:ext cx="3128097" cy="3173566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Cantidad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(Unit.)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Unidades</a:t>
          </a:r>
        </a:p>
      </xdr:txBody>
    </xdr:sp>
    <xdr:clientData/>
  </xdr:twoCellAnchor>
  <xdr:twoCellAnchor>
    <xdr:from>
      <xdr:col>7</xdr:col>
      <xdr:colOff>85398</xdr:colOff>
      <xdr:row>23</xdr:row>
      <xdr:rowOff>20399</xdr:rowOff>
    </xdr:from>
    <xdr:to>
      <xdr:col>9</xdr:col>
      <xdr:colOff>183932</xdr:colOff>
      <xdr:row>28</xdr:row>
      <xdr:rowOff>20399</xdr:rowOff>
    </xdr:to>
    <xdr:sp macro="" textlink="$H$22">
      <xdr:nvSpPr>
        <xdr:cNvPr id="30" name="Rectángulo 29">
          <a:extLst>
            <a:ext uri="{FF2B5EF4-FFF2-40B4-BE49-F238E27FC236}">
              <a16:creationId xmlns:a16="http://schemas.microsoft.com/office/drawing/2014/main" id="{161E1A4A-A14D-4AB0-A216-12E86A7C7552}"/>
            </a:ext>
          </a:extLst>
        </xdr:cNvPr>
        <xdr:cNvSpPr/>
      </xdr:nvSpPr>
      <xdr:spPr>
        <a:xfrm>
          <a:off x="2856307" y="6289581"/>
          <a:ext cx="3129216" cy="1073727"/>
        </a:xfrm>
        <a:prstGeom prst="rect">
          <a:avLst/>
        </a:prstGeom>
        <a:solidFill>
          <a:srgbClr val="6EA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4875CD97-5B13-4ED3-A94E-5A3C9F5B1F1B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cs typeface="Biome Light" panose="020B0502040204020203" pitchFamily="34" charset="0"/>
            </a:rPr>
            <a:pPr algn="l"/>
            <a:t> 480 </a:t>
          </a:fld>
          <a:endParaRPr lang="es-PE" sz="4800" b="1" i="0">
            <a:solidFill>
              <a:schemeClr val="bg1"/>
            </a:solidFill>
            <a:latin typeface="Biome Light" panose="020B0502040204020203" pitchFamily="34" charset="0"/>
            <a:cs typeface="Biome Light" panose="020B0502040204020203" pitchFamily="34" charset="0"/>
          </a:endParaRPr>
        </a:p>
      </xdr:txBody>
    </xdr:sp>
    <xdr:clientData/>
  </xdr:twoCellAnchor>
  <xdr:twoCellAnchor>
    <xdr:from>
      <xdr:col>9</xdr:col>
      <xdr:colOff>231322</xdr:colOff>
      <xdr:row>19</xdr:row>
      <xdr:rowOff>380306</xdr:rowOff>
    </xdr:from>
    <xdr:to>
      <xdr:col>12</xdr:col>
      <xdr:colOff>336100</xdr:colOff>
      <xdr:row>31</xdr:row>
      <xdr:rowOff>210219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16D53C59-1700-496F-A59B-C7215CFEC7EE}"/>
            </a:ext>
          </a:extLst>
        </xdr:cNvPr>
        <xdr:cNvSpPr/>
      </xdr:nvSpPr>
      <xdr:spPr>
        <a:xfrm>
          <a:off x="6032913" y="5108170"/>
          <a:ext cx="3308642" cy="317232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FOB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unitario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USD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Según Factura 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241358</xdr:colOff>
      <xdr:row>23</xdr:row>
      <xdr:rowOff>2711</xdr:rowOff>
    </xdr:from>
    <xdr:to>
      <xdr:col>12</xdr:col>
      <xdr:colOff>333377</xdr:colOff>
      <xdr:row>28</xdr:row>
      <xdr:rowOff>6792</xdr:rowOff>
    </xdr:to>
    <xdr:sp macro="" textlink="$K$22">
      <xdr:nvSpPr>
        <xdr:cNvPr id="36" name="Rectángulo 35">
          <a:extLst>
            <a:ext uri="{FF2B5EF4-FFF2-40B4-BE49-F238E27FC236}">
              <a16:creationId xmlns:a16="http://schemas.microsoft.com/office/drawing/2014/main" id="{FAE39677-4AE4-4872-9893-3AFD826356DB}"/>
            </a:ext>
          </a:extLst>
        </xdr:cNvPr>
        <xdr:cNvSpPr/>
      </xdr:nvSpPr>
      <xdr:spPr>
        <a:xfrm>
          <a:off x="6042949" y="6271893"/>
          <a:ext cx="3295883" cy="1077808"/>
        </a:xfrm>
        <a:prstGeom prst="rect">
          <a:avLst/>
        </a:prstGeom>
        <a:solidFill>
          <a:srgbClr val="6EA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A0752627-9356-41E5-9509-774F3B214720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$1.21</a:t>
          </a:fld>
          <a:endParaRPr lang="es-PE" sz="40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12</xdr:col>
      <xdr:colOff>381002</xdr:colOff>
      <xdr:row>19</xdr:row>
      <xdr:rowOff>371822</xdr:rowOff>
    </xdr:from>
    <xdr:to>
      <xdr:col>15</xdr:col>
      <xdr:colOff>70081</xdr:colOff>
      <xdr:row>31</xdr:row>
      <xdr:rowOff>201735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DDAEA066-CA02-4C1F-BAE0-ED0306C3C30B}"/>
            </a:ext>
          </a:extLst>
        </xdr:cNvPr>
        <xdr:cNvSpPr/>
      </xdr:nvSpPr>
      <xdr:spPr>
        <a:xfrm>
          <a:off x="9386457" y="5099686"/>
          <a:ext cx="3516397" cy="317232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FOB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unitario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Según T/C</a:t>
          </a:r>
        </a:p>
        <a:p>
          <a:pPr algn="l"/>
          <a:endParaRPr lang="es-PE" sz="20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12</xdr:col>
      <xdr:colOff>381813</xdr:colOff>
      <xdr:row>22</xdr:row>
      <xdr:rowOff>386113</xdr:rowOff>
    </xdr:from>
    <xdr:to>
      <xdr:col>15</xdr:col>
      <xdr:colOff>71440</xdr:colOff>
      <xdr:row>27</xdr:row>
      <xdr:rowOff>90836</xdr:rowOff>
    </xdr:to>
    <xdr:sp macro="" textlink="$N$22">
      <xdr:nvSpPr>
        <xdr:cNvPr id="38" name="Rectángulo 37">
          <a:extLst>
            <a:ext uri="{FF2B5EF4-FFF2-40B4-BE49-F238E27FC236}">
              <a16:creationId xmlns:a16="http://schemas.microsoft.com/office/drawing/2014/main" id="{719B7140-D502-4306-B40A-362309402597}"/>
            </a:ext>
          </a:extLst>
        </xdr:cNvPr>
        <xdr:cNvSpPr/>
      </xdr:nvSpPr>
      <xdr:spPr>
        <a:xfrm>
          <a:off x="9387268" y="6256977"/>
          <a:ext cx="3516945" cy="1072859"/>
        </a:xfrm>
        <a:prstGeom prst="rect">
          <a:avLst/>
        </a:prstGeom>
        <a:solidFill>
          <a:srgbClr val="6EA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DCA249AE-813F-4D6A-8C58-5EAD903C2389}" type="TxLink">
            <a:rPr lang="en-US" sz="32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4.50</a:t>
          </a:fld>
          <a:endParaRPr lang="es-PE" sz="32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15</xdr:col>
      <xdr:colOff>123267</xdr:colOff>
      <xdr:row>20</xdr:row>
      <xdr:rowOff>4749</xdr:rowOff>
    </xdr:from>
    <xdr:to>
      <xdr:col>18</xdr:col>
      <xdr:colOff>168054</xdr:colOff>
      <xdr:row>31</xdr:row>
      <xdr:rowOff>215662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E06E5BC0-C7F1-479C-A86A-CB87BDBFA9A3}"/>
            </a:ext>
          </a:extLst>
        </xdr:cNvPr>
        <xdr:cNvSpPr/>
      </xdr:nvSpPr>
      <xdr:spPr>
        <a:xfrm>
          <a:off x="12956040" y="5113613"/>
          <a:ext cx="3023514" cy="317232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FOB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Total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(USD)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Según Factura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123202</xdr:colOff>
      <xdr:row>23</xdr:row>
      <xdr:rowOff>1722</xdr:rowOff>
    </xdr:from>
    <xdr:to>
      <xdr:col>18</xdr:col>
      <xdr:colOff>170794</xdr:colOff>
      <xdr:row>28</xdr:row>
      <xdr:rowOff>9513</xdr:rowOff>
    </xdr:to>
    <xdr:sp macro="" textlink="$T$23">
      <xdr:nvSpPr>
        <xdr:cNvPr id="40" name="Rectángulo 39">
          <a:extLst>
            <a:ext uri="{FF2B5EF4-FFF2-40B4-BE49-F238E27FC236}">
              <a16:creationId xmlns:a16="http://schemas.microsoft.com/office/drawing/2014/main" id="{FA7E42C7-94BC-48B0-A44D-783A43ADBFB9}"/>
            </a:ext>
          </a:extLst>
        </xdr:cNvPr>
        <xdr:cNvSpPr/>
      </xdr:nvSpPr>
      <xdr:spPr>
        <a:xfrm>
          <a:off x="12955975" y="6270904"/>
          <a:ext cx="3026319" cy="1081518"/>
        </a:xfrm>
        <a:prstGeom prst="rect">
          <a:avLst/>
        </a:prstGeom>
        <a:solidFill>
          <a:srgbClr val="6EA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697A3D0-307A-48D6-B9A7-67738550E831}" type="TxLink">
            <a:rPr lang="en-US" sz="32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ctr"/>
            <a:t>$580.80</a:t>
          </a:fld>
          <a:endParaRPr lang="es-PE" sz="32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18</xdr:col>
      <xdr:colOff>223345</xdr:colOff>
      <xdr:row>20</xdr:row>
      <xdr:rowOff>7470</xdr:rowOff>
    </xdr:from>
    <xdr:to>
      <xdr:col>20</xdr:col>
      <xdr:colOff>116345</xdr:colOff>
      <xdr:row>31</xdr:row>
      <xdr:rowOff>218383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1F5FF597-5F32-4607-A73C-5EC3FAF644A9}"/>
            </a:ext>
          </a:extLst>
        </xdr:cNvPr>
        <xdr:cNvSpPr/>
      </xdr:nvSpPr>
      <xdr:spPr>
        <a:xfrm>
          <a:off x="16034845" y="5116334"/>
          <a:ext cx="3218091" cy="317232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FOB Total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Según Factura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18</xdr:col>
      <xdr:colOff>223345</xdr:colOff>
      <xdr:row>23</xdr:row>
      <xdr:rowOff>275</xdr:rowOff>
    </xdr:from>
    <xdr:to>
      <xdr:col>20</xdr:col>
      <xdr:colOff>111673</xdr:colOff>
      <xdr:row>28</xdr:row>
      <xdr:rowOff>2126</xdr:rowOff>
    </xdr:to>
    <xdr:sp macro="" textlink="$T$22">
      <xdr:nvSpPr>
        <xdr:cNvPr id="43" name="Rectángulo 42">
          <a:extLst>
            <a:ext uri="{FF2B5EF4-FFF2-40B4-BE49-F238E27FC236}">
              <a16:creationId xmlns:a16="http://schemas.microsoft.com/office/drawing/2014/main" id="{1F44944D-02A7-4CC9-A525-96988F5B3BD3}"/>
            </a:ext>
          </a:extLst>
        </xdr:cNvPr>
        <xdr:cNvSpPr/>
      </xdr:nvSpPr>
      <xdr:spPr>
        <a:xfrm>
          <a:off x="16034845" y="6269457"/>
          <a:ext cx="3213419" cy="1075578"/>
        </a:xfrm>
        <a:prstGeom prst="rect">
          <a:avLst/>
        </a:prstGeom>
        <a:solidFill>
          <a:srgbClr val="6EA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E2B7764-9D10-4E0F-B010-4F0733CD531F}" type="TxLink">
            <a:rPr lang="en-US" sz="32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ctr"/>
            <a:t>S/ 2,160.58</a:t>
          </a:fld>
          <a:endParaRPr lang="es-PE" sz="32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20</xdr:col>
      <xdr:colOff>170795</xdr:colOff>
      <xdr:row>20</xdr:row>
      <xdr:rowOff>3623</xdr:rowOff>
    </xdr:from>
    <xdr:to>
      <xdr:col>23</xdr:col>
      <xdr:colOff>367396</xdr:colOff>
      <xdr:row>31</xdr:row>
      <xdr:rowOff>214536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A836516D-B11A-4096-A4E9-D3483EC82F1E}"/>
            </a:ext>
          </a:extLst>
        </xdr:cNvPr>
        <xdr:cNvSpPr/>
      </xdr:nvSpPr>
      <xdr:spPr>
        <a:xfrm>
          <a:off x="19307386" y="5112487"/>
          <a:ext cx="3123374" cy="317232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Participación</a:t>
          </a:r>
          <a:r>
            <a:rPr lang="es-PE" sz="32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</a:t>
          </a:r>
        </a:p>
        <a:p>
          <a:pPr algn="l"/>
          <a:r>
            <a:rPr lang="es-PE" sz="32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FOB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(%)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Participación %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20</xdr:col>
      <xdr:colOff>177413</xdr:colOff>
      <xdr:row>22</xdr:row>
      <xdr:rowOff>395844</xdr:rowOff>
    </xdr:from>
    <xdr:to>
      <xdr:col>23</xdr:col>
      <xdr:colOff>367863</xdr:colOff>
      <xdr:row>28</xdr:row>
      <xdr:rowOff>5317</xdr:rowOff>
    </xdr:to>
    <xdr:sp macro="" textlink="$X$21">
      <xdr:nvSpPr>
        <xdr:cNvPr id="45" name="Rectángulo 44">
          <a:extLst>
            <a:ext uri="{FF2B5EF4-FFF2-40B4-BE49-F238E27FC236}">
              <a16:creationId xmlns:a16="http://schemas.microsoft.com/office/drawing/2014/main" id="{8E635A81-90F6-4EF2-A194-438D2282467C}"/>
            </a:ext>
          </a:extLst>
        </xdr:cNvPr>
        <xdr:cNvSpPr/>
      </xdr:nvSpPr>
      <xdr:spPr>
        <a:xfrm>
          <a:off x="19314004" y="6266708"/>
          <a:ext cx="3117223" cy="1081518"/>
        </a:xfrm>
        <a:prstGeom prst="rect">
          <a:avLst/>
        </a:prstGeom>
        <a:solidFill>
          <a:srgbClr val="6EA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1701AA3-A9FC-4B73-B9D2-E8960F3C3980}" type="TxLink">
            <a:rPr lang="en-US" sz="44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ctr"/>
            <a:t>1.3%</a:t>
          </a:fld>
          <a:endParaRPr lang="es-PE" sz="44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7</xdr:col>
      <xdr:colOff>138895</xdr:colOff>
      <xdr:row>32</xdr:row>
      <xdr:rowOff>215662</xdr:rowOff>
    </xdr:from>
    <xdr:to>
      <xdr:col>23</xdr:col>
      <xdr:colOff>300038</xdr:colOff>
      <xdr:row>35</xdr:row>
      <xdr:rowOff>155791</xdr:rowOff>
    </xdr:to>
    <xdr:sp macro="" textlink="">
      <xdr:nvSpPr>
        <xdr:cNvPr id="46" name="Rectángulo: esquinas redondeadas 45">
          <a:extLst>
            <a:ext uri="{FF2B5EF4-FFF2-40B4-BE49-F238E27FC236}">
              <a16:creationId xmlns:a16="http://schemas.microsoft.com/office/drawing/2014/main" id="{73DC7932-67EF-42CB-9B82-40FC440F16E6}"/>
            </a:ext>
          </a:extLst>
        </xdr:cNvPr>
        <xdr:cNvSpPr/>
      </xdr:nvSpPr>
      <xdr:spPr>
        <a:xfrm>
          <a:off x="2924958" y="8597662"/>
          <a:ext cx="18401518" cy="1011692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PE" sz="4400" b="1">
              <a:solidFill>
                <a:schemeClr val="bg1">
                  <a:lumMod val="50000"/>
                </a:schemeClr>
              </a:solidFill>
            </a:rPr>
            <a:t>📊    📦  SECCIÓN 2: TRIBUTOS POR PRODUCTO UNITARIO Y TOTAL</a:t>
          </a:r>
        </a:p>
      </xdr:txBody>
    </xdr:sp>
    <xdr:clientData/>
  </xdr:twoCellAnchor>
  <xdr:twoCellAnchor>
    <xdr:from>
      <xdr:col>7</xdr:col>
      <xdr:colOff>59195</xdr:colOff>
      <xdr:row>36</xdr:row>
      <xdr:rowOff>180210</xdr:rowOff>
    </xdr:from>
    <xdr:to>
      <xdr:col>9</xdr:col>
      <xdr:colOff>740972</xdr:colOff>
      <xdr:row>51</xdr:row>
      <xdr:rowOff>81560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1494BF52-F3EE-45BA-9DB6-F424B4D98E8D}"/>
            </a:ext>
          </a:extLst>
        </xdr:cNvPr>
        <xdr:cNvSpPr/>
      </xdr:nvSpPr>
      <xdr:spPr>
        <a:xfrm>
          <a:off x="2830104" y="9895710"/>
          <a:ext cx="3712459" cy="293203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ADV Unitario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Costo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7</xdr:col>
      <xdr:colOff>71560</xdr:colOff>
      <xdr:row>41</xdr:row>
      <xdr:rowOff>184301</xdr:rowOff>
    </xdr:from>
    <xdr:to>
      <xdr:col>9</xdr:col>
      <xdr:colOff>740969</xdr:colOff>
      <xdr:row>46</xdr:row>
      <xdr:rowOff>173415</xdr:rowOff>
    </xdr:to>
    <xdr:sp macro="" textlink="$I$62">
      <xdr:nvSpPr>
        <xdr:cNvPr id="48" name="Rectángulo 47">
          <a:extLst>
            <a:ext uri="{FF2B5EF4-FFF2-40B4-BE49-F238E27FC236}">
              <a16:creationId xmlns:a16="http://schemas.microsoft.com/office/drawing/2014/main" id="{170DF4D7-E7D8-41A5-84F2-50E66625E75F}"/>
            </a:ext>
          </a:extLst>
        </xdr:cNvPr>
        <xdr:cNvSpPr/>
      </xdr:nvSpPr>
      <xdr:spPr>
        <a:xfrm>
          <a:off x="2842469" y="10956210"/>
          <a:ext cx="3700091" cy="941614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F5471849-2AC8-47A4-ACEA-6BEAA4460977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 S/ 0.28 </a:t>
          </a:fld>
          <a:endParaRPr lang="es-PE" sz="40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9</xdr:col>
      <xdr:colOff>766638</xdr:colOff>
      <xdr:row>36</xdr:row>
      <xdr:rowOff>176808</xdr:rowOff>
    </xdr:from>
    <xdr:to>
      <xdr:col>12</xdr:col>
      <xdr:colOff>1134962</xdr:colOff>
      <xdr:row>51</xdr:row>
      <xdr:rowOff>78158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6B5CDB99-AFE4-43C7-8AC7-B1BD202C0DC3}"/>
            </a:ext>
          </a:extLst>
        </xdr:cNvPr>
        <xdr:cNvSpPr/>
      </xdr:nvSpPr>
      <xdr:spPr>
        <a:xfrm>
          <a:off x="6568229" y="9892308"/>
          <a:ext cx="3572188" cy="293203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IMP Unitario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CF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769746</xdr:colOff>
      <xdr:row>41</xdr:row>
      <xdr:rowOff>180899</xdr:rowOff>
    </xdr:from>
    <xdr:to>
      <xdr:col>12</xdr:col>
      <xdr:colOff>1134959</xdr:colOff>
      <xdr:row>46</xdr:row>
      <xdr:rowOff>170013</xdr:rowOff>
    </xdr:to>
    <xdr:sp macro="" textlink="$M$62">
      <xdr:nvSpPr>
        <xdr:cNvPr id="52" name="Rectángulo 51">
          <a:extLst>
            <a:ext uri="{FF2B5EF4-FFF2-40B4-BE49-F238E27FC236}">
              <a16:creationId xmlns:a16="http://schemas.microsoft.com/office/drawing/2014/main" id="{5B5D26C8-C939-4D33-8C9F-B5CDA8BA7707}"/>
            </a:ext>
          </a:extLst>
        </xdr:cNvPr>
        <xdr:cNvSpPr/>
      </xdr:nvSpPr>
      <xdr:spPr>
        <a:xfrm>
          <a:off x="6571337" y="10952808"/>
          <a:ext cx="3569077" cy="94161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2FE6B7A9-518C-4400-BFCA-01FC225D86BF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 S/ 0.10 </a:t>
          </a:fld>
          <a:endParaRPr lang="es-PE" sz="40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12</xdr:col>
      <xdr:colOff>1191862</xdr:colOff>
      <xdr:row>36</xdr:row>
      <xdr:rowOff>162520</xdr:rowOff>
    </xdr:from>
    <xdr:to>
      <xdr:col>16</xdr:col>
      <xdr:colOff>439637</xdr:colOff>
      <xdr:row>51</xdr:row>
      <xdr:rowOff>63870</xdr:rowOff>
    </xdr:to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871AE924-C20D-4080-94A4-F00F8AA1AD9B}"/>
            </a:ext>
          </a:extLst>
        </xdr:cNvPr>
        <xdr:cNvSpPr/>
      </xdr:nvSpPr>
      <xdr:spPr>
        <a:xfrm>
          <a:off x="10197317" y="9878020"/>
          <a:ext cx="3767820" cy="293203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IGV Unitario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CF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12</xdr:col>
      <xdr:colOff>1204369</xdr:colOff>
      <xdr:row>41</xdr:row>
      <xdr:rowOff>166611</xdr:rowOff>
    </xdr:from>
    <xdr:to>
      <xdr:col>16</xdr:col>
      <xdr:colOff>439635</xdr:colOff>
      <xdr:row>46</xdr:row>
      <xdr:rowOff>155725</xdr:rowOff>
    </xdr:to>
    <xdr:sp macro="" textlink="$Q$62">
      <xdr:nvSpPr>
        <xdr:cNvPr id="56" name="Rectángulo 55">
          <a:extLst>
            <a:ext uri="{FF2B5EF4-FFF2-40B4-BE49-F238E27FC236}">
              <a16:creationId xmlns:a16="http://schemas.microsoft.com/office/drawing/2014/main" id="{0CE8CD94-B7CA-4642-B5E7-D4D4E324F052}"/>
            </a:ext>
          </a:extLst>
        </xdr:cNvPr>
        <xdr:cNvSpPr/>
      </xdr:nvSpPr>
      <xdr:spPr>
        <a:xfrm>
          <a:off x="10209824" y="10938520"/>
          <a:ext cx="3755311" cy="941614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D7CA7D79-E44A-438A-8D94-908EC557B371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 S/ 0.80 </a:t>
          </a:fld>
          <a:endParaRPr lang="es-PE" sz="40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16</xdr:col>
      <xdr:colOff>489652</xdr:colOff>
      <xdr:row>36</xdr:row>
      <xdr:rowOff>148233</xdr:rowOff>
    </xdr:from>
    <xdr:to>
      <xdr:col>19</xdr:col>
      <xdr:colOff>863499</xdr:colOff>
      <xdr:row>51</xdr:row>
      <xdr:rowOff>49583</xdr:rowOff>
    </xdr:to>
    <xdr:sp macro="" textlink="">
      <xdr:nvSpPr>
        <xdr:cNvPr id="59" name="Rectángulo 58">
          <a:extLst>
            <a:ext uri="{FF2B5EF4-FFF2-40B4-BE49-F238E27FC236}">
              <a16:creationId xmlns:a16="http://schemas.microsoft.com/office/drawing/2014/main" id="{177BE783-B199-4152-A3AA-93129AF758C2}"/>
            </a:ext>
          </a:extLst>
        </xdr:cNvPr>
        <xdr:cNvSpPr/>
      </xdr:nvSpPr>
      <xdr:spPr>
        <a:xfrm>
          <a:off x="14015152" y="9863733"/>
          <a:ext cx="4079938" cy="293203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Percepción</a:t>
          </a:r>
          <a:r>
            <a:rPr lang="es-PE" sz="32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</a:t>
          </a:r>
        </a:p>
        <a:p>
          <a:pPr algn="l"/>
          <a:r>
            <a:rPr lang="es-PE" sz="32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Unitario</a:t>
          </a:r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CF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16</xdr:col>
      <xdr:colOff>502240</xdr:colOff>
      <xdr:row>41</xdr:row>
      <xdr:rowOff>152324</xdr:rowOff>
    </xdr:from>
    <xdr:to>
      <xdr:col>19</xdr:col>
      <xdr:colOff>863496</xdr:colOff>
      <xdr:row>46</xdr:row>
      <xdr:rowOff>141438</xdr:rowOff>
    </xdr:to>
    <xdr:sp macro="" textlink="$T$62">
      <xdr:nvSpPr>
        <xdr:cNvPr id="60" name="Rectángulo 59">
          <a:extLst>
            <a:ext uri="{FF2B5EF4-FFF2-40B4-BE49-F238E27FC236}">
              <a16:creationId xmlns:a16="http://schemas.microsoft.com/office/drawing/2014/main" id="{B3D690F6-AD7A-40A0-9EFD-D1AF780FED89}"/>
            </a:ext>
          </a:extLst>
        </xdr:cNvPr>
        <xdr:cNvSpPr/>
      </xdr:nvSpPr>
      <xdr:spPr>
        <a:xfrm>
          <a:off x="14027740" y="10924233"/>
          <a:ext cx="4067347" cy="94161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DA2942DC-4863-484B-BD22-BD1C2E5299C0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 S/ 0.207 </a:t>
          </a:fld>
          <a:endParaRPr lang="es-PE" sz="40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19</xdr:col>
      <xdr:colOff>916504</xdr:colOff>
      <xdr:row>36</xdr:row>
      <xdr:rowOff>148232</xdr:rowOff>
    </xdr:from>
    <xdr:to>
      <xdr:col>23</xdr:col>
      <xdr:colOff>358675</xdr:colOff>
      <xdr:row>51</xdr:row>
      <xdr:rowOff>49582</xdr:rowOff>
    </xdr:to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AAEAFCDE-FD21-47EB-BEFD-2144F148B45A}"/>
            </a:ext>
          </a:extLst>
        </xdr:cNvPr>
        <xdr:cNvSpPr/>
      </xdr:nvSpPr>
      <xdr:spPr>
        <a:xfrm>
          <a:off x="18148095" y="9863732"/>
          <a:ext cx="4204671" cy="293203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Deuda Aduanera</a:t>
          </a:r>
          <a:r>
            <a:rPr lang="es-PE" sz="32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</a:t>
          </a:r>
        </a:p>
        <a:p>
          <a:pPr algn="l"/>
          <a:r>
            <a:rPr lang="es-PE" sz="3200" b="0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Unitario</a:t>
          </a:r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DA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19</xdr:col>
      <xdr:colOff>928975</xdr:colOff>
      <xdr:row>41</xdr:row>
      <xdr:rowOff>152323</xdr:rowOff>
    </xdr:from>
    <xdr:to>
      <xdr:col>23</xdr:col>
      <xdr:colOff>358671</xdr:colOff>
      <xdr:row>46</xdr:row>
      <xdr:rowOff>141437</xdr:rowOff>
    </xdr:to>
    <xdr:sp macro="" textlink="$X$62">
      <xdr:nvSpPr>
        <xdr:cNvPr id="64" name="Rectángulo 63">
          <a:extLst>
            <a:ext uri="{FF2B5EF4-FFF2-40B4-BE49-F238E27FC236}">
              <a16:creationId xmlns:a16="http://schemas.microsoft.com/office/drawing/2014/main" id="{A19A4137-BB6C-4843-BFFA-BEB507611B02}"/>
            </a:ext>
          </a:extLst>
        </xdr:cNvPr>
        <xdr:cNvSpPr/>
      </xdr:nvSpPr>
      <xdr:spPr>
        <a:xfrm>
          <a:off x="18160566" y="10924232"/>
          <a:ext cx="4192196" cy="941614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BDBCD876-4907-444E-9A6A-C4E338F44346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 S/ 1.19 </a:t>
          </a:fld>
          <a:endParaRPr lang="es-PE" sz="40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23</xdr:col>
      <xdr:colOff>690565</xdr:colOff>
      <xdr:row>15</xdr:row>
      <xdr:rowOff>119064</xdr:rowOff>
    </xdr:from>
    <xdr:to>
      <xdr:col>42</xdr:col>
      <xdr:colOff>476252</xdr:colOff>
      <xdr:row>19</xdr:row>
      <xdr:rowOff>95253</xdr:rowOff>
    </xdr:to>
    <xdr:sp macro="" textlink="">
      <xdr:nvSpPr>
        <xdr:cNvPr id="67" name="Rectángulo: esquinas redondeadas 66">
          <a:extLst>
            <a:ext uri="{FF2B5EF4-FFF2-40B4-BE49-F238E27FC236}">
              <a16:creationId xmlns:a16="http://schemas.microsoft.com/office/drawing/2014/main" id="{FB159F88-D6D4-432D-AD0A-512B3104A9DD}"/>
            </a:ext>
          </a:extLst>
        </xdr:cNvPr>
        <xdr:cNvSpPr/>
      </xdr:nvSpPr>
      <xdr:spPr>
        <a:xfrm>
          <a:off x="21717003" y="3810002"/>
          <a:ext cx="16049624" cy="1023939"/>
        </a:xfrm>
        <a:prstGeom prst="roundRect">
          <a:avLst>
            <a:gd name="adj" fmla="val 7098"/>
          </a:avLst>
        </a:prstGeom>
        <a:solidFill>
          <a:schemeClr val="bg1"/>
        </a:solidFill>
        <a:ln>
          <a:noFill/>
        </a:ln>
        <a:effectLst>
          <a:glow rad="139700">
            <a:schemeClr val="bg1">
              <a:lumMod val="65000"/>
              <a:alpha val="40000"/>
            </a:schemeClr>
          </a:glow>
          <a:outerShdw blurRad="38100" dist="38100" dir="10800000" algn="r" rotWithShape="0">
            <a:schemeClr val="bg1">
              <a:lumMod val="65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PE" sz="4000" b="1">
              <a:solidFill>
                <a:schemeClr val="bg1">
                  <a:lumMod val="50000"/>
                </a:schemeClr>
              </a:solidFill>
            </a:rPr>
            <a:t>📊    📦  SECCIÓN 3: GASTOS</a:t>
          </a:r>
          <a:r>
            <a:rPr lang="es-PE" sz="4000" b="1" baseline="0">
              <a:solidFill>
                <a:schemeClr val="bg1">
                  <a:lumMod val="50000"/>
                </a:schemeClr>
              </a:solidFill>
            </a:rPr>
            <a:t> DE NACIONALIZACION Y RENTABILIDAD</a:t>
          </a:r>
          <a:endParaRPr lang="es-PE" sz="40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23</xdr:col>
      <xdr:colOff>746416</xdr:colOff>
      <xdr:row>20</xdr:row>
      <xdr:rowOff>4194</xdr:rowOff>
    </xdr:from>
    <xdr:to>
      <xdr:col>27</xdr:col>
      <xdr:colOff>398137</xdr:colOff>
      <xdr:row>35</xdr:row>
      <xdr:rowOff>157163</xdr:rowOff>
    </xdr:to>
    <xdr:sp macro="" textlink="">
      <xdr:nvSpPr>
        <xdr:cNvPr id="70" name="Rectángulo 69">
          <a:extLst>
            <a:ext uri="{FF2B5EF4-FFF2-40B4-BE49-F238E27FC236}">
              <a16:creationId xmlns:a16="http://schemas.microsoft.com/office/drawing/2014/main" id="{533AF343-F079-47EF-A579-1D6C2D90C77D}"/>
            </a:ext>
          </a:extLst>
        </xdr:cNvPr>
        <xdr:cNvSpPr/>
      </xdr:nvSpPr>
      <xdr:spPr>
        <a:xfrm>
          <a:off x="22892041" y="5195319"/>
          <a:ext cx="3890346" cy="4439219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Costos Unitarios </a:t>
          </a:r>
        </a:p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6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Incluye gastos de   </a:t>
          </a:r>
          <a:endParaRPr lang="es-PE" sz="6600">
            <a:solidFill>
              <a:sysClr val="windowText" lastClr="000000"/>
            </a:solidFill>
            <a:effectLst/>
          </a:endParaRPr>
        </a:p>
        <a:p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Importación</a:t>
          </a:r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23</xdr:col>
      <xdr:colOff>750745</xdr:colOff>
      <xdr:row>25</xdr:row>
      <xdr:rowOff>94009</xdr:rowOff>
    </xdr:from>
    <xdr:to>
      <xdr:col>27</xdr:col>
      <xdr:colOff>381868</xdr:colOff>
      <xdr:row>29</xdr:row>
      <xdr:rowOff>211710</xdr:rowOff>
    </xdr:to>
    <xdr:sp macro="" textlink="$AD$33">
      <xdr:nvSpPr>
        <xdr:cNvPr id="71" name="Rectángulo 70">
          <a:extLst>
            <a:ext uri="{FF2B5EF4-FFF2-40B4-BE49-F238E27FC236}">
              <a16:creationId xmlns:a16="http://schemas.microsoft.com/office/drawing/2014/main" id="{C9686500-9A89-40C2-8E9B-F188D29A01CD}"/>
            </a:ext>
          </a:extLst>
        </xdr:cNvPr>
        <xdr:cNvSpPr/>
      </xdr:nvSpPr>
      <xdr:spPr>
        <a:xfrm>
          <a:off x="22896370" y="6904384"/>
          <a:ext cx="3869748" cy="92732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2B51F908-8786-45B5-8B78-F4BF40C9AFE4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5.13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23</xdr:col>
      <xdr:colOff>755941</xdr:colOff>
      <xdr:row>36</xdr:row>
      <xdr:rowOff>113732</xdr:rowOff>
    </xdr:from>
    <xdr:to>
      <xdr:col>27</xdr:col>
      <xdr:colOff>407662</xdr:colOff>
      <xdr:row>58</xdr:row>
      <xdr:rowOff>61913</xdr:rowOff>
    </xdr:to>
    <xdr:sp macro="" textlink="">
      <xdr:nvSpPr>
        <xdr:cNvPr id="72" name="Rectángulo 71">
          <a:extLst>
            <a:ext uri="{FF2B5EF4-FFF2-40B4-BE49-F238E27FC236}">
              <a16:creationId xmlns:a16="http://schemas.microsoft.com/office/drawing/2014/main" id="{40F752AA-4244-419D-9EA3-6284F7FB64E5}"/>
            </a:ext>
          </a:extLst>
        </xdr:cNvPr>
        <xdr:cNvSpPr/>
      </xdr:nvSpPr>
      <xdr:spPr>
        <a:xfrm>
          <a:off x="22901566" y="9876857"/>
          <a:ext cx="3890346" cy="452018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Costos Total </a:t>
          </a:r>
        </a:p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6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Incluye gastos de   </a:t>
          </a:r>
          <a:endParaRPr lang="es-PE" sz="6600">
            <a:solidFill>
              <a:sysClr val="windowText" lastClr="000000"/>
            </a:solidFill>
            <a:effectLst/>
          </a:endParaRPr>
        </a:p>
        <a:p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Importación</a:t>
          </a:r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23</xdr:col>
      <xdr:colOff>757239</xdr:colOff>
      <xdr:row>45</xdr:row>
      <xdr:rowOff>36859</xdr:rowOff>
    </xdr:from>
    <xdr:to>
      <xdr:col>27</xdr:col>
      <xdr:colOff>438151</xdr:colOff>
      <xdr:row>50</xdr:row>
      <xdr:rowOff>30735</xdr:rowOff>
    </xdr:to>
    <xdr:sp macro="" textlink="$AF$33">
      <xdr:nvSpPr>
        <xdr:cNvPr id="73" name="Rectángulo 72">
          <a:extLst>
            <a:ext uri="{FF2B5EF4-FFF2-40B4-BE49-F238E27FC236}">
              <a16:creationId xmlns:a16="http://schemas.microsoft.com/office/drawing/2014/main" id="{712909D3-4A1B-4D79-BF8D-38EBA1C7E593}"/>
            </a:ext>
          </a:extLst>
        </xdr:cNvPr>
        <xdr:cNvSpPr/>
      </xdr:nvSpPr>
      <xdr:spPr>
        <a:xfrm>
          <a:off x="22902864" y="11609734"/>
          <a:ext cx="3919537" cy="94637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DDF73242-9AB8-48EB-9AC7-EA7ED95E8DEF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2,464.60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27</xdr:col>
      <xdr:colOff>579729</xdr:colOff>
      <xdr:row>19</xdr:row>
      <xdr:rowOff>370906</xdr:rowOff>
    </xdr:from>
    <xdr:to>
      <xdr:col>31</xdr:col>
      <xdr:colOff>845813</xdr:colOff>
      <xdr:row>35</xdr:row>
      <xdr:rowOff>157162</xdr:rowOff>
    </xdr:to>
    <xdr:sp macro="" textlink="">
      <xdr:nvSpPr>
        <xdr:cNvPr id="74" name="Rectángulo 73">
          <a:extLst>
            <a:ext uri="{FF2B5EF4-FFF2-40B4-BE49-F238E27FC236}">
              <a16:creationId xmlns:a16="http://schemas.microsoft.com/office/drawing/2014/main" id="{33EADDBE-9ABE-4606-AC86-CED5ADC6B03A}"/>
            </a:ext>
          </a:extLst>
        </xdr:cNvPr>
        <xdr:cNvSpPr/>
      </xdr:nvSpPr>
      <xdr:spPr>
        <a:xfrm>
          <a:off x="26963979" y="5181031"/>
          <a:ext cx="3885584" cy="4453506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MARGEN %</a:t>
          </a:r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27</xdr:col>
      <xdr:colOff>607003</xdr:colOff>
      <xdr:row>23</xdr:row>
      <xdr:rowOff>95741</xdr:rowOff>
    </xdr:from>
    <xdr:to>
      <xdr:col>31</xdr:col>
      <xdr:colOff>828677</xdr:colOff>
      <xdr:row>34</xdr:row>
      <xdr:rowOff>261939</xdr:rowOff>
    </xdr:to>
    <xdr:sp macro="" textlink="$AB$23">
      <xdr:nvSpPr>
        <xdr:cNvPr id="75" name="Rectángulo 74">
          <a:extLst>
            <a:ext uri="{FF2B5EF4-FFF2-40B4-BE49-F238E27FC236}">
              <a16:creationId xmlns:a16="http://schemas.microsoft.com/office/drawing/2014/main" id="{A5E5FBC7-B907-4070-94BE-F8F52542F4E2}"/>
            </a:ext>
          </a:extLst>
        </xdr:cNvPr>
        <xdr:cNvSpPr/>
      </xdr:nvSpPr>
      <xdr:spPr>
        <a:xfrm>
          <a:off x="26991253" y="6429866"/>
          <a:ext cx="3841174" cy="2928448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12E0153-E57A-4DF5-80E1-7E22882BA141}" type="TxLink">
            <a:rPr lang="en-US" sz="6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40%</a:t>
          </a:fld>
          <a:endParaRPr lang="es-PE" sz="344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23</xdr:col>
      <xdr:colOff>735591</xdr:colOff>
      <xdr:row>20</xdr:row>
      <xdr:rowOff>4194</xdr:rowOff>
    </xdr:from>
    <xdr:to>
      <xdr:col>27</xdr:col>
      <xdr:colOff>387312</xdr:colOff>
      <xdr:row>35</xdr:row>
      <xdr:rowOff>157163</xdr:rowOff>
    </xdr:to>
    <xdr:sp macro="" textlink="">
      <xdr:nvSpPr>
        <xdr:cNvPr id="76" name="Rectángulo 75">
          <a:extLst>
            <a:ext uri="{FF2B5EF4-FFF2-40B4-BE49-F238E27FC236}">
              <a16:creationId xmlns:a16="http://schemas.microsoft.com/office/drawing/2014/main" id="{5C07670D-8D5C-4EAF-A7FB-54C9CC6A144F}"/>
            </a:ext>
          </a:extLst>
        </xdr:cNvPr>
        <xdr:cNvSpPr/>
      </xdr:nvSpPr>
      <xdr:spPr>
        <a:xfrm>
          <a:off x="22881216" y="5195319"/>
          <a:ext cx="3890346" cy="4439219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Costos Unitarios </a:t>
          </a:r>
        </a:p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6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Incluye gastos de   </a:t>
          </a:r>
          <a:endParaRPr lang="es-PE" sz="6600">
            <a:solidFill>
              <a:sysClr val="windowText" lastClr="000000"/>
            </a:solidFill>
            <a:effectLst/>
          </a:endParaRPr>
        </a:p>
        <a:p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Importación</a:t>
          </a:r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23</xdr:col>
      <xdr:colOff>739920</xdr:colOff>
      <xdr:row>25</xdr:row>
      <xdr:rowOff>94009</xdr:rowOff>
    </xdr:from>
    <xdr:to>
      <xdr:col>27</xdr:col>
      <xdr:colOff>371043</xdr:colOff>
      <xdr:row>29</xdr:row>
      <xdr:rowOff>211710</xdr:rowOff>
    </xdr:to>
    <xdr:sp macro="" textlink="$AD$33">
      <xdr:nvSpPr>
        <xdr:cNvPr id="81" name="Rectángulo 80">
          <a:extLst>
            <a:ext uri="{FF2B5EF4-FFF2-40B4-BE49-F238E27FC236}">
              <a16:creationId xmlns:a16="http://schemas.microsoft.com/office/drawing/2014/main" id="{90596022-8E53-48E9-8779-844BD2DA7B73}"/>
            </a:ext>
          </a:extLst>
        </xdr:cNvPr>
        <xdr:cNvSpPr/>
      </xdr:nvSpPr>
      <xdr:spPr>
        <a:xfrm>
          <a:off x="22885545" y="6904384"/>
          <a:ext cx="3869748" cy="92732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2B51F908-8786-45B5-8B78-F4BF40C9AFE4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5.13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23</xdr:col>
      <xdr:colOff>746414</xdr:colOff>
      <xdr:row>45</xdr:row>
      <xdr:rowOff>36859</xdr:rowOff>
    </xdr:from>
    <xdr:to>
      <xdr:col>27</xdr:col>
      <xdr:colOff>427326</xdr:colOff>
      <xdr:row>50</xdr:row>
      <xdr:rowOff>30735</xdr:rowOff>
    </xdr:to>
    <xdr:sp macro="" textlink="$AF$33">
      <xdr:nvSpPr>
        <xdr:cNvPr id="85" name="Rectángulo 84">
          <a:extLst>
            <a:ext uri="{FF2B5EF4-FFF2-40B4-BE49-F238E27FC236}">
              <a16:creationId xmlns:a16="http://schemas.microsoft.com/office/drawing/2014/main" id="{BBC40CD6-EF3F-4D05-A058-EB1D77731818}"/>
            </a:ext>
          </a:extLst>
        </xdr:cNvPr>
        <xdr:cNvSpPr/>
      </xdr:nvSpPr>
      <xdr:spPr>
        <a:xfrm>
          <a:off x="22892039" y="11609734"/>
          <a:ext cx="3919537" cy="94637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DDF73242-9AB8-48EB-9AC7-EA7ED95E8DEF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2,464.60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31</xdr:col>
      <xdr:colOff>994067</xdr:colOff>
      <xdr:row>19</xdr:row>
      <xdr:rowOff>370907</xdr:rowOff>
    </xdr:from>
    <xdr:to>
      <xdr:col>36</xdr:col>
      <xdr:colOff>436238</xdr:colOff>
      <xdr:row>35</xdr:row>
      <xdr:rowOff>142876</xdr:rowOff>
    </xdr:to>
    <xdr:sp macro="" textlink="">
      <xdr:nvSpPr>
        <xdr:cNvPr id="87" name="Rectángulo 86">
          <a:extLst>
            <a:ext uri="{FF2B5EF4-FFF2-40B4-BE49-F238E27FC236}">
              <a16:creationId xmlns:a16="http://schemas.microsoft.com/office/drawing/2014/main" id="{2E4FD0E6-6382-430A-928E-F9E84779106E}"/>
            </a:ext>
          </a:extLst>
        </xdr:cNvPr>
        <xdr:cNvSpPr/>
      </xdr:nvSpPr>
      <xdr:spPr>
        <a:xfrm>
          <a:off x="30997817" y="5181032"/>
          <a:ext cx="3918921" cy="4439219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Costos Unitarios </a:t>
          </a:r>
        </a:p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6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Incluye gastos de   </a:t>
          </a:r>
          <a:endParaRPr lang="es-PE" sz="6600">
            <a:solidFill>
              <a:sysClr val="windowText" lastClr="000000"/>
            </a:solidFill>
            <a:effectLst/>
          </a:endParaRPr>
        </a:p>
        <a:p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Importación</a:t>
          </a:r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31</xdr:col>
      <xdr:colOff>998396</xdr:colOff>
      <xdr:row>25</xdr:row>
      <xdr:rowOff>79722</xdr:rowOff>
    </xdr:from>
    <xdr:to>
      <xdr:col>36</xdr:col>
      <xdr:colOff>419969</xdr:colOff>
      <xdr:row>29</xdr:row>
      <xdr:rowOff>197423</xdr:rowOff>
    </xdr:to>
    <xdr:sp macro="" textlink="$AD$33">
      <xdr:nvSpPr>
        <xdr:cNvPr id="89" name="Rectángulo 88">
          <a:extLst>
            <a:ext uri="{FF2B5EF4-FFF2-40B4-BE49-F238E27FC236}">
              <a16:creationId xmlns:a16="http://schemas.microsoft.com/office/drawing/2014/main" id="{C3213D85-AB3B-4A14-8691-919EBDDA2501}"/>
            </a:ext>
          </a:extLst>
        </xdr:cNvPr>
        <xdr:cNvSpPr/>
      </xdr:nvSpPr>
      <xdr:spPr>
        <a:xfrm>
          <a:off x="31002146" y="6890097"/>
          <a:ext cx="3898323" cy="92732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2B51F908-8786-45B5-8B78-F4BF40C9AFE4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5.13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31</xdr:col>
      <xdr:colOff>1003592</xdr:colOff>
      <xdr:row>36</xdr:row>
      <xdr:rowOff>99445</xdr:rowOff>
    </xdr:from>
    <xdr:to>
      <xdr:col>36</xdr:col>
      <xdr:colOff>445763</xdr:colOff>
      <xdr:row>58</xdr:row>
      <xdr:rowOff>47626</xdr:rowOff>
    </xdr:to>
    <xdr:sp macro="" textlink="">
      <xdr:nvSpPr>
        <xdr:cNvPr id="91" name="Rectángulo 90">
          <a:extLst>
            <a:ext uri="{FF2B5EF4-FFF2-40B4-BE49-F238E27FC236}">
              <a16:creationId xmlns:a16="http://schemas.microsoft.com/office/drawing/2014/main" id="{A0246683-2C83-447F-9F71-3BE8E5FD31FF}"/>
            </a:ext>
          </a:extLst>
        </xdr:cNvPr>
        <xdr:cNvSpPr/>
      </xdr:nvSpPr>
      <xdr:spPr>
        <a:xfrm>
          <a:off x="31007342" y="9862570"/>
          <a:ext cx="3918921" cy="452018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Costos Total </a:t>
          </a:r>
        </a:p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6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Incluye gastos de   </a:t>
          </a:r>
          <a:endParaRPr lang="es-PE" sz="6600">
            <a:solidFill>
              <a:sysClr val="windowText" lastClr="000000"/>
            </a:solidFill>
            <a:effectLst/>
          </a:endParaRPr>
        </a:p>
        <a:p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Importación</a:t>
          </a:r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31</xdr:col>
      <xdr:colOff>1004890</xdr:colOff>
      <xdr:row>45</xdr:row>
      <xdr:rowOff>22572</xdr:rowOff>
    </xdr:from>
    <xdr:to>
      <xdr:col>36</xdr:col>
      <xdr:colOff>476252</xdr:colOff>
      <xdr:row>50</xdr:row>
      <xdr:rowOff>16448</xdr:rowOff>
    </xdr:to>
    <xdr:sp macro="" textlink="$AF$33">
      <xdr:nvSpPr>
        <xdr:cNvPr id="93" name="Rectángulo 92">
          <a:extLst>
            <a:ext uri="{FF2B5EF4-FFF2-40B4-BE49-F238E27FC236}">
              <a16:creationId xmlns:a16="http://schemas.microsoft.com/office/drawing/2014/main" id="{3AC9B274-8751-4925-811B-FF1C6A2CB31B}"/>
            </a:ext>
          </a:extLst>
        </xdr:cNvPr>
        <xdr:cNvSpPr/>
      </xdr:nvSpPr>
      <xdr:spPr>
        <a:xfrm>
          <a:off x="31008640" y="11595447"/>
          <a:ext cx="3948112" cy="94637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DDF73242-9AB8-48EB-9AC7-EA7ED95E8DEF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2,464.60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31</xdr:col>
      <xdr:colOff>983242</xdr:colOff>
      <xdr:row>19</xdr:row>
      <xdr:rowOff>370907</xdr:rowOff>
    </xdr:from>
    <xdr:to>
      <xdr:col>36</xdr:col>
      <xdr:colOff>425413</xdr:colOff>
      <xdr:row>35</xdr:row>
      <xdr:rowOff>142876</xdr:rowOff>
    </xdr:to>
    <xdr:sp macro="" textlink="">
      <xdr:nvSpPr>
        <xdr:cNvPr id="95" name="Rectángulo 94">
          <a:extLst>
            <a:ext uri="{FF2B5EF4-FFF2-40B4-BE49-F238E27FC236}">
              <a16:creationId xmlns:a16="http://schemas.microsoft.com/office/drawing/2014/main" id="{488ABC14-1CC3-44F3-B761-567A4035D786}"/>
            </a:ext>
          </a:extLst>
        </xdr:cNvPr>
        <xdr:cNvSpPr/>
      </xdr:nvSpPr>
      <xdr:spPr>
        <a:xfrm>
          <a:off x="30986992" y="5181032"/>
          <a:ext cx="3918921" cy="4439219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Valor Venta </a:t>
          </a:r>
        </a:p>
        <a:p>
          <a:pPr algn="l"/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Unitario </a:t>
          </a:r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(S/.)</a:t>
          </a:r>
        </a:p>
        <a:p>
          <a:pPr algn="l"/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6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(No Incluye</a:t>
          </a:r>
        </a:p>
        <a:p>
          <a:pPr algn="l"/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Impuestos)</a:t>
          </a:r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31</xdr:col>
      <xdr:colOff>987571</xdr:colOff>
      <xdr:row>25</xdr:row>
      <xdr:rowOff>79722</xdr:rowOff>
    </xdr:from>
    <xdr:to>
      <xdr:col>36</xdr:col>
      <xdr:colOff>409144</xdr:colOff>
      <xdr:row>29</xdr:row>
      <xdr:rowOff>197423</xdr:rowOff>
    </xdr:to>
    <xdr:sp macro="" textlink="$AD$25">
      <xdr:nvSpPr>
        <xdr:cNvPr id="96" name="Rectángulo 95">
          <a:extLst>
            <a:ext uri="{FF2B5EF4-FFF2-40B4-BE49-F238E27FC236}">
              <a16:creationId xmlns:a16="http://schemas.microsoft.com/office/drawing/2014/main" id="{99493D1B-55A6-47A1-96B1-1BFB48EEF0F5}"/>
            </a:ext>
          </a:extLst>
        </xdr:cNvPr>
        <xdr:cNvSpPr/>
      </xdr:nvSpPr>
      <xdr:spPr>
        <a:xfrm>
          <a:off x="30991321" y="6890097"/>
          <a:ext cx="3898323" cy="92732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20DF9CA3-42E9-454D-9B84-3541DD014C5E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8.56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31</xdr:col>
      <xdr:colOff>992767</xdr:colOff>
      <xdr:row>36</xdr:row>
      <xdr:rowOff>99445</xdr:rowOff>
    </xdr:from>
    <xdr:to>
      <xdr:col>36</xdr:col>
      <xdr:colOff>434938</xdr:colOff>
      <xdr:row>58</xdr:row>
      <xdr:rowOff>47626</xdr:rowOff>
    </xdr:to>
    <xdr:sp macro="" textlink="">
      <xdr:nvSpPr>
        <xdr:cNvPr id="97" name="Rectángulo 96">
          <a:extLst>
            <a:ext uri="{FF2B5EF4-FFF2-40B4-BE49-F238E27FC236}">
              <a16:creationId xmlns:a16="http://schemas.microsoft.com/office/drawing/2014/main" id="{15953A89-9245-43CB-872B-66E502FFB6F0}"/>
            </a:ext>
          </a:extLst>
        </xdr:cNvPr>
        <xdr:cNvSpPr/>
      </xdr:nvSpPr>
      <xdr:spPr>
        <a:xfrm>
          <a:off x="30996517" y="9862570"/>
          <a:ext cx="3918921" cy="452018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Valor</a:t>
          </a:r>
          <a:r>
            <a:rPr lang="es-PE" sz="3200" b="1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Venta Total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</a:t>
          </a:r>
        </a:p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600" b="0" i="1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32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24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En caso se vendieran</a:t>
          </a:r>
          <a:r>
            <a:rPr lang="es-PE" sz="2400" b="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todas</a:t>
          </a:r>
        </a:p>
        <a:p>
          <a:pPr algn="l"/>
          <a:r>
            <a:rPr lang="es-PE" sz="2400" b="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las unidades </a:t>
          </a:r>
          <a:r>
            <a:rPr lang="es-PE" sz="24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(No Incluye </a:t>
          </a:r>
        </a:p>
        <a:p>
          <a:pPr algn="l"/>
          <a:r>
            <a:rPr lang="es-PE" sz="24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Impuestos)</a:t>
          </a:r>
          <a:endParaRPr lang="es-PE" sz="5400" b="0" i="1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31</xdr:col>
      <xdr:colOff>994065</xdr:colOff>
      <xdr:row>45</xdr:row>
      <xdr:rowOff>22572</xdr:rowOff>
    </xdr:from>
    <xdr:to>
      <xdr:col>36</xdr:col>
      <xdr:colOff>465427</xdr:colOff>
      <xdr:row>50</xdr:row>
      <xdr:rowOff>16448</xdr:rowOff>
    </xdr:to>
    <xdr:sp macro="" textlink="$AF$25">
      <xdr:nvSpPr>
        <xdr:cNvPr id="99" name="Rectángulo 98">
          <a:extLst>
            <a:ext uri="{FF2B5EF4-FFF2-40B4-BE49-F238E27FC236}">
              <a16:creationId xmlns:a16="http://schemas.microsoft.com/office/drawing/2014/main" id="{304F0C0D-37E2-43BB-9859-7C9A4E1E3976}"/>
            </a:ext>
          </a:extLst>
        </xdr:cNvPr>
        <xdr:cNvSpPr/>
      </xdr:nvSpPr>
      <xdr:spPr>
        <a:xfrm>
          <a:off x="30997815" y="11595447"/>
          <a:ext cx="3948112" cy="94637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30C9C48D-5B2E-4ED4-9C8D-FD4815C6EA36}" type="TxLink">
            <a:rPr lang="en-US" sz="44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4,107.67</a:t>
          </a:fld>
          <a:endParaRPr lang="es-PE" sz="44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36</xdr:col>
      <xdr:colOff>624180</xdr:colOff>
      <xdr:row>19</xdr:row>
      <xdr:rowOff>347095</xdr:rowOff>
    </xdr:from>
    <xdr:to>
      <xdr:col>42</xdr:col>
      <xdr:colOff>564826</xdr:colOff>
      <xdr:row>35</xdr:row>
      <xdr:rowOff>119064</xdr:rowOff>
    </xdr:to>
    <xdr:sp macro="" textlink="">
      <xdr:nvSpPr>
        <xdr:cNvPr id="100" name="Rectángulo 99">
          <a:extLst>
            <a:ext uri="{FF2B5EF4-FFF2-40B4-BE49-F238E27FC236}">
              <a16:creationId xmlns:a16="http://schemas.microsoft.com/office/drawing/2014/main" id="{AE4A359B-42A7-4AD7-B87C-16EA839FA717}"/>
            </a:ext>
          </a:extLst>
        </xdr:cNvPr>
        <xdr:cNvSpPr/>
      </xdr:nvSpPr>
      <xdr:spPr>
        <a:xfrm>
          <a:off x="35104680" y="5157220"/>
          <a:ext cx="3893521" cy="4439219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Costos Unitarios </a:t>
          </a:r>
        </a:p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6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Incluye gastos de   </a:t>
          </a:r>
          <a:endParaRPr lang="es-PE" sz="6600">
            <a:solidFill>
              <a:sysClr val="windowText" lastClr="000000"/>
            </a:solidFill>
            <a:effectLst/>
          </a:endParaRPr>
        </a:p>
        <a:p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Importación</a:t>
          </a:r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36</xdr:col>
      <xdr:colOff>628509</xdr:colOff>
      <xdr:row>25</xdr:row>
      <xdr:rowOff>55910</xdr:rowOff>
    </xdr:from>
    <xdr:to>
      <xdr:col>42</xdr:col>
      <xdr:colOff>548557</xdr:colOff>
      <xdr:row>29</xdr:row>
      <xdr:rowOff>202186</xdr:rowOff>
    </xdr:to>
    <xdr:sp macro="" textlink="$AD$33">
      <xdr:nvSpPr>
        <xdr:cNvPr id="101" name="Rectángulo 100">
          <a:extLst>
            <a:ext uri="{FF2B5EF4-FFF2-40B4-BE49-F238E27FC236}">
              <a16:creationId xmlns:a16="http://schemas.microsoft.com/office/drawing/2014/main" id="{884EC695-08A9-4466-BE96-AF60E15923AE}"/>
            </a:ext>
          </a:extLst>
        </xdr:cNvPr>
        <xdr:cNvSpPr/>
      </xdr:nvSpPr>
      <xdr:spPr>
        <a:xfrm>
          <a:off x="35109009" y="6866285"/>
          <a:ext cx="3872923" cy="955901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2B51F908-8786-45B5-8B78-F4BF40C9AFE4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5.13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36</xdr:col>
      <xdr:colOff>633705</xdr:colOff>
      <xdr:row>36</xdr:row>
      <xdr:rowOff>75633</xdr:rowOff>
    </xdr:from>
    <xdr:to>
      <xdr:col>42</xdr:col>
      <xdr:colOff>574351</xdr:colOff>
      <xdr:row>58</xdr:row>
      <xdr:rowOff>23814</xdr:rowOff>
    </xdr:to>
    <xdr:sp macro="" textlink="">
      <xdr:nvSpPr>
        <xdr:cNvPr id="102" name="Rectángulo 101">
          <a:extLst>
            <a:ext uri="{FF2B5EF4-FFF2-40B4-BE49-F238E27FC236}">
              <a16:creationId xmlns:a16="http://schemas.microsoft.com/office/drawing/2014/main" id="{425E53EC-6039-4132-B2FC-17FCE7D3FD38}"/>
            </a:ext>
          </a:extLst>
        </xdr:cNvPr>
        <xdr:cNvSpPr/>
      </xdr:nvSpPr>
      <xdr:spPr>
        <a:xfrm>
          <a:off x="35114205" y="9838758"/>
          <a:ext cx="3893521" cy="452018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Costos Total </a:t>
          </a:r>
        </a:p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6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Incluye gastos de   </a:t>
          </a:r>
          <a:endParaRPr lang="es-PE" sz="6600">
            <a:solidFill>
              <a:sysClr val="windowText" lastClr="000000"/>
            </a:solidFill>
            <a:effectLst/>
          </a:endParaRPr>
        </a:p>
        <a:p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Importación</a:t>
          </a:r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36</xdr:col>
      <xdr:colOff>635003</xdr:colOff>
      <xdr:row>44</xdr:row>
      <xdr:rowOff>189260</xdr:rowOff>
    </xdr:from>
    <xdr:to>
      <xdr:col>42</xdr:col>
      <xdr:colOff>604840</xdr:colOff>
      <xdr:row>49</xdr:row>
      <xdr:rowOff>183136</xdr:rowOff>
    </xdr:to>
    <xdr:sp macro="" textlink="$AF$33">
      <xdr:nvSpPr>
        <xdr:cNvPr id="103" name="Rectángulo 102">
          <a:extLst>
            <a:ext uri="{FF2B5EF4-FFF2-40B4-BE49-F238E27FC236}">
              <a16:creationId xmlns:a16="http://schemas.microsoft.com/office/drawing/2014/main" id="{93383663-7E9D-485F-9229-A16C43AB272C}"/>
            </a:ext>
          </a:extLst>
        </xdr:cNvPr>
        <xdr:cNvSpPr/>
      </xdr:nvSpPr>
      <xdr:spPr>
        <a:xfrm>
          <a:off x="35115503" y="11571635"/>
          <a:ext cx="3922712" cy="94637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DDF73242-9AB8-48EB-9AC7-EA7ED95E8DEF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2,464.60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36</xdr:col>
      <xdr:colOff>613355</xdr:colOff>
      <xdr:row>19</xdr:row>
      <xdr:rowOff>347095</xdr:rowOff>
    </xdr:from>
    <xdr:to>
      <xdr:col>42</xdr:col>
      <xdr:colOff>554001</xdr:colOff>
      <xdr:row>35</xdr:row>
      <xdr:rowOff>119064</xdr:rowOff>
    </xdr:to>
    <xdr:sp macro="" textlink="">
      <xdr:nvSpPr>
        <xdr:cNvPr id="104" name="Rectángulo 103">
          <a:extLst>
            <a:ext uri="{FF2B5EF4-FFF2-40B4-BE49-F238E27FC236}">
              <a16:creationId xmlns:a16="http://schemas.microsoft.com/office/drawing/2014/main" id="{9CA6BEEC-B340-4895-A13D-9359EDB7D72D}"/>
            </a:ext>
          </a:extLst>
        </xdr:cNvPr>
        <xdr:cNvSpPr/>
      </xdr:nvSpPr>
      <xdr:spPr>
        <a:xfrm>
          <a:off x="35093855" y="5157220"/>
          <a:ext cx="3893521" cy="4439219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Ganancia</a:t>
          </a:r>
        </a:p>
        <a:p>
          <a:pPr algn="l"/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Unitario </a:t>
          </a:r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(S/.)</a:t>
          </a:r>
        </a:p>
        <a:p>
          <a:pPr algn="l"/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600" b="0" i="0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Calculado en </a:t>
          </a:r>
        </a:p>
        <a:p>
          <a:pPr algn="l"/>
          <a:r>
            <a:rPr lang="es-PE" sz="32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PE" sz="3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soles</a:t>
          </a:r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36</xdr:col>
      <xdr:colOff>617684</xdr:colOff>
      <xdr:row>25</xdr:row>
      <xdr:rowOff>55910</xdr:rowOff>
    </xdr:from>
    <xdr:to>
      <xdr:col>42</xdr:col>
      <xdr:colOff>537732</xdr:colOff>
      <xdr:row>29</xdr:row>
      <xdr:rowOff>202186</xdr:rowOff>
    </xdr:to>
    <xdr:sp macro="" textlink="$AD$32">
      <xdr:nvSpPr>
        <xdr:cNvPr id="105" name="Rectángulo 104">
          <a:extLst>
            <a:ext uri="{FF2B5EF4-FFF2-40B4-BE49-F238E27FC236}">
              <a16:creationId xmlns:a16="http://schemas.microsoft.com/office/drawing/2014/main" id="{C7DF0B4D-548E-4637-9106-2BD98776AD7B}"/>
            </a:ext>
          </a:extLst>
        </xdr:cNvPr>
        <xdr:cNvSpPr/>
      </xdr:nvSpPr>
      <xdr:spPr>
        <a:xfrm>
          <a:off x="35098184" y="6866285"/>
          <a:ext cx="3872923" cy="955901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BC984C2A-F48E-4A5A-B2C4-1C355CAD20A0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3.42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36</xdr:col>
      <xdr:colOff>622880</xdr:colOff>
      <xdr:row>36</xdr:row>
      <xdr:rowOff>75633</xdr:rowOff>
    </xdr:from>
    <xdr:to>
      <xdr:col>42</xdr:col>
      <xdr:colOff>563526</xdr:colOff>
      <xdr:row>58</xdr:row>
      <xdr:rowOff>23814</xdr:rowOff>
    </xdr:to>
    <xdr:sp macro="" textlink="">
      <xdr:nvSpPr>
        <xdr:cNvPr id="106" name="Rectángulo 105">
          <a:extLst>
            <a:ext uri="{FF2B5EF4-FFF2-40B4-BE49-F238E27FC236}">
              <a16:creationId xmlns:a16="http://schemas.microsoft.com/office/drawing/2014/main" id="{9985501D-0FA2-44FD-A4ED-0AF6DA781429}"/>
            </a:ext>
          </a:extLst>
        </xdr:cNvPr>
        <xdr:cNvSpPr/>
      </xdr:nvSpPr>
      <xdr:spPr>
        <a:xfrm>
          <a:off x="35103380" y="9838758"/>
          <a:ext cx="3893521" cy="452018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Ganancia </a:t>
          </a:r>
          <a:r>
            <a:rPr lang="es-PE" sz="3200" b="1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Total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</a:t>
          </a:r>
        </a:p>
        <a:p>
          <a:pPr algn="l"/>
          <a:r>
            <a:rPr lang="es-PE" sz="28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(S/.)</a:t>
          </a:r>
        </a:p>
        <a:p>
          <a:pPr algn="l"/>
          <a:endParaRPr lang="es-PE" sz="66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  <a:p>
          <a:pPr algn="l"/>
          <a:r>
            <a:rPr lang="es-PE" sz="6600" b="0" i="1">
              <a:solidFill>
                <a:sysClr val="windowText" lastClr="000000"/>
              </a:solidFill>
              <a:latin typeface="Aptos Narrow" panose="020B0004020202020204" pitchFamily="34" charset="0"/>
            </a:rPr>
            <a:t> </a:t>
          </a:r>
          <a:r>
            <a:rPr lang="es-PE" sz="32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24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En caso se vendieran</a:t>
          </a:r>
          <a:r>
            <a:rPr lang="es-PE" sz="2400" b="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todas</a:t>
          </a:r>
        </a:p>
        <a:p>
          <a:pPr algn="l"/>
          <a:r>
            <a:rPr lang="es-PE" sz="2400" b="0" i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las unidades </a:t>
          </a:r>
          <a:r>
            <a:rPr lang="es-PE" sz="24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(No Incluye </a:t>
          </a:r>
        </a:p>
        <a:p>
          <a:pPr algn="l"/>
          <a:r>
            <a:rPr lang="es-PE" sz="2400" b="0" i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Impuestos)</a:t>
          </a:r>
          <a:endParaRPr lang="es-PE" sz="5400" b="0" i="1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36</xdr:col>
      <xdr:colOff>624178</xdr:colOff>
      <xdr:row>44</xdr:row>
      <xdr:rowOff>189260</xdr:rowOff>
    </xdr:from>
    <xdr:to>
      <xdr:col>42</xdr:col>
      <xdr:colOff>594015</xdr:colOff>
      <xdr:row>49</xdr:row>
      <xdr:rowOff>183136</xdr:rowOff>
    </xdr:to>
    <xdr:sp macro="" textlink="$AF$32">
      <xdr:nvSpPr>
        <xdr:cNvPr id="107" name="Rectángulo 106">
          <a:extLst>
            <a:ext uri="{FF2B5EF4-FFF2-40B4-BE49-F238E27FC236}">
              <a16:creationId xmlns:a16="http://schemas.microsoft.com/office/drawing/2014/main" id="{E3F7906F-BE5B-4F2A-8DAF-C83534A6092F}"/>
            </a:ext>
          </a:extLst>
        </xdr:cNvPr>
        <xdr:cNvSpPr/>
      </xdr:nvSpPr>
      <xdr:spPr>
        <a:xfrm>
          <a:off x="35104678" y="11571635"/>
          <a:ext cx="3922712" cy="94637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DEAB89D3-43DF-48EA-84F0-555B268CC79A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1,643.07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23</xdr:col>
      <xdr:colOff>707016</xdr:colOff>
      <xdr:row>59</xdr:row>
      <xdr:rowOff>166119</xdr:rowOff>
    </xdr:from>
    <xdr:to>
      <xdr:col>31</xdr:col>
      <xdr:colOff>828677</xdr:colOff>
      <xdr:row>66</xdr:row>
      <xdr:rowOff>95251</xdr:rowOff>
    </xdr:to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0E54FEEA-A04C-4D02-B039-EA03B76733E4}"/>
            </a:ext>
          </a:extLst>
        </xdr:cNvPr>
        <xdr:cNvSpPr/>
      </xdr:nvSpPr>
      <xdr:spPr>
        <a:xfrm>
          <a:off x="22852641" y="14691744"/>
          <a:ext cx="7979786" cy="154838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Crédito Fiscal 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Unitario</a:t>
          </a:r>
        </a:p>
        <a:p>
          <a:pPr algn="l"/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(S/.)</a:t>
          </a:r>
          <a:endParaRPr lang="es-PE" sz="5400" b="0" i="0">
            <a:solidFill>
              <a:sysClr val="windowText" lastClr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31</xdr:col>
      <xdr:colOff>978479</xdr:colOff>
      <xdr:row>59</xdr:row>
      <xdr:rowOff>175644</xdr:rowOff>
    </xdr:from>
    <xdr:to>
      <xdr:col>42</xdr:col>
      <xdr:colOff>581027</xdr:colOff>
      <xdr:row>66</xdr:row>
      <xdr:rowOff>104776</xdr:rowOff>
    </xdr:to>
    <xdr:sp macro="" textlink="">
      <xdr:nvSpPr>
        <xdr:cNvPr id="109" name="Rectángulo 108">
          <a:extLst>
            <a:ext uri="{FF2B5EF4-FFF2-40B4-BE49-F238E27FC236}">
              <a16:creationId xmlns:a16="http://schemas.microsoft.com/office/drawing/2014/main" id="{E62088D6-6CBB-411D-BB2C-49DBD3779D89}"/>
            </a:ext>
          </a:extLst>
        </xdr:cNvPr>
        <xdr:cNvSpPr/>
      </xdr:nvSpPr>
      <xdr:spPr>
        <a:xfrm>
          <a:off x="30982229" y="14701269"/>
          <a:ext cx="8032173" cy="1548382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  <a:ea typeface="+mn-ea"/>
              <a:cs typeface="+mn-cs"/>
            </a:rPr>
            <a:t>   </a:t>
          </a:r>
          <a:r>
            <a:rPr lang="es-PE" sz="3200" b="1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  <a:ea typeface="+mn-ea"/>
              <a:cs typeface="+mn-cs"/>
            </a:rPr>
            <a:t>Crédito</a:t>
          </a:r>
          <a:r>
            <a:rPr lang="es-PE" sz="3200" b="1" i="0" baseline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  <a:ea typeface="+mn-ea"/>
              <a:cs typeface="+mn-cs"/>
            </a:rPr>
            <a:t> Fiscal</a:t>
          </a:r>
          <a:endParaRPr lang="es-PE" sz="3200" b="1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  <a:ea typeface="+mn-ea"/>
            <a:cs typeface="+mn-cs"/>
          </a:endParaRPr>
        </a:p>
        <a:p>
          <a:pPr marL="0" indent="0"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  <a:ea typeface="+mn-ea"/>
              <a:cs typeface="+mn-cs"/>
            </a:rPr>
            <a:t>   Unitario</a:t>
          </a:r>
        </a:p>
        <a:p>
          <a:pPr marL="0" indent="0" algn="l"/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  <a:ea typeface="+mn-ea"/>
              <a:cs typeface="+mn-cs"/>
            </a:rPr>
            <a:t>     (S/.)</a:t>
          </a:r>
        </a:p>
      </xdr:txBody>
    </xdr:sp>
    <xdr:clientData/>
  </xdr:twoCellAnchor>
  <xdr:twoCellAnchor>
    <xdr:from>
      <xdr:col>23</xdr:col>
      <xdr:colOff>708314</xdr:colOff>
      <xdr:row>65</xdr:row>
      <xdr:rowOff>182908</xdr:rowOff>
    </xdr:from>
    <xdr:to>
      <xdr:col>31</xdr:col>
      <xdr:colOff>828677</xdr:colOff>
      <xdr:row>70</xdr:row>
      <xdr:rowOff>548259</xdr:rowOff>
    </xdr:to>
    <xdr:sp macro="" textlink="$AD$35">
      <xdr:nvSpPr>
        <xdr:cNvPr id="110" name="Rectángulo 109">
          <a:extLst>
            <a:ext uri="{FF2B5EF4-FFF2-40B4-BE49-F238E27FC236}">
              <a16:creationId xmlns:a16="http://schemas.microsoft.com/office/drawing/2014/main" id="{7FC324EA-31C1-4DFD-85C2-1557A4EA111D}"/>
            </a:ext>
          </a:extLst>
        </xdr:cNvPr>
        <xdr:cNvSpPr/>
      </xdr:nvSpPr>
      <xdr:spPr>
        <a:xfrm>
          <a:off x="22853939" y="16137283"/>
          <a:ext cx="7978488" cy="131785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729F1005-DD5C-4785-82D8-0C55C2024461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1.13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31</xdr:col>
      <xdr:colOff>979776</xdr:colOff>
      <xdr:row>66</xdr:row>
      <xdr:rowOff>1933</xdr:rowOff>
    </xdr:from>
    <xdr:to>
      <xdr:col>42</xdr:col>
      <xdr:colOff>571500</xdr:colOff>
      <xdr:row>70</xdr:row>
      <xdr:rowOff>557784</xdr:rowOff>
    </xdr:to>
    <xdr:sp macro="" textlink="$AF$35">
      <xdr:nvSpPr>
        <xdr:cNvPr id="111" name="Rectángulo 110">
          <a:extLst>
            <a:ext uri="{FF2B5EF4-FFF2-40B4-BE49-F238E27FC236}">
              <a16:creationId xmlns:a16="http://schemas.microsoft.com/office/drawing/2014/main" id="{4AAC7C6E-BFE9-4C6E-A36B-2BD84959063E}"/>
            </a:ext>
          </a:extLst>
        </xdr:cNvPr>
        <xdr:cNvSpPr/>
      </xdr:nvSpPr>
      <xdr:spPr>
        <a:xfrm>
          <a:off x="30983526" y="16146808"/>
          <a:ext cx="8021349" cy="131785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8EFA5E34-0900-4B0B-8083-64D94F292D8F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S/ 542.73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7</xdr:col>
      <xdr:colOff>127288</xdr:colOff>
      <xdr:row>66</xdr:row>
      <xdr:rowOff>151158</xdr:rowOff>
    </xdr:from>
    <xdr:to>
      <xdr:col>14</xdr:col>
      <xdr:colOff>571500</xdr:colOff>
      <xdr:row>70</xdr:row>
      <xdr:rowOff>547687</xdr:rowOff>
    </xdr:to>
    <xdr:sp macro="" textlink="$AD$35">
      <xdr:nvSpPr>
        <xdr:cNvPr id="112" name="Rectángulo 111">
          <a:extLst>
            <a:ext uri="{FF2B5EF4-FFF2-40B4-BE49-F238E27FC236}">
              <a16:creationId xmlns:a16="http://schemas.microsoft.com/office/drawing/2014/main" id="{AD4D8711-79E7-4FBB-A3C9-92E7A0C01AA7}"/>
            </a:ext>
          </a:extLst>
        </xdr:cNvPr>
        <xdr:cNvSpPr/>
      </xdr:nvSpPr>
      <xdr:spPr>
        <a:xfrm>
          <a:off x="2921288" y="16311908"/>
          <a:ext cx="8476962" cy="1158529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s-PE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t>Punto</a:t>
          </a:r>
          <a:r>
            <a:rPr lang="es-PE" sz="4800" b="1" i="0" u="none" strike="noStrike" baseline="0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t> de Equilibrio</a:t>
          </a:r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14</xdr:col>
      <xdr:colOff>755938</xdr:colOff>
      <xdr:row>66</xdr:row>
      <xdr:rowOff>144808</xdr:rowOff>
    </xdr:from>
    <xdr:to>
      <xdr:col>23</xdr:col>
      <xdr:colOff>412750</xdr:colOff>
      <xdr:row>70</xdr:row>
      <xdr:rowOff>541337</xdr:rowOff>
    </xdr:to>
    <xdr:sp macro="" textlink="$AR$22">
      <xdr:nvSpPr>
        <xdr:cNvPr id="113" name="Rectángulo 112">
          <a:extLst>
            <a:ext uri="{FF2B5EF4-FFF2-40B4-BE49-F238E27FC236}">
              <a16:creationId xmlns:a16="http://schemas.microsoft.com/office/drawing/2014/main" id="{A113BB73-2ADB-4383-B2CF-14B6338ED926}"/>
            </a:ext>
          </a:extLst>
        </xdr:cNvPr>
        <xdr:cNvSpPr/>
      </xdr:nvSpPr>
      <xdr:spPr>
        <a:xfrm>
          <a:off x="11582688" y="16305558"/>
          <a:ext cx="9816812" cy="1158529"/>
        </a:xfrm>
        <a:prstGeom prst="rect">
          <a:avLst/>
        </a:prstGeom>
        <a:solidFill>
          <a:srgbClr val="6EA2B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849A045F-502F-4446-9551-A1F658D54DFA}" type="TxLink">
            <a:rPr lang="en-US" sz="4800" b="1" i="0" u="none" strike="noStrike">
              <a:solidFill>
                <a:sysClr val="windowText" lastClr="000000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66</a:t>
          </a:fld>
          <a:endParaRPr lang="es-PE" sz="4800" b="1" i="0" u="none" strike="noStrike">
            <a:solidFill>
              <a:sysClr val="windowText" lastClr="000000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7</xdr:col>
      <xdr:colOff>49299</xdr:colOff>
      <xdr:row>52</xdr:row>
      <xdr:rowOff>69500</xdr:rowOff>
    </xdr:from>
    <xdr:to>
      <xdr:col>9</xdr:col>
      <xdr:colOff>709430</xdr:colOff>
      <xdr:row>65</xdr:row>
      <xdr:rowOff>102901</xdr:rowOff>
    </xdr:to>
    <xdr:sp macro="" textlink="">
      <xdr:nvSpPr>
        <xdr:cNvPr id="114" name="Rectángulo 113">
          <a:extLst>
            <a:ext uri="{FF2B5EF4-FFF2-40B4-BE49-F238E27FC236}">
              <a16:creationId xmlns:a16="http://schemas.microsoft.com/office/drawing/2014/main" id="{CA90104E-E4F5-C235-44FA-C80D39229C5D}"/>
            </a:ext>
          </a:extLst>
        </xdr:cNvPr>
        <xdr:cNvSpPr/>
      </xdr:nvSpPr>
      <xdr:spPr>
        <a:xfrm>
          <a:off x="2820208" y="13006182"/>
          <a:ext cx="3690813" cy="2925537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ADV Total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Costo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7</xdr:col>
      <xdr:colOff>67789</xdr:colOff>
      <xdr:row>57</xdr:row>
      <xdr:rowOff>172738</xdr:rowOff>
    </xdr:from>
    <xdr:to>
      <xdr:col>9</xdr:col>
      <xdr:colOff>699223</xdr:colOff>
      <xdr:row>61</xdr:row>
      <xdr:rowOff>287841</xdr:rowOff>
    </xdr:to>
    <xdr:sp macro="" textlink="$K$62">
      <xdr:nvSpPr>
        <xdr:cNvPr id="116" name="Rectángulo 115">
          <a:extLst>
            <a:ext uri="{FF2B5EF4-FFF2-40B4-BE49-F238E27FC236}">
              <a16:creationId xmlns:a16="http://schemas.microsoft.com/office/drawing/2014/main" id="{E9ADC752-D65F-3D05-41D9-0A6E5CFBF04E}"/>
            </a:ext>
          </a:extLst>
        </xdr:cNvPr>
        <xdr:cNvSpPr/>
      </xdr:nvSpPr>
      <xdr:spPr>
        <a:xfrm>
          <a:off x="2838698" y="14131193"/>
          <a:ext cx="3662116" cy="946375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BA0D8300-0822-462C-B5F5-253B506845D6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 S/ 136.245 </a:t>
          </a:fld>
          <a:endParaRPr lang="es-PE" sz="40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9</xdr:col>
      <xdr:colOff>756742</xdr:colOff>
      <xdr:row>52</xdr:row>
      <xdr:rowOff>66098</xdr:rowOff>
    </xdr:from>
    <xdr:to>
      <xdr:col>12</xdr:col>
      <xdr:colOff>1125066</xdr:colOff>
      <xdr:row>65</xdr:row>
      <xdr:rowOff>99499</xdr:rowOff>
    </xdr:to>
    <xdr:sp macro="" textlink="">
      <xdr:nvSpPr>
        <xdr:cNvPr id="118" name="Rectángulo 117">
          <a:extLst>
            <a:ext uri="{FF2B5EF4-FFF2-40B4-BE49-F238E27FC236}">
              <a16:creationId xmlns:a16="http://schemas.microsoft.com/office/drawing/2014/main" id="{70865AD4-CDCE-56BB-0E38-17D231D07CA8}"/>
            </a:ext>
          </a:extLst>
        </xdr:cNvPr>
        <xdr:cNvSpPr/>
      </xdr:nvSpPr>
      <xdr:spPr>
        <a:xfrm>
          <a:off x="6558333" y="13002780"/>
          <a:ext cx="3572188" cy="2925537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IMP Total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CF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775855</xdr:colOff>
      <xdr:row>57</xdr:row>
      <xdr:rowOff>169336</xdr:rowOff>
    </xdr:from>
    <xdr:to>
      <xdr:col>12</xdr:col>
      <xdr:colOff>1114860</xdr:colOff>
      <xdr:row>61</xdr:row>
      <xdr:rowOff>284439</xdr:rowOff>
    </xdr:to>
    <xdr:sp macro="" textlink="$O$62">
      <xdr:nvSpPr>
        <xdr:cNvPr id="121" name="Rectángulo 120">
          <a:extLst>
            <a:ext uri="{FF2B5EF4-FFF2-40B4-BE49-F238E27FC236}">
              <a16:creationId xmlns:a16="http://schemas.microsoft.com/office/drawing/2014/main" id="{E1BF5D6E-E2DE-60F3-9505-56654D686DBD}"/>
            </a:ext>
          </a:extLst>
        </xdr:cNvPr>
        <xdr:cNvSpPr/>
      </xdr:nvSpPr>
      <xdr:spPr>
        <a:xfrm>
          <a:off x="6577446" y="14127791"/>
          <a:ext cx="3542869" cy="94637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F0D9F0F7-7A2F-493A-A264-398E5E4ECF50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 S/ 48.121 </a:t>
          </a:fld>
          <a:endParaRPr lang="es-PE" sz="40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12</xdr:col>
      <xdr:colOff>1181966</xdr:colOff>
      <xdr:row>52</xdr:row>
      <xdr:rowOff>51810</xdr:rowOff>
    </xdr:from>
    <xdr:to>
      <xdr:col>16</xdr:col>
      <xdr:colOff>429741</xdr:colOff>
      <xdr:row>65</xdr:row>
      <xdr:rowOff>85211</xdr:rowOff>
    </xdr:to>
    <xdr:sp macro="" textlink="">
      <xdr:nvSpPr>
        <xdr:cNvPr id="122" name="Rectángulo 121">
          <a:extLst>
            <a:ext uri="{FF2B5EF4-FFF2-40B4-BE49-F238E27FC236}">
              <a16:creationId xmlns:a16="http://schemas.microsoft.com/office/drawing/2014/main" id="{50503C57-C6E0-9505-7F56-220F6D0A0E77}"/>
            </a:ext>
          </a:extLst>
        </xdr:cNvPr>
        <xdr:cNvSpPr/>
      </xdr:nvSpPr>
      <xdr:spPr>
        <a:xfrm>
          <a:off x="10187421" y="12988492"/>
          <a:ext cx="3767820" cy="2925537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IGV Total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CF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12</xdr:col>
      <xdr:colOff>1200782</xdr:colOff>
      <xdr:row>57</xdr:row>
      <xdr:rowOff>155048</xdr:rowOff>
    </xdr:from>
    <xdr:to>
      <xdr:col>16</xdr:col>
      <xdr:colOff>419534</xdr:colOff>
      <xdr:row>61</xdr:row>
      <xdr:rowOff>270151</xdr:rowOff>
    </xdr:to>
    <xdr:sp macro="" textlink="$S$62">
      <xdr:nvSpPr>
        <xdr:cNvPr id="124" name="Rectángulo 123">
          <a:extLst>
            <a:ext uri="{FF2B5EF4-FFF2-40B4-BE49-F238E27FC236}">
              <a16:creationId xmlns:a16="http://schemas.microsoft.com/office/drawing/2014/main" id="{1D10C941-6116-EBD2-52C3-1966B9A50916}"/>
            </a:ext>
          </a:extLst>
        </xdr:cNvPr>
        <xdr:cNvSpPr/>
      </xdr:nvSpPr>
      <xdr:spPr>
        <a:xfrm>
          <a:off x="10206237" y="14113503"/>
          <a:ext cx="3738797" cy="946375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B5E7F951-7DAD-4936-8924-6EA6154772CA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 S/ 385.120 </a:t>
          </a:fld>
          <a:endParaRPr lang="es-PE" sz="40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16</xdr:col>
      <xdr:colOff>479756</xdr:colOff>
      <xdr:row>52</xdr:row>
      <xdr:rowOff>37523</xdr:rowOff>
    </xdr:from>
    <xdr:to>
      <xdr:col>19</xdr:col>
      <xdr:colOff>853603</xdr:colOff>
      <xdr:row>65</xdr:row>
      <xdr:rowOff>68758</xdr:rowOff>
    </xdr:to>
    <xdr:sp macro="" textlink="">
      <xdr:nvSpPr>
        <xdr:cNvPr id="125" name="Rectángulo 124">
          <a:extLst>
            <a:ext uri="{FF2B5EF4-FFF2-40B4-BE49-F238E27FC236}">
              <a16:creationId xmlns:a16="http://schemas.microsoft.com/office/drawing/2014/main" id="{97808D72-F922-8985-6AC7-EF7224F7BB25}"/>
            </a:ext>
          </a:extLst>
        </xdr:cNvPr>
        <xdr:cNvSpPr/>
      </xdr:nvSpPr>
      <xdr:spPr>
        <a:xfrm>
          <a:off x="14005256" y="12974205"/>
          <a:ext cx="4079938" cy="292337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Percepción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Total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CF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16</xdr:col>
      <xdr:colOff>498763</xdr:colOff>
      <xdr:row>57</xdr:row>
      <xdr:rowOff>140761</xdr:rowOff>
    </xdr:from>
    <xdr:to>
      <xdr:col>19</xdr:col>
      <xdr:colOff>843396</xdr:colOff>
      <xdr:row>61</xdr:row>
      <xdr:rowOff>255864</xdr:rowOff>
    </xdr:to>
    <xdr:sp macro="" textlink="$V$62">
      <xdr:nvSpPr>
        <xdr:cNvPr id="126" name="Rectángulo 125">
          <a:extLst>
            <a:ext uri="{FF2B5EF4-FFF2-40B4-BE49-F238E27FC236}">
              <a16:creationId xmlns:a16="http://schemas.microsoft.com/office/drawing/2014/main" id="{67661A65-A4E3-12A5-0FD9-AC175673A119}"/>
            </a:ext>
          </a:extLst>
        </xdr:cNvPr>
        <xdr:cNvSpPr/>
      </xdr:nvSpPr>
      <xdr:spPr>
        <a:xfrm>
          <a:off x="14024263" y="14099216"/>
          <a:ext cx="4050724" cy="94637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4B269DB2-F677-42D2-ACA9-E5DB6E9DA7DE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 S/ 99.406 </a:t>
          </a:fld>
          <a:endParaRPr lang="es-PE" sz="40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  <xdr:twoCellAnchor>
    <xdr:from>
      <xdr:col>19</xdr:col>
      <xdr:colOff>906608</xdr:colOff>
      <xdr:row>52</xdr:row>
      <xdr:rowOff>37522</xdr:rowOff>
    </xdr:from>
    <xdr:to>
      <xdr:col>23</xdr:col>
      <xdr:colOff>348779</xdr:colOff>
      <xdr:row>65</xdr:row>
      <xdr:rowOff>68757</xdr:rowOff>
    </xdr:to>
    <xdr:sp macro="" textlink="">
      <xdr:nvSpPr>
        <xdr:cNvPr id="127" name="Rectángulo 126">
          <a:extLst>
            <a:ext uri="{FF2B5EF4-FFF2-40B4-BE49-F238E27FC236}">
              <a16:creationId xmlns:a16="http://schemas.microsoft.com/office/drawing/2014/main" id="{A2188CF7-46B4-38C1-2F8C-085C954ECED5}"/>
            </a:ext>
          </a:extLst>
        </xdr:cNvPr>
        <xdr:cNvSpPr/>
      </xdr:nvSpPr>
      <xdr:spPr>
        <a:xfrm>
          <a:off x="18138199" y="12974204"/>
          <a:ext cx="4204671" cy="2923371"/>
        </a:xfrm>
        <a:prstGeom prst="rect">
          <a:avLst/>
        </a:prstGeom>
        <a:solidFill>
          <a:srgbClr val="E6E4D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Deuda Aduanera</a:t>
          </a:r>
        </a:p>
        <a:p>
          <a:pPr algn="l"/>
          <a:r>
            <a:rPr lang="es-PE" sz="32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Total  </a:t>
          </a:r>
          <a:r>
            <a:rPr lang="es-PE" sz="24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(S/.) </a:t>
          </a:r>
        </a:p>
        <a:p>
          <a:pPr algn="l"/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 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</a:p>
        <a:p>
          <a:pPr algn="l"/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   </a:t>
          </a:r>
          <a:r>
            <a:rPr lang="en-US" sz="2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PE" sz="2000" b="0" i="0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DA</a:t>
          </a:r>
          <a:endParaRPr lang="es-PE" sz="3200" b="0" i="0">
            <a:solidFill>
              <a:schemeClr val="tx1">
                <a:lumMod val="75000"/>
                <a:lumOff val="25000"/>
              </a:schemeClr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19</xdr:col>
      <xdr:colOff>925346</xdr:colOff>
      <xdr:row>57</xdr:row>
      <xdr:rowOff>140760</xdr:rowOff>
    </xdr:from>
    <xdr:to>
      <xdr:col>23</xdr:col>
      <xdr:colOff>338571</xdr:colOff>
      <xdr:row>61</xdr:row>
      <xdr:rowOff>255863</xdr:rowOff>
    </xdr:to>
    <xdr:sp macro="" textlink="$I$65">
      <xdr:nvSpPr>
        <xdr:cNvPr id="128" name="Rectángulo 127">
          <a:extLst>
            <a:ext uri="{FF2B5EF4-FFF2-40B4-BE49-F238E27FC236}">
              <a16:creationId xmlns:a16="http://schemas.microsoft.com/office/drawing/2014/main" id="{83FC4095-603B-BBE0-9EF7-E8C94A0F1D0F}"/>
            </a:ext>
          </a:extLst>
        </xdr:cNvPr>
        <xdr:cNvSpPr/>
      </xdr:nvSpPr>
      <xdr:spPr>
        <a:xfrm>
          <a:off x="18156937" y="14099215"/>
          <a:ext cx="4175725" cy="946375"/>
        </a:xfrm>
        <a:prstGeom prst="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fld id="{23AD938A-28E7-472A-8C25-03376348EF2A}" type="TxLink">
            <a:rPr lang="en-US" sz="4000" b="1" i="0" u="none" strike="noStrike">
              <a:solidFill>
                <a:schemeClr val="bg1"/>
              </a:solidFill>
              <a:latin typeface="Biome Light" panose="020B0502040204020203" pitchFamily="34" charset="0"/>
              <a:ea typeface="+mn-ea"/>
              <a:cs typeface="Biome Light" panose="020B0502040204020203" pitchFamily="34" charset="0"/>
            </a:rPr>
            <a:pPr marL="0" indent="0" algn="l"/>
            <a:t> S/ 569.486 </a:t>
          </a:fld>
          <a:endParaRPr lang="es-PE" sz="4000" b="1" i="0" u="none" strike="noStrike">
            <a:solidFill>
              <a:schemeClr val="bg1"/>
            </a:solidFill>
            <a:latin typeface="Biome Light" panose="020B0502040204020203" pitchFamily="34" charset="0"/>
            <a:ea typeface="+mn-ea"/>
            <a:cs typeface="Biome Light" panose="020B0502040204020203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bliotecas\Descargas\calculadora_DETALLE_x_PRODUCTO.xlsx" TargetMode="External"/><Relationship Id="rId1" Type="http://schemas.openxmlformats.org/officeDocument/2006/relationships/externalLinkPath" Target="file:///D:\Bibliotecas\Descargas\calculadora_DETALLE_x_PRODUC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🏠 PORTADA"/>
      <sheetName val="📖 Instrucciones"/>
      <sheetName val="📋 Datos Generales"/>
      <sheetName val="🧾 Factura Comercial"/>
      <sheetName val="📦 Gastos Importación"/>
      <sheetName val="🧾 Tributos Aduana"/>
      <sheetName val="🧮 Costos x Producto"/>
      <sheetName val="💰 Precio de Venta"/>
      <sheetName val="🏦 Crédito Fiscal"/>
      <sheetName val="📊 Dashboard"/>
      <sheetName val="🔍 Detalle x Producto"/>
    </sheetNames>
    <sheetDataSet>
      <sheetData sheetId="0"/>
      <sheetData sheetId="1"/>
      <sheetData sheetId="2">
        <row r="19">
          <cell r="C19">
            <v>3.72</v>
          </cell>
        </row>
      </sheetData>
      <sheetData sheetId="3">
        <row r="4">
          <cell r="C4" t="str">
            <v>Friction Car Platform Cover</v>
          </cell>
          <cell r="D4" t="str">
            <v>Unid.</v>
          </cell>
          <cell r="E4">
            <v>480</v>
          </cell>
          <cell r="F4">
            <v>1.21</v>
          </cell>
          <cell r="G4">
            <v>580.79999999999995</v>
          </cell>
        </row>
        <row r="5">
          <cell r="C5" t="str">
            <v>Friction Cars OPP Bag 23cm</v>
          </cell>
          <cell r="D5" t="str">
            <v>Unid.</v>
          </cell>
          <cell r="E5">
            <v>2880</v>
          </cell>
          <cell r="F5">
            <v>0.68</v>
          </cell>
          <cell r="G5">
            <v>1958.4</v>
          </cell>
        </row>
        <row r="6">
          <cell r="C6" t="str">
            <v>Free Wheel Motor OPP Bag 21cm</v>
          </cell>
          <cell r="D6" t="str">
            <v>Unid.</v>
          </cell>
          <cell r="E6">
            <v>2880</v>
          </cell>
          <cell r="F6">
            <v>0.4</v>
          </cell>
          <cell r="G6">
            <v>1152</v>
          </cell>
        </row>
        <row r="7">
          <cell r="C7" t="str">
            <v>Friction Cars OPP Bag 22cm</v>
          </cell>
          <cell r="D7" t="str">
            <v>Unid.</v>
          </cell>
          <cell r="E7">
            <v>10224</v>
          </cell>
          <cell r="F7">
            <v>0.34</v>
          </cell>
          <cell r="G7">
            <v>3476.16</v>
          </cell>
        </row>
        <row r="8">
          <cell r="C8" t="str">
            <v>Pull Line Friction Car OPP Bag</v>
          </cell>
          <cell r="D8" t="str">
            <v>Unid.</v>
          </cell>
          <cell r="E8">
            <v>8640</v>
          </cell>
          <cell r="F8">
            <v>0.26</v>
          </cell>
          <cell r="G8">
            <v>2246.4</v>
          </cell>
        </row>
        <row r="9">
          <cell r="C9" t="str">
            <v>Friction Car OPP Bag</v>
          </cell>
          <cell r="D9" t="str">
            <v>Unid.</v>
          </cell>
          <cell r="E9">
            <v>2160</v>
          </cell>
          <cell r="F9">
            <v>0.28999999999999998</v>
          </cell>
          <cell r="G9">
            <v>626.4</v>
          </cell>
        </row>
        <row r="10">
          <cell r="C10" t="str">
            <v>Free Wheel Ride on Digger Handle</v>
          </cell>
          <cell r="D10" t="str">
            <v>Unid.</v>
          </cell>
          <cell r="E10">
            <v>240</v>
          </cell>
          <cell r="F10">
            <v>5.71</v>
          </cell>
          <cell r="G10">
            <v>1370.4</v>
          </cell>
        </row>
        <row r="11">
          <cell r="C11" t="str">
            <v>Friction Car with Music and Light</v>
          </cell>
          <cell r="D11" t="str">
            <v>Unid.</v>
          </cell>
          <cell r="E11">
            <v>1920</v>
          </cell>
          <cell r="F11">
            <v>0.76</v>
          </cell>
          <cell r="G11">
            <v>1459.2</v>
          </cell>
        </row>
        <row r="12">
          <cell r="C12" t="str">
            <v>Pull Line Function Car OPP Bag</v>
          </cell>
          <cell r="D12" t="str">
            <v>Unid.</v>
          </cell>
          <cell r="E12">
            <v>4800</v>
          </cell>
          <cell r="F12">
            <v>0.28000000000000003</v>
          </cell>
          <cell r="G12">
            <v>1344</v>
          </cell>
        </row>
      </sheetData>
      <sheetData sheetId="4">
        <row r="27">
          <cell r="C27">
            <v>16127.2421052632</v>
          </cell>
        </row>
      </sheetData>
      <sheetData sheetId="5">
        <row r="5">
          <cell r="C5">
            <v>14213.76</v>
          </cell>
        </row>
        <row r="13">
          <cell r="C13">
            <v>14687.5582105263</v>
          </cell>
        </row>
        <row r="16">
          <cell r="C16">
            <v>881</v>
          </cell>
        </row>
        <row r="17">
          <cell r="C17">
            <v>311</v>
          </cell>
        </row>
        <row r="18">
          <cell r="C18">
            <v>2491</v>
          </cell>
        </row>
        <row r="19">
          <cell r="C19">
            <v>3683</v>
          </cell>
        </row>
        <row r="22">
          <cell r="C22">
            <v>642.97</v>
          </cell>
        </row>
      </sheetData>
      <sheetData sheetId="6">
        <row r="3">
          <cell r="D3"/>
          <cell r="F3"/>
        </row>
        <row r="4">
          <cell r="D4"/>
        </row>
        <row r="6">
          <cell r="F6">
            <v>580.79999999999995</v>
          </cell>
          <cell r="H6">
            <v>2.6982247049412198</v>
          </cell>
          <cell r="I6">
            <v>10.0373959023813</v>
          </cell>
        </row>
        <row r="7">
          <cell r="F7">
            <v>1958.4</v>
          </cell>
          <cell r="H7">
            <v>1.5163576854215099</v>
          </cell>
          <cell r="I7">
            <v>5.6408505897680197</v>
          </cell>
        </row>
        <row r="8">
          <cell r="F8">
            <v>1152</v>
          </cell>
          <cell r="H8">
            <v>0.89197510907147604</v>
          </cell>
          <cell r="I8">
            <v>3.31814740574589</v>
          </cell>
        </row>
        <row r="9">
          <cell r="F9">
            <v>3476.16</v>
          </cell>
          <cell r="H9">
            <v>0.75817884271075497</v>
          </cell>
          <cell r="I9">
            <v>2.8204252948840098</v>
          </cell>
        </row>
        <row r="10">
          <cell r="F10">
            <v>2246.4</v>
          </cell>
          <cell r="H10">
            <v>0.57978382089645997</v>
          </cell>
          <cell r="I10">
            <v>2.15679581373483</v>
          </cell>
        </row>
        <row r="11">
          <cell r="F11">
            <v>626.4</v>
          </cell>
          <cell r="H11">
            <v>0.64668195407682005</v>
          </cell>
          <cell r="I11">
            <v>2.40565686916577</v>
          </cell>
        </row>
        <row r="12">
          <cell r="F12">
            <v>1370.4</v>
          </cell>
          <cell r="H12">
            <v>12.732944681995299</v>
          </cell>
          <cell r="I12">
            <v>47.366554217022603</v>
          </cell>
        </row>
        <row r="13">
          <cell r="F13">
            <v>1459.2</v>
          </cell>
          <cell r="H13">
            <v>1.69475270723581</v>
          </cell>
          <cell r="I13">
            <v>6.3044800709172</v>
          </cell>
        </row>
        <row r="14">
          <cell r="F14">
            <v>1344</v>
          </cell>
          <cell r="H14">
            <v>0.62438257635003402</v>
          </cell>
          <cell r="I14">
            <v>2.3227031840221302</v>
          </cell>
        </row>
      </sheetData>
      <sheetData sheetId="7">
        <row r="5">
          <cell r="E5">
            <v>0.4</v>
          </cell>
          <cell r="F5">
            <v>16.728993170635501</v>
          </cell>
          <cell r="G5">
            <v>19.740211941349902</v>
          </cell>
          <cell r="H5">
            <v>6.6915972682542204</v>
          </cell>
          <cell r="I5">
            <v>66</v>
          </cell>
        </row>
        <row r="6">
          <cell r="E6">
            <v>0.4</v>
          </cell>
          <cell r="F6">
            <v>9.4014176496133608</v>
          </cell>
          <cell r="G6">
            <v>11.0936728265438</v>
          </cell>
          <cell r="H6">
            <v>3.76056705984535</v>
          </cell>
          <cell r="I6">
            <v>394</v>
          </cell>
        </row>
        <row r="7">
          <cell r="E7">
            <v>0.4</v>
          </cell>
          <cell r="F7">
            <v>5.5302456762431502</v>
          </cell>
          <cell r="G7">
            <v>6.5256898979669202</v>
          </cell>
          <cell r="H7">
            <v>2.2120982704972598</v>
          </cell>
          <cell r="I7">
            <v>394</v>
          </cell>
        </row>
        <row r="8">
          <cell r="E8">
            <v>0.4</v>
          </cell>
          <cell r="F8">
            <v>4.7007088248066804</v>
          </cell>
          <cell r="G8">
            <v>5.5468364132718797</v>
          </cell>
          <cell r="H8">
            <v>1.8802835299226699</v>
          </cell>
          <cell r="I8">
            <v>1398</v>
          </cell>
        </row>
        <row r="9">
          <cell r="E9">
            <v>0.4</v>
          </cell>
          <cell r="F9">
            <v>3.5946596895580498</v>
          </cell>
          <cell r="G9">
            <v>4.2416984336784997</v>
          </cell>
          <cell r="H9">
            <v>1.4378638758232201</v>
          </cell>
          <cell r="I9">
            <v>1181</v>
          </cell>
        </row>
        <row r="10">
          <cell r="E10">
            <v>0.4</v>
          </cell>
          <cell r="F10">
            <v>4.0094281152762896</v>
          </cell>
          <cell r="G10">
            <v>4.73112517602602</v>
          </cell>
          <cell r="H10">
            <v>1.60377124611051</v>
          </cell>
          <cell r="I10">
            <v>296</v>
          </cell>
        </row>
        <row r="11">
          <cell r="E11">
            <v>0.4</v>
          </cell>
          <cell r="F11">
            <v>78.944257028370998</v>
          </cell>
          <cell r="G11">
            <v>93.154223293477799</v>
          </cell>
          <cell r="H11">
            <v>31.577702811348399</v>
          </cell>
          <cell r="I11">
            <v>33</v>
          </cell>
        </row>
        <row r="12">
          <cell r="E12">
            <v>0.4</v>
          </cell>
          <cell r="F12">
            <v>10.507466784862</v>
          </cell>
          <cell r="G12">
            <v>12.398810806137201</v>
          </cell>
          <cell r="H12">
            <v>4.2029867139448003</v>
          </cell>
          <cell r="I12">
            <v>263</v>
          </cell>
        </row>
        <row r="13">
          <cell r="E13">
            <v>0.4</v>
          </cell>
          <cell r="F13">
            <v>3.8711719733702101</v>
          </cell>
          <cell r="G13">
            <v>4.5679829285768498</v>
          </cell>
          <cell r="H13">
            <v>1.54846878934808</v>
          </cell>
          <cell r="I13">
            <v>657</v>
          </cell>
        </row>
      </sheetData>
      <sheetData sheetId="8">
        <row r="10">
          <cell r="C10">
            <v>6341.0972926315799</v>
          </cell>
        </row>
        <row r="11">
          <cell r="C11">
            <v>23588.881928589501</v>
          </cell>
        </row>
      </sheetData>
      <sheetData sheetId="9"/>
      <sheetData sheetId="10">
        <row r="200">
          <cell r="C200" t="str">
            <v>Ganancia Total S/.</v>
          </cell>
          <cell r="D200" t="str">
            <v>C/M Unit S/.</v>
          </cell>
          <cell r="E200" t="str">
            <v>PV Unit S/.</v>
          </cell>
        </row>
        <row r="201">
          <cell r="B201" t="str">
            <v>Friction Car Platform Cover</v>
          </cell>
          <cell r="C201">
            <v>3211.9666887620201</v>
          </cell>
          <cell r="D201">
            <v>10.0373959023813</v>
          </cell>
          <cell r="E201">
            <v>19.740211941349902</v>
          </cell>
        </row>
        <row r="202">
          <cell r="B202" t="str">
            <v>Friction Cars OPP Bag 23cm</v>
          </cell>
          <cell r="C202">
            <v>10830.433132354599</v>
          </cell>
          <cell r="D202">
            <v>5.6408505897680197</v>
          </cell>
          <cell r="E202">
            <v>11.0936728265438</v>
          </cell>
        </row>
        <row r="203">
          <cell r="B203" t="str">
            <v>Free Wheel Motor OPP Bag 21cm</v>
          </cell>
          <cell r="C203">
            <v>6370.8430190321096</v>
          </cell>
          <cell r="D203">
            <v>3.31814740574589</v>
          </cell>
          <cell r="E203">
            <v>6.5256898979669202</v>
          </cell>
        </row>
        <row r="204">
          <cell r="B204" t="str">
            <v>Friction Cars OPP Bag 22cm</v>
          </cell>
          <cell r="C204">
            <v>19224.018809929399</v>
          </cell>
          <cell r="D204">
            <v>2.8204252948840098</v>
          </cell>
          <cell r="E204">
            <v>5.5468364132718797</v>
          </cell>
        </row>
        <row r="205">
          <cell r="B205" t="str">
            <v>Pull Line Friction Car OPP Bag</v>
          </cell>
          <cell r="C205">
            <v>12423.143887112599</v>
          </cell>
          <cell r="D205">
            <v>2.15679581373483</v>
          </cell>
          <cell r="E205">
            <v>4.2416984336784997</v>
          </cell>
        </row>
        <row r="206">
          <cell r="B206" t="str">
            <v>Friction Car OPP Bag</v>
          </cell>
          <cell r="C206">
            <v>3464.14589159871</v>
          </cell>
          <cell r="D206">
            <v>2.40565686916577</v>
          </cell>
          <cell r="E206">
            <v>4.73112517602602</v>
          </cell>
        </row>
        <row r="207">
          <cell r="B207" t="str">
            <v>Free Wheel Ride on Digger Handle</v>
          </cell>
          <cell r="C207">
            <v>7578.6486747236204</v>
          </cell>
          <cell r="D207">
            <v>47.366554217022603</v>
          </cell>
          <cell r="E207">
            <v>93.154223293477799</v>
          </cell>
        </row>
        <row r="208">
          <cell r="B208" t="str">
            <v>Friction Car with Music and Light</v>
          </cell>
          <cell r="C208">
            <v>8069.7344907740098</v>
          </cell>
          <cell r="D208">
            <v>6.3044800709172</v>
          </cell>
          <cell r="E208">
            <v>12.398810806137201</v>
          </cell>
        </row>
        <row r="209">
          <cell r="B209" t="str">
            <v>Pull Line Function Car OPP Bag</v>
          </cell>
          <cell r="C209">
            <v>7432.6501888707999</v>
          </cell>
          <cell r="D209">
            <v>2.3227031840221302</v>
          </cell>
          <cell r="E209">
            <v>4.5679829285768498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621DC-7D55-48A2-88EB-348575807B7E}" name="TABLA_BASE" displayName="TABLA_BASE" ref="A2:BB502" totalsRowShown="0" headerRowDxfId="57" dataDxfId="55" headerRowBorderDxfId="56" tableBorderDxfId="54">
  <autoFilter ref="A2:BB502" xr:uid="{0DD621DC-7D55-48A2-88EB-348575807B7E}"/>
  <tableColumns count="54">
    <tableColumn id="1" xr3:uid="{BFCCEBB0-4DAC-4EC0-89A0-A6AF0F093708}" name="DESCRIPCIÓN DEL PRODUCTO" dataDxfId="53">
      <calculatedColumnFormula>'🧾 Factura Comercial'!E7</calculatedColumnFormula>
    </tableColumn>
    <tableColumn id="2" xr3:uid="{DAF9AC45-974A-4902-A934-8768A3835921}" name="UNIDAD" dataDxfId="52">
      <calculatedColumnFormula>'🧾 Factura Comercial'!F7</calculatedColumnFormula>
    </tableColumn>
    <tableColumn id="3" xr3:uid="{12DCC8B7-C826-410F-BFC0-5AD54A09A915}" name="CANTIDAD_x000a_(unid.)" dataDxfId="51" dataCellStyle="Millares">
      <calculatedColumnFormula>'🧾 Factura Comercial'!G7</calculatedColumnFormula>
    </tableColumn>
    <tableColumn id="4" xr3:uid="{1E02DFDF-F0C2-4B5F-B2B9-DBE797232326}" name="FOB UNIT. _x000a_(US$)" dataDxfId="50">
      <calculatedColumnFormula>'🧾 Factura Comercial'!H7</calculatedColumnFormula>
    </tableColumn>
    <tableColumn id="5" xr3:uid="{350336EE-3E23-4C3C-AEC8-31B90365D43C}" name="FOB TOTAL_x000a_(US$)" dataDxfId="49">
      <calculatedColumnFormula>'🧾 Factura Comercial'!I7</calculatedColumnFormula>
    </tableColumn>
    <tableColumn id="6" xr3:uid="{34918AB4-1633-4E47-B012-9DD84AD808F3}" name="% PART._x000a_FOB" dataDxfId="48" dataCellStyle="Porcentaje">
      <calculatedColumnFormula>IF('🧾 Tributos Aduana'!$F$6=0,0,'🧾 Factura Comercial'!I7/'🧾 Tributos Aduana'!$F$6)</calculatedColumnFormula>
    </tableColumn>
    <tableColumn id="7" xr3:uid="{6088681D-8919-441E-A69D-1DAAAE1AD6C8}" name="FOB UNIT._x000a_(S/.)" dataDxfId="47">
      <calculatedColumnFormula>'🧾 Factura Comercial'!H7*'📋 Datos Generales'!$E$19</calculatedColumnFormula>
    </tableColumn>
    <tableColumn id="8" xr3:uid="{F82779B7-3897-4434-AD09-6DD3B9E9FCBD}" name="FOB TOTAL_x000a_(S/.)" dataDxfId="46">
      <calculatedColumnFormula>TABLA_BASE[[#This Row],[FOB UNIT.
(S/.)]]*TABLA_BASE[[#This Row],[CANTIDAD
(unid.)]]</calculatedColumnFormula>
    </tableColumn>
    <tableColumn id="10" xr3:uid="{06987040-7E11-47CE-A764-899C145149A8}" name="ADV UNIT._x000a_(US$)_x000a_⚠️COSTO" dataDxfId="45">
      <calculatedColumnFormula>IF('🧾 Tributos Aduana'!$F$6=0,0,'🧾 Tributos Aduana'!$F$17*('🧾 Factura Comercial'!H7/'🧾 Tributos Aduana'!$F$6))</calculatedColumnFormula>
    </tableColumn>
    <tableColumn id="37" xr3:uid="{CE9CF4FB-6D6E-4AB4-B859-B7BDBAAA3AFD}" name="ADV TOTAL_x000a_(US$)_x000a_⚠️COSTO" dataDxfId="44">
      <calculatedColumnFormula>TABLA_BASE[[#This Row],[ADV UNIT.
(US$)
⚠️COSTO]]*TABLA_BASE[[#This Row],[CANTIDAD
(unid.)]]</calculatedColumnFormula>
    </tableColumn>
    <tableColumn id="11" xr3:uid="{B59B636E-75B7-433E-8A7C-C4ED03E63EED}" name="IPM UNIT._x000a_(US$)_x000a_✅CF" dataDxfId="43">
      <calculatedColumnFormula>IF('🧾 Tributos Aduana'!$F$6=0,0,'🧾 Tributos Aduana'!$F$18*('🧾 Factura Comercial'!H7/'🧾 Tributos Aduana'!$F$6))</calculatedColumnFormula>
    </tableColumn>
    <tableColumn id="38" xr3:uid="{1A5B0FBE-5D25-43A7-B6A6-9736FAD8BAC7}" name="IPM TOTAL_x000a_(US$)_x000a_✅CF" dataDxfId="42">
      <calculatedColumnFormula>TABLA_BASE[[#This Row],[IPM UNIT.
(US$)
✅CF]]*TABLA_BASE[[#This Row],[CANTIDAD
(unid.)]]</calculatedColumnFormula>
    </tableColumn>
    <tableColumn id="12" xr3:uid="{6DC09206-F3D2-4139-822E-E7120F0E3679}" name="IGV UNIT._x000a_(US$)_x000a_✅CF" dataDxfId="41">
      <calculatedColumnFormula>IF('🧾 Tributos Aduana'!$F$6=0,0,'🧾 Tributos Aduana'!$F$19*('🧾 Factura Comercial'!H7/'🧾 Tributos Aduana'!$F$6))</calculatedColumnFormula>
    </tableColumn>
    <tableColumn id="39" xr3:uid="{EB5DFB67-E67E-40E9-ACA4-4CB934759A66}" name="IGV  TOTAL_x000a_(US$)_x000a_✅CF" dataDxfId="40">
      <calculatedColumnFormula>TABLA_BASE[[#This Row],[IGV UNIT.
(US$)
✅CF]]*TABLA_BASE[[#This Row],[CANTIDAD
(unid.)]]</calculatedColumnFormula>
    </tableColumn>
    <tableColumn id="13" xr3:uid="{90887FA9-3968-4637-9C18-A8DE61B4402F}" name="PERCEP._x000a_UNIT.(US$)_x000a_✅CF" dataDxfId="39">
      <calculatedColumnFormula>IF('🧾 Tributos Aduana'!$F$6=0,0,'🧾 Tributos Aduana'!$F$23*('🧾 Factura Comercial'!H7/'🧾 Tributos Aduana'!$F$6))</calculatedColumnFormula>
    </tableColumn>
    <tableColumn id="40" xr3:uid="{1FCA52FD-5B75-4C94-A77C-D45E2EF1B5FE}" name="PERCEP._x000a_TOTAL.(US$)_x000a_✅CF" dataDxfId="38">
      <calculatedColumnFormula>TABLA_BASE[[#This Row],[PERCEP.
UNIT.(US$)
✅CF]]*TABLA_BASE[[#This Row],[CANTIDAD
(unid.)]]</calculatedColumnFormula>
    </tableColumn>
    <tableColumn id="14" xr3:uid="{5EEEDE26-527E-4939-ACE6-07DE83404289}" name="DEUDA_x000a_ADUANERA_x000a_UNIT." dataDxfId="37">
      <calculatedColumnFormula>TABLA_BASE[[#This Row],[ADV UNIT.
(US$)
⚠️COSTO]]+TABLA_BASE[[#This Row],[IPM UNIT.
(US$)
✅CF]]+TABLA_BASE[[#This Row],[IGV UNIT.
(US$)
✅CF]]</calculatedColumnFormula>
    </tableColumn>
    <tableColumn id="41" xr3:uid="{823A970B-CBC0-49BE-B963-D49AA8ABC240}" name="DEUDA_x000a_ADUANERA_x000a_TOTAL" dataDxfId="3">
      <calculatedColumnFormula>TABLA_BASE[[#This Row],[DEUDA
ADUANERA
UNIT.]]*TABLA_BASE[[#This Row],[CANTIDAD
(unid.)]]</calculatedColumnFormula>
    </tableColumn>
    <tableColumn id="54" xr3:uid="{36B558E8-0641-4ABE-9064-F27CB6D1D9EE}" name="DEUDA_x000a_ADUANERA_x000a_UNIT. /S/.)" dataDxfId="0">
      <calculatedColumnFormula>TABLA_BASE[[#This Row],[DEUDA
ADUANERA
UNIT.]]*'📋 Datos Generales'!$E$19</calculatedColumnFormula>
    </tableColumn>
    <tableColumn id="53" xr3:uid="{671058BB-C1CD-48B7-9A4F-7BA302B1239E}" name="DEUDA_x000a_ADUANERA_x000a_TOTAL (s/.)2" dataDxfId="1">
      <calculatedColumnFormula>TABLA_BASE[[#This Row],[DEUDA
ADUANERA
TOTAL]]*'📋 Datos Generales'!$E$19</calculatedColumnFormula>
    </tableColumn>
    <tableColumn id="15" xr3:uid="{94012032-DC8F-4C08-86FD-9CF341620805}" name="ADV UNIT._x000a_(S/.)" dataDxfId="2">
      <calculatedColumnFormula>TABLA_BASE[[#This Row],[ADV UNIT.
(US$)
⚠️COSTO]]*'📋 Datos Generales'!$E$19</calculatedColumnFormula>
    </tableColumn>
    <tableColumn id="42" xr3:uid="{EDA78211-D92B-4FFB-892E-3CC6349D3EBB}" name="ADV  TOTAL._x000a_(S/.)" dataDxfId="36">
      <calculatedColumnFormula>TABLA_BASE[[#This Row],[ADV UNIT.
(S/.)]]*TABLA_BASE[[#This Row],[CANTIDAD
(unid.)]]</calculatedColumnFormula>
    </tableColumn>
    <tableColumn id="16" xr3:uid="{EBB1F528-D93F-44DA-AA49-47CEBCD4C18A}" name="IPM UNIT._x000a_(S/.)" dataDxfId="35">
      <calculatedColumnFormula>TABLA_BASE[[#This Row],[IPM UNIT.
(US$)
✅CF]]*'📋 Datos Generales'!$E$19</calculatedColumnFormula>
    </tableColumn>
    <tableColumn id="43" xr3:uid="{60F6F82D-4707-4626-98A2-35900A38B0D9}" name="IPM TOTAL_x000a_(S/.)2" dataDxfId="34">
      <calculatedColumnFormula>TABLA_BASE[[#This Row],[IPM UNIT.
(S/.)]]*TABLA_BASE[[#This Row],[CANTIDAD
(unid.)]]</calculatedColumnFormula>
    </tableColumn>
    <tableColumn id="17" xr3:uid="{6E358EB0-7FD6-4C82-B99C-6D68E04CCC0E}" name="IGV UNIT._x000a_(S/.)" dataDxfId="33">
      <calculatedColumnFormula>TABLA_BASE[[#This Row],[IGV UNIT.
(US$)
✅CF]]*'📋 Datos Generales'!$E$19</calculatedColumnFormula>
    </tableColumn>
    <tableColumn id="44" xr3:uid="{180755A8-A394-4960-9BD1-2AD153C13194}" name="IGV TOTAL_x000a_(S/.)2" dataDxfId="32">
      <calculatedColumnFormula>TABLA_BASE[[#This Row],[IGV UNIT.
(S/.)]]*TABLA_BASE[[#This Row],[CANTIDAD
(unid.)]]</calculatedColumnFormula>
    </tableColumn>
    <tableColumn id="18" xr3:uid="{F8CBC963-ED93-414D-9D8D-C96928D51DDC}" name="PERCEP._x000a_UNIT.(S/.)" dataDxfId="31">
      <calculatedColumnFormula>TABLA_BASE[[#This Row],[PERCEP.
UNIT.(US$)
✅CF]]*'📋 Datos Generales'!$E$19</calculatedColumnFormula>
    </tableColumn>
    <tableColumn id="45" xr3:uid="{2626EC3A-3675-42DE-AECC-99CAE0CAC316}" name="PERCEP._x000a_TOTAL.(S/.)2" dataDxfId="30">
      <calculatedColumnFormula>TABLA_BASE[[#This Row],[PERCEP.
UNIT.(S/.)]]*TABLA_BASE[[#This Row],[CANTIDAD
(unid.)]]</calculatedColumnFormula>
    </tableColumn>
    <tableColumn id="19" xr3:uid="{A43972B9-D373-4EA0-9218-62F2EB8AB6AC}" name="TOTAL PAGO_x000a_SUNAT_x000a_UNIT.(US$)" dataDxfId="29">
      <calculatedColumnFormula>TABLA_BASE[[#This Row],[ADV UNIT.
(US$)
⚠️COSTO]]+TABLA_BASE[[#This Row],[IPM UNIT.
(US$)
✅CF]]+TABLA_BASE[[#This Row],[IGV UNIT.
(US$)
✅CF]]+TABLA_BASE[[#This Row],[PERCEP.
UNIT.(US$)
✅CF]]</calculatedColumnFormula>
    </tableColumn>
    <tableColumn id="46" xr3:uid="{0621D69C-4710-4654-A54E-926D98D8FD5A}" name="TOTAL PAGO_x000a_SUNAT_x000a_TOTAL(US$)" dataDxfId="28">
      <calculatedColumnFormula>TABLA_BASE[[#This Row],[TOTAL PAGO
SUNAT
UNIT.(US$)]]*TABLA_BASE[[#This Row],[CANTIDAD
(unid.)]]</calculatedColumnFormula>
    </tableColumn>
    <tableColumn id="20" xr3:uid="{991E09B4-5041-42D1-9734-08FB5A941E9B}" name="TOTAL TRIB._x000a_UNIT.(S/.)" dataDxfId="27">
      <calculatedColumnFormula>TABLA_BASE[[#This Row],[TOTAL PAGO
SUNAT
UNIT.(US$)]]*'📋 Datos Generales'!$E$19</calculatedColumnFormula>
    </tableColumn>
    <tableColumn id="47" xr3:uid="{CF5B1DDE-E086-4C83-8BD8-3675F367186B}" name="TOTAL TRIB._x000a_TOTAL .(S/.)" dataDxfId="26">
      <calculatedColumnFormula>TABLA_BASE[[#This Row],[TOTAL TRIB.
UNIT.(S/.)]]*TABLA_BASE[[#This Row],[CANTIDAD
(unid.)]]</calculatedColumnFormula>
    </tableColumn>
    <tableColumn id="21" xr3:uid="{2220248C-106A-47FB-AB83-922F883AD098}" name="GASTOS IMP._x000a_UNIT.(US$)" dataDxfId="25">
      <calculatedColumnFormula>IF('🧾 Factura Comercial'!G7=0,0,'📦 Gastos Importación'!$E$28*(IF('🧾 Tributos Aduana'!$F$6=0,0,'🧾 Factura Comercial'!I7/'🧾 Tributos Aduana'!$F$6))/'🧾 Factura Comercial'!G7)</calculatedColumnFormula>
    </tableColumn>
    <tableColumn id="48" xr3:uid="{A0AD8400-2E81-4A47-815C-C968A63FBE2D}" name="GASTOS IMP._x000a_TOTAL.(US$)2" dataDxfId="24">
      <calculatedColumnFormula>TABLA_BASE[[#This Row],[GASTOS IMP.
UNIT.(US$)]]*TABLA_BASE[[#This Row],[CANTIDAD
(unid.)]]</calculatedColumnFormula>
    </tableColumn>
    <tableColumn id="22" xr3:uid="{F078DD08-FDEB-415D-A808-9F2FF208A2B7}" name="GASTOS IMP._x000a_UNIT.(S/.)" dataDxfId="23">
      <calculatedColumnFormula>TABLA_BASE[[#This Row],[GASTOS IMP.
UNIT.(US$)]]*'📋 Datos Generales'!$E$19</calculatedColumnFormula>
    </tableColumn>
    <tableColumn id="49" xr3:uid="{3C6151E5-41B1-4F1E-9089-44E38D510F64}" name="GASTOS IMP._x000a_TOTAL.(S/.)2" dataDxfId="22">
      <calculatedColumnFormula>TABLA_BASE[[#This Row],[GASTOS IMP.
UNIT.(S/.)]]*TABLA_BASE[[#This Row],[CANTIDAD
(unid.)]]</calculatedColumnFormula>
    </tableColumn>
    <tableColumn id="23" xr3:uid="{BE4722AC-363D-4FB3-BCFF-0A08DA97150A}" name="C/M UNIT._x000a_(US$)" dataDxfId="21">
      <calculatedColumnFormula>'🧮 Costos x Producto'!J7</calculatedColumnFormula>
    </tableColumn>
    <tableColumn id="24" xr3:uid="{D85233DB-A58C-4C32-B021-3227A37018B3}" name="C/M UNIT._x000a_(S/.)" dataDxfId="20">
      <calculatedColumnFormula>'🧮 Costos x Producto'!K7</calculatedColumnFormula>
    </tableColumn>
    <tableColumn id="9" xr3:uid="{36FF6A06-0EB6-4649-9B6F-34B5E235064A}" name="C/M TOTAL_x000a_(S/.)2" dataDxfId="6">
      <calculatedColumnFormula>TABLA_BASE[[#This Row],[C/M UNIT.
(S/.)]]*TABLA_BASE[[#This Row],[CANTIDAD
(unid.)]]</calculatedColumnFormula>
    </tableColumn>
    <tableColumn id="25" xr3:uid="{03AA727C-4E17-4DDF-B74F-B3C0933CCDB3}" name="ADV UNIT._x000a_⚠️COSTO_x000a_(US$)" dataDxfId="19">
      <calculatedColumnFormula>IF('🧾 Factura Comercial'!G7=0,0,'🧾 Tributos Aduana'!$F$17*(IF('🧾 Tributos Aduana'!$F$6=0,0,'🧾 Factura Comercial'!I7/'🧾 Tributos Aduana'!$F$6))/'🧾 Factura Comercial'!G7)</calculatedColumnFormula>
    </tableColumn>
    <tableColumn id="26" xr3:uid="{048E400F-7112-4835-9C09-AB9FC91B7ABC}" name="CF UNIT._x000a_✅RECUP._x000a_(US$)" dataDxfId="18">
      <calculatedColumnFormula>IF('🧾 Factura Comercial'!G7=0,0,'🏦 Crédito Fiscal'!$C$16*(IF('🧾 Tributos Aduana'!$F$6=0,0,'🧾 Factura Comercial'!I7/'🧾 Tributos Aduana'!$F$6))/'🧾 Factura Comercial'!G7)</calculatedColumnFormula>
    </tableColumn>
    <tableColumn id="27" xr3:uid="{EDAB422B-87AC-4C4A-A47C-0C98B7CA3239}" name="CF UNIT._x000a_✅RECUP.(S/.)" dataDxfId="17">
      <calculatedColumnFormula>TABLA_BASE[[#This Row],[CF UNIT.
✅RECUP.
(US$)]]*'📋 Datos Generales'!$E$19</calculatedColumnFormula>
    </tableColumn>
    <tableColumn id="51" xr3:uid="{247355A9-6612-46D5-928A-B299CF2B0160}" name="TOTAL CREDITO FISCAL POR PRODUCTO" dataDxfId="16">
      <calculatedColumnFormula>TABLA_BASE[[#This Row],[CF UNIT.
✅RECUP.(S/.)]]*TABLA_BASE[[#This Row],[CANTIDAD
(unid.)]]</calculatedColumnFormula>
    </tableColumn>
    <tableColumn id="28" xr3:uid="{4ED425E2-0E4E-4E10-93A9-6B060269177C}" name="MARGEN_x000a_%" dataDxfId="15" dataCellStyle="Porcentaje">
      <calculatedColumnFormula>'💰 Precio de Venta'!G8</calculatedColumnFormula>
    </tableColumn>
    <tableColumn id="29" xr3:uid="{4F455974-01AC-43EC-AFBA-3C86C2FA3339}" name="VALOR VTA._x000a_UNIT.(S/.)" dataDxfId="14">
      <calculatedColumnFormula>'💰 Precio de Venta'!H8</calculatedColumnFormula>
    </tableColumn>
    <tableColumn id="50" xr3:uid="{243DB6DC-A2DE-4690-8244-719BAFACB3AB}" name="VALOR VTA._x000a_TOTAL (S/.)" dataDxfId="5">
      <calculatedColumnFormula>TABLA_BASE[[#This Row],[VALOR VTA.
UNIT.(S/.)]]*TABLA_BASE[[#This Row],[CANTIDAD
(unid.)]]</calculatedColumnFormula>
    </tableColumn>
    <tableColumn id="30" xr3:uid="{3065A30B-7C0C-4B32-8E70-4B5A47BFE0A3}" name="PRECIO VTA._x000a_c/IGV(S/.)" dataDxfId="13">
      <calculatedColumnFormula>'💰 Precio de Venta'!I8</calculatedColumnFormula>
    </tableColumn>
    <tableColumn id="31" xr3:uid="{464E7AB6-4A81-429B-A33B-4813EDBA608C}" name="GANANCIA_x000a_UNIT.(S/.)" dataDxfId="12">
      <calculatedColumnFormula>'💰 Precio de Venta'!J8</calculatedColumnFormula>
    </tableColumn>
    <tableColumn id="52" xr3:uid="{797A7787-8846-4C0B-8A80-50B43723F998}" name="GANANCIA_x000a_TOTAL.(S/.)" dataDxfId="4">
      <calculatedColumnFormula>TABLA_BASE[[#This Row],[GANANCIA
UNIT.(S/.)]]*TABLA_BASE[[#This Row],[CANTIDAD
(unid.)]]</calculatedColumnFormula>
    </tableColumn>
    <tableColumn id="32" xr3:uid="{D4A7F2E2-C7F8-4B95-B540-0D0242532C8A}" name="PUNTO_x000a_EQUILIBRIO" dataDxfId="11">
      <calculatedColumnFormula>'💰 Precio de Venta'!K8</calculatedColumnFormula>
    </tableColumn>
    <tableColumn id="33" xr3:uid="{FC75FC93-B8B3-49D1-A6CC-DCD90BD90625}" name="GANANCIA_x000a_TOTAL(S/.)" dataDxfId="10">
      <calculatedColumnFormula>TABLA_BASE[[#This Row],[GANANCIA
UNIT.(S/.)]]*'🧾 Factura Comercial'!G7</calculatedColumnFormula>
    </tableColumn>
    <tableColumn id="34" xr3:uid="{AED60901-E3B7-456D-AD2F-58F55CEADDD0}" name="% UTILIDAD_x000a_S/PRECIO" dataDxfId="9" dataCellStyle="Porcentaje">
      <calculatedColumnFormula>IF(TABLA_BASE[[#This Row],[PRECIO VTA.
c/IGV(S/.)]]=0,0,TABLA_BASE[[#This Row],[GANANCIA
UNIT.(S/.)]]/TABLA_BASE[[#This Row],[PRECIO VTA.
c/IGV(S/.)]])</calculatedColumnFormula>
    </tableColumn>
    <tableColumn id="35" xr3:uid="{E01AEE20-C6B7-49F2-898A-DA31E8221CD8}" name="ROI_x000a_UNIT." dataDxfId="8" dataCellStyle="Porcentaje">
      <calculatedColumnFormula>IF(TABLA_BASE[[#This Row],[C/M UNIT.
(S/.)]]=0,0,TABLA_BASE[[#This Row],[GANANCIA
UNIT.(S/.)]]/TABLA_BASE[[#This Row],[C/M UNIT.
(S/.)]])</calculatedColumnFormula>
    </tableColumn>
    <tableColumn id="36" xr3:uid="{FB4B87EC-E55B-420A-86F4-16AA1FDF90BE}" name="CLASIF._x000a_MARGEN" dataDxfId="7">
      <calculatedColumnFormula>IF(TABLA_BASE[[#This Row],[MARGEN
%]]&gt;=0.5,"🟢 ALTO",IF(TABLA_BASE[[#This Row],[MARGEN
%]]&gt;=0.3,"🟡 MEDIO","🔴 BAJO"))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H129"/>
  <sheetViews>
    <sheetView showGridLines="0" showRowColHeaders="0" tabSelected="1" zoomScale="115" zoomScaleNormal="115" workbookViewId="0">
      <selection activeCell="N2" sqref="N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2" style="93" customWidth="1"/>
    <col min="2" max="4" width="5.42578125" style="93" customWidth="1"/>
    <col min="5" max="12" width="18" customWidth="1"/>
    <col min="13" max="13" width="2" style="93" customWidth="1"/>
    <col min="14" max="15" width="8.7109375" style="93"/>
    <col min="16" max="16" width="16.28515625" style="93" customWidth="1"/>
    <col min="17" max="18" width="8.7109375" style="93"/>
    <col min="19" max="19" width="16.28515625" style="93" customWidth="1"/>
    <col min="20" max="21" width="8.7109375" style="93"/>
    <col min="22" max="22" width="16.28515625" style="93" customWidth="1"/>
    <col min="23" max="24" width="8.7109375" style="93"/>
    <col min="25" max="25" width="16.28515625" style="93" customWidth="1"/>
    <col min="26" max="27" width="8.7109375" style="93"/>
    <col min="28" max="28" width="16.28515625" style="93" customWidth="1"/>
    <col min="29" max="30" width="8.7109375" style="93"/>
    <col min="31" max="31" width="16.28515625" style="93" customWidth="1"/>
    <col min="32" max="33" width="8.7109375" style="93"/>
    <col min="34" max="34" width="16.28515625" style="93" customWidth="1"/>
    <col min="35" max="36" width="8.7109375" style="93"/>
    <col min="37" max="37" width="16.28515625" style="93" customWidth="1"/>
    <col min="38" max="39" width="8.7109375" style="93"/>
    <col min="40" max="40" width="16.28515625" style="93" customWidth="1"/>
    <col min="41" max="42" width="8.7109375" style="93"/>
    <col min="43" max="43" width="16.28515625" style="93" customWidth="1"/>
    <col min="44" max="45" width="8.7109375" style="93"/>
    <col min="46" max="46" width="16.28515625" style="93" customWidth="1"/>
    <col min="47" max="48" width="8.7109375" style="93"/>
    <col min="49" max="49" width="16.28515625" style="93" customWidth="1"/>
    <col min="50" max="51" width="8.7109375" style="93"/>
    <col min="52" max="52" width="16.28515625" style="93" customWidth="1"/>
    <col min="53" max="54" width="8.7109375" style="93"/>
    <col min="55" max="55" width="16.28515625" style="93" customWidth="1"/>
    <col min="56" max="57" width="8.7109375" style="93"/>
    <col min="58" max="58" width="16.28515625" style="93" customWidth="1"/>
    <col min="59" max="60" width="8.7109375" style="93"/>
  </cols>
  <sheetData>
    <row r="1" spans="1:13" s="93" customFormat="1" ht="7.5" customHeight="1" x14ac:dyDescent="0.25">
      <c r="A1" s="364"/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</row>
    <row r="2" spans="1:13" ht="54.75" customHeight="1" thickBot="1" x14ac:dyDescent="0.3">
      <c r="E2" s="420" t="s">
        <v>0</v>
      </c>
      <c r="F2" s="421"/>
      <c r="G2" s="421"/>
      <c r="H2" s="421"/>
      <c r="I2" s="421"/>
      <c r="J2" s="421"/>
      <c r="K2" s="421"/>
      <c r="L2" s="422"/>
    </row>
    <row r="3" spans="1:13" ht="34.5" customHeight="1" x14ac:dyDescent="0.25">
      <c r="E3" s="423" t="s">
        <v>1</v>
      </c>
      <c r="F3" s="424"/>
      <c r="G3" s="424"/>
      <c r="H3" s="424"/>
      <c r="I3" s="424"/>
      <c r="J3" s="424"/>
      <c r="K3" s="424"/>
      <c r="L3" s="425"/>
    </row>
    <row r="4" spans="1:13" ht="12" customHeight="1" x14ac:dyDescent="0.25">
      <c r="E4" s="354"/>
      <c r="F4" s="355"/>
      <c r="G4" s="355"/>
      <c r="H4" s="355"/>
      <c r="I4" s="355"/>
      <c r="J4" s="355"/>
      <c r="K4" s="355"/>
      <c r="L4" s="356"/>
    </row>
    <row r="5" spans="1:13" ht="7.5" customHeight="1" x14ac:dyDescent="0.25">
      <c r="E5" s="410"/>
      <c r="F5" s="411"/>
      <c r="G5" s="411"/>
      <c r="H5" s="411"/>
      <c r="I5" s="411"/>
      <c r="J5" s="411"/>
      <c r="K5" s="411"/>
      <c r="L5" s="412"/>
    </row>
    <row r="6" spans="1:13" ht="27.75" customHeight="1" x14ac:dyDescent="0.25">
      <c r="E6" s="407" t="s">
        <v>2</v>
      </c>
      <c r="F6" s="408"/>
      <c r="G6" s="408"/>
      <c r="H6" s="408"/>
      <c r="I6" s="408"/>
      <c r="J6" s="408"/>
      <c r="K6" s="408"/>
      <c r="L6" s="409"/>
    </row>
    <row r="7" spans="1:13" ht="7.5" customHeight="1" x14ac:dyDescent="0.25">
      <c r="E7" s="410"/>
      <c r="F7" s="411"/>
      <c r="G7" s="411"/>
      <c r="H7" s="411"/>
      <c r="I7" s="411"/>
      <c r="J7" s="411"/>
      <c r="K7" s="411"/>
      <c r="L7" s="412"/>
    </row>
    <row r="8" spans="1:13" ht="30" customHeight="1" thickBot="1" x14ac:dyDescent="0.3">
      <c r="E8" s="413" t="s">
        <v>3</v>
      </c>
      <c r="F8" s="414"/>
      <c r="G8" s="414"/>
      <c r="H8" s="414"/>
      <c r="I8" s="414"/>
      <c r="J8" s="414"/>
      <c r="K8" s="414"/>
      <c r="L8" s="415"/>
    </row>
    <row r="9" spans="1:13" ht="25.5" customHeight="1" thickBot="1" x14ac:dyDescent="0.3">
      <c r="E9" s="416" t="s">
        <v>4</v>
      </c>
      <c r="F9" s="417"/>
      <c r="G9" s="418" t="s">
        <v>5</v>
      </c>
      <c r="H9" s="418"/>
      <c r="I9" s="418"/>
      <c r="J9" s="418"/>
      <c r="K9" s="418"/>
      <c r="L9" s="419"/>
    </row>
    <row r="10" spans="1:13" ht="25.5" customHeight="1" thickBot="1" x14ac:dyDescent="0.3">
      <c r="E10" s="392" t="s">
        <v>6</v>
      </c>
      <c r="F10" s="393"/>
      <c r="G10" s="396" t="s">
        <v>7</v>
      </c>
      <c r="H10" s="396"/>
      <c r="I10" s="396"/>
      <c r="J10" s="396"/>
      <c r="K10" s="396"/>
      <c r="L10" s="397"/>
    </row>
    <row r="11" spans="1:13" ht="25.5" customHeight="1" thickBot="1" x14ac:dyDescent="0.3">
      <c r="E11" s="398" t="s">
        <v>8</v>
      </c>
      <c r="F11" s="399"/>
      <c r="G11" s="400" t="s">
        <v>9</v>
      </c>
      <c r="H11" s="401"/>
      <c r="I11" s="401"/>
      <c r="J11" s="401"/>
      <c r="K11" s="401"/>
      <c r="L11" s="402"/>
    </row>
    <row r="12" spans="1:13" ht="25.5" customHeight="1" thickBot="1" x14ac:dyDescent="0.3">
      <c r="E12" s="403" t="s">
        <v>10</v>
      </c>
      <c r="F12" s="404"/>
      <c r="G12" s="405" t="s">
        <v>11</v>
      </c>
      <c r="H12" s="405"/>
      <c r="I12" s="405"/>
      <c r="J12" s="405"/>
      <c r="K12" s="405"/>
      <c r="L12" s="406"/>
    </row>
    <row r="13" spans="1:13" ht="25.5" customHeight="1" thickBot="1" x14ac:dyDescent="0.3">
      <c r="E13" s="384" t="s">
        <v>12</v>
      </c>
      <c r="F13" s="385"/>
      <c r="G13" s="386" t="s">
        <v>13</v>
      </c>
      <c r="H13" s="386"/>
      <c r="I13" s="386"/>
      <c r="J13" s="386"/>
      <c r="K13" s="386"/>
      <c r="L13" s="387"/>
    </row>
    <row r="14" spans="1:13" ht="25.5" customHeight="1" thickBot="1" x14ac:dyDescent="0.3">
      <c r="E14" s="388" t="s">
        <v>14</v>
      </c>
      <c r="F14" s="389"/>
      <c r="G14" s="390" t="s">
        <v>15</v>
      </c>
      <c r="H14" s="390"/>
      <c r="I14" s="390"/>
      <c r="J14" s="390"/>
      <c r="K14" s="390"/>
      <c r="L14" s="391"/>
    </row>
    <row r="15" spans="1:13" ht="25.5" customHeight="1" thickBot="1" x14ac:dyDescent="0.3">
      <c r="E15" s="392" t="s">
        <v>16</v>
      </c>
      <c r="F15" s="393"/>
      <c r="G15" s="394" t="s">
        <v>17</v>
      </c>
      <c r="H15" s="394"/>
      <c r="I15" s="394"/>
      <c r="J15" s="394"/>
      <c r="K15" s="394"/>
      <c r="L15" s="395"/>
    </row>
    <row r="16" spans="1:13" ht="25.5" customHeight="1" thickBot="1" x14ac:dyDescent="0.3">
      <c r="E16" s="374" t="s">
        <v>18</v>
      </c>
      <c r="F16" s="375"/>
      <c r="G16" s="376" t="s">
        <v>19</v>
      </c>
      <c r="H16" s="376"/>
      <c r="I16" s="376"/>
      <c r="J16" s="376"/>
      <c r="K16" s="376"/>
      <c r="L16" s="377"/>
    </row>
    <row r="17" spans="1:13" ht="9.75" customHeight="1" thickBot="1" x14ac:dyDescent="0.3">
      <c r="E17" s="378"/>
      <c r="F17" s="379"/>
      <c r="G17" s="379"/>
      <c r="H17" s="379"/>
      <c r="I17" s="379"/>
      <c r="J17" s="379"/>
      <c r="K17" s="379"/>
      <c r="L17" s="380"/>
    </row>
    <row r="18" spans="1:13" ht="27.75" customHeight="1" thickBot="1" x14ac:dyDescent="0.3">
      <c r="E18" s="381" t="s">
        <v>20</v>
      </c>
      <c r="F18" s="382"/>
      <c r="G18" s="382"/>
      <c r="H18" s="382"/>
      <c r="I18" s="382"/>
      <c r="J18" s="382"/>
      <c r="K18" s="382"/>
      <c r="L18" s="383"/>
    </row>
    <row r="19" spans="1:13" ht="33.75" customHeight="1" thickBot="1" x14ac:dyDescent="0.3">
      <c r="E19" s="96" t="s">
        <v>21</v>
      </c>
      <c r="F19" s="2" t="s">
        <v>22</v>
      </c>
      <c r="G19" s="3" t="s">
        <v>23</v>
      </c>
      <c r="H19" s="4" t="s">
        <v>24</v>
      </c>
      <c r="I19" s="5" t="s">
        <v>25</v>
      </c>
      <c r="J19" s="6" t="s">
        <v>26</v>
      </c>
      <c r="K19" s="3" t="s">
        <v>27</v>
      </c>
      <c r="L19" s="97" t="s">
        <v>28</v>
      </c>
    </row>
    <row r="20" spans="1:13" ht="37.5" customHeight="1" x14ac:dyDescent="0.25">
      <c r="E20" s="98" t="s">
        <v>29</v>
      </c>
      <c r="F20" s="7" t="s">
        <v>30</v>
      </c>
      <c r="G20" s="8" t="s">
        <v>31</v>
      </c>
      <c r="H20" s="9" t="s">
        <v>32</v>
      </c>
      <c r="I20" s="10" t="s">
        <v>33</v>
      </c>
      <c r="J20" s="11" t="s">
        <v>34</v>
      </c>
      <c r="K20" s="8" t="s">
        <v>35</v>
      </c>
      <c r="L20" s="99" t="s">
        <v>36</v>
      </c>
    </row>
    <row r="21" spans="1:13" ht="9.75" customHeight="1" x14ac:dyDescent="0.25">
      <c r="E21" s="354"/>
      <c r="F21" s="355"/>
      <c r="G21" s="355"/>
      <c r="H21" s="355"/>
      <c r="I21" s="355"/>
      <c r="J21" s="355"/>
      <c r="K21" s="355"/>
      <c r="L21" s="356"/>
    </row>
    <row r="22" spans="1:13" ht="25.5" customHeight="1" x14ac:dyDescent="0.25">
      <c r="E22" s="365" t="s">
        <v>37</v>
      </c>
      <c r="F22" s="366"/>
      <c r="G22" s="366"/>
      <c r="H22" s="366"/>
      <c r="I22" s="366"/>
      <c r="J22" s="366"/>
      <c r="K22" s="366"/>
      <c r="L22" s="367"/>
    </row>
    <row r="23" spans="1:13" ht="30" customHeight="1" x14ac:dyDescent="0.25">
      <c r="E23" s="368" t="s">
        <v>38</v>
      </c>
      <c r="F23" s="369"/>
      <c r="G23" s="370" t="s">
        <v>39</v>
      </c>
      <c r="H23" s="370"/>
      <c r="I23" s="371" t="s">
        <v>40</v>
      </c>
      <c r="J23" s="371"/>
      <c r="K23" s="372" t="s">
        <v>41</v>
      </c>
      <c r="L23" s="373"/>
    </row>
    <row r="24" spans="1:13" ht="9.75" customHeight="1" x14ac:dyDescent="0.25">
      <c r="E24" s="354"/>
      <c r="F24" s="355"/>
      <c r="G24" s="355"/>
      <c r="H24" s="355"/>
      <c r="I24" s="355"/>
      <c r="J24" s="355"/>
      <c r="K24" s="355"/>
      <c r="L24" s="356"/>
    </row>
    <row r="25" spans="1:13" ht="27.75" customHeight="1" x14ac:dyDescent="0.25">
      <c r="E25" s="357" t="s">
        <v>42</v>
      </c>
      <c r="F25" s="358"/>
      <c r="G25" s="358"/>
      <c r="H25" s="358"/>
      <c r="I25" s="358"/>
      <c r="J25" s="358"/>
      <c r="K25" s="358"/>
      <c r="L25" s="359"/>
    </row>
    <row r="26" spans="1:13" ht="54" customHeight="1" x14ac:dyDescent="0.25">
      <c r="E26" s="360" t="s">
        <v>347</v>
      </c>
      <c r="F26" s="361"/>
      <c r="G26" s="361"/>
      <c r="H26" s="361"/>
      <c r="I26" s="361"/>
      <c r="J26" s="362" t="s">
        <v>43</v>
      </c>
      <c r="K26" s="362"/>
      <c r="L26" s="363"/>
    </row>
    <row r="27" spans="1:13" s="93" customFormat="1" ht="7.5" customHeight="1" x14ac:dyDescent="0.25">
      <c r="A27" s="364"/>
      <c r="B27" s="364"/>
      <c r="C27" s="364"/>
      <c r="D27" s="364"/>
      <c r="E27" s="364"/>
      <c r="F27" s="364"/>
      <c r="G27" s="364"/>
      <c r="H27" s="364"/>
      <c r="I27" s="364"/>
      <c r="J27" s="364"/>
      <c r="K27" s="364"/>
      <c r="L27" s="364"/>
      <c r="M27" s="364"/>
    </row>
    <row r="28" spans="1:13" s="93" customFormat="1" x14ac:dyDescent="0.25"/>
    <row r="29" spans="1:13" s="93" customFormat="1" x14ac:dyDescent="0.25"/>
    <row r="30" spans="1:13" s="93" customFormat="1" x14ac:dyDescent="0.25"/>
    <row r="31" spans="1:13" s="93" customFormat="1" x14ac:dyDescent="0.25"/>
    <row r="32" spans="1:13" s="93" customFormat="1" x14ac:dyDescent="0.25"/>
    <row r="33" s="93" customFormat="1" x14ac:dyDescent="0.25"/>
    <row r="34" s="93" customFormat="1" x14ac:dyDescent="0.25"/>
    <row r="35" s="93" customFormat="1" x14ac:dyDescent="0.25"/>
    <row r="36" s="93" customFormat="1" x14ac:dyDescent="0.25"/>
    <row r="37" s="93" customFormat="1" x14ac:dyDescent="0.25"/>
    <row r="38" s="93" customFormat="1" x14ac:dyDescent="0.25"/>
    <row r="39" s="93" customFormat="1" x14ac:dyDescent="0.25"/>
    <row r="40" s="93" customFormat="1" x14ac:dyDescent="0.25"/>
    <row r="41" s="93" customFormat="1" x14ac:dyDescent="0.25"/>
    <row r="42" s="93" customFormat="1" x14ac:dyDescent="0.25"/>
    <row r="43" s="93" customFormat="1" x14ac:dyDescent="0.25"/>
    <row r="44" s="93" customFormat="1" x14ac:dyDescent="0.25"/>
    <row r="45" s="93" customFormat="1" x14ac:dyDescent="0.25"/>
    <row r="46" s="93" customFormat="1" x14ac:dyDescent="0.25"/>
    <row r="47" s="93" customFormat="1" x14ac:dyDescent="0.25"/>
    <row r="48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pans="1:60" s="93" customFormat="1" x14ac:dyDescent="0.25"/>
    <row r="114" spans="1:60" s="93" customFormat="1" x14ac:dyDescent="0.25"/>
    <row r="115" spans="1:60" s="93" customFormat="1" x14ac:dyDescent="0.25"/>
    <row r="116" spans="1:60" s="93" customFormat="1" x14ac:dyDescent="0.25"/>
    <row r="117" spans="1:60" s="93" customFormat="1" x14ac:dyDescent="0.25"/>
    <row r="118" spans="1:60" s="93" customFormat="1" x14ac:dyDescent="0.25"/>
    <row r="119" spans="1:60" s="93" customFormat="1" x14ac:dyDescent="0.25"/>
    <row r="120" spans="1:60" s="93" customFormat="1" x14ac:dyDescent="0.25"/>
    <row r="121" spans="1:60" s="93" customFormat="1" x14ac:dyDescent="0.25"/>
    <row r="122" spans="1:60" s="93" customFormat="1" x14ac:dyDescent="0.25"/>
    <row r="123" spans="1:60" s="93" customFormat="1" x14ac:dyDescent="0.25"/>
    <row r="124" spans="1:60" s="93" customFormat="1" x14ac:dyDescent="0.25"/>
    <row r="125" spans="1:60" s="93" customFormat="1" x14ac:dyDescent="0.25"/>
    <row r="126" spans="1:60" s="93" customFormat="1" x14ac:dyDescent="0.25"/>
    <row r="127" spans="1:60" s="93" customFormat="1" x14ac:dyDescent="0.25"/>
    <row r="128" spans="1:60" s="84" customFormat="1" x14ac:dyDescent="0.25">
      <c r="A128" s="93"/>
      <c r="B128" s="93"/>
      <c r="C128" s="93"/>
      <c r="D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</row>
    <row r="129" spans="1:60" s="84" customFormat="1" x14ac:dyDescent="0.25">
      <c r="A129" s="93"/>
      <c r="B129" s="93"/>
      <c r="C129" s="93"/>
      <c r="D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  <c r="AV129" s="93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</row>
  </sheetData>
  <mergeCells count="37">
    <mergeCell ref="A1:M1"/>
    <mergeCell ref="E2:L2"/>
    <mergeCell ref="E3:L3"/>
    <mergeCell ref="E4:L4"/>
    <mergeCell ref="E5:L5"/>
    <mergeCell ref="E6:L6"/>
    <mergeCell ref="E7:L7"/>
    <mergeCell ref="E8:L8"/>
    <mergeCell ref="E9:F9"/>
    <mergeCell ref="G9:L9"/>
    <mergeCell ref="E10:F10"/>
    <mergeCell ref="G10:L10"/>
    <mergeCell ref="E11:F11"/>
    <mergeCell ref="G11:L11"/>
    <mergeCell ref="E12:F12"/>
    <mergeCell ref="G12:L12"/>
    <mergeCell ref="E13:F13"/>
    <mergeCell ref="G13:L13"/>
    <mergeCell ref="E14:F14"/>
    <mergeCell ref="G14:L14"/>
    <mergeCell ref="E15:F15"/>
    <mergeCell ref="G15:L15"/>
    <mergeCell ref="E16:F16"/>
    <mergeCell ref="G16:L16"/>
    <mergeCell ref="E17:L17"/>
    <mergeCell ref="E18:L18"/>
    <mergeCell ref="E21:L21"/>
    <mergeCell ref="E22:L22"/>
    <mergeCell ref="E23:F23"/>
    <mergeCell ref="G23:H23"/>
    <mergeCell ref="I23:J23"/>
    <mergeCell ref="K23:L23"/>
    <mergeCell ref="E24:L24"/>
    <mergeCell ref="E25:L25"/>
    <mergeCell ref="E26:I26"/>
    <mergeCell ref="J26:L26"/>
    <mergeCell ref="A27:M27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50"/>
  <sheetViews>
    <sheetView showGridLines="0" showRowColHeaders="0" zoomScale="85" zoomScaleNormal="85" workbookViewId="0">
      <selection activeCell="D5" sqref="D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.75" x14ac:dyDescent="0.25"/>
  <cols>
    <col min="1" max="1" width="6.140625" customWidth="1"/>
    <col min="2" max="2" width="6.5703125" customWidth="1"/>
    <col min="3" max="3" width="4.7109375" customWidth="1"/>
    <col min="4" max="4" width="125.28515625" style="328" customWidth="1"/>
  </cols>
  <sheetData>
    <row r="1" spans="1:14" s="100" customFormat="1" ht="34.5" customHeight="1" x14ac:dyDescent="0.25">
      <c r="A1" s="426" t="s">
        <v>446</v>
      </c>
      <c r="B1" s="426"/>
      <c r="C1" s="426"/>
      <c r="D1" s="426"/>
      <c r="E1" s="426"/>
      <c r="F1" s="426"/>
      <c r="G1" s="426"/>
      <c r="H1" s="426"/>
    </row>
    <row r="2" spans="1:14" ht="19.5" customHeight="1" x14ac:dyDescent="0.25">
      <c r="D2" s="320"/>
    </row>
    <row r="3" spans="1:14" ht="19.5" customHeight="1" x14ac:dyDescent="0.25">
      <c r="D3" s="321" t="s">
        <v>44</v>
      </c>
    </row>
    <row r="4" spans="1:14" ht="27.75" customHeight="1" x14ac:dyDescent="0.25">
      <c r="D4" s="320" t="s">
        <v>45</v>
      </c>
      <c r="F4" s="427" t="s">
        <v>455</v>
      </c>
      <c r="G4" s="427"/>
      <c r="H4" s="427"/>
      <c r="I4" s="427"/>
      <c r="J4" s="427"/>
      <c r="K4" s="427"/>
      <c r="L4" s="427"/>
      <c r="M4" s="427"/>
      <c r="N4" s="427"/>
    </row>
    <row r="5" spans="1:14" ht="27.75" customHeight="1" x14ac:dyDescent="0.25">
      <c r="D5" s="320" t="s">
        <v>46</v>
      </c>
      <c r="F5" s="427"/>
      <c r="G5" s="427"/>
      <c r="H5" s="427"/>
      <c r="I5" s="427"/>
      <c r="J5" s="427"/>
      <c r="K5" s="427"/>
      <c r="L5" s="427"/>
      <c r="M5" s="427"/>
      <c r="N5" s="427"/>
    </row>
    <row r="6" spans="1:14" ht="27.75" customHeight="1" x14ac:dyDescent="0.25">
      <c r="D6" s="320" t="s">
        <v>47</v>
      </c>
      <c r="F6" s="427"/>
      <c r="G6" s="427"/>
      <c r="H6" s="427"/>
      <c r="I6" s="427"/>
      <c r="J6" s="427"/>
      <c r="K6" s="427"/>
      <c r="L6" s="427"/>
      <c r="M6" s="427"/>
      <c r="N6" s="427"/>
    </row>
    <row r="7" spans="1:14" ht="27.75" customHeight="1" x14ac:dyDescent="0.25">
      <c r="D7" s="320" t="s">
        <v>48</v>
      </c>
      <c r="F7" s="427"/>
      <c r="G7" s="427"/>
      <c r="H7" s="427"/>
      <c r="I7" s="427"/>
      <c r="J7" s="427"/>
      <c r="K7" s="427"/>
      <c r="L7" s="427"/>
      <c r="M7" s="427"/>
      <c r="N7" s="427"/>
    </row>
    <row r="8" spans="1:14" ht="10.5" customHeight="1" x14ac:dyDescent="0.25">
      <c r="D8" s="320"/>
      <c r="F8" s="427"/>
      <c r="G8" s="427"/>
      <c r="H8" s="427"/>
      <c r="I8" s="427"/>
      <c r="J8" s="427"/>
      <c r="K8" s="427"/>
      <c r="L8" s="427"/>
      <c r="M8" s="427"/>
      <c r="N8" s="427"/>
    </row>
    <row r="9" spans="1:14" ht="27.75" customHeight="1" x14ac:dyDescent="0.25">
      <c r="D9" s="322" t="s">
        <v>49</v>
      </c>
      <c r="F9" s="427"/>
      <c r="G9" s="427"/>
      <c r="H9" s="427"/>
      <c r="I9" s="427"/>
      <c r="J9" s="427"/>
      <c r="K9" s="427"/>
      <c r="L9" s="427"/>
      <c r="M9" s="427"/>
      <c r="N9" s="427"/>
    </row>
    <row r="10" spans="1:14" ht="27.75" customHeight="1" x14ac:dyDescent="0.25">
      <c r="D10" s="320" t="s">
        <v>50</v>
      </c>
      <c r="F10" s="427"/>
      <c r="G10" s="427"/>
      <c r="H10" s="427"/>
      <c r="I10" s="427"/>
      <c r="J10" s="427"/>
      <c r="K10" s="427"/>
      <c r="L10" s="427"/>
      <c r="M10" s="427"/>
      <c r="N10" s="427"/>
    </row>
    <row r="11" spans="1:14" ht="27.75" customHeight="1" x14ac:dyDescent="0.25">
      <c r="D11" s="320" t="s">
        <v>51</v>
      </c>
      <c r="F11" s="427"/>
      <c r="G11" s="427"/>
      <c r="H11" s="427"/>
      <c r="I11" s="427"/>
      <c r="J11" s="427"/>
      <c r="K11" s="427"/>
      <c r="L11" s="427"/>
      <c r="M11" s="427"/>
      <c r="N11" s="427"/>
    </row>
    <row r="12" spans="1:14" ht="27.75" customHeight="1" x14ac:dyDescent="0.25">
      <c r="D12" s="320" t="s">
        <v>52</v>
      </c>
      <c r="F12" s="427"/>
      <c r="G12" s="427"/>
      <c r="H12" s="427"/>
      <c r="I12" s="427"/>
      <c r="J12" s="427"/>
      <c r="K12" s="427"/>
      <c r="L12" s="427"/>
      <c r="M12" s="427"/>
      <c r="N12" s="427"/>
    </row>
    <row r="13" spans="1:14" ht="15" customHeight="1" x14ac:dyDescent="0.25">
      <c r="D13" s="320"/>
      <c r="F13" s="427"/>
      <c r="G13" s="427"/>
      <c r="H13" s="427"/>
      <c r="I13" s="427"/>
      <c r="J13" s="427"/>
      <c r="K13" s="427"/>
      <c r="L13" s="427"/>
      <c r="M13" s="427"/>
      <c r="N13" s="427"/>
    </row>
    <row r="14" spans="1:14" ht="27.75" customHeight="1" x14ac:dyDescent="0.25">
      <c r="D14" s="323" t="s">
        <v>53</v>
      </c>
      <c r="F14" s="427"/>
      <c r="G14" s="427"/>
      <c r="H14" s="427"/>
      <c r="I14" s="427"/>
      <c r="J14" s="427"/>
      <c r="K14" s="427"/>
      <c r="L14" s="427"/>
      <c r="M14" s="427"/>
      <c r="N14" s="427"/>
    </row>
    <row r="15" spans="1:14" ht="27.75" customHeight="1" x14ac:dyDescent="0.25">
      <c r="D15" s="320" t="s">
        <v>54</v>
      </c>
    </row>
    <row r="16" spans="1:14" ht="27.75" customHeight="1" x14ac:dyDescent="0.25">
      <c r="D16" s="320" t="s">
        <v>55</v>
      </c>
    </row>
    <row r="17" spans="4:4" ht="27.75" customHeight="1" x14ac:dyDescent="0.25">
      <c r="D17" s="320" t="s">
        <v>56</v>
      </c>
    </row>
    <row r="18" spans="4:4" ht="27.75" customHeight="1" x14ac:dyDescent="0.25">
      <c r="D18" s="320" t="s">
        <v>57</v>
      </c>
    </row>
    <row r="19" spans="4:4" ht="15" customHeight="1" x14ac:dyDescent="0.25">
      <c r="D19" s="320"/>
    </row>
    <row r="20" spans="4:4" ht="27.75" customHeight="1" x14ac:dyDescent="0.25">
      <c r="D20" s="324" t="s">
        <v>58</v>
      </c>
    </row>
    <row r="21" spans="4:4" ht="27.75" customHeight="1" x14ac:dyDescent="0.25">
      <c r="D21" s="320" t="s">
        <v>59</v>
      </c>
    </row>
    <row r="22" spans="4:4" ht="27.75" customHeight="1" x14ac:dyDescent="0.25">
      <c r="D22" s="320" t="s">
        <v>60</v>
      </c>
    </row>
    <row r="23" spans="4:4" ht="15" customHeight="1" x14ac:dyDescent="0.25">
      <c r="D23" s="320"/>
    </row>
    <row r="24" spans="4:4" ht="27.75" customHeight="1" x14ac:dyDescent="0.25">
      <c r="D24" s="321" t="s">
        <v>61</v>
      </c>
    </row>
    <row r="25" spans="4:4" ht="27.75" customHeight="1" x14ac:dyDescent="0.25">
      <c r="D25" s="320" t="s">
        <v>62</v>
      </c>
    </row>
    <row r="26" spans="4:4" ht="27.75" customHeight="1" x14ac:dyDescent="0.25">
      <c r="D26" s="320" t="s">
        <v>63</v>
      </c>
    </row>
    <row r="27" spans="4:4" ht="15" customHeight="1" x14ac:dyDescent="0.25">
      <c r="D27" s="320"/>
    </row>
    <row r="28" spans="4:4" ht="27.75" customHeight="1" x14ac:dyDescent="0.25">
      <c r="D28" s="322" t="s">
        <v>64</v>
      </c>
    </row>
    <row r="29" spans="4:4" ht="27.75" customHeight="1" x14ac:dyDescent="0.25">
      <c r="D29" s="320" t="s">
        <v>65</v>
      </c>
    </row>
    <row r="30" spans="4:4" ht="27.75" customHeight="1" x14ac:dyDescent="0.25">
      <c r="D30" s="320" t="s">
        <v>66</v>
      </c>
    </row>
    <row r="31" spans="4:4" ht="27.75" customHeight="1" x14ac:dyDescent="0.25">
      <c r="D31" s="320" t="s">
        <v>67</v>
      </c>
    </row>
    <row r="32" spans="4:4" ht="27.75" customHeight="1" x14ac:dyDescent="0.25">
      <c r="D32" s="320" t="s">
        <v>68</v>
      </c>
    </row>
    <row r="33" spans="4:4" ht="15" customHeight="1" x14ac:dyDescent="0.25">
      <c r="D33" s="320"/>
    </row>
    <row r="34" spans="4:4" ht="27.75" customHeight="1" x14ac:dyDescent="0.25">
      <c r="D34" s="323" t="s">
        <v>69</v>
      </c>
    </row>
    <row r="35" spans="4:4" ht="27.75" customHeight="1" x14ac:dyDescent="0.25">
      <c r="D35" s="320" t="s">
        <v>70</v>
      </c>
    </row>
    <row r="36" spans="4:4" ht="27.75" customHeight="1" x14ac:dyDescent="0.25">
      <c r="D36" s="320" t="s">
        <v>71</v>
      </c>
    </row>
    <row r="37" spans="4:4" ht="27.75" customHeight="1" x14ac:dyDescent="0.25">
      <c r="D37" s="320" t="s">
        <v>72</v>
      </c>
    </row>
    <row r="38" spans="4:4" ht="15" customHeight="1" x14ac:dyDescent="0.25">
      <c r="D38" s="320"/>
    </row>
    <row r="39" spans="4:4" ht="27.75" customHeight="1" x14ac:dyDescent="0.25">
      <c r="D39" s="325" t="s">
        <v>73</v>
      </c>
    </row>
    <row r="40" spans="4:4" ht="27.75" customHeight="1" x14ac:dyDescent="0.25">
      <c r="D40" s="320" t="s">
        <v>74</v>
      </c>
    </row>
    <row r="41" spans="4:4" ht="27.75" customHeight="1" x14ac:dyDescent="0.25">
      <c r="D41" s="320" t="s">
        <v>75</v>
      </c>
    </row>
    <row r="42" spans="4:4" ht="13.5" customHeight="1" x14ac:dyDescent="0.25">
      <c r="D42" s="320"/>
    </row>
    <row r="43" spans="4:4" ht="27.75" customHeight="1" x14ac:dyDescent="0.25">
      <c r="D43" s="326" t="s">
        <v>76</v>
      </c>
    </row>
    <row r="44" spans="4:4" ht="27.75" customHeight="1" x14ac:dyDescent="0.25">
      <c r="D44" s="320" t="s">
        <v>77</v>
      </c>
    </row>
    <row r="45" spans="4:4" ht="15" customHeight="1" x14ac:dyDescent="0.25">
      <c r="D45" s="320"/>
    </row>
    <row r="46" spans="4:4" ht="27.75" customHeight="1" x14ac:dyDescent="0.25">
      <c r="D46" s="327" t="s">
        <v>78</v>
      </c>
    </row>
    <row r="47" spans="4:4" ht="27.75" customHeight="1" x14ac:dyDescent="0.25">
      <c r="D47" s="320" t="s">
        <v>79</v>
      </c>
    </row>
    <row r="48" spans="4:4" ht="27.75" customHeight="1" x14ac:dyDescent="0.25">
      <c r="D48" s="320" t="s">
        <v>80</v>
      </c>
    </row>
    <row r="49" spans="4:4" ht="27.75" customHeight="1" x14ac:dyDescent="0.25">
      <c r="D49" s="320" t="s">
        <v>81</v>
      </c>
    </row>
    <row r="50" spans="4:4" ht="15" customHeight="1" x14ac:dyDescent="0.25"/>
  </sheetData>
  <mergeCells count="2">
    <mergeCell ref="A1:H1"/>
    <mergeCell ref="F4:N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8DA23-D2B0-4F75-B2D0-9A8742AB3894}">
  <sheetPr>
    <tabColor rgb="FF7030A0"/>
  </sheetPr>
  <dimension ref="B2:O11"/>
  <sheetViews>
    <sheetView showGridLines="0" showRowColHeaders="0" workbookViewId="0">
      <selection activeCell="K17" sqref="K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2.7109375" customWidth="1"/>
  </cols>
  <sheetData>
    <row r="2" spans="2:15" ht="58.5" customHeight="1" x14ac:dyDescent="0.4">
      <c r="B2" s="428" t="s">
        <v>453</v>
      </c>
      <c r="C2" s="428"/>
      <c r="D2" s="428"/>
      <c r="E2" s="428"/>
      <c r="F2" s="428"/>
      <c r="G2" s="428"/>
      <c r="H2" s="428"/>
      <c r="I2" s="428"/>
      <c r="J2" s="428"/>
      <c r="K2" s="329"/>
      <c r="L2" s="329"/>
      <c r="M2" s="329"/>
      <c r="N2" s="329"/>
      <c r="O2" s="329"/>
    </row>
    <row r="3" spans="2:15" x14ac:dyDescent="0.25">
      <c r="B3" s="93"/>
      <c r="C3" s="93"/>
      <c r="D3" s="93"/>
      <c r="E3" s="93"/>
      <c r="F3" s="93"/>
      <c r="G3" s="93"/>
      <c r="H3" s="93"/>
      <c r="I3" s="93"/>
      <c r="J3" s="93"/>
    </row>
    <row r="4" spans="2:15" s="286" customFormat="1" ht="15.75" x14ac:dyDescent="0.25">
      <c r="B4" s="330">
        <v>1</v>
      </c>
      <c r="C4" s="330" t="s">
        <v>447</v>
      </c>
      <c r="D4" s="330"/>
      <c r="E4" s="331"/>
      <c r="F4" s="331"/>
      <c r="G4" s="331"/>
      <c r="H4" s="331"/>
      <c r="I4" s="331"/>
      <c r="J4" s="331"/>
    </row>
    <row r="5" spans="2:15" s="286" customFormat="1" ht="15.75" x14ac:dyDescent="0.25">
      <c r="B5" s="330">
        <v>2</v>
      </c>
      <c r="C5" s="330" t="s">
        <v>448</v>
      </c>
      <c r="D5" s="330"/>
      <c r="E5" s="331"/>
      <c r="F5" s="331"/>
      <c r="G5" s="331"/>
      <c r="H5" s="331"/>
      <c r="I5" s="331"/>
      <c r="J5" s="331"/>
    </row>
    <row r="6" spans="2:15" ht="15.75" x14ac:dyDescent="0.25">
      <c r="B6" s="332"/>
      <c r="C6" s="332">
        <v>2.1</v>
      </c>
      <c r="D6" s="332" t="s">
        <v>449</v>
      </c>
      <c r="E6" s="93"/>
      <c r="F6" s="93"/>
      <c r="G6" s="93"/>
      <c r="H6" s="93"/>
      <c r="I6" s="93"/>
      <c r="J6" s="93"/>
    </row>
    <row r="7" spans="2:15" ht="15.75" x14ac:dyDescent="0.25">
      <c r="B7" s="332"/>
      <c r="C7" s="332">
        <v>2.2000000000000002</v>
      </c>
      <c r="D7" s="332" t="s">
        <v>298</v>
      </c>
      <c r="E7" s="93"/>
      <c r="F7" s="93"/>
      <c r="G7" s="93"/>
      <c r="H7" s="93"/>
      <c r="I7" s="93"/>
      <c r="J7" s="93"/>
    </row>
    <row r="8" spans="2:15" ht="15.75" x14ac:dyDescent="0.25">
      <c r="B8" s="332"/>
      <c r="C8" s="332">
        <v>2.2999999999999998</v>
      </c>
      <c r="D8" s="332" t="s">
        <v>450</v>
      </c>
      <c r="E8" s="93"/>
      <c r="F8" s="93"/>
      <c r="G8" s="93"/>
      <c r="H8" s="93"/>
      <c r="I8" s="93"/>
      <c r="J8" s="93"/>
    </row>
    <row r="9" spans="2:15" ht="15.75" x14ac:dyDescent="0.25">
      <c r="B9" s="332"/>
      <c r="C9" s="332">
        <v>2.4</v>
      </c>
      <c r="D9" s="332" t="s">
        <v>451</v>
      </c>
      <c r="E9" s="93"/>
      <c r="F9" s="93"/>
      <c r="G9" s="93"/>
      <c r="H9" s="93"/>
      <c r="I9" s="93"/>
      <c r="J9" s="93"/>
    </row>
    <row r="10" spans="2:15" ht="15.75" x14ac:dyDescent="0.25">
      <c r="B10" s="332"/>
      <c r="C10" s="332">
        <v>2.5</v>
      </c>
      <c r="D10" s="332" t="s">
        <v>452</v>
      </c>
      <c r="E10" s="93"/>
      <c r="F10" s="93"/>
      <c r="G10" s="93"/>
      <c r="H10" s="93"/>
      <c r="I10" s="93"/>
      <c r="J10" s="93"/>
    </row>
    <row r="11" spans="2:15" x14ac:dyDescent="0.25">
      <c r="B11" s="93"/>
      <c r="C11" s="93"/>
      <c r="D11" s="93"/>
      <c r="E11" s="93"/>
      <c r="F11" s="93"/>
      <c r="G11" s="93"/>
      <c r="H11" s="93"/>
      <c r="I11" s="93"/>
      <c r="J11" s="93"/>
    </row>
  </sheetData>
  <mergeCells count="1"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C1:AI459"/>
  <sheetViews>
    <sheetView showGridLines="0" showRowColHeaders="0" zoomScaleNormal="100" zoomScaleSheetLayoutView="70" workbookViewId="0">
      <selection activeCell="E11" sqref="E11:H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7.28515625" customWidth="1"/>
    <col min="2" max="2" width="6.140625" customWidth="1"/>
    <col min="3" max="3" width="3.5703125" style="86" customWidth="1"/>
    <col min="4" max="4" width="28" customWidth="1"/>
    <col min="5" max="8" width="22" customWidth="1"/>
    <col min="9" max="9" width="3" style="86" customWidth="1"/>
    <col min="10" max="35" width="8.7109375" style="86"/>
  </cols>
  <sheetData>
    <row r="1" spans="4:8" s="101" customFormat="1" ht="45" customHeight="1" x14ac:dyDescent="0.25">
      <c r="D1" s="433" t="s">
        <v>82</v>
      </c>
      <c r="E1" s="433"/>
      <c r="F1" s="433"/>
      <c r="G1" s="433"/>
      <c r="H1" s="433"/>
    </row>
    <row r="2" spans="4:8" ht="15.75" customHeight="1" x14ac:dyDescent="0.25">
      <c r="D2" s="434" t="s">
        <v>83</v>
      </c>
      <c r="E2" s="435"/>
      <c r="F2" s="435"/>
      <c r="G2" s="435"/>
      <c r="H2" s="435"/>
    </row>
    <row r="3" spans="4:8" s="86" customFormat="1" ht="7.5" customHeight="1" x14ac:dyDescent="0.25"/>
    <row r="4" spans="4:8" ht="19.5" customHeight="1" x14ac:dyDescent="0.25">
      <c r="D4" s="431" t="s">
        <v>84</v>
      </c>
      <c r="E4" s="431"/>
      <c r="F4" s="431"/>
      <c r="G4" s="431"/>
      <c r="H4" s="431"/>
    </row>
    <row r="5" spans="4:8" ht="19.5" customHeight="1" x14ac:dyDescent="0.25">
      <c r="D5" s="12" t="s">
        <v>85</v>
      </c>
      <c r="E5" s="432" t="s">
        <v>86</v>
      </c>
      <c r="F5" s="432"/>
      <c r="G5" s="432"/>
      <c r="H5" s="432"/>
    </row>
    <row r="6" spans="4:8" ht="19.5" customHeight="1" x14ac:dyDescent="0.25">
      <c r="D6" s="12" t="s">
        <v>87</v>
      </c>
      <c r="E6" s="432" t="s">
        <v>88</v>
      </c>
      <c r="F6" s="432"/>
      <c r="G6" s="432"/>
      <c r="H6" s="432"/>
    </row>
    <row r="7" spans="4:8" ht="19.5" customHeight="1" x14ac:dyDescent="0.25">
      <c r="D7" s="12" t="s">
        <v>89</v>
      </c>
      <c r="E7" s="432" t="s">
        <v>90</v>
      </c>
      <c r="F7" s="432"/>
      <c r="G7" s="432"/>
      <c r="H7" s="432"/>
    </row>
    <row r="8" spans="4:8" ht="19.5" customHeight="1" x14ac:dyDescent="0.25">
      <c r="D8" s="12" t="s">
        <v>91</v>
      </c>
      <c r="E8" s="432" t="s">
        <v>92</v>
      </c>
      <c r="F8" s="432"/>
      <c r="G8" s="432"/>
      <c r="H8" s="432"/>
    </row>
    <row r="9" spans="4:8" ht="19.5" customHeight="1" x14ac:dyDescent="0.25">
      <c r="D9" s="12" t="s">
        <v>93</v>
      </c>
      <c r="E9" s="432" t="s">
        <v>94</v>
      </c>
      <c r="F9" s="432"/>
      <c r="G9" s="432"/>
      <c r="H9" s="432"/>
    </row>
    <row r="10" spans="4:8" ht="19.5" customHeight="1" x14ac:dyDescent="0.25">
      <c r="D10" s="12" t="s">
        <v>95</v>
      </c>
      <c r="E10" s="432" t="s">
        <v>96</v>
      </c>
      <c r="F10" s="432"/>
      <c r="G10" s="432"/>
      <c r="H10" s="432"/>
    </row>
    <row r="11" spans="4:8" ht="19.5" customHeight="1" x14ac:dyDescent="0.25">
      <c r="D11" s="12" t="s">
        <v>97</v>
      </c>
      <c r="E11" s="432" t="s">
        <v>98</v>
      </c>
      <c r="F11" s="432"/>
      <c r="G11" s="432"/>
      <c r="H11" s="432"/>
    </row>
    <row r="12" spans="4:8" ht="19.5" customHeight="1" x14ac:dyDescent="0.25">
      <c r="D12" s="12" t="s">
        <v>99</v>
      </c>
      <c r="E12" s="432" t="s">
        <v>100</v>
      </c>
      <c r="F12" s="432"/>
      <c r="G12" s="432"/>
      <c r="H12" s="432"/>
    </row>
    <row r="13" spans="4:8" ht="19.5" customHeight="1" x14ac:dyDescent="0.25">
      <c r="D13" s="12" t="s">
        <v>101</v>
      </c>
      <c r="E13" s="432" t="s">
        <v>102</v>
      </c>
      <c r="F13" s="432"/>
      <c r="G13" s="432"/>
      <c r="H13" s="432"/>
    </row>
    <row r="14" spans="4:8" ht="19.5" customHeight="1" x14ac:dyDescent="0.25">
      <c r="D14" s="12" t="s">
        <v>103</v>
      </c>
      <c r="E14" s="432" t="s">
        <v>104</v>
      </c>
      <c r="F14" s="432"/>
      <c r="G14" s="432"/>
      <c r="H14" s="432"/>
    </row>
    <row r="15" spans="4:8" ht="19.5" customHeight="1" x14ac:dyDescent="0.25">
      <c r="D15" s="12" t="s">
        <v>105</v>
      </c>
      <c r="E15" s="432" t="s">
        <v>106</v>
      </c>
      <c r="F15" s="432"/>
      <c r="G15" s="432"/>
      <c r="H15" s="432"/>
    </row>
    <row r="16" spans="4:8" ht="19.5" customHeight="1" x14ac:dyDescent="0.25">
      <c r="D16" s="12" t="s">
        <v>107</v>
      </c>
      <c r="E16" s="432" t="s">
        <v>108</v>
      </c>
      <c r="F16" s="432"/>
      <c r="G16" s="432"/>
      <c r="H16" s="432"/>
    </row>
    <row r="17" spans="4:8" s="86" customFormat="1" x14ac:dyDescent="0.25"/>
    <row r="18" spans="4:8" ht="19.5" customHeight="1" x14ac:dyDescent="0.25">
      <c r="D18" s="431" t="s">
        <v>109</v>
      </c>
      <c r="E18" s="431"/>
      <c r="F18" s="431"/>
      <c r="G18" s="431"/>
      <c r="H18" s="431"/>
    </row>
    <row r="19" spans="4:8" ht="19.5" customHeight="1" x14ac:dyDescent="0.25">
      <c r="D19" s="12" t="s">
        <v>110</v>
      </c>
      <c r="E19" s="336">
        <v>3.72</v>
      </c>
      <c r="F19" s="429" t="s">
        <v>111</v>
      </c>
      <c r="G19" s="429"/>
      <c r="H19" s="429"/>
    </row>
    <row r="20" spans="4:8" ht="19.5" customHeight="1" x14ac:dyDescent="0.25">
      <c r="D20" s="12" t="s">
        <v>112</v>
      </c>
      <c r="E20" s="337">
        <v>0.06</v>
      </c>
      <c r="F20" s="429" t="s">
        <v>113</v>
      </c>
      <c r="G20" s="429"/>
      <c r="H20" s="429"/>
    </row>
    <row r="21" spans="4:8" ht="19.5" customHeight="1" x14ac:dyDescent="0.25">
      <c r="D21" s="12" t="s">
        <v>114</v>
      </c>
      <c r="E21" s="337">
        <v>0.16</v>
      </c>
      <c r="F21" s="429" t="s">
        <v>115</v>
      </c>
      <c r="G21" s="429"/>
      <c r="H21" s="429"/>
    </row>
    <row r="22" spans="4:8" ht="19.5" customHeight="1" x14ac:dyDescent="0.25">
      <c r="D22" s="12" t="s">
        <v>116</v>
      </c>
      <c r="E22" s="337">
        <v>0.02</v>
      </c>
      <c r="F22" s="429" t="s">
        <v>117</v>
      </c>
      <c r="G22" s="429"/>
      <c r="H22" s="429"/>
    </row>
    <row r="23" spans="4:8" ht="19.5" customHeight="1" x14ac:dyDescent="0.25">
      <c r="D23" s="12" t="s">
        <v>118</v>
      </c>
      <c r="E23" s="337">
        <v>3.5000000000000003E-2</v>
      </c>
      <c r="F23" s="429" t="s">
        <v>119</v>
      </c>
      <c r="G23" s="429"/>
      <c r="H23" s="429"/>
    </row>
    <row r="24" spans="4:8" ht="19.5" customHeight="1" x14ac:dyDescent="0.25">
      <c r="D24" s="12" t="s">
        <v>120</v>
      </c>
      <c r="E24" s="335">
        <v>0</v>
      </c>
      <c r="F24" s="429" t="s">
        <v>121</v>
      </c>
      <c r="G24" s="429"/>
      <c r="H24" s="429"/>
    </row>
    <row r="25" spans="4:8" ht="19.5" customHeight="1" x14ac:dyDescent="0.25">
      <c r="D25" s="12" t="s">
        <v>122</v>
      </c>
      <c r="E25" s="335">
        <v>0</v>
      </c>
      <c r="F25" s="429" t="s">
        <v>123</v>
      </c>
      <c r="G25" s="429"/>
      <c r="H25" s="429"/>
    </row>
    <row r="26" spans="4:8" ht="19.5" customHeight="1" x14ac:dyDescent="0.25">
      <c r="D26" s="12" t="s">
        <v>124</v>
      </c>
      <c r="E26" s="335">
        <v>0</v>
      </c>
      <c r="F26" s="429" t="s">
        <v>125</v>
      </c>
      <c r="G26" s="429"/>
      <c r="H26" s="429"/>
    </row>
    <row r="27" spans="4:8" ht="19.5" customHeight="1" x14ac:dyDescent="0.25">
      <c r="D27" s="12" t="s">
        <v>126</v>
      </c>
      <c r="E27" s="337">
        <v>0.01</v>
      </c>
      <c r="F27" s="429" t="s">
        <v>127</v>
      </c>
      <c r="G27" s="429"/>
      <c r="H27" s="429"/>
    </row>
    <row r="28" spans="4:8" ht="19.5" customHeight="1" x14ac:dyDescent="0.25">
      <c r="D28" s="12" t="s">
        <v>128</v>
      </c>
      <c r="E28" s="337">
        <v>0.18</v>
      </c>
      <c r="F28" s="429" t="s">
        <v>129</v>
      </c>
      <c r="G28" s="429"/>
      <c r="H28" s="429"/>
    </row>
    <row r="29" spans="4:8" s="86" customFormat="1" x14ac:dyDescent="0.25"/>
    <row r="30" spans="4:8" ht="18" customHeight="1" x14ac:dyDescent="0.25">
      <c r="D30" s="430" t="s">
        <v>130</v>
      </c>
      <c r="E30" s="430"/>
      <c r="F30" s="430"/>
      <c r="G30" s="430"/>
      <c r="H30" s="430"/>
    </row>
    <row r="31" spans="4:8" s="87" customFormat="1" x14ac:dyDescent="0.25"/>
    <row r="32" spans="4:8" s="87" customFormat="1" x14ac:dyDescent="0.25"/>
    <row r="33" s="87" customFormat="1" x14ac:dyDescent="0.25"/>
    <row r="34" s="87" customFormat="1" x14ac:dyDescent="0.25"/>
    <row r="35" s="87" customFormat="1" x14ac:dyDescent="0.25"/>
    <row r="36" s="87" customFormat="1" x14ac:dyDescent="0.25"/>
    <row r="37" s="87" customFormat="1" x14ac:dyDescent="0.25"/>
    <row r="38" s="87" customFormat="1" x14ac:dyDescent="0.25"/>
    <row r="39" s="87" customFormat="1" x14ac:dyDescent="0.25"/>
    <row r="40" s="87" customFormat="1" x14ac:dyDescent="0.25"/>
    <row r="41" s="87" customFormat="1" x14ac:dyDescent="0.25"/>
    <row r="42" s="87" customFormat="1" x14ac:dyDescent="0.25"/>
    <row r="43" s="87" customFormat="1" x14ac:dyDescent="0.25"/>
    <row r="44" s="87" customFormat="1" x14ac:dyDescent="0.25"/>
    <row r="45" s="87" customFormat="1" x14ac:dyDescent="0.25"/>
    <row r="46" s="87" customFormat="1" x14ac:dyDescent="0.25"/>
    <row r="47" s="87" customFormat="1" x14ac:dyDescent="0.25"/>
    <row r="48" s="87" customFormat="1" x14ac:dyDescent="0.25"/>
    <row r="49" s="87" customFormat="1" x14ac:dyDescent="0.25"/>
    <row r="50" s="87" customFormat="1" x14ac:dyDescent="0.25"/>
    <row r="51" s="87" customFormat="1" x14ac:dyDescent="0.25"/>
    <row r="52" s="87" customFormat="1" x14ac:dyDescent="0.25"/>
    <row r="53" s="87" customFormat="1" x14ac:dyDescent="0.25"/>
    <row r="54" s="87" customFormat="1" x14ac:dyDescent="0.25"/>
    <row r="55" s="87" customFormat="1" x14ac:dyDescent="0.25"/>
    <row r="56" s="87" customFormat="1" x14ac:dyDescent="0.25"/>
    <row r="57" s="87" customFormat="1" x14ac:dyDescent="0.25"/>
    <row r="58" s="87" customFormat="1" x14ac:dyDescent="0.25"/>
    <row r="59" s="87" customFormat="1" x14ac:dyDescent="0.25"/>
    <row r="60" s="87" customFormat="1" x14ac:dyDescent="0.25"/>
    <row r="61" s="87" customFormat="1" x14ac:dyDescent="0.25"/>
    <row r="62" s="87" customFormat="1" x14ac:dyDescent="0.25"/>
    <row r="63" s="87" customFormat="1" x14ac:dyDescent="0.25"/>
    <row r="64" s="87" customFormat="1" x14ac:dyDescent="0.25"/>
    <row r="65" s="87" customFormat="1" x14ac:dyDescent="0.25"/>
    <row r="66" s="87" customFormat="1" x14ac:dyDescent="0.25"/>
    <row r="67" s="87" customFormat="1" x14ac:dyDescent="0.25"/>
    <row r="68" s="87" customFormat="1" x14ac:dyDescent="0.25"/>
    <row r="69" s="87" customFormat="1" x14ac:dyDescent="0.25"/>
    <row r="70" s="87" customFormat="1" x14ac:dyDescent="0.25"/>
    <row r="71" s="87" customFormat="1" x14ac:dyDescent="0.25"/>
    <row r="72" s="87" customFormat="1" x14ac:dyDescent="0.25"/>
    <row r="73" s="87" customFormat="1" x14ac:dyDescent="0.25"/>
    <row r="74" s="87" customFormat="1" x14ac:dyDescent="0.25"/>
    <row r="75" s="87" customFormat="1" x14ac:dyDescent="0.25"/>
    <row r="76" s="87" customFormat="1" x14ac:dyDescent="0.25"/>
    <row r="77" s="87" customFormat="1" x14ac:dyDescent="0.25"/>
    <row r="78" s="87" customFormat="1" x14ac:dyDescent="0.25"/>
    <row r="79" s="87" customFormat="1" x14ac:dyDescent="0.25"/>
    <row r="80" s="87" customFormat="1" x14ac:dyDescent="0.25"/>
    <row r="81" s="87" customFormat="1" x14ac:dyDescent="0.25"/>
    <row r="82" s="87" customFormat="1" x14ac:dyDescent="0.25"/>
    <row r="83" s="87" customFormat="1" x14ac:dyDescent="0.25"/>
    <row r="84" s="87" customFormat="1" x14ac:dyDescent="0.25"/>
    <row r="85" s="87" customFormat="1" x14ac:dyDescent="0.25"/>
    <row r="86" s="87" customFormat="1" x14ac:dyDescent="0.25"/>
    <row r="87" s="87" customFormat="1" x14ac:dyDescent="0.25"/>
    <row r="88" s="87" customFormat="1" x14ac:dyDescent="0.25"/>
    <row r="89" s="87" customFormat="1" x14ac:dyDescent="0.25"/>
    <row r="90" s="87" customFormat="1" x14ac:dyDescent="0.25"/>
    <row r="91" s="87" customFormat="1" x14ac:dyDescent="0.25"/>
    <row r="92" s="87" customFormat="1" x14ac:dyDescent="0.25"/>
    <row r="93" s="87" customFormat="1" x14ac:dyDescent="0.25"/>
    <row r="94" s="87" customFormat="1" x14ac:dyDescent="0.25"/>
    <row r="95" s="87" customFormat="1" x14ac:dyDescent="0.25"/>
    <row r="96" s="87" customFormat="1" x14ac:dyDescent="0.25"/>
    <row r="97" s="87" customFormat="1" x14ac:dyDescent="0.25"/>
    <row r="98" s="87" customFormat="1" x14ac:dyDescent="0.25"/>
    <row r="99" s="87" customFormat="1" x14ac:dyDescent="0.25"/>
    <row r="100" s="87" customFormat="1" x14ac:dyDescent="0.25"/>
    <row r="101" s="87" customFormat="1" x14ac:dyDescent="0.25"/>
    <row r="102" s="87" customFormat="1" x14ac:dyDescent="0.25"/>
    <row r="103" s="87" customFormat="1" x14ac:dyDescent="0.25"/>
    <row r="104" s="87" customFormat="1" x14ac:dyDescent="0.25"/>
    <row r="105" s="87" customFormat="1" x14ac:dyDescent="0.25"/>
    <row r="106" s="87" customFormat="1" x14ac:dyDescent="0.25"/>
    <row r="107" s="87" customFormat="1" x14ac:dyDescent="0.25"/>
    <row r="108" s="87" customFormat="1" x14ac:dyDescent="0.25"/>
    <row r="109" s="87" customFormat="1" x14ac:dyDescent="0.25"/>
    <row r="110" s="87" customFormat="1" x14ac:dyDescent="0.25"/>
    <row r="111" s="87" customFormat="1" x14ac:dyDescent="0.25"/>
    <row r="112" s="87" customFormat="1" x14ac:dyDescent="0.25"/>
    <row r="113" s="87" customFormat="1" x14ac:dyDescent="0.25"/>
    <row r="114" s="87" customFormat="1" x14ac:dyDescent="0.25"/>
    <row r="115" s="87" customFormat="1" x14ac:dyDescent="0.25"/>
    <row r="116" s="87" customFormat="1" x14ac:dyDescent="0.25"/>
    <row r="117" s="87" customFormat="1" x14ac:dyDescent="0.25"/>
    <row r="118" s="87" customFormat="1" x14ac:dyDescent="0.25"/>
    <row r="119" s="87" customFormat="1" x14ac:dyDescent="0.25"/>
    <row r="120" s="87" customFormat="1" x14ac:dyDescent="0.25"/>
    <row r="121" s="87" customFormat="1" x14ac:dyDescent="0.25"/>
    <row r="122" s="87" customFormat="1" x14ac:dyDescent="0.25"/>
    <row r="123" s="87" customFormat="1" x14ac:dyDescent="0.25"/>
    <row r="124" s="87" customFormat="1" x14ac:dyDescent="0.25"/>
    <row r="125" s="87" customFormat="1" x14ac:dyDescent="0.25"/>
    <row r="126" s="87" customFormat="1" x14ac:dyDescent="0.25"/>
    <row r="127" s="87" customFormat="1" x14ac:dyDescent="0.25"/>
    <row r="128" s="87" customFormat="1" x14ac:dyDescent="0.25"/>
    <row r="129" s="87" customFormat="1" x14ac:dyDescent="0.25"/>
    <row r="130" s="87" customFormat="1" x14ac:dyDescent="0.25"/>
    <row r="131" s="87" customFormat="1" x14ac:dyDescent="0.25"/>
    <row r="132" s="87" customFormat="1" x14ac:dyDescent="0.25"/>
    <row r="133" s="87" customFormat="1" x14ac:dyDescent="0.25"/>
    <row r="134" s="87" customFormat="1" x14ac:dyDescent="0.25"/>
    <row r="135" s="87" customFormat="1" x14ac:dyDescent="0.25"/>
    <row r="136" s="87" customFormat="1" x14ac:dyDescent="0.25"/>
    <row r="137" s="87" customFormat="1" x14ac:dyDescent="0.25"/>
    <row r="138" s="87" customFormat="1" x14ac:dyDescent="0.25"/>
    <row r="139" s="87" customFormat="1" x14ac:dyDescent="0.25"/>
    <row r="140" s="87" customFormat="1" x14ac:dyDescent="0.25"/>
    <row r="141" s="87" customFormat="1" x14ac:dyDescent="0.25"/>
    <row r="142" s="87" customFormat="1" x14ac:dyDescent="0.25"/>
    <row r="143" s="87" customFormat="1" x14ac:dyDescent="0.25"/>
    <row r="144" s="87" customFormat="1" x14ac:dyDescent="0.25"/>
    <row r="145" s="87" customFormat="1" x14ac:dyDescent="0.25"/>
    <row r="146" s="87" customFormat="1" x14ac:dyDescent="0.25"/>
    <row r="147" s="87" customFormat="1" x14ac:dyDescent="0.25"/>
    <row r="148" s="87" customFormat="1" x14ac:dyDescent="0.25"/>
    <row r="149" s="87" customFormat="1" x14ac:dyDescent="0.25"/>
    <row r="150" s="87" customFormat="1" x14ac:dyDescent="0.25"/>
    <row r="151" s="87" customFormat="1" x14ac:dyDescent="0.25"/>
    <row r="152" s="87" customFormat="1" x14ac:dyDescent="0.25"/>
    <row r="153" s="87" customFormat="1" x14ac:dyDescent="0.25"/>
    <row r="154" s="87" customFormat="1" x14ac:dyDescent="0.25"/>
    <row r="155" s="87" customFormat="1" x14ac:dyDescent="0.25"/>
    <row r="156" s="87" customFormat="1" x14ac:dyDescent="0.25"/>
    <row r="157" s="87" customFormat="1" x14ac:dyDescent="0.25"/>
    <row r="158" s="87" customFormat="1" x14ac:dyDescent="0.25"/>
    <row r="159" s="87" customFormat="1" x14ac:dyDescent="0.25"/>
    <row r="160" s="87" customFormat="1" x14ac:dyDescent="0.25"/>
    <row r="161" s="87" customFormat="1" x14ac:dyDescent="0.25"/>
    <row r="162" s="87" customFormat="1" x14ac:dyDescent="0.25"/>
    <row r="163" s="87" customFormat="1" x14ac:dyDescent="0.25"/>
    <row r="164" s="87" customFormat="1" x14ac:dyDescent="0.25"/>
    <row r="165" s="87" customFormat="1" x14ac:dyDescent="0.25"/>
    <row r="166" s="87" customFormat="1" x14ac:dyDescent="0.25"/>
    <row r="167" s="87" customFormat="1" x14ac:dyDescent="0.25"/>
    <row r="168" s="87" customFormat="1" x14ac:dyDescent="0.25"/>
    <row r="169" s="87" customFormat="1" x14ac:dyDescent="0.25"/>
    <row r="170" s="87" customFormat="1" x14ac:dyDescent="0.25"/>
    <row r="171" s="87" customFormat="1" x14ac:dyDescent="0.25"/>
    <row r="172" s="87" customFormat="1" x14ac:dyDescent="0.25"/>
    <row r="173" s="87" customFormat="1" x14ac:dyDescent="0.25"/>
    <row r="174" s="87" customFormat="1" x14ac:dyDescent="0.25"/>
    <row r="175" s="87" customFormat="1" x14ac:dyDescent="0.25"/>
    <row r="176" s="87" customFormat="1" x14ac:dyDescent="0.25"/>
    <row r="177" s="87" customFormat="1" x14ac:dyDescent="0.25"/>
    <row r="178" s="87" customFormat="1" x14ac:dyDescent="0.25"/>
    <row r="179" s="87" customFormat="1" x14ac:dyDescent="0.25"/>
    <row r="180" s="87" customFormat="1" x14ac:dyDescent="0.25"/>
    <row r="181" s="87" customFormat="1" x14ac:dyDescent="0.25"/>
    <row r="182" s="87" customFormat="1" x14ac:dyDescent="0.25"/>
    <row r="183" s="87" customFormat="1" x14ac:dyDescent="0.25"/>
    <row r="184" s="87" customFormat="1" x14ac:dyDescent="0.25"/>
    <row r="185" s="87" customFormat="1" x14ac:dyDescent="0.25"/>
    <row r="186" s="87" customFormat="1" x14ac:dyDescent="0.25"/>
    <row r="187" s="87" customFormat="1" x14ac:dyDescent="0.25"/>
    <row r="188" s="87" customFormat="1" x14ac:dyDescent="0.25"/>
    <row r="189" s="87" customFormat="1" x14ac:dyDescent="0.25"/>
    <row r="190" s="87" customFormat="1" x14ac:dyDescent="0.25"/>
    <row r="191" s="87" customFormat="1" x14ac:dyDescent="0.25"/>
    <row r="192" s="87" customFormat="1" x14ac:dyDescent="0.25"/>
    <row r="193" s="87" customFormat="1" x14ac:dyDescent="0.25"/>
    <row r="194" s="87" customFormat="1" x14ac:dyDescent="0.25"/>
    <row r="195" s="87" customFormat="1" x14ac:dyDescent="0.25"/>
    <row r="196" s="87" customFormat="1" x14ac:dyDescent="0.25"/>
    <row r="197" s="87" customFormat="1" x14ac:dyDescent="0.25"/>
    <row r="198" s="87" customFormat="1" x14ac:dyDescent="0.25"/>
    <row r="199" s="87" customFormat="1" x14ac:dyDescent="0.25"/>
    <row r="200" s="87" customFormat="1" x14ac:dyDescent="0.25"/>
    <row r="201" s="87" customFormat="1" x14ac:dyDescent="0.25"/>
    <row r="202" s="87" customFormat="1" x14ac:dyDescent="0.25"/>
    <row r="203" s="87" customFormat="1" x14ac:dyDescent="0.25"/>
    <row r="204" s="87" customFormat="1" x14ac:dyDescent="0.25"/>
    <row r="205" s="87" customFormat="1" x14ac:dyDescent="0.25"/>
    <row r="206" s="87" customFormat="1" x14ac:dyDescent="0.25"/>
    <row r="207" s="87" customFormat="1" x14ac:dyDescent="0.25"/>
    <row r="208" s="87" customFormat="1" x14ac:dyDescent="0.25"/>
    <row r="209" s="87" customFormat="1" x14ac:dyDescent="0.25"/>
    <row r="210" s="87" customFormat="1" x14ac:dyDescent="0.25"/>
    <row r="211" s="87" customFormat="1" x14ac:dyDescent="0.25"/>
    <row r="212" s="87" customFormat="1" x14ac:dyDescent="0.25"/>
    <row r="213" s="87" customFormat="1" x14ac:dyDescent="0.25"/>
    <row r="214" s="87" customFormat="1" x14ac:dyDescent="0.25"/>
    <row r="215" s="87" customFormat="1" x14ac:dyDescent="0.25"/>
    <row r="216" s="87" customFormat="1" x14ac:dyDescent="0.25"/>
    <row r="217" s="87" customFormat="1" x14ac:dyDescent="0.25"/>
    <row r="218" s="87" customFormat="1" x14ac:dyDescent="0.25"/>
    <row r="219" s="87" customFormat="1" x14ac:dyDescent="0.25"/>
    <row r="220" s="87" customFormat="1" x14ac:dyDescent="0.25"/>
    <row r="221" s="87" customFormat="1" x14ac:dyDescent="0.25"/>
    <row r="222" s="87" customFormat="1" x14ac:dyDescent="0.25"/>
    <row r="223" s="87" customFormat="1" x14ac:dyDescent="0.25"/>
    <row r="224" s="87" customFormat="1" x14ac:dyDescent="0.25"/>
    <row r="225" s="87" customFormat="1" x14ac:dyDescent="0.25"/>
    <row r="226" s="87" customFormat="1" x14ac:dyDescent="0.25"/>
    <row r="227" s="87" customFormat="1" x14ac:dyDescent="0.25"/>
    <row r="228" s="87" customFormat="1" x14ac:dyDescent="0.25"/>
    <row r="229" s="87" customFormat="1" x14ac:dyDescent="0.25"/>
    <row r="230" s="87" customFormat="1" x14ac:dyDescent="0.25"/>
    <row r="231" s="87" customFormat="1" x14ac:dyDescent="0.25"/>
    <row r="232" s="87" customFormat="1" x14ac:dyDescent="0.25"/>
    <row r="233" s="87" customFormat="1" x14ac:dyDescent="0.25"/>
    <row r="234" s="87" customFormat="1" x14ac:dyDescent="0.25"/>
    <row r="235" s="87" customFormat="1" x14ac:dyDescent="0.25"/>
    <row r="236" s="87" customFormat="1" x14ac:dyDescent="0.25"/>
    <row r="237" s="87" customFormat="1" x14ac:dyDescent="0.25"/>
    <row r="238" s="87" customFormat="1" x14ac:dyDescent="0.25"/>
    <row r="239" s="87" customFormat="1" x14ac:dyDescent="0.25"/>
    <row r="240" s="87" customFormat="1" x14ac:dyDescent="0.25"/>
    <row r="241" s="87" customFormat="1" x14ac:dyDescent="0.25"/>
    <row r="242" s="87" customFormat="1" x14ac:dyDescent="0.25"/>
    <row r="243" s="87" customFormat="1" x14ac:dyDescent="0.25"/>
    <row r="244" s="87" customFormat="1" x14ac:dyDescent="0.25"/>
    <row r="245" s="87" customFormat="1" x14ac:dyDescent="0.25"/>
    <row r="246" s="87" customFormat="1" x14ac:dyDescent="0.25"/>
    <row r="247" s="87" customFormat="1" x14ac:dyDescent="0.25"/>
    <row r="248" s="87" customFormat="1" x14ac:dyDescent="0.25"/>
    <row r="249" s="87" customFormat="1" x14ac:dyDescent="0.25"/>
    <row r="250" s="87" customFormat="1" x14ac:dyDescent="0.25"/>
    <row r="251" s="87" customFormat="1" x14ac:dyDescent="0.25"/>
    <row r="252" s="87" customFormat="1" x14ac:dyDescent="0.25"/>
    <row r="253" s="87" customFormat="1" x14ac:dyDescent="0.25"/>
    <row r="254" s="87" customFormat="1" x14ac:dyDescent="0.25"/>
    <row r="255" s="87" customFormat="1" x14ac:dyDescent="0.25"/>
    <row r="256" s="87" customFormat="1" x14ac:dyDescent="0.25"/>
    <row r="257" s="87" customFormat="1" x14ac:dyDescent="0.25"/>
    <row r="258" s="87" customFormat="1" x14ac:dyDescent="0.25"/>
    <row r="259" s="87" customFormat="1" x14ac:dyDescent="0.25"/>
    <row r="260" s="87" customFormat="1" x14ac:dyDescent="0.25"/>
    <row r="261" s="87" customFormat="1" x14ac:dyDescent="0.25"/>
    <row r="262" s="87" customFormat="1" x14ac:dyDescent="0.25"/>
    <row r="263" s="87" customFormat="1" x14ac:dyDescent="0.25"/>
    <row r="264" s="87" customFormat="1" x14ac:dyDescent="0.25"/>
    <row r="265" s="87" customFormat="1" x14ac:dyDescent="0.25"/>
    <row r="266" s="87" customFormat="1" x14ac:dyDescent="0.25"/>
    <row r="267" s="87" customFormat="1" x14ac:dyDescent="0.25"/>
    <row r="268" s="87" customFormat="1" x14ac:dyDescent="0.25"/>
    <row r="269" s="87" customFormat="1" x14ac:dyDescent="0.25"/>
    <row r="270" s="87" customFormat="1" x14ac:dyDescent="0.25"/>
    <row r="271" s="87" customFormat="1" x14ac:dyDescent="0.25"/>
    <row r="272" s="87" customFormat="1" x14ac:dyDescent="0.25"/>
    <row r="273" s="87" customFormat="1" x14ac:dyDescent="0.25"/>
    <row r="274" s="87" customFormat="1" x14ac:dyDescent="0.25"/>
    <row r="275" s="87" customFormat="1" x14ac:dyDescent="0.25"/>
    <row r="276" s="87" customFormat="1" x14ac:dyDescent="0.25"/>
    <row r="277" s="87" customFormat="1" x14ac:dyDescent="0.25"/>
    <row r="278" s="87" customFormat="1" x14ac:dyDescent="0.25"/>
    <row r="279" s="87" customFormat="1" x14ac:dyDescent="0.25"/>
    <row r="280" s="87" customFormat="1" x14ac:dyDescent="0.25"/>
    <row r="281" s="87" customFormat="1" x14ac:dyDescent="0.25"/>
    <row r="282" s="87" customFormat="1" x14ac:dyDescent="0.25"/>
    <row r="283" s="87" customFormat="1" x14ac:dyDescent="0.25"/>
    <row r="284" s="87" customFormat="1" x14ac:dyDescent="0.25"/>
    <row r="285" s="87" customFormat="1" x14ac:dyDescent="0.25"/>
    <row r="286" s="87" customFormat="1" x14ac:dyDescent="0.25"/>
    <row r="287" s="87" customFormat="1" x14ac:dyDescent="0.25"/>
    <row r="288" s="87" customFormat="1" x14ac:dyDescent="0.25"/>
    <row r="289" s="87" customFormat="1" x14ac:dyDescent="0.25"/>
    <row r="290" s="87" customFormat="1" x14ac:dyDescent="0.25"/>
    <row r="291" s="87" customFormat="1" x14ac:dyDescent="0.25"/>
    <row r="292" s="87" customFormat="1" x14ac:dyDescent="0.25"/>
    <row r="293" s="87" customFormat="1" x14ac:dyDescent="0.25"/>
    <row r="294" s="87" customFormat="1" x14ac:dyDescent="0.25"/>
    <row r="295" s="87" customFormat="1" x14ac:dyDescent="0.25"/>
    <row r="296" s="87" customFormat="1" x14ac:dyDescent="0.25"/>
    <row r="297" s="87" customFormat="1" x14ac:dyDescent="0.25"/>
    <row r="298" s="87" customFormat="1" x14ac:dyDescent="0.25"/>
    <row r="299" s="87" customFormat="1" x14ac:dyDescent="0.25"/>
    <row r="300" s="87" customFormat="1" x14ac:dyDescent="0.25"/>
    <row r="301" s="87" customFormat="1" x14ac:dyDescent="0.25"/>
    <row r="302" s="87" customFormat="1" x14ac:dyDescent="0.25"/>
    <row r="303" s="87" customFormat="1" x14ac:dyDescent="0.25"/>
    <row r="304" s="87" customFormat="1" x14ac:dyDescent="0.25"/>
    <row r="305" s="87" customFormat="1" x14ac:dyDescent="0.25"/>
    <row r="306" s="87" customFormat="1" x14ac:dyDescent="0.25"/>
    <row r="307" s="87" customFormat="1" x14ac:dyDescent="0.25"/>
    <row r="308" s="87" customFormat="1" x14ac:dyDescent="0.25"/>
    <row r="309" s="87" customFormat="1" x14ac:dyDescent="0.25"/>
    <row r="310" s="87" customFormat="1" x14ac:dyDescent="0.25"/>
    <row r="311" s="87" customFormat="1" x14ac:dyDescent="0.25"/>
    <row r="312" s="87" customFormat="1" x14ac:dyDescent="0.25"/>
    <row r="313" s="87" customFormat="1" x14ac:dyDescent="0.25"/>
    <row r="314" s="87" customFormat="1" x14ac:dyDescent="0.25"/>
    <row r="315" s="87" customFormat="1" x14ac:dyDescent="0.25"/>
    <row r="316" s="87" customFormat="1" x14ac:dyDescent="0.25"/>
    <row r="317" s="87" customFormat="1" x14ac:dyDescent="0.25"/>
    <row r="318" s="87" customFormat="1" x14ac:dyDescent="0.25"/>
    <row r="319" s="87" customFormat="1" x14ac:dyDescent="0.25"/>
    <row r="320" s="87" customFormat="1" x14ac:dyDescent="0.25"/>
    <row r="321" s="87" customFormat="1" x14ac:dyDescent="0.25"/>
    <row r="322" s="87" customFormat="1" x14ac:dyDescent="0.25"/>
    <row r="323" s="87" customFormat="1" x14ac:dyDescent="0.25"/>
    <row r="324" s="87" customFormat="1" x14ac:dyDescent="0.25"/>
    <row r="325" s="87" customFormat="1" x14ac:dyDescent="0.25"/>
    <row r="326" s="87" customFormat="1" x14ac:dyDescent="0.25"/>
    <row r="327" s="87" customFormat="1" x14ac:dyDescent="0.25"/>
    <row r="328" s="87" customFormat="1" x14ac:dyDescent="0.25"/>
    <row r="329" s="87" customFormat="1" x14ac:dyDescent="0.25"/>
    <row r="330" s="87" customFormat="1" x14ac:dyDescent="0.25"/>
    <row r="331" s="87" customFormat="1" x14ac:dyDescent="0.25"/>
    <row r="332" s="87" customFormat="1" x14ac:dyDescent="0.25"/>
    <row r="333" s="87" customFormat="1" x14ac:dyDescent="0.25"/>
    <row r="334" s="87" customFormat="1" x14ac:dyDescent="0.25"/>
    <row r="335" s="87" customFormat="1" x14ac:dyDescent="0.25"/>
    <row r="336" s="87" customFormat="1" x14ac:dyDescent="0.25"/>
    <row r="337" s="87" customFormat="1" x14ac:dyDescent="0.25"/>
    <row r="338" s="87" customFormat="1" x14ac:dyDescent="0.25"/>
    <row r="339" s="87" customFormat="1" x14ac:dyDescent="0.25"/>
    <row r="340" s="87" customFormat="1" x14ac:dyDescent="0.25"/>
    <row r="341" s="87" customFormat="1" x14ac:dyDescent="0.25"/>
    <row r="342" s="87" customFormat="1" x14ac:dyDescent="0.25"/>
    <row r="343" s="87" customFormat="1" x14ac:dyDescent="0.25"/>
    <row r="344" s="87" customFormat="1" x14ac:dyDescent="0.25"/>
    <row r="345" s="87" customFormat="1" x14ac:dyDescent="0.25"/>
    <row r="346" s="87" customFormat="1" x14ac:dyDescent="0.25"/>
    <row r="347" s="87" customFormat="1" x14ac:dyDescent="0.25"/>
    <row r="348" s="87" customFormat="1" x14ac:dyDescent="0.25"/>
    <row r="349" s="87" customFormat="1" x14ac:dyDescent="0.25"/>
    <row r="350" s="87" customFormat="1" x14ac:dyDescent="0.25"/>
    <row r="351" s="87" customFormat="1" x14ac:dyDescent="0.25"/>
    <row r="352" s="87" customFormat="1" x14ac:dyDescent="0.25"/>
    <row r="353" s="87" customFormat="1" x14ac:dyDescent="0.25"/>
    <row r="354" s="87" customFormat="1" x14ac:dyDescent="0.25"/>
    <row r="355" s="87" customFormat="1" x14ac:dyDescent="0.25"/>
    <row r="356" s="87" customFormat="1" x14ac:dyDescent="0.25"/>
    <row r="357" s="87" customFormat="1" x14ac:dyDescent="0.25"/>
    <row r="358" s="87" customFormat="1" x14ac:dyDescent="0.25"/>
    <row r="359" s="87" customFormat="1" x14ac:dyDescent="0.25"/>
    <row r="360" s="87" customFormat="1" x14ac:dyDescent="0.25"/>
    <row r="361" s="87" customFormat="1" x14ac:dyDescent="0.25"/>
    <row r="362" s="87" customFormat="1" x14ac:dyDescent="0.25"/>
    <row r="363" s="87" customFormat="1" x14ac:dyDescent="0.25"/>
    <row r="364" s="87" customFormat="1" x14ac:dyDescent="0.25"/>
    <row r="365" s="87" customFormat="1" x14ac:dyDescent="0.25"/>
    <row r="366" s="87" customFormat="1" x14ac:dyDescent="0.25"/>
    <row r="367" s="87" customFormat="1" x14ac:dyDescent="0.25"/>
    <row r="368" s="87" customFormat="1" x14ac:dyDescent="0.25"/>
    <row r="369" s="87" customFormat="1" x14ac:dyDescent="0.25"/>
    <row r="370" s="87" customFormat="1" x14ac:dyDescent="0.25"/>
    <row r="371" s="87" customFormat="1" x14ac:dyDescent="0.25"/>
    <row r="372" s="87" customFormat="1" x14ac:dyDescent="0.25"/>
    <row r="373" s="87" customFormat="1" x14ac:dyDescent="0.25"/>
    <row r="374" s="87" customFormat="1" x14ac:dyDescent="0.25"/>
    <row r="375" s="87" customFormat="1" x14ac:dyDescent="0.25"/>
    <row r="376" s="87" customFormat="1" x14ac:dyDescent="0.25"/>
    <row r="377" s="87" customFormat="1" x14ac:dyDescent="0.25"/>
    <row r="378" s="87" customFormat="1" x14ac:dyDescent="0.25"/>
    <row r="379" s="87" customFormat="1" x14ac:dyDescent="0.25"/>
    <row r="380" s="87" customFormat="1" x14ac:dyDescent="0.25"/>
    <row r="381" s="87" customFormat="1" x14ac:dyDescent="0.25"/>
    <row r="382" s="87" customFormat="1" x14ac:dyDescent="0.25"/>
    <row r="383" s="87" customFormat="1" x14ac:dyDescent="0.25"/>
    <row r="384" s="87" customFormat="1" x14ac:dyDescent="0.25"/>
    <row r="385" s="87" customFormat="1" x14ac:dyDescent="0.25"/>
    <row r="386" s="87" customFormat="1" x14ac:dyDescent="0.25"/>
    <row r="387" s="87" customFormat="1" x14ac:dyDescent="0.25"/>
    <row r="388" s="87" customFormat="1" x14ac:dyDescent="0.25"/>
    <row r="389" s="87" customFormat="1" x14ac:dyDescent="0.25"/>
    <row r="390" s="87" customFormat="1" x14ac:dyDescent="0.25"/>
    <row r="391" s="87" customFormat="1" x14ac:dyDescent="0.25"/>
    <row r="392" s="87" customFormat="1" x14ac:dyDescent="0.25"/>
    <row r="393" s="87" customFormat="1" x14ac:dyDescent="0.25"/>
    <row r="394" s="87" customFormat="1" x14ac:dyDescent="0.25"/>
    <row r="395" s="87" customFormat="1" x14ac:dyDescent="0.25"/>
    <row r="396" s="87" customFormat="1" x14ac:dyDescent="0.25"/>
    <row r="397" s="87" customFormat="1" x14ac:dyDescent="0.25"/>
    <row r="398" s="87" customFormat="1" x14ac:dyDescent="0.25"/>
    <row r="399" s="87" customFormat="1" x14ac:dyDescent="0.25"/>
    <row r="400" s="87" customFormat="1" x14ac:dyDescent="0.25"/>
    <row r="401" s="87" customFormat="1" x14ac:dyDescent="0.25"/>
    <row r="402" s="87" customFormat="1" x14ac:dyDescent="0.25"/>
    <row r="403" s="87" customFormat="1" x14ac:dyDescent="0.25"/>
    <row r="404" s="87" customFormat="1" x14ac:dyDescent="0.25"/>
    <row r="405" s="87" customFormat="1" x14ac:dyDescent="0.25"/>
    <row r="406" s="87" customFormat="1" x14ac:dyDescent="0.25"/>
    <row r="407" s="87" customFormat="1" x14ac:dyDescent="0.25"/>
    <row r="408" s="87" customFormat="1" x14ac:dyDescent="0.25"/>
    <row r="409" s="87" customFormat="1" x14ac:dyDescent="0.25"/>
    <row r="410" s="87" customFormat="1" x14ac:dyDescent="0.25"/>
    <row r="411" s="87" customFormat="1" x14ac:dyDescent="0.25"/>
    <row r="412" s="87" customFormat="1" x14ac:dyDescent="0.25"/>
    <row r="413" s="87" customFormat="1" x14ac:dyDescent="0.25"/>
    <row r="414" s="87" customFormat="1" x14ac:dyDescent="0.25"/>
    <row r="415" s="87" customFormat="1" x14ac:dyDescent="0.25"/>
    <row r="416" s="87" customFormat="1" x14ac:dyDescent="0.25"/>
    <row r="417" s="87" customFormat="1" x14ac:dyDescent="0.25"/>
    <row r="418" s="87" customFormat="1" x14ac:dyDescent="0.25"/>
    <row r="419" s="87" customFormat="1" x14ac:dyDescent="0.25"/>
    <row r="420" s="87" customFormat="1" x14ac:dyDescent="0.25"/>
    <row r="421" s="87" customFormat="1" x14ac:dyDescent="0.25"/>
    <row r="422" s="87" customFormat="1" x14ac:dyDescent="0.25"/>
    <row r="423" s="87" customFormat="1" x14ac:dyDescent="0.25"/>
    <row r="424" s="87" customFormat="1" x14ac:dyDescent="0.25"/>
    <row r="425" s="87" customFormat="1" x14ac:dyDescent="0.25"/>
    <row r="426" s="87" customFormat="1" x14ac:dyDescent="0.25"/>
    <row r="427" s="87" customFormat="1" x14ac:dyDescent="0.25"/>
    <row r="428" s="87" customFormat="1" x14ac:dyDescent="0.25"/>
    <row r="429" s="87" customFormat="1" x14ac:dyDescent="0.25"/>
    <row r="430" s="87" customFormat="1" x14ac:dyDescent="0.25"/>
    <row r="431" s="87" customFormat="1" x14ac:dyDescent="0.25"/>
    <row r="432" s="87" customFormat="1" x14ac:dyDescent="0.25"/>
    <row r="433" s="87" customFormat="1" x14ac:dyDescent="0.25"/>
    <row r="434" s="87" customFormat="1" x14ac:dyDescent="0.25"/>
    <row r="435" s="87" customFormat="1" x14ac:dyDescent="0.25"/>
    <row r="436" s="87" customFormat="1" x14ac:dyDescent="0.25"/>
    <row r="437" s="87" customFormat="1" x14ac:dyDescent="0.25"/>
    <row r="438" s="87" customFormat="1" x14ac:dyDescent="0.25"/>
    <row r="439" s="87" customFormat="1" x14ac:dyDescent="0.25"/>
    <row r="440" s="87" customFormat="1" x14ac:dyDescent="0.25"/>
    <row r="441" s="87" customFormat="1" x14ac:dyDescent="0.25"/>
    <row r="442" s="87" customFormat="1" x14ac:dyDescent="0.25"/>
    <row r="443" s="87" customFormat="1" x14ac:dyDescent="0.25"/>
    <row r="444" s="87" customFormat="1" x14ac:dyDescent="0.25"/>
    <row r="445" s="87" customFormat="1" x14ac:dyDescent="0.25"/>
    <row r="446" s="87" customFormat="1" x14ac:dyDescent="0.25"/>
    <row r="447" s="87" customFormat="1" x14ac:dyDescent="0.25"/>
    <row r="448" s="87" customFormat="1" x14ac:dyDescent="0.25"/>
    <row r="449" spans="4:8" s="87" customFormat="1" x14ac:dyDescent="0.25"/>
    <row r="450" spans="4:8" s="87" customFormat="1" x14ac:dyDescent="0.25"/>
    <row r="451" spans="4:8" s="87" customFormat="1" x14ac:dyDescent="0.25"/>
    <row r="452" spans="4:8" s="87" customFormat="1" x14ac:dyDescent="0.25"/>
    <row r="453" spans="4:8" s="87" customFormat="1" x14ac:dyDescent="0.25"/>
    <row r="454" spans="4:8" s="87" customFormat="1" x14ac:dyDescent="0.25"/>
    <row r="455" spans="4:8" s="87" customFormat="1" x14ac:dyDescent="0.25"/>
    <row r="456" spans="4:8" s="87" customFormat="1" x14ac:dyDescent="0.25"/>
    <row r="457" spans="4:8" s="87" customFormat="1" x14ac:dyDescent="0.25"/>
    <row r="458" spans="4:8" s="87" customFormat="1" x14ac:dyDescent="0.25"/>
    <row r="459" spans="4:8" x14ac:dyDescent="0.25">
      <c r="D459" s="85"/>
      <c r="E459" s="85"/>
      <c r="F459" s="85"/>
      <c r="G459" s="85"/>
      <c r="H459" s="85"/>
    </row>
  </sheetData>
  <mergeCells count="27">
    <mergeCell ref="D1:H1"/>
    <mergeCell ref="D2:H2"/>
    <mergeCell ref="D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D18:H18"/>
    <mergeCell ref="F19:H19"/>
    <mergeCell ref="F20:H20"/>
    <mergeCell ref="F21:H21"/>
    <mergeCell ref="F22:H22"/>
    <mergeCell ref="F28:H28"/>
    <mergeCell ref="D30:H30"/>
    <mergeCell ref="F23:H23"/>
    <mergeCell ref="F24:H24"/>
    <mergeCell ref="F25:H25"/>
    <mergeCell ref="F26:H26"/>
    <mergeCell ref="F27:H27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50"/>
  </sheetPr>
  <dimension ref="A1:AB2279"/>
  <sheetViews>
    <sheetView showGridLines="0" showRowColHeaders="0" zoomScale="85" zoomScaleNormal="85" workbookViewId="0">
      <pane ySplit="2" topLeftCell="A3" activePane="bottomLeft" state="frozen"/>
      <selection pane="bottomLeft" activeCell="H17" sqref="H1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1.28515625" style="93" customWidth="1"/>
    <col min="2" max="2" width="8.7109375" style="93"/>
    <col min="3" max="3" width="6.42578125" style="93" customWidth="1"/>
    <col min="4" max="4" width="6" customWidth="1"/>
    <col min="5" max="5" width="31.5703125" bestFit="1" customWidth="1"/>
    <col min="6" max="6" width="18.7109375" bestFit="1" customWidth="1"/>
    <col min="7" max="8" width="15.28515625" customWidth="1"/>
    <col min="9" max="9" width="17.5703125" bestFit="1" customWidth="1"/>
    <col min="10" max="10" width="17.28515625" bestFit="1" customWidth="1"/>
    <col min="11" max="12" width="15.28515625" customWidth="1"/>
    <col min="13" max="13" width="6.42578125" style="93" customWidth="1"/>
    <col min="14" max="22" width="8.7109375" style="93"/>
    <col min="23" max="28" width="40" style="93" customWidth="1"/>
  </cols>
  <sheetData>
    <row r="1" spans="4:12" ht="15.75" thickBot="1" x14ac:dyDescent="0.3">
      <c r="D1" s="93"/>
      <c r="E1" s="93"/>
      <c r="F1" s="93"/>
      <c r="G1" s="93"/>
      <c r="H1" s="93"/>
      <c r="I1" s="93"/>
      <c r="J1" s="93"/>
      <c r="K1" s="93"/>
      <c r="L1" s="93"/>
    </row>
    <row r="2" spans="4:12" s="93" customFormat="1" ht="21.75" thickBot="1" x14ac:dyDescent="0.4">
      <c r="E2" s="515" t="s">
        <v>457</v>
      </c>
      <c r="F2" s="516">
        <f>I507</f>
        <v>43641.280000000006</v>
      </c>
    </row>
    <row r="3" spans="4:12" s="93" customFormat="1" x14ac:dyDescent="0.25"/>
    <row r="4" spans="4:12" ht="39.75" customHeight="1" thickBot="1" x14ac:dyDescent="0.3">
      <c r="D4" s="438" t="s">
        <v>131</v>
      </c>
      <c r="E4" s="438"/>
      <c r="F4" s="438"/>
      <c r="G4" s="438"/>
      <c r="H4" s="438"/>
      <c r="I4" s="438"/>
      <c r="J4" s="438"/>
      <c r="K4" s="438"/>
      <c r="L4" s="439"/>
    </row>
    <row r="5" spans="4:12" ht="15.75" customHeight="1" thickTop="1" x14ac:dyDescent="0.25">
      <c r="D5" s="437" t="s">
        <v>132</v>
      </c>
      <c r="E5" s="437"/>
      <c r="F5" s="437"/>
      <c r="G5" s="437"/>
      <c r="H5" s="437"/>
      <c r="I5" s="437"/>
      <c r="J5" s="437"/>
      <c r="K5" s="437"/>
      <c r="L5" s="437"/>
    </row>
    <row r="6" spans="4:12" ht="34.5" customHeight="1" x14ac:dyDescent="0.25">
      <c r="D6" s="92" t="s">
        <v>133</v>
      </c>
      <c r="E6" s="92" t="s">
        <v>134</v>
      </c>
      <c r="F6" s="92" t="s">
        <v>135</v>
      </c>
      <c r="G6" s="92" t="s">
        <v>136</v>
      </c>
      <c r="H6" s="92" t="s">
        <v>137</v>
      </c>
      <c r="I6" s="92" t="s">
        <v>138</v>
      </c>
      <c r="J6" s="92" t="s">
        <v>430</v>
      </c>
      <c r="K6" s="92" t="s">
        <v>140</v>
      </c>
      <c r="L6" s="92" t="s">
        <v>141</v>
      </c>
    </row>
    <row r="7" spans="4:12" ht="19.5" customHeight="1" x14ac:dyDescent="0.25">
      <c r="D7" s="92">
        <v>1</v>
      </c>
      <c r="E7" s="338" t="s">
        <v>413</v>
      </c>
      <c r="F7" s="339" t="s">
        <v>142</v>
      </c>
      <c r="G7" s="340">
        <v>480</v>
      </c>
      <c r="H7" s="341">
        <v>1.21</v>
      </c>
      <c r="I7" s="244">
        <f>IF(G7=0,0,G7*H7)</f>
        <v>580.79999999999995</v>
      </c>
      <c r="J7" s="297">
        <f>IF(I7=0,0,I7/$I$507)</f>
        <v>1.3308500575601812E-2</v>
      </c>
      <c r="K7" s="89">
        <f>'🧮 Costos x Producto'!K7</f>
        <v>5.1345891721782673</v>
      </c>
      <c r="L7" s="90">
        <f>'💰 Precio de Venta'!H8</f>
        <v>8.5576486202971118</v>
      </c>
    </row>
    <row r="8" spans="4:12" ht="19.5" customHeight="1" x14ac:dyDescent="0.25">
      <c r="D8" s="92">
        <v>2</v>
      </c>
      <c r="E8" s="342" t="s">
        <v>414</v>
      </c>
      <c r="F8" s="343" t="s">
        <v>142</v>
      </c>
      <c r="G8" s="344">
        <v>2880</v>
      </c>
      <c r="H8" s="345">
        <v>0.68</v>
      </c>
      <c r="I8" s="245">
        <f t="shared" ref="I8:I36" si="0">IF(G8=0,0,G8*H8)</f>
        <v>1958.4</v>
      </c>
      <c r="J8" s="297">
        <f>IF(I8=0,0,I8/$I$507)</f>
        <v>4.4874944089632565E-2</v>
      </c>
      <c r="K8" s="89">
        <f>'🧮 Costos x Producto'!K8</f>
        <v>2.8855542455216714</v>
      </c>
      <c r="L8" s="14">
        <f>'💰 Precio de Venta'!H9</f>
        <v>4.8092570758694526</v>
      </c>
    </row>
    <row r="9" spans="4:12" ht="19.5" customHeight="1" x14ac:dyDescent="0.25">
      <c r="D9" s="92">
        <v>3</v>
      </c>
      <c r="E9" s="342" t="s">
        <v>415</v>
      </c>
      <c r="F9" s="343" t="s">
        <v>142</v>
      </c>
      <c r="G9" s="344">
        <v>2880</v>
      </c>
      <c r="H9" s="345">
        <v>0.4</v>
      </c>
      <c r="I9" s="245">
        <f t="shared" si="0"/>
        <v>1152</v>
      </c>
      <c r="J9" s="297">
        <f>IF(I9=0,0,I9/$I$507)</f>
        <v>2.6397025935077978E-2</v>
      </c>
      <c r="K9" s="89">
        <f>'🧮 Costos x Producto'!K9</f>
        <v>1.6973848503068654</v>
      </c>
      <c r="L9" s="14">
        <f>'💰 Precio de Venta'!H10</f>
        <v>2.8289747505114424</v>
      </c>
    </row>
    <row r="10" spans="4:12" ht="19.5" customHeight="1" x14ac:dyDescent="0.25">
      <c r="D10" s="92">
        <v>4</v>
      </c>
      <c r="E10" s="342" t="s">
        <v>416</v>
      </c>
      <c r="F10" s="343" t="s">
        <v>142</v>
      </c>
      <c r="G10" s="344">
        <v>10224</v>
      </c>
      <c r="H10" s="345">
        <v>0.34</v>
      </c>
      <c r="I10" s="245">
        <f t="shared" si="0"/>
        <v>3476.1600000000003</v>
      </c>
      <c r="J10" s="297">
        <f>IF(I10=0,0,I10/$I$507)</f>
        <v>7.9653025759097801E-2</v>
      </c>
      <c r="K10" s="89">
        <f>'🧮 Costos x Producto'!K10</f>
        <v>1.4427771227608357</v>
      </c>
      <c r="L10" s="14">
        <f>'💰 Precio de Venta'!H11</f>
        <v>2.4046285379347263</v>
      </c>
    </row>
    <row r="11" spans="4:12" ht="19.5" customHeight="1" x14ac:dyDescent="0.25">
      <c r="D11" s="92">
        <v>5</v>
      </c>
      <c r="E11" s="342" t="s">
        <v>417</v>
      </c>
      <c r="F11" s="343" t="s">
        <v>142</v>
      </c>
      <c r="G11" s="344">
        <v>8640</v>
      </c>
      <c r="H11" s="345">
        <v>0.26</v>
      </c>
      <c r="I11" s="245">
        <f t="shared" si="0"/>
        <v>2246.4</v>
      </c>
      <c r="J11" s="297">
        <f>IF(I11=0,0,I11/$I$507)</f>
        <v>5.147420057340206E-2</v>
      </c>
      <c r="K11" s="89">
        <f>'🧮 Costos x Producto'!K11</f>
        <v>1.1033001526994626</v>
      </c>
      <c r="L11" s="14">
        <f>'💰 Precio de Venta'!H12</f>
        <v>1.8388335878324378</v>
      </c>
    </row>
    <row r="12" spans="4:12" ht="19.5" customHeight="1" x14ac:dyDescent="0.25">
      <c r="D12" s="92">
        <v>6</v>
      </c>
      <c r="E12" s="342" t="s">
        <v>418</v>
      </c>
      <c r="F12" s="343" t="s">
        <v>142</v>
      </c>
      <c r="G12" s="344">
        <v>2160</v>
      </c>
      <c r="H12" s="345">
        <v>0.28999999999999998</v>
      </c>
      <c r="I12" s="245">
        <f t="shared" si="0"/>
        <v>626.4</v>
      </c>
      <c r="J12" s="297">
        <f>IF(I12=0,0,I12/$I$507)</f>
        <v>1.435338285219865E-2</v>
      </c>
      <c r="K12" s="89">
        <f>'🧮 Costos x Producto'!K12</f>
        <v>1.2306040164724774</v>
      </c>
      <c r="L12" s="14">
        <f>'💰 Precio de Venta'!H13</f>
        <v>2.0510066941207956</v>
      </c>
    </row>
    <row r="13" spans="4:12" ht="19.5" customHeight="1" x14ac:dyDescent="0.25">
      <c r="D13" s="92">
        <v>7</v>
      </c>
      <c r="E13" s="342" t="s">
        <v>419</v>
      </c>
      <c r="F13" s="343" t="s">
        <v>142</v>
      </c>
      <c r="G13" s="344">
        <v>240</v>
      </c>
      <c r="H13" s="345">
        <v>5.71</v>
      </c>
      <c r="I13" s="245">
        <f t="shared" si="0"/>
        <v>1370.4</v>
      </c>
      <c r="J13" s="297">
        <f>IF(I13=0,0,I13/$I$507)</f>
        <v>3.1401462101936513E-2</v>
      </c>
      <c r="K13" s="89">
        <f>'🧮 Costos x Producto'!K13</f>
        <v>24.230168738130505</v>
      </c>
      <c r="L13" s="14">
        <f>'💰 Precio de Venta'!H14</f>
        <v>40.383614563550843</v>
      </c>
    </row>
    <row r="14" spans="4:12" ht="19.5" customHeight="1" x14ac:dyDescent="0.25">
      <c r="D14" s="92">
        <v>8</v>
      </c>
      <c r="E14" s="342" t="s">
        <v>420</v>
      </c>
      <c r="F14" s="343" t="s">
        <v>142</v>
      </c>
      <c r="G14" s="344">
        <v>1920</v>
      </c>
      <c r="H14" s="345">
        <v>0.76</v>
      </c>
      <c r="I14" s="245">
        <f t="shared" si="0"/>
        <v>1459.2</v>
      </c>
      <c r="J14" s="297">
        <f>IF(I14=0,0,I14/$I$507)</f>
        <v>3.3436232851098771E-2</v>
      </c>
      <c r="K14" s="89">
        <f>'🧮 Costos x Producto'!K14</f>
        <v>3.2250312155830443</v>
      </c>
      <c r="L14" s="14">
        <f>'💰 Precio de Venta'!H15</f>
        <v>5.3750520259717405</v>
      </c>
    </row>
    <row r="15" spans="4:12" ht="19.5" customHeight="1" x14ac:dyDescent="0.25">
      <c r="D15" s="92">
        <v>9</v>
      </c>
      <c r="E15" s="342" t="s">
        <v>421</v>
      </c>
      <c r="F15" s="343" t="s">
        <v>142</v>
      </c>
      <c r="G15" s="344">
        <v>4800</v>
      </c>
      <c r="H15" s="345">
        <v>0.28000000000000003</v>
      </c>
      <c r="I15" s="245">
        <f t="shared" si="0"/>
        <v>1344.0000000000002</v>
      </c>
      <c r="J15" s="297">
        <f>IF(I15=0,0,I15/$I$507)</f>
        <v>3.0796530257590979E-2</v>
      </c>
      <c r="K15" s="89">
        <f>'🧮 Costos x Producto'!K15</f>
        <v>1.1881693952148058</v>
      </c>
      <c r="L15" s="14">
        <f>'💰 Precio de Venta'!H16</f>
        <v>1.9802823253580097</v>
      </c>
    </row>
    <row r="16" spans="4:12" ht="19.5" customHeight="1" x14ac:dyDescent="0.25">
      <c r="D16" s="92">
        <v>10</v>
      </c>
      <c r="E16" s="342" t="s">
        <v>456</v>
      </c>
      <c r="F16" s="343" t="s">
        <v>142</v>
      </c>
      <c r="G16" s="344">
        <v>2000</v>
      </c>
      <c r="H16" s="345">
        <v>0.5</v>
      </c>
      <c r="I16" s="245">
        <f t="shared" si="0"/>
        <v>1000</v>
      </c>
      <c r="J16" s="297">
        <f>IF(I16=0,0,I16/$I$507)</f>
        <v>2.2914085013088521E-2</v>
      </c>
      <c r="K16" s="89">
        <f>'🧮 Costos x Producto'!K16</f>
        <v>2.1217310628835819</v>
      </c>
      <c r="L16" s="14">
        <f>'💰 Precio de Venta'!H17</f>
        <v>3.5362184381393034</v>
      </c>
    </row>
    <row r="17" spans="4:12" ht="19.5" customHeight="1" x14ac:dyDescent="0.25">
      <c r="D17" s="92">
        <v>11</v>
      </c>
      <c r="E17" s="338" t="s">
        <v>413</v>
      </c>
      <c r="F17" s="339" t="s">
        <v>142</v>
      </c>
      <c r="G17" s="340">
        <v>480</v>
      </c>
      <c r="H17" s="341">
        <v>1.21</v>
      </c>
      <c r="I17" s="245">
        <f t="shared" si="0"/>
        <v>580.79999999999995</v>
      </c>
      <c r="J17" s="297">
        <f>IF(I17=0,0,I17/$I$507)</f>
        <v>1.3308500575601812E-2</v>
      </c>
      <c r="K17" s="89">
        <f>'🧮 Costos x Producto'!K17</f>
        <v>5.1345891721782673</v>
      </c>
      <c r="L17" s="14">
        <f>'💰 Precio de Venta'!H18</f>
        <v>8.5576486202971118</v>
      </c>
    </row>
    <row r="18" spans="4:12" ht="19.5" customHeight="1" x14ac:dyDescent="0.25">
      <c r="D18" s="92">
        <v>12</v>
      </c>
      <c r="E18" s="342" t="s">
        <v>414</v>
      </c>
      <c r="F18" s="343" t="s">
        <v>142</v>
      </c>
      <c r="G18" s="344">
        <v>2880</v>
      </c>
      <c r="H18" s="345">
        <v>0.68</v>
      </c>
      <c r="I18" s="245">
        <f t="shared" si="0"/>
        <v>1958.4</v>
      </c>
      <c r="J18" s="297">
        <f>IF(I18=0,0,I18/$I$507)</f>
        <v>4.4874944089632565E-2</v>
      </c>
      <c r="K18" s="89">
        <f>'🧮 Costos x Producto'!K18</f>
        <v>2.8855542455216714</v>
      </c>
      <c r="L18" s="14">
        <f>'💰 Precio de Venta'!H19</f>
        <v>4.8092570758694526</v>
      </c>
    </row>
    <row r="19" spans="4:12" ht="19.5" customHeight="1" x14ac:dyDescent="0.25">
      <c r="D19" s="92">
        <v>13</v>
      </c>
      <c r="E19" s="342" t="s">
        <v>415</v>
      </c>
      <c r="F19" s="343" t="s">
        <v>142</v>
      </c>
      <c r="G19" s="344">
        <v>2880</v>
      </c>
      <c r="H19" s="345">
        <v>0.4</v>
      </c>
      <c r="I19" s="245">
        <f t="shared" si="0"/>
        <v>1152</v>
      </c>
      <c r="J19" s="297">
        <f>IF(I19=0,0,I19/$I$507)</f>
        <v>2.6397025935077978E-2</v>
      </c>
      <c r="K19" s="89">
        <f>'🧮 Costos x Producto'!K19</f>
        <v>1.6973848503068654</v>
      </c>
      <c r="L19" s="14">
        <f>'💰 Precio de Venta'!H20</f>
        <v>2.8289747505114424</v>
      </c>
    </row>
    <row r="20" spans="4:12" ht="19.5" customHeight="1" x14ac:dyDescent="0.25">
      <c r="D20" s="92">
        <v>14</v>
      </c>
      <c r="E20" s="342" t="s">
        <v>416</v>
      </c>
      <c r="F20" s="343" t="s">
        <v>142</v>
      </c>
      <c r="G20" s="344">
        <v>10224</v>
      </c>
      <c r="H20" s="345">
        <v>0.34</v>
      </c>
      <c r="I20" s="245">
        <f t="shared" si="0"/>
        <v>3476.1600000000003</v>
      </c>
      <c r="J20" s="297">
        <f>IF(I20=0,0,I20/$I$507)</f>
        <v>7.9653025759097801E-2</v>
      </c>
      <c r="K20" s="89">
        <f>'🧮 Costos x Producto'!K20</f>
        <v>1.4427771227608357</v>
      </c>
      <c r="L20" s="14">
        <f>'💰 Precio de Venta'!H21</f>
        <v>2.4046285379347263</v>
      </c>
    </row>
    <row r="21" spans="4:12" ht="19.5" customHeight="1" x14ac:dyDescent="0.25">
      <c r="D21" s="92">
        <v>15</v>
      </c>
      <c r="E21" s="342" t="s">
        <v>417</v>
      </c>
      <c r="F21" s="343" t="s">
        <v>142</v>
      </c>
      <c r="G21" s="344">
        <v>8640</v>
      </c>
      <c r="H21" s="345">
        <v>0.26</v>
      </c>
      <c r="I21" s="245">
        <f t="shared" si="0"/>
        <v>2246.4</v>
      </c>
      <c r="J21" s="297">
        <f>IF(I21=0,0,I21/$I$507)</f>
        <v>5.147420057340206E-2</v>
      </c>
      <c r="K21" s="89">
        <f>'🧮 Costos x Producto'!K21</f>
        <v>1.1033001526994626</v>
      </c>
      <c r="L21" s="14">
        <f>'💰 Precio de Venta'!H22</f>
        <v>1.8388335878324378</v>
      </c>
    </row>
    <row r="22" spans="4:12" ht="19.5" customHeight="1" x14ac:dyDescent="0.25">
      <c r="D22" s="92">
        <v>16</v>
      </c>
      <c r="E22" s="342" t="s">
        <v>418</v>
      </c>
      <c r="F22" s="343" t="s">
        <v>142</v>
      </c>
      <c r="G22" s="344">
        <v>2160</v>
      </c>
      <c r="H22" s="345">
        <v>0.28999999999999998</v>
      </c>
      <c r="I22" s="245">
        <f t="shared" si="0"/>
        <v>626.4</v>
      </c>
      <c r="J22" s="297">
        <f>IF(I22=0,0,I22/$I$507)</f>
        <v>1.435338285219865E-2</v>
      </c>
      <c r="K22" s="89">
        <f>'🧮 Costos x Producto'!K22</f>
        <v>1.2306040164724774</v>
      </c>
      <c r="L22" s="14">
        <f>'💰 Precio de Venta'!H23</f>
        <v>2.0510066941207956</v>
      </c>
    </row>
    <row r="23" spans="4:12" ht="19.5" customHeight="1" x14ac:dyDescent="0.25">
      <c r="D23" s="92">
        <v>17</v>
      </c>
      <c r="E23" s="342" t="s">
        <v>419</v>
      </c>
      <c r="F23" s="343" t="s">
        <v>142</v>
      </c>
      <c r="G23" s="344">
        <v>240</v>
      </c>
      <c r="H23" s="345">
        <v>5.71</v>
      </c>
      <c r="I23" s="245">
        <f t="shared" si="0"/>
        <v>1370.4</v>
      </c>
      <c r="J23" s="297">
        <f>IF(I23=0,0,I23/$I$507)</f>
        <v>3.1401462101936513E-2</v>
      </c>
      <c r="K23" s="89">
        <f>'🧮 Costos x Producto'!K23</f>
        <v>24.230168738130505</v>
      </c>
      <c r="L23" s="14">
        <f>'💰 Precio de Venta'!H24</f>
        <v>40.383614563550843</v>
      </c>
    </row>
    <row r="24" spans="4:12" ht="19.5" customHeight="1" x14ac:dyDescent="0.25">
      <c r="D24" s="92">
        <v>18</v>
      </c>
      <c r="E24" s="342" t="s">
        <v>420</v>
      </c>
      <c r="F24" s="343" t="s">
        <v>142</v>
      </c>
      <c r="G24" s="344">
        <v>1920</v>
      </c>
      <c r="H24" s="345">
        <v>0.76</v>
      </c>
      <c r="I24" s="245">
        <f t="shared" si="0"/>
        <v>1459.2</v>
      </c>
      <c r="J24" s="297">
        <f>IF(I24=0,0,I24/$I$507)</f>
        <v>3.3436232851098771E-2</v>
      </c>
      <c r="K24" s="89">
        <f>'🧮 Costos x Producto'!K24</f>
        <v>3.2250312155830443</v>
      </c>
      <c r="L24" s="14">
        <f>'💰 Precio de Venta'!H25</f>
        <v>5.3750520259717405</v>
      </c>
    </row>
    <row r="25" spans="4:12" ht="19.5" customHeight="1" x14ac:dyDescent="0.25">
      <c r="D25" s="92">
        <v>19</v>
      </c>
      <c r="E25" s="342" t="s">
        <v>421</v>
      </c>
      <c r="F25" s="343" t="s">
        <v>142</v>
      </c>
      <c r="G25" s="344">
        <v>4800</v>
      </c>
      <c r="H25" s="345">
        <v>0.28000000000000003</v>
      </c>
      <c r="I25" s="245">
        <f t="shared" si="0"/>
        <v>1344.0000000000002</v>
      </c>
      <c r="J25" s="297">
        <f>IF(I25=0,0,I25/$I$507)</f>
        <v>3.0796530257590979E-2</v>
      </c>
      <c r="K25" s="89">
        <f>'🧮 Costos x Producto'!K25</f>
        <v>1.1881693952148058</v>
      </c>
      <c r="L25" s="14">
        <f>'💰 Precio de Venta'!H26</f>
        <v>1.9802823253580097</v>
      </c>
    </row>
    <row r="26" spans="4:12" ht="19.5" customHeight="1" x14ac:dyDescent="0.25">
      <c r="D26" s="92">
        <v>20</v>
      </c>
      <c r="E26" s="338" t="s">
        <v>413</v>
      </c>
      <c r="F26" s="339" t="s">
        <v>142</v>
      </c>
      <c r="G26" s="340">
        <v>480</v>
      </c>
      <c r="H26" s="341">
        <v>1.21</v>
      </c>
      <c r="I26" s="245">
        <f t="shared" si="0"/>
        <v>580.79999999999995</v>
      </c>
      <c r="J26" s="297">
        <f>IF(I26=0,0,I26/$I$507)</f>
        <v>1.3308500575601812E-2</v>
      </c>
      <c r="K26" s="89">
        <f>'🧮 Costos x Producto'!K26</f>
        <v>5.1345891721782673</v>
      </c>
      <c r="L26" s="14">
        <f>'💰 Precio de Venta'!H27</f>
        <v>8.5576486202971118</v>
      </c>
    </row>
    <row r="27" spans="4:12" ht="19.5" customHeight="1" x14ac:dyDescent="0.25">
      <c r="D27" s="92">
        <v>21</v>
      </c>
      <c r="E27" s="342" t="s">
        <v>414</v>
      </c>
      <c r="F27" s="343" t="s">
        <v>142</v>
      </c>
      <c r="G27" s="344">
        <v>2880</v>
      </c>
      <c r="H27" s="345">
        <v>0.68</v>
      </c>
      <c r="I27" s="245">
        <f t="shared" si="0"/>
        <v>1958.4</v>
      </c>
      <c r="J27" s="297">
        <f>IF(I27=0,0,I27/$I$507)</f>
        <v>4.4874944089632565E-2</v>
      </c>
      <c r="K27" s="89">
        <f>'🧮 Costos x Producto'!K27</f>
        <v>2.8855542455216714</v>
      </c>
      <c r="L27" s="14">
        <f>'💰 Precio de Venta'!H28</f>
        <v>4.8092570758694526</v>
      </c>
    </row>
    <row r="28" spans="4:12" ht="19.5" customHeight="1" x14ac:dyDescent="0.25">
      <c r="D28" s="92">
        <v>22</v>
      </c>
      <c r="E28" s="342" t="s">
        <v>415</v>
      </c>
      <c r="F28" s="343" t="s">
        <v>142</v>
      </c>
      <c r="G28" s="344">
        <v>2880</v>
      </c>
      <c r="H28" s="345">
        <v>0.4</v>
      </c>
      <c r="I28" s="245">
        <f t="shared" si="0"/>
        <v>1152</v>
      </c>
      <c r="J28" s="297">
        <f>IF(I28=0,0,I28/$I$507)</f>
        <v>2.6397025935077978E-2</v>
      </c>
      <c r="K28" s="89">
        <f>'🧮 Costos x Producto'!K28</f>
        <v>1.6973848503068654</v>
      </c>
      <c r="L28" s="14">
        <f>'💰 Precio de Venta'!H29</f>
        <v>2.8289747505114424</v>
      </c>
    </row>
    <row r="29" spans="4:12" ht="19.5" customHeight="1" x14ac:dyDescent="0.25">
      <c r="D29" s="92">
        <v>23</v>
      </c>
      <c r="E29" s="342" t="s">
        <v>416</v>
      </c>
      <c r="F29" s="343" t="s">
        <v>142</v>
      </c>
      <c r="G29" s="344">
        <v>10224</v>
      </c>
      <c r="H29" s="345">
        <v>0.34</v>
      </c>
      <c r="I29" s="245">
        <f t="shared" si="0"/>
        <v>3476.1600000000003</v>
      </c>
      <c r="J29" s="297">
        <f>IF(I29=0,0,I29/$I$507)</f>
        <v>7.9653025759097801E-2</v>
      </c>
      <c r="K29" s="89">
        <f>'🧮 Costos x Producto'!K29</f>
        <v>1.4427771227608357</v>
      </c>
      <c r="L29" s="14">
        <f>'💰 Precio de Venta'!H30</f>
        <v>2.4046285379347263</v>
      </c>
    </row>
    <row r="30" spans="4:12" ht="19.5" customHeight="1" x14ac:dyDescent="0.25">
      <c r="D30" s="92">
        <v>24</v>
      </c>
      <c r="E30" s="342" t="s">
        <v>417</v>
      </c>
      <c r="F30" s="343" t="s">
        <v>142</v>
      </c>
      <c r="G30" s="344">
        <v>8640</v>
      </c>
      <c r="H30" s="345">
        <v>0.26</v>
      </c>
      <c r="I30" s="245">
        <f t="shared" si="0"/>
        <v>2246.4</v>
      </c>
      <c r="J30" s="297">
        <f>IF(I30=0,0,I30/$I$507)</f>
        <v>5.147420057340206E-2</v>
      </c>
      <c r="K30" s="89">
        <f>'🧮 Costos x Producto'!K30</f>
        <v>1.1033001526994626</v>
      </c>
      <c r="L30" s="14">
        <f>'💰 Precio de Venta'!H31</f>
        <v>1.8388335878324378</v>
      </c>
    </row>
    <row r="31" spans="4:12" ht="19.5" customHeight="1" x14ac:dyDescent="0.25">
      <c r="D31" s="92">
        <v>25</v>
      </c>
      <c r="E31" s="342" t="s">
        <v>418</v>
      </c>
      <c r="F31" s="343" t="s">
        <v>142</v>
      </c>
      <c r="G31" s="344">
        <v>2160</v>
      </c>
      <c r="H31" s="345">
        <v>0.28999999999999998</v>
      </c>
      <c r="I31" s="245">
        <f t="shared" si="0"/>
        <v>626.4</v>
      </c>
      <c r="J31" s="297">
        <f>IF(I31=0,0,I31/$I$507)</f>
        <v>1.435338285219865E-2</v>
      </c>
      <c r="K31" s="89">
        <f>'🧮 Costos x Producto'!K31</f>
        <v>1.2306040164724774</v>
      </c>
      <c r="L31" s="14">
        <f>'💰 Precio de Venta'!H32</f>
        <v>2.0510066941207956</v>
      </c>
    </row>
    <row r="32" spans="4:12" ht="19.5" customHeight="1" x14ac:dyDescent="0.25">
      <c r="D32" s="92">
        <v>26</v>
      </c>
      <c r="E32" s="342" t="s">
        <v>419</v>
      </c>
      <c r="F32" s="343" t="s">
        <v>142</v>
      </c>
      <c r="G32" s="344">
        <v>240</v>
      </c>
      <c r="H32" s="345">
        <v>5.71</v>
      </c>
      <c r="I32" s="245">
        <f t="shared" si="0"/>
        <v>1370.4</v>
      </c>
      <c r="J32" s="297">
        <f>IF(I32=0,0,I32/$I$507)</f>
        <v>3.1401462101936513E-2</v>
      </c>
      <c r="K32" s="89">
        <f>'🧮 Costos x Producto'!K32</f>
        <v>24.230168738130505</v>
      </c>
      <c r="L32" s="14">
        <f>'💰 Precio de Venta'!H33</f>
        <v>40.383614563550843</v>
      </c>
    </row>
    <row r="33" spans="4:12" ht="19.5" customHeight="1" x14ac:dyDescent="0.25">
      <c r="D33" s="92">
        <v>27</v>
      </c>
      <c r="E33" s="342" t="s">
        <v>420</v>
      </c>
      <c r="F33" s="343" t="s">
        <v>142</v>
      </c>
      <c r="G33" s="344">
        <v>1920</v>
      </c>
      <c r="H33" s="345">
        <v>0.76</v>
      </c>
      <c r="I33" s="245">
        <f t="shared" si="0"/>
        <v>1459.2</v>
      </c>
      <c r="J33" s="297">
        <f>IF(I33=0,0,I33/$I$507)</f>
        <v>3.3436232851098771E-2</v>
      </c>
      <c r="K33" s="89">
        <f>'🧮 Costos x Producto'!K33</f>
        <v>3.2250312155830443</v>
      </c>
      <c r="L33" s="14">
        <f>'💰 Precio de Venta'!H34</f>
        <v>5.3750520259717405</v>
      </c>
    </row>
    <row r="34" spans="4:12" ht="19.5" customHeight="1" x14ac:dyDescent="0.25">
      <c r="D34" s="92">
        <v>28</v>
      </c>
      <c r="E34" s="342" t="s">
        <v>421</v>
      </c>
      <c r="F34" s="343" t="s">
        <v>142</v>
      </c>
      <c r="G34" s="344">
        <v>4800</v>
      </c>
      <c r="H34" s="345">
        <v>0.28000000000000003</v>
      </c>
      <c r="I34" s="245">
        <f t="shared" si="0"/>
        <v>1344.0000000000002</v>
      </c>
      <c r="J34" s="297">
        <f>IF(I34=0,0,I34/$I$507)</f>
        <v>3.0796530257590979E-2</v>
      </c>
      <c r="K34" s="89">
        <f>'🧮 Costos x Producto'!K34</f>
        <v>1.1881693952148058</v>
      </c>
      <c r="L34" s="14">
        <f>'💰 Precio de Venta'!H35</f>
        <v>1.9802823253580097</v>
      </c>
    </row>
    <row r="35" spans="4:12" ht="19.5" hidden="1" customHeight="1" x14ac:dyDescent="0.25">
      <c r="D35" s="92">
        <v>29</v>
      </c>
      <c r="E35" s="342"/>
      <c r="F35" s="343" t="s">
        <v>142</v>
      </c>
      <c r="G35" s="344">
        <v>0</v>
      </c>
      <c r="H35" s="345">
        <v>0</v>
      </c>
      <c r="I35" s="245">
        <f t="shared" si="0"/>
        <v>0</v>
      </c>
      <c r="J35" s="297">
        <f>IF(I35=0,0,I35/$I$507)</f>
        <v>0</v>
      </c>
      <c r="K35" s="89">
        <f>'🧮 Costos x Producto'!K35</f>
        <v>0</v>
      </c>
      <c r="L35" s="14">
        <f>'💰 Precio de Venta'!H36</f>
        <v>0</v>
      </c>
    </row>
    <row r="36" spans="4:12" ht="19.5" hidden="1" customHeight="1" x14ac:dyDescent="0.25">
      <c r="D36" s="92">
        <v>30</v>
      </c>
      <c r="E36" s="346"/>
      <c r="F36" s="347" t="s">
        <v>142</v>
      </c>
      <c r="G36" s="348">
        <v>0</v>
      </c>
      <c r="H36" s="349">
        <v>0</v>
      </c>
      <c r="I36" s="246">
        <f t="shared" si="0"/>
        <v>0</v>
      </c>
      <c r="J36" s="297">
        <f>IF(I36=0,0,I36/$I$507)</f>
        <v>0</v>
      </c>
      <c r="K36" s="89">
        <f>'🧮 Costos x Producto'!K36</f>
        <v>0</v>
      </c>
      <c r="L36" s="91">
        <f>'💰 Precio de Venta'!H37</f>
        <v>0</v>
      </c>
    </row>
    <row r="37" spans="4:12" ht="19.5" hidden="1" customHeight="1" x14ac:dyDescent="0.25">
      <c r="D37" s="92">
        <v>31</v>
      </c>
      <c r="E37" s="346"/>
      <c r="F37" s="347" t="s">
        <v>142</v>
      </c>
      <c r="G37" s="348">
        <v>0</v>
      </c>
      <c r="H37" s="349">
        <v>0</v>
      </c>
      <c r="I37" s="246">
        <f t="shared" ref="I37:I100" si="1">IF(G37=0,0,G37*H37)</f>
        <v>0</v>
      </c>
      <c r="J37" s="297">
        <f>IF(I37=0,0,I37/$I$507)</f>
        <v>0</v>
      </c>
      <c r="K37" s="89">
        <f>'🧮 Costos x Producto'!K37</f>
        <v>0</v>
      </c>
      <c r="L37" s="91">
        <f>'💰 Precio de Venta'!H38</f>
        <v>0</v>
      </c>
    </row>
    <row r="38" spans="4:12" ht="19.5" hidden="1" customHeight="1" x14ac:dyDescent="0.25">
      <c r="D38" s="92">
        <v>32</v>
      </c>
      <c r="E38" s="346"/>
      <c r="F38" s="347" t="s">
        <v>142</v>
      </c>
      <c r="G38" s="348">
        <v>0</v>
      </c>
      <c r="H38" s="349">
        <v>0</v>
      </c>
      <c r="I38" s="246">
        <f t="shared" si="1"/>
        <v>0</v>
      </c>
      <c r="J38" s="297">
        <f>IF(I38=0,0,I38/$I$507)</f>
        <v>0</v>
      </c>
      <c r="K38" s="89">
        <f>'🧮 Costos x Producto'!K38</f>
        <v>0</v>
      </c>
      <c r="L38" s="91">
        <f>'💰 Precio de Venta'!H39</f>
        <v>0</v>
      </c>
    </row>
    <row r="39" spans="4:12" ht="19.5" hidden="1" customHeight="1" x14ac:dyDescent="0.25">
      <c r="D39" s="92">
        <v>33</v>
      </c>
      <c r="E39" s="346"/>
      <c r="F39" s="347" t="s">
        <v>142</v>
      </c>
      <c r="G39" s="348">
        <v>0</v>
      </c>
      <c r="H39" s="349">
        <v>0</v>
      </c>
      <c r="I39" s="246">
        <f t="shared" si="1"/>
        <v>0</v>
      </c>
      <c r="J39" s="297">
        <f>IF(I39=0,0,I39/$I$507)</f>
        <v>0</v>
      </c>
      <c r="K39" s="89">
        <f>'🧮 Costos x Producto'!K39</f>
        <v>0</v>
      </c>
      <c r="L39" s="91">
        <f>'💰 Precio de Venta'!H40</f>
        <v>0</v>
      </c>
    </row>
    <row r="40" spans="4:12" ht="19.5" hidden="1" customHeight="1" x14ac:dyDescent="0.25">
      <c r="D40" s="92">
        <v>34</v>
      </c>
      <c r="E40" s="346"/>
      <c r="F40" s="347" t="s">
        <v>142</v>
      </c>
      <c r="G40" s="348">
        <v>0</v>
      </c>
      <c r="H40" s="349">
        <v>0</v>
      </c>
      <c r="I40" s="246">
        <f t="shared" si="1"/>
        <v>0</v>
      </c>
      <c r="J40" s="297">
        <f>IF(I40=0,0,I40/$I$507)</f>
        <v>0</v>
      </c>
      <c r="K40" s="89">
        <f>'🧮 Costos x Producto'!K40</f>
        <v>0</v>
      </c>
      <c r="L40" s="91">
        <f>'💰 Precio de Venta'!H41</f>
        <v>0</v>
      </c>
    </row>
    <row r="41" spans="4:12" ht="19.5" hidden="1" customHeight="1" x14ac:dyDescent="0.25">
      <c r="D41" s="92">
        <v>35</v>
      </c>
      <c r="E41" s="346"/>
      <c r="F41" s="347" t="s">
        <v>142</v>
      </c>
      <c r="G41" s="348">
        <v>0</v>
      </c>
      <c r="H41" s="349">
        <v>0</v>
      </c>
      <c r="I41" s="246">
        <f t="shared" si="1"/>
        <v>0</v>
      </c>
      <c r="J41" s="297">
        <f>IF(I41=0,0,I41/$I$507)</f>
        <v>0</v>
      </c>
      <c r="K41" s="89">
        <f>'🧮 Costos x Producto'!K41</f>
        <v>0</v>
      </c>
      <c r="L41" s="91">
        <f>'💰 Precio de Venta'!H42</f>
        <v>0</v>
      </c>
    </row>
    <row r="42" spans="4:12" ht="19.5" hidden="1" customHeight="1" x14ac:dyDescent="0.25">
      <c r="D42" s="92">
        <v>36</v>
      </c>
      <c r="E42" s="346"/>
      <c r="F42" s="347" t="s">
        <v>142</v>
      </c>
      <c r="G42" s="348">
        <v>0</v>
      </c>
      <c r="H42" s="349">
        <v>0</v>
      </c>
      <c r="I42" s="246">
        <f t="shared" si="1"/>
        <v>0</v>
      </c>
      <c r="J42" s="297">
        <f>IF(I42=0,0,I42/$I$507)</f>
        <v>0</v>
      </c>
      <c r="K42" s="89">
        <f>'🧮 Costos x Producto'!K42</f>
        <v>0</v>
      </c>
      <c r="L42" s="91">
        <f>'💰 Precio de Venta'!H43</f>
        <v>0</v>
      </c>
    </row>
    <row r="43" spans="4:12" ht="19.5" hidden="1" customHeight="1" x14ac:dyDescent="0.25">
      <c r="D43" s="92">
        <v>37</v>
      </c>
      <c r="E43" s="346"/>
      <c r="F43" s="347" t="s">
        <v>142</v>
      </c>
      <c r="G43" s="348">
        <v>0</v>
      </c>
      <c r="H43" s="349">
        <v>0</v>
      </c>
      <c r="I43" s="246">
        <f t="shared" si="1"/>
        <v>0</v>
      </c>
      <c r="J43" s="297">
        <f>IF(I43=0,0,I43/$I$507)</f>
        <v>0</v>
      </c>
      <c r="K43" s="89">
        <f>'🧮 Costos x Producto'!K43</f>
        <v>0</v>
      </c>
      <c r="L43" s="91">
        <f>'💰 Precio de Venta'!H44</f>
        <v>0</v>
      </c>
    </row>
    <row r="44" spans="4:12" ht="19.5" hidden="1" customHeight="1" x14ac:dyDescent="0.25">
      <c r="D44" s="92">
        <v>38</v>
      </c>
      <c r="E44" s="346"/>
      <c r="F44" s="347" t="s">
        <v>142</v>
      </c>
      <c r="G44" s="348">
        <v>0</v>
      </c>
      <c r="H44" s="349">
        <v>0</v>
      </c>
      <c r="I44" s="246">
        <f t="shared" si="1"/>
        <v>0</v>
      </c>
      <c r="J44" s="297">
        <f>IF(I44=0,0,I44/$I$507)</f>
        <v>0</v>
      </c>
      <c r="K44" s="89">
        <f>'🧮 Costos x Producto'!K44</f>
        <v>0</v>
      </c>
      <c r="L44" s="91">
        <f>'💰 Precio de Venta'!H45</f>
        <v>0</v>
      </c>
    </row>
    <row r="45" spans="4:12" ht="19.5" hidden="1" customHeight="1" x14ac:dyDescent="0.25">
      <c r="D45" s="92">
        <v>39</v>
      </c>
      <c r="E45" s="346"/>
      <c r="F45" s="347" t="s">
        <v>142</v>
      </c>
      <c r="G45" s="348">
        <v>0</v>
      </c>
      <c r="H45" s="349">
        <v>0</v>
      </c>
      <c r="I45" s="246">
        <f t="shared" si="1"/>
        <v>0</v>
      </c>
      <c r="J45" s="297">
        <f>IF(I45=0,0,I45/$I$507)</f>
        <v>0</v>
      </c>
      <c r="K45" s="89">
        <f>'🧮 Costos x Producto'!K45</f>
        <v>0</v>
      </c>
      <c r="L45" s="91">
        <f>'💰 Precio de Venta'!H46</f>
        <v>0</v>
      </c>
    </row>
    <row r="46" spans="4:12" ht="19.5" hidden="1" customHeight="1" x14ac:dyDescent="0.25">
      <c r="D46" s="92">
        <v>40</v>
      </c>
      <c r="E46" s="346"/>
      <c r="F46" s="347" t="s">
        <v>142</v>
      </c>
      <c r="G46" s="348">
        <v>0</v>
      </c>
      <c r="H46" s="349">
        <v>0</v>
      </c>
      <c r="I46" s="246">
        <f t="shared" si="1"/>
        <v>0</v>
      </c>
      <c r="J46" s="297">
        <f>IF(I46=0,0,I46/$I$507)</f>
        <v>0</v>
      </c>
      <c r="K46" s="89">
        <f>'🧮 Costos x Producto'!K46</f>
        <v>0</v>
      </c>
      <c r="L46" s="91">
        <f>'💰 Precio de Venta'!H47</f>
        <v>0</v>
      </c>
    </row>
    <row r="47" spans="4:12" ht="19.5" hidden="1" customHeight="1" x14ac:dyDescent="0.25">
      <c r="D47" s="92">
        <v>41</v>
      </c>
      <c r="E47" s="346"/>
      <c r="F47" s="347" t="s">
        <v>142</v>
      </c>
      <c r="G47" s="348">
        <v>0</v>
      </c>
      <c r="H47" s="349">
        <v>0</v>
      </c>
      <c r="I47" s="246">
        <f t="shared" si="1"/>
        <v>0</v>
      </c>
      <c r="J47" s="297">
        <f>IF(I47=0,0,I47/$I$507)</f>
        <v>0</v>
      </c>
      <c r="K47" s="89">
        <f>'🧮 Costos x Producto'!K47</f>
        <v>0</v>
      </c>
      <c r="L47" s="91">
        <f>'💰 Precio de Venta'!H48</f>
        <v>0</v>
      </c>
    </row>
    <row r="48" spans="4:12" ht="19.5" hidden="1" customHeight="1" x14ac:dyDescent="0.25">
      <c r="D48" s="92">
        <v>42</v>
      </c>
      <c r="E48" s="346"/>
      <c r="F48" s="347" t="s">
        <v>142</v>
      </c>
      <c r="G48" s="348">
        <v>0</v>
      </c>
      <c r="H48" s="349">
        <v>0</v>
      </c>
      <c r="I48" s="246">
        <f t="shared" si="1"/>
        <v>0</v>
      </c>
      <c r="J48" s="297">
        <f>IF(I48=0,0,I48/$I$507)</f>
        <v>0</v>
      </c>
      <c r="K48" s="89">
        <f>'🧮 Costos x Producto'!K48</f>
        <v>0</v>
      </c>
      <c r="L48" s="91">
        <f>'💰 Precio de Venta'!H49</f>
        <v>0</v>
      </c>
    </row>
    <row r="49" spans="4:12" ht="19.5" hidden="1" customHeight="1" x14ac:dyDescent="0.25">
      <c r="D49" s="92">
        <v>43</v>
      </c>
      <c r="E49" s="346"/>
      <c r="F49" s="347" t="s">
        <v>142</v>
      </c>
      <c r="G49" s="348">
        <v>0</v>
      </c>
      <c r="H49" s="349">
        <v>0</v>
      </c>
      <c r="I49" s="246">
        <f t="shared" si="1"/>
        <v>0</v>
      </c>
      <c r="J49" s="297">
        <f>IF(I49=0,0,I49/$I$507)</f>
        <v>0</v>
      </c>
      <c r="K49" s="89">
        <f>'🧮 Costos x Producto'!K49</f>
        <v>0</v>
      </c>
      <c r="L49" s="91">
        <f>'💰 Precio de Venta'!H50</f>
        <v>0</v>
      </c>
    </row>
    <row r="50" spans="4:12" ht="19.5" hidden="1" customHeight="1" x14ac:dyDescent="0.25">
      <c r="D50" s="92">
        <v>44</v>
      </c>
      <c r="E50" s="346"/>
      <c r="F50" s="347" t="s">
        <v>142</v>
      </c>
      <c r="G50" s="348">
        <v>0</v>
      </c>
      <c r="H50" s="349">
        <v>0</v>
      </c>
      <c r="I50" s="246">
        <f t="shared" si="1"/>
        <v>0</v>
      </c>
      <c r="J50" s="297">
        <f>IF(I50=0,0,I50/$I$507)</f>
        <v>0</v>
      </c>
      <c r="K50" s="89">
        <f>'🧮 Costos x Producto'!K50</f>
        <v>0</v>
      </c>
      <c r="L50" s="91">
        <f>'💰 Precio de Venta'!H51</f>
        <v>0</v>
      </c>
    </row>
    <row r="51" spans="4:12" ht="19.5" hidden="1" customHeight="1" x14ac:dyDescent="0.25">
      <c r="D51" s="92">
        <v>45</v>
      </c>
      <c r="E51" s="346"/>
      <c r="F51" s="347" t="s">
        <v>142</v>
      </c>
      <c r="G51" s="348">
        <v>0</v>
      </c>
      <c r="H51" s="349">
        <v>0</v>
      </c>
      <c r="I51" s="246">
        <f t="shared" si="1"/>
        <v>0</v>
      </c>
      <c r="J51" s="297">
        <f>IF(I51=0,0,I51/$I$507)</f>
        <v>0</v>
      </c>
      <c r="K51" s="89">
        <f>'🧮 Costos x Producto'!K51</f>
        <v>0</v>
      </c>
      <c r="L51" s="91">
        <f>'💰 Precio de Venta'!H52</f>
        <v>0</v>
      </c>
    </row>
    <row r="52" spans="4:12" ht="19.5" hidden="1" customHeight="1" x14ac:dyDescent="0.25">
      <c r="D52" s="92">
        <v>46</v>
      </c>
      <c r="E52" s="346"/>
      <c r="F52" s="347" t="s">
        <v>142</v>
      </c>
      <c r="G52" s="348">
        <v>0</v>
      </c>
      <c r="H52" s="349">
        <v>0</v>
      </c>
      <c r="I52" s="246">
        <f t="shared" si="1"/>
        <v>0</v>
      </c>
      <c r="J52" s="297">
        <f>IF(I52=0,0,I52/$I$507)</f>
        <v>0</v>
      </c>
      <c r="K52" s="89">
        <f>'🧮 Costos x Producto'!K52</f>
        <v>0</v>
      </c>
      <c r="L52" s="91">
        <f>'💰 Precio de Venta'!H53</f>
        <v>0</v>
      </c>
    </row>
    <row r="53" spans="4:12" ht="19.5" hidden="1" customHeight="1" x14ac:dyDescent="0.25">
      <c r="D53" s="92">
        <v>47</v>
      </c>
      <c r="E53" s="346"/>
      <c r="F53" s="347" t="s">
        <v>142</v>
      </c>
      <c r="G53" s="348">
        <v>0</v>
      </c>
      <c r="H53" s="349">
        <v>0</v>
      </c>
      <c r="I53" s="246">
        <f t="shared" si="1"/>
        <v>0</v>
      </c>
      <c r="J53" s="297">
        <f>IF(I53=0,0,I53/$I$507)</f>
        <v>0</v>
      </c>
      <c r="K53" s="89">
        <f>'🧮 Costos x Producto'!K53</f>
        <v>0</v>
      </c>
      <c r="L53" s="91">
        <f>'💰 Precio de Venta'!H54</f>
        <v>0</v>
      </c>
    </row>
    <row r="54" spans="4:12" ht="19.5" hidden="1" customHeight="1" x14ac:dyDescent="0.25">
      <c r="D54" s="92">
        <v>48</v>
      </c>
      <c r="E54" s="346"/>
      <c r="F54" s="347" t="s">
        <v>142</v>
      </c>
      <c r="G54" s="348">
        <v>0</v>
      </c>
      <c r="H54" s="349">
        <v>0</v>
      </c>
      <c r="I54" s="246">
        <f t="shared" si="1"/>
        <v>0</v>
      </c>
      <c r="J54" s="297">
        <f>IF(I54=0,0,I54/$I$507)</f>
        <v>0</v>
      </c>
      <c r="K54" s="89">
        <f>'🧮 Costos x Producto'!K54</f>
        <v>0</v>
      </c>
      <c r="L54" s="91">
        <f>'💰 Precio de Venta'!H55</f>
        <v>0</v>
      </c>
    </row>
    <row r="55" spans="4:12" ht="19.5" hidden="1" customHeight="1" x14ac:dyDescent="0.25">
      <c r="D55" s="92">
        <v>49</v>
      </c>
      <c r="E55" s="346"/>
      <c r="F55" s="347" t="s">
        <v>142</v>
      </c>
      <c r="G55" s="348">
        <v>0</v>
      </c>
      <c r="H55" s="349">
        <v>0</v>
      </c>
      <c r="I55" s="246">
        <f t="shared" si="1"/>
        <v>0</v>
      </c>
      <c r="J55" s="297">
        <f>IF(I55=0,0,I55/$I$507)</f>
        <v>0</v>
      </c>
      <c r="K55" s="89">
        <f>'🧮 Costos x Producto'!K55</f>
        <v>0</v>
      </c>
      <c r="L55" s="91">
        <f>'💰 Precio de Venta'!H56</f>
        <v>0</v>
      </c>
    </row>
    <row r="56" spans="4:12" ht="19.5" hidden="1" customHeight="1" x14ac:dyDescent="0.25">
      <c r="D56" s="92">
        <v>50</v>
      </c>
      <c r="E56" s="346"/>
      <c r="F56" s="347" t="s">
        <v>142</v>
      </c>
      <c r="G56" s="348">
        <v>0</v>
      </c>
      <c r="H56" s="349">
        <v>0</v>
      </c>
      <c r="I56" s="246">
        <f t="shared" si="1"/>
        <v>0</v>
      </c>
      <c r="J56" s="297">
        <f>IF(I56=0,0,I56/$I$507)</f>
        <v>0</v>
      </c>
      <c r="K56" s="89">
        <f>'🧮 Costos x Producto'!K56</f>
        <v>0</v>
      </c>
      <c r="L56" s="91">
        <f>'💰 Precio de Venta'!H57</f>
        <v>0</v>
      </c>
    </row>
    <row r="57" spans="4:12" ht="19.5" hidden="1" customHeight="1" x14ac:dyDescent="0.25">
      <c r="D57" s="92">
        <v>51</v>
      </c>
      <c r="E57" s="346"/>
      <c r="F57" s="347" t="s">
        <v>142</v>
      </c>
      <c r="G57" s="348">
        <v>0</v>
      </c>
      <c r="H57" s="349">
        <v>0</v>
      </c>
      <c r="I57" s="246">
        <f t="shared" si="1"/>
        <v>0</v>
      </c>
      <c r="J57" s="297">
        <f>IF(I57=0,0,I57/$I$507)</f>
        <v>0</v>
      </c>
      <c r="K57" s="89">
        <f>'🧮 Costos x Producto'!K57</f>
        <v>0</v>
      </c>
      <c r="L57" s="91">
        <f>'💰 Precio de Venta'!H58</f>
        <v>0</v>
      </c>
    </row>
    <row r="58" spans="4:12" ht="19.5" hidden="1" customHeight="1" x14ac:dyDescent="0.25">
      <c r="D58" s="92">
        <v>52</v>
      </c>
      <c r="E58" s="346"/>
      <c r="F58" s="347" t="s">
        <v>142</v>
      </c>
      <c r="G58" s="348">
        <v>0</v>
      </c>
      <c r="H58" s="349">
        <v>0</v>
      </c>
      <c r="I58" s="246">
        <f t="shared" si="1"/>
        <v>0</v>
      </c>
      <c r="J58" s="297">
        <f>IF(I58=0,0,I58/$I$507)</f>
        <v>0</v>
      </c>
      <c r="K58" s="89">
        <f>'🧮 Costos x Producto'!K58</f>
        <v>0</v>
      </c>
      <c r="L58" s="91">
        <f>'💰 Precio de Venta'!H59</f>
        <v>0</v>
      </c>
    </row>
    <row r="59" spans="4:12" ht="19.5" hidden="1" customHeight="1" x14ac:dyDescent="0.25">
      <c r="D59" s="92">
        <v>53</v>
      </c>
      <c r="E59" s="346"/>
      <c r="F59" s="347" t="s">
        <v>142</v>
      </c>
      <c r="G59" s="348">
        <v>0</v>
      </c>
      <c r="H59" s="349">
        <v>0</v>
      </c>
      <c r="I59" s="246">
        <f t="shared" si="1"/>
        <v>0</v>
      </c>
      <c r="J59" s="297">
        <f>IF(I59=0,0,I59/$I$507)</f>
        <v>0</v>
      </c>
      <c r="K59" s="89">
        <f>'🧮 Costos x Producto'!K59</f>
        <v>0</v>
      </c>
      <c r="L59" s="91">
        <f>'💰 Precio de Venta'!H60</f>
        <v>0</v>
      </c>
    </row>
    <row r="60" spans="4:12" ht="19.5" hidden="1" customHeight="1" x14ac:dyDescent="0.25">
      <c r="D60" s="92">
        <v>54</v>
      </c>
      <c r="E60" s="346"/>
      <c r="F60" s="347" t="s">
        <v>142</v>
      </c>
      <c r="G60" s="348">
        <v>0</v>
      </c>
      <c r="H60" s="349">
        <v>0</v>
      </c>
      <c r="I60" s="246">
        <f t="shared" si="1"/>
        <v>0</v>
      </c>
      <c r="J60" s="297">
        <f>IF(I60=0,0,I60/$I$507)</f>
        <v>0</v>
      </c>
      <c r="K60" s="89">
        <f>'🧮 Costos x Producto'!K60</f>
        <v>0</v>
      </c>
      <c r="L60" s="91">
        <f>'💰 Precio de Venta'!H61</f>
        <v>0</v>
      </c>
    </row>
    <row r="61" spans="4:12" ht="19.5" hidden="1" customHeight="1" x14ac:dyDescent="0.25">
      <c r="D61" s="92">
        <v>55</v>
      </c>
      <c r="E61" s="346"/>
      <c r="F61" s="347" t="s">
        <v>142</v>
      </c>
      <c r="G61" s="348">
        <v>0</v>
      </c>
      <c r="H61" s="349">
        <v>0</v>
      </c>
      <c r="I61" s="246">
        <f t="shared" si="1"/>
        <v>0</v>
      </c>
      <c r="J61" s="297">
        <f>IF(I61=0,0,I61/$I$507)</f>
        <v>0</v>
      </c>
      <c r="K61" s="89">
        <f>'🧮 Costos x Producto'!K61</f>
        <v>0</v>
      </c>
      <c r="L61" s="91">
        <f>'💰 Precio de Venta'!H62</f>
        <v>0</v>
      </c>
    </row>
    <row r="62" spans="4:12" ht="19.5" hidden="1" customHeight="1" x14ac:dyDescent="0.25">
      <c r="D62" s="92">
        <v>56</v>
      </c>
      <c r="E62" s="346"/>
      <c r="F62" s="347" t="s">
        <v>142</v>
      </c>
      <c r="G62" s="348">
        <v>0</v>
      </c>
      <c r="H62" s="349">
        <v>0</v>
      </c>
      <c r="I62" s="246">
        <f t="shared" si="1"/>
        <v>0</v>
      </c>
      <c r="J62" s="297">
        <f>IF(I62=0,0,I62/$I$507)</f>
        <v>0</v>
      </c>
      <c r="K62" s="89">
        <f>'🧮 Costos x Producto'!K62</f>
        <v>0</v>
      </c>
      <c r="L62" s="91">
        <f>'💰 Precio de Venta'!H63</f>
        <v>0</v>
      </c>
    </row>
    <row r="63" spans="4:12" ht="19.5" hidden="1" customHeight="1" x14ac:dyDescent="0.25">
      <c r="D63" s="92">
        <v>57</v>
      </c>
      <c r="E63" s="346"/>
      <c r="F63" s="347" t="s">
        <v>142</v>
      </c>
      <c r="G63" s="348">
        <v>0</v>
      </c>
      <c r="H63" s="349">
        <v>0</v>
      </c>
      <c r="I63" s="246">
        <f t="shared" si="1"/>
        <v>0</v>
      </c>
      <c r="J63" s="297">
        <f>IF(I63=0,0,I63/$I$507)</f>
        <v>0</v>
      </c>
      <c r="K63" s="89">
        <f>'🧮 Costos x Producto'!K63</f>
        <v>0</v>
      </c>
      <c r="L63" s="91">
        <f>'💰 Precio de Venta'!H64</f>
        <v>0</v>
      </c>
    </row>
    <row r="64" spans="4:12" ht="19.5" hidden="1" customHeight="1" x14ac:dyDescent="0.25">
      <c r="D64" s="92">
        <v>58</v>
      </c>
      <c r="E64" s="346"/>
      <c r="F64" s="347" t="s">
        <v>142</v>
      </c>
      <c r="G64" s="348">
        <v>0</v>
      </c>
      <c r="H64" s="349">
        <v>0</v>
      </c>
      <c r="I64" s="246">
        <f t="shared" si="1"/>
        <v>0</v>
      </c>
      <c r="J64" s="297">
        <f>IF(I64=0,0,I64/$I$507)</f>
        <v>0</v>
      </c>
      <c r="K64" s="89">
        <f>'🧮 Costos x Producto'!K64</f>
        <v>0</v>
      </c>
      <c r="L64" s="91">
        <f>'💰 Precio de Venta'!H65</f>
        <v>0</v>
      </c>
    </row>
    <row r="65" spans="4:12" ht="19.5" hidden="1" customHeight="1" x14ac:dyDescent="0.25">
      <c r="D65" s="92">
        <v>59</v>
      </c>
      <c r="E65" s="346"/>
      <c r="F65" s="347" t="s">
        <v>142</v>
      </c>
      <c r="G65" s="348">
        <v>0</v>
      </c>
      <c r="H65" s="349">
        <v>0</v>
      </c>
      <c r="I65" s="246">
        <f t="shared" si="1"/>
        <v>0</v>
      </c>
      <c r="J65" s="297">
        <f>IF(I65=0,0,I65/$I$507)</f>
        <v>0</v>
      </c>
      <c r="K65" s="89">
        <f>'🧮 Costos x Producto'!K65</f>
        <v>0</v>
      </c>
      <c r="L65" s="91">
        <f>'💰 Precio de Venta'!H66</f>
        <v>0</v>
      </c>
    </row>
    <row r="66" spans="4:12" ht="19.5" hidden="1" customHeight="1" x14ac:dyDescent="0.25">
      <c r="D66" s="92">
        <v>60</v>
      </c>
      <c r="E66" s="346"/>
      <c r="F66" s="347" t="s">
        <v>142</v>
      </c>
      <c r="G66" s="348">
        <v>0</v>
      </c>
      <c r="H66" s="349">
        <v>0</v>
      </c>
      <c r="I66" s="246">
        <f t="shared" si="1"/>
        <v>0</v>
      </c>
      <c r="J66" s="297">
        <f>IF(I66=0,0,I66/$I$507)</f>
        <v>0</v>
      </c>
      <c r="K66" s="89">
        <f>'🧮 Costos x Producto'!K66</f>
        <v>0</v>
      </c>
      <c r="L66" s="91">
        <f>'💰 Precio de Venta'!H67</f>
        <v>0</v>
      </c>
    </row>
    <row r="67" spans="4:12" ht="19.5" hidden="1" customHeight="1" x14ac:dyDescent="0.25">
      <c r="D67" s="92">
        <v>61</v>
      </c>
      <c r="E67" s="346"/>
      <c r="F67" s="347" t="s">
        <v>142</v>
      </c>
      <c r="G67" s="348">
        <v>0</v>
      </c>
      <c r="H67" s="349">
        <v>0</v>
      </c>
      <c r="I67" s="246">
        <f t="shared" si="1"/>
        <v>0</v>
      </c>
      <c r="J67" s="297">
        <f>IF(I67=0,0,I67/$I$507)</f>
        <v>0</v>
      </c>
      <c r="K67" s="89">
        <f>'🧮 Costos x Producto'!K67</f>
        <v>0</v>
      </c>
      <c r="L67" s="91">
        <f>'💰 Precio de Venta'!H68</f>
        <v>0</v>
      </c>
    </row>
    <row r="68" spans="4:12" ht="19.5" hidden="1" customHeight="1" x14ac:dyDescent="0.25">
      <c r="D68" s="92">
        <v>62</v>
      </c>
      <c r="E68" s="346"/>
      <c r="F68" s="347" t="s">
        <v>142</v>
      </c>
      <c r="G68" s="348">
        <v>0</v>
      </c>
      <c r="H68" s="349">
        <v>0</v>
      </c>
      <c r="I68" s="246">
        <f t="shared" si="1"/>
        <v>0</v>
      </c>
      <c r="J68" s="297">
        <f>IF(I68=0,0,I68/$I$507)</f>
        <v>0</v>
      </c>
      <c r="K68" s="89">
        <f>'🧮 Costos x Producto'!K68</f>
        <v>0</v>
      </c>
      <c r="L68" s="91">
        <f>'💰 Precio de Venta'!H69</f>
        <v>0</v>
      </c>
    </row>
    <row r="69" spans="4:12" ht="19.5" hidden="1" customHeight="1" x14ac:dyDescent="0.25">
      <c r="D69" s="92">
        <v>63</v>
      </c>
      <c r="E69" s="346"/>
      <c r="F69" s="347" t="s">
        <v>142</v>
      </c>
      <c r="G69" s="348">
        <v>0</v>
      </c>
      <c r="H69" s="349">
        <v>0</v>
      </c>
      <c r="I69" s="246">
        <f t="shared" si="1"/>
        <v>0</v>
      </c>
      <c r="J69" s="297">
        <f>IF(I69=0,0,I69/$I$507)</f>
        <v>0</v>
      </c>
      <c r="K69" s="89">
        <f>'🧮 Costos x Producto'!K69</f>
        <v>0</v>
      </c>
      <c r="L69" s="91">
        <f>'💰 Precio de Venta'!H70</f>
        <v>0</v>
      </c>
    </row>
    <row r="70" spans="4:12" ht="19.5" hidden="1" customHeight="1" x14ac:dyDescent="0.25">
      <c r="D70" s="92">
        <v>64</v>
      </c>
      <c r="E70" s="346"/>
      <c r="F70" s="347" t="s">
        <v>142</v>
      </c>
      <c r="G70" s="348">
        <v>0</v>
      </c>
      <c r="H70" s="349">
        <v>0</v>
      </c>
      <c r="I70" s="246">
        <f t="shared" si="1"/>
        <v>0</v>
      </c>
      <c r="J70" s="297">
        <f>IF(I70=0,0,I70/$I$507)</f>
        <v>0</v>
      </c>
      <c r="K70" s="89">
        <f>'🧮 Costos x Producto'!K70</f>
        <v>0</v>
      </c>
      <c r="L70" s="91">
        <f>'💰 Precio de Venta'!H71</f>
        <v>0</v>
      </c>
    </row>
    <row r="71" spans="4:12" ht="19.5" hidden="1" customHeight="1" x14ac:dyDescent="0.25">
      <c r="D71" s="92">
        <v>65</v>
      </c>
      <c r="E71" s="346"/>
      <c r="F71" s="347" t="s">
        <v>142</v>
      </c>
      <c r="G71" s="348">
        <v>0</v>
      </c>
      <c r="H71" s="349">
        <v>0</v>
      </c>
      <c r="I71" s="246">
        <f t="shared" si="1"/>
        <v>0</v>
      </c>
      <c r="J71" s="297">
        <f>IF(I71=0,0,I71/$I$507)</f>
        <v>0</v>
      </c>
      <c r="K71" s="89">
        <f>'🧮 Costos x Producto'!K71</f>
        <v>0</v>
      </c>
      <c r="L71" s="91">
        <f>'💰 Precio de Venta'!H72</f>
        <v>0</v>
      </c>
    </row>
    <row r="72" spans="4:12" ht="19.5" hidden="1" customHeight="1" x14ac:dyDescent="0.25">
      <c r="D72" s="92">
        <v>66</v>
      </c>
      <c r="E72" s="346"/>
      <c r="F72" s="347" t="s">
        <v>142</v>
      </c>
      <c r="G72" s="348">
        <v>0</v>
      </c>
      <c r="H72" s="349">
        <v>0</v>
      </c>
      <c r="I72" s="246">
        <f t="shared" si="1"/>
        <v>0</v>
      </c>
      <c r="J72" s="297">
        <f>IF(I72=0,0,I72/$I$507)</f>
        <v>0</v>
      </c>
      <c r="K72" s="89">
        <f>'🧮 Costos x Producto'!K72</f>
        <v>0</v>
      </c>
      <c r="L72" s="91">
        <f>'💰 Precio de Venta'!H73</f>
        <v>0</v>
      </c>
    </row>
    <row r="73" spans="4:12" ht="19.5" hidden="1" customHeight="1" x14ac:dyDescent="0.25">
      <c r="D73" s="92">
        <v>67</v>
      </c>
      <c r="E73" s="346"/>
      <c r="F73" s="347" t="s">
        <v>142</v>
      </c>
      <c r="G73" s="348">
        <v>0</v>
      </c>
      <c r="H73" s="349">
        <v>0</v>
      </c>
      <c r="I73" s="246">
        <f t="shared" si="1"/>
        <v>0</v>
      </c>
      <c r="J73" s="297">
        <f>IF(I73=0,0,I73/$I$507)</f>
        <v>0</v>
      </c>
      <c r="K73" s="89">
        <f>'🧮 Costos x Producto'!K73</f>
        <v>0</v>
      </c>
      <c r="L73" s="91">
        <f>'💰 Precio de Venta'!H74</f>
        <v>0</v>
      </c>
    </row>
    <row r="74" spans="4:12" ht="19.5" hidden="1" customHeight="1" x14ac:dyDescent="0.25">
      <c r="D74" s="92">
        <v>68</v>
      </c>
      <c r="E74" s="346"/>
      <c r="F74" s="347" t="s">
        <v>142</v>
      </c>
      <c r="G74" s="348">
        <v>0</v>
      </c>
      <c r="H74" s="349">
        <v>0</v>
      </c>
      <c r="I74" s="246">
        <f t="shared" si="1"/>
        <v>0</v>
      </c>
      <c r="J74" s="297">
        <f>IF(I74=0,0,I74/$I$507)</f>
        <v>0</v>
      </c>
      <c r="K74" s="89">
        <f>'🧮 Costos x Producto'!K74</f>
        <v>0</v>
      </c>
      <c r="L74" s="91">
        <f>'💰 Precio de Venta'!H75</f>
        <v>0</v>
      </c>
    </row>
    <row r="75" spans="4:12" ht="19.5" hidden="1" customHeight="1" x14ac:dyDescent="0.25">
      <c r="D75" s="92">
        <v>69</v>
      </c>
      <c r="E75" s="346"/>
      <c r="F75" s="347" t="s">
        <v>142</v>
      </c>
      <c r="G75" s="348">
        <v>0</v>
      </c>
      <c r="H75" s="349">
        <v>0</v>
      </c>
      <c r="I75" s="246">
        <f t="shared" si="1"/>
        <v>0</v>
      </c>
      <c r="J75" s="297">
        <f>IF(I75=0,0,I75/$I$507)</f>
        <v>0</v>
      </c>
      <c r="K75" s="89">
        <f>'🧮 Costos x Producto'!K75</f>
        <v>0</v>
      </c>
      <c r="L75" s="91">
        <f>'💰 Precio de Venta'!H76</f>
        <v>0</v>
      </c>
    </row>
    <row r="76" spans="4:12" ht="19.5" hidden="1" customHeight="1" x14ac:dyDescent="0.25">
      <c r="D76" s="92">
        <v>70</v>
      </c>
      <c r="E76" s="346"/>
      <c r="F76" s="347" t="s">
        <v>142</v>
      </c>
      <c r="G76" s="348">
        <v>0</v>
      </c>
      <c r="H76" s="349">
        <v>0</v>
      </c>
      <c r="I76" s="246">
        <f t="shared" si="1"/>
        <v>0</v>
      </c>
      <c r="J76" s="297">
        <f>IF(I76=0,0,I76/$I$507)</f>
        <v>0</v>
      </c>
      <c r="K76" s="89">
        <f>'🧮 Costos x Producto'!K76</f>
        <v>0</v>
      </c>
      <c r="L76" s="91">
        <f>'💰 Precio de Venta'!H77</f>
        <v>0</v>
      </c>
    </row>
    <row r="77" spans="4:12" ht="19.5" hidden="1" customHeight="1" x14ac:dyDescent="0.25">
      <c r="D77" s="92">
        <v>71</v>
      </c>
      <c r="E77" s="346"/>
      <c r="F77" s="347" t="s">
        <v>142</v>
      </c>
      <c r="G77" s="348">
        <v>0</v>
      </c>
      <c r="H77" s="349">
        <v>0</v>
      </c>
      <c r="I77" s="246">
        <f t="shared" si="1"/>
        <v>0</v>
      </c>
      <c r="J77" s="297">
        <f>IF(I77=0,0,I77/$I$507)</f>
        <v>0</v>
      </c>
      <c r="K77" s="89">
        <f>'🧮 Costos x Producto'!K77</f>
        <v>0</v>
      </c>
      <c r="L77" s="91">
        <f>'💰 Precio de Venta'!H78</f>
        <v>0</v>
      </c>
    </row>
    <row r="78" spans="4:12" ht="19.5" hidden="1" customHeight="1" x14ac:dyDescent="0.25">
      <c r="D78" s="92">
        <v>72</v>
      </c>
      <c r="E78" s="346"/>
      <c r="F78" s="347" t="s">
        <v>142</v>
      </c>
      <c r="G78" s="348">
        <v>0</v>
      </c>
      <c r="H78" s="349">
        <v>0</v>
      </c>
      <c r="I78" s="246">
        <f t="shared" si="1"/>
        <v>0</v>
      </c>
      <c r="J78" s="297">
        <f>IF(I78=0,0,I78/$I$507)</f>
        <v>0</v>
      </c>
      <c r="K78" s="89">
        <f>'🧮 Costos x Producto'!K78</f>
        <v>0</v>
      </c>
      <c r="L78" s="91">
        <f>'💰 Precio de Venta'!H79</f>
        <v>0</v>
      </c>
    </row>
    <row r="79" spans="4:12" ht="19.5" hidden="1" customHeight="1" x14ac:dyDescent="0.25">
      <c r="D79" s="92">
        <v>73</v>
      </c>
      <c r="E79" s="346"/>
      <c r="F79" s="347" t="s">
        <v>142</v>
      </c>
      <c r="G79" s="348">
        <v>0</v>
      </c>
      <c r="H79" s="349">
        <v>0</v>
      </c>
      <c r="I79" s="246">
        <f t="shared" si="1"/>
        <v>0</v>
      </c>
      <c r="J79" s="297">
        <f>IF(I79=0,0,I79/$I$507)</f>
        <v>0</v>
      </c>
      <c r="K79" s="89">
        <f>'🧮 Costos x Producto'!K79</f>
        <v>0</v>
      </c>
      <c r="L79" s="91">
        <f>'💰 Precio de Venta'!H80</f>
        <v>0</v>
      </c>
    </row>
    <row r="80" spans="4:12" ht="19.5" hidden="1" customHeight="1" x14ac:dyDescent="0.25">
      <c r="D80" s="92">
        <v>74</v>
      </c>
      <c r="E80" s="346"/>
      <c r="F80" s="347" t="s">
        <v>142</v>
      </c>
      <c r="G80" s="348">
        <v>0</v>
      </c>
      <c r="H80" s="349">
        <v>0</v>
      </c>
      <c r="I80" s="246">
        <f t="shared" si="1"/>
        <v>0</v>
      </c>
      <c r="J80" s="297">
        <f>IF(I80=0,0,I80/$I$507)</f>
        <v>0</v>
      </c>
      <c r="K80" s="89">
        <f>'🧮 Costos x Producto'!K80</f>
        <v>0</v>
      </c>
      <c r="L80" s="91">
        <f>'💰 Precio de Venta'!H81</f>
        <v>0</v>
      </c>
    </row>
    <row r="81" spans="4:12" ht="19.5" hidden="1" customHeight="1" x14ac:dyDescent="0.25">
      <c r="D81" s="92">
        <v>75</v>
      </c>
      <c r="E81" s="346"/>
      <c r="F81" s="347" t="s">
        <v>142</v>
      </c>
      <c r="G81" s="348">
        <v>0</v>
      </c>
      <c r="H81" s="349">
        <v>0</v>
      </c>
      <c r="I81" s="246">
        <f t="shared" si="1"/>
        <v>0</v>
      </c>
      <c r="J81" s="297">
        <f>IF(I81=0,0,I81/$I$507)</f>
        <v>0</v>
      </c>
      <c r="K81" s="89">
        <f>'🧮 Costos x Producto'!K81</f>
        <v>0</v>
      </c>
      <c r="L81" s="91">
        <f>'💰 Precio de Venta'!H82</f>
        <v>0</v>
      </c>
    </row>
    <row r="82" spans="4:12" ht="19.5" hidden="1" customHeight="1" x14ac:dyDescent="0.25">
      <c r="D82" s="92">
        <v>76</v>
      </c>
      <c r="E82" s="346"/>
      <c r="F82" s="347" t="s">
        <v>142</v>
      </c>
      <c r="G82" s="348">
        <v>0</v>
      </c>
      <c r="H82" s="349">
        <v>0</v>
      </c>
      <c r="I82" s="246">
        <f t="shared" si="1"/>
        <v>0</v>
      </c>
      <c r="J82" s="297">
        <f>IF(I82=0,0,I82/$I$507)</f>
        <v>0</v>
      </c>
      <c r="K82" s="89">
        <f>'🧮 Costos x Producto'!K82</f>
        <v>0</v>
      </c>
      <c r="L82" s="91">
        <f>'💰 Precio de Venta'!H83</f>
        <v>0</v>
      </c>
    </row>
    <row r="83" spans="4:12" ht="19.5" hidden="1" customHeight="1" x14ac:dyDescent="0.25">
      <c r="D83" s="92">
        <v>77</v>
      </c>
      <c r="E83" s="346"/>
      <c r="F83" s="347" t="s">
        <v>142</v>
      </c>
      <c r="G83" s="348">
        <v>0</v>
      </c>
      <c r="H83" s="349">
        <v>0</v>
      </c>
      <c r="I83" s="246">
        <f t="shared" si="1"/>
        <v>0</v>
      </c>
      <c r="J83" s="297">
        <f>IF(I83=0,0,I83/$I$507)</f>
        <v>0</v>
      </c>
      <c r="K83" s="89">
        <f>'🧮 Costos x Producto'!K83</f>
        <v>0</v>
      </c>
      <c r="L83" s="91">
        <f>'💰 Precio de Venta'!H84</f>
        <v>0</v>
      </c>
    </row>
    <row r="84" spans="4:12" ht="19.5" hidden="1" customHeight="1" x14ac:dyDescent="0.25">
      <c r="D84" s="92">
        <v>78</v>
      </c>
      <c r="E84" s="346"/>
      <c r="F84" s="347" t="s">
        <v>142</v>
      </c>
      <c r="G84" s="348">
        <v>0</v>
      </c>
      <c r="H84" s="349">
        <v>0</v>
      </c>
      <c r="I84" s="246">
        <f t="shared" si="1"/>
        <v>0</v>
      </c>
      <c r="J84" s="297">
        <f>IF(I84=0,0,I84/$I$507)</f>
        <v>0</v>
      </c>
      <c r="K84" s="89">
        <f>'🧮 Costos x Producto'!K84</f>
        <v>0</v>
      </c>
      <c r="L84" s="91">
        <f>'💰 Precio de Venta'!H85</f>
        <v>0</v>
      </c>
    </row>
    <row r="85" spans="4:12" ht="19.5" hidden="1" customHeight="1" x14ac:dyDescent="0.25">
      <c r="D85" s="92">
        <v>79</v>
      </c>
      <c r="E85" s="346"/>
      <c r="F85" s="347" t="s">
        <v>142</v>
      </c>
      <c r="G85" s="348">
        <v>0</v>
      </c>
      <c r="H85" s="349">
        <v>0</v>
      </c>
      <c r="I85" s="246">
        <f t="shared" si="1"/>
        <v>0</v>
      </c>
      <c r="J85" s="297">
        <f>IF(I85=0,0,I85/$I$507)</f>
        <v>0</v>
      </c>
      <c r="K85" s="89">
        <f>'🧮 Costos x Producto'!K85</f>
        <v>0</v>
      </c>
      <c r="L85" s="91">
        <f>'💰 Precio de Venta'!H86</f>
        <v>0</v>
      </c>
    </row>
    <row r="86" spans="4:12" ht="19.5" hidden="1" customHeight="1" x14ac:dyDescent="0.25">
      <c r="D86" s="92">
        <v>80</v>
      </c>
      <c r="E86" s="346"/>
      <c r="F86" s="347" t="s">
        <v>142</v>
      </c>
      <c r="G86" s="348">
        <v>0</v>
      </c>
      <c r="H86" s="349">
        <v>0</v>
      </c>
      <c r="I86" s="246">
        <f t="shared" si="1"/>
        <v>0</v>
      </c>
      <c r="J86" s="297">
        <f>IF(I86=0,0,I86/$I$507)</f>
        <v>0</v>
      </c>
      <c r="K86" s="89">
        <f>'🧮 Costos x Producto'!K86</f>
        <v>0</v>
      </c>
      <c r="L86" s="91">
        <f>'💰 Precio de Venta'!H87</f>
        <v>0</v>
      </c>
    </row>
    <row r="87" spans="4:12" ht="19.5" hidden="1" customHeight="1" x14ac:dyDescent="0.25">
      <c r="D87" s="92">
        <v>81</v>
      </c>
      <c r="E87" s="346"/>
      <c r="F87" s="347" t="s">
        <v>142</v>
      </c>
      <c r="G87" s="348">
        <v>0</v>
      </c>
      <c r="H87" s="349">
        <v>0</v>
      </c>
      <c r="I87" s="246">
        <f t="shared" si="1"/>
        <v>0</v>
      </c>
      <c r="J87" s="297">
        <f>IF(I87=0,0,I87/$I$507)</f>
        <v>0</v>
      </c>
      <c r="K87" s="89">
        <f>'🧮 Costos x Producto'!K87</f>
        <v>0</v>
      </c>
      <c r="L87" s="91">
        <f>'💰 Precio de Venta'!H88</f>
        <v>0</v>
      </c>
    </row>
    <row r="88" spans="4:12" ht="19.5" hidden="1" customHeight="1" x14ac:dyDescent="0.25">
      <c r="D88" s="92">
        <v>82</v>
      </c>
      <c r="E88" s="346"/>
      <c r="F88" s="347" t="s">
        <v>142</v>
      </c>
      <c r="G88" s="348">
        <v>0</v>
      </c>
      <c r="H88" s="349">
        <v>0</v>
      </c>
      <c r="I88" s="246">
        <f t="shared" si="1"/>
        <v>0</v>
      </c>
      <c r="J88" s="297">
        <f>IF(I88=0,0,I88/$I$507)</f>
        <v>0</v>
      </c>
      <c r="K88" s="89">
        <f>'🧮 Costos x Producto'!K88</f>
        <v>0</v>
      </c>
      <c r="L88" s="91">
        <f>'💰 Precio de Venta'!H89</f>
        <v>0</v>
      </c>
    </row>
    <row r="89" spans="4:12" ht="19.5" hidden="1" customHeight="1" x14ac:dyDescent="0.25">
      <c r="D89" s="92">
        <v>83</v>
      </c>
      <c r="E89" s="346"/>
      <c r="F89" s="347" t="s">
        <v>142</v>
      </c>
      <c r="G89" s="348">
        <v>0</v>
      </c>
      <c r="H89" s="349">
        <v>0</v>
      </c>
      <c r="I89" s="246">
        <f t="shared" si="1"/>
        <v>0</v>
      </c>
      <c r="J89" s="297">
        <f>IF(I89=0,0,I89/$I$507)</f>
        <v>0</v>
      </c>
      <c r="K89" s="89">
        <f>'🧮 Costos x Producto'!K89</f>
        <v>0</v>
      </c>
      <c r="L89" s="91">
        <f>'💰 Precio de Venta'!H90</f>
        <v>0</v>
      </c>
    </row>
    <row r="90" spans="4:12" ht="19.5" hidden="1" customHeight="1" x14ac:dyDescent="0.25">
      <c r="D90" s="92">
        <v>84</v>
      </c>
      <c r="E90" s="346"/>
      <c r="F90" s="347" t="s">
        <v>142</v>
      </c>
      <c r="G90" s="348">
        <v>0</v>
      </c>
      <c r="H90" s="349">
        <v>0</v>
      </c>
      <c r="I90" s="246">
        <f t="shared" si="1"/>
        <v>0</v>
      </c>
      <c r="J90" s="297">
        <f>IF(I90=0,0,I90/$I$507)</f>
        <v>0</v>
      </c>
      <c r="K90" s="89">
        <f>'🧮 Costos x Producto'!K90</f>
        <v>0</v>
      </c>
      <c r="L90" s="91">
        <f>'💰 Precio de Venta'!H91</f>
        <v>0</v>
      </c>
    </row>
    <row r="91" spans="4:12" ht="19.5" hidden="1" customHeight="1" x14ac:dyDescent="0.25">
      <c r="D91" s="92">
        <v>85</v>
      </c>
      <c r="E91" s="346"/>
      <c r="F91" s="347" t="s">
        <v>142</v>
      </c>
      <c r="G91" s="348">
        <v>0</v>
      </c>
      <c r="H91" s="349">
        <v>0</v>
      </c>
      <c r="I91" s="246">
        <f t="shared" si="1"/>
        <v>0</v>
      </c>
      <c r="J91" s="297">
        <f>IF(I91=0,0,I91/$I$507)</f>
        <v>0</v>
      </c>
      <c r="K91" s="89">
        <f>'🧮 Costos x Producto'!K91</f>
        <v>0</v>
      </c>
      <c r="L91" s="91">
        <f>'💰 Precio de Venta'!H92</f>
        <v>0</v>
      </c>
    </row>
    <row r="92" spans="4:12" ht="19.5" hidden="1" customHeight="1" x14ac:dyDescent="0.25">
      <c r="D92" s="92">
        <v>86</v>
      </c>
      <c r="E92" s="346"/>
      <c r="F92" s="347" t="s">
        <v>142</v>
      </c>
      <c r="G92" s="348">
        <v>0</v>
      </c>
      <c r="H92" s="349">
        <v>0</v>
      </c>
      <c r="I92" s="246">
        <f t="shared" si="1"/>
        <v>0</v>
      </c>
      <c r="J92" s="297">
        <f>IF(I92=0,0,I92/$I$507)</f>
        <v>0</v>
      </c>
      <c r="K92" s="89">
        <f>'🧮 Costos x Producto'!K92</f>
        <v>0</v>
      </c>
      <c r="L92" s="91">
        <f>'💰 Precio de Venta'!H93</f>
        <v>0</v>
      </c>
    </row>
    <row r="93" spans="4:12" ht="19.5" hidden="1" customHeight="1" x14ac:dyDescent="0.25">
      <c r="D93" s="92">
        <v>87</v>
      </c>
      <c r="E93" s="346"/>
      <c r="F93" s="347" t="s">
        <v>142</v>
      </c>
      <c r="G93" s="348">
        <v>0</v>
      </c>
      <c r="H93" s="349">
        <v>0</v>
      </c>
      <c r="I93" s="246">
        <f t="shared" si="1"/>
        <v>0</v>
      </c>
      <c r="J93" s="297">
        <f>IF(I93=0,0,I93/$I$507)</f>
        <v>0</v>
      </c>
      <c r="K93" s="89">
        <f>'🧮 Costos x Producto'!K93</f>
        <v>0</v>
      </c>
      <c r="L93" s="91">
        <f>'💰 Precio de Venta'!H94</f>
        <v>0</v>
      </c>
    </row>
    <row r="94" spans="4:12" ht="19.5" hidden="1" customHeight="1" x14ac:dyDescent="0.25">
      <c r="D94" s="92">
        <v>88</v>
      </c>
      <c r="E94" s="346"/>
      <c r="F94" s="347" t="s">
        <v>142</v>
      </c>
      <c r="G94" s="348">
        <v>0</v>
      </c>
      <c r="H94" s="349">
        <v>0</v>
      </c>
      <c r="I94" s="246">
        <f t="shared" si="1"/>
        <v>0</v>
      </c>
      <c r="J94" s="297">
        <f>IF(I94=0,0,I94/$I$507)</f>
        <v>0</v>
      </c>
      <c r="K94" s="89">
        <f>'🧮 Costos x Producto'!K94</f>
        <v>0</v>
      </c>
      <c r="L94" s="91">
        <f>'💰 Precio de Venta'!H95</f>
        <v>0</v>
      </c>
    </row>
    <row r="95" spans="4:12" ht="19.5" hidden="1" customHeight="1" x14ac:dyDescent="0.25">
      <c r="D95" s="92">
        <v>89</v>
      </c>
      <c r="E95" s="346"/>
      <c r="F95" s="347" t="s">
        <v>142</v>
      </c>
      <c r="G95" s="348">
        <v>0</v>
      </c>
      <c r="H95" s="349">
        <v>0</v>
      </c>
      <c r="I95" s="246">
        <f t="shared" si="1"/>
        <v>0</v>
      </c>
      <c r="J95" s="297">
        <f>IF(I95=0,0,I95/$I$507)</f>
        <v>0</v>
      </c>
      <c r="K95" s="89">
        <f>'🧮 Costos x Producto'!K95</f>
        <v>0</v>
      </c>
      <c r="L95" s="91">
        <f>'💰 Precio de Venta'!H96</f>
        <v>0</v>
      </c>
    </row>
    <row r="96" spans="4:12" ht="19.5" hidden="1" customHeight="1" x14ac:dyDescent="0.25">
      <c r="D96" s="92">
        <v>90</v>
      </c>
      <c r="E96" s="346"/>
      <c r="F96" s="347" t="s">
        <v>142</v>
      </c>
      <c r="G96" s="348">
        <v>0</v>
      </c>
      <c r="H96" s="349">
        <v>0</v>
      </c>
      <c r="I96" s="246">
        <f t="shared" si="1"/>
        <v>0</v>
      </c>
      <c r="J96" s="297">
        <f>IF(I96=0,0,I96/$I$507)</f>
        <v>0</v>
      </c>
      <c r="K96" s="89">
        <f>'🧮 Costos x Producto'!K96</f>
        <v>0</v>
      </c>
      <c r="L96" s="91">
        <f>'💰 Precio de Venta'!H97</f>
        <v>0</v>
      </c>
    </row>
    <row r="97" spans="4:12" ht="19.5" hidden="1" customHeight="1" x14ac:dyDescent="0.25">
      <c r="D97" s="92">
        <v>91</v>
      </c>
      <c r="E97" s="346"/>
      <c r="F97" s="347" t="s">
        <v>142</v>
      </c>
      <c r="G97" s="348">
        <v>0</v>
      </c>
      <c r="H97" s="349">
        <v>0</v>
      </c>
      <c r="I97" s="246">
        <f t="shared" si="1"/>
        <v>0</v>
      </c>
      <c r="J97" s="297">
        <f>IF(I97=0,0,I97/$I$507)</f>
        <v>0</v>
      </c>
      <c r="K97" s="89">
        <f>'🧮 Costos x Producto'!K97</f>
        <v>0</v>
      </c>
      <c r="L97" s="91">
        <f>'💰 Precio de Venta'!H98</f>
        <v>0</v>
      </c>
    </row>
    <row r="98" spans="4:12" ht="19.5" hidden="1" customHeight="1" x14ac:dyDescent="0.25">
      <c r="D98" s="92">
        <v>92</v>
      </c>
      <c r="E98" s="346"/>
      <c r="F98" s="347" t="s">
        <v>142</v>
      </c>
      <c r="G98" s="348">
        <v>0</v>
      </c>
      <c r="H98" s="349">
        <v>0</v>
      </c>
      <c r="I98" s="246">
        <f t="shared" si="1"/>
        <v>0</v>
      </c>
      <c r="J98" s="297">
        <f>IF(I98=0,0,I98/$I$507)</f>
        <v>0</v>
      </c>
      <c r="K98" s="89">
        <f>'🧮 Costos x Producto'!K98</f>
        <v>0</v>
      </c>
      <c r="L98" s="91">
        <f>'💰 Precio de Venta'!H99</f>
        <v>0</v>
      </c>
    </row>
    <row r="99" spans="4:12" ht="19.5" hidden="1" customHeight="1" x14ac:dyDescent="0.25">
      <c r="D99" s="92">
        <v>93</v>
      </c>
      <c r="E99" s="346"/>
      <c r="F99" s="347" t="s">
        <v>142</v>
      </c>
      <c r="G99" s="348">
        <v>0</v>
      </c>
      <c r="H99" s="349">
        <v>0</v>
      </c>
      <c r="I99" s="246">
        <f t="shared" si="1"/>
        <v>0</v>
      </c>
      <c r="J99" s="297">
        <f>IF(I99=0,0,I99/$I$507)</f>
        <v>0</v>
      </c>
      <c r="K99" s="89">
        <f>'🧮 Costos x Producto'!K99</f>
        <v>0</v>
      </c>
      <c r="L99" s="91">
        <f>'💰 Precio de Venta'!H100</f>
        <v>0</v>
      </c>
    </row>
    <row r="100" spans="4:12" ht="19.5" hidden="1" customHeight="1" x14ac:dyDescent="0.25">
      <c r="D100" s="92">
        <v>94</v>
      </c>
      <c r="E100" s="346"/>
      <c r="F100" s="347" t="s">
        <v>142</v>
      </c>
      <c r="G100" s="348">
        <v>0</v>
      </c>
      <c r="H100" s="349">
        <v>0</v>
      </c>
      <c r="I100" s="246">
        <f t="shared" si="1"/>
        <v>0</v>
      </c>
      <c r="J100" s="297">
        <f>IF(I100=0,0,I100/$I$507)</f>
        <v>0</v>
      </c>
      <c r="K100" s="89">
        <f>'🧮 Costos x Producto'!K100</f>
        <v>0</v>
      </c>
      <c r="L100" s="91">
        <f>'💰 Precio de Venta'!H101</f>
        <v>0</v>
      </c>
    </row>
    <row r="101" spans="4:12" ht="19.5" hidden="1" customHeight="1" x14ac:dyDescent="0.25">
      <c r="D101" s="92">
        <v>95</v>
      </c>
      <c r="E101" s="346"/>
      <c r="F101" s="347" t="s">
        <v>142</v>
      </c>
      <c r="G101" s="348">
        <v>0</v>
      </c>
      <c r="H101" s="349">
        <v>0</v>
      </c>
      <c r="I101" s="246">
        <f t="shared" ref="I101:I164" si="2">IF(G101=0,0,G101*H101)</f>
        <v>0</v>
      </c>
      <c r="J101" s="297">
        <f>IF(I101=0,0,I101/$I$507)</f>
        <v>0</v>
      </c>
      <c r="K101" s="89">
        <f>'🧮 Costos x Producto'!K101</f>
        <v>0</v>
      </c>
      <c r="L101" s="91">
        <f>'💰 Precio de Venta'!H102</f>
        <v>0</v>
      </c>
    </row>
    <row r="102" spans="4:12" ht="19.5" hidden="1" customHeight="1" x14ac:dyDescent="0.25">
      <c r="D102" s="92">
        <v>96</v>
      </c>
      <c r="E102" s="346"/>
      <c r="F102" s="347" t="s">
        <v>142</v>
      </c>
      <c r="G102" s="348">
        <v>0</v>
      </c>
      <c r="H102" s="349">
        <v>0</v>
      </c>
      <c r="I102" s="246">
        <f t="shared" si="2"/>
        <v>0</v>
      </c>
      <c r="J102" s="297">
        <f>IF(I102=0,0,I102/$I$507)</f>
        <v>0</v>
      </c>
      <c r="K102" s="89">
        <f>'🧮 Costos x Producto'!K102</f>
        <v>0</v>
      </c>
      <c r="L102" s="91">
        <f>'💰 Precio de Venta'!H103</f>
        <v>0</v>
      </c>
    </row>
    <row r="103" spans="4:12" ht="19.5" hidden="1" customHeight="1" x14ac:dyDescent="0.25">
      <c r="D103" s="92">
        <v>97</v>
      </c>
      <c r="E103" s="346"/>
      <c r="F103" s="347" t="s">
        <v>142</v>
      </c>
      <c r="G103" s="348">
        <v>0</v>
      </c>
      <c r="H103" s="349">
        <v>0</v>
      </c>
      <c r="I103" s="246">
        <f t="shared" si="2"/>
        <v>0</v>
      </c>
      <c r="J103" s="297">
        <f>IF(I103=0,0,I103/$I$507)</f>
        <v>0</v>
      </c>
      <c r="K103" s="89">
        <f>'🧮 Costos x Producto'!K103</f>
        <v>0</v>
      </c>
      <c r="L103" s="91">
        <f>'💰 Precio de Venta'!H104</f>
        <v>0</v>
      </c>
    </row>
    <row r="104" spans="4:12" ht="19.5" hidden="1" customHeight="1" x14ac:dyDescent="0.25">
      <c r="D104" s="92">
        <v>98</v>
      </c>
      <c r="E104" s="346"/>
      <c r="F104" s="347" t="s">
        <v>142</v>
      </c>
      <c r="G104" s="348">
        <v>0</v>
      </c>
      <c r="H104" s="349">
        <v>0</v>
      </c>
      <c r="I104" s="246">
        <f t="shared" si="2"/>
        <v>0</v>
      </c>
      <c r="J104" s="297">
        <f>IF(I104=0,0,I104/$I$507)</f>
        <v>0</v>
      </c>
      <c r="K104" s="89">
        <f>'🧮 Costos x Producto'!K104</f>
        <v>0</v>
      </c>
      <c r="L104" s="91">
        <f>'💰 Precio de Venta'!H105</f>
        <v>0</v>
      </c>
    </row>
    <row r="105" spans="4:12" ht="19.5" hidden="1" customHeight="1" x14ac:dyDescent="0.25">
      <c r="D105" s="92">
        <v>99</v>
      </c>
      <c r="E105" s="346"/>
      <c r="F105" s="347" t="s">
        <v>142</v>
      </c>
      <c r="G105" s="348">
        <v>0</v>
      </c>
      <c r="H105" s="349">
        <v>0</v>
      </c>
      <c r="I105" s="246">
        <f t="shared" si="2"/>
        <v>0</v>
      </c>
      <c r="J105" s="297">
        <f>IF(I105=0,0,I105/$I$507)</f>
        <v>0</v>
      </c>
      <c r="K105" s="89">
        <f>'🧮 Costos x Producto'!K105</f>
        <v>0</v>
      </c>
      <c r="L105" s="91">
        <f>'💰 Precio de Venta'!H106</f>
        <v>0</v>
      </c>
    </row>
    <row r="106" spans="4:12" ht="19.5" hidden="1" customHeight="1" x14ac:dyDescent="0.25">
      <c r="D106" s="92">
        <v>100</v>
      </c>
      <c r="E106" s="346"/>
      <c r="F106" s="347" t="s">
        <v>142</v>
      </c>
      <c r="G106" s="348">
        <v>0</v>
      </c>
      <c r="H106" s="349">
        <v>0</v>
      </c>
      <c r="I106" s="246">
        <f t="shared" si="2"/>
        <v>0</v>
      </c>
      <c r="J106" s="297">
        <f>IF(I106=0,0,I106/$I$507)</f>
        <v>0</v>
      </c>
      <c r="K106" s="89">
        <f>'🧮 Costos x Producto'!K106</f>
        <v>0</v>
      </c>
      <c r="L106" s="91">
        <f>'💰 Precio de Venta'!H107</f>
        <v>0</v>
      </c>
    </row>
    <row r="107" spans="4:12" ht="19.5" hidden="1" customHeight="1" x14ac:dyDescent="0.25">
      <c r="D107" s="92">
        <v>101</v>
      </c>
      <c r="E107" s="346"/>
      <c r="F107" s="347" t="s">
        <v>142</v>
      </c>
      <c r="G107" s="348">
        <v>0</v>
      </c>
      <c r="H107" s="349">
        <v>0</v>
      </c>
      <c r="I107" s="246">
        <f t="shared" si="2"/>
        <v>0</v>
      </c>
      <c r="J107" s="297">
        <f>IF(I107=0,0,I107/$I$507)</f>
        <v>0</v>
      </c>
      <c r="K107" s="89">
        <f>'🧮 Costos x Producto'!K107</f>
        <v>0</v>
      </c>
      <c r="L107" s="91">
        <f>'💰 Precio de Venta'!H108</f>
        <v>0</v>
      </c>
    </row>
    <row r="108" spans="4:12" ht="19.5" hidden="1" customHeight="1" x14ac:dyDescent="0.25">
      <c r="D108" s="92">
        <v>102</v>
      </c>
      <c r="E108" s="346"/>
      <c r="F108" s="347" t="s">
        <v>142</v>
      </c>
      <c r="G108" s="348">
        <v>0</v>
      </c>
      <c r="H108" s="349">
        <v>0</v>
      </c>
      <c r="I108" s="246">
        <f t="shared" si="2"/>
        <v>0</v>
      </c>
      <c r="J108" s="297">
        <f>IF(I108=0,0,I108/$I$507)</f>
        <v>0</v>
      </c>
      <c r="K108" s="89">
        <f>'🧮 Costos x Producto'!K108</f>
        <v>0</v>
      </c>
      <c r="L108" s="91">
        <f>'💰 Precio de Venta'!H109</f>
        <v>0</v>
      </c>
    </row>
    <row r="109" spans="4:12" ht="19.5" hidden="1" customHeight="1" x14ac:dyDescent="0.25">
      <c r="D109" s="92">
        <v>103</v>
      </c>
      <c r="E109" s="346"/>
      <c r="F109" s="347" t="s">
        <v>142</v>
      </c>
      <c r="G109" s="348">
        <v>0</v>
      </c>
      <c r="H109" s="349">
        <v>0</v>
      </c>
      <c r="I109" s="246">
        <f t="shared" si="2"/>
        <v>0</v>
      </c>
      <c r="J109" s="297">
        <f>IF(I109=0,0,I109/$I$507)</f>
        <v>0</v>
      </c>
      <c r="K109" s="89">
        <f>'🧮 Costos x Producto'!K109</f>
        <v>0</v>
      </c>
      <c r="L109" s="91">
        <f>'💰 Precio de Venta'!H110</f>
        <v>0</v>
      </c>
    </row>
    <row r="110" spans="4:12" ht="19.5" hidden="1" customHeight="1" x14ac:dyDescent="0.25">
      <c r="D110" s="92">
        <v>104</v>
      </c>
      <c r="E110" s="346"/>
      <c r="F110" s="347" t="s">
        <v>142</v>
      </c>
      <c r="G110" s="348">
        <v>0</v>
      </c>
      <c r="H110" s="349">
        <v>0</v>
      </c>
      <c r="I110" s="246">
        <f t="shared" si="2"/>
        <v>0</v>
      </c>
      <c r="J110" s="297">
        <f>IF(I110=0,0,I110/$I$507)</f>
        <v>0</v>
      </c>
      <c r="K110" s="89">
        <f>'🧮 Costos x Producto'!K110</f>
        <v>0</v>
      </c>
      <c r="L110" s="91">
        <f>'💰 Precio de Venta'!H111</f>
        <v>0</v>
      </c>
    </row>
    <row r="111" spans="4:12" ht="19.5" hidden="1" customHeight="1" x14ac:dyDescent="0.25">
      <c r="D111" s="92">
        <v>105</v>
      </c>
      <c r="E111" s="346"/>
      <c r="F111" s="347" t="s">
        <v>142</v>
      </c>
      <c r="G111" s="348">
        <v>0</v>
      </c>
      <c r="H111" s="349">
        <v>0</v>
      </c>
      <c r="I111" s="246">
        <f t="shared" si="2"/>
        <v>0</v>
      </c>
      <c r="J111" s="297">
        <f>IF(I111=0,0,I111/$I$507)</f>
        <v>0</v>
      </c>
      <c r="K111" s="89">
        <f>'🧮 Costos x Producto'!K111</f>
        <v>0</v>
      </c>
      <c r="L111" s="91">
        <f>'💰 Precio de Venta'!H112</f>
        <v>0</v>
      </c>
    </row>
    <row r="112" spans="4:12" ht="19.5" hidden="1" customHeight="1" x14ac:dyDescent="0.25">
      <c r="D112" s="92">
        <v>106</v>
      </c>
      <c r="E112" s="346"/>
      <c r="F112" s="347" t="s">
        <v>142</v>
      </c>
      <c r="G112" s="348">
        <v>0</v>
      </c>
      <c r="H112" s="349">
        <v>0</v>
      </c>
      <c r="I112" s="246">
        <f t="shared" si="2"/>
        <v>0</v>
      </c>
      <c r="J112" s="297">
        <f>IF(I112=0,0,I112/$I$507)</f>
        <v>0</v>
      </c>
      <c r="K112" s="89">
        <f>'🧮 Costos x Producto'!K112</f>
        <v>0</v>
      </c>
      <c r="L112" s="91">
        <f>'💰 Precio de Venta'!H113</f>
        <v>0</v>
      </c>
    </row>
    <row r="113" spans="4:12" ht="19.5" hidden="1" customHeight="1" x14ac:dyDescent="0.25">
      <c r="D113" s="92">
        <v>107</v>
      </c>
      <c r="E113" s="346"/>
      <c r="F113" s="347" t="s">
        <v>142</v>
      </c>
      <c r="G113" s="348">
        <v>0</v>
      </c>
      <c r="H113" s="349">
        <v>0</v>
      </c>
      <c r="I113" s="246">
        <f t="shared" si="2"/>
        <v>0</v>
      </c>
      <c r="J113" s="297">
        <f>IF(I113=0,0,I113/$I$507)</f>
        <v>0</v>
      </c>
      <c r="K113" s="89">
        <f>'🧮 Costos x Producto'!K113</f>
        <v>0</v>
      </c>
      <c r="L113" s="91">
        <f>'💰 Precio de Venta'!H114</f>
        <v>0</v>
      </c>
    </row>
    <row r="114" spans="4:12" ht="19.5" hidden="1" customHeight="1" x14ac:dyDescent="0.25">
      <c r="D114" s="92">
        <v>108</v>
      </c>
      <c r="E114" s="346"/>
      <c r="F114" s="347" t="s">
        <v>142</v>
      </c>
      <c r="G114" s="348">
        <v>0</v>
      </c>
      <c r="H114" s="349">
        <v>0</v>
      </c>
      <c r="I114" s="246">
        <f t="shared" si="2"/>
        <v>0</v>
      </c>
      <c r="J114" s="297">
        <f>IF(I114=0,0,I114/$I$507)</f>
        <v>0</v>
      </c>
      <c r="K114" s="89">
        <f>'🧮 Costos x Producto'!K114</f>
        <v>0</v>
      </c>
      <c r="L114" s="91">
        <f>'💰 Precio de Venta'!H115</f>
        <v>0</v>
      </c>
    </row>
    <row r="115" spans="4:12" ht="19.5" hidden="1" customHeight="1" x14ac:dyDescent="0.25">
      <c r="D115" s="92">
        <v>109</v>
      </c>
      <c r="E115" s="346"/>
      <c r="F115" s="347" t="s">
        <v>142</v>
      </c>
      <c r="G115" s="348">
        <v>0</v>
      </c>
      <c r="H115" s="349">
        <v>0</v>
      </c>
      <c r="I115" s="246">
        <f t="shared" si="2"/>
        <v>0</v>
      </c>
      <c r="J115" s="297">
        <f>IF(I115=0,0,I115/$I$507)</f>
        <v>0</v>
      </c>
      <c r="K115" s="89">
        <f>'🧮 Costos x Producto'!K115</f>
        <v>0</v>
      </c>
      <c r="L115" s="91">
        <f>'💰 Precio de Venta'!H116</f>
        <v>0</v>
      </c>
    </row>
    <row r="116" spans="4:12" ht="19.5" hidden="1" customHeight="1" x14ac:dyDescent="0.25">
      <c r="D116" s="92">
        <v>110</v>
      </c>
      <c r="E116" s="346"/>
      <c r="F116" s="347" t="s">
        <v>142</v>
      </c>
      <c r="G116" s="348">
        <v>0</v>
      </c>
      <c r="H116" s="349">
        <v>0</v>
      </c>
      <c r="I116" s="246">
        <f t="shared" si="2"/>
        <v>0</v>
      </c>
      <c r="J116" s="297">
        <f>IF(I116=0,0,I116/$I$507)</f>
        <v>0</v>
      </c>
      <c r="K116" s="89">
        <f>'🧮 Costos x Producto'!K116</f>
        <v>0</v>
      </c>
      <c r="L116" s="91">
        <f>'💰 Precio de Venta'!H117</f>
        <v>0</v>
      </c>
    </row>
    <row r="117" spans="4:12" ht="19.5" hidden="1" customHeight="1" x14ac:dyDescent="0.25">
      <c r="D117" s="92">
        <v>111</v>
      </c>
      <c r="E117" s="346"/>
      <c r="F117" s="347" t="s">
        <v>142</v>
      </c>
      <c r="G117" s="348">
        <v>0</v>
      </c>
      <c r="H117" s="349">
        <v>0</v>
      </c>
      <c r="I117" s="246">
        <f t="shared" si="2"/>
        <v>0</v>
      </c>
      <c r="J117" s="297">
        <f>IF(I117=0,0,I117/$I$507)</f>
        <v>0</v>
      </c>
      <c r="K117" s="89">
        <f>'🧮 Costos x Producto'!K117</f>
        <v>0</v>
      </c>
      <c r="L117" s="91">
        <f>'💰 Precio de Venta'!H118</f>
        <v>0</v>
      </c>
    </row>
    <row r="118" spans="4:12" ht="19.5" hidden="1" customHeight="1" x14ac:dyDescent="0.25">
      <c r="D118" s="92">
        <v>112</v>
      </c>
      <c r="E118" s="346"/>
      <c r="F118" s="347" t="s">
        <v>142</v>
      </c>
      <c r="G118" s="348">
        <v>0</v>
      </c>
      <c r="H118" s="349">
        <v>0</v>
      </c>
      <c r="I118" s="246">
        <f t="shared" si="2"/>
        <v>0</v>
      </c>
      <c r="J118" s="297">
        <f>IF(I118=0,0,I118/$I$507)</f>
        <v>0</v>
      </c>
      <c r="K118" s="89">
        <f>'🧮 Costos x Producto'!K118</f>
        <v>0</v>
      </c>
      <c r="L118" s="91">
        <f>'💰 Precio de Venta'!H119</f>
        <v>0</v>
      </c>
    </row>
    <row r="119" spans="4:12" ht="19.5" hidden="1" customHeight="1" x14ac:dyDescent="0.25">
      <c r="D119" s="92">
        <v>113</v>
      </c>
      <c r="E119" s="346"/>
      <c r="F119" s="347" t="s">
        <v>142</v>
      </c>
      <c r="G119" s="348">
        <v>0</v>
      </c>
      <c r="H119" s="349">
        <v>0</v>
      </c>
      <c r="I119" s="246">
        <f t="shared" si="2"/>
        <v>0</v>
      </c>
      <c r="J119" s="297">
        <f>IF(I119=0,0,I119/$I$507)</f>
        <v>0</v>
      </c>
      <c r="K119" s="89">
        <f>'🧮 Costos x Producto'!K119</f>
        <v>0</v>
      </c>
      <c r="L119" s="91">
        <f>'💰 Precio de Venta'!H120</f>
        <v>0</v>
      </c>
    </row>
    <row r="120" spans="4:12" ht="19.5" hidden="1" customHeight="1" x14ac:dyDescent="0.25">
      <c r="D120" s="92">
        <v>114</v>
      </c>
      <c r="E120" s="346"/>
      <c r="F120" s="347" t="s">
        <v>142</v>
      </c>
      <c r="G120" s="348">
        <v>0</v>
      </c>
      <c r="H120" s="349">
        <v>0</v>
      </c>
      <c r="I120" s="246">
        <f t="shared" si="2"/>
        <v>0</v>
      </c>
      <c r="J120" s="297">
        <f>IF(I120=0,0,I120/$I$507)</f>
        <v>0</v>
      </c>
      <c r="K120" s="89">
        <f>'🧮 Costos x Producto'!K120</f>
        <v>0</v>
      </c>
      <c r="L120" s="91">
        <f>'💰 Precio de Venta'!H121</f>
        <v>0</v>
      </c>
    </row>
    <row r="121" spans="4:12" ht="19.5" hidden="1" customHeight="1" x14ac:dyDescent="0.25">
      <c r="D121" s="92">
        <v>115</v>
      </c>
      <c r="E121" s="346"/>
      <c r="F121" s="347" t="s">
        <v>142</v>
      </c>
      <c r="G121" s="348">
        <v>0</v>
      </c>
      <c r="H121" s="349">
        <v>0</v>
      </c>
      <c r="I121" s="246">
        <f t="shared" si="2"/>
        <v>0</v>
      </c>
      <c r="J121" s="297">
        <f>IF(I121=0,0,I121/$I$507)</f>
        <v>0</v>
      </c>
      <c r="K121" s="89">
        <f>'🧮 Costos x Producto'!K121</f>
        <v>0</v>
      </c>
      <c r="L121" s="91">
        <f>'💰 Precio de Venta'!H122</f>
        <v>0</v>
      </c>
    </row>
    <row r="122" spans="4:12" ht="19.5" hidden="1" customHeight="1" x14ac:dyDescent="0.25">
      <c r="D122" s="92">
        <v>116</v>
      </c>
      <c r="E122" s="346"/>
      <c r="F122" s="347" t="s">
        <v>142</v>
      </c>
      <c r="G122" s="348">
        <v>0</v>
      </c>
      <c r="H122" s="349">
        <v>0</v>
      </c>
      <c r="I122" s="246">
        <f t="shared" si="2"/>
        <v>0</v>
      </c>
      <c r="J122" s="297">
        <f>IF(I122=0,0,I122/$I$507)</f>
        <v>0</v>
      </c>
      <c r="K122" s="89">
        <f>'🧮 Costos x Producto'!K122</f>
        <v>0</v>
      </c>
      <c r="L122" s="91">
        <f>'💰 Precio de Venta'!H123</f>
        <v>0</v>
      </c>
    </row>
    <row r="123" spans="4:12" ht="19.5" hidden="1" customHeight="1" x14ac:dyDescent="0.25">
      <c r="D123" s="92">
        <v>117</v>
      </c>
      <c r="E123" s="346"/>
      <c r="F123" s="347" t="s">
        <v>142</v>
      </c>
      <c r="G123" s="348">
        <v>0</v>
      </c>
      <c r="H123" s="349">
        <v>0</v>
      </c>
      <c r="I123" s="246">
        <f t="shared" si="2"/>
        <v>0</v>
      </c>
      <c r="J123" s="297">
        <f>IF(I123=0,0,I123/$I$507)</f>
        <v>0</v>
      </c>
      <c r="K123" s="89">
        <f>'🧮 Costos x Producto'!K123</f>
        <v>0</v>
      </c>
      <c r="L123" s="91">
        <f>'💰 Precio de Venta'!H124</f>
        <v>0</v>
      </c>
    </row>
    <row r="124" spans="4:12" ht="19.5" hidden="1" customHeight="1" x14ac:dyDescent="0.25">
      <c r="D124" s="92">
        <v>118</v>
      </c>
      <c r="E124" s="346"/>
      <c r="F124" s="347" t="s">
        <v>142</v>
      </c>
      <c r="G124" s="348">
        <v>0</v>
      </c>
      <c r="H124" s="349">
        <v>0</v>
      </c>
      <c r="I124" s="246">
        <f t="shared" si="2"/>
        <v>0</v>
      </c>
      <c r="J124" s="297">
        <f>IF(I124=0,0,I124/$I$507)</f>
        <v>0</v>
      </c>
      <c r="K124" s="89">
        <f>'🧮 Costos x Producto'!K124</f>
        <v>0</v>
      </c>
      <c r="L124" s="91">
        <f>'💰 Precio de Venta'!H125</f>
        <v>0</v>
      </c>
    </row>
    <row r="125" spans="4:12" ht="19.5" hidden="1" customHeight="1" x14ac:dyDescent="0.25">
      <c r="D125" s="92">
        <v>119</v>
      </c>
      <c r="E125" s="346"/>
      <c r="F125" s="347" t="s">
        <v>142</v>
      </c>
      <c r="G125" s="348">
        <v>0</v>
      </c>
      <c r="H125" s="349">
        <v>0</v>
      </c>
      <c r="I125" s="246">
        <f t="shared" si="2"/>
        <v>0</v>
      </c>
      <c r="J125" s="297">
        <f>IF(I125=0,0,I125/$I$507)</f>
        <v>0</v>
      </c>
      <c r="K125" s="89">
        <f>'🧮 Costos x Producto'!K125</f>
        <v>0</v>
      </c>
      <c r="L125" s="91">
        <f>'💰 Precio de Venta'!H126</f>
        <v>0</v>
      </c>
    </row>
    <row r="126" spans="4:12" ht="19.5" hidden="1" customHeight="1" x14ac:dyDescent="0.25">
      <c r="D126" s="92">
        <v>120</v>
      </c>
      <c r="E126" s="346"/>
      <c r="F126" s="347" t="s">
        <v>142</v>
      </c>
      <c r="G126" s="348">
        <v>0</v>
      </c>
      <c r="H126" s="349">
        <v>0</v>
      </c>
      <c r="I126" s="246">
        <f t="shared" si="2"/>
        <v>0</v>
      </c>
      <c r="J126" s="297">
        <f>IF(I126=0,0,I126/$I$507)</f>
        <v>0</v>
      </c>
      <c r="K126" s="89">
        <f>'🧮 Costos x Producto'!K126</f>
        <v>0</v>
      </c>
      <c r="L126" s="91">
        <f>'💰 Precio de Venta'!H127</f>
        <v>0</v>
      </c>
    </row>
    <row r="127" spans="4:12" ht="19.5" hidden="1" customHeight="1" x14ac:dyDescent="0.25">
      <c r="D127" s="92">
        <v>121</v>
      </c>
      <c r="E127" s="346"/>
      <c r="F127" s="347" t="s">
        <v>142</v>
      </c>
      <c r="G127" s="348">
        <v>0</v>
      </c>
      <c r="H127" s="349">
        <v>0</v>
      </c>
      <c r="I127" s="246">
        <f t="shared" si="2"/>
        <v>0</v>
      </c>
      <c r="J127" s="297">
        <f>IF(I127=0,0,I127/$I$507)</f>
        <v>0</v>
      </c>
      <c r="K127" s="89">
        <f>'🧮 Costos x Producto'!K127</f>
        <v>0</v>
      </c>
      <c r="L127" s="91">
        <f>'💰 Precio de Venta'!H128</f>
        <v>0</v>
      </c>
    </row>
    <row r="128" spans="4:12" ht="19.5" hidden="1" customHeight="1" x14ac:dyDescent="0.25">
      <c r="D128" s="92">
        <v>122</v>
      </c>
      <c r="E128" s="346"/>
      <c r="F128" s="347" t="s">
        <v>142</v>
      </c>
      <c r="G128" s="348">
        <v>0</v>
      </c>
      <c r="H128" s="349">
        <v>0</v>
      </c>
      <c r="I128" s="246">
        <f t="shared" si="2"/>
        <v>0</v>
      </c>
      <c r="J128" s="297">
        <f>IF(I128=0,0,I128/$I$507)</f>
        <v>0</v>
      </c>
      <c r="K128" s="89">
        <f>'🧮 Costos x Producto'!K128</f>
        <v>0</v>
      </c>
      <c r="L128" s="91">
        <f>'💰 Precio de Venta'!H129</f>
        <v>0</v>
      </c>
    </row>
    <row r="129" spans="4:12" ht="19.5" hidden="1" customHeight="1" x14ac:dyDescent="0.25">
      <c r="D129" s="92">
        <v>123</v>
      </c>
      <c r="E129" s="346"/>
      <c r="F129" s="347" t="s">
        <v>142</v>
      </c>
      <c r="G129" s="348">
        <v>0</v>
      </c>
      <c r="H129" s="349">
        <v>0</v>
      </c>
      <c r="I129" s="246">
        <f t="shared" si="2"/>
        <v>0</v>
      </c>
      <c r="J129" s="297">
        <f>IF(I129=0,0,I129/$I$507)</f>
        <v>0</v>
      </c>
      <c r="K129" s="89">
        <f>'🧮 Costos x Producto'!K129</f>
        <v>0</v>
      </c>
      <c r="L129" s="91">
        <f>'💰 Precio de Venta'!H130</f>
        <v>0</v>
      </c>
    </row>
    <row r="130" spans="4:12" ht="19.5" hidden="1" customHeight="1" x14ac:dyDescent="0.25">
      <c r="D130" s="92">
        <v>124</v>
      </c>
      <c r="E130" s="346"/>
      <c r="F130" s="347" t="s">
        <v>142</v>
      </c>
      <c r="G130" s="348">
        <v>0</v>
      </c>
      <c r="H130" s="349">
        <v>0</v>
      </c>
      <c r="I130" s="246">
        <f t="shared" si="2"/>
        <v>0</v>
      </c>
      <c r="J130" s="297">
        <f>IF(I130=0,0,I130/$I$507)</f>
        <v>0</v>
      </c>
      <c r="K130" s="89">
        <f>'🧮 Costos x Producto'!K130</f>
        <v>0</v>
      </c>
      <c r="L130" s="91">
        <f>'💰 Precio de Venta'!H131</f>
        <v>0</v>
      </c>
    </row>
    <row r="131" spans="4:12" ht="19.5" hidden="1" customHeight="1" x14ac:dyDescent="0.25">
      <c r="D131" s="92">
        <v>125</v>
      </c>
      <c r="E131" s="346"/>
      <c r="F131" s="347" t="s">
        <v>142</v>
      </c>
      <c r="G131" s="348">
        <v>0</v>
      </c>
      <c r="H131" s="349">
        <v>0</v>
      </c>
      <c r="I131" s="246">
        <f t="shared" si="2"/>
        <v>0</v>
      </c>
      <c r="J131" s="297">
        <f>IF(I131=0,0,I131/$I$507)</f>
        <v>0</v>
      </c>
      <c r="K131" s="89">
        <f>'🧮 Costos x Producto'!K131</f>
        <v>0</v>
      </c>
      <c r="L131" s="91">
        <f>'💰 Precio de Venta'!H132</f>
        <v>0</v>
      </c>
    </row>
    <row r="132" spans="4:12" ht="19.5" hidden="1" customHeight="1" x14ac:dyDescent="0.25">
      <c r="D132" s="92">
        <v>126</v>
      </c>
      <c r="E132" s="346"/>
      <c r="F132" s="347" t="s">
        <v>142</v>
      </c>
      <c r="G132" s="348">
        <v>0</v>
      </c>
      <c r="H132" s="349">
        <v>0</v>
      </c>
      <c r="I132" s="246">
        <f t="shared" si="2"/>
        <v>0</v>
      </c>
      <c r="J132" s="297">
        <f>IF(I132=0,0,I132/$I$507)</f>
        <v>0</v>
      </c>
      <c r="K132" s="89">
        <f>'🧮 Costos x Producto'!K132</f>
        <v>0</v>
      </c>
      <c r="L132" s="91">
        <f>'💰 Precio de Venta'!H133</f>
        <v>0</v>
      </c>
    </row>
    <row r="133" spans="4:12" ht="19.5" hidden="1" customHeight="1" x14ac:dyDescent="0.25">
      <c r="D133" s="92">
        <v>127</v>
      </c>
      <c r="E133" s="346"/>
      <c r="F133" s="347" t="s">
        <v>142</v>
      </c>
      <c r="G133" s="348">
        <v>0</v>
      </c>
      <c r="H133" s="349">
        <v>0</v>
      </c>
      <c r="I133" s="246">
        <f t="shared" si="2"/>
        <v>0</v>
      </c>
      <c r="J133" s="297">
        <f>IF(I133=0,0,I133/$I$507)</f>
        <v>0</v>
      </c>
      <c r="K133" s="89">
        <f>'🧮 Costos x Producto'!K133</f>
        <v>0</v>
      </c>
      <c r="L133" s="91">
        <f>'💰 Precio de Venta'!H134</f>
        <v>0</v>
      </c>
    </row>
    <row r="134" spans="4:12" ht="19.5" hidden="1" customHeight="1" x14ac:dyDescent="0.25">
      <c r="D134" s="92">
        <v>128</v>
      </c>
      <c r="E134" s="346"/>
      <c r="F134" s="347" t="s">
        <v>142</v>
      </c>
      <c r="G134" s="348">
        <v>0</v>
      </c>
      <c r="H134" s="349">
        <v>0</v>
      </c>
      <c r="I134" s="246">
        <f t="shared" si="2"/>
        <v>0</v>
      </c>
      <c r="J134" s="297">
        <f>IF(I134=0,0,I134/$I$507)</f>
        <v>0</v>
      </c>
      <c r="K134" s="89">
        <f>'🧮 Costos x Producto'!K134</f>
        <v>0</v>
      </c>
      <c r="L134" s="91">
        <f>'💰 Precio de Venta'!H135</f>
        <v>0</v>
      </c>
    </row>
    <row r="135" spans="4:12" ht="19.5" hidden="1" customHeight="1" x14ac:dyDescent="0.25">
      <c r="D135" s="92">
        <v>129</v>
      </c>
      <c r="E135" s="346"/>
      <c r="F135" s="347" t="s">
        <v>142</v>
      </c>
      <c r="G135" s="348">
        <v>0</v>
      </c>
      <c r="H135" s="349">
        <v>0</v>
      </c>
      <c r="I135" s="246">
        <f t="shared" si="2"/>
        <v>0</v>
      </c>
      <c r="J135" s="297">
        <f>IF(I135=0,0,I135/$I$507)</f>
        <v>0</v>
      </c>
      <c r="K135" s="89">
        <f>'🧮 Costos x Producto'!K135</f>
        <v>0</v>
      </c>
      <c r="L135" s="91">
        <f>'💰 Precio de Venta'!H136</f>
        <v>0</v>
      </c>
    </row>
    <row r="136" spans="4:12" ht="19.5" hidden="1" customHeight="1" x14ac:dyDescent="0.25">
      <c r="D136" s="92">
        <v>130</v>
      </c>
      <c r="E136" s="346"/>
      <c r="F136" s="347" t="s">
        <v>142</v>
      </c>
      <c r="G136" s="348">
        <v>0</v>
      </c>
      <c r="H136" s="349">
        <v>0</v>
      </c>
      <c r="I136" s="246">
        <f t="shared" si="2"/>
        <v>0</v>
      </c>
      <c r="J136" s="297">
        <f>IF(I136=0,0,I136/$I$507)</f>
        <v>0</v>
      </c>
      <c r="K136" s="89">
        <f>'🧮 Costos x Producto'!K136</f>
        <v>0</v>
      </c>
      <c r="L136" s="91">
        <f>'💰 Precio de Venta'!H137</f>
        <v>0</v>
      </c>
    </row>
    <row r="137" spans="4:12" ht="19.5" hidden="1" customHeight="1" x14ac:dyDescent="0.25">
      <c r="D137" s="92">
        <v>131</v>
      </c>
      <c r="E137" s="346"/>
      <c r="F137" s="347" t="s">
        <v>142</v>
      </c>
      <c r="G137" s="348">
        <v>0</v>
      </c>
      <c r="H137" s="349">
        <v>0</v>
      </c>
      <c r="I137" s="246">
        <f t="shared" si="2"/>
        <v>0</v>
      </c>
      <c r="J137" s="297">
        <f>IF(I137=0,0,I137/$I$507)</f>
        <v>0</v>
      </c>
      <c r="K137" s="89">
        <f>'🧮 Costos x Producto'!K137</f>
        <v>0</v>
      </c>
      <c r="L137" s="91">
        <f>'💰 Precio de Venta'!H138</f>
        <v>0</v>
      </c>
    </row>
    <row r="138" spans="4:12" ht="19.5" hidden="1" customHeight="1" x14ac:dyDescent="0.25">
      <c r="D138" s="92">
        <v>132</v>
      </c>
      <c r="E138" s="346"/>
      <c r="F138" s="347" t="s">
        <v>142</v>
      </c>
      <c r="G138" s="348">
        <v>0</v>
      </c>
      <c r="H138" s="349">
        <v>0</v>
      </c>
      <c r="I138" s="246">
        <f t="shared" si="2"/>
        <v>0</v>
      </c>
      <c r="J138" s="297">
        <f>IF(I138=0,0,I138/$I$507)</f>
        <v>0</v>
      </c>
      <c r="K138" s="89">
        <f>'🧮 Costos x Producto'!K138</f>
        <v>0</v>
      </c>
      <c r="L138" s="91">
        <f>'💰 Precio de Venta'!H139</f>
        <v>0</v>
      </c>
    </row>
    <row r="139" spans="4:12" ht="19.5" hidden="1" customHeight="1" x14ac:dyDescent="0.25">
      <c r="D139" s="92">
        <v>133</v>
      </c>
      <c r="E139" s="346"/>
      <c r="F139" s="347" t="s">
        <v>142</v>
      </c>
      <c r="G139" s="348">
        <v>0</v>
      </c>
      <c r="H139" s="349">
        <v>0</v>
      </c>
      <c r="I139" s="246">
        <f t="shared" si="2"/>
        <v>0</v>
      </c>
      <c r="J139" s="297">
        <f>IF(I139=0,0,I139/$I$507)</f>
        <v>0</v>
      </c>
      <c r="K139" s="89">
        <f>'🧮 Costos x Producto'!K139</f>
        <v>0</v>
      </c>
      <c r="L139" s="91">
        <f>'💰 Precio de Venta'!H140</f>
        <v>0</v>
      </c>
    </row>
    <row r="140" spans="4:12" ht="19.5" hidden="1" customHeight="1" x14ac:dyDescent="0.25">
      <c r="D140" s="92">
        <v>134</v>
      </c>
      <c r="E140" s="346"/>
      <c r="F140" s="347" t="s">
        <v>142</v>
      </c>
      <c r="G140" s="348">
        <v>0</v>
      </c>
      <c r="H140" s="349">
        <v>0</v>
      </c>
      <c r="I140" s="246">
        <f t="shared" si="2"/>
        <v>0</v>
      </c>
      <c r="J140" s="297">
        <f>IF(I140=0,0,I140/$I$507)</f>
        <v>0</v>
      </c>
      <c r="K140" s="89">
        <f>'🧮 Costos x Producto'!K140</f>
        <v>0</v>
      </c>
      <c r="L140" s="91">
        <f>'💰 Precio de Venta'!H141</f>
        <v>0</v>
      </c>
    </row>
    <row r="141" spans="4:12" ht="19.5" hidden="1" customHeight="1" x14ac:dyDescent="0.25">
      <c r="D141" s="92">
        <v>135</v>
      </c>
      <c r="E141" s="346"/>
      <c r="F141" s="347" t="s">
        <v>142</v>
      </c>
      <c r="G141" s="348">
        <v>0</v>
      </c>
      <c r="H141" s="349">
        <v>0</v>
      </c>
      <c r="I141" s="246">
        <f t="shared" si="2"/>
        <v>0</v>
      </c>
      <c r="J141" s="297">
        <f>IF(I141=0,0,I141/$I$507)</f>
        <v>0</v>
      </c>
      <c r="K141" s="89">
        <f>'🧮 Costos x Producto'!K141</f>
        <v>0</v>
      </c>
      <c r="L141" s="91">
        <f>'💰 Precio de Venta'!H142</f>
        <v>0</v>
      </c>
    </row>
    <row r="142" spans="4:12" ht="19.5" hidden="1" customHeight="1" x14ac:dyDescent="0.25">
      <c r="D142" s="92">
        <v>136</v>
      </c>
      <c r="E142" s="346"/>
      <c r="F142" s="347" t="s">
        <v>142</v>
      </c>
      <c r="G142" s="348">
        <v>0</v>
      </c>
      <c r="H142" s="349">
        <v>0</v>
      </c>
      <c r="I142" s="246">
        <f t="shared" si="2"/>
        <v>0</v>
      </c>
      <c r="J142" s="297">
        <f>IF(I142=0,0,I142/$I$507)</f>
        <v>0</v>
      </c>
      <c r="K142" s="89">
        <f>'🧮 Costos x Producto'!K142</f>
        <v>0</v>
      </c>
      <c r="L142" s="91">
        <f>'💰 Precio de Venta'!H143</f>
        <v>0</v>
      </c>
    </row>
    <row r="143" spans="4:12" ht="19.5" hidden="1" customHeight="1" x14ac:dyDescent="0.25">
      <c r="D143" s="92">
        <v>137</v>
      </c>
      <c r="E143" s="346"/>
      <c r="F143" s="347" t="s">
        <v>142</v>
      </c>
      <c r="G143" s="348">
        <v>0</v>
      </c>
      <c r="H143" s="349">
        <v>0</v>
      </c>
      <c r="I143" s="246">
        <f t="shared" si="2"/>
        <v>0</v>
      </c>
      <c r="J143" s="297">
        <f>IF(I143=0,0,I143/$I$507)</f>
        <v>0</v>
      </c>
      <c r="K143" s="89">
        <f>'🧮 Costos x Producto'!K143</f>
        <v>0</v>
      </c>
      <c r="L143" s="91">
        <f>'💰 Precio de Venta'!H144</f>
        <v>0</v>
      </c>
    </row>
    <row r="144" spans="4:12" ht="19.5" hidden="1" customHeight="1" x14ac:dyDescent="0.25">
      <c r="D144" s="92">
        <v>138</v>
      </c>
      <c r="E144" s="346"/>
      <c r="F144" s="347" t="s">
        <v>142</v>
      </c>
      <c r="G144" s="348">
        <v>0</v>
      </c>
      <c r="H144" s="349">
        <v>0</v>
      </c>
      <c r="I144" s="246">
        <f t="shared" si="2"/>
        <v>0</v>
      </c>
      <c r="J144" s="297">
        <f>IF(I144=0,0,I144/$I$507)</f>
        <v>0</v>
      </c>
      <c r="K144" s="89">
        <f>'🧮 Costos x Producto'!K144</f>
        <v>0</v>
      </c>
      <c r="L144" s="91">
        <f>'💰 Precio de Venta'!H145</f>
        <v>0</v>
      </c>
    </row>
    <row r="145" spans="4:12" ht="19.5" hidden="1" customHeight="1" x14ac:dyDescent="0.25">
      <c r="D145" s="92">
        <v>139</v>
      </c>
      <c r="E145" s="346"/>
      <c r="F145" s="347" t="s">
        <v>142</v>
      </c>
      <c r="G145" s="348">
        <v>0</v>
      </c>
      <c r="H145" s="349">
        <v>0</v>
      </c>
      <c r="I145" s="246">
        <f t="shared" si="2"/>
        <v>0</v>
      </c>
      <c r="J145" s="297">
        <f>IF(I145=0,0,I145/$I$507)</f>
        <v>0</v>
      </c>
      <c r="K145" s="89">
        <f>'🧮 Costos x Producto'!K145</f>
        <v>0</v>
      </c>
      <c r="L145" s="91">
        <f>'💰 Precio de Venta'!H146</f>
        <v>0</v>
      </c>
    </row>
    <row r="146" spans="4:12" ht="19.5" hidden="1" customHeight="1" x14ac:dyDescent="0.25">
      <c r="D146" s="92">
        <v>140</v>
      </c>
      <c r="E146" s="346"/>
      <c r="F146" s="347" t="s">
        <v>142</v>
      </c>
      <c r="G146" s="348">
        <v>0</v>
      </c>
      <c r="H146" s="349">
        <v>0</v>
      </c>
      <c r="I146" s="246">
        <f t="shared" si="2"/>
        <v>0</v>
      </c>
      <c r="J146" s="297">
        <f>IF(I146=0,0,I146/$I$507)</f>
        <v>0</v>
      </c>
      <c r="K146" s="89">
        <f>'🧮 Costos x Producto'!K146</f>
        <v>0</v>
      </c>
      <c r="L146" s="91">
        <f>'💰 Precio de Venta'!H147</f>
        <v>0</v>
      </c>
    </row>
    <row r="147" spans="4:12" ht="19.5" hidden="1" customHeight="1" x14ac:dyDescent="0.25">
      <c r="D147" s="92">
        <v>141</v>
      </c>
      <c r="E147" s="346"/>
      <c r="F147" s="347" t="s">
        <v>142</v>
      </c>
      <c r="G147" s="348">
        <v>0</v>
      </c>
      <c r="H147" s="349">
        <v>0</v>
      </c>
      <c r="I147" s="246">
        <f t="shared" si="2"/>
        <v>0</v>
      </c>
      <c r="J147" s="297">
        <f>IF(I147=0,0,I147/$I$507)</f>
        <v>0</v>
      </c>
      <c r="K147" s="89">
        <f>'🧮 Costos x Producto'!K147</f>
        <v>0</v>
      </c>
      <c r="L147" s="91">
        <f>'💰 Precio de Venta'!H148</f>
        <v>0</v>
      </c>
    </row>
    <row r="148" spans="4:12" ht="19.5" hidden="1" customHeight="1" x14ac:dyDescent="0.25">
      <c r="D148" s="92">
        <v>142</v>
      </c>
      <c r="E148" s="346"/>
      <c r="F148" s="347" t="s">
        <v>142</v>
      </c>
      <c r="G148" s="348">
        <v>0</v>
      </c>
      <c r="H148" s="349">
        <v>0</v>
      </c>
      <c r="I148" s="246">
        <f t="shared" si="2"/>
        <v>0</v>
      </c>
      <c r="J148" s="297">
        <f>IF(I148=0,0,I148/$I$507)</f>
        <v>0</v>
      </c>
      <c r="K148" s="89">
        <f>'🧮 Costos x Producto'!K148</f>
        <v>0</v>
      </c>
      <c r="L148" s="91">
        <f>'💰 Precio de Venta'!H149</f>
        <v>0</v>
      </c>
    </row>
    <row r="149" spans="4:12" ht="19.5" hidden="1" customHeight="1" x14ac:dyDescent="0.25">
      <c r="D149" s="92">
        <v>143</v>
      </c>
      <c r="E149" s="346"/>
      <c r="F149" s="347" t="s">
        <v>142</v>
      </c>
      <c r="G149" s="348">
        <v>0</v>
      </c>
      <c r="H149" s="349">
        <v>0</v>
      </c>
      <c r="I149" s="246">
        <f t="shared" si="2"/>
        <v>0</v>
      </c>
      <c r="J149" s="297">
        <f>IF(I149=0,0,I149/$I$507)</f>
        <v>0</v>
      </c>
      <c r="K149" s="89">
        <f>'🧮 Costos x Producto'!K149</f>
        <v>0</v>
      </c>
      <c r="L149" s="91">
        <f>'💰 Precio de Venta'!H150</f>
        <v>0</v>
      </c>
    </row>
    <row r="150" spans="4:12" ht="19.5" hidden="1" customHeight="1" x14ac:dyDescent="0.25">
      <c r="D150" s="92">
        <v>144</v>
      </c>
      <c r="E150" s="346"/>
      <c r="F150" s="347" t="s">
        <v>142</v>
      </c>
      <c r="G150" s="348">
        <v>0</v>
      </c>
      <c r="H150" s="349">
        <v>0</v>
      </c>
      <c r="I150" s="246">
        <f t="shared" si="2"/>
        <v>0</v>
      </c>
      <c r="J150" s="297">
        <f>IF(I150=0,0,I150/$I$507)</f>
        <v>0</v>
      </c>
      <c r="K150" s="89">
        <f>'🧮 Costos x Producto'!K150</f>
        <v>0</v>
      </c>
      <c r="L150" s="91">
        <f>'💰 Precio de Venta'!H151</f>
        <v>0</v>
      </c>
    </row>
    <row r="151" spans="4:12" ht="19.5" hidden="1" customHeight="1" x14ac:dyDescent="0.25">
      <c r="D151" s="92">
        <v>145</v>
      </c>
      <c r="E151" s="346"/>
      <c r="F151" s="347" t="s">
        <v>142</v>
      </c>
      <c r="G151" s="348">
        <v>0</v>
      </c>
      <c r="H151" s="349">
        <v>0</v>
      </c>
      <c r="I151" s="246">
        <f t="shared" si="2"/>
        <v>0</v>
      </c>
      <c r="J151" s="297">
        <f>IF(I151=0,0,I151/$I$507)</f>
        <v>0</v>
      </c>
      <c r="K151" s="89">
        <f>'🧮 Costos x Producto'!K151</f>
        <v>0</v>
      </c>
      <c r="L151" s="91">
        <f>'💰 Precio de Venta'!H152</f>
        <v>0</v>
      </c>
    </row>
    <row r="152" spans="4:12" ht="19.5" hidden="1" customHeight="1" x14ac:dyDescent="0.25">
      <c r="D152" s="92">
        <v>146</v>
      </c>
      <c r="E152" s="346"/>
      <c r="F152" s="347" t="s">
        <v>142</v>
      </c>
      <c r="G152" s="348">
        <v>0</v>
      </c>
      <c r="H152" s="349">
        <v>0</v>
      </c>
      <c r="I152" s="246">
        <f t="shared" si="2"/>
        <v>0</v>
      </c>
      <c r="J152" s="297">
        <f>IF(I152=0,0,I152/$I$507)</f>
        <v>0</v>
      </c>
      <c r="K152" s="89">
        <f>'🧮 Costos x Producto'!K152</f>
        <v>0</v>
      </c>
      <c r="L152" s="91">
        <f>'💰 Precio de Venta'!H153</f>
        <v>0</v>
      </c>
    </row>
    <row r="153" spans="4:12" ht="19.5" hidden="1" customHeight="1" x14ac:dyDescent="0.25">
      <c r="D153" s="92">
        <v>147</v>
      </c>
      <c r="E153" s="346"/>
      <c r="F153" s="347" t="s">
        <v>142</v>
      </c>
      <c r="G153" s="348">
        <v>0</v>
      </c>
      <c r="H153" s="349">
        <v>0</v>
      </c>
      <c r="I153" s="246">
        <f t="shared" si="2"/>
        <v>0</v>
      </c>
      <c r="J153" s="297">
        <f>IF(I153=0,0,I153/$I$507)</f>
        <v>0</v>
      </c>
      <c r="K153" s="89">
        <f>'🧮 Costos x Producto'!K153</f>
        <v>0</v>
      </c>
      <c r="L153" s="91">
        <f>'💰 Precio de Venta'!H154</f>
        <v>0</v>
      </c>
    </row>
    <row r="154" spans="4:12" ht="19.5" hidden="1" customHeight="1" x14ac:dyDescent="0.25">
      <c r="D154" s="92">
        <v>148</v>
      </c>
      <c r="E154" s="346"/>
      <c r="F154" s="347" t="s">
        <v>142</v>
      </c>
      <c r="G154" s="348">
        <v>0</v>
      </c>
      <c r="H154" s="349">
        <v>0</v>
      </c>
      <c r="I154" s="246">
        <f t="shared" si="2"/>
        <v>0</v>
      </c>
      <c r="J154" s="297">
        <f>IF(I154=0,0,I154/$I$507)</f>
        <v>0</v>
      </c>
      <c r="K154" s="89">
        <f>'🧮 Costos x Producto'!K154</f>
        <v>0</v>
      </c>
      <c r="L154" s="91">
        <f>'💰 Precio de Venta'!H155</f>
        <v>0</v>
      </c>
    </row>
    <row r="155" spans="4:12" ht="19.5" hidden="1" customHeight="1" x14ac:dyDescent="0.25">
      <c r="D155" s="92">
        <v>149</v>
      </c>
      <c r="E155" s="346"/>
      <c r="F155" s="347" t="s">
        <v>142</v>
      </c>
      <c r="G155" s="348">
        <v>0</v>
      </c>
      <c r="H155" s="349">
        <v>0</v>
      </c>
      <c r="I155" s="246">
        <f t="shared" si="2"/>
        <v>0</v>
      </c>
      <c r="J155" s="297">
        <f>IF(I155=0,0,I155/$I$507)</f>
        <v>0</v>
      </c>
      <c r="K155" s="89">
        <f>'🧮 Costos x Producto'!K155</f>
        <v>0</v>
      </c>
      <c r="L155" s="91">
        <f>'💰 Precio de Venta'!H156</f>
        <v>0</v>
      </c>
    </row>
    <row r="156" spans="4:12" ht="19.5" hidden="1" customHeight="1" x14ac:dyDescent="0.25">
      <c r="D156" s="92">
        <v>150</v>
      </c>
      <c r="E156" s="346"/>
      <c r="F156" s="347" t="s">
        <v>142</v>
      </c>
      <c r="G156" s="348">
        <v>0</v>
      </c>
      <c r="H156" s="349">
        <v>0</v>
      </c>
      <c r="I156" s="246">
        <f t="shared" si="2"/>
        <v>0</v>
      </c>
      <c r="J156" s="297">
        <f>IF(I156=0,0,I156/$I$507)</f>
        <v>0</v>
      </c>
      <c r="K156" s="89">
        <f>'🧮 Costos x Producto'!K156</f>
        <v>0</v>
      </c>
      <c r="L156" s="91">
        <f>'💰 Precio de Venta'!H157</f>
        <v>0</v>
      </c>
    </row>
    <row r="157" spans="4:12" ht="19.5" hidden="1" customHeight="1" x14ac:dyDescent="0.25">
      <c r="D157" s="92">
        <v>151</v>
      </c>
      <c r="E157" s="346"/>
      <c r="F157" s="347" t="s">
        <v>142</v>
      </c>
      <c r="G157" s="348">
        <v>0</v>
      </c>
      <c r="H157" s="349">
        <v>0</v>
      </c>
      <c r="I157" s="246">
        <f t="shared" si="2"/>
        <v>0</v>
      </c>
      <c r="J157" s="297">
        <f>IF(I157=0,0,I157/$I$507)</f>
        <v>0</v>
      </c>
      <c r="K157" s="89">
        <f>'🧮 Costos x Producto'!K157</f>
        <v>0</v>
      </c>
      <c r="L157" s="91">
        <f>'💰 Precio de Venta'!H158</f>
        <v>0</v>
      </c>
    </row>
    <row r="158" spans="4:12" ht="19.5" hidden="1" customHeight="1" x14ac:dyDescent="0.25">
      <c r="D158" s="92">
        <v>152</v>
      </c>
      <c r="E158" s="346"/>
      <c r="F158" s="347" t="s">
        <v>142</v>
      </c>
      <c r="G158" s="348">
        <v>0</v>
      </c>
      <c r="H158" s="349">
        <v>0</v>
      </c>
      <c r="I158" s="246">
        <f t="shared" si="2"/>
        <v>0</v>
      </c>
      <c r="J158" s="297">
        <f>IF(I158=0,0,I158/$I$507)</f>
        <v>0</v>
      </c>
      <c r="K158" s="89">
        <f>'🧮 Costos x Producto'!K158</f>
        <v>0</v>
      </c>
      <c r="L158" s="91">
        <f>'💰 Precio de Venta'!H159</f>
        <v>0</v>
      </c>
    </row>
    <row r="159" spans="4:12" ht="19.5" hidden="1" customHeight="1" x14ac:dyDescent="0.25">
      <c r="D159" s="92">
        <v>153</v>
      </c>
      <c r="E159" s="346"/>
      <c r="F159" s="347" t="s">
        <v>142</v>
      </c>
      <c r="G159" s="348">
        <v>0</v>
      </c>
      <c r="H159" s="349">
        <v>0</v>
      </c>
      <c r="I159" s="246">
        <f t="shared" si="2"/>
        <v>0</v>
      </c>
      <c r="J159" s="297">
        <f>IF(I159=0,0,I159/$I$507)</f>
        <v>0</v>
      </c>
      <c r="K159" s="89">
        <f>'🧮 Costos x Producto'!K159</f>
        <v>0</v>
      </c>
      <c r="L159" s="91">
        <f>'💰 Precio de Venta'!H160</f>
        <v>0</v>
      </c>
    </row>
    <row r="160" spans="4:12" ht="19.5" hidden="1" customHeight="1" x14ac:dyDescent="0.25">
      <c r="D160" s="92">
        <v>154</v>
      </c>
      <c r="E160" s="346"/>
      <c r="F160" s="347" t="s">
        <v>142</v>
      </c>
      <c r="G160" s="348">
        <v>0</v>
      </c>
      <c r="H160" s="349">
        <v>0</v>
      </c>
      <c r="I160" s="246">
        <f t="shared" si="2"/>
        <v>0</v>
      </c>
      <c r="J160" s="297">
        <f>IF(I160=0,0,I160/$I$507)</f>
        <v>0</v>
      </c>
      <c r="K160" s="89">
        <f>'🧮 Costos x Producto'!K160</f>
        <v>0</v>
      </c>
      <c r="L160" s="91">
        <f>'💰 Precio de Venta'!H161</f>
        <v>0</v>
      </c>
    </row>
    <row r="161" spans="4:12" ht="19.5" hidden="1" customHeight="1" x14ac:dyDescent="0.25">
      <c r="D161" s="92">
        <v>155</v>
      </c>
      <c r="E161" s="346"/>
      <c r="F161" s="347" t="s">
        <v>142</v>
      </c>
      <c r="G161" s="348">
        <v>0</v>
      </c>
      <c r="H161" s="349">
        <v>0</v>
      </c>
      <c r="I161" s="246">
        <f t="shared" si="2"/>
        <v>0</v>
      </c>
      <c r="J161" s="297">
        <f>IF(I161=0,0,I161/$I$507)</f>
        <v>0</v>
      </c>
      <c r="K161" s="89">
        <f>'🧮 Costos x Producto'!K161</f>
        <v>0</v>
      </c>
      <c r="L161" s="91">
        <f>'💰 Precio de Venta'!H162</f>
        <v>0</v>
      </c>
    </row>
    <row r="162" spans="4:12" ht="19.5" hidden="1" customHeight="1" x14ac:dyDescent="0.25">
      <c r="D162" s="92">
        <v>156</v>
      </c>
      <c r="E162" s="346"/>
      <c r="F162" s="347" t="s">
        <v>142</v>
      </c>
      <c r="G162" s="348">
        <v>0</v>
      </c>
      <c r="H162" s="349">
        <v>0</v>
      </c>
      <c r="I162" s="246">
        <f t="shared" si="2"/>
        <v>0</v>
      </c>
      <c r="J162" s="297">
        <f>IF(I162=0,0,I162/$I$507)</f>
        <v>0</v>
      </c>
      <c r="K162" s="89">
        <f>'🧮 Costos x Producto'!K162</f>
        <v>0</v>
      </c>
      <c r="L162" s="91">
        <f>'💰 Precio de Venta'!H163</f>
        <v>0</v>
      </c>
    </row>
    <row r="163" spans="4:12" ht="19.5" hidden="1" customHeight="1" x14ac:dyDescent="0.25">
      <c r="D163" s="92">
        <v>157</v>
      </c>
      <c r="E163" s="346"/>
      <c r="F163" s="347" t="s">
        <v>142</v>
      </c>
      <c r="G163" s="348">
        <v>0</v>
      </c>
      <c r="H163" s="349">
        <v>0</v>
      </c>
      <c r="I163" s="246">
        <f t="shared" si="2"/>
        <v>0</v>
      </c>
      <c r="J163" s="297">
        <f>IF(I163=0,0,I163/$I$507)</f>
        <v>0</v>
      </c>
      <c r="K163" s="89">
        <f>'🧮 Costos x Producto'!K163</f>
        <v>0</v>
      </c>
      <c r="L163" s="91">
        <f>'💰 Precio de Venta'!H164</f>
        <v>0</v>
      </c>
    </row>
    <row r="164" spans="4:12" ht="19.5" hidden="1" customHeight="1" x14ac:dyDescent="0.25">
      <c r="D164" s="92">
        <v>158</v>
      </c>
      <c r="E164" s="346"/>
      <c r="F164" s="347" t="s">
        <v>142</v>
      </c>
      <c r="G164" s="348">
        <v>0</v>
      </c>
      <c r="H164" s="349">
        <v>0</v>
      </c>
      <c r="I164" s="246">
        <f t="shared" si="2"/>
        <v>0</v>
      </c>
      <c r="J164" s="297">
        <f>IF(I164=0,0,I164/$I$507)</f>
        <v>0</v>
      </c>
      <c r="K164" s="89">
        <f>'🧮 Costos x Producto'!K164</f>
        <v>0</v>
      </c>
      <c r="L164" s="91">
        <f>'💰 Precio de Venta'!H165</f>
        <v>0</v>
      </c>
    </row>
    <row r="165" spans="4:12" ht="19.5" hidden="1" customHeight="1" x14ac:dyDescent="0.25">
      <c r="D165" s="92">
        <v>159</v>
      </c>
      <c r="E165" s="346"/>
      <c r="F165" s="347" t="s">
        <v>142</v>
      </c>
      <c r="G165" s="348">
        <v>0</v>
      </c>
      <c r="H165" s="349">
        <v>0</v>
      </c>
      <c r="I165" s="246">
        <f t="shared" ref="I165:I228" si="3">IF(G165=0,0,G165*H165)</f>
        <v>0</v>
      </c>
      <c r="J165" s="297">
        <f>IF(I165=0,0,I165/$I$507)</f>
        <v>0</v>
      </c>
      <c r="K165" s="89">
        <f>'🧮 Costos x Producto'!K165</f>
        <v>0</v>
      </c>
      <c r="L165" s="91">
        <f>'💰 Precio de Venta'!H166</f>
        <v>0</v>
      </c>
    </row>
    <row r="166" spans="4:12" ht="19.5" hidden="1" customHeight="1" x14ac:dyDescent="0.25">
      <c r="D166" s="92">
        <v>160</v>
      </c>
      <c r="E166" s="346"/>
      <c r="F166" s="347" t="s">
        <v>142</v>
      </c>
      <c r="G166" s="348">
        <v>0</v>
      </c>
      <c r="H166" s="349">
        <v>0</v>
      </c>
      <c r="I166" s="246">
        <f t="shared" si="3"/>
        <v>0</v>
      </c>
      <c r="J166" s="297">
        <f>IF(I166=0,0,I166/$I$507)</f>
        <v>0</v>
      </c>
      <c r="K166" s="89">
        <f>'🧮 Costos x Producto'!K166</f>
        <v>0</v>
      </c>
      <c r="L166" s="91">
        <f>'💰 Precio de Venta'!H167</f>
        <v>0</v>
      </c>
    </row>
    <row r="167" spans="4:12" ht="19.5" hidden="1" customHeight="1" x14ac:dyDescent="0.25">
      <c r="D167" s="92">
        <v>161</v>
      </c>
      <c r="E167" s="346"/>
      <c r="F167" s="347" t="s">
        <v>142</v>
      </c>
      <c r="G167" s="348">
        <v>0</v>
      </c>
      <c r="H167" s="349">
        <v>0</v>
      </c>
      <c r="I167" s="246">
        <f t="shared" si="3"/>
        <v>0</v>
      </c>
      <c r="J167" s="297">
        <f>IF(I167=0,0,I167/$I$507)</f>
        <v>0</v>
      </c>
      <c r="K167" s="89">
        <f>'🧮 Costos x Producto'!K167</f>
        <v>0</v>
      </c>
      <c r="L167" s="91">
        <f>'💰 Precio de Venta'!H168</f>
        <v>0</v>
      </c>
    </row>
    <row r="168" spans="4:12" ht="19.5" hidden="1" customHeight="1" x14ac:dyDescent="0.25">
      <c r="D168" s="92">
        <v>162</v>
      </c>
      <c r="E168" s="346"/>
      <c r="F168" s="347" t="s">
        <v>142</v>
      </c>
      <c r="G168" s="348">
        <v>0</v>
      </c>
      <c r="H168" s="349">
        <v>0</v>
      </c>
      <c r="I168" s="246">
        <f t="shared" si="3"/>
        <v>0</v>
      </c>
      <c r="J168" s="297">
        <f>IF(I168=0,0,I168/$I$507)</f>
        <v>0</v>
      </c>
      <c r="K168" s="89">
        <f>'🧮 Costos x Producto'!K168</f>
        <v>0</v>
      </c>
      <c r="L168" s="91">
        <f>'💰 Precio de Venta'!H169</f>
        <v>0</v>
      </c>
    </row>
    <row r="169" spans="4:12" ht="19.5" hidden="1" customHeight="1" x14ac:dyDescent="0.25">
      <c r="D169" s="92">
        <v>163</v>
      </c>
      <c r="E169" s="346"/>
      <c r="F169" s="347" t="s">
        <v>142</v>
      </c>
      <c r="G169" s="348">
        <v>0</v>
      </c>
      <c r="H169" s="349">
        <v>0</v>
      </c>
      <c r="I169" s="246">
        <f t="shared" si="3"/>
        <v>0</v>
      </c>
      <c r="J169" s="297">
        <f>IF(I169=0,0,I169/$I$507)</f>
        <v>0</v>
      </c>
      <c r="K169" s="89">
        <f>'🧮 Costos x Producto'!K169</f>
        <v>0</v>
      </c>
      <c r="L169" s="91">
        <f>'💰 Precio de Venta'!H170</f>
        <v>0</v>
      </c>
    </row>
    <row r="170" spans="4:12" ht="19.5" hidden="1" customHeight="1" x14ac:dyDescent="0.25">
      <c r="D170" s="92">
        <v>164</v>
      </c>
      <c r="E170" s="346"/>
      <c r="F170" s="347" t="s">
        <v>142</v>
      </c>
      <c r="G170" s="348">
        <v>0</v>
      </c>
      <c r="H170" s="349">
        <v>0</v>
      </c>
      <c r="I170" s="246">
        <f t="shared" si="3"/>
        <v>0</v>
      </c>
      <c r="J170" s="297">
        <f>IF(I170=0,0,I170/$I$507)</f>
        <v>0</v>
      </c>
      <c r="K170" s="89">
        <f>'🧮 Costos x Producto'!K170</f>
        <v>0</v>
      </c>
      <c r="L170" s="91">
        <f>'💰 Precio de Venta'!H171</f>
        <v>0</v>
      </c>
    </row>
    <row r="171" spans="4:12" ht="19.5" hidden="1" customHeight="1" x14ac:dyDescent="0.25">
      <c r="D171" s="92">
        <v>165</v>
      </c>
      <c r="E171" s="346"/>
      <c r="F171" s="347" t="s">
        <v>142</v>
      </c>
      <c r="G171" s="348">
        <v>0</v>
      </c>
      <c r="H171" s="349">
        <v>0</v>
      </c>
      <c r="I171" s="246">
        <f t="shared" si="3"/>
        <v>0</v>
      </c>
      <c r="J171" s="297">
        <f>IF(I171=0,0,I171/$I$507)</f>
        <v>0</v>
      </c>
      <c r="K171" s="89">
        <f>'🧮 Costos x Producto'!K171</f>
        <v>0</v>
      </c>
      <c r="L171" s="91">
        <f>'💰 Precio de Venta'!H172</f>
        <v>0</v>
      </c>
    </row>
    <row r="172" spans="4:12" ht="19.5" hidden="1" customHeight="1" x14ac:dyDescent="0.25">
      <c r="D172" s="92">
        <v>166</v>
      </c>
      <c r="E172" s="346"/>
      <c r="F172" s="347" t="s">
        <v>142</v>
      </c>
      <c r="G172" s="348">
        <v>0</v>
      </c>
      <c r="H172" s="349">
        <v>0</v>
      </c>
      <c r="I172" s="246">
        <f t="shared" si="3"/>
        <v>0</v>
      </c>
      <c r="J172" s="297">
        <f>IF(I172=0,0,I172/$I$507)</f>
        <v>0</v>
      </c>
      <c r="K172" s="89">
        <f>'🧮 Costos x Producto'!K172</f>
        <v>0</v>
      </c>
      <c r="L172" s="91">
        <f>'💰 Precio de Venta'!H173</f>
        <v>0</v>
      </c>
    </row>
    <row r="173" spans="4:12" ht="19.5" hidden="1" customHeight="1" x14ac:dyDescent="0.25">
      <c r="D173" s="92">
        <v>167</v>
      </c>
      <c r="E173" s="346"/>
      <c r="F173" s="347" t="s">
        <v>142</v>
      </c>
      <c r="G173" s="348">
        <v>0</v>
      </c>
      <c r="H173" s="349">
        <v>0</v>
      </c>
      <c r="I173" s="246">
        <f t="shared" si="3"/>
        <v>0</v>
      </c>
      <c r="J173" s="297">
        <f>IF(I173=0,0,I173/$I$507)</f>
        <v>0</v>
      </c>
      <c r="K173" s="89">
        <f>'🧮 Costos x Producto'!K173</f>
        <v>0</v>
      </c>
      <c r="L173" s="91">
        <f>'💰 Precio de Venta'!H174</f>
        <v>0</v>
      </c>
    </row>
    <row r="174" spans="4:12" ht="19.5" hidden="1" customHeight="1" x14ac:dyDescent="0.25">
      <c r="D174" s="92">
        <v>168</v>
      </c>
      <c r="E174" s="346"/>
      <c r="F174" s="347" t="s">
        <v>142</v>
      </c>
      <c r="G174" s="348">
        <v>0</v>
      </c>
      <c r="H174" s="349">
        <v>0</v>
      </c>
      <c r="I174" s="246">
        <f t="shared" si="3"/>
        <v>0</v>
      </c>
      <c r="J174" s="297">
        <f>IF(I174=0,0,I174/$I$507)</f>
        <v>0</v>
      </c>
      <c r="K174" s="89">
        <f>'🧮 Costos x Producto'!K174</f>
        <v>0</v>
      </c>
      <c r="L174" s="91">
        <f>'💰 Precio de Venta'!H175</f>
        <v>0</v>
      </c>
    </row>
    <row r="175" spans="4:12" ht="19.5" hidden="1" customHeight="1" x14ac:dyDescent="0.25">
      <c r="D175" s="92">
        <v>169</v>
      </c>
      <c r="E175" s="346"/>
      <c r="F175" s="347" t="s">
        <v>142</v>
      </c>
      <c r="G175" s="348">
        <v>0</v>
      </c>
      <c r="H175" s="349">
        <v>0</v>
      </c>
      <c r="I175" s="246">
        <f t="shared" si="3"/>
        <v>0</v>
      </c>
      <c r="J175" s="297">
        <f>IF(I175=0,0,I175/$I$507)</f>
        <v>0</v>
      </c>
      <c r="K175" s="89">
        <f>'🧮 Costos x Producto'!K175</f>
        <v>0</v>
      </c>
      <c r="L175" s="91">
        <f>'💰 Precio de Venta'!H176</f>
        <v>0</v>
      </c>
    </row>
    <row r="176" spans="4:12" ht="19.5" hidden="1" customHeight="1" x14ac:dyDescent="0.25">
      <c r="D176" s="92">
        <v>170</v>
      </c>
      <c r="E176" s="346"/>
      <c r="F176" s="347" t="s">
        <v>142</v>
      </c>
      <c r="G176" s="348">
        <v>0</v>
      </c>
      <c r="H176" s="349">
        <v>0</v>
      </c>
      <c r="I176" s="246">
        <f t="shared" si="3"/>
        <v>0</v>
      </c>
      <c r="J176" s="297">
        <f>IF(I176=0,0,I176/$I$507)</f>
        <v>0</v>
      </c>
      <c r="K176" s="89">
        <f>'🧮 Costos x Producto'!K176</f>
        <v>0</v>
      </c>
      <c r="L176" s="91">
        <f>'💰 Precio de Venta'!H177</f>
        <v>0</v>
      </c>
    </row>
    <row r="177" spans="4:12" ht="19.5" hidden="1" customHeight="1" x14ac:dyDescent="0.25">
      <c r="D177" s="92">
        <v>171</v>
      </c>
      <c r="E177" s="346"/>
      <c r="F177" s="347" t="s">
        <v>142</v>
      </c>
      <c r="G177" s="348">
        <v>0</v>
      </c>
      <c r="H177" s="349">
        <v>0</v>
      </c>
      <c r="I177" s="246">
        <f t="shared" si="3"/>
        <v>0</v>
      </c>
      <c r="J177" s="297">
        <f>IF(I177=0,0,I177/$I$507)</f>
        <v>0</v>
      </c>
      <c r="K177" s="89">
        <f>'🧮 Costos x Producto'!K177</f>
        <v>0</v>
      </c>
      <c r="L177" s="91">
        <f>'💰 Precio de Venta'!H178</f>
        <v>0</v>
      </c>
    </row>
    <row r="178" spans="4:12" ht="19.5" hidden="1" customHeight="1" x14ac:dyDescent="0.25">
      <c r="D178" s="92">
        <v>172</v>
      </c>
      <c r="E178" s="346"/>
      <c r="F178" s="347" t="s">
        <v>142</v>
      </c>
      <c r="G178" s="348">
        <v>0</v>
      </c>
      <c r="H178" s="349">
        <v>0</v>
      </c>
      <c r="I178" s="246">
        <f t="shared" si="3"/>
        <v>0</v>
      </c>
      <c r="J178" s="297">
        <f>IF(I178=0,0,I178/$I$507)</f>
        <v>0</v>
      </c>
      <c r="K178" s="89">
        <f>'🧮 Costos x Producto'!K178</f>
        <v>0</v>
      </c>
      <c r="L178" s="91">
        <f>'💰 Precio de Venta'!H179</f>
        <v>0</v>
      </c>
    </row>
    <row r="179" spans="4:12" ht="19.5" hidden="1" customHeight="1" x14ac:dyDescent="0.25">
      <c r="D179" s="92">
        <v>173</v>
      </c>
      <c r="E179" s="346"/>
      <c r="F179" s="347" t="s">
        <v>142</v>
      </c>
      <c r="G179" s="348">
        <v>0</v>
      </c>
      <c r="H179" s="349">
        <v>0</v>
      </c>
      <c r="I179" s="246">
        <f t="shared" si="3"/>
        <v>0</v>
      </c>
      <c r="J179" s="297">
        <f>IF(I179=0,0,I179/$I$507)</f>
        <v>0</v>
      </c>
      <c r="K179" s="89">
        <f>'🧮 Costos x Producto'!K179</f>
        <v>0</v>
      </c>
      <c r="L179" s="91">
        <f>'💰 Precio de Venta'!H180</f>
        <v>0</v>
      </c>
    </row>
    <row r="180" spans="4:12" ht="19.5" hidden="1" customHeight="1" x14ac:dyDescent="0.25">
      <c r="D180" s="92">
        <v>174</v>
      </c>
      <c r="E180" s="346"/>
      <c r="F180" s="347" t="s">
        <v>142</v>
      </c>
      <c r="G180" s="348">
        <v>0</v>
      </c>
      <c r="H180" s="349">
        <v>0</v>
      </c>
      <c r="I180" s="246">
        <f t="shared" si="3"/>
        <v>0</v>
      </c>
      <c r="J180" s="297">
        <f>IF(I180=0,0,I180/$I$507)</f>
        <v>0</v>
      </c>
      <c r="K180" s="89">
        <f>'🧮 Costos x Producto'!K180</f>
        <v>0</v>
      </c>
      <c r="L180" s="91">
        <f>'💰 Precio de Venta'!H181</f>
        <v>0</v>
      </c>
    </row>
    <row r="181" spans="4:12" ht="19.5" hidden="1" customHeight="1" x14ac:dyDescent="0.25">
      <c r="D181" s="92">
        <v>175</v>
      </c>
      <c r="E181" s="346"/>
      <c r="F181" s="347" t="s">
        <v>142</v>
      </c>
      <c r="G181" s="348">
        <v>0</v>
      </c>
      <c r="H181" s="349">
        <v>0</v>
      </c>
      <c r="I181" s="246">
        <f t="shared" si="3"/>
        <v>0</v>
      </c>
      <c r="J181" s="297">
        <f>IF(I181=0,0,I181/$I$507)</f>
        <v>0</v>
      </c>
      <c r="K181" s="89">
        <f>'🧮 Costos x Producto'!K181</f>
        <v>0</v>
      </c>
      <c r="L181" s="91">
        <f>'💰 Precio de Venta'!H182</f>
        <v>0</v>
      </c>
    </row>
    <row r="182" spans="4:12" ht="19.5" hidden="1" customHeight="1" x14ac:dyDescent="0.25">
      <c r="D182" s="92">
        <v>176</v>
      </c>
      <c r="E182" s="346"/>
      <c r="F182" s="347" t="s">
        <v>142</v>
      </c>
      <c r="G182" s="348">
        <v>0</v>
      </c>
      <c r="H182" s="349">
        <v>0</v>
      </c>
      <c r="I182" s="246">
        <f t="shared" si="3"/>
        <v>0</v>
      </c>
      <c r="J182" s="297">
        <f>IF(I182=0,0,I182/$I$507)</f>
        <v>0</v>
      </c>
      <c r="K182" s="89">
        <f>'🧮 Costos x Producto'!K182</f>
        <v>0</v>
      </c>
      <c r="L182" s="91">
        <f>'💰 Precio de Venta'!H183</f>
        <v>0</v>
      </c>
    </row>
    <row r="183" spans="4:12" ht="19.5" hidden="1" customHeight="1" x14ac:dyDescent="0.25">
      <c r="D183" s="92">
        <v>177</v>
      </c>
      <c r="E183" s="346"/>
      <c r="F183" s="347" t="s">
        <v>142</v>
      </c>
      <c r="G183" s="348">
        <v>0</v>
      </c>
      <c r="H183" s="349">
        <v>0</v>
      </c>
      <c r="I183" s="246">
        <f t="shared" si="3"/>
        <v>0</v>
      </c>
      <c r="J183" s="297">
        <f>IF(I183=0,0,I183/$I$507)</f>
        <v>0</v>
      </c>
      <c r="K183" s="89">
        <f>'🧮 Costos x Producto'!K183</f>
        <v>0</v>
      </c>
      <c r="L183" s="91">
        <f>'💰 Precio de Venta'!H184</f>
        <v>0</v>
      </c>
    </row>
    <row r="184" spans="4:12" ht="19.5" hidden="1" customHeight="1" x14ac:dyDescent="0.25">
      <c r="D184" s="92">
        <v>178</v>
      </c>
      <c r="E184" s="346"/>
      <c r="F184" s="347" t="s">
        <v>142</v>
      </c>
      <c r="G184" s="348">
        <v>0</v>
      </c>
      <c r="H184" s="349">
        <v>0</v>
      </c>
      <c r="I184" s="246">
        <f t="shared" si="3"/>
        <v>0</v>
      </c>
      <c r="J184" s="297">
        <f>IF(I184=0,0,I184/$I$507)</f>
        <v>0</v>
      </c>
      <c r="K184" s="89">
        <f>'🧮 Costos x Producto'!K184</f>
        <v>0</v>
      </c>
      <c r="L184" s="91">
        <f>'💰 Precio de Venta'!H185</f>
        <v>0</v>
      </c>
    </row>
    <row r="185" spans="4:12" ht="19.5" hidden="1" customHeight="1" x14ac:dyDescent="0.25">
      <c r="D185" s="92">
        <v>179</v>
      </c>
      <c r="E185" s="346"/>
      <c r="F185" s="347" t="s">
        <v>142</v>
      </c>
      <c r="G185" s="348">
        <v>0</v>
      </c>
      <c r="H185" s="349">
        <v>0</v>
      </c>
      <c r="I185" s="246">
        <f t="shared" si="3"/>
        <v>0</v>
      </c>
      <c r="J185" s="297">
        <f>IF(I185=0,0,I185/$I$507)</f>
        <v>0</v>
      </c>
      <c r="K185" s="89">
        <f>'🧮 Costos x Producto'!K185</f>
        <v>0</v>
      </c>
      <c r="L185" s="91">
        <f>'💰 Precio de Venta'!H186</f>
        <v>0</v>
      </c>
    </row>
    <row r="186" spans="4:12" ht="19.5" hidden="1" customHeight="1" x14ac:dyDescent="0.25">
      <c r="D186" s="92">
        <v>180</v>
      </c>
      <c r="E186" s="346"/>
      <c r="F186" s="347" t="s">
        <v>142</v>
      </c>
      <c r="G186" s="348">
        <v>0</v>
      </c>
      <c r="H186" s="349">
        <v>0</v>
      </c>
      <c r="I186" s="246">
        <f t="shared" si="3"/>
        <v>0</v>
      </c>
      <c r="J186" s="297">
        <f>IF(I186=0,0,I186/$I$507)</f>
        <v>0</v>
      </c>
      <c r="K186" s="89">
        <f>'🧮 Costos x Producto'!K186</f>
        <v>0</v>
      </c>
      <c r="L186" s="91">
        <f>'💰 Precio de Venta'!H187</f>
        <v>0</v>
      </c>
    </row>
    <row r="187" spans="4:12" ht="19.5" hidden="1" customHeight="1" x14ac:dyDescent="0.25">
      <c r="D187" s="92">
        <v>181</v>
      </c>
      <c r="E187" s="346"/>
      <c r="F187" s="347" t="s">
        <v>142</v>
      </c>
      <c r="G187" s="348">
        <v>0</v>
      </c>
      <c r="H187" s="349">
        <v>0</v>
      </c>
      <c r="I187" s="246">
        <f t="shared" si="3"/>
        <v>0</v>
      </c>
      <c r="J187" s="297">
        <f>IF(I187=0,0,I187/$I$507)</f>
        <v>0</v>
      </c>
      <c r="K187" s="89">
        <f>'🧮 Costos x Producto'!K187</f>
        <v>0</v>
      </c>
      <c r="L187" s="91">
        <f>'💰 Precio de Venta'!H188</f>
        <v>0</v>
      </c>
    </row>
    <row r="188" spans="4:12" ht="19.5" hidden="1" customHeight="1" x14ac:dyDescent="0.25">
      <c r="D188" s="92">
        <v>182</v>
      </c>
      <c r="E188" s="346"/>
      <c r="F188" s="347" t="s">
        <v>142</v>
      </c>
      <c r="G188" s="348">
        <v>0</v>
      </c>
      <c r="H188" s="349">
        <v>0</v>
      </c>
      <c r="I188" s="246">
        <f t="shared" si="3"/>
        <v>0</v>
      </c>
      <c r="J188" s="297">
        <f>IF(I188=0,0,I188/$I$507)</f>
        <v>0</v>
      </c>
      <c r="K188" s="89">
        <f>'🧮 Costos x Producto'!K188</f>
        <v>0</v>
      </c>
      <c r="L188" s="91">
        <f>'💰 Precio de Venta'!H189</f>
        <v>0</v>
      </c>
    </row>
    <row r="189" spans="4:12" ht="19.5" hidden="1" customHeight="1" x14ac:dyDescent="0.25">
      <c r="D189" s="92">
        <v>183</v>
      </c>
      <c r="E189" s="346"/>
      <c r="F189" s="347" t="s">
        <v>142</v>
      </c>
      <c r="G189" s="348">
        <v>0</v>
      </c>
      <c r="H189" s="349">
        <v>0</v>
      </c>
      <c r="I189" s="246">
        <f t="shared" si="3"/>
        <v>0</v>
      </c>
      <c r="J189" s="297">
        <f>IF(I189=0,0,I189/$I$507)</f>
        <v>0</v>
      </c>
      <c r="K189" s="89">
        <f>'🧮 Costos x Producto'!K189</f>
        <v>0</v>
      </c>
      <c r="L189" s="91">
        <f>'💰 Precio de Venta'!H190</f>
        <v>0</v>
      </c>
    </row>
    <row r="190" spans="4:12" ht="19.5" hidden="1" customHeight="1" x14ac:dyDescent="0.25">
      <c r="D190" s="92">
        <v>184</v>
      </c>
      <c r="E190" s="346"/>
      <c r="F190" s="347" t="s">
        <v>142</v>
      </c>
      <c r="G190" s="348">
        <v>0</v>
      </c>
      <c r="H190" s="349">
        <v>0</v>
      </c>
      <c r="I190" s="246">
        <f t="shared" si="3"/>
        <v>0</v>
      </c>
      <c r="J190" s="297">
        <f>IF(I190=0,0,I190/$I$507)</f>
        <v>0</v>
      </c>
      <c r="K190" s="89">
        <f>'🧮 Costos x Producto'!K190</f>
        <v>0</v>
      </c>
      <c r="L190" s="91">
        <f>'💰 Precio de Venta'!H191</f>
        <v>0</v>
      </c>
    </row>
    <row r="191" spans="4:12" ht="19.5" hidden="1" customHeight="1" x14ac:dyDescent="0.25">
      <c r="D191" s="92">
        <v>185</v>
      </c>
      <c r="E191" s="346"/>
      <c r="F191" s="347" t="s">
        <v>142</v>
      </c>
      <c r="G191" s="348">
        <v>0</v>
      </c>
      <c r="H191" s="349">
        <v>0</v>
      </c>
      <c r="I191" s="246">
        <f t="shared" si="3"/>
        <v>0</v>
      </c>
      <c r="J191" s="297">
        <f>IF(I191=0,0,I191/$I$507)</f>
        <v>0</v>
      </c>
      <c r="K191" s="89">
        <f>'🧮 Costos x Producto'!K191</f>
        <v>0</v>
      </c>
      <c r="L191" s="91">
        <f>'💰 Precio de Venta'!H192</f>
        <v>0</v>
      </c>
    </row>
    <row r="192" spans="4:12" ht="19.5" hidden="1" customHeight="1" x14ac:dyDescent="0.25">
      <c r="D192" s="92">
        <v>186</v>
      </c>
      <c r="E192" s="346"/>
      <c r="F192" s="347" t="s">
        <v>142</v>
      </c>
      <c r="G192" s="348">
        <v>0</v>
      </c>
      <c r="H192" s="349">
        <v>0</v>
      </c>
      <c r="I192" s="246">
        <f t="shared" si="3"/>
        <v>0</v>
      </c>
      <c r="J192" s="297">
        <f>IF(I192=0,0,I192/$I$507)</f>
        <v>0</v>
      </c>
      <c r="K192" s="89">
        <f>'🧮 Costos x Producto'!K192</f>
        <v>0</v>
      </c>
      <c r="L192" s="91">
        <f>'💰 Precio de Venta'!H193</f>
        <v>0</v>
      </c>
    </row>
    <row r="193" spans="4:12" ht="19.5" hidden="1" customHeight="1" x14ac:dyDescent="0.25">
      <c r="D193" s="92">
        <v>187</v>
      </c>
      <c r="E193" s="346"/>
      <c r="F193" s="347" t="s">
        <v>142</v>
      </c>
      <c r="G193" s="348">
        <v>0</v>
      </c>
      <c r="H193" s="349">
        <v>0</v>
      </c>
      <c r="I193" s="246">
        <f t="shared" si="3"/>
        <v>0</v>
      </c>
      <c r="J193" s="297">
        <f>IF(I193=0,0,I193/$I$507)</f>
        <v>0</v>
      </c>
      <c r="K193" s="89">
        <f>'🧮 Costos x Producto'!K193</f>
        <v>0</v>
      </c>
      <c r="L193" s="91">
        <f>'💰 Precio de Venta'!H194</f>
        <v>0</v>
      </c>
    </row>
    <row r="194" spans="4:12" ht="19.5" hidden="1" customHeight="1" x14ac:dyDescent="0.25">
      <c r="D194" s="92">
        <v>188</v>
      </c>
      <c r="E194" s="346"/>
      <c r="F194" s="347" t="s">
        <v>142</v>
      </c>
      <c r="G194" s="348">
        <v>0</v>
      </c>
      <c r="H194" s="349">
        <v>0</v>
      </c>
      <c r="I194" s="246">
        <f t="shared" si="3"/>
        <v>0</v>
      </c>
      <c r="J194" s="297">
        <f>IF(I194=0,0,I194/$I$507)</f>
        <v>0</v>
      </c>
      <c r="K194" s="89">
        <f>'🧮 Costos x Producto'!K194</f>
        <v>0</v>
      </c>
      <c r="L194" s="91">
        <f>'💰 Precio de Venta'!H195</f>
        <v>0</v>
      </c>
    </row>
    <row r="195" spans="4:12" ht="19.5" hidden="1" customHeight="1" x14ac:dyDescent="0.25">
      <c r="D195" s="92">
        <v>189</v>
      </c>
      <c r="E195" s="346"/>
      <c r="F195" s="347" t="s">
        <v>142</v>
      </c>
      <c r="G195" s="348">
        <v>0</v>
      </c>
      <c r="H195" s="349">
        <v>0</v>
      </c>
      <c r="I195" s="246">
        <f t="shared" si="3"/>
        <v>0</v>
      </c>
      <c r="J195" s="297">
        <f>IF(I195=0,0,I195/$I$507)</f>
        <v>0</v>
      </c>
      <c r="K195" s="89">
        <f>'🧮 Costos x Producto'!K195</f>
        <v>0</v>
      </c>
      <c r="L195" s="91">
        <f>'💰 Precio de Venta'!H196</f>
        <v>0</v>
      </c>
    </row>
    <row r="196" spans="4:12" ht="19.5" hidden="1" customHeight="1" x14ac:dyDescent="0.25">
      <c r="D196" s="92">
        <v>190</v>
      </c>
      <c r="E196" s="346"/>
      <c r="F196" s="347" t="s">
        <v>142</v>
      </c>
      <c r="G196" s="348">
        <v>0</v>
      </c>
      <c r="H196" s="349">
        <v>0</v>
      </c>
      <c r="I196" s="246">
        <f t="shared" si="3"/>
        <v>0</v>
      </c>
      <c r="J196" s="297">
        <f>IF(I196=0,0,I196/$I$507)</f>
        <v>0</v>
      </c>
      <c r="K196" s="89">
        <f>'🧮 Costos x Producto'!K196</f>
        <v>0</v>
      </c>
      <c r="L196" s="91">
        <f>'💰 Precio de Venta'!H197</f>
        <v>0</v>
      </c>
    </row>
    <row r="197" spans="4:12" ht="19.5" hidden="1" customHeight="1" x14ac:dyDescent="0.25">
      <c r="D197" s="92">
        <v>191</v>
      </c>
      <c r="E197" s="346"/>
      <c r="F197" s="347" t="s">
        <v>142</v>
      </c>
      <c r="G197" s="348">
        <v>0</v>
      </c>
      <c r="H197" s="349">
        <v>0</v>
      </c>
      <c r="I197" s="246">
        <f t="shared" si="3"/>
        <v>0</v>
      </c>
      <c r="J197" s="297">
        <f>IF(I197=0,0,I197/$I$507)</f>
        <v>0</v>
      </c>
      <c r="K197" s="89">
        <f>'🧮 Costos x Producto'!K197</f>
        <v>0</v>
      </c>
      <c r="L197" s="91">
        <f>'💰 Precio de Venta'!H198</f>
        <v>0</v>
      </c>
    </row>
    <row r="198" spans="4:12" ht="19.5" hidden="1" customHeight="1" x14ac:dyDescent="0.25">
      <c r="D198" s="92">
        <v>192</v>
      </c>
      <c r="E198" s="346"/>
      <c r="F198" s="347" t="s">
        <v>142</v>
      </c>
      <c r="G198" s="348">
        <v>0</v>
      </c>
      <c r="H198" s="349">
        <v>0</v>
      </c>
      <c r="I198" s="246">
        <f t="shared" si="3"/>
        <v>0</v>
      </c>
      <c r="J198" s="297">
        <f>IF(I198=0,0,I198/$I$507)</f>
        <v>0</v>
      </c>
      <c r="K198" s="89">
        <f>'🧮 Costos x Producto'!K198</f>
        <v>0</v>
      </c>
      <c r="L198" s="91">
        <f>'💰 Precio de Venta'!H199</f>
        <v>0</v>
      </c>
    </row>
    <row r="199" spans="4:12" ht="19.5" hidden="1" customHeight="1" x14ac:dyDescent="0.25">
      <c r="D199" s="92">
        <v>193</v>
      </c>
      <c r="E199" s="346"/>
      <c r="F199" s="347" t="s">
        <v>142</v>
      </c>
      <c r="G199" s="348">
        <v>0</v>
      </c>
      <c r="H199" s="349">
        <v>0</v>
      </c>
      <c r="I199" s="246">
        <f t="shared" si="3"/>
        <v>0</v>
      </c>
      <c r="J199" s="297">
        <f>IF(I199=0,0,I199/$I$507)</f>
        <v>0</v>
      </c>
      <c r="K199" s="89">
        <f>'🧮 Costos x Producto'!K199</f>
        <v>0</v>
      </c>
      <c r="L199" s="91">
        <f>'💰 Precio de Venta'!H200</f>
        <v>0</v>
      </c>
    </row>
    <row r="200" spans="4:12" ht="19.5" hidden="1" customHeight="1" x14ac:dyDescent="0.25">
      <c r="D200" s="92">
        <v>194</v>
      </c>
      <c r="E200" s="346"/>
      <c r="F200" s="347" t="s">
        <v>142</v>
      </c>
      <c r="G200" s="348">
        <v>0</v>
      </c>
      <c r="H200" s="349">
        <v>0</v>
      </c>
      <c r="I200" s="246">
        <f t="shared" si="3"/>
        <v>0</v>
      </c>
      <c r="J200" s="297">
        <f>IF(I200=0,0,I200/$I$507)</f>
        <v>0</v>
      </c>
      <c r="K200" s="89">
        <f>'🧮 Costos x Producto'!K200</f>
        <v>0</v>
      </c>
      <c r="L200" s="91">
        <f>'💰 Precio de Venta'!H201</f>
        <v>0</v>
      </c>
    </row>
    <row r="201" spans="4:12" ht="19.5" hidden="1" customHeight="1" x14ac:dyDescent="0.25">
      <c r="D201" s="92">
        <v>195</v>
      </c>
      <c r="E201" s="346"/>
      <c r="F201" s="347" t="s">
        <v>142</v>
      </c>
      <c r="G201" s="348">
        <v>0</v>
      </c>
      <c r="H201" s="349">
        <v>0</v>
      </c>
      <c r="I201" s="246">
        <f t="shared" si="3"/>
        <v>0</v>
      </c>
      <c r="J201" s="297">
        <f>IF(I201=0,0,I201/$I$507)</f>
        <v>0</v>
      </c>
      <c r="K201" s="89">
        <f>'🧮 Costos x Producto'!K201</f>
        <v>0</v>
      </c>
      <c r="L201" s="91">
        <f>'💰 Precio de Venta'!H202</f>
        <v>0</v>
      </c>
    </row>
    <row r="202" spans="4:12" ht="19.5" hidden="1" customHeight="1" x14ac:dyDescent="0.25">
      <c r="D202" s="92">
        <v>196</v>
      </c>
      <c r="E202" s="346"/>
      <c r="F202" s="347" t="s">
        <v>142</v>
      </c>
      <c r="G202" s="348">
        <v>0</v>
      </c>
      <c r="H202" s="349">
        <v>0</v>
      </c>
      <c r="I202" s="246">
        <f t="shared" si="3"/>
        <v>0</v>
      </c>
      <c r="J202" s="297">
        <f>IF(I202=0,0,I202/$I$507)</f>
        <v>0</v>
      </c>
      <c r="K202" s="89">
        <f>'🧮 Costos x Producto'!K202</f>
        <v>0</v>
      </c>
      <c r="L202" s="91">
        <f>'💰 Precio de Venta'!H203</f>
        <v>0</v>
      </c>
    </row>
    <row r="203" spans="4:12" ht="19.5" hidden="1" customHeight="1" x14ac:dyDescent="0.25">
      <c r="D203" s="92">
        <v>197</v>
      </c>
      <c r="E203" s="346"/>
      <c r="F203" s="347" t="s">
        <v>142</v>
      </c>
      <c r="G203" s="348">
        <v>0</v>
      </c>
      <c r="H203" s="349">
        <v>0</v>
      </c>
      <c r="I203" s="246">
        <f t="shared" si="3"/>
        <v>0</v>
      </c>
      <c r="J203" s="297">
        <f>IF(I203=0,0,I203/$I$507)</f>
        <v>0</v>
      </c>
      <c r="K203" s="89">
        <f>'🧮 Costos x Producto'!K203</f>
        <v>0</v>
      </c>
      <c r="L203" s="91">
        <f>'💰 Precio de Venta'!H204</f>
        <v>0</v>
      </c>
    </row>
    <row r="204" spans="4:12" ht="19.5" hidden="1" customHeight="1" x14ac:dyDescent="0.25">
      <c r="D204" s="92">
        <v>198</v>
      </c>
      <c r="E204" s="346"/>
      <c r="F204" s="347" t="s">
        <v>142</v>
      </c>
      <c r="G204" s="348">
        <v>0</v>
      </c>
      <c r="H204" s="349">
        <v>0</v>
      </c>
      <c r="I204" s="246">
        <f t="shared" si="3"/>
        <v>0</v>
      </c>
      <c r="J204" s="297">
        <f>IF(I204=0,0,I204/$I$507)</f>
        <v>0</v>
      </c>
      <c r="K204" s="89">
        <f>'🧮 Costos x Producto'!K204</f>
        <v>0</v>
      </c>
      <c r="L204" s="91">
        <f>'💰 Precio de Venta'!H205</f>
        <v>0</v>
      </c>
    </row>
    <row r="205" spans="4:12" ht="19.5" hidden="1" customHeight="1" x14ac:dyDescent="0.25">
      <c r="D205" s="92">
        <v>199</v>
      </c>
      <c r="E205" s="346"/>
      <c r="F205" s="347" t="s">
        <v>142</v>
      </c>
      <c r="G205" s="348">
        <v>0</v>
      </c>
      <c r="H205" s="349">
        <v>0</v>
      </c>
      <c r="I205" s="246">
        <f t="shared" si="3"/>
        <v>0</v>
      </c>
      <c r="J205" s="297">
        <f>IF(I205=0,0,I205/$I$507)</f>
        <v>0</v>
      </c>
      <c r="K205" s="89">
        <f>'🧮 Costos x Producto'!K205</f>
        <v>0</v>
      </c>
      <c r="L205" s="91">
        <f>'💰 Precio de Venta'!H206</f>
        <v>0</v>
      </c>
    </row>
    <row r="206" spans="4:12" ht="19.5" hidden="1" customHeight="1" x14ac:dyDescent="0.25">
      <c r="D206" s="92">
        <v>200</v>
      </c>
      <c r="E206" s="346"/>
      <c r="F206" s="347" t="s">
        <v>142</v>
      </c>
      <c r="G206" s="348">
        <v>0</v>
      </c>
      <c r="H206" s="349">
        <v>0</v>
      </c>
      <c r="I206" s="246">
        <f t="shared" si="3"/>
        <v>0</v>
      </c>
      <c r="J206" s="297">
        <f>IF(I206=0,0,I206/$I$507)</f>
        <v>0</v>
      </c>
      <c r="K206" s="89">
        <f>'🧮 Costos x Producto'!K206</f>
        <v>0</v>
      </c>
      <c r="L206" s="91">
        <f>'💰 Precio de Venta'!H207</f>
        <v>0</v>
      </c>
    </row>
    <row r="207" spans="4:12" ht="19.5" hidden="1" customHeight="1" x14ac:dyDescent="0.25">
      <c r="D207" s="92">
        <v>201</v>
      </c>
      <c r="E207" s="346"/>
      <c r="F207" s="347" t="s">
        <v>142</v>
      </c>
      <c r="G207" s="348">
        <v>0</v>
      </c>
      <c r="H207" s="349">
        <v>0</v>
      </c>
      <c r="I207" s="246">
        <f t="shared" si="3"/>
        <v>0</v>
      </c>
      <c r="J207" s="297">
        <f>IF(I207=0,0,I207/$I$507)</f>
        <v>0</v>
      </c>
      <c r="K207" s="89">
        <f>'🧮 Costos x Producto'!K207</f>
        <v>0</v>
      </c>
      <c r="L207" s="91">
        <f>'💰 Precio de Venta'!H208</f>
        <v>0</v>
      </c>
    </row>
    <row r="208" spans="4:12" ht="19.5" hidden="1" customHeight="1" x14ac:dyDescent="0.25">
      <c r="D208" s="92">
        <v>202</v>
      </c>
      <c r="E208" s="346"/>
      <c r="F208" s="347" t="s">
        <v>142</v>
      </c>
      <c r="G208" s="348">
        <v>0</v>
      </c>
      <c r="H208" s="349">
        <v>0</v>
      </c>
      <c r="I208" s="246">
        <f t="shared" si="3"/>
        <v>0</v>
      </c>
      <c r="J208" s="297">
        <f>IF(I208=0,0,I208/$I$507)</f>
        <v>0</v>
      </c>
      <c r="K208" s="89">
        <f>'🧮 Costos x Producto'!K208</f>
        <v>0</v>
      </c>
      <c r="L208" s="91">
        <f>'💰 Precio de Venta'!H209</f>
        <v>0</v>
      </c>
    </row>
    <row r="209" spans="4:12" ht="19.5" hidden="1" customHeight="1" x14ac:dyDescent="0.25">
      <c r="D209" s="92">
        <v>203</v>
      </c>
      <c r="E209" s="346"/>
      <c r="F209" s="347" t="s">
        <v>142</v>
      </c>
      <c r="G209" s="348">
        <v>0</v>
      </c>
      <c r="H209" s="349">
        <v>0</v>
      </c>
      <c r="I209" s="246">
        <f t="shared" si="3"/>
        <v>0</v>
      </c>
      <c r="J209" s="297">
        <f>IF(I209=0,0,I209/$I$507)</f>
        <v>0</v>
      </c>
      <c r="K209" s="89">
        <f>'🧮 Costos x Producto'!K209</f>
        <v>0</v>
      </c>
      <c r="L209" s="91">
        <f>'💰 Precio de Venta'!H210</f>
        <v>0</v>
      </c>
    </row>
    <row r="210" spans="4:12" ht="19.5" hidden="1" customHeight="1" x14ac:dyDescent="0.25">
      <c r="D210" s="92">
        <v>204</v>
      </c>
      <c r="E210" s="346"/>
      <c r="F210" s="347" t="s">
        <v>142</v>
      </c>
      <c r="G210" s="348">
        <v>0</v>
      </c>
      <c r="H210" s="349">
        <v>0</v>
      </c>
      <c r="I210" s="246">
        <f t="shared" si="3"/>
        <v>0</v>
      </c>
      <c r="J210" s="297">
        <f>IF(I210=0,0,I210/$I$507)</f>
        <v>0</v>
      </c>
      <c r="K210" s="89">
        <f>'🧮 Costos x Producto'!K210</f>
        <v>0</v>
      </c>
      <c r="L210" s="91">
        <f>'💰 Precio de Venta'!H211</f>
        <v>0</v>
      </c>
    </row>
    <row r="211" spans="4:12" ht="19.5" hidden="1" customHeight="1" x14ac:dyDescent="0.25">
      <c r="D211" s="92">
        <v>205</v>
      </c>
      <c r="E211" s="346"/>
      <c r="F211" s="347" t="s">
        <v>142</v>
      </c>
      <c r="G211" s="348">
        <v>0</v>
      </c>
      <c r="H211" s="349">
        <v>0</v>
      </c>
      <c r="I211" s="246">
        <f t="shared" si="3"/>
        <v>0</v>
      </c>
      <c r="J211" s="297">
        <f>IF(I211=0,0,I211/$I$507)</f>
        <v>0</v>
      </c>
      <c r="K211" s="89">
        <f>'🧮 Costos x Producto'!K211</f>
        <v>0</v>
      </c>
      <c r="L211" s="91">
        <f>'💰 Precio de Venta'!H212</f>
        <v>0</v>
      </c>
    </row>
    <row r="212" spans="4:12" ht="19.5" hidden="1" customHeight="1" x14ac:dyDescent="0.25">
      <c r="D212" s="92">
        <v>206</v>
      </c>
      <c r="E212" s="346"/>
      <c r="F212" s="347" t="s">
        <v>142</v>
      </c>
      <c r="G212" s="348">
        <v>0</v>
      </c>
      <c r="H212" s="349">
        <v>0</v>
      </c>
      <c r="I212" s="246">
        <f t="shared" si="3"/>
        <v>0</v>
      </c>
      <c r="J212" s="297">
        <f>IF(I212=0,0,I212/$I$507)</f>
        <v>0</v>
      </c>
      <c r="K212" s="89">
        <f>'🧮 Costos x Producto'!K212</f>
        <v>0</v>
      </c>
      <c r="L212" s="91">
        <f>'💰 Precio de Venta'!H213</f>
        <v>0</v>
      </c>
    </row>
    <row r="213" spans="4:12" ht="19.5" hidden="1" customHeight="1" x14ac:dyDescent="0.25">
      <c r="D213" s="92">
        <v>207</v>
      </c>
      <c r="E213" s="346"/>
      <c r="F213" s="347" t="s">
        <v>142</v>
      </c>
      <c r="G213" s="348">
        <v>0</v>
      </c>
      <c r="H213" s="349">
        <v>0</v>
      </c>
      <c r="I213" s="246">
        <f t="shared" si="3"/>
        <v>0</v>
      </c>
      <c r="J213" s="297">
        <f>IF(I213=0,0,I213/$I$507)</f>
        <v>0</v>
      </c>
      <c r="K213" s="89">
        <f>'🧮 Costos x Producto'!K213</f>
        <v>0</v>
      </c>
      <c r="L213" s="91">
        <f>'💰 Precio de Venta'!H214</f>
        <v>0</v>
      </c>
    </row>
    <row r="214" spans="4:12" ht="19.5" hidden="1" customHeight="1" x14ac:dyDescent="0.25">
      <c r="D214" s="92">
        <v>208</v>
      </c>
      <c r="E214" s="346"/>
      <c r="F214" s="347" t="s">
        <v>142</v>
      </c>
      <c r="G214" s="348">
        <v>0</v>
      </c>
      <c r="H214" s="349">
        <v>0</v>
      </c>
      <c r="I214" s="246">
        <f t="shared" si="3"/>
        <v>0</v>
      </c>
      <c r="J214" s="297">
        <f>IF(I214=0,0,I214/$I$507)</f>
        <v>0</v>
      </c>
      <c r="K214" s="89">
        <f>'🧮 Costos x Producto'!K214</f>
        <v>0</v>
      </c>
      <c r="L214" s="91">
        <f>'💰 Precio de Venta'!H215</f>
        <v>0</v>
      </c>
    </row>
    <row r="215" spans="4:12" ht="19.5" hidden="1" customHeight="1" x14ac:dyDescent="0.25">
      <c r="D215" s="92">
        <v>209</v>
      </c>
      <c r="E215" s="346"/>
      <c r="F215" s="347" t="s">
        <v>142</v>
      </c>
      <c r="G215" s="348">
        <v>0</v>
      </c>
      <c r="H215" s="349">
        <v>0</v>
      </c>
      <c r="I215" s="246">
        <f t="shared" si="3"/>
        <v>0</v>
      </c>
      <c r="J215" s="297">
        <f>IF(I215=0,0,I215/$I$507)</f>
        <v>0</v>
      </c>
      <c r="K215" s="89">
        <f>'🧮 Costos x Producto'!K215</f>
        <v>0</v>
      </c>
      <c r="L215" s="91">
        <f>'💰 Precio de Venta'!H216</f>
        <v>0</v>
      </c>
    </row>
    <row r="216" spans="4:12" ht="19.5" hidden="1" customHeight="1" x14ac:dyDescent="0.25">
      <c r="D216" s="92">
        <v>210</v>
      </c>
      <c r="E216" s="346"/>
      <c r="F216" s="347" t="s">
        <v>142</v>
      </c>
      <c r="G216" s="348">
        <v>0</v>
      </c>
      <c r="H216" s="349">
        <v>0</v>
      </c>
      <c r="I216" s="246">
        <f t="shared" si="3"/>
        <v>0</v>
      </c>
      <c r="J216" s="297">
        <f>IF(I216=0,0,I216/$I$507)</f>
        <v>0</v>
      </c>
      <c r="K216" s="89">
        <f>'🧮 Costos x Producto'!K216</f>
        <v>0</v>
      </c>
      <c r="L216" s="91">
        <f>'💰 Precio de Venta'!H217</f>
        <v>0</v>
      </c>
    </row>
    <row r="217" spans="4:12" ht="19.5" hidden="1" customHeight="1" x14ac:dyDescent="0.25">
      <c r="D217" s="92">
        <v>211</v>
      </c>
      <c r="E217" s="346"/>
      <c r="F217" s="347" t="s">
        <v>142</v>
      </c>
      <c r="G217" s="348">
        <v>0</v>
      </c>
      <c r="H217" s="349">
        <v>0</v>
      </c>
      <c r="I217" s="246">
        <f t="shared" si="3"/>
        <v>0</v>
      </c>
      <c r="J217" s="297">
        <f>IF(I217=0,0,I217/$I$507)</f>
        <v>0</v>
      </c>
      <c r="K217" s="89">
        <f>'🧮 Costos x Producto'!K217</f>
        <v>0</v>
      </c>
      <c r="L217" s="91">
        <f>'💰 Precio de Venta'!H218</f>
        <v>0</v>
      </c>
    </row>
    <row r="218" spans="4:12" ht="19.5" hidden="1" customHeight="1" x14ac:dyDescent="0.25">
      <c r="D218" s="92">
        <v>212</v>
      </c>
      <c r="E218" s="346"/>
      <c r="F218" s="347" t="s">
        <v>142</v>
      </c>
      <c r="G218" s="348">
        <v>0</v>
      </c>
      <c r="H218" s="349">
        <v>0</v>
      </c>
      <c r="I218" s="246">
        <f t="shared" si="3"/>
        <v>0</v>
      </c>
      <c r="J218" s="297">
        <f>IF(I218=0,0,I218/$I$507)</f>
        <v>0</v>
      </c>
      <c r="K218" s="89">
        <f>'🧮 Costos x Producto'!K218</f>
        <v>0</v>
      </c>
      <c r="L218" s="91">
        <f>'💰 Precio de Venta'!H219</f>
        <v>0</v>
      </c>
    </row>
    <row r="219" spans="4:12" ht="19.5" hidden="1" customHeight="1" x14ac:dyDescent="0.25">
      <c r="D219" s="92">
        <v>213</v>
      </c>
      <c r="E219" s="346"/>
      <c r="F219" s="347" t="s">
        <v>142</v>
      </c>
      <c r="G219" s="348">
        <v>0</v>
      </c>
      <c r="H219" s="349">
        <v>0</v>
      </c>
      <c r="I219" s="246">
        <f t="shared" si="3"/>
        <v>0</v>
      </c>
      <c r="J219" s="297">
        <f>IF(I219=0,0,I219/$I$507)</f>
        <v>0</v>
      </c>
      <c r="K219" s="89">
        <f>'🧮 Costos x Producto'!K219</f>
        <v>0</v>
      </c>
      <c r="L219" s="91">
        <f>'💰 Precio de Venta'!H220</f>
        <v>0</v>
      </c>
    </row>
    <row r="220" spans="4:12" ht="19.5" hidden="1" customHeight="1" x14ac:dyDescent="0.25">
      <c r="D220" s="92">
        <v>214</v>
      </c>
      <c r="E220" s="346"/>
      <c r="F220" s="347" t="s">
        <v>142</v>
      </c>
      <c r="G220" s="348">
        <v>0</v>
      </c>
      <c r="H220" s="349">
        <v>0</v>
      </c>
      <c r="I220" s="246">
        <f t="shared" si="3"/>
        <v>0</v>
      </c>
      <c r="J220" s="297">
        <f>IF(I220=0,0,I220/$I$507)</f>
        <v>0</v>
      </c>
      <c r="K220" s="89">
        <f>'🧮 Costos x Producto'!K220</f>
        <v>0</v>
      </c>
      <c r="L220" s="91">
        <f>'💰 Precio de Venta'!H221</f>
        <v>0</v>
      </c>
    </row>
    <row r="221" spans="4:12" ht="19.5" hidden="1" customHeight="1" x14ac:dyDescent="0.25">
      <c r="D221" s="92">
        <v>215</v>
      </c>
      <c r="E221" s="346"/>
      <c r="F221" s="347" t="s">
        <v>142</v>
      </c>
      <c r="G221" s="348">
        <v>0</v>
      </c>
      <c r="H221" s="349">
        <v>0</v>
      </c>
      <c r="I221" s="246">
        <f t="shared" si="3"/>
        <v>0</v>
      </c>
      <c r="J221" s="297">
        <f>IF(I221=0,0,I221/$I$507)</f>
        <v>0</v>
      </c>
      <c r="K221" s="89">
        <f>'🧮 Costos x Producto'!K221</f>
        <v>0</v>
      </c>
      <c r="L221" s="91">
        <f>'💰 Precio de Venta'!H222</f>
        <v>0</v>
      </c>
    </row>
    <row r="222" spans="4:12" ht="19.5" hidden="1" customHeight="1" x14ac:dyDescent="0.25">
      <c r="D222" s="92">
        <v>216</v>
      </c>
      <c r="E222" s="346"/>
      <c r="F222" s="347" t="s">
        <v>142</v>
      </c>
      <c r="G222" s="348">
        <v>0</v>
      </c>
      <c r="H222" s="349">
        <v>0</v>
      </c>
      <c r="I222" s="246">
        <f t="shared" si="3"/>
        <v>0</v>
      </c>
      <c r="J222" s="297">
        <f>IF(I222=0,0,I222/$I$507)</f>
        <v>0</v>
      </c>
      <c r="K222" s="89">
        <f>'🧮 Costos x Producto'!K222</f>
        <v>0</v>
      </c>
      <c r="L222" s="91">
        <f>'💰 Precio de Venta'!H223</f>
        <v>0</v>
      </c>
    </row>
    <row r="223" spans="4:12" ht="19.5" hidden="1" customHeight="1" x14ac:dyDescent="0.25">
      <c r="D223" s="92">
        <v>217</v>
      </c>
      <c r="E223" s="346"/>
      <c r="F223" s="347" t="s">
        <v>142</v>
      </c>
      <c r="G223" s="348">
        <v>0</v>
      </c>
      <c r="H223" s="349">
        <v>0</v>
      </c>
      <c r="I223" s="246">
        <f t="shared" si="3"/>
        <v>0</v>
      </c>
      <c r="J223" s="297">
        <f>IF(I223=0,0,I223/$I$507)</f>
        <v>0</v>
      </c>
      <c r="K223" s="89">
        <f>'🧮 Costos x Producto'!K223</f>
        <v>0</v>
      </c>
      <c r="L223" s="91">
        <f>'💰 Precio de Venta'!H224</f>
        <v>0</v>
      </c>
    </row>
    <row r="224" spans="4:12" ht="19.5" hidden="1" customHeight="1" x14ac:dyDescent="0.25">
      <c r="D224" s="92">
        <v>218</v>
      </c>
      <c r="E224" s="346"/>
      <c r="F224" s="347" t="s">
        <v>142</v>
      </c>
      <c r="G224" s="348">
        <v>0</v>
      </c>
      <c r="H224" s="349">
        <v>0</v>
      </c>
      <c r="I224" s="246">
        <f t="shared" si="3"/>
        <v>0</v>
      </c>
      <c r="J224" s="297">
        <f>IF(I224=0,0,I224/$I$507)</f>
        <v>0</v>
      </c>
      <c r="K224" s="89">
        <f>'🧮 Costos x Producto'!K224</f>
        <v>0</v>
      </c>
      <c r="L224" s="91">
        <f>'💰 Precio de Venta'!H225</f>
        <v>0</v>
      </c>
    </row>
    <row r="225" spans="4:12" ht="19.5" hidden="1" customHeight="1" x14ac:dyDescent="0.25">
      <c r="D225" s="92">
        <v>219</v>
      </c>
      <c r="E225" s="346"/>
      <c r="F225" s="347" t="s">
        <v>142</v>
      </c>
      <c r="G225" s="348">
        <v>0</v>
      </c>
      <c r="H225" s="349">
        <v>0</v>
      </c>
      <c r="I225" s="246">
        <f t="shared" si="3"/>
        <v>0</v>
      </c>
      <c r="J225" s="297">
        <f>IF(I225=0,0,I225/$I$507)</f>
        <v>0</v>
      </c>
      <c r="K225" s="89">
        <f>'🧮 Costos x Producto'!K225</f>
        <v>0</v>
      </c>
      <c r="L225" s="91">
        <f>'💰 Precio de Venta'!H226</f>
        <v>0</v>
      </c>
    </row>
    <row r="226" spans="4:12" ht="19.5" hidden="1" customHeight="1" x14ac:dyDescent="0.25">
      <c r="D226" s="92">
        <v>220</v>
      </c>
      <c r="E226" s="346"/>
      <c r="F226" s="347" t="s">
        <v>142</v>
      </c>
      <c r="G226" s="348">
        <v>0</v>
      </c>
      <c r="H226" s="349">
        <v>0</v>
      </c>
      <c r="I226" s="246">
        <f t="shared" si="3"/>
        <v>0</v>
      </c>
      <c r="J226" s="297">
        <f>IF(I226=0,0,I226/$I$507)</f>
        <v>0</v>
      </c>
      <c r="K226" s="89">
        <f>'🧮 Costos x Producto'!K226</f>
        <v>0</v>
      </c>
      <c r="L226" s="91">
        <f>'💰 Precio de Venta'!H227</f>
        <v>0</v>
      </c>
    </row>
    <row r="227" spans="4:12" ht="19.5" hidden="1" customHeight="1" x14ac:dyDescent="0.25">
      <c r="D227" s="92">
        <v>221</v>
      </c>
      <c r="E227" s="346"/>
      <c r="F227" s="347" t="s">
        <v>142</v>
      </c>
      <c r="G227" s="348">
        <v>0</v>
      </c>
      <c r="H227" s="349">
        <v>0</v>
      </c>
      <c r="I227" s="246">
        <f t="shared" si="3"/>
        <v>0</v>
      </c>
      <c r="J227" s="297">
        <f>IF(I227=0,0,I227/$I$507)</f>
        <v>0</v>
      </c>
      <c r="K227" s="89">
        <f>'🧮 Costos x Producto'!K227</f>
        <v>0</v>
      </c>
      <c r="L227" s="91">
        <f>'💰 Precio de Venta'!H228</f>
        <v>0</v>
      </c>
    </row>
    <row r="228" spans="4:12" ht="19.5" hidden="1" customHeight="1" x14ac:dyDescent="0.25">
      <c r="D228" s="92">
        <v>222</v>
      </c>
      <c r="E228" s="346"/>
      <c r="F228" s="347" t="s">
        <v>142</v>
      </c>
      <c r="G228" s="348">
        <v>0</v>
      </c>
      <c r="H228" s="349">
        <v>0</v>
      </c>
      <c r="I228" s="246">
        <f t="shared" si="3"/>
        <v>0</v>
      </c>
      <c r="J228" s="297">
        <f>IF(I228=0,0,I228/$I$507)</f>
        <v>0</v>
      </c>
      <c r="K228" s="89">
        <f>'🧮 Costos x Producto'!K228</f>
        <v>0</v>
      </c>
      <c r="L228" s="91">
        <f>'💰 Precio de Venta'!H229</f>
        <v>0</v>
      </c>
    </row>
    <row r="229" spans="4:12" ht="19.5" hidden="1" customHeight="1" x14ac:dyDescent="0.25">
      <c r="D229" s="92">
        <v>223</v>
      </c>
      <c r="E229" s="346"/>
      <c r="F229" s="347" t="s">
        <v>142</v>
      </c>
      <c r="G229" s="348">
        <v>0</v>
      </c>
      <c r="H229" s="349">
        <v>0</v>
      </c>
      <c r="I229" s="246">
        <f t="shared" ref="I229:I292" si="4">IF(G229=0,0,G229*H229)</f>
        <v>0</v>
      </c>
      <c r="J229" s="297">
        <f>IF(I229=0,0,I229/$I$507)</f>
        <v>0</v>
      </c>
      <c r="K229" s="89">
        <f>'🧮 Costos x Producto'!K229</f>
        <v>0</v>
      </c>
      <c r="L229" s="91">
        <f>'💰 Precio de Venta'!H230</f>
        <v>0</v>
      </c>
    </row>
    <row r="230" spans="4:12" ht="19.5" hidden="1" customHeight="1" x14ac:dyDescent="0.25">
      <c r="D230" s="92">
        <v>224</v>
      </c>
      <c r="E230" s="346"/>
      <c r="F230" s="347" t="s">
        <v>142</v>
      </c>
      <c r="G230" s="348">
        <v>0</v>
      </c>
      <c r="H230" s="349">
        <v>0</v>
      </c>
      <c r="I230" s="246">
        <f t="shared" si="4"/>
        <v>0</v>
      </c>
      <c r="J230" s="297">
        <f>IF(I230=0,0,I230/$I$507)</f>
        <v>0</v>
      </c>
      <c r="K230" s="89">
        <f>'🧮 Costos x Producto'!K230</f>
        <v>0</v>
      </c>
      <c r="L230" s="91">
        <f>'💰 Precio de Venta'!H231</f>
        <v>0</v>
      </c>
    </row>
    <row r="231" spans="4:12" ht="19.5" hidden="1" customHeight="1" x14ac:dyDescent="0.25">
      <c r="D231" s="92">
        <v>225</v>
      </c>
      <c r="E231" s="346"/>
      <c r="F231" s="347" t="s">
        <v>142</v>
      </c>
      <c r="G231" s="348">
        <v>0</v>
      </c>
      <c r="H231" s="349">
        <v>0</v>
      </c>
      <c r="I231" s="246">
        <f t="shared" si="4"/>
        <v>0</v>
      </c>
      <c r="J231" s="297">
        <f>IF(I231=0,0,I231/$I$507)</f>
        <v>0</v>
      </c>
      <c r="K231" s="89">
        <f>'🧮 Costos x Producto'!K231</f>
        <v>0</v>
      </c>
      <c r="L231" s="91">
        <f>'💰 Precio de Venta'!H232</f>
        <v>0</v>
      </c>
    </row>
    <row r="232" spans="4:12" ht="19.5" hidden="1" customHeight="1" x14ac:dyDescent="0.25">
      <c r="D232" s="92">
        <v>226</v>
      </c>
      <c r="E232" s="346"/>
      <c r="F232" s="347" t="s">
        <v>142</v>
      </c>
      <c r="G232" s="348">
        <v>0</v>
      </c>
      <c r="H232" s="349">
        <v>0</v>
      </c>
      <c r="I232" s="246">
        <f t="shared" si="4"/>
        <v>0</v>
      </c>
      <c r="J232" s="297">
        <f>IF(I232=0,0,I232/$I$507)</f>
        <v>0</v>
      </c>
      <c r="K232" s="89">
        <f>'🧮 Costos x Producto'!K232</f>
        <v>0</v>
      </c>
      <c r="L232" s="91">
        <f>'💰 Precio de Venta'!H233</f>
        <v>0</v>
      </c>
    </row>
    <row r="233" spans="4:12" ht="19.5" hidden="1" customHeight="1" x14ac:dyDescent="0.25">
      <c r="D233" s="92">
        <v>227</v>
      </c>
      <c r="E233" s="346"/>
      <c r="F233" s="347" t="s">
        <v>142</v>
      </c>
      <c r="G233" s="348">
        <v>0</v>
      </c>
      <c r="H233" s="349">
        <v>0</v>
      </c>
      <c r="I233" s="246">
        <f t="shared" si="4"/>
        <v>0</v>
      </c>
      <c r="J233" s="297">
        <f>IF(I233=0,0,I233/$I$507)</f>
        <v>0</v>
      </c>
      <c r="K233" s="89">
        <f>'🧮 Costos x Producto'!K233</f>
        <v>0</v>
      </c>
      <c r="L233" s="91">
        <f>'💰 Precio de Venta'!H234</f>
        <v>0</v>
      </c>
    </row>
    <row r="234" spans="4:12" ht="19.5" hidden="1" customHeight="1" x14ac:dyDescent="0.25">
      <c r="D234" s="92">
        <v>228</v>
      </c>
      <c r="E234" s="346"/>
      <c r="F234" s="347" t="s">
        <v>142</v>
      </c>
      <c r="G234" s="348">
        <v>0</v>
      </c>
      <c r="H234" s="349">
        <v>0</v>
      </c>
      <c r="I234" s="246">
        <f t="shared" si="4"/>
        <v>0</v>
      </c>
      <c r="J234" s="297">
        <f>IF(I234=0,0,I234/$I$507)</f>
        <v>0</v>
      </c>
      <c r="K234" s="89">
        <f>'🧮 Costos x Producto'!K234</f>
        <v>0</v>
      </c>
      <c r="L234" s="91">
        <f>'💰 Precio de Venta'!H235</f>
        <v>0</v>
      </c>
    </row>
    <row r="235" spans="4:12" ht="19.5" hidden="1" customHeight="1" x14ac:dyDescent="0.25">
      <c r="D235" s="92">
        <v>229</v>
      </c>
      <c r="E235" s="346"/>
      <c r="F235" s="347" t="s">
        <v>142</v>
      </c>
      <c r="G235" s="348">
        <v>0</v>
      </c>
      <c r="H235" s="349">
        <v>0</v>
      </c>
      <c r="I235" s="246">
        <f t="shared" si="4"/>
        <v>0</v>
      </c>
      <c r="J235" s="297">
        <f>IF(I235=0,0,I235/$I$507)</f>
        <v>0</v>
      </c>
      <c r="K235" s="89">
        <f>'🧮 Costos x Producto'!K235</f>
        <v>0</v>
      </c>
      <c r="L235" s="91">
        <f>'💰 Precio de Venta'!H236</f>
        <v>0</v>
      </c>
    </row>
    <row r="236" spans="4:12" ht="19.5" hidden="1" customHeight="1" x14ac:dyDescent="0.25">
      <c r="D236" s="92">
        <v>230</v>
      </c>
      <c r="E236" s="346"/>
      <c r="F236" s="347" t="s">
        <v>142</v>
      </c>
      <c r="G236" s="348">
        <v>0</v>
      </c>
      <c r="H236" s="349">
        <v>0</v>
      </c>
      <c r="I236" s="246">
        <f t="shared" si="4"/>
        <v>0</v>
      </c>
      <c r="J236" s="297">
        <f>IF(I236=0,0,I236/$I$507)</f>
        <v>0</v>
      </c>
      <c r="K236" s="89">
        <f>'🧮 Costos x Producto'!K236</f>
        <v>0</v>
      </c>
      <c r="L236" s="91">
        <f>'💰 Precio de Venta'!H237</f>
        <v>0</v>
      </c>
    </row>
    <row r="237" spans="4:12" ht="19.5" hidden="1" customHeight="1" x14ac:dyDescent="0.25">
      <c r="D237" s="92">
        <v>231</v>
      </c>
      <c r="E237" s="346"/>
      <c r="F237" s="347" t="s">
        <v>142</v>
      </c>
      <c r="G237" s="348">
        <v>0</v>
      </c>
      <c r="H237" s="349">
        <v>0</v>
      </c>
      <c r="I237" s="246">
        <f t="shared" si="4"/>
        <v>0</v>
      </c>
      <c r="J237" s="297">
        <f>IF(I237=0,0,I237/$I$507)</f>
        <v>0</v>
      </c>
      <c r="K237" s="89">
        <f>'🧮 Costos x Producto'!K237</f>
        <v>0</v>
      </c>
      <c r="L237" s="91">
        <f>'💰 Precio de Venta'!H238</f>
        <v>0</v>
      </c>
    </row>
    <row r="238" spans="4:12" ht="19.5" hidden="1" customHeight="1" x14ac:dyDescent="0.25">
      <c r="D238" s="92">
        <v>232</v>
      </c>
      <c r="E238" s="346"/>
      <c r="F238" s="347" t="s">
        <v>142</v>
      </c>
      <c r="G238" s="348">
        <v>0</v>
      </c>
      <c r="H238" s="349">
        <v>0</v>
      </c>
      <c r="I238" s="246">
        <f t="shared" si="4"/>
        <v>0</v>
      </c>
      <c r="J238" s="297">
        <f>IF(I238=0,0,I238/$I$507)</f>
        <v>0</v>
      </c>
      <c r="K238" s="89">
        <f>'🧮 Costos x Producto'!K238</f>
        <v>0</v>
      </c>
      <c r="L238" s="91">
        <f>'💰 Precio de Venta'!H239</f>
        <v>0</v>
      </c>
    </row>
    <row r="239" spans="4:12" ht="19.5" hidden="1" customHeight="1" x14ac:dyDescent="0.25">
      <c r="D239" s="92">
        <v>233</v>
      </c>
      <c r="E239" s="346"/>
      <c r="F239" s="347" t="s">
        <v>142</v>
      </c>
      <c r="G239" s="348">
        <v>0</v>
      </c>
      <c r="H239" s="349">
        <v>0</v>
      </c>
      <c r="I239" s="246">
        <f t="shared" si="4"/>
        <v>0</v>
      </c>
      <c r="J239" s="297">
        <f>IF(I239=0,0,I239/$I$507)</f>
        <v>0</v>
      </c>
      <c r="K239" s="89">
        <f>'🧮 Costos x Producto'!K239</f>
        <v>0</v>
      </c>
      <c r="L239" s="91">
        <f>'💰 Precio de Venta'!H240</f>
        <v>0</v>
      </c>
    </row>
    <row r="240" spans="4:12" ht="19.5" hidden="1" customHeight="1" x14ac:dyDescent="0.25">
      <c r="D240" s="92">
        <v>234</v>
      </c>
      <c r="E240" s="346"/>
      <c r="F240" s="347" t="s">
        <v>142</v>
      </c>
      <c r="G240" s="348">
        <v>0</v>
      </c>
      <c r="H240" s="349">
        <v>0</v>
      </c>
      <c r="I240" s="246">
        <f t="shared" si="4"/>
        <v>0</v>
      </c>
      <c r="J240" s="297">
        <f>IF(I240=0,0,I240/$I$507)</f>
        <v>0</v>
      </c>
      <c r="K240" s="89">
        <f>'🧮 Costos x Producto'!K240</f>
        <v>0</v>
      </c>
      <c r="L240" s="91">
        <f>'💰 Precio de Venta'!H241</f>
        <v>0</v>
      </c>
    </row>
    <row r="241" spans="4:12" ht="19.5" hidden="1" customHeight="1" x14ac:dyDescent="0.25">
      <c r="D241" s="92">
        <v>235</v>
      </c>
      <c r="E241" s="346"/>
      <c r="F241" s="347" t="s">
        <v>142</v>
      </c>
      <c r="G241" s="348">
        <v>0</v>
      </c>
      <c r="H241" s="349">
        <v>0</v>
      </c>
      <c r="I241" s="246">
        <f t="shared" si="4"/>
        <v>0</v>
      </c>
      <c r="J241" s="297">
        <f>IF(I241=0,0,I241/$I$507)</f>
        <v>0</v>
      </c>
      <c r="K241" s="89">
        <f>'🧮 Costos x Producto'!K241</f>
        <v>0</v>
      </c>
      <c r="L241" s="91">
        <f>'💰 Precio de Venta'!H242</f>
        <v>0</v>
      </c>
    </row>
    <row r="242" spans="4:12" ht="19.5" hidden="1" customHeight="1" x14ac:dyDescent="0.25">
      <c r="D242" s="92">
        <v>236</v>
      </c>
      <c r="E242" s="346"/>
      <c r="F242" s="347" t="s">
        <v>142</v>
      </c>
      <c r="G242" s="348">
        <v>0</v>
      </c>
      <c r="H242" s="349">
        <v>0</v>
      </c>
      <c r="I242" s="246">
        <f t="shared" si="4"/>
        <v>0</v>
      </c>
      <c r="J242" s="297">
        <f>IF(I242=0,0,I242/$I$507)</f>
        <v>0</v>
      </c>
      <c r="K242" s="89">
        <f>'🧮 Costos x Producto'!K242</f>
        <v>0</v>
      </c>
      <c r="L242" s="91">
        <f>'💰 Precio de Venta'!H243</f>
        <v>0</v>
      </c>
    </row>
    <row r="243" spans="4:12" ht="19.5" hidden="1" customHeight="1" x14ac:dyDescent="0.25">
      <c r="D243" s="92">
        <v>237</v>
      </c>
      <c r="E243" s="346"/>
      <c r="F243" s="347" t="s">
        <v>142</v>
      </c>
      <c r="G243" s="348">
        <v>0</v>
      </c>
      <c r="H243" s="349">
        <v>0</v>
      </c>
      <c r="I243" s="246">
        <f t="shared" si="4"/>
        <v>0</v>
      </c>
      <c r="J243" s="297">
        <f>IF(I243=0,0,I243/$I$507)</f>
        <v>0</v>
      </c>
      <c r="K243" s="89">
        <f>'🧮 Costos x Producto'!K243</f>
        <v>0</v>
      </c>
      <c r="L243" s="91">
        <f>'💰 Precio de Venta'!H244</f>
        <v>0</v>
      </c>
    </row>
    <row r="244" spans="4:12" ht="19.5" hidden="1" customHeight="1" x14ac:dyDescent="0.25">
      <c r="D244" s="92">
        <v>238</v>
      </c>
      <c r="E244" s="346"/>
      <c r="F244" s="347" t="s">
        <v>142</v>
      </c>
      <c r="G244" s="348">
        <v>0</v>
      </c>
      <c r="H244" s="349">
        <v>0</v>
      </c>
      <c r="I244" s="246">
        <f t="shared" si="4"/>
        <v>0</v>
      </c>
      <c r="J244" s="297">
        <f>IF(I244=0,0,I244/$I$507)</f>
        <v>0</v>
      </c>
      <c r="K244" s="89">
        <f>'🧮 Costos x Producto'!K244</f>
        <v>0</v>
      </c>
      <c r="L244" s="91">
        <f>'💰 Precio de Venta'!H245</f>
        <v>0</v>
      </c>
    </row>
    <row r="245" spans="4:12" ht="19.5" hidden="1" customHeight="1" x14ac:dyDescent="0.25">
      <c r="D245" s="92">
        <v>239</v>
      </c>
      <c r="E245" s="346"/>
      <c r="F245" s="347" t="s">
        <v>142</v>
      </c>
      <c r="G245" s="348">
        <v>0</v>
      </c>
      <c r="H245" s="349">
        <v>0</v>
      </c>
      <c r="I245" s="246">
        <f t="shared" si="4"/>
        <v>0</v>
      </c>
      <c r="J245" s="297">
        <f>IF(I245=0,0,I245/$I$507)</f>
        <v>0</v>
      </c>
      <c r="K245" s="89">
        <f>'🧮 Costos x Producto'!K245</f>
        <v>0</v>
      </c>
      <c r="L245" s="91">
        <f>'💰 Precio de Venta'!H246</f>
        <v>0</v>
      </c>
    </row>
    <row r="246" spans="4:12" ht="19.5" hidden="1" customHeight="1" x14ac:dyDescent="0.25">
      <c r="D246" s="92">
        <v>240</v>
      </c>
      <c r="E246" s="346"/>
      <c r="F246" s="347" t="s">
        <v>142</v>
      </c>
      <c r="G246" s="348">
        <v>0</v>
      </c>
      <c r="H246" s="349">
        <v>0</v>
      </c>
      <c r="I246" s="246">
        <f t="shared" si="4"/>
        <v>0</v>
      </c>
      <c r="J246" s="297">
        <f>IF(I246=0,0,I246/$I$507)</f>
        <v>0</v>
      </c>
      <c r="K246" s="89">
        <f>'🧮 Costos x Producto'!K246</f>
        <v>0</v>
      </c>
      <c r="L246" s="91">
        <f>'💰 Precio de Venta'!H247</f>
        <v>0</v>
      </c>
    </row>
    <row r="247" spans="4:12" ht="19.5" hidden="1" customHeight="1" x14ac:dyDescent="0.25">
      <c r="D247" s="92">
        <v>241</v>
      </c>
      <c r="E247" s="346"/>
      <c r="F247" s="347" t="s">
        <v>142</v>
      </c>
      <c r="G247" s="348">
        <v>0</v>
      </c>
      <c r="H247" s="349">
        <v>0</v>
      </c>
      <c r="I247" s="246">
        <f t="shared" si="4"/>
        <v>0</v>
      </c>
      <c r="J247" s="297">
        <f>IF(I247=0,0,I247/$I$507)</f>
        <v>0</v>
      </c>
      <c r="K247" s="89">
        <f>'🧮 Costos x Producto'!K247</f>
        <v>0</v>
      </c>
      <c r="L247" s="91">
        <f>'💰 Precio de Venta'!H248</f>
        <v>0</v>
      </c>
    </row>
    <row r="248" spans="4:12" ht="19.5" hidden="1" customHeight="1" x14ac:dyDescent="0.25">
      <c r="D248" s="92">
        <v>242</v>
      </c>
      <c r="E248" s="346"/>
      <c r="F248" s="347" t="s">
        <v>142</v>
      </c>
      <c r="G248" s="348">
        <v>0</v>
      </c>
      <c r="H248" s="349">
        <v>0</v>
      </c>
      <c r="I248" s="246">
        <f t="shared" si="4"/>
        <v>0</v>
      </c>
      <c r="J248" s="297">
        <f>IF(I248=0,0,I248/$I$507)</f>
        <v>0</v>
      </c>
      <c r="K248" s="89">
        <f>'🧮 Costos x Producto'!K248</f>
        <v>0</v>
      </c>
      <c r="L248" s="91">
        <f>'💰 Precio de Venta'!H249</f>
        <v>0</v>
      </c>
    </row>
    <row r="249" spans="4:12" ht="19.5" hidden="1" customHeight="1" x14ac:dyDescent="0.25">
      <c r="D249" s="92">
        <v>243</v>
      </c>
      <c r="E249" s="346"/>
      <c r="F249" s="347" t="s">
        <v>142</v>
      </c>
      <c r="G249" s="348">
        <v>0</v>
      </c>
      <c r="H249" s="349">
        <v>0</v>
      </c>
      <c r="I249" s="246">
        <f t="shared" si="4"/>
        <v>0</v>
      </c>
      <c r="J249" s="297">
        <f>IF(I249=0,0,I249/$I$507)</f>
        <v>0</v>
      </c>
      <c r="K249" s="89">
        <f>'🧮 Costos x Producto'!K249</f>
        <v>0</v>
      </c>
      <c r="L249" s="91">
        <f>'💰 Precio de Venta'!H250</f>
        <v>0</v>
      </c>
    </row>
    <row r="250" spans="4:12" ht="19.5" hidden="1" customHeight="1" x14ac:dyDescent="0.25">
      <c r="D250" s="92">
        <v>244</v>
      </c>
      <c r="E250" s="346"/>
      <c r="F250" s="347" t="s">
        <v>142</v>
      </c>
      <c r="G250" s="348">
        <v>0</v>
      </c>
      <c r="H250" s="349">
        <v>0</v>
      </c>
      <c r="I250" s="246">
        <f t="shared" si="4"/>
        <v>0</v>
      </c>
      <c r="J250" s="297">
        <f>IF(I250=0,0,I250/$I$507)</f>
        <v>0</v>
      </c>
      <c r="K250" s="89">
        <f>'🧮 Costos x Producto'!K250</f>
        <v>0</v>
      </c>
      <c r="L250" s="91">
        <f>'💰 Precio de Venta'!H251</f>
        <v>0</v>
      </c>
    </row>
    <row r="251" spans="4:12" ht="19.5" hidden="1" customHeight="1" x14ac:dyDescent="0.25">
      <c r="D251" s="92">
        <v>245</v>
      </c>
      <c r="E251" s="346"/>
      <c r="F251" s="347" t="s">
        <v>142</v>
      </c>
      <c r="G251" s="348">
        <v>0</v>
      </c>
      <c r="H251" s="349">
        <v>0</v>
      </c>
      <c r="I251" s="246">
        <f t="shared" si="4"/>
        <v>0</v>
      </c>
      <c r="J251" s="297">
        <f>IF(I251=0,0,I251/$I$507)</f>
        <v>0</v>
      </c>
      <c r="K251" s="89">
        <f>'🧮 Costos x Producto'!K251</f>
        <v>0</v>
      </c>
      <c r="L251" s="91">
        <f>'💰 Precio de Venta'!H252</f>
        <v>0</v>
      </c>
    </row>
    <row r="252" spans="4:12" ht="19.5" hidden="1" customHeight="1" x14ac:dyDescent="0.25">
      <c r="D252" s="92">
        <v>246</v>
      </c>
      <c r="E252" s="346"/>
      <c r="F252" s="347" t="s">
        <v>142</v>
      </c>
      <c r="G252" s="348">
        <v>0</v>
      </c>
      <c r="H252" s="349">
        <v>0</v>
      </c>
      <c r="I252" s="246">
        <f t="shared" si="4"/>
        <v>0</v>
      </c>
      <c r="J252" s="297">
        <f>IF(I252=0,0,I252/$I$507)</f>
        <v>0</v>
      </c>
      <c r="K252" s="89">
        <f>'🧮 Costos x Producto'!K252</f>
        <v>0</v>
      </c>
      <c r="L252" s="91">
        <f>'💰 Precio de Venta'!H253</f>
        <v>0</v>
      </c>
    </row>
    <row r="253" spans="4:12" ht="19.5" hidden="1" customHeight="1" x14ac:dyDescent="0.25">
      <c r="D253" s="92">
        <v>247</v>
      </c>
      <c r="E253" s="346"/>
      <c r="F253" s="347" t="s">
        <v>142</v>
      </c>
      <c r="G253" s="348">
        <v>0</v>
      </c>
      <c r="H253" s="349">
        <v>0</v>
      </c>
      <c r="I253" s="246">
        <f t="shared" si="4"/>
        <v>0</v>
      </c>
      <c r="J253" s="297">
        <f>IF(I253=0,0,I253/$I$507)</f>
        <v>0</v>
      </c>
      <c r="K253" s="89">
        <f>'🧮 Costos x Producto'!K253</f>
        <v>0</v>
      </c>
      <c r="L253" s="91">
        <f>'💰 Precio de Venta'!H254</f>
        <v>0</v>
      </c>
    </row>
    <row r="254" spans="4:12" ht="19.5" hidden="1" customHeight="1" x14ac:dyDescent="0.25">
      <c r="D254" s="92">
        <v>248</v>
      </c>
      <c r="E254" s="346"/>
      <c r="F254" s="347" t="s">
        <v>142</v>
      </c>
      <c r="G254" s="348">
        <v>0</v>
      </c>
      <c r="H254" s="349">
        <v>0</v>
      </c>
      <c r="I254" s="246">
        <f t="shared" si="4"/>
        <v>0</v>
      </c>
      <c r="J254" s="297">
        <f>IF(I254=0,0,I254/$I$507)</f>
        <v>0</v>
      </c>
      <c r="K254" s="89">
        <f>'🧮 Costos x Producto'!K254</f>
        <v>0</v>
      </c>
      <c r="L254" s="91">
        <f>'💰 Precio de Venta'!H255</f>
        <v>0</v>
      </c>
    </row>
    <row r="255" spans="4:12" ht="19.5" hidden="1" customHeight="1" x14ac:dyDescent="0.25">
      <c r="D255" s="92">
        <v>249</v>
      </c>
      <c r="E255" s="346"/>
      <c r="F255" s="347" t="s">
        <v>142</v>
      </c>
      <c r="G255" s="348">
        <v>0</v>
      </c>
      <c r="H255" s="349">
        <v>0</v>
      </c>
      <c r="I255" s="246">
        <f t="shared" si="4"/>
        <v>0</v>
      </c>
      <c r="J255" s="297">
        <f>IF(I255=0,0,I255/$I$507)</f>
        <v>0</v>
      </c>
      <c r="K255" s="89">
        <f>'🧮 Costos x Producto'!K255</f>
        <v>0</v>
      </c>
      <c r="L255" s="91">
        <f>'💰 Precio de Venta'!H256</f>
        <v>0</v>
      </c>
    </row>
    <row r="256" spans="4:12" ht="19.5" hidden="1" customHeight="1" x14ac:dyDescent="0.25">
      <c r="D256" s="92">
        <v>250</v>
      </c>
      <c r="E256" s="346"/>
      <c r="F256" s="347" t="s">
        <v>142</v>
      </c>
      <c r="G256" s="348">
        <v>0</v>
      </c>
      <c r="H256" s="349">
        <v>0</v>
      </c>
      <c r="I256" s="246">
        <f t="shared" si="4"/>
        <v>0</v>
      </c>
      <c r="J256" s="297">
        <f>IF(I256=0,0,I256/$I$507)</f>
        <v>0</v>
      </c>
      <c r="K256" s="89">
        <f>'🧮 Costos x Producto'!K256</f>
        <v>0</v>
      </c>
      <c r="L256" s="91">
        <f>'💰 Precio de Venta'!H257</f>
        <v>0</v>
      </c>
    </row>
    <row r="257" spans="4:12" ht="19.5" hidden="1" customHeight="1" x14ac:dyDescent="0.25">
      <c r="D257" s="92">
        <v>251</v>
      </c>
      <c r="E257" s="346"/>
      <c r="F257" s="347" t="s">
        <v>142</v>
      </c>
      <c r="G257" s="348">
        <v>0</v>
      </c>
      <c r="H257" s="349">
        <v>0</v>
      </c>
      <c r="I257" s="246">
        <f t="shared" si="4"/>
        <v>0</v>
      </c>
      <c r="J257" s="297">
        <f>IF(I257=0,0,I257/$I$507)</f>
        <v>0</v>
      </c>
      <c r="K257" s="89">
        <f>'🧮 Costos x Producto'!K257</f>
        <v>0</v>
      </c>
      <c r="L257" s="91">
        <f>'💰 Precio de Venta'!H258</f>
        <v>0</v>
      </c>
    </row>
    <row r="258" spans="4:12" ht="19.5" hidden="1" customHeight="1" x14ac:dyDescent="0.25">
      <c r="D258" s="92">
        <v>252</v>
      </c>
      <c r="E258" s="346"/>
      <c r="F258" s="347" t="s">
        <v>142</v>
      </c>
      <c r="G258" s="348">
        <v>0</v>
      </c>
      <c r="H258" s="349">
        <v>0</v>
      </c>
      <c r="I258" s="246">
        <f t="shared" si="4"/>
        <v>0</v>
      </c>
      <c r="J258" s="297">
        <f>IF(I258=0,0,I258/$I$507)</f>
        <v>0</v>
      </c>
      <c r="K258" s="89">
        <f>'🧮 Costos x Producto'!K258</f>
        <v>0</v>
      </c>
      <c r="L258" s="91">
        <f>'💰 Precio de Venta'!H259</f>
        <v>0</v>
      </c>
    </row>
    <row r="259" spans="4:12" ht="19.5" hidden="1" customHeight="1" x14ac:dyDescent="0.25">
      <c r="D259" s="92">
        <v>253</v>
      </c>
      <c r="E259" s="346"/>
      <c r="F259" s="347" t="s">
        <v>142</v>
      </c>
      <c r="G259" s="348">
        <v>0</v>
      </c>
      <c r="H259" s="349">
        <v>0</v>
      </c>
      <c r="I259" s="246">
        <f t="shared" si="4"/>
        <v>0</v>
      </c>
      <c r="J259" s="297">
        <f>IF(I259=0,0,I259/$I$507)</f>
        <v>0</v>
      </c>
      <c r="K259" s="89">
        <f>'🧮 Costos x Producto'!K259</f>
        <v>0</v>
      </c>
      <c r="L259" s="91">
        <f>'💰 Precio de Venta'!H260</f>
        <v>0</v>
      </c>
    </row>
    <row r="260" spans="4:12" ht="19.5" hidden="1" customHeight="1" x14ac:dyDescent="0.25">
      <c r="D260" s="92">
        <v>254</v>
      </c>
      <c r="E260" s="346"/>
      <c r="F260" s="347" t="s">
        <v>142</v>
      </c>
      <c r="G260" s="348">
        <v>0</v>
      </c>
      <c r="H260" s="349">
        <v>0</v>
      </c>
      <c r="I260" s="246">
        <f t="shared" si="4"/>
        <v>0</v>
      </c>
      <c r="J260" s="297">
        <f>IF(I260=0,0,I260/$I$507)</f>
        <v>0</v>
      </c>
      <c r="K260" s="89">
        <f>'🧮 Costos x Producto'!K260</f>
        <v>0</v>
      </c>
      <c r="L260" s="91">
        <f>'💰 Precio de Venta'!H261</f>
        <v>0</v>
      </c>
    </row>
    <row r="261" spans="4:12" ht="19.5" hidden="1" customHeight="1" x14ac:dyDescent="0.25">
      <c r="D261" s="92">
        <v>255</v>
      </c>
      <c r="E261" s="346"/>
      <c r="F261" s="347" t="s">
        <v>142</v>
      </c>
      <c r="G261" s="348">
        <v>0</v>
      </c>
      <c r="H261" s="349">
        <v>0</v>
      </c>
      <c r="I261" s="246">
        <f t="shared" si="4"/>
        <v>0</v>
      </c>
      <c r="J261" s="297">
        <f>IF(I261=0,0,I261/$I$507)</f>
        <v>0</v>
      </c>
      <c r="K261" s="89">
        <f>'🧮 Costos x Producto'!K261</f>
        <v>0</v>
      </c>
      <c r="L261" s="91">
        <f>'💰 Precio de Venta'!H262</f>
        <v>0</v>
      </c>
    </row>
    <row r="262" spans="4:12" ht="19.5" hidden="1" customHeight="1" x14ac:dyDescent="0.25">
      <c r="D262" s="92">
        <v>256</v>
      </c>
      <c r="E262" s="346"/>
      <c r="F262" s="347" t="s">
        <v>142</v>
      </c>
      <c r="G262" s="348">
        <v>0</v>
      </c>
      <c r="H262" s="349">
        <v>0</v>
      </c>
      <c r="I262" s="246">
        <f t="shared" si="4"/>
        <v>0</v>
      </c>
      <c r="J262" s="297">
        <f>IF(I262=0,0,I262/$I$507)</f>
        <v>0</v>
      </c>
      <c r="K262" s="89">
        <f>'🧮 Costos x Producto'!K262</f>
        <v>0</v>
      </c>
      <c r="L262" s="91">
        <f>'💰 Precio de Venta'!H263</f>
        <v>0</v>
      </c>
    </row>
    <row r="263" spans="4:12" ht="19.5" hidden="1" customHeight="1" x14ac:dyDescent="0.25">
      <c r="D263" s="92">
        <v>257</v>
      </c>
      <c r="E263" s="346"/>
      <c r="F263" s="347" t="s">
        <v>142</v>
      </c>
      <c r="G263" s="348">
        <v>0</v>
      </c>
      <c r="H263" s="349">
        <v>0</v>
      </c>
      <c r="I263" s="246">
        <f t="shared" si="4"/>
        <v>0</v>
      </c>
      <c r="J263" s="297">
        <f>IF(I263=0,0,I263/$I$507)</f>
        <v>0</v>
      </c>
      <c r="K263" s="89">
        <f>'🧮 Costos x Producto'!K263</f>
        <v>0</v>
      </c>
      <c r="L263" s="91">
        <f>'💰 Precio de Venta'!H264</f>
        <v>0</v>
      </c>
    </row>
    <row r="264" spans="4:12" ht="19.5" hidden="1" customHeight="1" x14ac:dyDescent="0.25">
      <c r="D264" s="92">
        <v>258</v>
      </c>
      <c r="E264" s="346"/>
      <c r="F264" s="347" t="s">
        <v>142</v>
      </c>
      <c r="G264" s="348">
        <v>0</v>
      </c>
      <c r="H264" s="349">
        <v>0</v>
      </c>
      <c r="I264" s="246">
        <f t="shared" si="4"/>
        <v>0</v>
      </c>
      <c r="J264" s="297">
        <f>IF(I264=0,0,I264/$I$507)</f>
        <v>0</v>
      </c>
      <c r="K264" s="89">
        <f>'🧮 Costos x Producto'!K264</f>
        <v>0</v>
      </c>
      <c r="L264" s="91">
        <f>'💰 Precio de Venta'!H265</f>
        <v>0</v>
      </c>
    </row>
    <row r="265" spans="4:12" ht="19.5" hidden="1" customHeight="1" x14ac:dyDescent="0.25">
      <c r="D265" s="92">
        <v>259</v>
      </c>
      <c r="E265" s="346"/>
      <c r="F265" s="347" t="s">
        <v>142</v>
      </c>
      <c r="G265" s="348">
        <v>0</v>
      </c>
      <c r="H265" s="349">
        <v>0</v>
      </c>
      <c r="I265" s="246">
        <f t="shared" si="4"/>
        <v>0</v>
      </c>
      <c r="J265" s="297">
        <f>IF(I265=0,0,I265/$I$507)</f>
        <v>0</v>
      </c>
      <c r="K265" s="89">
        <f>'🧮 Costos x Producto'!K265</f>
        <v>0</v>
      </c>
      <c r="L265" s="91">
        <f>'💰 Precio de Venta'!H266</f>
        <v>0</v>
      </c>
    </row>
    <row r="266" spans="4:12" ht="19.5" hidden="1" customHeight="1" x14ac:dyDescent="0.25">
      <c r="D266" s="92">
        <v>260</v>
      </c>
      <c r="E266" s="346"/>
      <c r="F266" s="347" t="s">
        <v>142</v>
      </c>
      <c r="G266" s="348">
        <v>0</v>
      </c>
      <c r="H266" s="349">
        <v>0</v>
      </c>
      <c r="I266" s="246">
        <f t="shared" si="4"/>
        <v>0</v>
      </c>
      <c r="J266" s="297">
        <f>IF(I266=0,0,I266/$I$507)</f>
        <v>0</v>
      </c>
      <c r="K266" s="89">
        <f>'🧮 Costos x Producto'!K266</f>
        <v>0</v>
      </c>
      <c r="L266" s="91">
        <f>'💰 Precio de Venta'!H267</f>
        <v>0</v>
      </c>
    </row>
    <row r="267" spans="4:12" ht="19.5" hidden="1" customHeight="1" x14ac:dyDescent="0.25">
      <c r="D267" s="92">
        <v>261</v>
      </c>
      <c r="E267" s="346"/>
      <c r="F267" s="347" t="s">
        <v>142</v>
      </c>
      <c r="G267" s="348">
        <v>0</v>
      </c>
      <c r="H267" s="349">
        <v>0</v>
      </c>
      <c r="I267" s="246">
        <f t="shared" si="4"/>
        <v>0</v>
      </c>
      <c r="J267" s="297">
        <f>IF(I267=0,0,I267/$I$507)</f>
        <v>0</v>
      </c>
      <c r="K267" s="89">
        <f>'🧮 Costos x Producto'!K267</f>
        <v>0</v>
      </c>
      <c r="L267" s="91">
        <f>'💰 Precio de Venta'!H268</f>
        <v>0</v>
      </c>
    </row>
    <row r="268" spans="4:12" ht="19.5" hidden="1" customHeight="1" x14ac:dyDescent="0.25">
      <c r="D268" s="92">
        <v>262</v>
      </c>
      <c r="E268" s="346"/>
      <c r="F268" s="347" t="s">
        <v>142</v>
      </c>
      <c r="G268" s="348">
        <v>0</v>
      </c>
      <c r="H268" s="349">
        <v>0</v>
      </c>
      <c r="I268" s="246">
        <f t="shared" si="4"/>
        <v>0</v>
      </c>
      <c r="J268" s="297">
        <f>IF(I268=0,0,I268/$I$507)</f>
        <v>0</v>
      </c>
      <c r="K268" s="89">
        <f>'🧮 Costos x Producto'!K268</f>
        <v>0</v>
      </c>
      <c r="L268" s="91">
        <f>'💰 Precio de Venta'!H269</f>
        <v>0</v>
      </c>
    </row>
    <row r="269" spans="4:12" ht="19.5" hidden="1" customHeight="1" x14ac:dyDescent="0.25">
      <c r="D269" s="92">
        <v>263</v>
      </c>
      <c r="E269" s="346"/>
      <c r="F269" s="347" t="s">
        <v>142</v>
      </c>
      <c r="G269" s="348">
        <v>0</v>
      </c>
      <c r="H269" s="349">
        <v>0</v>
      </c>
      <c r="I269" s="246">
        <f t="shared" si="4"/>
        <v>0</v>
      </c>
      <c r="J269" s="297">
        <f>IF(I269=0,0,I269/$I$507)</f>
        <v>0</v>
      </c>
      <c r="K269" s="89">
        <f>'🧮 Costos x Producto'!K269</f>
        <v>0</v>
      </c>
      <c r="L269" s="91">
        <f>'💰 Precio de Venta'!H270</f>
        <v>0</v>
      </c>
    </row>
    <row r="270" spans="4:12" ht="19.5" hidden="1" customHeight="1" x14ac:dyDescent="0.25">
      <c r="D270" s="92">
        <v>264</v>
      </c>
      <c r="E270" s="346"/>
      <c r="F270" s="347" t="s">
        <v>142</v>
      </c>
      <c r="G270" s="348">
        <v>0</v>
      </c>
      <c r="H270" s="349">
        <v>0</v>
      </c>
      <c r="I270" s="246">
        <f t="shared" si="4"/>
        <v>0</v>
      </c>
      <c r="J270" s="297">
        <f>IF(I270=0,0,I270/$I$507)</f>
        <v>0</v>
      </c>
      <c r="K270" s="89">
        <f>'🧮 Costos x Producto'!K270</f>
        <v>0</v>
      </c>
      <c r="L270" s="91">
        <f>'💰 Precio de Venta'!H271</f>
        <v>0</v>
      </c>
    </row>
    <row r="271" spans="4:12" ht="19.5" hidden="1" customHeight="1" x14ac:dyDescent="0.25">
      <c r="D271" s="92">
        <v>265</v>
      </c>
      <c r="E271" s="346"/>
      <c r="F271" s="347" t="s">
        <v>142</v>
      </c>
      <c r="G271" s="348">
        <v>0</v>
      </c>
      <c r="H271" s="349">
        <v>0</v>
      </c>
      <c r="I271" s="246">
        <f t="shared" si="4"/>
        <v>0</v>
      </c>
      <c r="J271" s="297">
        <f>IF(I271=0,0,I271/$I$507)</f>
        <v>0</v>
      </c>
      <c r="K271" s="89">
        <f>'🧮 Costos x Producto'!K271</f>
        <v>0</v>
      </c>
      <c r="L271" s="91">
        <f>'💰 Precio de Venta'!H272</f>
        <v>0</v>
      </c>
    </row>
    <row r="272" spans="4:12" ht="19.5" hidden="1" customHeight="1" x14ac:dyDescent="0.25">
      <c r="D272" s="92">
        <v>266</v>
      </c>
      <c r="E272" s="346"/>
      <c r="F272" s="347" t="s">
        <v>142</v>
      </c>
      <c r="G272" s="348">
        <v>0</v>
      </c>
      <c r="H272" s="349">
        <v>0</v>
      </c>
      <c r="I272" s="246">
        <f t="shared" si="4"/>
        <v>0</v>
      </c>
      <c r="J272" s="297">
        <f>IF(I272=0,0,I272/$I$507)</f>
        <v>0</v>
      </c>
      <c r="K272" s="89">
        <f>'🧮 Costos x Producto'!K272</f>
        <v>0</v>
      </c>
      <c r="L272" s="91">
        <f>'💰 Precio de Venta'!H273</f>
        <v>0</v>
      </c>
    </row>
    <row r="273" spans="4:12" ht="19.5" hidden="1" customHeight="1" x14ac:dyDescent="0.25">
      <c r="D273" s="92">
        <v>267</v>
      </c>
      <c r="E273" s="346"/>
      <c r="F273" s="347" t="s">
        <v>142</v>
      </c>
      <c r="G273" s="348">
        <v>0</v>
      </c>
      <c r="H273" s="349">
        <v>0</v>
      </c>
      <c r="I273" s="246">
        <f t="shared" si="4"/>
        <v>0</v>
      </c>
      <c r="J273" s="297">
        <f>IF(I273=0,0,I273/$I$507)</f>
        <v>0</v>
      </c>
      <c r="K273" s="89">
        <f>'🧮 Costos x Producto'!K273</f>
        <v>0</v>
      </c>
      <c r="L273" s="91">
        <f>'💰 Precio de Venta'!H274</f>
        <v>0</v>
      </c>
    </row>
    <row r="274" spans="4:12" ht="19.5" hidden="1" customHeight="1" x14ac:dyDescent="0.25">
      <c r="D274" s="92">
        <v>268</v>
      </c>
      <c r="E274" s="346"/>
      <c r="F274" s="347" t="s">
        <v>142</v>
      </c>
      <c r="G274" s="348">
        <v>0</v>
      </c>
      <c r="H274" s="349">
        <v>0</v>
      </c>
      <c r="I274" s="246">
        <f t="shared" si="4"/>
        <v>0</v>
      </c>
      <c r="J274" s="297">
        <f>IF(I274=0,0,I274/$I$507)</f>
        <v>0</v>
      </c>
      <c r="K274" s="89">
        <f>'🧮 Costos x Producto'!K274</f>
        <v>0</v>
      </c>
      <c r="L274" s="91">
        <f>'💰 Precio de Venta'!H275</f>
        <v>0</v>
      </c>
    </row>
    <row r="275" spans="4:12" ht="19.5" hidden="1" customHeight="1" x14ac:dyDescent="0.25">
      <c r="D275" s="92">
        <v>269</v>
      </c>
      <c r="E275" s="346"/>
      <c r="F275" s="347" t="s">
        <v>142</v>
      </c>
      <c r="G275" s="348">
        <v>0</v>
      </c>
      <c r="H275" s="349">
        <v>0</v>
      </c>
      <c r="I275" s="246">
        <f t="shared" si="4"/>
        <v>0</v>
      </c>
      <c r="J275" s="297">
        <f>IF(I275=0,0,I275/$I$507)</f>
        <v>0</v>
      </c>
      <c r="K275" s="89">
        <f>'🧮 Costos x Producto'!K275</f>
        <v>0</v>
      </c>
      <c r="L275" s="91">
        <f>'💰 Precio de Venta'!H276</f>
        <v>0</v>
      </c>
    </row>
    <row r="276" spans="4:12" ht="19.5" hidden="1" customHeight="1" x14ac:dyDescent="0.25">
      <c r="D276" s="92">
        <v>270</v>
      </c>
      <c r="E276" s="346"/>
      <c r="F276" s="347" t="s">
        <v>142</v>
      </c>
      <c r="G276" s="348">
        <v>0</v>
      </c>
      <c r="H276" s="349">
        <v>0</v>
      </c>
      <c r="I276" s="246">
        <f t="shared" si="4"/>
        <v>0</v>
      </c>
      <c r="J276" s="297">
        <f>IF(I276=0,0,I276/$I$507)</f>
        <v>0</v>
      </c>
      <c r="K276" s="89">
        <f>'🧮 Costos x Producto'!K276</f>
        <v>0</v>
      </c>
      <c r="L276" s="91">
        <f>'💰 Precio de Venta'!H277</f>
        <v>0</v>
      </c>
    </row>
    <row r="277" spans="4:12" ht="19.5" hidden="1" customHeight="1" x14ac:dyDescent="0.25">
      <c r="D277" s="92">
        <v>271</v>
      </c>
      <c r="E277" s="346"/>
      <c r="F277" s="347" t="s">
        <v>142</v>
      </c>
      <c r="G277" s="348">
        <v>0</v>
      </c>
      <c r="H277" s="349">
        <v>0</v>
      </c>
      <c r="I277" s="246">
        <f t="shared" si="4"/>
        <v>0</v>
      </c>
      <c r="J277" s="297">
        <f>IF(I277=0,0,I277/$I$507)</f>
        <v>0</v>
      </c>
      <c r="K277" s="89">
        <f>'🧮 Costos x Producto'!K277</f>
        <v>0</v>
      </c>
      <c r="L277" s="91">
        <f>'💰 Precio de Venta'!H278</f>
        <v>0</v>
      </c>
    </row>
    <row r="278" spans="4:12" ht="19.5" hidden="1" customHeight="1" x14ac:dyDescent="0.25">
      <c r="D278" s="92">
        <v>272</v>
      </c>
      <c r="E278" s="346"/>
      <c r="F278" s="347" t="s">
        <v>142</v>
      </c>
      <c r="G278" s="348">
        <v>0</v>
      </c>
      <c r="H278" s="349">
        <v>0</v>
      </c>
      <c r="I278" s="246">
        <f t="shared" si="4"/>
        <v>0</v>
      </c>
      <c r="J278" s="297">
        <f>IF(I278=0,0,I278/$I$507)</f>
        <v>0</v>
      </c>
      <c r="K278" s="89">
        <f>'🧮 Costos x Producto'!K278</f>
        <v>0</v>
      </c>
      <c r="L278" s="91">
        <f>'💰 Precio de Venta'!H279</f>
        <v>0</v>
      </c>
    </row>
    <row r="279" spans="4:12" ht="19.5" hidden="1" customHeight="1" x14ac:dyDescent="0.25">
      <c r="D279" s="92">
        <v>273</v>
      </c>
      <c r="E279" s="346"/>
      <c r="F279" s="347" t="s">
        <v>142</v>
      </c>
      <c r="G279" s="348">
        <v>0</v>
      </c>
      <c r="H279" s="349">
        <v>0</v>
      </c>
      <c r="I279" s="246">
        <f t="shared" si="4"/>
        <v>0</v>
      </c>
      <c r="J279" s="297">
        <f>IF(I279=0,0,I279/$I$507)</f>
        <v>0</v>
      </c>
      <c r="K279" s="89">
        <f>'🧮 Costos x Producto'!K279</f>
        <v>0</v>
      </c>
      <c r="L279" s="91">
        <f>'💰 Precio de Venta'!H280</f>
        <v>0</v>
      </c>
    </row>
    <row r="280" spans="4:12" ht="19.5" hidden="1" customHeight="1" x14ac:dyDescent="0.25">
      <c r="D280" s="92">
        <v>274</v>
      </c>
      <c r="E280" s="346"/>
      <c r="F280" s="347" t="s">
        <v>142</v>
      </c>
      <c r="G280" s="348">
        <v>0</v>
      </c>
      <c r="H280" s="349">
        <v>0</v>
      </c>
      <c r="I280" s="246">
        <f t="shared" si="4"/>
        <v>0</v>
      </c>
      <c r="J280" s="297">
        <f>IF(I280=0,0,I280/$I$507)</f>
        <v>0</v>
      </c>
      <c r="K280" s="89">
        <f>'🧮 Costos x Producto'!K280</f>
        <v>0</v>
      </c>
      <c r="L280" s="91">
        <f>'💰 Precio de Venta'!H281</f>
        <v>0</v>
      </c>
    </row>
    <row r="281" spans="4:12" ht="19.5" hidden="1" customHeight="1" x14ac:dyDescent="0.25">
      <c r="D281" s="92">
        <v>275</v>
      </c>
      <c r="E281" s="346"/>
      <c r="F281" s="347" t="s">
        <v>142</v>
      </c>
      <c r="G281" s="348">
        <v>0</v>
      </c>
      <c r="H281" s="349">
        <v>0</v>
      </c>
      <c r="I281" s="246">
        <f t="shared" si="4"/>
        <v>0</v>
      </c>
      <c r="J281" s="297">
        <f>IF(I281=0,0,I281/$I$507)</f>
        <v>0</v>
      </c>
      <c r="K281" s="89">
        <f>'🧮 Costos x Producto'!K281</f>
        <v>0</v>
      </c>
      <c r="L281" s="91">
        <f>'💰 Precio de Venta'!H282</f>
        <v>0</v>
      </c>
    </row>
    <row r="282" spans="4:12" ht="19.5" hidden="1" customHeight="1" x14ac:dyDescent="0.25">
      <c r="D282" s="92">
        <v>276</v>
      </c>
      <c r="E282" s="346"/>
      <c r="F282" s="347" t="s">
        <v>142</v>
      </c>
      <c r="G282" s="348">
        <v>0</v>
      </c>
      <c r="H282" s="349">
        <v>0</v>
      </c>
      <c r="I282" s="246">
        <f t="shared" si="4"/>
        <v>0</v>
      </c>
      <c r="J282" s="297">
        <f>IF(I282=0,0,I282/$I$507)</f>
        <v>0</v>
      </c>
      <c r="K282" s="89">
        <f>'🧮 Costos x Producto'!K282</f>
        <v>0</v>
      </c>
      <c r="L282" s="91">
        <f>'💰 Precio de Venta'!H283</f>
        <v>0</v>
      </c>
    </row>
    <row r="283" spans="4:12" ht="19.5" hidden="1" customHeight="1" x14ac:dyDescent="0.25">
      <c r="D283" s="92">
        <v>277</v>
      </c>
      <c r="E283" s="346"/>
      <c r="F283" s="347" t="s">
        <v>142</v>
      </c>
      <c r="G283" s="348">
        <v>0</v>
      </c>
      <c r="H283" s="349">
        <v>0</v>
      </c>
      <c r="I283" s="246">
        <f t="shared" si="4"/>
        <v>0</v>
      </c>
      <c r="J283" s="297">
        <f>IF(I283=0,0,I283/$I$507)</f>
        <v>0</v>
      </c>
      <c r="K283" s="89">
        <f>'🧮 Costos x Producto'!K283</f>
        <v>0</v>
      </c>
      <c r="L283" s="91">
        <f>'💰 Precio de Venta'!H284</f>
        <v>0</v>
      </c>
    </row>
    <row r="284" spans="4:12" ht="19.5" hidden="1" customHeight="1" x14ac:dyDescent="0.25">
      <c r="D284" s="92">
        <v>278</v>
      </c>
      <c r="E284" s="346"/>
      <c r="F284" s="347" t="s">
        <v>142</v>
      </c>
      <c r="G284" s="348">
        <v>0</v>
      </c>
      <c r="H284" s="349">
        <v>0</v>
      </c>
      <c r="I284" s="246">
        <f t="shared" si="4"/>
        <v>0</v>
      </c>
      <c r="J284" s="297">
        <f>IF(I284=0,0,I284/$I$507)</f>
        <v>0</v>
      </c>
      <c r="K284" s="89">
        <f>'🧮 Costos x Producto'!K284</f>
        <v>0</v>
      </c>
      <c r="L284" s="91">
        <f>'💰 Precio de Venta'!H285</f>
        <v>0</v>
      </c>
    </row>
    <row r="285" spans="4:12" ht="19.5" hidden="1" customHeight="1" x14ac:dyDescent="0.25">
      <c r="D285" s="92">
        <v>279</v>
      </c>
      <c r="E285" s="346"/>
      <c r="F285" s="347" t="s">
        <v>142</v>
      </c>
      <c r="G285" s="348">
        <v>0</v>
      </c>
      <c r="H285" s="349">
        <v>0</v>
      </c>
      <c r="I285" s="246">
        <f t="shared" si="4"/>
        <v>0</v>
      </c>
      <c r="J285" s="297">
        <f>IF(I285=0,0,I285/$I$507)</f>
        <v>0</v>
      </c>
      <c r="K285" s="89">
        <f>'🧮 Costos x Producto'!K285</f>
        <v>0</v>
      </c>
      <c r="L285" s="91">
        <f>'💰 Precio de Venta'!H286</f>
        <v>0</v>
      </c>
    </row>
    <row r="286" spans="4:12" ht="19.5" hidden="1" customHeight="1" x14ac:dyDescent="0.25">
      <c r="D286" s="92">
        <v>280</v>
      </c>
      <c r="E286" s="346"/>
      <c r="F286" s="347" t="s">
        <v>142</v>
      </c>
      <c r="G286" s="348">
        <v>0</v>
      </c>
      <c r="H286" s="349">
        <v>0</v>
      </c>
      <c r="I286" s="246">
        <f t="shared" si="4"/>
        <v>0</v>
      </c>
      <c r="J286" s="297">
        <f>IF(I286=0,0,I286/$I$507)</f>
        <v>0</v>
      </c>
      <c r="K286" s="89">
        <f>'🧮 Costos x Producto'!K286</f>
        <v>0</v>
      </c>
      <c r="L286" s="91">
        <f>'💰 Precio de Venta'!H287</f>
        <v>0</v>
      </c>
    </row>
    <row r="287" spans="4:12" ht="19.5" hidden="1" customHeight="1" x14ac:dyDescent="0.25">
      <c r="D287" s="92">
        <v>281</v>
      </c>
      <c r="E287" s="346"/>
      <c r="F287" s="347" t="s">
        <v>142</v>
      </c>
      <c r="G287" s="348">
        <v>0</v>
      </c>
      <c r="H287" s="349">
        <v>0</v>
      </c>
      <c r="I287" s="246">
        <f t="shared" si="4"/>
        <v>0</v>
      </c>
      <c r="J287" s="297">
        <f>IF(I287=0,0,I287/$I$507)</f>
        <v>0</v>
      </c>
      <c r="K287" s="89">
        <f>'🧮 Costos x Producto'!K287</f>
        <v>0</v>
      </c>
      <c r="L287" s="91">
        <f>'💰 Precio de Venta'!H288</f>
        <v>0</v>
      </c>
    </row>
    <row r="288" spans="4:12" ht="19.5" hidden="1" customHeight="1" x14ac:dyDescent="0.25">
      <c r="D288" s="92">
        <v>282</v>
      </c>
      <c r="E288" s="346"/>
      <c r="F288" s="347" t="s">
        <v>142</v>
      </c>
      <c r="G288" s="348">
        <v>0</v>
      </c>
      <c r="H288" s="349">
        <v>0</v>
      </c>
      <c r="I288" s="246">
        <f t="shared" si="4"/>
        <v>0</v>
      </c>
      <c r="J288" s="297">
        <f>IF(I288=0,0,I288/$I$507)</f>
        <v>0</v>
      </c>
      <c r="K288" s="89">
        <f>'🧮 Costos x Producto'!K288</f>
        <v>0</v>
      </c>
      <c r="L288" s="91">
        <f>'💰 Precio de Venta'!H289</f>
        <v>0</v>
      </c>
    </row>
    <row r="289" spans="4:12" ht="19.5" hidden="1" customHeight="1" x14ac:dyDescent="0.25">
      <c r="D289" s="92">
        <v>283</v>
      </c>
      <c r="E289" s="346"/>
      <c r="F289" s="347" t="s">
        <v>142</v>
      </c>
      <c r="G289" s="348">
        <v>0</v>
      </c>
      <c r="H289" s="349">
        <v>0</v>
      </c>
      <c r="I289" s="246">
        <f t="shared" si="4"/>
        <v>0</v>
      </c>
      <c r="J289" s="297">
        <f>IF(I289=0,0,I289/$I$507)</f>
        <v>0</v>
      </c>
      <c r="K289" s="89">
        <f>'🧮 Costos x Producto'!K289</f>
        <v>0</v>
      </c>
      <c r="L289" s="91">
        <f>'💰 Precio de Venta'!H290</f>
        <v>0</v>
      </c>
    </row>
    <row r="290" spans="4:12" ht="19.5" hidden="1" customHeight="1" x14ac:dyDescent="0.25">
      <c r="D290" s="92">
        <v>284</v>
      </c>
      <c r="E290" s="346"/>
      <c r="F290" s="347" t="s">
        <v>142</v>
      </c>
      <c r="G290" s="348">
        <v>0</v>
      </c>
      <c r="H290" s="349">
        <v>0</v>
      </c>
      <c r="I290" s="246">
        <f t="shared" si="4"/>
        <v>0</v>
      </c>
      <c r="J290" s="297">
        <f>IF(I290=0,0,I290/$I$507)</f>
        <v>0</v>
      </c>
      <c r="K290" s="89">
        <f>'🧮 Costos x Producto'!K290</f>
        <v>0</v>
      </c>
      <c r="L290" s="91">
        <f>'💰 Precio de Venta'!H291</f>
        <v>0</v>
      </c>
    </row>
    <row r="291" spans="4:12" ht="19.5" hidden="1" customHeight="1" x14ac:dyDescent="0.25">
      <c r="D291" s="92">
        <v>285</v>
      </c>
      <c r="E291" s="346"/>
      <c r="F291" s="347" t="s">
        <v>142</v>
      </c>
      <c r="G291" s="348">
        <v>0</v>
      </c>
      <c r="H291" s="349">
        <v>0</v>
      </c>
      <c r="I291" s="246">
        <f t="shared" si="4"/>
        <v>0</v>
      </c>
      <c r="J291" s="297">
        <f>IF(I291=0,0,I291/$I$507)</f>
        <v>0</v>
      </c>
      <c r="K291" s="89">
        <f>'🧮 Costos x Producto'!K291</f>
        <v>0</v>
      </c>
      <c r="L291" s="91">
        <f>'💰 Precio de Venta'!H292</f>
        <v>0</v>
      </c>
    </row>
    <row r="292" spans="4:12" ht="19.5" hidden="1" customHeight="1" x14ac:dyDescent="0.25">
      <c r="D292" s="92">
        <v>286</v>
      </c>
      <c r="E292" s="346"/>
      <c r="F292" s="347" t="s">
        <v>142</v>
      </c>
      <c r="G292" s="348">
        <v>0</v>
      </c>
      <c r="H292" s="349">
        <v>0</v>
      </c>
      <c r="I292" s="246">
        <f t="shared" si="4"/>
        <v>0</v>
      </c>
      <c r="J292" s="297">
        <f>IF(I292=0,0,I292/$I$507)</f>
        <v>0</v>
      </c>
      <c r="K292" s="89">
        <f>'🧮 Costos x Producto'!K292</f>
        <v>0</v>
      </c>
      <c r="L292" s="91">
        <f>'💰 Precio de Venta'!H293</f>
        <v>0</v>
      </c>
    </row>
    <row r="293" spans="4:12" ht="19.5" hidden="1" customHeight="1" x14ac:dyDescent="0.25">
      <c r="D293" s="92">
        <v>287</v>
      </c>
      <c r="E293" s="346"/>
      <c r="F293" s="347" t="s">
        <v>142</v>
      </c>
      <c r="G293" s="348">
        <v>0</v>
      </c>
      <c r="H293" s="349">
        <v>0</v>
      </c>
      <c r="I293" s="246">
        <f t="shared" ref="I293:I356" si="5">IF(G293=0,0,G293*H293)</f>
        <v>0</v>
      </c>
      <c r="J293" s="297">
        <f>IF(I293=0,0,I293/$I$507)</f>
        <v>0</v>
      </c>
      <c r="K293" s="89">
        <f>'🧮 Costos x Producto'!K293</f>
        <v>0</v>
      </c>
      <c r="L293" s="91">
        <f>'💰 Precio de Venta'!H294</f>
        <v>0</v>
      </c>
    </row>
    <row r="294" spans="4:12" ht="19.5" hidden="1" customHeight="1" x14ac:dyDescent="0.25">
      <c r="D294" s="92">
        <v>288</v>
      </c>
      <c r="E294" s="346"/>
      <c r="F294" s="347" t="s">
        <v>142</v>
      </c>
      <c r="G294" s="348">
        <v>0</v>
      </c>
      <c r="H294" s="349">
        <v>0</v>
      </c>
      <c r="I294" s="246">
        <f t="shared" si="5"/>
        <v>0</v>
      </c>
      <c r="J294" s="297">
        <f>IF(I294=0,0,I294/$I$507)</f>
        <v>0</v>
      </c>
      <c r="K294" s="89">
        <f>'🧮 Costos x Producto'!K294</f>
        <v>0</v>
      </c>
      <c r="L294" s="91">
        <f>'💰 Precio de Venta'!H295</f>
        <v>0</v>
      </c>
    </row>
    <row r="295" spans="4:12" ht="19.5" hidden="1" customHeight="1" x14ac:dyDescent="0.25">
      <c r="D295" s="92">
        <v>289</v>
      </c>
      <c r="E295" s="346"/>
      <c r="F295" s="347" t="s">
        <v>142</v>
      </c>
      <c r="G295" s="348">
        <v>0</v>
      </c>
      <c r="H295" s="349">
        <v>0</v>
      </c>
      <c r="I295" s="246">
        <f t="shared" si="5"/>
        <v>0</v>
      </c>
      <c r="J295" s="297">
        <f>IF(I295=0,0,I295/$I$507)</f>
        <v>0</v>
      </c>
      <c r="K295" s="89">
        <f>'🧮 Costos x Producto'!K295</f>
        <v>0</v>
      </c>
      <c r="L295" s="91">
        <f>'💰 Precio de Venta'!H296</f>
        <v>0</v>
      </c>
    </row>
    <row r="296" spans="4:12" ht="19.5" hidden="1" customHeight="1" x14ac:dyDescent="0.25">
      <c r="D296" s="92">
        <v>290</v>
      </c>
      <c r="E296" s="346"/>
      <c r="F296" s="347" t="s">
        <v>142</v>
      </c>
      <c r="G296" s="348">
        <v>0</v>
      </c>
      <c r="H296" s="349">
        <v>0</v>
      </c>
      <c r="I296" s="246">
        <f t="shared" si="5"/>
        <v>0</v>
      </c>
      <c r="J296" s="297">
        <f>IF(I296=0,0,I296/$I$507)</f>
        <v>0</v>
      </c>
      <c r="K296" s="89">
        <f>'🧮 Costos x Producto'!K296</f>
        <v>0</v>
      </c>
      <c r="L296" s="91">
        <f>'💰 Precio de Venta'!H297</f>
        <v>0</v>
      </c>
    </row>
    <row r="297" spans="4:12" ht="19.5" hidden="1" customHeight="1" x14ac:dyDescent="0.25">
      <c r="D297" s="92">
        <v>291</v>
      </c>
      <c r="E297" s="346"/>
      <c r="F297" s="347" t="s">
        <v>142</v>
      </c>
      <c r="G297" s="348">
        <v>0</v>
      </c>
      <c r="H297" s="349">
        <v>0</v>
      </c>
      <c r="I297" s="246">
        <f t="shared" si="5"/>
        <v>0</v>
      </c>
      <c r="J297" s="297">
        <f>IF(I297=0,0,I297/$I$507)</f>
        <v>0</v>
      </c>
      <c r="K297" s="89">
        <f>'🧮 Costos x Producto'!K297</f>
        <v>0</v>
      </c>
      <c r="L297" s="91">
        <f>'💰 Precio de Venta'!H298</f>
        <v>0</v>
      </c>
    </row>
    <row r="298" spans="4:12" ht="19.5" hidden="1" customHeight="1" x14ac:dyDescent="0.25">
      <c r="D298" s="92">
        <v>292</v>
      </c>
      <c r="E298" s="346"/>
      <c r="F298" s="347" t="s">
        <v>142</v>
      </c>
      <c r="G298" s="348">
        <v>0</v>
      </c>
      <c r="H298" s="349">
        <v>0</v>
      </c>
      <c r="I298" s="246">
        <f t="shared" si="5"/>
        <v>0</v>
      </c>
      <c r="J298" s="297">
        <f>IF(I298=0,0,I298/$I$507)</f>
        <v>0</v>
      </c>
      <c r="K298" s="89">
        <f>'🧮 Costos x Producto'!K298</f>
        <v>0</v>
      </c>
      <c r="L298" s="91">
        <f>'💰 Precio de Venta'!H299</f>
        <v>0</v>
      </c>
    </row>
    <row r="299" spans="4:12" ht="19.5" hidden="1" customHeight="1" x14ac:dyDescent="0.25">
      <c r="D299" s="92">
        <v>293</v>
      </c>
      <c r="E299" s="346"/>
      <c r="F299" s="347" t="s">
        <v>142</v>
      </c>
      <c r="G299" s="348">
        <v>0</v>
      </c>
      <c r="H299" s="349">
        <v>0</v>
      </c>
      <c r="I299" s="246">
        <f t="shared" si="5"/>
        <v>0</v>
      </c>
      <c r="J299" s="297">
        <f>IF(I299=0,0,I299/$I$507)</f>
        <v>0</v>
      </c>
      <c r="K299" s="89">
        <f>'🧮 Costos x Producto'!K299</f>
        <v>0</v>
      </c>
      <c r="L299" s="91">
        <f>'💰 Precio de Venta'!H300</f>
        <v>0</v>
      </c>
    </row>
    <row r="300" spans="4:12" ht="19.5" hidden="1" customHeight="1" x14ac:dyDescent="0.25">
      <c r="D300" s="92">
        <v>294</v>
      </c>
      <c r="E300" s="346"/>
      <c r="F300" s="347" t="s">
        <v>142</v>
      </c>
      <c r="G300" s="348">
        <v>0</v>
      </c>
      <c r="H300" s="349">
        <v>0</v>
      </c>
      <c r="I300" s="246">
        <f t="shared" si="5"/>
        <v>0</v>
      </c>
      <c r="J300" s="297">
        <f>IF(I300=0,0,I300/$I$507)</f>
        <v>0</v>
      </c>
      <c r="K300" s="89">
        <f>'🧮 Costos x Producto'!K300</f>
        <v>0</v>
      </c>
      <c r="L300" s="91">
        <f>'💰 Precio de Venta'!H301</f>
        <v>0</v>
      </c>
    </row>
    <row r="301" spans="4:12" ht="19.5" hidden="1" customHeight="1" x14ac:dyDescent="0.25">
      <c r="D301" s="92">
        <v>295</v>
      </c>
      <c r="E301" s="346"/>
      <c r="F301" s="347" t="s">
        <v>142</v>
      </c>
      <c r="G301" s="348">
        <v>0</v>
      </c>
      <c r="H301" s="349">
        <v>0</v>
      </c>
      <c r="I301" s="246">
        <f t="shared" si="5"/>
        <v>0</v>
      </c>
      <c r="J301" s="297">
        <f>IF(I301=0,0,I301/$I$507)</f>
        <v>0</v>
      </c>
      <c r="K301" s="89">
        <f>'🧮 Costos x Producto'!K301</f>
        <v>0</v>
      </c>
      <c r="L301" s="91">
        <f>'💰 Precio de Venta'!H302</f>
        <v>0</v>
      </c>
    </row>
    <row r="302" spans="4:12" ht="19.5" hidden="1" customHeight="1" x14ac:dyDescent="0.25">
      <c r="D302" s="92">
        <v>296</v>
      </c>
      <c r="E302" s="346"/>
      <c r="F302" s="347" t="s">
        <v>142</v>
      </c>
      <c r="G302" s="348">
        <v>0</v>
      </c>
      <c r="H302" s="349">
        <v>0</v>
      </c>
      <c r="I302" s="246">
        <f t="shared" si="5"/>
        <v>0</v>
      </c>
      <c r="J302" s="297">
        <f>IF(I302=0,0,I302/$I$507)</f>
        <v>0</v>
      </c>
      <c r="K302" s="89">
        <f>'🧮 Costos x Producto'!K302</f>
        <v>0</v>
      </c>
      <c r="L302" s="91">
        <f>'💰 Precio de Venta'!H303</f>
        <v>0</v>
      </c>
    </row>
    <row r="303" spans="4:12" ht="19.5" hidden="1" customHeight="1" x14ac:dyDescent="0.25">
      <c r="D303" s="92">
        <v>297</v>
      </c>
      <c r="E303" s="346"/>
      <c r="F303" s="347" t="s">
        <v>142</v>
      </c>
      <c r="G303" s="348">
        <v>0</v>
      </c>
      <c r="H303" s="349">
        <v>0</v>
      </c>
      <c r="I303" s="246">
        <f t="shared" si="5"/>
        <v>0</v>
      </c>
      <c r="J303" s="297">
        <f>IF(I303=0,0,I303/$I$507)</f>
        <v>0</v>
      </c>
      <c r="K303" s="89">
        <f>'🧮 Costos x Producto'!K303</f>
        <v>0</v>
      </c>
      <c r="L303" s="91">
        <f>'💰 Precio de Venta'!H304</f>
        <v>0</v>
      </c>
    </row>
    <row r="304" spans="4:12" ht="19.5" hidden="1" customHeight="1" x14ac:dyDescent="0.25">
      <c r="D304" s="92">
        <v>298</v>
      </c>
      <c r="E304" s="346"/>
      <c r="F304" s="347" t="s">
        <v>142</v>
      </c>
      <c r="G304" s="348">
        <v>0</v>
      </c>
      <c r="H304" s="349">
        <v>0</v>
      </c>
      <c r="I304" s="246">
        <f t="shared" si="5"/>
        <v>0</v>
      </c>
      <c r="J304" s="297">
        <f>IF(I304=0,0,I304/$I$507)</f>
        <v>0</v>
      </c>
      <c r="K304" s="89">
        <f>'🧮 Costos x Producto'!K304</f>
        <v>0</v>
      </c>
      <c r="L304" s="91">
        <f>'💰 Precio de Venta'!H305</f>
        <v>0</v>
      </c>
    </row>
    <row r="305" spans="4:12" ht="19.5" hidden="1" customHeight="1" x14ac:dyDescent="0.25">
      <c r="D305" s="92">
        <v>299</v>
      </c>
      <c r="E305" s="346"/>
      <c r="F305" s="347" t="s">
        <v>142</v>
      </c>
      <c r="G305" s="348">
        <v>0</v>
      </c>
      <c r="H305" s="349">
        <v>0</v>
      </c>
      <c r="I305" s="246">
        <f t="shared" si="5"/>
        <v>0</v>
      </c>
      <c r="J305" s="297">
        <f>IF(I305=0,0,I305/$I$507)</f>
        <v>0</v>
      </c>
      <c r="K305" s="89">
        <f>'🧮 Costos x Producto'!K305</f>
        <v>0</v>
      </c>
      <c r="L305" s="91">
        <f>'💰 Precio de Venta'!H306</f>
        <v>0</v>
      </c>
    </row>
    <row r="306" spans="4:12" ht="19.5" hidden="1" customHeight="1" x14ac:dyDescent="0.25">
      <c r="D306" s="92">
        <v>300</v>
      </c>
      <c r="E306" s="346"/>
      <c r="F306" s="347" t="s">
        <v>142</v>
      </c>
      <c r="G306" s="348">
        <v>0</v>
      </c>
      <c r="H306" s="349">
        <v>0</v>
      </c>
      <c r="I306" s="246">
        <f t="shared" si="5"/>
        <v>0</v>
      </c>
      <c r="J306" s="297">
        <f>IF(I306=0,0,I306/$I$507)</f>
        <v>0</v>
      </c>
      <c r="K306" s="89">
        <f>'🧮 Costos x Producto'!K306</f>
        <v>0</v>
      </c>
      <c r="L306" s="91">
        <f>'💰 Precio de Venta'!H307</f>
        <v>0</v>
      </c>
    </row>
    <row r="307" spans="4:12" ht="19.5" hidden="1" customHeight="1" x14ac:dyDescent="0.25">
      <c r="D307" s="92">
        <v>301</v>
      </c>
      <c r="E307" s="346"/>
      <c r="F307" s="347" t="s">
        <v>142</v>
      </c>
      <c r="G307" s="348">
        <v>0</v>
      </c>
      <c r="H307" s="349">
        <v>0</v>
      </c>
      <c r="I307" s="246">
        <f t="shared" si="5"/>
        <v>0</v>
      </c>
      <c r="J307" s="297">
        <f>IF(I307=0,0,I307/$I$507)</f>
        <v>0</v>
      </c>
      <c r="K307" s="89">
        <f>'🧮 Costos x Producto'!K307</f>
        <v>0</v>
      </c>
      <c r="L307" s="91">
        <f>'💰 Precio de Venta'!H308</f>
        <v>0</v>
      </c>
    </row>
    <row r="308" spans="4:12" ht="19.5" hidden="1" customHeight="1" x14ac:dyDescent="0.25">
      <c r="D308" s="92">
        <v>302</v>
      </c>
      <c r="E308" s="346"/>
      <c r="F308" s="347" t="s">
        <v>142</v>
      </c>
      <c r="G308" s="348">
        <v>0</v>
      </c>
      <c r="H308" s="349">
        <v>0</v>
      </c>
      <c r="I308" s="246">
        <f t="shared" si="5"/>
        <v>0</v>
      </c>
      <c r="J308" s="297">
        <f>IF(I308=0,0,I308/$I$507)</f>
        <v>0</v>
      </c>
      <c r="K308" s="89">
        <f>'🧮 Costos x Producto'!K308</f>
        <v>0</v>
      </c>
      <c r="L308" s="91">
        <f>'💰 Precio de Venta'!H309</f>
        <v>0</v>
      </c>
    </row>
    <row r="309" spans="4:12" ht="19.5" hidden="1" customHeight="1" x14ac:dyDescent="0.25">
      <c r="D309" s="92">
        <v>303</v>
      </c>
      <c r="E309" s="346"/>
      <c r="F309" s="347" t="s">
        <v>142</v>
      </c>
      <c r="G309" s="348">
        <v>0</v>
      </c>
      <c r="H309" s="349">
        <v>0</v>
      </c>
      <c r="I309" s="246">
        <f t="shared" si="5"/>
        <v>0</v>
      </c>
      <c r="J309" s="297">
        <f>IF(I309=0,0,I309/$I$507)</f>
        <v>0</v>
      </c>
      <c r="K309" s="89">
        <f>'🧮 Costos x Producto'!K309</f>
        <v>0</v>
      </c>
      <c r="L309" s="91">
        <f>'💰 Precio de Venta'!H310</f>
        <v>0</v>
      </c>
    </row>
    <row r="310" spans="4:12" ht="19.5" hidden="1" customHeight="1" x14ac:dyDescent="0.25">
      <c r="D310" s="92">
        <v>304</v>
      </c>
      <c r="E310" s="346"/>
      <c r="F310" s="347" t="s">
        <v>142</v>
      </c>
      <c r="G310" s="348">
        <v>0</v>
      </c>
      <c r="H310" s="349">
        <v>0</v>
      </c>
      <c r="I310" s="246">
        <f t="shared" si="5"/>
        <v>0</v>
      </c>
      <c r="J310" s="297">
        <f>IF(I310=0,0,I310/$I$507)</f>
        <v>0</v>
      </c>
      <c r="K310" s="89">
        <f>'🧮 Costos x Producto'!K310</f>
        <v>0</v>
      </c>
      <c r="L310" s="91">
        <f>'💰 Precio de Venta'!H311</f>
        <v>0</v>
      </c>
    </row>
    <row r="311" spans="4:12" ht="19.5" hidden="1" customHeight="1" x14ac:dyDescent="0.25">
      <c r="D311" s="92">
        <v>305</v>
      </c>
      <c r="E311" s="346"/>
      <c r="F311" s="347" t="s">
        <v>142</v>
      </c>
      <c r="G311" s="348">
        <v>0</v>
      </c>
      <c r="H311" s="349">
        <v>0</v>
      </c>
      <c r="I311" s="246">
        <f t="shared" si="5"/>
        <v>0</v>
      </c>
      <c r="J311" s="297">
        <f>IF(I311=0,0,I311/$I$507)</f>
        <v>0</v>
      </c>
      <c r="K311" s="89">
        <f>'🧮 Costos x Producto'!K311</f>
        <v>0</v>
      </c>
      <c r="L311" s="91">
        <f>'💰 Precio de Venta'!H312</f>
        <v>0</v>
      </c>
    </row>
    <row r="312" spans="4:12" ht="19.5" hidden="1" customHeight="1" x14ac:dyDescent="0.25">
      <c r="D312" s="92">
        <v>306</v>
      </c>
      <c r="E312" s="346"/>
      <c r="F312" s="347" t="s">
        <v>142</v>
      </c>
      <c r="G312" s="348">
        <v>0</v>
      </c>
      <c r="H312" s="349">
        <v>0</v>
      </c>
      <c r="I312" s="246">
        <f t="shared" si="5"/>
        <v>0</v>
      </c>
      <c r="J312" s="297">
        <f>IF(I312=0,0,I312/$I$507)</f>
        <v>0</v>
      </c>
      <c r="K312" s="89">
        <f>'🧮 Costos x Producto'!K312</f>
        <v>0</v>
      </c>
      <c r="L312" s="91">
        <f>'💰 Precio de Venta'!H313</f>
        <v>0</v>
      </c>
    </row>
    <row r="313" spans="4:12" ht="19.5" hidden="1" customHeight="1" x14ac:dyDescent="0.25">
      <c r="D313" s="92">
        <v>307</v>
      </c>
      <c r="E313" s="346"/>
      <c r="F313" s="347" t="s">
        <v>142</v>
      </c>
      <c r="G313" s="348">
        <v>0</v>
      </c>
      <c r="H313" s="349">
        <v>0</v>
      </c>
      <c r="I313" s="246">
        <f t="shared" si="5"/>
        <v>0</v>
      </c>
      <c r="J313" s="297">
        <f>IF(I313=0,0,I313/$I$507)</f>
        <v>0</v>
      </c>
      <c r="K313" s="89">
        <f>'🧮 Costos x Producto'!K313</f>
        <v>0</v>
      </c>
      <c r="L313" s="91">
        <f>'💰 Precio de Venta'!H314</f>
        <v>0</v>
      </c>
    </row>
    <row r="314" spans="4:12" ht="19.5" hidden="1" customHeight="1" x14ac:dyDescent="0.25">
      <c r="D314" s="92">
        <v>308</v>
      </c>
      <c r="E314" s="346"/>
      <c r="F314" s="347" t="s">
        <v>142</v>
      </c>
      <c r="G314" s="348">
        <v>0</v>
      </c>
      <c r="H314" s="349">
        <v>0</v>
      </c>
      <c r="I314" s="246">
        <f t="shared" si="5"/>
        <v>0</v>
      </c>
      <c r="J314" s="297">
        <f>IF(I314=0,0,I314/$I$507)</f>
        <v>0</v>
      </c>
      <c r="K314" s="89">
        <f>'🧮 Costos x Producto'!K314</f>
        <v>0</v>
      </c>
      <c r="L314" s="91">
        <f>'💰 Precio de Venta'!H315</f>
        <v>0</v>
      </c>
    </row>
    <row r="315" spans="4:12" ht="19.5" hidden="1" customHeight="1" x14ac:dyDescent="0.25">
      <c r="D315" s="92">
        <v>309</v>
      </c>
      <c r="E315" s="346"/>
      <c r="F315" s="347" t="s">
        <v>142</v>
      </c>
      <c r="G315" s="348">
        <v>0</v>
      </c>
      <c r="H315" s="349">
        <v>0</v>
      </c>
      <c r="I315" s="246">
        <f t="shared" si="5"/>
        <v>0</v>
      </c>
      <c r="J315" s="297">
        <f>IF(I315=0,0,I315/$I$507)</f>
        <v>0</v>
      </c>
      <c r="K315" s="89">
        <f>'🧮 Costos x Producto'!K315</f>
        <v>0</v>
      </c>
      <c r="L315" s="91">
        <f>'💰 Precio de Venta'!H316</f>
        <v>0</v>
      </c>
    </row>
    <row r="316" spans="4:12" ht="19.5" hidden="1" customHeight="1" x14ac:dyDescent="0.25">
      <c r="D316" s="92">
        <v>310</v>
      </c>
      <c r="E316" s="346"/>
      <c r="F316" s="347" t="s">
        <v>142</v>
      </c>
      <c r="G316" s="348">
        <v>0</v>
      </c>
      <c r="H316" s="349">
        <v>0</v>
      </c>
      <c r="I316" s="246">
        <f t="shared" si="5"/>
        <v>0</v>
      </c>
      <c r="J316" s="297">
        <f>IF(I316=0,0,I316/$I$507)</f>
        <v>0</v>
      </c>
      <c r="K316" s="89">
        <f>'🧮 Costos x Producto'!K316</f>
        <v>0</v>
      </c>
      <c r="L316" s="91">
        <f>'💰 Precio de Venta'!H317</f>
        <v>0</v>
      </c>
    </row>
    <row r="317" spans="4:12" ht="19.5" hidden="1" customHeight="1" x14ac:dyDescent="0.25">
      <c r="D317" s="92">
        <v>311</v>
      </c>
      <c r="E317" s="346"/>
      <c r="F317" s="347" t="s">
        <v>142</v>
      </c>
      <c r="G317" s="348">
        <v>0</v>
      </c>
      <c r="H317" s="349">
        <v>0</v>
      </c>
      <c r="I317" s="246">
        <f t="shared" si="5"/>
        <v>0</v>
      </c>
      <c r="J317" s="297">
        <f>IF(I317=0,0,I317/$I$507)</f>
        <v>0</v>
      </c>
      <c r="K317" s="89">
        <f>'🧮 Costos x Producto'!K317</f>
        <v>0</v>
      </c>
      <c r="L317" s="91">
        <f>'💰 Precio de Venta'!H318</f>
        <v>0</v>
      </c>
    </row>
    <row r="318" spans="4:12" ht="19.5" hidden="1" customHeight="1" x14ac:dyDescent="0.25">
      <c r="D318" s="92">
        <v>312</v>
      </c>
      <c r="E318" s="346"/>
      <c r="F318" s="347" t="s">
        <v>142</v>
      </c>
      <c r="G318" s="348">
        <v>0</v>
      </c>
      <c r="H318" s="349">
        <v>0</v>
      </c>
      <c r="I318" s="246">
        <f t="shared" si="5"/>
        <v>0</v>
      </c>
      <c r="J318" s="297">
        <f>IF(I318=0,0,I318/$I$507)</f>
        <v>0</v>
      </c>
      <c r="K318" s="89">
        <f>'🧮 Costos x Producto'!K318</f>
        <v>0</v>
      </c>
      <c r="L318" s="91">
        <f>'💰 Precio de Venta'!H319</f>
        <v>0</v>
      </c>
    </row>
    <row r="319" spans="4:12" ht="19.5" hidden="1" customHeight="1" x14ac:dyDescent="0.25">
      <c r="D319" s="92">
        <v>313</v>
      </c>
      <c r="E319" s="346"/>
      <c r="F319" s="347" t="s">
        <v>142</v>
      </c>
      <c r="G319" s="348">
        <v>0</v>
      </c>
      <c r="H319" s="349">
        <v>0</v>
      </c>
      <c r="I319" s="246">
        <f t="shared" si="5"/>
        <v>0</v>
      </c>
      <c r="J319" s="297">
        <f>IF(I319=0,0,I319/$I$507)</f>
        <v>0</v>
      </c>
      <c r="K319" s="89">
        <f>'🧮 Costos x Producto'!K319</f>
        <v>0</v>
      </c>
      <c r="L319" s="91">
        <f>'💰 Precio de Venta'!H320</f>
        <v>0</v>
      </c>
    </row>
    <row r="320" spans="4:12" ht="19.5" hidden="1" customHeight="1" x14ac:dyDescent="0.25">
      <c r="D320" s="92">
        <v>314</v>
      </c>
      <c r="E320" s="346"/>
      <c r="F320" s="347" t="s">
        <v>142</v>
      </c>
      <c r="G320" s="348">
        <v>0</v>
      </c>
      <c r="H320" s="349">
        <v>0</v>
      </c>
      <c r="I320" s="246">
        <f t="shared" si="5"/>
        <v>0</v>
      </c>
      <c r="J320" s="297">
        <f>IF(I320=0,0,I320/$I$507)</f>
        <v>0</v>
      </c>
      <c r="K320" s="89">
        <f>'🧮 Costos x Producto'!K320</f>
        <v>0</v>
      </c>
      <c r="L320" s="91">
        <f>'💰 Precio de Venta'!H321</f>
        <v>0</v>
      </c>
    </row>
    <row r="321" spans="4:12" ht="19.5" hidden="1" customHeight="1" x14ac:dyDescent="0.25">
      <c r="D321" s="92">
        <v>315</v>
      </c>
      <c r="E321" s="346"/>
      <c r="F321" s="347" t="s">
        <v>142</v>
      </c>
      <c r="G321" s="348">
        <v>0</v>
      </c>
      <c r="H321" s="349">
        <v>0</v>
      </c>
      <c r="I321" s="246">
        <f t="shared" si="5"/>
        <v>0</v>
      </c>
      <c r="J321" s="297">
        <f>IF(I321=0,0,I321/$I$507)</f>
        <v>0</v>
      </c>
      <c r="K321" s="89">
        <f>'🧮 Costos x Producto'!K321</f>
        <v>0</v>
      </c>
      <c r="L321" s="91">
        <f>'💰 Precio de Venta'!H322</f>
        <v>0</v>
      </c>
    </row>
    <row r="322" spans="4:12" ht="19.5" hidden="1" customHeight="1" x14ac:dyDescent="0.25">
      <c r="D322" s="92">
        <v>316</v>
      </c>
      <c r="E322" s="346"/>
      <c r="F322" s="347" t="s">
        <v>142</v>
      </c>
      <c r="G322" s="348">
        <v>0</v>
      </c>
      <c r="H322" s="349">
        <v>0</v>
      </c>
      <c r="I322" s="246">
        <f t="shared" si="5"/>
        <v>0</v>
      </c>
      <c r="J322" s="297">
        <f>IF(I322=0,0,I322/$I$507)</f>
        <v>0</v>
      </c>
      <c r="K322" s="89">
        <f>'🧮 Costos x Producto'!K322</f>
        <v>0</v>
      </c>
      <c r="L322" s="91">
        <f>'💰 Precio de Venta'!H323</f>
        <v>0</v>
      </c>
    </row>
    <row r="323" spans="4:12" ht="19.5" hidden="1" customHeight="1" x14ac:dyDescent="0.25">
      <c r="D323" s="92">
        <v>317</v>
      </c>
      <c r="E323" s="346"/>
      <c r="F323" s="347" t="s">
        <v>142</v>
      </c>
      <c r="G323" s="348">
        <v>0</v>
      </c>
      <c r="H323" s="349">
        <v>0</v>
      </c>
      <c r="I323" s="246">
        <f t="shared" si="5"/>
        <v>0</v>
      </c>
      <c r="J323" s="297">
        <f>IF(I323=0,0,I323/$I$507)</f>
        <v>0</v>
      </c>
      <c r="K323" s="89">
        <f>'🧮 Costos x Producto'!K323</f>
        <v>0</v>
      </c>
      <c r="L323" s="91">
        <f>'💰 Precio de Venta'!H324</f>
        <v>0</v>
      </c>
    </row>
    <row r="324" spans="4:12" ht="19.5" hidden="1" customHeight="1" x14ac:dyDescent="0.25">
      <c r="D324" s="92">
        <v>318</v>
      </c>
      <c r="E324" s="346"/>
      <c r="F324" s="347" t="s">
        <v>142</v>
      </c>
      <c r="G324" s="348">
        <v>0</v>
      </c>
      <c r="H324" s="349">
        <v>0</v>
      </c>
      <c r="I324" s="246">
        <f t="shared" si="5"/>
        <v>0</v>
      </c>
      <c r="J324" s="297">
        <f>IF(I324=0,0,I324/$I$507)</f>
        <v>0</v>
      </c>
      <c r="K324" s="89">
        <f>'🧮 Costos x Producto'!K324</f>
        <v>0</v>
      </c>
      <c r="L324" s="91">
        <f>'💰 Precio de Venta'!H325</f>
        <v>0</v>
      </c>
    </row>
    <row r="325" spans="4:12" ht="19.5" hidden="1" customHeight="1" x14ac:dyDescent="0.25">
      <c r="D325" s="92">
        <v>319</v>
      </c>
      <c r="E325" s="346"/>
      <c r="F325" s="347" t="s">
        <v>142</v>
      </c>
      <c r="G325" s="348">
        <v>0</v>
      </c>
      <c r="H325" s="349">
        <v>0</v>
      </c>
      <c r="I325" s="246">
        <f t="shared" si="5"/>
        <v>0</v>
      </c>
      <c r="J325" s="297">
        <f>IF(I325=0,0,I325/$I$507)</f>
        <v>0</v>
      </c>
      <c r="K325" s="89">
        <f>'🧮 Costos x Producto'!K325</f>
        <v>0</v>
      </c>
      <c r="L325" s="91">
        <f>'💰 Precio de Venta'!H326</f>
        <v>0</v>
      </c>
    </row>
    <row r="326" spans="4:12" ht="19.5" hidden="1" customHeight="1" x14ac:dyDescent="0.25">
      <c r="D326" s="92">
        <v>320</v>
      </c>
      <c r="E326" s="346"/>
      <c r="F326" s="347" t="s">
        <v>142</v>
      </c>
      <c r="G326" s="348">
        <v>0</v>
      </c>
      <c r="H326" s="349">
        <v>0</v>
      </c>
      <c r="I326" s="246">
        <f t="shared" si="5"/>
        <v>0</v>
      </c>
      <c r="J326" s="297">
        <f>IF(I326=0,0,I326/$I$507)</f>
        <v>0</v>
      </c>
      <c r="K326" s="89">
        <f>'🧮 Costos x Producto'!K326</f>
        <v>0</v>
      </c>
      <c r="L326" s="91">
        <f>'💰 Precio de Venta'!H327</f>
        <v>0</v>
      </c>
    </row>
    <row r="327" spans="4:12" ht="19.5" hidden="1" customHeight="1" x14ac:dyDescent="0.25">
      <c r="D327" s="92">
        <v>321</v>
      </c>
      <c r="E327" s="346"/>
      <c r="F327" s="347" t="s">
        <v>142</v>
      </c>
      <c r="G327" s="348">
        <v>0</v>
      </c>
      <c r="H327" s="349">
        <v>0</v>
      </c>
      <c r="I327" s="246">
        <f t="shared" si="5"/>
        <v>0</v>
      </c>
      <c r="J327" s="297">
        <f>IF(I327=0,0,I327/$I$507)</f>
        <v>0</v>
      </c>
      <c r="K327" s="89">
        <f>'🧮 Costos x Producto'!K327</f>
        <v>0</v>
      </c>
      <c r="L327" s="91">
        <f>'💰 Precio de Venta'!H328</f>
        <v>0</v>
      </c>
    </row>
    <row r="328" spans="4:12" ht="19.5" hidden="1" customHeight="1" x14ac:dyDescent="0.25">
      <c r="D328" s="92">
        <v>322</v>
      </c>
      <c r="E328" s="346"/>
      <c r="F328" s="347" t="s">
        <v>142</v>
      </c>
      <c r="G328" s="348">
        <v>0</v>
      </c>
      <c r="H328" s="349">
        <v>0</v>
      </c>
      <c r="I328" s="246">
        <f t="shared" si="5"/>
        <v>0</v>
      </c>
      <c r="J328" s="297">
        <f>IF(I328=0,0,I328/$I$507)</f>
        <v>0</v>
      </c>
      <c r="K328" s="89">
        <f>'🧮 Costos x Producto'!K328</f>
        <v>0</v>
      </c>
      <c r="L328" s="91">
        <f>'💰 Precio de Venta'!H329</f>
        <v>0</v>
      </c>
    </row>
    <row r="329" spans="4:12" ht="19.5" hidden="1" customHeight="1" x14ac:dyDescent="0.25">
      <c r="D329" s="92">
        <v>323</v>
      </c>
      <c r="E329" s="346"/>
      <c r="F329" s="347" t="s">
        <v>142</v>
      </c>
      <c r="G329" s="348">
        <v>0</v>
      </c>
      <c r="H329" s="349">
        <v>0</v>
      </c>
      <c r="I329" s="246">
        <f t="shared" si="5"/>
        <v>0</v>
      </c>
      <c r="J329" s="297">
        <f>IF(I329=0,0,I329/$I$507)</f>
        <v>0</v>
      </c>
      <c r="K329" s="89">
        <f>'🧮 Costos x Producto'!K329</f>
        <v>0</v>
      </c>
      <c r="L329" s="91">
        <f>'💰 Precio de Venta'!H330</f>
        <v>0</v>
      </c>
    </row>
    <row r="330" spans="4:12" ht="19.5" hidden="1" customHeight="1" x14ac:dyDescent="0.25">
      <c r="D330" s="92">
        <v>324</v>
      </c>
      <c r="E330" s="346"/>
      <c r="F330" s="347" t="s">
        <v>142</v>
      </c>
      <c r="G330" s="348">
        <v>0</v>
      </c>
      <c r="H330" s="349">
        <v>0</v>
      </c>
      <c r="I330" s="246">
        <f t="shared" si="5"/>
        <v>0</v>
      </c>
      <c r="J330" s="297">
        <f>IF(I330=0,0,I330/$I$507)</f>
        <v>0</v>
      </c>
      <c r="K330" s="89">
        <f>'🧮 Costos x Producto'!K330</f>
        <v>0</v>
      </c>
      <c r="L330" s="91">
        <f>'💰 Precio de Venta'!H331</f>
        <v>0</v>
      </c>
    </row>
    <row r="331" spans="4:12" ht="19.5" hidden="1" customHeight="1" x14ac:dyDescent="0.25">
      <c r="D331" s="92">
        <v>325</v>
      </c>
      <c r="E331" s="346"/>
      <c r="F331" s="347" t="s">
        <v>142</v>
      </c>
      <c r="G331" s="348">
        <v>0</v>
      </c>
      <c r="H331" s="349">
        <v>0</v>
      </c>
      <c r="I331" s="246">
        <f t="shared" si="5"/>
        <v>0</v>
      </c>
      <c r="J331" s="297">
        <f>IF(I331=0,0,I331/$I$507)</f>
        <v>0</v>
      </c>
      <c r="K331" s="89">
        <f>'🧮 Costos x Producto'!K331</f>
        <v>0</v>
      </c>
      <c r="L331" s="91">
        <f>'💰 Precio de Venta'!H332</f>
        <v>0</v>
      </c>
    </row>
    <row r="332" spans="4:12" ht="19.5" hidden="1" customHeight="1" x14ac:dyDescent="0.25">
      <c r="D332" s="92">
        <v>326</v>
      </c>
      <c r="E332" s="346"/>
      <c r="F332" s="347" t="s">
        <v>142</v>
      </c>
      <c r="G332" s="348">
        <v>0</v>
      </c>
      <c r="H332" s="349">
        <v>0</v>
      </c>
      <c r="I332" s="246">
        <f t="shared" si="5"/>
        <v>0</v>
      </c>
      <c r="J332" s="297">
        <f>IF(I332=0,0,I332/$I$507)</f>
        <v>0</v>
      </c>
      <c r="K332" s="89">
        <f>'🧮 Costos x Producto'!K332</f>
        <v>0</v>
      </c>
      <c r="L332" s="91">
        <f>'💰 Precio de Venta'!H333</f>
        <v>0</v>
      </c>
    </row>
    <row r="333" spans="4:12" ht="19.5" hidden="1" customHeight="1" x14ac:dyDescent="0.25">
      <c r="D333" s="92">
        <v>327</v>
      </c>
      <c r="E333" s="346"/>
      <c r="F333" s="347" t="s">
        <v>142</v>
      </c>
      <c r="G333" s="348">
        <v>0</v>
      </c>
      <c r="H333" s="349">
        <v>0</v>
      </c>
      <c r="I333" s="246">
        <f t="shared" si="5"/>
        <v>0</v>
      </c>
      <c r="J333" s="297">
        <f>IF(I333=0,0,I333/$I$507)</f>
        <v>0</v>
      </c>
      <c r="K333" s="89">
        <f>'🧮 Costos x Producto'!K333</f>
        <v>0</v>
      </c>
      <c r="L333" s="91">
        <f>'💰 Precio de Venta'!H334</f>
        <v>0</v>
      </c>
    </row>
    <row r="334" spans="4:12" ht="19.5" hidden="1" customHeight="1" x14ac:dyDescent="0.25">
      <c r="D334" s="92">
        <v>328</v>
      </c>
      <c r="E334" s="346"/>
      <c r="F334" s="347" t="s">
        <v>142</v>
      </c>
      <c r="G334" s="348">
        <v>0</v>
      </c>
      <c r="H334" s="349">
        <v>0</v>
      </c>
      <c r="I334" s="246">
        <f t="shared" si="5"/>
        <v>0</v>
      </c>
      <c r="J334" s="297">
        <f>IF(I334=0,0,I334/$I$507)</f>
        <v>0</v>
      </c>
      <c r="K334" s="89">
        <f>'🧮 Costos x Producto'!K334</f>
        <v>0</v>
      </c>
      <c r="L334" s="91">
        <f>'💰 Precio de Venta'!H335</f>
        <v>0</v>
      </c>
    </row>
    <row r="335" spans="4:12" ht="19.5" hidden="1" customHeight="1" x14ac:dyDescent="0.25">
      <c r="D335" s="92">
        <v>329</v>
      </c>
      <c r="E335" s="346"/>
      <c r="F335" s="347" t="s">
        <v>142</v>
      </c>
      <c r="G335" s="348">
        <v>0</v>
      </c>
      <c r="H335" s="349">
        <v>0</v>
      </c>
      <c r="I335" s="246">
        <f t="shared" si="5"/>
        <v>0</v>
      </c>
      <c r="J335" s="297">
        <f>IF(I335=0,0,I335/$I$507)</f>
        <v>0</v>
      </c>
      <c r="K335" s="89">
        <f>'🧮 Costos x Producto'!K335</f>
        <v>0</v>
      </c>
      <c r="L335" s="91">
        <f>'💰 Precio de Venta'!H336</f>
        <v>0</v>
      </c>
    </row>
    <row r="336" spans="4:12" ht="19.5" hidden="1" customHeight="1" x14ac:dyDescent="0.25">
      <c r="D336" s="92">
        <v>330</v>
      </c>
      <c r="E336" s="346"/>
      <c r="F336" s="347" t="s">
        <v>142</v>
      </c>
      <c r="G336" s="348">
        <v>0</v>
      </c>
      <c r="H336" s="349">
        <v>0</v>
      </c>
      <c r="I336" s="246">
        <f t="shared" si="5"/>
        <v>0</v>
      </c>
      <c r="J336" s="297">
        <f>IF(I336=0,0,I336/$I$507)</f>
        <v>0</v>
      </c>
      <c r="K336" s="89">
        <f>'🧮 Costos x Producto'!K336</f>
        <v>0</v>
      </c>
      <c r="L336" s="91">
        <f>'💰 Precio de Venta'!H337</f>
        <v>0</v>
      </c>
    </row>
    <row r="337" spans="4:12" ht="19.5" hidden="1" customHeight="1" x14ac:dyDescent="0.25">
      <c r="D337" s="92">
        <v>331</v>
      </c>
      <c r="E337" s="346"/>
      <c r="F337" s="347" t="s">
        <v>142</v>
      </c>
      <c r="G337" s="348">
        <v>0</v>
      </c>
      <c r="H337" s="349">
        <v>0</v>
      </c>
      <c r="I337" s="246">
        <f t="shared" si="5"/>
        <v>0</v>
      </c>
      <c r="J337" s="297">
        <f>IF(I337=0,0,I337/$I$507)</f>
        <v>0</v>
      </c>
      <c r="K337" s="89">
        <f>'🧮 Costos x Producto'!K337</f>
        <v>0</v>
      </c>
      <c r="L337" s="91">
        <f>'💰 Precio de Venta'!H338</f>
        <v>0</v>
      </c>
    </row>
    <row r="338" spans="4:12" ht="19.5" hidden="1" customHeight="1" x14ac:dyDescent="0.25">
      <c r="D338" s="92">
        <v>332</v>
      </c>
      <c r="E338" s="346"/>
      <c r="F338" s="347" t="s">
        <v>142</v>
      </c>
      <c r="G338" s="348">
        <v>0</v>
      </c>
      <c r="H338" s="349">
        <v>0</v>
      </c>
      <c r="I338" s="246">
        <f t="shared" si="5"/>
        <v>0</v>
      </c>
      <c r="J338" s="297">
        <f>IF(I338=0,0,I338/$I$507)</f>
        <v>0</v>
      </c>
      <c r="K338" s="89">
        <f>'🧮 Costos x Producto'!K338</f>
        <v>0</v>
      </c>
      <c r="L338" s="91">
        <f>'💰 Precio de Venta'!H339</f>
        <v>0</v>
      </c>
    </row>
    <row r="339" spans="4:12" ht="19.5" hidden="1" customHeight="1" x14ac:dyDescent="0.25">
      <c r="D339" s="92">
        <v>333</v>
      </c>
      <c r="E339" s="346"/>
      <c r="F339" s="347" t="s">
        <v>142</v>
      </c>
      <c r="G339" s="348">
        <v>0</v>
      </c>
      <c r="H339" s="349">
        <v>0</v>
      </c>
      <c r="I339" s="246">
        <f t="shared" si="5"/>
        <v>0</v>
      </c>
      <c r="J339" s="297">
        <f>IF(I339=0,0,I339/$I$507)</f>
        <v>0</v>
      </c>
      <c r="K339" s="89">
        <f>'🧮 Costos x Producto'!K339</f>
        <v>0</v>
      </c>
      <c r="L339" s="91">
        <f>'💰 Precio de Venta'!H340</f>
        <v>0</v>
      </c>
    </row>
    <row r="340" spans="4:12" ht="19.5" hidden="1" customHeight="1" x14ac:dyDescent="0.25">
      <c r="D340" s="92">
        <v>334</v>
      </c>
      <c r="E340" s="346"/>
      <c r="F340" s="347" t="s">
        <v>142</v>
      </c>
      <c r="G340" s="348">
        <v>0</v>
      </c>
      <c r="H340" s="349">
        <v>0</v>
      </c>
      <c r="I340" s="246">
        <f t="shared" si="5"/>
        <v>0</v>
      </c>
      <c r="J340" s="297">
        <f>IF(I340=0,0,I340/$I$507)</f>
        <v>0</v>
      </c>
      <c r="K340" s="89">
        <f>'🧮 Costos x Producto'!K340</f>
        <v>0</v>
      </c>
      <c r="L340" s="91">
        <f>'💰 Precio de Venta'!H341</f>
        <v>0</v>
      </c>
    </row>
    <row r="341" spans="4:12" ht="19.5" hidden="1" customHeight="1" x14ac:dyDescent="0.25">
      <c r="D341" s="92">
        <v>335</v>
      </c>
      <c r="E341" s="346"/>
      <c r="F341" s="347" t="s">
        <v>142</v>
      </c>
      <c r="G341" s="348">
        <v>0</v>
      </c>
      <c r="H341" s="349">
        <v>0</v>
      </c>
      <c r="I341" s="246">
        <f t="shared" si="5"/>
        <v>0</v>
      </c>
      <c r="J341" s="297">
        <f>IF(I341=0,0,I341/$I$507)</f>
        <v>0</v>
      </c>
      <c r="K341" s="89">
        <f>'🧮 Costos x Producto'!K341</f>
        <v>0</v>
      </c>
      <c r="L341" s="91">
        <f>'💰 Precio de Venta'!H342</f>
        <v>0</v>
      </c>
    </row>
    <row r="342" spans="4:12" ht="19.5" hidden="1" customHeight="1" x14ac:dyDescent="0.25">
      <c r="D342" s="92">
        <v>336</v>
      </c>
      <c r="E342" s="346"/>
      <c r="F342" s="347" t="s">
        <v>142</v>
      </c>
      <c r="G342" s="348">
        <v>0</v>
      </c>
      <c r="H342" s="349">
        <v>0</v>
      </c>
      <c r="I342" s="246">
        <f t="shared" si="5"/>
        <v>0</v>
      </c>
      <c r="J342" s="297">
        <f>IF(I342=0,0,I342/$I$507)</f>
        <v>0</v>
      </c>
      <c r="K342" s="89">
        <f>'🧮 Costos x Producto'!K342</f>
        <v>0</v>
      </c>
      <c r="L342" s="91">
        <f>'💰 Precio de Venta'!H343</f>
        <v>0</v>
      </c>
    </row>
    <row r="343" spans="4:12" ht="19.5" hidden="1" customHeight="1" x14ac:dyDescent="0.25">
      <c r="D343" s="92">
        <v>337</v>
      </c>
      <c r="E343" s="346"/>
      <c r="F343" s="347" t="s">
        <v>142</v>
      </c>
      <c r="G343" s="348">
        <v>0</v>
      </c>
      <c r="H343" s="349">
        <v>0</v>
      </c>
      <c r="I343" s="246">
        <f t="shared" si="5"/>
        <v>0</v>
      </c>
      <c r="J343" s="297">
        <f>IF(I343=0,0,I343/$I$507)</f>
        <v>0</v>
      </c>
      <c r="K343" s="89">
        <f>'🧮 Costos x Producto'!K343</f>
        <v>0</v>
      </c>
      <c r="L343" s="91">
        <f>'💰 Precio de Venta'!H344</f>
        <v>0</v>
      </c>
    </row>
    <row r="344" spans="4:12" ht="19.5" hidden="1" customHeight="1" x14ac:dyDescent="0.25">
      <c r="D344" s="92">
        <v>338</v>
      </c>
      <c r="E344" s="346"/>
      <c r="F344" s="347" t="s">
        <v>142</v>
      </c>
      <c r="G344" s="348">
        <v>0</v>
      </c>
      <c r="H344" s="349">
        <v>0</v>
      </c>
      <c r="I344" s="246">
        <f t="shared" si="5"/>
        <v>0</v>
      </c>
      <c r="J344" s="297">
        <f>IF(I344=0,0,I344/$I$507)</f>
        <v>0</v>
      </c>
      <c r="K344" s="89">
        <f>'🧮 Costos x Producto'!K344</f>
        <v>0</v>
      </c>
      <c r="L344" s="91">
        <f>'💰 Precio de Venta'!H345</f>
        <v>0</v>
      </c>
    </row>
    <row r="345" spans="4:12" ht="19.5" hidden="1" customHeight="1" x14ac:dyDescent="0.25">
      <c r="D345" s="92">
        <v>339</v>
      </c>
      <c r="E345" s="346"/>
      <c r="F345" s="347" t="s">
        <v>142</v>
      </c>
      <c r="G345" s="348">
        <v>0</v>
      </c>
      <c r="H345" s="349">
        <v>0</v>
      </c>
      <c r="I345" s="246">
        <f t="shared" si="5"/>
        <v>0</v>
      </c>
      <c r="J345" s="297">
        <f>IF(I345=0,0,I345/$I$507)</f>
        <v>0</v>
      </c>
      <c r="K345" s="89">
        <f>'🧮 Costos x Producto'!K345</f>
        <v>0</v>
      </c>
      <c r="L345" s="91">
        <f>'💰 Precio de Venta'!H346</f>
        <v>0</v>
      </c>
    </row>
    <row r="346" spans="4:12" ht="19.5" hidden="1" customHeight="1" x14ac:dyDescent="0.25">
      <c r="D346" s="92">
        <v>340</v>
      </c>
      <c r="E346" s="346"/>
      <c r="F346" s="347" t="s">
        <v>142</v>
      </c>
      <c r="G346" s="348">
        <v>0</v>
      </c>
      <c r="H346" s="349">
        <v>0</v>
      </c>
      <c r="I346" s="246">
        <f t="shared" si="5"/>
        <v>0</v>
      </c>
      <c r="J346" s="297">
        <f>IF(I346=0,0,I346/$I$507)</f>
        <v>0</v>
      </c>
      <c r="K346" s="89">
        <f>'🧮 Costos x Producto'!K346</f>
        <v>0</v>
      </c>
      <c r="L346" s="91">
        <f>'💰 Precio de Venta'!H347</f>
        <v>0</v>
      </c>
    </row>
    <row r="347" spans="4:12" ht="19.5" hidden="1" customHeight="1" x14ac:dyDescent="0.25">
      <c r="D347" s="92">
        <v>341</v>
      </c>
      <c r="E347" s="346"/>
      <c r="F347" s="347" t="s">
        <v>142</v>
      </c>
      <c r="G347" s="348">
        <v>0</v>
      </c>
      <c r="H347" s="349">
        <v>0</v>
      </c>
      <c r="I347" s="246">
        <f t="shared" si="5"/>
        <v>0</v>
      </c>
      <c r="J347" s="297">
        <f>IF(I347=0,0,I347/$I$507)</f>
        <v>0</v>
      </c>
      <c r="K347" s="89">
        <f>'🧮 Costos x Producto'!K347</f>
        <v>0</v>
      </c>
      <c r="L347" s="91">
        <f>'💰 Precio de Venta'!H348</f>
        <v>0</v>
      </c>
    </row>
    <row r="348" spans="4:12" ht="19.5" hidden="1" customHeight="1" x14ac:dyDescent="0.25">
      <c r="D348" s="92">
        <v>342</v>
      </c>
      <c r="E348" s="346"/>
      <c r="F348" s="347" t="s">
        <v>142</v>
      </c>
      <c r="G348" s="348">
        <v>0</v>
      </c>
      <c r="H348" s="349">
        <v>0</v>
      </c>
      <c r="I348" s="246">
        <f t="shared" si="5"/>
        <v>0</v>
      </c>
      <c r="J348" s="297">
        <f>IF(I348=0,0,I348/$I$507)</f>
        <v>0</v>
      </c>
      <c r="K348" s="89">
        <f>'🧮 Costos x Producto'!K348</f>
        <v>0</v>
      </c>
      <c r="L348" s="91">
        <f>'💰 Precio de Venta'!H349</f>
        <v>0</v>
      </c>
    </row>
    <row r="349" spans="4:12" ht="19.5" hidden="1" customHeight="1" x14ac:dyDescent="0.25">
      <c r="D349" s="92">
        <v>343</v>
      </c>
      <c r="E349" s="346"/>
      <c r="F349" s="347" t="s">
        <v>142</v>
      </c>
      <c r="G349" s="348">
        <v>0</v>
      </c>
      <c r="H349" s="349">
        <v>0</v>
      </c>
      <c r="I349" s="246">
        <f t="shared" si="5"/>
        <v>0</v>
      </c>
      <c r="J349" s="297">
        <f>IF(I349=0,0,I349/$I$507)</f>
        <v>0</v>
      </c>
      <c r="K349" s="89">
        <f>'🧮 Costos x Producto'!K349</f>
        <v>0</v>
      </c>
      <c r="L349" s="91">
        <f>'💰 Precio de Venta'!H350</f>
        <v>0</v>
      </c>
    </row>
    <row r="350" spans="4:12" ht="19.5" hidden="1" customHeight="1" x14ac:dyDescent="0.25">
      <c r="D350" s="92">
        <v>344</v>
      </c>
      <c r="E350" s="346"/>
      <c r="F350" s="347" t="s">
        <v>142</v>
      </c>
      <c r="G350" s="348">
        <v>0</v>
      </c>
      <c r="H350" s="349">
        <v>0</v>
      </c>
      <c r="I350" s="246">
        <f t="shared" si="5"/>
        <v>0</v>
      </c>
      <c r="J350" s="297">
        <f>IF(I350=0,0,I350/$I$507)</f>
        <v>0</v>
      </c>
      <c r="K350" s="89">
        <f>'🧮 Costos x Producto'!K350</f>
        <v>0</v>
      </c>
      <c r="L350" s="91">
        <f>'💰 Precio de Venta'!H351</f>
        <v>0</v>
      </c>
    </row>
    <row r="351" spans="4:12" ht="19.5" hidden="1" customHeight="1" x14ac:dyDescent="0.25">
      <c r="D351" s="92">
        <v>345</v>
      </c>
      <c r="E351" s="346"/>
      <c r="F351" s="347" t="s">
        <v>142</v>
      </c>
      <c r="G351" s="348">
        <v>0</v>
      </c>
      <c r="H351" s="349">
        <v>0</v>
      </c>
      <c r="I351" s="246">
        <f t="shared" si="5"/>
        <v>0</v>
      </c>
      <c r="J351" s="297">
        <f>IF(I351=0,0,I351/$I$507)</f>
        <v>0</v>
      </c>
      <c r="K351" s="89">
        <f>'🧮 Costos x Producto'!K351</f>
        <v>0</v>
      </c>
      <c r="L351" s="91">
        <f>'💰 Precio de Venta'!H352</f>
        <v>0</v>
      </c>
    </row>
    <row r="352" spans="4:12" ht="19.5" hidden="1" customHeight="1" x14ac:dyDescent="0.25">
      <c r="D352" s="92">
        <v>346</v>
      </c>
      <c r="E352" s="346"/>
      <c r="F352" s="347" t="s">
        <v>142</v>
      </c>
      <c r="G352" s="348">
        <v>0</v>
      </c>
      <c r="H352" s="349">
        <v>0</v>
      </c>
      <c r="I352" s="246">
        <f t="shared" si="5"/>
        <v>0</v>
      </c>
      <c r="J352" s="297">
        <f>IF(I352=0,0,I352/$I$507)</f>
        <v>0</v>
      </c>
      <c r="K352" s="89">
        <f>'🧮 Costos x Producto'!K352</f>
        <v>0</v>
      </c>
      <c r="L352" s="91">
        <f>'💰 Precio de Venta'!H353</f>
        <v>0</v>
      </c>
    </row>
    <row r="353" spans="4:12" ht="19.5" hidden="1" customHeight="1" x14ac:dyDescent="0.25">
      <c r="D353" s="92">
        <v>347</v>
      </c>
      <c r="E353" s="346"/>
      <c r="F353" s="347" t="s">
        <v>142</v>
      </c>
      <c r="G353" s="348">
        <v>0</v>
      </c>
      <c r="H353" s="349">
        <v>0</v>
      </c>
      <c r="I353" s="246">
        <f t="shared" si="5"/>
        <v>0</v>
      </c>
      <c r="J353" s="297">
        <f>IF(I353=0,0,I353/$I$507)</f>
        <v>0</v>
      </c>
      <c r="K353" s="89">
        <f>'🧮 Costos x Producto'!K353</f>
        <v>0</v>
      </c>
      <c r="L353" s="91">
        <f>'💰 Precio de Venta'!H354</f>
        <v>0</v>
      </c>
    </row>
    <row r="354" spans="4:12" ht="19.5" hidden="1" customHeight="1" x14ac:dyDescent="0.25">
      <c r="D354" s="92">
        <v>348</v>
      </c>
      <c r="E354" s="346"/>
      <c r="F354" s="347" t="s">
        <v>142</v>
      </c>
      <c r="G354" s="348">
        <v>0</v>
      </c>
      <c r="H354" s="349">
        <v>0</v>
      </c>
      <c r="I354" s="246">
        <f t="shared" si="5"/>
        <v>0</v>
      </c>
      <c r="J354" s="297">
        <f>IF(I354=0,0,I354/$I$507)</f>
        <v>0</v>
      </c>
      <c r="K354" s="89">
        <f>'🧮 Costos x Producto'!K354</f>
        <v>0</v>
      </c>
      <c r="L354" s="91">
        <f>'💰 Precio de Venta'!H355</f>
        <v>0</v>
      </c>
    </row>
    <row r="355" spans="4:12" ht="19.5" hidden="1" customHeight="1" x14ac:dyDescent="0.25">
      <c r="D355" s="92">
        <v>349</v>
      </c>
      <c r="E355" s="346"/>
      <c r="F355" s="347" t="s">
        <v>142</v>
      </c>
      <c r="G355" s="348">
        <v>0</v>
      </c>
      <c r="H355" s="349">
        <v>0</v>
      </c>
      <c r="I355" s="246">
        <f t="shared" si="5"/>
        <v>0</v>
      </c>
      <c r="J355" s="297">
        <f>IF(I355=0,0,I355/$I$507)</f>
        <v>0</v>
      </c>
      <c r="K355" s="89">
        <f>'🧮 Costos x Producto'!K355</f>
        <v>0</v>
      </c>
      <c r="L355" s="91">
        <f>'💰 Precio de Venta'!H356</f>
        <v>0</v>
      </c>
    </row>
    <row r="356" spans="4:12" ht="19.5" hidden="1" customHeight="1" x14ac:dyDescent="0.25">
      <c r="D356" s="92">
        <v>350</v>
      </c>
      <c r="E356" s="346"/>
      <c r="F356" s="347" t="s">
        <v>142</v>
      </c>
      <c r="G356" s="348">
        <v>0</v>
      </c>
      <c r="H356" s="349">
        <v>0</v>
      </c>
      <c r="I356" s="246">
        <f t="shared" si="5"/>
        <v>0</v>
      </c>
      <c r="J356" s="297">
        <f>IF(I356=0,0,I356/$I$507)</f>
        <v>0</v>
      </c>
      <c r="K356" s="89">
        <f>'🧮 Costos x Producto'!K356</f>
        <v>0</v>
      </c>
      <c r="L356" s="91">
        <f>'💰 Precio de Venta'!H357</f>
        <v>0</v>
      </c>
    </row>
    <row r="357" spans="4:12" ht="19.5" hidden="1" customHeight="1" x14ac:dyDescent="0.25">
      <c r="D357" s="92">
        <v>351</v>
      </c>
      <c r="E357" s="346"/>
      <c r="F357" s="347" t="s">
        <v>142</v>
      </c>
      <c r="G357" s="348">
        <v>0</v>
      </c>
      <c r="H357" s="349">
        <v>0</v>
      </c>
      <c r="I357" s="246">
        <f t="shared" ref="I357:I420" si="6">IF(G357=0,0,G357*H357)</f>
        <v>0</v>
      </c>
      <c r="J357" s="297">
        <f>IF(I357=0,0,I357/$I$507)</f>
        <v>0</v>
      </c>
      <c r="K357" s="89">
        <f>'🧮 Costos x Producto'!K357</f>
        <v>0</v>
      </c>
      <c r="L357" s="91">
        <f>'💰 Precio de Venta'!H358</f>
        <v>0</v>
      </c>
    </row>
    <row r="358" spans="4:12" ht="19.5" hidden="1" customHeight="1" x14ac:dyDescent="0.25">
      <c r="D358" s="92">
        <v>352</v>
      </c>
      <c r="E358" s="346"/>
      <c r="F358" s="347" t="s">
        <v>142</v>
      </c>
      <c r="G358" s="348">
        <v>0</v>
      </c>
      <c r="H358" s="349">
        <v>0</v>
      </c>
      <c r="I358" s="246">
        <f t="shared" si="6"/>
        <v>0</v>
      </c>
      <c r="J358" s="297">
        <f>IF(I358=0,0,I358/$I$507)</f>
        <v>0</v>
      </c>
      <c r="K358" s="89">
        <f>'🧮 Costos x Producto'!K358</f>
        <v>0</v>
      </c>
      <c r="L358" s="91">
        <f>'💰 Precio de Venta'!H359</f>
        <v>0</v>
      </c>
    </row>
    <row r="359" spans="4:12" ht="19.5" hidden="1" customHeight="1" x14ac:dyDescent="0.25">
      <c r="D359" s="92">
        <v>353</v>
      </c>
      <c r="E359" s="346"/>
      <c r="F359" s="347" t="s">
        <v>142</v>
      </c>
      <c r="G359" s="348">
        <v>0</v>
      </c>
      <c r="H359" s="349">
        <v>0</v>
      </c>
      <c r="I359" s="246">
        <f t="shared" si="6"/>
        <v>0</v>
      </c>
      <c r="J359" s="297">
        <f>IF(I359=0,0,I359/$I$507)</f>
        <v>0</v>
      </c>
      <c r="K359" s="89">
        <f>'🧮 Costos x Producto'!K359</f>
        <v>0</v>
      </c>
      <c r="L359" s="91">
        <f>'💰 Precio de Venta'!H360</f>
        <v>0</v>
      </c>
    </row>
    <row r="360" spans="4:12" ht="19.5" hidden="1" customHeight="1" x14ac:dyDescent="0.25">
      <c r="D360" s="92">
        <v>354</v>
      </c>
      <c r="E360" s="346"/>
      <c r="F360" s="347" t="s">
        <v>142</v>
      </c>
      <c r="G360" s="348">
        <v>0</v>
      </c>
      <c r="H360" s="349">
        <v>0</v>
      </c>
      <c r="I360" s="246">
        <f t="shared" si="6"/>
        <v>0</v>
      </c>
      <c r="J360" s="297">
        <f>IF(I360=0,0,I360/$I$507)</f>
        <v>0</v>
      </c>
      <c r="K360" s="89">
        <f>'🧮 Costos x Producto'!K360</f>
        <v>0</v>
      </c>
      <c r="L360" s="91">
        <f>'💰 Precio de Venta'!H361</f>
        <v>0</v>
      </c>
    </row>
    <row r="361" spans="4:12" ht="19.5" hidden="1" customHeight="1" x14ac:dyDescent="0.25">
      <c r="D361" s="92">
        <v>355</v>
      </c>
      <c r="E361" s="346"/>
      <c r="F361" s="347" t="s">
        <v>142</v>
      </c>
      <c r="G361" s="348">
        <v>0</v>
      </c>
      <c r="H361" s="349">
        <v>0</v>
      </c>
      <c r="I361" s="246">
        <f t="shared" si="6"/>
        <v>0</v>
      </c>
      <c r="J361" s="297">
        <f>IF(I361=0,0,I361/$I$507)</f>
        <v>0</v>
      </c>
      <c r="K361" s="89">
        <f>'🧮 Costos x Producto'!K361</f>
        <v>0</v>
      </c>
      <c r="L361" s="91">
        <f>'💰 Precio de Venta'!H362</f>
        <v>0</v>
      </c>
    </row>
    <row r="362" spans="4:12" ht="19.5" hidden="1" customHeight="1" x14ac:dyDescent="0.25">
      <c r="D362" s="92">
        <v>356</v>
      </c>
      <c r="E362" s="346"/>
      <c r="F362" s="347" t="s">
        <v>142</v>
      </c>
      <c r="G362" s="348">
        <v>0</v>
      </c>
      <c r="H362" s="349">
        <v>0</v>
      </c>
      <c r="I362" s="246">
        <f t="shared" si="6"/>
        <v>0</v>
      </c>
      <c r="J362" s="297">
        <f>IF(I362=0,0,I362/$I$507)</f>
        <v>0</v>
      </c>
      <c r="K362" s="89">
        <f>'🧮 Costos x Producto'!K362</f>
        <v>0</v>
      </c>
      <c r="L362" s="91">
        <f>'💰 Precio de Venta'!H363</f>
        <v>0</v>
      </c>
    </row>
    <row r="363" spans="4:12" ht="19.5" hidden="1" customHeight="1" x14ac:dyDescent="0.25">
      <c r="D363" s="92">
        <v>357</v>
      </c>
      <c r="E363" s="346"/>
      <c r="F363" s="347" t="s">
        <v>142</v>
      </c>
      <c r="G363" s="348">
        <v>0</v>
      </c>
      <c r="H363" s="349">
        <v>0</v>
      </c>
      <c r="I363" s="246">
        <f t="shared" si="6"/>
        <v>0</v>
      </c>
      <c r="J363" s="297">
        <f>IF(I363=0,0,I363/$I$507)</f>
        <v>0</v>
      </c>
      <c r="K363" s="89">
        <f>'🧮 Costos x Producto'!K363</f>
        <v>0</v>
      </c>
      <c r="L363" s="91">
        <f>'💰 Precio de Venta'!H364</f>
        <v>0</v>
      </c>
    </row>
    <row r="364" spans="4:12" ht="19.5" hidden="1" customHeight="1" x14ac:dyDescent="0.25">
      <c r="D364" s="92">
        <v>358</v>
      </c>
      <c r="E364" s="346"/>
      <c r="F364" s="347" t="s">
        <v>142</v>
      </c>
      <c r="G364" s="348">
        <v>0</v>
      </c>
      <c r="H364" s="349">
        <v>0</v>
      </c>
      <c r="I364" s="246">
        <f t="shared" si="6"/>
        <v>0</v>
      </c>
      <c r="J364" s="297">
        <f>IF(I364=0,0,I364/$I$507)</f>
        <v>0</v>
      </c>
      <c r="K364" s="89">
        <f>'🧮 Costos x Producto'!K364</f>
        <v>0</v>
      </c>
      <c r="L364" s="91">
        <f>'💰 Precio de Venta'!H365</f>
        <v>0</v>
      </c>
    </row>
    <row r="365" spans="4:12" ht="19.5" hidden="1" customHeight="1" x14ac:dyDescent="0.25">
      <c r="D365" s="92">
        <v>359</v>
      </c>
      <c r="E365" s="346"/>
      <c r="F365" s="347" t="s">
        <v>142</v>
      </c>
      <c r="G365" s="348">
        <v>0</v>
      </c>
      <c r="H365" s="349">
        <v>0</v>
      </c>
      <c r="I365" s="246">
        <f t="shared" si="6"/>
        <v>0</v>
      </c>
      <c r="J365" s="297">
        <f>IF(I365=0,0,I365/$I$507)</f>
        <v>0</v>
      </c>
      <c r="K365" s="89">
        <f>'🧮 Costos x Producto'!K365</f>
        <v>0</v>
      </c>
      <c r="L365" s="91">
        <f>'💰 Precio de Venta'!H366</f>
        <v>0</v>
      </c>
    </row>
    <row r="366" spans="4:12" ht="19.5" hidden="1" customHeight="1" x14ac:dyDescent="0.25">
      <c r="D366" s="92">
        <v>360</v>
      </c>
      <c r="E366" s="346"/>
      <c r="F366" s="347" t="s">
        <v>142</v>
      </c>
      <c r="G366" s="348">
        <v>0</v>
      </c>
      <c r="H366" s="349">
        <v>0</v>
      </c>
      <c r="I366" s="246">
        <f t="shared" si="6"/>
        <v>0</v>
      </c>
      <c r="J366" s="297">
        <f>IF(I366=0,0,I366/$I$507)</f>
        <v>0</v>
      </c>
      <c r="K366" s="89">
        <f>'🧮 Costos x Producto'!K366</f>
        <v>0</v>
      </c>
      <c r="L366" s="91">
        <f>'💰 Precio de Venta'!H367</f>
        <v>0</v>
      </c>
    </row>
    <row r="367" spans="4:12" ht="19.5" hidden="1" customHeight="1" x14ac:dyDescent="0.25">
      <c r="D367" s="92">
        <v>361</v>
      </c>
      <c r="E367" s="346"/>
      <c r="F367" s="347" t="s">
        <v>142</v>
      </c>
      <c r="G367" s="348">
        <v>0</v>
      </c>
      <c r="H367" s="349">
        <v>0</v>
      </c>
      <c r="I367" s="246">
        <f t="shared" si="6"/>
        <v>0</v>
      </c>
      <c r="J367" s="297">
        <f>IF(I367=0,0,I367/$I$507)</f>
        <v>0</v>
      </c>
      <c r="K367" s="89">
        <f>'🧮 Costos x Producto'!K367</f>
        <v>0</v>
      </c>
      <c r="L367" s="91">
        <f>'💰 Precio de Venta'!H368</f>
        <v>0</v>
      </c>
    </row>
    <row r="368" spans="4:12" ht="19.5" hidden="1" customHeight="1" x14ac:dyDescent="0.25">
      <c r="D368" s="92">
        <v>362</v>
      </c>
      <c r="E368" s="346"/>
      <c r="F368" s="347" t="s">
        <v>142</v>
      </c>
      <c r="G368" s="348">
        <v>0</v>
      </c>
      <c r="H368" s="349">
        <v>0</v>
      </c>
      <c r="I368" s="246">
        <f t="shared" si="6"/>
        <v>0</v>
      </c>
      <c r="J368" s="297">
        <f>IF(I368=0,0,I368/$I$507)</f>
        <v>0</v>
      </c>
      <c r="K368" s="89">
        <f>'🧮 Costos x Producto'!K368</f>
        <v>0</v>
      </c>
      <c r="L368" s="91">
        <f>'💰 Precio de Venta'!H369</f>
        <v>0</v>
      </c>
    </row>
    <row r="369" spans="4:12" ht="19.5" hidden="1" customHeight="1" x14ac:dyDescent="0.25">
      <c r="D369" s="92">
        <v>363</v>
      </c>
      <c r="E369" s="346"/>
      <c r="F369" s="347" t="s">
        <v>142</v>
      </c>
      <c r="G369" s="348">
        <v>0</v>
      </c>
      <c r="H369" s="349">
        <v>0</v>
      </c>
      <c r="I369" s="246">
        <f t="shared" si="6"/>
        <v>0</v>
      </c>
      <c r="J369" s="297">
        <f>IF(I369=0,0,I369/$I$507)</f>
        <v>0</v>
      </c>
      <c r="K369" s="89">
        <f>'🧮 Costos x Producto'!K369</f>
        <v>0</v>
      </c>
      <c r="L369" s="91">
        <f>'💰 Precio de Venta'!H370</f>
        <v>0</v>
      </c>
    </row>
    <row r="370" spans="4:12" ht="19.5" hidden="1" customHeight="1" x14ac:dyDescent="0.25">
      <c r="D370" s="92">
        <v>364</v>
      </c>
      <c r="E370" s="346"/>
      <c r="F370" s="347" t="s">
        <v>142</v>
      </c>
      <c r="G370" s="348">
        <v>0</v>
      </c>
      <c r="H370" s="349">
        <v>0</v>
      </c>
      <c r="I370" s="246">
        <f t="shared" si="6"/>
        <v>0</v>
      </c>
      <c r="J370" s="297">
        <f>IF(I370=0,0,I370/$I$507)</f>
        <v>0</v>
      </c>
      <c r="K370" s="89">
        <f>'🧮 Costos x Producto'!K370</f>
        <v>0</v>
      </c>
      <c r="L370" s="91">
        <f>'💰 Precio de Venta'!H371</f>
        <v>0</v>
      </c>
    </row>
    <row r="371" spans="4:12" ht="19.5" hidden="1" customHeight="1" x14ac:dyDescent="0.25">
      <c r="D371" s="92">
        <v>365</v>
      </c>
      <c r="E371" s="346"/>
      <c r="F371" s="347" t="s">
        <v>142</v>
      </c>
      <c r="G371" s="348">
        <v>0</v>
      </c>
      <c r="H371" s="349">
        <v>0</v>
      </c>
      <c r="I371" s="246">
        <f t="shared" si="6"/>
        <v>0</v>
      </c>
      <c r="J371" s="297">
        <f>IF(I371=0,0,I371/$I$507)</f>
        <v>0</v>
      </c>
      <c r="K371" s="89">
        <f>'🧮 Costos x Producto'!K371</f>
        <v>0</v>
      </c>
      <c r="L371" s="91">
        <f>'💰 Precio de Venta'!H372</f>
        <v>0</v>
      </c>
    </row>
    <row r="372" spans="4:12" ht="19.5" hidden="1" customHeight="1" x14ac:dyDescent="0.25">
      <c r="D372" s="92">
        <v>366</v>
      </c>
      <c r="E372" s="346"/>
      <c r="F372" s="347" t="s">
        <v>142</v>
      </c>
      <c r="G372" s="348">
        <v>0</v>
      </c>
      <c r="H372" s="349">
        <v>0</v>
      </c>
      <c r="I372" s="246">
        <f t="shared" si="6"/>
        <v>0</v>
      </c>
      <c r="J372" s="297">
        <f>IF(I372=0,0,I372/$I$507)</f>
        <v>0</v>
      </c>
      <c r="K372" s="89">
        <f>'🧮 Costos x Producto'!K372</f>
        <v>0</v>
      </c>
      <c r="L372" s="91">
        <f>'💰 Precio de Venta'!H373</f>
        <v>0</v>
      </c>
    </row>
    <row r="373" spans="4:12" ht="19.5" hidden="1" customHeight="1" x14ac:dyDescent="0.25">
      <c r="D373" s="92">
        <v>367</v>
      </c>
      <c r="E373" s="346"/>
      <c r="F373" s="347" t="s">
        <v>142</v>
      </c>
      <c r="G373" s="348">
        <v>0</v>
      </c>
      <c r="H373" s="349">
        <v>0</v>
      </c>
      <c r="I373" s="246">
        <f t="shared" si="6"/>
        <v>0</v>
      </c>
      <c r="J373" s="297">
        <f>IF(I373=0,0,I373/$I$507)</f>
        <v>0</v>
      </c>
      <c r="K373" s="89">
        <f>'🧮 Costos x Producto'!K373</f>
        <v>0</v>
      </c>
      <c r="L373" s="91">
        <f>'💰 Precio de Venta'!H374</f>
        <v>0</v>
      </c>
    </row>
    <row r="374" spans="4:12" ht="19.5" hidden="1" customHeight="1" x14ac:dyDescent="0.25">
      <c r="D374" s="92">
        <v>368</v>
      </c>
      <c r="E374" s="346"/>
      <c r="F374" s="347" t="s">
        <v>142</v>
      </c>
      <c r="G374" s="348">
        <v>0</v>
      </c>
      <c r="H374" s="349">
        <v>0</v>
      </c>
      <c r="I374" s="246">
        <f t="shared" si="6"/>
        <v>0</v>
      </c>
      <c r="J374" s="297">
        <f>IF(I374=0,0,I374/$I$507)</f>
        <v>0</v>
      </c>
      <c r="K374" s="89">
        <f>'🧮 Costos x Producto'!K374</f>
        <v>0</v>
      </c>
      <c r="L374" s="91">
        <f>'💰 Precio de Venta'!H375</f>
        <v>0</v>
      </c>
    </row>
    <row r="375" spans="4:12" ht="19.5" hidden="1" customHeight="1" x14ac:dyDescent="0.25">
      <c r="D375" s="92">
        <v>369</v>
      </c>
      <c r="E375" s="346"/>
      <c r="F375" s="347" t="s">
        <v>142</v>
      </c>
      <c r="G375" s="348">
        <v>0</v>
      </c>
      <c r="H375" s="349">
        <v>0</v>
      </c>
      <c r="I375" s="246">
        <f t="shared" si="6"/>
        <v>0</v>
      </c>
      <c r="J375" s="297">
        <f>IF(I375=0,0,I375/$I$507)</f>
        <v>0</v>
      </c>
      <c r="K375" s="89">
        <f>'🧮 Costos x Producto'!K375</f>
        <v>0</v>
      </c>
      <c r="L375" s="91">
        <f>'💰 Precio de Venta'!H376</f>
        <v>0</v>
      </c>
    </row>
    <row r="376" spans="4:12" ht="19.5" hidden="1" customHeight="1" x14ac:dyDescent="0.25">
      <c r="D376" s="92">
        <v>370</v>
      </c>
      <c r="E376" s="346"/>
      <c r="F376" s="347" t="s">
        <v>142</v>
      </c>
      <c r="G376" s="348">
        <v>0</v>
      </c>
      <c r="H376" s="349">
        <v>0</v>
      </c>
      <c r="I376" s="246">
        <f t="shared" si="6"/>
        <v>0</v>
      </c>
      <c r="J376" s="297">
        <f>IF(I376=0,0,I376/$I$507)</f>
        <v>0</v>
      </c>
      <c r="K376" s="89">
        <f>'🧮 Costos x Producto'!K376</f>
        <v>0</v>
      </c>
      <c r="L376" s="91">
        <f>'💰 Precio de Venta'!H377</f>
        <v>0</v>
      </c>
    </row>
    <row r="377" spans="4:12" ht="19.5" hidden="1" customHeight="1" x14ac:dyDescent="0.25">
      <c r="D377" s="92">
        <v>371</v>
      </c>
      <c r="E377" s="346"/>
      <c r="F377" s="347" t="s">
        <v>142</v>
      </c>
      <c r="G377" s="348">
        <v>0</v>
      </c>
      <c r="H377" s="349">
        <v>0</v>
      </c>
      <c r="I377" s="246">
        <f t="shared" si="6"/>
        <v>0</v>
      </c>
      <c r="J377" s="297">
        <f>IF(I377=0,0,I377/$I$507)</f>
        <v>0</v>
      </c>
      <c r="K377" s="89">
        <f>'🧮 Costos x Producto'!K377</f>
        <v>0</v>
      </c>
      <c r="L377" s="91">
        <f>'💰 Precio de Venta'!H378</f>
        <v>0</v>
      </c>
    </row>
    <row r="378" spans="4:12" ht="19.5" hidden="1" customHeight="1" x14ac:dyDescent="0.25">
      <c r="D378" s="92">
        <v>372</v>
      </c>
      <c r="E378" s="346"/>
      <c r="F378" s="347" t="s">
        <v>142</v>
      </c>
      <c r="G378" s="348">
        <v>0</v>
      </c>
      <c r="H378" s="349">
        <v>0</v>
      </c>
      <c r="I378" s="246">
        <f t="shared" si="6"/>
        <v>0</v>
      </c>
      <c r="J378" s="297">
        <f>IF(I378=0,0,I378/$I$507)</f>
        <v>0</v>
      </c>
      <c r="K378" s="89">
        <f>'🧮 Costos x Producto'!K378</f>
        <v>0</v>
      </c>
      <c r="L378" s="91">
        <f>'💰 Precio de Venta'!H379</f>
        <v>0</v>
      </c>
    </row>
    <row r="379" spans="4:12" ht="19.5" hidden="1" customHeight="1" x14ac:dyDescent="0.25">
      <c r="D379" s="92">
        <v>373</v>
      </c>
      <c r="E379" s="346"/>
      <c r="F379" s="347" t="s">
        <v>142</v>
      </c>
      <c r="G379" s="348">
        <v>0</v>
      </c>
      <c r="H379" s="349">
        <v>0</v>
      </c>
      <c r="I379" s="246">
        <f t="shared" si="6"/>
        <v>0</v>
      </c>
      <c r="J379" s="297">
        <f>IF(I379=0,0,I379/$I$507)</f>
        <v>0</v>
      </c>
      <c r="K379" s="89">
        <f>'🧮 Costos x Producto'!K379</f>
        <v>0</v>
      </c>
      <c r="L379" s="91">
        <f>'💰 Precio de Venta'!H380</f>
        <v>0</v>
      </c>
    </row>
    <row r="380" spans="4:12" ht="19.5" hidden="1" customHeight="1" x14ac:dyDescent="0.25">
      <c r="D380" s="92">
        <v>374</v>
      </c>
      <c r="E380" s="346"/>
      <c r="F380" s="347" t="s">
        <v>142</v>
      </c>
      <c r="G380" s="348">
        <v>0</v>
      </c>
      <c r="H380" s="349">
        <v>0</v>
      </c>
      <c r="I380" s="246">
        <f t="shared" si="6"/>
        <v>0</v>
      </c>
      <c r="J380" s="297">
        <f>IF(I380=0,0,I380/$I$507)</f>
        <v>0</v>
      </c>
      <c r="K380" s="89">
        <f>'🧮 Costos x Producto'!K380</f>
        <v>0</v>
      </c>
      <c r="L380" s="91">
        <f>'💰 Precio de Venta'!H381</f>
        <v>0</v>
      </c>
    </row>
    <row r="381" spans="4:12" ht="19.5" hidden="1" customHeight="1" x14ac:dyDescent="0.25">
      <c r="D381" s="92">
        <v>375</v>
      </c>
      <c r="E381" s="346"/>
      <c r="F381" s="347" t="s">
        <v>142</v>
      </c>
      <c r="G381" s="348">
        <v>0</v>
      </c>
      <c r="H381" s="349">
        <v>0</v>
      </c>
      <c r="I381" s="246">
        <f t="shared" si="6"/>
        <v>0</v>
      </c>
      <c r="J381" s="297">
        <f>IF(I381=0,0,I381/$I$507)</f>
        <v>0</v>
      </c>
      <c r="K381" s="89">
        <f>'🧮 Costos x Producto'!K381</f>
        <v>0</v>
      </c>
      <c r="L381" s="91">
        <f>'💰 Precio de Venta'!H382</f>
        <v>0</v>
      </c>
    </row>
    <row r="382" spans="4:12" ht="19.5" hidden="1" customHeight="1" x14ac:dyDescent="0.25">
      <c r="D382" s="92">
        <v>376</v>
      </c>
      <c r="E382" s="346"/>
      <c r="F382" s="347" t="s">
        <v>142</v>
      </c>
      <c r="G382" s="348">
        <v>0</v>
      </c>
      <c r="H382" s="349">
        <v>0</v>
      </c>
      <c r="I382" s="246">
        <f t="shared" si="6"/>
        <v>0</v>
      </c>
      <c r="J382" s="297">
        <f>IF(I382=0,0,I382/$I$507)</f>
        <v>0</v>
      </c>
      <c r="K382" s="89">
        <f>'🧮 Costos x Producto'!K382</f>
        <v>0</v>
      </c>
      <c r="L382" s="91">
        <f>'💰 Precio de Venta'!H383</f>
        <v>0</v>
      </c>
    </row>
    <row r="383" spans="4:12" ht="19.5" hidden="1" customHeight="1" x14ac:dyDescent="0.25">
      <c r="D383" s="92">
        <v>377</v>
      </c>
      <c r="E383" s="346"/>
      <c r="F383" s="347" t="s">
        <v>142</v>
      </c>
      <c r="G383" s="348">
        <v>0</v>
      </c>
      <c r="H383" s="349">
        <v>0</v>
      </c>
      <c r="I383" s="246">
        <f t="shared" si="6"/>
        <v>0</v>
      </c>
      <c r="J383" s="297">
        <f>IF(I383=0,0,I383/$I$507)</f>
        <v>0</v>
      </c>
      <c r="K383" s="89">
        <f>'🧮 Costos x Producto'!K383</f>
        <v>0</v>
      </c>
      <c r="L383" s="91">
        <f>'💰 Precio de Venta'!H384</f>
        <v>0</v>
      </c>
    </row>
    <row r="384" spans="4:12" ht="19.5" hidden="1" customHeight="1" x14ac:dyDescent="0.25">
      <c r="D384" s="92">
        <v>378</v>
      </c>
      <c r="E384" s="346"/>
      <c r="F384" s="347" t="s">
        <v>142</v>
      </c>
      <c r="G384" s="348">
        <v>0</v>
      </c>
      <c r="H384" s="349">
        <v>0</v>
      </c>
      <c r="I384" s="246">
        <f t="shared" si="6"/>
        <v>0</v>
      </c>
      <c r="J384" s="297">
        <f>IF(I384=0,0,I384/$I$507)</f>
        <v>0</v>
      </c>
      <c r="K384" s="89">
        <f>'🧮 Costos x Producto'!K384</f>
        <v>0</v>
      </c>
      <c r="L384" s="91">
        <f>'💰 Precio de Venta'!H385</f>
        <v>0</v>
      </c>
    </row>
    <row r="385" spans="4:12" ht="19.5" hidden="1" customHeight="1" x14ac:dyDescent="0.25">
      <c r="D385" s="92">
        <v>379</v>
      </c>
      <c r="E385" s="346"/>
      <c r="F385" s="347" t="s">
        <v>142</v>
      </c>
      <c r="G385" s="348">
        <v>0</v>
      </c>
      <c r="H385" s="349">
        <v>0</v>
      </c>
      <c r="I385" s="246">
        <f t="shared" si="6"/>
        <v>0</v>
      </c>
      <c r="J385" s="297">
        <f>IF(I385=0,0,I385/$I$507)</f>
        <v>0</v>
      </c>
      <c r="K385" s="89">
        <f>'🧮 Costos x Producto'!K385</f>
        <v>0</v>
      </c>
      <c r="L385" s="91">
        <f>'💰 Precio de Venta'!H386</f>
        <v>0</v>
      </c>
    </row>
    <row r="386" spans="4:12" ht="19.5" hidden="1" customHeight="1" x14ac:dyDescent="0.25">
      <c r="D386" s="92">
        <v>380</v>
      </c>
      <c r="E386" s="346"/>
      <c r="F386" s="347" t="s">
        <v>142</v>
      </c>
      <c r="G386" s="348">
        <v>0</v>
      </c>
      <c r="H386" s="349">
        <v>0</v>
      </c>
      <c r="I386" s="246">
        <f t="shared" si="6"/>
        <v>0</v>
      </c>
      <c r="J386" s="297">
        <f>IF(I386=0,0,I386/$I$507)</f>
        <v>0</v>
      </c>
      <c r="K386" s="89">
        <f>'🧮 Costos x Producto'!K386</f>
        <v>0</v>
      </c>
      <c r="L386" s="91">
        <f>'💰 Precio de Venta'!H387</f>
        <v>0</v>
      </c>
    </row>
    <row r="387" spans="4:12" ht="19.5" hidden="1" customHeight="1" x14ac:dyDescent="0.25">
      <c r="D387" s="92">
        <v>381</v>
      </c>
      <c r="E387" s="346"/>
      <c r="F387" s="347" t="s">
        <v>142</v>
      </c>
      <c r="G387" s="348">
        <v>0</v>
      </c>
      <c r="H387" s="349">
        <v>0</v>
      </c>
      <c r="I387" s="246">
        <f t="shared" si="6"/>
        <v>0</v>
      </c>
      <c r="J387" s="297">
        <f>IF(I387=0,0,I387/$I$507)</f>
        <v>0</v>
      </c>
      <c r="K387" s="89">
        <f>'🧮 Costos x Producto'!K387</f>
        <v>0</v>
      </c>
      <c r="L387" s="91">
        <f>'💰 Precio de Venta'!H388</f>
        <v>0</v>
      </c>
    </row>
    <row r="388" spans="4:12" ht="19.5" hidden="1" customHeight="1" x14ac:dyDescent="0.25">
      <c r="D388" s="92">
        <v>382</v>
      </c>
      <c r="E388" s="346"/>
      <c r="F388" s="347" t="s">
        <v>142</v>
      </c>
      <c r="G388" s="348">
        <v>0</v>
      </c>
      <c r="H388" s="349">
        <v>0</v>
      </c>
      <c r="I388" s="246">
        <f t="shared" si="6"/>
        <v>0</v>
      </c>
      <c r="J388" s="297">
        <f>IF(I388=0,0,I388/$I$507)</f>
        <v>0</v>
      </c>
      <c r="K388" s="89">
        <f>'🧮 Costos x Producto'!K388</f>
        <v>0</v>
      </c>
      <c r="L388" s="91">
        <f>'💰 Precio de Venta'!H389</f>
        <v>0</v>
      </c>
    </row>
    <row r="389" spans="4:12" ht="19.5" hidden="1" customHeight="1" x14ac:dyDescent="0.25">
      <c r="D389" s="92">
        <v>383</v>
      </c>
      <c r="E389" s="346"/>
      <c r="F389" s="347" t="s">
        <v>142</v>
      </c>
      <c r="G389" s="348">
        <v>0</v>
      </c>
      <c r="H389" s="349">
        <v>0</v>
      </c>
      <c r="I389" s="246">
        <f t="shared" si="6"/>
        <v>0</v>
      </c>
      <c r="J389" s="297">
        <f>IF(I389=0,0,I389/$I$507)</f>
        <v>0</v>
      </c>
      <c r="K389" s="89">
        <f>'🧮 Costos x Producto'!K389</f>
        <v>0</v>
      </c>
      <c r="L389" s="91">
        <f>'💰 Precio de Venta'!H390</f>
        <v>0</v>
      </c>
    </row>
    <row r="390" spans="4:12" ht="19.5" hidden="1" customHeight="1" x14ac:dyDescent="0.25">
      <c r="D390" s="92">
        <v>384</v>
      </c>
      <c r="E390" s="346"/>
      <c r="F390" s="347" t="s">
        <v>142</v>
      </c>
      <c r="G390" s="348">
        <v>0</v>
      </c>
      <c r="H390" s="349">
        <v>0</v>
      </c>
      <c r="I390" s="246">
        <f t="shared" si="6"/>
        <v>0</v>
      </c>
      <c r="J390" s="297">
        <f>IF(I390=0,0,I390/$I$507)</f>
        <v>0</v>
      </c>
      <c r="K390" s="89">
        <f>'🧮 Costos x Producto'!K390</f>
        <v>0</v>
      </c>
      <c r="L390" s="91">
        <f>'💰 Precio de Venta'!H391</f>
        <v>0</v>
      </c>
    </row>
    <row r="391" spans="4:12" ht="19.5" hidden="1" customHeight="1" x14ac:dyDescent="0.25">
      <c r="D391" s="92">
        <v>385</v>
      </c>
      <c r="E391" s="346"/>
      <c r="F391" s="347" t="s">
        <v>142</v>
      </c>
      <c r="G391" s="348">
        <v>0</v>
      </c>
      <c r="H391" s="349">
        <v>0</v>
      </c>
      <c r="I391" s="246">
        <f t="shared" si="6"/>
        <v>0</v>
      </c>
      <c r="J391" s="297">
        <f>IF(I391=0,0,I391/$I$507)</f>
        <v>0</v>
      </c>
      <c r="K391" s="89">
        <f>'🧮 Costos x Producto'!K391</f>
        <v>0</v>
      </c>
      <c r="L391" s="91">
        <f>'💰 Precio de Venta'!H392</f>
        <v>0</v>
      </c>
    </row>
    <row r="392" spans="4:12" ht="19.5" hidden="1" customHeight="1" x14ac:dyDescent="0.25">
      <c r="D392" s="92">
        <v>386</v>
      </c>
      <c r="E392" s="346"/>
      <c r="F392" s="347" t="s">
        <v>142</v>
      </c>
      <c r="G392" s="348">
        <v>0</v>
      </c>
      <c r="H392" s="349">
        <v>0</v>
      </c>
      <c r="I392" s="246">
        <f t="shared" si="6"/>
        <v>0</v>
      </c>
      <c r="J392" s="297">
        <f>IF(I392=0,0,I392/$I$507)</f>
        <v>0</v>
      </c>
      <c r="K392" s="89">
        <f>'🧮 Costos x Producto'!K392</f>
        <v>0</v>
      </c>
      <c r="L392" s="91">
        <f>'💰 Precio de Venta'!H393</f>
        <v>0</v>
      </c>
    </row>
    <row r="393" spans="4:12" ht="19.5" hidden="1" customHeight="1" x14ac:dyDescent="0.25">
      <c r="D393" s="92">
        <v>387</v>
      </c>
      <c r="E393" s="346"/>
      <c r="F393" s="347" t="s">
        <v>142</v>
      </c>
      <c r="G393" s="348">
        <v>0</v>
      </c>
      <c r="H393" s="349">
        <v>0</v>
      </c>
      <c r="I393" s="246">
        <f t="shared" si="6"/>
        <v>0</v>
      </c>
      <c r="J393" s="297">
        <f>IF(I393=0,0,I393/$I$507)</f>
        <v>0</v>
      </c>
      <c r="K393" s="89">
        <f>'🧮 Costos x Producto'!K393</f>
        <v>0</v>
      </c>
      <c r="L393" s="91">
        <f>'💰 Precio de Venta'!H394</f>
        <v>0</v>
      </c>
    </row>
    <row r="394" spans="4:12" ht="19.5" hidden="1" customHeight="1" x14ac:dyDescent="0.25">
      <c r="D394" s="92">
        <v>388</v>
      </c>
      <c r="E394" s="346"/>
      <c r="F394" s="347" t="s">
        <v>142</v>
      </c>
      <c r="G394" s="348">
        <v>0</v>
      </c>
      <c r="H394" s="349">
        <v>0</v>
      </c>
      <c r="I394" s="246">
        <f t="shared" si="6"/>
        <v>0</v>
      </c>
      <c r="J394" s="297">
        <f>IF(I394=0,0,I394/$I$507)</f>
        <v>0</v>
      </c>
      <c r="K394" s="89">
        <f>'🧮 Costos x Producto'!K394</f>
        <v>0</v>
      </c>
      <c r="L394" s="91">
        <f>'💰 Precio de Venta'!H395</f>
        <v>0</v>
      </c>
    </row>
    <row r="395" spans="4:12" ht="19.5" hidden="1" customHeight="1" x14ac:dyDescent="0.25">
      <c r="D395" s="92">
        <v>389</v>
      </c>
      <c r="E395" s="346"/>
      <c r="F395" s="347" t="s">
        <v>142</v>
      </c>
      <c r="G395" s="348">
        <v>0</v>
      </c>
      <c r="H395" s="349">
        <v>0</v>
      </c>
      <c r="I395" s="246">
        <f t="shared" si="6"/>
        <v>0</v>
      </c>
      <c r="J395" s="297">
        <f>IF(I395=0,0,I395/$I$507)</f>
        <v>0</v>
      </c>
      <c r="K395" s="89">
        <f>'🧮 Costos x Producto'!K395</f>
        <v>0</v>
      </c>
      <c r="L395" s="91">
        <f>'💰 Precio de Venta'!H396</f>
        <v>0</v>
      </c>
    </row>
    <row r="396" spans="4:12" ht="19.5" hidden="1" customHeight="1" x14ac:dyDescent="0.25">
      <c r="D396" s="92">
        <v>390</v>
      </c>
      <c r="E396" s="346"/>
      <c r="F396" s="347" t="s">
        <v>142</v>
      </c>
      <c r="G396" s="348">
        <v>0</v>
      </c>
      <c r="H396" s="349">
        <v>0</v>
      </c>
      <c r="I396" s="246">
        <f t="shared" si="6"/>
        <v>0</v>
      </c>
      <c r="J396" s="297">
        <f>IF(I396=0,0,I396/$I$507)</f>
        <v>0</v>
      </c>
      <c r="K396" s="89">
        <f>'🧮 Costos x Producto'!K396</f>
        <v>0</v>
      </c>
      <c r="L396" s="91">
        <f>'💰 Precio de Venta'!H397</f>
        <v>0</v>
      </c>
    </row>
    <row r="397" spans="4:12" ht="19.5" hidden="1" customHeight="1" x14ac:dyDescent="0.25">
      <c r="D397" s="92">
        <v>391</v>
      </c>
      <c r="E397" s="346"/>
      <c r="F397" s="347" t="s">
        <v>142</v>
      </c>
      <c r="G397" s="348">
        <v>0</v>
      </c>
      <c r="H397" s="349">
        <v>0</v>
      </c>
      <c r="I397" s="246">
        <f t="shared" si="6"/>
        <v>0</v>
      </c>
      <c r="J397" s="297">
        <f>IF(I397=0,0,I397/$I$507)</f>
        <v>0</v>
      </c>
      <c r="K397" s="89">
        <f>'🧮 Costos x Producto'!K397</f>
        <v>0</v>
      </c>
      <c r="L397" s="91">
        <f>'💰 Precio de Venta'!H398</f>
        <v>0</v>
      </c>
    </row>
    <row r="398" spans="4:12" ht="19.5" hidden="1" customHeight="1" x14ac:dyDescent="0.25">
      <c r="D398" s="92">
        <v>392</v>
      </c>
      <c r="E398" s="346"/>
      <c r="F398" s="347" t="s">
        <v>142</v>
      </c>
      <c r="G398" s="348">
        <v>0</v>
      </c>
      <c r="H398" s="349">
        <v>0</v>
      </c>
      <c r="I398" s="246">
        <f t="shared" si="6"/>
        <v>0</v>
      </c>
      <c r="J398" s="297">
        <f>IF(I398=0,0,I398/$I$507)</f>
        <v>0</v>
      </c>
      <c r="K398" s="89">
        <f>'🧮 Costos x Producto'!K398</f>
        <v>0</v>
      </c>
      <c r="L398" s="91">
        <f>'💰 Precio de Venta'!H399</f>
        <v>0</v>
      </c>
    </row>
    <row r="399" spans="4:12" ht="19.5" hidden="1" customHeight="1" x14ac:dyDescent="0.25">
      <c r="D399" s="92">
        <v>393</v>
      </c>
      <c r="E399" s="346"/>
      <c r="F399" s="347" t="s">
        <v>142</v>
      </c>
      <c r="G399" s="348">
        <v>0</v>
      </c>
      <c r="H399" s="349">
        <v>0</v>
      </c>
      <c r="I399" s="246">
        <f t="shared" si="6"/>
        <v>0</v>
      </c>
      <c r="J399" s="297">
        <f>IF(I399=0,0,I399/$I$507)</f>
        <v>0</v>
      </c>
      <c r="K399" s="89">
        <f>'🧮 Costos x Producto'!K399</f>
        <v>0</v>
      </c>
      <c r="L399" s="91">
        <f>'💰 Precio de Venta'!H400</f>
        <v>0</v>
      </c>
    </row>
    <row r="400" spans="4:12" ht="19.5" hidden="1" customHeight="1" x14ac:dyDescent="0.25">
      <c r="D400" s="92">
        <v>394</v>
      </c>
      <c r="E400" s="346"/>
      <c r="F400" s="347" t="s">
        <v>142</v>
      </c>
      <c r="G400" s="348">
        <v>0</v>
      </c>
      <c r="H400" s="349">
        <v>0</v>
      </c>
      <c r="I400" s="246">
        <f t="shared" si="6"/>
        <v>0</v>
      </c>
      <c r="J400" s="297">
        <f>IF(I400=0,0,I400/$I$507)</f>
        <v>0</v>
      </c>
      <c r="K400" s="89">
        <f>'🧮 Costos x Producto'!K400</f>
        <v>0</v>
      </c>
      <c r="L400" s="91">
        <f>'💰 Precio de Venta'!H401</f>
        <v>0</v>
      </c>
    </row>
    <row r="401" spans="4:12" ht="19.5" hidden="1" customHeight="1" x14ac:dyDescent="0.25">
      <c r="D401" s="92">
        <v>395</v>
      </c>
      <c r="E401" s="346"/>
      <c r="F401" s="347" t="s">
        <v>142</v>
      </c>
      <c r="G401" s="348">
        <v>0</v>
      </c>
      <c r="H401" s="349">
        <v>0</v>
      </c>
      <c r="I401" s="246">
        <f t="shared" si="6"/>
        <v>0</v>
      </c>
      <c r="J401" s="297">
        <f>IF(I401=0,0,I401/$I$507)</f>
        <v>0</v>
      </c>
      <c r="K401" s="89">
        <f>'🧮 Costos x Producto'!K401</f>
        <v>0</v>
      </c>
      <c r="L401" s="91">
        <f>'💰 Precio de Venta'!H402</f>
        <v>0</v>
      </c>
    </row>
    <row r="402" spans="4:12" ht="19.5" hidden="1" customHeight="1" x14ac:dyDescent="0.25">
      <c r="D402" s="92">
        <v>396</v>
      </c>
      <c r="E402" s="346"/>
      <c r="F402" s="347" t="s">
        <v>142</v>
      </c>
      <c r="G402" s="348">
        <v>0</v>
      </c>
      <c r="H402" s="349">
        <v>0</v>
      </c>
      <c r="I402" s="246">
        <f t="shared" si="6"/>
        <v>0</v>
      </c>
      <c r="J402" s="297">
        <f>IF(I402=0,0,I402/$I$507)</f>
        <v>0</v>
      </c>
      <c r="K402" s="89">
        <f>'🧮 Costos x Producto'!K402</f>
        <v>0</v>
      </c>
      <c r="L402" s="91">
        <f>'💰 Precio de Venta'!H403</f>
        <v>0</v>
      </c>
    </row>
    <row r="403" spans="4:12" ht="19.5" hidden="1" customHeight="1" x14ac:dyDescent="0.25">
      <c r="D403" s="92">
        <v>397</v>
      </c>
      <c r="E403" s="346"/>
      <c r="F403" s="347" t="s">
        <v>142</v>
      </c>
      <c r="G403" s="348">
        <v>0</v>
      </c>
      <c r="H403" s="349">
        <v>0</v>
      </c>
      <c r="I403" s="246">
        <f t="shared" si="6"/>
        <v>0</v>
      </c>
      <c r="J403" s="297">
        <f>IF(I403=0,0,I403/$I$507)</f>
        <v>0</v>
      </c>
      <c r="K403" s="89">
        <f>'🧮 Costos x Producto'!K403</f>
        <v>0</v>
      </c>
      <c r="L403" s="91">
        <f>'💰 Precio de Venta'!H404</f>
        <v>0</v>
      </c>
    </row>
    <row r="404" spans="4:12" ht="19.5" hidden="1" customHeight="1" x14ac:dyDescent="0.25">
      <c r="D404" s="92">
        <v>398</v>
      </c>
      <c r="E404" s="346"/>
      <c r="F404" s="347" t="s">
        <v>142</v>
      </c>
      <c r="G404" s="348">
        <v>0</v>
      </c>
      <c r="H404" s="349">
        <v>0</v>
      </c>
      <c r="I404" s="246">
        <f t="shared" si="6"/>
        <v>0</v>
      </c>
      <c r="J404" s="297">
        <f>IF(I404=0,0,I404/$I$507)</f>
        <v>0</v>
      </c>
      <c r="K404" s="89">
        <f>'🧮 Costos x Producto'!K404</f>
        <v>0</v>
      </c>
      <c r="L404" s="91">
        <f>'💰 Precio de Venta'!H405</f>
        <v>0</v>
      </c>
    </row>
    <row r="405" spans="4:12" ht="19.5" hidden="1" customHeight="1" x14ac:dyDescent="0.25">
      <c r="D405" s="92">
        <v>399</v>
      </c>
      <c r="E405" s="346"/>
      <c r="F405" s="347" t="s">
        <v>142</v>
      </c>
      <c r="G405" s="348">
        <v>0</v>
      </c>
      <c r="H405" s="349">
        <v>0</v>
      </c>
      <c r="I405" s="246">
        <f t="shared" si="6"/>
        <v>0</v>
      </c>
      <c r="J405" s="297">
        <f>IF(I405=0,0,I405/$I$507)</f>
        <v>0</v>
      </c>
      <c r="K405" s="89">
        <f>'🧮 Costos x Producto'!K405</f>
        <v>0</v>
      </c>
      <c r="L405" s="91">
        <f>'💰 Precio de Venta'!H406</f>
        <v>0</v>
      </c>
    </row>
    <row r="406" spans="4:12" ht="19.5" hidden="1" customHeight="1" x14ac:dyDescent="0.25">
      <c r="D406" s="92">
        <v>400</v>
      </c>
      <c r="E406" s="346"/>
      <c r="F406" s="347" t="s">
        <v>142</v>
      </c>
      <c r="G406" s="348">
        <v>0</v>
      </c>
      <c r="H406" s="349">
        <v>0</v>
      </c>
      <c r="I406" s="246">
        <f t="shared" si="6"/>
        <v>0</v>
      </c>
      <c r="J406" s="297">
        <f>IF(I406=0,0,I406/$I$507)</f>
        <v>0</v>
      </c>
      <c r="K406" s="89">
        <f>'🧮 Costos x Producto'!K406</f>
        <v>0</v>
      </c>
      <c r="L406" s="91">
        <f>'💰 Precio de Venta'!H407</f>
        <v>0</v>
      </c>
    </row>
    <row r="407" spans="4:12" ht="19.5" hidden="1" customHeight="1" x14ac:dyDescent="0.25">
      <c r="D407" s="92">
        <v>401</v>
      </c>
      <c r="E407" s="346"/>
      <c r="F407" s="347" t="s">
        <v>142</v>
      </c>
      <c r="G407" s="348">
        <v>0</v>
      </c>
      <c r="H407" s="349">
        <v>0</v>
      </c>
      <c r="I407" s="246">
        <f t="shared" si="6"/>
        <v>0</v>
      </c>
      <c r="J407" s="297">
        <f>IF(I407=0,0,I407/$I$507)</f>
        <v>0</v>
      </c>
      <c r="K407" s="89">
        <f>'🧮 Costos x Producto'!K407</f>
        <v>0</v>
      </c>
      <c r="L407" s="91">
        <f>'💰 Precio de Venta'!H408</f>
        <v>0</v>
      </c>
    </row>
    <row r="408" spans="4:12" ht="19.5" hidden="1" customHeight="1" x14ac:dyDescent="0.25">
      <c r="D408" s="92">
        <v>402</v>
      </c>
      <c r="E408" s="346"/>
      <c r="F408" s="347" t="s">
        <v>142</v>
      </c>
      <c r="G408" s="348">
        <v>0</v>
      </c>
      <c r="H408" s="349">
        <v>0</v>
      </c>
      <c r="I408" s="246">
        <f t="shared" si="6"/>
        <v>0</v>
      </c>
      <c r="J408" s="297">
        <f>IF(I408=0,0,I408/$I$507)</f>
        <v>0</v>
      </c>
      <c r="K408" s="89">
        <f>'🧮 Costos x Producto'!K408</f>
        <v>0</v>
      </c>
      <c r="L408" s="91">
        <f>'💰 Precio de Venta'!H409</f>
        <v>0</v>
      </c>
    </row>
    <row r="409" spans="4:12" ht="19.5" hidden="1" customHeight="1" x14ac:dyDescent="0.25">
      <c r="D409" s="92">
        <v>403</v>
      </c>
      <c r="E409" s="346"/>
      <c r="F409" s="347" t="s">
        <v>142</v>
      </c>
      <c r="G409" s="348">
        <v>0</v>
      </c>
      <c r="H409" s="349">
        <v>0</v>
      </c>
      <c r="I409" s="246">
        <f t="shared" si="6"/>
        <v>0</v>
      </c>
      <c r="J409" s="297">
        <f>IF(I409=0,0,I409/$I$507)</f>
        <v>0</v>
      </c>
      <c r="K409" s="89">
        <f>'🧮 Costos x Producto'!K409</f>
        <v>0</v>
      </c>
      <c r="L409" s="91">
        <f>'💰 Precio de Venta'!H410</f>
        <v>0</v>
      </c>
    </row>
    <row r="410" spans="4:12" ht="19.5" hidden="1" customHeight="1" x14ac:dyDescent="0.25">
      <c r="D410" s="92">
        <v>404</v>
      </c>
      <c r="E410" s="346"/>
      <c r="F410" s="347" t="s">
        <v>142</v>
      </c>
      <c r="G410" s="348">
        <v>0</v>
      </c>
      <c r="H410" s="349">
        <v>0</v>
      </c>
      <c r="I410" s="246">
        <f t="shared" si="6"/>
        <v>0</v>
      </c>
      <c r="J410" s="297">
        <f>IF(I410=0,0,I410/$I$507)</f>
        <v>0</v>
      </c>
      <c r="K410" s="89">
        <f>'🧮 Costos x Producto'!K410</f>
        <v>0</v>
      </c>
      <c r="L410" s="91">
        <f>'💰 Precio de Venta'!H411</f>
        <v>0</v>
      </c>
    </row>
    <row r="411" spans="4:12" ht="19.5" hidden="1" customHeight="1" x14ac:dyDescent="0.25">
      <c r="D411" s="92">
        <v>405</v>
      </c>
      <c r="E411" s="346"/>
      <c r="F411" s="347" t="s">
        <v>142</v>
      </c>
      <c r="G411" s="348">
        <v>0</v>
      </c>
      <c r="H411" s="349">
        <v>0</v>
      </c>
      <c r="I411" s="246">
        <f t="shared" si="6"/>
        <v>0</v>
      </c>
      <c r="J411" s="297">
        <f>IF(I411=0,0,I411/$I$507)</f>
        <v>0</v>
      </c>
      <c r="K411" s="89">
        <f>'🧮 Costos x Producto'!K411</f>
        <v>0</v>
      </c>
      <c r="L411" s="91">
        <f>'💰 Precio de Venta'!H412</f>
        <v>0</v>
      </c>
    </row>
    <row r="412" spans="4:12" ht="19.5" hidden="1" customHeight="1" x14ac:dyDescent="0.25">
      <c r="D412" s="92">
        <v>406</v>
      </c>
      <c r="E412" s="346"/>
      <c r="F412" s="347" t="s">
        <v>142</v>
      </c>
      <c r="G412" s="348">
        <v>0</v>
      </c>
      <c r="H412" s="349">
        <v>0</v>
      </c>
      <c r="I412" s="246">
        <f t="shared" si="6"/>
        <v>0</v>
      </c>
      <c r="J412" s="297">
        <f>IF(I412=0,0,I412/$I$507)</f>
        <v>0</v>
      </c>
      <c r="K412" s="89">
        <f>'🧮 Costos x Producto'!K412</f>
        <v>0</v>
      </c>
      <c r="L412" s="91">
        <f>'💰 Precio de Venta'!H413</f>
        <v>0</v>
      </c>
    </row>
    <row r="413" spans="4:12" ht="19.5" hidden="1" customHeight="1" x14ac:dyDescent="0.25">
      <c r="D413" s="92">
        <v>407</v>
      </c>
      <c r="E413" s="346"/>
      <c r="F413" s="347" t="s">
        <v>142</v>
      </c>
      <c r="G413" s="348">
        <v>0</v>
      </c>
      <c r="H413" s="349">
        <v>0</v>
      </c>
      <c r="I413" s="246">
        <f t="shared" si="6"/>
        <v>0</v>
      </c>
      <c r="J413" s="297">
        <f>IF(I413=0,0,I413/$I$507)</f>
        <v>0</v>
      </c>
      <c r="K413" s="89">
        <f>'🧮 Costos x Producto'!K413</f>
        <v>0</v>
      </c>
      <c r="L413" s="91">
        <f>'💰 Precio de Venta'!H414</f>
        <v>0</v>
      </c>
    </row>
    <row r="414" spans="4:12" ht="19.5" hidden="1" customHeight="1" x14ac:dyDescent="0.25">
      <c r="D414" s="92">
        <v>408</v>
      </c>
      <c r="E414" s="346"/>
      <c r="F414" s="347" t="s">
        <v>142</v>
      </c>
      <c r="G414" s="348">
        <v>0</v>
      </c>
      <c r="H414" s="349">
        <v>0</v>
      </c>
      <c r="I414" s="246">
        <f t="shared" si="6"/>
        <v>0</v>
      </c>
      <c r="J414" s="297">
        <f>IF(I414=0,0,I414/$I$507)</f>
        <v>0</v>
      </c>
      <c r="K414" s="89">
        <f>'🧮 Costos x Producto'!K414</f>
        <v>0</v>
      </c>
      <c r="L414" s="91">
        <f>'💰 Precio de Venta'!H415</f>
        <v>0</v>
      </c>
    </row>
    <row r="415" spans="4:12" ht="19.5" hidden="1" customHeight="1" x14ac:dyDescent="0.25">
      <c r="D415" s="92">
        <v>409</v>
      </c>
      <c r="E415" s="346"/>
      <c r="F415" s="347" t="s">
        <v>142</v>
      </c>
      <c r="G415" s="348">
        <v>0</v>
      </c>
      <c r="H415" s="349">
        <v>0</v>
      </c>
      <c r="I415" s="246">
        <f t="shared" si="6"/>
        <v>0</v>
      </c>
      <c r="J415" s="297">
        <f>IF(I415=0,0,I415/$I$507)</f>
        <v>0</v>
      </c>
      <c r="K415" s="89">
        <f>'🧮 Costos x Producto'!K415</f>
        <v>0</v>
      </c>
      <c r="L415" s="91">
        <f>'💰 Precio de Venta'!H416</f>
        <v>0</v>
      </c>
    </row>
    <row r="416" spans="4:12" ht="19.5" hidden="1" customHeight="1" x14ac:dyDescent="0.25">
      <c r="D416" s="92">
        <v>410</v>
      </c>
      <c r="E416" s="346"/>
      <c r="F416" s="347" t="s">
        <v>142</v>
      </c>
      <c r="G416" s="348">
        <v>0</v>
      </c>
      <c r="H416" s="349">
        <v>0</v>
      </c>
      <c r="I416" s="246">
        <f t="shared" si="6"/>
        <v>0</v>
      </c>
      <c r="J416" s="297">
        <f>IF(I416=0,0,I416/$I$507)</f>
        <v>0</v>
      </c>
      <c r="K416" s="89">
        <f>'🧮 Costos x Producto'!K416</f>
        <v>0</v>
      </c>
      <c r="L416" s="91">
        <f>'💰 Precio de Venta'!H417</f>
        <v>0</v>
      </c>
    </row>
    <row r="417" spans="4:12" ht="19.5" hidden="1" customHeight="1" x14ac:dyDescent="0.25">
      <c r="D417" s="92">
        <v>411</v>
      </c>
      <c r="E417" s="346"/>
      <c r="F417" s="347" t="s">
        <v>142</v>
      </c>
      <c r="G417" s="348">
        <v>0</v>
      </c>
      <c r="H417" s="349">
        <v>0</v>
      </c>
      <c r="I417" s="246">
        <f t="shared" si="6"/>
        <v>0</v>
      </c>
      <c r="J417" s="297">
        <f>IF(I417=0,0,I417/$I$507)</f>
        <v>0</v>
      </c>
      <c r="K417" s="89">
        <f>'🧮 Costos x Producto'!K417</f>
        <v>0</v>
      </c>
      <c r="L417" s="91">
        <f>'💰 Precio de Venta'!H418</f>
        <v>0</v>
      </c>
    </row>
    <row r="418" spans="4:12" ht="19.5" hidden="1" customHeight="1" x14ac:dyDescent="0.25">
      <c r="D418" s="92">
        <v>412</v>
      </c>
      <c r="E418" s="346"/>
      <c r="F418" s="347" t="s">
        <v>142</v>
      </c>
      <c r="G418" s="348">
        <v>0</v>
      </c>
      <c r="H418" s="349">
        <v>0</v>
      </c>
      <c r="I418" s="246">
        <f t="shared" si="6"/>
        <v>0</v>
      </c>
      <c r="J418" s="297">
        <f>IF(I418=0,0,I418/$I$507)</f>
        <v>0</v>
      </c>
      <c r="K418" s="89">
        <f>'🧮 Costos x Producto'!K418</f>
        <v>0</v>
      </c>
      <c r="L418" s="91">
        <f>'💰 Precio de Venta'!H419</f>
        <v>0</v>
      </c>
    </row>
    <row r="419" spans="4:12" ht="19.5" hidden="1" customHeight="1" x14ac:dyDescent="0.25">
      <c r="D419" s="92">
        <v>413</v>
      </c>
      <c r="E419" s="346"/>
      <c r="F419" s="347" t="s">
        <v>142</v>
      </c>
      <c r="G419" s="348">
        <v>0</v>
      </c>
      <c r="H419" s="349">
        <v>0</v>
      </c>
      <c r="I419" s="246">
        <f t="shared" si="6"/>
        <v>0</v>
      </c>
      <c r="J419" s="297">
        <f>IF(I419=0,0,I419/$I$507)</f>
        <v>0</v>
      </c>
      <c r="K419" s="89">
        <f>'🧮 Costos x Producto'!K419</f>
        <v>0</v>
      </c>
      <c r="L419" s="91">
        <f>'💰 Precio de Venta'!H420</f>
        <v>0</v>
      </c>
    </row>
    <row r="420" spans="4:12" ht="19.5" hidden="1" customHeight="1" x14ac:dyDescent="0.25">
      <c r="D420" s="92">
        <v>414</v>
      </c>
      <c r="E420" s="346"/>
      <c r="F420" s="347" t="s">
        <v>142</v>
      </c>
      <c r="G420" s="348">
        <v>0</v>
      </c>
      <c r="H420" s="349">
        <v>0</v>
      </c>
      <c r="I420" s="246">
        <f t="shared" si="6"/>
        <v>0</v>
      </c>
      <c r="J420" s="297">
        <f>IF(I420=0,0,I420/$I$507)</f>
        <v>0</v>
      </c>
      <c r="K420" s="89">
        <f>'🧮 Costos x Producto'!K420</f>
        <v>0</v>
      </c>
      <c r="L420" s="91">
        <f>'💰 Precio de Venta'!H421</f>
        <v>0</v>
      </c>
    </row>
    <row r="421" spans="4:12" ht="19.5" hidden="1" customHeight="1" x14ac:dyDescent="0.25">
      <c r="D421" s="92">
        <v>415</v>
      </c>
      <c r="E421" s="346"/>
      <c r="F421" s="347" t="s">
        <v>142</v>
      </c>
      <c r="G421" s="348">
        <v>0</v>
      </c>
      <c r="H421" s="349">
        <v>0</v>
      </c>
      <c r="I421" s="246">
        <f t="shared" ref="I421:I484" si="7">IF(G421=0,0,G421*H421)</f>
        <v>0</v>
      </c>
      <c r="J421" s="297">
        <f>IF(I421=0,0,I421/$I$507)</f>
        <v>0</v>
      </c>
      <c r="K421" s="89">
        <f>'🧮 Costos x Producto'!K421</f>
        <v>0</v>
      </c>
      <c r="L421" s="91">
        <f>'💰 Precio de Venta'!H422</f>
        <v>0</v>
      </c>
    </row>
    <row r="422" spans="4:12" ht="19.5" hidden="1" customHeight="1" x14ac:dyDescent="0.25">
      <c r="D422" s="92">
        <v>416</v>
      </c>
      <c r="E422" s="346"/>
      <c r="F422" s="347" t="s">
        <v>142</v>
      </c>
      <c r="G422" s="348">
        <v>0</v>
      </c>
      <c r="H422" s="349">
        <v>0</v>
      </c>
      <c r="I422" s="246">
        <f t="shared" si="7"/>
        <v>0</v>
      </c>
      <c r="J422" s="297">
        <f>IF(I422=0,0,I422/$I$507)</f>
        <v>0</v>
      </c>
      <c r="K422" s="89">
        <f>'🧮 Costos x Producto'!K422</f>
        <v>0</v>
      </c>
      <c r="L422" s="91">
        <f>'💰 Precio de Venta'!H423</f>
        <v>0</v>
      </c>
    </row>
    <row r="423" spans="4:12" ht="19.5" hidden="1" customHeight="1" x14ac:dyDescent="0.25">
      <c r="D423" s="92">
        <v>417</v>
      </c>
      <c r="E423" s="346"/>
      <c r="F423" s="347" t="s">
        <v>142</v>
      </c>
      <c r="G423" s="348">
        <v>0</v>
      </c>
      <c r="H423" s="349">
        <v>0</v>
      </c>
      <c r="I423" s="246">
        <f t="shared" si="7"/>
        <v>0</v>
      </c>
      <c r="J423" s="297">
        <f>IF(I423=0,0,I423/$I$507)</f>
        <v>0</v>
      </c>
      <c r="K423" s="89">
        <f>'🧮 Costos x Producto'!K423</f>
        <v>0</v>
      </c>
      <c r="L423" s="91">
        <f>'💰 Precio de Venta'!H424</f>
        <v>0</v>
      </c>
    </row>
    <row r="424" spans="4:12" ht="19.5" hidden="1" customHeight="1" x14ac:dyDescent="0.25">
      <c r="D424" s="92">
        <v>418</v>
      </c>
      <c r="E424" s="346"/>
      <c r="F424" s="347" t="s">
        <v>142</v>
      </c>
      <c r="G424" s="348">
        <v>0</v>
      </c>
      <c r="H424" s="349">
        <v>0</v>
      </c>
      <c r="I424" s="246">
        <f t="shared" si="7"/>
        <v>0</v>
      </c>
      <c r="J424" s="297">
        <f>IF(I424=0,0,I424/$I$507)</f>
        <v>0</v>
      </c>
      <c r="K424" s="89">
        <f>'🧮 Costos x Producto'!K424</f>
        <v>0</v>
      </c>
      <c r="L424" s="91">
        <f>'💰 Precio de Venta'!H425</f>
        <v>0</v>
      </c>
    </row>
    <row r="425" spans="4:12" ht="19.5" hidden="1" customHeight="1" x14ac:dyDescent="0.25">
      <c r="D425" s="92">
        <v>419</v>
      </c>
      <c r="E425" s="346"/>
      <c r="F425" s="347" t="s">
        <v>142</v>
      </c>
      <c r="G425" s="348">
        <v>0</v>
      </c>
      <c r="H425" s="349">
        <v>0</v>
      </c>
      <c r="I425" s="246">
        <f t="shared" si="7"/>
        <v>0</v>
      </c>
      <c r="J425" s="297">
        <f>IF(I425=0,0,I425/$I$507)</f>
        <v>0</v>
      </c>
      <c r="K425" s="89">
        <f>'🧮 Costos x Producto'!K425</f>
        <v>0</v>
      </c>
      <c r="L425" s="91">
        <f>'💰 Precio de Venta'!H426</f>
        <v>0</v>
      </c>
    </row>
    <row r="426" spans="4:12" ht="19.5" hidden="1" customHeight="1" x14ac:dyDescent="0.25">
      <c r="D426" s="92">
        <v>420</v>
      </c>
      <c r="E426" s="346"/>
      <c r="F426" s="347" t="s">
        <v>142</v>
      </c>
      <c r="G426" s="348">
        <v>0</v>
      </c>
      <c r="H426" s="349">
        <v>0</v>
      </c>
      <c r="I426" s="246">
        <f t="shared" si="7"/>
        <v>0</v>
      </c>
      <c r="J426" s="297">
        <f>IF(I426=0,0,I426/$I$507)</f>
        <v>0</v>
      </c>
      <c r="K426" s="89">
        <f>'🧮 Costos x Producto'!K426</f>
        <v>0</v>
      </c>
      <c r="L426" s="91">
        <f>'💰 Precio de Venta'!H427</f>
        <v>0</v>
      </c>
    </row>
    <row r="427" spans="4:12" ht="19.5" hidden="1" customHeight="1" x14ac:dyDescent="0.25">
      <c r="D427" s="92">
        <v>421</v>
      </c>
      <c r="E427" s="346"/>
      <c r="F427" s="347" t="s">
        <v>142</v>
      </c>
      <c r="G427" s="348">
        <v>0</v>
      </c>
      <c r="H427" s="349">
        <v>0</v>
      </c>
      <c r="I427" s="246">
        <f t="shared" si="7"/>
        <v>0</v>
      </c>
      <c r="J427" s="297">
        <f>IF(I427=0,0,I427/$I$507)</f>
        <v>0</v>
      </c>
      <c r="K427" s="89">
        <f>'🧮 Costos x Producto'!K427</f>
        <v>0</v>
      </c>
      <c r="L427" s="91">
        <f>'💰 Precio de Venta'!H428</f>
        <v>0</v>
      </c>
    </row>
    <row r="428" spans="4:12" ht="19.5" hidden="1" customHeight="1" x14ac:dyDescent="0.25">
      <c r="D428" s="92">
        <v>422</v>
      </c>
      <c r="E428" s="346"/>
      <c r="F428" s="347" t="s">
        <v>142</v>
      </c>
      <c r="G428" s="348">
        <v>0</v>
      </c>
      <c r="H428" s="349">
        <v>0</v>
      </c>
      <c r="I428" s="246">
        <f t="shared" si="7"/>
        <v>0</v>
      </c>
      <c r="J428" s="297">
        <f>IF(I428=0,0,I428/$I$507)</f>
        <v>0</v>
      </c>
      <c r="K428" s="89">
        <f>'🧮 Costos x Producto'!K428</f>
        <v>0</v>
      </c>
      <c r="L428" s="91">
        <f>'💰 Precio de Venta'!H429</f>
        <v>0</v>
      </c>
    </row>
    <row r="429" spans="4:12" ht="19.5" hidden="1" customHeight="1" x14ac:dyDescent="0.25">
      <c r="D429" s="92">
        <v>423</v>
      </c>
      <c r="E429" s="346"/>
      <c r="F429" s="347" t="s">
        <v>142</v>
      </c>
      <c r="G429" s="348">
        <v>0</v>
      </c>
      <c r="H429" s="349">
        <v>0</v>
      </c>
      <c r="I429" s="246">
        <f t="shared" si="7"/>
        <v>0</v>
      </c>
      <c r="J429" s="297">
        <f>IF(I429=0,0,I429/$I$507)</f>
        <v>0</v>
      </c>
      <c r="K429" s="89">
        <f>'🧮 Costos x Producto'!K429</f>
        <v>0</v>
      </c>
      <c r="L429" s="91">
        <f>'💰 Precio de Venta'!H430</f>
        <v>0</v>
      </c>
    </row>
    <row r="430" spans="4:12" ht="19.5" hidden="1" customHeight="1" x14ac:dyDescent="0.25">
      <c r="D430" s="92">
        <v>424</v>
      </c>
      <c r="E430" s="346"/>
      <c r="F430" s="347" t="s">
        <v>142</v>
      </c>
      <c r="G430" s="348">
        <v>0</v>
      </c>
      <c r="H430" s="349">
        <v>0</v>
      </c>
      <c r="I430" s="246">
        <f t="shared" si="7"/>
        <v>0</v>
      </c>
      <c r="J430" s="297">
        <f>IF(I430=0,0,I430/$I$507)</f>
        <v>0</v>
      </c>
      <c r="K430" s="89">
        <f>'🧮 Costos x Producto'!K430</f>
        <v>0</v>
      </c>
      <c r="L430" s="91">
        <f>'💰 Precio de Venta'!H431</f>
        <v>0</v>
      </c>
    </row>
    <row r="431" spans="4:12" ht="19.5" hidden="1" customHeight="1" x14ac:dyDescent="0.25">
      <c r="D431" s="92">
        <v>425</v>
      </c>
      <c r="E431" s="346"/>
      <c r="F431" s="347" t="s">
        <v>142</v>
      </c>
      <c r="G431" s="348">
        <v>0</v>
      </c>
      <c r="H431" s="349">
        <v>0</v>
      </c>
      <c r="I431" s="246">
        <f t="shared" si="7"/>
        <v>0</v>
      </c>
      <c r="J431" s="297">
        <f>IF(I431=0,0,I431/$I$507)</f>
        <v>0</v>
      </c>
      <c r="K431" s="89">
        <f>'🧮 Costos x Producto'!K431</f>
        <v>0</v>
      </c>
      <c r="L431" s="91">
        <f>'💰 Precio de Venta'!H432</f>
        <v>0</v>
      </c>
    </row>
    <row r="432" spans="4:12" ht="19.5" hidden="1" customHeight="1" x14ac:dyDescent="0.25">
      <c r="D432" s="92">
        <v>426</v>
      </c>
      <c r="E432" s="346"/>
      <c r="F432" s="347" t="s">
        <v>142</v>
      </c>
      <c r="G432" s="348">
        <v>0</v>
      </c>
      <c r="H432" s="349">
        <v>0</v>
      </c>
      <c r="I432" s="246">
        <f t="shared" si="7"/>
        <v>0</v>
      </c>
      <c r="J432" s="297">
        <f>IF(I432=0,0,I432/$I$507)</f>
        <v>0</v>
      </c>
      <c r="K432" s="89">
        <f>'🧮 Costos x Producto'!K432</f>
        <v>0</v>
      </c>
      <c r="L432" s="91">
        <f>'💰 Precio de Venta'!H433</f>
        <v>0</v>
      </c>
    </row>
    <row r="433" spans="4:12" ht="19.5" hidden="1" customHeight="1" x14ac:dyDescent="0.25">
      <c r="D433" s="92">
        <v>427</v>
      </c>
      <c r="E433" s="346"/>
      <c r="F433" s="347" t="s">
        <v>142</v>
      </c>
      <c r="G433" s="348">
        <v>0</v>
      </c>
      <c r="H433" s="349">
        <v>0</v>
      </c>
      <c r="I433" s="246">
        <f t="shared" si="7"/>
        <v>0</v>
      </c>
      <c r="J433" s="297">
        <f>IF(I433=0,0,I433/$I$507)</f>
        <v>0</v>
      </c>
      <c r="K433" s="89">
        <f>'🧮 Costos x Producto'!K433</f>
        <v>0</v>
      </c>
      <c r="L433" s="91">
        <f>'💰 Precio de Venta'!H434</f>
        <v>0</v>
      </c>
    </row>
    <row r="434" spans="4:12" ht="19.5" hidden="1" customHeight="1" x14ac:dyDescent="0.25">
      <c r="D434" s="92">
        <v>428</v>
      </c>
      <c r="E434" s="346"/>
      <c r="F434" s="347" t="s">
        <v>142</v>
      </c>
      <c r="G434" s="348">
        <v>0</v>
      </c>
      <c r="H434" s="349">
        <v>0</v>
      </c>
      <c r="I434" s="246">
        <f t="shared" si="7"/>
        <v>0</v>
      </c>
      <c r="J434" s="297">
        <f>IF(I434=0,0,I434/$I$507)</f>
        <v>0</v>
      </c>
      <c r="K434" s="89">
        <f>'🧮 Costos x Producto'!K434</f>
        <v>0</v>
      </c>
      <c r="L434" s="91">
        <f>'💰 Precio de Venta'!H435</f>
        <v>0</v>
      </c>
    </row>
    <row r="435" spans="4:12" ht="19.5" hidden="1" customHeight="1" x14ac:dyDescent="0.25">
      <c r="D435" s="92">
        <v>429</v>
      </c>
      <c r="E435" s="346"/>
      <c r="F435" s="347" t="s">
        <v>142</v>
      </c>
      <c r="G435" s="348">
        <v>0</v>
      </c>
      <c r="H435" s="349">
        <v>0</v>
      </c>
      <c r="I435" s="246">
        <f t="shared" si="7"/>
        <v>0</v>
      </c>
      <c r="J435" s="297">
        <f>IF(I435=0,0,I435/$I$507)</f>
        <v>0</v>
      </c>
      <c r="K435" s="89">
        <f>'🧮 Costos x Producto'!K435</f>
        <v>0</v>
      </c>
      <c r="L435" s="91">
        <f>'💰 Precio de Venta'!H436</f>
        <v>0</v>
      </c>
    </row>
    <row r="436" spans="4:12" ht="19.5" hidden="1" customHeight="1" x14ac:dyDescent="0.25">
      <c r="D436" s="92">
        <v>430</v>
      </c>
      <c r="E436" s="346"/>
      <c r="F436" s="347" t="s">
        <v>142</v>
      </c>
      <c r="G436" s="348">
        <v>0</v>
      </c>
      <c r="H436" s="349">
        <v>0</v>
      </c>
      <c r="I436" s="246">
        <f t="shared" si="7"/>
        <v>0</v>
      </c>
      <c r="J436" s="297">
        <f>IF(I436=0,0,I436/$I$507)</f>
        <v>0</v>
      </c>
      <c r="K436" s="89">
        <f>'🧮 Costos x Producto'!K436</f>
        <v>0</v>
      </c>
      <c r="L436" s="91">
        <f>'💰 Precio de Venta'!H437</f>
        <v>0</v>
      </c>
    </row>
    <row r="437" spans="4:12" ht="19.5" hidden="1" customHeight="1" x14ac:dyDescent="0.25">
      <c r="D437" s="92">
        <v>431</v>
      </c>
      <c r="E437" s="346"/>
      <c r="F437" s="347" t="s">
        <v>142</v>
      </c>
      <c r="G437" s="348">
        <v>0</v>
      </c>
      <c r="H437" s="349">
        <v>0</v>
      </c>
      <c r="I437" s="246">
        <f t="shared" si="7"/>
        <v>0</v>
      </c>
      <c r="J437" s="297">
        <f>IF(I437=0,0,I437/$I$507)</f>
        <v>0</v>
      </c>
      <c r="K437" s="89">
        <f>'🧮 Costos x Producto'!K437</f>
        <v>0</v>
      </c>
      <c r="L437" s="91">
        <f>'💰 Precio de Venta'!H438</f>
        <v>0</v>
      </c>
    </row>
    <row r="438" spans="4:12" ht="19.5" hidden="1" customHeight="1" x14ac:dyDescent="0.25">
      <c r="D438" s="92">
        <v>432</v>
      </c>
      <c r="E438" s="346"/>
      <c r="F438" s="347" t="s">
        <v>142</v>
      </c>
      <c r="G438" s="348">
        <v>0</v>
      </c>
      <c r="H438" s="349">
        <v>0</v>
      </c>
      <c r="I438" s="246">
        <f t="shared" si="7"/>
        <v>0</v>
      </c>
      <c r="J438" s="297">
        <f>IF(I438=0,0,I438/$I$507)</f>
        <v>0</v>
      </c>
      <c r="K438" s="89">
        <f>'🧮 Costos x Producto'!K438</f>
        <v>0</v>
      </c>
      <c r="L438" s="91">
        <f>'💰 Precio de Venta'!H439</f>
        <v>0</v>
      </c>
    </row>
    <row r="439" spans="4:12" ht="19.5" hidden="1" customHeight="1" x14ac:dyDescent="0.25">
      <c r="D439" s="92">
        <v>433</v>
      </c>
      <c r="E439" s="346"/>
      <c r="F439" s="347" t="s">
        <v>142</v>
      </c>
      <c r="G439" s="348">
        <v>0</v>
      </c>
      <c r="H439" s="349">
        <v>0</v>
      </c>
      <c r="I439" s="246">
        <f t="shared" si="7"/>
        <v>0</v>
      </c>
      <c r="J439" s="297">
        <f>IF(I439=0,0,I439/$I$507)</f>
        <v>0</v>
      </c>
      <c r="K439" s="89">
        <f>'🧮 Costos x Producto'!K439</f>
        <v>0</v>
      </c>
      <c r="L439" s="91">
        <f>'💰 Precio de Venta'!H440</f>
        <v>0</v>
      </c>
    </row>
    <row r="440" spans="4:12" ht="19.5" hidden="1" customHeight="1" x14ac:dyDescent="0.25">
      <c r="D440" s="92">
        <v>434</v>
      </c>
      <c r="E440" s="346"/>
      <c r="F440" s="347" t="s">
        <v>142</v>
      </c>
      <c r="G440" s="348">
        <v>0</v>
      </c>
      <c r="H440" s="349">
        <v>0</v>
      </c>
      <c r="I440" s="246">
        <f t="shared" si="7"/>
        <v>0</v>
      </c>
      <c r="J440" s="297">
        <f>IF(I440=0,0,I440/$I$507)</f>
        <v>0</v>
      </c>
      <c r="K440" s="89">
        <f>'🧮 Costos x Producto'!K440</f>
        <v>0</v>
      </c>
      <c r="L440" s="91">
        <f>'💰 Precio de Venta'!H441</f>
        <v>0</v>
      </c>
    </row>
    <row r="441" spans="4:12" ht="19.5" hidden="1" customHeight="1" x14ac:dyDescent="0.25">
      <c r="D441" s="92">
        <v>435</v>
      </c>
      <c r="E441" s="346"/>
      <c r="F441" s="347" t="s">
        <v>142</v>
      </c>
      <c r="G441" s="348">
        <v>0</v>
      </c>
      <c r="H441" s="349">
        <v>0</v>
      </c>
      <c r="I441" s="246">
        <f t="shared" si="7"/>
        <v>0</v>
      </c>
      <c r="J441" s="297">
        <f>IF(I441=0,0,I441/$I$507)</f>
        <v>0</v>
      </c>
      <c r="K441" s="89">
        <f>'🧮 Costos x Producto'!K441</f>
        <v>0</v>
      </c>
      <c r="L441" s="91">
        <f>'💰 Precio de Venta'!H442</f>
        <v>0</v>
      </c>
    </row>
    <row r="442" spans="4:12" ht="19.5" hidden="1" customHeight="1" x14ac:dyDescent="0.25">
      <c r="D442" s="92">
        <v>436</v>
      </c>
      <c r="E442" s="346"/>
      <c r="F442" s="347" t="s">
        <v>142</v>
      </c>
      <c r="G442" s="348">
        <v>0</v>
      </c>
      <c r="H442" s="349">
        <v>0</v>
      </c>
      <c r="I442" s="246">
        <f t="shared" si="7"/>
        <v>0</v>
      </c>
      <c r="J442" s="297">
        <f>IF(I442=0,0,I442/$I$507)</f>
        <v>0</v>
      </c>
      <c r="K442" s="89">
        <f>'🧮 Costos x Producto'!K442</f>
        <v>0</v>
      </c>
      <c r="L442" s="91">
        <f>'💰 Precio de Venta'!H443</f>
        <v>0</v>
      </c>
    </row>
    <row r="443" spans="4:12" ht="19.5" hidden="1" customHeight="1" x14ac:dyDescent="0.25">
      <c r="D443" s="92">
        <v>437</v>
      </c>
      <c r="E443" s="346"/>
      <c r="F443" s="347" t="s">
        <v>142</v>
      </c>
      <c r="G443" s="348">
        <v>0</v>
      </c>
      <c r="H443" s="349">
        <v>0</v>
      </c>
      <c r="I443" s="246">
        <f t="shared" si="7"/>
        <v>0</v>
      </c>
      <c r="J443" s="297">
        <f>IF(I443=0,0,I443/$I$507)</f>
        <v>0</v>
      </c>
      <c r="K443" s="89">
        <f>'🧮 Costos x Producto'!K443</f>
        <v>0</v>
      </c>
      <c r="L443" s="91">
        <f>'💰 Precio de Venta'!H444</f>
        <v>0</v>
      </c>
    </row>
    <row r="444" spans="4:12" ht="19.5" hidden="1" customHeight="1" x14ac:dyDescent="0.25">
      <c r="D444" s="92">
        <v>438</v>
      </c>
      <c r="E444" s="346"/>
      <c r="F444" s="347" t="s">
        <v>142</v>
      </c>
      <c r="G444" s="348">
        <v>0</v>
      </c>
      <c r="H444" s="349">
        <v>0</v>
      </c>
      <c r="I444" s="246">
        <f t="shared" si="7"/>
        <v>0</v>
      </c>
      <c r="J444" s="297">
        <f>IF(I444=0,0,I444/$I$507)</f>
        <v>0</v>
      </c>
      <c r="K444" s="89">
        <f>'🧮 Costos x Producto'!K444</f>
        <v>0</v>
      </c>
      <c r="L444" s="91">
        <f>'💰 Precio de Venta'!H445</f>
        <v>0</v>
      </c>
    </row>
    <row r="445" spans="4:12" ht="19.5" hidden="1" customHeight="1" x14ac:dyDescent="0.25">
      <c r="D445" s="92">
        <v>439</v>
      </c>
      <c r="E445" s="346"/>
      <c r="F445" s="347" t="s">
        <v>142</v>
      </c>
      <c r="G445" s="348">
        <v>0</v>
      </c>
      <c r="H445" s="349">
        <v>0</v>
      </c>
      <c r="I445" s="246">
        <f t="shared" si="7"/>
        <v>0</v>
      </c>
      <c r="J445" s="297">
        <f>IF(I445=0,0,I445/$I$507)</f>
        <v>0</v>
      </c>
      <c r="K445" s="89">
        <f>'🧮 Costos x Producto'!K445</f>
        <v>0</v>
      </c>
      <c r="L445" s="91">
        <f>'💰 Precio de Venta'!H446</f>
        <v>0</v>
      </c>
    </row>
    <row r="446" spans="4:12" ht="19.5" hidden="1" customHeight="1" x14ac:dyDescent="0.25">
      <c r="D446" s="92">
        <v>440</v>
      </c>
      <c r="E446" s="346"/>
      <c r="F446" s="347" t="s">
        <v>142</v>
      </c>
      <c r="G446" s="348">
        <v>0</v>
      </c>
      <c r="H446" s="349">
        <v>0</v>
      </c>
      <c r="I446" s="246">
        <f t="shared" si="7"/>
        <v>0</v>
      </c>
      <c r="J446" s="297">
        <f>IF(I446=0,0,I446/$I$507)</f>
        <v>0</v>
      </c>
      <c r="K446" s="89">
        <f>'🧮 Costos x Producto'!K446</f>
        <v>0</v>
      </c>
      <c r="L446" s="91">
        <f>'💰 Precio de Venta'!H447</f>
        <v>0</v>
      </c>
    </row>
    <row r="447" spans="4:12" ht="19.5" hidden="1" customHeight="1" x14ac:dyDescent="0.25">
      <c r="D447" s="92">
        <v>441</v>
      </c>
      <c r="E447" s="346"/>
      <c r="F447" s="347" t="s">
        <v>142</v>
      </c>
      <c r="G447" s="348">
        <v>0</v>
      </c>
      <c r="H447" s="349">
        <v>0</v>
      </c>
      <c r="I447" s="246">
        <f t="shared" si="7"/>
        <v>0</v>
      </c>
      <c r="J447" s="297">
        <f>IF(I447=0,0,I447/$I$507)</f>
        <v>0</v>
      </c>
      <c r="K447" s="89">
        <f>'🧮 Costos x Producto'!K447</f>
        <v>0</v>
      </c>
      <c r="L447" s="91">
        <f>'💰 Precio de Venta'!H448</f>
        <v>0</v>
      </c>
    </row>
    <row r="448" spans="4:12" ht="19.5" hidden="1" customHeight="1" x14ac:dyDescent="0.25">
      <c r="D448" s="92">
        <v>442</v>
      </c>
      <c r="E448" s="346"/>
      <c r="F448" s="347" t="s">
        <v>142</v>
      </c>
      <c r="G448" s="348">
        <v>0</v>
      </c>
      <c r="H448" s="349">
        <v>0</v>
      </c>
      <c r="I448" s="246">
        <f t="shared" si="7"/>
        <v>0</v>
      </c>
      <c r="J448" s="297">
        <f>IF(I448=0,0,I448/$I$507)</f>
        <v>0</v>
      </c>
      <c r="K448" s="89">
        <f>'🧮 Costos x Producto'!K448</f>
        <v>0</v>
      </c>
      <c r="L448" s="91">
        <f>'💰 Precio de Venta'!H449</f>
        <v>0</v>
      </c>
    </row>
    <row r="449" spans="4:12" ht="19.5" hidden="1" customHeight="1" x14ac:dyDescent="0.25">
      <c r="D449" s="92">
        <v>443</v>
      </c>
      <c r="E449" s="346"/>
      <c r="F449" s="347" t="s">
        <v>142</v>
      </c>
      <c r="G449" s="348">
        <v>0</v>
      </c>
      <c r="H449" s="349">
        <v>0</v>
      </c>
      <c r="I449" s="246">
        <f t="shared" si="7"/>
        <v>0</v>
      </c>
      <c r="J449" s="297">
        <f>IF(I449=0,0,I449/$I$507)</f>
        <v>0</v>
      </c>
      <c r="K449" s="89">
        <f>'🧮 Costos x Producto'!K449</f>
        <v>0</v>
      </c>
      <c r="L449" s="91">
        <f>'💰 Precio de Venta'!H450</f>
        <v>0</v>
      </c>
    </row>
    <row r="450" spans="4:12" ht="19.5" hidden="1" customHeight="1" x14ac:dyDescent="0.25">
      <c r="D450" s="92">
        <v>444</v>
      </c>
      <c r="E450" s="346"/>
      <c r="F450" s="347" t="s">
        <v>142</v>
      </c>
      <c r="G450" s="348">
        <v>0</v>
      </c>
      <c r="H450" s="349">
        <v>0</v>
      </c>
      <c r="I450" s="246">
        <f t="shared" si="7"/>
        <v>0</v>
      </c>
      <c r="J450" s="297">
        <f>IF(I450=0,0,I450/$I$507)</f>
        <v>0</v>
      </c>
      <c r="K450" s="89">
        <f>'🧮 Costos x Producto'!K450</f>
        <v>0</v>
      </c>
      <c r="L450" s="91">
        <f>'💰 Precio de Venta'!H451</f>
        <v>0</v>
      </c>
    </row>
    <row r="451" spans="4:12" ht="19.5" hidden="1" customHeight="1" x14ac:dyDescent="0.25">
      <c r="D451" s="92">
        <v>445</v>
      </c>
      <c r="E451" s="346"/>
      <c r="F451" s="347" t="s">
        <v>142</v>
      </c>
      <c r="G451" s="348">
        <v>0</v>
      </c>
      <c r="H451" s="349">
        <v>0</v>
      </c>
      <c r="I451" s="246">
        <f t="shared" si="7"/>
        <v>0</v>
      </c>
      <c r="J451" s="297">
        <f>IF(I451=0,0,I451/$I$507)</f>
        <v>0</v>
      </c>
      <c r="K451" s="89">
        <f>'🧮 Costos x Producto'!K451</f>
        <v>0</v>
      </c>
      <c r="L451" s="91">
        <f>'💰 Precio de Venta'!H452</f>
        <v>0</v>
      </c>
    </row>
    <row r="452" spans="4:12" ht="19.5" hidden="1" customHeight="1" x14ac:dyDescent="0.25">
      <c r="D452" s="92">
        <v>446</v>
      </c>
      <c r="E452" s="346"/>
      <c r="F452" s="347" t="s">
        <v>142</v>
      </c>
      <c r="G452" s="348">
        <v>0</v>
      </c>
      <c r="H452" s="349">
        <v>0</v>
      </c>
      <c r="I452" s="246">
        <f t="shared" si="7"/>
        <v>0</v>
      </c>
      <c r="J452" s="297">
        <f>IF(I452=0,0,I452/$I$507)</f>
        <v>0</v>
      </c>
      <c r="K452" s="89">
        <f>'🧮 Costos x Producto'!K452</f>
        <v>0</v>
      </c>
      <c r="L452" s="91">
        <f>'💰 Precio de Venta'!H453</f>
        <v>0</v>
      </c>
    </row>
    <row r="453" spans="4:12" ht="19.5" hidden="1" customHeight="1" x14ac:dyDescent="0.25">
      <c r="D453" s="92">
        <v>447</v>
      </c>
      <c r="E453" s="346"/>
      <c r="F453" s="347" t="s">
        <v>142</v>
      </c>
      <c r="G453" s="348">
        <v>0</v>
      </c>
      <c r="H453" s="349">
        <v>0</v>
      </c>
      <c r="I453" s="246">
        <f t="shared" si="7"/>
        <v>0</v>
      </c>
      <c r="J453" s="297">
        <f>IF(I453=0,0,I453/$I$507)</f>
        <v>0</v>
      </c>
      <c r="K453" s="89">
        <f>'🧮 Costos x Producto'!K453</f>
        <v>0</v>
      </c>
      <c r="L453" s="91">
        <f>'💰 Precio de Venta'!H454</f>
        <v>0</v>
      </c>
    </row>
    <row r="454" spans="4:12" ht="19.5" hidden="1" customHeight="1" x14ac:dyDescent="0.25">
      <c r="D454" s="92">
        <v>448</v>
      </c>
      <c r="E454" s="346"/>
      <c r="F454" s="347" t="s">
        <v>142</v>
      </c>
      <c r="G454" s="348">
        <v>0</v>
      </c>
      <c r="H454" s="349">
        <v>0</v>
      </c>
      <c r="I454" s="246">
        <f t="shared" si="7"/>
        <v>0</v>
      </c>
      <c r="J454" s="297">
        <f>IF(I454=0,0,I454/$I$507)</f>
        <v>0</v>
      </c>
      <c r="K454" s="89">
        <f>'🧮 Costos x Producto'!K454</f>
        <v>0</v>
      </c>
      <c r="L454" s="91">
        <f>'💰 Precio de Venta'!H455</f>
        <v>0</v>
      </c>
    </row>
    <row r="455" spans="4:12" ht="19.5" hidden="1" customHeight="1" x14ac:dyDescent="0.25">
      <c r="D455" s="92">
        <v>449</v>
      </c>
      <c r="E455" s="346"/>
      <c r="F455" s="347" t="s">
        <v>142</v>
      </c>
      <c r="G455" s="348">
        <v>0</v>
      </c>
      <c r="H455" s="349">
        <v>0</v>
      </c>
      <c r="I455" s="246">
        <f t="shared" si="7"/>
        <v>0</v>
      </c>
      <c r="J455" s="297">
        <f>IF(I455=0,0,I455/$I$507)</f>
        <v>0</v>
      </c>
      <c r="K455" s="89">
        <f>'🧮 Costos x Producto'!K455</f>
        <v>0</v>
      </c>
      <c r="L455" s="91">
        <f>'💰 Precio de Venta'!H456</f>
        <v>0</v>
      </c>
    </row>
    <row r="456" spans="4:12" ht="19.5" hidden="1" customHeight="1" x14ac:dyDescent="0.25">
      <c r="D456" s="92">
        <v>450</v>
      </c>
      <c r="E456" s="346"/>
      <c r="F456" s="347" t="s">
        <v>142</v>
      </c>
      <c r="G456" s="348">
        <v>0</v>
      </c>
      <c r="H456" s="349">
        <v>0</v>
      </c>
      <c r="I456" s="246">
        <f t="shared" si="7"/>
        <v>0</v>
      </c>
      <c r="J456" s="297">
        <f>IF(I456=0,0,I456/$I$507)</f>
        <v>0</v>
      </c>
      <c r="K456" s="89">
        <f>'🧮 Costos x Producto'!K456</f>
        <v>0</v>
      </c>
      <c r="L456" s="91">
        <f>'💰 Precio de Venta'!H457</f>
        <v>0</v>
      </c>
    </row>
    <row r="457" spans="4:12" ht="19.5" hidden="1" customHeight="1" x14ac:dyDescent="0.25">
      <c r="D457" s="92">
        <v>451</v>
      </c>
      <c r="E457" s="346"/>
      <c r="F457" s="347" t="s">
        <v>142</v>
      </c>
      <c r="G457" s="348">
        <v>0</v>
      </c>
      <c r="H457" s="349">
        <v>0</v>
      </c>
      <c r="I457" s="246">
        <f t="shared" si="7"/>
        <v>0</v>
      </c>
      <c r="J457" s="297">
        <f>IF(I457=0,0,I457/$I$507)</f>
        <v>0</v>
      </c>
      <c r="K457" s="89">
        <f>'🧮 Costos x Producto'!K457</f>
        <v>0</v>
      </c>
      <c r="L457" s="91">
        <f>'💰 Precio de Venta'!H458</f>
        <v>0</v>
      </c>
    </row>
    <row r="458" spans="4:12" ht="19.5" hidden="1" customHeight="1" x14ac:dyDescent="0.25">
      <c r="D458" s="92">
        <v>452</v>
      </c>
      <c r="E458" s="346"/>
      <c r="F458" s="347" t="s">
        <v>142</v>
      </c>
      <c r="G458" s="348">
        <v>0</v>
      </c>
      <c r="H458" s="349">
        <v>0</v>
      </c>
      <c r="I458" s="246">
        <f t="shared" si="7"/>
        <v>0</v>
      </c>
      <c r="J458" s="297">
        <f>IF(I458=0,0,I458/$I$507)</f>
        <v>0</v>
      </c>
      <c r="K458" s="89">
        <f>'🧮 Costos x Producto'!K458</f>
        <v>0</v>
      </c>
      <c r="L458" s="91">
        <f>'💰 Precio de Venta'!H459</f>
        <v>0</v>
      </c>
    </row>
    <row r="459" spans="4:12" ht="19.5" hidden="1" customHeight="1" x14ac:dyDescent="0.25">
      <c r="D459" s="92">
        <v>453</v>
      </c>
      <c r="E459" s="346"/>
      <c r="F459" s="347" t="s">
        <v>142</v>
      </c>
      <c r="G459" s="348">
        <v>0</v>
      </c>
      <c r="H459" s="349">
        <v>0</v>
      </c>
      <c r="I459" s="246">
        <f t="shared" si="7"/>
        <v>0</v>
      </c>
      <c r="J459" s="297">
        <f>IF(I459=0,0,I459/$I$507)</f>
        <v>0</v>
      </c>
      <c r="K459" s="89">
        <f>'🧮 Costos x Producto'!K459</f>
        <v>0</v>
      </c>
      <c r="L459" s="91">
        <f>'💰 Precio de Venta'!H460</f>
        <v>0</v>
      </c>
    </row>
    <row r="460" spans="4:12" ht="19.5" hidden="1" customHeight="1" x14ac:dyDescent="0.25">
      <c r="D460" s="92">
        <v>454</v>
      </c>
      <c r="E460" s="346"/>
      <c r="F460" s="347" t="s">
        <v>142</v>
      </c>
      <c r="G460" s="348">
        <v>0</v>
      </c>
      <c r="H460" s="349">
        <v>0</v>
      </c>
      <c r="I460" s="246">
        <f t="shared" si="7"/>
        <v>0</v>
      </c>
      <c r="J460" s="297">
        <f>IF(I460=0,0,I460/$I$507)</f>
        <v>0</v>
      </c>
      <c r="K460" s="89">
        <f>'🧮 Costos x Producto'!K460</f>
        <v>0</v>
      </c>
      <c r="L460" s="91">
        <f>'💰 Precio de Venta'!H461</f>
        <v>0</v>
      </c>
    </row>
    <row r="461" spans="4:12" ht="19.5" hidden="1" customHeight="1" x14ac:dyDescent="0.25">
      <c r="D461" s="92">
        <v>455</v>
      </c>
      <c r="E461" s="346"/>
      <c r="F461" s="347" t="s">
        <v>142</v>
      </c>
      <c r="G461" s="348">
        <v>0</v>
      </c>
      <c r="H461" s="349">
        <v>0</v>
      </c>
      <c r="I461" s="246">
        <f t="shared" si="7"/>
        <v>0</v>
      </c>
      <c r="J461" s="297">
        <f>IF(I461=0,0,I461/$I$507)</f>
        <v>0</v>
      </c>
      <c r="K461" s="89">
        <f>'🧮 Costos x Producto'!K461</f>
        <v>0</v>
      </c>
      <c r="L461" s="91">
        <f>'💰 Precio de Venta'!H462</f>
        <v>0</v>
      </c>
    </row>
    <row r="462" spans="4:12" ht="19.5" hidden="1" customHeight="1" x14ac:dyDescent="0.25">
      <c r="D462" s="92">
        <v>456</v>
      </c>
      <c r="E462" s="346"/>
      <c r="F462" s="347" t="s">
        <v>142</v>
      </c>
      <c r="G462" s="348">
        <v>0</v>
      </c>
      <c r="H462" s="349">
        <v>0</v>
      </c>
      <c r="I462" s="246">
        <f t="shared" si="7"/>
        <v>0</v>
      </c>
      <c r="J462" s="297">
        <f>IF(I462=0,0,I462/$I$507)</f>
        <v>0</v>
      </c>
      <c r="K462" s="89">
        <f>'🧮 Costos x Producto'!K462</f>
        <v>0</v>
      </c>
      <c r="L462" s="91">
        <f>'💰 Precio de Venta'!H463</f>
        <v>0</v>
      </c>
    </row>
    <row r="463" spans="4:12" ht="19.5" hidden="1" customHeight="1" x14ac:dyDescent="0.25">
      <c r="D463" s="92">
        <v>457</v>
      </c>
      <c r="E463" s="346"/>
      <c r="F463" s="347" t="s">
        <v>142</v>
      </c>
      <c r="G463" s="348">
        <v>0</v>
      </c>
      <c r="H463" s="349">
        <v>0</v>
      </c>
      <c r="I463" s="246">
        <f t="shared" si="7"/>
        <v>0</v>
      </c>
      <c r="J463" s="297">
        <f>IF(I463=0,0,I463/$I$507)</f>
        <v>0</v>
      </c>
      <c r="K463" s="89">
        <f>'🧮 Costos x Producto'!K463</f>
        <v>0</v>
      </c>
      <c r="L463" s="91">
        <f>'💰 Precio de Venta'!H464</f>
        <v>0</v>
      </c>
    </row>
    <row r="464" spans="4:12" ht="19.5" hidden="1" customHeight="1" x14ac:dyDescent="0.25">
      <c r="D464" s="92">
        <v>458</v>
      </c>
      <c r="E464" s="346"/>
      <c r="F464" s="347" t="s">
        <v>142</v>
      </c>
      <c r="G464" s="348">
        <v>0</v>
      </c>
      <c r="H464" s="349">
        <v>0</v>
      </c>
      <c r="I464" s="246">
        <f t="shared" si="7"/>
        <v>0</v>
      </c>
      <c r="J464" s="297">
        <f>IF(I464=0,0,I464/$I$507)</f>
        <v>0</v>
      </c>
      <c r="K464" s="89">
        <f>'🧮 Costos x Producto'!K464</f>
        <v>0</v>
      </c>
      <c r="L464" s="91">
        <f>'💰 Precio de Venta'!H465</f>
        <v>0</v>
      </c>
    </row>
    <row r="465" spans="4:12" ht="19.5" hidden="1" customHeight="1" x14ac:dyDescent="0.25">
      <c r="D465" s="92">
        <v>459</v>
      </c>
      <c r="E465" s="346"/>
      <c r="F465" s="347" t="s">
        <v>142</v>
      </c>
      <c r="G465" s="348">
        <v>0</v>
      </c>
      <c r="H465" s="349">
        <v>0</v>
      </c>
      <c r="I465" s="246">
        <f t="shared" si="7"/>
        <v>0</v>
      </c>
      <c r="J465" s="297">
        <f>IF(I465=0,0,I465/$I$507)</f>
        <v>0</v>
      </c>
      <c r="K465" s="89">
        <f>'🧮 Costos x Producto'!K465</f>
        <v>0</v>
      </c>
      <c r="L465" s="91">
        <f>'💰 Precio de Venta'!H466</f>
        <v>0</v>
      </c>
    </row>
    <row r="466" spans="4:12" ht="19.5" hidden="1" customHeight="1" x14ac:dyDescent="0.25">
      <c r="D466" s="92">
        <v>460</v>
      </c>
      <c r="E466" s="346"/>
      <c r="F466" s="347" t="s">
        <v>142</v>
      </c>
      <c r="G466" s="348">
        <v>0</v>
      </c>
      <c r="H466" s="349">
        <v>0</v>
      </c>
      <c r="I466" s="246">
        <f t="shared" si="7"/>
        <v>0</v>
      </c>
      <c r="J466" s="297">
        <f>IF(I466=0,0,I466/$I$507)</f>
        <v>0</v>
      </c>
      <c r="K466" s="89">
        <f>'🧮 Costos x Producto'!K466</f>
        <v>0</v>
      </c>
      <c r="L466" s="91">
        <f>'💰 Precio de Venta'!H467</f>
        <v>0</v>
      </c>
    </row>
    <row r="467" spans="4:12" ht="19.5" hidden="1" customHeight="1" x14ac:dyDescent="0.25">
      <c r="D467" s="92">
        <v>461</v>
      </c>
      <c r="E467" s="346"/>
      <c r="F467" s="347" t="s">
        <v>142</v>
      </c>
      <c r="G467" s="348">
        <v>0</v>
      </c>
      <c r="H467" s="349">
        <v>0</v>
      </c>
      <c r="I467" s="246">
        <f t="shared" si="7"/>
        <v>0</v>
      </c>
      <c r="J467" s="297">
        <f>IF(I467=0,0,I467/$I$507)</f>
        <v>0</v>
      </c>
      <c r="K467" s="89">
        <f>'🧮 Costos x Producto'!K467</f>
        <v>0</v>
      </c>
      <c r="L467" s="91">
        <f>'💰 Precio de Venta'!H468</f>
        <v>0</v>
      </c>
    </row>
    <row r="468" spans="4:12" ht="19.5" hidden="1" customHeight="1" x14ac:dyDescent="0.25">
      <c r="D468" s="92">
        <v>462</v>
      </c>
      <c r="E468" s="346"/>
      <c r="F468" s="347" t="s">
        <v>142</v>
      </c>
      <c r="G468" s="348">
        <v>0</v>
      </c>
      <c r="H468" s="349">
        <v>0</v>
      </c>
      <c r="I468" s="246">
        <f t="shared" si="7"/>
        <v>0</v>
      </c>
      <c r="J468" s="297">
        <f>IF(I468=0,0,I468/$I$507)</f>
        <v>0</v>
      </c>
      <c r="K468" s="89">
        <f>'🧮 Costos x Producto'!K468</f>
        <v>0</v>
      </c>
      <c r="L468" s="91">
        <f>'💰 Precio de Venta'!H469</f>
        <v>0</v>
      </c>
    </row>
    <row r="469" spans="4:12" ht="19.5" hidden="1" customHeight="1" x14ac:dyDescent="0.25">
      <c r="D469" s="92">
        <v>463</v>
      </c>
      <c r="E469" s="346"/>
      <c r="F469" s="347" t="s">
        <v>142</v>
      </c>
      <c r="G469" s="348">
        <v>0</v>
      </c>
      <c r="H469" s="349">
        <v>0</v>
      </c>
      <c r="I469" s="246">
        <f t="shared" si="7"/>
        <v>0</v>
      </c>
      <c r="J469" s="297">
        <f>IF(I469=0,0,I469/$I$507)</f>
        <v>0</v>
      </c>
      <c r="K469" s="89">
        <f>'🧮 Costos x Producto'!K469</f>
        <v>0</v>
      </c>
      <c r="L469" s="91">
        <f>'💰 Precio de Venta'!H470</f>
        <v>0</v>
      </c>
    </row>
    <row r="470" spans="4:12" ht="19.5" hidden="1" customHeight="1" x14ac:dyDescent="0.25">
      <c r="D470" s="92">
        <v>464</v>
      </c>
      <c r="E470" s="346"/>
      <c r="F470" s="347" t="s">
        <v>142</v>
      </c>
      <c r="G470" s="348">
        <v>0</v>
      </c>
      <c r="H470" s="349">
        <v>0</v>
      </c>
      <c r="I470" s="246">
        <f t="shared" si="7"/>
        <v>0</v>
      </c>
      <c r="J470" s="297">
        <f>IF(I470=0,0,I470/$I$507)</f>
        <v>0</v>
      </c>
      <c r="K470" s="89">
        <f>'🧮 Costos x Producto'!K470</f>
        <v>0</v>
      </c>
      <c r="L470" s="91">
        <f>'💰 Precio de Venta'!H471</f>
        <v>0</v>
      </c>
    </row>
    <row r="471" spans="4:12" ht="19.5" hidden="1" customHeight="1" x14ac:dyDescent="0.25">
      <c r="D471" s="92">
        <v>465</v>
      </c>
      <c r="E471" s="346"/>
      <c r="F471" s="347" t="s">
        <v>142</v>
      </c>
      <c r="G471" s="348">
        <v>0</v>
      </c>
      <c r="H471" s="349">
        <v>0</v>
      </c>
      <c r="I471" s="246">
        <f t="shared" si="7"/>
        <v>0</v>
      </c>
      <c r="J471" s="297">
        <f>IF(I471=0,0,I471/$I$507)</f>
        <v>0</v>
      </c>
      <c r="K471" s="89">
        <f>'🧮 Costos x Producto'!K471</f>
        <v>0</v>
      </c>
      <c r="L471" s="91">
        <f>'💰 Precio de Venta'!H472</f>
        <v>0</v>
      </c>
    </row>
    <row r="472" spans="4:12" ht="19.5" hidden="1" customHeight="1" x14ac:dyDescent="0.25">
      <c r="D472" s="92">
        <v>466</v>
      </c>
      <c r="E472" s="346"/>
      <c r="F472" s="347" t="s">
        <v>142</v>
      </c>
      <c r="G472" s="348">
        <v>0</v>
      </c>
      <c r="H472" s="349">
        <v>0</v>
      </c>
      <c r="I472" s="246">
        <f t="shared" si="7"/>
        <v>0</v>
      </c>
      <c r="J472" s="297">
        <f>IF(I472=0,0,I472/$I$507)</f>
        <v>0</v>
      </c>
      <c r="K472" s="89">
        <f>'🧮 Costos x Producto'!K472</f>
        <v>0</v>
      </c>
      <c r="L472" s="91">
        <f>'💰 Precio de Venta'!H473</f>
        <v>0</v>
      </c>
    </row>
    <row r="473" spans="4:12" ht="19.5" hidden="1" customHeight="1" x14ac:dyDescent="0.25">
      <c r="D473" s="92">
        <v>467</v>
      </c>
      <c r="E473" s="346"/>
      <c r="F473" s="347" t="s">
        <v>142</v>
      </c>
      <c r="G473" s="348">
        <v>0</v>
      </c>
      <c r="H473" s="349">
        <v>0</v>
      </c>
      <c r="I473" s="246">
        <f t="shared" si="7"/>
        <v>0</v>
      </c>
      <c r="J473" s="297">
        <f>IF(I473=0,0,I473/$I$507)</f>
        <v>0</v>
      </c>
      <c r="K473" s="89">
        <f>'🧮 Costos x Producto'!K473</f>
        <v>0</v>
      </c>
      <c r="L473" s="91">
        <f>'💰 Precio de Venta'!H474</f>
        <v>0</v>
      </c>
    </row>
    <row r="474" spans="4:12" ht="19.5" hidden="1" customHeight="1" x14ac:dyDescent="0.25">
      <c r="D474" s="92">
        <v>468</v>
      </c>
      <c r="E474" s="346"/>
      <c r="F474" s="347" t="s">
        <v>142</v>
      </c>
      <c r="G474" s="348">
        <v>0</v>
      </c>
      <c r="H474" s="349">
        <v>0</v>
      </c>
      <c r="I474" s="246">
        <f t="shared" si="7"/>
        <v>0</v>
      </c>
      <c r="J474" s="297">
        <f>IF(I474=0,0,I474/$I$507)</f>
        <v>0</v>
      </c>
      <c r="K474" s="89">
        <f>'🧮 Costos x Producto'!K474</f>
        <v>0</v>
      </c>
      <c r="L474" s="91">
        <f>'💰 Precio de Venta'!H475</f>
        <v>0</v>
      </c>
    </row>
    <row r="475" spans="4:12" ht="19.5" hidden="1" customHeight="1" x14ac:dyDescent="0.25">
      <c r="D475" s="92">
        <v>469</v>
      </c>
      <c r="E475" s="346"/>
      <c r="F475" s="347" t="s">
        <v>142</v>
      </c>
      <c r="G475" s="348">
        <v>0</v>
      </c>
      <c r="H475" s="349">
        <v>0</v>
      </c>
      <c r="I475" s="246">
        <f t="shared" si="7"/>
        <v>0</v>
      </c>
      <c r="J475" s="297">
        <f>IF(I475=0,0,I475/$I$507)</f>
        <v>0</v>
      </c>
      <c r="K475" s="89">
        <f>'🧮 Costos x Producto'!K475</f>
        <v>0</v>
      </c>
      <c r="L475" s="91">
        <f>'💰 Precio de Venta'!H476</f>
        <v>0</v>
      </c>
    </row>
    <row r="476" spans="4:12" ht="19.5" hidden="1" customHeight="1" x14ac:dyDescent="0.25">
      <c r="D476" s="92">
        <v>470</v>
      </c>
      <c r="E476" s="346"/>
      <c r="F476" s="347" t="s">
        <v>142</v>
      </c>
      <c r="G476" s="348">
        <v>0</v>
      </c>
      <c r="H476" s="349">
        <v>0</v>
      </c>
      <c r="I476" s="246">
        <f t="shared" si="7"/>
        <v>0</v>
      </c>
      <c r="J476" s="297">
        <f>IF(I476=0,0,I476/$I$507)</f>
        <v>0</v>
      </c>
      <c r="K476" s="89">
        <f>'🧮 Costos x Producto'!K476</f>
        <v>0</v>
      </c>
      <c r="L476" s="91">
        <f>'💰 Precio de Venta'!H477</f>
        <v>0</v>
      </c>
    </row>
    <row r="477" spans="4:12" ht="19.5" hidden="1" customHeight="1" x14ac:dyDescent="0.25">
      <c r="D477" s="92">
        <v>471</v>
      </c>
      <c r="E477" s="346"/>
      <c r="F477" s="347" t="s">
        <v>142</v>
      </c>
      <c r="G477" s="348">
        <v>0</v>
      </c>
      <c r="H477" s="349">
        <v>0</v>
      </c>
      <c r="I477" s="246">
        <f t="shared" si="7"/>
        <v>0</v>
      </c>
      <c r="J477" s="297">
        <f>IF(I477=0,0,I477/$I$507)</f>
        <v>0</v>
      </c>
      <c r="K477" s="89">
        <f>'🧮 Costos x Producto'!K477</f>
        <v>0</v>
      </c>
      <c r="L477" s="91">
        <f>'💰 Precio de Venta'!H478</f>
        <v>0</v>
      </c>
    </row>
    <row r="478" spans="4:12" ht="19.5" hidden="1" customHeight="1" x14ac:dyDescent="0.25">
      <c r="D478" s="92">
        <v>472</v>
      </c>
      <c r="E478" s="346"/>
      <c r="F478" s="347" t="s">
        <v>142</v>
      </c>
      <c r="G478" s="348">
        <v>0</v>
      </c>
      <c r="H478" s="349">
        <v>0</v>
      </c>
      <c r="I478" s="246">
        <f t="shared" si="7"/>
        <v>0</v>
      </c>
      <c r="J478" s="297">
        <f>IF(I478=0,0,I478/$I$507)</f>
        <v>0</v>
      </c>
      <c r="K478" s="89">
        <f>'🧮 Costos x Producto'!K478</f>
        <v>0</v>
      </c>
      <c r="L478" s="91">
        <f>'💰 Precio de Venta'!H479</f>
        <v>0</v>
      </c>
    </row>
    <row r="479" spans="4:12" ht="19.5" hidden="1" customHeight="1" x14ac:dyDescent="0.25">
      <c r="D479" s="92">
        <v>473</v>
      </c>
      <c r="E479" s="346"/>
      <c r="F479" s="347" t="s">
        <v>142</v>
      </c>
      <c r="G479" s="348">
        <v>0</v>
      </c>
      <c r="H479" s="349">
        <v>0</v>
      </c>
      <c r="I479" s="246">
        <f t="shared" si="7"/>
        <v>0</v>
      </c>
      <c r="J479" s="297">
        <f>IF(I479=0,0,I479/$I$507)</f>
        <v>0</v>
      </c>
      <c r="K479" s="89">
        <f>'🧮 Costos x Producto'!K479</f>
        <v>0</v>
      </c>
      <c r="L479" s="91">
        <f>'💰 Precio de Venta'!H480</f>
        <v>0</v>
      </c>
    </row>
    <row r="480" spans="4:12" ht="19.5" hidden="1" customHeight="1" x14ac:dyDescent="0.25">
      <c r="D480" s="92">
        <v>474</v>
      </c>
      <c r="E480" s="346"/>
      <c r="F480" s="347" t="s">
        <v>142</v>
      </c>
      <c r="G480" s="348">
        <v>0</v>
      </c>
      <c r="H480" s="349">
        <v>0</v>
      </c>
      <c r="I480" s="246">
        <f t="shared" si="7"/>
        <v>0</v>
      </c>
      <c r="J480" s="297">
        <f>IF(I480=0,0,I480/$I$507)</f>
        <v>0</v>
      </c>
      <c r="K480" s="89">
        <f>'🧮 Costos x Producto'!K480</f>
        <v>0</v>
      </c>
      <c r="L480" s="91">
        <f>'💰 Precio de Venta'!H481</f>
        <v>0</v>
      </c>
    </row>
    <row r="481" spans="4:12" ht="19.5" hidden="1" customHeight="1" x14ac:dyDescent="0.25">
      <c r="D481" s="92">
        <v>475</v>
      </c>
      <c r="E481" s="346"/>
      <c r="F481" s="347" t="s">
        <v>142</v>
      </c>
      <c r="G481" s="348">
        <v>0</v>
      </c>
      <c r="H481" s="349">
        <v>0</v>
      </c>
      <c r="I481" s="246">
        <f t="shared" si="7"/>
        <v>0</v>
      </c>
      <c r="J481" s="297">
        <f>IF(I481=0,0,I481/$I$507)</f>
        <v>0</v>
      </c>
      <c r="K481" s="89">
        <f>'🧮 Costos x Producto'!K481</f>
        <v>0</v>
      </c>
      <c r="L481" s="91">
        <f>'💰 Precio de Venta'!H482</f>
        <v>0</v>
      </c>
    </row>
    <row r="482" spans="4:12" ht="19.5" hidden="1" customHeight="1" x14ac:dyDescent="0.25">
      <c r="D482" s="92">
        <v>476</v>
      </c>
      <c r="E482" s="346"/>
      <c r="F482" s="347" t="s">
        <v>142</v>
      </c>
      <c r="G482" s="348">
        <v>0</v>
      </c>
      <c r="H482" s="349">
        <v>0</v>
      </c>
      <c r="I482" s="246">
        <f t="shared" si="7"/>
        <v>0</v>
      </c>
      <c r="J482" s="297">
        <f>IF(I482=0,0,I482/$I$507)</f>
        <v>0</v>
      </c>
      <c r="K482" s="89">
        <f>'🧮 Costos x Producto'!K482</f>
        <v>0</v>
      </c>
      <c r="L482" s="91">
        <f>'💰 Precio de Venta'!H483</f>
        <v>0</v>
      </c>
    </row>
    <row r="483" spans="4:12" ht="19.5" hidden="1" customHeight="1" x14ac:dyDescent="0.25">
      <c r="D483" s="92">
        <v>477</v>
      </c>
      <c r="E483" s="346"/>
      <c r="F483" s="347" t="s">
        <v>142</v>
      </c>
      <c r="G483" s="348">
        <v>0</v>
      </c>
      <c r="H483" s="349">
        <v>0</v>
      </c>
      <c r="I483" s="246">
        <f t="shared" si="7"/>
        <v>0</v>
      </c>
      <c r="J483" s="297">
        <f>IF(I483=0,0,I483/$I$507)</f>
        <v>0</v>
      </c>
      <c r="K483" s="89">
        <f>'🧮 Costos x Producto'!K483</f>
        <v>0</v>
      </c>
      <c r="L483" s="91">
        <f>'💰 Precio de Venta'!H484</f>
        <v>0</v>
      </c>
    </row>
    <row r="484" spans="4:12" ht="19.5" hidden="1" customHeight="1" x14ac:dyDescent="0.25">
      <c r="D484" s="92">
        <v>478</v>
      </c>
      <c r="E484" s="346"/>
      <c r="F484" s="347" t="s">
        <v>142</v>
      </c>
      <c r="G484" s="348">
        <v>0</v>
      </c>
      <c r="H484" s="349">
        <v>0</v>
      </c>
      <c r="I484" s="246">
        <f t="shared" si="7"/>
        <v>0</v>
      </c>
      <c r="J484" s="297">
        <f>IF(I484=0,0,I484/$I$507)</f>
        <v>0</v>
      </c>
      <c r="K484" s="89">
        <f>'🧮 Costos x Producto'!K484</f>
        <v>0</v>
      </c>
      <c r="L484" s="91">
        <f>'💰 Precio de Venta'!H485</f>
        <v>0</v>
      </c>
    </row>
    <row r="485" spans="4:12" ht="19.5" hidden="1" customHeight="1" x14ac:dyDescent="0.25">
      <c r="D485" s="92">
        <v>479</v>
      </c>
      <c r="E485" s="346"/>
      <c r="F485" s="347" t="s">
        <v>142</v>
      </c>
      <c r="G485" s="348">
        <v>0</v>
      </c>
      <c r="H485" s="349">
        <v>0</v>
      </c>
      <c r="I485" s="246">
        <f t="shared" ref="I485:I506" si="8">IF(G485=0,0,G485*H485)</f>
        <v>0</v>
      </c>
      <c r="J485" s="297">
        <f>IF(I485=0,0,I485/$I$507)</f>
        <v>0</v>
      </c>
      <c r="K485" s="89">
        <f>'🧮 Costos x Producto'!K485</f>
        <v>0</v>
      </c>
      <c r="L485" s="91">
        <f>'💰 Precio de Venta'!H486</f>
        <v>0</v>
      </c>
    </row>
    <row r="486" spans="4:12" ht="19.5" hidden="1" customHeight="1" x14ac:dyDescent="0.25">
      <c r="D486" s="92">
        <v>480</v>
      </c>
      <c r="E486" s="346"/>
      <c r="F486" s="347" t="s">
        <v>142</v>
      </c>
      <c r="G486" s="348">
        <v>0</v>
      </c>
      <c r="H486" s="349">
        <v>0</v>
      </c>
      <c r="I486" s="246">
        <f t="shared" si="8"/>
        <v>0</v>
      </c>
      <c r="J486" s="297">
        <f>IF(I486=0,0,I486/$I$507)</f>
        <v>0</v>
      </c>
      <c r="K486" s="89">
        <f>'🧮 Costos x Producto'!K486</f>
        <v>0</v>
      </c>
      <c r="L486" s="91">
        <f>'💰 Precio de Venta'!H487</f>
        <v>0</v>
      </c>
    </row>
    <row r="487" spans="4:12" ht="19.5" hidden="1" customHeight="1" x14ac:dyDescent="0.25">
      <c r="D487" s="92">
        <v>481</v>
      </c>
      <c r="E487" s="346"/>
      <c r="F487" s="347" t="s">
        <v>142</v>
      </c>
      <c r="G487" s="348">
        <v>0</v>
      </c>
      <c r="H487" s="349">
        <v>0</v>
      </c>
      <c r="I487" s="246">
        <f t="shared" si="8"/>
        <v>0</v>
      </c>
      <c r="J487" s="297">
        <f>IF(I487=0,0,I487/$I$507)</f>
        <v>0</v>
      </c>
      <c r="K487" s="89">
        <f>'🧮 Costos x Producto'!K487</f>
        <v>0</v>
      </c>
      <c r="L487" s="91">
        <f>'💰 Precio de Venta'!H488</f>
        <v>0</v>
      </c>
    </row>
    <row r="488" spans="4:12" ht="19.5" hidden="1" customHeight="1" x14ac:dyDescent="0.25">
      <c r="D488" s="92">
        <v>482</v>
      </c>
      <c r="E488" s="346"/>
      <c r="F488" s="347" t="s">
        <v>142</v>
      </c>
      <c r="G488" s="348">
        <v>0</v>
      </c>
      <c r="H488" s="349">
        <v>0</v>
      </c>
      <c r="I488" s="246">
        <f t="shared" si="8"/>
        <v>0</v>
      </c>
      <c r="J488" s="297">
        <f>IF(I488=0,0,I488/$I$507)</f>
        <v>0</v>
      </c>
      <c r="K488" s="89">
        <f>'🧮 Costos x Producto'!K488</f>
        <v>0</v>
      </c>
      <c r="L488" s="91">
        <f>'💰 Precio de Venta'!H489</f>
        <v>0</v>
      </c>
    </row>
    <row r="489" spans="4:12" ht="19.5" hidden="1" customHeight="1" x14ac:dyDescent="0.25">
      <c r="D489" s="92">
        <v>483</v>
      </c>
      <c r="E489" s="346"/>
      <c r="F489" s="347" t="s">
        <v>142</v>
      </c>
      <c r="G489" s="348">
        <v>0</v>
      </c>
      <c r="H489" s="349">
        <v>0</v>
      </c>
      <c r="I489" s="246">
        <f t="shared" si="8"/>
        <v>0</v>
      </c>
      <c r="J489" s="297">
        <f>IF(I489=0,0,I489/$I$507)</f>
        <v>0</v>
      </c>
      <c r="K489" s="89">
        <f>'🧮 Costos x Producto'!K489</f>
        <v>0</v>
      </c>
      <c r="L489" s="91">
        <f>'💰 Precio de Venta'!H490</f>
        <v>0</v>
      </c>
    </row>
    <row r="490" spans="4:12" ht="19.5" hidden="1" customHeight="1" x14ac:dyDescent="0.25">
      <c r="D490" s="92">
        <v>484</v>
      </c>
      <c r="E490" s="346"/>
      <c r="F490" s="347" t="s">
        <v>142</v>
      </c>
      <c r="G490" s="348">
        <v>0</v>
      </c>
      <c r="H490" s="349">
        <v>0</v>
      </c>
      <c r="I490" s="246">
        <f t="shared" si="8"/>
        <v>0</v>
      </c>
      <c r="J490" s="297">
        <f>IF(I490=0,0,I490/$I$507)</f>
        <v>0</v>
      </c>
      <c r="K490" s="89">
        <f>'🧮 Costos x Producto'!K490</f>
        <v>0</v>
      </c>
      <c r="L490" s="91">
        <f>'💰 Precio de Venta'!H491</f>
        <v>0</v>
      </c>
    </row>
    <row r="491" spans="4:12" ht="19.5" hidden="1" customHeight="1" x14ac:dyDescent="0.25">
      <c r="D491" s="92">
        <v>485</v>
      </c>
      <c r="E491" s="346"/>
      <c r="F491" s="347" t="s">
        <v>142</v>
      </c>
      <c r="G491" s="348">
        <v>0</v>
      </c>
      <c r="H491" s="349">
        <v>0</v>
      </c>
      <c r="I491" s="246">
        <f t="shared" si="8"/>
        <v>0</v>
      </c>
      <c r="J491" s="297">
        <f>IF(I491=0,0,I491/$I$507)</f>
        <v>0</v>
      </c>
      <c r="K491" s="89">
        <f>'🧮 Costos x Producto'!K491</f>
        <v>0</v>
      </c>
      <c r="L491" s="91">
        <f>'💰 Precio de Venta'!H492</f>
        <v>0</v>
      </c>
    </row>
    <row r="492" spans="4:12" ht="19.5" hidden="1" customHeight="1" x14ac:dyDescent="0.25">
      <c r="D492" s="92">
        <v>486</v>
      </c>
      <c r="E492" s="346"/>
      <c r="F492" s="347" t="s">
        <v>142</v>
      </c>
      <c r="G492" s="348">
        <v>0</v>
      </c>
      <c r="H492" s="349">
        <v>0</v>
      </c>
      <c r="I492" s="246">
        <f t="shared" si="8"/>
        <v>0</v>
      </c>
      <c r="J492" s="297">
        <f>IF(I492=0,0,I492/$I$507)</f>
        <v>0</v>
      </c>
      <c r="K492" s="89">
        <f>'🧮 Costos x Producto'!K492</f>
        <v>0</v>
      </c>
      <c r="L492" s="91">
        <f>'💰 Precio de Venta'!H493</f>
        <v>0</v>
      </c>
    </row>
    <row r="493" spans="4:12" ht="19.5" hidden="1" customHeight="1" x14ac:dyDescent="0.25">
      <c r="D493" s="92">
        <v>487</v>
      </c>
      <c r="E493" s="346"/>
      <c r="F493" s="347" t="s">
        <v>142</v>
      </c>
      <c r="G493" s="348">
        <v>0</v>
      </c>
      <c r="H493" s="349">
        <v>0</v>
      </c>
      <c r="I493" s="246">
        <f t="shared" si="8"/>
        <v>0</v>
      </c>
      <c r="J493" s="297">
        <f>IF(I493=0,0,I493/$I$507)</f>
        <v>0</v>
      </c>
      <c r="K493" s="89">
        <f>'🧮 Costos x Producto'!K493</f>
        <v>0</v>
      </c>
      <c r="L493" s="91">
        <f>'💰 Precio de Venta'!H494</f>
        <v>0</v>
      </c>
    </row>
    <row r="494" spans="4:12" ht="19.5" hidden="1" customHeight="1" x14ac:dyDescent="0.25">
      <c r="D494" s="92">
        <v>488</v>
      </c>
      <c r="E494" s="346"/>
      <c r="F494" s="347" t="s">
        <v>142</v>
      </c>
      <c r="G494" s="348">
        <v>0</v>
      </c>
      <c r="H494" s="349">
        <v>0</v>
      </c>
      <c r="I494" s="246">
        <f t="shared" si="8"/>
        <v>0</v>
      </c>
      <c r="J494" s="297">
        <f>IF(I494=0,0,I494/$I$507)</f>
        <v>0</v>
      </c>
      <c r="K494" s="89">
        <f>'🧮 Costos x Producto'!K494</f>
        <v>0</v>
      </c>
      <c r="L494" s="91">
        <f>'💰 Precio de Venta'!H495</f>
        <v>0</v>
      </c>
    </row>
    <row r="495" spans="4:12" ht="19.5" hidden="1" customHeight="1" x14ac:dyDescent="0.25">
      <c r="D495" s="92">
        <v>489</v>
      </c>
      <c r="E495" s="346"/>
      <c r="F495" s="347" t="s">
        <v>142</v>
      </c>
      <c r="G495" s="348">
        <v>0</v>
      </c>
      <c r="H495" s="349">
        <v>0</v>
      </c>
      <c r="I495" s="246">
        <f t="shared" si="8"/>
        <v>0</v>
      </c>
      <c r="J495" s="297">
        <f>IF(I495=0,0,I495/$I$507)</f>
        <v>0</v>
      </c>
      <c r="K495" s="89">
        <f>'🧮 Costos x Producto'!K495</f>
        <v>0</v>
      </c>
      <c r="L495" s="91">
        <f>'💰 Precio de Venta'!H496</f>
        <v>0</v>
      </c>
    </row>
    <row r="496" spans="4:12" ht="19.5" hidden="1" customHeight="1" x14ac:dyDescent="0.25">
      <c r="D496" s="92">
        <v>490</v>
      </c>
      <c r="E496" s="346"/>
      <c r="F496" s="347" t="s">
        <v>142</v>
      </c>
      <c r="G496" s="348">
        <v>0</v>
      </c>
      <c r="H496" s="349">
        <v>0</v>
      </c>
      <c r="I496" s="246">
        <f t="shared" si="8"/>
        <v>0</v>
      </c>
      <c r="J496" s="297">
        <f>IF(I496=0,0,I496/$I$507)</f>
        <v>0</v>
      </c>
      <c r="K496" s="89">
        <f>'🧮 Costos x Producto'!K496</f>
        <v>0</v>
      </c>
      <c r="L496" s="91">
        <f>'💰 Precio de Venta'!H497</f>
        <v>0</v>
      </c>
    </row>
    <row r="497" spans="4:12" ht="19.5" hidden="1" customHeight="1" x14ac:dyDescent="0.25">
      <c r="D497" s="92">
        <v>491</v>
      </c>
      <c r="E497" s="346"/>
      <c r="F497" s="347" t="s">
        <v>142</v>
      </c>
      <c r="G497" s="348">
        <v>0</v>
      </c>
      <c r="H497" s="349">
        <v>0</v>
      </c>
      <c r="I497" s="246">
        <f t="shared" si="8"/>
        <v>0</v>
      </c>
      <c r="J497" s="297">
        <f>IF(I497=0,0,I497/$I$507)</f>
        <v>0</v>
      </c>
      <c r="K497" s="89">
        <f>'🧮 Costos x Producto'!K497</f>
        <v>0</v>
      </c>
      <c r="L497" s="91">
        <f>'💰 Precio de Venta'!H498</f>
        <v>0</v>
      </c>
    </row>
    <row r="498" spans="4:12" ht="19.5" hidden="1" customHeight="1" x14ac:dyDescent="0.25">
      <c r="D498" s="92">
        <v>492</v>
      </c>
      <c r="E498" s="346"/>
      <c r="F498" s="347" t="s">
        <v>142</v>
      </c>
      <c r="G498" s="348">
        <v>0</v>
      </c>
      <c r="H498" s="349">
        <v>0</v>
      </c>
      <c r="I498" s="246">
        <f t="shared" si="8"/>
        <v>0</v>
      </c>
      <c r="J498" s="297">
        <f>IF(I498=0,0,I498/$I$507)</f>
        <v>0</v>
      </c>
      <c r="K498" s="89">
        <f>'🧮 Costos x Producto'!K498</f>
        <v>0</v>
      </c>
      <c r="L498" s="91">
        <f>'💰 Precio de Venta'!H499</f>
        <v>0</v>
      </c>
    </row>
    <row r="499" spans="4:12" ht="19.5" hidden="1" customHeight="1" x14ac:dyDescent="0.25">
      <c r="D499" s="92">
        <v>493</v>
      </c>
      <c r="E499" s="346"/>
      <c r="F499" s="347" t="s">
        <v>142</v>
      </c>
      <c r="G499" s="348">
        <v>0</v>
      </c>
      <c r="H499" s="349">
        <v>0</v>
      </c>
      <c r="I499" s="246">
        <f t="shared" si="8"/>
        <v>0</v>
      </c>
      <c r="J499" s="297">
        <f>IF(I499=0,0,I499/$I$507)</f>
        <v>0</v>
      </c>
      <c r="K499" s="89">
        <f>'🧮 Costos x Producto'!K499</f>
        <v>0</v>
      </c>
      <c r="L499" s="91">
        <f>'💰 Precio de Venta'!H500</f>
        <v>0</v>
      </c>
    </row>
    <row r="500" spans="4:12" ht="19.5" hidden="1" customHeight="1" x14ac:dyDescent="0.25">
      <c r="D500" s="92">
        <v>494</v>
      </c>
      <c r="E500" s="346"/>
      <c r="F500" s="347" t="s">
        <v>142</v>
      </c>
      <c r="G500" s="348">
        <v>0</v>
      </c>
      <c r="H500" s="349">
        <v>0</v>
      </c>
      <c r="I500" s="246">
        <f t="shared" si="8"/>
        <v>0</v>
      </c>
      <c r="J500" s="297">
        <f>IF(I500=0,0,I500/$I$507)</f>
        <v>0</v>
      </c>
      <c r="K500" s="89">
        <f>'🧮 Costos x Producto'!K500</f>
        <v>0</v>
      </c>
      <c r="L500" s="91">
        <f>'💰 Precio de Venta'!H501</f>
        <v>0</v>
      </c>
    </row>
    <row r="501" spans="4:12" ht="19.5" hidden="1" customHeight="1" x14ac:dyDescent="0.25">
      <c r="D501" s="92">
        <v>495</v>
      </c>
      <c r="E501" s="346"/>
      <c r="F501" s="347" t="s">
        <v>142</v>
      </c>
      <c r="G501" s="348">
        <v>0</v>
      </c>
      <c r="H501" s="349">
        <v>0</v>
      </c>
      <c r="I501" s="246">
        <f t="shared" si="8"/>
        <v>0</v>
      </c>
      <c r="J501" s="297">
        <f>IF(I501=0,0,I501/$I$507)</f>
        <v>0</v>
      </c>
      <c r="K501" s="89">
        <f>'🧮 Costos x Producto'!K501</f>
        <v>0</v>
      </c>
      <c r="L501" s="91">
        <f>'💰 Precio de Venta'!H502</f>
        <v>0</v>
      </c>
    </row>
    <row r="502" spans="4:12" ht="19.5" hidden="1" customHeight="1" x14ac:dyDescent="0.25">
      <c r="D502" s="92">
        <v>496</v>
      </c>
      <c r="E502" s="346"/>
      <c r="F502" s="347" t="s">
        <v>142</v>
      </c>
      <c r="G502" s="348">
        <v>0</v>
      </c>
      <c r="H502" s="349">
        <v>0</v>
      </c>
      <c r="I502" s="246">
        <f t="shared" si="8"/>
        <v>0</v>
      </c>
      <c r="J502" s="297">
        <f>IF(I502=0,0,I502/$I$507)</f>
        <v>0</v>
      </c>
      <c r="K502" s="89">
        <f>'🧮 Costos x Producto'!K502</f>
        <v>0</v>
      </c>
      <c r="L502" s="91">
        <f>'💰 Precio de Venta'!H503</f>
        <v>0</v>
      </c>
    </row>
    <row r="503" spans="4:12" ht="19.5" hidden="1" customHeight="1" x14ac:dyDescent="0.25">
      <c r="D503" s="92">
        <v>497</v>
      </c>
      <c r="E503" s="346"/>
      <c r="F503" s="347" t="s">
        <v>142</v>
      </c>
      <c r="G503" s="348">
        <v>0</v>
      </c>
      <c r="H503" s="349">
        <v>0</v>
      </c>
      <c r="I503" s="246">
        <f t="shared" si="8"/>
        <v>0</v>
      </c>
      <c r="J503" s="297">
        <f>IF(I503=0,0,I503/$I$507)</f>
        <v>0</v>
      </c>
      <c r="K503" s="89">
        <f>'🧮 Costos x Producto'!K503</f>
        <v>0</v>
      </c>
      <c r="L503" s="91">
        <f>'💰 Precio de Venta'!H504</f>
        <v>0</v>
      </c>
    </row>
    <row r="504" spans="4:12" ht="19.5" hidden="1" customHeight="1" x14ac:dyDescent="0.25">
      <c r="D504" s="92">
        <v>498</v>
      </c>
      <c r="E504" s="346"/>
      <c r="F504" s="347" t="s">
        <v>142</v>
      </c>
      <c r="G504" s="348">
        <v>0</v>
      </c>
      <c r="H504" s="349">
        <v>0</v>
      </c>
      <c r="I504" s="246">
        <f t="shared" si="8"/>
        <v>0</v>
      </c>
      <c r="J504" s="297">
        <f>IF(I504=0,0,I504/$I$507)</f>
        <v>0</v>
      </c>
      <c r="K504" s="89">
        <f>'🧮 Costos x Producto'!K504</f>
        <v>0</v>
      </c>
      <c r="L504" s="91">
        <f>'💰 Precio de Venta'!H505</f>
        <v>0</v>
      </c>
    </row>
    <row r="505" spans="4:12" ht="19.5" hidden="1" customHeight="1" x14ac:dyDescent="0.25">
      <c r="D505" s="92">
        <v>499</v>
      </c>
      <c r="E505" s="346"/>
      <c r="F505" s="347" t="s">
        <v>142</v>
      </c>
      <c r="G505" s="348">
        <v>0</v>
      </c>
      <c r="H505" s="349">
        <v>0</v>
      </c>
      <c r="I505" s="246">
        <f t="shared" si="8"/>
        <v>0</v>
      </c>
      <c r="J505" s="297">
        <f>IF(I505=0,0,I505/$I$507)</f>
        <v>0</v>
      </c>
      <c r="K505" s="89">
        <f>'🧮 Costos x Producto'!K505</f>
        <v>0</v>
      </c>
      <c r="L505" s="91">
        <f>'💰 Precio de Venta'!H506</f>
        <v>0</v>
      </c>
    </row>
    <row r="506" spans="4:12" ht="19.5" hidden="1" customHeight="1" x14ac:dyDescent="0.25">
      <c r="D506" s="92">
        <v>500</v>
      </c>
      <c r="E506" s="346"/>
      <c r="F506" s="347" t="s">
        <v>142</v>
      </c>
      <c r="G506" s="348">
        <v>0</v>
      </c>
      <c r="H506" s="349">
        <v>0</v>
      </c>
      <c r="I506" s="246">
        <f t="shared" si="8"/>
        <v>0</v>
      </c>
      <c r="J506" s="297">
        <f>IF(I506=0,0,I506/$I$507)</f>
        <v>0</v>
      </c>
      <c r="K506" s="89">
        <f>'🧮 Costos x Producto'!K506</f>
        <v>0</v>
      </c>
      <c r="L506" s="91">
        <f>'💰 Precio de Venta'!H507</f>
        <v>0</v>
      </c>
    </row>
    <row r="507" spans="4:12" ht="21.75" hidden="1" customHeight="1" x14ac:dyDescent="0.25">
      <c r="D507" s="436" t="s">
        <v>144</v>
      </c>
      <c r="E507" s="436"/>
      <c r="F507" s="436"/>
      <c r="G507" s="436"/>
      <c r="H507" s="436"/>
      <c r="I507" s="94">
        <f>SUM(I7:I506)</f>
        <v>43641.280000000006</v>
      </c>
      <c r="J507" s="95"/>
      <c r="K507" s="95"/>
      <c r="L507" s="95"/>
    </row>
    <row r="508" spans="4:12" x14ac:dyDescent="0.25">
      <c r="D508" s="93"/>
      <c r="E508" s="93"/>
      <c r="F508" s="93"/>
      <c r="G508" s="93"/>
      <c r="H508" s="93"/>
      <c r="I508" s="93"/>
      <c r="J508" s="93"/>
      <c r="K508" s="93"/>
      <c r="L508" s="93"/>
    </row>
    <row r="509" spans="4:12" x14ac:dyDescent="0.25">
      <c r="D509" s="93"/>
      <c r="E509" s="93"/>
      <c r="F509" s="93"/>
      <c r="G509" s="93"/>
      <c r="H509" s="93"/>
      <c r="I509" s="93"/>
      <c r="J509" s="93"/>
      <c r="K509" s="93"/>
      <c r="L509" s="93"/>
    </row>
    <row r="510" spans="4:12" x14ac:dyDescent="0.25">
      <c r="D510" s="93"/>
      <c r="E510" s="93"/>
      <c r="F510" s="93"/>
      <c r="G510" s="93"/>
      <c r="H510" s="93"/>
      <c r="I510" s="93"/>
      <c r="J510" s="93"/>
      <c r="K510" s="93"/>
      <c r="L510" s="93"/>
    </row>
    <row r="511" spans="4:12" x14ac:dyDescent="0.25">
      <c r="D511" s="93"/>
      <c r="E511" s="93"/>
      <c r="F511" s="93"/>
      <c r="G511" s="93"/>
      <c r="H511" s="93"/>
      <c r="I511" s="93"/>
      <c r="J511" s="93"/>
      <c r="K511" s="93"/>
      <c r="L511" s="93"/>
    </row>
    <row r="512" spans="4:12" x14ac:dyDescent="0.25">
      <c r="D512" s="93"/>
      <c r="E512" s="93"/>
      <c r="F512" s="93"/>
      <c r="G512" s="93"/>
      <c r="H512" s="93"/>
      <c r="I512" s="93"/>
      <c r="J512" s="93"/>
      <c r="K512" s="93"/>
      <c r="L512" s="93"/>
    </row>
    <row r="513" spans="4:12" x14ac:dyDescent="0.25">
      <c r="D513" s="93"/>
      <c r="E513" s="93"/>
      <c r="F513" s="93"/>
      <c r="G513" s="93"/>
      <c r="H513" s="93"/>
      <c r="I513" s="93"/>
      <c r="J513" s="93"/>
      <c r="K513" s="93"/>
      <c r="L513" s="93"/>
    </row>
    <row r="514" spans="4:12" x14ac:dyDescent="0.25">
      <c r="D514" s="93"/>
      <c r="E514" s="93"/>
      <c r="F514" s="93"/>
      <c r="G514" s="93"/>
      <c r="H514" s="93"/>
      <c r="I514" s="93"/>
      <c r="J514" s="93"/>
      <c r="K514" s="93"/>
      <c r="L514" s="93"/>
    </row>
    <row r="515" spans="4:12" x14ac:dyDescent="0.25">
      <c r="D515" s="93"/>
      <c r="E515" s="93"/>
      <c r="F515" s="93"/>
      <c r="G515" s="93"/>
      <c r="H515" s="93"/>
      <c r="I515" s="93"/>
      <c r="J515" s="93"/>
      <c r="K515" s="93"/>
      <c r="L515" s="93"/>
    </row>
    <row r="516" spans="4:12" x14ac:dyDescent="0.25">
      <c r="D516" s="93"/>
      <c r="E516" s="93"/>
      <c r="F516" s="93"/>
      <c r="G516" s="93"/>
      <c r="H516" s="93"/>
      <c r="I516" s="93"/>
      <c r="J516" s="93"/>
      <c r="K516" s="93"/>
      <c r="L516" s="93"/>
    </row>
    <row r="517" spans="4:12" x14ac:dyDescent="0.25">
      <c r="D517" s="93"/>
      <c r="E517" s="93"/>
      <c r="F517" s="93"/>
      <c r="G517" s="93"/>
      <c r="H517" s="93"/>
      <c r="I517" s="93"/>
      <c r="J517" s="93"/>
      <c r="K517" s="93"/>
      <c r="L517" s="93"/>
    </row>
    <row r="518" spans="4:12" x14ac:dyDescent="0.25">
      <c r="D518" s="93"/>
      <c r="E518" s="93"/>
      <c r="F518" s="93"/>
      <c r="G518" s="93"/>
      <c r="H518" s="93"/>
      <c r="I518" s="93"/>
      <c r="J518" s="93"/>
      <c r="K518" s="93"/>
      <c r="L518" s="93"/>
    </row>
    <row r="519" spans="4:12" x14ac:dyDescent="0.25">
      <c r="D519" s="93"/>
      <c r="E519" s="93"/>
      <c r="F519" s="93"/>
      <c r="G519" s="93"/>
      <c r="H519" s="93"/>
      <c r="I519" s="93"/>
      <c r="J519" s="93"/>
      <c r="K519" s="93"/>
      <c r="L519" s="93"/>
    </row>
    <row r="520" spans="4:12" x14ac:dyDescent="0.25">
      <c r="D520" s="93"/>
      <c r="E520" s="93"/>
      <c r="F520" s="93"/>
      <c r="G520" s="93"/>
      <c r="H520" s="93"/>
      <c r="I520" s="93"/>
      <c r="J520" s="93"/>
      <c r="K520" s="93"/>
      <c r="L520" s="93"/>
    </row>
    <row r="521" spans="4:12" x14ac:dyDescent="0.25">
      <c r="D521" s="93"/>
      <c r="E521" s="93"/>
      <c r="F521" s="93"/>
      <c r="G521" s="93"/>
      <c r="H521" s="93"/>
      <c r="I521" s="93"/>
      <c r="J521" s="93"/>
      <c r="K521" s="93"/>
      <c r="L521" s="93"/>
    </row>
    <row r="522" spans="4:12" x14ac:dyDescent="0.25">
      <c r="D522" s="93"/>
      <c r="E522" s="93"/>
      <c r="F522" s="93"/>
      <c r="G522" s="93"/>
      <c r="H522" s="93"/>
      <c r="I522" s="93"/>
      <c r="J522" s="93"/>
      <c r="K522" s="93"/>
      <c r="L522" s="93"/>
    </row>
    <row r="523" spans="4:12" x14ac:dyDescent="0.25">
      <c r="D523" s="93"/>
      <c r="E523" s="93"/>
      <c r="F523" s="93"/>
      <c r="G523" s="93"/>
      <c r="H523" s="93"/>
      <c r="I523" s="93"/>
      <c r="J523" s="93"/>
      <c r="K523" s="93"/>
      <c r="L523" s="93"/>
    </row>
    <row r="524" spans="4:12" x14ac:dyDescent="0.25">
      <c r="D524" s="93"/>
      <c r="E524" s="93"/>
      <c r="F524" s="93"/>
      <c r="G524" s="93"/>
      <c r="H524" s="93"/>
      <c r="I524" s="93"/>
      <c r="J524" s="93"/>
      <c r="K524" s="93"/>
      <c r="L524" s="93"/>
    </row>
    <row r="525" spans="4:12" x14ac:dyDescent="0.25">
      <c r="D525" s="93"/>
      <c r="E525" s="93"/>
      <c r="F525" s="93"/>
      <c r="G525" s="93"/>
      <c r="H525" s="93"/>
      <c r="I525" s="93"/>
      <c r="J525" s="93"/>
      <c r="K525" s="93"/>
      <c r="L525" s="93"/>
    </row>
    <row r="526" spans="4:12" x14ac:dyDescent="0.25">
      <c r="D526" s="93"/>
      <c r="E526" s="93"/>
      <c r="F526" s="93"/>
      <c r="G526" s="93"/>
      <c r="H526" s="93"/>
      <c r="I526" s="93"/>
      <c r="J526" s="93"/>
      <c r="K526" s="93"/>
      <c r="L526" s="93"/>
    </row>
    <row r="527" spans="4:12" x14ac:dyDescent="0.25">
      <c r="D527" s="93"/>
      <c r="E527" s="93"/>
      <c r="F527" s="93"/>
      <c r="G527" s="93"/>
      <c r="H527" s="93"/>
      <c r="I527" s="93"/>
      <c r="J527" s="93"/>
      <c r="K527" s="93"/>
      <c r="L527" s="93"/>
    </row>
    <row r="528" spans="4:12" x14ac:dyDescent="0.25">
      <c r="D528" s="93"/>
      <c r="E528" s="93"/>
      <c r="F528" s="93"/>
      <c r="G528" s="93"/>
      <c r="H528" s="93"/>
      <c r="I528" s="93"/>
      <c r="J528" s="93"/>
      <c r="K528" s="93"/>
      <c r="L528" s="93"/>
    </row>
    <row r="529" spans="4:12" x14ac:dyDescent="0.25">
      <c r="D529" s="93"/>
      <c r="E529" s="93"/>
      <c r="F529" s="93"/>
      <c r="G529" s="93"/>
      <c r="H529" s="93"/>
      <c r="I529" s="93"/>
      <c r="J529" s="93"/>
      <c r="K529" s="93"/>
      <c r="L529" s="93"/>
    </row>
    <row r="530" spans="4:12" x14ac:dyDescent="0.25">
      <c r="D530" s="93"/>
      <c r="E530" s="93"/>
      <c r="F530" s="93"/>
      <c r="G530" s="93"/>
      <c r="H530" s="93"/>
      <c r="I530" s="93"/>
      <c r="J530" s="93"/>
      <c r="K530" s="93"/>
      <c r="L530" s="93"/>
    </row>
    <row r="531" spans="4:12" x14ac:dyDescent="0.25">
      <c r="D531" s="93"/>
      <c r="E531" s="93"/>
      <c r="F531" s="93"/>
      <c r="G531" s="93"/>
      <c r="H531" s="93"/>
      <c r="I531" s="93"/>
      <c r="J531" s="93"/>
      <c r="K531" s="93"/>
      <c r="L531" s="93"/>
    </row>
    <row r="532" spans="4:12" x14ac:dyDescent="0.25">
      <c r="D532" s="93"/>
      <c r="E532" s="93"/>
      <c r="F532" s="93"/>
      <c r="G532" s="93"/>
      <c r="H532" s="93"/>
      <c r="I532" s="93"/>
      <c r="J532" s="93"/>
      <c r="K532" s="93"/>
      <c r="L532" s="93"/>
    </row>
    <row r="533" spans="4:12" x14ac:dyDescent="0.25">
      <c r="D533" s="93"/>
      <c r="E533" s="93"/>
      <c r="F533" s="93"/>
      <c r="G533" s="93"/>
      <c r="H533" s="93"/>
      <c r="I533" s="93"/>
      <c r="J533" s="93"/>
      <c r="K533" s="93"/>
      <c r="L533" s="93"/>
    </row>
    <row r="534" spans="4:12" x14ac:dyDescent="0.25">
      <c r="D534" s="93"/>
      <c r="E534" s="93"/>
      <c r="F534" s="93"/>
      <c r="G534" s="93"/>
      <c r="H534" s="93"/>
      <c r="I534" s="93"/>
      <c r="J534" s="93"/>
      <c r="K534" s="93"/>
      <c r="L534" s="93"/>
    </row>
    <row r="535" spans="4:12" x14ac:dyDescent="0.25">
      <c r="D535" s="93"/>
      <c r="E535" s="93"/>
      <c r="F535" s="93"/>
      <c r="G535" s="93"/>
      <c r="H535" s="93"/>
      <c r="I535" s="93"/>
      <c r="J535" s="93"/>
      <c r="K535" s="93"/>
      <c r="L535" s="93"/>
    </row>
    <row r="536" spans="4:12" x14ac:dyDescent="0.25">
      <c r="D536" s="93"/>
      <c r="E536" s="93"/>
      <c r="F536" s="93"/>
      <c r="G536" s="93"/>
      <c r="H536" s="93"/>
      <c r="I536" s="93"/>
      <c r="J536" s="93"/>
      <c r="K536" s="93"/>
      <c r="L536" s="93"/>
    </row>
    <row r="537" spans="4:12" x14ac:dyDescent="0.25">
      <c r="D537" s="93"/>
      <c r="E537" s="93"/>
      <c r="F537" s="93"/>
      <c r="G537" s="93"/>
      <c r="H537" s="93"/>
      <c r="I537" s="93"/>
      <c r="J537" s="93"/>
      <c r="K537" s="93"/>
      <c r="L537" s="93"/>
    </row>
    <row r="538" spans="4:12" x14ac:dyDescent="0.25">
      <c r="D538" s="93"/>
      <c r="E538" s="93"/>
      <c r="F538" s="93"/>
      <c r="G538" s="93"/>
      <c r="H538" s="93"/>
      <c r="I538" s="93"/>
      <c r="J538" s="93"/>
      <c r="K538" s="93"/>
      <c r="L538" s="93"/>
    </row>
    <row r="539" spans="4:12" x14ac:dyDescent="0.25">
      <c r="D539" s="93"/>
      <c r="E539" s="93"/>
      <c r="F539" s="93"/>
      <c r="G539" s="93"/>
      <c r="H539" s="93"/>
      <c r="I539" s="93"/>
      <c r="J539" s="93"/>
      <c r="K539" s="93"/>
      <c r="L539" s="93"/>
    </row>
    <row r="540" spans="4:12" x14ac:dyDescent="0.25">
      <c r="D540" s="93"/>
      <c r="E540" s="93"/>
      <c r="F540" s="93"/>
      <c r="G540" s="93"/>
      <c r="H540" s="93"/>
      <c r="I540" s="93"/>
      <c r="J540" s="93"/>
      <c r="K540" s="93"/>
      <c r="L540" s="93"/>
    </row>
    <row r="541" spans="4:12" x14ac:dyDescent="0.25">
      <c r="D541" s="93"/>
      <c r="E541" s="93"/>
      <c r="F541" s="93"/>
      <c r="G541" s="93"/>
      <c r="H541" s="93"/>
      <c r="I541" s="93"/>
      <c r="J541" s="93"/>
      <c r="K541" s="93"/>
      <c r="L541" s="93"/>
    </row>
    <row r="542" spans="4:12" x14ac:dyDescent="0.25">
      <c r="D542" s="93"/>
      <c r="E542" s="93"/>
      <c r="F542" s="93"/>
      <c r="G542" s="93"/>
      <c r="H542" s="93"/>
      <c r="I542" s="93"/>
      <c r="J542" s="93"/>
      <c r="K542" s="93"/>
      <c r="L542" s="93"/>
    </row>
    <row r="543" spans="4:12" x14ac:dyDescent="0.25">
      <c r="D543" s="93"/>
      <c r="E543" s="93"/>
      <c r="F543" s="93"/>
      <c r="G543" s="93"/>
      <c r="H543" s="93"/>
      <c r="I543" s="93"/>
      <c r="J543" s="93"/>
      <c r="K543" s="93"/>
      <c r="L543" s="93"/>
    </row>
    <row r="544" spans="4:12" x14ac:dyDescent="0.25">
      <c r="D544" s="93"/>
      <c r="E544" s="93"/>
      <c r="F544" s="93"/>
      <c r="G544" s="93"/>
      <c r="H544" s="93"/>
      <c r="I544" s="93"/>
      <c r="J544" s="93"/>
      <c r="K544" s="93"/>
      <c r="L544" s="93"/>
    </row>
    <row r="545" spans="4:12" x14ac:dyDescent="0.25">
      <c r="D545" s="93"/>
      <c r="E545" s="93"/>
      <c r="F545" s="93"/>
      <c r="G545" s="93"/>
      <c r="H545" s="93"/>
      <c r="I545" s="93"/>
      <c r="J545" s="93"/>
      <c r="K545" s="93"/>
      <c r="L545" s="93"/>
    </row>
    <row r="546" spans="4:12" x14ac:dyDescent="0.25">
      <c r="D546" s="93"/>
      <c r="E546" s="93"/>
      <c r="F546" s="93"/>
      <c r="G546" s="93"/>
      <c r="H546" s="93"/>
      <c r="I546" s="93"/>
      <c r="J546" s="93"/>
      <c r="K546" s="93"/>
      <c r="L546" s="93"/>
    </row>
    <row r="547" spans="4:12" x14ac:dyDescent="0.25">
      <c r="D547" s="93"/>
      <c r="E547" s="93"/>
      <c r="F547" s="93"/>
      <c r="G547" s="93"/>
      <c r="H547" s="93"/>
      <c r="I547" s="93"/>
      <c r="J547" s="93"/>
      <c r="K547" s="93"/>
      <c r="L547" s="93"/>
    </row>
    <row r="548" spans="4:12" x14ac:dyDescent="0.25">
      <c r="D548" s="93"/>
      <c r="E548" s="93"/>
      <c r="F548" s="93"/>
      <c r="G548" s="93"/>
      <c r="H548" s="93"/>
      <c r="I548" s="93"/>
      <c r="J548" s="93"/>
      <c r="K548" s="93"/>
      <c r="L548" s="93"/>
    </row>
    <row r="549" spans="4:12" x14ac:dyDescent="0.25">
      <c r="D549" s="93"/>
      <c r="E549" s="93"/>
      <c r="F549" s="93"/>
      <c r="G549" s="93"/>
      <c r="H549" s="93"/>
      <c r="I549" s="93"/>
      <c r="J549" s="93"/>
      <c r="K549" s="93"/>
      <c r="L549" s="93"/>
    </row>
    <row r="550" spans="4:12" x14ac:dyDescent="0.25">
      <c r="D550" s="93"/>
      <c r="E550" s="93"/>
      <c r="F550" s="93"/>
      <c r="G550" s="93"/>
      <c r="H550" s="93"/>
      <c r="I550" s="93"/>
      <c r="J550" s="93"/>
      <c r="K550" s="93"/>
      <c r="L550" s="93"/>
    </row>
    <row r="551" spans="4:12" x14ac:dyDescent="0.25">
      <c r="D551" s="93"/>
      <c r="E551" s="93"/>
      <c r="F551" s="93"/>
      <c r="G551" s="93"/>
      <c r="H551" s="93"/>
      <c r="I551" s="93"/>
      <c r="J551" s="93"/>
      <c r="K551" s="93"/>
      <c r="L551" s="93"/>
    </row>
    <row r="552" spans="4:12" x14ac:dyDescent="0.25">
      <c r="D552" s="93"/>
      <c r="E552" s="93"/>
      <c r="F552" s="93"/>
      <c r="G552" s="93"/>
      <c r="H552" s="93"/>
      <c r="I552" s="93"/>
      <c r="J552" s="93"/>
      <c r="K552" s="93"/>
      <c r="L552" s="93"/>
    </row>
    <row r="553" spans="4:12" x14ac:dyDescent="0.25">
      <c r="D553" s="93"/>
      <c r="E553" s="93"/>
      <c r="F553" s="93"/>
      <c r="G553" s="93"/>
      <c r="H553" s="93"/>
      <c r="I553" s="93"/>
      <c r="J553" s="93"/>
      <c r="K553" s="93"/>
      <c r="L553" s="93"/>
    </row>
    <row r="554" spans="4:12" x14ac:dyDescent="0.25">
      <c r="D554" s="93"/>
      <c r="E554" s="93"/>
      <c r="F554" s="93"/>
      <c r="G554" s="93"/>
      <c r="H554" s="93"/>
      <c r="I554" s="93"/>
      <c r="J554" s="93"/>
      <c r="K554" s="93"/>
      <c r="L554" s="93"/>
    </row>
    <row r="555" spans="4:12" x14ac:dyDescent="0.25">
      <c r="D555" s="93"/>
      <c r="E555" s="93"/>
      <c r="F555" s="93"/>
      <c r="G555" s="93"/>
      <c r="H555" s="93"/>
      <c r="I555" s="93"/>
      <c r="J555" s="93"/>
      <c r="K555" s="93"/>
      <c r="L555" s="93"/>
    </row>
    <row r="556" spans="4:12" x14ac:dyDescent="0.25">
      <c r="D556" s="93"/>
      <c r="E556" s="93"/>
      <c r="F556" s="93"/>
      <c r="G556" s="93"/>
      <c r="H556" s="93"/>
      <c r="I556" s="93"/>
      <c r="J556" s="93"/>
      <c r="K556" s="93"/>
      <c r="L556" s="93"/>
    </row>
    <row r="557" spans="4:12" x14ac:dyDescent="0.25">
      <c r="D557" s="93"/>
      <c r="E557" s="93"/>
      <c r="F557" s="93"/>
      <c r="G557" s="93"/>
      <c r="H557" s="93"/>
      <c r="I557" s="93"/>
      <c r="J557" s="93"/>
      <c r="K557" s="93"/>
      <c r="L557" s="93"/>
    </row>
    <row r="558" spans="4:12" x14ac:dyDescent="0.25">
      <c r="D558" s="93"/>
      <c r="E558" s="93"/>
      <c r="F558" s="93"/>
      <c r="G558" s="93"/>
      <c r="H558" s="93"/>
      <c r="I558" s="93"/>
      <c r="J558" s="93"/>
      <c r="K558" s="93"/>
      <c r="L558" s="93"/>
    </row>
    <row r="559" spans="4:12" x14ac:dyDescent="0.25">
      <c r="D559" s="93"/>
      <c r="E559" s="93"/>
      <c r="F559" s="93"/>
      <c r="G559" s="93"/>
      <c r="H559" s="93"/>
      <c r="I559" s="93"/>
      <c r="J559" s="93"/>
      <c r="K559" s="93"/>
      <c r="L559" s="93"/>
    </row>
    <row r="560" spans="4:12" x14ac:dyDescent="0.25">
      <c r="D560" s="93"/>
      <c r="E560" s="93"/>
      <c r="F560" s="93"/>
      <c r="G560" s="93"/>
      <c r="H560" s="93"/>
      <c r="I560" s="93"/>
      <c r="J560" s="93"/>
      <c r="K560" s="93"/>
      <c r="L560" s="93"/>
    </row>
    <row r="561" spans="4:12" x14ac:dyDescent="0.25">
      <c r="D561" s="93"/>
      <c r="E561" s="93"/>
      <c r="F561" s="93"/>
      <c r="G561" s="93"/>
      <c r="H561" s="93"/>
      <c r="I561" s="93"/>
      <c r="J561" s="93"/>
      <c r="K561" s="93"/>
      <c r="L561" s="93"/>
    </row>
    <row r="562" spans="4:12" x14ac:dyDescent="0.25">
      <c r="D562" s="93"/>
      <c r="E562" s="93"/>
      <c r="F562" s="93"/>
      <c r="G562" s="93"/>
      <c r="H562" s="93"/>
      <c r="I562" s="93"/>
      <c r="J562" s="93"/>
      <c r="K562" s="93"/>
      <c r="L562" s="93"/>
    </row>
    <row r="563" spans="4:12" x14ac:dyDescent="0.25">
      <c r="D563" s="93"/>
      <c r="E563" s="93"/>
      <c r="F563" s="93"/>
      <c r="G563" s="93"/>
      <c r="H563" s="93"/>
      <c r="I563" s="93"/>
      <c r="J563" s="93"/>
      <c r="K563" s="93"/>
      <c r="L563" s="93"/>
    </row>
    <row r="564" spans="4:12" x14ac:dyDescent="0.25">
      <c r="D564" s="93"/>
      <c r="E564" s="93"/>
      <c r="F564" s="93"/>
      <c r="G564" s="93"/>
      <c r="H564" s="93"/>
      <c r="I564" s="93"/>
      <c r="J564" s="93"/>
      <c r="K564" s="93"/>
      <c r="L564" s="93"/>
    </row>
    <row r="565" spans="4:12" x14ac:dyDescent="0.25">
      <c r="D565" s="93"/>
      <c r="E565" s="93"/>
      <c r="F565" s="93"/>
      <c r="G565" s="93"/>
      <c r="H565" s="93"/>
      <c r="I565" s="93"/>
      <c r="J565" s="93"/>
      <c r="K565" s="93"/>
      <c r="L565" s="93"/>
    </row>
    <row r="566" spans="4:12" x14ac:dyDescent="0.25">
      <c r="D566" s="93"/>
      <c r="E566" s="93"/>
      <c r="F566" s="93"/>
      <c r="G566" s="93"/>
      <c r="H566" s="93"/>
      <c r="I566" s="93"/>
      <c r="J566" s="93"/>
      <c r="K566" s="93"/>
      <c r="L566" s="93"/>
    </row>
    <row r="567" spans="4:12" x14ac:dyDescent="0.25">
      <c r="D567" s="93"/>
      <c r="E567" s="93"/>
      <c r="F567" s="93"/>
      <c r="G567" s="93"/>
      <c r="H567" s="93"/>
      <c r="I567" s="93"/>
      <c r="J567" s="93"/>
      <c r="K567" s="93"/>
      <c r="L567" s="93"/>
    </row>
    <row r="568" spans="4:12" x14ac:dyDescent="0.25">
      <c r="D568" s="93"/>
      <c r="E568" s="93"/>
      <c r="F568" s="93"/>
      <c r="G568" s="93"/>
      <c r="H568" s="93"/>
      <c r="I568" s="93"/>
      <c r="J568" s="93"/>
      <c r="K568" s="93"/>
      <c r="L568" s="93"/>
    </row>
    <row r="569" spans="4:12" x14ac:dyDescent="0.25">
      <c r="D569" s="93"/>
      <c r="E569" s="93"/>
      <c r="F569" s="93"/>
      <c r="G569" s="93"/>
      <c r="H569" s="93"/>
      <c r="I569" s="93"/>
      <c r="J569" s="93"/>
      <c r="K569" s="93"/>
      <c r="L569" s="93"/>
    </row>
    <row r="570" spans="4:12" x14ac:dyDescent="0.25">
      <c r="D570" s="93"/>
      <c r="E570" s="93"/>
      <c r="F570" s="93"/>
      <c r="G570" s="93"/>
      <c r="H570" s="93"/>
      <c r="I570" s="93"/>
      <c r="J570" s="93"/>
      <c r="K570" s="93"/>
      <c r="L570" s="93"/>
    </row>
    <row r="571" spans="4:12" x14ac:dyDescent="0.25">
      <c r="D571" s="93"/>
      <c r="E571" s="93"/>
      <c r="F571" s="93"/>
      <c r="G571" s="93"/>
      <c r="H571" s="93"/>
      <c r="I571" s="93"/>
      <c r="J571" s="93"/>
      <c r="K571" s="93"/>
      <c r="L571" s="93"/>
    </row>
    <row r="572" spans="4:12" x14ac:dyDescent="0.25">
      <c r="D572" s="93"/>
      <c r="E572" s="93"/>
      <c r="F572" s="93"/>
      <c r="G572" s="93"/>
      <c r="H572" s="93"/>
      <c r="I572" s="93"/>
      <c r="J572" s="93"/>
      <c r="K572" s="93"/>
      <c r="L572" s="93"/>
    </row>
    <row r="573" spans="4:12" x14ac:dyDescent="0.25">
      <c r="D573" s="93"/>
      <c r="E573" s="93"/>
      <c r="F573" s="93"/>
      <c r="G573" s="93"/>
      <c r="H573" s="93"/>
      <c r="I573" s="93"/>
      <c r="J573" s="93"/>
      <c r="K573" s="93"/>
      <c r="L573" s="93"/>
    </row>
    <row r="574" spans="4:12" x14ac:dyDescent="0.25">
      <c r="D574" s="93"/>
      <c r="E574" s="93"/>
      <c r="F574" s="93"/>
      <c r="G574" s="93"/>
      <c r="H574" s="93"/>
      <c r="I574" s="93"/>
      <c r="J574" s="93"/>
      <c r="K574" s="93"/>
      <c r="L574" s="93"/>
    </row>
    <row r="575" spans="4:12" x14ac:dyDescent="0.25">
      <c r="D575" s="93"/>
      <c r="E575" s="93"/>
      <c r="F575" s="93"/>
      <c r="G575" s="93"/>
      <c r="H575" s="93"/>
      <c r="I575" s="93"/>
      <c r="J575" s="93"/>
      <c r="K575" s="93"/>
      <c r="L575" s="93"/>
    </row>
    <row r="576" spans="4:12" x14ac:dyDescent="0.25">
      <c r="D576" s="93"/>
      <c r="E576" s="93"/>
      <c r="F576" s="93"/>
      <c r="G576" s="93"/>
      <c r="H576" s="93"/>
      <c r="I576" s="93"/>
      <c r="J576" s="93"/>
      <c r="K576" s="93"/>
      <c r="L576" s="93"/>
    </row>
    <row r="577" spans="4:12" x14ac:dyDescent="0.25">
      <c r="D577" s="93"/>
      <c r="E577" s="93"/>
      <c r="F577" s="93"/>
      <c r="G577" s="93"/>
      <c r="H577" s="93"/>
      <c r="I577" s="93"/>
      <c r="J577" s="93"/>
      <c r="K577" s="93"/>
      <c r="L577" s="93"/>
    </row>
    <row r="578" spans="4:12" x14ac:dyDescent="0.25">
      <c r="D578" s="93"/>
      <c r="E578" s="93"/>
      <c r="F578" s="93"/>
      <c r="G578" s="93"/>
      <c r="H578" s="93"/>
      <c r="I578" s="93"/>
      <c r="J578" s="93"/>
      <c r="K578" s="93"/>
      <c r="L578" s="93"/>
    </row>
    <row r="579" spans="4:12" x14ac:dyDescent="0.25">
      <c r="D579" s="93"/>
      <c r="E579" s="93"/>
      <c r="F579" s="93"/>
      <c r="G579" s="93"/>
      <c r="H579" s="93"/>
      <c r="I579" s="93"/>
      <c r="J579" s="93"/>
      <c r="K579" s="93"/>
      <c r="L579" s="93"/>
    </row>
    <row r="580" spans="4:12" x14ac:dyDescent="0.25">
      <c r="D580" s="93"/>
      <c r="E580" s="93"/>
      <c r="F580" s="93"/>
      <c r="G580" s="93"/>
      <c r="H580" s="93"/>
      <c r="I580" s="93"/>
      <c r="J580" s="93"/>
      <c r="K580" s="93"/>
      <c r="L580" s="93"/>
    </row>
    <row r="581" spans="4:12" x14ac:dyDescent="0.25">
      <c r="D581" s="93"/>
      <c r="E581" s="93"/>
      <c r="F581" s="93"/>
      <c r="G581" s="93"/>
      <c r="H581" s="93"/>
      <c r="I581" s="93"/>
      <c r="J581" s="93"/>
      <c r="K581" s="93"/>
      <c r="L581" s="93"/>
    </row>
    <row r="582" spans="4:12" x14ac:dyDescent="0.25">
      <c r="D582" s="93"/>
      <c r="E582" s="93"/>
      <c r="F582" s="93"/>
      <c r="G582" s="93"/>
      <c r="H582" s="93"/>
      <c r="I582" s="93"/>
      <c r="J582" s="93"/>
      <c r="K582" s="93"/>
      <c r="L582" s="93"/>
    </row>
    <row r="583" spans="4:12" x14ac:dyDescent="0.25">
      <c r="D583" s="93"/>
      <c r="E583" s="93"/>
      <c r="F583" s="93"/>
      <c r="G583" s="93"/>
      <c r="H583" s="93"/>
      <c r="I583" s="93"/>
      <c r="J583" s="93"/>
      <c r="K583" s="93"/>
      <c r="L583" s="93"/>
    </row>
    <row r="584" spans="4:12" x14ac:dyDescent="0.25">
      <c r="D584" s="93"/>
      <c r="E584" s="93"/>
      <c r="F584" s="93"/>
      <c r="G584" s="93"/>
      <c r="H584" s="93"/>
      <c r="I584" s="93"/>
      <c r="J584" s="93"/>
      <c r="K584" s="93"/>
      <c r="L584" s="93"/>
    </row>
    <row r="585" spans="4:12" x14ac:dyDescent="0.25">
      <c r="D585" s="93"/>
      <c r="E585" s="93"/>
      <c r="F585" s="93"/>
      <c r="G585" s="93"/>
      <c r="H585" s="93"/>
      <c r="I585" s="93"/>
      <c r="J585" s="93"/>
      <c r="K585" s="93"/>
      <c r="L585" s="93"/>
    </row>
    <row r="586" spans="4:12" x14ac:dyDescent="0.25">
      <c r="D586" s="93"/>
      <c r="E586" s="93"/>
      <c r="F586" s="93"/>
      <c r="G586" s="93"/>
      <c r="H586" s="93"/>
      <c r="I586" s="93"/>
      <c r="J586" s="93"/>
      <c r="K586" s="93"/>
      <c r="L586" s="93"/>
    </row>
    <row r="587" spans="4:12" x14ac:dyDescent="0.25">
      <c r="D587" s="93"/>
      <c r="E587" s="93"/>
      <c r="F587" s="93"/>
      <c r="G587" s="93"/>
      <c r="H587" s="93"/>
      <c r="I587" s="93"/>
      <c r="J587" s="93"/>
      <c r="K587" s="93"/>
      <c r="L587" s="93"/>
    </row>
    <row r="588" spans="4:12" x14ac:dyDescent="0.25">
      <c r="D588" s="93"/>
      <c r="E588" s="93"/>
      <c r="F588" s="93"/>
      <c r="G588" s="93"/>
      <c r="H588" s="93"/>
      <c r="I588" s="93"/>
      <c r="J588" s="93"/>
      <c r="K588" s="93"/>
      <c r="L588" s="93"/>
    </row>
    <row r="589" spans="4:12" x14ac:dyDescent="0.25">
      <c r="D589" s="93"/>
      <c r="E589" s="93"/>
      <c r="F589" s="93"/>
      <c r="G589" s="93"/>
      <c r="H589" s="93"/>
      <c r="I589" s="93"/>
      <c r="J589" s="93"/>
      <c r="K589" s="93"/>
      <c r="L589" s="93"/>
    </row>
    <row r="590" spans="4:12" x14ac:dyDescent="0.25">
      <c r="D590" s="93"/>
      <c r="E590" s="93"/>
      <c r="F590" s="93"/>
      <c r="G590" s="93"/>
      <c r="H590" s="93"/>
      <c r="I590" s="93"/>
      <c r="J590" s="93"/>
      <c r="K590" s="93"/>
      <c r="L590" s="93"/>
    </row>
    <row r="591" spans="4:12" x14ac:dyDescent="0.25">
      <c r="D591" s="93"/>
      <c r="E591" s="93"/>
      <c r="F591" s="93"/>
      <c r="G591" s="93"/>
      <c r="H591" s="93"/>
      <c r="I591" s="93"/>
      <c r="J591" s="93"/>
      <c r="K591" s="93"/>
      <c r="L591" s="93"/>
    </row>
    <row r="592" spans="4:12" x14ac:dyDescent="0.25">
      <c r="D592" s="93"/>
      <c r="E592" s="93"/>
      <c r="F592" s="93"/>
      <c r="G592" s="93"/>
      <c r="H592" s="93"/>
      <c r="I592" s="93"/>
      <c r="J592" s="93"/>
      <c r="K592" s="93"/>
      <c r="L592" s="93"/>
    </row>
    <row r="593" spans="4:12" x14ac:dyDescent="0.25">
      <c r="D593" s="93"/>
      <c r="E593" s="93"/>
      <c r="F593" s="93"/>
      <c r="G593" s="93"/>
      <c r="H593" s="93"/>
      <c r="I593" s="93"/>
      <c r="J593" s="93"/>
      <c r="K593" s="93"/>
      <c r="L593" s="93"/>
    </row>
    <row r="594" spans="4:12" x14ac:dyDescent="0.25">
      <c r="D594" s="93"/>
      <c r="E594" s="93"/>
      <c r="F594" s="93"/>
      <c r="G594" s="93"/>
      <c r="H594" s="93"/>
      <c r="I594" s="93"/>
      <c r="J594" s="93"/>
      <c r="K594" s="93"/>
      <c r="L594" s="93"/>
    </row>
    <row r="595" spans="4:12" x14ac:dyDescent="0.25">
      <c r="D595" s="93"/>
      <c r="E595" s="93"/>
      <c r="F595" s="93"/>
      <c r="G595" s="93"/>
      <c r="H595" s="93"/>
      <c r="I595" s="93"/>
      <c r="J595" s="93"/>
      <c r="K595" s="93"/>
      <c r="L595" s="93"/>
    </row>
    <row r="596" spans="4:12" x14ac:dyDescent="0.25">
      <c r="D596" s="93"/>
      <c r="E596" s="93"/>
      <c r="F596" s="93"/>
      <c r="G596" s="93"/>
      <c r="H596" s="93"/>
      <c r="I596" s="93"/>
      <c r="J596" s="93"/>
      <c r="K596" s="93"/>
      <c r="L596" s="93"/>
    </row>
    <row r="597" spans="4:12" x14ac:dyDescent="0.25">
      <c r="D597" s="93"/>
      <c r="E597" s="93"/>
      <c r="F597" s="93"/>
      <c r="G597" s="93"/>
      <c r="H597" s="93"/>
      <c r="I597" s="93"/>
      <c r="J597" s="93"/>
      <c r="K597" s="93"/>
      <c r="L597" s="93"/>
    </row>
    <row r="598" spans="4:12" x14ac:dyDescent="0.25">
      <c r="D598" s="93"/>
      <c r="E598" s="93"/>
      <c r="F598" s="93"/>
      <c r="G598" s="93"/>
      <c r="H598" s="93"/>
      <c r="I598" s="93"/>
      <c r="J598" s="93"/>
      <c r="K598" s="93"/>
      <c r="L598" s="93"/>
    </row>
    <row r="599" spans="4:12" x14ac:dyDescent="0.25">
      <c r="D599" s="93"/>
      <c r="E599" s="93"/>
      <c r="F599" s="93"/>
      <c r="G599" s="93"/>
      <c r="H599" s="93"/>
      <c r="I599" s="93"/>
      <c r="J599" s="93"/>
      <c r="K599" s="93"/>
      <c r="L599" s="93"/>
    </row>
    <row r="600" spans="4:12" x14ac:dyDescent="0.25">
      <c r="D600" s="93"/>
      <c r="E600" s="93"/>
      <c r="F600" s="93"/>
      <c r="G600" s="93"/>
      <c r="H600" s="93"/>
      <c r="I600" s="93"/>
      <c r="J600" s="93"/>
      <c r="K600" s="93"/>
      <c r="L600" s="93"/>
    </row>
    <row r="601" spans="4:12" x14ac:dyDescent="0.25">
      <c r="D601" s="93"/>
      <c r="E601" s="93"/>
      <c r="F601" s="93"/>
      <c r="G601" s="93"/>
      <c r="H601" s="93"/>
      <c r="I601" s="93"/>
      <c r="J601" s="93"/>
      <c r="K601" s="93"/>
      <c r="L601" s="93"/>
    </row>
    <row r="602" spans="4:12" x14ac:dyDescent="0.25">
      <c r="D602" s="93"/>
      <c r="E602" s="93"/>
      <c r="F602" s="93"/>
      <c r="G602" s="93"/>
      <c r="H602" s="93"/>
      <c r="I602" s="93"/>
      <c r="J602" s="93"/>
      <c r="K602" s="93"/>
      <c r="L602" s="93"/>
    </row>
    <row r="603" spans="4:12" x14ac:dyDescent="0.25">
      <c r="D603" s="93"/>
      <c r="E603" s="93"/>
      <c r="F603" s="93"/>
      <c r="G603" s="93"/>
      <c r="H603" s="93"/>
      <c r="I603" s="93"/>
      <c r="J603" s="93"/>
      <c r="K603" s="93"/>
      <c r="L603" s="93"/>
    </row>
    <row r="604" spans="4:12" x14ac:dyDescent="0.25">
      <c r="D604" s="93"/>
      <c r="E604" s="93"/>
      <c r="F604" s="93"/>
      <c r="G604" s="93"/>
      <c r="H604" s="93"/>
      <c r="I604" s="93"/>
      <c r="J604" s="93"/>
      <c r="K604" s="93"/>
      <c r="L604" s="93"/>
    </row>
    <row r="605" spans="4:12" x14ac:dyDescent="0.25">
      <c r="D605" s="93"/>
      <c r="E605" s="93"/>
      <c r="F605" s="93"/>
      <c r="G605" s="93"/>
      <c r="H605" s="93"/>
      <c r="I605" s="93"/>
      <c r="J605" s="93"/>
      <c r="K605" s="93"/>
      <c r="L605" s="93"/>
    </row>
    <row r="606" spans="4:12" x14ac:dyDescent="0.25">
      <c r="D606" s="93"/>
      <c r="E606" s="93"/>
      <c r="F606" s="93"/>
      <c r="G606" s="93"/>
      <c r="H606" s="93"/>
      <c r="I606" s="93"/>
      <c r="J606" s="93"/>
      <c r="K606" s="93"/>
      <c r="L606" s="93"/>
    </row>
    <row r="607" spans="4:12" x14ac:dyDescent="0.25">
      <c r="D607" s="93"/>
      <c r="E607" s="93"/>
      <c r="F607" s="93"/>
      <c r="G607" s="93"/>
      <c r="H607" s="93"/>
      <c r="I607" s="93"/>
      <c r="J607" s="93"/>
      <c r="K607" s="93"/>
      <c r="L607" s="93"/>
    </row>
    <row r="608" spans="4:12" x14ac:dyDescent="0.25">
      <c r="D608" s="93"/>
      <c r="E608" s="93"/>
      <c r="F608" s="93"/>
      <c r="G608" s="93"/>
      <c r="H608" s="93"/>
      <c r="I608" s="93"/>
      <c r="J608" s="93"/>
      <c r="K608" s="93"/>
      <c r="L608" s="93"/>
    </row>
    <row r="609" spans="4:12" x14ac:dyDescent="0.25">
      <c r="D609" s="93"/>
      <c r="E609" s="93"/>
      <c r="F609" s="93"/>
      <c r="G609" s="93"/>
      <c r="H609" s="93"/>
      <c r="I609" s="93"/>
      <c r="J609" s="93"/>
      <c r="K609" s="93"/>
      <c r="L609" s="93"/>
    </row>
    <row r="610" spans="4:12" x14ac:dyDescent="0.25">
      <c r="D610" s="93"/>
      <c r="E610" s="93"/>
      <c r="F610" s="93"/>
      <c r="G610" s="93"/>
      <c r="H610" s="93"/>
      <c r="I610" s="93"/>
      <c r="J610" s="93"/>
      <c r="K610" s="93"/>
      <c r="L610" s="93"/>
    </row>
    <row r="611" spans="4:12" x14ac:dyDescent="0.25">
      <c r="D611" s="93"/>
      <c r="E611" s="93"/>
      <c r="F611" s="93"/>
      <c r="G611" s="93"/>
      <c r="H611" s="93"/>
      <c r="I611" s="93"/>
      <c r="J611" s="93"/>
      <c r="K611" s="93"/>
      <c r="L611" s="93"/>
    </row>
    <row r="612" spans="4:12" x14ac:dyDescent="0.25">
      <c r="D612" s="93"/>
      <c r="E612" s="93"/>
      <c r="F612" s="93"/>
      <c r="G612" s="93"/>
      <c r="H612" s="93"/>
      <c r="I612" s="93"/>
      <c r="J612" s="93"/>
      <c r="K612" s="93"/>
      <c r="L612" s="93"/>
    </row>
    <row r="613" spans="4:12" x14ac:dyDescent="0.25">
      <c r="D613" s="93"/>
      <c r="E613" s="93"/>
      <c r="F613" s="93"/>
      <c r="G613" s="93"/>
      <c r="H613" s="93"/>
      <c r="I613" s="93"/>
      <c r="J613" s="93"/>
      <c r="K613" s="93"/>
      <c r="L613" s="93"/>
    </row>
    <row r="614" spans="4:12" x14ac:dyDescent="0.25">
      <c r="D614" s="93"/>
      <c r="E614" s="93"/>
      <c r="F614" s="93"/>
      <c r="G614" s="93"/>
      <c r="H614" s="93"/>
      <c r="I614" s="93"/>
      <c r="J614" s="93"/>
      <c r="K614" s="93"/>
      <c r="L614" s="93"/>
    </row>
    <row r="615" spans="4:12" x14ac:dyDescent="0.25">
      <c r="D615" s="93"/>
      <c r="E615" s="93"/>
      <c r="F615" s="93"/>
      <c r="G615" s="93"/>
      <c r="H615" s="93"/>
      <c r="I615" s="93"/>
      <c r="J615" s="93"/>
      <c r="K615" s="93"/>
      <c r="L615" s="93"/>
    </row>
    <row r="616" spans="4:12" x14ac:dyDescent="0.25">
      <c r="D616" s="93"/>
      <c r="E616" s="93"/>
      <c r="F616" s="93"/>
      <c r="G616" s="93"/>
      <c r="H616" s="93"/>
      <c r="I616" s="93"/>
      <c r="J616" s="93"/>
      <c r="K616" s="93"/>
      <c r="L616" s="93"/>
    </row>
    <row r="617" spans="4:12" x14ac:dyDescent="0.25">
      <c r="D617" s="93"/>
      <c r="E617" s="93"/>
      <c r="F617" s="93"/>
      <c r="G617" s="93"/>
      <c r="H617" s="93"/>
      <c r="I617" s="93"/>
      <c r="J617" s="93"/>
      <c r="K617" s="93"/>
      <c r="L617" s="93"/>
    </row>
    <row r="618" spans="4:12" x14ac:dyDescent="0.25">
      <c r="D618" s="93"/>
      <c r="E618" s="93"/>
      <c r="F618" s="93"/>
      <c r="G618" s="93"/>
      <c r="H618" s="93"/>
      <c r="I618" s="93"/>
      <c r="J618" s="93"/>
      <c r="K618" s="93"/>
      <c r="L618" s="93"/>
    </row>
    <row r="619" spans="4:12" x14ac:dyDescent="0.25">
      <c r="D619" s="93"/>
      <c r="E619" s="93"/>
      <c r="F619" s="93"/>
      <c r="G619" s="93"/>
      <c r="H619" s="93"/>
      <c r="I619" s="93"/>
      <c r="J619" s="93"/>
      <c r="K619" s="93"/>
      <c r="L619" s="93"/>
    </row>
    <row r="620" spans="4:12" x14ac:dyDescent="0.25">
      <c r="D620" s="93"/>
      <c r="E620" s="93"/>
      <c r="F620" s="93"/>
      <c r="G620" s="93"/>
      <c r="H620" s="93"/>
      <c r="I620" s="93"/>
      <c r="J620" s="93"/>
      <c r="K620" s="93"/>
      <c r="L620" s="93"/>
    </row>
    <row r="621" spans="4:12" x14ac:dyDescent="0.25">
      <c r="D621" s="93"/>
      <c r="E621" s="93"/>
      <c r="F621" s="93"/>
      <c r="G621" s="93"/>
      <c r="H621" s="93"/>
      <c r="I621" s="93"/>
      <c r="J621" s="93"/>
      <c r="K621" s="93"/>
      <c r="L621" s="93"/>
    </row>
    <row r="622" spans="4:12" x14ac:dyDescent="0.25">
      <c r="D622" s="93"/>
      <c r="E622" s="93"/>
      <c r="F622" s="93"/>
      <c r="G622" s="93"/>
      <c r="H622" s="93"/>
      <c r="I622" s="93"/>
      <c r="J622" s="93"/>
      <c r="K622" s="93"/>
      <c r="L622" s="93"/>
    </row>
    <row r="623" spans="4:12" x14ac:dyDescent="0.25">
      <c r="D623" s="93"/>
      <c r="E623" s="93"/>
      <c r="F623" s="93"/>
      <c r="G623" s="93"/>
      <c r="H623" s="93"/>
      <c r="I623" s="93"/>
      <c r="J623" s="93"/>
      <c r="K623" s="93"/>
      <c r="L623" s="93"/>
    </row>
    <row r="624" spans="4:12" x14ac:dyDescent="0.25">
      <c r="D624" s="93"/>
      <c r="E624" s="93"/>
      <c r="F624" s="93"/>
      <c r="G624" s="93"/>
      <c r="H624" s="93"/>
      <c r="I624" s="93"/>
      <c r="J624" s="93"/>
      <c r="K624" s="93"/>
      <c r="L624" s="93"/>
    </row>
    <row r="625" spans="4:12" x14ac:dyDescent="0.25">
      <c r="D625" s="93"/>
      <c r="E625" s="93"/>
      <c r="F625" s="93"/>
      <c r="G625" s="93"/>
      <c r="H625" s="93"/>
      <c r="I625" s="93"/>
      <c r="J625" s="93"/>
      <c r="K625" s="93"/>
      <c r="L625" s="93"/>
    </row>
    <row r="626" spans="4:12" x14ac:dyDescent="0.25">
      <c r="D626" s="93"/>
      <c r="E626" s="93"/>
      <c r="F626" s="93"/>
      <c r="G626" s="93"/>
      <c r="H626" s="93"/>
      <c r="I626" s="93"/>
      <c r="J626" s="93"/>
      <c r="K626" s="93"/>
      <c r="L626" s="93"/>
    </row>
    <row r="627" spans="4:12" x14ac:dyDescent="0.25">
      <c r="D627" s="93"/>
      <c r="E627" s="93"/>
      <c r="F627" s="93"/>
      <c r="G627" s="93"/>
      <c r="H627" s="93"/>
      <c r="I627" s="93"/>
      <c r="J627" s="93"/>
      <c r="K627" s="93"/>
      <c r="L627" s="93"/>
    </row>
    <row r="628" spans="4:12" x14ac:dyDescent="0.25">
      <c r="D628" s="93"/>
      <c r="E628" s="93"/>
      <c r="F628" s="93"/>
      <c r="G628" s="93"/>
      <c r="H628" s="93"/>
      <c r="I628" s="93"/>
      <c r="J628" s="93"/>
      <c r="K628" s="93"/>
      <c r="L628" s="93"/>
    </row>
    <row r="629" spans="4:12" x14ac:dyDescent="0.25">
      <c r="D629" s="93"/>
      <c r="E629" s="93"/>
      <c r="F629" s="93"/>
      <c r="G629" s="93"/>
      <c r="H629" s="93"/>
      <c r="I629" s="93"/>
      <c r="J629" s="93"/>
      <c r="K629" s="93"/>
      <c r="L629" s="93"/>
    </row>
    <row r="630" spans="4:12" x14ac:dyDescent="0.25">
      <c r="D630" s="93"/>
      <c r="E630" s="93"/>
      <c r="F630" s="93"/>
      <c r="G630" s="93"/>
      <c r="H630" s="93"/>
      <c r="I630" s="93"/>
      <c r="J630" s="93"/>
      <c r="K630" s="93"/>
      <c r="L630" s="93"/>
    </row>
    <row r="631" spans="4:12" x14ac:dyDescent="0.25">
      <c r="D631" s="93"/>
      <c r="E631" s="93"/>
      <c r="F631" s="93"/>
      <c r="G631" s="93"/>
      <c r="H631" s="93"/>
      <c r="I631" s="93"/>
      <c r="J631" s="93"/>
      <c r="K631" s="93"/>
      <c r="L631" s="93"/>
    </row>
    <row r="632" spans="4:12" x14ac:dyDescent="0.25">
      <c r="D632" s="93"/>
      <c r="E632" s="93"/>
      <c r="F632" s="93"/>
      <c r="G632" s="93"/>
      <c r="H632" s="93"/>
      <c r="I632" s="93"/>
      <c r="J632" s="93"/>
      <c r="K632" s="93"/>
      <c r="L632" s="93"/>
    </row>
    <row r="633" spans="4:12" x14ac:dyDescent="0.25">
      <c r="D633" s="93"/>
      <c r="E633" s="93"/>
      <c r="F633" s="93"/>
      <c r="G633" s="93"/>
      <c r="H633" s="93"/>
      <c r="I633" s="93"/>
      <c r="J633" s="93"/>
      <c r="K633" s="93"/>
      <c r="L633" s="93"/>
    </row>
    <row r="634" spans="4:12" x14ac:dyDescent="0.25">
      <c r="D634" s="93"/>
      <c r="E634" s="93"/>
      <c r="F634" s="93"/>
      <c r="G634" s="93"/>
      <c r="H634" s="93"/>
      <c r="I634" s="93"/>
      <c r="J634" s="93"/>
      <c r="K634" s="93"/>
      <c r="L634" s="93"/>
    </row>
    <row r="635" spans="4:12" x14ac:dyDescent="0.25">
      <c r="D635" s="93"/>
      <c r="E635" s="93"/>
      <c r="F635" s="93"/>
      <c r="G635" s="93"/>
      <c r="H635" s="93"/>
      <c r="I635" s="93"/>
      <c r="J635" s="93"/>
      <c r="K635" s="93"/>
      <c r="L635" s="93"/>
    </row>
    <row r="636" spans="4:12" x14ac:dyDescent="0.25">
      <c r="D636" s="93"/>
      <c r="E636" s="93"/>
      <c r="F636" s="93"/>
      <c r="G636" s="93"/>
      <c r="H636" s="93"/>
      <c r="I636" s="93"/>
      <c r="J636" s="93"/>
      <c r="K636" s="93"/>
      <c r="L636" s="93"/>
    </row>
    <row r="637" spans="4:12" x14ac:dyDescent="0.25">
      <c r="D637" s="93"/>
      <c r="E637" s="93"/>
      <c r="F637" s="93"/>
      <c r="G637" s="93"/>
      <c r="H637" s="93"/>
      <c r="I637" s="93"/>
      <c r="J637" s="93"/>
      <c r="K637" s="93"/>
      <c r="L637" s="93"/>
    </row>
    <row r="638" spans="4:12" x14ac:dyDescent="0.25">
      <c r="D638" s="93"/>
      <c r="E638" s="93"/>
      <c r="F638" s="93"/>
      <c r="G638" s="93"/>
      <c r="H638" s="93"/>
      <c r="I638" s="93"/>
      <c r="J638" s="93"/>
      <c r="K638" s="93"/>
      <c r="L638" s="93"/>
    </row>
    <row r="639" spans="4:12" x14ac:dyDescent="0.25">
      <c r="D639" s="93"/>
      <c r="E639" s="93"/>
      <c r="F639" s="93"/>
      <c r="G639" s="93"/>
      <c r="H639" s="93"/>
      <c r="I639" s="93"/>
      <c r="J639" s="93"/>
      <c r="K639" s="93"/>
      <c r="L639" s="93"/>
    </row>
    <row r="640" spans="4:12" x14ac:dyDescent="0.25">
      <c r="D640" s="93"/>
      <c r="E640" s="93"/>
      <c r="F640" s="93"/>
      <c r="G640" s="93"/>
      <c r="H640" s="93"/>
      <c r="I640" s="93"/>
      <c r="J640" s="93"/>
      <c r="K640" s="93"/>
      <c r="L640" s="93"/>
    </row>
    <row r="641" spans="4:12" x14ac:dyDescent="0.25">
      <c r="D641" s="93"/>
      <c r="E641" s="93"/>
      <c r="F641" s="93"/>
      <c r="G641" s="93"/>
      <c r="H641" s="93"/>
      <c r="I641" s="93"/>
      <c r="J641" s="93"/>
      <c r="K641" s="93"/>
      <c r="L641" s="93"/>
    </row>
    <row r="642" spans="4:12" x14ac:dyDescent="0.25">
      <c r="D642" s="93"/>
      <c r="E642" s="93"/>
      <c r="F642" s="93"/>
      <c r="G642" s="93"/>
      <c r="H642" s="93"/>
      <c r="I642" s="93"/>
      <c r="J642" s="93"/>
      <c r="K642" s="93"/>
      <c r="L642" s="93"/>
    </row>
    <row r="643" spans="4:12" x14ac:dyDescent="0.25">
      <c r="D643" s="93"/>
      <c r="E643" s="93"/>
      <c r="F643" s="93"/>
      <c r="G643" s="93"/>
      <c r="H643" s="93"/>
      <c r="I643" s="93"/>
      <c r="J643" s="93"/>
      <c r="K643" s="93"/>
      <c r="L643" s="93"/>
    </row>
    <row r="644" spans="4:12" x14ac:dyDescent="0.25">
      <c r="D644" s="93"/>
      <c r="E644" s="93"/>
      <c r="F644" s="93"/>
      <c r="G644" s="93"/>
      <c r="H644" s="93"/>
      <c r="I644" s="93"/>
      <c r="J644" s="93"/>
      <c r="K644" s="93"/>
      <c r="L644" s="93"/>
    </row>
    <row r="645" spans="4:12" x14ac:dyDescent="0.25">
      <c r="D645" s="93"/>
      <c r="E645" s="93"/>
      <c r="F645" s="93"/>
      <c r="G645" s="93"/>
      <c r="H645" s="93"/>
      <c r="I645" s="93"/>
      <c r="J645" s="93"/>
      <c r="K645" s="93"/>
      <c r="L645" s="93"/>
    </row>
    <row r="646" spans="4:12" x14ac:dyDescent="0.25">
      <c r="D646" s="93"/>
      <c r="E646" s="93"/>
      <c r="F646" s="93"/>
      <c r="G646" s="93"/>
      <c r="H646" s="93"/>
      <c r="I646" s="93"/>
      <c r="J646" s="93"/>
      <c r="K646" s="93"/>
      <c r="L646" s="93"/>
    </row>
    <row r="647" spans="4:12" x14ac:dyDescent="0.25">
      <c r="D647" s="93"/>
      <c r="E647" s="93"/>
      <c r="F647" s="93"/>
      <c r="G647" s="93"/>
      <c r="H647" s="93"/>
      <c r="I647" s="93"/>
      <c r="J647" s="93"/>
      <c r="K647" s="93"/>
      <c r="L647" s="93"/>
    </row>
    <row r="648" spans="4:12" x14ac:dyDescent="0.25">
      <c r="D648" s="93"/>
      <c r="E648" s="93"/>
      <c r="F648" s="93"/>
      <c r="G648" s="93"/>
      <c r="H648" s="93"/>
      <c r="I648" s="93"/>
      <c r="J648" s="93"/>
      <c r="K648" s="93"/>
      <c r="L648" s="93"/>
    </row>
    <row r="649" spans="4:12" x14ac:dyDescent="0.25">
      <c r="D649" s="93"/>
      <c r="E649" s="93"/>
      <c r="F649" s="93"/>
      <c r="G649" s="93"/>
      <c r="H649" s="93"/>
      <c r="I649" s="93"/>
      <c r="J649" s="93"/>
      <c r="K649" s="93"/>
      <c r="L649" s="93"/>
    </row>
    <row r="650" spans="4:12" x14ac:dyDescent="0.25">
      <c r="D650" s="93"/>
      <c r="E650" s="93"/>
      <c r="F650" s="93"/>
      <c r="G650" s="93"/>
      <c r="H650" s="93"/>
      <c r="I650" s="93"/>
      <c r="J650" s="93"/>
      <c r="K650" s="93"/>
      <c r="L650" s="93"/>
    </row>
    <row r="651" spans="4:12" x14ac:dyDescent="0.25">
      <c r="D651" s="93"/>
      <c r="E651" s="93"/>
      <c r="F651" s="93"/>
      <c r="G651" s="93"/>
      <c r="H651" s="93"/>
      <c r="I651" s="93"/>
      <c r="J651" s="93"/>
      <c r="K651" s="93"/>
      <c r="L651" s="93"/>
    </row>
    <row r="652" spans="4:12" x14ac:dyDescent="0.25">
      <c r="D652" s="93"/>
      <c r="E652" s="93"/>
      <c r="F652" s="93"/>
      <c r="G652" s="93"/>
      <c r="H652" s="93"/>
      <c r="I652" s="93"/>
      <c r="J652" s="93"/>
      <c r="K652" s="93"/>
      <c r="L652" s="93"/>
    </row>
    <row r="653" spans="4:12" x14ac:dyDescent="0.25">
      <c r="D653" s="93"/>
      <c r="E653" s="93"/>
      <c r="F653" s="93"/>
      <c r="G653" s="93"/>
      <c r="H653" s="93"/>
      <c r="I653" s="93"/>
      <c r="J653" s="93"/>
      <c r="K653" s="93"/>
      <c r="L653" s="93"/>
    </row>
    <row r="654" spans="4:12" x14ac:dyDescent="0.25">
      <c r="D654" s="93"/>
      <c r="E654" s="93"/>
      <c r="F654" s="93"/>
      <c r="G654" s="93"/>
      <c r="H654" s="93"/>
      <c r="I654" s="93"/>
      <c r="J654" s="93"/>
      <c r="K654" s="93"/>
      <c r="L654" s="93"/>
    </row>
    <row r="655" spans="4:12" x14ac:dyDescent="0.25">
      <c r="D655" s="93"/>
      <c r="E655" s="93"/>
      <c r="F655" s="93"/>
      <c r="G655" s="93"/>
      <c r="H655" s="93"/>
      <c r="I655" s="93"/>
      <c r="J655" s="93"/>
      <c r="K655" s="93"/>
      <c r="L655" s="93"/>
    </row>
    <row r="656" spans="4:12" x14ac:dyDescent="0.25">
      <c r="D656" s="93"/>
      <c r="E656" s="93"/>
      <c r="F656" s="93"/>
      <c r="G656" s="93"/>
      <c r="H656" s="93"/>
      <c r="I656" s="93"/>
      <c r="J656" s="93"/>
      <c r="K656" s="93"/>
      <c r="L656" s="93"/>
    </row>
    <row r="657" spans="4:12" x14ac:dyDescent="0.25">
      <c r="D657" s="93"/>
      <c r="E657" s="93"/>
      <c r="F657" s="93"/>
      <c r="G657" s="93"/>
      <c r="H657" s="93"/>
      <c r="I657" s="93"/>
      <c r="J657" s="93"/>
      <c r="K657" s="93"/>
      <c r="L657" s="93"/>
    </row>
    <row r="658" spans="4:12" x14ac:dyDescent="0.25">
      <c r="D658" s="93"/>
      <c r="E658" s="93"/>
      <c r="F658" s="93"/>
      <c r="G658" s="93"/>
      <c r="H658" s="93"/>
      <c r="I658" s="93"/>
      <c r="J658" s="93"/>
      <c r="K658" s="93"/>
      <c r="L658" s="93"/>
    </row>
    <row r="659" spans="4:12" x14ac:dyDescent="0.25">
      <c r="D659" s="93"/>
      <c r="E659" s="93"/>
      <c r="F659" s="93"/>
      <c r="G659" s="93"/>
      <c r="H659" s="93"/>
      <c r="I659" s="93"/>
      <c r="J659" s="93"/>
      <c r="K659" s="93"/>
      <c r="L659" s="93"/>
    </row>
    <row r="660" spans="4:12" x14ac:dyDescent="0.25">
      <c r="D660" s="93"/>
      <c r="E660" s="93"/>
      <c r="F660" s="93"/>
      <c r="G660" s="93"/>
      <c r="H660" s="93"/>
      <c r="I660" s="93"/>
      <c r="J660" s="93"/>
      <c r="K660" s="93"/>
      <c r="L660" s="93"/>
    </row>
    <row r="661" spans="4:12" x14ac:dyDescent="0.25">
      <c r="D661" s="93"/>
      <c r="E661" s="93"/>
      <c r="F661" s="93"/>
      <c r="G661" s="93"/>
      <c r="H661" s="93"/>
      <c r="I661" s="93"/>
      <c r="J661" s="93"/>
      <c r="K661" s="93"/>
      <c r="L661" s="93"/>
    </row>
    <row r="662" spans="4:12" x14ac:dyDescent="0.25">
      <c r="D662" s="93"/>
      <c r="E662" s="93"/>
      <c r="F662" s="93"/>
      <c r="G662" s="93"/>
      <c r="H662" s="93"/>
      <c r="I662" s="93"/>
      <c r="J662" s="93"/>
      <c r="K662" s="93"/>
      <c r="L662" s="93"/>
    </row>
    <row r="663" spans="4:12" x14ac:dyDescent="0.25">
      <c r="D663" s="93"/>
      <c r="E663" s="93"/>
      <c r="F663" s="93"/>
      <c r="G663" s="93"/>
      <c r="H663" s="93"/>
      <c r="I663" s="93"/>
      <c r="J663" s="93"/>
      <c r="K663" s="93"/>
      <c r="L663" s="93"/>
    </row>
    <row r="664" spans="4:12" x14ac:dyDescent="0.25">
      <c r="D664" s="93"/>
      <c r="E664" s="93"/>
      <c r="F664" s="93"/>
      <c r="G664" s="93"/>
      <c r="H664" s="93"/>
      <c r="I664" s="93"/>
      <c r="J664" s="93"/>
      <c r="K664" s="93"/>
      <c r="L664" s="93"/>
    </row>
    <row r="665" spans="4:12" x14ac:dyDescent="0.25">
      <c r="D665" s="93"/>
      <c r="E665" s="93"/>
      <c r="F665" s="93"/>
      <c r="G665" s="93"/>
      <c r="H665" s="93"/>
      <c r="I665" s="93"/>
      <c r="J665" s="93"/>
      <c r="K665" s="93"/>
      <c r="L665" s="93"/>
    </row>
    <row r="666" spans="4:12" x14ac:dyDescent="0.25">
      <c r="D666" s="93"/>
      <c r="E666" s="93"/>
      <c r="F666" s="93"/>
      <c r="G666" s="93"/>
      <c r="H666" s="93"/>
      <c r="I666" s="93"/>
      <c r="J666" s="93"/>
      <c r="K666" s="93"/>
      <c r="L666" s="93"/>
    </row>
    <row r="667" spans="4:12" x14ac:dyDescent="0.25">
      <c r="D667" s="93"/>
      <c r="E667" s="93"/>
      <c r="F667" s="93"/>
      <c r="G667" s="93"/>
      <c r="H667" s="93"/>
      <c r="I667" s="93"/>
      <c r="J667" s="93"/>
      <c r="K667" s="93"/>
      <c r="L667" s="93"/>
    </row>
    <row r="668" spans="4:12" x14ac:dyDescent="0.25">
      <c r="D668" s="93"/>
      <c r="E668" s="93"/>
      <c r="F668" s="93"/>
      <c r="G668" s="93"/>
      <c r="H668" s="93"/>
      <c r="I668" s="93"/>
      <c r="J668" s="93"/>
      <c r="K668" s="93"/>
      <c r="L668" s="93"/>
    </row>
    <row r="669" spans="4:12" x14ac:dyDescent="0.25">
      <c r="D669" s="93"/>
      <c r="E669" s="93"/>
      <c r="F669" s="93"/>
      <c r="G669" s="93"/>
      <c r="H669" s="93"/>
      <c r="I669" s="93"/>
      <c r="J669" s="93"/>
      <c r="K669" s="93"/>
      <c r="L669" s="93"/>
    </row>
    <row r="670" spans="4:12" x14ac:dyDescent="0.25">
      <c r="D670" s="93"/>
      <c r="E670" s="93"/>
      <c r="F670" s="93"/>
      <c r="G670" s="93"/>
      <c r="H670" s="93"/>
      <c r="I670" s="93"/>
      <c r="J670" s="93"/>
      <c r="K670" s="93"/>
      <c r="L670" s="93"/>
    </row>
    <row r="671" spans="4:12" x14ac:dyDescent="0.25">
      <c r="D671" s="93"/>
      <c r="E671" s="93"/>
      <c r="F671" s="93"/>
      <c r="G671" s="93"/>
      <c r="H671" s="93"/>
      <c r="I671" s="93"/>
      <c r="J671" s="93"/>
      <c r="K671" s="93"/>
      <c r="L671" s="93"/>
    </row>
    <row r="672" spans="4:12" x14ac:dyDescent="0.25">
      <c r="D672" s="93"/>
      <c r="E672" s="93"/>
      <c r="F672" s="93"/>
      <c r="G672" s="93"/>
      <c r="H672" s="93"/>
      <c r="I672" s="93"/>
      <c r="J672" s="93"/>
      <c r="K672" s="93"/>
      <c r="L672" s="93"/>
    </row>
    <row r="673" spans="4:12" x14ac:dyDescent="0.25">
      <c r="D673" s="93"/>
      <c r="E673" s="93"/>
      <c r="F673" s="93"/>
      <c r="G673" s="93"/>
      <c r="H673" s="93"/>
      <c r="I673" s="93"/>
      <c r="J673" s="93"/>
      <c r="K673" s="93"/>
      <c r="L673" s="93"/>
    </row>
    <row r="674" spans="4:12" x14ac:dyDescent="0.25">
      <c r="D674" s="93"/>
      <c r="E674" s="93"/>
      <c r="F674" s="93"/>
      <c r="G674" s="93"/>
      <c r="H674" s="93"/>
      <c r="I674" s="93"/>
      <c r="J674" s="93"/>
      <c r="K674" s="93"/>
      <c r="L674" s="93"/>
    </row>
    <row r="675" spans="4:12" x14ac:dyDescent="0.25">
      <c r="D675" s="93"/>
      <c r="E675" s="93"/>
      <c r="F675" s="93"/>
      <c r="G675" s="93"/>
      <c r="H675" s="93"/>
      <c r="I675" s="93"/>
      <c r="J675" s="93"/>
      <c r="K675" s="93"/>
      <c r="L675" s="93"/>
    </row>
    <row r="676" spans="4:12" x14ac:dyDescent="0.25">
      <c r="D676" s="93"/>
      <c r="E676" s="93"/>
      <c r="F676" s="93"/>
      <c r="G676" s="93"/>
      <c r="H676" s="93"/>
      <c r="I676" s="93"/>
      <c r="J676" s="93"/>
      <c r="K676" s="93"/>
      <c r="L676" s="93"/>
    </row>
    <row r="677" spans="4:12" x14ac:dyDescent="0.25">
      <c r="D677" s="93"/>
      <c r="E677" s="93"/>
      <c r="F677" s="93"/>
      <c r="G677" s="93"/>
      <c r="H677" s="93"/>
      <c r="I677" s="93"/>
      <c r="J677" s="93"/>
      <c r="K677" s="93"/>
      <c r="L677" s="93"/>
    </row>
    <row r="678" spans="4:12" x14ac:dyDescent="0.25">
      <c r="D678" s="93"/>
      <c r="E678" s="93"/>
      <c r="F678" s="93"/>
      <c r="G678" s="93"/>
      <c r="H678" s="93"/>
      <c r="I678" s="93"/>
      <c r="J678" s="93"/>
      <c r="K678" s="93"/>
      <c r="L678" s="93"/>
    </row>
    <row r="679" spans="4:12" x14ac:dyDescent="0.25">
      <c r="D679" s="93"/>
      <c r="E679" s="93"/>
      <c r="F679" s="93"/>
      <c r="G679" s="93"/>
      <c r="H679" s="93"/>
      <c r="I679" s="93"/>
      <c r="J679" s="93"/>
      <c r="K679" s="93"/>
      <c r="L679" s="93"/>
    </row>
    <row r="680" spans="4:12" x14ac:dyDescent="0.25">
      <c r="D680" s="93"/>
      <c r="E680" s="93"/>
      <c r="F680" s="93"/>
      <c r="G680" s="93"/>
      <c r="H680" s="93"/>
      <c r="I680" s="93"/>
      <c r="J680" s="93"/>
      <c r="K680" s="93"/>
      <c r="L680" s="93"/>
    </row>
    <row r="681" spans="4:12" x14ac:dyDescent="0.25">
      <c r="D681" s="93"/>
      <c r="E681" s="93"/>
      <c r="F681" s="93"/>
      <c r="G681" s="93"/>
      <c r="H681" s="93"/>
      <c r="I681" s="93"/>
      <c r="J681" s="93"/>
      <c r="K681" s="93"/>
      <c r="L681" s="93"/>
    </row>
    <row r="682" spans="4:12" x14ac:dyDescent="0.25">
      <c r="D682" s="93"/>
      <c r="E682" s="93"/>
      <c r="F682" s="93"/>
      <c r="G682" s="93"/>
      <c r="H682" s="93"/>
      <c r="I682" s="93"/>
      <c r="J682" s="93"/>
      <c r="K682" s="93"/>
      <c r="L682" s="93"/>
    </row>
    <row r="683" spans="4:12" x14ac:dyDescent="0.25">
      <c r="D683" s="93"/>
      <c r="E683" s="93"/>
      <c r="F683" s="93"/>
      <c r="G683" s="93"/>
      <c r="H683" s="93"/>
      <c r="I683" s="93"/>
      <c r="J683" s="93"/>
      <c r="K683" s="93"/>
      <c r="L683" s="93"/>
    </row>
    <row r="684" spans="4:12" x14ac:dyDescent="0.25">
      <c r="D684" s="93"/>
      <c r="E684" s="93"/>
      <c r="F684" s="93"/>
      <c r="G684" s="93"/>
      <c r="H684" s="93"/>
      <c r="I684" s="93"/>
      <c r="J684" s="93"/>
      <c r="K684" s="93"/>
      <c r="L684" s="93"/>
    </row>
    <row r="685" spans="4:12" x14ac:dyDescent="0.25">
      <c r="D685" s="93"/>
      <c r="E685" s="93"/>
      <c r="F685" s="93"/>
      <c r="G685" s="93"/>
      <c r="H685" s="93"/>
      <c r="I685" s="93"/>
      <c r="J685" s="93"/>
      <c r="K685" s="93"/>
      <c r="L685" s="93"/>
    </row>
    <row r="686" spans="4:12" x14ac:dyDescent="0.25">
      <c r="D686" s="93"/>
      <c r="E686" s="93"/>
      <c r="F686" s="93"/>
      <c r="G686" s="93"/>
      <c r="H686" s="93"/>
      <c r="I686" s="93"/>
      <c r="J686" s="93"/>
      <c r="K686" s="93"/>
      <c r="L686" s="93"/>
    </row>
    <row r="687" spans="4:12" x14ac:dyDescent="0.25">
      <c r="D687" s="93"/>
      <c r="E687" s="93"/>
      <c r="F687" s="93"/>
      <c r="G687" s="93"/>
      <c r="H687" s="93"/>
      <c r="I687" s="93"/>
      <c r="J687" s="93"/>
      <c r="K687" s="93"/>
      <c r="L687" s="93"/>
    </row>
    <row r="688" spans="4:12" x14ac:dyDescent="0.25">
      <c r="D688" s="93"/>
      <c r="E688" s="93"/>
      <c r="F688" s="93"/>
      <c r="G688" s="93"/>
      <c r="H688" s="93"/>
      <c r="I688" s="93"/>
      <c r="J688" s="93"/>
      <c r="K688" s="93"/>
      <c r="L688" s="93"/>
    </row>
    <row r="689" spans="4:12" x14ac:dyDescent="0.25">
      <c r="D689" s="93"/>
      <c r="E689" s="93"/>
      <c r="F689" s="93"/>
      <c r="G689" s="93"/>
      <c r="H689" s="93"/>
      <c r="I689" s="93"/>
      <c r="J689" s="93"/>
      <c r="K689" s="93"/>
      <c r="L689" s="93"/>
    </row>
    <row r="690" spans="4:12" x14ac:dyDescent="0.25">
      <c r="D690" s="93"/>
      <c r="E690" s="93"/>
      <c r="F690" s="93"/>
      <c r="G690" s="93"/>
      <c r="H690" s="93"/>
      <c r="I690" s="93"/>
      <c r="J690" s="93"/>
      <c r="K690" s="93"/>
      <c r="L690" s="93"/>
    </row>
    <row r="691" spans="4:12" x14ac:dyDescent="0.25">
      <c r="D691" s="93"/>
      <c r="E691" s="93"/>
      <c r="F691" s="93"/>
      <c r="G691" s="93"/>
      <c r="H691" s="93"/>
      <c r="I691" s="93"/>
      <c r="J691" s="93"/>
      <c r="K691" s="93"/>
      <c r="L691" s="93"/>
    </row>
    <row r="692" spans="4:12" x14ac:dyDescent="0.25">
      <c r="D692" s="93"/>
      <c r="E692" s="93"/>
      <c r="F692" s="93"/>
      <c r="G692" s="93"/>
      <c r="H692" s="93"/>
      <c r="I692" s="93"/>
      <c r="J692" s="93"/>
      <c r="K692" s="93"/>
      <c r="L692" s="93"/>
    </row>
    <row r="693" spans="4:12" x14ac:dyDescent="0.25">
      <c r="D693" s="93"/>
      <c r="E693" s="93"/>
      <c r="F693" s="93"/>
      <c r="G693" s="93"/>
      <c r="H693" s="93"/>
      <c r="I693" s="93"/>
      <c r="J693" s="93"/>
      <c r="K693" s="93"/>
      <c r="L693" s="93"/>
    </row>
    <row r="694" spans="4:12" x14ac:dyDescent="0.25">
      <c r="D694" s="93"/>
      <c r="E694" s="93"/>
      <c r="F694" s="93"/>
      <c r="G694" s="93"/>
      <c r="H694" s="93"/>
      <c r="I694" s="93"/>
      <c r="J694" s="93"/>
      <c r="K694" s="93"/>
      <c r="L694" s="93"/>
    </row>
    <row r="695" spans="4:12" x14ac:dyDescent="0.25">
      <c r="D695" s="93"/>
      <c r="E695" s="93"/>
      <c r="F695" s="93"/>
      <c r="G695" s="93"/>
      <c r="H695" s="93"/>
      <c r="I695" s="93"/>
      <c r="J695" s="93"/>
      <c r="K695" s="93"/>
      <c r="L695" s="93"/>
    </row>
    <row r="696" spans="4:12" x14ac:dyDescent="0.25">
      <c r="D696" s="93"/>
      <c r="E696" s="93"/>
      <c r="F696" s="93"/>
      <c r="G696" s="93"/>
      <c r="H696" s="93"/>
      <c r="I696" s="93"/>
      <c r="J696" s="93"/>
      <c r="K696" s="93"/>
      <c r="L696" s="93"/>
    </row>
    <row r="697" spans="4:12" x14ac:dyDescent="0.25">
      <c r="D697" s="93"/>
      <c r="E697" s="93"/>
      <c r="F697" s="93"/>
      <c r="G697" s="93"/>
      <c r="H697" s="93"/>
      <c r="I697" s="93"/>
      <c r="J697" s="93"/>
      <c r="K697" s="93"/>
      <c r="L697" s="93"/>
    </row>
    <row r="698" spans="4:12" x14ac:dyDescent="0.25">
      <c r="D698" s="93"/>
      <c r="E698" s="93"/>
      <c r="F698" s="93"/>
      <c r="G698" s="93"/>
      <c r="H698" s="93"/>
      <c r="I698" s="93"/>
      <c r="J698" s="93"/>
      <c r="K698" s="93"/>
      <c r="L698" s="93"/>
    </row>
    <row r="699" spans="4:12" x14ac:dyDescent="0.25">
      <c r="D699" s="93"/>
      <c r="E699" s="93"/>
      <c r="F699" s="93"/>
      <c r="G699" s="93"/>
      <c r="H699" s="93"/>
      <c r="I699" s="93"/>
      <c r="J699" s="93"/>
      <c r="K699" s="93"/>
      <c r="L699" s="93"/>
    </row>
    <row r="700" spans="4:12" x14ac:dyDescent="0.25">
      <c r="D700" s="93"/>
      <c r="E700" s="93"/>
      <c r="F700" s="93"/>
      <c r="G700" s="93"/>
      <c r="H700" s="93"/>
      <c r="I700" s="93"/>
      <c r="J700" s="93"/>
      <c r="K700" s="93"/>
      <c r="L700" s="93"/>
    </row>
    <row r="701" spans="4:12" x14ac:dyDescent="0.25">
      <c r="D701" s="93"/>
      <c r="E701" s="93"/>
      <c r="F701" s="93"/>
      <c r="G701" s="93"/>
      <c r="H701" s="93"/>
      <c r="I701" s="93"/>
      <c r="J701" s="93"/>
      <c r="K701" s="93"/>
      <c r="L701" s="93"/>
    </row>
    <row r="702" spans="4:12" x14ac:dyDescent="0.25">
      <c r="D702" s="93"/>
      <c r="E702" s="93"/>
      <c r="F702" s="93"/>
      <c r="G702" s="93"/>
      <c r="H702" s="93"/>
      <c r="I702" s="93"/>
      <c r="J702" s="93"/>
      <c r="K702" s="93"/>
      <c r="L702" s="93"/>
    </row>
    <row r="703" spans="4:12" x14ac:dyDescent="0.25">
      <c r="D703" s="93"/>
      <c r="E703" s="93"/>
      <c r="F703" s="93"/>
      <c r="G703" s="93"/>
      <c r="H703" s="93"/>
      <c r="I703" s="93"/>
      <c r="J703" s="93"/>
      <c r="K703" s="93"/>
      <c r="L703" s="93"/>
    </row>
    <row r="704" spans="4:12" x14ac:dyDescent="0.25">
      <c r="D704" s="93"/>
      <c r="E704" s="93"/>
      <c r="F704" s="93"/>
      <c r="G704" s="93"/>
      <c r="H704" s="93"/>
      <c r="I704" s="93"/>
      <c r="J704" s="93"/>
      <c r="K704" s="93"/>
      <c r="L704" s="93"/>
    </row>
    <row r="705" spans="4:12" x14ac:dyDescent="0.25">
      <c r="D705" s="93"/>
      <c r="E705" s="93"/>
      <c r="F705" s="93"/>
      <c r="G705" s="93"/>
      <c r="H705" s="93"/>
      <c r="I705" s="93"/>
      <c r="J705" s="93"/>
      <c r="K705" s="93"/>
      <c r="L705" s="93"/>
    </row>
    <row r="706" spans="4:12" x14ac:dyDescent="0.25">
      <c r="D706" s="93"/>
      <c r="E706" s="93"/>
      <c r="F706" s="93"/>
      <c r="G706" s="93"/>
      <c r="H706" s="93"/>
      <c r="I706" s="93"/>
      <c r="J706" s="93"/>
      <c r="K706" s="93"/>
      <c r="L706" s="93"/>
    </row>
    <row r="707" spans="4:12" x14ac:dyDescent="0.25">
      <c r="D707" s="93"/>
      <c r="E707" s="93"/>
      <c r="F707" s="93"/>
      <c r="G707" s="93"/>
      <c r="H707" s="93"/>
      <c r="I707" s="93"/>
      <c r="J707" s="93"/>
      <c r="K707" s="93"/>
      <c r="L707" s="93"/>
    </row>
    <row r="708" spans="4:12" x14ac:dyDescent="0.25">
      <c r="D708" s="93"/>
      <c r="E708" s="93"/>
      <c r="F708" s="93"/>
      <c r="G708" s="93"/>
      <c r="H708" s="93"/>
      <c r="I708" s="93"/>
      <c r="J708" s="93"/>
      <c r="K708" s="93"/>
      <c r="L708" s="93"/>
    </row>
    <row r="709" spans="4:12" x14ac:dyDescent="0.25">
      <c r="D709" s="93"/>
      <c r="E709" s="93"/>
      <c r="F709" s="93"/>
      <c r="G709" s="93"/>
      <c r="H709" s="93"/>
      <c r="I709" s="93"/>
      <c r="J709" s="93"/>
      <c r="K709" s="93"/>
      <c r="L709" s="93"/>
    </row>
    <row r="710" spans="4:12" x14ac:dyDescent="0.25">
      <c r="D710" s="93"/>
      <c r="E710" s="93"/>
      <c r="F710" s="93"/>
      <c r="G710" s="93"/>
      <c r="H710" s="93"/>
      <c r="I710" s="93"/>
      <c r="J710" s="93"/>
      <c r="K710" s="93"/>
      <c r="L710" s="93"/>
    </row>
    <row r="711" spans="4:12" x14ac:dyDescent="0.25">
      <c r="D711" s="93"/>
      <c r="E711" s="93"/>
      <c r="F711" s="93"/>
      <c r="G711" s="93"/>
      <c r="H711" s="93"/>
      <c r="I711" s="93"/>
      <c r="J711" s="93"/>
      <c r="K711" s="93"/>
      <c r="L711" s="93"/>
    </row>
    <row r="712" spans="4:12" x14ac:dyDescent="0.25">
      <c r="D712" s="93"/>
      <c r="E712" s="93"/>
      <c r="F712" s="93"/>
      <c r="G712" s="93"/>
      <c r="H712" s="93"/>
      <c r="I712" s="93"/>
      <c r="J712" s="93"/>
      <c r="K712" s="93"/>
      <c r="L712" s="93"/>
    </row>
    <row r="713" spans="4:12" x14ac:dyDescent="0.25">
      <c r="D713" s="93"/>
      <c r="E713" s="93"/>
      <c r="F713" s="93"/>
      <c r="G713" s="93"/>
      <c r="H713" s="93"/>
      <c r="I713" s="93"/>
      <c r="J713" s="93"/>
      <c r="K713" s="93"/>
      <c r="L713" s="93"/>
    </row>
    <row r="714" spans="4:12" x14ac:dyDescent="0.25">
      <c r="D714" s="93"/>
      <c r="E714" s="93"/>
      <c r="F714" s="93"/>
      <c r="G714" s="93"/>
      <c r="H714" s="93"/>
      <c r="I714" s="93"/>
      <c r="J714" s="93"/>
      <c r="K714" s="93"/>
      <c r="L714" s="93"/>
    </row>
    <row r="715" spans="4:12" x14ac:dyDescent="0.25">
      <c r="D715" s="93"/>
      <c r="E715" s="93"/>
      <c r="F715" s="93"/>
      <c r="G715" s="93"/>
      <c r="H715" s="93"/>
      <c r="I715" s="93"/>
      <c r="J715" s="93"/>
      <c r="K715" s="93"/>
      <c r="L715" s="93"/>
    </row>
    <row r="716" spans="4:12" x14ac:dyDescent="0.25">
      <c r="D716" s="93"/>
      <c r="E716" s="93"/>
      <c r="F716" s="93"/>
      <c r="G716" s="93"/>
      <c r="H716" s="93"/>
      <c r="I716" s="93"/>
      <c r="J716" s="93"/>
      <c r="K716" s="93"/>
      <c r="L716" s="93"/>
    </row>
    <row r="717" spans="4:12" x14ac:dyDescent="0.25">
      <c r="D717" s="93"/>
      <c r="E717" s="93"/>
      <c r="F717" s="93"/>
      <c r="G717" s="93"/>
      <c r="H717" s="93"/>
      <c r="I717" s="93"/>
      <c r="J717" s="93"/>
      <c r="K717" s="93"/>
      <c r="L717" s="93"/>
    </row>
    <row r="718" spans="4:12" x14ac:dyDescent="0.25">
      <c r="D718" s="93"/>
      <c r="E718" s="93"/>
      <c r="F718" s="93"/>
      <c r="G718" s="93"/>
      <c r="H718" s="93"/>
      <c r="I718" s="93"/>
      <c r="J718" s="93"/>
      <c r="K718" s="93"/>
      <c r="L718" s="93"/>
    </row>
    <row r="719" spans="4:12" x14ac:dyDescent="0.25">
      <c r="D719" s="93"/>
      <c r="E719" s="93"/>
      <c r="F719" s="93"/>
      <c r="G719" s="93"/>
      <c r="H719" s="93"/>
      <c r="I719" s="93"/>
      <c r="J719" s="93"/>
      <c r="K719" s="93"/>
      <c r="L719" s="93"/>
    </row>
    <row r="720" spans="4:12" x14ac:dyDescent="0.25">
      <c r="D720" s="93"/>
      <c r="E720" s="93"/>
      <c r="F720" s="93"/>
      <c r="G720" s="93"/>
      <c r="H720" s="93"/>
      <c r="I720" s="93"/>
      <c r="J720" s="93"/>
      <c r="K720" s="93"/>
      <c r="L720" s="93"/>
    </row>
    <row r="721" spans="4:12" x14ac:dyDescent="0.25">
      <c r="D721" s="93"/>
      <c r="E721" s="93"/>
      <c r="F721" s="93"/>
      <c r="G721" s="93"/>
      <c r="H721" s="93"/>
      <c r="I721" s="93"/>
      <c r="J721" s="93"/>
      <c r="K721" s="93"/>
      <c r="L721" s="93"/>
    </row>
    <row r="722" spans="4:12" x14ac:dyDescent="0.25">
      <c r="D722" s="93"/>
      <c r="E722" s="93"/>
      <c r="F722" s="93"/>
      <c r="G722" s="93"/>
      <c r="H722" s="93"/>
      <c r="I722" s="93"/>
      <c r="J722" s="93"/>
      <c r="K722" s="93"/>
      <c r="L722" s="93"/>
    </row>
    <row r="723" spans="4:12" x14ac:dyDescent="0.25">
      <c r="D723" s="93"/>
      <c r="E723" s="93"/>
      <c r="F723" s="93"/>
      <c r="G723" s="93"/>
      <c r="H723" s="93"/>
      <c r="I723" s="93"/>
      <c r="J723" s="93"/>
      <c r="K723" s="93"/>
      <c r="L723" s="93"/>
    </row>
    <row r="724" spans="4:12" x14ac:dyDescent="0.25">
      <c r="D724" s="93"/>
      <c r="E724" s="93"/>
      <c r="F724" s="93"/>
      <c r="G724" s="93"/>
      <c r="H724" s="93"/>
      <c r="I724" s="93"/>
      <c r="J724" s="93"/>
      <c r="K724" s="93"/>
      <c r="L724" s="93"/>
    </row>
    <row r="725" spans="4:12" x14ac:dyDescent="0.25">
      <c r="D725" s="93"/>
      <c r="E725" s="93"/>
      <c r="F725" s="93"/>
      <c r="G725" s="93"/>
      <c r="H725" s="93"/>
      <c r="I725" s="93"/>
      <c r="J725" s="93"/>
      <c r="K725" s="93"/>
      <c r="L725" s="93"/>
    </row>
    <row r="726" spans="4:12" x14ac:dyDescent="0.25">
      <c r="D726" s="93"/>
      <c r="E726" s="93"/>
      <c r="F726" s="93"/>
      <c r="G726" s="93"/>
      <c r="H726" s="93"/>
      <c r="I726" s="93"/>
      <c r="J726" s="93"/>
      <c r="K726" s="93"/>
      <c r="L726" s="93"/>
    </row>
    <row r="727" spans="4:12" x14ac:dyDescent="0.25">
      <c r="D727" s="93"/>
      <c r="E727" s="93"/>
      <c r="F727" s="93"/>
      <c r="G727" s="93"/>
      <c r="H727" s="93"/>
      <c r="I727" s="93"/>
      <c r="J727" s="93"/>
      <c r="K727" s="93"/>
      <c r="L727" s="93"/>
    </row>
    <row r="728" spans="4:12" x14ac:dyDescent="0.25">
      <c r="D728" s="93"/>
      <c r="E728" s="93"/>
      <c r="F728" s="93"/>
      <c r="G728" s="93"/>
      <c r="H728" s="93"/>
      <c r="I728" s="93"/>
      <c r="J728" s="93"/>
      <c r="K728" s="93"/>
      <c r="L728" s="93"/>
    </row>
    <row r="729" spans="4:12" x14ac:dyDescent="0.25">
      <c r="D729" s="93"/>
      <c r="E729" s="93"/>
      <c r="F729" s="93"/>
      <c r="G729" s="93"/>
      <c r="H729" s="93"/>
      <c r="I729" s="93"/>
      <c r="J729" s="93"/>
      <c r="K729" s="93"/>
      <c r="L729" s="93"/>
    </row>
    <row r="730" spans="4:12" x14ac:dyDescent="0.25">
      <c r="D730" s="93"/>
      <c r="E730" s="93"/>
      <c r="F730" s="93"/>
      <c r="G730" s="93"/>
      <c r="H730" s="93"/>
      <c r="I730" s="93"/>
      <c r="J730" s="93"/>
      <c r="K730" s="93"/>
      <c r="L730" s="93"/>
    </row>
    <row r="731" spans="4:12" x14ac:dyDescent="0.25">
      <c r="D731" s="93"/>
      <c r="E731" s="93"/>
      <c r="F731" s="93"/>
      <c r="G731" s="93"/>
      <c r="H731" s="93"/>
      <c r="I731" s="93"/>
      <c r="J731" s="93"/>
      <c r="K731" s="93"/>
      <c r="L731" s="93"/>
    </row>
    <row r="732" spans="4:12" x14ac:dyDescent="0.25">
      <c r="D732" s="93"/>
      <c r="E732" s="93"/>
      <c r="F732" s="93"/>
      <c r="G732" s="93"/>
      <c r="H732" s="93"/>
      <c r="I732" s="93"/>
      <c r="J732" s="93"/>
      <c r="K732" s="93"/>
      <c r="L732" s="93"/>
    </row>
    <row r="733" spans="4:12" x14ac:dyDescent="0.25">
      <c r="D733" s="93"/>
      <c r="E733" s="93"/>
      <c r="F733" s="93"/>
      <c r="G733" s="93"/>
      <c r="H733" s="93"/>
      <c r="I733" s="93"/>
      <c r="J733" s="93"/>
      <c r="K733" s="93"/>
      <c r="L733" s="93"/>
    </row>
    <row r="734" spans="4:12" x14ac:dyDescent="0.25">
      <c r="D734" s="93"/>
      <c r="E734" s="93"/>
      <c r="F734" s="93"/>
      <c r="G734" s="93"/>
      <c r="H734" s="93"/>
      <c r="I734" s="93"/>
      <c r="J734" s="93"/>
      <c r="K734" s="93"/>
      <c r="L734" s="93"/>
    </row>
    <row r="735" spans="4:12" x14ac:dyDescent="0.25">
      <c r="D735" s="93"/>
      <c r="E735" s="93"/>
      <c r="F735" s="93"/>
      <c r="G735" s="93"/>
      <c r="H735" s="93"/>
      <c r="I735" s="93"/>
      <c r="J735" s="93"/>
      <c r="K735" s="93"/>
      <c r="L735" s="93"/>
    </row>
    <row r="736" spans="4:12" x14ac:dyDescent="0.25">
      <c r="D736" s="93"/>
      <c r="E736" s="93"/>
      <c r="F736" s="93"/>
      <c r="G736" s="93"/>
      <c r="H736" s="93"/>
      <c r="I736" s="93"/>
      <c r="J736" s="93"/>
      <c r="K736" s="93"/>
      <c r="L736" s="93"/>
    </row>
    <row r="737" spans="4:12" x14ac:dyDescent="0.25">
      <c r="D737" s="93"/>
      <c r="E737" s="93"/>
      <c r="F737" s="93"/>
      <c r="G737" s="93"/>
      <c r="H737" s="93"/>
      <c r="I737" s="93"/>
      <c r="J737" s="93"/>
      <c r="K737" s="93"/>
      <c r="L737" s="93"/>
    </row>
    <row r="738" spans="4:12" x14ac:dyDescent="0.25">
      <c r="D738" s="93"/>
      <c r="E738" s="93"/>
      <c r="F738" s="93"/>
      <c r="G738" s="93"/>
      <c r="H738" s="93"/>
      <c r="I738" s="93"/>
      <c r="J738" s="93"/>
      <c r="K738" s="93"/>
      <c r="L738" s="93"/>
    </row>
    <row r="739" spans="4:12" x14ac:dyDescent="0.25">
      <c r="D739" s="93"/>
      <c r="E739" s="93"/>
      <c r="F739" s="93"/>
      <c r="G739" s="93"/>
      <c r="H739" s="93"/>
      <c r="I739" s="93"/>
      <c r="J739" s="93"/>
      <c r="K739" s="93"/>
      <c r="L739" s="93"/>
    </row>
    <row r="740" spans="4:12" x14ac:dyDescent="0.25">
      <c r="D740" s="93"/>
      <c r="E740" s="93"/>
      <c r="F740" s="93"/>
      <c r="G740" s="93"/>
      <c r="H740" s="93"/>
      <c r="I740" s="93"/>
      <c r="J740" s="93"/>
      <c r="K740" s="93"/>
      <c r="L740" s="93"/>
    </row>
    <row r="741" spans="4:12" x14ac:dyDescent="0.25">
      <c r="D741" s="93"/>
      <c r="E741" s="93"/>
      <c r="F741" s="93"/>
      <c r="G741" s="93"/>
      <c r="H741" s="93"/>
      <c r="I741" s="93"/>
      <c r="J741" s="93"/>
      <c r="K741" s="93"/>
      <c r="L741" s="93"/>
    </row>
    <row r="742" spans="4:12" x14ac:dyDescent="0.25">
      <c r="D742" s="93"/>
      <c r="E742" s="93"/>
      <c r="F742" s="93"/>
      <c r="G742" s="93"/>
      <c r="H742" s="93"/>
      <c r="I742" s="93"/>
      <c r="J742" s="93"/>
      <c r="K742" s="93"/>
      <c r="L742" s="93"/>
    </row>
    <row r="743" spans="4:12" x14ac:dyDescent="0.25">
      <c r="D743" s="93"/>
      <c r="E743" s="93"/>
      <c r="F743" s="93"/>
      <c r="G743" s="93"/>
      <c r="H743" s="93"/>
      <c r="I743" s="93"/>
      <c r="J743" s="93"/>
      <c r="K743" s="93"/>
      <c r="L743" s="93"/>
    </row>
    <row r="744" spans="4:12" x14ac:dyDescent="0.25">
      <c r="D744" s="93"/>
      <c r="E744" s="93"/>
      <c r="F744" s="93"/>
      <c r="G744" s="93"/>
      <c r="H744" s="93"/>
      <c r="I744" s="93"/>
      <c r="J744" s="93"/>
      <c r="K744" s="93"/>
      <c r="L744" s="93"/>
    </row>
    <row r="745" spans="4:12" x14ac:dyDescent="0.25">
      <c r="D745" s="93"/>
      <c r="E745" s="93"/>
      <c r="F745" s="93"/>
      <c r="G745" s="93"/>
      <c r="H745" s="93"/>
      <c r="I745" s="93"/>
      <c r="J745" s="93"/>
      <c r="K745" s="93"/>
      <c r="L745" s="93"/>
    </row>
    <row r="746" spans="4:12" x14ac:dyDescent="0.25">
      <c r="D746" s="93"/>
      <c r="E746" s="93"/>
      <c r="F746" s="93"/>
      <c r="G746" s="93"/>
      <c r="H746" s="93"/>
      <c r="I746" s="93"/>
      <c r="J746" s="93"/>
      <c r="K746" s="93"/>
      <c r="L746" s="93"/>
    </row>
    <row r="747" spans="4:12" x14ac:dyDescent="0.25">
      <c r="D747" s="93"/>
      <c r="E747" s="93"/>
      <c r="F747" s="93"/>
      <c r="G747" s="93"/>
      <c r="H747" s="93"/>
      <c r="I747" s="93"/>
      <c r="J747" s="93"/>
      <c r="K747" s="93"/>
      <c r="L747" s="93"/>
    </row>
    <row r="748" spans="4:12" x14ac:dyDescent="0.25">
      <c r="D748" s="93"/>
      <c r="E748" s="93"/>
      <c r="F748" s="93"/>
      <c r="G748" s="93"/>
      <c r="H748" s="93"/>
      <c r="I748" s="93"/>
      <c r="J748" s="93"/>
      <c r="K748" s="93"/>
      <c r="L748" s="93"/>
    </row>
    <row r="749" spans="4:12" x14ac:dyDescent="0.25">
      <c r="D749" s="93"/>
      <c r="E749" s="93"/>
      <c r="F749" s="93"/>
      <c r="G749" s="93"/>
      <c r="H749" s="93"/>
      <c r="I749" s="93"/>
      <c r="J749" s="93"/>
      <c r="K749" s="93"/>
      <c r="L749" s="93"/>
    </row>
    <row r="750" spans="4:12" x14ac:dyDescent="0.25">
      <c r="D750" s="93"/>
      <c r="E750" s="93"/>
      <c r="F750" s="93"/>
      <c r="G750" s="93"/>
      <c r="H750" s="93"/>
      <c r="I750" s="93"/>
      <c r="J750" s="93"/>
      <c r="K750" s="93"/>
      <c r="L750" s="93"/>
    </row>
    <row r="751" spans="4:12" x14ac:dyDescent="0.25">
      <c r="D751" s="93"/>
      <c r="E751" s="93"/>
      <c r="F751" s="93"/>
      <c r="G751" s="93"/>
      <c r="H751" s="93"/>
      <c r="I751" s="93"/>
      <c r="J751" s="93"/>
      <c r="K751" s="93"/>
      <c r="L751" s="93"/>
    </row>
    <row r="752" spans="4:12" x14ac:dyDescent="0.25">
      <c r="D752" s="93"/>
      <c r="E752" s="93"/>
      <c r="F752" s="93"/>
      <c r="G752" s="93"/>
      <c r="H752" s="93"/>
      <c r="I752" s="93"/>
      <c r="J752" s="93"/>
      <c r="K752" s="93"/>
      <c r="L752" s="93"/>
    </row>
    <row r="753" spans="4:12" x14ac:dyDescent="0.25">
      <c r="D753" s="93"/>
      <c r="E753" s="93"/>
      <c r="F753" s="93"/>
      <c r="G753" s="93"/>
      <c r="H753" s="93"/>
      <c r="I753" s="93"/>
      <c r="J753" s="93"/>
      <c r="K753" s="93"/>
      <c r="L753" s="93"/>
    </row>
    <row r="754" spans="4:12" x14ac:dyDescent="0.25">
      <c r="D754" s="93"/>
      <c r="E754" s="93"/>
      <c r="F754" s="93"/>
      <c r="G754" s="93"/>
      <c r="H754" s="93"/>
      <c r="I754" s="93"/>
      <c r="J754" s="93"/>
      <c r="K754" s="93"/>
      <c r="L754" s="93"/>
    </row>
    <row r="755" spans="4:12" x14ac:dyDescent="0.25">
      <c r="D755" s="93"/>
      <c r="E755" s="93"/>
      <c r="F755" s="93"/>
      <c r="G755" s="93"/>
      <c r="H755" s="93"/>
      <c r="I755" s="93"/>
      <c r="J755" s="93"/>
      <c r="K755" s="93"/>
      <c r="L755" s="93"/>
    </row>
    <row r="756" spans="4:12" x14ac:dyDescent="0.25">
      <c r="D756" s="93"/>
      <c r="E756" s="93"/>
      <c r="F756" s="93"/>
      <c r="G756" s="93"/>
      <c r="H756" s="93"/>
      <c r="I756" s="93"/>
      <c r="J756" s="93"/>
      <c r="K756" s="93"/>
      <c r="L756" s="93"/>
    </row>
    <row r="757" spans="4:12" x14ac:dyDescent="0.25">
      <c r="D757" s="93"/>
      <c r="E757" s="93"/>
      <c r="F757" s="93"/>
      <c r="G757" s="93"/>
      <c r="H757" s="93"/>
      <c r="I757" s="93"/>
      <c r="J757" s="93"/>
      <c r="K757" s="93"/>
      <c r="L757" s="93"/>
    </row>
    <row r="758" spans="4:12" x14ac:dyDescent="0.25">
      <c r="D758" s="93"/>
      <c r="E758" s="93"/>
      <c r="F758" s="93"/>
      <c r="G758" s="93"/>
      <c r="H758" s="93"/>
      <c r="I758" s="93"/>
      <c r="J758" s="93"/>
      <c r="K758" s="93"/>
      <c r="L758" s="93"/>
    </row>
    <row r="759" spans="4:12" x14ac:dyDescent="0.25">
      <c r="D759" s="93"/>
      <c r="E759" s="93"/>
      <c r="F759" s="93"/>
      <c r="G759" s="93"/>
      <c r="H759" s="93"/>
      <c r="I759" s="93"/>
      <c r="J759" s="93"/>
      <c r="K759" s="93"/>
      <c r="L759" s="93"/>
    </row>
    <row r="760" spans="4:12" x14ac:dyDescent="0.25">
      <c r="D760" s="93"/>
      <c r="E760" s="93"/>
      <c r="F760" s="93"/>
      <c r="G760" s="93"/>
      <c r="H760" s="93"/>
      <c r="I760" s="93"/>
      <c r="J760" s="93"/>
      <c r="K760" s="93"/>
      <c r="L760" s="93"/>
    </row>
    <row r="761" spans="4:12" x14ac:dyDescent="0.25">
      <c r="D761" s="93"/>
      <c r="E761" s="93"/>
      <c r="F761" s="93"/>
      <c r="G761" s="93"/>
      <c r="H761" s="93"/>
      <c r="I761" s="93"/>
      <c r="J761" s="93"/>
      <c r="K761" s="93"/>
      <c r="L761" s="93"/>
    </row>
    <row r="762" spans="4:12" x14ac:dyDescent="0.25">
      <c r="D762" s="93"/>
      <c r="E762" s="93"/>
      <c r="F762" s="93"/>
      <c r="G762" s="93"/>
      <c r="H762" s="93"/>
      <c r="I762" s="93"/>
      <c r="J762" s="93"/>
      <c r="K762" s="93"/>
      <c r="L762" s="93"/>
    </row>
    <row r="763" spans="4:12" x14ac:dyDescent="0.25">
      <c r="D763" s="93"/>
      <c r="E763" s="93"/>
      <c r="F763" s="93"/>
      <c r="G763" s="93"/>
      <c r="H763" s="93"/>
      <c r="I763" s="93"/>
      <c r="J763" s="93"/>
      <c r="K763" s="93"/>
      <c r="L763" s="93"/>
    </row>
    <row r="764" spans="4:12" x14ac:dyDescent="0.25">
      <c r="D764" s="93"/>
      <c r="E764" s="93"/>
      <c r="F764" s="93"/>
      <c r="G764" s="93"/>
      <c r="H764" s="93"/>
      <c r="I764" s="93"/>
      <c r="J764" s="93"/>
      <c r="K764" s="93"/>
      <c r="L764" s="93"/>
    </row>
    <row r="765" spans="4:12" x14ac:dyDescent="0.25">
      <c r="D765" s="93"/>
      <c r="E765" s="93"/>
      <c r="F765" s="93"/>
      <c r="G765" s="93"/>
      <c r="H765" s="93"/>
      <c r="I765" s="93"/>
      <c r="J765" s="93"/>
      <c r="K765" s="93"/>
      <c r="L765" s="93"/>
    </row>
    <row r="766" spans="4:12" x14ac:dyDescent="0.25">
      <c r="D766" s="93"/>
      <c r="E766" s="93"/>
      <c r="F766" s="93"/>
      <c r="G766" s="93"/>
      <c r="H766" s="93"/>
      <c r="I766" s="93"/>
      <c r="J766" s="93"/>
      <c r="K766" s="93"/>
      <c r="L766" s="93"/>
    </row>
    <row r="767" spans="4:12" x14ac:dyDescent="0.25">
      <c r="D767" s="93"/>
      <c r="E767" s="93"/>
      <c r="F767" s="93"/>
      <c r="G767" s="93"/>
      <c r="H767" s="93"/>
      <c r="I767" s="93"/>
      <c r="J767" s="93"/>
      <c r="K767" s="93"/>
      <c r="L767" s="93"/>
    </row>
    <row r="768" spans="4:12" x14ac:dyDescent="0.25">
      <c r="D768" s="93"/>
      <c r="E768" s="93"/>
      <c r="F768" s="93"/>
      <c r="G768" s="93"/>
      <c r="H768" s="93"/>
      <c r="I768" s="93"/>
      <c r="J768" s="93"/>
      <c r="K768" s="93"/>
      <c r="L768" s="93"/>
    </row>
    <row r="769" spans="4:12" x14ac:dyDescent="0.25">
      <c r="D769" s="93"/>
      <c r="E769" s="93"/>
      <c r="F769" s="93"/>
      <c r="G769" s="93"/>
      <c r="H769" s="93"/>
      <c r="I769" s="93"/>
      <c r="J769" s="93"/>
      <c r="K769" s="93"/>
      <c r="L769" s="93"/>
    </row>
    <row r="770" spans="4:12" x14ac:dyDescent="0.25">
      <c r="D770" s="93"/>
      <c r="E770" s="93"/>
      <c r="F770" s="93"/>
      <c r="G770" s="93"/>
      <c r="H770" s="93"/>
      <c r="I770" s="93"/>
      <c r="J770" s="93"/>
      <c r="K770" s="93"/>
      <c r="L770" s="93"/>
    </row>
    <row r="771" spans="4:12" x14ac:dyDescent="0.25">
      <c r="D771" s="93"/>
      <c r="E771" s="93"/>
      <c r="F771" s="93"/>
      <c r="G771" s="93"/>
      <c r="H771" s="93"/>
      <c r="I771" s="93"/>
      <c r="J771" s="93"/>
      <c r="K771" s="93"/>
      <c r="L771" s="93"/>
    </row>
    <row r="772" spans="4:12" x14ac:dyDescent="0.25">
      <c r="D772" s="93"/>
      <c r="E772" s="93"/>
      <c r="F772" s="93"/>
      <c r="G772" s="93"/>
      <c r="H772" s="93"/>
      <c r="I772" s="93"/>
      <c r="J772" s="93"/>
      <c r="K772" s="93"/>
      <c r="L772" s="93"/>
    </row>
    <row r="773" spans="4:12" x14ac:dyDescent="0.25">
      <c r="D773" s="93"/>
      <c r="E773" s="93"/>
      <c r="F773" s="93"/>
      <c r="G773" s="93"/>
      <c r="H773" s="93"/>
      <c r="I773" s="93"/>
      <c r="J773" s="93"/>
      <c r="K773" s="93"/>
      <c r="L773" s="93"/>
    </row>
    <row r="774" spans="4:12" x14ac:dyDescent="0.25">
      <c r="D774" s="93"/>
      <c r="E774" s="93"/>
      <c r="F774" s="93"/>
      <c r="G774" s="93"/>
      <c r="H774" s="93"/>
      <c r="I774" s="93"/>
      <c r="J774" s="93"/>
      <c r="K774" s="93"/>
      <c r="L774" s="93"/>
    </row>
    <row r="775" spans="4:12" x14ac:dyDescent="0.25">
      <c r="D775" s="93"/>
      <c r="E775" s="93"/>
      <c r="F775" s="93"/>
      <c r="G775" s="93"/>
      <c r="H775" s="93"/>
      <c r="I775" s="93"/>
      <c r="J775" s="93"/>
      <c r="K775" s="93"/>
      <c r="L775" s="93"/>
    </row>
    <row r="776" spans="4:12" x14ac:dyDescent="0.25">
      <c r="D776" s="93"/>
      <c r="E776" s="93"/>
      <c r="F776" s="93"/>
      <c r="G776" s="93"/>
      <c r="H776" s="93"/>
      <c r="I776" s="93"/>
      <c r="J776" s="93"/>
      <c r="K776" s="93"/>
      <c r="L776" s="93"/>
    </row>
    <row r="777" spans="4:12" x14ac:dyDescent="0.25">
      <c r="D777" s="93"/>
      <c r="E777" s="93"/>
      <c r="F777" s="93"/>
      <c r="G777" s="93"/>
      <c r="H777" s="93"/>
      <c r="I777" s="93"/>
      <c r="J777" s="93"/>
      <c r="K777" s="93"/>
      <c r="L777" s="93"/>
    </row>
    <row r="778" spans="4:12" x14ac:dyDescent="0.25">
      <c r="D778" s="93"/>
      <c r="E778" s="93"/>
      <c r="F778" s="93"/>
      <c r="G778" s="93"/>
      <c r="H778" s="93"/>
      <c r="I778" s="93"/>
      <c r="J778" s="93"/>
      <c r="K778" s="93"/>
      <c r="L778" s="93"/>
    </row>
    <row r="779" spans="4:12" x14ac:dyDescent="0.25">
      <c r="D779" s="93"/>
      <c r="E779" s="93"/>
      <c r="F779" s="93"/>
      <c r="G779" s="93"/>
      <c r="H779" s="93"/>
      <c r="I779" s="93"/>
      <c r="J779" s="93"/>
      <c r="K779" s="93"/>
      <c r="L779" s="93"/>
    </row>
    <row r="780" spans="4:12" x14ac:dyDescent="0.25">
      <c r="D780" s="93"/>
      <c r="E780" s="93"/>
      <c r="F780" s="93"/>
      <c r="G780" s="93"/>
      <c r="H780" s="93"/>
      <c r="I780" s="93"/>
      <c r="J780" s="93"/>
      <c r="K780" s="93"/>
      <c r="L780" s="93"/>
    </row>
    <row r="781" spans="4:12" x14ac:dyDescent="0.25">
      <c r="D781" s="93"/>
      <c r="E781" s="93"/>
      <c r="F781" s="93"/>
      <c r="G781" s="93"/>
      <c r="H781" s="93"/>
      <c r="I781" s="93"/>
      <c r="J781" s="93"/>
      <c r="K781" s="93"/>
      <c r="L781" s="93"/>
    </row>
    <row r="782" spans="4:12" x14ac:dyDescent="0.25">
      <c r="D782" s="93"/>
      <c r="E782" s="93"/>
      <c r="F782" s="93"/>
      <c r="G782" s="93"/>
      <c r="H782" s="93"/>
      <c r="I782" s="93"/>
      <c r="J782" s="93"/>
      <c r="K782" s="93"/>
      <c r="L782" s="93"/>
    </row>
    <row r="783" spans="4:12" x14ac:dyDescent="0.25">
      <c r="D783" s="93"/>
      <c r="E783" s="93"/>
      <c r="F783" s="93"/>
      <c r="G783" s="93"/>
      <c r="H783" s="93"/>
      <c r="I783" s="93"/>
      <c r="J783" s="93"/>
      <c r="K783" s="93"/>
      <c r="L783" s="93"/>
    </row>
    <row r="784" spans="4:12" x14ac:dyDescent="0.25">
      <c r="D784" s="93"/>
      <c r="E784" s="93"/>
      <c r="F784" s="93"/>
      <c r="G784" s="93"/>
      <c r="H784" s="93"/>
      <c r="I784" s="93"/>
      <c r="J784" s="93"/>
      <c r="K784" s="93"/>
      <c r="L784" s="93"/>
    </row>
    <row r="785" spans="4:12" x14ac:dyDescent="0.25">
      <c r="D785" s="93"/>
      <c r="E785" s="93"/>
      <c r="F785" s="93"/>
      <c r="G785" s="93"/>
      <c r="H785" s="93"/>
      <c r="I785" s="93"/>
      <c r="J785" s="93"/>
      <c r="K785" s="93"/>
      <c r="L785" s="93"/>
    </row>
    <row r="786" spans="4:12" x14ac:dyDescent="0.25">
      <c r="D786" s="93"/>
      <c r="E786" s="93"/>
      <c r="F786" s="93"/>
      <c r="G786" s="93"/>
      <c r="H786" s="93"/>
      <c r="I786" s="93"/>
      <c r="J786" s="93"/>
      <c r="K786" s="93"/>
      <c r="L786" s="93"/>
    </row>
    <row r="787" spans="4:12" x14ac:dyDescent="0.25">
      <c r="D787" s="93"/>
      <c r="E787" s="93"/>
      <c r="F787" s="93"/>
      <c r="G787" s="93"/>
      <c r="H787" s="93"/>
      <c r="I787" s="93"/>
      <c r="J787" s="93"/>
      <c r="K787" s="93"/>
      <c r="L787" s="93"/>
    </row>
    <row r="788" spans="4:12" x14ac:dyDescent="0.25">
      <c r="D788" s="93"/>
      <c r="E788" s="93"/>
      <c r="F788" s="93"/>
      <c r="G788" s="93"/>
      <c r="H788" s="93"/>
      <c r="I788" s="93"/>
      <c r="J788" s="93"/>
      <c r="K788" s="93"/>
      <c r="L788" s="93"/>
    </row>
    <row r="789" spans="4:12" x14ac:dyDescent="0.25">
      <c r="D789" s="93"/>
      <c r="E789" s="93"/>
      <c r="F789" s="93"/>
      <c r="G789" s="93"/>
      <c r="H789" s="93"/>
      <c r="I789" s="93"/>
      <c r="J789" s="93"/>
      <c r="K789" s="93"/>
      <c r="L789" s="93"/>
    </row>
    <row r="790" spans="4:12" x14ac:dyDescent="0.25">
      <c r="D790" s="93"/>
      <c r="E790" s="93"/>
      <c r="F790" s="93"/>
      <c r="G790" s="93"/>
      <c r="H790" s="93"/>
      <c r="I790" s="93"/>
      <c r="J790" s="93"/>
      <c r="K790" s="93"/>
      <c r="L790" s="93"/>
    </row>
    <row r="791" spans="4:12" x14ac:dyDescent="0.25">
      <c r="D791" s="93"/>
      <c r="E791" s="93"/>
      <c r="F791" s="93"/>
      <c r="G791" s="93"/>
      <c r="H791" s="93"/>
      <c r="I791" s="93"/>
      <c r="J791" s="93"/>
      <c r="K791" s="93"/>
      <c r="L791" s="93"/>
    </row>
    <row r="792" spans="4:12" x14ac:dyDescent="0.25">
      <c r="D792" s="93"/>
      <c r="E792" s="93"/>
      <c r="F792" s="93"/>
      <c r="G792" s="93"/>
      <c r="H792" s="93"/>
      <c r="I792" s="93"/>
      <c r="J792" s="93"/>
      <c r="K792" s="93"/>
      <c r="L792" s="93"/>
    </row>
    <row r="793" spans="4:12" x14ac:dyDescent="0.25">
      <c r="D793" s="93"/>
      <c r="E793" s="93"/>
      <c r="F793" s="93"/>
      <c r="G793" s="93"/>
      <c r="H793" s="93"/>
      <c r="I793" s="93"/>
      <c r="J793" s="93"/>
      <c r="K793" s="93"/>
      <c r="L793" s="93"/>
    </row>
    <row r="794" spans="4:12" x14ac:dyDescent="0.25">
      <c r="D794" s="93"/>
      <c r="E794" s="93"/>
      <c r="F794" s="93"/>
      <c r="G794" s="93"/>
      <c r="H794" s="93"/>
      <c r="I794" s="93"/>
      <c r="J794" s="93"/>
      <c r="K794" s="93"/>
      <c r="L794" s="93"/>
    </row>
    <row r="795" spans="4:12" x14ac:dyDescent="0.25">
      <c r="D795" s="93"/>
      <c r="E795" s="93"/>
      <c r="F795" s="93"/>
      <c r="G795" s="93"/>
      <c r="H795" s="93"/>
      <c r="I795" s="93"/>
      <c r="J795" s="93"/>
      <c r="K795" s="93"/>
      <c r="L795" s="93"/>
    </row>
    <row r="796" spans="4:12" x14ac:dyDescent="0.25">
      <c r="D796" s="93"/>
      <c r="E796" s="93"/>
      <c r="F796" s="93"/>
      <c r="G796" s="93"/>
      <c r="H796" s="93"/>
      <c r="I796" s="93"/>
      <c r="J796" s="93"/>
      <c r="K796" s="93"/>
      <c r="L796" s="93"/>
    </row>
    <row r="797" spans="4:12" x14ac:dyDescent="0.25">
      <c r="D797" s="93"/>
      <c r="E797" s="93"/>
      <c r="F797" s="93"/>
      <c r="G797" s="93"/>
      <c r="H797" s="93"/>
      <c r="I797" s="93"/>
      <c r="J797" s="93"/>
      <c r="K797" s="93"/>
      <c r="L797" s="93"/>
    </row>
    <row r="798" spans="4:12" x14ac:dyDescent="0.25">
      <c r="D798" s="93"/>
      <c r="E798" s="93"/>
      <c r="F798" s="93"/>
      <c r="G798" s="93"/>
      <c r="H798" s="93"/>
      <c r="I798" s="93"/>
      <c r="J798" s="93"/>
      <c r="K798" s="93"/>
      <c r="L798" s="93"/>
    </row>
    <row r="799" spans="4:12" x14ac:dyDescent="0.25">
      <c r="D799" s="93"/>
      <c r="E799" s="93"/>
      <c r="F799" s="93"/>
      <c r="G799" s="93"/>
      <c r="H799" s="93"/>
      <c r="I799" s="93"/>
      <c r="J799" s="93"/>
      <c r="K799" s="93"/>
      <c r="L799" s="93"/>
    </row>
    <row r="800" spans="4:12" x14ac:dyDescent="0.25">
      <c r="D800" s="93"/>
      <c r="E800" s="93"/>
      <c r="F800" s="93"/>
      <c r="G800" s="93"/>
      <c r="H800" s="93"/>
      <c r="I800" s="93"/>
      <c r="J800" s="93"/>
      <c r="K800" s="93"/>
      <c r="L800" s="93"/>
    </row>
    <row r="801" spans="4:12" x14ac:dyDescent="0.25">
      <c r="D801" s="93"/>
      <c r="E801" s="93"/>
      <c r="F801" s="93"/>
      <c r="G801" s="93"/>
      <c r="H801" s="93"/>
      <c r="I801" s="93"/>
      <c r="J801" s="93"/>
      <c r="K801" s="93"/>
      <c r="L801" s="93"/>
    </row>
    <row r="802" spans="4:12" x14ac:dyDescent="0.25">
      <c r="D802" s="93"/>
      <c r="E802" s="93"/>
      <c r="F802" s="93"/>
      <c r="G802" s="93"/>
      <c r="H802" s="93"/>
      <c r="I802" s="93"/>
      <c r="J802" s="93"/>
      <c r="K802" s="93"/>
      <c r="L802" s="93"/>
    </row>
    <row r="803" spans="4:12" x14ac:dyDescent="0.25">
      <c r="D803" s="93"/>
      <c r="E803" s="93"/>
      <c r="F803" s="93"/>
      <c r="G803" s="93"/>
      <c r="H803" s="93"/>
      <c r="I803" s="93"/>
      <c r="J803" s="93"/>
      <c r="K803" s="93"/>
      <c r="L803" s="93"/>
    </row>
    <row r="804" spans="4:12" x14ac:dyDescent="0.25">
      <c r="D804" s="93"/>
      <c r="E804" s="93"/>
      <c r="F804" s="93"/>
      <c r="G804" s="93"/>
      <c r="H804" s="93"/>
      <c r="I804" s="93"/>
      <c r="J804" s="93"/>
      <c r="K804" s="93"/>
      <c r="L804" s="93"/>
    </row>
    <row r="805" spans="4:12" x14ac:dyDescent="0.25">
      <c r="D805" s="93"/>
      <c r="E805" s="93"/>
      <c r="F805" s="93"/>
      <c r="G805" s="93"/>
      <c r="H805" s="93"/>
      <c r="I805" s="93"/>
      <c r="J805" s="93"/>
      <c r="K805" s="93"/>
      <c r="L805" s="93"/>
    </row>
    <row r="806" spans="4:12" x14ac:dyDescent="0.25">
      <c r="D806" s="93"/>
      <c r="E806" s="93"/>
      <c r="F806" s="93"/>
      <c r="G806" s="93"/>
      <c r="H806" s="93"/>
      <c r="I806" s="93"/>
      <c r="J806" s="93"/>
      <c r="K806" s="93"/>
      <c r="L806" s="93"/>
    </row>
    <row r="807" spans="4:12" x14ac:dyDescent="0.25">
      <c r="D807" s="93"/>
      <c r="E807" s="93"/>
      <c r="F807" s="93"/>
      <c r="G807" s="93"/>
      <c r="H807" s="93"/>
      <c r="I807" s="93"/>
      <c r="J807" s="93"/>
      <c r="K807" s="93"/>
      <c r="L807" s="93"/>
    </row>
    <row r="808" spans="4:12" x14ac:dyDescent="0.25">
      <c r="D808" s="93"/>
      <c r="E808" s="93"/>
      <c r="F808" s="93"/>
      <c r="G808" s="93"/>
      <c r="H808" s="93"/>
      <c r="I808" s="93"/>
      <c r="J808" s="93"/>
      <c r="K808" s="93"/>
      <c r="L808" s="93"/>
    </row>
    <row r="809" spans="4:12" x14ac:dyDescent="0.25">
      <c r="D809" s="93"/>
      <c r="E809" s="93"/>
      <c r="F809" s="93"/>
      <c r="G809" s="93"/>
      <c r="H809" s="93"/>
      <c r="I809" s="93"/>
      <c r="J809" s="93"/>
      <c r="K809" s="93"/>
      <c r="L809" s="93"/>
    </row>
    <row r="810" spans="4:12" x14ac:dyDescent="0.25">
      <c r="D810" s="93"/>
      <c r="E810" s="93"/>
      <c r="F810" s="93"/>
      <c r="G810" s="93"/>
      <c r="H810" s="93"/>
      <c r="I810" s="93"/>
      <c r="J810" s="93"/>
      <c r="K810" s="93"/>
      <c r="L810" s="93"/>
    </row>
    <row r="811" spans="4:12" x14ac:dyDescent="0.25">
      <c r="D811" s="93"/>
      <c r="E811" s="93"/>
      <c r="F811" s="93"/>
      <c r="G811" s="93"/>
      <c r="H811" s="93"/>
      <c r="I811" s="93"/>
      <c r="J811" s="93"/>
      <c r="K811" s="93"/>
      <c r="L811" s="93"/>
    </row>
    <row r="812" spans="4:12" x14ac:dyDescent="0.25">
      <c r="D812" s="93"/>
      <c r="E812" s="93"/>
      <c r="F812" s="93"/>
      <c r="G812" s="93"/>
      <c r="H812" s="93"/>
      <c r="I812" s="93"/>
      <c r="J812" s="93"/>
      <c r="K812" s="93"/>
      <c r="L812" s="93"/>
    </row>
    <row r="813" spans="4:12" x14ac:dyDescent="0.25">
      <c r="D813" s="93"/>
      <c r="E813" s="93"/>
      <c r="F813" s="93"/>
      <c r="G813" s="93"/>
      <c r="H813" s="93"/>
      <c r="I813" s="93"/>
      <c r="J813" s="93"/>
      <c r="K813" s="93"/>
      <c r="L813" s="93"/>
    </row>
    <row r="814" spans="4:12" x14ac:dyDescent="0.25">
      <c r="D814" s="93"/>
      <c r="E814" s="93"/>
      <c r="F814" s="93"/>
      <c r="G814" s="93"/>
      <c r="H814" s="93"/>
      <c r="I814" s="93"/>
      <c r="J814" s="93"/>
      <c r="K814" s="93"/>
      <c r="L814" s="93"/>
    </row>
    <row r="815" spans="4:12" x14ac:dyDescent="0.25">
      <c r="D815" s="93"/>
      <c r="E815" s="93"/>
      <c r="F815" s="93"/>
      <c r="G815" s="93"/>
      <c r="H815" s="93"/>
      <c r="I815" s="93"/>
      <c r="J815" s="93"/>
      <c r="K815" s="93"/>
      <c r="L815" s="93"/>
    </row>
    <row r="816" spans="4:12" x14ac:dyDescent="0.25">
      <c r="D816" s="93"/>
      <c r="E816" s="93"/>
      <c r="F816" s="93"/>
      <c r="G816" s="93"/>
      <c r="H816" s="93"/>
      <c r="I816" s="93"/>
      <c r="J816" s="93"/>
      <c r="K816" s="93"/>
      <c r="L816" s="93"/>
    </row>
    <row r="817" spans="4:12" x14ac:dyDescent="0.25">
      <c r="D817" s="93"/>
      <c r="E817" s="93"/>
      <c r="F817" s="93"/>
      <c r="G817" s="93"/>
      <c r="H817" s="93"/>
      <c r="I817" s="93"/>
      <c r="J817" s="93"/>
      <c r="K817" s="93"/>
      <c r="L817" s="93"/>
    </row>
    <row r="818" spans="4:12" x14ac:dyDescent="0.25">
      <c r="D818" s="93"/>
      <c r="E818" s="93"/>
      <c r="F818" s="93"/>
      <c r="G818" s="93"/>
      <c r="H818" s="93"/>
      <c r="I818" s="93"/>
      <c r="J818" s="93"/>
      <c r="K818" s="93"/>
      <c r="L818" s="93"/>
    </row>
    <row r="819" spans="4:12" x14ac:dyDescent="0.25">
      <c r="D819" s="93"/>
      <c r="E819" s="93"/>
      <c r="F819" s="93"/>
      <c r="G819" s="93"/>
      <c r="H819" s="93"/>
      <c r="I819" s="93"/>
      <c r="J819" s="93"/>
      <c r="K819" s="93"/>
      <c r="L819" s="93"/>
    </row>
    <row r="820" spans="4:12" x14ac:dyDescent="0.25">
      <c r="D820" s="93"/>
      <c r="E820" s="93"/>
      <c r="F820" s="93"/>
      <c r="G820" s="93"/>
      <c r="H820" s="93"/>
      <c r="I820" s="93"/>
      <c r="J820" s="93"/>
      <c r="K820" s="93"/>
      <c r="L820" s="93"/>
    </row>
    <row r="821" spans="4:12" x14ac:dyDescent="0.25">
      <c r="D821" s="93"/>
      <c r="E821" s="93"/>
      <c r="F821" s="93"/>
      <c r="G821" s="93"/>
      <c r="H821" s="93"/>
      <c r="I821" s="93"/>
      <c r="J821" s="93"/>
      <c r="K821" s="93"/>
      <c r="L821" s="93"/>
    </row>
    <row r="822" spans="4:12" x14ac:dyDescent="0.25">
      <c r="D822" s="93"/>
      <c r="E822" s="93"/>
      <c r="F822" s="93"/>
      <c r="G822" s="93"/>
      <c r="H822" s="93"/>
      <c r="I822" s="93"/>
      <c r="J822" s="93"/>
      <c r="K822" s="93"/>
      <c r="L822" s="93"/>
    </row>
    <row r="823" spans="4:12" x14ac:dyDescent="0.25">
      <c r="D823" s="93"/>
      <c r="E823" s="93"/>
      <c r="F823" s="93"/>
      <c r="G823" s="93"/>
      <c r="H823" s="93"/>
      <c r="I823" s="93"/>
      <c r="J823" s="93"/>
      <c r="K823" s="93"/>
      <c r="L823" s="93"/>
    </row>
    <row r="824" spans="4:12" x14ac:dyDescent="0.25">
      <c r="D824" s="93"/>
      <c r="E824" s="93"/>
      <c r="F824" s="93"/>
      <c r="G824" s="93"/>
      <c r="H824" s="93"/>
      <c r="I824" s="93"/>
      <c r="J824" s="93"/>
      <c r="K824" s="93"/>
      <c r="L824" s="93"/>
    </row>
    <row r="825" spans="4:12" x14ac:dyDescent="0.25">
      <c r="D825" s="93"/>
      <c r="E825" s="93"/>
      <c r="F825" s="93"/>
      <c r="G825" s="93"/>
      <c r="H825" s="93"/>
      <c r="I825" s="93"/>
      <c r="J825" s="93"/>
      <c r="K825" s="93"/>
      <c r="L825" s="93"/>
    </row>
    <row r="826" spans="4:12" x14ac:dyDescent="0.25">
      <c r="D826" s="93"/>
      <c r="E826" s="93"/>
      <c r="F826" s="93"/>
      <c r="G826" s="93"/>
      <c r="H826" s="93"/>
      <c r="I826" s="93"/>
      <c r="J826" s="93"/>
      <c r="K826" s="93"/>
      <c r="L826" s="93"/>
    </row>
    <row r="827" spans="4:12" x14ac:dyDescent="0.25">
      <c r="D827" s="93"/>
      <c r="E827" s="93"/>
      <c r="F827" s="93"/>
      <c r="G827" s="93"/>
      <c r="H827" s="93"/>
      <c r="I827" s="93"/>
      <c r="J827" s="93"/>
      <c r="K827" s="93"/>
      <c r="L827" s="93"/>
    </row>
    <row r="828" spans="4:12" x14ac:dyDescent="0.25">
      <c r="D828" s="93"/>
      <c r="E828" s="93"/>
      <c r="F828" s="93"/>
      <c r="G828" s="93"/>
      <c r="H828" s="93"/>
      <c r="I828" s="93"/>
      <c r="J828" s="93"/>
      <c r="K828" s="93"/>
      <c r="L828" s="93"/>
    </row>
    <row r="829" spans="4:12" x14ac:dyDescent="0.25">
      <c r="D829" s="93"/>
      <c r="E829" s="93"/>
      <c r="F829" s="93"/>
      <c r="G829" s="93"/>
      <c r="H829" s="93"/>
      <c r="I829" s="93"/>
      <c r="J829" s="93"/>
      <c r="K829" s="93"/>
      <c r="L829" s="93"/>
    </row>
    <row r="830" spans="4:12" x14ac:dyDescent="0.25">
      <c r="D830" s="93"/>
      <c r="E830" s="93"/>
      <c r="F830" s="93"/>
      <c r="G830" s="93"/>
      <c r="H830" s="93"/>
      <c r="I830" s="93"/>
      <c r="J830" s="93"/>
      <c r="K830" s="93"/>
      <c r="L830" s="93"/>
    </row>
    <row r="831" spans="4:12" x14ac:dyDescent="0.25">
      <c r="D831" s="93"/>
      <c r="E831" s="93"/>
      <c r="F831" s="93"/>
      <c r="G831" s="93"/>
      <c r="H831" s="93"/>
      <c r="I831" s="93"/>
      <c r="J831" s="93"/>
      <c r="K831" s="93"/>
      <c r="L831" s="93"/>
    </row>
    <row r="832" spans="4:12" x14ac:dyDescent="0.25">
      <c r="D832" s="93"/>
      <c r="E832" s="93"/>
      <c r="F832" s="93"/>
      <c r="G832" s="93"/>
      <c r="H832" s="93"/>
      <c r="I832" s="93"/>
      <c r="J832" s="93"/>
      <c r="K832" s="93"/>
      <c r="L832" s="93"/>
    </row>
    <row r="833" spans="4:12" x14ac:dyDescent="0.25">
      <c r="D833" s="93"/>
      <c r="E833" s="93"/>
      <c r="F833" s="93"/>
      <c r="G833" s="93"/>
      <c r="H833" s="93"/>
      <c r="I833" s="93"/>
      <c r="J833" s="93"/>
      <c r="K833" s="93"/>
      <c r="L833" s="93"/>
    </row>
    <row r="834" spans="4:12" x14ac:dyDescent="0.25">
      <c r="D834" s="93"/>
      <c r="E834" s="93"/>
      <c r="F834" s="93"/>
      <c r="G834" s="93"/>
      <c r="H834" s="93"/>
      <c r="I834" s="93"/>
      <c r="J834" s="93"/>
      <c r="K834" s="93"/>
      <c r="L834" s="93"/>
    </row>
    <row r="835" spans="4:12" x14ac:dyDescent="0.25">
      <c r="D835" s="93"/>
      <c r="E835" s="93"/>
      <c r="F835" s="93"/>
      <c r="G835" s="93"/>
      <c r="H835" s="93"/>
      <c r="I835" s="93"/>
      <c r="J835" s="93"/>
      <c r="K835" s="93"/>
      <c r="L835" s="93"/>
    </row>
    <row r="836" spans="4:12" x14ac:dyDescent="0.25">
      <c r="D836" s="93"/>
      <c r="E836" s="93"/>
      <c r="F836" s="93"/>
      <c r="G836" s="93"/>
      <c r="H836" s="93"/>
      <c r="I836" s="93"/>
      <c r="J836" s="93"/>
      <c r="K836" s="93"/>
      <c r="L836" s="93"/>
    </row>
    <row r="837" spans="4:12" x14ac:dyDescent="0.25">
      <c r="D837" s="93"/>
      <c r="E837" s="93"/>
      <c r="F837" s="93"/>
      <c r="G837" s="93"/>
      <c r="H837" s="93"/>
      <c r="I837" s="93"/>
      <c r="J837" s="93"/>
      <c r="K837" s="93"/>
      <c r="L837" s="93"/>
    </row>
    <row r="838" spans="4:12" x14ac:dyDescent="0.25">
      <c r="D838" s="93"/>
      <c r="E838" s="93"/>
      <c r="F838" s="93"/>
      <c r="G838" s="93"/>
      <c r="H838" s="93"/>
      <c r="I838" s="93"/>
      <c r="J838" s="93"/>
      <c r="K838" s="93"/>
      <c r="L838" s="93"/>
    </row>
    <row r="839" spans="4:12" x14ac:dyDescent="0.25">
      <c r="D839" s="93"/>
      <c r="E839" s="93"/>
      <c r="F839" s="93"/>
      <c r="G839" s="93"/>
      <c r="H839" s="93"/>
      <c r="I839" s="93"/>
      <c r="J839" s="93"/>
      <c r="K839" s="93"/>
      <c r="L839" s="93"/>
    </row>
    <row r="840" spans="4:12" x14ac:dyDescent="0.25">
      <c r="D840" s="93"/>
      <c r="E840" s="93"/>
      <c r="F840" s="93"/>
      <c r="G840" s="93"/>
      <c r="H840" s="93"/>
      <c r="I840" s="93"/>
      <c r="J840" s="93"/>
      <c r="K840" s="93"/>
      <c r="L840" s="93"/>
    </row>
    <row r="841" spans="4:12" x14ac:dyDescent="0.25">
      <c r="D841" s="93"/>
      <c r="E841" s="93"/>
      <c r="F841" s="93"/>
      <c r="G841" s="93"/>
      <c r="H841" s="93"/>
      <c r="I841" s="93"/>
      <c r="J841" s="93"/>
      <c r="K841" s="93"/>
      <c r="L841" s="93"/>
    </row>
    <row r="842" spans="4:12" x14ac:dyDescent="0.25">
      <c r="D842" s="93"/>
      <c r="E842" s="93"/>
      <c r="F842" s="93"/>
      <c r="G842" s="93"/>
      <c r="H842" s="93"/>
      <c r="I842" s="93"/>
      <c r="J842" s="93"/>
      <c r="K842" s="93"/>
      <c r="L842" s="93"/>
    </row>
    <row r="843" spans="4:12" x14ac:dyDescent="0.25">
      <c r="D843" s="93"/>
      <c r="E843" s="93"/>
      <c r="F843" s="93"/>
      <c r="G843" s="93"/>
      <c r="H843" s="93"/>
      <c r="I843" s="93"/>
      <c r="J843" s="93"/>
      <c r="K843" s="93"/>
      <c r="L843" s="93"/>
    </row>
    <row r="844" spans="4:12" x14ac:dyDescent="0.25">
      <c r="D844" s="93"/>
      <c r="E844" s="93"/>
      <c r="F844" s="93"/>
      <c r="G844" s="93"/>
      <c r="H844" s="93"/>
      <c r="I844" s="93"/>
      <c r="J844" s="93"/>
      <c r="K844" s="93"/>
      <c r="L844" s="93"/>
    </row>
    <row r="845" spans="4:12" x14ac:dyDescent="0.25">
      <c r="D845" s="93"/>
      <c r="E845" s="93"/>
      <c r="F845" s="93"/>
      <c r="G845" s="93"/>
      <c r="H845" s="93"/>
      <c r="I845" s="93"/>
      <c r="J845" s="93"/>
      <c r="K845" s="93"/>
      <c r="L845" s="93"/>
    </row>
    <row r="846" spans="4:12" x14ac:dyDescent="0.25">
      <c r="D846" s="93"/>
      <c r="E846" s="93"/>
      <c r="F846" s="93"/>
      <c r="G846" s="93"/>
      <c r="H846" s="93"/>
      <c r="I846" s="93"/>
      <c r="J846" s="93"/>
      <c r="K846" s="93"/>
      <c r="L846" s="93"/>
    </row>
    <row r="847" spans="4:12" x14ac:dyDescent="0.25">
      <c r="D847" s="93"/>
      <c r="E847" s="93"/>
      <c r="F847" s="93"/>
      <c r="G847" s="93"/>
      <c r="H847" s="93"/>
      <c r="I847" s="93"/>
      <c r="J847" s="93"/>
      <c r="K847" s="93"/>
      <c r="L847" s="93"/>
    </row>
    <row r="848" spans="4:12" x14ac:dyDescent="0.25">
      <c r="D848" s="93"/>
      <c r="E848" s="93"/>
      <c r="F848" s="93"/>
      <c r="G848" s="93"/>
      <c r="H848" s="93"/>
      <c r="I848" s="93"/>
      <c r="J848" s="93"/>
      <c r="K848" s="93"/>
      <c r="L848" s="93"/>
    </row>
    <row r="849" spans="4:12" x14ac:dyDescent="0.25">
      <c r="D849" s="93"/>
      <c r="E849" s="93"/>
      <c r="F849" s="93"/>
      <c r="G849" s="93"/>
      <c r="H849" s="93"/>
      <c r="I849" s="93"/>
      <c r="J849" s="93"/>
      <c r="K849" s="93"/>
      <c r="L849" s="93"/>
    </row>
    <row r="850" spans="4:12" x14ac:dyDescent="0.25">
      <c r="D850" s="93"/>
      <c r="E850" s="93"/>
      <c r="F850" s="93"/>
      <c r="G850" s="93"/>
      <c r="H850" s="93"/>
      <c r="I850" s="93"/>
      <c r="J850" s="93"/>
      <c r="K850" s="93"/>
      <c r="L850" s="93"/>
    </row>
    <row r="851" spans="4:12" x14ac:dyDescent="0.25">
      <c r="D851" s="93"/>
      <c r="E851" s="93"/>
      <c r="F851" s="93"/>
      <c r="G851" s="93"/>
      <c r="H851" s="93"/>
      <c r="I851" s="93"/>
      <c r="J851" s="93"/>
      <c r="K851" s="93"/>
      <c r="L851" s="93"/>
    </row>
    <row r="852" spans="4:12" x14ac:dyDescent="0.25">
      <c r="D852" s="93"/>
      <c r="E852" s="93"/>
      <c r="F852" s="93"/>
      <c r="G852" s="93"/>
      <c r="H852" s="93"/>
      <c r="I852" s="93"/>
      <c r="J852" s="93"/>
      <c r="K852" s="93"/>
      <c r="L852" s="93"/>
    </row>
    <row r="853" spans="4:12" x14ac:dyDescent="0.25">
      <c r="D853" s="93"/>
      <c r="E853" s="93"/>
      <c r="F853" s="93"/>
      <c r="G853" s="93"/>
      <c r="H853" s="93"/>
      <c r="I853" s="93"/>
      <c r="J853" s="93"/>
      <c r="K853" s="93"/>
      <c r="L853" s="93"/>
    </row>
    <row r="854" spans="4:12" x14ac:dyDescent="0.25">
      <c r="D854" s="93"/>
      <c r="E854" s="93"/>
      <c r="F854" s="93"/>
      <c r="G854" s="93"/>
      <c r="H854" s="93"/>
      <c r="I854" s="93"/>
      <c r="J854" s="93"/>
      <c r="K854" s="93"/>
      <c r="L854" s="93"/>
    </row>
    <row r="855" spans="4:12" x14ac:dyDescent="0.25">
      <c r="D855" s="93"/>
      <c r="E855" s="93"/>
      <c r="F855" s="93"/>
      <c r="G855" s="93"/>
      <c r="H855" s="93"/>
      <c r="I855" s="93"/>
      <c r="J855" s="93"/>
      <c r="K855" s="93"/>
      <c r="L855" s="93"/>
    </row>
    <row r="856" spans="4:12" x14ac:dyDescent="0.25">
      <c r="D856" s="93"/>
      <c r="E856" s="93"/>
      <c r="F856" s="93"/>
      <c r="G856" s="93"/>
      <c r="H856" s="93"/>
      <c r="I856" s="93"/>
      <c r="J856" s="93"/>
      <c r="K856" s="93"/>
      <c r="L856" s="93"/>
    </row>
    <row r="857" spans="4:12" x14ac:dyDescent="0.25">
      <c r="D857" s="93"/>
      <c r="E857" s="93"/>
      <c r="F857" s="93"/>
      <c r="G857" s="93"/>
      <c r="H857" s="93"/>
      <c r="I857" s="93"/>
      <c r="J857" s="93"/>
      <c r="K857" s="93"/>
      <c r="L857" s="93"/>
    </row>
    <row r="858" spans="4:12" x14ac:dyDescent="0.25">
      <c r="D858" s="93"/>
      <c r="E858" s="93"/>
      <c r="F858" s="93"/>
      <c r="G858" s="93"/>
      <c r="H858" s="93"/>
      <c r="I858" s="93"/>
      <c r="J858" s="93"/>
      <c r="K858" s="93"/>
      <c r="L858" s="93"/>
    </row>
    <row r="859" spans="4:12" x14ac:dyDescent="0.25">
      <c r="D859" s="93"/>
      <c r="E859" s="93"/>
      <c r="F859" s="93"/>
      <c r="G859" s="93"/>
      <c r="H859" s="93"/>
      <c r="I859" s="93"/>
      <c r="J859" s="93"/>
      <c r="K859" s="93"/>
      <c r="L859" s="93"/>
    </row>
    <row r="860" spans="4:12" x14ac:dyDescent="0.25">
      <c r="D860" s="93"/>
      <c r="E860" s="93"/>
      <c r="F860" s="93"/>
      <c r="G860" s="93"/>
      <c r="H860" s="93"/>
      <c r="I860" s="93"/>
      <c r="J860" s="93"/>
      <c r="K860" s="93"/>
      <c r="L860" s="93"/>
    </row>
    <row r="861" spans="4:12" x14ac:dyDescent="0.25">
      <c r="D861" s="93"/>
      <c r="E861" s="93"/>
      <c r="F861" s="93"/>
      <c r="G861" s="93"/>
      <c r="H861" s="93"/>
      <c r="I861" s="93"/>
      <c r="J861" s="93"/>
      <c r="K861" s="93"/>
      <c r="L861" s="93"/>
    </row>
    <row r="862" spans="4:12" x14ac:dyDescent="0.25">
      <c r="D862" s="93"/>
      <c r="E862" s="93"/>
      <c r="F862" s="93"/>
      <c r="G862" s="93"/>
      <c r="H862" s="93"/>
      <c r="I862" s="93"/>
      <c r="J862" s="93"/>
      <c r="K862" s="93"/>
      <c r="L862" s="93"/>
    </row>
    <row r="863" spans="4:12" x14ac:dyDescent="0.25">
      <c r="D863" s="93"/>
      <c r="E863" s="93"/>
      <c r="F863" s="93"/>
      <c r="G863" s="93"/>
      <c r="H863" s="93"/>
      <c r="I863" s="93"/>
      <c r="J863" s="93"/>
      <c r="K863" s="93"/>
      <c r="L863" s="93"/>
    </row>
    <row r="864" spans="4:12" x14ac:dyDescent="0.25">
      <c r="D864" s="93"/>
      <c r="E864" s="93"/>
      <c r="F864" s="93"/>
      <c r="G864" s="93"/>
      <c r="H864" s="93"/>
      <c r="I864" s="93"/>
      <c r="J864" s="93"/>
      <c r="K864" s="93"/>
      <c r="L864" s="93"/>
    </row>
    <row r="865" spans="4:12" x14ac:dyDescent="0.25">
      <c r="D865" s="93"/>
      <c r="E865" s="93"/>
      <c r="F865" s="93"/>
      <c r="G865" s="93"/>
      <c r="H865" s="93"/>
      <c r="I865" s="93"/>
      <c r="J865" s="93"/>
      <c r="K865" s="93"/>
      <c r="L865" s="93"/>
    </row>
    <row r="866" spans="4:12" x14ac:dyDescent="0.25">
      <c r="D866" s="93"/>
      <c r="E866" s="93"/>
      <c r="F866" s="93"/>
      <c r="G866" s="93"/>
      <c r="H866" s="93"/>
      <c r="I866" s="93"/>
      <c r="J866" s="93"/>
      <c r="K866" s="93"/>
      <c r="L866" s="93"/>
    </row>
    <row r="867" spans="4:12" x14ac:dyDescent="0.25">
      <c r="D867" s="93"/>
      <c r="E867" s="93"/>
      <c r="F867" s="93"/>
      <c r="G867" s="93"/>
      <c r="H867" s="93"/>
      <c r="I867" s="93"/>
      <c r="J867" s="93"/>
      <c r="K867" s="93"/>
      <c r="L867" s="93"/>
    </row>
    <row r="868" spans="4:12" x14ac:dyDescent="0.25">
      <c r="D868" s="93"/>
      <c r="E868" s="93"/>
      <c r="F868" s="93"/>
      <c r="G868" s="93"/>
      <c r="H868" s="93"/>
      <c r="I868" s="93"/>
      <c r="J868" s="93"/>
      <c r="K868" s="93"/>
      <c r="L868" s="93"/>
    </row>
    <row r="869" spans="4:12" x14ac:dyDescent="0.25">
      <c r="D869" s="93"/>
      <c r="E869" s="93"/>
      <c r="F869" s="93"/>
      <c r="G869" s="93"/>
      <c r="H869" s="93"/>
      <c r="I869" s="93"/>
      <c r="J869" s="93"/>
      <c r="K869" s="93"/>
      <c r="L869" s="93"/>
    </row>
    <row r="870" spans="4:12" x14ac:dyDescent="0.25">
      <c r="D870" s="93"/>
      <c r="E870" s="93"/>
      <c r="F870" s="93"/>
      <c r="G870" s="93"/>
      <c r="H870" s="93"/>
      <c r="I870" s="93"/>
      <c r="J870" s="93"/>
      <c r="K870" s="93"/>
      <c r="L870" s="93"/>
    </row>
    <row r="871" spans="4:12" x14ac:dyDescent="0.25">
      <c r="D871" s="93"/>
      <c r="E871" s="93"/>
      <c r="F871" s="93"/>
      <c r="G871" s="93"/>
      <c r="H871" s="93"/>
      <c r="I871" s="93"/>
      <c r="J871" s="93"/>
      <c r="K871" s="93"/>
      <c r="L871" s="93"/>
    </row>
    <row r="872" spans="4:12" x14ac:dyDescent="0.25">
      <c r="D872" s="93"/>
      <c r="E872" s="93"/>
      <c r="F872" s="93"/>
      <c r="G872" s="93"/>
      <c r="H872" s="93"/>
      <c r="I872" s="93"/>
      <c r="J872" s="93"/>
      <c r="K872" s="93"/>
      <c r="L872" s="93"/>
    </row>
    <row r="873" spans="4:12" x14ac:dyDescent="0.25">
      <c r="D873" s="93"/>
      <c r="E873" s="93"/>
      <c r="F873" s="93"/>
      <c r="G873" s="93"/>
      <c r="H873" s="93"/>
      <c r="I873" s="93"/>
      <c r="J873" s="93"/>
      <c r="K873" s="93"/>
      <c r="L873" s="93"/>
    </row>
    <row r="874" spans="4:12" x14ac:dyDescent="0.25">
      <c r="D874" s="93"/>
      <c r="E874" s="93"/>
      <c r="F874" s="93"/>
      <c r="G874" s="93"/>
      <c r="H874" s="93"/>
      <c r="I874" s="93"/>
      <c r="J874" s="93"/>
      <c r="K874" s="93"/>
      <c r="L874" s="93"/>
    </row>
    <row r="875" spans="4:12" x14ac:dyDescent="0.25">
      <c r="D875" s="93"/>
      <c r="E875" s="93"/>
      <c r="F875" s="93"/>
      <c r="G875" s="93"/>
      <c r="H875" s="93"/>
      <c r="I875" s="93"/>
      <c r="J875" s="93"/>
      <c r="K875" s="93"/>
      <c r="L875" s="93"/>
    </row>
    <row r="876" spans="4:12" x14ac:dyDescent="0.25">
      <c r="D876" s="93"/>
      <c r="E876" s="93"/>
      <c r="F876" s="93"/>
      <c r="G876" s="93"/>
      <c r="H876" s="93"/>
      <c r="I876" s="93"/>
      <c r="J876" s="93"/>
      <c r="K876" s="93"/>
      <c r="L876" s="93"/>
    </row>
    <row r="877" spans="4:12" x14ac:dyDescent="0.25">
      <c r="D877" s="93"/>
      <c r="E877" s="93"/>
      <c r="F877" s="93"/>
      <c r="G877" s="93"/>
      <c r="H877" s="93"/>
      <c r="I877" s="93"/>
      <c r="J877" s="93"/>
      <c r="K877" s="93"/>
      <c r="L877" s="93"/>
    </row>
    <row r="878" spans="4:12" x14ac:dyDescent="0.25">
      <c r="D878" s="93"/>
      <c r="E878" s="93"/>
      <c r="F878" s="93"/>
      <c r="G878" s="93"/>
      <c r="H878" s="93"/>
      <c r="I878" s="93"/>
      <c r="J878" s="93"/>
      <c r="K878" s="93"/>
      <c r="L878" s="93"/>
    </row>
    <row r="879" spans="4:12" x14ac:dyDescent="0.25">
      <c r="D879" s="93"/>
      <c r="E879" s="93"/>
      <c r="F879" s="93"/>
      <c r="G879" s="93"/>
      <c r="H879" s="93"/>
      <c r="I879" s="93"/>
      <c r="J879" s="93"/>
      <c r="K879" s="93"/>
      <c r="L879" s="93"/>
    </row>
    <row r="880" spans="4:12" x14ac:dyDescent="0.25">
      <c r="D880" s="93"/>
      <c r="E880" s="93"/>
      <c r="F880" s="93"/>
      <c r="G880" s="93"/>
      <c r="H880" s="93"/>
      <c r="I880" s="93"/>
      <c r="J880" s="93"/>
      <c r="K880" s="93"/>
      <c r="L880" s="93"/>
    </row>
    <row r="881" spans="4:12" x14ac:dyDescent="0.25">
      <c r="D881" s="93"/>
      <c r="E881" s="93"/>
      <c r="F881" s="93"/>
      <c r="G881" s="93"/>
      <c r="H881" s="93"/>
      <c r="I881" s="93"/>
      <c r="J881" s="93"/>
      <c r="K881" s="93"/>
      <c r="L881" s="93"/>
    </row>
    <row r="882" spans="4:12" x14ac:dyDescent="0.25">
      <c r="D882" s="93"/>
      <c r="E882" s="93"/>
      <c r="F882" s="93"/>
      <c r="G882" s="93"/>
      <c r="H882" s="93"/>
      <c r="I882" s="93"/>
      <c r="J882" s="93"/>
      <c r="K882" s="93"/>
      <c r="L882" s="93"/>
    </row>
    <row r="883" spans="4:12" x14ac:dyDescent="0.25">
      <c r="D883" s="93"/>
      <c r="E883" s="93"/>
      <c r="F883" s="93"/>
      <c r="G883" s="93"/>
      <c r="H883" s="93"/>
      <c r="I883" s="93"/>
      <c r="J883" s="93"/>
      <c r="K883" s="93"/>
      <c r="L883" s="93"/>
    </row>
    <row r="884" spans="4:12" x14ac:dyDescent="0.25">
      <c r="D884" s="93"/>
      <c r="E884" s="93"/>
      <c r="F884" s="93"/>
      <c r="G884" s="93"/>
      <c r="H884" s="93"/>
      <c r="I884" s="93"/>
      <c r="J884" s="93"/>
      <c r="K884" s="93"/>
      <c r="L884" s="93"/>
    </row>
    <row r="885" spans="4:12" x14ac:dyDescent="0.25">
      <c r="D885" s="93"/>
      <c r="E885" s="93"/>
      <c r="F885" s="93"/>
      <c r="G885" s="93"/>
      <c r="H885" s="93"/>
      <c r="I885" s="93"/>
      <c r="J885" s="93"/>
      <c r="K885" s="93"/>
      <c r="L885" s="93"/>
    </row>
    <row r="886" spans="4:12" x14ac:dyDescent="0.25">
      <c r="D886" s="93"/>
      <c r="E886" s="93"/>
      <c r="F886" s="93"/>
      <c r="G886" s="93"/>
      <c r="H886" s="93"/>
      <c r="I886" s="93"/>
      <c r="J886" s="93"/>
      <c r="K886" s="93"/>
      <c r="L886" s="93"/>
    </row>
    <row r="887" spans="4:12" x14ac:dyDescent="0.25">
      <c r="D887" s="93"/>
      <c r="E887" s="93"/>
      <c r="F887" s="93"/>
      <c r="G887" s="93"/>
      <c r="H887" s="93"/>
      <c r="I887" s="93"/>
      <c r="J887" s="93"/>
      <c r="K887" s="93"/>
      <c r="L887" s="93"/>
    </row>
    <row r="888" spans="4:12" x14ac:dyDescent="0.25">
      <c r="D888" s="93"/>
      <c r="E888" s="93"/>
      <c r="F888" s="93"/>
      <c r="G888" s="93"/>
      <c r="H888" s="93"/>
      <c r="I888" s="93"/>
      <c r="J888" s="93"/>
      <c r="K888" s="93"/>
      <c r="L888" s="93"/>
    </row>
    <row r="889" spans="4:12" x14ac:dyDescent="0.25">
      <c r="D889" s="93"/>
      <c r="E889" s="93"/>
      <c r="F889" s="93"/>
      <c r="G889" s="93"/>
      <c r="H889" s="93"/>
      <c r="I889" s="93"/>
      <c r="J889" s="93"/>
      <c r="K889" s="93"/>
      <c r="L889" s="93"/>
    </row>
    <row r="890" spans="4:12" x14ac:dyDescent="0.25">
      <c r="D890" s="93"/>
      <c r="E890" s="93"/>
      <c r="F890" s="93"/>
      <c r="G890" s="93"/>
      <c r="H890" s="93"/>
      <c r="I890" s="93"/>
      <c r="J890" s="93"/>
      <c r="K890" s="93"/>
      <c r="L890" s="93"/>
    </row>
    <row r="891" spans="4:12" x14ac:dyDescent="0.25">
      <c r="D891" s="93"/>
      <c r="E891" s="93"/>
      <c r="F891" s="93"/>
      <c r="G891" s="93"/>
      <c r="H891" s="93"/>
      <c r="I891" s="93"/>
      <c r="J891" s="93"/>
      <c r="K891" s="93"/>
      <c r="L891" s="93"/>
    </row>
    <row r="892" spans="4:12" x14ac:dyDescent="0.25">
      <c r="D892" s="93"/>
      <c r="E892" s="93"/>
      <c r="F892" s="93"/>
      <c r="G892" s="93"/>
      <c r="H892" s="93"/>
      <c r="I892" s="93"/>
      <c r="J892" s="93"/>
      <c r="K892" s="93"/>
      <c r="L892" s="93"/>
    </row>
    <row r="893" spans="4:12" x14ac:dyDescent="0.25">
      <c r="D893" s="93"/>
      <c r="E893" s="93"/>
      <c r="F893" s="93"/>
      <c r="G893" s="93"/>
      <c r="H893" s="93"/>
      <c r="I893" s="93"/>
      <c r="J893" s="93"/>
      <c r="K893" s="93"/>
      <c r="L893" s="93"/>
    </row>
    <row r="894" spans="4:12" x14ac:dyDescent="0.25">
      <c r="D894" s="93"/>
      <c r="E894" s="93"/>
      <c r="F894" s="93"/>
      <c r="G894" s="93"/>
      <c r="H894" s="93"/>
      <c r="I894" s="93"/>
      <c r="J894" s="93"/>
      <c r="K894" s="93"/>
      <c r="L894" s="93"/>
    </row>
    <row r="895" spans="4:12" x14ac:dyDescent="0.25">
      <c r="D895" s="93"/>
      <c r="E895" s="93"/>
      <c r="F895" s="93"/>
      <c r="G895" s="93"/>
      <c r="H895" s="93"/>
      <c r="I895" s="93"/>
      <c r="J895" s="93"/>
      <c r="K895" s="93"/>
      <c r="L895" s="93"/>
    </row>
    <row r="896" spans="4:12" x14ac:dyDescent="0.25">
      <c r="D896" s="93"/>
      <c r="E896" s="93"/>
      <c r="F896" s="93"/>
      <c r="G896" s="93"/>
      <c r="H896" s="93"/>
      <c r="I896" s="93"/>
      <c r="J896" s="93"/>
      <c r="K896" s="93"/>
      <c r="L896" s="93"/>
    </row>
    <row r="897" spans="4:12" x14ac:dyDescent="0.25">
      <c r="D897" s="93"/>
      <c r="E897" s="93"/>
      <c r="F897" s="93"/>
      <c r="G897" s="93"/>
      <c r="H897" s="93"/>
      <c r="I897" s="93"/>
      <c r="J897" s="93"/>
      <c r="K897" s="93"/>
      <c r="L897" s="93"/>
    </row>
    <row r="898" spans="4:12" x14ac:dyDescent="0.25">
      <c r="D898" s="93"/>
      <c r="E898" s="93"/>
      <c r="F898" s="93"/>
      <c r="G898" s="93"/>
      <c r="H898" s="93"/>
      <c r="I898" s="93"/>
      <c r="J898" s="93"/>
      <c r="K898" s="93"/>
      <c r="L898" s="93"/>
    </row>
    <row r="899" spans="4:12" x14ac:dyDescent="0.25">
      <c r="D899" s="93"/>
      <c r="E899" s="93"/>
      <c r="F899" s="93"/>
      <c r="G899" s="93"/>
      <c r="H899" s="93"/>
      <c r="I899" s="93"/>
      <c r="J899" s="93"/>
      <c r="K899" s="93"/>
      <c r="L899" s="93"/>
    </row>
    <row r="900" spans="4:12" x14ac:dyDescent="0.25">
      <c r="D900" s="93"/>
      <c r="E900" s="93"/>
      <c r="F900" s="93"/>
      <c r="G900" s="93"/>
      <c r="H900" s="93"/>
      <c r="I900" s="93"/>
      <c r="J900" s="93"/>
      <c r="K900" s="93"/>
      <c r="L900" s="93"/>
    </row>
    <row r="901" spans="4:12" x14ac:dyDescent="0.25">
      <c r="D901" s="93"/>
      <c r="E901" s="93"/>
      <c r="F901" s="93"/>
      <c r="G901" s="93"/>
      <c r="H901" s="93"/>
      <c r="I901" s="93"/>
      <c r="J901" s="93"/>
      <c r="K901" s="93"/>
      <c r="L901" s="93"/>
    </row>
    <row r="902" spans="4:12" x14ac:dyDescent="0.25">
      <c r="D902" s="93"/>
      <c r="E902" s="93"/>
      <c r="F902" s="93"/>
      <c r="G902" s="93"/>
      <c r="H902" s="93"/>
      <c r="I902" s="93"/>
      <c r="J902" s="93"/>
      <c r="K902" s="93"/>
      <c r="L902" s="93"/>
    </row>
    <row r="903" spans="4:12" x14ac:dyDescent="0.25">
      <c r="D903" s="93"/>
      <c r="E903" s="93"/>
      <c r="F903" s="93"/>
      <c r="G903" s="93"/>
      <c r="H903" s="93"/>
      <c r="I903" s="93"/>
      <c r="J903" s="93"/>
      <c r="K903" s="93"/>
      <c r="L903" s="93"/>
    </row>
    <row r="904" spans="4:12" x14ac:dyDescent="0.25">
      <c r="D904" s="93"/>
      <c r="E904" s="93"/>
      <c r="F904" s="93"/>
      <c r="G904" s="93"/>
      <c r="H904" s="93"/>
      <c r="I904" s="93"/>
      <c r="J904" s="93"/>
      <c r="K904" s="93"/>
      <c r="L904" s="93"/>
    </row>
    <row r="905" spans="4:12" x14ac:dyDescent="0.25">
      <c r="D905" s="93"/>
      <c r="E905" s="93"/>
      <c r="F905" s="93"/>
      <c r="G905" s="93"/>
      <c r="H905" s="93"/>
      <c r="I905" s="93"/>
      <c r="J905" s="93"/>
      <c r="K905" s="93"/>
      <c r="L905" s="93"/>
    </row>
    <row r="906" spans="4:12" x14ac:dyDescent="0.25">
      <c r="D906" s="93"/>
      <c r="E906" s="93"/>
      <c r="F906" s="93"/>
      <c r="G906" s="93"/>
      <c r="H906" s="93"/>
      <c r="I906" s="93"/>
      <c r="J906" s="93"/>
      <c r="K906" s="93"/>
      <c r="L906" s="93"/>
    </row>
    <row r="907" spans="4:12" x14ac:dyDescent="0.25">
      <c r="D907" s="93"/>
      <c r="E907" s="93"/>
      <c r="F907" s="93"/>
      <c r="G907" s="93"/>
      <c r="H907" s="93"/>
      <c r="I907" s="93"/>
      <c r="J907" s="93"/>
      <c r="K907" s="93"/>
      <c r="L907" s="93"/>
    </row>
    <row r="908" spans="4:12" x14ac:dyDescent="0.25">
      <c r="D908" s="93"/>
      <c r="E908" s="93"/>
      <c r="F908" s="93"/>
      <c r="G908" s="93"/>
      <c r="H908" s="93"/>
      <c r="I908" s="93"/>
      <c r="J908" s="93"/>
      <c r="K908" s="93"/>
      <c r="L908" s="93"/>
    </row>
    <row r="909" spans="4:12" x14ac:dyDescent="0.25">
      <c r="D909" s="93"/>
      <c r="E909" s="93"/>
      <c r="F909" s="93"/>
      <c r="G909" s="93"/>
      <c r="H909" s="93"/>
      <c r="I909" s="93"/>
      <c r="J909" s="93"/>
      <c r="K909" s="93"/>
      <c r="L909" s="93"/>
    </row>
    <row r="910" spans="4:12" x14ac:dyDescent="0.25">
      <c r="D910" s="93"/>
      <c r="E910" s="93"/>
      <c r="F910" s="93"/>
      <c r="G910" s="93"/>
      <c r="H910" s="93"/>
      <c r="I910" s="93"/>
      <c r="J910" s="93"/>
      <c r="K910" s="93"/>
      <c r="L910" s="93"/>
    </row>
    <row r="911" spans="4:12" x14ac:dyDescent="0.25">
      <c r="D911" s="93"/>
      <c r="E911" s="93"/>
      <c r="F911" s="93"/>
      <c r="G911" s="93"/>
      <c r="H911" s="93"/>
      <c r="I911" s="93"/>
      <c r="J911" s="93"/>
      <c r="K911" s="93"/>
      <c r="L911" s="93"/>
    </row>
    <row r="912" spans="4:12" x14ac:dyDescent="0.25">
      <c r="D912" s="93"/>
      <c r="E912" s="93"/>
      <c r="F912" s="93"/>
      <c r="G912" s="93"/>
      <c r="H912" s="93"/>
      <c r="I912" s="93"/>
      <c r="J912" s="93"/>
      <c r="K912" s="93"/>
      <c r="L912" s="93"/>
    </row>
    <row r="913" spans="4:12" x14ac:dyDescent="0.25">
      <c r="D913" s="93"/>
      <c r="E913" s="93"/>
      <c r="F913" s="93"/>
      <c r="G913" s="93"/>
      <c r="H913" s="93"/>
      <c r="I913" s="93"/>
      <c r="J913" s="93"/>
      <c r="K913" s="93"/>
      <c r="L913" s="93"/>
    </row>
    <row r="914" spans="4:12" x14ac:dyDescent="0.25">
      <c r="D914" s="93"/>
      <c r="E914" s="93"/>
      <c r="F914" s="93"/>
      <c r="G914" s="93"/>
      <c r="H914" s="93"/>
      <c r="I914" s="93"/>
      <c r="J914" s="93"/>
      <c r="K914" s="93"/>
      <c r="L914" s="93"/>
    </row>
    <row r="915" spans="4:12" x14ac:dyDescent="0.25">
      <c r="D915" s="93"/>
      <c r="E915" s="93"/>
      <c r="F915" s="93"/>
      <c r="G915" s="93"/>
      <c r="H915" s="93"/>
      <c r="I915" s="93"/>
      <c r="J915" s="93"/>
      <c r="K915" s="93"/>
      <c r="L915" s="93"/>
    </row>
    <row r="916" spans="4:12" x14ac:dyDescent="0.25">
      <c r="D916" s="93"/>
      <c r="E916" s="93"/>
      <c r="F916" s="93"/>
      <c r="G916" s="93"/>
      <c r="H916" s="93"/>
      <c r="I916" s="93"/>
      <c r="J916" s="93"/>
      <c r="K916" s="93"/>
      <c r="L916" s="93"/>
    </row>
    <row r="917" spans="4:12" x14ac:dyDescent="0.25">
      <c r="D917" s="93"/>
      <c r="E917" s="93"/>
      <c r="F917" s="93"/>
      <c r="G917" s="93"/>
      <c r="H917" s="93"/>
      <c r="I917" s="93"/>
      <c r="J917" s="93"/>
      <c r="K917" s="93"/>
      <c r="L917" s="93"/>
    </row>
    <row r="918" spans="4:12" x14ac:dyDescent="0.25">
      <c r="D918" s="93"/>
      <c r="E918" s="93"/>
      <c r="F918" s="93"/>
      <c r="G918" s="93"/>
      <c r="H918" s="93"/>
      <c r="I918" s="93"/>
      <c r="J918" s="93"/>
      <c r="K918" s="93"/>
      <c r="L918" s="93"/>
    </row>
    <row r="919" spans="4:12" x14ac:dyDescent="0.25">
      <c r="D919" s="93"/>
      <c r="E919" s="93"/>
      <c r="F919" s="93"/>
      <c r="G919" s="93"/>
      <c r="H919" s="93"/>
      <c r="I919" s="93"/>
      <c r="J919" s="93"/>
      <c r="K919" s="93"/>
      <c r="L919" s="93"/>
    </row>
    <row r="920" spans="4:12" x14ac:dyDescent="0.25">
      <c r="D920" s="93"/>
      <c r="E920" s="93"/>
      <c r="F920" s="93"/>
      <c r="G920" s="93"/>
      <c r="H920" s="93"/>
      <c r="I920" s="93"/>
      <c r="J920" s="93"/>
      <c r="K920" s="93"/>
      <c r="L920" s="93"/>
    </row>
    <row r="921" spans="4:12" x14ac:dyDescent="0.25">
      <c r="D921" s="93"/>
      <c r="E921" s="93"/>
      <c r="F921" s="93"/>
      <c r="G921" s="93"/>
      <c r="H921" s="93"/>
      <c r="I921" s="93"/>
      <c r="J921" s="93"/>
      <c r="K921" s="93"/>
      <c r="L921" s="93"/>
    </row>
    <row r="922" spans="4:12" x14ac:dyDescent="0.25">
      <c r="D922" s="93"/>
      <c r="E922" s="93"/>
      <c r="F922" s="93"/>
      <c r="G922" s="93"/>
      <c r="H922" s="93"/>
      <c r="I922" s="93"/>
      <c r="J922" s="93"/>
      <c r="K922" s="93"/>
      <c r="L922" s="93"/>
    </row>
    <row r="923" spans="4:12" x14ac:dyDescent="0.25">
      <c r="D923" s="93"/>
      <c r="E923" s="93"/>
      <c r="F923" s="93"/>
      <c r="G923" s="93"/>
      <c r="H923" s="93"/>
      <c r="I923" s="93"/>
      <c r="J923" s="93"/>
      <c r="K923" s="93"/>
      <c r="L923" s="93"/>
    </row>
    <row r="924" spans="4:12" x14ac:dyDescent="0.25">
      <c r="D924" s="93"/>
      <c r="E924" s="93"/>
      <c r="F924" s="93"/>
      <c r="G924" s="93"/>
      <c r="H924" s="93"/>
      <c r="I924" s="93"/>
      <c r="J924" s="93"/>
      <c r="K924" s="93"/>
      <c r="L924" s="93"/>
    </row>
    <row r="925" spans="4:12" x14ac:dyDescent="0.25">
      <c r="D925" s="93"/>
      <c r="E925" s="93"/>
      <c r="F925" s="93"/>
      <c r="G925" s="93"/>
      <c r="H925" s="93"/>
      <c r="I925" s="93"/>
      <c r="J925" s="93"/>
      <c r="K925" s="93"/>
      <c r="L925" s="93"/>
    </row>
    <row r="926" spans="4:12" x14ac:dyDescent="0.25">
      <c r="D926" s="93"/>
      <c r="E926" s="93"/>
      <c r="F926" s="93"/>
      <c r="G926" s="93"/>
      <c r="H926" s="93"/>
      <c r="I926" s="93"/>
      <c r="J926" s="93"/>
      <c r="K926" s="93"/>
      <c r="L926" s="93"/>
    </row>
    <row r="927" spans="4:12" x14ac:dyDescent="0.25">
      <c r="D927" s="93"/>
      <c r="E927" s="93"/>
      <c r="F927" s="93"/>
      <c r="G927" s="93"/>
      <c r="H927" s="93"/>
      <c r="I927" s="93"/>
      <c r="J927" s="93"/>
      <c r="K927" s="93"/>
      <c r="L927" s="93"/>
    </row>
    <row r="928" spans="4:12" x14ac:dyDescent="0.25">
      <c r="D928" s="93"/>
      <c r="E928" s="93"/>
      <c r="F928" s="93"/>
      <c r="G928" s="93"/>
      <c r="H928" s="93"/>
      <c r="I928" s="93"/>
      <c r="J928" s="93"/>
      <c r="K928" s="93"/>
      <c r="L928" s="93"/>
    </row>
    <row r="929" spans="4:12" x14ac:dyDescent="0.25">
      <c r="D929" s="93"/>
      <c r="E929" s="93"/>
      <c r="F929" s="93"/>
      <c r="G929" s="93"/>
      <c r="H929" s="93"/>
      <c r="I929" s="93"/>
      <c r="J929" s="93"/>
      <c r="K929" s="93"/>
      <c r="L929" s="93"/>
    </row>
    <row r="930" spans="4:12" x14ac:dyDescent="0.25">
      <c r="D930" s="93"/>
      <c r="E930" s="93"/>
      <c r="F930" s="93"/>
      <c r="G930" s="93"/>
      <c r="H930" s="93"/>
      <c r="I930" s="93"/>
      <c r="J930" s="93"/>
      <c r="K930" s="93"/>
      <c r="L930" s="93"/>
    </row>
    <row r="931" spans="4:12" x14ac:dyDescent="0.25">
      <c r="D931" s="93"/>
      <c r="E931" s="93"/>
      <c r="F931" s="93"/>
      <c r="G931" s="93"/>
      <c r="H931" s="93"/>
      <c r="I931" s="93"/>
      <c r="J931" s="93"/>
      <c r="K931" s="93"/>
      <c r="L931" s="93"/>
    </row>
    <row r="932" spans="4:12" x14ac:dyDescent="0.25">
      <c r="D932" s="93"/>
      <c r="E932" s="93"/>
      <c r="F932" s="93"/>
      <c r="G932" s="93"/>
      <c r="H932" s="93"/>
      <c r="I932" s="93"/>
      <c r="J932" s="93"/>
      <c r="K932" s="93"/>
      <c r="L932" s="93"/>
    </row>
    <row r="933" spans="4:12" x14ac:dyDescent="0.25">
      <c r="D933" s="93"/>
      <c r="E933" s="93"/>
      <c r="F933" s="93"/>
      <c r="G933" s="93"/>
      <c r="H933" s="93"/>
      <c r="I933" s="93"/>
      <c r="J933" s="93"/>
      <c r="K933" s="93"/>
      <c r="L933" s="93"/>
    </row>
    <row r="934" spans="4:12" x14ac:dyDescent="0.25">
      <c r="D934" s="93"/>
      <c r="E934" s="93"/>
      <c r="F934" s="93"/>
      <c r="G934" s="93"/>
      <c r="H934" s="93"/>
      <c r="I934" s="93"/>
      <c r="J934" s="93"/>
      <c r="K934" s="93"/>
      <c r="L934" s="93"/>
    </row>
    <row r="935" spans="4:12" x14ac:dyDescent="0.25">
      <c r="D935" s="93"/>
      <c r="E935" s="93"/>
      <c r="F935" s="93"/>
      <c r="G935" s="93"/>
      <c r="H935" s="93"/>
      <c r="I935" s="93"/>
      <c r="J935" s="93"/>
      <c r="K935" s="93"/>
      <c r="L935" s="93"/>
    </row>
    <row r="936" spans="4:12" x14ac:dyDescent="0.25">
      <c r="D936" s="93"/>
      <c r="E936" s="93"/>
      <c r="F936" s="93"/>
      <c r="G936" s="93"/>
      <c r="H936" s="93"/>
      <c r="I936" s="93"/>
      <c r="J936" s="93"/>
      <c r="K936" s="93"/>
      <c r="L936" s="93"/>
    </row>
    <row r="937" spans="4:12" x14ac:dyDescent="0.25">
      <c r="D937" s="93"/>
      <c r="E937" s="93"/>
      <c r="F937" s="93"/>
      <c r="G937" s="93"/>
      <c r="H937" s="93"/>
      <c r="I937" s="93"/>
      <c r="J937" s="93"/>
      <c r="K937" s="93"/>
      <c r="L937" s="93"/>
    </row>
    <row r="938" spans="4:12" x14ac:dyDescent="0.25">
      <c r="D938" s="93"/>
      <c r="E938" s="93"/>
      <c r="F938" s="93"/>
      <c r="G938" s="93"/>
      <c r="H938" s="93"/>
      <c r="I938" s="93"/>
      <c r="J938" s="93"/>
      <c r="K938" s="93"/>
      <c r="L938" s="93"/>
    </row>
    <row r="939" spans="4:12" x14ac:dyDescent="0.25">
      <c r="D939" s="93"/>
      <c r="E939" s="93"/>
      <c r="F939" s="93"/>
      <c r="G939" s="93"/>
      <c r="H939" s="93"/>
      <c r="I939" s="93"/>
      <c r="J939" s="93"/>
      <c r="K939" s="93"/>
      <c r="L939" s="93"/>
    </row>
    <row r="940" spans="4:12" x14ac:dyDescent="0.25">
      <c r="D940" s="93"/>
      <c r="E940" s="93"/>
      <c r="F940" s="93"/>
      <c r="G940" s="93"/>
      <c r="H940" s="93"/>
      <c r="I940" s="93"/>
      <c r="J940" s="93"/>
      <c r="K940" s="93"/>
      <c r="L940" s="93"/>
    </row>
    <row r="941" spans="4:12" x14ac:dyDescent="0.25">
      <c r="D941" s="93"/>
      <c r="E941" s="93"/>
      <c r="F941" s="93"/>
      <c r="G941" s="93"/>
      <c r="H941" s="93"/>
      <c r="I941" s="93"/>
      <c r="J941" s="93"/>
      <c r="K941" s="93"/>
      <c r="L941" s="93"/>
    </row>
    <row r="942" spans="4:12" x14ac:dyDescent="0.25">
      <c r="D942" s="93"/>
      <c r="E942" s="93"/>
      <c r="F942" s="93"/>
      <c r="G942" s="93"/>
      <c r="H942" s="93"/>
      <c r="I942" s="93"/>
      <c r="J942" s="93"/>
      <c r="K942" s="93"/>
      <c r="L942" s="93"/>
    </row>
    <row r="943" spans="4:12" x14ac:dyDescent="0.25">
      <c r="D943" s="93"/>
      <c r="E943" s="93"/>
      <c r="F943" s="93"/>
      <c r="G943" s="93"/>
      <c r="H943" s="93"/>
      <c r="I943" s="93"/>
      <c r="J943" s="93"/>
      <c r="K943" s="93"/>
      <c r="L943" s="93"/>
    </row>
    <row r="944" spans="4:12" x14ac:dyDescent="0.25">
      <c r="D944" s="93"/>
      <c r="E944" s="93"/>
      <c r="F944" s="93"/>
      <c r="G944" s="93"/>
      <c r="H944" s="93"/>
      <c r="I944" s="93"/>
      <c r="J944" s="93"/>
      <c r="K944" s="93"/>
      <c r="L944" s="93"/>
    </row>
    <row r="945" spans="4:12" x14ac:dyDescent="0.25">
      <c r="D945" s="93"/>
      <c r="E945" s="93"/>
      <c r="F945" s="93"/>
      <c r="G945" s="93"/>
      <c r="H945" s="93"/>
      <c r="I945" s="93"/>
      <c r="J945" s="93"/>
      <c r="K945" s="93"/>
      <c r="L945" s="93"/>
    </row>
    <row r="946" spans="4:12" x14ac:dyDescent="0.25">
      <c r="D946" s="93"/>
      <c r="E946" s="93"/>
      <c r="F946" s="93"/>
      <c r="G946" s="93"/>
      <c r="H946" s="93"/>
      <c r="I946" s="93"/>
      <c r="J946" s="93"/>
      <c r="K946" s="93"/>
      <c r="L946" s="93"/>
    </row>
    <row r="947" spans="4:12" x14ac:dyDescent="0.25">
      <c r="D947" s="93"/>
      <c r="E947" s="93"/>
      <c r="F947" s="93"/>
      <c r="G947" s="93"/>
      <c r="H947" s="93"/>
      <c r="I947" s="93"/>
      <c r="J947" s="93"/>
      <c r="K947" s="93"/>
      <c r="L947" s="93"/>
    </row>
    <row r="948" spans="4:12" x14ac:dyDescent="0.25">
      <c r="D948" s="93"/>
      <c r="E948" s="93"/>
      <c r="F948" s="93"/>
      <c r="G948" s="93"/>
      <c r="H948" s="93"/>
      <c r="I948" s="93"/>
      <c r="J948" s="93"/>
      <c r="K948" s="93"/>
      <c r="L948" s="93"/>
    </row>
    <row r="949" spans="4:12" x14ac:dyDescent="0.25">
      <c r="D949" s="93"/>
      <c r="E949" s="93"/>
      <c r="F949" s="93"/>
      <c r="G949" s="93"/>
      <c r="H949" s="93"/>
      <c r="I949" s="93"/>
      <c r="J949" s="93"/>
      <c r="K949" s="93"/>
      <c r="L949" s="93"/>
    </row>
    <row r="950" spans="4:12" x14ac:dyDescent="0.25">
      <c r="D950" s="93"/>
      <c r="E950" s="93"/>
      <c r="F950" s="93"/>
      <c r="G950" s="93"/>
      <c r="H950" s="93"/>
      <c r="I950" s="93"/>
      <c r="J950" s="93"/>
      <c r="K950" s="93"/>
      <c r="L950" s="93"/>
    </row>
    <row r="951" spans="4:12" x14ac:dyDescent="0.25">
      <c r="D951" s="93"/>
      <c r="E951" s="93"/>
      <c r="F951" s="93"/>
      <c r="G951" s="93"/>
      <c r="H951" s="93"/>
      <c r="I951" s="93"/>
      <c r="J951" s="93"/>
      <c r="K951" s="93"/>
      <c r="L951" s="93"/>
    </row>
    <row r="952" spans="4:12" x14ac:dyDescent="0.25">
      <c r="D952" s="93"/>
      <c r="E952" s="93"/>
      <c r="F952" s="93"/>
      <c r="G952" s="93"/>
      <c r="H952" s="93"/>
      <c r="I952" s="93"/>
      <c r="J952" s="93"/>
      <c r="K952" s="93"/>
      <c r="L952" s="93"/>
    </row>
    <row r="953" spans="4:12" x14ac:dyDescent="0.25">
      <c r="D953" s="93"/>
      <c r="E953" s="93"/>
      <c r="F953" s="93"/>
      <c r="G953" s="93"/>
      <c r="H953" s="93"/>
      <c r="I953" s="93"/>
      <c r="J953" s="93"/>
      <c r="K953" s="93"/>
      <c r="L953" s="93"/>
    </row>
    <row r="954" spans="4:12" x14ac:dyDescent="0.25">
      <c r="D954" s="93"/>
      <c r="E954" s="93"/>
      <c r="F954" s="93"/>
      <c r="G954" s="93"/>
      <c r="H954" s="93"/>
      <c r="I954" s="93"/>
      <c r="J954" s="93"/>
      <c r="K954" s="93"/>
      <c r="L954" s="93"/>
    </row>
    <row r="955" spans="4:12" x14ac:dyDescent="0.25">
      <c r="D955" s="93"/>
      <c r="E955" s="93"/>
      <c r="F955" s="93"/>
      <c r="G955" s="93"/>
      <c r="H955" s="93"/>
      <c r="I955" s="93"/>
      <c r="J955" s="93"/>
      <c r="K955" s="93"/>
      <c r="L955" s="93"/>
    </row>
    <row r="956" spans="4:12" x14ac:dyDescent="0.25">
      <c r="D956" s="93"/>
      <c r="E956" s="93"/>
      <c r="F956" s="93"/>
      <c r="G956" s="93"/>
      <c r="H956" s="93"/>
      <c r="I956" s="93"/>
      <c r="J956" s="93"/>
      <c r="K956" s="93"/>
      <c r="L956" s="93"/>
    </row>
    <row r="957" spans="4:12" x14ac:dyDescent="0.25">
      <c r="D957" s="93"/>
      <c r="E957" s="93"/>
      <c r="F957" s="93"/>
      <c r="G957" s="93"/>
      <c r="H957" s="93"/>
      <c r="I957" s="93"/>
      <c r="J957" s="93"/>
      <c r="K957" s="93"/>
      <c r="L957" s="93"/>
    </row>
    <row r="958" spans="4:12" x14ac:dyDescent="0.25">
      <c r="D958" s="93"/>
      <c r="E958" s="93"/>
      <c r="F958" s="93"/>
      <c r="G958" s="93"/>
      <c r="H958" s="93"/>
      <c r="I958" s="93"/>
      <c r="J958" s="93"/>
      <c r="K958" s="93"/>
      <c r="L958" s="93"/>
    </row>
    <row r="959" spans="4:12" x14ac:dyDescent="0.25">
      <c r="D959" s="93"/>
      <c r="E959" s="93"/>
      <c r="F959" s="93"/>
      <c r="G959" s="93"/>
      <c r="H959" s="93"/>
      <c r="I959" s="93"/>
      <c r="J959" s="93"/>
      <c r="K959" s="93"/>
      <c r="L959" s="93"/>
    </row>
    <row r="960" spans="4:12" x14ac:dyDescent="0.25">
      <c r="D960" s="93"/>
      <c r="E960" s="93"/>
      <c r="F960" s="93"/>
      <c r="G960" s="93"/>
      <c r="H960" s="93"/>
      <c r="I960" s="93"/>
      <c r="J960" s="93"/>
      <c r="K960" s="93"/>
      <c r="L960" s="93"/>
    </row>
    <row r="961" spans="4:12" x14ac:dyDescent="0.25">
      <c r="D961" s="93"/>
      <c r="E961" s="93"/>
      <c r="F961" s="93"/>
      <c r="G961" s="93"/>
      <c r="H961" s="93"/>
      <c r="I961" s="93"/>
      <c r="J961" s="93"/>
      <c r="K961" s="93"/>
      <c r="L961" s="93"/>
    </row>
    <row r="962" spans="4:12" x14ac:dyDescent="0.25">
      <c r="D962" s="93"/>
      <c r="E962" s="93"/>
      <c r="F962" s="93"/>
      <c r="G962" s="93"/>
      <c r="H962" s="93"/>
      <c r="I962" s="93"/>
      <c r="J962" s="93"/>
      <c r="K962" s="93"/>
      <c r="L962" s="93"/>
    </row>
    <row r="963" spans="4:12" x14ac:dyDescent="0.25">
      <c r="D963" s="93"/>
      <c r="E963" s="93"/>
      <c r="F963" s="93"/>
      <c r="G963" s="93"/>
      <c r="H963" s="93"/>
      <c r="I963" s="93"/>
      <c r="J963" s="93"/>
      <c r="K963" s="93"/>
      <c r="L963" s="93"/>
    </row>
    <row r="964" spans="4:12" x14ac:dyDescent="0.25">
      <c r="D964" s="93"/>
      <c r="E964" s="93"/>
      <c r="F964" s="93"/>
      <c r="G964" s="93"/>
      <c r="H964" s="93"/>
      <c r="I964" s="93"/>
      <c r="J964" s="93"/>
      <c r="K964" s="93"/>
      <c r="L964" s="93"/>
    </row>
    <row r="965" spans="4:12" x14ac:dyDescent="0.25">
      <c r="D965" s="93"/>
      <c r="E965" s="93"/>
      <c r="F965" s="93"/>
      <c r="G965" s="93"/>
      <c r="H965" s="93"/>
      <c r="I965" s="93"/>
      <c r="J965" s="93"/>
      <c r="K965" s="93"/>
      <c r="L965" s="93"/>
    </row>
    <row r="966" spans="4:12" x14ac:dyDescent="0.25">
      <c r="D966" s="93"/>
      <c r="E966" s="93"/>
      <c r="F966" s="93"/>
      <c r="G966" s="93"/>
      <c r="H966" s="93"/>
      <c r="I966" s="93"/>
      <c r="J966" s="93"/>
      <c r="K966" s="93"/>
      <c r="L966" s="93"/>
    </row>
    <row r="967" spans="4:12" x14ac:dyDescent="0.25">
      <c r="D967" s="93"/>
      <c r="E967" s="93"/>
      <c r="F967" s="93"/>
      <c r="G967" s="93"/>
      <c r="H967" s="93"/>
      <c r="I967" s="93"/>
      <c r="J967" s="93"/>
      <c r="K967" s="93"/>
      <c r="L967" s="93"/>
    </row>
    <row r="968" spans="4:12" x14ac:dyDescent="0.25">
      <c r="D968" s="93"/>
      <c r="E968" s="93"/>
      <c r="F968" s="93"/>
      <c r="G968" s="93"/>
      <c r="H968" s="93"/>
      <c r="I968" s="93"/>
      <c r="J968" s="93"/>
      <c r="K968" s="93"/>
      <c r="L968" s="93"/>
    </row>
    <row r="969" spans="4:12" x14ac:dyDescent="0.25">
      <c r="D969" s="93"/>
      <c r="E969" s="93"/>
      <c r="F969" s="93"/>
      <c r="G969" s="93"/>
      <c r="H969" s="93"/>
      <c r="I969" s="93"/>
      <c r="J969" s="93"/>
      <c r="K969" s="93"/>
      <c r="L969" s="93"/>
    </row>
    <row r="970" spans="4:12" x14ac:dyDescent="0.25">
      <c r="D970" s="93"/>
      <c r="E970" s="93"/>
      <c r="F970" s="93"/>
      <c r="G970" s="93"/>
      <c r="H970" s="93"/>
      <c r="I970" s="93"/>
      <c r="J970" s="93"/>
      <c r="K970" s="93"/>
      <c r="L970" s="93"/>
    </row>
    <row r="971" spans="4:12" x14ac:dyDescent="0.25">
      <c r="D971" s="93"/>
      <c r="E971" s="93"/>
      <c r="F971" s="93"/>
      <c r="G971" s="93"/>
      <c r="H971" s="93"/>
      <c r="I971" s="93"/>
      <c r="J971" s="93"/>
      <c r="K971" s="93"/>
      <c r="L971" s="93"/>
    </row>
    <row r="972" spans="4:12" x14ac:dyDescent="0.25">
      <c r="D972" s="93"/>
      <c r="E972" s="93"/>
      <c r="F972" s="93"/>
      <c r="G972" s="93"/>
      <c r="H972" s="93"/>
      <c r="I972" s="93"/>
      <c r="J972" s="93"/>
      <c r="K972" s="93"/>
      <c r="L972" s="93"/>
    </row>
    <row r="973" spans="4:12" x14ac:dyDescent="0.25">
      <c r="D973" s="93"/>
      <c r="E973" s="93"/>
      <c r="F973" s="93"/>
      <c r="G973" s="93"/>
      <c r="H973" s="93"/>
      <c r="I973" s="93"/>
      <c r="J973" s="93"/>
      <c r="K973" s="93"/>
      <c r="L973" s="93"/>
    </row>
    <row r="974" spans="4:12" x14ac:dyDescent="0.25">
      <c r="D974" s="93"/>
      <c r="E974" s="93"/>
      <c r="F974" s="93"/>
      <c r="G974" s="93"/>
      <c r="H974" s="93"/>
      <c r="I974" s="93"/>
      <c r="J974" s="93"/>
      <c r="K974" s="93"/>
      <c r="L974" s="93"/>
    </row>
    <row r="975" spans="4:12" x14ac:dyDescent="0.25">
      <c r="D975" s="93"/>
      <c r="E975" s="93"/>
      <c r="F975" s="93"/>
      <c r="G975" s="93"/>
      <c r="H975" s="93"/>
      <c r="I975" s="93"/>
      <c r="J975" s="93"/>
      <c r="K975" s="93"/>
      <c r="L975" s="93"/>
    </row>
    <row r="976" spans="4:12" x14ac:dyDescent="0.25">
      <c r="D976" s="93"/>
      <c r="E976" s="93"/>
      <c r="F976" s="93"/>
      <c r="G976" s="93"/>
      <c r="H976" s="93"/>
      <c r="I976" s="93"/>
      <c r="J976" s="93"/>
      <c r="K976" s="93"/>
      <c r="L976" s="93"/>
    </row>
    <row r="977" spans="4:12" x14ac:dyDescent="0.25">
      <c r="D977" s="93"/>
      <c r="E977" s="93"/>
      <c r="F977" s="93"/>
      <c r="G977" s="93"/>
      <c r="H977" s="93"/>
      <c r="I977" s="93"/>
      <c r="J977" s="93"/>
      <c r="K977" s="93"/>
      <c r="L977" s="93"/>
    </row>
    <row r="978" spans="4:12" x14ac:dyDescent="0.25">
      <c r="D978" s="93"/>
      <c r="E978" s="93"/>
      <c r="F978" s="93"/>
      <c r="G978" s="93"/>
      <c r="H978" s="93"/>
      <c r="I978" s="93"/>
      <c r="J978" s="93"/>
      <c r="K978" s="93"/>
      <c r="L978" s="93"/>
    </row>
    <row r="979" spans="4:12" x14ac:dyDescent="0.25">
      <c r="D979" s="93"/>
      <c r="E979" s="93"/>
      <c r="F979" s="93"/>
      <c r="G979" s="93"/>
      <c r="H979" s="93"/>
      <c r="I979" s="93"/>
      <c r="J979" s="93"/>
      <c r="K979" s="93"/>
      <c r="L979" s="93"/>
    </row>
    <row r="980" spans="4:12" x14ac:dyDescent="0.25">
      <c r="D980" s="93"/>
      <c r="E980" s="93"/>
      <c r="F980" s="93"/>
      <c r="G980" s="93"/>
      <c r="H980" s="93"/>
      <c r="I980" s="93"/>
      <c r="J980" s="93"/>
      <c r="K980" s="93"/>
      <c r="L980" s="93"/>
    </row>
    <row r="981" spans="4:12" x14ac:dyDescent="0.25">
      <c r="D981" s="93"/>
      <c r="E981" s="93"/>
      <c r="F981" s="93"/>
      <c r="G981" s="93"/>
      <c r="H981" s="93"/>
      <c r="I981" s="93"/>
      <c r="J981" s="93"/>
      <c r="K981" s="93"/>
      <c r="L981" s="93"/>
    </row>
    <row r="982" spans="4:12" x14ac:dyDescent="0.25">
      <c r="D982" s="93"/>
      <c r="E982" s="93"/>
      <c r="F982" s="93"/>
      <c r="G982" s="93"/>
      <c r="H982" s="93"/>
      <c r="I982" s="93"/>
      <c r="J982" s="93"/>
      <c r="K982" s="93"/>
      <c r="L982" s="93"/>
    </row>
    <row r="983" spans="4:12" x14ac:dyDescent="0.25">
      <c r="D983" s="93"/>
      <c r="E983" s="93"/>
      <c r="F983" s="93"/>
      <c r="G983" s="93"/>
      <c r="H983" s="93"/>
      <c r="I983" s="93"/>
      <c r="J983" s="93"/>
      <c r="K983" s="93"/>
      <c r="L983" s="93"/>
    </row>
    <row r="984" spans="4:12" x14ac:dyDescent="0.25">
      <c r="D984" s="93"/>
      <c r="E984" s="93"/>
      <c r="F984" s="93"/>
      <c r="G984" s="93"/>
      <c r="H984" s="93"/>
      <c r="I984" s="93"/>
      <c r="J984" s="93"/>
      <c r="K984" s="93"/>
      <c r="L984" s="93"/>
    </row>
    <row r="985" spans="4:12" x14ac:dyDescent="0.25">
      <c r="D985" s="93"/>
      <c r="E985" s="93"/>
      <c r="F985" s="93"/>
      <c r="G985" s="93"/>
      <c r="H985" s="93"/>
      <c r="I985" s="93"/>
      <c r="J985" s="93"/>
      <c r="K985" s="93"/>
      <c r="L985" s="93"/>
    </row>
    <row r="986" spans="4:12" x14ac:dyDescent="0.25">
      <c r="D986" s="93"/>
      <c r="E986" s="93"/>
      <c r="F986" s="93"/>
      <c r="G986" s="93"/>
      <c r="H986" s="93"/>
      <c r="I986" s="93"/>
      <c r="J986" s="93"/>
      <c r="K986" s="93"/>
      <c r="L986" s="93"/>
    </row>
    <row r="987" spans="4:12" x14ac:dyDescent="0.25">
      <c r="D987" s="93"/>
      <c r="E987" s="93"/>
      <c r="F987" s="93"/>
      <c r="G987" s="93"/>
      <c r="H987" s="93"/>
      <c r="I987" s="93"/>
      <c r="J987" s="93"/>
      <c r="K987" s="93"/>
      <c r="L987" s="93"/>
    </row>
    <row r="988" spans="4:12" x14ac:dyDescent="0.25">
      <c r="D988" s="93"/>
      <c r="E988" s="93"/>
      <c r="F988" s="93"/>
      <c r="G988" s="93"/>
      <c r="H988" s="93"/>
      <c r="I988" s="93"/>
      <c r="J988" s="93"/>
      <c r="K988" s="93"/>
      <c r="L988" s="93"/>
    </row>
    <row r="989" spans="4:12" x14ac:dyDescent="0.25">
      <c r="D989" s="93"/>
      <c r="E989" s="93"/>
      <c r="F989" s="93"/>
      <c r="G989" s="93"/>
      <c r="H989" s="93"/>
      <c r="I989" s="93"/>
      <c r="J989" s="93"/>
      <c r="K989" s="93"/>
      <c r="L989" s="93"/>
    </row>
    <row r="990" spans="4:12" x14ac:dyDescent="0.25">
      <c r="D990" s="93"/>
      <c r="E990" s="93"/>
      <c r="F990" s="93"/>
      <c r="G990" s="93"/>
      <c r="H990" s="93"/>
      <c r="I990" s="93"/>
      <c r="J990" s="93"/>
      <c r="K990" s="93"/>
      <c r="L990" s="93"/>
    </row>
    <row r="991" spans="4:12" x14ac:dyDescent="0.25">
      <c r="D991" s="93"/>
      <c r="E991" s="93"/>
      <c r="F991" s="93"/>
      <c r="G991" s="93"/>
      <c r="H991" s="93"/>
      <c r="I991" s="93"/>
      <c r="J991" s="93"/>
      <c r="K991" s="93"/>
      <c r="L991" s="93"/>
    </row>
    <row r="992" spans="4:12" x14ac:dyDescent="0.25">
      <c r="D992" s="93"/>
      <c r="E992" s="93"/>
      <c r="F992" s="93"/>
      <c r="G992" s="93"/>
      <c r="H992" s="93"/>
      <c r="I992" s="93"/>
      <c r="J992" s="93"/>
      <c r="K992" s="93"/>
      <c r="L992" s="93"/>
    </row>
    <row r="993" spans="4:12" x14ac:dyDescent="0.25">
      <c r="D993" s="93"/>
      <c r="E993" s="93"/>
      <c r="F993" s="93"/>
      <c r="G993" s="93"/>
      <c r="H993" s="93"/>
      <c r="I993" s="93"/>
      <c r="J993" s="93"/>
      <c r="K993" s="93"/>
      <c r="L993" s="93"/>
    </row>
    <row r="994" spans="4:12" x14ac:dyDescent="0.25">
      <c r="D994" s="93"/>
      <c r="E994" s="93"/>
      <c r="F994" s="93"/>
      <c r="G994" s="93"/>
      <c r="H994" s="93"/>
      <c r="I994" s="93"/>
      <c r="J994" s="93"/>
      <c r="K994" s="93"/>
      <c r="L994" s="93"/>
    </row>
    <row r="995" spans="4:12" x14ac:dyDescent="0.25">
      <c r="D995" s="93"/>
      <c r="E995" s="93"/>
      <c r="F995" s="93"/>
      <c r="G995" s="93"/>
      <c r="H995" s="93"/>
      <c r="I995" s="93"/>
      <c r="J995" s="93"/>
      <c r="K995" s="93"/>
      <c r="L995" s="93"/>
    </row>
    <row r="996" spans="4:12" x14ac:dyDescent="0.25">
      <c r="D996" s="93"/>
      <c r="E996" s="93"/>
      <c r="F996" s="93"/>
      <c r="G996" s="93"/>
      <c r="H996" s="93"/>
      <c r="I996" s="93"/>
      <c r="J996" s="93"/>
      <c r="K996" s="93"/>
      <c r="L996" s="93"/>
    </row>
    <row r="997" spans="4:12" x14ac:dyDescent="0.25">
      <c r="D997" s="93"/>
      <c r="E997" s="93"/>
      <c r="F997" s="93"/>
      <c r="G997" s="93"/>
      <c r="H997" s="93"/>
      <c r="I997" s="93"/>
      <c r="J997" s="93"/>
      <c r="K997" s="93"/>
      <c r="L997" s="93"/>
    </row>
    <row r="998" spans="4:12" x14ac:dyDescent="0.25">
      <c r="D998" s="93"/>
      <c r="E998" s="93"/>
      <c r="F998" s="93"/>
      <c r="G998" s="93"/>
      <c r="H998" s="93"/>
      <c r="I998" s="93"/>
      <c r="J998" s="93"/>
      <c r="K998" s="93"/>
      <c r="L998" s="93"/>
    </row>
    <row r="999" spans="4:12" x14ac:dyDescent="0.25">
      <c r="D999" s="93"/>
      <c r="E999" s="93"/>
      <c r="F999" s="93"/>
      <c r="G999" s="93"/>
      <c r="H999" s="93"/>
      <c r="I999" s="93"/>
      <c r="J999" s="93"/>
      <c r="K999" s="93"/>
      <c r="L999" s="93"/>
    </row>
    <row r="1000" spans="4:12" x14ac:dyDescent="0.25">
      <c r="D1000" s="93"/>
      <c r="E1000" s="93"/>
      <c r="F1000" s="93"/>
      <c r="G1000" s="93"/>
      <c r="H1000" s="93"/>
      <c r="I1000" s="93"/>
      <c r="J1000" s="93"/>
      <c r="K1000" s="93"/>
      <c r="L1000" s="93"/>
    </row>
    <row r="1001" spans="4:12" x14ac:dyDescent="0.25">
      <c r="D1001" s="93"/>
      <c r="E1001" s="93"/>
      <c r="F1001" s="93"/>
      <c r="G1001" s="93"/>
      <c r="H1001" s="93"/>
      <c r="I1001" s="93"/>
      <c r="J1001" s="93"/>
      <c r="K1001" s="93"/>
      <c r="L1001" s="93"/>
    </row>
    <row r="1002" spans="4:12" x14ac:dyDescent="0.25">
      <c r="D1002" s="93"/>
      <c r="E1002" s="93"/>
      <c r="F1002" s="93"/>
      <c r="G1002" s="93"/>
      <c r="H1002" s="93"/>
      <c r="I1002" s="93"/>
      <c r="J1002" s="93"/>
      <c r="K1002" s="93"/>
      <c r="L1002" s="93"/>
    </row>
    <row r="1003" spans="4:12" x14ac:dyDescent="0.25">
      <c r="D1003" s="93"/>
      <c r="E1003" s="93"/>
      <c r="F1003" s="93"/>
      <c r="G1003" s="93"/>
      <c r="H1003" s="93"/>
      <c r="I1003" s="93"/>
      <c r="J1003" s="93"/>
      <c r="K1003" s="93"/>
      <c r="L1003" s="93"/>
    </row>
    <row r="1004" spans="4:12" x14ac:dyDescent="0.25">
      <c r="D1004" s="93"/>
      <c r="E1004" s="93"/>
      <c r="F1004" s="93"/>
      <c r="G1004" s="93"/>
      <c r="H1004" s="93"/>
      <c r="I1004" s="93"/>
      <c r="J1004" s="93"/>
      <c r="K1004" s="93"/>
      <c r="L1004" s="93"/>
    </row>
    <row r="1005" spans="4:12" x14ac:dyDescent="0.25">
      <c r="D1005" s="93"/>
      <c r="E1005" s="93"/>
      <c r="F1005" s="93"/>
      <c r="G1005" s="93"/>
      <c r="H1005" s="93"/>
      <c r="I1005" s="93"/>
      <c r="J1005" s="93"/>
      <c r="K1005" s="93"/>
      <c r="L1005" s="93"/>
    </row>
    <row r="1006" spans="4:12" x14ac:dyDescent="0.25">
      <c r="D1006" s="93"/>
      <c r="E1006" s="93"/>
      <c r="F1006" s="93"/>
      <c r="G1006" s="93"/>
      <c r="H1006" s="93"/>
      <c r="I1006" s="93"/>
      <c r="J1006" s="93"/>
      <c r="K1006" s="93"/>
      <c r="L1006" s="93"/>
    </row>
    <row r="1007" spans="4:12" x14ac:dyDescent="0.25">
      <c r="D1007" s="93"/>
      <c r="E1007" s="93"/>
      <c r="F1007" s="93"/>
      <c r="G1007" s="93"/>
      <c r="H1007" s="93"/>
      <c r="I1007" s="93"/>
      <c r="J1007" s="93"/>
      <c r="K1007" s="93"/>
      <c r="L1007" s="93"/>
    </row>
    <row r="1008" spans="4:12" x14ac:dyDescent="0.25">
      <c r="D1008" s="93"/>
      <c r="E1008" s="93"/>
      <c r="F1008" s="93"/>
      <c r="G1008" s="93"/>
      <c r="H1008" s="93"/>
      <c r="I1008" s="93"/>
      <c r="J1008" s="93"/>
      <c r="K1008" s="93"/>
      <c r="L1008" s="93"/>
    </row>
    <row r="1009" spans="4:12" x14ac:dyDescent="0.25">
      <c r="D1009" s="93"/>
      <c r="E1009" s="93"/>
      <c r="F1009" s="93"/>
      <c r="G1009" s="93"/>
      <c r="H1009" s="93"/>
      <c r="I1009" s="93"/>
      <c r="J1009" s="93"/>
      <c r="K1009" s="93"/>
      <c r="L1009" s="93"/>
    </row>
    <row r="1010" spans="4:12" x14ac:dyDescent="0.25">
      <c r="D1010" s="93"/>
      <c r="E1010" s="93"/>
      <c r="F1010" s="93"/>
      <c r="G1010" s="93"/>
      <c r="H1010" s="93"/>
      <c r="I1010" s="93"/>
      <c r="J1010" s="93"/>
      <c r="K1010" s="93"/>
      <c r="L1010" s="93"/>
    </row>
    <row r="1011" spans="4:12" x14ac:dyDescent="0.25">
      <c r="D1011" s="93"/>
      <c r="E1011" s="93"/>
      <c r="F1011" s="93"/>
      <c r="G1011" s="93"/>
      <c r="H1011" s="93"/>
      <c r="I1011" s="93"/>
      <c r="J1011" s="93"/>
      <c r="K1011" s="93"/>
      <c r="L1011" s="93"/>
    </row>
    <row r="1012" spans="4:12" x14ac:dyDescent="0.25">
      <c r="D1012" s="93"/>
      <c r="E1012" s="93"/>
      <c r="F1012" s="93"/>
      <c r="G1012" s="93"/>
      <c r="H1012" s="93"/>
      <c r="I1012" s="93"/>
      <c r="J1012" s="93"/>
      <c r="K1012" s="93"/>
      <c r="L1012" s="93"/>
    </row>
    <row r="1013" spans="4:12" x14ac:dyDescent="0.25">
      <c r="D1013" s="93"/>
      <c r="E1013" s="93"/>
      <c r="F1013" s="93"/>
      <c r="G1013" s="93"/>
      <c r="H1013" s="93"/>
      <c r="I1013" s="93"/>
      <c r="J1013" s="93"/>
      <c r="K1013" s="93"/>
      <c r="L1013" s="93"/>
    </row>
    <row r="1014" spans="4:12" x14ac:dyDescent="0.25">
      <c r="D1014" s="93"/>
      <c r="E1014" s="93"/>
      <c r="F1014" s="93"/>
      <c r="G1014" s="93"/>
      <c r="H1014" s="93"/>
      <c r="I1014" s="93"/>
      <c r="J1014" s="93"/>
      <c r="K1014" s="93"/>
      <c r="L1014" s="93"/>
    </row>
    <row r="1015" spans="4:12" x14ac:dyDescent="0.25">
      <c r="D1015" s="93"/>
      <c r="E1015" s="93"/>
      <c r="F1015" s="93"/>
      <c r="G1015" s="93"/>
      <c r="H1015" s="93"/>
      <c r="I1015" s="93"/>
      <c r="J1015" s="93"/>
      <c r="K1015" s="93"/>
      <c r="L1015" s="93"/>
    </row>
    <row r="1016" spans="4:12" x14ac:dyDescent="0.25">
      <c r="D1016" s="93"/>
      <c r="E1016" s="93"/>
      <c r="F1016" s="93"/>
      <c r="G1016" s="93"/>
      <c r="H1016" s="93"/>
      <c r="I1016" s="93"/>
      <c r="J1016" s="93"/>
      <c r="K1016" s="93"/>
      <c r="L1016" s="93"/>
    </row>
    <row r="1017" spans="4:12" x14ac:dyDescent="0.25">
      <c r="D1017" s="93"/>
      <c r="E1017" s="93"/>
      <c r="F1017" s="93"/>
      <c r="G1017" s="93"/>
      <c r="H1017" s="93"/>
      <c r="I1017" s="93"/>
      <c r="J1017" s="93"/>
      <c r="K1017" s="93"/>
      <c r="L1017" s="93"/>
    </row>
    <row r="1018" spans="4:12" x14ac:dyDescent="0.25">
      <c r="D1018" s="93"/>
      <c r="E1018" s="93"/>
      <c r="F1018" s="93"/>
      <c r="G1018" s="93"/>
      <c r="H1018" s="93"/>
      <c r="I1018" s="93"/>
      <c r="J1018" s="93"/>
      <c r="K1018" s="93"/>
      <c r="L1018" s="93"/>
    </row>
    <row r="1019" spans="4:12" x14ac:dyDescent="0.25">
      <c r="D1019" s="93"/>
      <c r="E1019" s="93"/>
      <c r="F1019" s="93"/>
      <c r="G1019" s="93"/>
      <c r="H1019" s="93"/>
      <c r="I1019" s="93"/>
      <c r="J1019" s="93"/>
      <c r="K1019" s="93"/>
      <c r="L1019" s="93"/>
    </row>
    <row r="1020" spans="4:12" x14ac:dyDescent="0.25">
      <c r="D1020" s="93"/>
      <c r="E1020" s="93"/>
      <c r="F1020" s="93"/>
      <c r="G1020" s="93"/>
      <c r="H1020" s="93"/>
      <c r="I1020" s="93"/>
      <c r="J1020" s="93"/>
      <c r="K1020" s="93"/>
      <c r="L1020" s="93"/>
    </row>
    <row r="1021" spans="4:12" x14ac:dyDescent="0.25">
      <c r="D1021" s="93"/>
      <c r="E1021" s="93"/>
      <c r="F1021" s="93"/>
      <c r="G1021" s="93"/>
      <c r="H1021" s="93"/>
      <c r="I1021" s="93"/>
      <c r="J1021" s="93"/>
      <c r="K1021" s="93"/>
      <c r="L1021" s="93"/>
    </row>
    <row r="1022" spans="4:12" x14ac:dyDescent="0.25">
      <c r="D1022" s="93"/>
      <c r="E1022" s="93"/>
      <c r="F1022" s="93"/>
      <c r="G1022" s="93"/>
      <c r="H1022" s="93"/>
      <c r="I1022" s="93"/>
      <c r="J1022" s="93"/>
      <c r="K1022" s="93"/>
      <c r="L1022" s="93"/>
    </row>
    <row r="1023" spans="4:12" x14ac:dyDescent="0.25">
      <c r="D1023" s="93"/>
      <c r="E1023" s="93"/>
      <c r="F1023" s="93"/>
      <c r="G1023" s="93"/>
      <c r="H1023" s="93"/>
      <c r="I1023" s="93"/>
      <c r="J1023" s="93"/>
      <c r="K1023" s="93"/>
      <c r="L1023" s="93"/>
    </row>
    <row r="1024" spans="4:12" x14ac:dyDescent="0.25">
      <c r="D1024" s="93"/>
      <c r="E1024" s="93"/>
      <c r="F1024" s="93"/>
      <c r="G1024" s="93"/>
      <c r="H1024" s="93"/>
      <c r="I1024" s="93"/>
      <c r="J1024" s="93"/>
      <c r="K1024" s="93"/>
      <c r="L1024" s="93"/>
    </row>
    <row r="1025" spans="4:12" x14ac:dyDescent="0.25">
      <c r="D1025" s="93"/>
      <c r="E1025" s="93"/>
      <c r="F1025" s="93"/>
      <c r="G1025" s="93"/>
      <c r="H1025" s="93"/>
      <c r="I1025" s="93"/>
      <c r="J1025" s="93"/>
      <c r="K1025" s="93"/>
      <c r="L1025" s="93"/>
    </row>
    <row r="1026" spans="4:12" x14ac:dyDescent="0.25">
      <c r="D1026" s="93"/>
      <c r="E1026" s="93"/>
      <c r="F1026" s="93"/>
      <c r="G1026" s="93"/>
      <c r="H1026" s="93"/>
      <c r="I1026" s="93"/>
      <c r="J1026" s="93"/>
      <c r="K1026" s="93"/>
      <c r="L1026" s="93"/>
    </row>
    <row r="1027" spans="4:12" x14ac:dyDescent="0.25">
      <c r="D1027" s="93"/>
      <c r="E1027" s="93"/>
      <c r="F1027" s="93"/>
      <c r="G1027" s="93"/>
      <c r="H1027" s="93"/>
      <c r="I1027" s="93"/>
      <c r="J1027" s="93"/>
      <c r="K1027" s="93"/>
      <c r="L1027" s="93"/>
    </row>
    <row r="1028" spans="4:12" x14ac:dyDescent="0.25">
      <c r="D1028" s="93"/>
      <c r="E1028" s="93"/>
      <c r="F1028" s="93"/>
      <c r="G1028" s="93"/>
      <c r="H1028" s="93"/>
      <c r="I1028" s="93"/>
      <c r="J1028" s="93"/>
      <c r="K1028" s="93"/>
      <c r="L1028" s="93"/>
    </row>
    <row r="1029" spans="4:12" x14ac:dyDescent="0.25">
      <c r="D1029" s="93"/>
      <c r="E1029" s="93"/>
      <c r="F1029" s="93"/>
      <c r="G1029" s="93"/>
      <c r="H1029" s="93"/>
      <c r="I1029" s="93"/>
      <c r="J1029" s="93"/>
      <c r="K1029" s="93"/>
      <c r="L1029" s="93"/>
    </row>
    <row r="1030" spans="4:12" x14ac:dyDescent="0.25">
      <c r="D1030" s="93"/>
      <c r="E1030" s="93"/>
      <c r="F1030" s="93"/>
      <c r="G1030" s="93"/>
      <c r="H1030" s="93"/>
      <c r="I1030" s="93"/>
      <c r="J1030" s="93"/>
      <c r="K1030" s="93"/>
      <c r="L1030" s="93"/>
    </row>
    <row r="1031" spans="4:12" x14ac:dyDescent="0.25">
      <c r="D1031" s="93"/>
      <c r="E1031" s="93"/>
      <c r="F1031" s="93"/>
      <c r="G1031" s="93"/>
      <c r="H1031" s="93"/>
      <c r="I1031" s="93"/>
      <c r="J1031" s="93"/>
      <c r="K1031" s="93"/>
      <c r="L1031" s="93"/>
    </row>
    <row r="1032" spans="4:12" x14ac:dyDescent="0.25">
      <c r="D1032" s="93"/>
      <c r="E1032" s="93"/>
      <c r="F1032" s="93"/>
      <c r="G1032" s="93"/>
      <c r="H1032" s="93"/>
      <c r="I1032" s="93"/>
      <c r="J1032" s="93"/>
      <c r="K1032" s="93"/>
      <c r="L1032" s="93"/>
    </row>
    <row r="1033" spans="4:12" x14ac:dyDescent="0.25">
      <c r="D1033" s="93"/>
      <c r="E1033" s="93"/>
      <c r="F1033" s="93"/>
      <c r="G1033" s="93"/>
      <c r="H1033" s="93"/>
      <c r="I1033" s="93"/>
      <c r="J1033" s="93"/>
      <c r="K1033" s="93"/>
      <c r="L1033" s="93"/>
    </row>
    <row r="1034" spans="4:12" x14ac:dyDescent="0.25">
      <c r="D1034" s="93"/>
      <c r="E1034" s="93"/>
      <c r="F1034" s="93"/>
      <c r="G1034" s="93"/>
      <c r="H1034" s="93"/>
      <c r="I1034" s="93"/>
      <c r="J1034" s="93"/>
      <c r="K1034" s="93"/>
      <c r="L1034" s="93"/>
    </row>
    <row r="1035" spans="4:12" x14ac:dyDescent="0.25">
      <c r="D1035" s="93"/>
      <c r="E1035" s="93"/>
      <c r="F1035" s="93"/>
      <c r="G1035" s="93"/>
      <c r="H1035" s="93"/>
      <c r="I1035" s="93"/>
      <c r="J1035" s="93"/>
      <c r="K1035" s="93"/>
      <c r="L1035" s="93"/>
    </row>
    <row r="1036" spans="4:12" x14ac:dyDescent="0.25">
      <c r="D1036" s="93"/>
      <c r="E1036" s="93"/>
      <c r="F1036" s="93"/>
      <c r="G1036" s="93"/>
      <c r="H1036" s="93"/>
      <c r="I1036" s="93"/>
      <c r="J1036" s="93"/>
      <c r="K1036" s="93"/>
      <c r="L1036" s="93"/>
    </row>
    <row r="1037" spans="4:12" x14ac:dyDescent="0.25">
      <c r="D1037" s="93"/>
      <c r="E1037" s="93"/>
      <c r="F1037" s="93"/>
      <c r="G1037" s="93"/>
      <c r="H1037" s="93"/>
      <c r="I1037" s="93"/>
      <c r="J1037" s="93"/>
      <c r="K1037" s="93"/>
      <c r="L1037" s="93"/>
    </row>
    <row r="1038" spans="4:12" x14ac:dyDescent="0.25">
      <c r="D1038" s="93"/>
      <c r="E1038" s="93"/>
      <c r="F1038" s="93"/>
      <c r="G1038" s="93"/>
      <c r="H1038" s="93"/>
      <c r="I1038" s="93"/>
      <c r="J1038" s="93"/>
      <c r="K1038" s="93"/>
      <c r="L1038" s="93"/>
    </row>
    <row r="1039" spans="4:12" x14ac:dyDescent="0.25">
      <c r="D1039" s="93"/>
      <c r="E1039" s="93"/>
      <c r="F1039" s="93"/>
      <c r="G1039" s="93"/>
      <c r="H1039" s="93"/>
      <c r="I1039" s="93"/>
      <c r="J1039" s="93"/>
      <c r="K1039" s="93"/>
      <c r="L1039" s="93"/>
    </row>
    <row r="1040" spans="4:12" x14ac:dyDescent="0.25">
      <c r="D1040" s="93"/>
      <c r="E1040" s="93"/>
      <c r="F1040" s="93"/>
      <c r="G1040" s="93"/>
      <c r="H1040" s="93"/>
      <c r="I1040" s="93"/>
      <c r="J1040" s="93"/>
      <c r="K1040" s="93"/>
      <c r="L1040" s="93"/>
    </row>
    <row r="1041" spans="4:12" x14ac:dyDescent="0.25">
      <c r="D1041" s="93"/>
      <c r="E1041" s="93"/>
      <c r="F1041" s="93"/>
      <c r="G1041" s="93"/>
      <c r="H1041" s="93"/>
      <c r="I1041" s="93"/>
      <c r="J1041" s="93"/>
      <c r="K1041" s="93"/>
      <c r="L1041" s="93"/>
    </row>
    <row r="1042" spans="4:12" x14ac:dyDescent="0.25">
      <c r="D1042" s="93"/>
      <c r="E1042" s="93"/>
      <c r="F1042" s="93"/>
      <c r="G1042" s="93"/>
      <c r="H1042" s="93"/>
      <c r="I1042" s="93"/>
      <c r="J1042" s="93"/>
      <c r="K1042" s="93"/>
      <c r="L1042" s="93"/>
    </row>
    <row r="1043" spans="4:12" x14ac:dyDescent="0.25">
      <c r="D1043" s="93"/>
      <c r="E1043" s="93"/>
      <c r="F1043" s="93"/>
      <c r="G1043" s="93"/>
      <c r="H1043" s="93"/>
      <c r="I1043" s="93"/>
      <c r="J1043" s="93"/>
      <c r="K1043" s="93"/>
      <c r="L1043" s="93"/>
    </row>
    <row r="1044" spans="4:12" x14ac:dyDescent="0.25">
      <c r="D1044" s="93"/>
      <c r="E1044" s="93"/>
      <c r="F1044" s="93"/>
      <c r="G1044" s="93"/>
      <c r="H1044" s="93"/>
      <c r="I1044" s="93"/>
      <c r="J1044" s="93"/>
      <c r="K1044" s="93"/>
      <c r="L1044" s="93"/>
    </row>
    <row r="1045" spans="4:12" x14ac:dyDescent="0.25">
      <c r="D1045" s="93"/>
      <c r="E1045" s="93"/>
      <c r="F1045" s="93"/>
      <c r="G1045" s="93"/>
      <c r="H1045" s="93"/>
      <c r="I1045" s="93"/>
      <c r="J1045" s="93"/>
      <c r="K1045" s="93"/>
      <c r="L1045" s="93"/>
    </row>
    <row r="1046" spans="4:12" x14ac:dyDescent="0.25">
      <c r="D1046" s="93"/>
      <c r="E1046" s="93"/>
      <c r="F1046" s="93"/>
      <c r="G1046" s="93"/>
      <c r="H1046" s="93"/>
      <c r="I1046" s="93"/>
      <c r="J1046" s="93"/>
      <c r="K1046" s="93"/>
      <c r="L1046" s="93"/>
    </row>
    <row r="1047" spans="4:12" x14ac:dyDescent="0.25">
      <c r="D1047" s="93"/>
      <c r="E1047" s="93"/>
      <c r="F1047" s="93"/>
      <c r="G1047" s="93"/>
      <c r="H1047" s="93"/>
      <c r="I1047" s="93"/>
      <c r="J1047" s="93"/>
      <c r="K1047" s="93"/>
      <c r="L1047" s="93"/>
    </row>
    <row r="1048" spans="4:12" x14ac:dyDescent="0.25">
      <c r="D1048" s="93"/>
      <c r="E1048" s="93"/>
      <c r="F1048" s="93"/>
      <c r="G1048" s="93"/>
      <c r="H1048" s="93"/>
      <c r="I1048" s="93"/>
      <c r="J1048" s="93"/>
      <c r="K1048" s="93"/>
      <c r="L1048" s="93"/>
    </row>
    <row r="1049" spans="4:12" x14ac:dyDescent="0.25">
      <c r="D1049" s="93"/>
      <c r="E1049" s="93"/>
      <c r="F1049" s="93"/>
      <c r="G1049" s="93"/>
      <c r="H1049" s="93"/>
      <c r="I1049" s="93"/>
      <c r="J1049" s="93"/>
      <c r="K1049" s="93"/>
      <c r="L1049" s="93"/>
    </row>
    <row r="1050" spans="4:12" x14ac:dyDescent="0.25">
      <c r="D1050" s="93"/>
      <c r="E1050" s="93"/>
      <c r="F1050" s="93"/>
      <c r="G1050" s="93"/>
      <c r="H1050" s="93"/>
      <c r="I1050" s="93"/>
      <c r="J1050" s="93"/>
      <c r="K1050" s="93"/>
      <c r="L1050" s="93"/>
    </row>
    <row r="1051" spans="4:12" x14ac:dyDescent="0.25">
      <c r="D1051" s="93"/>
      <c r="E1051" s="93"/>
      <c r="F1051" s="93"/>
      <c r="G1051" s="93"/>
      <c r="H1051" s="93"/>
      <c r="I1051" s="93"/>
      <c r="J1051" s="93"/>
      <c r="K1051" s="93"/>
      <c r="L1051" s="93"/>
    </row>
    <row r="1052" spans="4:12" x14ac:dyDescent="0.25">
      <c r="D1052" s="93"/>
      <c r="E1052" s="93"/>
      <c r="F1052" s="93"/>
      <c r="G1052" s="93"/>
      <c r="H1052" s="93"/>
      <c r="I1052" s="93"/>
      <c r="J1052" s="93"/>
      <c r="K1052" s="93"/>
      <c r="L1052" s="93"/>
    </row>
    <row r="1053" spans="4:12" x14ac:dyDescent="0.25">
      <c r="D1053" s="93"/>
      <c r="E1053" s="93"/>
      <c r="F1053" s="93"/>
      <c r="G1053" s="93"/>
      <c r="H1053" s="93"/>
      <c r="I1053" s="93"/>
      <c r="J1053" s="93"/>
      <c r="K1053" s="93"/>
      <c r="L1053" s="93"/>
    </row>
    <row r="1054" spans="4:12" x14ac:dyDescent="0.25">
      <c r="D1054" s="93"/>
      <c r="E1054" s="93"/>
      <c r="F1054" s="93"/>
      <c r="G1054" s="93"/>
      <c r="H1054" s="93"/>
      <c r="I1054" s="93"/>
      <c r="J1054" s="93"/>
      <c r="K1054" s="93"/>
      <c r="L1054" s="93"/>
    </row>
    <row r="1055" spans="4:12" x14ac:dyDescent="0.25">
      <c r="D1055" s="93"/>
      <c r="E1055" s="93"/>
      <c r="F1055" s="93"/>
      <c r="G1055" s="93"/>
      <c r="H1055" s="93"/>
      <c r="I1055" s="93"/>
      <c r="J1055" s="93"/>
      <c r="K1055" s="93"/>
      <c r="L1055" s="93"/>
    </row>
    <row r="1056" spans="4:12" x14ac:dyDescent="0.25">
      <c r="D1056" s="93"/>
      <c r="E1056" s="93"/>
      <c r="F1056" s="93"/>
      <c r="G1056" s="93"/>
      <c r="H1056" s="93"/>
      <c r="I1056" s="93"/>
      <c r="J1056" s="93"/>
      <c r="K1056" s="93"/>
      <c r="L1056" s="93"/>
    </row>
    <row r="1057" spans="4:12" x14ac:dyDescent="0.25">
      <c r="D1057" s="93"/>
      <c r="E1057" s="93"/>
      <c r="F1057" s="93"/>
      <c r="G1057" s="93"/>
      <c r="H1057" s="93"/>
      <c r="I1057" s="93"/>
      <c r="J1057" s="93"/>
      <c r="K1057" s="93"/>
      <c r="L1057" s="93"/>
    </row>
    <row r="1058" spans="4:12" x14ac:dyDescent="0.25">
      <c r="D1058" s="93"/>
      <c r="E1058" s="93"/>
      <c r="F1058" s="93"/>
      <c r="G1058" s="93"/>
      <c r="H1058" s="93"/>
      <c r="I1058" s="93"/>
      <c r="J1058" s="93"/>
      <c r="K1058" s="93"/>
      <c r="L1058" s="93"/>
    </row>
    <row r="1059" spans="4:12" x14ac:dyDescent="0.25">
      <c r="D1059" s="93"/>
      <c r="E1059" s="93"/>
      <c r="F1059" s="93"/>
      <c r="G1059" s="93"/>
      <c r="H1059" s="93"/>
      <c r="I1059" s="93"/>
      <c r="J1059" s="93"/>
      <c r="K1059" s="93"/>
      <c r="L1059" s="93"/>
    </row>
    <row r="1060" spans="4:12" x14ac:dyDescent="0.25">
      <c r="D1060" s="93"/>
      <c r="E1060" s="93"/>
      <c r="F1060" s="93"/>
      <c r="G1060" s="93"/>
      <c r="H1060" s="93"/>
      <c r="I1060" s="93"/>
      <c r="J1060" s="93"/>
      <c r="K1060" s="93"/>
      <c r="L1060" s="93"/>
    </row>
    <row r="1061" spans="4:12" x14ac:dyDescent="0.25">
      <c r="D1061" s="93"/>
      <c r="E1061" s="93"/>
      <c r="F1061" s="93"/>
      <c r="G1061" s="93"/>
      <c r="H1061" s="93"/>
      <c r="I1061" s="93"/>
      <c r="J1061" s="93"/>
      <c r="K1061" s="93"/>
      <c r="L1061" s="93"/>
    </row>
    <row r="1062" spans="4:12" x14ac:dyDescent="0.25">
      <c r="D1062" s="93"/>
      <c r="E1062" s="93"/>
      <c r="F1062" s="93"/>
      <c r="G1062" s="93"/>
      <c r="H1062" s="93"/>
      <c r="I1062" s="93"/>
      <c r="J1062" s="93"/>
      <c r="K1062" s="93"/>
      <c r="L1062" s="93"/>
    </row>
    <row r="1063" spans="4:12" x14ac:dyDescent="0.25">
      <c r="D1063" s="93"/>
      <c r="E1063" s="93"/>
      <c r="F1063" s="93"/>
      <c r="G1063" s="93"/>
      <c r="H1063" s="93"/>
      <c r="I1063" s="93"/>
      <c r="J1063" s="93"/>
      <c r="K1063" s="93"/>
      <c r="L1063" s="93"/>
    </row>
    <row r="1064" spans="4:12" x14ac:dyDescent="0.25">
      <c r="D1064" s="93"/>
      <c r="E1064" s="93"/>
      <c r="F1064" s="93"/>
      <c r="G1064" s="93"/>
      <c r="H1064" s="93"/>
      <c r="I1064" s="93"/>
      <c r="J1064" s="93"/>
      <c r="K1064" s="93"/>
      <c r="L1064" s="93"/>
    </row>
    <row r="1065" spans="4:12" x14ac:dyDescent="0.25">
      <c r="D1065" s="93"/>
      <c r="E1065" s="93"/>
      <c r="F1065" s="93"/>
      <c r="G1065" s="93"/>
      <c r="H1065" s="93"/>
      <c r="I1065" s="93"/>
      <c r="J1065" s="93"/>
      <c r="K1065" s="93"/>
      <c r="L1065" s="93"/>
    </row>
    <row r="1066" spans="4:12" x14ac:dyDescent="0.25">
      <c r="D1066" s="93"/>
      <c r="E1066" s="93"/>
      <c r="F1066" s="93"/>
      <c r="G1066" s="93"/>
      <c r="H1066" s="93"/>
      <c r="I1066" s="93"/>
      <c r="J1066" s="93"/>
      <c r="K1066" s="93"/>
      <c r="L1066" s="93"/>
    </row>
    <row r="1067" spans="4:12" x14ac:dyDescent="0.25">
      <c r="D1067" s="93"/>
      <c r="E1067" s="93"/>
      <c r="F1067" s="93"/>
      <c r="G1067" s="93"/>
      <c r="H1067" s="93"/>
      <c r="I1067" s="93"/>
      <c r="J1067" s="93"/>
      <c r="K1067" s="93"/>
      <c r="L1067" s="93"/>
    </row>
    <row r="1068" spans="4:12" x14ac:dyDescent="0.25">
      <c r="D1068" s="93"/>
      <c r="E1068" s="93"/>
      <c r="F1068" s="93"/>
      <c r="G1068" s="93"/>
      <c r="H1068" s="93"/>
      <c r="I1068" s="93"/>
      <c r="J1068" s="93"/>
      <c r="K1068" s="93"/>
      <c r="L1068" s="93"/>
    </row>
    <row r="1069" spans="4:12" x14ac:dyDescent="0.25">
      <c r="D1069" s="93"/>
      <c r="E1069" s="93"/>
      <c r="F1069" s="93"/>
      <c r="G1069" s="93"/>
      <c r="H1069" s="93"/>
      <c r="I1069" s="93"/>
      <c r="J1069" s="93"/>
      <c r="K1069" s="93"/>
      <c r="L1069" s="93"/>
    </row>
    <row r="1070" spans="4:12" x14ac:dyDescent="0.25">
      <c r="D1070" s="93"/>
      <c r="E1070" s="93"/>
      <c r="F1070" s="93"/>
      <c r="G1070" s="93"/>
      <c r="H1070" s="93"/>
      <c r="I1070" s="93"/>
      <c r="J1070" s="93"/>
      <c r="K1070" s="93"/>
      <c r="L1070" s="93"/>
    </row>
    <row r="1071" spans="4:12" x14ac:dyDescent="0.25">
      <c r="D1071" s="93"/>
      <c r="E1071" s="93"/>
      <c r="F1071" s="93"/>
      <c r="G1071" s="93"/>
      <c r="H1071" s="93"/>
      <c r="I1071" s="93"/>
      <c r="J1071" s="93"/>
      <c r="K1071" s="93"/>
      <c r="L1071" s="93"/>
    </row>
    <row r="1072" spans="4:12" x14ac:dyDescent="0.25">
      <c r="D1072" s="93"/>
      <c r="E1072" s="93"/>
      <c r="F1072" s="93"/>
      <c r="G1072" s="93"/>
      <c r="H1072" s="93"/>
      <c r="I1072" s="93"/>
      <c r="J1072" s="93"/>
      <c r="K1072" s="93"/>
      <c r="L1072" s="93"/>
    </row>
    <row r="1073" spans="4:12" x14ac:dyDescent="0.25">
      <c r="D1073" s="93"/>
      <c r="E1073" s="93"/>
      <c r="F1073" s="93"/>
      <c r="G1073" s="93"/>
      <c r="H1073" s="93"/>
      <c r="I1073" s="93"/>
      <c r="J1073" s="93"/>
      <c r="K1073" s="93"/>
      <c r="L1073" s="93"/>
    </row>
    <row r="1074" spans="4:12" x14ac:dyDescent="0.25">
      <c r="D1074" s="93"/>
      <c r="E1074" s="93"/>
      <c r="F1074" s="93"/>
      <c r="G1074" s="93"/>
      <c r="H1074" s="93"/>
      <c r="I1074" s="93"/>
      <c r="J1074" s="93"/>
      <c r="K1074" s="93"/>
      <c r="L1074" s="93"/>
    </row>
    <row r="1075" spans="4:12" x14ac:dyDescent="0.25">
      <c r="D1075" s="93"/>
      <c r="E1075" s="93"/>
      <c r="F1075" s="93"/>
      <c r="G1075" s="93"/>
      <c r="H1075" s="93"/>
      <c r="I1075" s="93"/>
      <c r="J1075" s="93"/>
      <c r="K1075" s="93"/>
      <c r="L1075" s="93"/>
    </row>
    <row r="1076" spans="4:12" x14ac:dyDescent="0.25">
      <c r="D1076" s="93"/>
      <c r="E1076" s="93"/>
      <c r="F1076" s="93"/>
      <c r="G1076" s="93"/>
      <c r="H1076" s="93"/>
      <c r="I1076" s="93"/>
      <c r="J1076" s="93"/>
      <c r="K1076" s="93"/>
      <c r="L1076" s="93"/>
    </row>
    <row r="1077" spans="4:12" x14ac:dyDescent="0.25">
      <c r="D1077" s="93"/>
      <c r="E1077" s="93"/>
      <c r="F1077" s="93"/>
      <c r="G1077" s="93"/>
      <c r="H1077" s="93"/>
      <c r="I1077" s="93"/>
      <c r="J1077" s="93"/>
      <c r="K1077" s="93"/>
      <c r="L1077" s="93"/>
    </row>
    <row r="1078" spans="4:12" x14ac:dyDescent="0.25">
      <c r="D1078" s="93"/>
      <c r="E1078" s="93"/>
      <c r="F1078" s="93"/>
      <c r="G1078" s="93"/>
      <c r="H1078" s="93"/>
      <c r="I1078" s="93"/>
      <c r="J1078" s="93"/>
      <c r="K1078" s="93"/>
      <c r="L1078" s="93"/>
    </row>
    <row r="1079" spans="4:12" x14ac:dyDescent="0.25">
      <c r="D1079" s="93"/>
      <c r="E1079" s="93"/>
      <c r="F1079" s="93"/>
      <c r="G1079" s="93"/>
      <c r="H1079" s="93"/>
      <c r="I1079" s="93"/>
      <c r="J1079" s="93"/>
      <c r="K1079" s="93"/>
      <c r="L1079" s="93"/>
    </row>
    <row r="1080" spans="4:12" x14ac:dyDescent="0.25">
      <c r="D1080" s="93"/>
      <c r="E1080" s="93"/>
      <c r="F1080" s="93"/>
      <c r="G1080" s="93"/>
      <c r="H1080" s="93"/>
      <c r="I1080" s="93"/>
      <c r="J1080" s="93"/>
      <c r="K1080" s="93"/>
      <c r="L1080" s="93"/>
    </row>
    <row r="1081" spans="4:12" x14ac:dyDescent="0.25">
      <c r="D1081" s="93"/>
      <c r="E1081" s="93"/>
      <c r="F1081" s="93"/>
      <c r="G1081" s="93"/>
      <c r="H1081" s="93"/>
      <c r="I1081" s="93"/>
      <c r="J1081" s="93"/>
      <c r="K1081" s="93"/>
      <c r="L1081" s="93"/>
    </row>
    <row r="1082" spans="4:12" x14ac:dyDescent="0.25">
      <c r="D1082" s="93"/>
      <c r="E1082" s="93"/>
      <c r="F1082" s="93"/>
      <c r="G1082" s="93"/>
      <c r="H1082" s="93"/>
      <c r="I1082" s="93"/>
      <c r="J1082" s="93"/>
      <c r="K1082" s="93"/>
      <c r="L1082" s="93"/>
    </row>
    <row r="1083" spans="4:12" x14ac:dyDescent="0.25">
      <c r="D1083" s="93"/>
      <c r="E1083" s="93"/>
      <c r="F1083" s="93"/>
      <c r="G1083" s="93"/>
      <c r="H1083" s="93"/>
      <c r="I1083" s="93"/>
      <c r="J1083" s="93"/>
      <c r="K1083" s="93"/>
      <c r="L1083" s="93"/>
    </row>
    <row r="1084" spans="4:12" x14ac:dyDescent="0.25">
      <c r="D1084" s="93"/>
      <c r="E1084" s="93"/>
      <c r="F1084" s="93"/>
      <c r="G1084" s="93"/>
      <c r="H1084" s="93"/>
      <c r="I1084" s="93"/>
      <c r="J1084" s="93"/>
      <c r="K1084" s="93"/>
      <c r="L1084" s="93"/>
    </row>
    <row r="1085" spans="4:12" x14ac:dyDescent="0.25">
      <c r="D1085" s="93"/>
      <c r="E1085" s="93"/>
      <c r="F1085" s="93"/>
      <c r="G1085" s="93"/>
      <c r="H1085" s="93"/>
      <c r="I1085" s="93"/>
      <c r="J1085" s="93"/>
      <c r="K1085" s="93"/>
      <c r="L1085" s="93"/>
    </row>
    <row r="1086" spans="4:12" x14ac:dyDescent="0.25">
      <c r="D1086" s="93"/>
      <c r="E1086" s="93"/>
      <c r="F1086" s="93"/>
      <c r="G1086" s="93"/>
      <c r="H1086" s="93"/>
      <c r="I1086" s="93"/>
      <c r="J1086" s="93"/>
      <c r="K1086" s="93"/>
      <c r="L1086" s="93"/>
    </row>
    <row r="1087" spans="4:12" x14ac:dyDescent="0.25">
      <c r="D1087" s="93"/>
      <c r="E1087" s="93"/>
      <c r="F1087" s="93"/>
      <c r="G1087" s="93"/>
      <c r="H1087" s="93"/>
      <c r="I1087" s="93"/>
      <c r="J1087" s="93"/>
      <c r="K1087" s="93"/>
      <c r="L1087" s="93"/>
    </row>
    <row r="1088" spans="4:12" x14ac:dyDescent="0.25">
      <c r="D1088" s="93"/>
      <c r="E1088" s="93"/>
      <c r="F1088" s="93"/>
      <c r="G1088" s="93"/>
      <c r="H1088" s="93"/>
      <c r="I1088" s="93"/>
      <c r="J1088" s="93"/>
      <c r="K1088" s="93"/>
      <c r="L1088" s="93"/>
    </row>
    <row r="1089" spans="4:12" x14ac:dyDescent="0.25">
      <c r="D1089" s="93"/>
      <c r="E1089" s="93"/>
      <c r="F1089" s="93"/>
      <c r="G1089" s="93"/>
      <c r="H1089" s="93"/>
      <c r="I1089" s="93"/>
      <c r="J1089" s="93"/>
      <c r="K1089" s="93"/>
      <c r="L1089" s="93"/>
    </row>
    <row r="1090" spans="4:12" x14ac:dyDescent="0.25">
      <c r="D1090" s="93"/>
      <c r="E1090" s="93"/>
      <c r="F1090" s="93"/>
      <c r="G1090" s="93"/>
      <c r="H1090" s="93"/>
      <c r="I1090" s="93"/>
      <c r="J1090" s="93"/>
      <c r="K1090" s="93"/>
      <c r="L1090" s="93"/>
    </row>
    <row r="1091" spans="4:12" x14ac:dyDescent="0.25">
      <c r="D1091" s="93"/>
      <c r="E1091" s="93"/>
      <c r="F1091" s="93"/>
      <c r="G1091" s="93"/>
      <c r="H1091" s="93"/>
      <c r="I1091" s="93"/>
      <c r="J1091" s="93"/>
      <c r="K1091" s="93"/>
      <c r="L1091" s="93"/>
    </row>
    <row r="1092" spans="4:12" x14ac:dyDescent="0.25">
      <c r="D1092" s="93"/>
      <c r="E1092" s="93"/>
      <c r="F1092" s="93"/>
      <c r="G1092" s="93"/>
      <c r="H1092" s="93"/>
      <c r="I1092" s="93"/>
      <c r="J1092" s="93"/>
      <c r="K1092" s="93"/>
      <c r="L1092" s="93"/>
    </row>
    <row r="1093" spans="4:12" x14ac:dyDescent="0.25">
      <c r="D1093" s="93"/>
      <c r="E1093" s="93"/>
      <c r="F1093" s="93"/>
      <c r="G1093" s="93"/>
      <c r="H1093" s="93"/>
      <c r="I1093" s="93"/>
      <c r="J1093" s="93"/>
      <c r="K1093" s="93"/>
      <c r="L1093" s="93"/>
    </row>
    <row r="1094" spans="4:12" x14ac:dyDescent="0.25">
      <c r="D1094" s="93"/>
      <c r="E1094" s="93"/>
      <c r="F1094" s="93"/>
      <c r="G1094" s="93"/>
      <c r="H1094" s="93"/>
      <c r="I1094" s="93"/>
      <c r="J1094" s="93"/>
      <c r="K1094" s="93"/>
      <c r="L1094" s="93"/>
    </row>
    <row r="1095" spans="4:12" x14ac:dyDescent="0.25">
      <c r="D1095" s="93"/>
      <c r="E1095" s="93"/>
      <c r="F1095" s="93"/>
      <c r="G1095" s="93"/>
      <c r="H1095" s="93"/>
      <c r="I1095" s="93"/>
      <c r="J1095" s="93"/>
      <c r="K1095" s="93"/>
      <c r="L1095" s="93"/>
    </row>
    <row r="1096" spans="4:12" x14ac:dyDescent="0.25">
      <c r="D1096" s="93"/>
      <c r="E1096" s="93"/>
      <c r="F1096" s="93"/>
      <c r="G1096" s="93"/>
      <c r="H1096" s="93"/>
      <c r="I1096" s="93"/>
      <c r="J1096" s="93"/>
      <c r="K1096" s="93"/>
      <c r="L1096" s="93"/>
    </row>
    <row r="1097" spans="4:12" x14ac:dyDescent="0.25">
      <c r="D1097" s="93"/>
      <c r="E1097" s="93"/>
      <c r="F1097" s="93"/>
      <c r="G1097" s="93"/>
      <c r="H1097" s="93"/>
      <c r="I1097" s="93"/>
      <c r="J1097" s="93"/>
      <c r="K1097" s="93"/>
      <c r="L1097" s="93"/>
    </row>
    <row r="1098" spans="4:12" x14ac:dyDescent="0.25">
      <c r="D1098" s="93"/>
      <c r="E1098" s="93"/>
      <c r="F1098" s="93"/>
      <c r="G1098" s="93"/>
      <c r="H1098" s="93"/>
      <c r="I1098" s="93"/>
      <c r="J1098" s="93"/>
      <c r="K1098" s="93"/>
      <c r="L1098" s="93"/>
    </row>
    <row r="1099" spans="4:12" x14ac:dyDescent="0.25">
      <c r="D1099" s="93"/>
      <c r="E1099" s="93"/>
      <c r="F1099" s="93"/>
      <c r="G1099" s="93"/>
      <c r="H1099" s="93"/>
      <c r="I1099" s="93"/>
      <c r="J1099" s="93"/>
      <c r="K1099" s="93"/>
      <c r="L1099" s="93"/>
    </row>
    <row r="1100" spans="4:12" x14ac:dyDescent="0.25">
      <c r="D1100" s="93"/>
      <c r="E1100" s="93"/>
      <c r="F1100" s="93"/>
      <c r="G1100" s="93"/>
      <c r="H1100" s="93"/>
      <c r="I1100" s="93"/>
      <c r="J1100" s="93"/>
      <c r="K1100" s="93"/>
      <c r="L1100" s="93"/>
    </row>
    <row r="1101" spans="4:12" x14ac:dyDescent="0.25">
      <c r="D1101" s="93"/>
      <c r="E1101" s="93"/>
      <c r="F1101" s="93"/>
      <c r="G1101" s="93"/>
      <c r="H1101" s="93"/>
      <c r="I1101" s="93"/>
      <c r="J1101" s="93"/>
      <c r="K1101" s="93"/>
      <c r="L1101" s="93"/>
    </row>
    <row r="1102" spans="4:12" x14ac:dyDescent="0.25">
      <c r="D1102" s="93"/>
      <c r="E1102" s="93"/>
      <c r="F1102" s="93"/>
      <c r="G1102" s="93"/>
      <c r="H1102" s="93"/>
      <c r="I1102" s="93"/>
      <c r="J1102" s="93"/>
      <c r="K1102" s="93"/>
      <c r="L1102" s="93"/>
    </row>
    <row r="1103" spans="4:12" x14ac:dyDescent="0.25">
      <c r="D1103" s="93"/>
      <c r="E1103" s="93"/>
      <c r="F1103" s="93"/>
      <c r="G1103" s="93"/>
      <c r="H1103" s="93"/>
      <c r="I1103" s="93"/>
      <c r="J1103" s="93"/>
      <c r="K1103" s="93"/>
      <c r="L1103" s="93"/>
    </row>
    <row r="1104" spans="4:12" x14ac:dyDescent="0.25">
      <c r="D1104" s="93"/>
      <c r="E1104" s="93"/>
      <c r="F1104" s="93"/>
      <c r="G1104" s="93"/>
      <c r="H1104" s="93"/>
      <c r="I1104" s="93"/>
      <c r="J1104" s="93"/>
      <c r="K1104" s="93"/>
      <c r="L1104" s="93"/>
    </row>
    <row r="1105" spans="4:12" x14ac:dyDescent="0.25">
      <c r="D1105" s="93"/>
      <c r="E1105" s="93"/>
      <c r="F1105" s="93"/>
      <c r="G1105" s="93"/>
      <c r="H1105" s="93"/>
      <c r="I1105" s="93"/>
      <c r="J1105" s="93"/>
      <c r="K1105" s="93"/>
      <c r="L1105" s="93"/>
    </row>
    <row r="1106" spans="4:12" x14ac:dyDescent="0.25">
      <c r="D1106" s="93"/>
      <c r="E1106" s="93"/>
      <c r="F1106" s="93"/>
      <c r="G1106" s="93"/>
      <c r="H1106" s="93"/>
      <c r="I1106" s="93"/>
      <c r="J1106" s="93"/>
      <c r="K1106" s="93"/>
      <c r="L1106" s="93"/>
    </row>
    <row r="1107" spans="4:12" x14ac:dyDescent="0.25">
      <c r="D1107" s="93"/>
      <c r="E1107" s="93"/>
      <c r="F1107" s="93"/>
      <c r="G1107" s="93"/>
      <c r="H1107" s="93"/>
      <c r="I1107" s="93"/>
      <c r="J1107" s="93"/>
      <c r="K1107" s="93"/>
      <c r="L1107" s="93"/>
    </row>
    <row r="1108" spans="4:12" x14ac:dyDescent="0.25">
      <c r="D1108" s="93"/>
      <c r="E1108" s="93"/>
      <c r="F1108" s="93"/>
      <c r="G1108" s="93"/>
      <c r="H1108" s="93"/>
      <c r="I1108" s="93"/>
      <c r="J1108" s="93"/>
      <c r="K1108" s="93"/>
      <c r="L1108" s="93"/>
    </row>
    <row r="1109" spans="4:12" x14ac:dyDescent="0.25">
      <c r="D1109" s="93"/>
      <c r="E1109" s="93"/>
      <c r="F1109" s="93"/>
      <c r="G1109" s="93"/>
      <c r="H1109" s="93"/>
      <c r="I1109" s="93"/>
      <c r="J1109" s="93"/>
      <c r="K1109" s="93"/>
      <c r="L1109" s="93"/>
    </row>
    <row r="1110" spans="4:12" x14ac:dyDescent="0.25">
      <c r="D1110" s="93"/>
      <c r="E1110" s="93"/>
      <c r="F1110" s="93"/>
      <c r="G1110" s="93"/>
      <c r="H1110" s="93"/>
      <c r="I1110" s="93"/>
      <c r="J1110" s="93"/>
      <c r="K1110" s="93"/>
      <c r="L1110" s="93"/>
    </row>
    <row r="1111" spans="4:12" x14ac:dyDescent="0.25">
      <c r="D1111" s="93"/>
      <c r="E1111" s="93"/>
      <c r="F1111" s="93"/>
      <c r="G1111" s="93"/>
      <c r="H1111" s="93"/>
      <c r="I1111" s="93"/>
      <c r="J1111" s="93"/>
      <c r="K1111" s="93"/>
      <c r="L1111" s="93"/>
    </row>
    <row r="1112" spans="4:12" x14ac:dyDescent="0.25">
      <c r="D1112" s="93"/>
      <c r="E1112" s="93"/>
      <c r="F1112" s="93"/>
      <c r="G1112" s="93"/>
      <c r="H1112" s="93"/>
      <c r="I1112" s="93"/>
      <c r="J1112" s="93"/>
      <c r="K1112" s="93"/>
      <c r="L1112" s="93"/>
    </row>
    <row r="1113" spans="4:12" x14ac:dyDescent="0.25">
      <c r="D1113" s="93"/>
      <c r="E1113" s="93"/>
      <c r="F1113" s="93"/>
      <c r="G1113" s="93"/>
      <c r="H1113" s="93"/>
      <c r="I1113" s="93"/>
      <c r="J1113" s="93"/>
      <c r="K1113" s="93"/>
      <c r="L1113" s="93"/>
    </row>
    <row r="1114" spans="4:12" x14ac:dyDescent="0.25">
      <c r="D1114" s="93"/>
      <c r="E1114" s="93"/>
      <c r="F1114" s="93"/>
      <c r="G1114" s="93"/>
      <c r="H1114" s="93"/>
      <c r="I1114" s="93"/>
      <c r="J1114" s="93"/>
      <c r="K1114" s="93"/>
      <c r="L1114" s="93"/>
    </row>
    <row r="1115" spans="4:12" x14ac:dyDescent="0.25">
      <c r="D1115" s="93"/>
      <c r="E1115" s="93"/>
      <c r="F1115" s="93"/>
      <c r="G1115" s="93"/>
      <c r="H1115" s="93"/>
      <c r="I1115" s="93"/>
      <c r="J1115" s="93"/>
      <c r="K1115" s="93"/>
      <c r="L1115" s="93"/>
    </row>
    <row r="1116" spans="4:12" x14ac:dyDescent="0.25">
      <c r="D1116" s="93"/>
      <c r="E1116" s="93"/>
      <c r="F1116" s="93"/>
      <c r="G1116" s="93"/>
      <c r="H1116" s="93"/>
      <c r="I1116" s="93"/>
      <c r="J1116" s="93"/>
      <c r="K1116" s="93"/>
      <c r="L1116" s="93"/>
    </row>
    <row r="1117" spans="4:12" x14ac:dyDescent="0.25">
      <c r="D1117" s="93"/>
      <c r="E1117" s="93"/>
      <c r="F1117" s="93"/>
      <c r="G1117" s="93"/>
      <c r="H1117" s="93"/>
      <c r="I1117" s="93"/>
      <c r="J1117" s="93"/>
      <c r="K1117" s="93"/>
      <c r="L1117" s="93"/>
    </row>
    <row r="1118" spans="4:12" x14ac:dyDescent="0.25">
      <c r="D1118" s="93"/>
      <c r="E1118" s="93"/>
      <c r="F1118" s="93"/>
      <c r="G1118" s="93"/>
      <c r="H1118" s="93"/>
      <c r="I1118" s="93"/>
      <c r="J1118" s="93"/>
      <c r="K1118" s="93"/>
      <c r="L1118" s="93"/>
    </row>
    <row r="1119" spans="4:12" x14ac:dyDescent="0.25">
      <c r="D1119" s="93"/>
      <c r="E1119" s="93"/>
      <c r="F1119" s="93"/>
      <c r="G1119" s="93"/>
      <c r="H1119" s="93"/>
      <c r="I1119" s="93"/>
      <c r="J1119" s="93"/>
      <c r="K1119" s="93"/>
      <c r="L1119" s="93"/>
    </row>
    <row r="1120" spans="4:12" x14ac:dyDescent="0.25">
      <c r="D1120" s="93"/>
      <c r="E1120" s="93"/>
      <c r="F1120" s="93"/>
      <c r="G1120" s="93"/>
      <c r="H1120" s="93"/>
      <c r="I1120" s="93"/>
      <c r="J1120" s="93"/>
      <c r="K1120" s="93"/>
      <c r="L1120" s="93"/>
    </row>
    <row r="1121" spans="4:12" x14ac:dyDescent="0.25">
      <c r="D1121" s="93"/>
      <c r="E1121" s="93"/>
      <c r="F1121" s="93"/>
      <c r="G1121" s="93"/>
      <c r="H1121" s="93"/>
      <c r="I1121" s="93"/>
      <c r="J1121" s="93"/>
      <c r="K1121" s="93"/>
      <c r="L1121" s="93"/>
    </row>
    <row r="1122" spans="4:12" x14ac:dyDescent="0.25">
      <c r="D1122" s="93"/>
      <c r="E1122" s="93"/>
      <c r="F1122" s="93"/>
      <c r="G1122" s="93"/>
      <c r="H1122" s="93"/>
      <c r="I1122" s="93"/>
      <c r="J1122" s="93"/>
      <c r="K1122" s="93"/>
      <c r="L1122" s="93"/>
    </row>
    <row r="1123" spans="4:12" x14ac:dyDescent="0.25">
      <c r="D1123" s="93"/>
      <c r="E1123" s="93"/>
      <c r="F1123" s="93"/>
      <c r="G1123" s="93"/>
      <c r="H1123" s="93"/>
      <c r="I1123" s="93"/>
      <c r="J1123" s="93"/>
      <c r="K1123" s="93"/>
      <c r="L1123" s="93"/>
    </row>
    <row r="1124" spans="4:12" x14ac:dyDescent="0.25">
      <c r="D1124" s="93"/>
      <c r="E1124" s="93"/>
      <c r="F1124" s="93"/>
      <c r="G1124" s="93"/>
      <c r="H1124" s="93"/>
      <c r="I1124" s="93"/>
      <c r="J1124" s="93"/>
      <c r="K1124" s="93"/>
      <c r="L1124" s="93"/>
    </row>
    <row r="1125" spans="4:12" x14ac:dyDescent="0.25">
      <c r="D1125" s="93"/>
      <c r="E1125" s="93"/>
      <c r="F1125" s="93"/>
      <c r="G1125" s="93"/>
      <c r="H1125" s="93"/>
      <c r="I1125" s="93"/>
      <c r="J1125" s="93"/>
      <c r="K1125" s="93"/>
      <c r="L1125" s="93"/>
    </row>
    <row r="1126" spans="4:12" x14ac:dyDescent="0.25">
      <c r="D1126" s="93"/>
      <c r="E1126" s="93"/>
      <c r="F1126" s="93"/>
      <c r="G1126" s="93"/>
      <c r="H1126" s="93"/>
      <c r="I1126" s="93"/>
      <c r="J1126" s="93"/>
      <c r="K1126" s="93"/>
      <c r="L1126" s="93"/>
    </row>
    <row r="1127" spans="4:12" x14ac:dyDescent="0.25">
      <c r="D1127" s="93"/>
      <c r="E1127" s="93"/>
      <c r="F1127" s="93"/>
      <c r="G1127" s="93"/>
      <c r="H1127" s="93"/>
      <c r="I1127" s="93"/>
      <c r="J1127" s="93"/>
      <c r="K1127" s="93"/>
      <c r="L1127" s="93"/>
    </row>
    <row r="1128" spans="4:12" x14ac:dyDescent="0.25">
      <c r="D1128" s="93"/>
      <c r="E1128" s="93"/>
      <c r="F1128" s="93"/>
      <c r="G1128" s="93"/>
      <c r="H1128" s="93"/>
      <c r="I1128" s="93"/>
      <c r="J1128" s="93"/>
      <c r="K1128" s="93"/>
      <c r="L1128" s="93"/>
    </row>
    <row r="1129" spans="4:12" x14ac:dyDescent="0.25">
      <c r="D1129" s="93"/>
      <c r="E1129" s="93"/>
      <c r="F1129" s="93"/>
      <c r="G1129" s="93"/>
      <c r="H1129" s="93"/>
      <c r="I1129" s="93"/>
      <c r="J1129" s="93"/>
      <c r="K1129" s="93"/>
      <c r="L1129" s="93"/>
    </row>
    <row r="1130" spans="4:12" x14ac:dyDescent="0.25">
      <c r="D1130" s="93"/>
      <c r="E1130" s="93"/>
      <c r="F1130" s="93"/>
      <c r="G1130" s="93"/>
      <c r="H1130" s="93"/>
      <c r="I1130" s="93"/>
      <c r="J1130" s="93"/>
      <c r="K1130" s="93"/>
      <c r="L1130" s="93"/>
    </row>
    <row r="1131" spans="4:12" x14ac:dyDescent="0.25">
      <c r="D1131" s="93"/>
      <c r="E1131" s="93"/>
      <c r="F1131" s="93"/>
      <c r="G1131" s="93"/>
      <c r="H1131" s="93"/>
      <c r="I1131" s="93"/>
      <c r="J1131" s="93"/>
      <c r="K1131" s="93"/>
      <c r="L1131" s="93"/>
    </row>
    <row r="1132" spans="4:12" x14ac:dyDescent="0.25">
      <c r="D1132" s="93"/>
      <c r="E1132" s="93"/>
      <c r="F1132" s="93"/>
      <c r="G1132" s="93"/>
      <c r="H1132" s="93"/>
      <c r="I1132" s="93"/>
      <c r="J1132" s="93"/>
      <c r="K1132" s="93"/>
      <c r="L1132" s="93"/>
    </row>
    <row r="1133" spans="4:12" x14ac:dyDescent="0.25">
      <c r="D1133" s="93"/>
      <c r="E1133" s="93"/>
      <c r="F1133" s="93"/>
      <c r="G1133" s="93"/>
      <c r="H1133" s="93"/>
      <c r="I1133" s="93"/>
      <c r="J1133" s="93"/>
      <c r="K1133" s="93"/>
      <c r="L1133" s="93"/>
    </row>
    <row r="1134" spans="4:12" x14ac:dyDescent="0.25">
      <c r="D1134" s="93"/>
      <c r="E1134" s="93"/>
      <c r="F1134" s="93"/>
      <c r="G1134" s="93"/>
      <c r="H1134" s="93"/>
      <c r="I1134" s="93"/>
      <c r="J1134" s="93"/>
      <c r="K1134" s="93"/>
      <c r="L1134" s="93"/>
    </row>
    <row r="1135" spans="4:12" x14ac:dyDescent="0.25">
      <c r="D1135" s="93"/>
      <c r="E1135" s="93"/>
      <c r="F1135" s="93"/>
      <c r="G1135" s="93"/>
      <c r="H1135" s="93"/>
      <c r="I1135" s="93"/>
      <c r="J1135" s="93"/>
      <c r="K1135" s="93"/>
      <c r="L1135" s="93"/>
    </row>
    <row r="1136" spans="4:12" x14ac:dyDescent="0.25">
      <c r="D1136" s="93"/>
      <c r="E1136" s="93"/>
      <c r="F1136" s="93"/>
      <c r="G1136" s="93"/>
      <c r="H1136" s="93"/>
      <c r="I1136" s="93"/>
      <c r="J1136" s="93"/>
      <c r="K1136" s="93"/>
      <c r="L1136" s="93"/>
    </row>
    <row r="1137" spans="4:12" x14ac:dyDescent="0.25">
      <c r="D1137" s="93"/>
      <c r="E1137" s="93"/>
      <c r="F1137" s="93"/>
      <c r="G1137" s="93"/>
      <c r="H1137" s="93"/>
      <c r="I1137" s="93"/>
      <c r="J1137" s="93"/>
      <c r="K1137" s="93"/>
      <c r="L1137" s="93"/>
    </row>
    <row r="1138" spans="4:12" x14ac:dyDescent="0.25">
      <c r="D1138" s="93"/>
      <c r="E1138" s="93"/>
      <c r="F1138" s="93"/>
      <c r="G1138" s="93"/>
      <c r="H1138" s="93"/>
      <c r="I1138" s="93"/>
      <c r="J1138" s="93"/>
      <c r="K1138" s="93"/>
      <c r="L1138" s="93"/>
    </row>
    <row r="1139" spans="4:12" x14ac:dyDescent="0.25">
      <c r="D1139" s="93"/>
      <c r="E1139" s="93"/>
      <c r="F1139" s="93"/>
      <c r="G1139" s="93"/>
      <c r="H1139" s="93"/>
      <c r="I1139" s="93"/>
      <c r="J1139" s="93"/>
      <c r="K1139" s="93"/>
      <c r="L1139" s="93"/>
    </row>
    <row r="1140" spans="4:12" x14ac:dyDescent="0.25">
      <c r="D1140" s="93"/>
      <c r="E1140" s="93"/>
      <c r="F1140" s="93"/>
      <c r="G1140" s="93"/>
      <c r="H1140" s="93"/>
      <c r="I1140" s="93"/>
      <c r="J1140" s="93"/>
      <c r="K1140" s="93"/>
      <c r="L1140" s="93"/>
    </row>
    <row r="1141" spans="4:12" x14ac:dyDescent="0.25">
      <c r="D1141" s="93"/>
      <c r="E1141" s="93"/>
      <c r="F1141" s="93"/>
      <c r="G1141" s="93"/>
      <c r="H1141" s="93"/>
      <c r="I1141" s="93"/>
      <c r="J1141" s="93"/>
      <c r="K1141" s="93"/>
      <c r="L1141" s="93"/>
    </row>
    <row r="1142" spans="4:12" x14ac:dyDescent="0.25">
      <c r="D1142" s="93"/>
      <c r="E1142" s="93"/>
      <c r="F1142" s="93"/>
      <c r="G1142" s="93"/>
      <c r="H1142" s="93"/>
      <c r="I1142" s="93"/>
      <c r="J1142" s="93"/>
      <c r="K1142" s="93"/>
      <c r="L1142" s="93"/>
    </row>
    <row r="1143" spans="4:12" x14ac:dyDescent="0.25">
      <c r="D1143" s="93"/>
      <c r="E1143" s="93"/>
      <c r="F1143" s="93"/>
      <c r="G1143" s="93"/>
      <c r="H1143" s="93"/>
      <c r="I1143" s="93"/>
      <c r="J1143" s="93"/>
      <c r="K1143" s="93"/>
      <c r="L1143" s="93"/>
    </row>
    <row r="1144" spans="4:12" x14ac:dyDescent="0.25">
      <c r="D1144" s="93"/>
      <c r="E1144" s="93"/>
      <c r="F1144" s="93"/>
      <c r="G1144" s="93"/>
      <c r="H1144" s="93"/>
      <c r="I1144" s="93"/>
      <c r="J1144" s="93"/>
      <c r="K1144" s="93"/>
      <c r="L1144" s="93"/>
    </row>
    <row r="1145" spans="4:12" x14ac:dyDescent="0.25">
      <c r="D1145" s="93"/>
      <c r="E1145" s="93"/>
      <c r="F1145" s="93"/>
      <c r="G1145" s="93"/>
      <c r="H1145" s="93"/>
      <c r="I1145" s="93"/>
      <c r="J1145" s="93"/>
      <c r="K1145" s="93"/>
      <c r="L1145" s="93"/>
    </row>
    <row r="1146" spans="4:12" x14ac:dyDescent="0.25">
      <c r="D1146" s="93"/>
      <c r="E1146" s="93"/>
      <c r="F1146" s="93"/>
      <c r="G1146" s="93"/>
      <c r="H1146" s="93"/>
      <c r="I1146" s="93"/>
      <c r="J1146" s="93"/>
      <c r="K1146" s="93"/>
      <c r="L1146" s="93"/>
    </row>
    <row r="1147" spans="4:12" x14ac:dyDescent="0.25">
      <c r="D1147" s="93"/>
      <c r="E1147" s="93"/>
      <c r="F1147" s="93"/>
      <c r="G1147" s="93"/>
      <c r="H1147" s="93"/>
      <c r="I1147" s="93"/>
      <c r="J1147" s="93"/>
      <c r="K1147" s="93"/>
      <c r="L1147" s="93"/>
    </row>
    <row r="1148" spans="4:12" x14ac:dyDescent="0.25">
      <c r="D1148" s="93"/>
      <c r="E1148" s="93"/>
      <c r="F1148" s="93"/>
      <c r="G1148" s="93"/>
      <c r="H1148" s="93"/>
      <c r="I1148" s="93"/>
      <c r="J1148" s="93"/>
      <c r="K1148" s="93"/>
      <c r="L1148" s="93"/>
    </row>
    <row r="1149" spans="4:12" x14ac:dyDescent="0.25">
      <c r="D1149" s="93"/>
      <c r="E1149" s="93"/>
      <c r="F1149" s="93"/>
      <c r="G1149" s="93"/>
      <c r="H1149" s="93"/>
      <c r="I1149" s="93"/>
      <c r="J1149" s="93"/>
      <c r="K1149" s="93"/>
      <c r="L1149" s="93"/>
    </row>
    <row r="1150" spans="4:12" x14ac:dyDescent="0.25">
      <c r="D1150" s="93"/>
      <c r="E1150" s="93"/>
      <c r="F1150" s="93"/>
      <c r="G1150" s="93"/>
      <c r="H1150" s="93"/>
      <c r="I1150" s="93"/>
      <c r="J1150" s="93"/>
      <c r="K1150" s="93"/>
      <c r="L1150" s="93"/>
    </row>
    <row r="1151" spans="4:12" x14ac:dyDescent="0.25">
      <c r="D1151" s="93"/>
      <c r="E1151" s="93"/>
      <c r="F1151" s="93"/>
      <c r="G1151" s="93"/>
      <c r="H1151" s="93"/>
      <c r="I1151" s="93"/>
      <c r="J1151" s="93"/>
      <c r="K1151" s="93"/>
      <c r="L1151" s="93"/>
    </row>
    <row r="1152" spans="4:12" x14ac:dyDescent="0.25">
      <c r="D1152" s="93"/>
      <c r="E1152" s="93"/>
      <c r="F1152" s="93"/>
      <c r="G1152" s="93"/>
      <c r="H1152" s="93"/>
      <c r="I1152" s="93"/>
      <c r="J1152" s="93"/>
      <c r="K1152" s="93"/>
      <c r="L1152" s="93"/>
    </row>
    <row r="1153" spans="4:12" x14ac:dyDescent="0.25">
      <c r="D1153" s="93"/>
      <c r="E1153" s="93"/>
      <c r="F1153" s="93"/>
      <c r="G1153" s="93"/>
      <c r="H1153" s="93"/>
      <c r="I1153" s="93"/>
      <c r="J1153" s="93"/>
      <c r="K1153" s="93"/>
      <c r="L1153" s="93"/>
    </row>
    <row r="1154" spans="4:12" x14ac:dyDescent="0.25">
      <c r="D1154" s="93"/>
      <c r="E1154" s="93"/>
      <c r="F1154" s="93"/>
      <c r="G1154" s="93"/>
      <c r="H1154" s="93"/>
      <c r="I1154" s="93"/>
      <c r="J1154" s="93"/>
      <c r="K1154" s="93"/>
      <c r="L1154" s="93"/>
    </row>
    <row r="1155" spans="4:12" x14ac:dyDescent="0.25">
      <c r="D1155" s="93"/>
      <c r="E1155" s="93"/>
      <c r="F1155" s="93"/>
      <c r="G1155" s="93"/>
      <c r="H1155" s="93"/>
      <c r="I1155" s="93"/>
      <c r="J1155" s="93"/>
      <c r="K1155" s="93"/>
      <c r="L1155" s="93"/>
    </row>
    <row r="1156" spans="4:12" x14ac:dyDescent="0.25">
      <c r="D1156" s="93"/>
      <c r="E1156" s="93"/>
      <c r="F1156" s="93"/>
      <c r="G1156" s="93"/>
      <c r="H1156" s="93"/>
      <c r="I1156" s="93"/>
      <c r="J1156" s="93"/>
      <c r="K1156" s="93"/>
      <c r="L1156" s="93"/>
    </row>
    <row r="1157" spans="4:12" x14ac:dyDescent="0.25">
      <c r="D1157" s="93"/>
      <c r="E1157" s="93"/>
      <c r="F1157" s="93"/>
      <c r="G1157" s="93"/>
      <c r="H1157" s="93"/>
      <c r="I1157" s="93"/>
      <c r="J1157" s="93"/>
      <c r="K1157" s="93"/>
      <c r="L1157" s="93"/>
    </row>
    <row r="1158" spans="4:12" x14ac:dyDescent="0.25">
      <c r="D1158" s="93"/>
      <c r="E1158" s="93"/>
      <c r="F1158" s="93"/>
      <c r="G1158" s="93"/>
      <c r="H1158" s="93"/>
      <c r="I1158" s="93"/>
      <c r="J1158" s="93"/>
      <c r="K1158" s="93"/>
      <c r="L1158" s="93"/>
    </row>
    <row r="1159" spans="4:12" x14ac:dyDescent="0.25">
      <c r="D1159" s="93"/>
      <c r="E1159" s="93"/>
      <c r="F1159" s="93"/>
      <c r="G1159" s="93"/>
      <c r="H1159" s="93"/>
      <c r="I1159" s="93"/>
      <c r="J1159" s="93"/>
      <c r="K1159" s="93"/>
      <c r="L1159" s="93"/>
    </row>
    <row r="1160" spans="4:12" x14ac:dyDescent="0.25">
      <c r="D1160" s="93"/>
      <c r="E1160" s="93"/>
      <c r="F1160" s="93"/>
      <c r="G1160" s="93"/>
      <c r="H1160" s="93"/>
      <c r="I1160" s="93"/>
      <c r="J1160" s="93"/>
      <c r="K1160" s="93"/>
      <c r="L1160" s="93"/>
    </row>
    <row r="1161" spans="4:12" x14ac:dyDescent="0.25">
      <c r="D1161" s="93"/>
      <c r="E1161" s="93"/>
      <c r="F1161" s="93"/>
      <c r="G1161" s="93"/>
      <c r="H1161" s="93"/>
      <c r="I1161" s="93"/>
      <c r="J1161" s="93"/>
      <c r="K1161" s="93"/>
      <c r="L1161" s="93"/>
    </row>
    <row r="1162" spans="4:12" x14ac:dyDescent="0.25">
      <c r="D1162" s="93"/>
      <c r="E1162" s="93"/>
      <c r="F1162" s="93"/>
      <c r="G1162" s="93"/>
      <c r="H1162" s="93"/>
      <c r="I1162" s="93"/>
      <c r="J1162" s="93"/>
      <c r="K1162" s="93"/>
      <c r="L1162" s="93"/>
    </row>
    <row r="1163" spans="4:12" x14ac:dyDescent="0.25">
      <c r="D1163" s="93"/>
      <c r="E1163" s="93"/>
      <c r="F1163" s="93"/>
      <c r="G1163" s="93"/>
      <c r="H1163" s="93"/>
      <c r="I1163" s="93"/>
      <c r="J1163" s="93"/>
      <c r="K1163" s="93"/>
      <c r="L1163" s="93"/>
    </row>
    <row r="1164" spans="4:12" x14ac:dyDescent="0.25">
      <c r="D1164" s="93"/>
      <c r="E1164" s="93"/>
      <c r="F1164" s="93"/>
      <c r="G1164" s="93"/>
      <c r="H1164" s="93"/>
      <c r="I1164" s="93"/>
      <c r="J1164" s="93"/>
      <c r="K1164" s="93"/>
      <c r="L1164" s="93"/>
    </row>
    <row r="1165" spans="4:12" x14ac:dyDescent="0.25">
      <c r="D1165" s="93"/>
      <c r="E1165" s="93"/>
      <c r="F1165" s="93"/>
      <c r="G1165" s="93"/>
      <c r="H1165" s="93"/>
      <c r="I1165" s="93"/>
      <c r="J1165" s="93"/>
      <c r="K1165" s="93"/>
      <c r="L1165" s="93"/>
    </row>
    <row r="1166" spans="4:12" x14ac:dyDescent="0.25">
      <c r="D1166" s="93"/>
      <c r="E1166" s="93"/>
      <c r="F1166" s="93"/>
      <c r="G1166" s="93"/>
      <c r="H1166" s="93"/>
      <c r="I1166" s="93"/>
      <c r="J1166" s="93"/>
      <c r="K1166" s="93"/>
      <c r="L1166" s="93"/>
    </row>
    <row r="1167" spans="4:12" x14ac:dyDescent="0.25">
      <c r="D1167" s="93"/>
      <c r="E1167" s="93"/>
      <c r="F1167" s="93"/>
      <c r="G1167" s="93"/>
      <c r="H1167" s="93"/>
      <c r="I1167" s="93"/>
      <c r="J1167" s="93"/>
      <c r="K1167" s="93"/>
      <c r="L1167" s="93"/>
    </row>
    <row r="1168" spans="4:12" x14ac:dyDescent="0.25">
      <c r="D1168" s="93"/>
      <c r="E1168" s="93"/>
      <c r="F1168" s="93"/>
      <c r="G1168" s="93"/>
      <c r="H1168" s="93"/>
      <c r="I1168" s="93"/>
      <c r="J1168" s="93"/>
      <c r="K1168" s="93"/>
      <c r="L1168" s="93"/>
    </row>
    <row r="1169" spans="4:12" x14ac:dyDescent="0.25">
      <c r="D1169" s="93"/>
      <c r="E1169" s="93"/>
      <c r="F1169" s="93"/>
      <c r="G1169" s="93"/>
      <c r="H1169" s="93"/>
      <c r="I1169" s="93"/>
      <c r="J1169" s="93"/>
      <c r="K1169" s="93"/>
      <c r="L1169" s="93"/>
    </row>
    <row r="1170" spans="4:12" x14ac:dyDescent="0.25">
      <c r="D1170" s="93"/>
      <c r="E1170" s="93"/>
      <c r="F1170" s="93"/>
      <c r="G1170" s="93"/>
      <c r="H1170" s="93"/>
      <c r="I1170" s="93"/>
      <c r="J1170" s="93"/>
      <c r="K1170" s="93"/>
      <c r="L1170" s="93"/>
    </row>
    <row r="1171" spans="4:12" x14ac:dyDescent="0.25">
      <c r="D1171" s="93"/>
      <c r="E1171" s="93"/>
      <c r="F1171" s="93"/>
      <c r="G1171" s="93"/>
      <c r="H1171" s="93"/>
      <c r="I1171" s="93"/>
      <c r="J1171" s="93"/>
      <c r="K1171" s="93"/>
      <c r="L1171" s="93"/>
    </row>
    <row r="1172" spans="4:12" x14ac:dyDescent="0.25">
      <c r="D1172" s="93"/>
      <c r="E1172" s="93"/>
      <c r="F1172" s="93"/>
      <c r="G1172" s="93"/>
      <c r="H1172" s="93"/>
      <c r="I1172" s="93"/>
      <c r="J1172" s="93"/>
      <c r="K1172" s="93"/>
      <c r="L1172" s="93"/>
    </row>
    <row r="1173" spans="4:12" x14ac:dyDescent="0.25">
      <c r="D1173" s="93"/>
      <c r="E1173" s="93"/>
      <c r="F1173" s="93"/>
      <c r="G1173" s="93"/>
      <c r="H1173" s="93"/>
      <c r="I1173" s="93"/>
      <c r="J1173" s="93"/>
      <c r="K1173" s="93"/>
      <c r="L1173" s="93"/>
    </row>
    <row r="1174" spans="4:12" x14ac:dyDescent="0.25">
      <c r="D1174" s="93"/>
      <c r="E1174" s="93"/>
      <c r="F1174" s="93"/>
      <c r="G1174" s="93"/>
      <c r="H1174" s="93"/>
      <c r="I1174" s="93"/>
      <c r="J1174" s="93"/>
      <c r="K1174" s="93"/>
      <c r="L1174" s="93"/>
    </row>
    <row r="1175" spans="4:12" x14ac:dyDescent="0.25">
      <c r="D1175" s="93"/>
      <c r="E1175" s="93"/>
      <c r="F1175" s="93"/>
      <c r="G1175" s="93"/>
      <c r="H1175" s="93"/>
      <c r="I1175" s="93"/>
      <c r="J1175" s="93"/>
      <c r="K1175" s="93"/>
      <c r="L1175" s="93"/>
    </row>
    <row r="1176" spans="4:12" x14ac:dyDescent="0.25">
      <c r="D1176" s="93"/>
      <c r="E1176" s="93"/>
      <c r="F1176" s="93"/>
      <c r="G1176" s="93"/>
      <c r="H1176" s="93"/>
      <c r="I1176" s="93"/>
      <c r="J1176" s="93"/>
      <c r="K1176" s="93"/>
      <c r="L1176" s="93"/>
    </row>
    <row r="1177" spans="4:12" x14ac:dyDescent="0.25">
      <c r="D1177" s="93"/>
      <c r="E1177" s="93"/>
      <c r="F1177" s="93"/>
      <c r="G1177" s="93"/>
      <c r="H1177" s="93"/>
      <c r="I1177" s="93"/>
      <c r="J1177" s="93"/>
      <c r="K1177" s="93"/>
      <c r="L1177" s="93"/>
    </row>
    <row r="1178" spans="4:12" x14ac:dyDescent="0.25">
      <c r="D1178" s="93"/>
      <c r="E1178" s="93"/>
      <c r="F1178" s="93"/>
      <c r="G1178" s="93"/>
      <c r="H1178" s="93"/>
      <c r="I1178" s="93"/>
      <c r="J1178" s="93"/>
      <c r="K1178" s="93"/>
      <c r="L1178" s="93"/>
    </row>
    <row r="1179" spans="4:12" x14ac:dyDescent="0.25">
      <c r="D1179" s="93"/>
      <c r="E1179" s="93"/>
      <c r="F1179" s="93"/>
      <c r="G1179" s="93"/>
      <c r="H1179" s="93"/>
      <c r="I1179" s="93"/>
      <c r="J1179" s="93"/>
      <c r="K1179" s="93"/>
      <c r="L1179" s="93"/>
    </row>
    <row r="1180" spans="4:12" x14ac:dyDescent="0.25">
      <c r="D1180" s="93"/>
      <c r="E1180" s="93"/>
      <c r="F1180" s="93"/>
      <c r="G1180" s="93"/>
      <c r="H1180" s="93"/>
      <c r="I1180" s="93"/>
      <c r="J1180" s="93"/>
      <c r="K1180" s="93"/>
      <c r="L1180" s="93"/>
    </row>
    <row r="1181" spans="4:12" x14ac:dyDescent="0.25">
      <c r="D1181" s="93"/>
      <c r="E1181" s="93"/>
      <c r="F1181" s="93"/>
      <c r="G1181" s="93"/>
      <c r="H1181" s="93"/>
      <c r="I1181" s="93"/>
      <c r="J1181" s="93"/>
      <c r="K1181" s="93"/>
      <c r="L1181" s="93"/>
    </row>
    <row r="1182" spans="4:12" x14ac:dyDescent="0.25">
      <c r="D1182" s="93"/>
      <c r="E1182" s="93"/>
      <c r="F1182" s="93"/>
      <c r="G1182" s="93"/>
      <c r="H1182" s="93"/>
      <c r="I1182" s="93"/>
      <c r="J1182" s="93"/>
      <c r="K1182" s="93"/>
      <c r="L1182" s="93"/>
    </row>
    <row r="1183" spans="4:12" x14ac:dyDescent="0.25">
      <c r="D1183" s="93"/>
      <c r="E1183" s="93"/>
      <c r="F1183" s="93"/>
      <c r="G1183" s="93"/>
      <c r="H1183" s="93"/>
      <c r="I1183" s="93"/>
      <c r="J1183" s="93"/>
      <c r="K1183" s="93"/>
      <c r="L1183" s="93"/>
    </row>
    <row r="1184" spans="4:12" x14ac:dyDescent="0.25">
      <c r="D1184" s="93"/>
      <c r="E1184" s="93"/>
      <c r="F1184" s="93"/>
      <c r="G1184" s="93"/>
      <c r="H1184" s="93"/>
      <c r="I1184" s="93"/>
      <c r="J1184" s="93"/>
      <c r="K1184" s="93"/>
      <c r="L1184" s="93"/>
    </row>
    <row r="1185" spans="4:12" x14ac:dyDescent="0.25">
      <c r="D1185" s="93"/>
      <c r="E1185" s="93"/>
      <c r="F1185" s="93"/>
      <c r="G1185" s="93"/>
      <c r="H1185" s="93"/>
      <c r="I1185" s="93"/>
      <c r="J1185" s="93"/>
      <c r="K1185" s="93"/>
      <c r="L1185" s="93"/>
    </row>
    <row r="1186" spans="4:12" x14ac:dyDescent="0.25">
      <c r="D1186" s="93"/>
      <c r="E1186" s="93"/>
      <c r="F1186" s="93"/>
      <c r="G1186" s="93"/>
      <c r="H1186" s="93"/>
      <c r="I1186" s="93"/>
      <c r="J1186" s="93"/>
      <c r="K1186" s="93"/>
      <c r="L1186" s="93"/>
    </row>
    <row r="1187" spans="4:12" x14ac:dyDescent="0.25">
      <c r="D1187" s="93"/>
      <c r="E1187" s="93"/>
      <c r="F1187" s="93"/>
      <c r="G1187" s="93"/>
      <c r="H1187" s="93"/>
      <c r="I1187" s="93"/>
      <c r="J1187" s="93"/>
      <c r="K1187" s="93"/>
      <c r="L1187" s="93"/>
    </row>
    <row r="1188" spans="4:12" x14ac:dyDescent="0.25">
      <c r="D1188" s="93"/>
      <c r="E1188" s="93"/>
      <c r="F1188" s="93"/>
      <c r="G1188" s="93"/>
      <c r="H1188" s="93"/>
      <c r="I1188" s="93"/>
      <c r="J1188" s="93"/>
      <c r="K1188" s="93"/>
      <c r="L1188" s="93"/>
    </row>
    <row r="1189" spans="4:12" x14ac:dyDescent="0.25">
      <c r="D1189" s="93"/>
      <c r="E1189" s="93"/>
      <c r="F1189" s="93"/>
      <c r="G1189" s="93"/>
      <c r="H1189" s="93"/>
      <c r="I1189" s="93"/>
      <c r="J1189" s="93"/>
      <c r="K1189" s="93"/>
      <c r="L1189" s="93"/>
    </row>
    <row r="1190" spans="4:12" x14ac:dyDescent="0.25">
      <c r="D1190" s="93"/>
      <c r="E1190" s="93"/>
      <c r="F1190" s="93"/>
      <c r="G1190" s="93"/>
      <c r="H1190" s="93"/>
      <c r="I1190" s="93"/>
      <c r="J1190" s="93"/>
      <c r="K1190" s="93"/>
      <c r="L1190" s="93"/>
    </row>
    <row r="1191" spans="4:12" x14ac:dyDescent="0.25">
      <c r="D1191" s="93"/>
      <c r="E1191" s="93"/>
      <c r="F1191" s="93"/>
      <c r="G1191" s="93"/>
      <c r="H1191" s="93"/>
      <c r="I1191" s="93"/>
      <c r="J1191" s="93"/>
      <c r="K1191" s="93"/>
      <c r="L1191" s="93"/>
    </row>
    <row r="1192" spans="4:12" x14ac:dyDescent="0.25">
      <c r="D1192" s="93"/>
      <c r="E1192" s="93"/>
      <c r="F1192" s="93"/>
      <c r="G1192" s="93"/>
      <c r="H1192" s="93"/>
      <c r="I1192" s="93"/>
      <c r="J1192" s="93"/>
      <c r="K1192" s="93"/>
      <c r="L1192" s="93"/>
    </row>
    <row r="1193" spans="4:12" x14ac:dyDescent="0.25">
      <c r="D1193" s="93"/>
      <c r="E1193" s="93"/>
      <c r="F1193" s="93"/>
      <c r="G1193" s="93"/>
      <c r="H1193" s="93"/>
      <c r="I1193" s="93"/>
      <c r="J1193" s="93"/>
      <c r="K1193" s="93"/>
      <c r="L1193" s="93"/>
    </row>
    <row r="1194" spans="4:12" x14ac:dyDescent="0.25">
      <c r="D1194" s="93"/>
      <c r="E1194" s="93"/>
      <c r="F1194" s="93"/>
      <c r="G1194" s="93"/>
      <c r="H1194" s="93"/>
      <c r="I1194" s="93"/>
      <c r="J1194" s="93"/>
      <c r="K1194" s="93"/>
      <c r="L1194" s="93"/>
    </row>
    <row r="1195" spans="4:12" x14ac:dyDescent="0.25">
      <c r="D1195" s="93"/>
      <c r="E1195" s="93"/>
      <c r="F1195" s="93"/>
      <c r="G1195" s="93"/>
      <c r="H1195" s="93"/>
      <c r="I1195" s="93"/>
      <c r="J1195" s="93"/>
      <c r="K1195" s="93"/>
      <c r="L1195" s="93"/>
    </row>
    <row r="1196" spans="4:12" x14ac:dyDescent="0.25">
      <c r="D1196" s="93"/>
      <c r="E1196" s="93"/>
      <c r="F1196" s="93"/>
      <c r="G1196" s="93"/>
      <c r="H1196" s="93"/>
      <c r="I1196" s="93"/>
      <c r="J1196" s="93"/>
      <c r="K1196" s="93"/>
      <c r="L1196" s="93"/>
    </row>
    <row r="1197" spans="4:12" x14ac:dyDescent="0.25">
      <c r="D1197" s="93"/>
      <c r="E1197" s="93"/>
      <c r="F1197" s="93"/>
      <c r="G1197" s="93"/>
      <c r="H1197" s="93"/>
      <c r="I1197" s="93"/>
      <c r="J1197" s="93"/>
      <c r="K1197" s="93"/>
      <c r="L1197" s="93"/>
    </row>
    <row r="1198" spans="4:12" x14ac:dyDescent="0.25">
      <c r="D1198" s="93"/>
      <c r="E1198" s="93"/>
      <c r="F1198" s="93"/>
      <c r="G1198" s="93"/>
      <c r="H1198" s="93"/>
      <c r="I1198" s="93"/>
      <c r="J1198" s="93"/>
      <c r="K1198" s="93"/>
      <c r="L1198" s="93"/>
    </row>
    <row r="1199" spans="4:12" x14ac:dyDescent="0.25">
      <c r="D1199" s="93"/>
      <c r="E1199" s="93"/>
      <c r="F1199" s="93"/>
      <c r="G1199" s="93"/>
      <c r="H1199" s="93"/>
      <c r="I1199" s="93"/>
      <c r="J1199" s="93"/>
      <c r="K1199" s="93"/>
      <c r="L1199" s="93"/>
    </row>
    <row r="1200" spans="4:12" x14ac:dyDescent="0.25">
      <c r="D1200" s="93"/>
      <c r="E1200" s="93"/>
      <c r="F1200" s="93"/>
      <c r="G1200" s="93"/>
      <c r="H1200" s="93"/>
      <c r="I1200" s="93"/>
      <c r="J1200" s="93"/>
      <c r="K1200" s="93"/>
      <c r="L1200" s="93"/>
    </row>
    <row r="1201" spans="4:12" x14ac:dyDescent="0.25">
      <c r="D1201" s="93"/>
      <c r="E1201" s="93"/>
      <c r="F1201" s="93"/>
      <c r="G1201" s="93"/>
      <c r="H1201" s="93"/>
      <c r="I1201" s="93"/>
      <c r="J1201" s="93"/>
      <c r="K1201" s="93"/>
      <c r="L1201" s="93"/>
    </row>
    <row r="1202" spans="4:12" x14ac:dyDescent="0.25">
      <c r="D1202" s="93"/>
      <c r="E1202" s="93"/>
      <c r="F1202" s="93"/>
      <c r="G1202" s="93"/>
      <c r="H1202" s="93"/>
      <c r="I1202" s="93"/>
      <c r="J1202" s="93"/>
      <c r="K1202" s="93"/>
      <c r="L1202" s="93"/>
    </row>
    <row r="1203" spans="4:12" x14ac:dyDescent="0.25">
      <c r="D1203" s="93"/>
      <c r="E1203" s="93"/>
      <c r="F1203" s="93"/>
      <c r="G1203" s="93"/>
      <c r="H1203" s="93"/>
      <c r="I1203" s="93"/>
      <c r="J1203" s="93"/>
      <c r="K1203" s="93"/>
      <c r="L1203" s="93"/>
    </row>
    <row r="1204" spans="4:12" x14ac:dyDescent="0.25">
      <c r="D1204" s="93"/>
      <c r="E1204" s="93"/>
      <c r="F1204" s="93"/>
      <c r="G1204" s="93"/>
      <c r="H1204" s="93"/>
      <c r="I1204" s="93"/>
      <c r="J1204" s="93"/>
      <c r="K1204" s="93"/>
      <c r="L1204" s="93"/>
    </row>
    <row r="1205" spans="4:12" x14ac:dyDescent="0.25">
      <c r="D1205" s="93"/>
      <c r="E1205" s="93"/>
      <c r="F1205" s="93"/>
      <c r="G1205" s="93"/>
      <c r="H1205" s="93"/>
      <c r="I1205" s="93"/>
      <c r="J1205" s="93"/>
      <c r="K1205" s="93"/>
      <c r="L1205" s="93"/>
    </row>
    <row r="1206" spans="4:12" x14ac:dyDescent="0.25">
      <c r="D1206" s="93"/>
      <c r="E1206" s="93"/>
      <c r="F1206" s="93"/>
      <c r="G1206" s="93"/>
      <c r="H1206" s="93"/>
      <c r="I1206" s="93"/>
      <c r="J1206" s="93"/>
      <c r="K1206" s="93"/>
      <c r="L1206" s="93"/>
    </row>
    <row r="1207" spans="4:12" x14ac:dyDescent="0.25">
      <c r="D1207" s="93"/>
      <c r="E1207" s="93"/>
      <c r="F1207" s="93"/>
      <c r="G1207" s="93"/>
      <c r="H1207" s="93"/>
      <c r="I1207" s="93"/>
      <c r="J1207" s="93"/>
      <c r="K1207" s="93"/>
      <c r="L1207" s="93"/>
    </row>
    <row r="1208" spans="4:12" x14ac:dyDescent="0.25">
      <c r="D1208" s="93"/>
      <c r="E1208" s="93"/>
      <c r="F1208" s="93"/>
      <c r="G1208" s="93"/>
      <c r="H1208" s="93"/>
      <c r="I1208" s="93"/>
      <c r="J1208" s="93"/>
      <c r="K1208" s="93"/>
      <c r="L1208" s="93"/>
    </row>
    <row r="1209" spans="4:12" x14ac:dyDescent="0.25">
      <c r="D1209" s="93"/>
      <c r="E1209" s="93"/>
      <c r="F1209" s="93"/>
      <c r="G1209" s="93"/>
      <c r="H1209" s="93"/>
      <c r="I1209" s="93"/>
      <c r="J1209" s="93"/>
      <c r="K1209" s="93"/>
      <c r="L1209" s="93"/>
    </row>
    <row r="1210" spans="4:12" x14ac:dyDescent="0.25">
      <c r="D1210" s="93"/>
      <c r="E1210" s="93"/>
      <c r="F1210" s="93"/>
      <c r="G1210" s="93"/>
      <c r="H1210" s="93"/>
      <c r="I1210" s="93"/>
      <c r="J1210" s="93"/>
      <c r="K1210" s="93"/>
      <c r="L1210" s="93"/>
    </row>
    <row r="1211" spans="4:12" x14ac:dyDescent="0.25">
      <c r="D1211" s="93"/>
      <c r="E1211" s="93"/>
      <c r="F1211" s="93"/>
      <c r="G1211" s="93"/>
      <c r="H1211" s="93"/>
      <c r="I1211" s="93"/>
      <c r="J1211" s="93"/>
      <c r="K1211" s="93"/>
      <c r="L1211" s="93"/>
    </row>
    <row r="1212" spans="4:12" x14ac:dyDescent="0.25">
      <c r="D1212" s="93"/>
      <c r="E1212" s="93"/>
      <c r="F1212" s="93"/>
      <c r="G1212" s="93"/>
      <c r="H1212" s="93"/>
      <c r="I1212" s="93"/>
      <c r="J1212" s="93"/>
      <c r="K1212" s="93"/>
      <c r="L1212" s="93"/>
    </row>
    <row r="1213" spans="4:12" x14ac:dyDescent="0.25">
      <c r="D1213" s="93"/>
      <c r="E1213" s="93"/>
      <c r="F1213" s="93"/>
      <c r="G1213" s="93"/>
      <c r="H1213" s="93"/>
      <c r="I1213" s="93"/>
      <c r="J1213" s="93"/>
      <c r="K1213" s="93"/>
      <c r="L1213" s="93"/>
    </row>
    <row r="1214" spans="4:12" x14ac:dyDescent="0.25">
      <c r="D1214" s="93"/>
      <c r="E1214" s="93"/>
      <c r="F1214" s="93"/>
      <c r="G1214" s="93"/>
      <c r="H1214" s="93"/>
      <c r="I1214" s="93"/>
      <c r="J1214" s="93"/>
      <c r="K1214" s="93"/>
      <c r="L1214" s="93"/>
    </row>
    <row r="1215" spans="4:12" x14ac:dyDescent="0.25">
      <c r="D1215" s="93"/>
      <c r="E1215" s="93"/>
      <c r="F1215" s="93"/>
      <c r="G1215" s="93"/>
      <c r="H1215" s="93"/>
      <c r="I1215" s="93"/>
      <c r="J1215" s="93"/>
      <c r="K1215" s="93"/>
      <c r="L1215" s="93"/>
    </row>
    <row r="1216" spans="4:12" x14ac:dyDescent="0.25">
      <c r="D1216" s="93"/>
      <c r="E1216" s="93"/>
      <c r="F1216" s="93"/>
      <c r="G1216" s="93"/>
      <c r="H1216" s="93"/>
      <c r="I1216" s="93"/>
      <c r="J1216" s="93"/>
      <c r="K1216" s="93"/>
      <c r="L1216" s="93"/>
    </row>
    <row r="1217" spans="4:12" x14ac:dyDescent="0.25">
      <c r="D1217" s="93"/>
      <c r="E1217" s="93"/>
      <c r="F1217" s="93"/>
      <c r="G1217" s="93"/>
      <c r="H1217" s="93"/>
      <c r="I1217" s="93"/>
      <c r="J1217" s="93"/>
      <c r="K1217" s="93"/>
      <c r="L1217" s="93"/>
    </row>
    <row r="1218" spans="4:12" x14ac:dyDescent="0.25">
      <c r="D1218" s="93"/>
      <c r="E1218" s="93"/>
      <c r="F1218" s="93"/>
      <c r="G1218" s="93"/>
      <c r="H1218" s="93"/>
      <c r="I1218" s="93"/>
      <c r="J1218" s="93"/>
      <c r="K1218" s="93"/>
      <c r="L1218" s="93"/>
    </row>
    <row r="1219" spans="4:12" x14ac:dyDescent="0.25">
      <c r="D1219" s="93"/>
      <c r="E1219" s="93"/>
      <c r="F1219" s="93"/>
      <c r="G1219" s="93"/>
      <c r="H1219" s="93"/>
      <c r="I1219" s="93"/>
      <c r="J1219" s="93"/>
      <c r="K1219" s="93"/>
      <c r="L1219" s="93"/>
    </row>
    <row r="1220" spans="4:12" x14ac:dyDescent="0.25">
      <c r="D1220" s="93"/>
      <c r="E1220" s="93"/>
      <c r="F1220" s="93"/>
      <c r="G1220" s="93"/>
      <c r="H1220" s="93"/>
      <c r="I1220" s="93"/>
      <c r="J1220" s="93"/>
      <c r="K1220" s="93"/>
      <c r="L1220" s="93"/>
    </row>
    <row r="1221" spans="4:12" x14ac:dyDescent="0.25">
      <c r="D1221" s="93"/>
      <c r="E1221" s="93"/>
      <c r="F1221" s="93"/>
      <c r="G1221" s="93"/>
      <c r="H1221" s="93"/>
      <c r="I1221" s="93"/>
      <c r="J1221" s="93"/>
      <c r="K1221" s="93"/>
      <c r="L1221" s="93"/>
    </row>
    <row r="1222" spans="4:12" x14ac:dyDescent="0.25">
      <c r="D1222" s="93"/>
      <c r="E1222" s="93"/>
      <c r="F1222" s="93"/>
      <c r="G1222" s="93"/>
      <c r="H1222" s="93"/>
      <c r="I1222" s="93"/>
      <c r="J1222" s="93"/>
      <c r="K1222" s="93"/>
      <c r="L1222" s="93"/>
    </row>
    <row r="1223" spans="4:12" x14ac:dyDescent="0.25">
      <c r="D1223" s="93"/>
      <c r="E1223" s="93"/>
      <c r="F1223" s="93"/>
      <c r="G1223" s="93"/>
      <c r="H1223" s="93"/>
      <c r="I1223" s="93"/>
      <c r="J1223" s="93"/>
      <c r="K1223" s="93"/>
      <c r="L1223" s="93"/>
    </row>
    <row r="1224" spans="4:12" x14ac:dyDescent="0.25">
      <c r="D1224" s="93"/>
      <c r="E1224" s="93"/>
      <c r="F1224" s="93"/>
      <c r="G1224" s="93"/>
      <c r="H1224" s="93"/>
      <c r="I1224" s="93"/>
      <c r="J1224" s="93"/>
      <c r="K1224" s="93"/>
      <c r="L1224" s="93"/>
    </row>
    <row r="1225" spans="4:12" x14ac:dyDescent="0.25">
      <c r="D1225" s="93"/>
      <c r="E1225" s="93"/>
      <c r="F1225" s="93"/>
      <c r="G1225" s="93"/>
      <c r="H1225" s="93"/>
      <c r="I1225" s="93"/>
      <c r="J1225" s="93"/>
      <c r="K1225" s="93"/>
      <c r="L1225" s="93"/>
    </row>
    <row r="1226" spans="4:12" x14ac:dyDescent="0.25">
      <c r="D1226" s="93"/>
      <c r="E1226" s="93"/>
      <c r="F1226" s="93"/>
      <c r="G1226" s="93"/>
      <c r="H1226" s="93"/>
      <c r="I1226" s="93"/>
      <c r="J1226" s="93"/>
      <c r="K1226" s="93"/>
      <c r="L1226" s="93"/>
    </row>
    <row r="1227" spans="4:12" x14ac:dyDescent="0.25">
      <c r="D1227" s="93"/>
      <c r="E1227" s="93"/>
      <c r="F1227" s="93"/>
      <c r="G1227" s="93"/>
      <c r="H1227" s="93"/>
      <c r="I1227" s="93"/>
      <c r="J1227" s="93"/>
      <c r="K1227" s="93"/>
      <c r="L1227" s="93"/>
    </row>
    <row r="1228" spans="4:12" x14ac:dyDescent="0.25">
      <c r="D1228" s="93"/>
      <c r="E1228" s="93"/>
      <c r="F1228" s="93"/>
      <c r="G1228" s="93"/>
      <c r="H1228" s="93"/>
      <c r="I1228" s="93"/>
      <c r="J1228" s="93"/>
      <c r="K1228" s="93"/>
      <c r="L1228" s="93"/>
    </row>
    <row r="1229" spans="4:12" x14ac:dyDescent="0.25">
      <c r="D1229" s="93"/>
      <c r="E1229" s="93"/>
      <c r="F1229" s="93"/>
      <c r="G1229" s="93"/>
      <c r="H1229" s="93"/>
      <c r="I1229" s="93"/>
      <c r="J1229" s="93"/>
      <c r="K1229" s="93"/>
      <c r="L1229" s="93"/>
    </row>
    <row r="1230" spans="4:12" x14ac:dyDescent="0.25">
      <c r="D1230" s="93"/>
      <c r="E1230" s="93"/>
      <c r="F1230" s="93"/>
      <c r="G1230" s="93"/>
      <c r="H1230" s="93"/>
      <c r="I1230" s="93"/>
      <c r="J1230" s="93"/>
      <c r="K1230" s="93"/>
      <c r="L1230" s="93"/>
    </row>
    <row r="1231" spans="4:12" x14ac:dyDescent="0.25">
      <c r="D1231" s="93"/>
      <c r="E1231" s="93"/>
      <c r="F1231" s="93"/>
      <c r="G1231" s="93"/>
      <c r="H1231" s="93"/>
      <c r="I1231" s="93"/>
      <c r="J1231" s="93"/>
      <c r="K1231" s="93"/>
      <c r="L1231" s="93"/>
    </row>
    <row r="1232" spans="4:12" x14ac:dyDescent="0.25">
      <c r="D1232" s="93"/>
      <c r="E1232" s="93"/>
      <c r="F1232" s="93"/>
      <c r="G1232" s="93"/>
      <c r="H1232" s="93"/>
      <c r="I1232" s="93"/>
      <c r="J1232" s="93"/>
      <c r="K1232" s="93"/>
      <c r="L1232" s="93"/>
    </row>
    <row r="1233" spans="4:12" x14ac:dyDescent="0.25">
      <c r="D1233" s="93"/>
      <c r="E1233" s="93"/>
      <c r="F1233" s="93"/>
      <c r="G1233" s="93"/>
      <c r="H1233" s="93"/>
      <c r="I1233" s="93"/>
      <c r="J1233" s="93"/>
      <c r="K1233" s="93"/>
      <c r="L1233" s="93"/>
    </row>
    <row r="1234" spans="4:12" x14ac:dyDescent="0.25">
      <c r="D1234" s="93"/>
      <c r="E1234" s="93"/>
      <c r="F1234" s="93"/>
      <c r="G1234" s="93"/>
      <c r="H1234" s="93"/>
      <c r="I1234" s="93"/>
      <c r="J1234" s="93"/>
      <c r="K1234" s="93"/>
      <c r="L1234" s="93"/>
    </row>
    <row r="1235" spans="4:12" x14ac:dyDescent="0.25">
      <c r="D1235" s="93"/>
      <c r="E1235" s="93"/>
      <c r="F1235" s="93"/>
      <c r="G1235" s="93"/>
      <c r="H1235" s="93"/>
      <c r="I1235" s="93"/>
      <c r="J1235" s="93"/>
      <c r="K1235" s="93"/>
      <c r="L1235" s="93"/>
    </row>
    <row r="1236" spans="4:12" x14ac:dyDescent="0.25">
      <c r="D1236" s="93"/>
      <c r="E1236" s="93"/>
      <c r="F1236" s="93"/>
      <c r="G1236" s="93"/>
      <c r="H1236" s="93"/>
      <c r="I1236" s="93"/>
      <c r="J1236" s="93"/>
      <c r="K1236" s="93"/>
      <c r="L1236" s="93"/>
    </row>
    <row r="1237" spans="4:12" x14ac:dyDescent="0.25">
      <c r="D1237" s="93"/>
      <c r="E1237" s="93"/>
      <c r="F1237" s="93"/>
      <c r="G1237" s="93"/>
      <c r="H1237" s="93"/>
      <c r="I1237" s="93"/>
      <c r="J1237" s="93"/>
      <c r="K1237" s="93"/>
      <c r="L1237" s="93"/>
    </row>
    <row r="1238" spans="4:12" x14ac:dyDescent="0.25">
      <c r="D1238" s="93"/>
      <c r="E1238" s="93"/>
      <c r="F1238" s="93"/>
      <c r="G1238" s="93"/>
      <c r="H1238" s="93"/>
      <c r="I1238" s="93"/>
      <c r="J1238" s="93"/>
      <c r="K1238" s="93"/>
      <c r="L1238" s="93"/>
    </row>
    <row r="1239" spans="4:12" x14ac:dyDescent="0.25">
      <c r="D1239" s="93"/>
      <c r="E1239" s="93"/>
      <c r="F1239" s="93"/>
      <c r="G1239" s="93"/>
      <c r="H1239" s="93"/>
      <c r="I1239" s="93"/>
      <c r="J1239" s="93"/>
      <c r="K1239" s="93"/>
      <c r="L1239" s="93"/>
    </row>
    <row r="1240" spans="4:12" x14ac:dyDescent="0.25">
      <c r="D1240" s="93"/>
      <c r="E1240" s="93"/>
      <c r="F1240" s="93"/>
      <c r="G1240" s="93"/>
      <c r="H1240" s="93"/>
      <c r="I1240" s="93"/>
      <c r="J1240" s="93"/>
      <c r="K1240" s="93"/>
      <c r="L1240" s="93"/>
    </row>
    <row r="1241" spans="4:12" x14ac:dyDescent="0.25">
      <c r="D1241" s="93"/>
      <c r="E1241" s="93"/>
      <c r="F1241" s="93"/>
      <c r="G1241" s="93"/>
      <c r="H1241" s="93"/>
      <c r="I1241" s="93"/>
      <c r="J1241" s="93"/>
      <c r="K1241" s="93"/>
      <c r="L1241" s="93"/>
    </row>
    <row r="1242" spans="4:12" x14ac:dyDescent="0.25">
      <c r="D1242" s="93"/>
      <c r="E1242" s="93"/>
      <c r="F1242" s="93"/>
      <c r="G1242" s="93"/>
      <c r="H1242" s="93"/>
      <c r="I1242" s="93"/>
      <c r="J1242" s="93"/>
      <c r="K1242" s="93"/>
      <c r="L1242" s="93"/>
    </row>
    <row r="1243" spans="4:12" x14ac:dyDescent="0.25">
      <c r="D1243" s="93"/>
      <c r="E1243" s="93"/>
      <c r="F1243" s="93"/>
      <c r="G1243" s="93"/>
      <c r="H1243" s="93"/>
      <c r="I1243" s="93"/>
      <c r="J1243" s="93"/>
      <c r="K1243" s="93"/>
      <c r="L1243" s="93"/>
    </row>
    <row r="1244" spans="4:12" x14ac:dyDescent="0.25">
      <c r="D1244" s="93"/>
      <c r="E1244" s="93"/>
      <c r="F1244" s="93"/>
      <c r="G1244" s="93"/>
      <c r="H1244" s="93"/>
      <c r="I1244" s="93"/>
      <c r="J1244" s="93"/>
      <c r="K1244" s="93"/>
      <c r="L1244" s="93"/>
    </row>
    <row r="1245" spans="4:12" x14ac:dyDescent="0.25">
      <c r="D1245" s="93"/>
      <c r="E1245" s="93"/>
      <c r="F1245" s="93"/>
      <c r="G1245" s="93"/>
      <c r="H1245" s="93"/>
      <c r="I1245" s="93"/>
      <c r="J1245" s="93"/>
      <c r="K1245" s="93"/>
      <c r="L1245" s="93"/>
    </row>
    <row r="1246" spans="4:12" x14ac:dyDescent="0.25">
      <c r="D1246" s="93"/>
      <c r="E1246" s="93"/>
      <c r="F1246" s="93"/>
      <c r="G1246" s="93"/>
      <c r="H1246" s="93"/>
      <c r="I1246" s="93"/>
      <c r="J1246" s="93"/>
      <c r="K1246" s="93"/>
      <c r="L1246" s="93"/>
    </row>
    <row r="1247" spans="4:12" x14ac:dyDescent="0.25">
      <c r="D1247" s="93"/>
      <c r="E1247" s="93"/>
      <c r="F1247" s="93"/>
      <c r="G1247" s="93"/>
      <c r="H1247" s="93"/>
      <c r="I1247" s="93"/>
      <c r="J1247" s="93"/>
      <c r="K1247" s="93"/>
      <c r="L1247" s="93"/>
    </row>
    <row r="1248" spans="4:12" x14ac:dyDescent="0.25">
      <c r="D1248" s="93"/>
      <c r="E1248" s="93"/>
      <c r="F1248" s="93"/>
      <c r="G1248" s="93"/>
      <c r="H1248" s="93"/>
      <c r="I1248" s="93"/>
      <c r="J1248" s="93"/>
      <c r="K1248" s="93"/>
      <c r="L1248" s="93"/>
    </row>
    <row r="1249" spans="4:12" x14ac:dyDescent="0.25">
      <c r="D1249" s="93"/>
      <c r="E1249" s="93"/>
      <c r="F1249" s="93"/>
      <c r="G1249" s="93"/>
      <c r="H1249" s="93"/>
      <c r="I1249" s="93"/>
      <c r="J1249" s="93"/>
      <c r="K1249" s="93"/>
      <c r="L1249" s="93"/>
    </row>
    <row r="1250" spans="4:12" x14ac:dyDescent="0.25">
      <c r="D1250" s="93"/>
      <c r="E1250" s="93"/>
      <c r="F1250" s="93"/>
      <c r="G1250" s="93"/>
      <c r="H1250" s="93"/>
      <c r="I1250" s="93"/>
      <c r="J1250" s="93"/>
      <c r="K1250" s="93"/>
      <c r="L1250" s="93"/>
    </row>
    <row r="1251" spans="4:12" x14ac:dyDescent="0.25">
      <c r="D1251" s="93"/>
      <c r="E1251" s="93"/>
      <c r="F1251" s="93"/>
      <c r="G1251" s="93"/>
      <c r="H1251" s="93"/>
      <c r="I1251" s="93"/>
      <c r="J1251" s="93"/>
      <c r="K1251" s="93"/>
      <c r="L1251" s="93"/>
    </row>
    <row r="1252" spans="4:12" x14ac:dyDescent="0.25">
      <c r="D1252" s="93"/>
      <c r="E1252" s="93"/>
      <c r="F1252" s="93"/>
      <c r="G1252" s="93"/>
      <c r="H1252" s="93"/>
      <c r="I1252" s="93"/>
      <c r="J1252" s="93"/>
      <c r="K1252" s="93"/>
      <c r="L1252" s="93"/>
    </row>
    <row r="1253" spans="4:12" x14ac:dyDescent="0.25">
      <c r="D1253" s="93"/>
      <c r="E1253" s="93"/>
      <c r="F1253" s="93"/>
      <c r="G1253" s="93"/>
      <c r="H1253" s="93"/>
      <c r="I1253" s="93"/>
      <c r="J1253" s="93"/>
      <c r="K1253" s="93"/>
      <c r="L1253" s="93"/>
    </row>
    <row r="1254" spans="4:12" x14ac:dyDescent="0.25">
      <c r="D1254" s="93"/>
      <c r="E1254" s="93"/>
      <c r="F1254" s="93"/>
      <c r="G1254" s="93"/>
      <c r="H1254" s="93"/>
      <c r="I1254" s="93"/>
      <c r="J1254" s="93"/>
      <c r="K1254" s="93"/>
      <c r="L1254" s="93"/>
    </row>
    <row r="1255" spans="4:12" x14ac:dyDescent="0.25">
      <c r="D1255" s="93"/>
      <c r="E1255" s="93"/>
      <c r="F1255" s="93"/>
      <c r="G1255" s="93"/>
      <c r="H1255" s="93"/>
      <c r="I1255" s="93"/>
      <c r="J1255" s="93"/>
      <c r="K1255" s="93"/>
      <c r="L1255" s="93"/>
    </row>
    <row r="1256" spans="4:12" x14ac:dyDescent="0.25">
      <c r="D1256" s="93"/>
      <c r="E1256" s="93"/>
      <c r="F1256" s="93"/>
      <c r="G1256" s="93"/>
      <c r="H1256" s="93"/>
      <c r="I1256" s="93"/>
      <c r="J1256" s="93"/>
      <c r="K1256" s="93"/>
      <c r="L1256" s="93"/>
    </row>
    <row r="1257" spans="4:12" x14ac:dyDescent="0.25">
      <c r="D1257" s="93"/>
      <c r="E1257" s="93"/>
      <c r="F1257" s="93"/>
      <c r="G1257" s="93"/>
      <c r="H1257" s="93"/>
      <c r="I1257" s="93"/>
      <c r="J1257" s="93"/>
      <c r="K1257" s="93"/>
      <c r="L1257" s="93"/>
    </row>
    <row r="1258" spans="4:12" x14ac:dyDescent="0.25">
      <c r="D1258" s="93"/>
      <c r="E1258" s="93"/>
      <c r="F1258" s="93"/>
      <c r="G1258" s="93"/>
      <c r="H1258" s="93"/>
      <c r="I1258" s="93"/>
      <c r="J1258" s="93"/>
      <c r="K1258" s="93"/>
      <c r="L1258" s="93"/>
    </row>
    <row r="1259" spans="4:12" x14ac:dyDescent="0.25">
      <c r="D1259" s="93"/>
      <c r="E1259" s="93"/>
      <c r="F1259" s="93"/>
      <c r="G1259" s="93"/>
      <c r="H1259" s="93"/>
      <c r="I1259" s="93"/>
      <c r="J1259" s="93"/>
      <c r="K1259" s="93"/>
      <c r="L1259" s="93"/>
    </row>
    <row r="1260" spans="4:12" x14ac:dyDescent="0.25">
      <c r="D1260" s="93"/>
      <c r="E1260" s="93"/>
      <c r="F1260" s="93"/>
      <c r="G1260" s="93"/>
      <c r="H1260" s="93"/>
      <c r="I1260" s="93"/>
      <c r="J1260" s="93"/>
      <c r="K1260" s="93"/>
      <c r="L1260" s="93"/>
    </row>
    <row r="1261" spans="4:12" x14ac:dyDescent="0.25">
      <c r="D1261" s="93"/>
      <c r="E1261" s="93"/>
      <c r="F1261" s="93"/>
      <c r="G1261" s="93"/>
      <c r="H1261" s="93"/>
      <c r="I1261" s="93"/>
      <c r="J1261" s="93"/>
      <c r="K1261" s="93"/>
      <c r="L1261" s="93"/>
    </row>
    <row r="1262" spans="4:12" x14ac:dyDescent="0.25">
      <c r="D1262" s="93"/>
      <c r="E1262" s="93"/>
      <c r="F1262" s="93"/>
      <c r="G1262" s="93"/>
      <c r="H1262" s="93"/>
      <c r="I1262" s="93"/>
      <c r="J1262" s="93"/>
      <c r="K1262" s="93"/>
      <c r="L1262" s="93"/>
    </row>
    <row r="1263" spans="4:12" x14ac:dyDescent="0.25">
      <c r="D1263" s="93"/>
      <c r="E1263" s="93"/>
      <c r="F1263" s="93"/>
      <c r="G1263" s="93"/>
      <c r="H1263" s="93"/>
      <c r="I1263" s="93"/>
      <c r="J1263" s="93"/>
      <c r="K1263" s="93"/>
      <c r="L1263" s="93"/>
    </row>
    <row r="1264" spans="4:12" x14ac:dyDescent="0.25">
      <c r="D1264" s="93"/>
      <c r="E1264" s="93"/>
      <c r="F1264" s="93"/>
      <c r="G1264" s="93"/>
      <c r="H1264" s="93"/>
      <c r="I1264" s="93"/>
      <c r="J1264" s="93"/>
      <c r="K1264" s="93"/>
      <c r="L1264" s="93"/>
    </row>
    <row r="1265" spans="4:12" x14ac:dyDescent="0.25">
      <c r="D1265" s="93"/>
      <c r="E1265" s="93"/>
      <c r="F1265" s="93"/>
      <c r="G1265" s="93"/>
      <c r="H1265" s="93"/>
      <c r="I1265" s="93"/>
      <c r="J1265" s="93"/>
      <c r="K1265" s="93"/>
      <c r="L1265" s="93"/>
    </row>
    <row r="1266" spans="4:12" x14ac:dyDescent="0.25">
      <c r="D1266" s="93"/>
      <c r="E1266" s="93"/>
      <c r="F1266" s="93"/>
      <c r="G1266" s="93"/>
      <c r="H1266" s="93"/>
      <c r="I1266" s="93"/>
      <c r="J1266" s="93"/>
      <c r="K1266" s="93"/>
      <c r="L1266" s="93"/>
    </row>
    <row r="1267" spans="4:12" x14ac:dyDescent="0.25">
      <c r="D1267" s="93"/>
      <c r="E1267" s="93"/>
      <c r="F1267" s="93"/>
      <c r="G1267" s="93"/>
      <c r="H1267" s="93"/>
      <c r="I1267" s="93"/>
      <c r="J1267" s="93"/>
      <c r="K1267" s="93"/>
      <c r="L1267" s="93"/>
    </row>
    <row r="1268" spans="4:12" x14ac:dyDescent="0.25">
      <c r="D1268" s="93"/>
      <c r="E1268" s="93"/>
      <c r="F1268" s="93"/>
      <c r="G1268" s="93"/>
      <c r="H1268" s="93"/>
      <c r="I1268" s="93"/>
      <c r="J1268" s="93"/>
      <c r="K1268" s="93"/>
      <c r="L1268" s="93"/>
    </row>
    <row r="1269" spans="4:12" x14ac:dyDescent="0.25">
      <c r="D1269" s="93"/>
      <c r="E1269" s="93"/>
      <c r="F1269" s="93"/>
      <c r="G1269" s="93"/>
      <c r="H1269" s="93"/>
      <c r="I1269" s="93"/>
      <c r="J1269" s="93"/>
      <c r="K1269" s="93"/>
      <c r="L1269" s="93"/>
    </row>
    <row r="1270" spans="4:12" x14ac:dyDescent="0.25">
      <c r="D1270" s="93"/>
      <c r="E1270" s="93"/>
      <c r="F1270" s="93"/>
      <c r="G1270" s="93"/>
      <c r="H1270" s="93"/>
      <c r="I1270" s="93"/>
      <c r="J1270" s="93"/>
      <c r="K1270" s="93"/>
      <c r="L1270" s="93"/>
    </row>
    <row r="1271" spans="4:12" x14ac:dyDescent="0.25">
      <c r="D1271" s="93"/>
      <c r="E1271" s="93"/>
      <c r="F1271" s="93"/>
      <c r="G1271" s="93"/>
      <c r="H1271" s="93"/>
      <c r="I1271" s="93"/>
      <c r="J1271" s="93"/>
      <c r="K1271" s="93"/>
      <c r="L1271" s="93"/>
    </row>
    <row r="1272" spans="4:12" x14ac:dyDescent="0.25">
      <c r="D1272" s="93"/>
      <c r="E1272" s="93"/>
      <c r="F1272" s="93"/>
      <c r="G1272" s="93"/>
      <c r="H1272" s="93"/>
      <c r="I1272" s="93"/>
      <c r="J1272" s="93"/>
      <c r="K1272" s="93"/>
      <c r="L1272" s="93"/>
    </row>
    <row r="1273" spans="4:12" x14ac:dyDescent="0.25">
      <c r="D1273" s="93"/>
      <c r="E1273" s="93"/>
      <c r="F1273" s="93"/>
      <c r="G1273" s="93"/>
      <c r="H1273" s="93"/>
      <c r="I1273" s="93"/>
      <c r="J1273" s="93"/>
      <c r="K1273" s="93"/>
      <c r="L1273" s="93"/>
    </row>
    <row r="1274" spans="4:12" x14ac:dyDescent="0.25">
      <c r="D1274" s="93"/>
      <c r="E1274" s="93"/>
      <c r="F1274" s="93"/>
      <c r="G1274" s="93"/>
      <c r="H1274" s="93"/>
      <c r="I1274" s="93"/>
      <c r="J1274" s="93"/>
      <c r="K1274" s="93"/>
      <c r="L1274" s="93"/>
    </row>
    <row r="1275" spans="4:12" x14ac:dyDescent="0.25">
      <c r="D1275" s="93"/>
      <c r="E1275" s="93"/>
      <c r="F1275" s="93"/>
      <c r="G1275" s="93"/>
      <c r="H1275" s="93"/>
      <c r="I1275" s="93"/>
      <c r="J1275" s="93"/>
      <c r="K1275" s="93"/>
      <c r="L1275" s="93"/>
    </row>
    <row r="1276" spans="4:12" x14ac:dyDescent="0.25">
      <c r="D1276" s="93"/>
      <c r="E1276" s="93"/>
      <c r="F1276" s="93"/>
      <c r="G1276" s="93"/>
      <c r="H1276" s="93"/>
      <c r="I1276" s="93"/>
      <c r="J1276" s="93"/>
      <c r="K1276" s="93"/>
      <c r="L1276" s="93"/>
    </row>
    <row r="1277" spans="4:12" x14ac:dyDescent="0.25">
      <c r="D1277" s="93"/>
      <c r="E1277" s="93"/>
      <c r="F1277" s="93"/>
      <c r="G1277" s="93"/>
      <c r="H1277" s="93"/>
      <c r="I1277" s="93"/>
      <c r="J1277" s="93"/>
      <c r="K1277" s="93"/>
      <c r="L1277" s="93"/>
    </row>
    <row r="1278" spans="4:12" x14ac:dyDescent="0.25">
      <c r="D1278" s="93"/>
      <c r="E1278" s="93"/>
      <c r="F1278" s="93"/>
      <c r="G1278" s="93"/>
      <c r="H1278" s="93"/>
      <c r="I1278" s="93"/>
      <c r="J1278" s="93"/>
      <c r="K1278" s="93"/>
      <c r="L1278" s="93"/>
    </row>
    <row r="1279" spans="4:12" x14ac:dyDescent="0.25">
      <c r="D1279" s="93"/>
      <c r="E1279" s="93"/>
      <c r="F1279" s="93"/>
      <c r="G1279" s="93"/>
      <c r="H1279" s="93"/>
      <c r="I1279" s="93"/>
      <c r="J1279" s="93"/>
      <c r="K1279" s="93"/>
      <c r="L1279" s="93"/>
    </row>
    <row r="1280" spans="4:12" x14ac:dyDescent="0.25">
      <c r="D1280" s="93"/>
      <c r="E1280" s="93"/>
      <c r="F1280" s="93"/>
      <c r="G1280" s="93"/>
      <c r="H1280" s="93"/>
      <c r="I1280" s="93"/>
      <c r="J1280" s="93"/>
      <c r="K1280" s="93"/>
      <c r="L1280" s="93"/>
    </row>
    <row r="1281" spans="4:12" x14ac:dyDescent="0.25">
      <c r="D1281" s="93"/>
      <c r="E1281" s="93"/>
      <c r="F1281" s="93"/>
      <c r="G1281" s="93"/>
      <c r="H1281" s="93"/>
      <c r="I1281" s="93"/>
      <c r="J1281" s="93"/>
      <c r="K1281" s="93"/>
      <c r="L1281" s="93"/>
    </row>
    <row r="1282" spans="4:12" x14ac:dyDescent="0.25">
      <c r="D1282" s="93"/>
      <c r="E1282" s="93"/>
      <c r="F1282" s="93"/>
      <c r="G1282" s="93"/>
      <c r="H1282" s="93"/>
      <c r="I1282" s="93"/>
      <c r="J1282" s="93"/>
      <c r="K1282" s="93"/>
      <c r="L1282" s="93"/>
    </row>
    <row r="1283" spans="4:12" x14ac:dyDescent="0.25">
      <c r="D1283" s="93"/>
      <c r="E1283" s="93"/>
      <c r="F1283" s="93"/>
      <c r="G1283" s="93"/>
      <c r="H1283" s="93"/>
      <c r="I1283" s="93"/>
      <c r="J1283" s="93"/>
      <c r="K1283" s="93"/>
      <c r="L1283" s="93"/>
    </row>
    <row r="1284" spans="4:12" x14ac:dyDescent="0.25">
      <c r="D1284" s="93"/>
      <c r="E1284" s="93"/>
      <c r="F1284" s="93"/>
      <c r="G1284" s="93"/>
      <c r="H1284" s="93"/>
      <c r="I1284" s="93"/>
      <c r="J1284" s="93"/>
      <c r="K1284" s="93"/>
      <c r="L1284" s="93"/>
    </row>
    <row r="1285" spans="4:12" x14ac:dyDescent="0.25">
      <c r="D1285" s="93"/>
      <c r="E1285" s="93"/>
      <c r="F1285" s="93"/>
      <c r="G1285" s="93"/>
      <c r="H1285" s="93"/>
      <c r="I1285" s="93"/>
      <c r="J1285" s="93"/>
      <c r="K1285" s="93"/>
      <c r="L1285" s="93"/>
    </row>
    <row r="1286" spans="4:12" x14ac:dyDescent="0.25">
      <c r="D1286" s="93"/>
      <c r="E1286" s="93"/>
      <c r="F1286" s="93"/>
      <c r="G1286" s="93"/>
      <c r="H1286" s="93"/>
      <c r="I1286" s="93"/>
      <c r="J1286" s="93"/>
      <c r="K1286" s="93"/>
      <c r="L1286" s="93"/>
    </row>
    <row r="1287" spans="4:12" x14ac:dyDescent="0.25">
      <c r="D1287" s="93"/>
      <c r="E1287" s="93"/>
      <c r="F1287" s="93"/>
      <c r="G1287" s="93"/>
      <c r="H1287" s="93"/>
      <c r="I1287" s="93"/>
      <c r="J1287" s="93"/>
      <c r="K1287" s="93"/>
      <c r="L1287" s="93"/>
    </row>
    <row r="1288" spans="4:12" x14ac:dyDescent="0.25">
      <c r="D1288" s="93"/>
      <c r="E1288" s="93"/>
      <c r="F1288" s="93"/>
      <c r="G1288" s="93"/>
      <c r="H1288" s="93"/>
      <c r="I1288" s="93"/>
      <c r="J1288" s="93"/>
      <c r="K1288" s="93"/>
      <c r="L1288" s="93"/>
    </row>
    <row r="1289" spans="4:12" x14ac:dyDescent="0.25">
      <c r="D1289" s="93"/>
      <c r="E1289" s="93"/>
      <c r="F1289" s="93"/>
      <c r="G1289" s="93"/>
      <c r="H1289" s="93"/>
      <c r="I1289" s="93"/>
      <c r="J1289" s="93"/>
      <c r="K1289" s="93"/>
      <c r="L1289" s="93"/>
    </row>
    <row r="1290" spans="4:12" x14ac:dyDescent="0.25">
      <c r="D1290" s="93"/>
      <c r="E1290" s="93"/>
      <c r="F1290" s="93"/>
      <c r="G1290" s="93"/>
      <c r="H1290" s="93"/>
      <c r="I1290" s="93"/>
      <c r="J1290" s="93"/>
      <c r="K1290" s="93"/>
      <c r="L1290" s="93"/>
    </row>
    <row r="1291" spans="4:12" x14ac:dyDescent="0.25">
      <c r="D1291" s="93"/>
      <c r="E1291" s="93"/>
      <c r="F1291" s="93"/>
      <c r="G1291" s="93"/>
      <c r="H1291" s="93"/>
      <c r="I1291" s="93"/>
      <c r="J1291" s="93"/>
      <c r="K1291" s="93"/>
      <c r="L1291" s="93"/>
    </row>
    <row r="1292" spans="4:12" x14ac:dyDescent="0.25">
      <c r="D1292" s="93"/>
      <c r="E1292" s="93"/>
      <c r="F1292" s="93"/>
      <c r="G1292" s="93"/>
      <c r="H1292" s="93"/>
      <c r="I1292" s="93"/>
      <c r="J1292" s="93"/>
      <c r="K1292" s="93"/>
      <c r="L1292" s="93"/>
    </row>
    <row r="1293" spans="4:12" x14ac:dyDescent="0.25">
      <c r="D1293" s="93"/>
      <c r="E1293" s="93"/>
      <c r="F1293" s="93"/>
      <c r="G1293" s="93"/>
      <c r="H1293" s="93"/>
      <c r="I1293" s="93"/>
      <c r="J1293" s="93"/>
      <c r="K1293" s="93"/>
      <c r="L1293" s="93"/>
    </row>
    <row r="1294" spans="4:12" x14ac:dyDescent="0.25">
      <c r="D1294" s="93"/>
      <c r="E1294" s="93"/>
      <c r="F1294" s="93"/>
      <c r="G1294" s="93"/>
      <c r="H1294" s="93"/>
      <c r="I1294" s="93"/>
      <c r="J1294" s="93"/>
      <c r="K1294" s="93"/>
      <c r="L1294" s="93"/>
    </row>
    <row r="1295" spans="4:12" x14ac:dyDescent="0.25">
      <c r="D1295" s="93"/>
      <c r="E1295" s="93"/>
      <c r="F1295" s="93"/>
      <c r="G1295" s="93"/>
      <c r="H1295" s="93"/>
      <c r="I1295" s="93"/>
      <c r="J1295" s="93"/>
      <c r="K1295" s="93"/>
      <c r="L1295" s="93"/>
    </row>
    <row r="1296" spans="4:12" x14ac:dyDescent="0.25">
      <c r="D1296" s="93"/>
      <c r="E1296" s="93"/>
      <c r="F1296" s="93"/>
      <c r="G1296" s="93"/>
      <c r="H1296" s="93"/>
      <c r="I1296" s="93"/>
      <c r="J1296" s="93"/>
      <c r="K1296" s="93"/>
      <c r="L1296" s="93"/>
    </row>
    <row r="1297" spans="4:12" x14ac:dyDescent="0.25">
      <c r="D1297" s="93"/>
      <c r="E1297" s="93"/>
      <c r="F1297" s="93"/>
      <c r="G1297" s="93"/>
      <c r="H1297" s="93"/>
      <c r="I1297" s="93"/>
      <c r="J1297" s="93"/>
      <c r="K1297" s="93"/>
      <c r="L1297" s="93"/>
    </row>
    <row r="1298" spans="4:12" x14ac:dyDescent="0.25">
      <c r="D1298" s="93"/>
      <c r="E1298" s="93"/>
      <c r="F1298" s="93"/>
      <c r="G1298" s="93"/>
      <c r="H1298" s="93"/>
      <c r="I1298" s="93"/>
      <c r="J1298" s="93"/>
      <c r="K1298" s="93"/>
      <c r="L1298" s="93"/>
    </row>
    <row r="1299" spans="4:12" x14ac:dyDescent="0.25">
      <c r="D1299" s="93"/>
      <c r="E1299" s="93"/>
      <c r="F1299" s="93"/>
      <c r="G1299" s="93"/>
      <c r="H1299" s="93"/>
      <c r="I1299" s="93"/>
      <c r="J1299" s="93"/>
      <c r="K1299" s="93"/>
      <c r="L1299" s="93"/>
    </row>
    <row r="1300" spans="4:12" x14ac:dyDescent="0.25">
      <c r="D1300" s="93"/>
      <c r="E1300" s="93"/>
      <c r="F1300" s="93"/>
      <c r="G1300" s="93"/>
      <c r="H1300" s="93"/>
      <c r="I1300" s="93"/>
      <c r="J1300" s="93"/>
      <c r="K1300" s="93"/>
      <c r="L1300" s="93"/>
    </row>
    <row r="1301" spans="4:12" x14ac:dyDescent="0.25">
      <c r="D1301" s="93"/>
      <c r="E1301" s="93"/>
      <c r="F1301" s="93"/>
      <c r="G1301" s="93"/>
      <c r="H1301" s="93"/>
      <c r="I1301" s="93"/>
      <c r="J1301" s="93"/>
      <c r="K1301" s="93"/>
      <c r="L1301" s="93"/>
    </row>
    <row r="1302" spans="4:12" x14ac:dyDescent="0.25">
      <c r="D1302" s="93"/>
      <c r="E1302" s="93"/>
      <c r="F1302" s="93"/>
      <c r="G1302" s="93"/>
      <c r="H1302" s="93"/>
      <c r="I1302" s="93"/>
      <c r="J1302" s="93"/>
      <c r="K1302" s="93"/>
      <c r="L1302" s="93"/>
    </row>
    <row r="1303" spans="4:12" x14ac:dyDescent="0.25">
      <c r="D1303" s="93"/>
      <c r="E1303" s="93"/>
      <c r="F1303" s="93"/>
      <c r="G1303" s="93"/>
      <c r="H1303" s="93"/>
      <c r="I1303" s="93"/>
      <c r="J1303" s="93"/>
      <c r="K1303" s="93"/>
      <c r="L1303" s="93"/>
    </row>
    <row r="1304" spans="4:12" x14ac:dyDescent="0.25">
      <c r="D1304" s="93"/>
      <c r="E1304" s="93"/>
      <c r="F1304" s="93"/>
      <c r="G1304" s="93"/>
      <c r="H1304" s="93"/>
      <c r="I1304" s="93"/>
      <c r="J1304" s="93"/>
      <c r="K1304" s="93"/>
      <c r="L1304" s="93"/>
    </row>
    <row r="1305" spans="4:12" x14ac:dyDescent="0.25">
      <c r="D1305" s="93"/>
      <c r="E1305" s="93"/>
      <c r="F1305" s="93"/>
      <c r="G1305" s="93"/>
      <c r="H1305" s="93"/>
      <c r="I1305" s="93"/>
      <c r="J1305" s="93"/>
      <c r="K1305" s="93"/>
      <c r="L1305" s="93"/>
    </row>
    <row r="1306" spans="4:12" x14ac:dyDescent="0.25">
      <c r="D1306" s="93"/>
      <c r="E1306" s="93"/>
      <c r="F1306" s="93"/>
      <c r="G1306" s="93"/>
      <c r="H1306" s="93"/>
      <c r="I1306" s="93"/>
      <c r="J1306" s="93"/>
      <c r="K1306" s="93"/>
      <c r="L1306" s="93"/>
    </row>
    <row r="1307" spans="4:12" x14ac:dyDescent="0.25">
      <c r="D1307" s="93"/>
      <c r="E1307" s="93"/>
      <c r="F1307" s="93"/>
      <c r="G1307" s="93"/>
      <c r="H1307" s="93"/>
      <c r="I1307" s="93"/>
      <c r="J1307" s="93"/>
      <c r="K1307" s="93"/>
      <c r="L1307" s="93"/>
    </row>
    <row r="1308" spans="4:12" x14ac:dyDescent="0.25">
      <c r="D1308" s="93"/>
      <c r="E1308" s="93"/>
      <c r="F1308" s="93"/>
      <c r="G1308" s="93"/>
      <c r="H1308" s="93"/>
      <c r="I1308" s="93"/>
      <c r="J1308" s="93"/>
      <c r="K1308" s="93"/>
      <c r="L1308" s="93"/>
    </row>
    <row r="1309" spans="4:12" x14ac:dyDescent="0.25">
      <c r="D1309" s="93"/>
      <c r="E1309" s="93"/>
      <c r="F1309" s="93"/>
      <c r="G1309" s="93"/>
      <c r="H1309" s="93"/>
      <c r="I1309" s="93"/>
      <c r="J1309" s="93"/>
      <c r="K1309" s="93"/>
      <c r="L1309" s="93"/>
    </row>
    <row r="1310" spans="4:12" x14ac:dyDescent="0.25">
      <c r="D1310" s="93"/>
      <c r="E1310" s="93"/>
      <c r="F1310" s="93"/>
      <c r="G1310" s="93"/>
      <c r="H1310" s="93"/>
      <c r="I1310" s="93"/>
      <c r="J1310" s="93"/>
      <c r="K1310" s="93"/>
      <c r="L1310" s="93"/>
    </row>
    <row r="1311" spans="4:12" x14ac:dyDescent="0.25">
      <c r="D1311" s="93"/>
      <c r="E1311" s="93"/>
      <c r="F1311" s="93"/>
      <c r="G1311" s="93"/>
      <c r="H1311" s="93"/>
      <c r="I1311" s="93"/>
      <c r="J1311" s="93"/>
      <c r="K1311" s="93"/>
      <c r="L1311" s="93"/>
    </row>
    <row r="1312" spans="4:12" x14ac:dyDescent="0.25">
      <c r="D1312" s="93"/>
      <c r="E1312" s="93"/>
      <c r="F1312" s="93"/>
      <c r="G1312" s="93"/>
      <c r="H1312" s="93"/>
      <c r="I1312" s="93"/>
      <c r="J1312" s="93"/>
      <c r="K1312" s="93"/>
      <c r="L1312" s="93"/>
    </row>
    <row r="1313" spans="4:12" x14ac:dyDescent="0.25">
      <c r="D1313" s="93"/>
      <c r="E1313" s="93"/>
      <c r="F1313" s="93"/>
      <c r="G1313" s="93"/>
      <c r="H1313" s="93"/>
      <c r="I1313" s="93"/>
      <c r="J1313" s="93"/>
      <c r="K1313" s="93"/>
      <c r="L1313" s="93"/>
    </row>
    <row r="1314" spans="4:12" x14ac:dyDescent="0.25">
      <c r="D1314" s="93"/>
      <c r="E1314" s="93"/>
      <c r="F1314" s="93"/>
      <c r="G1314" s="93"/>
      <c r="H1314" s="93"/>
      <c r="I1314" s="93"/>
      <c r="J1314" s="93"/>
      <c r="K1314" s="93"/>
      <c r="L1314" s="93"/>
    </row>
    <row r="1315" spans="4:12" x14ac:dyDescent="0.25">
      <c r="D1315" s="93"/>
      <c r="E1315" s="93"/>
      <c r="F1315" s="93"/>
      <c r="G1315" s="93"/>
      <c r="H1315" s="93"/>
      <c r="I1315" s="93"/>
      <c r="J1315" s="93"/>
      <c r="K1315" s="93"/>
      <c r="L1315" s="93"/>
    </row>
    <row r="1316" spans="4:12" x14ac:dyDescent="0.25">
      <c r="D1316" s="93"/>
      <c r="E1316" s="93"/>
      <c r="F1316" s="93"/>
      <c r="G1316" s="93"/>
      <c r="H1316" s="93"/>
      <c r="I1316" s="93"/>
      <c r="J1316" s="93"/>
      <c r="K1316" s="93"/>
      <c r="L1316" s="93"/>
    </row>
    <row r="1317" spans="4:12" x14ac:dyDescent="0.25">
      <c r="D1317" s="93"/>
      <c r="E1317" s="93"/>
      <c r="F1317" s="93"/>
      <c r="G1317" s="93"/>
      <c r="H1317" s="93"/>
      <c r="I1317" s="93"/>
      <c r="J1317" s="93"/>
      <c r="K1317" s="93"/>
      <c r="L1317" s="93"/>
    </row>
    <row r="1318" spans="4:12" x14ac:dyDescent="0.25">
      <c r="D1318" s="93"/>
      <c r="E1318" s="93"/>
      <c r="F1318" s="93"/>
      <c r="G1318" s="93"/>
      <c r="H1318" s="93"/>
      <c r="I1318" s="93"/>
      <c r="J1318" s="93"/>
      <c r="K1318" s="93"/>
      <c r="L1318" s="93"/>
    </row>
    <row r="1319" spans="4:12" x14ac:dyDescent="0.25">
      <c r="D1319" s="93"/>
      <c r="E1319" s="93"/>
      <c r="F1319" s="93"/>
      <c r="G1319" s="93"/>
      <c r="H1319" s="93"/>
      <c r="I1319" s="93"/>
      <c r="J1319" s="93"/>
      <c r="K1319" s="93"/>
      <c r="L1319" s="93"/>
    </row>
    <row r="1320" spans="4:12" x14ac:dyDescent="0.25">
      <c r="D1320" s="93"/>
      <c r="E1320" s="93"/>
      <c r="F1320" s="93"/>
      <c r="G1320" s="93"/>
      <c r="H1320" s="93"/>
      <c r="I1320" s="93"/>
      <c r="J1320" s="93"/>
      <c r="K1320" s="93"/>
      <c r="L1320" s="93"/>
    </row>
    <row r="1321" spans="4:12" x14ac:dyDescent="0.25">
      <c r="D1321" s="93"/>
      <c r="E1321" s="93"/>
      <c r="F1321" s="93"/>
      <c r="G1321" s="93"/>
      <c r="H1321" s="93"/>
      <c r="I1321" s="93"/>
      <c r="J1321" s="93"/>
      <c r="K1321" s="93"/>
      <c r="L1321" s="93"/>
    </row>
    <row r="1322" spans="4:12" x14ac:dyDescent="0.25">
      <c r="D1322" s="93"/>
      <c r="E1322" s="93"/>
      <c r="F1322" s="93"/>
      <c r="G1322" s="93"/>
      <c r="H1322" s="93"/>
      <c r="I1322" s="93"/>
      <c r="J1322" s="93"/>
      <c r="K1322" s="93"/>
      <c r="L1322" s="93"/>
    </row>
    <row r="1323" spans="4:12" x14ac:dyDescent="0.25">
      <c r="D1323" s="93"/>
      <c r="E1323" s="93"/>
      <c r="F1323" s="93"/>
      <c r="G1323" s="93"/>
      <c r="H1323" s="93"/>
      <c r="I1323" s="93"/>
      <c r="J1323" s="93"/>
      <c r="K1323" s="93"/>
      <c r="L1323" s="93"/>
    </row>
    <row r="1324" spans="4:12" x14ac:dyDescent="0.25">
      <c r="D1324" s="93"/>
      <c r="E1324" s="93"/>
      <c r="F1324" s="93"/>
      <c r="G1324" s="93"/>
      <c r="H1324" s="93"/>
      <c r="I1324" s="93"/>
      <c r="J1324" s="93"/>
      <c r="K1324" s="93"/>
      <c r="L1324" s="93"/>
    </row>
    <row r="1325" spans="4:12" x14ac:dyDescent="0.25">
      <c r="D1325" s="93"/>
      <c r="E1325" s="93"/>
      <c r="F1325" s="93"/>
      <c r="G1325" s="93"/>
      <c r="H1325" s="93"/>
      <c r="I1325" s="93"/>
      <c r="J1325" s="93"/>
      <c r="K1325" s="93"/>
      <c r="L1325" s="93"/>
    </row>
    <row r="1326" spans="4:12" x14ac:dyDescent="0.25">
      <c r="D1326" s="93"/>
      <c r="E1326" s="93"/>
      <c r="F1326" s="93"/>
      <c r="G1326" s="93"/>
      <c r="H1326" s="93"/>
      <c r="I1326" s="93"/>
      <c r="J1326" s="93"/>
      <c r="K1326" s="93"/>
      <c r="L1326" s="93"/>
    </row>
    <row r="1327" spans="4:12" x14ac:dyDescent="0.25">
      <c r="D1327" s="93"/>
      <c r="E1327" s="93"/>
      <c r="F1327" s="93"/>
      <c r="G1327" s="93"/>
      <c r="H1327" s="93"/>
      <c r="I1327" s="93"/>
      <c r="J1327" s="93"/>
      <c r="K1327" s="93"/>
      <c r="L1327" s="93"/>
    </row>
    <row r="1328" spans="4:12" x14ac:dyDescent="0.25">
      <c r="D1328" s="93"/>
      <c r="E1328" s="93"/>
      <c r="F1328" s="93"/>
      <c r="G1328" s="93"/>
      <c r="H1328" s="93"/>
      <c r="I1328" s="93"/>
      <c r="J1328" s="93"/>
      <c r="K1328" s="93"/>
      <c r="L1328" s="93"/>
    </row>
    <row r="1329" spans="4:12" x14ac:dyDescent="0.25">
      <c r="D1329" s="93"/>
      <c r="E1329" s="93"/>
      <c r="F1329" s="93"/>
      <c r="G1329" s="93"/>
      <c r="H1329" s="93"/>
      <c r="I1329" s="93"/>
      <c r="J1329" s="93"/>
      <c r="K1329" s="93"/>
      <c r="L1329" s="93"/>
    </row>
    <row r="1330" spans="4:12" x14ac:dyDescent="0.25">
      <c r="D1330" s="93"/>
      <c r="E1330" s="93"/>
      <c r="F1330" s="93"/>
      <c r="G1330" s="93"/>
      <c r="H1330" s="93"/>
      <c r="I1330" s="93"/>
      <c r="J1330" s="93"/>
      <c r="K1330" s="93"/>
      <c r="L1330" s="93"/>
    </row>
    <row r="1331" spans="4:12" x14ac:dyDescent="0.25">
      <c r="D1331" s="93"/>
      <c r="E1331" s="93"/>
      <c r="F1331" s="93"/>
      <c r="G1331" s="93"/>
      <c r="H1331" s="93"/>
      <c r="I1331" s="93"/>
      <c r="J1331" s="93"/>
      <c r="K1331" s="93"/>
      <c r="L1331" s="93"/>
    </row>
    <row r="1332" spans="4:12" x14ac:dyDescent="0.25">
      <c r="D1332" s="93"/>
      <c r="E1332" s="93"/>
      <c r="F1332" s="93"/>
      <c r="G1332" s="93"/>
      <c r="H1332" s="93"/>
      <c r="I1332" s="93"/>
      <c r="J1332" s="93"/>
      <c r="K1332" s="93"/>
      <c r="L1332" s="93"/>
    </row>
    <row r="1333" spans="4:12" x14ac:dyDescent="0.25">
      <c r="D1333" s="93"/>
      <c r="E1333" s="93"/>
      <c r="F1333" s="93"/>
      <c r="G1333" s="93"/>
      <c r="H1333" s="93"/>
      <c r="I1333" s="93"/>
      <c r="J1333" s="93"/>
      <c r="K1333" s="93"/>
      <c r="L1333" s="93"/>
    </row>
    <row r="1334" spans="4:12" x14ac:dyDescent="0.25">
      <c r="D1334" s="93"/>
      <c r="E1334" s="93"/>
      <c r="F1334" s="93"/>
      <c r="G1334" s="93"/>
      <c r="H1334" s="93"/>
      <c r="I1334" s="93"/>
      <c r="J1334" s="93"/>
      <c r="K1334" s="93"/>
      <c r="L1334" s="93"/>
    </row>
    <row r="1335" spans="4:12" x14ac:dyDescent="0.25">
      <c r="D1335" s="93"/>
      <c r="E1335" s="93"/>
      <c r="F1335" s="93"/>
      <c r="G1335" s="93"/>
      <c r="H1335" s="93"/>
      <c r="I1335" s="93"/>
      <c r="J1335" s="93"/>
      <c r="K1335" s="93"/>
      <c r="L1335" s="93"/>
    </row>
    <row r="1336" spans="4:12" x14ac:dyDescent="0.25">
      <c r="D1336" s="93"/>
      <c r="E1336" s="93"/>
      <c r="F1336" s="93"/>
      <c r="G1336" s="93"/>
      <c r="H1336" s="93"/>
      <c r="I1336" s="93"/>
      <c r="J1336" s="93"/>
      <c r="K1336" s="93"/>
      <c r="L1336" s="93"/>
    </row>
    <row r="1337" spans="4:12" x14ac:dyDescent="0.25">
      <c r="D1337" s="93"/>
      <c r="E1337" s="93"/>
      <c r="F1337" s="93"/>
      <c r="G1337" s="93"/>
      <c r="H1337" s="93"/>
      <c r="I1337" s="93"/>
      <c r="J1337" s="93"/>
      <c r="K1337" s="93"/>
      <c r="L1337" s="93"/>
    </row>
    <row r="1338" spans="4:12" x14ac:dyDescent="0.25">
      <c r="D1338" s="93"/>
      <c r="E1338" s="93"/>
      <c r="F1338" s="93"/>
      <c r="G1338" s="93"/>
      <c r="H1338" s="93"/>
      <c r="I1338" s="93"/>
      <c r="J1338" s="93"/>
      <c r="K1338" s="93"/>
      <c r="L1338" s="93"/>
    </row>
    <row r="1339" spans="4:12" x14ac:dyDescent="0.25">
      <c r="D1339" s="93"/>
      <c r="E1339" s="93"/>
      <c r="F1339" s="93"/>
      <c r="G1339" s="93"/>
      <c r="H1339" s="93"/>
      <c r="I1339" s="93"/>
      <c r="J1339" s="93"/>
      <c r="K1339" s="93"/>
      <c r="L1339" s="93"/>
    </row>
    <row r="1340" spans="4:12" x14ac:dyDescent="0.25">
      <c r="D1340" s="93"/>
      <c r="E1340" s="93"/>
      <c r="F1340" s="93"/>
      <c r="G1340" s="93"/>
      <c r="H1340" s="93"/>
      <c r="I1340" s="93"/>
      <c r="J1340" s="93"/>
      <c r="K1340" s="93"/>
      <c r="L1340" s="93"/>
    </row>
    <row r="1341" spans="4:12" x14ac:dyDescent="0.25">
      <c r="D1341" s="93"/>
      <c r="E1341" s="93"/>
      <c r="F1341" s="93"/>
      <c r="G1341" s="93"/>
      <c r="H1341" s="93"/>
      <c r="I1341" s="93"/>
      <c r="J1341" s="93"/>
      <c r="K1341" s="93"/>
      <c r="L1341" s="93"/>
    </row>
    <row r="1342" spans="4:12" x14ac:dyDescent="0.25">
      <c r="D1342" s="93"/>
      <c r="E1342" s="93"/>
      <c r="F1342" s="93"/>
      <c r="G1342" s="93"/>
      <c r="H1342" s="93"/>
      <c r="I1342" s="93"/>
      <c r="J1342" s="93"/>
      <c r="K1342" s="93"/>
      <c r="L1342" s="93"/>
    </row>
    <row r="1343" spans="4:12" x14ac:dyDescent="0.25">
      <c r="D1343" s="93"/>
      <c r="E1343" s="93"/>
      <c r="F1343" s="93"/>
      <c r="G1343" s="93"/>
      <c r="H1343" s="93"/>
      <c r="I1343" s="93"/>
      <c r="J1343" s="93"/>
      <c r="K1343" s="93"/>
      <c r="L1343" s="93"/>
    </row>
    <row r="1344" spans="4:12" x14ac:dyDescent="0.25">
      <c r="D1344" s="93"/>
      <c r="E1344" s="93"/>
      <c r="F1344" s="93"/>
      <c r="G1344" s="93"/>
      <c r="H1344" s="93"/>
      <c r="I1344" s="93"/>
      <c r="J1344" s="93"/>
      <c r="K1344" s="93"/>
      <c r="L1344" s="93"/>
    </row>
    <row r="1345" spans="4:12" x14ac:dyDescent="0.25">
      <c r="D1345" s="93"/>
      <c r="E1345" s="93"/>
      <c r="F1345" s="93"/>
      <c r="G1345" s="93"/>
      <c r="H1345" s="93"/>
      <c r="I1345" s="93"/>
      <c r="J1345" s="93"/>
      <c r="K1345" s="93"/>
      <c r="L1345" s="93"/>
    </row>
    <row r="1346" spans="4:12" x14ac:dyDescent="0.25">
      <c r="D1346" s="93"/>
      <c r="E1346" s="93"/>
      <c r="F1346" s="93"/>
      <c r="G1346" s="93"/>
      <c r="H1346" s="93"/>
      <c r="I1346" s="93"/>
      <c r="J1346" s="93"/>
      <c r="K1346" s="93"/>
      <c r="L1346" s="93"/>
    </row>
    <row r="1347" spans="4:12" x14ac:dyDescent="0.25">
      <c r="D1347" s="93"/>
      <c r="E1347" s="93"/>
      <c r="F1347" s="93"/>
      <c r="G1347" s="93"/>
      <c r="H1347" s="93"/>
      <c r="I1347" s="93"/>
      <c r="J1347" s="93"/>
      <c r="K1347" s="93"/>
      <c r="L1347" s="93"/>
    </row>
    <row r="1348" spans="4:12" x14ac:dyDescent="0.25">
      <c r="D1348" s="93"/>
      <c r="E1348" s="93"/>
      <c r="F1348" s="93"/>
      <c r="G1348" s="93"/>
      <c r="H1348" s="93"/>
      <c r="I1348" s="93"/>
      <c r="J1348" s="93"/>
      <c r="K1348" s="93"/>
      <c r="L1348" s="93"/>
    </row>
    <row r="1349" spans="4:12" x14ac:dyDescent="0.25">
      <c r="D1349" s="93"/>
      <c r="E1349" s="93"/>
      <c r="F1349" s="93"/>
      <c r="G1349" s="93"/>
      <c r="H1349" s="93"/>
      <c r="I1349" s="93"/>
      <c r="J1349" s="93"/>
      <c r="K1349" s="93"/>
      <c r="L1349" s="93"/>
    </row>
    <row r="1350" spans="4:12" x14ac:dyDescent="0.25">
      <c r="D1350" s="93"/>
      <c r="E1350" s="93"/>
      <c r="F1350" s="93"/>
      <c r="G1350" s="93"/>
      <c r="H1350" s="93"/>
      <c r="I1350" s="93"/>
      <c r="J1350" s="93"/>
      <c r="K1350" s="93"/>
      <c r="L1350" s="93"/>
    </row>
    <row r="1351" spans="4:12" x14ac:dyDescent="0.25">
      <c r="D1351" s="93"/>
      <c r="E1351" s="93"/>
      <c r="F1351" s="93"/>
      <c r="G1351" s="93"/>
      <c r="H1351" s="93"/>
      <c r="I1351" s="93"/>
      <c r="J1351" s="93"/>
      <c r="K1351" s="93"/>
      <c r="L1351" s="93"/>
    </row>
    <row r="1352" spans="4:12" x14ac:dyDescent="0.25">
      <c r="D1352" s="93"/>
      <c r="E1352" s="93"/>
      <c r="F1352" s="93"/>
      <c r="G1352" s="93"/>
      <c r="H1352" s="93"/>
      <c r="I1352" s="93"/>
      <c r="J1352" s="93"/>
      <c r="K1352" s="93"/>
      <c r="L1352" s="93"/>
    </row>
    <row r="1353" spans="4:12" x14ac:dyDescent="0.25">
      <c r="D1353" s="93"/>
      <c r="E1353" s="93"/>
      <c r="F1353" s="93"/>
      <c r="G1353" s="93"/>
      <c r="H1353" s="93"/>
      <c r="I1353" s="93"/>
      <c r="J1353" s="93"/>
      <c r="K1353" s="93"/>
      <c r="L1353" s="93"/>
    </row>
    <row r="1354" spans="4:12" x14ac:dyDescent="0.25">
      <c r="D1354" s="93"/>
      <c r="E1354" s="93"/>
      <c r="F1354" s="93"/>
      <c r="G1354" s="93"/>
      <c r="H1354" s="93"/>
      <c r="I1354" s="93"/>
      <c r="J1354" s="93"/>
      <c r="K1354" s="93"/>
      <c r="L1354" s="93"/>
    </row>
    <row r="1355" spans="4:12" x14ac:dyDescent="0.25">
      <c r="D1355" s="93"/>
      <c r="E1355" s="93"/>
      <c r="F1355" s="93"/>
      <c r="G1355" s="93"/>
      <c r="H1355" s="93"/>
      <c r="I1355" s="93"/>
      <c r="J1355" s="93"/>
      <c r="K1355" s="93"/>
      <c r="L1355" s="93"/>
    </row>
    <row r="1356" spans="4:12" x14ac:dyDescent="0.25">
      <c r="D1356" s="93"/>
      <c r="E1356" s="93"/>
      <c r="F1356" s="93"/>
      <c r="G1356" s="93"/>
      <c r="H1356" s="93"/>
      <c r="I1356" s="93"/>
      <c r="J1356" s="93"/>
      <c r="K1356" s="93"/>
      <c r="L1356" s="93"/>
    </row>
    <row r="1357" spans="4:12" x14ac:dyDescent="0.25">
      <c r="D1357" s="93"/>
      <c r="E1357" s="93"/>
      <c r="F1357" s="93"/>
      <c r="G1357" s="93"/>
      <c r="H1357" s="93"/>
      <c r="I1357" s="93"/>
      <c r="J1357" s="93"/>
      <c r="K1357" s="93"/>
      <c r="L1357" s="93"/>
    </row>
    <row r="1358" spans="4:12" x14ac:dyDescent="0.25">
      <c r="D1358" s="93"/>
      <c r="E1358" s="93"/>
      <c r="F1358" s="93"/>
      <c r="G1358" s="93"/>
      <c r="H1358" s="93"/>
      <c r="I1358" s="93"/>
      <c r="J1358" s="93"/>
      <c r="K1358" s="93"/>
      <c r="L1358" s="93"/>
    </row>
    <row r="1359" spans="4:12" x14ac:dyDescent="0.25">
      <c r="D1359" s="93"/>
      <c r="E1359" s="93"/>
      <c r="F1359" s="93"/>
      <c r="G1359" s="93"/>
      <c r="H1359" s="93"/>
      <c r="I1359" s="93"/>
      <c r="J1359" s="93"/>
      <c r="K1359" s="93"/>
      <c r="L1359" s="93"/>
    </row>
    <row r="1360" spans="4:12" x14ac:dyDescent="0.25">
      <c r="D1360" s="93"/>
      <c r="E1360" s="93"/>
      <c r="F1360" s="93"/>
      <c r="G1360" s="93"/>
      <c r="H1360" s="93"/>
      <c r="I1360" s="93"/>
      <c r="J1360" s="93"/>
      <c r="K1360" s="93"/>
      <c r="L1360" s="93"/>
    </row>
    <row r="1361" spans="4:12" x14ac:dyDescent="0.25">
      <c r="D1361" s="93"/>
      <c r="E1361" s="93"/>
      <c r="F1361" s="93"/>
      <c r="G1361" s="93"/>
      <c r="H1361" s="93"/>
      <c r="I1361" s="93"/>
      <c r="J1361" s="93"/>
      <c r="K1361" s="93"/>
      <c r="L1361" s="93"/>
    </row>
    <row r="1362" spans="4:12" x14ac:dyDescent="0.25">
      <c r="D1362" s="93"/>
      <c r="E1362" s="93"/>
      <c r="F1362" s="93"/>
      <c r="G1362" s="93"/>
      <c r="H1362" s="93"/>
      <c r="I1362" s="93"/>
      <c r="J1362" s="93"/>
      <c r="K1362" s="93"/>
      <c r="L1362" s="93"/>
    </row>
    <row r="1363" spans="4:12" x14ac:dyDescent="0.25">
      <c r="D1363" s="93"/>
      <c r="E1363" s="93"/>
      <c r="F1363" s="93"/>
      <c r="G1363" s="93"/>
      <c r="H1363" s="93"/>
      <c r="I1363" s="93"/>
      <c r="J1363" s="93"/>
      <c r="K1363" s="93"/>
      <c r="L1363" s="93"/>
    </row>
    <row r="1364" spans="4:12" x14ac:dyDescent="0.25">
      <c r="D1364" s="93"/>
      <c r="E1364" s="93"/>
      <c r="F1364" s="93"/>
      <c r="G1364" s="93"/>
      <c r="H1364" s="93"/>
      <c r="I1364" s="93"/>
      <c r="J1364" s="93"/>
      <c r="K1364" s="93"/>
      <c r="L1364" s="93"/>
    </row>
    <row r="1365" spans="4:12" x14ac:dyDescent="0.25">
      <c r="D1365" s="93"/>
      <c r="E1365" s="93"/>
      <c r="F1365" s="93"/>
      <c r="G1365" s="93"/>
      <c r="H1365" s="93"/>
      <c r="I1365" s="93"/>
      <c r="J1365" s="93"/>
      <c r="K1365" s="93"/>
      <c r="L1365" s="93"/>
    </row>
    <row r="1366" spans="4:12" x14ac:dyDescent="0.25">
      <c r="D1366" s="93"/>
      <c r="E1366" s="93"/>
      <c r="F1366" s="93"/>
      <c r="G1366" s="93"/>
      <c r="H1366" s="93"/>
      <c r="I1366" s="93"/>
      <c r="J1366" s="93"/>
      <c r="K1366" s="93"/>
      <c r="L1366" s="93"/>
    </row>
    <row r="1367" spans="4:12" x14ac:dyDescent="0.25">
      <c r="D1367" s="93"/>
      <c r="E1367" s="93"/>
      <c r="F1367" s="93"/>
      <c r="G1367" s="93"/>
      <c r="H1367" s="93"/>
      <c r="I1367" s="93"/>
      <c r="J1367" s="93"/>
      <c r="K1367" s="93"/>
      <c r="L1367" s="93"/>
    </row>
    <row r="1368" spans="4:12" x14ac:dyDescent="0.25">
      <c r="D1368" s="93"/>
      <c r="E1368" s="93"/>
      <c r="F1368" s="93"/>
      <c r="G1368" s="93"/>
      <c r="H1368" s="93"/>
      <c r="I1368" s="93"/>
      <c r="J1368" s="93"/>
      <c r="K1368" s="93"/>
      <c r="L1368" s="93"/>
    </row>
    <row r="1369" spans="4:12" x14ac:dyDescent="0.25">
      <c r="D1369" s="93"/>
      <c r="E1369" s="93"/>
      <c r="F1369" s="93"/>
      <c r="G1369" s="93"/>
      <c r="H1369" s="93"/>
      <c r="I1369" s="93"/>
      <c r="J1369" s="93"/>
      <c r="K1369" s="93"/>
      <c r="L1369" s="93"/>
    </row>
    <row r="1370" spans="4:12" x14ac:dyDescent="0.25">
      <c r="D1370" s="93"/>
      <c r="E1370" s="93"/>
      <c r="F1370" s="93"/>
      <c r="G1370" s="93"/>
      <c r="H1370" s="93"/>
      <c r="I1370" s="93"/>
      <c r="J1370" s="93"/>
      <c r="K1370" s="93"/>
      <c r="L1370" s="93"/>
    </row>
    <row r="1371" spans="4:12" x14ac:dyDescent="0.25">
      <c r="D1371" s="93"/>
      <c r="E1371" s="93"/>
      <c r="F1371" s="93"/>
      <c r="G1371" s="93"/>
      <c r="H1371" s="93"/>
      <c r="I1371" s="93"/>
      <c r="J1371" s="93"/>
      <c r="K1371" s="93"/>
      <c r="L1371" s="93"/>
    </row>
    <row r="1372" spans="4:12" x14ac:dyDescent="0.25">
      <c r="D1372" s="93"/>
      <c r="E1372" s="93"/>
      <c r="F1372" s="93"/>
      <c r="G1372" s="93"/>
      <c r="H1372" s="93"/>
      <c r="I1372" s="93"/>
      <c r="J1372" s="93"/>
      <c r="K1372" s="93"/>
      <c r="L1372" s="93"/>
    </row>
    <row r="1373" spans="4:12" x14ac:dyDescent="0.25">
      <c r="D1373" s="93"/>
      <c r="E1373" s="93"/>
      <c r="F1373" s="93"/>
      <c r="G1373" s="93"/>
      <c r="H1373" s="93"/>
      <c r="I1373" s="93"/>
      <c r="J1373" s="93"/>
      <c r="K1373" s="93"/>
      <c r="L1373" s="93"/>
    </row>
    <row r="1374" spans="4:12" x14ac:dyDescent="0.25">
      <c r="D1374" s="93"/>
      <c r="E1374" s="93"/>
      <c r="F1374" s="93"/>
      <c r="G1374" s="93"/>
      <c r="H1374" s="93"/>
      <c r="I1374" s="93"/>
      <c r="J1374" s="93"/>
      <c r="K1374" s="93"/>
      <c r="L1374" s="93"/>
    </row>
    <row r="1375" spans="4:12" x14ac:dyDescent="0.25">
      <c r="D1375" s="93"/>
      <c r="E1375" s="93"/>
      <c r="F1375" s="93"/>
      <c r="G1375" s="93"/>
      <c r="H1375" s="93"/>
      <c r="I1375" s="93"/>
      <c r="J1375" s="93"/>
      <c r="K1375" s="93"/>
      <c r="L1375" s="93"/>
    </row>
    <row r="1376" spans="4:12" x14ac:dyDescent="0.25">
      <c r="D1376" s="93"/>
      <c r="E1376" s="93"/>
      <c r="F1376" s="93"/>
      <c r="G1376" s="93"/>
      <c r="H1376" s="93"/>
      <c r="I1376" s="93"/>
      <c r="J1376" s="93"/>
      <c r="K1376" s="93"/>
      <c r="L1376" s="93"/>
    </row>
    <row r="1377" spans="4:12" x14ac:dyDescent="0.25">
      <c r="D1377" s="93"/>
      <c r="E1377" s="93"/>
      <c r="F1377" s="93"/>
      <c r="G1377" s="93"/>
      <c r="H1377" s="93"/>
      <c r="I1377" s="93"/>
      <c r="J1377" s="93"/>
      <c r="K1377" s="93"/>
      <c r="L1377" s="93"/>
    </row>
    <row r="1378" spans="4:12" x14ac:dyDescent="0.25">
      <c r="D1378" s="93"/>
      <c r="E1378" s="93"/>
      <c r="F1378" s="93"/>
      <c r="G1378" s="93"/>
      <c r="H1378" s="93"/>
      <c r="I1378" s="93"/>
      <c r="J1378" s="93"/>
      <c r="K1378" s="93"/>
      <c r="L1378" s="93"/>
    </row>
    <row r="1379" spans="4:12" x14ac:dyDescent="0.25">
      <c r="D1379" s="93"/>
      <c r="E1379" s="93"/>
      <c r="F1379" s="93"/>
      <c r="G1379" s="93"/>
      <c r="H1379" s="93"/>
      <c r="I1379" s="93"/>
      <c r="J1379" s="93"/>
      <c r="K1379" s="93"/>
      <c r="L1379" s="93"/>
    </row>
    <row r="1380" spans="4:12" x14ac:dyDescent="0.25">
      <c r="D1380" s="93"/>
      <c r="E1380" s="93"/>
      <c r="F1380" s="93"/>
      <c r="G1380" s="93"/>
      <c r="H1380" s="93"/>
      <c r="I1380" s="93"/>
      <c r="J1380" s="93"/>
      <c r="K1380" s="93"/>
      <c r="L1380" s="93"/>
    </row>
    <row r="1381" spans="4:12" x14ac:dyDescent="0.25">
      <c r="D1381" s="93"/>
      <c r="E1381" s="93"/>
      <c r="F1381" s="93"/>
      <c r="G1381" s="93"/>
      <c r="H1381" s="93"/>
      <c r="I1381" s="93"/>
      <c r="J1381" s="93"/>
      <c r="K1381" s="93"/>
      <c r="L1381" s="93"/>
    </row>
    <row r="1382" spans="4:12" x14ac:dyDescent="0.25">
      <c r="D1382" s="93"/>
      <c r="E1382" s="93"/>
      <c r="F1382" s="93"/>
      <c r="G1382" s="93"/>
      <c r="H1382" s="93"/>
      <c r="I1382" s="93"/>
      <c r="J1382" s="93"/>
      <c r="K1382" s="93"/>
      <c r="L1382" s="93"/>
    </row>
    <row r="1383" spans="4:12" x14ac:dyDescent="0.25">
      <c r="D1383" s="93"/>
      <c r="E1383" s="93"/>
      <c r="F1383" s="93"/>
      <c r="G1383" s="93"/>
      <c r="H1383" s="93"/>
      <c r="I1383" s="93"/>
      <c r="J1383" s="93"/>
      <c r="K1383" s="93"/>
      <c r="L1383" s="93"/>
    </row>
    <row r="1384" spans="4:12" x14ac:dyDescent="0.25">
      <c r="D1384" s="93"/>
      <c r="E1384" s="93"/>
      <c r="F1384" s="93"/>
      <c r="G1384" s="93"/>
      <c r="H1384" s="93"/>
      <c r="I1384" s="93"/>
      <c r="J1384" s="93"/>
      <c r="K1384" s="93"/>
      <c r="L1384" s="93"/>
    </row>
    <row r="1385" spans="4:12" x14ac:dyDescent="0.25">
      <c r="D1385" s="93"/>
      <c r="E1385" s="93"/>
      <c r="F1385" s="93"/>
      <c r="G1385" s="93"/>
      <c r="H1385" s="93"/>
      <c r="I1385" s="93"/>
      <c r="J1385" s="93"/>
      <c r="K1385" s="93"/>
      <c r="L1385" s="93"/>
    </row>
    <row r="1386" spans="4:12" x14ac:dyDescent="0.25">
      <c r="D1386" s="93"/>
      <c r="E1386" s="93"/>
      <c r="F1386" s="93"/>
      <c r="G1386" s="93"/>
      <c r="H1386" s="93"/>
      <c r="I1386" s="93"/>
      <c r="J1386" s="93"/>
      <c r="K1386" s="93"/>
      <c r="L1386" s="93"/>
    </row>
    <row r="1387" spans="4:12" x14ac:dyDescent="0.25">
      <c r="D1387" s="93"/>
      <c r="E1387" s="93"/>
      <c r="F1387" s="93"/>
      <c r="G1387" s="93"/>
      <c r="H1387" s="93"/>
      <c r="I1387" s="93"/>
      <c r="J1387" s="93"/>
      <c r="K1387" s="93"/>
      <c r="L1387" s="93"/>
    </row>
    <row r="1388" spans="4:12" x14ac:dyDescent="0.25">
      <c r="D1388" s="93"/>
      <c r="E1388" s="93"/>
      <c r="F1388" s="93"/>
      <c r="G1388" s="93"/>
      <c r="H1388" s="93"/>
      <c r="I1388" s="93"/>
      <c r="J1388" s="93"/>
      <c r="K1388" s="93"/>
      <c r="L1388" s="93"/>
    </row>
    <row r="1389" spans="4:12" x14ac:dyDescent="0.25">
      <c r="D1389" s="93"/>
      <c r="E1389" s="93"/>
      <c r="F1389" s="93"/>
      <c r="G1389" s="93"/>
      <c r="H1389" s="93"/>
      <c r="I1389" s="93"/>
      <c r="J1389" s="93"/>
      <c r="K1389" s="93"/>
      <c r="L1389" s="93"/>
    </row>
    <row r="1390" spans="4:12" x14ac:dyDescent="0.25">
      <c r="D1390" s="93"/>
      <c r="E1390" s="93"/>
      <c r="F1390" s="93"/>
      <c r="G1390" s="93"/>
      <c r="H1390" s="93"/>
      <c r="I1390" s="93"/>
      <c r="J1390" s="93"/>
      <c r="K1390" s="93"/>
      <c r="L1390" s="93"/>
    </row>
    <row r="1391" spans="4:12" x14ac:dyDescent="0.25">
      <c r="D1391" s="93"/>
      <c r="E1391" s="93"/>
      <c r="F1391" s="93"/>
      <c r="G1391" s="93"/>
      <c r="H1391" s="93"/>
      <c r="I1391" s="93"/>
      <c r="J1391" s="93"/>
      <c r="K1391" s="93"/>
      <c r="L1391" s="93"/>
    </row>
    <row r="1392" spans="4:12" x14ac:dyDescent="0.25">
      <c r="D1392" s="93"/>
      <c r="E1392" s="93"/>
      <c r="F1392" s="93"/>
      <c r="G1392" s="93"/>
      <c r="H1392" s="93"/>
      <c r="I1392" s="93"/>
      <c r="J1392" s="93"/>
      <c r="K1392" s="93"/>
      <c r="L1392" s="93"/>
    </row>
    <row r="1393" spans="4:12" x14ac:dyDescent="0.25">
      <c r="D1393" s="93"/>
      <c r="E1393" s="93"/>
      <c r="F1393" s="93"/>
      <c r="G1393" s="93"/>
      <c r="H1393" s="93"/>
      <c r="I1393" s="93"/>
      <c r="J1393" s="93"/>
      <c r="K1393" s="93"/>
      <c r="L1393" s="93"/>
    </row>
    <row r="1394" spans="4:12" x14ac:dyDescent="0.25">
      <c r="D1394" s="93"/>
      <c r="E1394" s="93"/>
      <c r="F1394" s="93"/>
      <c r="G1394" s="93"/>
      <c r="H1394" s="93"/>
      <c r="I1394" s="93"/>
      <c r="J1394" s="93"/>
      <c r="K1394" s="93"/>
      <c r="L1394" s="93"/>
    </row>
    <row r="1395" spans="4:12" x14ac:dyDescent="0.25">
      <c r="D1395" s="93"/>
      <c r="E1395" s="93"/>
      <c r="F1395" s="93"/>
      <c r="G1395" s="93"/>
      <c r="H1395" s="93"/>
      <c r="I1395" s="93"/>
      <c r="J1395" s="93"/>
      <c r="K1395" s="93"/>
      <c r="L1395" s="93"/>
    </row>
    <row r="1396" spans="4:12" x14ac:dyDescent="0.25">
      <c r="D1396" s="93"/>
      <c r="E1396" s="93"/>
      <c r="F1396" s="93"/>
      <c r="G1396" s="93"/>
      <c r="H1396" s="93"/>
      <c r="I1396" s="93"/>
      <c r="J1396" s="93"/>
      <c r="K1396" s="93"/>
      <c r="L1396" s="93"/>
    </row>
    <row r="1397" spans="4:12" x14ac:dyDescent="0.25">
      <c r="D1397" s="93"/>
      <c r="E1397" s="93"/>
      <c r="F1397" s="93"/>
      <c r="G1397" s="93"/>
      <c r="H1397" s="93"/>
      <c r="I1397" s="93"/>
      <c r="J1397" s="93"/>
      <c r="K1397" s="93"/>
      <c r="L1397" s="93"/>
    </row>
    <row r="1398" spans="4:12" x14ac:dyDescent="0.25">
      <c r="D1398" s="93"/>
      <c r="E1398" s="93"/>
      <c r="F1398" s="93"/>
      <c r="G1398" s="93"/>
      <c r="H1398" s="93"/>
      <c r="I1398" s="93"/>
      <c r="J1398" s="93"/>
      <c r="K1398" s="93"/>
      <c r="L1398" s="93"/>
    </row>
    <row r="1399" spans="4:12" x14ac:dyDescent="0.25">
      <c r="D1399" s="93"/>
      <c r="E1399" s="93"/>
      <c r="F1399" s="93"/>
      <c r="G1399" s="93"/>
      <c r="H1399" s="93"/>
      <c r="I1399" s="93"/>
      <c r="J1399" s="93"/>
      <c r="K1399" s="93"/>
      <c r="L1399" s="93"/>
    </row>
    <row r="1400" spans="4:12" x14ac:dyDescent="0.25">
      <c r="D1400" s="93"/>
      <c r="E1400" s="93"/>
      <c r="F1400" s="93"/>
      <c r="G1400" s="93"/>
      <c r="H1400" s="93"/>
      <c r="I1400" s="93"/>
      <c r="J1400" s="93"/>
      <c r="K1400" s="93"/>
      <c r="L1400" s="93"/>
    </row>
    <row r="1401" spans="4:12" x14ac:dyDescent="0.25">
      <c r="D1401" s="93"/>
      <c r="E1401" s="93"/>
      <c r="F1401" s="93"/>
      <c r="G1401" s="93"/>
      <c r="H1401" s="93"/>
      <c r="I1401" s="93"/>
      <c r="J1401" s="93"/>
      <c r="K1401" s="93"/>
      <c r="L1401" s="93"/>
    </row>
    <row r="1402" spans="4:12" x14ac:dyDescent="0.25">
      <c r="D1402" s="93"/>
      <c r="E1402" s="93"/>
      <c r="F1402" s="93"/>
      <c r="G1402" s="93"/>
      <c r="H1402" s="93"/>
      <c r="I1402" s="93"/>
      <c r="J1402" s="93"/>
      <c r="K1402" s="93"/>
      <c r="L1402" s="93"/>
    </row>
    <row r="1403" spans="4:12" x14ac:dyDescent="0.25">
      <c r="D1403" s="93"/>
      <c r="E1403" s="93"/>
      <c r="F1403" s="93"/>
      <c r="G1403" s="93"/>
      <c r="H1403" s="93"/>
      <c r="I1403" s="93"/>
      <c r="J1403" s="93"/>
      <c r="K1403" s="93"/>
      <c r="L1403" s="93"/>
    </row>
    <row r="1404" spans="4:12" x14ac:dyDescent="0.25">
      <c r="D1404" s="93"/>
      <c r="E1404" s="93"/>
      <c r="F1404" s="93"/>
      <c r="G1404" s="93"/>
      <c r="H1404" s="93"/>
      <c r="I1404" s="93"/>
      <c r="J1404" s="93"/>
      <c r="K1404" s="93"/>
      <c r="L1404" s="93"/>
    </row>
    <row r="1405" spans="4:12" x14ac:dyDescent="0.25">
      <c r="D1405" s="93"/>
      <c r="E1405" s="93"/>
      <c r="F1405" s="93"/>
      <c r="G1405" s="93"/>
      <c r="H1405" s="93"/>
      <c r="I1405" s="93"/>
      <c r="J1405" s="93"/>
      <c r="K1405" s="93"/>
      <c r="L1405" s="93"/>
    </row>
    <row r="1406" spans="4:12" x14ac:dyDescent="0.25">
      <c r="D1406" s="93"/>
      <c r="E1406" s="93"/>
      <c r="F1406" s="93"/>
      <c r="G1406" s="93"/>
      <c r="H1406" s="93"/>
      <c r="I1406" s="93"/>
      <c r="J1406" s="93"/>
      <c r="K1406" s="93"/>
      <c r="L1406" s="93"/>
    </row>
    <row r="1407" spans="4:12" x14ac:dyDescent="0.25">
      <c r="D1407" s="93"/>
      <c r="E1407" s="93"/>
      <c r="F1407" s="93"/>
      <c r="G1407" s="93"/>
      <c r="H1407" s="93"/>
      <c r="I1407" s="93"/>
      <c r="J1407" s="93"/>
      <c r="K1407" s="93"/>
      <c r="L1407" s="93"/>
    </row>
    <row r="1408" spans="4:12" x14ac:dyDescent="0.25">
      <c r="D1408" s="93"/>
      <c r="E1408" s="93"/>
      <c r="F1408" s="93"/>
      <c r="G1408" s="93"/>
      <c r="H1408" s="93"/>
      <c r="I1408" s="93"/>
      <c r="J1408" s="93"/>
      <c r="K1408" s="93"/>
      <c r="L1408" s="93"/>
    </row>
    <row r="1409" spans="4:12" x14ac:dyDescent="0.25">
      <c r="D1409" s="93"/>
      <c r="E1409" s="93"/>
      <c r="F1409" s="93"/>
      <c r="G1409" s="93"/>
      <c r="H1409" s="93"/>
      <c r="I1409" s="93"/>
      <c r="J1409" s="93"/>
      <c r="K1409" s="93"/>
      <c r="L1409" s="93"/>
    </row>
    <row r="1410" spans="4:12" x14ac:dyDescent="0.25">
      <c r="D1410" s="93"/>
      <c r="E1410" s="93"/>
      <c r="F1410" s="93"/>
      <c r="G1410" s="93"/>
      <c r="H1410" s="93"/>
      <c r="I1410" s="93"/>
      <c r="J1410" s="93"/>
      <c r="K1410" s="93"/>
      <c r="L1410" s="93"/>
    </row>
    <row r="1411" spans="4:12" x14ac:dyDescent="0.25">
      <c r="D1411" s="93"/>
      <c r="E1411" s="93"/>
      <c r="F1411" s="93"/>
      <c r="G1411" s="93"/>
      <c r="H1411" s="93"/>
      <c r="I1411" s="93"/>
      <c r="J1411" s="93"/>
      <c r="K1411" s="93"/>
      <c r="L1411" s="93"/>
    </row>
    <row r="1412" spans="4:12" x14ac:dyDescent="0.25">
      <c r="D1412" s="93"/>
      <c r="E1412" s="93"/>
      <c r="F1412" s="93"/>
      <c r="G1412" s="93"/>
      <c r="H1412" s="93"/>
      <c r="I1412" s="93"/>
      <c r="J1412" s="93"/>
      <c r="K1412" s="93"/>
      <c r="L1412" s="93"/>
    </row>
    <row r="1413" spans="4:12" x14ac:dyDescent="0.25">
      <c r="D1413" s="93"/>
      <c r="E1413" s="93"/>
      <c r="F1413" s="93"/>
      <c r="G1413" s="93"/>
      <c r="H1413" s="93"/>
      <c r="I1413" s="93"/>
      <c r="J1413" s="93"/>
      <c r="K1413" s="93"/>
      <c r="L1413" s="93"/>
    </row>
    <row r="1414" spans="4:12" x14ac:dyDescent="0.25">
      <c r="D1414" s="93"/>
      <c r="E1414" s="93"/>
      <c r="F1414" s="93"/>
      <c r="G1414" s="93"/>
      <c r="H1414" s="93"/>
      <c r="I1414" s="93"/>
      <c r="J1414" s="93"/>
      <c r="K1414" s="93"/>
      <c r="L1414" s="93"/>
    </row>
    <row r="1415" spans="4:12" x14ac:dyDescent="0.25">
      <c r="D1415" s="93"/>
      <c r="E1415" s="93"/>
      <c r="F1415" s="93"/>
      <c r="G1415" s="93"/>
      <c r="H1415" s="93"/>
      <c r="I1415" s="93"/>
      <c r="J1415" s="93"/>
      <c r="K1415" s="93"/>
      <c r="L1415" s="93"/>
    </row>
    <row r="1416" spans="4:12" x14ac:dyDescent="0.25">
      <c r="D1416" s="93"/>
      <c r="E1416" s="93"/>
      <c r="F1416" s="93"/>
      <c r="G1416" s="93"/>
      <c r="H1416" s="93"/>
      <c r="I1416" s="93"/>
      <c r="J1416" s="93"/>
      <c r="K1416" s="93"/>
      <c r="L1416" s="93"/>
    </row>
    <row r="1417" spans="4:12" x14ac:dyDescent="0.25">
      <c r="D1417" s="93"/>
      <c r="E1417" s="93"/>
      <c r="F1417" s="93"/>
      <c r="G1417" s="93"/>
      <c r="H1417" s="93"/>
      <c r="I1417" s="93"/>
      <c r="J1417" s="93"/>
      <c r="K1417" s="93"/>
      <c r="L1417" s="93"/>
    </row>
    <row r="1418" spans="4:12" x14ac:dyDescent="0.25">
      <c r="D1418" s="93"/>
      <c r="E1418" s="93"/>
      <c r="F1418" s="93"/>
      <c r="G1418" s="93"/>
      <c r="H1418" s="93"/>
      <c r="I1418" s="93"/>
      <c r="J1418" s="93"/>
      <c r="K1418" s="93"/>
      <c r="L1418" s="93"/>
    </row>
    <row r="1419" spans="4:12" x14ac:dyDescent="0.25">
      <c r="D1419" s="93"/>
      <c r="E1419" s="93"/>
      <c r="F1419" s="93"/>
      <c r="G1419" s="93"/>
      <c r="H1419" s="93"/>
      <c r="I1419" s="93"/>
      <c r="J1419" s="93"/>
      <c r="K1419" s="93"/>
      <c r="L1419" s="93"/>
    </row>
    <row r="1420" spans="4:12" x14ac:dyDescent="0.25">
      <c r="D1420" s="93"/>
      <c r="E1420" s="93"/>
      <c r="F1420" s="93"/>
      <c r="G1420" s="93"/>
      <c r="H1420" s="93"/>
      <c r="I1420" s="93"/>
      <c r="J1420" s="93"/>
      <c r="K1420" s="93"/>
      <c r="L1420" s="93"/>
    </row>
    <row r="1421" spans="4:12" x14ac:dyDescent="0.25">
      <c r="D1421" s="93"/>
      <c r="E1421" s="93"/>
      <c r="F1421" s="93"/>
      <c r="G1421" s="93"/>
      <c r="H1421" s="93"/>
      <c r="I1421" s="93"/>
      <c r="J1421" s="93"/>
      <c r="K1421" s="93"/>
      <c r="L1421" s="93"/>
    </row>
    <row r="1422" spans="4:12" x14ac:dyDescent="0.25">
      <c r="D1422" s="93"/>
      <c r="E1422" s="93"/>
      <c r="F1422" s="93"/>
      <c r="G1422" s="93"/>
      <c r="H1422" s="93"/>
      <c r="I1422" s="93"/>
      <c r="J1422" s="93"/>
      <c r="K1422" s="93"/>
      <c r="L1422" s="93"/>
    </row>
    <row r="1423" spans="4:12" x14ac:dyDescent="0.25">
      <c r="D1423" s="93"/>
      <c r="E1423" s="93"/>
      <c r="F1423" s="93"/>
      <c r="G1423" s="93"/>
      <c r="H1423" s="93"/>
      <c r="I1423" s="93"/>
      <c r="J1423" s="93"/>
      <c r="K1423" s="93"/>
      <c r="L1423" s="93"/>
    </row>
    <row r="1424" spans="4:12" x14ac:dyDescent="0.25">
      <c r="D1424" s="93"/>
      <c r="E1424" s="93"/>
      <c r="F1424" s="93"/>
      <c r="G1424" s="93"/>
      <c r="H1424" s="93"/>
      <c r="I1424" s="93"/>
      <c r="J1424" s="93"/>
      <c r="K1424" s="93"/>
      <c r="L1424" s="93"/>
    </row>
    <row r="1425" spans="4:12" x14ac:dyDescent="0.25">
      <c r="D1425" s="93"/>
      <c r="E1425" s="93"/>
      <c r="F1425" s="93"/>
      <c r="G1425" s="93"/>
      <c r="H1425" s="93"/>
      <c r="I1425" s="93"/>
      <c r="J1425" s="93"/>
      <c r="K1425" s="93"/>
      <c r="L1425" s="93"/>
    </row>
    <row r="1426" spans="4:12" x14ac:dyDescent="0.25">
      <c r="D1426" s="93"/>
      <c r="E1426" s="93"/>
      <c r="F1426" s="93"/>
      <c r="G1426" s="93"/>
      <c r="H1426" s="93"/>
      <c r="I1426" s="93"/>
      <c r="J1426" s="93"/>
      <c r="K1426" s="93"/>
      <c r="L1426" s="93"/>
    </row>
    <row r="1427" spans="4:12" x14ac:dyDescent="0.25">
      <c r="D1427" s="93"/>
      <c r="E1427" s="93"/>
      <c r="F1427" s="93"/>
      <c r="G1427" s="93"/>
      <c r="H1427" s="93"/>
      <c r="I1427" s="93"/>
      <c r="J1427" s="93"/>
      <c r="K1427" s="93"/>
      <c r="L1427" s="93"/>
    </row>
    <row r="1428" spans="4:12" x14ac:dyDescent="0.25">
      <c r="D1428" s="93"/>
      <c r="E1428" s="93"/>
      <c r="F1428" s="93"/>
      <c r="G1428" s="93"/>
      <c r="H1428" s="93"/>
      <c r="I1428" s="93"/>
      <c r="J1428" s="93"/>
      <c r="K1428" s="93"/>
      <c r="L1428" s="93"/>
    </row>
    <row r="1429" spans="4:12" x14ac:dyDescent="0.25">
      <c r="D1429" s="93"/>
      <c r="E1429" s="93"/>
      <c r="F1429" s="93"/>
      <c r="G1429" s="93"/>
      <c r="H1429" s="93"/>
      <c r="I1429" s="93"/>
      <c r="J1429" s="93"/>
      <c r="K1429" s="93"/>
      <c r="L1429" s="93"/>
    </row>
    <row r="1430" spans="4:12" x14ac:dyDescent="0.25">
      <c r="D1430" s="93"/>
      <c r="E1430" s="93"/>
      <c r="F1430" s="93"/>
      <c r="G1430" s="93"/>
      <c r="H1430" s="93"/>
      <c r="I1430" s="93"/>
      <c r="J1430" s="93"/>
      <c r="K1430" s="93"/>
      <c r="L1430" s="93"/>
    </row>
    <row r="1431" spans="4:12" x14ac:dyDescent="0.25">
      <c r="D1431" s="93"/>
      <c r="E1431" s="93"/>
      <c r="F1431" s="93"/>
      <c r="G1431" s="93"/>
      <c r="H1431" s="93"/>
      <c r="I1431" s="93"/>
      <c r="J1431" s="93"/>
      <c r="K1431" s="93"/>
      <c r="L1431" s="93"/>
    </row>
    <row r="1432" spans="4:12" x14ac:dyDescent="0.25">
      <c r="D1432" s="93"/>
      <c r="E1432" s="93"/>
      <c r="F1432" s="93"/>
      <c r="G1432" s="93"/>
      <c r="H1432" s="93"/>
      <c r="I1432" s="93"/>
      <c r="J1432" s="93"/>
      <c r="K1432" s="93"/>
      <c r="L1432" s="93"/>
    </row>
    <row r="1433" spans="4:12" x14ac:dyDescent="0.25">
      <c r="D1433" s="93"/>
      <c r="E1433" s="93"/>
      <c r="F1433" s="93"/>
      <c r="G1433" s="93"/>
      <c r="H1433" s="93"/>
      <c r="I1433" s="93"/>
      <c r="J1433" s="93"/>
      <c r="K1433" s="93"/>
      <c r="L1433" s="93"/>
    </row>
    <row r="1434" spans="4:12" x14ac:dyDescent="0.25">
      <c r="D1434" s="93"/>
      <c r="E1434" s="93"/>
      <c r="F1434" s="93"/>
      <c r="G1434" s="93"/>
      <c r="H1434" s="93"/>
      <c r="I1434" s="93"/>
      <c r="J1434" s="93"/>
      <c r="K1434" s="93"/>
      <c r="L1434" s="93"/>
    </row>
    <row r="1435" spans="4:12" x14ac:dyDescent="0.25">
      <c r="D1435" s="93"/>
      <c r="E1435" s="93"/>
      <c r="F1435" s="93"/>
      <c r="G1435" s="93"/>
      <c r="H1435" s="93"/>
      <c r="I1435" s="93"/>
      <c r="J1435" s="93"/>
      <c r="K1435" s="93"/>
      <c r="L1435" s="93"/>
    </row>
    <row r="1436" spans="4:12" x14ac:dyDescent="0.25">
      <c r="D1436" s="93"/>
      <c r="E1436" s="93"/>
      <c r="F1436" s="93"/>
      <c r="G1436" s="93"/>
      <c r="H1436" s="93"/>
      <c r="I1436" s="93"/>
      <c r="J1436" s="93"/>
      <c r="K1436" s="93"/>
      <c r="L1436" s="93"/>
    </row>
    <row r="1437" spans="4:12" x14ac:dyDescent="0.25">
      <c r="D1437" s="93"/>
      <c r="E1437" s="93"/>
      <c r="F1437" s="93"/>
      <c r="G1437" s="93"/>
      <c r="H1437" s="93"/>
      <c r="I1437" s="93"/>
      <c r="J1437" s="93"/>
      <c r="K1437" s="93"/>
      <c r="L1437" s="93"/>
    </row>
    <row r="1438" spans="4:12" x14ac:dyDescent="0.25">
      <c r="D1438" s="93"/>
      <c r="E1438" s="93"/>
      <c r="F1438" s="93"/>
      <c r="G1438" s="93"/>
      <c r="H1438" s="93"/>
      <c r="I1438" s="93"/>
      <c r="J1438" s="93"/>
      <c r="K1438" s="93"/>
      <c r="L1438" s="93"/>
    </row>
    <row r="1439" spans="4:12" x14ac:dyDescent="0.25">
      <c r="D1439" s="93"/>
      <c r="E1439" s="93"/>
      <c r="F1439" s="93"/>
      <c r="G1439" s="93"/>
      <c r="H1439" s="93"/>
      <c r="I1439" s="93"/>
      <c r="J1439" s="93"/>
      <c r="K1439" s="93"/>
      <c r="L1439" s="93"/>
    </row>
    <row r="1440" spans="4:12" x14ac:dyDescent="0.25">
      <c r="D1440" s="93"/>
      <c r="E1440" s="93"/>
      <c r="F1440" s="93"/>
      <c r="G1440" s="93"/>
      <c r="H1440" s="93"/>
      <c r="I1440" s="93"/>
      <c r="J1440" s="93"/>
      <c r="K1440" s="93"/>
      <c r="L1440" s="93"/>
    </row>
    <row r="1441" spans="4:12" x14ac:dyDescent="0.25">
      <c r="D1441" s="93"/>
      <c r="E1441" s="93"/>
      <c r="F1441" s="93"/>
      <c r="G1441" s="93"/>
      <c r="H1441" s="93"/>
      <c r="I1441" s="93"/>
      <c r="J1441" s="93"/>
      <c r="K1441" s="93"/>
      <c r="L1441" s="93"/>
    </row>
    <row r="1442" spans="4:12" x14ac:dyDescent="0.25">
      <c r="D1442" s="93"/>
      <c r="E1442" s="93"/>
      <c r="F1442" s="93"/>
      <c r="G1442" s="93"/>
      <c r="H1442" s="93"/>
      <c r="I1442" s="93"/>
      <c r="J1442" s="93"/>
      <c r="K1442" s="93"/>
      <c r="L1442" s="93"/>
    </row>
    <row r="1443" spans="4:12" x14ac:dyDescent="0.25">
      <c r="D1443" s="93"/>
      <c r="E1443" s="93"/>
      <c r="F1443" s="93"/>
      <c r="G1443" s="93"/>
      <c r="H1443" s="93"/>
      <c r="I1443" s="93"/>
      <c r="J1443" s="93"/>
      <c r="K1443" s="93"/>
      <c r="L1443" s="93"/>
    </row>
    <row r="1444" spans="4:12" x14ac:dyDescent="0.25">
      <c r="D1444" s="93"/>
      <c r="E1444" s="93"/>
      <c r="F1444" s="93"/>
      <c r="G1444" s="93"/>
      <c r="H1444" s="93"/>
      <c r="I1444" s="93"/>
      <c r="J1444" s="93"/>
      <c r="K1444" s="93"/>
      <c r="L1444" s="93"/>
    </row>
    <row r="1445" spans="4:12" x14ac:dyDescent="0.25">
      <c r="D1445" s="93"/>
      <c r="E1445" s="93"/>
      <c r="F1445" s="93"/>
      <c r="G1445" s="93"/>
      <c r="H1445" s="93"/>
      <c r="I1445" s="93"/>
      <c r="J1445" s="93"/>
      <c r="K1445" s="93"/>
      <c r="L1445" s="93"/>
    </row>
    <row r="1446" spans="4:12" x14ac:dyDescent="0.25">
      <c r="D1446" s="93"/>
      <c r="E1446" s="93"/>
      <c r="F1446" s="93"/>
      <c r="G1446" s="93"/>
      <c r="H1446" s="93"/>
      <c r="I1446" s="93"/>
      <c r="J1446" s="93"/>
      <c r="K1446" s="93"/>
      <c r="L1446" s="93"/>
    </row>
    <row r="1447" spans="4:12" x14ac:dyDescent="0.25">
      <c r="D1447" s="93"/>
      <c r="E1447" s="93"/>
      <c r="F1447" s="93"/>
      <c r="G1447" s="93"/>
      <c r="H1447" s="93"/>
      <c r="I1447" s="93"/>
      <c r="J1447" s="93"/>
      <c r="K1447" s="93"/>
      <c r="L1447" s="93"/>
    </row>
    <row r="1448" spans="4:12" x14ac:dyDescent="0.25">
      <c r="D1448" s="93"/>
      <c r="E1448" s="93"/>
      <c r="F1448" s="93"/>
      <c r="G1448" s="93"/>
      <c r="H1448" s="93"/>
      <c r="I1448" s="93"/>
      <c r="J1448" s="93"/>
      <c r="K1448" s="93"/>
      <c r="L1448" s="93"/>
    </row>
    <row r="1449" spans="4:12" x14ac:dyDescent="0.25">
      <c r="D1449" s="93"/>
      <c r="E1449" s="93"/>
      <c r="F1449" s="93"/>
      <c r="G1449" s="93"/>
      <c r="H1449" s="93"/>
      <c r="I1449" s="93"/>
      <c r="J1449" s="93"/>
      <c r="K1449" s="93"/>
      <c r="L1449" s="93"/>
    </row>
    <row r="1450" spans="4:12" x14ac:dyDescent="0.25">
      <c r="D1450" s="93"/>
      <c r="E1450" s="93"/>
      <c r="F1450" s="93"/>
      <c r="G1450" s="93"/>
      <c r="H1450" s="93"/>
      <c r="I1450" s="93"/>
      <c r="J1450" s="93"/>
      <c r="K1450" s="93"/>
      <c r="L1450" s="93"/>
    </row>
    <row r="1451" spans="4:12" x14ac:dyDescent="0.25">
      <c r="D1451" s="93"/>
      <c r="E1451" s="93"/>
      <c r="F1451" s="93"/>
      <c r="G1451" s="93"/>
      <c r="H1451" s="93"/>
      <c r="I1451" s="93"/>
      <c r="J1451" s="93"/>
      <c r="K1451" s="93"/>
      <c r="L1451" s="93"/>
    </row>
    <row r="1452" spans="4:12" x14ac:dyDescent="0.25">
      <c r="D1452" s="93"/>
      <c r="E1452" s="93"/>
      <c r="F1452" s="93"/>
      <c r="G1452" s="93"/>
      <c r="H1452" s="93"/>
      <c r="I1452" s="93"/>
      <c r="J1452" s="93"/>
      <c r="K1452" s="93"/>
      <c r="L1452" s="93"/>
    </row>
    <row r="1453" spans="4:12" x14ac:dyDescent="0.25">
      <c r="D1453" s="93"/>
      <c r="E1453" s="93"/>
      <c r="F1453" s="93"/>
      <c r="G1453" s="93"/>
      <c r="H1453" s="93"/>
      <c r="I1453" s="93"/>
      <c r="J1453" s="93"/>
      <c r="K1453" s="93"/>
      <c r="L1453" s="93"/>
    </row>
    <row r="1454" spans="4:12" x14ac:dyDescent="0.25">
      <c r="D1454" s="93"/>
      <c r="E1454" s="93"/>
      <c r="F1454" s="93"/>
      <c r="G1454" s="93"/>
      <c r="H1454" s="93"/>
      <c r="I1454" s="93"/>
      <c r="J1454" s="93"/>
      <c r="K1454" s="93"/>
      <c r="L1454" s="93"/>
    </row>
    <row r="1455" spans="4:12" x14ac:dyDescent="0.25">
      <c r="D1455" s="93"/>
      <c r="E1455" s="93"/>
      <c r="F1455" s="93"/>
      <c r="G1455" s="93"/>
      <c r="H1455" s="93"/>
      <c r="I1455" s="93"/>
      <c r="J1455" s="93"/>
      <c r="K1455" s="93"/>
      <c r="L1455" s="93"/>
    </row>
    <row r="1456" spans="4:12" x14ac:dyDescent="0.25">
      <c r="D1456" s="93"/>
      <c r="E1456" s="93"/>
      <c r="F1456" s="93"/>
      <c r="G1456" s="93"/>
      <c r="H1456" s="93"/>
      <c r="I1456" s="93"/>
      <c r="J1456" s="93"/>
      <c r="K1456" s="93"/>
      <c r="L1456" s="93"/>
    </row>
    <row r="1457" spans="4:12" x14ac:dyDescent="0.25">
      <c r="D1457" s="93"/>
      <c r="E1457" s="93"/>
      <c r="F1457" s="93"/>
      <c r="G1457" s="93"/>
      <c r="H1457" s="93"/>
      <c r="I1457" s="93"/>
      <c r="J1457" s="93"/>
      <c r="K1457" s="93"/>
      <c r="L1457" s="93"/>
    </row>
    <row r="1458" spans="4:12" x14ac:dyDescent="0.25">
      <c r="D1458" s="93"/>
      <c r="E1458" s="93"/>
      <c r="F1458" s="93"/>
      <c r="G1458" s="93"/>
      <c r="H1458" s="93"/>
      <c r="I1458" s="93"/>
      <c r="J1458" s="93"/>
      <c r="K1458" s="93"/>
      <c r="L1458" s="93"/>
    </row>
    <row r="1459" spans="4:12" x14ac:dyDescent="0.25">
      <c r="D1459" s="93"/>
      <c r="E1459" s="93"/>
      <c r="F1459" s="93"/>
      <c r="G1459" s="93"/>
      <c r="H1459" s="93"/>
      <c r="I1459" s="93"/>
      <c r="J1459" s="93"/>
      <c r="K1459" s="93"/>
      <c r="L1459" s="93"/>
    </row>
    <row r="1460" spans="4:12" x14ac:dyDescent="0.25">
      <c r="D1460" s="93"/>
      <c r="E1460" s="93"/>
      <c r="F1460" s="93"/>
      <c r="G1460" s="93"/>
      <c r="H1460" s="93"/>
      <c r="I1460" s="93"/>
      <c r="J1460" s="93"/>
      <c r="K1460" s="93"/>
      <c r="L1460" s="93"/>
    </row>
    <row r="1461" spans="4:12" x14ac:dyDescent="0.25">
      <c r="D1461" s="93"/>
      <c r="E1461" s="93"/>
      <c r="F1461" s="93"/>
      <c r="G1461" s="93"/>
      <c r="H1461" s="93"/>
      <c r="I1461" s="93"/>
      <c r="J1461" s="93"/>
      <c r="K1461" s="93"/>
      <c r="L1461" s="93"/>
    </row>
    <row r="1462" spans="4:12" x14ac:dyDescent="0.25">
      <c r="D1462" s="93"/>
      <c r="E1462" s="93"/>
      <c r="F1462" s="93"/>
      <c r="G1462" s="93"/>
      <c r="H1462" s="93"/>
      <c r="I1462" s="93"/>
      <c r="J1462" s="93"/>
      <c r="K1462" s="93"/>
      <c r="L1462" s="93"/>
    </row>
    <row r="1463" spans="4:12" x14ac:dyDescent="0.25">
      <c r="D1463" s="93"/>
      <c r="E1463" s="93"/>
      <c r="F1463" s="93"/>
      <c r="G1463" s="93"/>
      <c r="H1463" s="93"/>
      <c r="I1463" s="93"/>
      <c r="J1463" s="93"/>
      <c r="K1463" s="93"/>
      <c r="L1463" s="93"/>
    </row>
    <row r="1464" spans="4:12" x14ac:dyDescent="0.25">
      <c r="D1464" s="93"/>
      <c r="E1464" s="93"/>
      <c r="F1464" s="93"/>
      <c r="G1464" s="93"/>
      <c r="H1464" s="93"/>
      <c r="I1464" s="93"/>
      <c r="J1464" s="93"/>
      <c r="K1464" s="93"/>
      <c r="L1464" s="93"/>
    </row>
    <row r="1465" spans="4:12" x14ac:dyDescent="0.25">
      <c r="D1465" s="93"/>
      <c r="E1465" s="93"/>
      <c r="F1465" s="93"/>
      <c r="G1465" s="93"/>
      <c r="H1465" s="93"/>
      <c r="I1465" s="93"/>
      <c r="J1465" s="93"/>
      <c r="K1465" s="93"/>
      <c r="L1465" s="93"/>
    </row>
    <row r="1466" spans="4:12" x14ac:dyDescent="0.25">
      <c r="D1466" s="93"/>
      <c r="E1466" s="93"/>
      <c r="F1466" s="93"/>
      <c r="G1466" s="93"/>
      <c r="H1466" s="93"/>
      <c r="I1466" s="93"/>
      <c r="J1466" s="93"/>
      <c r="K1466" s="93"/>
      <c r="L1466" s="93"/>
    </row>
    <row r="1467" spans="4:12" x14ac:dyDescent="0.25">
      <c r="D1467" s="93"/>
      <c r="E1467" s="93"/>
      <c r="F1467" s="93"/>
      <c r="G1467" s="93"/>
      <c r="H1467" s="93"/>
      <c r="I1467" s="93"/>
      <c r="J1467" s="93"/>
      <c r="K1467" s="93"/>
      <c r="L1467" s="93"/>
    </row>
    <row r="1468" spans="4:12" x14ac:dyDescent="0.25">
      <c r="D1468" s="93"/>
      <c r="E1468" s="93"/>
      <c r="F1468" s="93"/>
      <c r="G1468" s="93"/>
      <c r="H1468" s="93"/>
      <c r="I1468" s="93"/>
      <c r="J1468" s="93"/>
      <c r="K1468" s="93"/>
      <c r="L1468" s="93"/>
    </row>
    <row r="1469" spans="4:12" x14ac:dyDescent="0.25">
      <c r="D1469" s="93"/>
      <c r="E1469" s="93"/>
      <c r="F1469" s="93"/>
      <c r="G1469" s="93"/>
      <c r="H1469" s="93"/>
      <c r="I1469" s="93"/>
      <c r="J1469" s="93"/>
      <c r="K1469" s="93"/>
      <c r="L1469" s="93"/>
    </row>
    <row r="1470" spans="4:12" x14ac:dyDescent="0.25">
      <c r="D1470" s="93"/>
      <c r="E1470" s="93"/>
      <c r="F1470" s="93"/>
      <c r="G1470" s="93"/>
      <c r="H1470" s="93"/>
      <c r="I1470" s="93"/>
      <c r="J1470" s="93"/>
      <c r="K1470" s="93"/>
      <c r="L1470" s="93"/>
    </row>
    <row r="1471" spans="4:12" x14ac:dyDescent="0.25">
      <c r="D1471" s="93"/>
      <c r="E1471" s="93"/>
      <c r="F1471" s="93"/>
      <c r="G1471" s="93"/>
      <c r="H1471" s="93"/>
      <c r="I1471" s="93"/>
      <c r="J1471" s="93"/>
      <c r="K1471" s="93"/>
      <c r="L1471" s="93"/>
    </row>
    <row r="1472" spans="4:12" x14ac:dyDescent="0.25">
      <c r="D1472" s="93"/>
      <c r="E1472" s="93"/>
      <c r="F1472" s="93"/>
      <c r="G1472" s="93"/>
      <c r="H1472" s="93"/>
      <c r="I1472" s="93"/>
      <c r="J1472" s="93"/>
      <c r="K1472" s="93"/>
      <c r="L1472" s="93"/>
    </row>
    <row r="1473" spans="4:12" x14ac:dyDescent="0.25">
      <c r="D1473" s="93"/>
      <c r="E1473" s="93"/>
      <c r="F1473" s="93"/>
      <c r="G1473" s="93"/>
      <c r="H1473" s="93"/>
      <c r="I1473" s="93"/>
      <c r="J1473" s="93"/>
      <c r="K1473" s="93"/>
      <c r="L1473" s="93"/>
    </row>
    <row r="1474" spans="4:12" x14ac:dyDescent="0.25">
      <c r="D1474" s="93"/>
      <c r="E1474" s="93"/>
      <c r="F1474" s="93"/>
      <c r="G1474" s="93"/>
      <c r="H1474" s="93"/>
      <c r="I1474" s="93"/>
      <c r="J1474" s="93"/>
      <c r="K1474" s="93"/>
      <c r="L1474" s="93"/>
    </row>
    <row r="1475" spans="4:12" x14ac:dyDescent="0.25">
      <c r="D1475" s="93"/>
      <c r="E1475" s="93"/>
      <c r="F1475" s="93"/>
      <c r="G1475" s="93"/>
      <c r="H1475" s="93"/>
      <c r="I1475" s="93"/>
      <c r="J1475" s="93"/>
      <c r="K1475" s="93"/>
      <c r="L1475" s="93"/>
    </row>
    <row r="1476" spans="4:12" x14ac:dyDescent="0.25">
      <c r="D1476" s="93"/>
      <c r="E1476" s="93"/>
      <c r="F1476" s="93"/>
      <c r="G1476" s="93"/>
      <c r="H1476" s="93"/>
      <c r="I1476" s="93"/>
      <c r="J1476" s="93"/>
      <c r="K1476" s="93"/>
      <c r="L1476" s="93"/>
    </row>
    <row r="1477" spans="4:12" x14ac:dyDescent="0.25">
      <c r="D1477" s="93"/>
      <c r="E1477" s="93"/>
      <c r="F1477" s="93"/>
      <c r="G1477" s="93"/>
      <c r="H1477" s="93"/>
      <c r="I1477" s="93"/>
      <c r="J1477" s="93"/>
      <c r="K1477" s="93"/>
      <c r="L1477" s="93"/>
    </row>
    <row r="1478" spans="4:12" x14ac:dyDescent="0.25">
      <c r="D1478" s="93"/>
      <c r="E1478" s="93"/>
      <c r="F1478" s="93"/>
      <c r="G1478" s="93"/>
      <c r="H1478" s="93"/>
      <c r="I1478" s="93"/>
      <c r="J1478" s="93"/>
      <c r="K1478" s="93"/>
      <c r="L1478" s="93"/>
    </row>
    <row r="1479" spans="4:12" x14ac:dyDescent="0.25">
      <c r="D1479" s="93"/>
      <c r="E1479" s="93"/>
      <c r="F1479" s="93"/>
      <c r="G1479" s="93"/>
      <c r="H1479" s="93"/>
      <c r="I1479" s="93"/>
      <c r="J1479" s="93"/>
      <c r="K1479" s="93"/>
      <c r="L1479" s="93"/>
    </row>
    <row r="1480" spans="4:12" x14ac:dyDescent="0.25">
      <c r="D1480" s="93"/>
      <c r="E1480" s="93"/>
      <c r="F1480" s="93"/>
      <c r="G1480" s="93"/>
      <c r="H1480" s="93"/>
      <c r="I1480" s="93"/>
      <c r="J1480" s="93"/>
      <c r="K1480" s="93"/>
      <c r="L1480" s="93"/>
    </row>
    <row r="1481" spans="4:12" x14ac:dyDescent="0.25">
      <c r="D1481" s="93"/>
      <c r="E1481" s="93"/>
      <c r="F1481" s="93"/>
      <c r="G1481" s="93"/>
      <c r="H1481" s="93"/>
      <c r="I1481" s="93"/>
      <c r="J1481" s="93"/>
      <c r="K1481" s="93"/>
      <c r="L1481" s="93"/>
    </row>
    <row r="1482" spans="4:12" x14ac:dyDescent="0.25">
      <c r="D1482" s="93"/>
      <c r="E1482" s="93"/>
      <c r="F1482" s="93"/>
      <c r="G1482" s="93"/>
      <c r="H1482" s="93"/>
      <c r="I1482" s="93"/>
      <c r="J1482" s="93"/>
      <c r="K1482" s="93"/>
      <c r="L1482" s="93"/>
    </row>
    <row r="1483" spans="4:12" x14ac:dyDescent="0.25">
      <c r="D1483" s="93"/>
      <c r="E1483" s="93"/>
      <c r="F1483" s="93"/>
      <c r="G1483" s="93"/>
      <c r="H1483" s="93"/>
      <c r="I1483" s="93"/>
      <c r="J1483" s="93"/>
      <c r="K1483" s="93"/>
      <c r="L1483" s="93"/>
    </row>
    <row r="1484" spans="4:12" x14ac:dyDescent="0.25">
      <c r="D1484" s="93"/>
      <c r="E1484" s="93"/>
      <c r="F1484" s="93"/>
      <c r="G1484" s="93"/>
      <c r="H1484" s="93"/>
      <c r="I1484" s="93"/>
      <c r="J1484" s="93"/>
      <c r="K1484" s="93"/>
      <c r="L1484" s="93"/>
    </row>
    <row r="1485" spans="4:12" x14ac:dyDescent="0.25">
      <c r="D1485" s="93"/>
      <c r="E1485" s="93"/>
      <c r="F1485" s="93"/>
      <c r="G1485" s="93"/>
      <c r="H1485" s="93"/>
      <c r="I1485" s="93"/>
      <c r="J1485" s="93"/>
      <c r="K1485" s="93"/>
      <c r="L1485" s="93"/>
    </row>
    <row r="1486" spans="4:12" x14ac:dyDescent="0.25">
      <c r="D1486" s="93"/>
      <c r="E1486" s="93"/>
      <c r="F1486" s="93"/>
      <c r="G1486" s="93"/>
      <c r="H1486" s="93"/>
      <c r="I1486" s="93"/>
      <c r="J1486" s="93"/>
      <c r="K1486" s="93"/>
      <c r="L1486" s="93"/>
    </row>
    <row r="1487" spans="4:12" x14ac:dyDescent="0.25">
      <c r="D1487" s="93"/>
      <c r="E1487" s="93"/>
      <c r="F1487" s="93"/>
      <c r="G1487" s="93"/>
      <c r="H1487" s="93"/>
      <c r="I1487" s="93"/>
      <c r="J1487" s="93"/>
      <c r="K1487" s="93"/>
      <c r="L1487" s="93"/>
    </row>
    <row r="1488" spans="4:12" x14ac:dyDescent="0.25">
      <c r="D1488" s="93"/>
      <c r="E1488" s="93"/>
      <c r="F1488" s="93"/>
      <c r="G1488" s="93"/>
      <c r="H1488" s="93"/>
      <c r="I1488" s="93"/>
      <c r="J1488" s="93"/>
      <c r="K1488" s="93"/>
      <c r="L1488" s="93"/>
    </row>
    <row r="1489" spans="4:12" x14ac:dyDescent="0.25">
      <c r="D1489" s="93"/>
      <c r="E1489" s="93"/>
      <c r="F1489" s="93"/>
      <c r="G1489" s="93"/>
      <c r="H1489" s="93"/>
      <c r="I1489" s="93"/>
      <c r="J1489" s="93"/>
      <c r="K1489" s="93"/>
      <c r="L1489" s="93"/>
    </row>
    <row r="1490" spans="4:12" x14ac:dyDescent="0.25">
      <c r="D1490" s="93"/>
      <c r="E1490" s="93"/>
      <c r="F1490" s="93"/>
      <c r="G1490" s="93"/>
      <c r="H1490" s="93"/>
      <c r="I1490" s="93"/>
      <c r="J1490" s="93"/>
      <c r="K1490" s="93"/>
      <c r="L1490" s="93"/>
    </row>
    <row r="1491" spans="4:12" x14ac:dyDescent="0.25">
      <c r="D1491" s="93"/>
      <c r="E1491" s="93"/>
      <c r="F1491" s="93"/>
      <c r="G1491" s="93"/>
      <c r="H1491" s="93"/>
      <c r="I1491" s="93"/>
      <c r="J1491" s="93"/>
      <c r="K1491" s="93"/>
      <c r="L1491" s="93"/>
    </row>
    <row r="1492" spans="4:12" x14ac:dyDescent="0.25">
      <c r="D1492" s="93"/>
      <c r="E1492" s="93"/>
      <c r="F1492" s="93"/>
      <c r="G1492" s="93"/>
      <c r="H1492" s="93"/>
      <c r="I1492" s="93"/>
      <c r="J1492" s="93"/>
      <c r="K1492" s="93"/>
      <c r="L1492" s="93"/>
    </row>
    <row r="1493" spans="4:12" x14ac:dyDescent="0.25">
      <c r="D1493" s="93"/>
      <c r="E1493" s="93"/>
      <c r="F1493" s="93"/>
      <c r="G1493" s="93"/>
      <c r="H1493" s="93"/>
      <c r="I1493" s="93"/>
      <c r="J1493" s="93"/>
      <c r="K1493" s="93"/>
      <c r="L1493" s="93"/>
    </row>
    <row r="1494" spans="4:12" x14ac:dyDescent="0.25">
      <c r="D1494" s="93"/>
      <c r="E1494" s="93"/>
      <c r="F1494" s="93"/>
      <c r="G1494" s="93"/>
      <c r="H1494" s="93"/>
      <c r="I1494" s="93"/>
      <c r="J1494" s="93"/>
      <c r="K1494" s="93"/>
      <c r="L1494" s="93"/>
    </row>
    <row r="1495" spans="4:12" x14ac:dyDescent="0.25">
      <c r="D1495" s="93"/>
      <c r="E1495" s="93"/>
      <c r="F1495" s="93"/>
      <c r="G1495" s="93"/>
      <c r="H1495" s="93"/>
      <c r="I1495" s="93"/>
      <c r="J1495" s="93"/>
      <c r="K1495" s="93"/>
      <c r="L1495" s="93"/>
    </row>
    <row r="1496" spans="4:12" x14ac:dyDescent="0.25">
      <c r="D1496" s="93"/>
      <c r="E1496" s="93"/>
      <c r="F1496" s="93"/>
      <c r="G1496" s="93"/>
      <c r="H1496" s="93"/>
      <c r="I1496" s="93"/>
      <c r="J1496" s="93"/>
      <c r="K1496" s="93"/>
      <c r="L1496" s="93"/>
    </row>
    <row r="1497" spans="4:12" x14ac:dyDescent="0.25">
      <c r="D1497" s="93"/>
      <c r="E1497" s="93"/>
      <c r="F1497" s="93"/>
      <c r="G1497" s="93"/>
      <c r="H1497" s="93"/>
      <c r="I1497" s="93"/>
      <c r="J1497" s="93"/>
      <c r="K1497" s="93"/>
      <c r="L1497" s="93"/>
    </row>
    <row r="1498" spans="4:12" x14ac:dyDescent="0.25">
      <c r="D1498" s="93"/>
      <c r="E1498" s="93"/>
      <c r="F1498" s="93"/>
      <c r="G1498" s="93"/>
      <c r="H1498" s="93"/>
      <c r="I1498" s="93"/>
      <c r="J1498" s="93"/>
      <c r="K1498" s="93"/>
      <c r="L1498" s="93"/>
    </row>
    <row r="1499" spans="4:12" x14ac:dyDescent="0.25">
      <c r="D1499" s="93"/>
      <c r="E1499" s="93"/>
      <c r="F1499" s="93"/>
      <c r="G1499" s="93"/>
      <c r="H1499" s="93"/>
      <c r="I1499" s="93"/>
      <c r="J1499" s="93"/>
      <c r="K1499" s="93"/>
      <c r="L1499" s="93"/>
    </row>
    <row r="1500" spans="4:12" x14ac:dyDescent="0.25">
      <c r="D1500" s="93"/>
      <c r="E1500" s="93"/>
      <c r="F1500" s="93"/>
      <c r="G1500" s="93"/>
      <c r="H1500" s="93"/>
      <c r="I1500" s="93"/>
      <c r="J1500" s="93"/>
      <c r="K1500" s="93"/>
      <c r="L1500" s="93"/>
    </row>
    <row r="1501" spans="4:12" x14ac:dyDescent="0.25">
      <c r="D1501" s="93"/>
      <c r="E1501" s="93"/>
      <c r="F1501" s="93"/>
      <c r="G1501" s="93"/>
      <c r="H1501" s="93"/>
      <c r="I1501" s="93"/>
      <c r="J1501" s="93"/>
      <c r="K1501" s="93"/>
      <c r="L1501" s="93"/>
    </row>
    <row r="1502" spans="4:12" x14ac:dyDescent="0.25">
      <c r="D1502" s="93"/>
      <c r="E1502" s="93"/>
      <c r="F1502" s="93"/>
      <c r="G1502" s="93"/>
      <c r="H1502" s="93"/>
      <c r="I1502" s="93"/>
      <c r="J1502" s="93"/>
      <c r="K1502" s="93"/>
      <c r="L1502" s="93"/>
    </row>
    <row r="1503" spans="4:12" x14ac:dyDescent="0.25">
      <c r="D1503" s="93"/>
      <c r="E1503" s="93"/>
      <c r="F1503" s="93"/>
      <c r="G1503" s="93"/>
      <c r="H1503" s="93"/>
      <c r="I1503" s="93"/>
      <c r="J1503" s="93"/>
      <c r="K1503" s="93"/>
      <c r="L1503" s="93"/>
    </row>
    <row r="1504" spans="4:12" x14ac:dyDescent="0.25">
      <c r="D1504" s="93"/>
      <c r="E1504" s="93"/>
      <c r="F1504" s="93"/>
      <c r="G1504" s="93"/>
      <c r="H1504" s="93"/>
      <c r="I1504" s="93"/>
      <c r="J1504" s="93"/>
      <c r="K1504" s="93"/>
      <c r="L1504" s="93"/>
    </row>
    <row r="1505" spans="4:12" x14ac:dyDescent="0.25">
      <c r="D1505" s="93"/>
      <c r="E1505" s="93"/>
      <c r="F1505" s="93"/>
      <c r="G1505" s="93"/>
      <c r="H1505" s="93"/>
      <c r="I1505" s="93"/>
      <c r="J1505" s="93"/>
      <c r="K1505" s="93"/>
      <c r="L1505" s="93"/>
    </row>
    <row r="1506" spans="4:12" x14ac:dyDescent="0.25">
      <c r="D1506" s="93"/>
      <c r="E1506" s="93"/>
      <c r="F1506" s="93"/>
      <c r="G1506" s="93"/>
      <c r="H1506" s="93"/>
      <c r="I1506" s="93"/>
      <c r="J1506" s="93"/>
      <c r="K1506" s="93"/>
      <c r="L1506" s="93"/>
    </row>
    <row r="1507" spans="4:12" x14ac:dyDescent="0.25">
      <c r="D1507" s="93"/>
      <c r="E1507" s="93"/>
      <c r="F1507" s="93"/>
      <c r="G1507" s="93"/>
      <c r="H1507" s="93"/>
      <c r="I1507" s="93"/>
      <c r="J1507" s="93"/>
      <c r="K1507" s="93"/>
      <c r="L1507" s="93"/>
    </row>
    <row r="1508" spans="4:12" x14ac:dyDescent="0.25">
      <c r="D1508" s="93"/>
      <c r="E1508" s="93"/>
      <c r="F1508" s="93"/>
      <c r="G1508" s="93"/>
      <c r="H1508" s="93"/>
      <c r="I1508" s="93"/>
      <c r="J1508" s="93"/>
      <c r="K1508" s="93"/>
      <c r="L1508" s="93"/>
    </row>
    <row r="1509" spans="4:12" x14ac:dyDescent="0.25">
      <c r="D1509" s="93"/>
      <c r="E1509" s="93"/>
      <c r="F1509" s="93"/>
      <c r="G1509" s="93"/>
      <c r="H1509" s="93"/>
      <c r="I1509" s="93"/>
      <c r="J1509" s="93"/>
      <c r="K1509" s="93"/>
      <c r="L1509" s="93"/>
    </row>
    <row r="1510" spans="4:12" x14ac:dyDescent="0.25">
      <c r="D1510" s="93"/>
      <c r="E1510" s="93"/>
      <c r="F1510" s="93"/>
      <c r="G1510" s="93"/>
      <c r="H1510" s="93"/>
      <c r="I1510" s="93"/>
      <c r="J1510" s="93"/>
      <c r="K1510" s="93"/>
      <c r="L1510" s="93"/>
    </row>
    <row r="1511" spans="4:12" x14ac:dyDescent="0.25">
      <c r="D1511" s="93"/>
      <c r="E1511" s="93"/>
      <c r="F1511" s="93"/>
      <c r="G1511" s="93"/>
      <c r="H1511" s="93"/>
      <c r="I1511" s="93"/>
      <c r="J1511" s="93"/>
      <c r="K1511" s="93"/>
      <c r="L1511" s="93"/>
    </row>
    <row r="1512" spans="4:12" x14ac:dyDescent="0.25">
      <c r="D1512" s="93"/>
      <c r="E1512" s="93"/>
      <c r="F1512" s="93"/>
      <c r="G1512" s="93"/>
      <c r="H1512" s="93"/>
      <c r="I1512" s="93"/>
      <c r="J1512" s="93"/>
      <c r="K1512" s="93"/>
      <c r="L1512" s="93"/>
    </row>
    <row r="1513" spans="4:12" x14ac:dyDescent="0.25">
      <c r="D1513" s="93"/>
      <c r="E1513" s="93"/>
      <c r="F1513" s="93"/>
      <c r="G1513" s="93"/>
      <c r="H1513" s="93"/>
      <c r="I1513" s="93"/>
      <c r="J1513" s="93"/>
      <c r="K1513" s="93"/>
      <c r="L1513" s="93"/>
    </row>
    <row r="1514" spans="4:12" x14ac:dyDescent="0.25">
      <c r="D1514" s="93"/>
      <c r="E1514" s="93"/>
      <c r="F1514" s="93"/>
      <c r="G1514" s="93"/>
      <c r="H1514" s="93"/>
      <c r="I1514" s="93"/>
      <c r="J1514" s="93"/>
      <c r="K1514" s="93"/>
      <c r="L1514" s="93"/>
    </row>
    <row r="1515" spans="4:12" x14ac:dyDescent="0.25">
      <c r="D1515" s="93"/>
      <c r="E1515" s="93"/>
      <c r="F1515" s="93"/>
      <c r="G1515" s="93"/>
      <c r="H1515" s="93"/>
      <c r="I1515" s="93"/>
      <c r="J1515" s="93"/>
      <c r="K1515" s="93"/>
      <c r="L1515" s="93"/>
    </row>
    <row r="1516" spans="4:12" x14ac:dyDescent="0.25">
      <c r="D1516" s="93"/>
      <c r="E1516" s="93"/>
      <c r="F1516" s="93"/>
      <c r="G1516" s="93"/>
      <c r="H1516" s="93"/>
      <c r="I1516" s="93"/>
      <c r="J1516" s="93"/>
      <c r="K1516" s="93"/>
      <c r="L1516" s="93"/>
    </row>
    <row r="1517" spans="4:12" x14ac:dyDescent="0.25">
      <c r="D1517" s="93"/>
      <c r="E1517" s="93"/>
      <c r="F1517" s="93"/>
      <c r="G1517" s="93"/>
      <c r="H1517" s="93"/>
      <c r="I1517" s="93"/>
      <c r="J1517" s="93"/>
      <c r="K1517" s="93"/>
      <c r="L1517" s="93"/>
    </row>
    <row r="1518" spans="4:12" x14ac:dyDescent="0.25">
      <c r="D1518" s="93"/>
      <c r="E1518" s="93"/>
      <c r="F1518" s="93"/>
      <c r="G1518" s="93"/>
      <c r="H1518" s="93"/>
      <c r="I1518" s="93"/>
      <c r="J1518" s="93"/>
      <c r="K1518" s="93"/>
      <c r="L1518" s="93"/>
    </row>
    <row r="1519" spans="4:12" x14ac:dyDescent="0.25">
      <c r="D1519" s="93"/>
      <c r="E1519" s="93"/>
      <c r="F1519" s="93"/>
      <c r="G1519" s="93"/>
      <c r="H1519" s="93"/>
      <c r="I1519" s="93"/>
      <c r="J1519" s="93"/>
      <c r="K1519" s="93"/>
      <c r="L1519" s="93"/>
    </row>
    <row r="1520" spans="4:12" x14ac:dyDescent="0.25">
      <c r="D1520" s="93"/>
      <c r="E1520" s="93"/>
      <c r="F1520" s="93"/>
      <c r="G1520" s="93"/>
      <c r="H1520" s="93"/>
      <c r="I1520" s="93"/>
      <c r="J1520" s="93"/>
      <c r="K1520" s="93"/>
      <c r="L1520" s="93"/>
    </row>
    <row r="1521" spans="4:12" x14ac:dyDescent="0.25">
      <c r="D1521" s="93"/>
      <c r="E1521" s="93"/>
      <c r="F1521" s="93"/>
      <c r="G1521" s="93"/>
      <c r="H1521" s="93"/>
      <c r="I1521" s="93"/>
      <c r="J1521" s="93"/>
      <c r="K1521" s="93"/>
      <c r="L1521" s="93"/>
    </row>
    <row r="1522" spans="4:12" x14ac:dyDescent="0.25">
      <c r="D1522" s="93"/>
      <c r="E1522" s="93"/>
      <c r="F1522" s="93"/>
      <c r="G1522" s="93"/>
      <c r="H1522" s="93"/>
      <c r="I1522" s="93"/>
      <c r="J1522" s="93"/>
      <c r="K1522" s="93"/>
      <c r="L1522" s="93"/>
    </row>
    <row r="1523" spans="4:12" x14ac:dyDescent="0.25">
      <c r="D1523" s="93"/>
      <c r="E1523" s="93"/>
      <c r="F1523" s="93"/>
      <c r="G1523" s="93"/>
      <c r="H1523" s="93"/>
      <c r="I1523" s="93"/>
      <c r="J1523" s="93"/>
      <c r="K1523" s="93"/>
      <c r="L1523" s="93"/>
    </row>
    <row r="1524" spans="4:12" x14ac:dyDescent="0.25">
      <c r="D1524" s="93"/>
      <c r="E1524" s="93"/>
      <c r="F1524" s="93"/>
      <c r="G1524" s="93"/>
      <c r="H1524" s="93"/>
      <c r="I1524" s="93"/>
      <c r="J1524" s="93"/>
      <c r="K1524" s="93"/>
      <c r="L1524" s="93"/>
    </row>
    <row r="1525" spans="4:12" x14ac:dyDescent="0.25">
      <c r="D1525" s="93"/>
      <c r="E1525" s="93"/>
      <c r="F1525" s="93"/>
      <c r="G1525" s="93"/>
      <c r="H1525" s="93"/>
      <c r="I1525" s="93"/>
      <c r="J1525" s="93"/>
      <c r="K1525" s="93"/>
      <c r="L1525" s="93"/>
    </row>
    <row r="1526" spans="4:12" x14ac:dyDescent="0.25">
      <c r="D1526" s="93"/>
      <c r="E1526" s="93"/>
      <c r="F1526" s="93"/>
      <c r="G1526" s="93"/>
      <c r="H1526" s="93"/>
      <c r="I1526" s="93"/>
      <c r="J1526" s="93"/>
      <c r="K1526" s="93"/>
      <c r="L1526" s="93"/>
    </row>
    <row r="1527" spans="4:12" x14ac:dyDescent="0.25">
      <c r="D1527" s="93"/>
      <c r="E1527" s="93"/>
      <c r="F1527" s="93"/>
      <c r="G1527" s="93"/>
      <c r="H1527" s="93"/>
      <c r="I1527" s="93"/>
      <c r="J1527" s="93"/>
      <c r="K1527" s="93"/>
      <c r="L1527" s="93"/>
    </row>
    <row r="1528" spans="4:12" x14ac:dyDescent="0.25">
      <c r="D1528" s="93"/>
      <c r="E1528" s="93"/>
      <c r="F1528" s="93"/>
      <c r="G1528" s="93"/>
      <c r="H1528" s="93"/>
      <c r="I1528" s="93"/>
      <c r="J1528" s="93"/>
      <c r="K1528" s="93"/>
      <c r="L1528" s="93"/>
    </row>
    <row r="1529" spans="4:12" x14ac:dyDescent="0.25">
      <c r="D1529" s="93"/>
      <c r="E1529" s="93"/>
      <c r="F1529" s="93"/>
      <c r="G1529" s="93"/>
      <c r="H1529" s="93"/>
      <c r="I1529" s="93"/>
      <c r="J1529" s="93"/>
      <c r="K1529" s="93"/>
      <c r="L1529" s="93"/>
    </row>
    <row r="1530" spans="4:12" x14ac:dyDescent="0.25">
      <c r="D1530" s="93"/>
      <c r="E1530" s="93"/>
      <c r="F1530" s="93"/>
      <c r="G1530" s="93"/>
      <c r="H1530" s="93"/>
      <c r="I1530" s="93"/>
      <c r="J1530" s="93"/>
      <c r="K1530" s="93"/>
      <c r="L1530" s="93"/>
    </row>
    <row r="1531" spans="4:12" x14ac:dyDescent="0.25">
      <c r="D1531" s="93"/>
      <c r="E1531" s="93"/>
      <c r="F1531" s="93"/>
      <c r="G1531" s="93"/>
      <c r="H1531" s="93"/>
      <c r="I1531" s="93"/>
      <c r="J1531" s="93"/>
      <c r="K1531" s="93"/>
      <c r="L1531" s="93"/>
    </row>
    <row r="1532" spans="4:12" x14ac:dyDescent="0.25">
      <c r="D1532" s="93"/>
      <c r="E1532" s="93"/>
      <c r="F1532" s="93"/>
      <c r="G1532" s="93"/>
      <c r="H1532" s="93"/>
      <c r="I1532" s="93"/>
      <c r="J1532" s="93"/>
      <c r="K1532" s="93"/>
      <c r="L1532" s="93"/>
    </row>
    <row r="1533" spans="4:12" x14ac:dyDescent="0.25">
      <c r="D1533" s="93"/>
      <c r="E1533" s="93"/>
      <c r="F1533" s="93"/>
      <c r="G1533" s="93"/>
      <c r="H1533" s="93"/>
      <c r="I1533" s="93"/>
      <c r="J1533" s="93"/>
      <c r="K1533" s="93"/>
      <c r="L1533" s="93"/>
    </row>
    <row r="1534" spans="4:12" x14ac:dyDescent="0.25">
      <c r="D1534" s="93"/>
      <c r="E1534" s="93"/>
      <c r="F1534" s="93"/>
      <c r="G1534" s="93"/>
      <c r="H1534" s="93"/>
      <c r="I1534" s="93"/>
      <c r="J1534" s="93"/>
      <c r="K1534" s="93"/>
      <c r="L1534" s="93"/>
    </row>
    <row r="1535" spans="4:12" x14ac:dyDescent="0.25">
      <c r="D1535" s="93"/>
      <c r="E1535" s="93"/>
      <c r="F1535" s="93"/>
      <c r="G1535" s="93"/>
      <c r="H1535" s="93"/>
      <c r="I1535" s="93"/>
      <c r="J1535" s="93"/>
      <c r="K1535" s="93"/>
      <c r="L1535" s="93"/>
    </row>
    <row r="1536" spans="4:12" x14ac:dyDescent="0.25">
      <c r="D1536" s="93"/>
      <c r="E1536" s="93"/>
      <c r="F1536" s="93"/>
      <c r="G1536" s="93"/>
      <c r="H1536" s="93"/>
      <c r="I1536" s="93"/>
      <c r="J1536" s="93"/>
      <c r="K1536" s="93"/>
      <c r="L1536" s="93"/>
    </row>
    <row r="1537" spans="4:12" x14ac:dyDescent="0.25">
      <c r="D1537" s="93"/>
      <c r="E1537" s="93"/>
      <c r="F1537" s="93"/>
      <c r="G1537" s="93"/>
      <c r="H1537" s="93"/>
      <c r="I1537" s="93"/>
      <c r="J1537" s="93"/>
      <c r="K1537" s="93"/>
      <c r="L1537" s="93"/>
    </row>
    <row r="1538" spans="4:12" x14ac:dyDescent="0.25">
      <c r="D1538" s="93"/>
      <c r="E1538" s="93"/>
      <c r="F1538" s="93"/>
      <c r="G1538" s="93"/>
      <c r="H1538" s="93"/>
      <c r="I1538" s="93"/>
      <c r="J1538" s="93"/>
      <c r="K1538" s="93"/>
      <c r="L1538" s="93"/>
    </row>
    <row r="1539" spans="4:12" x14ac:dyDescent="0.25">
      <c r="D1539" s="93"/>
      <c r="E1539" s="93"/>
      <c r="F1539" s="93"/>
      <c r="G1539" s="93"/>
      <c r="H1539" s="93"/>
      <c r="I1539" s="93"/>
      <c r="J1539" s="93"/>
      <c r="K1539" s="93"/>
      <c r="L1539" s="93"/>
    </row>
    <row r="1540" spans="4:12" x14ac:dyDescent="0.25">
      <c r="D1540" s="93"/>
      <c r="E1540" s="93"/>
      <c r="F1540" s="93"/>
      <c r="G1540" s="93"/>
      <c r="H1540" s="93"/>
      <c r="I1540" s="93"/>
      <c r="J1540" s="93"/>
      <c r="K1540" s="93"/>
      <c r="L1540" s="93"/>
    </row>
    <row r="1541" spans="4:12" x14ac:dyDescent="0.25">
      <c r="D1541" s="93"/>
      <c r="E1541" s="93"/>
      <c r="F1541" s="93"/>
      <c r="G1541" s="93"/>
      <c r="H1541" s="93"/>
      <c r="I1541" s="93"/>
      <c r="J1541" s="93"/>
      <c r="K1541" s="93"/>
      <c r="L1541" s="93"/>
    </row>
    <row r="1542" spans="4:12" x14ac:dyDescent="0.25">
      <c r="D1542" s="93"/>
      <c r="E1542" s="93"/>
      <c r="F1542" s="93"/>
      <c r="G1542" s="93"/>
      <c r="H1542" s="93"/>
      <c r="I1542" s="93"/>
      <c r="J1542" s="93"/>
      <c r="K1542" s="93"/>
      <c r="L1542" s="93"/>
    </row>
    <row r="1543" spans="4:12" x14ac:dyDescent="0.25">
      <c r="D1543" s="93"/>
      <c r="E1543" s="93"/>
      <c r="F1543" s="93"/>
      <c r="G1543" s="93"/>
      <c r="H1543" s="93"/>
      <c r="I1543" s="93"/>
      <c r="J1543" s="93"/>
      <c r="K1543" s="93"/>
      <c r="L1543" s="93"/>
    </row>
    <row r="1544" spans="4:12" x14ac:dyDescent="0.25">
      <c r="D1544" s="93"/>
      <c r="E1544" s="93"/>
      <c r="F1544" s="93"/>
      <c r="G1544" s="93"/>
      <c r="H1544" s="93"/>
      <c r="I1544" s="93"/>
      <c r="J1544" s="93"/>
      <c r="K1544" s="93"/>
      <c r="L1544" s="93"/>
    </row>
    <row r="1545" spans="4:12" x14ac:dyDescent="0.25">
      <c r="D1545" s="93"/>
      <c r="E1545" s="93"/>
      <c r="F1545" s="93"/>
      <c r="G1545" s="93"/>
      <c r="H1545" s="93"/>
      <c r="I1545" s="93"/>
      <c r="J1545" s="93"/>
      <c r="K1545" s="93"/>
      <c r="L1545" s="93"/>
    </row>
    <row r="1546" spans="4:12" x14ac:dyDescent="0.25">
      <c r="D1546" s="93"/>
      <c r="E1546" s="93"/>
      <c r="F1546" s="93"/>
      <c r="G1546" s="93"/>
      <c r="H1546" s="93"/>
      <c r="I1546" s="93"/>
      <c r="J1546" s="93"/>
      <c r="K1546" s="93"/>
      <c r="L1546" s="93"/>
    </row>
    <row r="1547" spans="4:12" x14ac:dyDescent="0.25">
      <c r="D1547" s="93"/>
      <c r="E1547" s="93"/>
      <c r="F1547" s="93"/>
      <c r="G1547" s="93"/>
      <c r="H1547" s="93"/>
      <c r="I1547" s="93"/>
      <c r="J1547" s="93"/>
      <c r="K1547" s="93"/>
      <c r="L1547" s="93"/>
    </row>
    <row r="1548" spans="4:12" x14ac:dyDescent="0.25">
      <c r="D1548" s="93"/>
      <c r="E1548" s="93"/>
      <c r="F1548" s="93"/>
      <c r="G1548" s="93"/>
      <c r="H1548" s="93"/>
      <c r="I1548" s="93"/>
      <c r="J1548" s="93"/>
      <c r="K1548" s="93"/>
      <c r="L1548" s="93"/>
    </row>
    <row r="1549" spans="4:12" x14ac:dyDescent="0.25">
      <c r="D1549" s="93"/>
      <c r="E1549" s="93"/>
      <c r="F1549" s="93"/>
      <c r="G1549" s="93"/>
      <c r="H1549" s="93"/>
      <c r="I1549" s="93"/>
      <c r="J1549" s="93"/>
      <c r="K1549" s="93"/>
      <c r="L1549" s="93"/>
    </row>
    <row r="1550" spans="4:12" x14ac:dyDescent="0.25">
      <c r="D1550" s="93"/>
      <c r="E1550" s="93"/>
      <c r="F1550" s="93"/>
      <c r="G1550" s="93"/>
      <c r="H1550" s="93"/>
      <c r="I1550" s="93"/>
      <c r="J1550" s="93"/>
      <c r="K1550" s="93"/>
      <c r="L1550" s="93"/>
    </row>
    <row r="1551" spans="4:12" x14ac:dyDescent="0.25">
      <c r="D1551" s="93"/>
      <c r="E1551" s="93"/>
      <c r="F1551" s="93"/>
      <c r="G1551" s="93"/>
      <c r="H1551" s="93"/>
      <c r="I1551" s="93"/>
      <c r="J1551" s="93"/>
      <c r="K1551" s="93"/>
      <c r="L1551" s="93"/>
    </row>
    <row r="1552" spans="4:12" x14ac:dyDescent="0.25">
      <c r="D1552" s="93"/>
      <c r="E1552" s="93"/>
      <c r="F1552" s="93"/>
      <c r="G1552" s="93"/>
      <c r="H1552" s="93"/>
      <c r="I1552" s="93"/>
      <c r="J1552" s="93"/>
      <c r="K1552" s="93"/>
      <c r="L1552" s="93"/>
    </row>
    <row r="1553" spans="4:12" x14ac:dyDescent="0.25">
      <c r="D1553" s="93"/>
      <c r="E1553" s="93"/>
      <c r="F1553" s="93"/>
      <c r="G1553" s="93"/>
      <c r="H1553" s="93"/>
      <c r="I1553" s="93"/>
      <c r="J1553" s="93"/>
      <c r="K1553" s="93"/>
      <c r="L1553" s="93"/>
    </row>
    <row r="1554" spans="4:12" x14ac:dyDescent="0.25">
      <c r="D1554" s="93"/>
      <c r="E1554" s="93"/>
      <c r="F1554" s="93"/>
      <c r="G1554" s="93"/>
      <c r="H1554" s="93"/>
      <c r="I1554" s="93"/>
      <c r="J1554" s="93"/>
      <c r="K1554" s="93"/>
      <c r="L1554" s="93"/>
    </row>
    <row r="1555" spans="4:12" x14ac:dyDescent="0.25">
      <c r="D1555" s="93"/>
      <c r="E1555" s="93"/>
      <c r="F1555" s="93"/>
      <c r="G1555" s="93"/>
      <c r="H1555" s="93"/>
      <c r="I1555" s="93"/>
      <c r="J1555" s="93"/>
      <c r="K1555" s="93"/>
      <c r="L1555" s="93"/>
    </row>
    <row r="1556" spans="4:12" x14ac:dyDescent="0.25">
      <c r="D1556" s="93"/>
      <c r="E1556" s="93"/>
      <c r="F1556" s="93"/>
      <c r="G1556" s="93"/>
      <c r="H1556" s="93"/>
      <c r="I1556" s="93"/>
      <c r="J1556" s="93"/>
      <c r="K1556" s="93"/>
      <c r="L1556" s="93"/>
    </row>
    <row r="1557" spans="4:12" x14ac:dyDescent="0.25">
      <c r="D1557" s="93"/>
      <c r="E1557" s="93"/>
      <c r="F1557" s="93"/>
      <c r="G1557" s="93"/>
      <c r="H1557" s="93"/>
      <c r="I1557" s="93"/>
      <c r="J1557" s="93"/>
      <c r="K1557" s="93"/>
      <c r="L1557" s="93"/>
    </row>
    <row r="1558" spans="4:12" x14ac:dyDescent="0.25">
      <c r="D1558" s="93"/>
      <c r="E1558" s="93"/>
      <c r="F1558" s="93"/>
      <c r="G1558" s="93"/>
      <c r="H1558" s="93"/>
      <c r="I1558" s="93"/>
      <c r="J1558" s="93"/>
      <c r="K1558" s="93"/>
      <c r="L1558" s="93"/>
    </row>
    <row r="1559" spans="4:12" x14ac:dyDescent="0.25">
      <c r="D1559" s="93"/>
      <c r="E1559" s="93"/>
      <c r="F1559" s="93"/>
      <c r="G1559" s="93"/>
      <c r="H1559" s="93"/>
      <c r="I1559" s="93"/>
      <c r="J1559" s="93"/>
      <c r="K1559" s="93"/>
      <c r="L1559" s="93"/>
    </row>
    <row r="1560" spans="4:12" x14ac:dyDescent="0.25">
      <c r="D1560" s="93"/>
      <c r="E1560" s="93"/>
      <c r="F1560" s="93"/>
      <c r="G1560" s="93"/>
      <c r="H1560" s="93"/>
      <c r="I1560" s="93"/>
      <c r="J1560" s="93"/>
      <c r="K1560" s="93"/>
      <c r="L1560" s="93"/>
    </row>
    <row r="1561" spans="4:12" x14ac:dyDescent="0.25">
      <c r="D1561" s="93"/>
      <c r="E1561" s="93"/>
      <c r="F1561" s="93"/>
      <c r="G1561" s="93"/>
      <c r="H1561" s="93"/>
      <c r="I1561" s="93"/>
      <c r="J1561" s="93"/>
      <c r="K1561" s="93"/>
      <c r="L1561" s="93"/>
    </row>
    <row r="1562" spans="4:12" x14ac:dyDescent="0.25">
      <c r="D1562" s="93"/>
      <c r="E1562" s="93"/>
      <c r="F1562" s="93"/>
      <c r="G1562" s="93"/>
      <c r="H1562" s="93"/>
      <c r="I1562" s="93"/>
      <c r="J1562" s="93"/>
      <c r="K1562" s="93"/>
      <c r="L1562" s="93"/>
    </row>
    <row r="1563" spans="4:12" x14ac:dyDescent="0.25">
      <c r="D1563" s="93"/>
      <c r="E1563" s="93"/>
      <c r="F1563" s="93"/>
      <c r="G1563" s="93"/>
      <c r="H1563" s="93"/>
      <c r="I1563" s="93"/>
      <c r="J1563" s="93"/>
      <c r="K1563" s="93"/>
      <c r="L1563" s="93"/>
    </row>
    <row r="1564" spans="4:12" x14ac:dyDescent="0.25">
      <c r="D1564" s="93"/>
      <c r="E1564" s="93"/>
      <c r="F1564" s="93"/>
      <c r="G1564" s="93"/>
      <c r="H1564" s="93"/>
      <c r="I1564" s="93"/>
      <c r="J1564" s="93"/>
      <c r="K1564" s="93"/>
      <c r="L1564" s="93"/>
    </row>
    <row r="1565" spans="4:12" x14ac:dyDescent="0.25">
      <c r="D1565" s="93"/>
      <c r="E1565" s="93"/>
      <c r="F1565" s="93"/>
      <c r="G1565" s="93"/>
      <c r="H1565" s="93"/>
      <c r="I1565" s="93"/>
      <c r="J1565" s="93"/>
      <c r="K1565" s="93"/>
      <c r="L1565" s="93"/>
    </row>
    <row r="1566" spans="4:12" x14ac:dyDescent="0.25">
      <c r="D1566" s="93"/>
      <c r="E1566" s="93"/>
      <c r="F1566" s="93"/>
      <c r="G1566" s="93"/>
      <c r="H1566" s="93"/>
      <c r="I1566" s="93"/>
      <c r="J1566" s="93"/>
      <c r="K1566" s="93"/>
      <c r="L1566" s="93"/>
    </row>
    <row r="1567" spans="4:12" x14ac:dyDescent="0.25">
      <c r="D1567" s="93"/>
      <c r="E1567" s="93"/>
      <c r="F1567" s="93"/>
      <c r="G1567" s="93"/>
      <c r="H1567" s="93"/>
      <c r="I1567" s="93"/>
      <c r="J1567" s="93"/>
      <c r="K1567" s="93"/>
      <c r="L1567" s="93"/>
    </row>
    <row r="1568" spans="4:12" x14ac:dyDescent="0.25">
      <c r="D1568" s="93"/>
      <c r="E1568" s="93"/>
      <c r="F1568" s="93"/>
      <c r="G1568" s="93"/>
      <c r="H1568" s="93"/>
      <c r="I1568" s="93"/>
      <c r="J1568" s="93"/>
      <c r="K1568" s="93"/>
      <c r="L1568" s="93"/>
    </row>
    <row r="1569" spans="4:12" x14ac:dyDescent="0.25">
      <c r="D1569" s="93"/>
      <c r="E1569" s="93"/>
      <c r="F1569" s="93"/>
      <c r="G1569" s="93"/>
      <c r="H1569" s="93"/>
      <c r="I1569" s="93"/>
      <c r="J1569" s="93"/>
      <c r="K1569" s="93"/>
      <c r="L1569" s="93"/>
    </row>
    <row r="1570" spans="4:12" x14ac:dyDescent="0.25">
      <c r="D1570" s="93"/>
      <c r="E1570" s="93"/>
      <c r="F1570" s="93"/>
      <c r="G1570" s="93"/>
      <c r="H1570" s="93"/>
      <c r="I1570" s="93"/>
      <c r="J1570" s="93"/>
      <c r="K1570" s="93"/>
      <c r="L1570" s="93"/>
    </row>
    <row r="1571" spans="4:12" x14ac:dyDescent="0.25">
      <c r="D1571" s="93"/>
      <c r="E1571" s="93"/>
      <c r="F1571" s="93"/>
      <c r="G1571" s="93"/>
      <c r="H1571" s="93"/>
      <c r="I1571" s="93"/>
      <c r="J1571" s="93"/>
      <c r="K1571" s="93"/>
      <c r="L1571" s="93"/>
    </row>
    <row r="1572" spans="4:12" x14ac:dyDescent="0.25">
      <c r="D1572" s="93"/>
      <c r="E1572" s="93"/>
      <c r="F1572" s="93"/>
      <c r="G1572" s="93"/>
      <c r="H1572" s="93"/>
      <c r="I1572" s="93"/>
      <c r="J1572" s="93"/>
      <c r="K1572" s="93"/>
      <c r="L1572" s="93"/>
    </row>
    <row r="1573" spans="4:12" x14ac:dyDescent="0.25">
      <c r="D1573" s="93"/>
      <c r="E1573" s="93"/>
      <c r="F1573" s="93"/>
      <c r="G1573" s="93"/>
      <c r="H1573" s="93"/>
      <c r="I1573" s="93"/>
      <c r="J1573" s="93"/>
      <c r="K1573" s="93"/>
      <c r="L1573" s="93"/>
    </row>
    <row r="1574" spans="4:12" x14ac:dyDescent="0.25">
      <c r="D1574" s="93"/>
      <c r="E1574" s="93"/>
      <c r="F1574" s="93"/>
      <c r="G1574" s="93"/>
      <c r="H1574" s="93"/>
      <c r="I1574" s="93"/>
      <c r="J1574" s="93"/>
      <c r="K1574" s="93"/>
      <c r="L1574" s="93"/>
    </row>
    <row r="1575" spans="4:12" x14ac:dyDescent="0.25">
      <c r="D1575" s="93"/>
      <c r="E1575" s="93"/>
      <c r="F1575" s="93"/>
      <c r="G1575" s="93"/>
      <c r="H1575" s="93"/>
      <c r="I1575" s="93"/>
      <c r="J1575" s="93"/>
      <c r="K1575" s="93"/>
      <c r="L1575" s="93"/>
    </row>
    <row r="1576" spans="4:12" x14ac:dyDescent="0.25">
      <c r="D1576" s="93"/>
      <c r="E1576" s="93"/>
      <c r="F1576" s="93"/>
      <c r="G1576" s="93"/>
      <c r="H1576" s="93"/>
      <c r="I1576" s="93"/>
      <c r="J1576" s="93"/>
      <c r="K1576" s="93"/>
      <c r="L1576" s="93"/>
    </row>
    <row r="1577" spans="4:12" x14ac:dyDescent="0.25">
      <c r="D1577" s="93"/>
      <c r="E1577" s="93"/>
      <c r="F1577" s="93"/>
      <c r="G1577" s="93"/>
      <c r="H1577" s="93"/>
      <c r="I1577" s="93"/>
      <c r="J1577" s="93"/>
      <c r="K1577" s="93"/>
      <c r="L1577" s="93"/>
    </row>
    <row r="1578" spans="4:12" x14ac:dyDescent="0.25">
      <c r="D1578" s="93"/>
      <c r="E1578" s="93"/>
      <c r="F1578" s="93"/>
      <c r="G1578" s="93"/>
      <c r="H1578" s="93"/>
      <c r="I1578" s="93"/>
      <c r="J1578" s="93"/>
      <c r="K1578" s="93"/>
      <c r="L1578" s="93"/>
    </row>
    <row r="1579" spans="4:12" x14ac:dyDescent="0.25">
      <c r="D1579" s="93"/>
      <c r="E1579" s="93"/>
      <c r="F1579" s="93"/>
      <c r="G1579" s="93"/>
      <c r="H1579" s="93"/>
      <c r="I1579" s="93"/>
      <c r="J1579" s="93"/>
      <c r="K1579" s="93"/>
      <c r="L1579" s="93"/>
    </row>
    <row r="1580" spans="4:12" x14ac:dyDescent="0.25">
      <c r="D1580" s="93"/>
      <c r="E1580" s="93"/>
      <c r="F1580" s="93"/>
      <c r="G1580" s="93"/>
      <c r="H1580" s="93"/>
      <c r="I1580" s="93"/>
      <c r="J1580" s="93"/>
      <c r="K1580" s="93"/>
      <c r="L1580" s="93"/>
    </row>
    <row r="1581" spans="4:12" x14ac:dyDescent="0.25">
      <c r="D1581" s="93"/>
      <c r="E1581" s="93"/>
      <c r="F1581" s="93"/>
      <c r="G1581" s="93"/>
      <c r="H1581" s="93"/>
      <c r="I1581" s="93"/>
      <c r="J1581" s="93"/>
      <c r="K1581" s="93"/>
      <c r="L1581" s="93"/>
    </row>
    <row r="1582" spans="4:12" x14ac:dyDescent="0.25">
      <c r="D1582" s="93"/>
      <c r="E1582" s="93"/>
      <c r="F1582" s="93"/>
      <c r="G1582" s="93"/>
      <c r="H1582" s="93"/>
      <c r="I1582" s="93"/>
      <c r="J1582" s="93"/>
      <c r="K1582" s="93"/>
      <c r="L1582" s="93"/>
    </row>
    <row r="1583" spans="4:12" x14ac:dyDescent="0.25">
      <c r="D1583" s="93"/>
      <c r="E1583" s="93"/>
      <c r="F1583" s="93"/>
      <c r="G1583" s="93"/>
      <c r="H1583" s="93"/>
      <c r="I1583" s="93"/>
      <c r="J1583" s="93"/>
      <c r="K1583" s="93"/>
      <c r="L1583" s="93"/>
    </row>
    <row r="1584" spans="4:12" x14ac:dyDescent="0.25">
      <c r="D1584" s="93"/>
      <c r="E1584" s="93"/>
      <c r="F1584" s="93"/>
      <c r="G1584" s="93"/>
      <c r="H1584" s="93"/>
      <c r="I1584" s="93"/>
      <c r="J1584" s="93"/>
      <c r="K1584" s="93"/>
      <c r="L1584" s="93"/>
    </row>
    <row r="1585" spans="4:12" x14ac:dyDescent="0.25">
      <c r="D1585" s="93"/>
      <c r="E1585" s="93"/>
      <c r="F1585" s="93"/>
      <c r="G1585" s="93"/>
      <c r="H1585" s="93"/>
      <c r="I1585" s="93"/>
      <c r="J1585" s="93"/>
      <c r="K1585" s="93"/>
      <c r="L1585" s="93"/>
    </row>
    <row r="1586" spans="4:12" x14ac:dyDescent="0.25">
      <c r="D1586" s="93"/>
      <c r="E1586" s="93"/>
      <c r="F1586" s="93"/>
      <c r="G1586" s="93"/>
      <c r="H1586" s="93"/>
      <c r="I1586" s="93"/>
      <c r="J1586" s="93"/>
      <c r="K1586" s="93"/>
      <c r="L1586" s="93"/>
    </row>
    <row r="1587" spans="4:12" x14ac:dyDescent="0.25">
      <c r="D1587" s="93"/>
      <c r="E1587" s="93"/>
      <c r="F1587" s="93"/>
      <c r="G1587" s="93"/>
      <c r="H1587" s="93"/>
      <c r="I1587" s="93"/>
      <c r="J1587" s="93"/>
      <c r="K1587" s="93"/>
      <c r="L1587" s="93"/>
    </row>
    <row r="1588" spans="4:12" x14ac:dyDescent="0.25">
      <c r="D1588" s="93"/>
      <c r="E1588" s="93"/>
      <c r="F1588" s="93"/>
      <c r="G1588" s="93"/>
      <c r="H1588" s="93"/>
      <c r="I1588" s="93"/>
      <c r="J1588" s="93"/>
      <c r="K1588" s="93"/>
      <c r="L1588" s="93"/>
    </row>
    <row r="1589" spans="4:12" x14ac:dyDescent="0.25">
      <c r="D1589" s="93"/>
      <c r="E1589" s="93"/>
      <c r="F1589" s="93"/>
      <c r="G1589" s="93"/>
      <c r="H1589" s="93"/>
      <c r="I1589" s="93"/>
      <c r="J1589" s="93"/>
      <c r="K1589" s="93"/>
      <c r="L1589" s="93"/>
    </row>
    <row r="1590" spans="4:12" x14ac:dyDescent="0.25">
      <c r="D1590" s="93"/>
      <c r="E1590" s="93"/>
      <c r="F1590" s="93"/>
      <c r="G1590" s="93"/>
      <c r="H1590" s="93"/>
      <c r="I1590" s="93"/>
      <c r="J1590" s="93"/>
      <c r="K1590" s="93"/>
      <c r="L1590" s="93"/>
    </row>
    <row r="1591" spans="4:12" x14ac:dyDescent="0.25">
      <c r="D1591" s="93"/>
      <c r="E1591" s="93"/>
      <c r="F1591" s="93"/>
      <c r="G1591" s="93"/>
      <c r="H1591" s="93"/>
      <c r="I1591" s="93"/>
      <c r="J1591" s="93"/>
      <c r="K1591" s="93"/>
      <c r="L1591" s="93"/>
    </row>
    <row r="1592" spans="4:12" x14ac:dyDescent="0.25">
      <c r="D1592" s="93"/>
      <c r="E1592" s="93"/>
      <c r="F1592" s="93"/>
      <c r="G1592" s="93"/>
      <c r="H1592" s="93"/>
      <c r="I1592" s="93"/>
      <c r="J1592" s="93"/>
      <c r="K1592" s="93"/>
      <c r="L1592" s="93"/>
    </row>
    <row r="1593" spans="4:12" x14ac:dyDescent="0.25">
      <c r="D1593" s="93"/>
      <c r="E1593" s="93"/>
      <c r="F1593" s="93"/>
      <c r="G1593" s="93"/>
      <c r="H1593" s="93"/>
      <c r="I1593" s="93"/>
      <c r="J1593" s="93"/>
      <c r="K1593" s="93"/>
      <c r="L1593" s="93"/>
    </row>
    <row r="1594" spans="4:12" x14ac:dyDescent="0.25">
      <c r="D1594" s="93"/>
      <c r="E1594" s="93"/>
      <c r="F1594" s="93"/>
      <c r="G1594" s="93"/>
      <c r="H1594" s="93"/>
      <c r="I1594" s="93"/>
      <c r="J1594" s="93"/>
      <c r="K1594" s="93"/>
      <c r="L1594" s="93"/>
    </row>
    <row r="1595" spans="4:12" x14ac:dyDescent="0.25">
      <c r="D1595" s="93"/>
      <c r="E1595" s="93"/>
      <c r="F1595" s="93"/>
      <c r="G1595" s="93"/>
      <c r="H1595" s="93"/>
      <c r="I1595" s="93"/>
      <c r="J1595" s="93"/>
      <c r="K1595" s="93"/>
      <c r="L1595" s="93"/>
    </row>
    <row r="1596" spans="4:12" x14ac:dyDescent="0.25">
      <c r="D1596" s="93"/>
      <c r="E1596" s="93"/>
      <c r="F1596" s="93"/>
      <c r="G1596" s="93"/>
      <c r="H1596" s="93"/>
      <c r="I1596" s="93"/>
      <c r="J1596" s="93"/>
      <c r="K1596" s="93"/>
      <c r="L1596" s="93"/>
    </row>
    <row r="1597" spans="4:12" x14ac:dyDescent="0.25">
      <c r="D1597" s="93"/>
      <c r="E1597" s="93"/>
      <c r="F1597" s="93"/>
      <c r="G1597" s="93"/>
      <c r="H1597" s="93"/>
      <c r="I1597" s="93"/>
      <c r="J1597" s="93"/>
      <c r="K1597" s="93"/>
      <c r="L1597" s="93"/>
    </row>
    <row r="1598" spans="4:12" x14ac:dyDescent="0.25">
      <c r="D1598" s="93"/>
      <c r="E1598" s="93"/>
      <c r="F1598" s="93"/>
      <c r="G1598" s="93"/>
      <c r="H1598" s="93"/>
      <c r="I1598" s="93"/>
      <c r="J1598" s="93"/>
      <c r="K1598" s="93"/>
      <c r="L1598" s="93"/>
    </row>
    <row r="1599" spans="4:12" x14ac:dyDescent="0.25">
      <c r="D1599" s="93"/>
      <c r="E1599" s="93"/>
      <c r="F1599" s="93"/>
      <c r="G1599" s="93"/>
      <c r="H1599" s="93"/>
      <c r="I1599" s="93"/>
      <c r="J1599" s="93"/>
      <c r="K1599" s="93"/>
      <c r="L1599" s="93"/>
    </row>
    <row r="1600" spans="4:12" x14ac:dyDescent="0.25">
      <c r="D1600" s="93"/>
      <c r="E1600" s="93"/>
      <c r="F1600" s="93"/>
      <c r="G1600" s="93"/>
      <c r="H1600" s="93"/>
      <c r="I1600" s="93"/>
      <c r="J1600" s="93"/>
      <c r="K1600" s="93"/>
      <c r="L1600" s="93"/>
    </row>
    <row r="1601" spans="4:12" x14ac:dyDescent="0.25">
      <c r="D1601" s="93"/>
      <c r="E1601" s="93"/>
      <c r="F1601" s="93"/>
      <c r="G1601" s="93"/>
      <c r="H1601" s="93"/>
      <c r="I1601" s="93"/>
      <c r="J1601" s="93"/>
      <c r="K1601" s="93"/>
      <c r="L1601" s="93"/>
    </row>
    <row r="1602" spans="4:12" x14ac:dyDescent="0.25">
      <c r="D1602" s="93"/>
      <c r="E1602" s="93"/>
      <c r="F1602" s="93"/>
      <c r="G1602" s="93"/>
      <c r="H1602" s="93"/>
      <c r="I1602" s="93"/>
      <c r="J1602" s="93"/>
      <c r="K1602" s="93"/>
      <c r="L1602" s="93"/>
    </row>
    <row r="1603" spans="4:12" x14ac:dyDescent="0.25">
      <c r="D1603" s="93"/>
      <c r="E1603" s="93"/>
      <c r="F1603" s="93"/>
      <c r="G1603" s="93"/>
      <c r="H1603" s="93"/>
      <c r="I1603" s="93"/>
      <c r="J1603" s="93"/>
      <c r="K1603" s="93"/>
      <c r="L1603" s="93"/>
    </row>
    <row r="1604" spans="4:12" x14ac:dyDescent="0.25">
      <c r="D1604" s="93"/>
      <c r="E1604" s="93"/>
      <c r="F1604" s="93"/>
      <c r="G1604" s="93"/>
      <c r="H1604" s="93"/>
      <c r="I1604" s="93"/>
      <c r="J1604" s="93"/>
      <c r="K1604" s="93"/>
      <c r="L1604" s="93"/>
    </row>
    <row r="1605" spans="4:12" x14ac:dyDescent="0.25">
      <c r="D1605" s="93"/>
      <c r="E1605" s="93"/>
      <c r="F1605" s="93"/>
      <c r="G1605" s="93"/>
      <c r="H1605" s="93"/>
      <c r="I1605" s="93"/>
      <c r="J1605" s="93"/>
      <c r="K1605" s="93"/>
      <c r="L1605" s="93"/>
    </row>
    <row r="1606" spans="4:12" x14ac:dyDescent="0.25">
      <c r="D1606" s="93"/>
      <c r="E1606" s="93"/>
      <c r="F1606" s="93"/>
      <c r="G1606" s="93"/>
      <c r="H1606" s="93"/>
      <c r="I1606" s="93"/>
      <c r="J1606" s="93"/>
      <c r="K1606" s="93"/>
      <c r="L1606" s="93"/>
    </row>
    <row r="1607" spans="4:12" x14ac:dyDescent="0.25">
      <c r="D1607" s="93"/>
      <c r="E1607" s="93"/>
      <c r="F1607" s="93"/>
      <c r="G1607" s="93"/>
      <c r="H1607" s="93"/>
      <c r="I1607" s="93"/>
      <c r="J1607" s="93"/>
      <c r="K1607" s="93"/>
      <c r="L1607" s="93"/>
    </row>
    <row r="1608" spans="4:12" x14ac:dyDescent="0.25">
      <c r="D1608" s="93"/>
      <c r="E1608" s="93"/>
      <c r="F1608" s="93"/>
      <c r="G1608" s="93"/>
      <c r="H1608" s="93"/>
      <c r="I1608" s="93"/>
      <c r="J1608" s="93"/>
      <c r="K1608" s="93"/>
      <c r="L1608" s="93"/>
    </row>
    <row r="1609" spans="4:12" x14ac:dyDescent="0.25">
      <c r="D1609" s="93"/>
      <c r="E1609" s="93"/>
      <c r="F1609" s="93"/>
      <c r="G1609" s="93"/>
      <c r="H1609" s="93"/>
      <c r="I1609" s="93"/>
      <c r="J1609" s="93"/>
      <c r="K1609" s="93"/>
      <c r="L1609" s="93"/>
    </row>
    <row r="1610" spans="4:12" x14ac:dyDescent="0.25">
      <c r="D1610" s="93"/>
      <c r="E1610" s="93"/>
      <c r="F1610" s="93"/>
      <c r="G1610" s="93"/>
      <c r="H1610" s="93"/>
      <c r="I1610" s="93"/>
      <c r="J1610" s="93"/>
      <c r="K1610" s="93"/>
      <c r="L1610" s="93"/>
    </row>
    <row r="1611" spans="4:12" x14ac:dyDescent="0.25">
      <c r="D1611" s="93"/>
      <c r="E1611" s="93"/>
      <c r="F1611" s="93"/>
      <c r="G1611" s="93"/>
      <c r="H1611" s="93"/>
      <c r="I1611" s="93"/>
      <c r="J1611" s="93"/>
      <c r="K1611" s="93"/>
      <c r="L1611" s="93"/>
    </row>
    <row r="1612" spans="4:12" x14ac:dyDescent="0.25">
      <c r="D1612" s="93"/>
      <c r="E1612" s="93"/>
      <c r="F1612" s="93"/>
      <c r="G1612" s="93"/>
      <c r="H1612" s="93"/>
      <c r="I1612" s="93"/>
      <c r="J1612" s="93"/>
      <c r="K1612" s="93"/>
      <c r="L1612" s="93"/>
    </row>
    <row r="1613" spans="4:12" x14ac:dyDescent="0.25">
      <c r="D1613" s="93"/>
      <c r="E1613" s="93"/>
      <c r="F1613" s="93"/>
      <c r="G1613" s="93"/>
      <c r="H1613" s="93"/>
      <c r="I1613" s="93"/>
      <c r="J1613" s="93"/>
      <c r="K1613" s="93"/>
      <c r="L1613" s="93"/>
    </row>
    <row r="1614" spans="4:12" x14ac:dyDescent="0.25">
      <c r="D1614" s="93"/>
      <c r="E1614" s="93"/>
      <c r="F1614" s="93"/>
      <c r="G1614" s="93"/>
      <c r="H1614" s="93"/>
      <c r="I1614" s="93"/>
      <c r="J1614" s="93"/>
      <c r="K1614" s="93"/>
      <c r="L1614" s="93"/>
    </row>
    <row r="1615" spans="4:12" x14ac:dyDescent="0.25">
      <c r="D1615" s="93"/>
      <c r="E1615" s="93"/>
      <c r="F1615" s="93"/>
      <c r="G1615" s="93"/>
      <c r="H1615" s="93"/>
      <c r="I1615" s="93"/>
      <c r="J1615" s="93"/>
      <c r="K1615" s="93"/>
      <c r="L1615" s="93"/>
    </row>
    <row r="1616" spans="4:12" x14ac:dyDescent="0.25">
      <c r="D1616" s="93"/>
      <c r="E1616" s="93"/>
      <c r="F1616" s="93"/>
      <c r="G1616" s="93"/>
      <c r="H1616" s="93"/>
      <c r="I1616" s="93"/>
      <c r="J1616" s="93"/>
      <c r="K1616" s="93"/>
      <c r="L1616" s="93"/>
    </row>
    <row r="1617" spans="4:12" x14ac:dyDescent="0.25">
      <c r="D1617" s="93"/>
      <c r="E1617" s="93"/>
      <c r="F1617" s="93"/>
      <c r="G1617" s="93"/>
      <c r="H1617" s="93"/>
      <c r="I1617" s="93"/>
      <c r="J1617" s="93"/>
      <c r="K1617" s="93"/>
      <c r="L1617" s="93"/>
    </row>
    <row r="1618" spans="4:12" x14ac:dyDescent="0.25">
      <c r="D1618" s="93"/>
      <c r="E1618" s="93"/>
      <c r="F1618" s="93"/>
      <c r="G1618" s="93"/>
      <c r="H1618" s="93"/>
      <c r="I1618" s="93"/>
      <c r="J1618" s="93"/>
      <c r="K1618" s="93"/>
      <c r="L1618" s="93"/>
    </row>
    <row r="1619" spans="4:12" x14ac:dyDescent="0.25">
      <c r="D1619" s="93"/>
      <c r="E1619" s="93"/>
      <c r="F1619" s="93"/>
      <c r="G1619" s="93"/>
      <c r="H1619" s="93"/>
      <c r="I1619" s="93"/>
      <c r="J1619" s="93"/>
      <c r="K1619" s="93"/>
      <c r="L1619" s="93"/>
    </row>
    <row r="1620" spans="4:12" x14ac:dyDescent="0.25">
      <c r="D1620" s="93"/>
      <c r="E1620" s="93"/>
      <c r="F1620" s="93"/>
      <c r="G1620" s="93"/>
      <c r="H1620" s="93"/>
      <c r="I1620" s="93"/>
      <c r="J1620" s="93"/>
      <c r="K1620" s="93"/>
      <c r="L1620" s="93"/>
    </row>
    <row r="1621" spans="4:12" x14ac:dyDescent="0.25">
      <c r="D1621" s="93"/>
      <c r="E1621" s="93"/>
      <c r="F1621" s="93"/>
      <c r="G1621" s="93"/>
      <c r="H1621" s="93"/>
      <c r="I1621" s="93"/>
      <c r="J1621" s="93"/>
      <c r="K1621" s="93"/>
      <c r="L1621" s="93"/>
    </row>
    <row r="1622" spans="4:12" x14ac:dyDescent="0.25">
      <c r="D1622" s="93"/>
      <c r="E1622" s="93"/>
      <c r="F1622" s="93"/>
      <c r="G1622" s="93"/>
      <c r="H1622" s="93"/>
      <c r="I1622" s="93"/>
      <c r="J1622" s="93"/>
      <c r="K1622" s="93"/>
      <c r="L1622" s="93"/>
    </row>
    <row r="1623" spans="4:12" x14ac:dyDescent="0.25">
      <c r="D1623" s="93"/>
      <c r="E1623" s="93"/>
      <c r="F1623" s="93"/>
      <c r="G1623" s="93"/>
      <c r="H1623" s="93"/>
      <c r="I1623" s="93"/>
      <c r="J1623" s="93"/>
      <c r="K1623" s="93"/>
      <c r="L1623" s="93"/>
    </row>
    <row r="1624" spans="4:12" x14ac:dyDescent="0.25">
      <c r="D1624" s="93"/>
      <c r="E1624" s="93"/>
      <c r="F1624" s="93"/>
      <c r="G1624" s="93"/>
      <c r="H1624" s="93"/>
      <c r="I1624" s="93"/>
      <c r="J1624" s="93"/>
      <c r="K1624" s="93"/>
      <c r="L1624" s="93"/>
    </row>
    <row r="1625" spans="4:12" x14ac:dyDescent="0.25">
      <c r="D1625" s="93"/>
      <c r="E1625" s="93"/>
      <c r="F1625" s="93"/>
      <c r="G1625" s="93"/>
      <c r="H1625" s="93"/>
      <c r="I1625" s="93"/>
      <c r="J1625" s="93"/>
      <c r="K1625" s="93"/>
      <c r="L1625" s="93"/>
    </row>
    <row r="1626" spans="4:12" x14ac:dyDescent="0.25">
      <c r="D1626" s="93"/>
      <c r="E1626" s="93"/>
      <c r="F1626" s="93"/>
      <c r="G1626" s="93"/>
      <c r="H1626" s="93"/>
      <c r="I1626" s="93"/>
      <c r="J1626" s="93"/>
      <c r="K1626" s="93"/>
      <c r="L1626" s="93"/>
    </row>
    <row r="1627" spans="4:12" x14ac:dyDescent="0.25">
      <c r="D1627" s="93"/>
      <c r="E1627" s="93"/>
      <c r="F1627" s="93"/>
      <c r="G1627" s="93"/>
      <c r="H1627" s="93"/>
      <c r="I1627" s="93"/>
      <c r="J1627" s="93"/>
      <c r="K1627" s="93"/>
      <c r="L1627" s="93"/>
    </row>
    <row r="1628" spans="4:12" x14ac:dyDescent="0.25">
      <c r="D1628" s="93"/>
      <c r="E1628" s="93"/>
      <c r="F1628" s="93"/>
      <c r="G1628" s="93"/>
      <c r="H1628" s="93"/>
      <c r="I1628" s="93"/>
      <c r="J1628" s="93"/>
      <c r="K1628" s="93"/>
      <c r="L1628" s="93"/>
    </row>
    <row r="1629" spans="4:12" x14ac:dyDescent="0.25">
      <c r="D1629" s="93"/>
      <c r="E1629" s="93"/>
      <c r="F1629" s="93"/>
      <c r="G1629" s="93"/>
      <c r="H1629" s="93"/>
      <c r="I1629" s="93"/>
      <c r="J1629" s="93"/>
      <c r="K1629" s="93"/>
      <c r="L1629" s="93"/>
    </row>
    <row r="1630" spans="4:12" x14ac:dyDescent="0.25">
      <c r="D1630" s="93"/>
      <c r="E1630" s="93"/>
      <c r="F1630" s="93"/>
      <c r="G1630" s="93"/>
      <c r="H1630" s="93"/>
      <c r="I1630" s="93"/>
      <c r="J1630" s="93"/>
      <c r="K1630" s="93"/>
      <c r="L1630" s="93"/>
    </row>
    <row r="1631" spans="4:12" x14ac:dyDescent="0.25">
      <c r="D1631" s="93"/>
      <c r="E1631" s="93"/>
      <c r="F1631" s="93"/>
      <c r="G1631" s="93"/>
      <c r="H1631" s="93"/>
      <c r="I1631" s="93"/>
      <c r="J1631" s="93"/>
      <c r="K1631" s="93"/>
      <c r="L1631" s="93"/>
    </row>
    <row r="1632" spans="4:12" x14ac:dyDescent="0.25">
      <c r="D1632" s="93"/>
      <c r="E1632" s="93"/>
      <c r="F1632" s="93"/>
      <c r="G1632" s="93"/>
      <c r="H1632" s="93"/>
      <c r="I1632" s="93"/>
      <c r="J1632" s="93"/>
      <c r="K1632" s="93"/>
      <c r="L1632" s="93"/>
    </row>
    <row r="1633" spans="4:12" x14ac:dyDescent="0.25">
      <c r="D1633" s="93"/>
      <c r="E1633" s="93"/>
      <c r="F1633" s="93"/>
      <c r="G1633" s="93"/>
      <c r="H1633" s="93"/>
      <c r="I1633" s="93"/>
      <c r="J1633" s="93"/>
      <c r="K1633" s="93"/>
      <c r="L1633" s="93"/>
    </row>
    <row r="1634" spans="4:12" x14ac:dyDescent="0.25">
      <c r="D1634" s="93"/>
      <c r="E1634" s="93"/>
      <c r="F1634" s="93"/>
      <c r="G1634" s="93"/>
      <c r="H1634" s="93"/>
      <c r="I1634" s="93"/>
      <c r="J1634" s="93"/>
      <c r="K1634" s="93"/>
      <c r="L1634" s="93"/>
    </row>
    <row r="1635" spans="4:12" x14ac:dyDescent="0.25">
      <c r="D1635" s="93"/>
      <c r="E1635" s="93"/>
      <c r="F1635" s="93"/>
      <c r="G1635" s="93"/>
      <c r="H1635" s="93"/>
      <c r="I1635" s="93"/>
      <c r="J1635" s="93"/>
      <c r="K1635" s="93"/>
      <c r="L1635" s="93"/>
    </row>
    <row r="1636" spans="4:12" x14ac:dyDescent="0.25">
      <c r="D1636" s="93"/>
      <c r="E1636" s="93"/>
      <c r="F1636" s="93"/>
      <c r="G1636" s="93"/>
      <c r="H1636" s="93"/>
      <c r="I1636" s="93"/>
      <c r="J1636" s="93"/>
      <c r="K1636" s="93"/>
      <c r="L1636" s="93"/>
    </row>
    <row r="1637" spans="4:12" x14ac:dyDescent="0.25">
      <c r="D1637" s="93"/>
      <c r="E1637" s="93"/>
      <c r="F1637" s="93"/>
      <c r="G1637" s="93"/>
      <c r="H1637" s="93"/>
      <c r="I1637" s="93"/>
      <c r="J1637" s="93"/>
      <c r="K1637" s="93"/>
      <c r="L1637" s="93"/>
    </row>
    <row r="1638" spans="4:12" x14ac:dyDescent="0.25">
      <c r="D1638" s="93"/>
      <c r="E1638" s="93"/>
      <c r="F1638" s="93"/>
      <c r="G1638" s="93"/>
      <c r="H1638" s="93"/>
      <c r="I1638" s="93"/>
      <c r="J1638" s="93"/>
      <c r="K1638" s="93"/>
      <c r="L1638" s="93"/>
    </row>
    <row r="1639" spans="4:12" x14ac:dyDescent="0.25">
      <c r="D1639" s="93"/>
      <c r="E1639" s="93"/>
      <c r="F1639" s="93"/>
      <c r="G1639" s="93"/>
      <c r="H1639" s="93"/>
      <c r="I1639" s="93"/>
      <c r="J1639" s="93"/>
      <c r="K1639" s="93"/>
      <c r="L1639" s="93"/>
    </row>
    <row r="1640" spans="4:12" x14ac:dyDescent="0.25">
      <c r="D1640" s="93"/>
      <c r="E1640" s="93"/>
      <c r="F1640" s="93"/>
      <c r="G1640" s="93"/>
      <c r="H1640" s="93"/>
      <c r="I1640" s="93"/>
      <c r="J1640" s="93"/>
      <c r="K1640" s="93"/>
      <c r="L1640" s="93"/>
    </row>
    <row r="1641" spans="4:12" x14ac:dyDescent="0.25">
      <c r="D1641" s="93"/>
      <c r="E1641" s="93"/>
      <c r="F1641" s="93"/>
      <c r="G1641" s="93"/>
      <c r="H1641" s="93"/>
      <c r="I1641" s="93"/>
      <c r="J1641" s="93"/>
      <c r="K1641" s="93"/>
      <c r="L1641" s="93"/>
    </row>
    <row r="1642" spans="4:12" x14ac:dyDescent="0.25">
      <c r="D1642" s="93"/>
      <c r="E1642" s="93"/>
      <c r="F1642" s="93"/>
      <c r="G1642" s="93"/>
      <c r="H1642" s="93"/>
      <c r="I1642" s="93"/>
      <c r="J1642" s="93"/>
      <c r="K1642" s="93"/>
      <c r="L1642" s="93"/>
    </row>
    <row r="1643" spans="4:12" x14ac:dyDescent="0.25">
      <c r="D1643" s="93"/>
      <c r="E1643" s="93"/>
      <c r="F1643" s="93"/>
      <c r="G1643" s="93"/>
      <c r="H1643" s="93"/>
      <c r="I1643" s="93"/>
      <c r="J1643" s="93"/>
      <c r="K1643" s="93"/>
      <c r="L1643" s="93"/>
    </row>
    <row r="1644" spans="4:12" x14ac:dyDescent="0.25">
      <c r="D1644" s="93"/>
      <c r="E1644" s="93"/>
      <c r="F1644" s="93"/>
      <c r="G1644" s="93"/>
      <c r="H1644" s="93"/>
      <c r="I1644" s="93"/>
      <c r="J1644" s="93"/>
      <c r="K1644" s="93"/>
      <c r="L1644" s="93"/>
    </row>
    <row r="1645" spans="4:12" x14ac:dyDescent="0.25">
      <c r="D1645" s="93"/>
      <c r="E1645" s="93"/>
      <c r="F1645" s="93"/>
      <c r="G1645" s="93"/>
      <c r="H1645" s="93"/>
      <c r="I1645" s="93"/>
      <c r="J1645" s="93"/>
      <c r="K1645" s="93"/>
      <c r="L1645" s="93"/>
    </row>
    <row r="1646" spans="4:12" x14ac:dyDescent="0.25">
      <c r="D1646" s="93"/>
      <c r="E1646" s="93"/>
      <c r="F1646" s="93"/>
      <c r="G1646" s="93"/>
      <c r="H1646" s="93"/>
      <c r="I1646" s="93"/>
      <c r="J1646" s="93"/>
      <c r="K1646" s="93"/>
      <c r="L1646" s="93"/>
    </row>
    <row r="1647" spans="4:12" x14ac:dyDescent="0.25">
      <c r="D1647" s="93"/>
      <c r="E1647" s="93"/>
      <c r="F1647" s="93"/>
      <c r="G1647" s="93"/>
      <c r="H1647" s="93"/>
      <c r="I1647" s="93"/>
      <c r="J1647" s="93"/>
      <c r="K1647" s="93"/>
      <c r="L1647" s="93"/>
    </row>
    <row r="1648" spans="4:12" x14ac:dyDescent="0.25">
      <c r="D1648" s="93"/>
      <c r="E1648" s="93"/>
      <c r="F1648" s="93"/>
      <c r="G1648" s="93"/>
      <c r="H1648" s="93"/>
      <c r="I1648" s="93"/>
      <c r="J1648" s="93"/>
      <c r="K1648" s="93"/>
      <c r="L1648" s="93"/>
    </row>
    <row r="1649" spans="4:12" x14ac:dyDescent="0.25">
      <c r="D1649" s="93"/>
      <c r="E1649" s="93"/>
      <c r="F1649" s="93"/>
      <c r="G1649" s="93"/>
      <c r="H1649" s="93"/>
      <c r="I1649" s="93"/>
      <c r="J1649" s="93"/>
      <c r="K1649" s="93"/>
      <c r="L1649" s="93"/>
    </row>
    <row r="1650" spans="4:12" x14ac:dyDescent="0.25">
      <c r="D1650" s="93"/>
      <c r="E1650" s="93"/>
      <c r="F1650" s="93"/>
      <c r="G1650" s="93"/>
      <c r="H1650" s="93"/>
      <c r="I1650" s="93"/>
      <c r="J1650" s="93"/>
      <c r="K1650" s="93"/>
      <c r="L1650" s="93"/>
    </row>
    <row r="1651" spans="4:12" x14ac:dyDescent="0.25">
      <c r="D1651" s="93"/>
      <c r="E1651" s="93"/>
      <c r="F1651" s="93"/>
      <c r="G1651" s="93"/>
      <c r="H1651" s="93"/>
      <c r="I1651" s="93"/>
      <c r="J1651" s="93"/>
      <c r="K1651" s="93"/>
      <c r="L1651" s="93"/>
    </row>
    <row r="1652" spans="4:12" x14ac:dyDescent="0.25">
      <c r="D1652" s="93"/>
      <c r="E1652" s="93"/>
      <c r="F1652" s="93"/>
      <c r="G1652" s="93"/>
      <c r="H1652" s="93"/>
      <c r="I1652" s="93"/>
      <c r="J1652" s="93"/>
      <c r="K1652" s="93"/>
      <c r="L1652" s="93"/>
    </row>
    <row r="1653" spans="4:12" x14ac:dyDescent="0.25">
      <c r="D1653" s="93"/>
      <c r="E1653" s="93"/>
      <c r="F1653" s="93"/>
      <c r="G1653" s="93"/>
      <c r="H1653" s="93"/>
      <c r="I1653" s="93"/>
      <c r="J1653" s="93"/>
      <c r="K1653" s="93"/>
      <c r="L1653" s="93"/>
    </row>
    <row r="1654" spans="4:12" x14ac:dyDescent="0.25">
      <c r="D1654" s="93"/>
      <c r="E1654" s="93"/>
      <c r="F1654" s="93"/>
      <c r="G1654" s="93"/>
      <c r="H1654" s="93"/>
      <c r="I1654" s="93"/>
      <c r="J1654" s="93"/>
      <c r="K1654" s="93"/>
      <c r="L1654" s="93"/>
    </row>
    <row r="1655" spans="4:12" x14ac:dyDescent="0.25">
      <c r="D1655" s="93"/>
      <c r="E1655" s="93"/>
      <c r="F1655" s="93"/>
      <c r="G1655" s="93"/>
      <c r="H1655" s="93"/>
      <c r="I1655" s="93"/>
      <c r="J1655" s="93"/>
      <c r="K1655" s="93"/>
      <c r="L1655" s="93"/>
    </row>
    <row r="1656" spans="4:12" x14ac:dyDescent="0.25">
      <c r="D1656" s="93"/>
      <c r="E1656" s="93"/>
      <c r="F1656" s="93"/>
      <c r="G1656" s="93"/>
      <c r="H1656" s="93"/>
      <c r="I1656" s="93"/>
      <c r="J1656" s="93"/>
      <c r="K1656" s="93"/>
      <c r="L1656" s="93"/>
    </row>
    <row r="1657" spans="4:12" x14ac:dyDescent="0.25">
      <c r="D1657" s="93"/>
      <c r="E1657" s="93"/>
      <c r="F1657" s="93"/>
      <c r="G1657" s="93"/>
      <c r="H1657" s="93"/>
      <c r="I1657" s="93"/>
      <c r="J1657" s="93"/>
      <c r="K1657" s="93"/>
      <c r="L1657" s="93"/>
    </row>
    <row r="1658" spans="4:12" x14ac:dyDescent="0.25">
      <c r="D1658" s="93"/>
      <c r="E1658" s="93"/>
      <c r="F1658" s="93"/>
      <c r="G1658" s="93"/>
      <c r="H1658" s="93"/>
      <c r="I1658" s="93"/>
      <c r="J1658" s="93"/>
      <c r="K1658" s="93"/>
      <c r="L1658" s="93"/>
    </row>
    <row r="1659" spans="4:12" x14ac:dyDescent="0.25">
      <c r="D1659" s="93"/>
      <c r="E1659" s="93"/>
      <c r="F1659" s="93"/>
      <c r="G1659" s="93"/>
      <c r="H1659" s="93"/>
      <c r="I1659" s="93"/>
      <c r="J1659" s="93"/>
      <c r="K1659" s="93"/>
      <c r="L1659" s="93"/>
    </row>
    <row r="1660" spans="4:12" x14ac:dyDescent="0.25">
      <c r="D1660" s="93"/>
      <c r="E1660" s="93"/>
      <c r="F1660" s="93"/>
      <c r="G1660" s="93"/>
      <c r="H1660" s="93"/>
      <c r="I1660" s="93"/>
      <c r="J1660" s="93"/>
      <c r="K1660" s="93"/>
      <c r="L1660" s="93"/>
    </row>
    <row r="1661" spans="4:12" x14ac:dyDescent="0.25">
      <c r="D1661" s="93"/>
      <c r="E1661" s="93"/>
      <c r="F1661" s="93"/>
      <c r="G1661" s="93"/>
      <c r="H1661" s="93"/>
      <c r="I1661" s="93"/>
      <c r="J1661" s="93"/>
      <c r="K1661" s="93"/>
      <c r="L1661" s="93"/>
    </row>
    <row r="1662" spans="4:12" x14ac:dyDescent="0.25">
      <c r="D1662" s="93"/>
      <c r="E1662" s="93"/>
      <c r="F1662" s="93"/>
      <c r="G1662" s="93"/>
      <c r="H1662" s="93"/>
      <c r="I1662" s="93"/>
      <c r="J1662" s="93"/>
      <c r="K1662" s="93"/>
      <c r="L1662" s="93"/>
    </row>
    <row r="1663" spans="4:12" x14ac:dyDescent="0.25">
      <c r="D1663" s="93"/>
      <c r="E1663" s="93"/>
      <c r="F1663" s="93"/>
      <c r="G1663" s="93"/>
      <c r="H1663" s="93"/>
      <c r="I1663" s="93"/>
      <c r="J1663" s="93"/>
      <c r="K1663" s="93"/>
      <c r="L1663" s="93"/>
    </row>
    <row r="1664" spans="4:12" x14ac:dyDescent="0.25">
      <c r="D1664" s="93"/>
      <c r="E1664" s="93"/>
      <c r="F1664" s="93"/>
      <c r="G1664" s="93"/>
      <c r="H1664" s="93"/>
      <c r="I1664" s="93"/>
      <c r="J1664" s="93"/>
      <c r="K1664" s="93"/>
      <c r="L1664" s="93"/>
    </row>
    <row r="1665" spans="4:12" x14ac:dyDescent="0.25">
      <c r="D1665" s="93"/>
      <c r="E1665" s="93"/>
      <c r="F1665" s="93"/>
      <c r="G1665" s="93"/>
      <c r="H1665" s="93"/>
      <c r="I1665" s="93"/>
      <c r="J1665" s="93"/>
      <c r="K1665" s="93"/>
      <c r="L1665" s="93"/>
    </row>
    <row r="1666" spans="4:12" x14ac:dyDescent="0.25">
      <c r="D1666" s="93"/>
      <c r="E1666" s="93"/>
      <c r="F1666" s="93"/>
      <c r="G1666" s="93"/>
      <c r="H1666" s="93"/>
      <c r="I1666" s="93"/>
      <c r="J1666" s="93"/>
      <c r="K1666" s="93"/>
      <c r="L1666" s="93"/>
    </row>
    <row r="1667" spans="4:12" x14ac:dyDescent="0.25">
      <c r="D1667" s="93"/>
      <c r="E1667" s="93"/>
      <c r="F1667" s="93"/>
      <c r="G1667" s="93"/>
      <c r="H1667" s="93"/>
      <c r="I1667" s="93"/>
      <c r="J1667" s="93"/>
      <c r="K1667" s="93"/>
      <c r="L1667" s="93"/>
    </row>
    <row r="1668" spans="4:12" x14ac:dyDescent="0.25">
      <c r="D1668" s="93"/>
      <c r="E1668" s="93"/>
      <c r="F1668" s="93"/>
      <c r="G1668" s="93"/>
      <c r="H1668" s="93"/>
      <c r="I1668" s="93"/>
      <c r="J1668" s="93"/>
      <c r="K1668" s="93"/>
      <c r="L1668" s="93"/>
    </row>
    <row r="1669" spans="4:12" x14ac:dyDescent="0.25">
      <c r="D1669" s="93"/>
      <c r="E1669" s="93"/>
      <c r="F1669" s="93"/>
      <c r="G1669" s="93"/>
      <c r="H1669" s="93"/>
      <c r="I1669" s="93"/>
      <c r="J1669" s="93"/>
      <c r="K1669" s="93"/>
      <c r="L1669" s="93"/>
    </row>
    <row r="1670" spans="4:12" x14ac:dyDescent="0.25">
      <c r="D1670" s="93"/>
      <c r="E1670" s="93"/>
      <c r="F1670" s="93"/>
      <c r="G1670" s="93"/>
      <c r="H1670" s="93"/>
      <c r="I1670" s="93"/>
      <c r="J1670" s="93"/>
      <c r="K1670" s="93"/>
      <c r="L1670" s="93"/>
    </row>
    <row r="1671" spans="4:12" x14ac:dyDescent="0.25">
      <c r="D1671" s="93"/>
      <c r="E1671" s="93"/>
      <c r="F1671" s="93"/>
      <c r="G1671" s="93"/>
      <c r="H1671" s="93"/>
      <c r="I1671" s="93"/>
      <c r="J1671" s="93"/>
      <c r="K1671" s="93"/>
      <c r="L1671" s="93"/>
    </row>
    <row r="1672" spans="4:12" x14ac:dyDescent="0.25">
      <c r="D1672" s="93"/>
      <c r="E1672" s="93"/>
      <c r="F1672" s="93"/>
      <c r="G1672" s="93"/>
      <c r="H1672" s="93"/>
      <c r="I1672" s="93"/>
      <c r="J1672" s="93"/>
      <c r="K1672" s="93"/>
      <c r="L1672" s="93"/>
    </row>
    <row r="1673" spans="4:12" x14ac:dyDescent="0.25">
      <c r="D1673" s="93"/>
      <c r="E1673" s="93"/>
      <c r="F1673" s="93"/>
      <c r="G1673" s="93"/>
      <c r="H1673" s="93"/>
      <c r="I1673" s="93"/>
      <c r="J1673" s="93"/>
      <c r="K1673" s="93"/>
      <c r="L1673" s="93"/>
    </row>
    <row r="1674" spans="4:12" x14ac:dyDescent="0.25">
      <c r="D1674" s="93"/>
      <c r="E1674" s="93"/>
      <c r="F1674" s="93"/>
      <c r="G1674" s="93"/>
      <c r="H1674" s="93"/>
      <c r="I1674" s="93"/>
      <c r="J1674" s="93"/>
      <c r="K1674" s="93"/>
      <c r="L1674" s="93"/>
    </row>
    <row r="1675" spans="4:12" x14ac:dyDescent="0.25">
      <c r="D1675" s="93"/>
      <c r="E1675" s="93"/>
      <c r="F1675" s="93"/>
      <c r="G1675" s="93"/>
      <c r="H1675" s="93"/>
      <c r="I1675" s="93"/>
      <c r="J1675" s="93"/>
      <c r="K1675" s="93"/>
      <c r="L1675" s="93"/>
    </row>
    <row r="1676" spans="4:12" x14ac:dyDescent="0.25">
      <c r="D1676" s="93"/>
      <c r="E1676" s="93"/>
      <c r="F1676" s="93"/>
      <c r="G1676" s="93"/>
      <c r="H1676" s="93"/>
      <c r="I1676" s="93"/>
      <c r="J1676" s="93"/>
      <c r="K1676" s="93"/>
      <c r="L1676" s="93"/>
    </row>
    <row r="1677" spans="4:12" x14ac:dyDescent="0.25">
      <c r="D1677" s="93"/>
      <c r="E1677" s="93"/>
      <c r="F1677" s="93"/>
      <c r="G1677" s="93"/>
      <c r="H1677" s="93"/>
      <c r="I1677" s="93"/>
      <c r="J1677" s="93"/>
      <c r="K1677" s="93"/>
      <c r="L1677" s="93"/>
    </row>
    <row r="1678" spans="4:12" x14ac:dyDescent="0.25">
      <c r="D1678" s="93"/>
      <c r="E1678" s="93"/>
      <c r="F1678" s="93"/>
      <c r="G1678" s="93"/>
      <c r="H1678" s="93"/>
      <c r="I1678" s="93"/>
      <c r="J1678" s="93"/>
      <c r="K1678" s="93"/>
      <c r="L1678" s="93"/>
    </row>
    <row r="1679" spans="4:12" x14ac:dyDescent="0.25">
      <c r="D1679" s="93"/>
      <c r="E1679" s="93"/>
      <c r="F1679" s="93"/>
      <c r="G1679" s="93"/>
      <c r="H1679" s="93"/>
      <c r="I1679" s="93"/>
      <c r="J1679" s="93"/>
      <c r="K1679" s="93"/>
      <c r="L1679" s="93"/>
    </row>
    <row r="1680" spans="4:12" x14ac:dyDescent="0.25">
      <c r="D1680" s="93"/>
      <c r="E1680" s="93"/>
      <c r="F1680" s="93"/>
      <c r="G1680" s="93"/>
      <c r="H1680" s="93"/>
      <c r="I1680" s="93"/>
      <c r="J1680" s="93"/>
      <c r="K1680" s="93"/>
      <c r="L1680" s="93"/>
    </row>
    <row r="1681" spans="4:12" x14ac:dyDescent="0.25">
      <c r="D1681" s="93"/>
      <c r="E1681" s="93"/>
      <c r="F1681" s="93"/>
      <c r="G1681" s="93"/>
      <c r="H1681" s="93"/>
      <c r="I1681" s="93"/>
      <c r="J1681" s="93"/>
      <c r="K1681" s="93"/>
      <c r="L1681" s="93"/>
    </row>
    <row r="1682" spans="4:12" x14ac:dyDescent="0.25">
      <c r="D1682" s="93"/>
      <c r="E1682" s="93"/>
      <c r="F1682" s="93"/>
      <c r="G1682" s="93"/>
      <c r="H1682" s="93"/>
      <c r="I1682" s="93"/>
      <c r="J1682" s="93"/>
      <c r="K1682" s="93"/>
      <c r="L1682" s="93"/>
    </row>
    <row r="1683" spans="4:12" x14ac:dyDescent="0.25">
      <c r="D1683" s="93"/>
      <c r="E1683" s="93"/>
      <c r="F1683" s="93"/>
      <c r="G1683" s="93"/>
      <c r="H1683" s="93"/>
      <c r="I1683" s="93"/>
      <c r="J1683" s="93"/>
      <c r="K1683" s="93"/>
      <c r="L1683" s="93"/>
    </row>
    <row r="1684" spans="4:12" x14ac:dyDescent="0.25">
      <c r="D1684" s="93"/>
      <c r="E1684" s="93"/>
      <c r="F1684" s="93"/>
      <c r="G1684" s="93"/>
      <c r="H1684" s="93"/>
      <c r="I1684" s="93"/>
      <c r="J1684" s="93"/>
      <c r="K1684" s="93"/>
      <c r="L1684" s="93"/>
    </row>
    <row r="1685" spans="4:12" x14ac:dyDescent="0.25">
      <c r="D1685" s="93"/>
      <c r="E1685" s="93"/>
      <c r="F1685" s="93"/>
      <c r="G1685" s="93"/>
      <c r="H1685" s="93"/>
      <c r="I1685" s="93"/>
      <c r="J1685" s="93"/>
      <c r="K1685" s="93"/>
      <c r="L1685" s="93"/>
    </row>
    <row r="1686" spans="4:12" x14ac:dyDescent="0.25">
      <c r="D1686" s="93"/>
      <c r="E1686" s="93"/>
      <c r="F1686" s="93"/>
      <c r="G1686" s="93"/>
      <c r="H1686" s="93"/>
      <c r="I1686" s="93"/>
      <c r="J1686" s="93"/>
      <c r="K1686" s="93"/>
      <c r="L1686" s="93"/>
    </row>
    <row r="1687" spans="4:12" x14ac:dyDescent="0.25">
      <c r="D1687" s="93"/>
      <c r="E1687" s="93"/>
      <c r="F1687" s="93"/>
      <c r="G1687" s="93"/>
      <c r="H1687" s="93"/>
      <c r="I1687" s="93"/>
      <c r="J1687" s="93"/>
      <c r="K1687" s="93"/>
      <c r="L1687" s="93"/>
    </row>
    <row r="1688" spans="4:12" x14ac:dyDescent="0.25">
      <c r="D1688" s="93"/>
      <c r="E1688" s="93"/>
      <c r="F1688" s="93"/>
      <c r="G1688" s="93"/>
      <c r="H1688" s="93"/>
      <c r="I1688" s="93"/>
      <c r="J1688" s="93"/>
      <c r="K1688" s="93"/>
      <c r="L1688" s="93"/>
    </row>
    <row r="1689" spans="4:12" x14ac:dyDescent="0.25">
      <c r="D1689" s="93"/>
      <c r="E1689" s="93"/>
      <c r="F1689" s="93"/>
      <c r="G1689" s="93"/>
      <c r="H1689" s="93"/>
      <c r="I1689" s="93"/>
      <c r="J1689" s="93"/>
      <c r="K1689" s="93"/>
      <c r="L1689" s="93"/>
    </row>
    <row r="1690" spans="4:12" x14ac:dyDescent="0.25">
      <c r="D1690" s="93"/>
      <c r="E1690" s="93"/>
      <c r="F1690" s="93"/>
      <c r="G1690" s="93"/>
      <c r="H1690" s="93"/>
      <c r="I1690" s="93"/>
      <c r="J1690" s="93"/>
      <c r="K1690" s="93"/>
      <c r="L1690" s="93"/>
    </row>
    <row r="1691" spans="4:12" x14ac:dyDescent="0.25">
      <c r="D1691" s="93"/>
      <c r="E1691" s="93"/>
      <c r="F1691" s="93"/>
      <c r="G1691" s="93"/>
      <c r="H1691" s="93"/>
      <c r="I1691" s="93"/>
      <c r="J1691" s="93"/>
      <c r="K1691" s="93"/>
      <c r="L1691" s="93"/>
    </row>
    <row r="1692" spans="4:12" x14ac:dyDescent="0.25">
      <c r="D1692" s="93"/>
      <c r="E1692" s="93"/>
      <c r="F1692" s="93"/>
      <c r="G1692" s="93"/>
      <c r="H1692" s="93"/>
      <c r="I1692" s="93"/>
      <c r="J1692" s="93"/>
      <c r="K1692" s="93"/>
      <c r="L1692" s="93"/>
    </row>
    <row r="1693" spans="4:12" x14ac:dyDescent="0.25">
      <c r="D1693" s="93"/>
      <c r="E1693" s="93"/>
      <c r="F1693" s="93"/>
      <c r="G1693" s="93"/>
      <c r="H1693" s="93"/>
      <c r="I1693" s="93"/>
      <c r="J1693" s="93"/>
      <c r="K1693" s="93"/>
      <c r="L1693" s="93"/>
    </row>
    <row r="1694" spans="4:12" x14ac:dyDescent="0.25">
      <c r="D1694" s="93"/>
      <c r="E1694" s="93"/>
      <c r="F1694" s="93"/>
      <c r="G1694" s="93"/>
      <c r="H1694" s="93"/>
      <c r="I1694" s="93"/>
      <c r="J1694" s="93"/>
      <c r="K1694" s="93"/>
      <c r="L1694" s="93"/>
    </row>
    <row r="1695" spans="4:12" x14ac:dyDescent="0.25">
      <c r="D1695" s="93"/>
      <c r="E1695" s="93"/>
      <c r="F1695" s="93"/>
      <c r="G1695" s="93"/>
      <c r="H1695" s="93"/>
      <c r="I1695" s="93"/>
      <c r="J1695" s="93"/>
      <c r="K1695" s="93"/>
      <c r="L1695" s="93"/>
    </row>
    <row r="1696" spans="4:12" x14ac:dyDescent="0.25">
      <c r="D1696" s="93"/>
      <c r="E1696" s="93"/>
      <c r="F1696" s="93"/>
      <c r="G1696" s="93"/>
      <c r="H1696" s="93"/>
      <c r="I1696" s="93"/>
      <c r="J1696" s="93"/>
      <c r="K1696" s="93"/>
      <c r="L1696" s="93"/>
    </row>
    <row r="1697" spans="4:12" x14ac:dyDescent="0.25">
      <c r="D1697" s="93"/>
      <c r="E1697" s="93"/>
      <c r="F1697" s="93"/>
      <c r="G1697" s="93"/>
      <c r="H1697" s="93"/>
      <c r="I1697" s="93"/>
      <c r="J1697" s="93"/>
      <c r="K1697" s="93"/>
      <c r="L1697" s="93"/>
    </row>
    <row r="1698" spans="4:12" x14ac:dyDescent="0.25">
      <c r="D1698" s="93"/>
      <c r="E1698" s="93"/>
      <c r="F1698" s="93"/>
      <c r="G1698" s="93"/>
      <c r="H1698" s="93"/>
      <c r="I1698" s="93"/>
      <c r="J1698" s="93"/>
      <c r="K1698" s="93"/>
      <c r="L1698" s="93"/>
    </row>
    <row r="1699" spans="4:12" x14ac:dyDescent="0.25">
      <c r="D1699" s="93"/>
      <c r="E1699" s="93"/>
      <c r="F1699" s="93"/>
      <c r="G1699" s="93"/>
      <c r="H1699" s="93"/>
      <c r="I1699" s="93"/>
      <c r="J1699" s="93"/>
      <c r="K1699" s="93"/>
      <c r="L1699" s="93"/>
    </row>
    <row r="1700" spans="4:12" x14ac:dyDescent="0.25">
      <c r="D1700" s="93"/>
      <c r="E1700" s="93"/>
      <c r="F1700" s="93"/>
      <c r="G1700" s="93"/>
      <c r="H1700" s="93"/>
      <c r="I1700" s="93"/>
      <c r="J1700" s="93"/>
      <c r="K1700" s="93"/>
      <c r="L1700" s="93"/>
    </row>
    <row r="1701" spans="4:12" x14ac:dyDescent="0.25">
      <c r="D1701" s="93"/>
      <c r="E1701" s="93"/>
      <c r="F1701" s="93"/>
      <c r="G1701" s="93"/>
      <c r="H1701" s="93"/>
      <c r="I1701" s="93"/>
      <c r="J1701" s="93"/>
      <c r="K1701" s="93"/>
      <c r="L1701" s="93"/>
    </row>
    <row r="1702" spans="4:12" x14ac:dyDescent="0.25">
      <c r="D1702" s="93"/>
      <c r="E1702" s="93"/>
      <c r="F1702" s="93"/>
      <c r="G1702" s="93"/>
      <c r="H1702" s="93"/>
      <c r="I1702" s="93"/>
      <c r="J1702" s="93"/>
      <c r="K1702" s="93"/>
      <c r="L1702" s="93"/>
    </row>
    <row r="1703" spans="4:12" x14ac:dyDescent="0.25">
      <c r="D1703" s="93"/>
      <c r="E1703" s="93"/>
      <c r="F1703" s="93"/>
      <c r="G1703" s="93"/>
      <c r="H1703" s="93"/>
      <c r="I1703" s="93"/>
      <c r="J1703" s="93"/>
      <c r="K1703" s="93"/>
      <c r="L1703" s="93"/>
    </row>
    <row r="1704" spans="4:12" x14ac:dyDescent="0.25">
      <c r="D1704" s="93"/>
      <c r="E1704" s="93"/>
      <c r="F1704" s="93"/>
      <c r="G1704" s="93"/>
      <c r="H1704" s="93"/>
      <c r="I1704" s="93"/>
      <c r="J1704" s="93"/>
      <c r="K1704" s="93"/>
      <c r="L1704" s="93"/>
    </row>
    <row r="1705" spans="4:12" x14ac:dyDescent="0.25">
      <c r="D1705" s="93"/>
      <c r="E1705" s="93"/>
      <c r="F1705" s="93"/>
      <c r="G1705" s="93"/>
      <c r="H1705" s="93"/>
      <c r="I1705" s="93"/>
      <c r="J1705" s="93"/>
      <c r="K1705" s="93"/>
      <c r="L1705" s="93"/>
    </row>
    <row r="1706" spans="4:12" x14ac:dyDescent="0.25">
      <c r="D1706" s="93"/>
      <c r="E1706" s="93"/>
      <c r="F1706" s="93"/>
      <c r="G1706" s="93"/>
      <c r="H1706" s="93"/>
      <c r="I1706" s="93"/>
      <c r="J1706" s="93"/>
      <c r="K1706" s="93"/>
      <c r="L1706" s="93"/>
    </row>
    <row r="1707" spans="4:12" x14ac:dyDescent="0.25">
      <c r="D1707" s="93"/>
      <c r="E1707" s="93"/>
      <c r="F1707" s="93"/>
      <c r="G1707" s="93"/>
      <c r="H1707" s="93"/>
      <c r="I1707" s="93"/>
      <c r="J1707" s="93"/>
      <c r="K1707" s="93"/>
      <c r="L1707" s="93"/>
    </row>
    <row r="1708" spans="4:12" x14ac:dyDescent="0.25">
      <c r="D1708" s="93"/>
      <c r="E1708" s="93"/>
      <c r="F1708" s="93"/>
      <c r="G1708" s="93"/>
      <c r="H1708" s="93"/>
      <c r="I1708" s="93"/>
      <c r="J1708" s="93"/>
      <c r="K1708" s="93"/>
      <c r="L1708" s="93"/>
    </row>
    <row r="1709" spans="4:12" x14ac:dyDescent="0.25">
      <c r="D1709" s="93"/>
      <c r="E1709" s="93"/>
      <c r="F1709" s="93"/>
      <c r="G1709" s="93"/>
      <c r="H1709" s="93"/>
      <c r="I1709" s="93"/>
      <c r="J1709" s="93"/>
      <c r="K1709" s="93"/>
      <c r="L1709" s="93"/>
    </row>
    <row r="1710" spans="4:12" x14ac:dyDescent="0.25">
      <c r="D1710" s="93"/>
      <c r="E1710" s="93"/>
      <c r="F1710" s="93"/>
      <c r="G1710" s="93"/>
      <c r="H1710" s="93"/>
      <c r="I1710" s="93"/>
      <c r="J1710" s="93"/>
      <c r="K1710" s="93"/>
      <c r="L1710" s="93"/>
    </row>
    <row r="1711" spans="4:12" x14ac:dyDescent="0.25">
      <c r="D1711" s="93"/>
      <c r="E1711" s="93"/>
      <c r="F1711" s="93"/>
      <c r="G1711" s="93"/>
      <c r="H1711" s="93"/>
      <c r="I1711" s="93"/>
      <c r="J1711" s="93"/>
      <c r="K1711" s="93"/>
      <c r="L1711" s="93"/>
    </row>
    <row r="1712" spans="4:12" x14ac:dyDescent="0.25">
      <c r="D1712" s="93"/>
      <c r="E1712" s="93"/>
      <c r="F1712" s="93"/>
      <c r="G1712" s="93"/>
      <c r="H1712" s="93"/>
      <c r="I1712" s="93"/>
      <c r="J1712" s="93"/>
      <c r="K1712" s="93"/>
      <c r="L1712" s="93"/>
    </row>
    <row r="1713" spans="4:12" x14ac:dyDescent="0.25">
      <c r="D1713" s="93"/>
      <c r="E1713" s="93"/>
      <c r="F1713" s="93"/>
      <c r="G1713" s="93"/>
      <c r="H1713" s="93"/>
      <c r="I1713" s="93"/>
      <c r="J1713" s="93"/>
      <c r="K1713" s="93"/>
      <c r="L1713" s="93"/>
    </row>
    <row r="1714" spans="4:12" x14ac:dyDescent="0.25">
      <c r="D1714" s="93"/>
      <c r="E1714" s="93"/>
      <c r="F1714" s="93"/>
      <c r="G1714" s="93"/>
      <c r="H1714" s="93"/>
      <c r="I1714" s="93"/>
      <c r="J1714" s="93"/>
      <c r="K1714" s="93"/>
      <c r="L1714" s="93"/>
    </row>
    <row r="1715" spans="4:12" x14ac:dyDescent="0.25">
      <c r="D1715" s="93"/>
      <c r="E1715" s="93"/>
      <c r="F1715" s="93"/>
      <c r="G1715" s="93"/>
      <c r="H1715" s="93"/>
      <c r="I1715" s="93"/>
      <c r="J1715" s="93"/>
      <c r="K1715" s="93"/>
      <c r="L1715" s="93"/>
    </row>
    <row r="1716" spans="4:12" x14ac:dyDescent="0.25">
      <c r="D1716" s="93"/>
      <c r="E1716" s="93"/>
      <c r="F1716" s="93"/>
      <c r="G1716" s="93"/>
      <c r="H1716" s="93"/>
      <c r="I1716" s="93"/>
      <c r="J1716" s="93"/>
      <c r="K1716" s="93"/>
      <c r="L1716" s="93"/>
    </row>
    <row r="1717" spans="4:12" x14ac:dyDescent="0.25">
      <c r="D1717" s="93"/>
      <c r="E1717" s="93"/>
      <c r="F1717" s="93"/>
      <c r="G1717" s="93"/>
      <c r="H1717" s="93"/>
      <c r="I1717" s="93"/>
      <c r="J1717" s="93"/>
      <c r="K1717" s="93"/>
      <c r="L1717" s="93"/>
    </row>
    <row r="1718" spans="4:12" x14ac:dyDescent="0.25">
      <c r="D1718" s="93"/>
      <c r="E1718" s="93"/>
      <c r="F1718" s="93"/>
      <c r="G1718" s="93"/>
      <c r="H1718" s="93"/>
      <c r="I1718" s="93"/>
      <c r="J1718" s="93"/>
      <c r="K1718" s="93"/>
      <c r="L1718" s="93"/>
    </row>
    <row r="1719" spans="4:12" x14ac:dyDescent="0.25">
      <c r="D1719" s="93"/>
      <c r="E1719" s="93"/>
      <c r="F1719" s="93"/>
      <c r="G1719" s="93"/>
      <c r="H1719" s="93"/>
      <c r="I1719" s="93"/>
      <c r="J1719" s="93"/>
      <c r="K1719" s="93"/>
      <c r="L1719" s="93"/>
    </row>
    <row r="1720" spans="4:12" x14ac:dyDescent="0.25">
      <c r="D1720" s="93"/>
      <c r="E1720" s="93"/>
      <c r="F1720" s="93"/>
      <c r="G1720" s="93"/>
      <c r="H1720" s="93"/>
      <c r="I1720" s="93"/>
      <c r="J1720" s="93"/>
      <c r="K1720" s="93"/>
      <c r="L1720" s="93"/>
    </row>
    <row r="1721" spans="4:12" x14ac:dyDescent="0.25">
      <c r="D1721" s="93"/>
      <c r="E1721" s="93"/>
      <c r="F1721" s="93"/>
      <c r="G1721" s="93"/>
      <c r="H1721" s="93"/>
      <c r="I1721" s="93"/>
      <c r="J1721" s="93"/>
      <c r="K1721" s="93"/>
      <c r="L1721" s="93"/>
    </row>
    <row r="1722" spans="4:12" x14ac:dyDescent="0.25">
      <c r="D1722" s="93"/>
      <c r="E1722" s="93"/>
      <c r="F1722" s="93"/>
      <c r="G1722" s="93"/>
      <c r="H1722" s="93"/>
      <c r="I1722" s="93"/>
      <c r="J1722" s="93"/>
      <c r="K1722" s="93"/>
      <c r="L1722" s="93"/>
    </row>
    <row r="1723" spans="4:12" x14ac:dyDescent="0.25">
      <c r="D1723" s="93"/>
      <c r="E1723" s="93"/>
      <c r="F1723" s="93"/>
      <c r="G1723" s="93"/>
      <c r="H1723" s="93"/>
      <c r="I1723" s="93"/>
      <c r="J1723" s="93"/>
      <c r="K1723" s="93"/>
      <c r="L1723" s="93"/>
    </row>
    <row r="1724" spans="4:12" x14ac:dyDescent="0.25">
      <c r="D1724" s="93"/>
      <c r="E1724" s="93"/>
      <c r="F1724" s="93"/>
      <c r="G1724" s="93"/>
      <c r="H1724" s="93"/>
      <c r="I1724" s="93"/>
      <c r="J1724" s="93"/>
      <c r="K1724" s="93"/>
      <c r="L1724" s="93"/>
    </row>
    <row r="1725" spans="4:12" x14ac:dyDescent="0.25">
      <c r="D1725" s="93"/>
      <c r="E1725" s="93"/>
      <c r="F1725" s="93"/>
      <c r="G1725" s="93"/>
      <c r="H1725" s="93"/>
      <c r="I1725" s="93"/>
      <c r="J1725" s="93"/>
      <c r="K1725" s="93"/>
      <c r="L1725" s="93"/>
    </row>
    <row r="1726" spans="4:12" x14ac:dyDescent="0.25">
      <c r="D1726" s="93"/>
      <c r="E1726" s="93"/>
      <c r="F1726" s="93"/>
      <c r="G1726" s="93"/>
      <c r="H1726" s="93"/>
      <c r="I1726" s="93"/>
      <c r="J1726" s="93"/>
      <c r="K1726" s="93"/>
      <c r="L1726" s="93"/>
    </row>
    <row r="1727" spans="4:12" x14ac:dyDescent="0.25">
      <c r="D1727" s="93"/>
      <c r="E1727" s="93"/>
      <c r="F1727" s="93"/>
      <c r="G1727" s="93"/>
      <c r="H1727" s="93"/>
      <c r="I1727" s="93"/>
      <c r="J1727" s="93"/>
      <c r="K1727" s="93"/>
      <c r="L1727" s="93"/>
    </row>
    <row r="1728" spans="4:12" x14ac:dyDescent="0.25">
      <c r="D1728" s="93"/>
      <c r="E1728" s="93"/>
      <c r="F1728" s="93"/>
      <c r="G1728" s="93"/>
      <c r="H1728" s="93"/>
      <c r="I1728" s="93"/>
      <c r="J1728" s="93"/>
      <c r="K1728" s="93"/>
      <c r="L1728" s="93"/>
    </row>
    <row r="1729" spans="4:12" x14ac:dyDescent="0.25">
      <c r="D1729" s="93"/>
      <c r="E1729" s="93"/>
      <c r="F1729" s="93"/>
      <c r="G1729" s="93"/>
      <c r="H1729" s="93"/>
      <c r="I1729" s="93"/>
      <c r="J1729" s="93"/>
      <c r="K1729" s="93"/>
      <c r="L1729" s="93"/>
    </row>
    <row r="1730" spans="4:12" x14ac:dyDescent="0.25">
      <c r="D1730" s="93"/>
      <c r="E1730" s="93"/>
      <c r="F1730" s="93"/>
      <c r="G1730" s="93"/>
      <c r="H1730" s="93"/>
      <c r="I1730" s="93"/>
      <c r="J1730" s="93"/>
      <c r="K1730" s="93"/>
      <c r="L1730" s="93"/>
    </row>
    <row r="1731" spans="4:12" x14ac:dyDescent="0.25">
      <c r="D1731" s="93"/>
      <c r="E1731" s="93"/>
      <c r="F1731" s="93"/>
      <c r="G1731" s="93"/>
      <c r="H1731" s="93"/>
      <c r="I1731" s="93"/>
      <c r="J1731" s="93"/>
      <c r="K1731" s="93"/>
      <c r="L1731" s="93"/>
    </row>
    <row r="1732" spans="4:12" x14ac:dyDescent="0.25">
      <c r="D1732" s="93"/>
      <c r="E1732" s="93"/>
      <c r="F1732" s="93"/>
      <c r="G1732" s="93"/>
      <c r="H1732" s="93"/>
      <c r="I1732" s="93"/>
      <c r="J1732" s="93"/>
      <c r="K1732" s="93"/>
      <c r="L1732" s="93"/>
    </row>
    <row r="1733" spans="4:12" x14ac:dyDescent="0.25">
      <c r="D1733" s="93"/>
      <c r="E1733" s="93"/>
      <c r="F1733" s="93"/>
      <c r="G1733" s="93"/>
      <c r="H1733" s="93"/>
      <c r="I1733" s="93"/>
      <c r="J1733" s="93"/>
      <c r="K1733" s="93"/>
      <c r="L1733" s="93"/>
    </row>
    <row r="1734" spans="4:12" x14ac:dyDescent="0.25">
      <c r="D1734" s="93"/>
      <c r="E1734" s="93"/>
      <c r="F1734" s="93"/>
      <c r="G1734" s="93"/>
      <c r="H1734" s="93"/>
      <c r="I1734" s="93"/>
      <c r="J1734" s="93"/>
      <c r="K1734" s="93"/>
      <c r="L1734" s="93"/>
    </row>
    <row r="1735" spans="4:12" x14ac:dyDescent="0.25">
      <c r="D1735" s="93"/>
      <c r="E1735" s="93"/>
      <c r="F1735" s="93"/>
      <c r="G1735" s="93"/>
      <c r="H1735" s="93"/>
      <c r="I1735" s="93"/>
      <c r="J1735" s="93"/>
      <c r="K1735" s="93"/>
      <c r="L1735" s="93"/>
    </row>
    <row r="1736" spans="4:12" x14ac:dyDescent="0.25">
      <c r="D1736" s="93"/>
      <c r="E1736" s="93"/>
      <c r="F1736" s="93"/>
      <c r="G1736" s="93"/>
      <c r="H1736" s="93"/>
      <c r="I1736" s="93"/>
      <c r="J1736" s="93"/>
      <c r="K1736" s="93"/>
      <c r="L1736" s="93"/>
    </row>
    <row r="1737" spans="4:12" x14ac:dyDescent="0.25">
      <c r="D1737" s="93"/>
      <c r="E1737" s="93"/>
      <c r="F1737" s="93"/>
      <c r="G1737" s="93"/>
      <c r="H1737" s="93"/>
      <c r="I1737" s="93"/>
      <c r="J1737" s="93"/>
      <c r="K1737" s="93"/>
      <c r="L1737" s="93"/>
    </row>
    <row r="1738" spans="4:12" x14ac:dyDescent="0.25">
      <c r="D1738" s="93"/>
      <c r="E1738" s="93"/>
      <c r="F1738" s="93"/>
      <c r="G1738" s="93"/>
      <c r="H1738" s="93"/>
      <c r="I1738" s="93"/>
      <c r="J1738" s="93"/>
      <c r="K1738" s="93"/>
      <c r="L1738" s="93"/>
    </row>
    <row r="1739" spans="4:12" x14ac:dyDescent="0.25">
      <c r="D1739" s="93"/>
      <c r="E1739" s="93"/>
      <c r="F1739" s="93"/>
      <c r="G1739" s="93"/>
      <c r="H1739" s="93"/>
      <c r="I1739" s="93"/>
      <c r="J1739" s="93"/>
      <c r="K1739" s="93"/>
      <c r="L1739" s="93"/>
    </row>
    <row r="1740" spans="4:12" x14ac:dyDescent="0.25">
      <c r="D1740" s="93"/>
      <c r="E1740" s="93"/>
      <c r="F1740" s="93"/>
      <c r="G1740" s="93"/>
      <c r="H1740" s="93"/>
      <c r="I1740" s="93"/>
      <c r="J1740" s="93"/>
      <c r="K1740" s="93"/>
      <c r="L1740" s="93"/>
    </row>
    <row r="1741" spans="4:12" x14ac:dyDescent="0.25">
      <c r="D1741" s="93"/>
      <c r="E1741" s="93"/>
      <c r="F1741" s="93"/>
      <c r="G1741" s="93"/>
      <c r="H1741" s="93"/>
      <c r="I1741" s="93"/>
      <c r="J1741" s="93"/>
      <c r="K1741" s="93"/>
      <c r="L1741" s="93"/>
    </row>
    <row r="1742" spans="4:12" x14ac:dyDescent="0.25">
      <c r="D1742" s="93"/>
      <c r="E1742" s="93"/>
      <c r="F1742" s="93"/>
      <c r="G1742" s="93"/>
      <c r="H1742" s="93"/>
      <c r="I1742" s="93"/>
      <c r="J1742" s="93"/>
      <c r="K1742" s="93"/>
      <c r="L1742" s="93"/>
    </row>
    <row r="1743" spans="4:12" x14ac:dyDescent="0.25">
      <c r="D1743" s="93"/>
      <c r="E1743" s="93"/>
      <c r="F1743" s="93"/>
      <c r="G1743" s="93"/>
      <c r="H1743" s="93"/>
      <c r="I1743" s="93"/>
      <c r="J1743" s="93"/>
      <c r="K1743" s="93"/>
      <c r="L1743" s="93"/>
    </row>
    <row r="1744" spans="4:12" x14ac:dyDescent="0.25">
      <c r="D1744" s="93"/>
      <c r="E1744" s="93"/>
      <c r="F1744" s="93"/>
      <c r="G1744" s="93"/>
      <c r="H1744" s="93"/>
      <c r="I1744" s="93"/>
      <c r="J1744" s="93"/>
      <c r="K1744" s="93"/>
      <c r="L1744" s="93"/>
    </row>
    <row r="1745" spans="4:12" x14ac:dyDescent="0.25">
      <c r="D1745" s="93"/>
      <c r="E1745" s="93"/>
      <c r="F1745" s="93"/>
      <c r="G1745" s="93"/>
      <c r="H1745" s="93"/>
      <c r="I1745" s="93"/>
      <c r="J1745" s="93"/>
      <c r="K1745" s="93"/>
      <c r="L1745" s="93"/>
    </row>
    <row r="1746" spans="4:12" x14ac:dyDescent="0.25">
      <c r="D1746" s="93"/>
      <c r="E1746" s="93"/>
      <c r="F1746" s="93"/>
      <c r="G1746" s="93"/>
      <c r="H1746" s="93"/>
      <c r="I1746" s="93"/>
      <c r="J1746" s="93"/>
      <c r="K1746" s="93"/>
      <c r="L1746" s="93"/>
    </row>
    <row r="1747" spans="4:12" x14ac:dyDescent="0.25">
      <c r="D1747" s="93"/>
      <c r="E1747" s="93"/>
      <c r="F1747" s="93"/>
      <c r="G1747" s="93"/>
      <c r="H1747" s="93"/>
      <c r="I1747" s="93"/>
      <c r="J1747" s="93"/>
      <c r="K1747" s="93"/>
      <c r="L1747" s="93"/>
    </row>
    <row r="1748" spans="4:12" x14ac:dyDescent="0.25">
      <c r="D1748" s="93"/>
      <c r="E1748" s="93"/>
      <c r="F1748" s="93"/>
      <c r="G1748" s="93"/>
      <c r="H1748" s="93"/>
      <c r="I1748" s="93"/>
      <c r="J1748" s="93"/>
      <c r="K1748" s="93"/>
      <c r="L1748" s="93"/>
    </row>
    <row r="1749" spans="4:12" x14ac:dyDescent="0.25">
      <c r="D1749" s="93"/>
      <c r="E1749" s="93"/>
      <c r="F1749" s="93"/>
      <c r="G1749" s="93"/>
      <c r="H1749" s="93"/>
      <c r="I1749" s="93"/>
      <c r="J1749" s="93"/>
      <c r="K1749" s="93"/>
      <c r="L1749" s="93"/>
    </row>
    <row r="1750" spans="4:12" x14ac:dyDescent="0.25">
      <c r="D1750" s="93"/>
      <c r="E1750" s="93"/>
      <c r="F1750" s="93"/>
      <c r="G1750" s="93"/>
      <c r="H1750" s="93"/>
      <c r="I1750" s="93"/>
      <c r="J1750" s="93"/>
      <c r="K1750" s="93"/>
      <c r="L1750" s="93"/>
    </row>
    <row r="1751" spans="4:12" x14ac:dyDescent="0.25">
      <c r="D1751" s="93"/>
      <c r="E1751" s="93"/>
      <c r="F1751" s="93"/>
      <c r="G1751" s="93"/>
      <c r="H1751" s="93"/>
      <c r="I1751" s="93"/>
      <c r="J1751" s="93"/>
      <c r="K1751" s="93"/>
      <c r="L1751" s="93"/>
    </row>
    <row r="1752" spans="4:12" x14ac:dyDescent="0.25">
      <c r="D1752" s="93"/>
      <c r="E1752" s="93"/>
      <c r="F1752" s="93"/>
      <c r="G1752" s="93"/>
      <c r="H1752" s="93"/>
      <c r="I1752" s="93"/>
      <c r="J1752" s="93"/>
      <c r="K1752" s="93"/>
      <c r="L1752" s="93"/>
    </row>
    <row r="1753" spans="4:12" x14ac:dyDescent="0.25">
      <c r="D1753" s="93"/>
      <c r="E1753" s="93"/>
      <c r="F1753" s="93"/>
      <c r="G1753" s="93"/>
      <c r="H1753" s="93"/>
      <c r="I1753" s="93"/>
      <c r="J1753" s="93"/>
      <c r="K1753" s="93"/>
      <c r="L1753" s="93"/>
    </row>
    <row r="1754" spans="4:12" x14ac:dyDescent="0.25">
      <c r="D1754" s="93"/>
      <c r="E1754" s="93"/>
      <c r="F1754" s="93"/>
      <c r="G1754" s="93"/>
      <c r="H1754" s="93"/>
      <c r="I1754" s="93"/>
      <c r="J1754" s="93"/>
      <c r="K1754" s="93"/>
      <c r="L1754" s="93"/>
    </row>
    <row r="1755" spans="4:12" x14ac:dyDescent="0.25">
      <c r="D1755" s="93"/>
      <c r="E1755" s="93"/>
      <c r="F1755" s="93"/>
      <c r="G1755" s="93"/>
      <c r="H1755" s="93"/>
      <c r="I1755" s="93"/>
      <c r="J1755" s="93"/>
      <c r="K1755" s="93"/>
      <c r="L1755" s="93"/>
    </row>
    <row r="1756" spans="4:12" x14ac:dyDescent="0.25">
      <c r="D1756" s="93"/>
      <c r="E1756" s="93"/>
      <c r="F1756" s="93"/>
      <c r="G1756" s="93"/>
      <c r="H1756" s="93"/>
      <c r="I1756" s="93"/>
      <c r="J1756" s="93"/>
      <c r="K1756" s="93"/>
      <c r="L1756" s="93"/>
    </row>
    <row r="1757" spans="4:12" x14ac:dyDescent="0.25">
      <c r="D1757" s="93"/>
      <c r="E1757" s="93"/>
      <c r="F1757" s="93"/>
      <c r="G1757" s="93"/>
      <c r="H1757" s="93"/>
      <c r="I1757" s="93"/>
      <c r="J1757" s="93"/>
      <c r="K1757" s="93"/>
      <c r="L1757" s="93"/>
    </row>
    <row r="1758" spans="4:12" x14ac:dyDescent="0.25">
      <c r="D1758" s="93"/>
      <c r="E1758" s="93"/>
      <c r="F1758" s="93"/>
      <c r="G1758" s="93"/>
      <c r="H1758" s="93"/>
      <c r="I1758" s="93"/>
      <c r="J1758" s="93"/>
      <c r="K1758" s="93"/>
      <c r="L1758" s="93"/>
    </row>
    <row r="1759" spans="4:12" x14ac:dyDescent="0.25">
      <c r="D1759" s="93"/>
      <c r="E1759" s="93"/>
      <c r="F1759" s="93"/>
      <c r="G1759" s="93"/>
      <c r="H1759" s="93"/>
      <c r="I1759" s="93"/>
      <c r="J1759" s="93"/>
      <c r="K1759" s="93"/>
      <c r="L1759" s="93"/>
    </row>
    <row r="1760" spans="4:12" x14ac:dyDescent="0.25">
      <c r="D1760" s="93"/>
      <c r="E1760" s="93"/>
      <c r="F1760" s="93"/>
      <c r="G1760" s="93"/>
      <c r="H1760" s="93"/>
      <c r="I1760" s="93"/>
      <c r="J1760" s="93"/>
      <c r="K1760" s="93"/>
      <c r="L1760" s="93"/>
    </row>
    <row r="1761" spans="4:12" x14ac:dyDescent="0.25">
      <c r="D1761" s="93"/>
      <c r="E1761" s="93"/>
      <c r="F1761" s="93"/>
      <c r="G1761" s="93"/>
      <c r="H1761" s="93"/>
      <c r="I1761" s="93"/>
      <c r="J1761" s="93"/>
      <c r="K1761" s="93"/>
      <c r="L1761" s="93"/>
    </row>
    <row r="1762" spans="4:12" x14ac:dyDescent="0.25">
      <c r="D1762" s="93"/>
      <c r="E1762" s="93"/>
      <c r="F1762" s="93"/>
      <c r="G1762" s="93"/>
      <c r="H1762" s="93"/>
      <c r="I1762" s="93"/>
      <c r="J1762" s="93"/>
      <c r="K1762" s="93"/>
      <c r="L1762" s="93"/>
    </row>
    <row r="1763" spans="4:12" x14ac:dyDescent="0.25">
      <c r="D1763" s="93"/>
      <c r="E1763" s="93"/>
      <c r="F1763" s="93"/>
      <c r="G1763" s="93"/>
      <c r="H1763" s="93"/>
      <c r="I1763" s="93"/>
      <c r="J1763" s="93"/>
      <c r="K1763" s="93"/>
      <c r="L1763" s="93"/>
    </row>
    <row r="1764" spans="4:12" x14ac:dyDescent="0.25">
      <c r="D1764" s="93"/>
      <c r="E1764" s="93"/>
      <c r="F1764" s="93"/>
      <c r="G1764" s="93"/>
      <c r="H1764" s="93"/>
      <c r="I1764" s="93"/>
      <c r="J1764" s="93"/>
      <c r="K1764" s="93"/>
      <c r="L1764" s="93"/>
    </row>
    <row r="1765" spans="4:12" x14ac:dyDescent="0.25">
      <c r="D1765" s="93"/>
      <c r="E1765" s="93"/>
      <c r="F1765" s="93"/>
      <c r="G1765" s="93"/>
      <c r="H1765" s="93"/>
      <c r="I1765" s="93"/>
      <c r="J1765" s="93"/>
      <c r="K1765" s="93"/>
      <c r="L1765" s="93"/>
    </row>
    <row r="1766" spans="4:12" x14ac:dyDescent="0.25">
      <c r="D1766" s="93"/>
      <c r="E1766" s="93"/>
      <c r="F1766" s="93"/>
      <c r="G1766" s="93"/>
      <c r="H1766" s="93"/>
      <c r="I1766" s="93"/>
      <c r="J1766" s="93"/>
      <c r="K1766" s="93"/>
      <c r="L1766" s="93"/>
    </row>
    <row r="1767" spans="4:12" x14ac:dyDescent="0.25">
      <c r="D1767" s="93"/>
      <c r="E1767" s="93"/>
      <c r="F1767" s="93"/>
      <c r="G1767" s="93"/>
      <c r="H1767" s="93"/>
      <c r="I1767" s="93"/>
      <c r="J1767" s="93"/>
      <c r="K1767" s="93"/>
      <c r="L1767" s="93"/>
    </row>
    <row r="1768" spans="4:12" x14ac:dyDescent="0.25">
      <c r="D1768" s="93"/>
      <c r="E1768" s="93"/>
      <c r="F1768" s="93"/>
      <c r="G1768" s="93"/>
      <c r="H1768" s="93"/>
      <c r="I1768" s="93"/>
      <c r="J1768" s="93"/>
      <c r="K1768" s="93"/>
      <c r="L1768" s="93"/>
    </row>
    <row r="1769" spans="4:12" x14ac:dyDescent="0.25">
      <c r="D1769" s="93"/>
      <c r="E1769" s="93"/>
      <c r="F1769" s="93"/>
      <c r="G1769" s="93"/>
      <c r="H1769" s="93"/>
      <c r="I1769" s="93"/>
      <c r="J1769" s="93"/>
      <c r="K1769" s="93"/>
      <c r="L1769" s="93"/>
    </row>
    <row r="1770" spans="4:12" x14ac:dyDescent="0.25">
      <c r="D1770" s="93"/>
      <c r="E1770" s="93"/>
      <c r="F1770" s="93"/>
      <c r="G1770" s="93"/>
      <c r="H1770" s="93"/>
      <c r="I1770" s="93"/>
      <c r="J1770" s="93"/>
      <c r="K1770" s="93"/>
      <c r="L1770" s="93"/>
    </row>
    <row r="1771" spans="4:12" x14ac:dyDescent="0.25">
      <c r="D1771" s="93"/>
      <c r="E1771" s="93"/>
      <c r="F1771" s="93"/>
      <c r="G1771" s="93"/>
      <c r="H1771" s="93"/>
      <c r="I1771" s="93"/>
      <c r="J1771" s="93"/>
      <c r="K1771" s="93"/>
      <c r="L1771" s="93"/>
    </row>
    <row r="1772" spans="4:12" x14ac:dyDescent="0.25">
      <c r="D1772" s="93"/>
      <c r="E1772" s="93"/>
      <c r="F1772" s="93"/>
      <c r="G1772" s="93"/>
      <c r="H1772" s="93"/>
      <c r="I1772" s="93"/>
      <c r="J1772" s="93"/>
      <c r="K1772" s="93"/>
      <c r="L1772" s="93"/>
    </row>
    <row r="1773" spans="4:12" x14ac:dyDescent="0.25">
      <c r="D1773" s="93"/>
      <c r="E1773" s="93"/>
      <c r="F1773" s="93"/>
      <c r="G1773" s="93"/>
      <c r="H1773" s="93"/>
      <c r="I1773" s="93"/>
      <c r="J1773" s="93"/>
      <c r="K1773" s="93"/>
      <c r="L1773" s="93"/>
    </row>
    <row r="1774" spans="4:12" x14ac:dyDescent="0.25">
      <c r="D1774" s="93"/>
      <c r="E1774" s="93"/>
      <c r="F1774" s="93"/>
      <c r="G1774" s="93"/>
      <c r="H1774" s="93"/>
      <c r="I1774" s="93"/>
      <c r="J1774" s="93"/>
      <c r="K1774" s="93"/>
      <c r="L1774" s="93"/>
    </row>
    <row r="1775" spans="4:12" x14ac:dyDescent="0.25">
      <c r="D1775" s="93"/>
      <c r="E1775" s="93"/>
      <c r="F1775" s="93"/>
      <c r="G1775" s="93"/>
      <c r="H1775" s="93"/>
      <c r="I1775" s="93"/>
      <c r="J1775" s="93"/>
      <c r="K1775" s="93"/>
      <c r="L1775" s="93"/>
    </row>
    <row r="1776" spans="4:12" x14ac:dyDescent="0.25">
      <c r="D1776" s="93"/>
      <c r="E1776" s="93"/>
      <c r="F1776" s="93"/>
      <c r="G1776" s="93"/>
      <c r="H1776" s="93"/>
      <c r="I1776" s="93"/>
      <c r="J1776" s="93"/>
      <c r="K1776" s="93"/>
      <c r="L1776" s="93"/>
    </row>
    <row r="1777" spans="4:12" x14ac:dyDescent="0.25">
      <c r="D1777" s="93"/>
      <c r="E1777" s="93"/>
      <c r="F1777" s="93"/>
      <c r="G1777" s="93"/>
      <c r="H1777" s="93"/>
      <c r="I1777" s="93"/>
      <c r="J1777" s="93"/>
      <c r="K1777" s="93"/>
      <c r="L1777" s="93"/>
    </row>
    <row r="1778" spans="4:12" x14ac:dyDescent="0.25">
      <c r="D1778" s="93"/>
      <c r="E1778" s="93"/>
      <c r="F1778" s="93"/>
      <c r="G1778" s="93"/>
      <c r="H1778" s="93"/>
      <c r="I1778" s="93"/>
      <c r="J1778" s="93"/>
      <c r="K1778" s="93"/>
      <c r="L1778" s="93"/>
    </row>
    <row r="1779" spans="4:12" x14ac:dyDescent="0.25">
      <c r="D1779" s="93"/>
      <c r="E1779" s="93"/>
      <c r="F1779" s="93"/>
      <c r="G1779" s="93"/>
      <c r="H1779" s="93"/>
      <c r="I1779" s="93"/>
      <c r="J1779" s="93"/>
      <c r="K1779" s="93"/>
      <c r="L1779" s="93"/>
    </row>
    <row r="1780" spans="4:12" x14ac:dyDescent="0.25">
      <c r="D1780" s="93"/>
      <c r="E1780" s="93"/>
      <c r="F1780" s="93"/>
      <c r="G1780" s="93"/>
      <c r="H1780" s="93"/>
      <c r="I1780" s="93"/>
      <c r="J1780" s="93"/>
      <c r="K1780" s="93"/>
      <c r="L1780" s="93"/>
    </row>
    <row r="1781" spans="4:12" x14ac:dyDescent="0.25">
      <c r="D1781" s="93"/>
      <c r="E1781" s="93"/>
      <c r="F1781" s="93"/>
      <c r="G1781" s="93"/>
      <c r="H1781" s="93"/>
      <c r="I1781" s="93"/>
      <c r="J1781" s="93"/>
      <c r="K1781" s="93"/>
      <c r="L1781" s="93"/>
    </row>
    <row r="1782" spans="4:12" x14ac:dyDescent="0.25">
      <c r="D1782" s="93"/>
      <c r="E1782" s="93"/>
      <c r="F1782" s="93"/>
      <c r="G1782" s="93"/>
      <c r="H1782" s="93"/>
      <c r="I1782" s="93"/>
      <c r="J1782" s="93"/>
      <c r="K1782" s="93"/>
      <c r="L1782" s="93"/>
    </row>
    <row r="1783" spans="4:12" x14ac:dyDescent="0.25">
      <c r="D1783" s="93"/>
      <c r="E1783" s="93"/>
      <c r="F1783" s="93"/>
      <c r="G1783" s="93"/>
      <c r="H1783" s="93"/>
      <c r="I1783" s="93"/>
      <c r="J1783" s="93"/>
      <c r="K1783" s="93"/>
      <c r="L1783" s="93"/>
    </row>
    <row r="1784" spans="4:12" x14ac:dyDescent="0.25">
      <c r="D1784" s="93"/>
      <c r="E1784" s="93"/>
      <c r="F1784" s="93"/>
      <c r="G1784" s="93"/>
      <c r="H1784" s="93"/>
      <c r="I1784" s="93"/>
      <c r="J1784" s="93"/>
      <c r="K1784" s="93"/>
      <c r="L1784" s="93"/>
    </row>
    <row r="1785" spans="4:12" x14ac:dyDescent="0.25">
      <c r="D1785" s="93"/>
      <c r="E1785" s="93"/>
      <c r="F1785" s="93"/>
      <c r="G1785" s="93"/>
      <c r="H1785" s="93"/>
      <c r="I1785" s="93"/>
      <c r="J1785" s="93"/>
      <c r="K1785" s="93"/>
      <c r="L1785" s="93"/>
    </row>
    <row r="1786" spans="4:12" x14ac:dyDescent="0.25">
      <c r="D1786" s="93"/>
      <c r="E1786" s="93"/>
      <c r="F1786" s="93"/>
      <c r="G1786" s="93"/>
      <c r="H1786" s="93"/>
      <c r="I1786" s="93"/>
      <c r="J1786" s="93"/>
      <c r="K1786" s="93"/>
      <c r="L1786" s="93"/>
    </row>
    <row r="1787" spans="4:12" x14ac:dyDescent="0.25">
      <c r="D1787" s="93"/>
      <c r="E1787" s="93"/>
      <c r="F1787" s="93"/>
      <c r="G1787" s="93"/>
      <c r="H1787" s="93"/>
      <c r="I1787" s="93"/>
      <c r="J1787" s="93"/>
      <c r="K1787" s="93"/>
      <c r="L1787" s="93"/>
    </row>
    <row r="1788" spans="4:12" x14ac:dyDescent="0.25">
      <c r="D1788" s="93"/>
      <c r="E1788" s="93"/>
      <c r="F1788" s="93"/>
      <c r="G1788" s="93"/>
      <c r="H1788" s="93"/>
      <c r="I1788" s="93"/>
      <c r="J1788" s="93"/>
      <c r="K1788" s="93"/>
      <c r="L1788" s="93"/>
    </row>
    <row r="1789" spans="4:12" x14ac:dyDescent="0.25">
      <c r="D1789" s="93"/>
      <c r="E1789" s="93"/>
      <c r="F1789" s="93"/>
      <c r="G1789" s="93"/>
      <c r="H1789" s="93"/>
      <c r="I1789" s="93"/>
      <c r="J1789" s="93"/>
      <c r="K1789" s="93"/>
      <c r="L1789" s="93"/>
    </row>
    <row r="1790" spans="4:12" x14ac:dyDescent="0.25">
      <c r="D1790" s="93"/>
      <c r="E1790" s="93"/>
      <c r="F1790" s="93"/>
      <c r="G1790" s="93"/>
      <c r="H1790" s="93"/>
      <c r="I1790" s="93"/>
      <c r="J1790" s="93"/>
      <c r="K1790" s="93"/>
      <c r="L1790" s="93"/>
    </row>
    <row r="1791" spans="4:12" x14ac:dyDescent="0.25">
      <c r="D1791" s="93"/>
      <c r="E1791" s="93"/>
      <c r="F1791" s="93"/>
      <c r="G1791" s="93"/>
      <c r="H1791" s="93"/>
      <c r="I1791" s="93"/>
      <c r="J1791" s="93"/>
      <c r="K1791" s="93"/>
      <c r="L1791" s="93"/>
    </row>
    <row r="1792" spans="4:12" x14ac:dyDescent="0.25">
      <c r="D1792" s="93"/>
      <c r="E1792" s="93"/>
      <c r="F1792" s="93"/>
      <c r="G1792" s="93"/>
      <c r="H1792" s="93"/>
      <c r="I1792" s="93"/>
      <c r="J1792" s="93"/>
      <c r="K1792" s="93"/>
      <c r="L1792" s="93"/>
    </row>
    <row r="1793" spans="4:12" x14ac:dyDescent="0.25">
      <c r="D1793" s="93"/>
      <c r="E1793" s="93"/>
      <c r="F1793" s="93"/>
      <c r="G1793" s="93"/>
      <c r="H1793" s="93"/>
      <c r="I1793" s="93"/>
      <c r="J1793" s="93"/>
      <c r="K1793" s="93"/>
      <c r="L1793" s="93"/>
    </row>
    <row r="1794" spans="4:12" x14ac:dyDescent="0.25">
      <c r="D1794" s="93"/>
      <c r="E1794" s="93"/>
      <c r="F1794" s="93"/>
      <c r="G1794" s="93"/>
      <c r="H1794" s="93"/>
      <c r="I1794" s="93"/>
      <c r="J1794" s="93"/>
      <c r="K1794" s="93"/>
      <c r="L1794" s="93"/>
    </row>
    <row r="1795" spans="4:12" x14ac:dyDescent="0.25">
      <c r="D1795" s="93"/>
      <c r="E1795" s="93"/>
      <c r="F1795" s="93"/>
      <c r="G1795" s="93"/>
      <c r="H1795" s="93"/>
      <c r="I1795" s="93"/>
      <c r="J1795" s="93"/>
      <c r="K1795" s="93"/>
      <c r="L1795" s="93"/>
    </row>
    <row r="1796" spans="4:12" x14ac:dyDescent="0.25">
      <c r="D1796" s="93"/>
      <c r="E1796" s="93"/>
      <c r="F1796" s="93"/>
      <c r="G1796" s="93"/>
      <c r="H1796" s="93"/>
      <c r="I1796" s="93"/>
      <c r="J1796" s="93"/>
      <c r="K1796" s="93"/>
      <c r="L1796" s="93"/>
    </row>
    <row r="1797" spans="4:12" x14ac:dyDescent="0.25">
      <c r="D1797" s="93"/>
      <c r="E1797" s="93"/>
      <c r="F1797" s="93"/>
      <c r="G1797" s="93"/>
      <c r="H1797" s="93"/>
      <c r="I1797" s="93"/>
      <c r="J1797" s="93"/>
      <c r="K1797" s="93"/>
      <c r="L1797" s="93"/>
    </row>
    <row r="1798" spans="4:12" x14ac:dyDescent="0.25">
      <c r="D1798" s="93"/>
      <c r="E1798" s="93"/>
      <c r="F1798" s="93"/>
      <c r="G1798" s="93"/>
      <c r="H1798" s="93"/>
      <c r="I1798" s="93"/>
      <c r="J1798" s="93"/>
      <c r="K1798" s="93"/>
      <c r="L1798" s="93"/>
    </row>
    <row r="1799" spans="4:12" x14ac:dyDescent="0.25">
      <c r="D1799" s="93"/>
      <c r="E1799" s="93"/>
      <c r="F1799" s="93"/>
      <c r="G1799" s="93"/>
      <c r="H1799" s="93"/>
      <c r="I1799" s="93"/>
      <c r="J1799" s="93"/>
      <c r="K1799" s="93"/>
      <c r="L1799" s="93"/>
    </row>
    <row r="1800" spans="4:12" x14ac:dyDescent="0.25">
      <c r="D1800" s="93"/>
      <c r="E1800" s="93"/>
      <c r="F1800" s="93"/>
      <c r="G1800" s="93"/>
      <c r="H1800" s="93"/>
      <c r="I1800" s="93"/>
      <c r="J1800" s="93"/>
      <c r="K1800" s="93"/>
      <c r="L1800" s="93"/>
    </row>
    <row r="1801" spans="4:12" x14ac:dyDescent="0.25">
      <c r="D1801" s="93"/>
      <c r="E1801" s="93"/>
      <c r="F1801" s="93"/>
      <c r="G1801" s="93"/>
      <c r="H1801" s="93"/>
      <c r="I1801" s="93"/>
      <c r="J1801" s="93"/>
      <c r="K1801" s="93"/>
      <c r="L1801" s="93"/>
    </row>
    <row r="1802" spans="4:12" x14ac:dyDescent="0.25">
      <c r="D1802" s="93"/>
      <c r="E1802" s="93"/>
      <c r="F1802" s="93"/>
      <c r="G1802" s="93"/>
      <c r="H1802" s="93"/>
      <c r="I1802" s="93"/>
      <c r="J1802" s="93"/>
      <c r="K1802" s="93"/>
      <c r="L1802" s="93"/>
    </row>
    <row r="1803" spans="4:12" x14ac:dyDescent="0.25">
      <c r="D1803" s="93"/>
      <c r="E1803" s="93"/>
      <c r="F1803" s="93"/>
      <c r="G1803" s="93"/>
      <c r="H1803" s="93"/>
      <c r="I1803" s="93"/>
      <c r="J1803" s="93"/>
      <c r="K1803" s="93"/>
      <c r="L1803" s="93"/>
    </row>
    <row r="1804" spans="4:12" x14ac:dyDescent="0.25">
      <c r="D1804" s="93"/>
      <c r="E1804" s="93"/>
      <c r="F1804" s="93"/>
      <c r="G1804" s="93"/>
      <c r="H1804" s="93"/>
      <c r="I1804" s="93"/>
      <c r="J1804" s="93"/>
      <c r="K1804" s="93"/>
      <c r="L1804" s="93"/>
    </row>
    <row r="1805" spans="4:12" x14ac:dyDescent="0.25">
      <c r="D1805" s="93"/>
      <c r="E1805" s="93"/>
      <c r="F1805" s="93"/>
      <c r="G1805" s="93"/>
      <c r="H1805" s="93"/>
      <c r="I1805" s="93"/>
      <c r="J1805" s="93"/>
      <c r="K1805" s="93"/>
      <c r="L1805" s="93"/>
    </row>
    <row r="1806" spans="4:12" x14ac:dyDescent="0.25">
      <c r="D1806" s="93"/>
      <c r="E1806" s="93"/>
      <c r="F1806" s="93"/>
      <c r="G1806" s="93"/>
      <c r="H1806" s="93"/>
      <c r="I1806" s="93"/>
      <c r="J1806" s="93"/>
      <c r="K1806" s="93"/>
      <c r="L1806" s="93"/>
    </row>
    <row r="1807" spans="4:12" x14ac:dyDescent="0.25">
      <c r="D1807" s="93"/>
      <c r="E1807" s="93"/>
      <c r="F1807" s="93"/>
      <c r="G1807" s="93"/>
      <c r="H1807" s="93"/>
      <c r="I1807" s="93"/>
      <c r="J1807" s="93"/>
      <c r="K1807" s="93"/>
      <c r="L1807" s="93"/>
    </row>
    <row r="1808" spans="4:12" x14ac:dyDescent="0.25">
      <c r="D1808" s="93"/>
      <c r="E1808" s="93"/>
      <c r="F1808" s="93"/>
      <c r="G1808" s="93"/>
      <c r="H1808" s="93"/>
      <c r="I1808" s="93"/>
      <c r="J1808" s="93"/>
      <c r="K1808" s="93"/>
      <c r="L1808" s="93"/>
    </row>
    <row r="1809" spans="4:12" x14ac:dyDescent="0.25">
      <c r="D1809" s="93"/>
      <c r="E1809" s="93"/>
      <c r="F1809" s="93"/>
      <c r="G1809" s="93"/>
      <c r="H1809" s="93"/>
      <c r="I1809" s="93"/>
      <c r="J1809" s="93"/>
      <c r="K1809" s="93"/>
      <c r="L1809" s="93"/>
    </row>
    <row r="1810" spans="4:12" x14ac:dyDescent="0.25">
      <c r="D1810" s="93"/>
      <c r="E1810" s="93"/>
      <c r="F1810" s="93"/>
      <c r="G1810" s="93"/>
      <c r="H1810" s="93"/>
      <c r="I1810" s="93"/>
      <c r="J1810" s="93"/>
      <c r="K1810" s="93"/>
      <c r="L1810" s="93"/>
    </row>
    <row r="1811" spans="4:12" x14ac:dyDescent="0.25">
      <c r="D1811" s="93"/>
      <c r="E1811" s="93"/>
      <c r="F1811" s="93"/>
      <c r="G1811" s="93"/>
      <c r="H1811" s="93"/>
      <c r="I1811" s="93"/>
      <c r="J1811" s="93"/>
      <c r="K1811" s="93"/>
      <c r="L1811" s="93"/>
    </row>
    <row r="1812" spans="4:12" x14ac:dyDescent="0.25">
      <c r="D1812" s="93"/>
      <c r="E1812" s="93"/>
      <c r="F1812" s="93"/>
      <c r="G1812" s="93"/>
      <c r="H1812" s="93"/>
      <c r="I1812" s="93"/>
      <c r="J1812" s="93"/>
      <c r="K1812" s="93"/>
      <c r="L1812" s="93"/>
    </row>
    <row r="1813" spans="4:12" x14ac:dyDescent="0.25">
      <c r="D1813" s="93"/>
      <c r="E1813" s="93"/>
      <c r="F1813" s="93"/>
      <c r="G1813" s="93"/>
      <c r="H1813" s="93"/>
      <c r="I1813" s="93"/>
      <c r="J1813" s="93"/>
      <c r="K1813" s="93"/>
      <c r="L1813" s="93"/>
    </row>
    <row r="1814" spans="4:12" x14ac:dyDescent="0.25">
      <c r="D1814" s="93"/>
      <c r="E1814" s="93"/>
      <c r="F1814" s="93"/>
      <c r="G1814" s="93"/>
      <c r="H1814" s="93"/>
      <c r="I1814" s="93"/>
      <c r="J1814" s="93"/>
      <c r="K1814" s="93"/>
      <c r="L1814" s="93"/>
    </row>
    <row r="1815" spans="4:12" x14ac:dyDescent="0.25">
      <c r="D1815" s="93"/>
      <c r="E1815" s="93"/>
      <c r="F1815" s="93"/>
      <c r="G1815" s="93"/>
      <c r="H1815" s="93"/>
      <c r="I1815" s="93"/>
      <c r="J1815" s="93"/>
      <c r="K1815" s="93"/>
      <c r="L1815" s="93"/>
    </row>
    <row r="1816" spans="4:12" x14ac:dyDescent="0.25">
      <c r="D1816" s="93"/>
      <c r="E1816" s="93"/>
      <c r="F1816" s="93"/>
      <c r="G1816" s="93"/>
      <c r="H1816" s="93"/>
      <c r="I1816" s="93"/>
      <c r="J1816" s="93"/>
      <c r="K1816" s="93"/>
      <c r="L1816" s="93"/>
    </row>
    <row r="1817" spans="4:12" x14ac:dyDescent="0.25">
      <c r="D1817" s="93"/>
      <c r="E1817" s="93"/>
      <c r="F1817" s="93"/>
      <c r="G1817" s="93"/>
      <c r="H1817" s="93"/>
      <c r="I1817" s="93"/>
      <c r="J1817" s="93"/>
      <c r="K1817" s="93"/>
      <c r="L1817" s="93"/>
    </row>
    <row r="1818" spans="4:12" x14ac:dyDescent="0.25">
      <c r="D1818" s="93"/>
      <c r="E1818" s="93"/>
      <c r="F1818" s="93"/>
      <c r="G1818" s="93"/>
      <c r="H1818" s="93"/>
      <c r="I1818" s="93"/>
      <c r="J1818" s="93"/>
      <c r="K1818" s="93"/>
      <c r="L1818" s="93"/>
    </row>
    <row r="1819" spans="4:12" x14ac:dyDescent="0.25">
      <c r="D1819" s="93"/>
      <c r="E1819" s="93"/>
      <c r="F1819" s="93"/>
      <c r="G1819" s="93"/>
      <c r="H1819" s="93"/>
      <c r="I1819" s="93"/>
      <c r="J1819" s="93"/>
      <c r="K1819" s="93"/>
      <c r="L1819" s="93"/>
    </row>
    <row r="1820" spans="4:12" x14ac:dyDescent="0.25">
      <c r="D1820" s="93"/>
      <c r="E1820" s="93"/>
      <c r="F1820" s="93"/>
      <c r="G1820" s="93"/>
      <c r="H1820" s="93"/>
      <c r="I1820" s="93"/>
      <c r="J1820" s="93"/>
      <c r="K1820" s="93"/>
      <c r="L1820" s="93"/>
    </row>
    <row r="1821" spans="4:12" x14ac:dyDescent="0.25">
      <c r="D1821" s="93"/>
      <c r="E1821" s="93"/>
      <c r="F1821" s="93"/>
      <c r="G1821" s="93"/>
      <c r="H1821" s="93"/>
      <c r="I1821" s="93"/>
      <c r="J1821" s="93"/>
      <c r="K1821" s="93"/>
      <c r="L1821" s="93"/>
    </row>
    <row r="1822" spans="4:12" x14ac:dyDescent="0.25">
      <c r="D1822" s="93"/>
      <c r="E1822" s="93"/>
      <c r="F1822" s="93"/>
      <c r="G1822" s="93"/>
      <c r="H1822" s="93"/>
      <c r="I1822" s="93"/>
      <c r="J1822" s="93"/>
      <c r="K1822" s="93"/>
      <c r="L1822" s="93"/>
    </row>
    <row r="1823" spans="4:12" x14ac:dyDescent="0.25">
      <c r="D1823" s="93"/>
      <c r="E1823" s="93"/>
      <c r="F1823" s="93"/>
      <c r="G1823" s="93"/>
      <c r="H1823" s="93"/>
      <c r="I1823" s="93"/>
      <c r="J1823" s="93"/>
      <c r="K1823" s="93"/>
      <c r="L1823" s="93"/>
    </row>
    <row r="1824" spans="4:12" x14ac:dyDescent="0.25">
      <c r="D1824" s="93"/>
      <c r="E1824" s="93"/>
      <c r="F1824" s="93"/>
      <c r="G1824" s="93"/>
      <c r="H1824" s="93"/>
      <c r="I1824" s="93"/>
      <c r="J1824" s="93"/>
      <c r="K1824" s="93"/>
      <c r="L1824" s="93"/>
    </row>
    <row r="1825" spans="4:12" x14ac:dyDescent="0.25">
      <c r="D1825" s="93"/>
      <c r="E1825" s="93"/>
      <c r="F1825" s="93"/>
      <c r="G1825" s="93"/>
      <c r="H1825" s="93"/>
      <c r="I1825" s="93"/>
      <c r="J1825" s="93"/>
      <c r="K1825" s="93"/>
      <c r="L1825" s="93"/>
    </row>
    <row r="1826" spans="4:12" x14ac:dyDescent="0.25">
      <c r="D1826" s="93"/>
      <c r="E1826" s="93"/>
      <c r="F1826" s="93"/>
      <c r="G1826" s="93"/>
      <c r="H1826" s="93"/>
      <c r="I1826" s="93"/>
      <c r="J1826" s="93"/>
      <c r="K1826" s="93"/>
      <c r="L1826" s="93"/>
    </row>
    <row r="1827" spans="4:12" x14ac:dyDescent="0.25">
      <c r="D1827" s="93"/>
      <c r="E1827" s="93"/>
      <c r="F1827" s="93"/>
      <c r="G1827" s="93"/>
      <c r="H1827" s="93"/>
      <c r="I1827" s="93"/>
      <c r="J1827" s="93"/>
      <c r="K1827" s="93"/>
      <c r="L1827" s="93"/>
    </row>
    <row r="1828" spans="4:12" x14ac:dyDescent="0.25">
      <c r="D1828" s="93"/>
      <c r="E1828" s="93"/>
      <c r="F1828" s="93"/>
      <c r="G1828" s="93"/>
      <c r="H1828" s="93"/>
      <c r="I1828" s="93"/>
      <c r="J1828" s="93"/>
      <c r="K1828" s="93"/>
      <c r="L1828" s="93"/>
    </row>
    <row r="1829" spans="4:12" x14ac:dyDescent="0.25">
      <c r="D1829" s="93"/>
      <c r="E1829" s="93"/>
      <c r="F1829" s="93"/>
      <c r="G1829" s="93"/>
      <c r="H1829" s="93"/>
      <c r="I1829" s="93"/>
      <c r="J1829" s="93"/>
      <c r="K1829" s="93"/>
      <c r="L1829" s="93"/>
    </row>
    <row r="1830" spans="4:12" x14ac:dyDescent="0.25">
      <c r="D1830" s="93"/>
      <c r="E1830" s="93"/>
      <c r="F1830" s="93"/>
      <c r="G1830" s="93"/>
      <c r="H1830" s="93"/>
      <c r="I1830" s="93"/>
      <c r="J1830" s="93"/>
      <c r="K1830" s="93"/>
      <c r="L1830" s="93"/>
    </row>
    <row r="1831" spans="4:12" x14ac:dyDescent="0.25">
      <c r="D1831" s="93"/>
      <c r="E1831" s="93"/>
      <c r="F1831" s="93"/>
      <c r="G1831" s="93"/>
      <c r="H1831" s="93"/>
      <c r="I1831" s="93"/>
      <c r="J1831" s="93"/>
      <c r="K1831" s="93"/>
      <c r="L1831" s="93"/>
    </row>
    <row r="1832" spans="4:12" x14ac:dyDescent="0.25">
      <c r="D1832" s="93"/>
      <c r="E1832" s="93"/>
      <c r="F1832" s="93"/>
      <c r="G1832" s="93"/>
      <c r="H1832" s="93"/>
      <c r="I1832" s="93"/>
      <c r="J1832" s="93"/>
      <c r="K1832" s="93"/>
      <c r="L1832" s="93"/>
    </row>
    <row r="1833" spans="4:12" x14ac:dyDescent="0.25">
      <c r="D1833" s="93"/>
      <c r="E1833" s="93"/>
      <c r="F1833" s="93"/>
      <c r="G1833" s="93"/>
      <c r="H1833" s="93"/>
      <c r="I1833" s="93"/>
      <c r="J1833" s="93"/>
      <c r="K1833" s="93"/>
      <c r="L1833" s="93"/>
    </row>
    <row r="1834" spans="4:12" x14ac:dyDescent="0.25">
      <c r="D1834" s="93"/>
      <c r="E1834" s="93"/>
      <c r="F1834" s="93"/>
      <c r="G1834" s="93"/>
      <c r="H1834" s="93"/>
      <c r="I1834" s="93"/>
      <c r="J1834" s="93"/>
      <c r="K1834" s="93"/>
      <c r="L1834" s="93"/>
    </row>
    <row r="1835" spans="4:12" x14ac:dyDescent="0.25">
      <c r="D1835" s="93"/>
      <c r="E1835" s="93"/>
      <c r="F1835" s="93"/>
      <c r="G1835" s="93"/>
      <c r="H1835" s="93"/>
      <c r="I1835" s="93"/>
      <c r="J1835" s="93"/>
      <c r="K1835" s="93"/>
      <c r="L1835" s="93"/>
    </row>
    <row r="1836" spans="4:12" x14ac:dyDescent="0.25">
      <c r="D1836" s="93"/>
      <c r="E1836" s="93"/>
      <c r="F1836" s="93"/>
      <c r="G1836" s="93"/>
      <c r="H1836" s="93"/>
      <c r="I1836" s="93"/>
      <c r="J1836" s="93"/>
      <c r="K1836" s="93"/>
      <c r="L1836" s="93"/>
    </row>
    <row r="1837" spans="4:12" x14ac:dyDescent="0.25">
      <c r="D1837" s="93"/>
      <c r="E1837" s="93"/>
      <c r="F1837" s="93"/>
      <c r="G1837" s="93"/>
      <c r="H1837" s="93"/>
      <c r="I1837" s="93"/>
      <c r="J1837" s="93"/>
      <c r="K1837" s="93"/>
      <c r="L1837" s="93"/>
    </row>
    <row r="1838" spans="4:12" x14ac:dyDescent="0.25">
      <c r="D1838" s="93"/>
      <c r="E1838" s="93"/>
      <c r="F1838" s="93"/>
      <c r="G1838" s="93"/>
      <c r="H1838" s="93"/>
      <c r="I1838" s="93"/>
      <c r="J1838" s="93"/>
      <c r="K1838" s="93"/>
      <c r="L1838" s="93"/>
    </row>
    <row r="1839" spans="4:12" x14ac:dyDescent="0.25">
      <c r="D1839" s="93"/>
      <c r="E1839" s="93"/>
      <c r="F1839" s="93"/>
      <c r="G1839" s="93"/>
      <c r="H1839" s="93"/>
      <c r="I1839" s="93"/>
      <c r="J1839" s="93"/>
      <c r="K1839" s="93"/>
      <c r="L1839" s="93"/>
    </row>
    <row r="1840" spans="4:12" x14ac:dyDescent="0.25">
      <c r="D1840" s="93"/>
      <c r="E1840" s="93"/>
      <c r="F1840" s="93"/>
      <c r="G1840" s="93"/>
      <c r="H1840" s="93"/>
      <c r="I1840" s="93"/>
      <c r="J1840" s="93"/>
      <c r="K1840" s="93"/>
      <c r="L1840" s="93"/>
    </row>
    <row r="1841" spans="4:12" x14ac:dyDescent="0.25">
      <c r="D1841" s="93"/>
      <c r="E1841" s="93"/>
      <c r="F1841" s="93"/>
      <c r="G1841" s="93"/>
      <c r="H1841" s="93"/>
      <c r="I1841" s="93"/>
      <c r="J1841" s="93"/>
      <c r="K1841" s="93"/>
      <c r="L1841" s="93"/>
    </row>
    <row r="1842" spans="4:12" x14ac:dyDescent="0.25">
      <c r="D1842" s="93"/>
      <c r="E1842" s="93"/>
      <c r="F1842" s="93"/>
      <c r="G1842" s="93"/>
      <c r="H1842" s="93"/>
      <c r="I1842" s="93"/>
      <c r="J1842" s="93"/>
      <c r="K1842" s="93"/>
      <c r="L1842" s="93"/>
    </row>
    <row r="1843" spans="4:12" x14ac:dyDescent="0.25">
      <c r="D1843" s="93"/>
      <c r="E1843" s="93"/>
      <c r="F1843" s="93"/>
      <c r="G1843" s="93"/>
      <c r="H1843" s="93"/>
      <c r="I1843" s="93"/>
      <c r="J1843" s="93"/>
      <c r="K1843" s="93"/>
      <c r="L1843" s="93"/>
    </row>
    <row r="1844" spans="4:12" x14ac:dyDescent="0.25">
      <c r="D1844" s="93"/>
      <c r="E1844" s="93"/>
      <c r="F1844" s="93"/>
      <c r="G1844" s="93"/>
      <c r="H1844" s="93"/>
      <c r="I1844" s="93"/>
      <c r="J1844" s="93"/>
      <c r="K1844" s="93"/>
      <c r="L1844" s="93"/>
    </row>
    <row r="1845" spans="4:12" x14ac:dyDescent="0.25">
      <c r="D1845" s="93"/>
      <c r="E1845" s="93"/>
      <c r="F1845" s="93"/>
      <c r="G1845" s="93"/>
      <c r="H1845" s="93"/>
      <c r="I1845" s="93"/>
      <c r="J1845" s="93"/>
      <c r="K1845" s="93"/>
      <c r="L1845" s="93"/>
    </row>
    <row r="1846" spans="4:12" x14ac:dyDescent="0.25">
      <c r="D1846" s="93"/>
      <c r="E1846" s="93"/>
      <c r="F1846" s="93"/>
      <c r="G1846" s="93"/>
      <c r="H1846" s="93"/>
      <c r="I1846" s="93"/>
      <c r="J1846" s="93"/>
      <c r="K1846" s="93"/>
      <c r="L1846" s="93"/>
    </row>
    <row r="1847" spans="4:12" x14ac:dyDescent="0.25">
      <c r="D1847" s="93"/>
      <c r="E1847" s="93"/>
      <c r="F1847" s="93"/>
      <c r="G1847" s="93"/>
      <c r="H1847" s="93"/>
      <c r="I1847" s="93"/>
      <c r="J1847" s="93"/>
      <c r="K1847" s="93"/>
      <c r="L1847" s="93"/>
    </row>
    <row r="1848" spans="4:12" x14ac:dyDescent="0.25">
      <c r="D1848" s="93"/>
      <c r="E1848" s="93"/>
      <c r="F1848" s="93"/>
      <c r="G1848" s="93"/>
      <c r="H1848" s="93"/>
      <c r="I1848" s="93"/>
      <c r="J1848" s="93"/>
      <c r="K1848" s="93"/>
      <c r="L1848" s="93"/>
    </row>
    <row r="1849" spans="4:12" x14ac:dyDescent="0.25">
      <c r="D1849" s="93"/>
      <c r="E1849" s="93"/>
      <c r="F1849" s="93"/>
      <c r="G1849" s="93"/>
      <c r="H1849" s="93"/>
      <c r="I1849" s="93"/>
      <c r="J1849" s="93"/>
      <c r="K1849" s="93"/>
      <c r="L1849" s="93"/>
    </row>
    <row r="1850" spans="4:12" x14ac:dyDescent="0.25">
      <c r="D1850" s="93"/>
      <c r="E1850" s="93"/>
      <c r="F1850" s="93"/>
      <c r="G1850" s="93"/>
      <c r="H1850" s="93"/>
      <c r="I1850" s="93"/>
      <c r="J1850" s="93"/>
      <c r="K1850" s="93"/>
      <c r="L1850" s="93"/>
    </row>
    <row r="1851" spans="4:12" x14ac:dyDescent="0.25">
      <c r="D1851" s="93"/>
      <c r="E1851" s="93"/>
      <c r="F1851" s="93"/>
      <c r="G1851" s="93"/>
      <c r="H1851" s="93"/>
      <c r="I1851" s="93"/>
      <c r="J1851" s="93"/>
      <c r="K1851" s="93"/>
      <c r="L1851" s="93"/>
    </row>
    <row r="1852" spans="4:12" x14ac:dyDescent="0.25">
      <c r="D1852" s="93"/>
      <c r="E1852" s="93"/>
      <c r="F1852" s="93"/>
      <c r="G1852" s="93"/>
      <c r="H1852" s="93"/>
      <c r="I1852" s="93"/>
      <c r="J1852" s="93"/>
      <c r="K1852" s="93"/>
      <c r="L1852" s="93"/>
    </row>
    <row r="1853" spans="4:12" x14ac:dyDescent="0.25">
      <c r="D1853" s="93"/>
      <c r="E1853" s="93"/>
      <c r="F1853" s="93"/>
      <c r="G1853" s="93"/>
      <c r="H1853" s="93"/>
      <c r="I1853" s="93"/>
      <c r="J1853" s="93"/>
      <c r="K1853" s="93"/>
      <c r="L1853" s="93"/>
    </row>
    <row r="1854" spans="4:12" x14ac:dyDescent="0.25">
      <c r="D1854" s="93"/>
      <c r="E1854" s="93"/>
      <c r="F1854" s="93"/>
      <c r="G1854" s="93"/>
      <c r="H1854" s="93"/>
      <c r="I1854" s="93"/>
      <c r="J1854" s="93"/>
      <c r="K1854" s="93"/>
      <c r="L1854" s="93"/>
    </row>
    <row r="1855" spans="4:12" x14ac:dyDescent="0.25">
      <c r="D1855" s="93"/>
      <c r="E1855" s="93"/>
      <c r="F1855" s="93"/>
      <c r="G1855" s="93"/>
      <c r="H1855" s="93"/>
      <c r="I1855" s="93"/>
      <c r="J1855" s="93"/>
      <c r="K1855" s="93"/>
      <c r="L1855" s="93"/>
    </row>
    <row r="1856" spans="4:12" x14ac:dyDescent="0.25">
      <c r="D1856" s="93"/>
      <c r="E1856" s="93"/>
      <c r="F1856" s="93"/>
      <c r="G1856" s="93"/>
      <c r="H1856" s="93"/>
      <c r="I1856" s="93"/>
      <c r="J1856" s="93"/>
      <c r="K1856" s="93"/>
      <c r="L1856" s="93"/>
    </row>
    <row r="1857" spans="4:12" x14ac:dyDescent="0.25">
      <c r="D1857" s="93"/>
      <c r="E1857" s="93"/>
      <c r="F1857" s="93"/>
      <c r="G1857" s="93"/>
      <c r="H1857" s="93"/>
      <c r="I1857" s="93"/>
      <c r="J1857" s="93"/>
      <c r="K1857" s="93"/>
      <c r="L1857" s="93"/>
    </row>
    <row r="1858" spans="4:12" x14ac:dyDescent="0.25">
      <c r="D1858" s="93"/>
      <c r="E1858" s="93"/>
      <c r="F1858" s="93"/>
      <c r="G1858" s="93"/>
      <c r="H1858" s="93"/>
      <c r="I1858" s="93"/>
      <c r="J1858" s="93"/>
      <c r="K1858" s="93"/>
      <c r="L1858" s="93"/>
    </row>
    <row r="1859" spans="4:12" x14ac:dyDescent="0.25">
      <c r="D1859" s="93"/>
      <c r="E1859" s="93"/>
      <c r="F1859" s="93"/>
      <c r="G1859" s="93"/>
      <c r="H1859" s="93"/>
      <c r="I1859" s="93"/>
      <c r="J1859" s="93"/>
      <c r="K1859" s="93"/>
      <c r="L1859" s="93"/>
    </row>
    <row r="1860" spans="4:12" x14ac:dyDescent="0.25">
      <c r="D1860" s="93"/>
      <c r="E1860" s="93"/>
      <c r="F1860" s="93"/>
      <c r="G1860" s="93"/>
      <c r="H1860" s="93"/>
      <c r="I1860" s="93"/>
      <c r="J1860" s="93"/>
      <c r="K1860" s="93"/>
      <c r="L1860" s="93"/>
    </row>
    <row r="1861" spans="4:12" x14ac:dyDescent="0.25">
      <c r="D1861" s="93"/>
      <c r="E1861" s="93"/>
      <c r="F1861" s="93"/>
      <c r="G1861" s="93"/>
      <c r="H1861" s="93"/>
      <c r="I1861" s="93"/>
      <c r="J1861" s="93"/>
      <c r="K1861" s="93"/>
      <c r="L1861" s="93"/>
    </row>
    <row r="1862" spans="4:12" x14ac:dyDescent="0.25">
      <c r="D1862" s="93"/>
      <c r="E1862" s="93"/>
      <c r="F1862" s="93"/>
      <c r="G1862" s="93"/>
      <c r="H1862" s="93"/>
      <c r="I1862" s="93"/>
      <c r="J1862" s="93"/>
      <c r="K1862" s="93"/>
      <c r="L1862" s="93"/>
    </row>
    <row r="1863" spans="4:12" x14ac:dyDescent="0.25">
      <c r="D1863" s="93"/>
      <c r="E1863" s="93"/>
      <c r="F1863" s="93"/>
      <c r="G1863" s="93"/>
      <c r="H1863" s="93"/>
      <c r="I1863" s="93"/>
      <c r="J1863" s="93"/>
      <c r="K1863" s="93"/>
      <c r="L1863" s="93"/>
    </row>
    <row r="1864" spans="4:12" x14ac:dyDescent="0.25">
      <c r="D1864" s="93"/>
      <c r="E1864" s="93"/>
      <c r="F1864" s="93"/>
      <c r="G1864" s="93"/>
      <c r="H1864" s="93"/>
      <c r="I1864" s="93"/>
      <c r="J1864" s="93"/>
      <c r="K1864" s="93"/>
      <c r="L1864" s="93"/>
    </row>
    <row r="1865" spans="4:12" x14ac:dyDescent="0.25">
      <c r="D1865" s="93"/>
      <c r="E1865" s="93"/>
      <c r="F1865" s="93"/>
      <c r="G1865" s="93"/>
      <c r="H1865" s="93"/>
      <c r="I1865" s="93"/>
      <c r="J1865" s="93"/>
      <c r="K1865" s="93"/>
      <c r="L1865" s="93"/>
    </row>
    <row r="1866" spans="4:12" x14ac:dyDescent="0.25">
      <c r="D1866" s="93"/>
      <c r="E1866" s="93"/>
      <c r="F1866" s="93"/>
      <c r="G1866" s="93"/>
      <c r="H1866" s="93"/>
      <c r="I1866" s="93"/>
      <c r="J1866" s="93"/>
      <c r="K1866" s="93"/>
      <c r="L1866" s="93"/>
    </row>
    <row r="1867" spans="4:12" x14ac:dyDescent="0.25">
      <c r="D1867" s="93"/>
      <c r="E1867" s="93"/>
      <c r="F1867" s="93"/>
      <c r="G1867" s="93"/>
      <c r="H1867" s="93"/>
      <c r="I1867" s="93"/>
      <c r="J1867" s="93"/>
      <c r="K1867" s="93"/>
      <c r="L1867" s="93"/>
    </row>
    <row r="1868" spans="4:12" x14ac:dyDescent="0.25">
      <c r="D1868" s="93"/>
      <c r="E1868" s="93"/>
      <c r="F1868" s="93"/>
      <c r="G1868" s="93"/>
      <c r="H1868" s="93"/>
      <c r="I1868" s="93"/>
      <c r="J1868" s="93"/>
      <c r="K1868" s="93"/>
      <c r="L1868" s="93"/>
    </row>
    <row r="1869" spans="4:12" x14ac:dyDescent="0.25">
      <c r="D1869" s="93"/>
      <c r="E1869" s="93"/>
      <c r="F1869" s="93"/>
      <c r="G1869" s="93"/>
      <c r="H1869" s="93"/>
      <c r="I1869" s="93"/>
      <c r="J1869" s="93"/>
      <c r="K1869" s="93"/>
      <c r="L1869" s="93"/>
    </row>
    <row r="1870" spans="4:12" x14ac:dyDescent="0.25">
      <c r="D1870" s="93"/>
      <c r="E1870" s="93"/>
      <c r="F1870" s="93"/>
      <c r="G1870" s="93"/>
      <c r="H1870" s="93"/>
      <c r="I1870" s="93"/>
      <c r="J1870" s="93"/>
      <c r="K1870" s="93"/>
      <c r="L1870" s="93"/>
    </row>
    <row r="1871" spans="4:12" x14ac:dyDescent="0.25">
      <c r="D1871" s="93"/>
      <c r="E1871" s="93"/>
      <c r="F1871" s="93"/>
      <c r="G1871" s="93"/>
      <c r="H1871" s="93"/>
      <c r="I1871" s="93"/>
      <c r="J1871" s="93"/>
      <c r="K1871" s="93"/>
      <c r="L1871" s="93"/>
    </row>
    <row r="1872" spans="4:12" x14ac:dyDescent="0.25">
      <c r="D1872" s="93"/>
      <c r="E1872" s="93"/>
      <c r="F1872" s="93"/>
      <c r="G1872" s="93"/>
      <c r="H1872" s="93"/>
      <c r="I1872" s="93"/>
      <c r="J1872" s="93"/>
      <c r="K1872" s="93"/>
      <c r="L1872" s="93"/>
    </row>
    <row r="1873" spans="4:12" x14ac:dyDescent="0.25">
      <c r="D1873" s="93"/>
      <c r="E1873" s="93"/>
      <c r="F1873" s="93"/>
      <c r="G1873" s="93"/>
      <c r="H1873" s="93"/>
      <c r="I1873" s="93"/>
      <c r="J1873" s="93"/>
      <c r="K1873" s="93"/>
      <c r="L1873" s="93"/>
    </row>
    <row r="1874" spans="4:12" x14ac:dyDescent="0.25">
      <c r="D1874" s="93"/>
      <c r="E1874" s="93"/>
      <c r="F1874" s="93"/>
      <c r="G1874" s="93"/>
      <c r="H1874" s="93"/>
      <c r="I1874" s="93"/>
      <c r="J1874" s="93"/>
      <c r="K1874" s="93"/>
      <c r="L1874" s="93"/>
    </row>
    <row r="1875" spans="4:12" x14ac:dyDescent="0.25">
      <c r="D1875" s="93"/>
      <c r="E1875" s="93"/>
      <c r="F1875" s="93"/>
      <c r="G1875" s="93"/>
      <c r="H1875" s="93"/>
      <c r="I1875" s="93"/>
      <c r="J1875" s="93"/>
      <c r="K1875" s="93"/>
      <c r="L1875" s="93"/>
    </row>
    <row r="1876" spans="4:12" x14ac:dyDescent="0.25">
      <c r="D1876" s="93"/>
      <c r="E1876" s="93"/>
      <c r="F1876" s="93"/>
      <c r="G1876" s="93"/>
      <c r="H1876" s="93"/>
      <c r="I1876" s="93"/>
      <c r="J1876" s="93"/>
      <c r="K1876" s="93"/>
      <c r="L1876" s="93"/>
    </row>
    <row r="1877" spans="4:12" x14ac:dyDescent="0.25">
      <c r="D1877" s="93"/>
      <c r="E1877" s="93"/>
      <c r="F1877" s="93"/>
      <c r="G1877" s="93"/>
      <c r="H1877" s="93"/>
      <c r="I1877" s="93"/>
      <c r="J1877" s="93"/>
      <c r="K1877" s="93"/>
      <c r="L1877" s="93"/>
    </row>
    <row r="1878" spans="4:12" x14ac:dyDescent="0.25">
      <c r="D1878" s="93"/>
      <c r="E1878" s="93"/>
      <c r="F1878" s="93"/>
      <c r="G1878" s="93"/>
      <c r="H1878" s="93"/>
      <c r="I1878" s="93"/>
      <c r="J1878" s="93"/>
      <c r="K1878" s="93"/>
      <c r="L1878" s="93"/>
    </row>
    <row r="1879" spans="4:12" x14ac:dyDescent="0.25">
      <c r="D1879" s="93"/>
      <c r="E1879" s="93"/>
      <c r="F1879" s="93"/>
      <c r="G1879" s="93"/>
      <c r="H1879" s="93"/>
      <c r="I1879" s="93"/>
      <c r="J1879" s="93"/>
      <c r="K1879" s="93"/>
      <c r="L1879" s="93"/>
    </row>
    <row r="1880" spans="4:12" x14ac:dyDescent="0.25">
      <c r="D1880" s="93"/>
      <c r="E1880" s="93"/>
      <c r="F1880" s="93"/>
      <c r="G1880" s="93"/>
      <c r="H1880" s="93"/>
      <c r="I1880" s="93"/>
      <c r="J1880" s="93"/>
      <c r="K1880" s="93"/>
      <c r="L1880" s="93"/>
    </row>
    <row r="1881" spans="4:12" x14ac:dyDescent="0.25">
      <c r="D1881" s="93"/>
      <c r="E1881" s="93"/>
      <c r="F1881" s="93"/>
      <c r="G1881" s="93"/>
      <c r="H1881" s="93"/>
      <c r="I1881" s="93"/>
      <c r="J1881" s="93"/>
      <c r="K1881" s="93"/>
      <c r="L1881" s="93"/>
    </row>
    <row r="1882" spans="4:12" x14ac:dyDescent="0.25">
      <c r="D1882" s="93"/>
      <c r="E1882" s="93"/>
      <c r="F1882" s="93"/>
      <c r="G1882" s="93"/>
      <c r="H1882" s="93"/>
      <c r="I1882" s="93"/>
      <c r="J1882" s="93"/>
      <c r="K1882" s="93"/>
      <c r="L1882" s="93"/>
    </row>
    <row r="1883" spans="4:12" x14ac:dyDescent="0.25">
      <c r="D1883" s="93"/>
      <c r="E1883" s="93"/>
      <c r="F1883" s="93"/>
      <c r="G1883" s="93"/>
      <c r="H1883" s="93"/>
      <c r="I1883" s="93"/>
      <c r="J1883" s="93"/>
      <c r="K1883" s="93"/>
      <c r="L1883" s="93"/>
    </row>
    <row r="1884" spans="4:12" x14ac:dyDescent="0.25">
      <c r="D1884" s="93"/>
      <c r="E1884" s="93"/>
      <c r="F1884" s="93"/>
      <c r="G1884" s="93"/>
      <c r="H1884" s="93"/>
      <c r="I1884" s="93"/>
      <c r="J1884" s="93"/>
      <c r="K1884" s="93"/>
      <c r="L1884" s="93"/>
    </row>
    <row r="1885" spans="4:12" x14ac:dyDescent="0.25">
      <c r="D1885" s="93"/>
      <c r="E1885" s="93"/>
      <c r="F1885" s="93"/>
      <c r="G1885" s="93"/>
      <c r="H1885" s="93"/>
      <c r="I1885" s="93"/>
      <c r="J1885" s="93"/>
      <c r="K1885" s="93"/>
      <c r="L1885" s="93"/>
    </row>
    <row r="1886" spans="4:12" x14ac:dyDescent="0.25">
      <c r="D1886" s="93"/>
      <c r="E1886" s="93"/>
      <c r="F1886" s="93"/>
      <c r="G1886" s="93"/>
      <c r="H1886" s="93"/>
      <c r="I1886" s="93"/>
      <c r="J1886" s="93"/>
      <c r="K1886" s="93"/>
      <c r="L1886" s="93"/>
    </row>
    <row r="1887" spans="4:12" x14ac:dyDescent="0.25">
      <c r="D1887" s="93"/>
      <c r="E1887" s="93"/>
      <c r="F1887" s="93"/>
      <c r="G1887" s="93"/>
      <c r="H1887" s="93"/>
      <c r="I1887" s="93"/>
      <c r="J1887" s="93"/>
      <c r="K1887" s="93"/>
      <c r="L1887" s="93"/>
    </row>
    <row r="1888" spans="4:12" x14ac:dyDescent="0.25">
      <c r="D1888" s="93"/>
      <c r="E1888" s="93"/>
      <c r="F1888" s="93"/>
      <c r="G1888" s="93"/>
      <c r="H1888" s="93"/>
      <c r="I1888" s="93"/>
      <c r="J1888" s="93"/>
      <c r="K1888" s="93"/>
      <c r="L1888" s="93"/>
    </row>
    <row r="1889" spans="4:12" x14ac:dyDescent="0.25">
      <c r="D1889" s="93"/>
      <c r="E1889" s="93"/>
      <c r="F1889" s="93"/>
      <c r="G1889" s="93"/>
      <c r="H1889" s="93"/>
      <c r="I1889" s="93"/>
      <c r="J1889" s="93"/>
      <c r="K1889" s="93"/>
      <c r="L1889" s="93"/>
    </row>
    <row r="1890" spans="4:12" x14ac:dyDescent="0.25">
      <c r="D1890" s="93"/>
      <c r="E1890" s="93"/>
      <c r="F1890" s="93"/>
      <c r="G1890" s="93"/>
      <c r="H1890" s="93"/>
      <c r="I1890" s="93"/>
      <c r="J1890" s="93"/>
      <c r="K1890" s="93"/>
      <c r="L1890" s="93"/>
    </row>
    <row r="1891" spans="4:12" x14ac:dyDescent="0.25">
      <c r="D1891" s="93"/>
      <c r="E1891" s="93"/>
      <c r="F1891" s="93"/>
      <c r="G1891" s="93"/>
      <c r="H1891" s="93"/>
      <c r="I1891" s="93"/>
      <c r="J1891" s="93"/>
      <c r="K1891" s="93"/>
      <c r="L1891" s="93"/>
    </row>
    <row r="1892" spans="4:12" x14ac:dyDescent="0.25">
      <c r="D1892" s="93"/>
      <c r="E1892" s="93"/>
      <c r="F1892" s="93"/>
      <c r="G1892" s="93"/>
      <c r="H1892" s="93"/>
      <c r="I1892" s="93"/>
      <c r="J1892" s="93"/>
      <c r="K1892" s="93"/>
      <c r="L1892" s="93"/>
    </row>
    <row r="1893" spans="4:12" x14ac:dyDescent="0.25">
      <c r="D1893" s="93"/>
      <c r="E1893" s="93"/>
      <c r="F1893" s="93"/>
      <c r="G1893" s="93"/>
      <c r="H1893" s="93"/>
      <c r="I1893" s="93"/>
      <c r="J1893" s="93"/>
      <c r="K1893" s="93"/>
      <c r="L1893" s="93"/>
    </row>
    <row r="1894" spans="4:12" x14ac:dyDescent="0.25">
      <c r="D1894" s="93"/>
      <c r="E1894" s="93"/>
      <c r="F1894" s="93"/>
      <c r="G1894" s="93"/>
      <c r="H1894" s="93"/>
      <c r="I1894" s="93"/>
      <c r="J1894" s="93"/>
      <c r="K1894" s="93"/>
      <c r="L1894" s="93"/>
    </row>
    <row r="1895" spans="4:12" x14ac:dyDescent="0.25">
      <c r="D1895" s="93"/>
      <c r="E1895" s="93"/>
      <c r="F1895" s="93"/>
      <c r="G1895" s="93"/>
      <c r="H1895" s="93"/>
      <c r="I1895" s="93"/>
      <c r="J1895" s="93"/>
      <c r="K1895" s="93"/>
      <c r="L1895" s="93"/>
    </row>
    <row r="1896" spans="4:12" x14ac:dyDescent="0.25">
      <c r="D1896" s="93"/>
      <c r="E1896" s="93"/>
      <c r="F1896" s="93"/>
      <c r="G1896" s="93"/>
      <c r="H1896" s="93"/>
      <c r="I1896" s="93"/>
      <c r="J1896" s="93"/>
      <c r="K1896" s="93"/>
      <c r="L1896" s="93"/>
    </row>
    <row r="1897" spans="4:12" x14ac:dyDescent="0.25">
      <c r="D1897" s="93"/>
      <c r="E1897" s="93"/>
      <c r="F1897" s="93"/>
      <c r="G1897" s="93"/>
      <c r="H1897" s="93"/>
      <c r="I1897" s="93"/>
      <c r="J1897" s="93"/>
      <c r="K1897" s="93"/>
      <c r="L1897" s="93"/>
    </row>
    <row r="1898" spans="4:12" x14ac:dyDescent="0.25">
      <c r="D1898" s="93"/>
      <c r="E1898" s="93"/>
      <c r="F1898" s="93"/>
      <c r="G1898" s="93"/>
      <c r="H1898" s="93"/>
      <c r="I1898" s="93"/>
      <c r="J1898" s="93"/>
      <c r="K1898" s="93"/>
      <c r="L1898" s="93"/>
    </row>
    <row r="1899" spans="4:12" x14ac:dyDescent="0.25">
      <c r="D1899" s="93"/>
      <c r="E1899" s="93"/>
      <c r="F1899" s="93"/>
      <c r="G1899" s="93"/>
      <c r="H1899" s="93"/>
      <c r="I1899" s="93"/>
      <c r="J1899" s="93"/>
      <c r="K1899" s="93"/>
      <c r="L1899" s="93"/>
    </row>
    <row r="1900" spans="4:12" x14ac:dyDescent="0.25">
      <c r="D1900" s="93"/>
      <c r="E1900" s="93"/>
      <c r="F1900" s="93"/>
      <c r="G1900" s="93"/>
      <c r="H1900" s="93"/>
      <c r="I1900" s="93"/>
      <c r="J1900" s="93"/>
      <c r="K1900" s="93"/>
      <c r="L1900" s="93"/>
    </row>
    <row r="1901" spans="4:12" x14ac:dyDescent="0.25">
      <c r="D1901" s="93"/>
      <c r="E1901" s="93"/>
      <c r="F1901" s="93"/>
      <c r="G1901" s="93"/>
      <c r="H1901" s="93"/>
      <c r="I1901" s="93"/>
      <c r="J1901" s="93"/>
      <c r="K1901" s="93"/>
      <c r="L1901" s="93"/>
    </row>
    <row r="1902" spans="4:12" x14ac:dyDescent="0.25">
      <c r="D1902" s="93"/>
      <c r="E1902" s="93"/>
      <c r="F1902" s="93"/>
      <c r="G1902" s="93"/>
      <c r="H1902" s="93"/>
      <c r="I1902" s="93"/>
      <c r="J1902" s="93"/>
      <c r="K1902" s="93"/>
      <c r="L1902" s="93"/>
    </row>
    <row r="1903" spans="4:12" x14ac:dyDescent="0.25">
      <c r="D1903" s="93"/>
      <c r="E1903" s="93"/>
      <c r="F1903" s="93"/>
      <c r="G1903" s="93"/>
      <c r="H1903" s="93"/>
      <c r="I1903" s="93"/>
      <c r="J1903" s="93"/>
      <c r="K1903" s="93"/>
      <c r="L1903" s="93"/>
    </row>
    <row r="1904" spans="4:12" x14ac:dyDescent="0.25">
      <c r="D1904" s="93"/>
      <c r="E1904" s="93"/>
      <c r="F1904" s="93"/>
      <c r="G1904" s="93"/>
      <c r="H1904" s="93"/>
      <c r="I1904" s="93"/>
      <c r="J1904" s="93"/>
      <c r="K1904" s="93"/>
      <c r="L1904" s="93"/>
    </row>
    <row r="1905" spans="4:12" x14ac:dyDescent="0.25">
      <c r="D1905" s="93"/>
      <c r="E1905" s="93"/>
      <c r="F1905" s="93"/>
      <c r="G1905" s="93"/>
      <c r="H1905" s="93"/>
      <c r="I1905" s="93"/>
      <c r="J1905" s="93"/>
      <c r="K1905" s="93"/>
      <c r="L1905" s="93"/>
    </row>
    <row r="1906" spans="4:12" x14ac:dyDescent="0.25">
      <c r="D1906" s="93"/>
      <c r="E1906" s="93"/>
      <c r="F1906" s="93"/>
      <c r="G1906" s="93"/>
      <c r="H1906" s="93"/>
      <c r="I1906" s="93"/>
      <c r="J1906" s="93"/>
      <c r="K1906" s="93"/>
      <c r="L1906" s="93"/>
    </row>
    <row r="1907" spans="4:12" x14ac:dyDescent="0.25">
      <c r="D1907" s="93"/>
      <c r="E1907" s="93"/>
      <c r="F1907" s="93"/>
      <c r="G1907" s="93"/>
      <c r="H1907" s="93"/>
      <c r="I1907" s="93"/>
      <c r="J1907" s="93"/>
      <c r="K1907" s="93"/>
      <c r="L1907" s="93"/>
    </row>
    <row r="1908" spans="4:12" x14ac:dyDescent="0.25">
      <c r="D1908" s="93"/>
      <c r="E1908" s="93"/>
      <c r="F1908" s="93"/>
      <c r="G1908" s="93"/>
      <c r="H1908" s="93"/>
      <c r="I1908" s="93"/>
      <c r="J1908" s="93"/>
      <c r="K1908" s="93"/>
      <c r="L1908" s="93"/>
    </row>
    <row r="1909" spans="4:12" x14ac:dyDescent="0.25">
      <c r="D1909" s="93"/>
      <c r="E1909" s="93"/>
      <c r="F1909" s="93"/>
      <c r="G1909" s="93"/>
      <c r="H1909" s="93"/>
      <c r="I1909" s="93"/>
      <c r="J1909" s="93"/>
      <c r="K1909" s="93"/>
      <c r="L1909" s="93"/>
    </row>
    <row r="1910" spans="4:12" x14ac:dyDescent="0.25">
      <c r="D1910" s="93"/>
      <c r="E1910" s="93"/>
      <c r="F1910" s="93"/>
      <c r="G1910" s="93"/>
      <c r="H1910" s="93"/>
      <c r="I1910" s="93"/>
      <c r="J1910" s="93"/>
      <c r="K1910" s="93"/>
      <c r="L1910" s="93"/>
    </row>
    <row r="1911" spans="4:12" x14ac:dyDescent="0.25">
      <c r="D1911" s="93"/>
      <c r="E1911" s="93"/>
      <c r="F1911" s="93"/>
      <c r="G1911" s="93"/>
      <c r="H1911" s="93"/>
      <c r="I1911" s="93"/>
      <c r="J1911" s="93"/>
      <c r="K1911" s="93"/>
      <c r="L1911" s="93"/>
    </row>
    <row r="1912" spans="4:12" x14ac:dyDescent="0.25">
      <c r="D1912" s="93"/>
      <c r="E1912" s="93"/>
      <c r="F1912" s="93"/>
      <c r="G1912" s="93"/>
      <c r="H1912" s="93"/>
      <c r="I1912" s="93"/>
      <c r="J1912" s="93"/>
      <c r="K1912" s="93"/>
      <c r="L1912" s="93"/>
    </row>
    <row r="1913" spans="4:12" x14ac:dyDescent="0.25">
      <c r="D1913" s="93"/>
      <c r="E1913" s="93"/>
      <c r="F1913" s="93"/>
      <c r="G1913" s="93"/>
      <c r="H1913" s="93"/>
      <c r="I1913" s="93"/>
      <c r="J1913" s="93"/>
      <c r="K1913" s="93"/>
      <c r="L1913" s="93"/>
    </row>
    <row r="1914" spans="4:12" x14ac:dyDescent="0.25">
      <c r="D1914" s="93"/>
      <c r="E1914" s="93"/>
      <c r="F1914" s="93"/>
      <c r="G1914" s="93"/>
      <c r="H1914" s="93"/>
      <c r="I1914" s="93"/>
      <c r="J1914" s="93"/>
      <c r="K1914" s="93"/>
      <c r="L1914" s="93"/>
    </row>
    <row r="1915" spans="4:12" x14ac:dyDescent="0.25">
      <c r="D1915" s="93"/>
      <c r="E1915" s="93"/>
      <c r="F1915" s="93"/>
      <c r="G1915" s="93"/>
      <c r="H1915" s="93"/>
      <c r="I1915" s="93"/>
      <c r="J1915" s="93"/>
      <c r="K1915" s="93"/>
      <c r="L1915" s="93"/>
    </row>
    <row r="1916" spans="4:12" x14ac:dyDescent="0.25">
      <c r="D1916" s="93"/>
      <c r="E1916" s="93"/>
      <c r="F1916" s="93"/>
      <c r="G1916" s="93"/>
      <c r="H1916" s="93"/>
      <c r="I1916" s="93"/>
      <c r="J1916" s="93"/>
      <c r="K1916" s="93"/>
      <c r="L1916" s="93"/>
    </row>
    <row r="1917" spans="4:12" x14ac:dyDescent="0.25">
      <c r="D1917" s="93"/>
      <c r="E1917" s="93"/>
      <c r="F1917" s="93"/>
      <c r="G1917" s="93"/>
      <c r="H1917" s="93"/>
      <c r="I1917" s="93"/>
      <c r="J1917" s="93"/>
      <c r="K1917" s="93"/>
      <c r="L1917" s="93"/>
    </row>
    <row r="1918" spans="4:12" x14ac:dyDescent="0.25">
      <c r="D1918" s="93"/>
      <c r="E1918" s="93"/>
      <c r="F1918" s="93"/>
      <c r="G1918" s="93"/>
      <c r="H1918" s="93"/>
      <c r="I1918" s="93"/>
      <c r="J1918" s="93"/>
      <c r="K1918" s="93"/>
      <c r="L1918" s="93"/>
    </row>
    <row r="1919" spans="4:12" x14ac:dyDescent="0.25">
      <c r="D1919" s="93"/>
      <c r="E1919" s="93"/>
      <c r="F1919" s="93"/>
      <c r="G1919" s="93"/>
      <c r="H1919" s="93"/>
      <c r="I1919" s="93"/>
      <c r="J1919" s="93"/>
      <c r="K1919" s="93"/>
      <c r="L1919" s="93"/>
    </row>
    <row r="1920" spans="4:12" x14ac:dyDescent="0.25">
      <c r="D1920" s="93"/>
      <c r="E1920" s="93"/>
      <c r="F1920" s="93"/>
      <c r="G1920" s="93"/>
      <c r="H1920" s="93"/>
      <c r="I1920" s="93"/>
      <c r="J1920" s="93"/>
      <c r="K1920" s="93"/>
      <c r="L1920" s="93"/>
    </row>
    <row r="1921" spans="4:12" x14ac:dyDescent="0.25">
      <c r="D1921" s="93"/>
      <c r="E1921" s="93"/>
      <c r="F1921" s="93"/>
      <c r="G1921" s="93"/>
      <c r="H1921" s="93"/>
      <c r="I1921" s="93"/>
      <c r="J1921" s="93"/>
      <c r="K1921" s="93"/>
      <c r="L1921" s="93"/>
    </row>
    <row r="1922" spans="4:12" x14ac:dyDescent="0.25">
      <c r="D1922" s="93"/>
      <c r="E1922" s="93"/>
      <c r="F1922" s="93"/>
      <c r="G1922" s="93"/>
      <c r="H1922" s="93"/>
      <c r="I1922" s="93"/>
      <c r="J1922" s="93"/>
      <c r="K1922" s="93"/>
      <c r="L1922" s="93"/>
    </row>
    <row r="1923" spans="4:12" x14ac:dyDescent="0.25">
      <c r="D1923" s="93"/>
      <c r="E1923" s="93"/>
      <c r="F1923" s="93"/>
      <c r="G1923" s="93"/>
      <c r="H1923" s="93"/>
      <c r="I1923" s="93"/>
      <c r="J1923" s="93"/>
      <c r="K1923" s="93"/>
      <c r="L1923" s="93"/>
    </row>
    <row r="1924" spans="4:12" x14ac:dyDescent="0.25">
      <c r="D1924" s="93"/>
      <c r="E1924" s="93"/>
      <c r="F1924" s="93"/>
      <c r="G1924" s="93"/>
      <c r="H1924" s="93"/>
      <c r="I1924" s="93"/>
      <c r="J1924" s="93"/>
      <c r="K1924" s="93"/>
      <c r="L1924" s="93"/>
    </row>
    <row r="1925" spans="4:12" x14ac:dyDescent="0.25">
      <c r="D1925" s="93"/>
      <c r="E1925" s="93"/>
      <c r="F1925" s="93"/>
      <c r="G1925" s="93"/>
      <c r="H1925" s="93"/>
      <c r="I1925" s="93"/>
      <c r="J1925" s="93"/>
      <c r="K1925" s="93"/>
      <c r="L1925" s="93"/>
    </row>
    <row r="1926" spans="4:12" x14ac:dyDescent="0.25">
      <c r="D1926" s="93"/>
      <c r="E1926" s="93"/>
      <c r="F1926" s="93"/>
      <c r="G1926" s="93"/>
      <c r="H1926" s="93"/>
      <c r="I1926" s="93"/>
      <c r="J1926" s="93"/>
      <c r="K1926" s="93"/>
      <c r="L1926" s="93"/>
    </row>
    <row r="1927" spans="4:12" x14ac:dyDescent="0.25">
      <c r="D1927" s="93"/>
      <c r="E1927" s="93"/>
      <c r="F1927" s="93"/>
      <c r="G1927" s="93"/>
      <c r="H1927" s="93"/>
      <c r="I1927" s="93"/>
      <c r="J1927" s="93"/>
      <c r="K1927" s="93"/>
      <c r="L1927" s="93"/>
    </row>
    <row r="1928" spans="4:12" x14ac:dyDescent="0.25">
      <c r="D1928" s="93"/>
      <c r="E1928" s="93"/>
      <c r="F1928" s="93"/>
      <c r="G1928" s="93"/>
      <c r="H1928" s="93"/>
      <c r="I1928" s="93"/>
      <c r="J1928" s="93"/>
      <c r="K1928" s="93"/>
      <c r="L1928" s="93"/>
    </row>
    <row r="1929" spans="4:12" x14ac:dyDescent="0.25">
      <c r="D1929" s="93"/>
      <c r="E1929" s="93"/>
      <c r="F1929" s="93"/>
      <c r="G1929" s="93"/>
      <c r="H1929" s="93"/>
      <c r="I1929" s="93"/>
      <c r="J1929" s="93"/>
      <c r="K1929" s="93"/>
      <c r="L1929" s="93"/>
    </row>
    <row r="1930" spans="4:12" x14ac:dyDescent="0.25">
      <c r="D1930" s="93"/>
      <c r="E1930" s="93"/>
      <c r="F1930" s="93"/>
      <c r="G1930" s="93"/>
      <c r="H1930" s="93"/>
      <c r="I1930" s="93"/>
      <c r="J1930" s="93"/>
      <c r="K1930" s="93"/>
      <c r="L1930" s="93"/>
    </row>
    <row r="1931" spans="4:12" x14ac:dyDescent="0.25">
      <c r="D1931" s="93"/>
      <c r="E1931" s="93"/>
      <c r="F1931" s="93"/>
      <c r="G1931" s="93"/>
      <c r="H1931" s="93"/>
      <c r="I1931" s="93"/>
      <c r="J1931" s="93"/>
      <c r="K1931" s="93"/>
      <c r="L1931" s="93"/>
    </row>
    <row r="1932" spans="4:12" x14ac:dyDescent="0.25">
      <c r="D1932" s="93"/>
      <c r="E1932" s="93"/>
      <c r="F1932" s="93"/>
      <c r="G1932" s="93"/>
      <c r="H1932" s="93"/>
      <c r="I1932" s="93"/>
      <c r="J1932" s="93"/>
      <c r="K1932" s="93"/>
      <c r="L1932" s="93"/>
    </row>
    <row r="1933" spans="4:12" x14ac:dyDescent="0.25">
      <c r="D1933" s="93"/>
      <c r="E1933" s="93"/>
      <c r="F1933" s="93"/>
      <c r="G1933" s="93"/>
      <c r="H1933" s="93"/>
      <c r="I1933" s="93"/>
      <c r="J1933" s="93"/>
      <c r="K1933" s="93"/>
      <c r="L1933" s="93"/>
    </row>
    <row r="1934" spans="4:12" x14ac:dyDescent="0.25">
      <c r="D1934" s="93"/>
      <c r="E1934" s="93"/>
      <c r="F1934" s="93"/>
      <c r="G1934" s="93"/>
      <c r="H1934" s="93"/>
      <c r="I1934" s="93"/>
      <c r="J1934" s="93"/>
      <c r="K1934" s="93"/>
      <c r="L1934" s="93"/>
    </row>
    <row r="1935" spans="4:12" x14ac:dyDescent="0.25">
      <c r="D1935" s="93"/>
      <c r="E1935" s="93"/>
      <c r="F1935" s="93"/>
      <c r="G1935" s="93"/>
      <c r="H1935" s="93"/>
      <c r="I1935" s="93"/>
      <c r="J1935" s="93"/>
      <c r="K1935" s="93"/>
      <c r="L1935" s="93"/>
    </row>
    <row r="1936" spans="4:12" x14ac:dyDescent="0.25">
      <c r="D1936" s="93"/>
      <c r="E1936" s="93"/>
      <c r="F1936" s="93"/>
      <c r="G1936" s="93"/>
      <c r="H1936" s="93"/>
      <c r="I1936" s="93"/>
      <c r="J1936" s="93"/>
      <c r="K1936" s="93"/>
      <c r="L1936" s="93"/>
    </row>
    <row r="1937" spans="4:12" x14ac:dyDescent="0.25">
      <c r="D1937" s="93"/>
      <c r="E1937" s="93"/>
      <c r="F1937" s="93"/>
      <c r="G1937" s="93"/>
      <c r="H1937" s="93"/>
      <c r="I1937" s="93"/>
      <c r="J1937" s="93"/>
      <c r="K1937" s="93"/>
      <c r="L1937" s="93"/>
    </row>
    <row r="1938" spans="4:12" x14ac:dyDescent="0.25">
      <c r="D1938" s="93"/>
      <c r="E1938" s="93"/>
      <c r="F1938" s="93"/>
      <c r="G1938" s="93"/>
      <c r="H1938" s="93"/>
      <c r="I1938" s="93"/>
      <c r="J1938" s="93"/>
      <c r="K1938" s="93"/>
      <c r="L1938" s="93"/>
    </row>
    <row r="1939" spans="4:12" x14ac:dyDescent="0.25">
      <c r="D1939" s="93"/>
      <c r="E1939" s="93"/>
      <c r="F1939" s="93"/>
      <c r="G1939" s="93"/>
      <c r="H1939" s="93"/>
      <c r="I1939" s="93"/>
      <c r="J1939" s="93"/>
      <c r="K1939" s="93"/>
      <c r="L1939" s="93"/>
    </row>
    <row r="1940" spans="4:12" x14ac:dyDescent="0.25">
      <c r="D1940" s="93"/>
      <c r="E1940" s="93"/>
      <c r="F1940" s="93"/>
      <c r="G1940" s="93"/>
      <c r="H1940" s="93"/>
      <c r="I1940" s="93"/>
      <c r="J1940" s="93"/>
      <c r="K1940" s="93"/>
      <c r="L1940" s="93"/>
    </row>
    <row r="1941" spans="4:12" x14ac:dyDescent="0.25">
      <c r="D1941" s="93"/>
      <c r="E1941" s="93"/>
      <c r="F1941" s="93"/>
      <c r="G1941" s="93"/>
      <c r="H1941" s="93"/>
      <c r="I1941" s="93"/>
      <c r="J1941" s="93"/>
      <c r="K1941" s="93"/>
      <c r="L1941" s="93"/>
    </row>
    <row r="1942" spans="4:12" x14ac:dyDescent="0.25">
      <c r="D1942" s="93"/>
      <c r="E1942" s="93"/>
      <c r="F1942" s="93"/>
      <c r="G1942" s="93"/>
      <c r="H1942" s="93"/>
      <c r="I1942" s="93"/>
      <c r="J1942" s="93"/>
      <c r="K1942" s="93"/>
      <c r="L1942" s="93"/>
    </row>
    <row r="1943" spans="4:12" x14ac:dyDescent="0.25">
      <c r="D1943" s="93"/>
      <c r="E1943" s="93"/>
      <c r="F1943" s="93"/>
      <c r="G1943" s="93"/>
      <c r="H1943" s="93"/>
      <c r="I1943" s="93"/>
      <c r="J1943" s="93"/>
      <c r="K1943" s="93"/>
      <c r="L1943" s="93"/>
    </row>
    <row r="1944" spans="4:12" x14ac:dyDescent="0.25">
      <c r="D1944" s="93"/>
      <c r="E1944" s="93"/>
      <c r="F1944" s="93"/>
      <c r="G1944" s="93"/>
      <c r="H1944" s="93"/>
      <c r="I1944" s="93"/>
      <c r="J1944" s="93"/>
      <c r="K1944" s="93"/>
      <c r="L1944" s="93"/>
    </row>
    <row r="1945" spans="4:12" x14ac:dyDescent="0.25">
      <c r="D1945" s="93"/>
      <c r="E1945" s="93"/>
      <c r="F1945" s="93"/>
      <c r="G1945" s="93"/>
      <c r="H1945" s="93"/>
      <c r="I1945" s="93"/>
      <c r="J1945" s="93"/>
      <c r="K1945" s="93"/>
      <c r="L1945" s="93"/>
    </row>
    <row r="1946" spans="4:12" x14ac:dyDescent="0.25">
      <c r="D1946" s="93"/>
      <c r="E1946" s="93"/>
      <c r="F1946" s="93"/>
      <c r="G1946" s="93"/>
      <c r="H1946" s="93"/>
      <c r="I1946" s="93"/>
      <c r="J1946" s="93"/>
      <c r="K1946" s="93"/>
      <c r="L1946" s="93"/>
    </row>
    <row r="1947" spans="4:12" x14ac:dyDescent="0.25">
      <c r="D1947" s="93"/>
      <c r="E1947" s="93"/>
      <c r="F1947" s="93"/>
      <c r="G1947" s="93"/>
      <c r="H1947" s="93"/>
      <c r="I1947" s="93"/>
      <c r="J1947" s="93"/>
      <c r="K1947" s="93"/>
      <c r="L1947" s="93"/>
    </row>
    <row r="1948" spans="4:12" x14ac:dyDescent="0.25">
      <c r="D1948" s="93"/>
      <c r="E1948" s="93"/>
      <c r="F1948" s="93"/>
      <c r="G1948" s="93"/>
      <c r="H1948" s="93"/>
      <c r="I1948" s="93"/>
      <c r="J1948" s="93"/>
      <c r="K1948" s="93"/>
      <c r="L1948" s="93"/>
    </row>
    <row r="1949" spans="4:12" x14ac:dyDescent="0.25">
      <c r="D1949" s="93"/>
      <c r="E1949" s="93"/>
      <c r="F1949" s="93"/>
      <c r="G1949" s="93"/>
      <c r="H1949" s="93"/>
      <c r="I1949" s="93"/>
      <c r="J1949" s="93"/>
      <c r="K1949" s="93"/>
      <c r="L1949" s="93"/>
    </row>
    <row r="1950" spans="4:12" x14ac:dyDescent="0.25">
      <c r="D1950" s="93"/>
      <c r="E1950" s="93"/>
      <c r="F1950" s="93"/>
      <c r="G1950" s="93"/>
      <c r="H1950" s="93"/>
      <c r="I1950" s="93"/>
      <c r="J1950" s="93"/>
      <c r="K1950" s="93"/>
      <c r="L1950" s="93"/>
    </row>
    <row r="1951" spans="4:12" x14ac:dyDescent="0.25">
      <c r="D1951" s="93"/>
      <c r="E1951" s="93"/>
      <c r="F1951" s="93"/>
      <c r="G1951" s="93"/>
      <c r="H1951" s="93"/>
      <c r="I1951" s="93"/>
      <c r="J1951" s="93"/>
      <c r="K1951" s="93"/>
      <c r="L1951" s="93"/>
    </row>
    <row r="1952" spans="4:12" x14ac:dyDescent="0.25">
      <c r="D1952" s="93"/>
      <c r="E1952" s="93"/>
      <c r="F1952" s="93"/>
      <c r="G1952" s="93"/>
      <c r="H1952" s="93"/>
      <c r="I1952" s="93"/>
      <c r="J1952" s="93"/>
      <c r="K1952" s="93"/>
      <c r="L1952" s="93"/>
    </row>
    <row r="1953" spans="4:12" x14ac:dyDescent="0.25">
      <c r="D1953" s="93"/>
      <c r="E1953" s="93"/>
      <c r="F1953" s="93"/>
      <c r="G1953" s="93"/>
      <c r="H1953" s="93"/>
      <c r="I1953" s="93"/>
      <c r="J1953" s="93"/>
      <c r="K1953" s="93"/>
      <c r="L1953" s="93"/>
    </row>
    <row r="1954" spans="4:12" x14ac:dyDescent="0.25">
      <c r="D1954" s="93"/>
      <c r="E1954" s="93"/>
      <c r="F1954" s="93"/>
      <c r="G1954" s="93"/>
      <c r="H1954" s="93"/>
      <c r="I1954" s="93"/>
      <c r="J1954" s="93"/>
      <c r="K1954" s="93"/>
      <c r="L1954" s="93"/>
    </row>
    <row r="1955" spans="4:12" x14ac:dyDescent="0.25">
      <c r="D1955" s="93"/>
      <c r="E1955" s="93"/>
      <c r="F1955" s="93"/>
      <c r="G1955" s="93"/>
      <c r="H1955" s="93"/>
      <c r="I1955" s="93"/>
      <c r="J1955" s="93"/>
      <c r="K1955" s="93"/>
      <c r="L1955" s="93"/>
    </row>
    <row r="1956" spans="4:12" x14ac:dyDescent="0.25">
      <c r="D1956" s="93"/>
      <c r="E1956" s="93"/>
      <c r="F1956" s="93"/>
      <c r="G1956" s="93"/>
      <c r="H1956" s="93"/>
      <c r="I1956" s="93"/>
      <c r="J1956" s="93"/>
      <c r="K1956" s="93"/>
      <c r="L1956" s="93"/>
    </row>
    <row r="1957" spans="4:12" x14ac:dyDescent="0.25">
      <c r="D1957" s="93"/>
      <c r="E1957" s="93"/>
      <c r="F1957" s="93"/>
      <c r="G1957" s="93"/>
      <c r="H1957" s="93"/>
      <c r="I1957" s="93"/>
      <c r="J1957" s="93"/>
      <c r="K1957" s="93"/>
      <c r="L1957" s="93"/>
    </row>
    <row r="1958" spans="4:12" x14ac:dyDescent="0.25">
      <c r="D1958" s="93"/>
      <c r="E1958" s="93"/>
      <c r="F1958" s="93"/>
      <c r="G1958" s="93"/>
      <c r="H1958" s="93"/>
      <c r="I1958" s="93"/>
      <c r="J1958" s="93"/>
      <c r="K1958" s="93"/>
      <c r="L1958" s="93"/>
    </row>
    <row r="1959" spans="4:12" x14ac:dyDescent="0.25">
      <c r="D1959" s="93"/>
      <c r="E1959" s="93"/>
      <c r="F1959" s="93"/>
      <c r="G1959" s="93"/>
      <c r="H1959" s="93"/>
      <c r="I1959" s="93"/>
      <c r="J1959" s="93"/>
      <c r="K1959" s="93"/>
      <c r="L1959" s="93"/>
    </row>
    <row r="1960" spans="4:12" x14ac:dyDescent="0.25">
      <c r="D1960" s="93"/>
      <c r="E1960" s="93"/>
      <c r="F1960" s="93"/>
      <c r="G1960" s="93"/>
      <c r="H1960" s="93"/>
      <c r="I1960" s="93"/>
      <c r="J1960" s="93"/>
      <c r="K1960" s="93"/>
      <c r="L1960" s="93"/>
    </row>
    <row r="1961" spans="4:12" x14ac:dyDescent="0.25">
      <c r="D1961" s="93"/>
      <c r="E1961" s="93"/>
      <c r="F1961" s="93"/>
      <c r="G1961" s="93"/>
      <c r="H1961" s="93"/>
      <c r="I1961" s="93"/>
      <c r="J1961" s="93"/>
      <c r="K1961" s="93"/>
      <c r="L1961" s="93"/>
    </row>
    <row r="1962" spans="4:12" x14ac:dyDescent="0.25">
      <c r="D1962" s="93"/>
      <c r="E1962" s="93"/>
      <c r="F1962" s="93"/>
      <c r="G1962" s="93"/>
      <c r="H1962" s="93"/>
      <c r="I1962" s="93"/>
      <c r="J1962" s="93"/>
      <c r="K1962" s="93"/>
      <c r="L1962" s="93"/>
    </row>
    <row r="1963" spans="4:12" x14ac:dyDescent="0.25">
      <c r="D1963" s="93"/>
      <c r="E1963" s="93"/>
      <c r="F1963" s="93"/>
      <c r="G1963" s="93"/>
      <c r="H1963" s="93"/>
      <c r="I1963" s="93"/>
      <c r="J1963" s="93"/>
      <c r="K1963" s="93"/>
      <c r="L1963" s="93"/>
    </row>
    <row r="1964" spans="4:12" x14ac:dyDescent="0.25">
      <c r="D1964" s="93"/>
      <c r="E1964" s="93"/>
      <c r="F1964" s="93"/>
      <c r="G1964" s="93"/>
      <c r="H1964" s="93"/>
      <c r="I1964" s="93"/>
      <c r="J1964" s="93"/>
      <c r="K1964" s="93"/>
      <c r="L1964" s="93"/>
    </row>
    <row r="1965" spans="4:12" x14ac:dyDescent="0.25">
      <c r="D1965" s="93"/>
      <c r="E1965" s="93"/>
      <c r="F1965" s="93"/>
      <c r="G1965" s="93"/>
      <c r="H1965" s="93"/>
      <c r="I1965" s="93"/>
      <c r="J1965" s="93"/>
      <c r="K1965" s="93"/>
      <c r="L1965" s="93"/>
    </row>
    <row r="1966" spans="4:12" x14ac:dyDescent="0.25">
      <c r="D1966" s="93"/>
      <c r="E1966" s="93"/>
      <c r="F1966" s="93"/>
      <c r="G1966" s="93"/>
      <c r="H1966" s="93"/>
      <c r="I1966" s="93"/>
      <c r="J1966" s="93"/>
      <c r="K1966" s="93"/>
      <c r="L1966" s="93"/>
    </row>
    <row r="1967" spans="4:12" x14ac:dyDescent="0.25">
      <c r="D1967" s="93"/>
      <c r="E1967" s="93"/>
      <c r="F1967" s="93"/>
      <c r="G1967" s="93"/>
      <c r="H1967" s="93"/>
      <c r="I1967" s="93"/>
      <c r="J1967" s="93"/>
      <c r="K1967" s="93"/>
      <c r="L1967" s="93"/>
    </row>
    <row r="1968" spans="4:12" x14ac:dyDescent="0.25">
      <c r="D1968" s="93"/>
      <c r="E1968" s="93"/>
      <c r="F1968" s="93"/>
      <c r="G1968" s="93"/>
      <c r="H1968" s="93"/>
      <c r="I1968" s="93"/>
      <c r="J1968" s="93"/>
      <c r="K1968" s="93"/>
      <c r="L1968" s="93"/>
    </row>
    <row r="1969" spans="4:12" x14ac:dyDescent="0.25">
      <c r="D1969" s="93"/>
      <c r="E1969" s="93"/>
      <c r="F1969" s="93"/>
      <c r="G1969" s="93"/>
      <c r="H1969" s="93"/>
      <c r="I1969" s="93"/>
      <c r="J1969" s="93"/>
      <c r="K1969" s="93"/>
      <c r="L1969" s="93"/>
    </row>
    <row r="1970" spans="4:12" x14ac:dyDescent="0.25">
      <c r="D1970" s="93"/>
      <c r="E1970" s="93"/>
      <c r="F1970" s="93"/>
      <c r="G1970" s="93"/>
      <c r="H1970" s="93"/>
      <c r="I1970" s="93"/>
      <c r="J1970" s="93"/>
      <c r="K1970" s="93"/>
      <c r="L1970" s="93"/>
    </row>
    <row r="1971" spans="4:12" x14ac:dyDescent="0.25">
      <c r="D1971" s="93"/>
      <c r="E1971" s="93"/>
      <c r="F1971" s="93"/>
      <c r="G1971" s="93"/>
      <c r="H1971" s="93"/>
      <c r="I1971" s="93"/>
      <c r="J1971" s="93"/>
      <c r="K1971" s="93"/>
      <c r="L1971" s="93"/>
    </row>
    <row r="1972" spans="4:12" x14ac:dyDescent="0.25">
      <c r="D1972" s="93"/>
      <c r="E1972" s="93"/>
      <c r="F1972" s="93"/>
      <c r="G1972" s="93"/>
      <c r="H1972" s="93"/>
      <c r="I1972" s="93"/>
      <c r="J1972" s="93"/>
      <c r="K1972" s="93"/>
      <c r="L1972" s="93"/>
    </row>
    <row r="1973" spans="4:12" x14ac:dyDescent="0.25">
      <c r="D1973" s="93"/>
      <c r="E1973" s="93"/>
      <c r="F1973" s="93"/>
      <c r="G1973" s="93"/>
      <c r="H1973" s="93"/>
      <c r="I1973" s="93"/>
      <c r="J1973" s="93"/>
      <c r="K1973" s="93"/>
      <c r="L1973" s="93"/>
    </row>
    <row r="1974" spans="4:12" x14ac:dyDescent="0.25">
      <c r="D1974" s="93"/>
      <c r="E1974" s="93"/>
      <c r="F1974" s="93"/>
      <c r="G1974" s="93"/>
      <c r="H1974" s="93"/>
      <c r="I1974" s="93"/>
      <c r="J1974" s="93"/>
      <c r="K1974" s="93"/>
      <c r="L1974" s="93"/>
    </row>
    <row r="1975" spans="4:12" x14ac:dyDescent="0.25">
      <c r="D1975" s="93"/>
      <c r="E1975" s="93"/>
      <c r="F1975" s="93"/>
      <c r="G1975" s="93"/>
      <c r="H1975" s="93"/>
      <c r="I1975" s="93"/>
      <c r="J1975" s="93"/>
      <c r="K1975" s="93"/>
      <c r="L1975" s="93"/>
    </row>
    <row r="1976" spans="4:12" x14ac:dyDescent="0.25">
      <c r="D1976" s="93"/>
      <c r="E1976" s="93"/>
      <c r="F1976" s="93"/>
      <c r="G1976" s="93"/>
      <c r="H1976" s="93"/>
      <c r="I1976" s="93"/>
      <c r="J1976" s="93"/>
      <c r="K1976" s="93"/>
      <c r="L1976" s="93"/>
    </row>
    <row r="1977" spans="4:12" x14ac:dyDescent="0.25">
      <c r="D1977" s="93"/>
      <c r="E1977" s="93"/>
      <c r="F1977" s="93"/>
      <c r="G1977" s="93"/>
      <c r="H1977" s="93"/>
      <c r="I1977" s="93"/>
      <c r="J1977" s="93"/>
      <c r="K1977" s="93"/>
      <c r="L1977" s="93"/>
    </row>
    <row r="1978" spans="4:12" x14ac:dyDescent="0.25">
      <c r="D1978" s="93"/>
      <c r="E1978" s="93"/>
      <c r="F1978" s="93"/>
      <c r="G1978" s="93"/>
      <c r="H1978" s="93"/>
      <c r="I1978" s="93"/>
      <c r="J1978" s="93"/>
      <c r="K1978" s="93"/>
      <c r="L1978" s="93"/>
    </row>
    <row r="1979" spans="4:12" x14ac:dyDescent="0.25">
      <c r="D1979" s="93"/>
      <c r="E1979" s="93"/>
      <c r="F1979" s="93"/>
      <c r="G1979" s="93"/>
      <c r="H1979" s="93"/>
      <c r="I1979" s="93"/>
      <c r="J1979" s="93"/>
      <c r="K1979" s="93"/>
      <c r="L1979" s="93"/>
    </row>
    <row r="1980" spans="4:12" x14ac:dyDescent="0.25">
      <c r="D1980" s="93"/>
      <c r="E1980" s="93"/>
      <c r="F1980" s="93"/>
      <c r="G1980" s="93"/>
      <c r="H1980" s="93"/>
      <c r="I1980" s="93"/>
      <c r="J1980" s="93"/>
      <c r="K1980" s="93"/>
      <c r="L1980" s="93"/>
    </row>
    <row r="1981" spans="4:12" x14ac:dyDescent="0.25">
      <c r="D1981" s="93"/>
      <c r="E1981" s="93"/>
      <c r="F1981" s="93"/>
      <c r="G1981" s="93"/>
      <c r="H1981" s="93"/>
      <c r="I1981" s="93"/>
      <c r="J1981" s="93"/>
      <c r="K1981" s="93"/>
      <c r="L1981" s="93"/>
    </row>
    <row r="1982" spans="4:12" x14ac:dyDescent="0.25">
      <c r="D1982" s="93"/>
      <c r="E1982" s="93"/>
      <c r="F1982" s="93"/>
      <c r="G1982" s="93"/>
      <c r="H1982" s="93"/>
      <c r="I1982" s="93"/>
      <c r="J1982" s="93"/>
      <c r="K1982" s="93"/>
      <c r="L1982" s="93"/>
    </row>
    <row r="1983" spans="4:12" x14ac:dyDescent="0.25">
      <c r="D1983" s="93"/>
      <c r="E1983" s="93"/>
      <c r="F1983" s="93"/>
      <c r="G1983" s="93"/>
      <c r="H1983" s="93"/>
      <c r="I1983" s="93"/>
      <c r="J1983" s="93"/>
      <c r="K1983" s="93"/>
      <c r="L1983" s="93"/>
    </row>
    <row r="1984" spans="4:12" x14ac:dyDescent="0.25">
      <c r="D1984" s="93"/>
      <c r="E1984" s="93"/>
      <c r="F1984" s="93"/>
      <c r="G1984" s="93"/>
      <c r="H1984" s="93"/>
      <c r="I1984" s="93"/>
      <c r="J1984" s="93"/>
      <c r="K1984" s="93"/>
      <c r="L1984" s="93"/>
    </row>
    <row r="1985" spans="4:12" x14ac:dyDescent="0.25">
      <c r="D1985" s="93"/>
      <c r="E1985" s="93"/>
      <c r="F1985" s="93"/>
      <c r="G1985" s="93"/>
      <c r="H1985" s="93"/>
      <c r="I1985" s="93"/>
      <c r="J1985" s="93"/>
      <c r="K1985" s="93"/>
      <c r="L1985" s="93"/>
    </row>
    <row r="1986" spans="4:12" x14ac:dyDescent="0.25">
      <c r="D1986" s="93"/>
      <c r="E1986" s="93"/>
      <c r="F1986" s="93"/>
      <c r="G1986" s="93"/>
      <c r="H1986" s="93"/>
      <c r="I1986" s="93"/>
      <c r="J1986" s="93"/>
      <c r="K1986" s="93"/>
      <c r="L1986" s="93"/>
    </row>
    <row r="1987" spans="4:12" x14ac:dyDescent="0.25">
      <c r="D1987" s="93"/>
      <c r="E1987" s="93"/>
      <c r="F1987" s="93"/>
      <c r="G1987" s="93"/>
      <c r="H1987" s="93"/>
      <c r="I1987" s="93"/>
      <c r="J1987" s="93"/>
      <c r="K1987" s="93"/>
      <c r="L1987" s="93"/>
    </row>
    <row r="1988" spans="4:12" x14ac:dyDescent="0.25">
      <c r="D1988" s="93"/>
      <c r="E1988" s="93"/>
      <c r="F1988" s="93"/>
      <c r="G1988" s="93"/>
      <c r="H1988" s="93"/>
      <c r="I1988" s="93"/>
      <c r="J1988" s="93"/>
      <c r="K1988" s="93"/>
      <c r="L1988" s="93"/>
    </row>
    <row r="1989" spans="4:12" x14ac:dyDescent="0.25">
      <c r="D1989" s="93"/>
      <c r="E1989" s="93"/>
      <c r="F1989" s="93"/>
      <c r="G1989" s="93"/>
      <c r="H1989" s="93"/>
      <c r="I1989" s="93"/>
      <c r="J1989" s="93"/>
      <c r="K1989" s="93"/>
      <c r="L1989" s="93"/>
    </row>
    <row r="1990" spans="4:12" x14ac:dyDescent="0.25">
      <c r="D1990" s="93"/>
      <c r="E1990" s="93"/>
      <c r="F1990" s="93"/>
      <c r="G1990" s="93"/>
      <c r="H1990" s="93"/>
      <c r="I1990" s="93"/>
      <c r="J1990" s="93"/>
      <c r="K1990" s="93"/>
      <c r="L1990" s="93"/>
    </row>
    <row r="1991" spans="4:12" x14ac:dyDescent="0.25">
      <c r="D1991" s="93"/>
      <c r="E1991" s="93"/>
      <c r="F1991" s="93"/>
      <c r="G1991" s="93"/>
      <c r="H1991" s="93"/>
      <c r="I1991" s="93"/>
      <c r="J1991" s="93"/>
      <c r="K1991" s="93"/>
      <c r="L1991" s="93"/>
    </row>
    <row r="1992" spans="4:12" x14ac:dyDescent="0.25">
      <c r="D1992" s="93"/>
      <c r="E1992" s="93"/>
      <c r="F1992" s="93"/>
      <c r="G1992" s="93"/>
      <c r="H1992" s="93"/>
      <c r="I1992" s="93"/>
      <c r="J1992" s="93"/>
      <c r="K1992" s="93"/>
      <c r="L1992" s="93"/>
    </row>
    <row r="1993" spans="4:12" x14ac:dyDescent="0.25">
      <c r="D1993" s="93"/>
      <c r="E1993" s="93"/>
      <c r="F1993" s="93"/>
      <c r="G1993" s="93"/>
      <c r="H1993" s="93"/>
      <c r="I1993" s="93"/>
      <c r="J1993" s="93"/>
      <c r="K1993" s="93"/>
      <c r="L1993" s="93"/>
    </row>
    <row r="1994" spans="4:12" x14ac:dyDescent="0.25">
      <c r="D1994" s="93"/>
      <c r="E1994" s="93"/>
      <c r="F1994" s="93"/>
      <c r="G1994" s="93"/>
      <c r="H1994" s="93"/>
      <c r="I1994" s="93"/>
      <c r="J1994" s="93"/>
      <c r="K1994" s="93"/>
      <c r="L1994" s="93"/>
    </row>
    <row r="1995" spans="4:12" x14ac:dyDescent="0.25">
      <c r="D1995" s="93"/>
      <c r="E1995" s="93"/>
      <c r="F1995" s="93"/>
      <c r="G1995" s="93"/>
      <c r="H1995" s="93"/>
      <c r="I1995" s="93"/>
      <c r="J1995" s="93"/>
      <c r="K1995" s="93"/>
      <c r="L1995" s="93"/>
    </row>
    <row r="1996" spans="4:12" x14ac:dyDescent="0.25">
      <c r="D1996" s="93"/>
      <c r="E1996" s="93"/>
      <c r="F1996" s="93"/>
      <c r="G1996" s="93"/>
      <c r="H1996" s="93"/>
      <c r="I1996" s="93"/>
      <c r="J1996" s="93"/>
      <c r="K1996" s="93"/>
      <c r="L1996" s="93"/>
    </row>
    <row r="1997" spans="4:12" x14ac:dyDescent="0.25">
      <c r="D1997" s="93"/>
      <c r="E1997" s="93"/>
      <c r="F1997" s="93"/>
      <c r="G1997" s="93"/>
      <c r="H1997" s="93"/>
      <c r="I1997" s="93"/>
      <c r="J1997" s="93"/>
      <c r="K1997" s="93"/>
      <c r="L1997" s="93"/>
    </row>
    <row r="1998" spans="4:12" x14ac:dyDescent="0.25">
      <c r="D1998" s="93"/>
      <c r="E1998" s="93"/>
      <c r="F1998" s="93"/>
      <c r="G1998" s="93"/>
      <c r="H1998" s="93"/>
      <c r="I1998" s="93"/>
      <c r="J1998" s="93"/>
      <c r="K1998" s="93"/>
      <c r="L1998" s="93"/>
    </row>
    <row r="1999" spans="4:12" x14ac:dyDescent="0.25">
      <c r="D1999" s="93"/>
      <c r="E1999" s="93"/>
      <c r="F1999" s="93"/>
      <c r="G1999" s="93"/>
      <c r="H1999" s="93"/>
      <c r="I1999" s="93"/>
      <c r="J1999" s="93"/>
      <c r="K1999" s="93"/>
      <c r="L1999" s="93"/>
    </row>
    <row r="2000" spans="4:12" x14ac:dyDescent="0.25">
      <c r="D2000" s="93"/>
      <c r="E2000" s="93"/>
      <c r="F2000" s="93"/>
      <c r="G2000" s="93"/>
      <c r="H2000" s="93"/>
      <c r="I2000" s="93"/>
      <c r="J2000" s="93"/>
      <c r="K2000" s="93"/>
      <c r="L2000" s="93"/>
    </row>
    <row r="2001" spans="4:12" x14ac:dyDescent="0.25">
      <c r="D2001" s="93"/>
      <c r="E2001" s="93"/>
      <c r="F2001" s="93"/>
      <c r="G2001" s="93"/>
      <c r="H2001" s="93"/>
      <c r="I2001" s="93"/>
      <c r="J2001" s="93"/>
      <c r="K2001" s="93"/>
      <c r="L2001" s="93"/>
    </row>
    <row r="2002" spans="4:12" x14ac:dyDescent="0.25">
      <c r="D2002" s="93"/>
      <c r="E2002" s="93"/>
      <c r="F2002" s="93"/>
      <c r="G2002" s="93"/>
      <c r="H2002" s="93"/>
      <c r="I2002" s="93"/>
      <c r="J2002" s="93"/>
      <c r="K2002" s="93"/>
      <c r="L2002" s="93"/>
    </row>
    <row r="2003" spans="4:12" x14ac:dyDescent="0.25">
      <c r="D2003" s="93"/>
      <c r="E2003" s="93"/>
      <c r="F2003" s="93"/>
      <c r="G2003" s="93"/>
      <c r="H2003" s="93"/>
      <c r="I2003" s="93"/>
      <c r="J2003" s="93"/>
      <c r="K2003" s="93"/>
      <c r="L2003" s="93"/>
    </row>
    <row r="2004" spans="4:12" x14ac:dyDescent="0.25">
      <c r="D2004" s="93"/>
      <c r="E2004" s="93"/>
      <c r="F2004" s="93"/>
      <c r="G2004" s="93"/>
      <c r="H2004" s="93"/>
      <c r="I2004" s="93"/>
      <c r="J2004" s="93"/>
      <c r="K2004" s="93"/>
      <c r="L2004" s="93"/>
    </row>
    <row r="2005" spans="4:12" x14ac:dyDescent="0.25">
      <c r="D2005" s="93"/>
      <c r="E2005" s="93"/>
      <c r="F2005" s="93"/>
      <c r="G2005" s="93"/>
      <c r="H2005" s="93"/>
      <c r="I2005" s="93"/>
      <c r="J2005" s="93"/>
      <c r="K2005" s="93"/>
      <c r="L2005" s="93"/>
    </row>
    <row r="2006" spans="4:12" x14ac:dyDescent="0.25">
      <c r="D2006" s="93"/>
      <c r="E2006" s="93"/>
      <c r="F2006" s="93"/>
      <c r="G2006" s="93"/>
      <c r="H2006" s="93"/>
      <c r="I2006" s="93"/>
      <c r="J2006" s="93"/>
      <c r="K2006" s="93"/>
      <c r="L2006" s="93"/>
    </row>
    <row r="2007" spans="4:12" x14ac:dyDescent="0.25">
      <c r="D2007" s="93"/>
      <c r="E2007" s="93"/>
      <c r="F2007" s="93"/>
      <c r="G2007" s="93"/>
      <c r="H2007" s="93"/>
      <c r="I2007" s="93"/>
      <c r="J2007" s="93"/>
      <c r="K2007" s="93"/>
      <c r="L2007" s="93"/>
    </row>
    <row r="2008" spans="4:12" x14ac:dyDescent="0.25">
      <c r="D2008" s="93"/>
      <c r="E2008" s="93"/>
      <c r="F2008" s="93"/>
      <c r="G2008" s="93"/>
      <c r="H2008" s="93"/>
      <c r="I2008" s="93"/>
      <c r="J2008" s="93"/>
      <c r="K2008" s="93"/>
      <c r="L2008" s="93"/>
    </row>
    <row r="2009" spans="4:12" x14ac:dyDescent="0.25">
      <c r="D2009" s="93"/>
      <c r="E2009" s="93"/>
      <c r="F2009" s="93"/>
      <c r="G2009" s="93"/>
      <c r="H2009" s="93"/>
      <c r="I2009" s="93"/>
      <c r="J2009" s="93"/>
      <c r="K2009" s="93"/>
      <c r="L2009" s="93"/>
    </row>
    <row r="2010" spans="4:12" x14ac:dyDescent="0.25">
      <c r="D2010" s="93"/>
      <c r="E2010" s="93"/>
      <c r="F2010" s="93"/>
      <c r="G2010" s="93"/>
      <c r="H2010" s="93"/>
      <c r="I2010" s="93"/>
      <c r="J2010" s="93"/>
      <c r="K2010" s="93"/>
      <c r="L2010" s="93"/>
    </row>
    <row r="2011" spans="4:12" x14ac:dyDescent="0.25">
      <c r="D2011" s="93"/>
      <c r="E2011" s="93"/>
      <c r="F2011" s="93"/>
      <c r="G2011" s="93"/>
      <c r="H2011" s="93"/>
      <c r="I2011" s="93"/>
      <c r="J2011" s="93"/>
      <c r="K2011" s="93"/>
      <c r="L2011" s="93"/>
    </row>
    <row r="2012" spans="4:12" x14ac:dyDescent="0.25">
      <c r="D2012" s="93"/>
      <c r="E2012" s="93"/>
      <c r="F2012" s="93"/>
      <c r="G2012" s="93"/>
      <c r="H2012" s="93"/>
      <c r="I2012" s="93"/>
      <c r="J2012" s="93"/>
      <c r="K2012" s="93"/>
      <c r="L2012" s="93"/>
    </row>
    <row r="2013" spans="4:12" x14ac:dyDescent="0.25">
      <c r="D2013" s="93"/>
      <c r="E2013" s="93"/>
      <c r="F2013" s="93"/>
      <c r="G2013" s="93"/>
      <c r="H2013" s="93"/>
      <c r="I2013" s="93"/>
      <c r="J2013" s="93"/>
      <c r="K2013" s="93"/>
      <c r="L2013" s="93"/>
    </row>
    <row r="2014" spans="4:12" x14ac:dyDescent="0.25">
      <c r="D2014" s="93"/>
      <c r="E2014" s="93"/>
      <c r="F2014" s="93"/>
      <c r="G2014" s="93"/>
      <c r="H2014" s="93"/>
      <c r="I2014" s="93"/>
      <c r="J2014" s="93"/>
      <c r="K2014" s="93"/>
      <c r="L2014" s="93"/>
    </row>
    <row r="2015" spans="4:12" x14ac:dyDescent="0.25">
      <c r="D2015" s="93"/>
      <c r="E2015" s="93"/>
      <c r="F2015" s="93"/>
      <c r="G2015" s="93"/>
      <c r="H2015" s="93"/>
      <c r="I2015" s="93"/>
      <c r="J2015" s="93"/>
      <c r="K2015" s="93"/>
      <c r="L2015" s="93"/>
    </row>
    <row r="2016" spans="4:12" x14ac:dyDescent="0.25">
      <c r="D2016" s="93"/>
      <c r="E2016" s="93"/>
      <c r="F2016" s="93"/>
      <c r="G2016" s="93"/>
      <c r="H2016" s="93"/>
      <c r="I2016" s="93"/>
      <c r="J2016" s="93"/>
      <c r="K2016" s="93"/>
      <c r="L2016" s="93"/>
    </row>
    <row r="2017" spans="4:12" x14ac:dyDescent="0.25">
      <c r="D2017" s="93"/>
      <c r="E2017" s="93"/>
      <c r="F2017" s="93"/>
      <c r="G2017" s="93"/>
      <c r="H2017" s="93"/>
      <c r="I2017" s="93"/>
      <c r="J2017" s="93"/>
      <c r="K2017" s="93"/>
      <c r="L2017" s="93"/>
    </row>
    <row r="2018" spans="4:12" x14ac:dyDescent="0.25">
      <c r="D2018" s="93"/>
      <c r="E2018" s="93"/>
      <c r="F2018" s="93"/>
      <c r="G2018" s="93"/>
      <c r="H2018" s="93"/>
      <c r="I2018" s="93"/>
      <c r="J2018" s="93"/>
      <c r="K2018" s="93"/>
      <c r="L2018" s="93"/>
    </row>
    <row r="2019" spans="4:12" x14ac:dyDescent="0.25">
      <c r="D2019" s="93"/>
      <c r="E2019" s="93"/>
      <c r="F2019" s="93"/>
      <c r="G2019" s="93"/>
      <c r="H2019" s="93"/>
      <c r="I2019" s="93"/>
      <c r="J2019" s="93"/>
      <c r="K2019" s="93"/>
      <c r="L2019" s="93"/>
    </row>
    <row r="2020" spans="4:12" x14ac:dyDescent="0.25">
      <c r="D2020" s="93"/>
      <c r="E2020" s="93"/>
      <c r="F2020" s="93"/>
      <c r="G2020" s="93"/>
      <c r="H2020" s="93"/>
      <c r="I2020" s="93"/>
      <c r="J2020" s="93"/>
      <c r="K2020" s="93"/>
      <c r="L2020" s="93"/>
    </row>
    <row r="2021" spans="4:12" x14ac:dyDescent="0.25">
      <c r="D2021" s="93"/>
      <c r="E2021" s="93"/>
      <c r="F2021" s="93"/>
      <c r="G2021" s="93"/>
      <c r="H2021" s="93"/>
      <c r="I2021" s="93"/>
      <c r="J2021" s="93"/>
      <c r="K2021" s="93"/>
      <c r="L2021" s="93"/>
    </row>
    <row r="2022" spans="4:12" x14ac:dyDescent="0.25">
      <c r="D2022" s="93"/>
      <c r="E2022" s="93"/>
      <c r="F2022" s="93"/>
      <c r="G2022" s="93"/>
      <c r="H2022" s="93"/>
      <c r="I2022" s="93"/>
      <c r="J2022" s="93"/>
      <c r="K2022" s="93"/>
      <c r="L2022" s="93"/>
    </row>
    <row r="2023" spans="4:12" x14ac:dyDescent="0.25">
      <c r="D2023" s="93"/>
      <c r="E2023" s="93"/>
      <c r="F2023" s="93"/>
      <c r="G2023" s="93"/>
      <c r="H2023" s="93"/>
      <c r="I2023" s="93"/>
      <c r="J2023" s="93"/>
      <c r="K2023" s="93"/>
      <c r="L2023" s="93"/>
    </row>
    <row r="2024" spans="4:12" x14ac:dyDescent="0.25">
      <c r="D2024" s="93"/>
      <c r="E2024" s="93"/>
      <c r="F2024" s="93"/>
      <c r="G2024" s="93"/>
      <c r="H2024" s="93"/>
      <c r="I2024" s="93"/>
      <c r="J2024" s="93"/>
      <c r="K2024" s="93"/>
      <c r="L2024" s="93"/>
    </row>
    <row r="2025" spans="4:12" x14ac:dyDescent="0.25">
      <c r="D2025" s="93"/>
      <c r="E2025" s="93"/>
      <c r="F2025" s="93"/>
      <c r="G2025" s="93"/>
      <c r="H2025" s="93"/>
      <c r="I2025" s="93"/>
      <c r="J2025" s="93"/>
      <c r="K2025" s="93"/>
      <c r="L2025" s="93"/>
    </row>
    <row r="2026" spans="4:12" x14ac:dyDescent="0.25">
      <c r="D2026" s="93"/>
      <c r="E2026" s="93"/>
      <c r="F2026" s="93"/>
      <c r="G2026" s="93"/>
      <c r="H2026" s="93"/>
      <c r="I2026" s="93"/>
      <c r="J2026" s="93"/>
      <c r="K2026" s="93"/>
      <c r="L2026" s="93"/>
    </row>
    <row r="2027" spans="4:12" x14ac:dyDescent="0.25">
      <c r="D2027" s="93"/>
      <c r="E2027" s="93"/>
      <c r="F2027" s="93"/>
      <c r="G2027" s="93"/>
      <c r="H2027" s="93"/>
      <c r="I2027" s="93"/>
      <c r="J2027" s="93"/>
      <c r="K2027" s="93"/>
      <c r="L2027" s="93"/>
    </row>
    <row r="2028" spans="4:12" x14ac:dyDescent="0.25">
      <c r="D2028" s="93"/>
      <c r="E2028" s="93"/>
      <c r="F2028" s="93"/>
      <c r="G2028" s="93"/>
      <c r="H2028" s="93"/>
      <c r="I2028" s="93"/>
      <c r="J2028" s="93"/>
      <c r="K2028" s="93"/>
      <c r="L2028" s="93"/>
    </row>
    <row r="2029" spans="4:12" x14ac:dyDescent="0.25">
      <c r="D2029" s="93"/>
      <c r="E2029" s="93"/>
      <c r="F2029" s="93"/>
      <c r="G2029" s="93"/>
      <c r="H2029" s="93"/>
      <c r="I2029" s="93"/>
      <c r="J2029" s="93"/>
      <c r="K2029" s="93"/>
      <c r="L2029" s="93"/>
    </row>
    <row r="2030" spans="4:12" x14ac:dyDescent="0.25">
      <c r="D2030" s="93"/>
      <c r="E2030" s="93"/>
      <c r="F2030" s="93"/>
      <c r="G2030" s="93"/>
      <c r="H2030" s="93"/>
      <c r="I2030" s="93"/>
      <c r="J2030" s="93"/>
      <c r="K2030" s="93"/>
      <c r="L2030" s="93"/>
    </row>
    <row r="2031" spans="4:12" x14ac:dyDescent="0.25">
      <c r="D2031" s="93"/>
      <c r="E2031" s="93"/>
      <c r="F2031" s="93"/>
      <c r="G2031" s="93"/>
      <c r="H2031" s="93"/>
      <c r="I2031" s="93"/>
      <c r="J2031" s="93"/>
      <c r="K2031" s="93"/>
      <c r="L2031" s="93"/>
    </row>
    <row r="2032" spans="4:12" x14ac:dyDescent="0.25">
      <c r="D2032" s="93"/>
      <c r="E2032" s="93"/>
      <c r="F2032" s="93"/>
      <c r="G2032" s="93"/>
      <c r="H2032" s="93"/>
      <c r="I2032" s="93"/>
      <c r="J2032" s="93"/>
      <c r="K2032" s="93"/>
      <c r="L2032" s="93"/>
    </row>
    <row r="2033" spans="4:12" x14ac:dyDescent="0.25">
      <c r="D2033" s="93"/>
      <c r="E2033" s="93"/>
      <c r="F2033" s="93"/>
      <c r="G2033" s="93"/>
      <c r="H2033" s="93"/>
      <c r="I2033" s="93"/>
      <c r="J2033" s="93"/>
      <c r="K2033" s="93"/>
      <c r="L2033" s="93"/>
    </row>
    <row r="2034" spans="4:12" x14ac:dyDescent="0.25">
      <c r="D2034" s="93"/>
      <c r="E2034" s="93"/>
      <c r="F2034" s="93"/>
      <c r="G2034" s="93"/>
      <c r="H2034" s="93"/>
      <c r="I2034" s="93"/>
      <c r="J2034" s="93"/>
      <c r="K2034" s="93"/>
      <c r="L2034" s="93"/>
    </row>
    <row r="2035" spans="4:12" x14ac:dyDescent="0.25">
      <c r="D2035" s="93"/>
      <c r="E2035" s="93"/>
      <c r="F2035" s="93"/>
      <c r="G2035" s="93"/>
      <c r="H2035" s="93"/>
      <c r="I2035" s="93"/>
      <c r="J2035" s="93"/>
      <c r="K2035" s="93"/>
      <c r="L2035" s="93"/>
    </row>
    <row r="2036" spans="4:12" x14ac:dyDescent="0.25">
      <c r="D2036" s="93"/>
      <c r="E2036" s="93"/>
      <c r="F2036" s="93"/>
      <c r="G2036" s="93"/>
      <c r="H2036" s="93"/>
      <c r="I2036" s="93"/>
      <c r="J2036" s="93"/>
      <c r="K2036" s="93"/>
      <c r="L2036" s="93"/>
    </row>
    <row r="2037" spans="4:12" x14ac:dyDescent="0.25">
      <c r="D2037" s="93"/>
      <c r="E2037" s="93"/>
      <c r="F2037" s="93"/>
      <c r="G2037" s="93"/>
      <c r="H2037" s="93"/>
      <c r="I2037" s="93"/>
      <c r="J2037" s="93"/>
      <c r="K2037" s="93"/>
      <c r="L2037" s="93"/>
    </row>
    <row r="2038" spans="4:12" x14ac:dyDescent="0.25">
      <c r="D2038" s="93"/>
      <c r="E2038" s="93"/>
      <c r="F2038" s="93"/>
      <c r="G2038" s="93"/>
      <c r="H2038" s="93"/>
      <c r="I2038" s="93"/>
      <c r="J2038" s="93"/>
      <c r="K2038" s="93"/>
      <c r="L2038" s="93"/>
    </row>
    <row r="2039" spans="4:12" x14ac:dyDescent="0.25">
      <c r="D2039" s="93"/>
      <c r="E2039" s="93"/>
      <c r="F2039" s="93"/>
      <c r="G2039" s="93"/>
      <c r="H2039" s="93"/>
      <c r="I2039" s="93"/>
      <c r="J2039" s="93"/>
      <c r="K2039" s="93"/>
      <c r="L2039" s="93"/>
    </row>
    <row r="2040" spans="4:12" x14ac:dyDescent="0.25">
      <c r="D2040" s="93"/>
      <c r="E2040" s="93"/>
      <c r="F2040" s="93"/>
      <c r="G2040" s="93"/>
      <c r="H2040" s="93"/>
      <c r="I2040" s="93"/>
      <c r="J2040" s="93"/>
      <c r="K2040" s="93"/>
      <c r="L2040" s="93"/>
    </row>
    <row r="2041" spans="4:12" x14ac:dyDescent="0.25">
      <c r="D2041" s="93"/>
      <c r="E2041" s="93"/>
      <c r="F2041" s="93"/>
      <c r="G2041" s="93"/>
      <c r="H2041" s="93"/>
      <c r="I2041" s="93"/>
      <c r="J2041" s="93"/>
      <c r="K2041" s="93"/>
      <c r="L2041" s="93"/>
    </row>
    <row r="2042" spans="4:12" x14ac:dyDescent="0.25">
      <c r="D2042" s="93"/>
      <c r="E2042" s="93"/>
      <c r="F2042" s="93"/>
      <c r="G2042" s="93"/>
      <c r="H2042" s="93"/>
      <c r="I2042" s="93"/>
      <c r="J2042" s="93"/>
      <c r="K2042" s="93"/>
      <c r="L2042" s="93"/>
    </row>
    <row r="2043" spans="4:12" x14ac:dyDescent="0.25">
      <c r="D2043" s="93"/>
      <c r="E2043" s="93"/>
      <c r="F2043" s="93"/>
      <c r="G2043" s="93"/>
      <c r="H2043" s="93"/>
      <c r="I2043" s="93"/>
      <c r="J2043" s="93"/>
      <c r="K2043" s="93"/>
      <c r="L2043" s="93"/>
    </row>
    <row r="2044" spans="4:12" x14ac:dyDescent="0.25">
      <c r="D2044" s="93"/>
      <c r="E2044" s="93"/>
      <c r="F2044" s="93"/>
      <c r="G2044" s="93"/>
      <c r="H2044" s="93"/>
      <c r="I2044" s="93"/>
      <c r="J2044" s="93"/>
      <c r="K2044" s="93"/>
      <c r="L2044" s="93"/>
    </row>
    <row r="2045" spans="4:12" x14ac:dyDescent="0.25">
      <c r="D2045" s="93"/>
      <c r="E2045" s="93"/>
      <c r="F2045" s="93"/>
      <c r="G2045" s="93"/>
      <c r="H2045" s="93"/>
      <c r="I2045" s="93"/>
      <c r="J2045" s="93"/>
      <c r="K2045" s="93"/>
      <c r="L2045" s="93"/>
    </row>
    <row r="2046" spans="4:12" x14ac:dyDescent="0.25">
      <c r="D2046" s="93"/>
      <c r="E2046" s="93"/>
      <c r="F2046" s="93"/>
      <c r="G2046" s="93"/>
      <c r="H2046" s="93"/>
      <c r="I2046" s="93"/>
      <c r="J2046" s="93"/>
      <c r="K2046" s="93"/>
      <c r="L2046" s="93"/>
    </row>
    <row r="2047" spans="4:12" x14ac:dyDescent="0.25">
      <c r="D2047" s="93"/>
      <c r="E2047" s="93"/>
      <c r="F2047" s="93"/>
      <c r="G2047" s="93"/>
      <c r="H2047" s="93"/>
      <c r="I2047" s="93"/>
      <c r="J2047" s="93"/>
      <c r="K2047" s="93"/>
      <c r="L2047" s="93"/>
    </row>
    <row r="2048" spans="4:12" x14ac:dyDescent="0.25">
      <c r="D2048" s="93"/>
      <c r="E2048" s="93"/>
      <c r="F2048" s="93"/>
      <c r="G2048" s="93"/>
      <c r="H2048" s="93"/>
      <c r="I2048" s="93"/>
      <c r="J2048" s="93"/>
      <c r="K2048" s="93"/>
      <c r="L2048" s="93"/>
    </row>
    <row r="2049" spans="4:12" x14ac:dyDescent="0.25">
      <c r="D2049" s="93"/>
      <c r="E2049" s="93"/>
      <c r="F2049" s="93"/>
      <c r="G2049" s="93"/>
      <c r="H2049" s="93"/>
      <c r="I2049" s="93"/>
      <c r="J2049" s="93"/>
      <c r="K2049" s="93"/>
      <c r="L2049" s="93"/>
    </row>
    <row r="2050" spans="4:12" x14ac:dyDescent="0.25">
      <c r="D2050" s="93"/>
      <c r="E2050" s="93"/>
      <c r="F2050" s="93"/>
      <c r="G2050" s="93"/>
      <c r="H2050" s="93"/>
      <c r="I2050" s="93"/>
      <c r="J2050" s="93"/>
      <c r="K2050" s="93"/>
      <c r="L2050" s="93"/>
    </row>
    <row r="2051" spans="4:12" x14ac:dyDescent="0.25">
      <c r="D2051" s="93"/>
      <c r="E2051" s="93"/>
      <c r="F2051" s="93"/>
      <c r="G2051" s="93"/>
      <c r="H2051" s="93"/>
      <c r="I2051" s="93"/>
      <c r="J2051" s="93"/>
      <c r="K2051" s="93"/>
      <c r="L2051" s="93"/>
    </row>
    <row r="2052" spans="4:12" x14ac:dyDescent="0.25">
      <c r="D2052" s="93"/>
      <c r="E2052" s="93"/>
      <c r="F2052" s="93"/>
      <c r="G2052" s="93"/>
      <c r="H2052" s="93"/>
      <c r="I2052" s="93"/>
      <c r="J2052" s="93"/>
      <c r="K2052" s="93"/>
      <c r="L2052" s="93"/>
    </row>
    <row r="2053" spans="4:12" x14ac:dyDescent="0.25">
      <c r="D2053" s="93"/>
      <c r="E2053" s="93"/>
      <c r="F2053" s="93"/>
      <c r="G2053" s="93"/>
      <c r="H2053" s="93"/>
      <c r="I2053" s="93"/>
      <c r="J2053" s="93"/>
      <c r="K2053" s="93"/>
      <c r="L2053" s="93"/>
    </row>
    <row r="2054" spans="4:12" x14ac:dyDescent="0.25">
      <c r="D2054" s="93"/>
      <c r="E2054" s="93"/>
      <c r="F2054" s="93"/>
      <c r="G2054" s="93"/>
      <c r="H2054" s="93"/>
      <c r="I2054" s="93"/>
      <c r="J2054" s="93"/>
      <c r="K2054" s="93"/>
      <c r="L2054" s="93"/>
    </row>
    <row r="2055" spans="4:12" x14ac:dyDescent="0.25">
      <c r="D2055" s="93"/>
      <c r="E2055" s="93"/>
      <c r="F2055" s="93"/>
      <c r="G2055" s="93"/>
      <c r="H2055" s="93"/>
      <c r="I2055" s="93"/>
      <c r="J2055" s="93"/>
      <c r="K2055" s="93"/>
      <c r="L2055" s="93"/>
    </row>
    <row r="2056" spans="4:12" x14ac:dyDescent="0.25">
      <c r="D2056" s="93"/>
      <c r="E2056" s="93"/>
      <c r="F2056" s="93"/>
      <c r="G2056" s="93"/>
      <c r="H2056" s="93"/>
      <c r="I2056" s="93"/>
      <c r="J2056" s="93"/>
      <c r="K2056" s="93"/>
      <c r="L2056" s="93"/>
    </row>
    <row r="2057" spans="4:12" x14ac:dyDescent="0.25">
      <c r="D2057" s="93"/>
      <c r="E2057" s="93"/>
      <c r="F2057" s="93"/>
      <c r="G2057" s="93"/>
      <c r="H2057" s="93"/>
      <c r="I2057" s="93"/>
      <c r="J2057" s="93"/>
      <c r="K2057" s="93"/>
      <c r="L2057" s="93"/>
    </row>
    <row r="2058" spans="4:12" x14ac:dyDescent="0.25">
      <c r="D2058" s="93"/>
      <c r="E2058" s="93"/>
      <c r="F2058" s="93"/>
      <c r="G2058" s="93"/>
      <c r="H2058" s="93"/>
      <c r="I2058" s="93"/>
      <c r="J2058" s="93"/>
      <c r="K2058" s="93"/>
      <c r="L2058" s="93"/>
    </row>
    <row r="2059" spans="4:12" x14ac:dyDescent="0.25">
      <c r="D2059" s="93"/>
      <c r="E2059" s="93"/>
      <c r="F2059" s="93"/>
      <c r="G2059" s="93"/>
      <c r="H2059" s="93"/>
      <c r="I2059" s="93"/>
      <c r="J2059" s="93"/>
      <c r="K2059" s="93"/>
      <c r="L2059" s="93"/>
    </row>
    <row r="2060" spans="4:12" x14ac:dyDescent="0.25">
      <c r="D2060" s="93"/>
      <c r="E2060" s="93"/>
      <c r="F2060" s="93"/>
      <c r="G2060" s="93"/>
      <c r="H2060" s="93"/>
      <c r="I2060" s="93"/>
      <c r="J2060" s="93"/>
      <c r="K2060" s="93"/>
      <c r="L2060" s="93"/>
    </row>
    <row r="2061" spans="4:12" x14ac:dyDescent="0.25">
      <c r="D2061" s="93"/>
      <c r="E2061" s="93"/>
      <c r="F2061" s="93"/>
      <c r="G2061" s="93"/>
      <c r="H2061" s="93"/>
      <c r="I2061" s="93"/>
      <c r="J2061" s="93"/>
      <c r="K2061" s="93"/>
      <c r="L2061" s="93"/>
    </row>
    <row r="2062" spans="4:12" x14ac:dyDescent="0.25">
      <c r="D2062" s="93"/>
      <c r="E2062" s="93"/>
      <c r="F2062" s="93"/>
      <c r="G2062" s="93"/>
      <c r="H2062" s="93"/>
      <c r="I2062" s="93"/>
      <c r="J2062" s="93"/>
      <c r="K2062" s="93"/>
      <c r="L2062" s="93"/>
    </row>
    <row r="2063" spans="4:12" x14ac:dyDescent="0.25">
      <c r="D2063" s="93"/>
      <c r="E2063" s="93"/>
      <c r="F2063" s="93"/>
      <c r="G2063" s="93"/>
      <c r="H2063" s="93"/>
      <c r="I2063" s="93"/>
      <c r="J2063" s="93"/>
      <c r="K2063" s="93"/>
      <c r="L2063" s="93"/>
    </row>
    <row r="2064" spans="4:12" x14ac:dyDescent="0.25">
      <c r="D2064" s="93"/>
      <c r="E2064" s="93"/>
      <c r="F2064" s="93"/>
      <c r="G2064" s="93"/>
      <c r="H2064" s="93"/>
      <c r="I2064" s="93"/>
      <c r="J2064" s="93"/>
      <c r="K2064" s="93"/>
      <c r="L2064" s="93"/>
    </row>
    <row r="2065" spans="4:12" x14ac:dyDescent="0.25">
      <c r="D2065" s="93"/>
      <c r="E2065" s="93"/>
      <c r="F2065" s="93"/>
      <c r="G2065" s="93"/>
      <c r="H2065" s="93"/>
      <c r="I2065" s="93"/>
      <c r="J2065" s="93"/>
      <c r="K2065" s="93"/>
      <c r="L2065" s="93"/>
    </row>
    <row r="2066" spans="4:12" x14ac:dyDescent="0.25">
      <c r="D2066" s="93"/>
      <c r="E2066" s="93"/>
      <c r="F2066" s="93"/>
      <c r="G2066" s="93"/>
      <c r="H2066" s="93"/>
      <c r="I2066" s="93"/>
      <c r="J2066" s="93"/>
      <c r="K2066" s="93"/>
      <c r="L2066" s="93"/>
    </row>
    <row r="2067" spans="4:12" x14ac:dyDescent="0.25">
      <c r="D2067" s="93"/>
      <c r="E2067" s="93"/>
      <c r="F2067" s="93"/>
      <c r="G2067" s="93"/>
      <c r="H2067" s="93"/>
      <c r="I2067" s="93"/>
      <c r="J2067" s="93"/>
      <c r="K2067" s="93"/>
      <c r="L2067" s="93"/>
    </row>
    <row r="2068" spans="4:12" x14ac:dyDescent="0.25">
      <c r="D2068" s="93"/>
      <c r="E2068" s="93"/>
      <c r="F2068" s="93"/>
      <c r="G2068" s="93"/>
      <c r="H2068" s="93"/>
      <c r="I2068" s="93"/>
      <c r="J2068" s="93"/>
      <c r="K2068" s="93"/>
      <c r="L2068" s="93"/>
    </row>
    <row r="2069" spans="4:12" x14ac:dyDescent="0.25">
      <c r="D2069" s="93"/>
      <c r="E2069" s="93"/>
      <c r="F2069" s="93"/>
      <c r="G2069" s="93"/>
      <c r="H2069" s="93"/>
      <c r="I2069" s="93"/>
      <c r="J2069" s="93"/>
      <c r="K2069" s="93"/>
      <c r="L2069" s="93"/>
    </row>
    <row r="2070" spans="4:12" x14ac:dyDescent="0.25">
      <c r="D2070" s="93"/>
      <c r="E2070" s="93"/>
      <c r="F2070" s="93"/>
      <c r="G2070" s="93"/>
      <c r="H2070" s="93"/>
      <c r="I2070" s="93"/>
      <c r="J2070" s="93"/>
      <c r="K2070" s="93"/>
      <c r="L2070" s="93"/>
    </row>
    <row r="2071" spans="4:12" x14ac:dyDescent="0.25">
      <c r="D2071" s="93"/>
      <c r="E2071" s="93"/>
      <c r="F2071" s="93"/>
      <c r="G2071" s="93"/>
      <c r="H2071" s="93"/>
      <c r="I2071" s="93"/>
      <c r="J2071" s="93"/>
      <c r="K2071" s="93"/>
      <c r="L2071" s="93"/>
    </row>
    <row r="2072" spans="4:12" x14ac:dyDescent="0.25">
      <c r="D2072" s="93"/>
      <c r="E2072" s="93"/>
      <c r="F2072" s="93"/>
      <c r="G2072" s="93"/>
      <c r="H2072" s="93"/>
      <c r="I2072" s="93"/>
      <c r="J2072" s="93"/>
      <c r="K2072" s="93"/>
      <c r="L2072" s="93"/>
    </row>
    <row r="2073" spans="4:12" x14ac:dyDescent="0.25">
      <c r="D2073" s="93"/>
      <c r="E2073" s="93"/>
      <c r="F2073" s="93"/>
      <c r="G2073" s="93"/>
      <c r="H2073" s="93"/>
      <c r="I2073" s="93"/>
      <c r="J2073" s="93"/>
      <c r="K2073" s="93"/>
      <c r="L2073" s="93"/>
    </row>
    <row r="2074" spans="4:12" x14ac:dyDescent="0.25">
      <c r="D2074" s="93"/>
      <c r="E2074" s="93"/>
      <c r="F2074" s="93"/>
      <c r="G2074" s="93"/>
      <c r="H2074" s="93"/>
      <c r="I2074" s="93"/>
      <c r="J2074" s="93"/>
      <c r="K2074" s="93"/>
      <c r="L2074" s="93"/>
    </row>
    <row r="2075" spans="4:12" x14ac:dyDescent="0.25">
      <c r="D2075" s="93"/>
      <c r="E2075" s="93"/>
      <c r="F2075" s="93"/>
      <c r="G2075" s="93"/>
      <c r="H2075" s="93"/>
      <c r="I2075" s="93"/>
      <c r="J2075" s="93"/>
      <c r="K2075" s="93"/>
      <c r="L2075" s="93"/>
    </row>
    <row r="2076" spans="4:12" x14ac:dyDescent="0.25">
      <c r="D2076" s="93"/>
      <c r="E2076" s="93"/>
      <c r="F2076" s="93"/>
      <c r="G2076" s="93"/>
      <c r="H2076" s="93"/>
      <c r="I2076" s="93"/>
      <c r="J2076" s="93"/>
      <c r="K2076" s="93"/>
      <c r="L2076" s="93"/>
    </row>
    <row r="2077" spans="4:12" x14ac:dyDescent="0.25">
      <c r="D2077" s="93"/>
      <c r="E2077" s="93"/>
      <c r="F2077" s="93"/>
      <c r="G2077" s="93"/>
      <c r="H2077" s="93"/>
      <c r="I2077" s="93"/>
      <c r="J2077" s="93"/>
      <c r="K2077" s="93"/>
      <c r="L2077" s="93"/>
    </row>
    <row r="2078" spans="4:12" x14ac:dyDescent="0.25">
      <c r="D2078" s="93"/>
      <c r="E2078" s="93"/>
      <c r="F2078" s="93"/>
      <c r="G2078" s="93"/>
      <c r="H2078" s="93"/>
      <c r="I2078" s="93"/>
      <c r="J2078" s="93"/>
      <c r="K2078" s="93"/>
      <c r="L2078" s="93"/>
    </row>
    <row r="2079" spans="4:12" x14ac:dyDescent="0.25">
      <c r="D2079" s="93"/>
      <c r="E2079" s="93"/>
      <c r="F2079" s="93"/>
      <c r="G2079" s="93"/>
      <c r="H2079" s="93"/>
      <c r="I2079" s="93"/>
      <c r="J2079" s="93"/>
      <c r="K2079" s="93"/>
      <c r="L2079" s="93"/>
    </row>
    <row r="2080" spans="4:12" x14ac:dyDescent="0.25">
      <c r="D2080" s="93"/>
      <c r="E2080" s="93"/>
      <c r="F2080" s="93"/>
      <c r="G2080" s="93"/>
      <c r="H2080" s="93"/>
      <c r="I2080" s="93"/>
      <c r="J2080" s="93"/>
      <c r="K2080" s="93"/>
      <c r="L2080" s="93"/>
    </row>
    <row r="2081" spans="4:12" x14ac:dyDescent="0.25">
      <c r="D2081" s="93"/>
      <c r="E2081" s="93"/>
      <c r="F2081" s="93"/>
      <c r="G2081" s="93"/>
      <c r="H2081" s="93"/>
      <c r="I2081" s="93"/>
      <c r="J2081" s="93"/>
      <c r="K2081" s="93"/>
      <c r="L2081" s="93"/>
    </row>
    <row r="2082" spans="4:12" x14ac:dyDescent="0.25">
      <c r="D2082" s="93"/>
      <c r="E2082" s="93"/>
      <c r="F2082" s="93"/>
      <c r="G2082" s="93"/>
      <c r="H2082" s="93"/>
      <c r="I2082" s="93"/>
      <c r="J2082" s="93"/>
      <c r="K2082" s="93"/>
      <c r="L2082" s="93"/>
    </row>
    <row r="2083" spans="4:12" x14ac:dyDescent="0.25">
      <c r="D2083" s="93"/>
      <c r="E2083" s="93"/>
      <c r="F2083" s="93"/>
      <c r="G2083" s="93"/>
      <c r="H2083" s="93"/>
      <c r="I2083" s="93"/>
      <c r="J2083" s="93"/>
      <c r="K2083" s="93"/>
      <c r="L2083" s="93"/>
    </row>
    <row r="2084" spans="4:12" x14ac:dyDescent="0.25">
      <c r="D2084" s="93"/>
      <c r="E2084" s="93"/>
      <c r="F2084" s="93"/>
      <c r="G2084" s="93"/>
      <c r="H2084" s="93"/>
      <c r="I2084" s="93"/>
      <c r="J2084" s="93"/>
      <c r="K2084" s="93"/>
      <c r="L2084" s="93"/>
    </row>
    <row r="2085" spans="4:12" x14ac:dyDescent="0.25">
      <c r="D2085" s="93"/>
      <c r="E2085" s="93"/>
      <c r="F2085" s="93"/>
      <c r="G2085" s="93"/>
      <c r="H2085" s="93"/>
      <c r="I2085" s="93"/>
      <c r="J2085" s="93"/>
      <c r="K2085" s="93"/>
      <c r="L2085" s="93"/>
    </row>
    <row r="2086" spans="4:12" x14ac:dyDescent="0.25">
      <c r="D2086" s="93"/>
      <c r="E2086" s="93"/>
      <c r="F2086" s="93"/>
      <c r="G2086" s="93"/>
      <c r="H2086" s="93"/>
      <c r="I2086" s="93"/>
      <c r="J2086" s="93"/>
      <c r="K2086" s="93"/>
      <c r="L2086" s="93"/>
    </row>
    <row r="2087" spans="4:12" x14ac:dyDescent="0.25">
      <c r="D2087" s="93"/>
      <c r="E2087" s="93"/>
      <c r="F2087" s="93"/>
      <c r="G2087" s="93"/>
      <c r="H2087" s="93"/>
      <c r="I2087" s="93"/>
      <c r="J2087" s="93"/>
      <c r="K2087" s="93"/>
      <c r="L2087" s="93"/>
    </row>
    <row r="2088" spans="4:12" x14ac:dyDescent="0.25">
      <c r="D2088" s="93"/>
      <c r="E2088" s="93"/>
      <c r="F2088" s="93"/>
      <c r="G2088" s="93"/>
      <c r="H2088" s="93"/>
      <c r="I2088" s="93"/>
      <c r="J2088" s="93"/>
      <c r="K2088" s="93"/>
      <c r="L2088" s="93"/>
    </row>
    <row r="2089" spans="4:12" x14ac:dyDescent="0.25">
      <c r="D2089" s="93"/>
      <c r="E2089" s="93"/>
      <c r="F2089" s="93"/>
      <c r="G2089" s="93"/>
      <c r="H2089" s="93"/>
      <c r="I2089" s="93"/>
      <c r="J2089" s="93"/>
      <c r="K2089" s="93"/>
      <c r="L2089" s="93"/>
    </row>
    <row r="2090" spans="4:12" x14ac:dyDescent="0.25">
      <c r="D2090" s="93"/>
      <c r="E2090" s="93"/>
      <c r="F2090" s="93"/>
      <c r="G2090" s="93"/>
      <c r="H2090" s="93"/>
      <c r="I2090" s="93"/>
      <c r="J2090" s="93"/>
      <c r="K2090" s="93"/>
      <c r="L2090" s="93"/>
    </row>
    <row r="2091" spans="4:12" x14ac:dyDescent="0.25">
      <c r="D2091" s="93"/>
      <c r="E2091" s="93"/>
      <c r="F2091" s="93"/>
      <c r="G2091" s="93"/>
      <c r="H2091" s="93"/>
      <c r="I2091" s="93"/>
      <c r="J2091" s="93"/>
      <c r="K2091" s="93"/>
      <c r="L2091" s="93"/>
    </row>
    <row r="2092" spans="4:12" x14ac:dyDescent="0.25">
      <c r="D2092" s="93"/>
      <c r="E2092" s="93"/>
      <c r="F2092" s="93"/>
      <c r="G2092" s="93"/>
      <c r="H2092" s="93"/>
      <c r="I2092" s="93"/>
      <c r="J2092" s="93"/>
      <c r="K2092" s="93"/>
      <c r="L2092" s="93"/>
    </row>
    <row r="2093" spans="4:12" x14ac:dyDescent="0.25">
      <c r="D2093" s="93"/>
      <c r="E2093" s="93"/>
      <c r="F2093" s="93"/>
      <c r="G2093" s="93"/>
      <c r="H2093" s="93"/>
      <c r="I2093" s="93"/>
      <c r="J2093" s="93"/>
      <c r="K2093" s="93"/>
      <c r="L2093" s="93"/>
    </row>
    <row r="2094" spans="4:12" x14ac:dyDescent="0.25">
      <c r="D2094" s="93"/>
      <c r="E2094" s="93"/>
      <c r="F2094" s="93"/>
      <c r="G2094" s="93"/>
      <c r="H2094" s="93"/>
      <c r="I2094" s="93"/>
      <c r="J2094" s="93"/>
      <c r="K2094" s="93"/>
      <c r="L2094" s="93"/>
    </row>
    <row r="2095" spans="4:12" x14ac:dyDescent="0.25">
      <c r="D2095" s="93"/>
      <c r="E2095" s="93"/>
      <c r="F2095" s="93"/>
      <c r="G2095" s="93"/>
      <c r="H2095" s="93"/>
      <c r="I2095" s="93"/>
      <c r="J2095" s="93"/>
      <c r="K2095" s="93"/>
      <c r="L2095" s="93"/>
    </row>
    <row r="2096" spans="4:12" x14ac:dyDescent="0.25">
      <c r="D2096" s="93"/>
      <c r="E2096" s="93"/>
      <c r="F2096" s="93"/>
      <c r="G2096" s="93"/>
      <c r="H2096" s="93"/>
      <c r="I2096" s="93"/>
      <c r="J2096" s="93"/>
      <c r="K2096" s="93"/>
      <c r="L2096" s="93"/>
    </row>
    <row r="2097" spans="4:12" x14ac:dyDescent="0.25">
      <c r="D2097" s="93"/>
      <c r="E2097" s="93"/>
      <c r="F2097" s="93"/>
      <c r="G2097" s="93"/>
      <c r="H2097" s="93"/>
      <c r="I2097" s="93"/>
      <c r="J2097" s="93"/>
      <c r="K2097" s="93"/>
      <c r="L2097" s="93"/>
    </row>
    <row r="2098" spans="4:12" x14ac:dyDescent="0.25">
      <c r="D2098" s="93"/>
      <c r="E2098" s="93"/>
      <c r="F2098" s="93"/>
      <c r="G2098" s="93"/>
      <c r="H2098" s="93"/>
      <c r="I2098" s="93"/>
      <c r="J2098" s="93"/>
      <c r="K2098" s="93"/>
      <c r="L2098" s="93"/>
    </row>
    <row r="2099" spans="4:12" x14ac:dyDescent="0.25">
      <c r="D2099" s="93"/>
      <c r="E2099" s="93"/>
      <c r="F2099" s="93"/>
      <c r="G2099" s="93"/>
      <c r="H2099" s="93"/>
      <c r="I2099" s="93"/>
      <c r="J2099" s="93"/>
      <c r="K2099" s="93"/>
      <c r="L2099" s="93"/>
    </row>
    <row r="2100" spans="4:12" x14ac:dyDescent="0.25">
      <c r="D2100" s="93"/>
      <c r="E2100" s="93"/>
      <c r="F2100" s="93"/>
      <c r="G2100" s="93"/>
      <c r="H2100" s="93"/>
      <c r="I2100" s="93"/>
      <c r="J2100" s="93"/>
      <c r="K2100" s="93"/>
      <c r="L2100" s="93"/>
    </row>
    <row r="2101" spans="4:12" x14ac:dyDescent="0.25">
      <c r="D2101" s="93"/>
      <c r="E2101" s="93"/>
      <c r="F2101" s="93"/>
      <c r="G2101" s="93"/>
      <c r="H2101" s="93"/>
      <c r="I2101" s="93"/>
      <c r="J2101" s="93"/>
      <c r="K2101" s="93"/>
      <c r="L2101" s="93"/>
    </row>
    <row r="2102" spans="4:12" x14ac:dyDescent="0.25">
      <c r="D2102" s="93"/>
      <c r="E2102" s="93"/>
      <c r="F2102" s="93"/>
      <c r="G2102" s="93"/>
      <c r="H2102" s="93"/>
      <c r="I2102" s="93"/>
      <c r="J2102" s="93"/>
      <c r="K2102" s="93"/>
      <c r="L2102" s="93"/>
    </row>
    <row r="2103" spans="4:12" x14ac:dyDescent="0.25">
      <c r="D2103" s="93"/>
      <c r="E2103" s="93"/>
      <c r="F2103" s="93"/>
      <c r="G2103" s="93"/>
      <c r="H2103" s="93"/>
      <c r="I2103" s="93"/>
      <c r="J2103" s="93"/>
      <c r="K2103" s="93"/>
      <c r="L2103" s="93"/>
    </row>
    <row r="2104" spans="4:12" x14ac:dyDescent="0.25">
      <c r="D2104" s="93"/>
      <c r="E2104" s="93"/>
      <c r="F2104" s="93"/>
      <c r="G2104" s="93"/>
      <c r="H2104" s="93"/>
      <c r="I2104" s="93"/>
      <c r="J2104" s="93"/>
      <c r="K2104" s="93"/>
      <c r="L2104" s="93"/>
    </row>
    <row r="2105" spans="4:12" x14ac:dyDescent="0.25">
      <c r="D2105" s="93"/>
      <c r="E2105" s="93"/>
      <c r="F2105" s="93"/>
      <c r="G2105" s="93"/>
      <c r="H2105" s="93"/>
      <c r="I2105" s="93"/>
      <c r="J2105" s="93"/>
      <c r="K2105" s="93"/>
      <c r="L2105" s="93"/>
    </row>
    <row r="2106" spans="4:12" x14ac:dyDescent="0.25">
      <c r="D2106" s="93"/>
      <c r="E2106" s="93"/>
      <c r="F2106" s="93"/>
      <c r="G2106" s="93"/>
      <c r="H2106" s="93"/>
      <c r="I2106" s="93"/>
      <c r="J2106" s="93"/>
      <c r="K2106" s="93"/>
      <c r="L2106" s="93"/>
    </row>
    <row r="2107" spans="4:12" x14ac:dyDescent="0.25">
      <c r="D2107" s="93"/>
      <c r="E2107" s="93"/>
      <c r="F2107" s="93"/>
      <c r="G2107" s="93"/>
      <c r="H2107" s="93"/>
      <c r="I2107" s="93"/>
      <c r="J2107" s="93"/>
      <c r="K2107" s="93"/>
      <c r="L2107" s="93"/>
    </row>
    <row r="2108" spans="4:12" x14ac:dyDescent="0.25">
      <c r="D2108" s="93"/>
      <c r="E2108" s="93"/>
      <c r="F2108" s="93"/>
      <c r="G2108" s="93"/>
      <c r="H2108" s="93"/>
      <c r="I2108" s="93"/>
      <c r="J2108" s="93"/>
      <c r="K2108" s="93"/>
      <c r="L2108" s="93"/>
    </row>
    <row r="2109" spans="4:12" x14ac:dyDescent="0.25">
      <c r="D2109" s="93"/>
      <c r="E2109" s="93"/>
      <c r="F2109" s="93"/>
      <c r="G2109" s="93"/>
      <c r="H2109" s="93"/>
      <c r="I2109" s="93"/>
      <c r="J2109" s="93"/>
      <c r="K2109" s="93"/>
      <c r="L2109" s="93"/>
    </row>
    <row r="2110" spans="4:12" x14ac:dyDescent="0.25">
      <c r="D2110" s="93"/>
      <c r="E2110" s="93"/>
      <c r="F2110" s="93"/>
      <c r="G2110" s="93"/>
      <c r="H2110" s="93"/>
      <c r="I2110" s="93"/>
      <c r="J2110" s="93"/>
      <c r="K2110" s="93"/>
      <c r="L2110" s="93"/>
    </row>
    <row r="2111" spans="4:12" x14ac:dyDescent="0.25">
      <c r="D2111" s="93"/>
      <c r="E2111" s="93"/>
      <c r="F2111" s="93"/>
      <c r="G2111" s="93"/>
      <c r="H2111" s="93"/>
      <c r="I2111" s="93"/>
      <c r="J2111" s="93"/>
      <c r="K2111" s="93"/>
      <c r="L2111" s="93"/>
    </row>
    <row r="2112" spans="4:12" x14ac:dyDescent="0.25">
      <c r="D2112" s="93"/>
      <c r="E2112" s="93"/>
      <c r="F2112" s="93"/>
      <c r="G2112" s="93"/>
      <c r="H2112" s="93"/>
      <c r="I2112" s="93"/>
      <c r="J2112" s="93"/>
      <c r="K2112" s="93"/>
      <c r="L2112" s="93"/>
    </row>
    <row r="2113" spans="4:12" x14ac:dyDescent="0.25">
      <c r="D2113" s="93"/>
      <c r="E2113" s="93"/>
      <c r="F2113" s="93"/>
      <c r="G2113" s="93"/>
      <c r="H2113" s="93"/>
      <c r="I2113" s="93"/>
      <c r="J2113" s="93"/>
      <c r="K2113" s="93"/>
      <c r="L2113" s="93"/>
    </row>
    <row r="2114" spans="4:12" x14ac:dyDescent="0.25">
      <c r="D2114" s="93"/>
      <c r="E2114" s="93"/>
      <c r="F2114" s="93"/>
      <c r="G2114" s="93"/>
      <c r="H2114" s="93"/>
      <c r="I2114" s="93"/>
      <c r="J2114" s="93"/>
      <c r="K2114" s="93"/>
      <c r="L2114" s="93"/>
    </row>
    <row r="2115" spans="4:12" x14ac:dyDescent="0.25">
      <c r="D2115" s="93"/>
      <c r="E2115" s="93"/>
      <c r="F2115" s="93"/>
      <c r="G2115" s="93"/>
      <c r="H2115" s="93"/>
      <c r="I2115" s="93"/>
      <c r="J2115" s="93"/>
      <c r="K2115" s="93"/>
      <c r="L2115" s="93"/>
    </row>
    <row r="2116" spans="4:12" x14ac:dyDescent="0.25">
      <c r="D2116" s="93"/>
      <c r="E2116" s="93"/>
      <c r="F2116" s="93"/>
      <c r="G2116" s="93"/>
      <c r="H2116" s="93"/>
      <c r="I2116" s="93"/>
      <c r="J2116" s="93"/>
      <c r="K2116" s="93"/>
      <c r="L2116" s="93"/>
    </row>
    <row r="2117" spans="4:12" x14ac:dyDescent="0.25">
      <c r="D2117" s="93"/>
      <c r="E2117" s="93"/>
      <c r="F2117" s="93"/>
      <c r="G2117" s="93"/>
      <c r="H2117" s="93"/>
      <c r="I2117" s="93"/>
      <c r="J2117" s="93"/>
      <c r="K2117" s="93"/>
      <c r="L2117" s="93"/>
    </row>
    <row r="2118" spans="4:12" x14ac:dyDescent="0.25">
      <c r="D2118" s="93"/>
      <c r="E2118" s="93"/>
      <c r="F2118" s="93"/>
      <c r="G2118" s="93"/>
      <c r="H2118" s="93"/>
      <c r="I2118" s="93"/>
      <c r="J2118" s="93"/>
      <c r="K2118" s="93"/>
      <c r="L2118" s="93"/>
    </row>
    <row r="2119" spans="4:12" x14ac:dyDescent="0.25">
      <c r="D2119" s="93"/>
      <c r="E2119" s="93"/>
      <c r="F2119" s="93"/>
      <c r="G2119" s="93"/>
      <c r="H2119" s="93"/>
      <c r="I2119" s="93"/>
      <c r="J2119" s="93"/>
      <c r="K2119" s="93"/>
      <c r="L2119" s="93"/>
    </row>
    <row r="2120" spans="4:12" x14ac:dyDescent="0.25">
      <c r="D2120" s="93"/>
      <c r="E2120" s="93"/>
      <c r="F2120" s="93"/>
      <c r="G2120" s="93"/>
      <c r="H2120" s="93"/>
      <c r="I2120" s="93"/>
      <c r="J2120" s="93"/>
      <c r="K2120" s="93"/>
      <c r="L2120" s="93"/>
    </row>
    <row r="2121" spans="4:12" x14ac:dyDescent="0.25">
      <c r="D2121" s="93"/>
      <c r="E2121" s="93"/>
      <c r="F2121" s="93"/>
      <c r="G2121" s="93"/>
      <c r="H2121" s="93"/>
      <c r="I2121" s="93"/>
      <c r="J2121" s="93"/>
      <c r="K2121" s="93"/>
      <c r="L2121" s="93"/>
    </row>
    <row r="2122" spans="4:12" x14ac:dyDescent="0.25">
      <c r="D2122" s="93"/>
      <c r="E2122" s="93"/>
      <c r="F2122" s="93"/>
      <c r="G2122" s="93"/>
      <c r="H2122" s="93"/>
      <c r="I2122" s="93"/>
      <c r="J2122" s="93"/>
      <c r="K2122" s="93"/>
      <c r="L2122" s="93"/>
    </row>
    <row r="2123" spans="4:12" x14ac:dyDescent="0.25">
      <c r="D2123" s="93"/>
      <c r="E2123" s="93"/>
      <c r="F2123" s="93"/>
      <c r="G2123" s="93"/>
      <c r="H2123" s="93"/>
      <c r="I2123" s="93"/>
      <c r="J2123" s="93"/>
      <c r="K2123" s="93"/>
      <c r="L2123" s="93"/>
    </row>
    <row r="2124" spans="4:12" x14ac:dyDescent="0.25">
      <c r="D2124" s="93"/>
      <c r="E2124" s="93"/>
      <c r="F2124" s="93"/>
      <c r="G2124" s="93"/>
      <c r="H2124" s="93"/>
      <c r="I2124" s="93"/>
      <c r="J2124" s="93"/>
      <c r="K2124" s="93"/>
      <c r="L2124" s="93"/>
    </row>
    <row r="2125" spans="4:12" x14ac:dyDescent="0.25">
      <c r="D2125" s="93"/>
      <c r="E2125" s="93"/>
      <c r="F2125" s="93"/>
      <c r="G2125" s="93"/>
      <c r="H2125" s="93"/>
      <c r="I2125" s="93"/>
      <c r="J2125" s="93"/>
      <c r="K2125" s="93"/>
      <c r="L2125" s="93"/>
    </row>
    <row r="2126" spans="4:12" x14ac:dyDescent="0.25">
      <c r="D2126" s="93"/>
      <c r="E2126" s="93"/>
      <c r="F2126" s="93"/>
      <c r="G2126" s="93"/>
      <c r="H2126" s="93"/>
      <c r="I2126" s="93"/>
      <c r="J2126" s="93"/>
      <c r="K2126" s="93"/>
      <c r="L2126" s="93"/>
    </row>
    <row r="2127" spans="4:12" x14ac:dyDescent="0.25">
      <c r="D2127" s="93"/>
      <c r="E2127" s="93"/>
      <c r="F2127" s="93"/>
      <c r="G2127" s="93"/>
      <c r="H2127" s="93"/>
      <c r="I2127" s="93"/>
      <c r="J2127" s="93"/>
      <c r="K2127" s="93"/>
      <c r="L2127" s="93"/>
    </row>
    <row r="2128" spans="4:12" x14ac:dyDescent="0.25">
      <c r="D2128" s="93"/>
      <c r="E2128" s="93"/>
      <c r="F2128" s="93"/>
      <c r="G2128" s="93"/>
      <c r="H2128" s="93"/>
      <c r="I2128" s="93"/>
      <c r="J2128" s="93"/>
      <c r="K2128" s="93"/>
      <c r="L2128" s="93"/>
    </row>
    <row r="2129" spans="4:12" x14ac:dyDescent="0.25">
      <c r="D2129" s="93"/>
      <c r="E2129" s="93"/>
      <c r="F2129" s="93"/>
      <c r="G2129" s="93"/>
      <c r="H2129" s="93"/>
      <c r="I2129" s="93"/>
      <c r="J2129" s="93"/>
      <c r="K2129" s="93"/>
      <c r="L2129" s="93"/>
    </row>
    <row r="2130" spans="4:12" x14ac:dyDescent="0.25">
      <c r="D2130" s="93"/>
      <c r="E2130" s="93"/>
      <c r="F2130" s="93"/>
      <c r="G2130" s="93"/>
      <c r="H2130" s="93"/>
      <c r="I2130" s="93"/>
      <c r="J2130" s="93"/>
      <c r="K2130" s="93"/>
      <c r="L2130" s="93"/>
    </row>
    <row r="2131" spans="4:12" x14ac:dyDescent="0.25">
      <c r="D2131" s="93"/>
      <c r="E2131" s="93"/>
      <c r="F2131" s="93"/>
      <c r="G2131" s="93"/>
      <c r="H2131" s="93"/>
      <c r="I2131" s="93"/>
      <c r="J2131" s="93"/>
      <c r="K2131" s="93"/>
      <c r="L2131" s="93"/>
    </row>
    <row r="2132" spans="4:12" x14ac:dyDescent="0.25">
      <c r="D2132" s="93"/>
      <c r="E2132" s="93"/>
      <c r="F2132" s="93"/>
      <c r="G2132" s="93"/>
      <c r="H2132" s="93"/>
      <c r="I2132" s="93"/>
      <c r="J2132" s="93"/>
      <c r="K2132" s="93"/>
      <c r="L2132" s="93"/>
    </row>
    <row r="2133" spans="4:12" x14ac:dyDescent="0.25">
      <c r="D2133" s="93"/>
      <c r="E2133" s="93"/>
      <c r="F2133" s="93"/>
      <c r="G2133" s="93"/>
      <c r="H2133" s="93"/>
      <c r="I2133" s="93"/>
      <c r="J2133" s="93"/>
      <c r="K2133" s="93"/>
      <c r="L2133" s="93"/>
    </row>
    <row r="2134" spans="4:12" x14ac:dyDescent="0.25">
      <c r="D2134" s="93"/>
      <c r="E2134" s="93"/>
      <c r="F2134" s="93"/>
      <c r="G2134" s="93"/>
      <c r="H2134" s="93"/>
      <c r="I2134" s="93"/>
      <c r="J2134" s="93"/>
      <c r="K2134" s="93"/>
      <c r="L2134" s="93"/>
    </row>
    <row r="2135" spans="4:12" x14ac:dyDescent="0.25">
      <c r="D2135" s="93"/>
      <c r="E2135" s="93"/>
      <c r="F2135" s="93"/>
      <c r="G2135" s="93"/>
      <c r="H2135" s="93"/>
      <c r="I2135" s="93"/>
      <c r="J2135" s="93"/>
      <c r="K2135" s="93"/>
      <c r="L2135" s="93"/>
    </row>
    <row r="2136" spans="4:12" x14ac:dyDescent="0.25">
      <c r="D2136" s="93"/>
      <c r="E2136" s="93"/>
      <c r="F2136" s="93"/>
      <c r="G2136" s="93"/>
      <c r="H2136" s="93"/>
      <c r="I2136" s="93"/>
      <c r="J2136" s="93"/>
      <c r="K2136" s="93"/>
      <c r="L2136" s="93"/>
    </row>
    <row r="2137" spans="4:12" x14ac:dyDescent="0.25">
      <c r="D2137" s="93"/>
      <c r="E2137" s="93"/>
      <c r="F2137" s="93"/>
      <c r="G2137" s="93"/>
      <c r="H2137" s="93"/>
      <c r="I2137" s="93"/>
      <c r="J2137" s="93"/>
      <c r="K2137" s="93"/>
      <c r="L2137" s="93"/>
    </row>
    <row r="2138" spans="4:12" x14ac:dyDescent="0.25">
      <c r="D2138" s="93"/>
      <c r="E2138" s="93"/>
      <c r="F2138" s="93"/>
      <c r="G2138" s="93"/>
      <c r="H2138" s="93"/>
      <c r="I2138" s="93"/>
      <c r="J2138" s="93"/>
      <c r="K2138" s="93"/>
      <c r="L2138" s="93"/>
    </row>
    <row r="2139" spans="4:12" x14ac:dyDescent="0.25">
      <c r="D2139" s="93"/>
      <c r="E2139" s="93"/>
      <c r="F2139" s="93"/>
      <c r="G2139" s="93"/>
      <c r="H2139" s="93"/>
      <c r="I2139" s="93"/>
      <c r="J2139" s="93"/>
      <c r="K2139" s="93"/>
      <c r="L2139" s="93"/>
    </row>
    <row r="2140" spans="4:12" x14ac:dyDescent="0.25">
      <c r="D2140" s="93"/>
      <c r="E2140" s="93"/>
      <c r="F2140" s="93"/>
      <c r="G2140" s="93"/>
      <c r="H2140" s="93"/>
      <c r="I2140" s="93"/>
      <c r="J2140" s="93"/>
      <c r="K2140" s="93"/>
      <c r="L2140" s="93"/>
    </row>
    <row r="2141" spans="4:12" x14ac:dyDescent="0.25">
      <c r="D2141" s="93"/>
      <c r="E2141" s="93"/>
      <c r="F2141" s="93"/>
      <c r="G2141" s="93"/>
      <c r="H2141" s="93"/>
      <c r="I2141" s="93"/>
      <c r="J2141" s="93"/>
      <c r="K2141" s="93"/>
      <c r="L2141" s="93"/>
    </row>
    <row r="2142" spans="4:12" x14ac:dyDescent="0.25">
      <c r="D2142" s="93"/>
      <c r="E2142" s="93"/>
      <c r="F2142" s="93"/>
      <c r="G2142" s="93"/>
      <c r="H2142" s="93"/>
      <c r="I2142" s="93"/>
      <c r="J2142" s="93"/>
      <c r="K2142" s="93"/>
      <c r="L2142" s="93"/>
    </row>
    <row r="2143" spans="4:12" x14ac:dyDescent="0.25">
      <c r="D2143" s="93"/>
      <c r="E2143" s="93"/>
      <c r="F2143" s="93"/>
      <c r="G2143" s="93"/>
      <c r="H2143" s="93"/>
      <c r="I2143" s="93"/>
      <c r="J2143" s="93"/>
      <c r="K2143" s="93"/>
      <c r="L2143" s="93"/>
    </row>
    <row r="2144" spans="4:12" x14ac:dyDescent="0.25">
      <c r="D2144" s="93"/>
      <c r="E2144" s="93"/>
      <c r="F2144" s="93"/>
      <c r="G2144" s="93"/>
      <c r="H2144" s="93"/>
      <c r="I2144" s="93"/>
      <c r="J2144" s="93"/>
      <c r="K2144" s="93"/>
      <c r="L2144" s="93"/>
    </row>
    <row r="2145" spans="4:12" x14ac:dyDescent="0.25">
      <c r="D2145" s="93"/>
      <c r="E2145" s="93"/>
      <c r="F2145" s="93"/>
      <c r="G2145" s="93"/>
      <c r="H2145" s="93"/>
      <c r="I2145" s="93"/>
      <c r="J2145" s="93"/>
      <c r="K2145" s="93"/>
      <c r="L2145" s="93"/>
    </row>
    <row r="2146" spans="4:12" x14ac:dyDescent="0.25">
      <c r="D2146" s="93"/>
      <c r="E2146" s="93"/>
      <c r="F2146" s="93"/>
      <c r="G2146" s="93"/>
      <c r="H2146" s="93"/>
      <c r="I2146" s="93"/>
      <c r="J2146" s="93"/>
      <c r="K2146" s="93"/>
      <c r="L2146" s="93"/>
    </row>
    <row r="2147" spans="4:12" x14ac:dyDescent="0.25">
      <c r="D2147" s="93"/>
      <c r="E2147" s="93"/>
      <c r="F2147" s="93"/>
      <c r="G2147" s="93"/>
      <c r="H2147" s="93"/>
      <c r="I2147" s="93"/>
      <c r="J2147" s="93"/>
      <c r="K2147" s="93"/>
      <c r="L2147" s="93"/>
    </row>
    <row r="2148" spans="4:12" x14ac:dyDescent="0.25">
      <c r="D2148" s="93"/>
      <c r="E2148" s="93"/>
      <c r="F2148" s="93"/>
      <c r="G2148" s="93"/>
      <c r="H2148" s="93"/>
      <c r="I2148" s="93"/>
      <c r="J2148" s="93"/>
      <c r="K2148" s="93"/>
      <c r="L2148" s="93"/>
    </row>
    <row r="2149" spans="4:12" x14ac:dyDescent="0.25">
      <c r="D2149" s="93"/>
      <c r="E2149" s="93"/>
      <c r="F2149" s="93"/>
      <c r="G2149" s="93"/>
      <c r="H2149" s="93"/>
      <c r="I2149" s="93"/>
      <c r="J2149" s="93"/>
      <c r="K2149" s="93"/>
      <c r="L2149" s="93"/>
    </row>
    <row r="2150" spans="4:12" x14ac:dyDescent="0.25">
      <c r="D2150" s="93"/>
      <c r="E2150" s="93"/>
      <c r="F2150" s="93"/>
      <c r="G2150" s="93"/>
      <c r="H2150" s="93"/>
      <c r="I2150" s="93"/>
      <c r="J2150" s="93"/>
      <c r="K2150" s="93"/>
      <c r="L2150" s="93"/>
    </row>
    <row r="2151" spans="4:12" x14ac:dyDescent="0.25">
      <c r="D2151" s="93"/>
      <c r="E2151" s="93"/>
      <c r="F2151" s="93"/>
      <c r="G2151" s="93"/>
      <c r="H2151" s="93"/>
      <c r="I2151" s="93"/>
      <c r="J2151" s="93"/>
      <c r="K2151" s="93"/>
      <c r="L2151" s="93"/>
    </row>
    <row r="2152" spans="4:12" x14ac:dyDescent="0.25">
      <c r="D2152" s="93"/>
      <c r="E2152" s="93"/>
      <c r="F2152" s="93"/>
      <c r="G2152" s="93"/>
      <c r="H2152" s="93"/>
      <c r="I2152" s="93"/>
      <c r="J2152" s="93"/>
      <c r="K2152" s="93"/>
      <c r="L2152" s="93"/>
    </row>
    <row r="2153" spans="4:12" x14ac:dyDescent="0.25">
      <c r="D2153" s="93"/>
      <c r="E2153" s="93"/>
      <c r="F2153" s="93"/>
      <c r="G2153" s="93"/>
      <c r="H2153" s="93"/>
      <c r="I2153" s="93"/>
      <c r="J2153" s="93"/>
      <c r="K2153" s="93"/>
      <c r="L2153" s="93"/>
    </row>
    <row r="2154" spans="4:12" x14ac:dyDescent="0.25">
      <c r="D2154" s="93"/>
      <c r="E2154" s="93"/>
      <c r="F2154" s="93"/>
      <c r="G2154" s="93"/>
      <c r="H2154" s="93"/>
      <c r="I2154" s="93"/>
      <c r="J2154" s="93"/>
      <c r="K2154" s="93"/>
      <c r="L2154" s="93"/>
    </row>
    <row r="2155" spans="4:12" x14ac:dyDescent="0.25">
      <c r="D2155" s="93"/>
      <c r="E2155" s="93"/>
      <c r="F2155" s="93"/>
      <c r="G2155" s="93"/>
      <c r="H2155" s="93"/>
      <c r="I2155" s="93"/>
      <c r="J2155" s="93"/>
      <c r="K2155" s="93"/>
      <c r="L2155" s="93"/>
    </row>
    <row r="2156" spans="4:12" x14ac:dyDescent="0.25">
      <c r="D2156" s="93"/>
      <c r="E2156" s="93"/>
      <c r="F2156" s="93"/>
      <c r="G2156" s="93"/>
      <c r="H2156" s="93"/>
      <c r="I2156" s="93"/>
      <c r="J2156" s="93"/>
      <c r="K2156" s="93"/>
      <c r="L2156" s="93"/>
    </row>
    <row r="2157" spans="4:12" x14ac:dyDescent="0.25">
      <c r="D2157" s="93"/>
      <c r="E2157" s="93"/>
      <c r="F2157" s="93"/>
      <c r="G2157" s="93"/>
      <c r="H2157" s="93"/>
      <c r="I2157" s="93"/>
      <c r="J2157" s="93"/>
      <c r="K2157" s="93"/>
      <c r="L2157" s="93"/>
    </row>
    <row r="2158" spans="4:12" x14ac:dyDescent="0.25">
      <c r="D2158" s="93"/>
      <c r="E2158" s="93"/>
      <c r="F2158" s="93"/>
      <c r="G2158" s="93"/>
      <c r="H2158" s="93"/>
      <c r="I2158" s="93"/>
      <c r="J2158" s="93"/>
      <c r="K2158" s="93"/>
      <c r="L2158" s="93"/>
    </row>
    <row r="2159" spans="4:12" x14ac:dyDescent="0.25">
      <c r="D2159" s="93"/>
      <c r="E2159" s="93"/>
      <c r="F2159" s="93"/>
      <c r="G2159" s="93"/>
      <c r="H2159" s="93"/>
      <c r="I2159" s="93"/>
      <c r="J2159" s="93"/>
      <c r="K2159" s="93"/>
      <c r="L2159" s="93"/>
    </row>
    <row r="2160" spans="4:12" x14ac:dyDescent="0.25">
      <c r="D2160" s="93"/>
      <c r="E2160" s="93"/>
      <c r="F2160" s="93"/>
      <c r="G2160" s="93"/>
      <c r="H2160" s="93"/>
      <c r="I2160" s="93"/>
      <c r="J2160" s="93"/>
      <c r="K2160" s="93"/>
      <c r="L2160" s="93"/>
    </row>
    <row r="2161" spans="4:12" x14ac:dyDescent="0.25">
      <c r="D2161" s="93"/>
      <c r="E2161" s="93"/>
      <c r="F2161" s="93"/>
      <c r="G2161" s="93"/>
      <c r="H2161" s="93"/>
      <c r="I2161" s="93"/>
      <c r="J2161" s="93"/>
      <c r="K2161" s="93"/>
      <c r="L2161" s="93"/>
    </row>
    <row r="2162" spans="4:12" x14ac:dyDescent="0.25">
      <c r="D2162" s="93"/>
      <c r="E2162" s="93"/>
      <c r="F2162" s="93"/>
      <c r="G2162" s="93"/>
      <c r="H2162" s="93"/>
      <c r="I2162" s="93"/>
      <c r="J2162" s="93"/>
      <c r="K2162" s="93"/>
      <c r="L2162" s="93"/>
    </row>
    <row r="2163" spans="4:12" x14ac:dyDescent="0.25">
      <c r="D2163" s="93"/>
      <c r="E2163" s="93"/>
      <c r="F2163" s="93"/>
      <c r="G2163" s="93"/>
      <c r="H2163" s="93"/>
      <c r="I2163" s="93"/>
      <c r="J2163" s="93"/>
      <c r="K2163" s="93"/>
      <c r="L2163" s="93"/>
    </row>
    <row r="2164" spans="4:12" x14ac:dyDescent="0.25">
      <c r="D2164" s="93"/>
      <c r="E2164" s="93"/>
      <c r="F2164" s="93"/>
      <c r="G2164" s="93"/>
      <c r="H2164" s="93"/>
      <c r="I2164" s="93"/>
      <c r="J2164" s="93"/>
      <c r="K2164" s="93"/>
      <c r="L2164" s="93"/>
    </row>
    <row r="2165" spans="4:12" x14ac:dyDescent="0.25">
      <c r="D2165" s="93"/>
      <c r="E2165" s="93"/>
      <c r="F2165" s="93"/>
      <c r="G2165" s="93"/>
      <c r="H2165" s="93"/>
      <c r="I2165" s="93"/>
      <c r="J2165" s="93"/>
      <c r="K2165" s="93"/>
      <c r="L2165" s="93"/>
    </row>
    <row r="2166" spans="4:12" x14ac:dyDescent="0.25">
      <c r="D2166" s="93"/>
      <c r="E2166" s="93"/>
      <c r="F2166" s="93"/>
      <c r="G2166" s="93"/>
      <c r="H2166" s="93"/>
      <c r="I2166" s="93"/>
      <c r="J2166" s="93"/>
      <c r="K2166" s="93"/>
      <c r="L2166" s="93"/>
    </row>
    <row r="2167" spans="4:12" x14ac:dyDescent="0.25">
      <c r="D2167" s="93"/>
      <c r="E2167" s="93"/>
      <c r="F2167" s="93"/>
      <c r="G2167" s="93"/>
      <c r="H2167" s="93"/>
      <c r="I2167" s="93"/>
      <c r="J2167" s="93"/>
      <c r="K2167" s="93"/>
      <c r="L2167" s="93"/>
    </row>
    <row r="2168" spans="4:12" x14ac:dyDescent="0.25">
      <c r="D2168" s="93"/>
      <c r="E2168" s="93"/>
      <c r="F2168" s="93"/>
      <c r="G2168" s="93"/>
      <c r="H2168" s="93"/>
      <c r="I2168" s="93"/>
      <c r="J2168" s="93"/>
      <c r="K2168" s="93"/>
      <c r="L2168" s="93"/>
    </row>
    <row r="2169" spans="4:12" x14ac:dyDescent="0.25">
      <c r="D2169" s="93"/>
      <c r="E2169" s="93"/>
      <c r="F2169" s="93"/>
      <c r="G2169" s="93"/>
      <c r="H2169" s="93"/>
      <c r="I2169" s="93"/>
      <c r="J2169" s="93"/>
      <c r="K2169" s="93"/>
      <c r="L2169" s="93"/>
    </row>
    <row r="2170" spans="4:12" x14ac:dyDescent="0.25">
      <c r="D2170" s="93"/>
      <c r="E2170" s="93"/>
      <c r="F2170" s="93"/>
      <c r="G2170" s="93"/>
      <c r="H2170" s="93"/>
      <c r="I2170" s="93"/>
      <c r="J2170" s="93"/>
      <c r="K2170" s="93"/>
      <c r="L2170" s="93"/>
    </row>
    <row r="2171" spans="4:12" x14ac:dyDescent="0.25">
      <c r="D2171" s="93"/>
      <c r="E2171" s="93"/>
      <c r="F2171" s="93"/>
      <c r="G2171" s="93"/>
      <c r="H2171" s="93"/>
      <c r="I2171" s="93"/>
      <c r="J2171" s="93"/>
      <c r="K2171" s="93"/>
      <c r="L2171" s="93"/>
    </row>
    <row r="2172" spans="4:12" x14ac:dyDescent="0.25">
      <c r="D2172" s="93"/>
      <c r="E2172" s="93"/>
      <c r="F2172" s="93"/>
      <c r="G2172" s="93"/>
      <c r="H2172" s="93"/>
      <c r="I2172" s="93"/>
      <c r="J2172" s="93"/>
      <c r="K2172" s="93"/>
      <c r="L2172" s="93"/>
    </row>
    <row r="2173" spans="4:12" x14ac:dyDescent="0.25">
      <c r="D2173" s="93"/>
      <c r="E2173" s="93"/>
      <c r="F2173" s="93"/>
      <c r="G2173" s="93"/>
      <c r="H2173" s="93"/>
      <c r="I2173" s="93"/>
      <c r="J2173" s="93"/>
      <c r="K2173" s="93"/>
      <c r="L2173" s="93"/>
    </row>
    <row r="2174" spans="4:12" x14ac:dyDescent="0.25">
      <c r="D2174" s="93"/>
      <c r="E2174" s="93"/>
      <c r="F2174" s="93"/>
      <c r="G2174" s="93"/>
      <c r="H2174" s="93"/>
      <c r="I2174" s="93"/>
      <c r="J2174" s="93"/>
      <c r="K2174" s="93"/>
      <c r="L2174" s="93"/>
    </row>
    <row r="2175" spans="4:12" x14ac:dyDescent="0.25">
      <c r="D2175" s="93"/>
      <c r="E2175" s="93"/>
      <c r="F2175" s="93"/>
      <c r="G2175" s="93"/>
      <c r="H2175" s="93"/>
      <c r="I2175" s="93"/>
      <c r="J2175" s="93"/>
      <c r="K2175" s="93"/>
      <c r="L2175" s="93"/>
    </row>
    <row r="2176" spans="4:12" x14ac:dyDescent="0.25">
      <c r="D2176" s="93"/>
      <c r="E2176" s="93"/>
      <c r="F2176" s="93"/>
      <c r="G2176" s="93"/>
      <c r="H2176" s="93"/>
      <c r="I2176" s="93"/>
      <c r="J2176" s="93"/>
      <c r="K2176" s="93"/>
      <c r="L2176" s="93"/>
    </row>
    <row r="2177" spans="4:12" x14ac:dyDescent="0.25">
      <c r="D2177" s="93"/>
      <c r="E2177" s="93"/>
      <c r="F2177" s="93"/>
      <c r="G2177" s="93"/>
      <c r="H2177" s="93"/>
      <c r="I2177" s="93"/>
      <c r="J2177" s="93"/>
      <c r="K2177" s="93"/>
      <c r="L2177" s="93"/>
    </row>
    <row r="2178" spans="4:12" x14ac:dyDescent="0.25">
      <c r="D2178" s="93"/>
      <c r="E2178" s="93"/>
      <c r="F2178" s="93"/>
      <c r="G2178" s="93"/>
      <c r="H2178" s="93"/>
      <c r="I2178" s="93"/>
      <c r="J2178" s="93"/>
      <c r="K2178" s="93"/>
      <c r="L2178" s="93"/>
    </row>
    <row r="2179" spans="4:12" x14ac:dyDescent="0.25">
      <c r="D2179" s="93"/>
      <c r="E2179" s="93"/>
      <c r="F2179" s="93"/>
      <c r="G2179" s="93"/>
      <c r="H2179" s="93"/>
      <c r="I2179" s="93"/>
      <c r="J2179" s="93"/>
      <c r="K2179" s="93"/>
      <c r="L2179" s="93"/>
    </row>
    <row r="2180" spans="4:12" x14ac:dyDescent="0.25">
      <c r="D2180" s="93"/>
      <c r="E2180" s="93"/>
      <c r="F2180" s="93"/>
      <c r="G2180" s="93"/>
      <c r="H2180" s="93"/>
      <c r="I2180" s="93"/>
      <c r="J2180" s="93"/>
      <c r="K2180" s="93"/>
      <c r="L2180" s="93"/>
    </row>
    <row r="2181" spans="4:12" x14ac:dyDescent="0.25">
      <c r="D2181" s="93"/>
      <c r="E2181" s="93"/>
      <c r="F2181" s="93"/>
      <c r="G2181" s="93"/>
      <c r="H2181" s="93"/>
      <c r="I2181" s="93"/>
      <c r="J2181" s="93"/>
      <c r="K2181" s="93"/>
      <c r="L2181" s="93"/>
    </row>
    <row r="2182" spans="4:12" x14ac:dyDescent="0.25">
      <c r="D2182" s="93"/>
      <c r="E2182" s="93"/>
      <c r="F2182" s="93"/>
      <c r="G2182" s="93"/>
      <c r="H2182" s="93"/>
      <c r="I2182" s="93"/>
      <c r="J2182" s="93"/>
      <c r="K2182" s="93"/>
      <c r="L2182" s="93"/>
    </row>
    <row r="2183" spans="4:12" x14ac:dyDescent="0.25">
      <c r="D2183" s="93"/>
      <c r="E2183" s="93"/>
      <c r="F2183" s="93"/>
      <c r="G2183" s="93"/>
      <c r="H2183" s="93"/>
      <c r="I2183" s="93"/>
      <c r="J2183" s="93"/>
      <c r="K2183" s="93"/>
      <c r="L2183" s="93"/>
    </row>
    <row r="2184" spans="4:12" x14ac:dyDescent="0.25">
      <c r="D2184" s="93"/>
      <c r="E2184" s="93"/>
      <c r="F2184" s="93"/>
      <c r="G2184" s="93"/>
      <c r="H2184" s="93"/>
      <c r="I2184" s="93"/>
      <c r="J2184" s="93"/>
      <c r="K2184" s="93"/>
      <c r="L2184" s="93"/>
    </row>
    <row r="2185" spans="4:12" x14ac:dyDescent="0.25">
      <c r="D2185" s="93"/>
      <c r="E2185" s="93"/>
      <c r="F2185" s="93"/>
      <c r="G2185" s="93"/>
      <c r="H2185" s="93"/>
      <c r="I2185" s="93"/>
      <c r="J2185" s="93"/>
      <c r="K2185" s="93"/>
      <c r="L2185" s="93"/>
    </row>
    <row r="2186" spans="4:12" x14ac:dyDescent="0.25">
      <c r="D2186" s="93"/>
      <c r="E2186" s="93"/>
      <c r="F2186" s="93"/>
      <c r="G2186" s="93"/>
      <c r="H2186" s="93"/>
      <c r="I2186" s="93"/>
      <c r="J2186" s="93"/>
      <c r="K2186" s="93"/>
      <c r="L2186" s="93"/>
    </row>
    <row r="2187" spans="4:12" x14ac:dyDescent="0.25">
      <c r="D2187" s="93"/>
      <c r="E2187" s="93"/>
      <c r="F2187" s="93"/>
      <c r="G2187" s="93"/>
      <c r="H2187" s="93"/>
      <c r="I2187" s="93"/>
      <c r="J2187" s="93"/>
      <c r="K2187" s="93"/>
      <c r="L2187" s="93"/>
    </row>
    <row r="2188" spans="4:12" x14ac:dyDescent="0.25">
      <c r="D2188" s="93"/>
      <c r="E2188" s="93"/>
      <c r="F2188" s="93"/>
      <c r="G2188" s="93"/>
      <c r="H2188" s="93"/>
      <c r="I2188" s="93"/>
      <c r="J2188" s="93"/>
      <c r="K2188" s="93"/>
      <c r="L2188" s="93"/>
    </row>
    <row r="2189" spans="4:12" x14ac:dyDescent="0.25">
      <c r="D2189" s="93"/>
      <c r="E2189" s="93"/>
      <c r="F2189" s="93"/>
      <c r="G2189" s="93"/>
      <c r="H2189" s="93"/>
      <c r="I2189" s="93"/>
      <c r="J2189" s="93"/>
      <c r="K2189" s="93"/>
      <c r="L2189" s="93"/>
    </row>
    <row r="2190" spans="4:12" x14ac:dyDescent="0.25">
      <c r="D2190" s="93"/>
      <c r="E2190" s="93"/>
      <c r="F2190" s="93"/>
      <c r="G2190" s="93"/>
      <c r="H2190" s="93"/>
      <c r="I2190" s="93"/>
      <c r="J2190" s="93"/>
      <c r="K2190" s="93"/>
      <c r="L2190" s="93"/>
    </row>
    <row r="2191" spans="4:12" x14ac:dyDescent="0.25">
      <c r="D2191" s="93"/>
      <c r="E2191" s="93"/>
      <c r="F2191" s="93"/>
      <c r="G2191" s="93"/>
      <c r="H2191" s="93"/>
      <c r="I2191" s="93"/>
      <c r="J2191" s="93"/>
      <c r="K2191" s="93"/>
      <c r="L2191" s="93"/>
    </row>
    <row r="2192" spans="4:12" x14ac:dyDescent="0.25">
      <c r="D2192" s="93"/>
      <c r="E2192" s="93"/>
      <c r="F2192" s="93"/>
      <c r="G2192" s="93"/>
      <c r="H2192" s="93"/>
      <c r="I2192" s="93"/>
      <c r="J2192" s="93"/>
      <c r="K2192" s="93"/>
      <c r="L2192" s="93"/>
    </row>
    <row r="2193" spans="4:12" x14ac:dyDescent="0.25">
      <c r="D2193" s="93"/>
      <c r="E2193" s="93"/>
      <c r="F2193" s="93"/>
      <c r="G2193" s="93"/>
      <c r="H2193" s="93"/>
      <c r="I2193" s="93"/>
      <c r="J2193" s="93"/>
      <c r="K2193" s="93"/>
      <c r="L2193" s="93"/>
    </row>
    <row r="2194" spans="4:12" x14ac:dyDescent="0.25">
      <c r="D2194" s="93"/>
      <c r="E2194" s="93"/>
      <c r="F2194" s="93"/>
      <c r="G2194" s="93"/>
      <c r="H2194" s="93"/>
      <c r="I2194" s="93"/>
      <c r="J2194" s="93"/>
      <c r="K2194" s="93"/>
      <c r="L2194" s="93"/>
    </row>
    <row r="2195" spans="4:12" x14ac:dyDescent="0.25">
      <c r="D2195" s="93"/>
      <c r="E2195" s="93"/>
      <c r="F2195" s="93"/>
      <c r="G2195" s="93"/>
      <c r="H2195" s="93"/>
      <c r="I2195" s="93"/>
      <c r="J2195" s="93"/>
      <c r="K2195" s="93"/>
      <c r="L2195" s="93"/>
    </row>
    <row r="2196" spans="4:12" x14ac:dyDescent="0.25">
      <c r="D2196" s="93"/>
      <c r="E2196" s="93"/>
      <c r="F2196" s="93"/>
      <c r="G2196" s="93"/>
      <c r="H2196" s="93"/>
      <c r="I2196" s="93"/>
      <c r="J2196" s="93"/>
      <c r="K2196" s="93"/>
      <c r="L2196" s="93"/>
    </row>
    <row r="2197" spans="4:12" x14ac:dyDescent="0.25">
      <c r="D2197" s="93"/>
      <c r="E2197" s="93"/>
      <c r="F2197" s="93"/>
      <c r="G2197" s="93"/>
      <c r="H2197" s="93"/>
      <c r="I2197" s="93"/>
      <c r="J2197" s="93"/>
      <c r="K2197" s="93"/>
      <c r="L2197" s="93"/>
    </row>
    <row r="2198" spans="4:12" x14ac:dyDescent="0.25">
      <c r="D2198" s="93"/>
      <c r="E2198" s="93"/>
      <c r="F2198" s="93"/>
      <c r="G2198" s="93"/>
      <c r="H2198" s="93"/>
      <c r="I2198" s="93"/>
      <c r="J2198" s="93"/>
      <c r="K2198" s="93"/>
      <c r="L2198" s="93"/>
    </row>
    <row r="2199" spans="4:12" x14ac:dyDescent="0.25">
      <c r="D2199" s="93"/>
      <c r="E2199" s="93"/>
      <c r="F2199" s="93"/>
      <c r="G2199" s="93"/>
      <c r="H2199" s="93"/>
      <c r="I2199" s="93"/>
      <c r="J2199" s="93"/>
      <c r="K2199" s="93"/>
      <c r="L2199" s="93"/>
    </row>
    <row r="2200" spans="4:12" x14ac:dyDescent="0.25">
      <c r="D2200" s="93"/>
      <c r="E2200" s="93"/>
      <c r="F2200" s="93"/>
      <c r="G2200" s="93"/>
      <c r="H2200" s="93"/>
      <c r="I2200" s="93"/>
      <c r="J2200" s="93"/>
      <c r="K2200" s="93"/>
      <c r="L2200" s="93"/>
    </row>
    <row r="2201" spans="4:12" x14ac:dyDescent="0.25">
      <c r="D2201" s="93"/>
      <c r="E2201" s="93"/>
      <c r="F2201" s="93"/>
      <c r="G2201" s="93"/>
      <c r="H2201" s="93"/>
      <c r="I2201" s="93"/>
      <c r="J2201" s="93"/>
      <c r="K2201" s="93"/>
      <c r="L2201" s="93"/>
    </row>
    <row r="2202" spans="4:12" x14ac:dyDescent="0.25">
      <c r="D2202" s="93"/>
      <c r="E2202" s="93"/>
      <c r="F2202" s="93"/>
      <c r="G2202" s="93"/>
      <c r="H2202" s="93"/>
      <c r="I2202" s="93"/>
      <c r="J2202" s="93"/>
      <c r="K2202" s="93"/>
      <c r="L2202" s="93"/>
    </row>
    <row r="2203" spans="4:12" x14ac:dyDescent="0.25">
      <c r="D2203" s="93"/>
      <c r="E2203" s="93"/>
      <c r="F2203" s="93"/>
      <c r="G2203" s="93"/>
      <c r="H2203" s="93"/>
      <c r="I2203" s="93"/>
      <c r="J2203" s="93"/>
      <c r="K2203" s="93"/>
      <c r="L2203" s="93"/>
    </row>
    <row r="2204" spans="4:12" x14ac:dyDescent="0.25">
      <c r="D2204" s="93"/>
      <c r="E2204" s="93"/>
      <c r="F2204" s="93"/>
      <c r="G2204" s="93"/>
      <c r="H2204" s="93"/>
      <c r="I2204" s="93"/>
      <c r="J2204" s="93"/>
      <c r="K2204" s="93"/>
      <c r="L2204" s="93"/>
    </row>
    <row r="2205" spans="4:12" x14ac:dyDescent="0.25">
      <c r="D2205" s="93"/>
      <c r="E2205" s="93"/>
      <c r="F2205" s="93"/>
      <c r="G2205" s="93"/>
      <c r="H2205" s="93"/>
      <c r="I2205" s="93"/>
      <c r="J2205" s="93"/>
      <c r="K2205" s="93"/>
      <c r="L2205" s="93"/>
    </row>
    <row r="2206" spans="4:12" x14ac:dyDescent="0.25">
      <c r="D2206" s="93"/>
      <c r="E2206" s="93"/>
      <c r="F2206" s="93"/>
      <c r="G2206" s="93"/>
      <c r="H2206" s="93"/>
      <c r="I2206" s="93"/>
      <c r="J2206" s="93"/>
      <c r="K2206" s="93"/>
      <c r="L2206" s="93"/>
    </row>
    <row r="2207" spans="4:12" x14ac:dyDescent="0.25">
      <c r="D2207" s="93"/>
      <c r="E2207" s="93"/>
      <c r="F2207" s="93"/>
      <c r="G2207" s="93"/>
      <c r="H2207" s="93"/>
      <c r="I2207" s="93"/>
      <c r="J2207" s="93"/>
      <c r="K2207" s="93"/>
      <c r="L2207" s="93"/>
    </row>
    <row r="2208" spans="4:12" x14ac:dyDescent="0.25">
      <c r="D2208" s="93"/>
      <c r="E2208" s="93"/>
      <c r="F2208" s="93"/>
      <c r="G2208" s="93"/>
      <c r="H2208" s="93"/>
      <c r="I2208" s="93"/>
      <c r="J2208" s="93"/>
      <c r="K2208" s="93"/>
      <c r="L2208" s="93"/>
    </row>
    <row r="2209" spans="4:12" x14ac:dyDescent="0.25">
      <c r="D2209" s="93"/>
      <c r="E2209" s="93"/>
      <c r="F2209" s="93"/>
      <c r="G2209" s="93"/>
      <c r="H2209" s="93"/>
      <c r="I2209" s="93"/>
      <c r="J2209" s="93"/>
      <c r="K2209" s="93"/>
      <c r="L2209" s="93"/>
    </row>
    <row r="2210" spans="4:12" x14ac:dyDescent="0.25">
      <c r="D2210" s="93"/>
      <c r="E2210" s="93"/>
      <c r="F2210" s="93"/>
      <c r="G2210" s="93"/>
      <c r="H2210" s="93"/>
      <c r="I2210" s="93"/>
      <c r="J2210" s="93"/>
      <c r="K2210" s="93"/>
      <c r="L2210" s="93"/>
    </row>
    <row r="2211" spans="4:12" x14ac:dyDescent="0.25">
      <c r="D2211" s="93"/>
      <c r="E2211" s="93"/>
      <c r="F2211" s="93"/>
      <c r="G2211" s="93"/>
      <c r="H2211" s="93"/>
      <c r="I2211" s="93"/>
      <c r="J2211" s="93"/>
      <c r="K2211" s="93"/>
      <c r="L2211" s="93"/>
    </row>
    <row r="2212" spans="4:12" x14ac:dyDescent="0.25">
      <c r="D2212" s="93"/>
      <c r="E2212" s="93"/>
      <c r="F2212" s="93"/>
      <c r="G2212" s="93"/>
      <c r="H2212" s="93"/>
      <c r="I2212" s="93"/>
      <c r="J2212" s="93"/>
      <c r="K2212" s="93"/>
      <c r="L2212" s="93"/>
    </row>
    <row r="2213" spans="4:12" x14ac:dyDescent="0.25">
      <c r="D2213" s="93"/>
      <c r="E2213" s="93"/>
      <c r="F2213" s="93"/>
      <c r="G2213" s="93"/>
      <c r="H2213" s="93"/>
      <c r="I2213" s="93"/>
      <c r="J2213" s="93"/>
      <c r="K2213" s="93"/>
      <c r="L2213" s="93"/>
    </row>
    <row r="2214" spans="4:12" x14ac:dyDescent="0.25">
      <c r="D2214" s="93"/>
      <c r="E2214" s="93"/>
      <c r="F2214" s="93"/>
      <c r="G2214" s="93"/>
      <c r="H2214" s="93"/>
      <c r="I2214" s="93"/>
      <c r="J2214" s="93"/>
      <c r="K2214" s="93"/>
      <c r="L2214" s="93"/>
    </row>
    <row r="2215" spans="4:12" x14ac:dyDescent="0.25">
      <c r="D2215" s="93"/>
      <c r="E2215" s="93"/>
      <c r="F2215" s="93"/>
      <c r="G2215" s="93"/>
      <c r="H2215" s="93"/>
      <c r="I2215" s="93"/>
      <c r="J2215" s="93"/>
      <c r="K2215" s="93"/>
      <c r="L2215" s="93"/>
    </row>
    <row r="2216" spans="4:12" x14ac:dyDescent="0.25">
      <c r="D2216" s="93"/>
      <c r="E2216" s="93"/>
      <c r="F2216" s="93"/>
      <c r="G2216" s="93"/>
      <c r="H2216" s="93"/>
      <c r="I2216" s="93"/>
      <c r="J2216" s="93"/>
      <c r="K2216" s="93"/>
      <c r="L2216" s="93"/>
    </row>
    <row r="2217" spans="4:12" x14ac:dyDescent="0.25">
      <c r="D2217" s="93"/>
      <c r="E2217" s="93"/>
      <c r="F2217" s="93"/>
      <c r="G2217" s="93"/>
      <c r="H2217" s="93"/>
      <c r="I2217" s="93"/>
      <c r="J2217" s="93"/>
      <c r="K2217" s="93"/>
      <c r="L2217" s="93"/>
    </row>
    <row r="2218" spans="4:12" x14ac:dyDescent="0.25">
      <c r="D2218" s="93"/>
      <c r="E2218" s="93"/>
      <c r="F2218" s="93"/>
      <c r="G2218" s="93"/>
      <c r="H2218" s="93"/>
      <c r="I2218" s="93"/>
      <c r="J2218" s="93"/>
      <c r="K2218" s="93"/>
      <c r="L2218" s="93"/>
    </row>
    <row r="2219" spans="4:12" x14ac:dyDescent="0.25">
      <c r="D2219" s="93"/>
      <c r="E2219" s="93"/>
      <c r="F2219" s="93"/>
      <c r="G2219" s="93"/>
      <c r="H2219" s="93"/>
      <c r="I2219" s="93"/>
      <c r="J2219" s="93"/>
      <c r="K2219" s="93"/>
      <c r="L2219" s="93"/>
    </row>
    <row r="2220" spans="4:12" x14ac:dyDescent="0.25">
      <c r="D2220" s="93"/>
      <c r="E2220" s="93"/>
      <c r="F2220" s="93"/>
      <c r="G2220" s="93"/>
      <c r="H2220" s="93"/>
      <c r="I2220" s="93"/>
      <c r="J2220" s="93"/>
      <c r="K2220" s="93"/>
      <c r="L2220" s="93"/>
    </row>
    <row r="2221" spans="4:12" x14ac:dyDescent="0.25">
      <c r="D2221" s="93"/>
      <c r="E2221" s="93"/>
      <c r="F2221" s="93"/>
      <c r="G2221" s="93"/>
      <c r="H2221" s="93"/>
      <c r="I2221" s="93"/>
      <c r="J2221" s="93"/>
      <c r="K2221" s="93"/>
      <c r="L2221" s="93"/>
    </row>
    <row r="2222" spans="4:12" x14ac:dyDescent="0.25">
      <c r="D2222" s="93"/>
      <c r="E2222" s="93"/>
      <c r="F2222" s="93"/>
      <c r="G2222" s="93"/>
      <c r="H2222" s="93"/>
      <c r="I2222" s="93"/>
      <c r="J2222" s="93"/>
      <c r="K2222" s="93"/>
      <c r="L2222" s="93"/>
    </row>
    <row r="2223" spans="4:12" x14ac:dyDescent="0.25">
      <c r="D2223" s="93"/>
      <c r="E2223" s="93"/>
      <c r="F2223" s="93"/>
      <c r="G2223" s="93"/>
      <c r="H2223" s="93"/>
      <c r="I2223" s="93"/>
      <c r="J2223" s="93"/>
      <c r="K2223" s="93"/>
      <c r="L2223" s="93"/>
    </row>
    <row r="2224" spans="4:12" x14ac:dyDescent="0.25">
      <c r="D2224" s="93"/>
      <c r="E2224" s="93"/>
      <c r="F2224" s="93"/>
      <c r="G2224" s="93"/>
      <c r="H2224" s="93"/>
      <c r="I2224" s="93"/>
      <c r="J2224" s="93"/>
      <c r="K2224" s="93"/>
      <c r="L2224" s="93"/>
    </row>
    <row r="2225" spans="4:12" x14ac:dyDescent="0.25">
      <c r="D2225" s="93"/>
      <c r="E2225" s="93"/>
      <c r="F2225" s="93"/>
      <c r="G2225" s="93"/>
      <c r="H2225" s="93"/>
      <c r="I2225" s="93"/>
      <c r="J2225" s="93"/>
      <c r="K2225" s="93"/>
      <c r="L2225" s="93"/>
    </row>
    <row r="2226" spans="4:12" x14ac:dyDescent="0.25">
      <c r="D2226" s="93"/>
      <c r="E2226" s="93"/>
      <c r="F2226" s="93"/>
      <c r="G2226" s="93"/>
      <c r="H2226" s="93"/>
      <c r="I2226" s="93"/>
      <c r="J2226" s="93"/>
      <c r="K2226" s="93"/>
      <c r="L2226" s="93"/>
    </row>
    <row r="2227" spans="4:12" x14ac:dyDescent="0.25">
      <c r="D2227" s="93"/>
      <c r="E2227" s="93"/>
      <c r="F2227" s="93"/>
      <c r="G2227" s="93"/>
      <c r="H2227" s="93"/>
      <c r="I2227" s="93"/>
      <c r="J2227" s="93"/>
      <c r="K2227" s="93"/>
      <c r="L2227" s="93"/>
    </row>
    <row r="2228" spans="4:12" x14ac:dyDescent="0.25">
      <c r="D2228" s="93"/>
      <c r="E2228" s="93"/>
      <c r="F2228" s="93"/>
      <c r="G2228" s="93"/>
      <c r="H2228" s="93"/>
      <c r="I2228" s="93"/>
      <c r="J2228" s="93"/>
      <c r="K2228" s="93"/>
      <c r="L2228" s="93"/>
    </row>
    <row r="2229" spans="4:12" x14ac:dyDescent="0.25">
      <c r="D2229" s="93"/>
      <c r="E2229" s="93"/>
      <c r="F2229" s="93"/>
      <c r="G2229" s="93"/>
      <c r="H2229" s="93"/>
      <c r="I2229" s="93"/>
      <c r="J2229" s="93"/>
      <c r="K2229" s="93"/>
      <c r="L2229" s="93"/>
    </row>
    <row r="2230" spans="4:12" x14ac:dyDescent="0.25">
      <c r="D2230" s="93"/>
      <c r="E2230" s="93"/>
      <c r="F2230" s="93"/>
      <c r="G2230" s="93"/>
      <c r="H2230" s="93"/>
      <c r="I2230" s="93"/>
      <c r="J2230" s="93"/>
      <c r="K2230" s="93"/>
      <c r="L2230" s="93"/>
    </row>
    <row r="2231" spans="4:12" x14ac:dyDescent="0.25">
      <c r="D2231" s="93"/>
      <c r="E2231" s="93"/>
      <c r="F2231" s="93"/>
      <c r="G2231" s="93"/>
      <c r="H2231" s="93"/>
      <c r="I2231" s="93"/>
      <c r="J2231" s="93"/>
      <c r="K2231" s="93"/>
      <c r="L2231" s="93"/>
    </row>
    <row r="2232" spans="4:12" x14ac:dyDescent="0.25">
      <c r="D2232" s="93"/>
      <c r="E2232" s="93"/>
      <c r="F2232" s="93"/>
      <c r="G2232" s="93"/>
      <c r="H2232" s="93"/>
      <c r="I2232" s="93"/>
      <c r="J2232" s="93"/>
      <c r="K2232" s="93"/>
      <c r="L2232" s="93"/>
    </row>
    <row r="2233" spans="4:12" x14ac:dyDescent="0.25">
      <c r="D2233" s="93"/>
      <c r="E2233" s="93"/>
      <c r="F2233" s="93"/>
      <c r="G2233" s="93"/>
      <c r="H2233" s="93"/>
      <c r="I2233" s="93"/>
      <c r="J2233" s="93"/>
      <c r="K2233" s="93"/>
      <c r="L2233" s="93"/>
    </row>
    <row r="2234" spans="4:12" x14ac:dyDescent="0.25">
      <c r="D2234" s="93"/>
      <c r="E2234" s="93"/>
      <c r="F2234" s="93"/>
      <c r="G2234" s="93"/>
      <c r="H2234" s="93"/>
      <c r="I2234" s="93"/>
      <c r="J2234" s="93"/>
      <c r="K2234" s="93"/>
      <c r="L2234" s="93"/>
    </row>
    <row r="2235" spans="4:12" x14ac:dyDescent="0.25">
      <c r="D2235" s="93"/>
      <c r="E2235" s="93"/>
      <c r="F2235" s="93"/>
      <c r="G2235" s="93"/>
      <c r="H2235" s="93"/>
      <c r="I2235" s="93"/>
      <c r="J2235" s="93"/>
      <c r="K2235" s="93"/>
      <c r="L2235" s="93"/>
    </row>
    <row r="2236" spans="4:12" x14ac:dyDescent="0.25">
      <c r="D2236" s="93"/>
      <c r="E2236" s="93"/>
      <c r="F2236" s="93"/>
      <c r="G2236" s="93"/>
      <c r="H2236" s="93"/>
      <c r="I2236" s="93"/>
      <c r="J2236" s="93"/>
      <c r="K2236" s="93"/>
      <c r="L2236" s="93"/>
    </row>
    <row r="2237" spans="4:12" x14ac:dyDescent="0.25">
      <c r="D2237" s="93"/>
      <c r="E2237" s="93"/>
      <c r="F2237" s="93"/>
      <c r="G2237" s="93"/>
      <c r="H2237" s="93"/>
      <c r="I2237" s="93"/>
      <c r="J2237" s="93"/>
      <c r="K2237" s="93"/>
      <c r="L2237" s="93"/>
    </row>
    <row r="2238" spans="4:12" x14ac:dyDescent="0.25">
      <c r="D2238" s="93"/>
      <c r="E2238" s="93"/>
      <c r="F2238" s="93"/>
      <c r="G2238" s="93"/>
      <c r="H2238" s="93"/>
      <c r="I2238" s="93"/>
      <c r="J2238" s="93"/>
      <c r="K2238" s="93"/>
      <c r="L2238" s="93"/>
    </row>
    <row r="2239" spans="4:12" x14ac:dyDescent="0.25">
      <c r="D2239" s="93"/>
      <c r="E2239" s="93"/>
      <c r="F2239" s="93"/>
      <c r="G2239" s="93"/>
      <c r="H2239" s="93"/>
      <c r="I2239" s="93"/>
      <c r="J2239" s="93"/>
      <c r="K2239" s="93"/>
      <c r="L2239" s="93"/>
    </row>
    <row r="2240" spans="4:12" x14ac:dyDescent="0.25">
      <c r="D2240" s="93"/>
      <c r="E2240" s="93"/>
      <c r="F2240" s="93"/>
      <c r="G2240" s="93"/>
      <c r="H2240" s="93"/>
      <c r="I2240" s="93"/>
      <c r="J2240" s="93"/>
      <c r="K2240" s="93"/>
      <c r="L2240" s="93"/>
    </row>
    <row r="2241" spans="4:12" x14ac:dyDescent="0.25">
      <c r="D2241" s="93"/>
      <c r="E2241" s="93"/>
      <c r="F2241" s="93"/>
      <c r="G2241" s="93"/>
      <c r="H2241" s="93"/>
      <c r="I2241" s="93"/>
      <c r="J2241" s="93"/>
      <c r="K2241" s="93"/>
      <c r="L2241" s="93"/>
    </row>
    <row r="2242" spans="4:12" x14ac:dyDescent="0.25">
      <c r="D2242" s="93"/>
      <c r="E2242" s="93"/>
      <c r="F2242" s="93"/>
      <c r="G2242" s="93"/>
      <c r="H2242" s="93"/>
      <c r="I2242" s="93"/>
      <c r="J2242" s="93"/>
      <c r="K2242" s="93"/>
      <c r="L2242" s="93"/>
    </row>
    <row r="2243" spans="4:12" x14ac:dyDescent="0.25">
      <c r="D2243" s="93"/>
      <c r="E2243" s="93"/>
      <c r="F2243" s="93"/>
      <c r="G2243" s="93"/>
      <c r="H2243" s="93"/>
      <c r="I2243" s="93"/>
      <c r="J2243" s="93"/>
      <c r="K2243" s="93"/>
      <c r="L2243" s="93"/>
    </row>
    <row r="2244" spans="4:12" x14ac:dyDescent="0.25">
      <c r="D2244" s="93"/>
      <c r="E2244" s="93"/>
      <c r="F2244" s="93"/>
      <c r="G2244" s="93"/>
      <c r="H2244" s="93"/>
      <c r="I2244" s="93"/>
      <c r="J2244" s="93"/>
      <c r="K2244" s="93"/>
      <c r="L2244" s="93"/>
    </row>
    <row r="2245" spans="4:12" x14ac:dyDescent="0.25">
      <c r="D2245" s="93"/>
      <c r="E2245" s="93"/>
      <c r="F2245" s="93"/>
      <c r="G2245" s="93"/>
      <c r="H2245" s="93"/>
      <c r="I2245" s="93"/>
      <c r="J2245" s="93"/>
      <c r="K2245" s="93"/>
      <c r="L2245" s="93"/>
    </row>
    <row r="2246" spans="4:12" x14ac:dyDescent="0.25">
      <c r="D2246" s="93"/>
      <c r="E2246" s="93"/>
      <c r="F2246" s="93"/>
      <c r="G2246" s="93"/>
      <c r="H2246" s="93"/>
      <c r="I2246" s="93"/>
      <c r="J2246" s="93"/>
      <c r="K2246" s="93"/>
      <c r="L2246" s="93"/>
    </row>
    <row r="2247" spans="4:12" x14ac:dyDescent="0.25">
      <c r="D2247" s="93"/>
      <c r="E2247" s="93"/>
      <c r="F2247" s="93"/>
      <c r="G2247" s="93"/>
      <c r="H2247" s="93"/>
      <c r="I2247" s="93"/>
      <c r="J2247" s="93"/>
      <c r="K2247" s="93"/>
      <c r="L2247" s="93"/>
    </row>
    <row r="2248" spans="4:12" x14ac:dyDescent="0.25">
      <c r="D2248" s="93"/>
      <c r="E2248" s="93"/>
      <c r="F2248" s="93"/>
      <c r="G2248" s="93"/>
      <c r="H2248" s="93"/>
      <c r="I2248" s="93"/>
      <c r="J2248" s="93"/>
      <c r="K2248" s="93"/>
      <c r="L2248" s="93"/>
    </row>
    <row r="2249" spans="4:12" x14ac:dyDescent="0.25">
      <c r="D2249" s="93"/>
      <c r="E2249" s="93"/>
      <c r="F2249" s="93"/>
      <c r="G2249" s="93"/>
      <c r="H2249" s="93"/>
      <c r="I2249" s="93"/>
      <c r="J2249" s="93"/>
      <c r="K2249" s="93"/>
      <c r="L2249" s="93"/>
    </row>
    <row r="2250" spans="4:12" x14ac:dyDescent="0.25">
      <c r="D2250" s="93"/>
      <c r="E2250" s="93"/>
      <c r="F2250" s="93"/>
      <c r="G2250" s="93"/>
      <c r="H2250" s="93"/>
      <c r="I2250" s="93"/>
      <c r="J2250" s="93"/>
      <c r="K2250" s="93"/>
      <c r="L2250" s="93"/>
    </row>
    <row r="2251" spans="4:12" x14ac:dyDescent="0.25">
      <c r="D2251" s="93"/>
      <c r="E2251" s="93"/>
      <c r="F2251" s="93"/>
      <c r="G2251" s="93"/>
      <c r="H2251" s="93"/>
      <c r="I2251" s="93"/>
      <c r="J2251" s="93"/>
      <c r="K2251" s="93"/>
      <c r="L2251" s="93"/>
    </row>
    <row r="2252" spans="4:12" x14ac:dyDescent="0.25">
      <c r="D2252" s="93"/>
      <c r="E2252" s="93"/>
      <c r="F2252" s="93"/>
      <c r="G2252" s="93"/>
      <c r="H2252" s="93"/>
      <c r="I2252" s="93"/>
      <c r="J2252" s="93"/>
      <c r="K2252" s="93"/>
      <c r="L2252" s="93"/>
    </row>
    <row r="2253" spans="4:12" x14ac:dyDescent="0.25">
      <c r="D2253" s="93"/>
      <c r="E2253" s="93"/>
      <c r="F2253" s="93"/>
      <c r="G2253" s="93"/>
      <c r="H2253" s="93"/>
      <c r="I2253" s="93"/>
      <c r="J2253" s="93"/>
      <c r="K2253" s="93"/>
      <c r="L2253" s="93"/>
    </row>
    <row r="2254" spans="4:12" x14ac:dyDescent="0.25">
      <c r="D2254" s="93"/>
      <c r="E2254" s="93"/>
      <c r="F2254" s="93"/>
      <c r="G2254" s="93"/>
      <c r="H2254" s="93"/>
      <c r="I2254" s="93"/>
      <c r="J2254" s="93"/>
      <c r="K2254" s="93"/>
      <c r="L2254" s="93"/>
    </row>
    <row r="2255" spans="4:12" x14ac:dyDescent="0.25">
      <c r="D2255" s="93"/>
      <c r="E2255" s="93"/>
      <c r="F2255" s="93"/>
      <c r="G2255" s="93"/>
      <c r="H2255" s="93"/>
      <c r="I2255" s="93"/>
      <c r="J2255" s="93"/>
      <c r="K2255" s="93"/>
      <c r="L2255" s="93"/>
    </row>
    <row r="2256" spans="4:12" x14ac:dyDescent="0.25">
      <c r="D2256" s="93"/>
      <c r="E2256" s="93"/>
      <c r="F2256" s="93"/>
      <c r="G2256" s="93"/>
      <c r="H2256" s="93"/>
      <c r="I2256" s="93"/>
      <c r="J2256" s="93"/>
      <c r="K2256" s="93"/>
      <c r="L2256" s="93"/>
    </row>
    <row r="2257" spans="4:12" x14ac:dyDescent="0.25">
      <c r="D2257" s="93"/>
      <c r="E2257" s="93"/>
      <c r="F2257" s="93"/>
      <c r="G2257" s="93"/>
      <c r="H2257" s="93"/>
      <c r="I2257" s="93"/>
      <c r="J2257" s="93"/>
      <c r="K2257" s="93"/>
      <c r="L2257" s="93"/>
    </row>
    <row r="2258" spans="4:12" x14ac:dyDescent="0.25">
      <c r="D2258" s="93"/>
      <c r="E2258" s="93"/>
      <c r="F2258" s="93"/>
      <c r="G2258" s="93"/>
      <c r="H2258" s="93"/>
      <c r="I2258" s="93"/>
      <c r="J2258" s="93"/>
      <c r="K2258" s="93"/>
      <c r="L2258" s="93"/>
    </row>
    <row r="2259" spans="4:12" x14ac:dyDescent="0.25">
      <c r="D2259" s="93"/>
      <c r="E2259" s="93"/>
      <c r="F2259" s="93"/>
      <c r="G2259" s="93"/>
      <c r="H2259" s="93"/>
      <c r="I2259" s="93"/>
      <c r="J2259" s="93"/>
      <c r="K2259" s="93"/>
      <c r="L2259" s="93"/>
    </row>
    <row r="2260" spans="4:12" x14ac:dyDescent="0.25">
      <c r="D2260" s="93"/>
      <c r="E2260" s="93"/>
      <c r="F2260" s="93"/>
      <c r="G2260" s="93"/>
      <c r="H2260" s="93"/>
      <c r="I2260" s="93"/>
      <c r="J2260" s="93"/>
      <c r="K2260" s="93"/>
      <c r="L2260" s="93"/>
    </row>
    <row r="2261" spans="4:12" x14ac:dyDescent="0.25">
      <c r="D2261" s="93"/>
      <c r="E2261" s="93"/>
      <c r="F2261" s="93"/>
      <c r="G2261" s="93"/>
      <c r="H2261" s="93"/>
      <c r="I2261" s="93"/>
      <c r="J2261" s="93"/>
      <c r="K2261" s="93"/>
      <c r="L2261" s="93"/>
    </row>
    <row r="2262" spans="4:12" x14ac:dyDescent="0.25">
      <c r="D2262" s="93"/>
      <c r="E2262" s="93"/>
      <c r="F2262" s="93"/>
      <c r="G2262" s="93"/>
      <c r="H2262" s="93"/>
      <c r="I2262" s="93"/>
      <c r="J2262" s="93"/>
      <c r="K2262" s="93"/>
      <c r="L2262" s="93"/>
    </row>
    <row r="2263" spans="4:12" x14ac:dyDescent="0.25">
      <c r="D2263" s="93"/>
      <c r="E2263" s="93"/>
      <c r="F2263" s="93"/>
      <c r="G2263" s="93"/>
      <c r="H2263" s="93"/>
      <c r="I2263" s="93"/>
      <c r="J2263" s="93"/>
      <c r="K2263" s="93"/>
      <c r="L2263" s="93"/>
    </row>
    <row r="2264" spans="4:12" x14ac:dyDescent="0.25">
      <c r="D2264" s="93"/>
      <c r="E2264" s="93"/>
      <c r="F2264" s="93"/>
      <c r="G2264" s="93"/>
      <c r="H2264" s="93"/>
      <c r="I2264" s="93"/>
      <c r="J2264" s="93"/>
      <c r="K2264" s="93"/>
      <c r="L2264" s="93"/>
    </row>
    <row r="2265" spans="4:12" x14ac:dyDescent="0.25">
      <c r="D2265" s="93"/>
      <c r="E2265" s="93"/>
      <c r="F2265" s="93"/>
      <c r="G2265" s="93"/>
      <c r="H2265" s="93"/>
      <c r="I2265" s="93"/>
      <c r="J2265" s="93"/>
      <c r="K2265" s="93"/>
      <c r="L2265" s="93"/>
    </row>
    <row r="2266" spans="4:12" x14ac:dyDescent="0.25">
      <c r="D2266" s="93"/>
      <c r="E2266" s="93"/>
      <c r="F2266" s="93"/>
      <c r="G2266" s="93"/>
      <c r="H2266" s="93"/>
      <c r="I2266" s="93"/>
      <c r="J2266" s="93"/>
      <c r="K2266" s="93"/>
      <c r="L2266" s="93"/>
    </row>
    <row r="2267" spans="4:12" x14ac:dyDescent="0.25">
      <c r="D2267" s="93"/>
      <c r="E2267" s="93"/>
      <c r="F2267" s="93"/>
      <c r="G2267" s="93"/>
      <c r="H2267" s="93"/>
      <c r="I2267" s="93"/>
      <c r="J2267" s="93"/>
      <c r="K2267" s="93"/>
      <c r="L2267" s="93"/>
    </row>
    <row r="2268" spans="4:12" x14ac:dyDescent="0.25">
      <c r="D2268" s="93"/>
      <c r="E2268" s="93"/>
      <c r="F2268" s="93"/>
      <c r="G2268" s="93"/>
      <c r="H2268" s="93"/>
      <c r="I2268" s="93"/>
      <c r="J2268" s="93"/>
      <c r="K2268" s="93"/>
      <c r="L2268" s="93"/>
    </row>
    <row r="2269" spans="4:12" x14ac:dyDescent="0.25">
      <c r="D2269" s="93"/>
      <c r="E2269" s="93"/>
      <c r="F2269" s="93"/>
      <c r="G2269" s="93"/>
      <c r="H2269" s="93"/>
      <c r="I2269" s="93"/>
      <c r="J2269" s="93"/>
      <c r="K2269" s="93"/>
      <c r="L2269" s="93"/>
    </row>
    <row r="2270" spans="4:12" x14ac:dyDescent="0.25">
      <c r="D2270" s="93"/>
      <c r="E2270" s="93"/>
      <c r="F2270" s="93"/>
      <c r="G2270" s="93"/>
      <c r="H2270" s="93"/>
      <c r="I2270" s="93"/>
      <c r="J2270" s="93"/>
      <c r="K2270" s="93"/>
      <c r="L2270" s="93"/>
    </row>
    <row r="2271" spans="4:12" x14ac:dyDescent="0.25">
      <c r="D2271" s="93"/>
      <c r="E2271" s="93"/>
      <c r="F2271" s="93"/>
      <c r="G2271" s="93"/>
      <c r="H2271" s="93"/>
      <c r="I2271" s="93"/>
      <c r="J2271" s="93"/>
      <c r="K2271" s="93"/>
      <c r="L2271" s="93"/>
    </row>
    <row r="2272" spans="4:12" x14ac:dyDescent="0.25">
      <c r="D2272" s="93"/>
      <c r="E2272" s="93"/>
      <c r="F2272" s="93"/>
      <c r="G2272" s="93"/>
      <c r="H2272" s="93"/>
      <c r="I2272" s="93"/>
      <c r="J2272" s="93"/>
      <c r="K2272" s="93"/>
      <c r="L2272" s="93"/>
    </row>
    <row r="2273" spans="4:12" x14ac:dyDescent="0.25">
      <c r="D2273" s="93"/>
      <c r="E2273" s="93"/>
      <c r="F2273" s="93"/>
      <c r="G2273" s="93"/>
      <c r="H2273" s="93"/>
      <c r="I2273" s="93"/>
      <c r="J2273" s="93"/>
      <c r="K2273" s="93"/>
      <c r="L2273" s="93"/>
    </row>
    <row r="2274" spans="4:12" x14ac:dyDescent="0.25">
      <c r="D2274" s="93"/>
      <c r="E2274" s="93"/>
      <c r="F2274" s="93"/>
      <c r="G2274" s="93"/>
      <c r="H2274" s="93"/>
      <c r="I2274" s="93"/>
      <c r="J2274" s="93"/>
      <c r="K2274" s="93"/>
      <c r="L2274" s="93"/>
    </row>
    <row r="2275" spans="4:12" x14ac:dyDescent="0.25">
      <c r="D2275" s="93"/>
      <c r="E2275" s="93"/>
      <c r="F2275" s="93"/>
      <c r="G2275" s="93"/>
      <c r="H2275" s="93"/>
      <c r="I2275" s="93"/>
      <c r="J2275" s="93"/>
      <c r="K2275" s="93"/>
      <c r="L2275" s="93"/>
    </row>
    <row r="2276" spans="4:12" x14ac:dyDescent="0.25">
      <c r="D2276" s="93"/>
      <c r="E2276" s="93"/>
      <c r="F2276" s="93"/>
      <c r="G2276" s="93"/>
      <c r="H2276" s="93"/>
      <c r="I2276" s="93"/>
      <c r="J2276" s="93"/>
      <c r="K2276" s="93"/>
      <c r="L2276" s="93"/>
    </row>
    <row r="2277" spans="4:12" x14ac:dyDescent="0.25">
      <c r="D2277" s="93"/>
      <c r="E2277" s="93"/>
      <c r="F2277" s="93"/>
      <c r="G2277" s="93"/>
      <c r="H2277" s="93"/>
      <c r="I2277" s="93"/>
      <c r="J2277" s="93"/>
      <c r="K2277" s="93"/>
      <c r="L2277" s="93"/>
    </row>
    <row r="2278" spans="4:12" x14ac:dyDescent="0.25">
      <c r="D2278" s="93"/>
      <c r="E2278" s="93"/>
      <c r="F2278" s="93"/>
      <c r="G2278" s="93"/>
      <c r="H2278" s="93"/>
      <c r="I2278" s="93"/>
      <c r="J2278" s="93"/>
      <c r="K2278" s="93"/>
      <c r="L2278" s="93"/>
    </row>
    <row r="2279" spans="4:12" x14ac:dyDescent="0.25">
      <c r="D2279" s="93"/>
      <c r="E2279" s="93"/>
      <c r="F2279" s="93"/>
      <c r="G2279" s="93"/>
      <c r="H2279" s="93"/>
      <c r="I2279" s="93"/>
      <c r="J2279" s="93"/>
      <c r="K2279" s="93"/>
      <c r="L2279" s="93"/>
    </row>
  </sheetData>
  <autoFilter ref="E6:L507" xr:uid="{00000000-0001-0000-0300-000000000000}">
    <filterColumn colId="0">
      <customFilters>
        <customFilter operator="notEqual" val=" "/>
      </customFilters>
    </filterColumn>
  </autoFilter>
  <mergeCells count="3">
    <mergeCell ref="D507:H507"/>
    <mergeCell ref="D5:L5"/>
    <mergeCell ref="D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AN400"/>
  <sheetViews>
    <sheetView showGridLines="0" showRowColHeaders="0" zoomScaleNormal="100" workbookViewId="0">
      <selection activeCell="E26" sqref="E2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6.140625" style="93" customWidth="1"/>
    <col min="2" max="2" width="6.28515625" style="93" customWidth="1"/>
    <col min="3" max="3" width="3" style="93" customWidth="1"/>
    <col min="4" max="4" width="44.28515625" bestFit="1" customWidth="1"/>
    <col min="5" max="6" width="18" customWidth="1"/>
    <col min="7" max="7" width="37.140625" bestFit="1" customWidth="1"/>
    <col min="8" max="8" width="11.28515625" style="93" bestFit="1" customWidth="1"/>
    <col min="9" max="9" width="13.140625" style="93" bestFit="1" customWidth="1"/>
    <col min="10" max="40" width="8.7109375" style="93"/>
  </cols>
  <sheetData>
    <row r="1" spans="4:7" s="93" customFormat="1" x14ac:dyDescent="0.25"/>
    <row r="2" spans="4:7" ht="39.75" customHeight="1" x14ac:dyDescent="0.25">
      <c r="D2" s="440" t="s">
        <v>145</v>
      </c>
      <c r="E2" s="440"/>
      <c r="F2" s="440"/>
      <c r="G2" s="440"/>
    </row>
    <row r="3" spans="4:7" ht="15.75" customHeight="1" x14ac:dyDescent="0.25">
      <c r="D3" s="435" t="s">
        <v>146</v>
      </c>
      <c r="E3" s="435"/>
      <c r="F3" s="435"/>
      <c r="G3" s="435"/>
    </row>
    <row r="4" spans="4:7" ht="27.75" customHeight="1" x14ac:dyDescent="0.25">
      <c r="D4" s="106" t="s">
        <v>147</v>
      </c>
      <c r="E4" s="106" t="s">
        <v>148</v>
      </c>
      <c r="F4" s="106" t="s">
        <v>149</v>
      </c>
      <c r="G4" s="106" t="s">
        <v>150</v>
      </c>
    </row>
    <row r="5" spans="4:7" ht="19.5" customHeight="1" x14ac:dyDescent="0.25">
      <c r="D5" s="104" t="s">
        <v>151</v>
      </c>
      <c r="E5" s="244" t="str">
        <f>'🧾 Tributos Aduana'!F9</f>
        <v>-</v>
      </c>
      <c r="F5" s="105" t="s">
        <v>152</v>
      </c>
      <c r="G5" s="247" t="s">
        <v>153</v>
      </c>
    </row>
    <row r="6" spans="4:7" ht="19.5" customHeight="1" x14ac:dyDescent="0.25">
      <c r="D6" s="17" t="s">
        <v>154</v>
      </c>
      <c r="E6" s="345">
        <v>34.03</v>
      </c>
      <c r="F6" s="16" t="s">
        <v>152</v>
      </c>
      <c r="G6" s="248" t="s">
        <v>155</v>
      </c>
    </row>
    <row r="7" spans="4:7" ht="19.5" customHeight="1" x14ac:dyDescent="0.25">
      <c r="D7" s="12" t="s">
        <v>156</v>
      </c>
      <c r="E7" s="345">
        <v>100.69</v>
      </c>
      <c r="F7" s="16" t="s">
        <v>152</v>
      </c>
      <c r="G7" s="249" t="s">
        <v>157</v>
      </c>
    </row>
    <row r="8" spans="4:7" ht="19.5" customHeight="1" x14ac:dyDescent="0.25">
      <c r="D8" s="17" t="s">
        <v>158</v>
      </c>
      <c r="E8" s="345">
        <v>36.46</v>
      </c>
      <c r="F8" s="16" t="s">
        <v>152</v>
      </c>
      <c r="G8" s="248" t="s">
        <v>159</v>
      </c>
    </row>
    <row r="9" spans="4:7" ht="19.5" customHeight="1" x14ac:dyDescent="0.25">
      <c r="D9" s="12" t="s">
        <v>160</v>
      </c>
      <c r="E9" s="345">
        <v>48.61</v>
      </c>
      <c r="F9" s="16" t="s">
        <v>152</v>
      </c>
      <c r="G9" s="249" t="s">
        <v>161</v>
      </c>
    </row>
    <row r="10" spans="4:7" ht="19.5" customHeight="1" x14ac:dyDescent="0.25">
      <c r="D10" s="17" t="s">
        <v>162</v>
      </c>
      <c r="E10" s="345">
        <v>12.15</v>
      </c>
      <c r="F10" s="16" t="s">
        <v>152</v>
      </c>
      <c r="G10" s="248" t="s">
        <v>163</v>
      </c>
    </row>
    <row r="11" spans="4:7" ht="19.5" customHeight="1" x14ac:dyDescent="0.25">
      <c r="D11" s="12" t="s">
        <v>164</v>
      </c>
      <c r="E11" s="345">
        <v>70</v>
      </c>
      <c r="F11" s="16" t="s">
        <v>152</v>
      </c>
      <c r="G11" s="249" t="s">
        <v>165</v>
      </c>
    </row>
    <row r="12" spans="4:7" ht="19.5" customHeight="1" x14ac:dyDescent="0.25">
      <c r="D12" s="17" t="s">
        <v>166</v>
      </c>
      <c r="E12" s="345">
        <v>121.53</v>
      </c>
      <c r="F12" s="16" t="s">
        <v>152</v>
      </c>
      <c r="G12" s="248" t="s">
        <v>167</v>
      </c>
    </row>
    <row r="13" spans="4:7" ht="19.5" customHeight="1" x14ac:dyDescent="0.25">
      <c r="D13" s="12" t="s">
        <v>168</v>
      </c>
      <c r="E13" s="345">
        <v>62.5</v>
      </c>
      <c r="F13" s="16" t="s">
        <v>152</v>
      </c>
      <c r="G13" s="249" t="s">
        <v>169</v>
      </c>
    </row>
    <row r="14" spans="4:7" ht="19.5" customHeight="1" x14ac:dyDescent="0.25">
      <c r="D14" s="17" t="s">
        <v>170</v>
      </c>
      <c r="E14" s="345">
        <v>13.89</v>
      </c>
      <c r="F14" s="16" t="s">
        <v>152</v>
      </c>
      <c r="G14" s="248" t="s">
        <v>171</v>
      </c>
    </row>
    <row r="15" spans="4:7" ht="19.5" customHeight="1" x14ac:dyDescent="0.25">
      <c r="D15" s="12" t="s">
        <v>172</v>
      </c>
      <c r="E15" s="345">
        <v>41.67</v>
      </c>
      <c r="F15" s="16" t="s">
        <v>152</v>
      </c>
      <c r="G15" s="249" t="s">
        <v>173</v>
      </c>
    </row>
    <row r="16" spans="4:7" ht="19.5" customHeight="1" x14ac:dyDescent="0.25">
      <c r="D16" s="17" t="s">
        <v>174</v>
      </c>
      <c r="E16" s="345">
        <v>62.5</v>
      </c>
      <c r="F16" s="16" t="s">
        <v>152</v>
      </c>
      <c r="G16" s="248" t="s">
        <v>175</v>
      </c>
    </row>
    <row r="17" spans="4:9" ht="19.5" customHeight="1" x14ac:dyDescent="0.25">
      <c r="D17" s="12" t="s">
        <v>176</v>
      </c>
      <c r="E17" s="345">
        <v>104.17</v>
      </c>
      <c r="F17" s="16" t="s">
        <v>152</v>
      </c>
      <c r="G17" s="249" t="s">
        <v>177</v>
      </c>
    </row>
    <row r="18" spans="4:9" ht="19.5" customHeight="1" x14ac:dyDescent="0.25">
      <c r="D18" s="17" t="s">
        <v>178</v>
      </c>
      <c r="E18" s="345">
        <v>3.13</v>
      </c>
      <c r="F18" s="16" t="s">
        <v>152</v>
      </c>
      <c r="G18" s="248" t="s">
        <v>179</v>
      </c>
    </row>
    <row r="19" spans="4:9" ht="19.5" customHeight="1" x14ac:dyDescent="0.25">
      <c r="D19" s="12" t="s">
        <v>180</v>
      </c>
      <c r="E19" s="345">
        <v>121.53</v>
      </c>
      <c r="F19" s="16" t="s">
        <v>152</v>
      </c>
      <c r="G19" s="249" t="s">
        <v>181</v>
      </c>
    </row>
    <row r="20" spans="4:9" ht="19.5" customHeight="1" x14ac:dyDescent="0.25">
      <c r="D20" s="17" t="s">
        <v>182</v>
      </c>
      <c r="E20" s="245">
        <v>164.38</v>
      </c>
      <c r="F20" s="16" t="s">
        <v>152</v>
      </c>
      <c r="G20" s="248" t="s">
        <v>183</v>
      </c>
    </row>
    <row r="21" spans="4:9" ht="19.5" customHeight="1" x14ac:dyDescent="0.25">
      <c r="D21" s="12" t="s">
        <v>184</v>
      </c>
      <c r="E21" s="345">
        <v>120</v>
      </c>
      <c r="F21" s="18" t="s">
        <v>185</v>
      </c>
      <c r="G21" s="249" t="s">
        <v>186</v>
      </c>
    </row>
    <row r="22" spans="4:9" ht="19.5" customHeight="1" x14ac:dyDescent="0.25">
      <c r="D22" s="17" t="s">
        <v>187</v>
      </c>
      <c r="E22" s="345">
        <v>47.5</v>
      </c>
      <c r="F22" s="18" t="s">
        <v>185</v>
      </c>
      <c r="G22" s="248" t="s">
        <v>188</v>
      </c>
    </row>
    <row r="23" spans="4:9" ht="19.5" customHeight="1" x14ac:dyDescent="0.25">
      <c r="D23" s="12" t="s">
        <v>189</v>
      </c>
      <c r="E23" s="345">
        <v>0</v>
      </c>
      <c r="F23" s="18" t="s">
        <v>185</v>
      </c>
      <c r="G23" s="249" t="s">
        <v>190</v>
      </c>
    </row>
    <row r="24" spans="4:9" ht="19.5" customHeight="1" x14ac:dyDescent="0.25">
      <c r="D24" s="17" t="s">
        <v>191</v>
      </c>
      <c r="E24" s="345">
        <v>0</v>
      </c>
      <c r="F24" s="18" t="s">
        <v>185</v>
      </c>
      <c r="G24" s="248" t="s">
        <v>192</v>
      </c>
    </row>
    <row r="25" spans="4:9" ht="19.5" customHeight="1" x14ac:dyDescent="0.25">
      <c r="D25" s="12" t="s">
        <v>193</v>
      </c>
      <c r="E25" s="345">
        <v>0</v>
      </c>
      <c r="F25" s="18" t="s">
        <v>185</v>
      </c>
      <c r="G25" s="249" t="s">
        <v>194</v>
      </c>
    </row>
    <row r="26" spans="4:9" ht="21.75" customHeight="1" x14ac:dyDescent="0.25">
      <c r="D26" s="19" t="s">
        <v>195</v>
      </c>
      <c r="E26" s="20">
        <f>E6+E7+E8+E9+E10+E11+E12+E13+E14+E15+E16+E17+E18+E19+E20</f>
        <v>997.2399999999999</v>
      </c>
      <c r="F26" s="21">
        <f>SUM(E6:E20)*'📋 Datos Generales'!E28</f>
        <v>179.50319999999996</v>
      </c>
      <c r="G26" s="93"/>
    </row>
    <row r="27" spans="4:9" ht="21.75" customHeight="1" x14ac:dyDescent="0.25">
      <c r="D27" s="22" t="s">
        <v>196</v>
      </c>
      <c r="E27" s="23">
        <f>E21+E22+E23+E24+E25</f>
        <v>167.5</v>
      </c>
      <c r="F27" s="24" t="s">
        <v>197</v>
      </c>
      <c r="G27" s="93"/>
    </row>
    <row r="28" spans="4:9" ht="21.75" customHeight="1" x14ac:dyDescent="0.25">
      <c r="D28" s="103" t="s">
        <v>427</v>
      </c>
      <c r="E28" s="15">
        <f>'🧾 Tributos Aduana'!$F$14+'🧾 Tributos Aduana'!$F$17+E26+E27</f>
        <v>49782.29</v>
      </c>
      <c r="F28" s="93"/>
      <c r="G28" s="93"/>
    </row>
    <row r="29" spans="4:9" ht="21.75" customHeight="1" x14ac:dyDescent="0.25">
      <c r="D29" s="93"/>
      <c r="E29" s="93"/>
      <c r="F29" s="93"/>
      <c r="G29" s="93"/>
    </row>
    <row r="30" spans="4:9" ht="15" customHeight="1" x14ac:dyDescent="0.25">
      <c r="D30" s="93"/>
      <c r="E30" s="93"/>
      <c r="F30" s="93"/>
      <c r="G30" s="93"/>
      <c r="H30" s="93" t="s">
        <v>198</v>
      </c>
      <c r="I30" s="93" t="s">
        <v>199</v>
      </c>
    </row>
    <row r="31" spans="4:9" ht="15" customHeight="1" x14ac:dyDescent="0.25">
      <c r="D31" s="93"/>
      <c r="E31" s="93"/>
      <c r="F31" s="93"/>
      <c r="G31" s="93"/>
      <c r="H31" s="93" t="s">
        <v>200</v>
      </c>
      <c r="I31" s="102">
        <f>E26</f>
        <v>997.2399999999999</v>
      </c>
    </row>
    <row r="32" spans="4:9" ht="15" customHeight="1" x14ac:dyDescent="0.25">
      <c r="D32" s="93"/>
      <c r="E32" s="93"/>
      <c r="F32" s="93"/>
      <c r="G32" s="93"/>
      <c r="H32" s="93" t="s">
        <v>201</v>
      </c>
      <c r="I32" s="102">
        <f>E27</f>
        <v>167.5</v>
      </c>
    </row>
    <row r="33" spans="4:7" x14ac:dyDescent="0.25">
      <c r="D33" s="93"/>
      <c r="E33" s="93"/>
      <c r="F33" s="93"/>
      <c r="G33" s="93"/>
    </row>
    <row r="34" spans="4:7" x14ac:dyDescent="0.25">
      <c r="D34" s="93"/>
      <c r="E34" s="93"/>
      <c r="F34" s="93"/>
      <c r="G34" s="93"/>
    </row>
    <row r="35" spans="4:7" x14ac:dyDescent="0.25">
      <c r="D35" s="93"/>
      <c r="E35" s="93"/>
      <c r="F35" s="93"/>
      <c r="G35" s="93"/>
    </row>
    <row r="36" spans="4:7" x14ac:dyDescent="0.25">
      <c r="D36" s="93"/>
      <c r="E36" s="93"/>
      <c r="F36" s="93"/>
      <c r="G36" s="93"/>
    </row>
    <row r="37" spans="4:7" x14ac:dyDescent="0.25">
      <c r="D37" s="93"/>
      <c r="E37" s="93"/>
      <c r="F37" s="93"/>
      <c r="G37" s="93"/>
    </row>
    <row r="38" spans="4:7" x14ac:dyDescent="0.25">
      <c r="D38" s="93"/>
      <c r="E38" s="93"/>
      <c r="F38" s="93"/>
      <c r="G38" s="93"/>
    </row>
    <row r="39" spans="4:7" x14ac:dyDescent="0.25">
      <c r="D39" s="93"/>
      <c r="E39" s="93"/>
      <c r="F39" s="93"/>
      <c r="G39" s="93"/>
    </row>
    <row r="40" spans="4:7" x14ac:dyDescent="0.25">
      <c r="D40" s="93"/>
      <c r="E40" s="93"/>
      <c r="F40" s="93"/>
      <c r="G40" s="93"/>
    </row>
    <row r="41" spans="4:7" x14ac:dyDescent="0.25">
      <c r="D41" s="93"/>
      <c r="E41" s="93"/>
      <c r="F41" s="93"/>
      <c r="G41" s="93"/>
    </row>
    <row r="42" spans="4:7" x14ac:dyDescent="0.25">
      <c r="D42" s="93"/>
      <c r="E42" s="93"/>
      <c r="F42" s="93"/>
      <c r="G42" s="93"/>
    </row>
    <row r="43" spans="4:7" x14ac:dyDescent="0.25">
      <c r="D43" s="93"/>
      <c r="E43" s="93"/>
      <c r="F43" s="93"/>
      <c r="G43" s="93"/>
    </row>
    <row r="44" spans="4:7" x14ac:dyDescent="0.25">
      <c r="D44" s="93"/>
      <c r="E44" s="93"/>
      <c r="F44" s="93"/>
      <c r="G44" s="93"/>
    </row>
    <row r="45" spans="4:7" x14ac:dyDescent="0.25">
      <c r="D45" s="93"/>
      <c r="E45" s="93"/>
      <c r="F45" s="93"/>
      <c r="G45" s="93"/>
    </row>
    <row r="46" spans="4:7" x14ac:dyDescent="0.25">
      <c r="D46" s="93"/>
      <c r="E46" s="93"/>
      <c r="F46" s="93"/>
      <c r="G46" s="93"/>
    </row>
    <row r="47" spans="4:7" x14ac:dyDescent="0.25">
      <c r="D47" s="93"/>
      <c r="E47" s="93"/>
      <c r="F47" s="93"/>
      <c r="G47" s="93"/>
    </row>
    <row r="48" spans="4:7" x14ac:dyDescent="0.25">
      <c r="D48" s="93"/>
      <c r="E48" s="93"/>
      <c r="F48" s="93"/>
      <c r="G48" s="93"/>
    </row>
    <row r="49" spans="4:7" x14ac:dyDescent="0.25">
      <c r="D49" s="93"/>
      <c r="E49" s="93"/>
      <c r="F49" s="93"/>
      <c r="G49" s="93"/>
    </row>
    <row r="50" spans="4:7" x14ac:dyDescent="0.25">
      <c r="D50" s="93"/>
      <c r="E50" s="93"/>
      <c r="F50" s="93"/>
      <c r="G50" s="93"/>
    </row>
    <row r="51" spans="4:7" x14ac:dyDescent="0.25">
      <c r="D51" s="93"/>
      <c r="E51" s="93"/>
      <c r="F51" s="93"/>
      <c r="G51" s="93"/>
    </row>
    <row r="52" spans="4:7" x14ac:dyDescent="0.25">
      <c r="D52" s="93"/>
      <c r="E52" s="93"/>
      <c r="F52" s="93"/>
      <c r="G52" s="93"/>
    </row>
    <row r="53" spans="4:7" x14ac:dyDescent="0.25">
      <c r="D53" s="93"/>
      <c r="E53" s="93"/>
      <c r="F53" s="93"/>
      <c r="G53" s="93"/>
    </row>
    <row r="54" spans="4:7" x14ac:dyDescent="0.25">
      <c r="D54" s="93"/>
      <c r="E54" s="93"/>
      <c r="F54" s="93"/>
      <c r="G54" s="93"/>
    </row>
    <row r="55" spans="4:7" x14ac:dyDescent="0.25">
      <c r="D55" s="93"/>
      <c r="E55" s="93"/>
      <c r="F55" s="93"/>
      <c r="G55" s="93"/>
    </row>
    <row r="56" spans="4:7" x14ac:dyDescent="0.25">
      <c r="D56" s="93"/>
      <c r="E56" s="93"/>
      <c r="F56" s="93"/>
      <c r="G56" s="93"/>
    </row>
    <row r="57" spans="4:7" x14ac:dyDescent="0.25">
      <c r="D57" s="93"/>
      <c r="E57" s="93"/>
      <c r="F57" s="93"/>
      <c r="G57" s="93"/>
    </row>
    <row r="58" spans="4:7" x14ac:dyDescent="0.25">
      <c r="D58" s="93"/>
      <c r="E58" s="93"/>
      <c r="F58" s="93"/>
      <c r="G58" s="93"/>
    </row>
    <row r="59" spans="4:7" x14ac:dyDescent="0.25">
      <c r="D59" s="93"/>
      <c r="E59" s="93"/>
      <c r="F59" s="93"/>
      <c r="G59" s="93"/>
    </row>
    <row r="60" spans="4:7" x14ac:dyDescent="0.25">
      <c r="D60" s="93"/>
      <c r="E60" s="93"/>
      <c r="F60" s="93"/>
      <c r="G60" s="93"/>
    </row>
    <row r="61" spans="4:7" x14ac:dyDescent="0.25">
      <c r="D61" s="93"/>
      <c r="E61" s="93"/>
      <c r="F61" s="93"/>
      <c r="G61" s="93"/>
    </row>
    <row r="62" spans="4:7" x14ac:dyDescent="0.25">
      <c r="D62" s="93"/>
      <c r="E62" s="93"/>
      <c r="F62" s="93"/>
      <c r="G62" s="93"/>
    </row>
    <row r="63" spans="4:7" x14ac:dyDescent="0.25">
      <c r="D63" s="93"/>
      <c r="E63" s="93"/>
      <c r="F63" s="93"/>
      <c r="G63" s="93"/>
    </row>
    <row r="64" spans="4:7" x14ac:dyDescent="0.25">
      <c r="D64" s="93"/>
      <c r="E64" s="93"/>
      <c r="F64" s="93"/>
      <c r="G64" s="93"/>
    </row>
    <row r="65" spans="4:7" x14ac:dyDescent="0.25">
      <c r="D65" s="93"/>
      <c r="E65" s="93"/>
      <c r="F65" s="93"/>
      <c r="G65" s="93"/>
    </row>
    <row r="66" spans="4:7" x14ac:dyDescent="0.25">
      <c r="D66" s="93"/>
      <c r="E66" s="93"/>
      <c r="F66" s="93"/>
      <c r="G66" s="93"/>
    </row>
    <row r="67" spans="4:7" x14ac:dyDescent="0.25">
      <c r="D67" s="93"/>
      <c r="E67" s="93"/>
      <c r="F67" s="93"/>
      <c r="G67" s="93"/>
    </row>
    <row r="68" spans="4:7" x14ac:dyDescent="0.25">
      <c r="D68" s="93"/>
      <c r="E68" s="93"/>
      <c r="F68" s="93"/>
      <c r="G68" s="93"/>
    </row>
    <row r="69" spans="4:7" x14ac:dyDescent="0.25">
      <c r="D69" s="93"/>
      <c r="E69" s="93"/>
      <c r="F69" s="93"/>
      <c r="G69" s="93"/>
    </row>
    <row r="70" spans="4:7" x14ac:dyDescent="0.25">
      <c r="D70" s="93"/>
      <c r="E70" s="93"/>
      <c r="F70" s="93"/>
      <c r="G70" s="93"/>
    </row>
    <row r="71" spans="4:7" x14ac:dyDescent="0.25">
      <c r="D71" s="93"/>
      <c r="E71" s="93"/>
      <c r="F71" s="93"/>
      <c r="G71" s="93"/>
    </row>
    <row r="72" spans="4:7" x14ac:dyDescent="0.25">
      <c r="D72" s="93"/>
      <c r="E72" s="93"/>
      <c r="F72" s="93"/>
      <c r="G72" s="93"/>
    </row>
    <row r="73" spans="4:7" x14ac:dyDescent="0.25">
      <c r="D73" s="93"/>
      <c r="E73" s="93"/>
      <c r="F73" s="93"/>
      <c r="G73" s="93"/>
    </row>
    <row r="74" spans="4:7" x14ac:dyDescent="0.25">
      <c r="D74" s="93"/>
      <c r="E74" s="93"/>
      <c r="F74" s="93"/>
      <c r="G74" s="93"/>
    </row>
    <row r="75" spans="4:7" x14ac:dyDescent="0.25">
      <c r="D75" s="93"/>
      <c r="E75" s="93"/>
      <c r="F75" s="93"/>
      <c r="G75" s="93"/>
    </row>
    <row r="76" spans="4:7" x14ac:dyDescent="0.25">
      <c r="D76" s="93"/>
      <c r="E76" s="93"/>
      <c r="F76" s="93"/>
      <c r="G76" s="93"/>
    </row>
    <row r="77" spans="4:7" x14ac:dyDescent="0.25">
      <c r="D77" s="93"/>
      <c r="E77" s="93"/>
      <c r="F77" s="93"/>
      <c r="G77" s="93"/>
    </row>
    <row r="78" spans="4:7" x14ac:dyDescent="0.25">
      <c r="D78" s="93"/>
      <c r="E78" s="93"/>
      <c r="F78" s="93"/>
      <c r="G78" s="93"/>
    </row>
    <row r="79" spans="4:7" x14ac:dyDescent="0.25">
      <c r="D79" s="93"/>
      <c r="E79" s="93"/>
      <c r="F79" s="93"/>
      <c r="G79" s="93"/>
    </row>
    <row r="80" spans="4:7" x14ac:dyDescent="0.25">
      <c r="D80" s="93"/>
      <c r="E80" s="93"/>
      <c r="F80" s="93"/>
      <c r="G80" s="93"/>
    </row>
    <row r="81" spans="4:7" x14ac:dyDescent="0.25">
      <c r="D81" s="93"/>
      <c r="E81" s="93"/>
      <c r="F81" s="93"/>
      <c r="G81" s="93"/>
    </row>
    <row r="82" spans="4:7" x14ac:dyDescent="0.25">
      <c r="D82" s="93"/>
      <c r="E82" s="93"/>
      <c r="F82" s="93"/>
      <c r="G82" s="93"/>
    </row>
    <row r="83" spans="4:7" x14ac:dyDescent="0.25">
      <c r="D83" s="93"/>
      <c r="E83" s="93"/>
      <c r="F83" s="93"/>
      <c r="G83" s="93"/>
    </row>
    <row r="84" spans="4:7" x14ac:dyDescent="0.25">
      <c r="D84" s="93"/>
      <c r="E84" s="93"/>
      <c r="F84" s="93"/>
      <c r="G84" s="93"/>
    </row>
    <row r="85" spans="4:7" x14ac:dyDescent="0.25">
      <c r="D85" s="93"/>
      <c r="E85" s="93"/>
      <c r="F85" s="93"/>
      <c r="G85" s="93"/>
    </row>
    <row r="86" spans="4:7" x14ac:dyDescent="0.25">
      <c r="D86" s="93"/>
      <c r="E86" s="93"/>
      <c r="F86" s="93"/>
      <c r="G86" s="93"/>
    </row>
    <row r="87" spans="4:7" x14ac:dyDescent="0.25">
      <c r="D87" s="93"/>
      <c r="E87" s="93"/>
      <c r="F87" s="93"/>
      <c r="G87" s="93"/>
    </row>
    <row r="88" spans="4:7" x14ac:dyDescent="0.25">
      <c r="D88" s="93"/>
      <c r="E88" s="93"/>
      <c r="F88" s="93"/>
      <c r="G88" s="93"/>
    </row>
    <row r="89" spans="4:7" x14ac:dyDescent="0.25">
      <c r="D89" s="93"/>
      <c r="E89" s="93"/>
      <c r="F89" s="93"/>
      <c r="G89" s="93"/>
    </row>
    <row r="90" spans="4:7" x14ac:dyDescent="0.25">
      <c r="D90" s="93"/>
      <c r="E90" s="93"/>
      <c r="F90" s="93"/>
      <c r="G90" s="93"/>
    </row>
    <row r="91" spans="4:7" x14ac:dyDescent="0.25">
      <c r="D91" s="93"/>
      <c r="E91" s="93"/>
      <c r="F91" s="93"/>
      <c r="G91" s="93"/>
    </row>
    <row r="92" spans="4:7" x14ac:dyDescent="0.25">
      <c r="D92" s="93"/>
      <c r="E92" s="93"/>
      <c r="F92" s="93"/>
      <c r="G92" s="93"/>
    </row>
    <row r="93" spans="4:7" x14ac:dyDescent="0.25">
      <c r="D93" s="93"/>
      <c r="E93" s="93"/>
      <c r="F93" s="93"/>
      <c r="G93" s="93"/>
    </row>
    <row r="94" spans="4:7" x14ac:dyDescent="0.25">
      <c r="D94" s="93"/>
      <c r="E94" s="93"/>
      <c r="F94" s="93"/>
      <c r="G94" s="93"/>
    </row>
    <row r="95" spans="4:7" x14ac:dyDescent="0.25">
      <c r="D95" s="93"/>
      <c r="E95" s="93"/>
      <c r="F95" s="93"/>
      <c r="G95" s="93"/>
    </row>
    <row r="96" spans="4:7" x14ac:dyDescent="0.25">
      <c r="D96" s="93"/>
      <c r="E96" s="93"/>
      <c r="F96" s="93"/>
      <c r="G96" s="93"/>
    </row>
    <row r="97" spans="4:7" x14ac:dyDescent="0.25">
      <c r="D97" s="93"/>
      <c r="E97" s="93"/>
      <c r="F97" s="93"/>
      <c r="G97" s="93"/>
    </row>
    <row r="98" spans="4:7" x14ac:dyDescent="0.25">
      <c r="D98" s="93"/>
      <c r="E98" s="93"/>
      <c r="F98" s="93"/>
      <c r="G98" s="93"/>
    </row>
    <row r="99" spans="4:7" x14ac:dyDescent="0.25">
      <c r="D99" s="93"/>
      <c r="E99" s="93"/>
      <c r="F99" s="93"/>
      <c r="G99" s="93"/>
    </row>
    <row r="100" spans="4:7" x14ac:dyDescent="0.25">
      <c r="D100" s="93"/>
      <c r="E100" s="93"/>
      <c r="F100" s="93"/>
      <c r="G100" s="93"/>
    </row>
    <row r="101" spans="4:7" x14ac:dyDescent="0.25">
      <c r="D101" s="93"/>
      <c r="E101" s="93"/>
      <c r="F101" s="93"/>
      <c r="G101" s="93"/>
    </row>
    <row r="102" spans="4:7" x14ac:dyDescent="0.25">
      <c r="D102" s="93"/>
      <c r="E102" s="93"/>
      <c r="F102" s="93"/>
      <c r="G102" s="93"/>
    </row>
    <row r="103" spans="4:7" x14ac:dyDescent="0.25">
      <c r="D103" s="93"/>
      <c r="E103" s="93"/>
      <c r="F103" s="93"/>
      <c r="G103" s="93"/>
    </row>
    <row r="104" spans="4:7" x14ac:dyDescent="0.25">
      <c r="D104" s="93"/>
      <c r="E104" s="93"/>
      <c r="F104" s="93"/>
      <c r="G104" s="93"/>
    </row>
    <row r="105" spans="4:7" x14ac:dyDescent="0.25">
      <c r="D105" s="93"/>
      <c r="E105" s="93"/>
      <c r="F105" s="93"/>
      <c r="G105" s="93"/>
    </row>
    <row r="106" spans="4:7" x14ac:dyDescent="0.25">
      <c r="D106" s="93"/>
      <c r="E106" s="93"/>
      <c r="F106" s="93"/>
      <c r="G106" s="93"/>
    </row>
    <row r="107" spans="4:7" x14ac:dyDescent="0.25">
      <c r="D107" s="93"/>
      <c r="E107" s="93"/>
      <c r="F107" s="93"/>
      <c r="G107" s="93"/>
    </row>
    <row r="108" spans="4:7" x14ac:dyDescent="0.25">
      <c r="D108" s="93"/>
      <c r="E108" s="93"/>
      <c r="F108" s="93"/>
      <c r="G108" s="93"/>
    </row>
    <row r="109" spans="4:7" x14ac:dyDescent="0.25">
      <c r="D109" s="93"/>
      <c r="E109" s="93"/>
      <c r="F109" s="93"/>
      <c r="G109" s="93"/>
    </row>
    <row r="110" spans="4:7" x14ac:dyDescent="0.25">
      <c r="D110" s="93"/>
      <c r="E110" s="93"/>
      <c r="F110" s="93"/>
      <c r="G110" s="93"/>
    </row>
    <row r="111" spans="4:7" x14ac:dyDescent="0.25">
      <c r="D111" s="93"/>
      <c r="E111" s="93"/>
      <c r="F111" s="93"/>
      <c r="G111" s="93"/>
    </row>
    <row r="112" spans="4:7" x14ac:dyDescent="0.25">
      <c r="D112" s="93"/>
      <c r="E112" s="93"/>
      <c r="F112" s="93"/>
      <c r="G112" s="93"/>
    </row>
    <row r="113" spans="4:7" x14ac:dyDescent="0.25">
      <c r="D113" s="93"/>
      <c r="E113" s="93"/>
      <c r="F113" s="93"/>
      <c r="G113" s="93"/>
    </row>
    <row r="114" spans="4:7" x14ac:dyDescent="0.25">
      <c r="D114" s="93"/>
      <c r="E114" s="93"/>
      <c r="F114" s="93"/>
      <c r="G114" s="93"/>
    </row>
    <row r="115" spans="4:7" x14ac:dyDescent="0.25">
      <c r="D115" s="93"/>
      <c r="E115" s="93"/>
      <c r="F115" s="93"/>
      <c r="G115" s="93"/>
    </row>
    <row r="116" spans="4:7" x14ac:dyDescent="0.25">
      <c r="D116" s="93"/>
      <c r="E116" s="93"/>
      <c r="F116" s="93"/>
      <c r="G116" s="93"/>
    </row>
    <row r="117" spans="4:7" x14ac:dyDescent="0.25">
      <c r="D117" s="93"/>
      <c r="E117" s="93"/>
      <c r="F117" s="93"/>
      <c r="G117" s="93"/>
    </row>
    <row r="118" spans="4:7" x14ac:dyDescent="0.25">
      <c r="D118" s="93"/>
      <c r="E118" s="93"/>
      <c r="F118" s="93"/>
      <c r="G118" s="93"/>
    </row>
    <row r="119" spans="4:7" x14ac:dyDescent="0.25">
      <c r="D119" s="93"/>
      <c r="E119" s="93"/>
      <c r="F119" s="93"/>
      <c r="G119" s="93"/>
    </row>
    <row r="120" spans="4:7" x14ac:dyDescent="0.25">
      <c r="D120" s="93"/>
      <c r="E120" s="93"/>
      <c r="F120" s="93"/>
      <c r="G120" s="93"/>
    </row>
    <row r="121" spans="4:7" x14ac:dyDescent="0.25">
      <c r="D121" s="93"/>
      <c r="E121" s="93"/>
      <c r="F121" s="93"/>
      <c r="G121" s="93"/>
    </row>
    <row r="122" spans="4:7" x14ac:dyDescent="0.25">
      <c r="D122" s="93"/>
      <c r="E122" s="93"/>
      <c r="F122" s="93"/>
      <c r="G122" s="93"/>
    </row>
    <row r="123" spans="4:7" x14ac:dyDescent="0.25">
      <c r="D123" s="93"/>
      <c r="E123" s="93"/>
      <c r="F123" s="93"/>
      <c r="G123" s="93"/>
    </row>
    <row r="124" spans="4:7" x14ac:dyDescent="0.25">
      <c r="D124" s="93"/>
      <c r="E124" s="93"/>
      <c r="F124" s="93"/>
      <c r="G124" s="93"/>
    </row>
    <row r="125" spans="4:7" x14ac:dyDescent="0.25">
      <c r="D125" s="93"/>
      <c r="E125" s="93"/>
      <c r="F125" s="93"/>
      <c r="G125" s="93"/>
    </row>
    <row r="126" spans="4:7" x14ac:dyDescent="0.25">
      <c r="D126" s="93"/>
      <c r="E126" s="93"/>
      <c r="F126" s="93"/>
      <c r="G126" s="93"/>
    </row>
    <row r="127" spans="4:7" x14ac:dyDescent="0.25">
      <c r="D127" s="93"/>
      <c r="E127" s="93"/>
      <c r="F127" s="93"/>
      <c r="G127" s="93"/>
    </row>
    <row r="128" spans="4:7" x14ac:dyDescent="0.25">
      <c r="D128" s="93"/>
      <c r="E128" s="93"/>
      <c r="F128" s="93"/>
      <c r="G128" s="93"/>
    </row>
    <row r="129" spans="4:7" x14ac:dyDescent="0.25">
      <c r="D129" s="93"/>
      <c r="E129" s="93"/>
      <c r="F129" s="93"/>
      <c r="G129" s="93"/>
    </row>
    <row r="130" spans="4:7" x14ac:dyDescent="0.25">
      <c r="D130" s="93"/>
      <c r="E130" s="93"/>
      <c r="F130" s="93"/>
      <c r="G130" s="93"/>
    </row>
    <row r="131" spans="4:7" x14ac:dyDescent="0.25">
      <c r="D131" s="93"/>
      <c r="E131" s="93"/>
      <c r="F131" s="93"/>
      <c r="G131" s="93"/>
    </row>
    <row r="132" spans="4:7" x14ac:dyDescent="0.25">
      <c r="D132" s="93"/>
      <c r="E132" s="93"/>
      <c r="F132" s="93"/>
      <c r="G132" s="93"/>
    </row>
    <row r="133" spans="4:7" x14ac:dyDescent="0.25">
      <c r="D133" s="93"/>
      <c r="E133" s="93"/>
      <c r="F133" s="93"/>
      <c r="G133" s="93"/>
    </row>
    <row r="134" spans="4:7" x14ac:dyDescent="0.25">
      <c r="D134" s="93"/>
      <c r="E134" s="93"/>
      <c r="F134" s="93"/>
      <c r="G134" s="93"/>
    </row>
    <row r="135" spans="4:7" x14ac:dyDescent="0.25">
      <c r="D135" s="93"/>
      <c r="E135" s="93"/>
      <c r="F135" s="93"/>
      <c r="G135" s="93"/>
    </row>
    <row r="136" spans="4:7" x14ac:dyDescent="0.25">
      <c r="D136" s="93"/>
      <c r="E136" s="93"/>
      <c r="F136" s="93"/>
      <c r="G136" s="93"/>
    </row>
    <row r="137" spans="4:7" x14ac:dyDescent="0.25">
      <c r="D137" s="93"/>
      <c r="E137" s="93"/>
      <c r="F137" s="93"/>
      <c r="G137" s="93"/>
    </row>
    <row r="138" spans="4:7" x14ac:dyDescent="0.25">
      <c r="D138" s="93"/>
      <c r="E138" s="93"/>
      <c r="F138" s="93"/>
      <c r="G138" s="93"/>
    </row>
    <row r="139" spans="4:7" x14ac:dyDescent="0.25">
      <c r="D139" s="93"/>
      <c r="E139" s="93"/>
      <c r="F139" s="93"/>
      <c r="G139" s="93"/>
    </row>
    <row r="140" spans="4:7" x14ac:dyDescent="0.25">
      <c r="D140" s="93"/>
      <c r="E140" s="93"/>
      <c r="F140" s="93"/>
      <c r="G140" s="93"/>
    </row>
    <row r="141" spans="4:7" x14ac:dyDescent="0.25">
      <c r="D141" s="93"/>
      <c r="E141" s="93"/>
      <c r="F141" s="93"/>
      <c r="G141" s="93"/>
    </row>
    <row r="142" spans="4:7" x14ac:dyDescent="0.25">
      <c r="D142" s="93"/>
      <c r="E142" s="93"/>
      <c r="F142" s="93"/>
      <c r="G142" s="93"/>
    </row>
    <row r="143" spans="4:7" x14ac:dyDescent="0.25">
      <c r="D143" s="93"/>
      <c r="E143" s="93"/>
      <c r="F143" s="93"/>
      <c r="G143" s="93"/>
    </row>
    <row r="144" spans="4:7" x14ac:dyDescent="0.25">
      <c r="D144" s="93"/>
      <c r="E144" s="93"/>
      <c r="F144" s="93"/>
      <c r="G144" s="93"/>
    </row>
    <row r="145" spans="4:7" x14ac:dyDescent="0.25">
      <c r="D145" s="93"/>
      <c r="E145" s="93"/>
      <c r="F145" s="93"/>
      <c r="G145" s="93"/>
    </row>
    <row r="146" spans="4:7" x14ac:dyDescent="0.25">
      <c r="D146" s="93"/>
      <c r="E146" s="93"/>
      <c r="F146" s="93"/>
      <c r="G146" s="93"/>
    </row>
    <row r="147" spans="4:7" x14ac:dyDescent="0.25">
      <c r="D147" s="93"/>
      <c r="E147" s="93"/>
      <c r="F147" s="93"/>
      <c r="G147" s="93"/>
    </row>
    <row r="148" spans="4:7" x14ac:dyDescent="0.25">
      <c r="D148" s="93"/>
      <c r="E148" s="93"/>
      <c r="F148" s="93"/>
      <c r="G148" s="93"/>
    </row>
    <row r="149" spans="4:7" x14ac:dyDescent="0.25">
      <c r="D149" s="93"/>
      <c r="E149" s="93"/>
      <c r="F149" s="93"/>
      <c r="G149" s="93"/>
    </row>
    <row r="150" spans="4:7" x14ac:dyDescent="0.25">
      <c r="D150" s="93"/>
      <c r="E150" s="93"/>
      <c r="F150" s="93"/>
      <c r="G150" s="93"/>
    </row>
    <row r="151" spans="4:7" x14ac:dyDescent="0.25">
      <c r="D151" s="93"/>
      <c r="E151" s="93"/>
      <c r="F151" s="93"/>
      <c r="G151" s="93"/>
    </row>
    <row r="152" spans="4:7" x14ac:dyDescent="0.25">
      <c r="D152" s="93"/>
      <c r="E152" s="93"/>
      <c r="F152" s="93"/>
      <c r="G152" s="93"/>
    </row>
    <row r="153" spans="4:7" x14ac:dyDescent="0.25">
      <c r="D153" s="93"/>
      <c r="E153" s="93"/>
      <c r="F153" s="93"/>
      <c r="G153" s="93"/>
    </row>
    <row r="154" spans="4:7" x14ac:dyDescent="0.25">
      <c r="D154" s="93"/>
      <c r="E154" s="93"/>
      <c r="F154" s="93"/>
      <c r="G154" s="93"/>
    </row>
    <row r="155" spans="4:7" x14ac:dyDescent="0.25">
      <c r="D155" s="93"/>
      <c r="E155" s="93"/>
      <c r="F155" s="93"/>
      <c r="G155" s="93"/>
    </row>
    <row r="156" spans="4:7" x14ac:dyDescent="0.25">
      <c r="D156" s="93"/>
      <c r="E156" s="93"/>
      <c r="F156" s="93"/>
      <c r="G156" s="93"/>
    </row>
    <row r="157" spans="4:7" x14ac:dyDescent="0.25">
      <c r="D157" s="93"/>
      <c r="E157" s="93"/>
      <c r="F157" s="93"/>
      <c r="G157" s="93"/>
    </row>
    <row r="158" spans="4:7" x14ac:dyDescent="0.25">
      <c r="D158" s="93"/>
      <c r="E158" s="93"/>
      <c r="F158" s="93"/>
      <c r="G158" s="93"/>
    </row>
    <row r="159" spans="4:7" x14ac:dyDescent="0.25">
      <c r="D159" s="93"/>
      <c r="E159" s="93"/>
      <c r="F159" s="93"/>
      <c r="G159" s="93"/>
    </row>
    <row r="160" spans="4:7" x14ac:dyDescent="0.25">
      <c r="D160" s="93"/>
      <c r="E160" s="93"/>
      <c r="F160" s="93"/>
      <c r="G160" s="93"/>
    </row>
    <row r="161" spans="4:7" x14ac:dyDescent="0.25">
      <c r="D161" s="93"/>
      <c r="E161" s="93"/>
      <c r="F161" s="93"/>
      <c r="G161" s="93"/>
    </row>
    <row r="162" spans="4:7" x14ac:dyDescent="0.25">
      <c r="D162" s="93"/>
      <c r="E162" s="93"/>
      <c r="F162" s="93"/>
      <c r="G162" s="93"/>
    </row>
    <row r="163" spans="4:7" x14ac:dyDescent="0.25">
      <c r="D163" s="93"/>
      <c r="E163" s="93"/>
      <c r="F163" s="93"/>
      <c r="G163" s="93"/>
    </row>
    <row r="164" spans="4:7" x14ac:dyDescent="0.25">
      <c r="D164" s="93"/>
      <c r="E164" s="93"/>
      <c r="F164" s="93"/>
      <c r="G164" s="93"/>
    </row>
    <row r="165" spans="4:7" x14ac:dyDescent="0.25">
      <c r="D165" s="93"/>
      <c r="E165" s="93"/>
      <c r="F165" s="93"/>
      <c r="G165" s="93"/>
    </row>
    <row r="166" spans="4:7" x14ac:dyDescent="0.25">
      <c r="D166" s="93"/>
      <c r="E166" s="93"/>
      <c r="F166" s="93"/>
      <c r="G166" s="93"/>
    </row>
    <row r="167" spans="4:7" x14ac:dyDescent="0.25">
      <c r="D167" s="93"/>
      <c r="E167" s="93"/>
      <c r="F167" s="93"/>
      <c r="G167" s="93"/>
    </row>
    <row r="168" spans="4:7" x14ac:dyDescent="0.25">
      <c r="D168" s="93"/>
      <c r="E168" s="93"/>
      <c r="F168" s="93"/>
      <c r="G168" s="93"/>
    </row>
    <row r="169" spans="4:7" x14ac:dyDescent="0.25">
      <c r="D169" s="93"/>
      <c r="E169" s="93"/>
      <c r="F169" s="93"/>
      <c r="G169" s="93"/>
    </row>
    <row r="170" spans="4:7" x14ac:dyDescent="0.25">
      <c r="D170" s="93"/>
      <c r="E170" s="93"/>
      <c r="F170" s="93"/>
      <c r="G170" s="93"/>
    </row>
    <row r="171" spans="4:7" x14ac:dyDescent="0.25">
      <c r="D171" s="93"/>
      <c r="E171" s="93"/>
      <c r="F171" s="93"/>
      <c r="G171" s="93"/>
    </row>
    <row r="172" spans="4:7" x14ac:dyDescent="0.25">
      <c r="D172" s="93"/>
      <c r="E172" s="93"/>
      <c r="F172" s="93"/>
      <c r="G172" s="93"/>
    </row>
    <row r="173" spans="4:7" x14ac:dyDescent="0.25">
      <c r="D173" s="93"/>
      <c r="E173" s="93"/>
      <c r="F173" s="93"/>
      <c r="G173" s="93"/>
    </row>
    <row r="174" spans="4:7" x14ac:dyDescent="0.25">
      <c r="D174" s="93"/>
      <c r="E174" s="93"/>
      <c r="F174" s="93"/>
      <c r="G174" s="93"/>
    </row>
    <row r="175" spans="4:7" x14ac:dyDescent="0.25">
      <c r="D175" s="93"/>
      <c r="E175" s="93"/>
      <c r="F175" s="93"/>
      <c r="G175" s="93"/>
    </row>
    <row r="176" spans="4:7" x14ac:dyDescent="0.25">
      <c r="D176" s="93"/>
      <c r="E176" s="93"/>
      <c r="F176" s="93"/>
      <c r="G176" s="93"/>
    </row>
    <row r="177" spans="4:7" x14ac:dyDescent="0.25">
      <c r="D177" s="93"/>
      <c r="E177" s="93"/>
      <c r="F177" s="93"/>
      <c r="G177" s="93"/>
    </row>
    <row r="178" spans="4:7" x14ac:dyDescent="0.25">
      <c r="D178" s="93"/>
      <c r="E178" s="93"/>
      <c r="F178" s="93"/>
      <c r="G178" s="93"/>
    </row>
    <row r="179" spans="4:7" x14ac:dyDescent="0.25">
      <c r="D179" s="93"/>
      <c r="E179" s="93"/>
      <c r="F179" s="93"/>
      <c r="G179" s="93"/>
    </row>
    <row r="180" spans="4:7" x14ac:dyDescent="0.25">
      <c r="D180" s="93"/>
      <c r="E180" s="93"/>
      <c r="F180" s="93"/>
      <c r="G180" s="93"/>
    </row>
    <row r="181" spans="4:7" x14ac:dyDescent="0.25">
      <c r="D181" s="93"/>
      <c r="E181" s="93"/>
      <c r="F181" s="93"/>
      <c r="G181" s="93"/>
    </row>
    <row r="182" spans="4:7" x14ac:dyDescent="0.25">
      <c r="D182" s="93"/>
      <c r="E182" s="93"/>
      <c r="F182" s="93"/>
      <c r="G182" s="93"/>
    </row>
    <row r="183" spans="4:7" x14ac:dyDescent="0.25">
      <c r="D183" s="93"/>
      <c r="E183" s="93"/>
      <c r="F183" s="93"/>
      <c r="G183" s="93"/>
    </row>
    <row r="184" spans="4:7" x14ac:dyDescent="0.25">
      <c r="D184" s="93"/>
      <c r="E184" s="93"/>
      <c r="F184" s="93"/>
      <c r="G184" s="93"/>
    </row>
    <row r="185" spans="4:7" x14ac:dyDescent="0.25">
      <c r="D185" s="93"/>
      <c r="E185" s="93"/>
      <c r="F185" s="93"/>
      <c r="G185" s="93"/>
    </row>
    <row r="186" spans="4:7" x14ac:dyDescent="0.25">
      <c r="D186" s="93"/>
      <c r="E186" s="93"/>
      <c r="F186" s="93"/>
      <c r="G186" s="93"/>
    </row>
    <row r="187" spans="4:7" x14ac:dyDescent="0.25">
      <c r="D187" s="93"/>
      <c r="E187" s="93"/>
      <c r="F187" s="93"/>
      <c r="G187" s="93"/>
    </row>
    <row r="188" spans="4:7" x14ac:dyDescent="0.25">
      <c r="D188" s="93"/>
      <c r="E188" s="93"/>
      <c r="F188" s="93"/>
      <c r="G188" s="93"/>
    </row>
    <row r="189" spans="4:7" x14ac:dyDescent="0.25">
      <c r="D189" s="93"/>
      <c r="E189" s="93"/>
      <c r="F189" s="93"/>
      <c r="G189" s="93"/>
    </row>
    <row r="190" spans="4:7" x14ac:dyDescent="0.25">
      <c r="D190" s="93"/>
      <c r="E190" s="93"/>
      <c r="F190" s="93"/>
      <c r="G190" s="93"/>
    </row>
    <row r="191" spans="4:7" x14ac:dyDescent="0.25">
      <c r="D191" s="93"/>
      <c r="E191" s="93"/>
      <c r="F191" s="93"/>
      <c r="G191" s="93"/>
    </row>
    <row r="192" spans="4:7" x14ac:dyDescent="0.25">
      <c r="D192" s="93"/>
      <c r="E192" s="93"/>
      <c r="F192" s="93"/>
      <c r="G192" s="93"/>
    </row>
    <row r="193" spans="4:7" x14ac:dyDescent="0.25">
      <c r="D193" s="93"/>
      <c r="E193" s="93"/>
      <c r="F193" s="93"/>
      <c r="G193" s="93"/>
    </row>
    <row r="194" spans="4:7" x14ac:dyDescent="0.25">
      <c r="D194" s="93"/>
      <c r="E194" s="93"/>
      <c r="F194" s="93"/>
      <c r="G194" s="93"/>
    </row>
    <row r="195" spans="4:7" x14ac:dyDescent="0.25">
      <c r="D195" s="93"/>
      <c r="E195" s="93"/>
      <c r="F195" s="93"/>
      <c r="G195" s="93"/>
    </row>
    <row r="196" spans="4:7" x14ac:dyDescent="0.25">
      <c r="D196" s="93"/>
      <c r="E196" s="93"/>
      <c r="F196" s="93"/>
      <c r="G196" s="93"/>
    </row>
    <row r="197" spans="4:7" x14ac:dyDescent="0.25">
      <c r="D197" s="93"/>
      <c r="E197" s="93"/>
      <c r="F197" s="93"/>
      <c r="G197" s="93"/>
    </row>
    <row r="198" spans="4:7" x14ac:dyDescent="0.25">
      <c r="D198" s="93"/>
      <c r="E198" s="93"/>
      <c r="F198" s="93"/>
      <c r="G198" s="93"/>
    </row>
    <row r="199" spans="4:7" x14ac:dyDescent="0.25">
      <c r="D199" s="93"/>
      <c r="E199" s="93"/>
      <c r="F199" s="93"/>
      <c r="G199" s="93"/>
    </row>
    <row r="200" spans="4:7" x14ac:dyDescent="0.25">
      <c r="D200" s="93"/>
      <c r="E200" s="93"/>
      <c r="F200" s="93"/>
      <c r="G200" s="93"/>
    </row>
    <row r="201" spans="4:7" x14ac:dyDescent="0.25">
      <c r="D201" s="93"/>
      <c r="E201" s="93"/>
      <c r="F201" s="93"/>
      <c r="G201" s="93"/>
    </row>
    <row r="202" spans="4:7" x14ac:dyDescent="0.25">
      <c r="D202" s="93"/>
      <c r="E202" s="93"/>
      <c r="F202" s="93"/>
      <c r="G202" s="93"/>
    </row>
    <row r="203" spans="4:7" x14ac:dyDescent="0.25">
      <c r="D203" s="93"/>
      <c r="E203" s="93"/>
      <c r="F203" s="93"/>
      <c r="G203" s="93"/>
    </row>
    <row r="204" spans="4:7" x14ac:dyDescent="0.25">
      <c r="D204" s="93"/>
      <c r="E204" s="93"/>
      <c r="F204" s="93"/>
      <c r="G204" s="93"/>
    </row>
    <row r="205" spans="4:7" x14ac:dyDescent="0.25">
      <c r="D205" s="93"/>
      <c r="E205" s="93"/>
      <c r="F205" s="93"/>
      <c r="G205" s="93"/>
    </row>
    <row r="206" spans="4:7" x14ac:dyDescent="0.25">
      <c r="D206" s="93"/>
      <c r="E206" s="93"/>
      <c r="F206" s="93"/>
      <c r="G206" s="93"/>
    </row>
    <row r="207" spans="4:7" x14ac:dyDescent="0.25">
      <c r="D207" s="93"/>
      <c r="E207" s="93"/>
      <c r="F207" s="93"/>
      <c r="G207" s="93"/>
    </row>
    <row r="208" spans="4:7" x14ac:dyDescent="0.25">
      <c r="D208" s="93"/>
      <c r="E208" s="93"/>
      <c r="F208" s="93"/>
      <c r="G208" s="93"/>
    </row>
    <row r="209" spans="4:7" x14ac:dyDescent="0.25">
      <c r="D209" s="93"/>
      <c r="E209" s="93"/>
      <c r="F209" s="93"/>
      <c r="G209" s="93"/>
    </row>
    <row r="210" spans="4:7" x14ac:dyDescent="0.25">
      <c r="D210" s="93"/>
      <c r="E210" s="93"/>
      <c r="F210" s="93"/>
      <c r="G210" s="93"/>
    </row>
    <row r="211" spans="4:7" x14ac:dyDescent="0.25">
      <c r="D211" s="93"/>
      <c r="E211" s="93"/>
      <c r="F211" s="93"/>
      <c r="G211" s="93"/>
    </row>
    <row r="212" spans="4:7" x14ac:dyDescent="0.25">
      <c r="D212" s="93"/>
      <c r="E212" s="93"/>
      <c r="F212" s="93"/>
      <c r="G212" s="93"/>
    </row>
    <row r="213" spans="4:7" x14ac:dyDescent="0.25">
      <c r="D213" s="93"/>
      <c r="E213" s="93"/>
      <c r="F213" s="93"/>
      <c r="G213" s="93"/>
    </row>
    <row r="214" spans="4:7" x14ac:dyDescent="0.25">
      <c r="D214" s="93"/>
      <c r="E214" s="93"/>
      <c r="F214" s="93"/>
      <c r="G214" s="93"/>
    </row>
    <row r="215" spans="4:7" x14ac:dyDescent="0.25">
      <c r="D215" s="93"/>
      <c r="E215" s="93"/>
      <c r="F215" s="93"/>
      <c r="G215" s="93"/>
    </row>
    <row r="216" spans="4:7" x14ac:dyDescent="0.25">
      <c r="D216" s="93"/>
      <c r="E216" s="93"/>
      <c r="F216" s="93"/>
      <c r="G216" s="93"/>
    </row>
    <row r="217" spans="4:7" x14ac:dyDescent="0.25">
      <c r="D217" s="93"/>
      <c r="E217" s="93"/>
      <c r="F217" s="93"/>
      <c r="G217" s="93"/>
    </row>
    <row r="218" spans="4:7" x14ac:dyDescent="0.25">
      <c r="D218" s="93"/>
      <c r="E218" s="93"/>
      <c r="F218" s="93"/>
      <c r="G218" s="93"/>
    </row>
    <row r="219" spans="4:7" x14ac:dyDescent="0.25">
      <c r="D219" s="93"/>
      <c r="E219" s="93"/>
      <c r="F219" s="93"/>
      <c r="G219" s="93"/>
    </row>
    <row r="220" spans="4:7" x14ac:dyDescent="0.25">
      <c r="D220" s="93"/>
      <c r="E220" s="93"/>
      <c r="F220" s="93"/>
      <c r="G220" s="93"/>
    </row>
    <row r="221" spans="4:7" x14ac:dyDescent="0.25">
      <c r="D221" s="93"/>
      <c r="E221" s="93"/>
      <c r="F221" s="93"/>
      <c r="G221" s="93"/>
    </row>
    <row r="222" spans="4:7" x14ac:dyDescent="0.25">
      <c r="D222" s="93"/>
      <c r="E222" s="93"/>
      <c r="F222" s="93"/>
      <c r="G222" s="93"/>
    </row>
    <row r="223" spans="4:7" x14ac:dyDescent="0.25">
      <c r="D223" s="93"/>
      <c r="E223" s="93"/>
      <c r="F223" s="93"/>
      <c r="G223" s="93"/>
    </row>
    <row r="224" spans="4:7" x14ac:dyDescent="0.25">
      <c r="D224" s="93"/>
      <c r="E224" s="93"/>
      <c r="F224" s="93"/>
      <c r="G224" s="93"/>
    </row>
    <row r="225" spans="4:7" x14ac:dyDescent="0.25">
      <c r="D225" s="93"/>
      <c r="E225" s="93"/>
      <c r="F225" s="93"/>
      <c r="G225" s="93"/>
    </row>
    <row r="226" spans="4:7" x14ac:dyDescent="0.25">
      <c r="D226" s="93"/>
      <c r="E226" s="93"/>
      <c r="F226" s="93"/>
      <c r="G226" s="93"/>
    </row>
    <row r="227" spans="4:7" x14ac:dyDescent="0.25">
      <c r="D227" s="93"/>
      <c r="E227" s="93"/>
      <c r="F227" s="93"/>
      <c r="G227" s="93"/>
    </row>
    <row r="228" spans="4:7" x14ac:dyDescent="0.25">
      <c r="D228" s="93"/>
      <c r="E228" s="93"/>
      <c r="F228" s="93"/>
      <c r="G228" s="93"/>
    </row>
    <row r="229" spans="4:7" x14ac:dyDescent="0.25">
      <c r="D229" s="93"/>
      <c r="E229" s="93"/>
      <c r="F229" s="93"/>
      <c r="G229" s="93"/>
    </row>
    <row r="230" spans="4:7" x14ac:dyDescent="0.25">
      <c r="D230" s="93"/>
      <c r="E230" s="93"/>
      <c r="F230" s="93"/>
      <c r="G230" s="93"/>
    </row>
    <row r="231" spans="4:7" x14ac:dyDescent="0.25">
      <c r="D231" s="93"/>
      <c r="E231" s="93"/>
      <c r="F231" s="93"/>
      <c r="G231" s="93"/>
    </row>
    <row r="232" spans="4:7" x14ac:dyDescent="0.25">
      <c r="D232" s="93"/>
      <c r="E232" s="93"/>
      <c r="F232" s="93"/>
      <c r="G232" s="93"/>
    </row>
    <row r="233" spans="4:7" x14ac:dyDescent="0.25">
      <c r="D233" s="93"/>
      <c r="E233" s="93"/>
      <c r="F233" s="93"/>
      <c r="G233" s="93"/>
    </row>
    <row r="234" spans="4:7" x14ac:dyDescent="0.25">
      <c r="D234" s="93"/>
      <c r="E234" s="93"/>
      <c r="F234" s="93"/>
      <c r="G234" s="93"/>
    </row>
    <row r="235" spans="4:7" x14ac:dyDescent="0.25">
      <c r="D235" s="93"/>
      <c r="E235" s="93"/>
      <c r="F235" s="93"/>
      <c r="G235" s="93"/>
    </row>
    <row r="236" spans="4:7" x14ac:dyDescent="0.25">
      <c r="D236" s="93"/>
      <c r="E236" s="93"/>
      <c r="F236" s="93"/>
      <c r="G236" s="93"/>
    </row>
    <row r="237" spans="4:7" x14ac:dyDescent="0.25">
      <c r="D237" s="93"/>
      <c r="E237" s="93"/>
      <c r="F237" s="93"/>
      <c r="G237" s="93"/>
    </row>
    <row r="238" spans="4:7" x14ac:dyDescent="0.25">
      <c r="D238" s="93"/>
      <c r="E238" s="93"/>
      <c r="F238" s="93"/>
      <c r="G238" s="93"/>
    </row>
    <row r="239" spans="4:7" x14ac:dyDescent="0.25">
      <c r="D239" s="93"/>
      <c r="E239" s="93"/>
      <c r="F239" s="93"/>
      <c r="G239" s="93"/>
    </row>
    <row r="240" spans="4:7" x14ac:dyDescent="0.25">
      <c r="D240" s="93"/>
      <c r="E240" s="93"/>
      <c r="F240" s="93"/>
      <c r="G240" s="93"/>
    </row>
    <row r="241" spans="4:7" x14ac:dyDescent="0.25">
      <c r="D241" s="93"/>
      <c r="E241" s="93"/>
      <c r="F241" s="93"/>
      <c r="G241" s="93"/>
    </row>
    <row r="242" spans="4:7" x14ac:dyDescent="0.25">
      <c r="D242" s="93"/>
      <c r="E242" s="93"/>
      <c r="F242" s="93"/>
      <c r="G242" s="93"/>
    </row>
    <row r="243" spans="4:7" x14ac:dyDescent="0.25">
      <c r="D243" s="93"/>
      <c r="E243" s="93"/>
      <c r="F243" s="93"/>
      <c r="G243" s="93"/>
    </row>
    <row r="244" spans="4:7" x14ac:dyDescent="0.25">
      <c r="D244" s="93"/>
      <c r="E244" s="93"/>
      <c r="F244" s="93"/>
      <c r="G244" s="93"/>
    </row>
    <row r="245" spans="4:7" x14ac:dyDescent="0.25">
      <c r="D245" s="93"/>
      <c r="E245" s="93"/>
      <c r="F245" s="93"/>
      <c r="G245" s="93"/>
    </row>
    <row r="246" spans="4:7" x14ac:dyDescent="0.25">
      <c r="D246" s="93"/>
      <c r="E246" s="93"/>
      <c r="F246" s="93"/>
      <c r="G246" s="93"/>
    </row>
    <row r="247" spans="4:7" x14ac:dyDescent="0.25">
      <c r="D247" s="93"/>
      <c r="E247" s="93"/>
      <c r="F247" s="93"/>
      <c r="G247" s="93"/>
    </row>
    <row r="248" spans="4:7" x14ac:dyDescent="0.25">
      <c r="D248" s="93"/>
      <c r="E248" s="93"/>
      <c r="F248" s="93"/>
      <c r="G248" s="93"/>
    </row>
    <row r="249" spans="4:7" x14ac:dyDescent="0.25">
      <c r="D249" s="93"/>
      <c r="E249" s="93"/>
      <c r="F249" s="93"/>
      <c r="G249" s="93"/>
    </row>
    <row r="250" spans="4:7" x14ac:dyDescent="0.25">
      <c r="D250" s="93"/>
      <c r="E250" s="93"/>
      <c r="F250" s="93"/>
      <c r="G250" s="93"/>
    </row>
    <row r="251" spans="4:7" x14ac:dyDescent="0.25">
      <c r="D251" s="93"/>
      <c r="E251" s="93"/>
      <c r="F251" s="93"/>
      <c r="G251" s="93"/>
    </row>
    <row r="252" spans="4:7" x14ac:dyDescent="0.25">
      <c r="D252" s="93"/>
      <c r="E252" s="93"/>
      <c r="F252" s="93"/>
      <c r="G252" s="93"/>
    </row>
    <row r="253" spans="4:7" x14ac:dyDescent="0.25">
      <c r="D253" s="93"/>
      <c r="E253" s="93"/>
      <c r="F253" s="93"/>
      <c r="G253" s="93"/>
    </row>
    <row r="254" spans="4:7" x14ac:dyDescent="0.25">
      <c r="D254" s="93"/>
      <c r="E254" s="93"/>
      <c r="F254" s="93"/>
      <c r="G254" s="93"/>
    </row>
    <row r="255" spans="4:7" x14ac:dyDescent="0.25">
      <c r="D255" s="93"/>
      <c r="E255" s="93"/>
      <c r="F255" s="93"/>
      <c r="G255" s="93"/>
    </row>
    <row r="256" spans="4:7" x14ac:dyDescent="0.25">
      <c r="D256" s="93"/>
      <c r="E256" s="93"/>
      <c r="F256" s="93"/>
      <c r="G256" s="93"/>
    </row>
    <row r="257" spans="4:7" x14ac:dyDescent="0.25">
      <c r="D257" s="93"/>
      <c r="E257" s="93"/>
      <c r="F257" s="93"/>
      <c r="G257" s="93"/>
    </row>
    <row r="258" spans="4:7" x14ac:dyDescent="0.25">
      <c r="D258" s="93"/>
      <c r="E258" s="93"/>
      <c r="F258" s="93"/>
      <c r="G258" s="93"/>
    </row>
    <row r="259" spans="4:7" x14ac:dyDescent="0.25">
      <c r="D259" s="93"/>
      <c r="E259" s="93"/>
      <c r="F259" s="93"/>
      <c r="G259" s="93"/>
    </row>
    <row r="260" spans="4:7" x14ac:dyDescent="0.25">
      <c r="D260" s="93"/>
      <c r="E260" s="93"/>
      <c r="F260" s="93"/>
      <c r="G260" s="93"/>
    </row>
    <row r="261" spans="4:7" x14ac:dyDescent="0.25">
      <c r="D261" s="93"/>
      <c r="E261" s="93"/>
      <c r="F261" s="93"/>
      <c r="G261" s="93"/>
    </row>
    <row r="262" spans="4:7" x14ac:dyDescent="0.25">
      <c r="D262" s="93"/>
      <c r="E262" s="93"/>
      <c r="F262" s="93"/>
      <c r="G262" s="93"/>
    </row>
    <row r="263" spans="4:7" x14ac:dyDescent="0.25">
      <c r="D263" s="93"/>
      <c r="E263" s="93"/>
      <c r="F263" s="93"/>
      <c r="G263" s="93"/>
    </row>
    <row r="264" spans="4:7" x14ac:dyDescent="0.25">
      <c r="D264" s="93"/>
      <c r="E264" s="93"/>
      <c r="F264" s="93"/>
      <c r="G264" s="93"/>
    </row>
    <row r="265" spans="4:7" x14ac:dyDescent="0.25">
      <c r="D265" s="93"/>
      <c r="E265" s="93"/>
      <c r="F265" s="93"/>
      <c r="G265" s="93"/>
    </row>
    <row r="266" spans="4:7" x14ac:dyDescent="0.25">
      <c r="D266" s="93"/>
      <c r="E266" s="93"/>
      <c r="F266" s="93"/>
      <c r="G266" s="93"/>
    </row>
    <row r="267" spans="4:7" x14ac:dyDescent="0.25">
      <c r="D267" s="93"/>
      <c r="E267" s="93"/>
      <c r="F267" s="93"/>
      <c r="G267" s="93"/>
    </row>
    <row r="268" spans="4:7" x14ac:dyDescent="0.25">
      <c r="D268" s="93"/>
      <c r="E268" s="93"/>
      <c r="F268" s="93"/>
      <c r="G268" s="93"/>
    </row>
    <row r="269" spans="4:7" x14ac:dyDescent="0.25">
      <c r="D269" s="93"/>
      <c r="E269" s="93"/>
      <c r="F269" s="93"/>
      <c r="G269" s="93"/>
    </row>
    <row r="270" spans="4:7" x14ac:dyDescent="0.25">
      <c r="D270" s="93"/>
      <c r="E270" s="93"/>
      <c r="F270" s="93"/>
      <c r="G270" s="93"/>
    </row>
    <row r="271" spans="4:7" x14ac:dyDescent="0.25">
      <c r="D271" s="93"/>
      <c r="E271" s="93"/>
      <c r="F271" s="93"/>
      <c r="G271" s="93"/>
    </row>
    <row r="272" spans="4:7" x14ac:dyDescent="0.25">
      <c r="D272" s="93"/>
      <c r="E272" s="93"/>
      <c r="F272" s="93"/>
      <c r="G272" s="93"/>
    </row>
    <row r="273" spans="4:7" x14ac:dyDescent="0.25">
      <c r="D273" s="93"/>
      <c r="E273" s="93"/>
      <c r="F273" s="93"/>
      <c r="G273" s="93"/>
    </row>
    <row r="274" spans="4:7" x14ac:dyDescent="0.25">
      <c r="D274" s="93"/>
      <c r="E274" s="93"/>
      <c r="F274" s="93"/>
      <c r="G274" s="93"/>
    </row>
    <row r="275" spans="4:7" x14ac:dyDescent="0.25">
      <c r="D275" s="93"/>
      <c r="E275" s="93"/>
      <c r="F275" s="93"/>
      <c r="G275" s="93"/>
    </row>
    <row r="276" spans="4:7" x14ac:dyDescent="0.25">
      <c r="D276" s="93"/>
      <c r="E276" s="93"/>
      <c r="F276" s="93"/>
      <c r="G276" s="93"/>
    </row>
    <row r="277" spans="4:7" x14ac:dyDescent="0.25">
      <c r="D277" s="93"/>
      <c r="E277" s="93"/>
      <c r="F277" s="93"/>
      <c r="G277" s="93"/>
    </row>
    <row r="278" spans="4:7" x14ac:dyDescent="0.25">
      <c r="D278" s="93"/>
      <c r="E278" s="93"/>
      <c r="F278" s="93"/>
      <c r="G278" s="93"/>
    </row>
    <row r="279" spans="4:7" x14ac:dyDescent="0.25">
      <c r="D279" s="93"/>
      <c r="E279" s="93"/>
      <c r="F279" s="93"/>
      <c r="G279" s="93"/>
    </row>
    <row r="280" spans="4:7" x14ac:dyDescent="0.25">
      <c r="D280" s="93"/>
      <c r="E280" s="93"/>
      <c r="F280" s="93"/>
      <c r="G280" s="93"/>
    </row>
    <row r="281" spans="4:7" x14ac:dyDescent="0.25">
      <c r="D281" s="93"/>
      <c r="E281" s="93"/>
      <c r="F281" s="93"/>
      <c r="G281" s="93"/>
    </row>
    <row r="282" spans="4:7" x14ac:dyDescent="0.25">
      <c r="D282" s="93"/>
      <c r="E282" s="93"/>
      <c r="F282" s="93"/>
      <c r="G282" s="93"/>
    </row>
    <row r="283" spans="4:7" x14ac:dyDescent="0.25">
      <c r="D283" s="93"/>
      <c r="E283" s="93"/>
      <c r="F283" s="93"/>
      <c r="G283" s="93"/>
    </row>
    <row r="284" spans="4:7" x14ac:dyDescent="0.25">
      <c r="D284" s="93"/>
      <c r="E284" s="93"/>
      <c r="F284" s="93"/>
      <c r="G284" s="93"/>
    </row>
    <row r="285" spans="4:7" x14ac:dyDescent="0.25">
      <c r="D285" s="93"/>
      <c r="E285" s="93"/>
      <c r="F285" s="93"/>
      <c r="G285" s="93"/>
    </row>
    <row r="286" spans="4:7" x14ac:dyDescent="0.25">
      <c r="D286" s="93"/>
      <c r="E286" s="93"/>
      <c r="F286" s="93"/>
      <c r="G286" s="93"/>
    </row>
    <row r="287" spans="4:7" x14ac:dyDescent="0.25">
      <c r="D287" s="93"/>
      <c r="E287" s="93"/>
      <c r="F287" s="93"/>
      <c r="G287" s="93"/>
    </row>
    <row r="288" spans="4:7" x14ac:dyDescent="0.25">
      <c r="D288" s="93"/>
      <c r="E288" s="93"/>
      <c r="F288" s="93"/>
      <c r="G288" s="93"/>
    </row>
    <row r="289" spans="4:7" x14ac:dyDescent="0.25">
      <c r="D289" s="93"/>
      <c r="E289" s="93"/>
      <c r="F289" s="93"/>
      <c r="G289" s="93"/>
    </row>
    <row r="290" spans="4:7" x14ac:dyDescent="0.25">
      <c r="D290" s="93"/>
      <c r="E290" s="93"/>
      <c r="F290" s="93"/>
      <c r="G290" s="93"/>
    </row>
    <row r="291" spans="4:7" x14ac:dyDescent="0.25">
      <c r="D291" s="93"/>
      <c r="E291" s="93"/>
      <c r="F291" s="93"/>
      <c r="G291" s="93"/>
    </row>
    <row r="292" spans="4:7" x14ac:dyDescent="0.25">
      <c r="D292" s="93"/>
      <c r="E292" s="93"/>
      <c r="F292" s="93"/>
      <c r="G292" s="93"/>
    </row>
    <row r="293" spans="4:7" x14ac:dyDescent="0.25">
      <c r="D293" s="93"/>
      <c r="E293" s="93"/>
      <c r="F293" s="93"/>
      <c r="G293" s="93"/>
    </row>
    <row r="294" spans="4:7" x14ac:dyDescent="0.25">
      <c r="D294" s="93"/>
      <c r="E294" s="93"/>
      <c r="F294" s="93"/>
      <c r="G294" s="93"/>
    </row>
    <row r="295" spans="4:7" x14ac:dyDescent="0.25">
      <c r="D295" s="93"/>
      <c r="E295" s="93"/>
      <c r="F295" s="93"/>
      <c r="G295" s="93"/>
    </row>
    <row r="296" spans="4:7" x14ac:dyDescent="0.25">
      <c r="D296" s="93"/>
      <c r="E296" s="93"/>
      <c r="F296" s="93"/>
      <c r="G296" s="93"/>
    </row>
    <row r="297" spans="4:7" x14ac:dyDescent="0.25">
      <c r="D297" s="93"/>
      <c r="E297" s="93"/>
      <c r="F297" s="93"/>
      <c r="G297" s="93"/>
    </row>
    <row r="298" spans="4:7" x14ac:dyDescent="0.25">
      <c r="D298" s="93"/>
      <c r="E298" s="93"/>
      <c r="F298" s="93"/>
      <c r="G298" s="93"/>
    </row>
    <row r="299" spans="4:7" x14ac:dyDescent="0.25">
      <c r="D299" s="93"/>
      <c r="E299" s="93"/>
      <c r="F299" s="93"/>
      <c r="G299" s="93"/>
    </row>
    <row r="300" spans="4:7" x14ac:dyDescent="0.25">
      <c r="D300" s="93"/>
      <c r="E300" s="93"/>
      <c r="F300" s="93"/>
      <c r="G300" s="93"/>
    </row>
    <row r="301" spans="4:7" x14ac:dyDescent="0.25">
      <c r="D301" s="93"/>
      <c r="E301" s="93"/>
      <c r="F301" s="93"/>
      <c r="G301" s="93"/>
    </row>
    <row r="302" spans="4:7" x14ac:dyDescent="0.25">
      <c r="D302" s="93"/>
      <c r="E302" s="93"/>
      <c r="F302" s="93"/>
      <c r="G302" s="93"/>
    </row>
    <row r="303" spans="4:7" x14ac:dyDescent="0.25">
      <c r="D303" s="93"/>
      <c r="E303" s="93"/>
      <c r="F303" s="93"/>
      <c r="G303" s="93"/>
    </row>
    <row r="304" spans="4:7" x14ac:dyDescent="0.25">
      <c r="D304" s="93"/>
      <c r="E304" s="93"/>
      <c r="F304" s="93"/>
      <c r="G304" s="93"/>
    </row>
    <row r="305" spans="4:7" x14ac:dyDescent="0.25">
      <c r="D305" s="93"/>
      <c r="E305" s="93"/>
      <c r="F305" s="93"/>
      <c r="G305" s="93"/>
    </row>
    <row r="306" spans="4:7" x14ac:dyDescent="0.25">
      <c r="D306" s="93"/>
      <c r="E306" s="93"/>
      <c r="F306" s="93"/>
      <c r="G306" s="93"/>
    </row>
    <row r="307" spans="4:7" x14ac:dyDescent="0.25">
      <c r="D307" s="93"/>
      <c r="E307" s="93"/>
      <c r="F307" s="93"/>
      <c r="G307" s="93"/>
    </row>
    <row r="308" spans="4:7" x14ac:dyDescent="0.25">
      <c r="D308" s="93"/>
      <c r="E308" s="93"/>
      <c r="F308" s="93"/>
      <c r="G308" s="93"/>
    </row>
    <row r="309" spans="4:7" x14ac:dyDescent="0.25">
      <c r="D309" s="93"/>
      <c r="E309" s="93"/>
      <c r="F309" s="93"/>
      <c r="G309" s="93"/>
    </row>
    <row r="310" spans="4:7" x14ac:dyDescent="0.25">
      <c r="D310" s="93"/>
      <c r="E310" s="93"/>
      <c r="F310" s="93"/>
      <c r="G310" s="93"/>
    </row>
    <row r="311" spans="4:7" x14ac:dyDescent="0.25">
      <c r="D311" s="93"/>
      <c r="E311" s="93"/>
      <c r="F311" s="93"/>
      <c r="G311" s="93"/>
    </row>
    <row r="312" spans="4:7" x14ac:dyDescent="0.25">
      <c r="D312" s="93"/>
      <c r="E312" s="93"/>
      <c r="F312" s="93"/>
      <c r="G312" s="93"/>
    </row>
    <row r="313" spans="4:7" x14ac:dyDescent="0.25">
      <c r="D313" s="93"/>
      <c r="E313" s="93"/>
      <c r="F313" s="93"/>
      <c r="G313" s="93"/>
    </row>
    <row r="314" spans="4:7" x14ac:dyDescent="0.25">
      <c r="D314" s="93"/>
      <c r="E314" s="93"/>
      <c r="F314" s="93"/>
      <c r="G314" s="93"/>
    </row>
    <row r="315" spans="4:7" x14ac:dyDescent="0.25">
      <c r="D315" s="93"/>
      <c r="E315" s="93"/>
      <c r="F315" s="93"/>
      <c r="G315" s="93"/>
    </row>
    <row r="316" spans="4:7" x14ac:dyDescent="0.25">
      <c r="D316" s="93"/>
      <c r="E316" s="93"/>
      <c r="F316" s="93"/>
      <c r="G316" s="93"/>
    </row>
    <row r="317" spans="4:7" x14ac:dyDescent="0.25">
      <c r="D317" s="93"/>
      <c r="E317" s="93"/>
      <c r="F317" s="93"/>
      <c r="G317" s="93"/>
    </row>
    <row r="318" spans="4:7" x14ac:dyDescent="0.25">
      <c r="D318" s="93"/>
      <c r="E318" s="93"/>
      <c r="F318" s="93"/>
      <c r="G318" s="93"/>
    </row>
    <row r="319" spans="4:7" x14ac:dyDescent="0.25">
      <c r="D319" s="93"/>
      <c r="E319" s="93"/>
      <c r="F319" s="93"/>
      <c r="G319" s="93"/>
    </row>
    <row r="320" spans="4:7" x14ac:dyDescent="0.25">
      <c r="D320" s="93"/>
      <c r="E320" s="93"/>
      <c r="F320" s="93"/>
      <c r="G320" s="93"/>
    </row>
    <row r="321" spans="4:7" x14ac:dyDescent="0.25">
      <c r="D321" s="93"/>
      <c r="E321" s="93"/>
      <c r="F321" s="93"/>
      <c r="G321" s="93"/>
    </row>
    <row r="322" spans="4:7" x14ac:dyDescent="0.25">
      <c r="D322" s="93"/>
      <c r="E322" s="93"/>
      <c r="F322" s="93"/>
      <c r="G322" s="93"/>
    </row>
    <row r="323" spans="4:7" x14ac:dyDescent="0.25">
      <c r="D323" s="93"/>
      <c r="E323" s="93"/>
      <c r="F323" s="93"/>
      <c r="G323" s="93"/>
    </row>
    <row r="324" spans="4:7" x14ac:dyDescent="0.25">
      <c r="D324" s="93"/>
      <c r="E324" s="93"/>
      <c r="F324" s="93"/>
      <c r="G324" s="93"/>
    </row>
    <row r="325" spans="4:7" x14ac:dyDescent="0.25">
      <c r="D325" s="93"/>
      <c r="E325" s="93"/>
      <c r="F325" s="93"/>
      <c r="G325" s="93"/>
    </row>
    <row r="326" spans="4:7" x14ac:dyDescent="0.25">
      <c r="D326" s="93"/>
      <c r="E326" s="93"/>
      <c r="F326" s="93"/>
      <c r="G326" s="93"/>
    </row>
    <row r="327" spans="4:7" x14ac:dyDescent="0.25">
      <c r="D327" s="93"/>
      <c r="E327" s="93"/>
      <c r="F327" s="93"/>
      <c r="G327" s="93"/>
    </row>
    <row r="328" spans="4:7" x14ac:dyDescent="0.25">
      <c r="D328" s="93"/>
      <c r="E328" s="93"/>
      <c r="F328" s="93"/>
      <c r="G328" s="93"/>
    </row>
    <row r="329" spans="4:7" x14ac:dyDescent="0.25">
      <c r="D329" s="93"/>
      <c r="E329" s="93"/>
      <c r="F329" s="93"/>
      <c r="G329" s="93"/>
    </row>
    <row r="330" spans="4:7" x14ac:dyDescent="0.25">
      <c r="D330" s="93"/>
      <c r="E330" s="93"/>
      <c r="F330" s="93"/>
      <c r="G330" s="93"/>
    </row>
    <row r="331" spans="4:7" x14ac:dyDescent="0.25">
      <c r="D331" s="93"/>
      <c r="E331" s="93"/>
      <c r="F331" s="93"/>
      <c r="G331" s="93"/>
    </row>
    <row r="332" spans="4:7" x14ac:dyDescent="0.25">
      <c r="D332" s="93"/>
      <c r="E332" s="93"/>
      <c r="F332" s="93"/>
      <c r="G332" s="93"/>
    </row>
    <row r="333" spans="4:7" x14ac:dyDescent="0.25">
      <c r="D333" s="93"/>
      <c r="E333" s="93"/>
      <c r="F333" s="93"/>
      <c r="G333" s="93"/>
    </row>
    <row r="334" spans="4:7" x14ac:dyDescent="0.25">
      <c r="D334" s="93"/>
      <c r="E334" s="93"/>
      <c r="F334" s="93"/>
      <c r="G334" s="93"/>
    </row>
    <row r="335" spans="4:7" x14ac:dyDescent="0.25">
      <c r="D335" s="93"/>
      <c r="E335" s="93"/>
      <c r="F335" s="93"/>
      <c r="G335" s="93"/>
    </row>
    <row r="336" spans="4:7" x14ac:dyDescent="0.25">
      <c r="D336" s="93"/>
      <c r="E336" s="93"/>
      <c r="F336" s="93"/>
      <c r="G336" s="93"/>
    </row>
    <row r="337" spans="4:7" x14ac:dyDescent="0.25">
      <c r="D337" s="93"/>
      <c r="E337" s="93"/>
      <c r="F337" s="93"/>
      <c r="G337" s="93"/>
    </row>
    <row r="338" spans="4:7" x14ac:dyDescent="0.25">
      <c r="D338" s="93"/>
      <c r="E338" s="93"/>
      <c r="F338" s="93"/>
      <c r="G338" s="93"/>
    </row>
    <row r="339" spans="4:7" x14ac:dyDescent="0.25">
      <c r="D339" s="93"/>
      <c r="E339" s="93"/>
      <c r="F339" s="93"/>
      <c r="G339" s="93"/>
    </row>
    <row r="340" spans="4:7" x14ac:dyDescent="0.25">
      <c r="D340" s="93"/>
      <c r="E340" s="93"/>
      <c r="F340" s="93"/>
      <c r="G340" s="93"/>
    </row>
    <row r="341" spans="4:7" x14ac:dyDescent="0.25">
      <c r="D341" s="93"/>
      <c r="E341" s="93"/>
      <c r="F341" s="93"/>
      <c r="G341" s="93"/>
    </row>
    <row r="342" spans="4:7" x14ac:dyDescent="0.25">
      <c r="D342" s="93"/>
      <c r="E342" s="93"/>
      <c r="F342" s="93"/>
      <c r="G342" s="93"/>
    </row>
    <row r="343" spans="4:7" x14ac:dyDescent="0.25">
      <c r="D343" s="93"/>
      <c r="E343" s="93"/>
      <c r="F343" s="93"/>
      <c r="G343" s="93"/>
    </row>
    <row r="344" spans="4:7" x14ac:dyDescent="0.25">
      <c r="D344" s="93"/>
      <c r="E344" s="93"/>
      <c r="F344" s="93"/>
      <c r="G344" s="93"/>
    </row>
    <row r="345" spans="4:7" x14ac:dyDescent="0.25">
      <c r="D345" s="93"/>
      <c r="E345" s="93"/>
      <c r="F345" s="93"/>
      <c r="G345" s="93"/>
    </row>
    <row r="346" spans="4:7" x14ac:dyDescent="0.25">
      <c r="D346" s="93"/>
      <c r="E346" s="93"/>
      <c r="F346" s="93"/>
      <c r="G346" s="93"/>
    </row>
    <row r="347" spans="4:7" x14ac:dyDescent="0.25">
      <c r="D347" s="93"/>
      <c r="E347" s="93"/>
      <c r="F347" s="93"/>
      <c r="G347" s="93"/>
    </row>
    <row r="348" spans="4:7" x14ac:dyDescent="0.25">
      <c r="D348" s="93"/>
      <c r="E348" s="93"/>
      <c r="F348" s="93"/>
      <c r="G348" s="93"/>
    </row>
    <row r="349" spans="4:7" x14ac:dyDescent="0.25">
      <c r="D349" s="93"/>
      <c r="E349" s="93"/>
      <c r="F349" s="93"/>
      <c r="G349" s="93"/>
    </row>
    <row r="350" spans="4:7" x14ac:dyDescent="0.25">
      <c r="D350" s="93"/>
      <c r="E350" s="93"/>
      <c r="F350" s="93"/>
      <c r="G350" s="93"/>
    </row>
    <row r="351" spans="4:7" x14ac:dyDescent="0.25">
      <c r="D351" s="93"/>
      <c r="E351" s="93"/>
      <c r="F351" s="93"/>
      <c r="G351" s="93"/>
    </row>
    <row r="352" spans="4:7" x14ac:dyDescent="0.25">
      <c r="D352" s="93"/>
      <c r="E352" s="93"/>
      <c r="F352" s="93"/>
      <c r="G352" s="93"/>
    </row>
    <row r="353" spans="4:7" x14ac:dyDescent="0.25">
      <c r="D353" s="93"/>
      <c r="E353" s="93"/>
      <c r="F353" s="93"/>
      <c r="G353" s="93"/>
    </row>
    <row r="354" spans="4:7" x14ac:dyDescent="0.25">
      <c r="D354" s="93"/>
      <c r="E354" s="93"/>
      <c r="F354" s="93"/>
      <c r="G354" s="93"/>
    </row>
    <row r="355" spans="4:7" x14ac:dyDescent="0.25">
      <c r="D355" s="93"/>
      <c r="E355" s="93"/>
      <c r="F355" s="93"/>
      <c r="G355" s="93"/>
    </row>
    <row r="356" spans="4:7" x14ac:dyDescent="0.25">
      <c r="D356" s="93"/>
      <c r="E356" s="93"/>
      <c r="F356" s="93"/>
      <c r="G356" s="93"/>
    </row>
    <row r="357" spans="4:7" x14ac:dyDescent="0.25">
      <c r="D357" s="93"/>
      <c r="E357" s="93"/>
      <c r="F357" s="93"/>
      <c r="G357" s="93"/>
    </row>
    <row r="358" spans="4:7" x14ac:dyDescent="0.25">
      <c r="D358" s="93"/>
      <c r="E358" s="93"/>
      <c r="F358" s="93"/>
      <c r="G358" s="93"/>
    </row>
    <row r="359" spans="4:7" x14ac:dyDescent="0.25">
      <c r="D359" s="93"/>
      <c r="E359" s="93"/>
      <c r="F359" s="93"/>
      <c r="G359" s="93"/>
    </row>
    <row r="360" spans="4:7" x14ac:dyDescent="0.25">
      <c r="D360" s="93"/>
      <c r="E360" s="93"/>
      <c r="F360" s="93"/>
      <c r="G360" s="93"/>
    </row>
    <row r="361" spans="4:7" x14ac:dyDescent="0.25">
      <c r="D361" s="93"/>
      <c r="E361" s="93"/>
      <c r="F361" s="93"/>
      <c r="G361" s="93"/>
    </row>
    <row r="362" spans="4:7" x14ac:dyDescent="0.25">
      <c r="D362" s="93"/>
      <c r="E362" s="93"/>
      <c r="F362" s="93"/>
      <c r="G362" s="93"/>
    </row>
    <row r="363" spans="4:7" x14ac:dyDescent="0.25">
      <c r="D363" s="93"/>
      <c r="E363" s="93"/>
      <c r="F363" s="93"/>
      <c r="G363" s="93"/>
    </row>
    <row r="364" spans="4:7" x14ac:dyDescent="0.25">
      <c r="D364" s="93"/>
      <c r="E364" s="93"/>
      <c r="F364" s="93"/>
      <c r="G364" s="93"/>
    </row>
    <row r="365" spans="4:7" x14ac:dyDescent="0.25">
      <c r="D365" s="93"/>
      <c r="E365" s="93"/>
      <c r="F365" s="93"/>
      <c r="G365" s="93"/>
    </row>
    <row r="366" spans="4:7" x14ac:dyDescent="0.25">
      <c r="D366" s="93"/>
      <c r="E366" s="93"/>
      <c r="F366" s="93"/>
      <c r="G366" s="93"/>
    </row>
    <row r="367" spans="4:7" x14ac:dyDescent="0.25">
      <c r="D367" s="93"/>
      <c r="E367" s="93"/>
      <c r="F367" s="93"/>
      <c r="G367" s="93"/>
    </row>
    <row r="368" spans="4:7" x14ac:dyDescent="0.25">
      <c r="D368" s="93"/>
      <c r="E368" s="93"/>
      <c r="F368" s="93"/>
      <c r="G368" s="93"/>
    </row>
    <row r="369" spans="4:7" x14ac:dyDescent="0.25">
      <c r="D369" s="93"/>
      <c r="E369" s="93"/>
      <c r="F369" s="93"/>
      <c r="G369" s="93"/>
    </row>
    <row r="370" spans="4:7" x14ac:dyDescent="0.25">
      <c r="D370" s="93"/>
      <c r="E370" s="93"/>
      <c r="F370" s="93"/>
      <c r="G370" s="93"/>
    </row>
    <row r="371" spans="4:7" x14ac:dyDescent="0.25">
      <c r="D371" s="93"/>
      <c r="E371" s="93"/>
      <c r="F371" s="93"/>
      <c r="G371" s="93"/>
    </row>
    <row r="372" spans="4:7" x14ac:dyDescent="0.25">
      <c r="D372" s="93"/>
      <c r="E372" s="93"/>
      <c r="F372" s="93"/>
      <c r="G372" s="93"/>
    </row>
    <row r="373" spans="4:7" x14ac:dyDescent="0.25">
      <c r="D373" s="93"/>
      <c r="E373" s="93"/>
      <c r="F373" s="93"/>
      <c r="G373" s="93"/>
    </row>
    <row r="374" spans="4:7" x14ac:dyDescent="0.25">
      <c r="D374" s="93"/>
      <c r="E374" s="93"/>
      <c r="F374" s="93"/>
      <c r="G374" s="93"/>
    </row>
    <row r="375" spans="4:7" x14ac:dyDescent="0.25">
      <c r="D375" s="93"/>
      <c r="E375" s="93"/>
      <c r="F375" s="93"/>
      <c r="G375" s="93"/>
    </row>
    <row r="376" spans="4:7" x14ac:dyDescent="0.25">
      <c r="D376" s="93"/>
      <c r="E376" s="93"/>
      <c r="F376" s="93"/>
      <c r="G376" s="93"/>
    </row>
    <row r="377" spans="4:7" x14ac:dyDescent="0.25">
      <c r="D377" s="93"/>
      <c r="E377" s="93"/>
      <c r="F377" s="93"/>
      <c r="G377" s="93"/>
    </row>
    <row r="378" spans="4:7" x14ac:dyDescent="0.25">
      <c r="D378" s="93"/>
      <c r="E378" s="93"/>
      <c r="F378" s="93"/>
      <c r="G378" s="93"/>
    </row>
    <row r="379" spans="4:7" x14ac:dyDescent="0.25">
      <c r="D379" s="93"/>
      <c r="E379" s="93"/>
      <c r="F379" s="93"/>
      <c r="G379" s="93"/>
    </row>
    <row r="380" spans="4:7" x14ac:dyDescent="0.25">
      <c r="D380" s="93"/>
      <c r="E380" s="93"/>
      <c r="F380" s="93"/>
      <c r="G380" s="93"/>
    </row>
    <row r="381" spans="4:7" x14ac:dyDescent="0.25">
      <c r="D381" s="93"/>
      <c r="E381" s="93"/>
      <c r="F381" s="93"/>
      <c r="G381" s="93"/>
    </row>
    <row r="382" spans="4:7" x14ac:dyDescent="0.25">
      <c r="D382" s="93"/>
      <c r="E382" s="93"/>
      <c r="F382" s="93"/>
      <c r="G382" s="93"/>
    </row>
    <row r="383" spans="4:7" x14ac:dyDescent="0.25">
      <c r="D383" s="93"/>
      <c r="E383" s="93"/>
      <c r="F383" s="93"/>
      <c r="G383" s="93"/>
    </row>
    <row r="384" spans="4:7" x14ac:dyDescent="0.25">
      <c r="D384" s="93"/>
      <c r="E384" s="93"/>
      <c r="F384" s="93"/>
      <c r="G384" s="93"/>
    </row>
    <row r="385" spans="4:7" x14ac:dyDescent="0.25">
      <c r="D385" s="93"/>
      <c r="E385" s="93"/>
      <c r="F385" s="93"/>
      <c r="G385" s="93"/>
    </row>
    <row r="386" spans="4:7" x14ac:dyDescent="0.25">
      <c r="D386" s="93"/>
      <c r="E386" s="93"/>
      <c r="F386" s="93"/>
      <c r="G386" s="93"/>
    </row>
    <row r="387" spans="4:7" x14ac:dyDescent="0.25">
      <c r="D387" s="93"/>
      <c r="E387" s="93"/>
      <c r="F387" s="93"/>
      <c r="G387" s="93"/>
    </row>
    <row r="388" spans="4:7" x14ac:dyDescent="0.25">
      <c r="D388" s="93"/>
      <c r="E388" s="93"/>
      <c r="F388" s="93"/>
      <c r="G388" s="93"/>
    </row>
    <row r="389" spans="4:7" x14ac:dyDescent="0.25">
      <c r="D389" s="93"/>
      <c r="E389" s="93"/>
      <c r="F389" s="93"/>
      <c r="G389" s="93"/>
    </row>
    <row r="390" spans="4:7" x14ac:dyDescent="0.25">
      <c r="D390" s="93"/>
      <c r="E390" s="93"/>
      <c r="F390" s="93"/>
      <c r="G390" s="93"/>
    </row>
    <row r="391" spans="4:7" x14ac:dyDescent="0.25">
      <c r="D391" s="93"/>
      <c r="E391" s="93"/>
      <c r="F391" s="93"/>
      <c r="G391" s="93"/>
    </row>
    <row r="392" spans="4:7" x14ac:dyDescent="0.25">
      <c r="D392" s="93"/>
      <c r="E392" s="93"/>
      <c r="F392" s="93"/>
      <c r="G392" s="93"/>
    </row>
    <row r="393" spans="4:7" x14ac:dyDescent="0.25">
      <c r="D393" s="93"/>
      <c r="E393" s="93"/>
      <c r="F393" s="93"/>
      <c r="G393" s="93"/>
    </row>
    <row r="394" spans="4:7" x14ac:dyDescent="0.25">
      <c r="D394" s="93"/>
      <c r="E394" s="93"/>
      <c r="F394" s="93"/>
      <c r="G394" s="93"/>
    </row>
    <row r="395" spans="4:7" x14ac:dyDescent="0.25">
      <c r="D395" s="93"/>
      <c r="E395" s="93"/>
      <c r="F395" s="93"/>
      <c r="G395" s="93"/>
    </row>
    <row r="396" spans="4:7" x14ac:dyDescent="0.25">
      <c r="D396" s="93"/>
      <c r="E396" s="93"/>
      <c r="F396" s="93"/>
      <c r="G396" s="93"/>
    </row>
    <row r="397" spans="4:7" x14ac:dyDescent="0.25">
      <c r="D397" s="93"/>
      <c r="E397" s="93"/>
      <c r="F397" s="93"/>
      <c r="G397" s="93"/>
    </row>
    <row r="398" spans="4:7" x14ac:dyDescent="0.25">
      <c r="D398" s="93"/>
      <c r="E398" s="93"/>
      <c r="F398" s="93"/>
      <c r="G398" s="93"/>
    </row>
    <row r="399" spans="4:7" x14ac:dyDescent="0.25">
      <c r="D399" s="93"/>
      <c r="E399" s="93"/>
      <c r="F399" s="93"/>
      <c r="G399" s="93"/>
    </row>
    <row r="400" spans="4:7" x14ac:dyDescent="0.25">
      <c r="D400" s="93"/>
      <c r="E400" s="93"/>
      <c r="F400" s="93"/>
      <c r="G400" s="93"/>
    </row>
  </sheetData>
  <mergeCells count="2">
    <mergeCell ref="D2:G2"/>
    <mergeCell ref="D3:G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AL138"/>
  <sheetViews>
    <sheetView showGridLines="0" showRowColHeaders="0" zoomScale="92" zoomScaleNormal="92" workbookViewId="0">
      <selection activeCell="F19" sqref="F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2.28515625" style="93" customWidth="1"/>
    <col min="2" max="2" width="5.42578125" style="93" customWidth="1"/>
    <col min="3" max="3" width="6.42578125" style="93" customWidth="1"/>
    <col min="4" max="4" width="4.140625" style="93" customWidth="1"/>
    <col min="5" max="5" width="33" bestFit="1" customWidth="1"/>
    <col min="6" max="6" width="13.42578125" bestFit="1" customWidth="1"/>
    <col min="7" max="7" width="54.85546875" bestFit="1" customWidth="1"/>
    <col min="8" max="8" width="4.140625" style="93" customWidth="1"/>
    <col min="9" max="9" width="8.7109375" style="93"/>
    <col min="10" max="10" width="12.42578125" style="93" bestFit="1" customWidth="1"/>
    <col min="11" max="38" width="8.7109375" style="93"/>
  </cols>
  <sheetData>
    <row r="1" spans="5:10" s="93" customFormat="1" x14ac:dyDescent="0.25"/>
    <row r="2" spans="5:10" ht="39.75" customHeight="1" x14ac:dyDescent="0.25">
      <c r="E2" s="440" t="s">
        <v>202</v>
      </c>
      <c r="F2" s="440"/>
      <c r="G2" s="440"/>
    </row>
    <row r="3" spans="5:10" ht="15.75" customHeight="1" x14ac:dyDescent="0.25">
      <c r="E3" s="441" t="s">
        <v>203</v>
      </c>
      <c r="F3" s="441"/>
      <c r="G3" s="441"/>
    </row>
    <row r="4" spans="5:10" s="93" customFormat="1" x14ac:dyDescent="0.25"/>
    <row r="5" spans="5:10" ht="19.5" customHeight="1" x14ac:dyDescent="0.25">
      <c r="E5" s="442" t="s">
        <v>204</v>
      </c>
      <c r="F5" s="442"/>
      <c r="G5" s="442"/>
    </row>
    <row r="6" spans="5:10" ht="19.5" customHeight="1" x14ac:dyDescent="0.25">
      <c r="E6" s="253" t="s">
        <v>205</v>
      </c>
      <c r="F6" s="26">
        <f>'🧾 Factura Comercial'!I507</f>
        <v>43641.280000000006</v>
      </c>
      <c r="G6" s="250" t="s">
        <v>206</v>
      </c>
    </row>
    <row r="7" spans="5:10" ht="19.5" customHeight="1" x14ac:dyDescent="0.25">
      <c r="E7" s="254" t="s">
        <v>209</v>
      </c>
      <c r="F7" s="334">
        <v>2090</v>
      </c>
      <c r="G7" s="251" t="s">
        <v>210</v>
      </c>
      <c r="J7" s="102"/>
    </row>
    <row r="8" spans="5:10" ht="19.5" customHeight="1" x14ac:dyDescent="0.25">
      <c r="E8" s="253" t="s">
        <v>212</v>
      </c>
      <c r="F8" s="26">
        <f>F6+F7</f>
        <v>45731.280000000006</v>
      </c>
      <c r="G8" s="250" t="s">
        <v>213</v>
      </c>
      <c r="J8" s="102"/>
    </row>
    <row r="9" spans="5:10" ht="19.5" customHeight="1" x14ac:dyDescent="0.25">
      <c r="E9" s="254" t="s">
        <v>215</v>
      </c>
      <c r="F9" s="26" t="s">
        <v>454</v>
      </c>
      <c r="G9" s="251" t="s">
        <v>216</v>
      </c>
      <c r="J9" s="102"/>
    </row>
    <row r="10" spans="5:10" ht="19.5" customHeight="1" x14ac:dyDescent="0.25">
      <c r="E10" s="253" t="s">
        <v>218</v>
      </c>
      <c r="F10" s="333">
        <v>134.27000000000001</v>
      </c>
      <c r="G10" s="250" t="s">
        <v>219</v>
      </c>
      <c r="J10" s="102"/>
    </row>
    <row r="11" spans="5:10" ht="19.5" customHeight="1" x14ac:dyDescent="0.25">
      <c r="E11" s="254" t="s">
        <v>221</v>
      </c>
      <c r="F11" s="26">
        <f>F10*'📋 Datos Generales'!E25</f>
        <v>0</v>
      </c>
      <c r="G11" s="251" t="s">
        <v>222</v>
      </c>
    </row>
    <row r="12" spans="5:10" ht="19.5" customHeight="1" x14ac:dyDescent="0.25">
      <c r="E12" s="253" t="s">
        <v>223</v>
      </c>
      <c r="F12" s="26">
        <f>SUM(F10:F11)*'📋 Datos Generales'!E28</f>
        <v>24.168600000000001</v>
      </c>
      <c r="G12" s="250" t="s">
        <v>224</v>
      </c>
    </row>
    <row r="13" spans="5:10" ht="19.5" customHeight="1" x14ac:dyDescent="0.25">
      <c r="E13" s="254" t="s">
        <v>225</v>
      </c>
      <c r="F13" s="26">
        <f>F10</f>
        <v>134.27000000000001</v>
      </c>
      <c r="G13" s="251" t="s">
        <v>226</v>
      </c>
    </row>
    <row r="14" spans="5:10" ht="19.5" customHeight="1" x14ac:dyDescent="0.25">
      <c r="E14" s="253" t="s">
        <v>227</v>
      </c>
      <c r="F14" s="26">
        <f>F8+F10</f>
        <v>45865.55</v>
      </c>
      <c r="G14" s="250" t="s">
        <v>228</v>
      </c>
    </row>
    <row r="15" spans="5:10" s="93" customFormat="1" x14ac:dyDescent="0.25"/>
    <row r="16" spans="5:10" ht="19.5" customHeight="1" x14ac:dyDescent="0.25">
      <c r="E16" s="442" t="s">
        <v>229</v>
      </c>
      <c r="F16" s="442"/>
      <c r="G16" s="442"/>
    </row>
    <row r="17" spans="5:10" ht="19.5" customHeight="1" x14ac:dyDescent="0.25">
      <c r="E17" s="253" t="s">
        <v>230</v>
      </c>
      <c r="F17" s="26">
        <f>ROUND(F14*'📋 Datos Generales'!E20,0)</f>
        <v>2752</v>
      </c>
      <c r="G17" s="250" t="s">
        <v>231</v>
      </c>
    </row>
    <row r="18" spans="5:10" ht="19.5" customHeight="1" x14ac:dyDescent="0.25">
      <c r="E18" s="254" t="s">
        <v>232</v>
      </c>
      <c r="F18" s="26">
        <f>ROUND((F14+F17)*'📋 Datos Generales'!E22,0)</f>
        <v>972</v>
      </c>
      <c r="G18" s="251" t="s">
        <v>233</v>
      </c>
      <c r="J18" s="102"/>
    </row>
    <row r="19" spans="5:10" ht="19.5" customHeight="1" x14ac:dyDescent="0.25">
      <c r="E19" s="253" t="s">
        <v>234</v>
      </c>
      <c r="F19" s="26">
        <f>ROUND((F14+F17)*'📋 Datos Generales'!E21,0)</f>
        <v>7779</v>
      </c>
      <c r="G19" s="250" t="s">
        <v>235</v>
      </c>
      <c r="J19" s="102"/>
    </row>
    <row r="20" spans="5:10" ht="19.5" customHeight="1" x14ac:dyDescent="0.25">
      <c r="E20" s="255" t="s">
        <v>237</v>
      </c>
      <c r="F20" s="27">
        <f>F17+F18+F19</f>
        <v>11503</v>
      </c>
      <c r="G20" s="252" t="s">
        <v>238</v>
      </c>
      <c r="J20" s="102"/>
    </row>
    <row r="21" spans="5:10" s="93" customFormat="1" x14ac:dyDescent="0.25"/>
    <row r="22" spans="5:10" ht="19.5" customHeight="1" x14ac:dyDescent="0.25">
      <c r="E22" s="442" t="s">
        <v>240</v>
      </c>
      <c r="F22" s="442"/>
      <c r="G22" s="442"/>
    </row>
    <row r="23" spans="5:10" ht="19.5" customHeight="1" x14ac:dyDescent="0.25">
      <c r="E23" s="253" t="s">
        <v>241</v>
      </c>
      <c r="F23" s="26">
        <f>ROUND((F14+F20)*'📋 Datos Generales'!E23,2)</f>
        <v>2007.9</v>
      </c>
      <c r="G23" s="250" t="s">
        <v>242</v>
      </c>
    </row>
    <row r="24" spans="5:10" ht="19.5" customHeight="1" x14ac:dyDescent="0.25">
      <c r="E24" s="254" t="s">
        <v>243</v>
      </c>
      <c r="F24" s="26">
        <f>F17</f>
        <v>2752</v>
      </c>
      <c r="G24" s="251" t="s">
        <v>244</v>
      </c>
    </row>
    <row r="25" spans="5:10" ht="19.5" customHeight="1" x14ac:dyDescent="0.25">
      <c r="E25" s="253" t="s">
        <v>245</v>
      </c>
      <c r="F25" s="26">
        <f>MAX(F14*'📋 Datos Generales'!E27,100/'📋 Datos Generales'!E19)</f>
        <v>458.65550000000002</v>
      </c>
      <c r="G25" s="250" t="s">
        <v>246</v>
      </c>
    </row>
    <row r="26" spans="5:10" s="93" customFormat="1" x14ac:dyDescent="0.25"/>
    <row r="27" spans="5:10" s="93" customFormat="1" x14ac:dyDescent="0.25"/>
    <row r="28" spans="5:10" s="93" customFormat="1" x14ac:dyDescent="0.25"/>
    <row r="29" spans="5:10" s="93" customFormat="1" x14ac:dyDescent="0.25"/>
    <row r="30" spans="5:10" s="93" customFormat="1" x14ac:dyDescent="0.25"/>
    <row r="31" spans="5:10" s="93" customFormat="1" x14ac:dyDescent="0.25"/>
    <row r="32" spans="5:10" s="93" customFormat="1" x14ac:dyDescent="0.25"/>
    <row r="33" spans="6:7" s="93" customFormat="1" x14ac:dyDescent="0.25"/>
    <row r="34" spans="6:7" s="93" customFormat="1" x14ac:dyDescent="0.25"/>
    <row r="35" spans="6:7" s="93" customFormat="1" x14ac:dyDescent="0.25">
      <c r="F35" s="93" t="s">
        <v>207</v>
      </c>
      <c r="G35" s="93" t="s">
        <v>208</v>
      </c>
    </row>
    <row r="36" spans="6:7" s="93" customFormat="1" x14ac:dyDescent="0.25">
      <c r="F36" s="93" t="s">
        <v>211</v>
      </c>
      <c r="G36" s="102">
        <f>F17</f>
        <v>2752</v>
      </c>
    </row>
    <row r="37" spans="6:7" s="93" customFormat="1" x14ac:dyDescent="0.25">
      <c r="F37" s="93" t="s">
        <v>214</v>
      </c>
      <c r="G37" s="102">
        <f>F18</f>
        <v>972</v>
      </c>
    </row>
    <row r="38" spans="6:7" s="93" customFormat="1" x14ac:dyDescent="0.25">
      <c r="F38" s="93" t="s">
        <v>217</v>
      </c>
      <c r="G38" s="102">
        <f>F19</f>
        <v>7779</v>
      </c>
    </row>
    <row r="39" spans="6:7" s="93" customFormat="1" x14ac:dyDescent="0.25">
      <c r="F39" s="93" t="s">
        <v>220</v>
      </c>
      <c r="G39" s="102">
        <f>F23</f>
        <v>2007.9</v>
      </c>
    </row>
    <row r="40" spans="6:7" s="93" customFormat="1" x14ac:dyDescent="0.25"/>
    <row r="41" spans="6:7" s="93" customFormat="1" x14ac:dyDescent="0.25"/>
    <row r="42" spans="6:7" s="93" customFormat="1" x14ac:dyDescent="0.25">
      <c r="F42" s="93" t="s">
        <v>207</v>
      </c>
      <c r="G42" s="93" t="s">
        <v>208</v>
      </c>
    </row>
    <row r="43" spans="6:7" s="93" customFormat="1" x14ac:dyDescent="0.25">
      <c r="F43" s="93" t="s">
        <v>98</v>
      </c>
      <c r="G43" s="102">
        <f>F6</f>
        <v>43641.280000000006</v>
      </c>
    </row>
    <row r="44" spans="6:7" s="93" customFormat="1" x14ac:dyDescent="0.25">
      <c r="F44" s="93" t="s">
        <v>236</v>
      </c>
      <c r="G44" s="102">
        <f>F7</f>
        <v>2090</v>
      </c>
    </row>
    <row r="45" spans="6:7" s="93" customFormat="1" x14ac:dyDescent="0.25">
      <c r="F45" s="93" t="s">
        <v>239</v>
      </c>
      <c r="G45" s="102">
        <f>F10</f>
        <v>134.27000000000001</v>
      </c>
    </row>
    <row r="46" spans="6:7" s="93" customFormat="1" x14ac:dyDescent="0.25"/>
    <row r="47" spans="6:7" s="93" customFormat="1" x14ac:dyDescent="0.25"/>
    <row r="48" spans="6:7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</sheetData>
  <mergeCells count="5">
    <mergeCell ref="E2:G2"/>
    <mergeCell ref="E3:G3"/>
    <mergeCell ref="E5:G5"/>
    <mergeCell ref="E16:G16"/>
    <mergeCell ref="E22:G2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0099CC"/>
  </sheetPr>
  <dimension ref="A1:AR2205"/>
  <sheetViews>
    <sheetView showGridLines="0" showRowColHeaders="0" zoomScale="70" zoomScaleNormal="70" workbookViewId="0">
      <selection activeCell="F13" sqref="F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2" width="6.5703125" style="93" customWidth="1"/>
    <col min="3" max="3" width="4" style="93" customWidth="1"/>
    <col min="4" max="4" width="6" customWidth="1"/>
    <col min="5" max="5" width="44" customWidth="1"/>
    <col min="6" max="6" width="12.7109375" customWidth="1"/>
    <col min="7" max="8" width="16" customWidth="1"/>
    <col min="9" max="9" width="15.7109375" bestFit="1" customWidth="1"/>
    <col min="10" max="10" width="18" customWidth="1"/>
    <col min="11" max="11" width="12.42578125" bestFit="1" customWidth="1"/>
    <col min="12" max="44" width="8.7109375" style="93"/>
  </cols>
  <sheetData>
    <row r="1" spans="4:11" s="93" customFormat="1" x14ac:dyDescent="0.25"/>
    <row r="2" spans="4:11" ht="39.75" customHeight="1" x14ac:dyDescent="0.25">
      <c r="D2" s="440" t="s">
        <v>247</v>
      </c>
      <c r="E2" s="440"/>
      <c r="F2" s="440"/>
      <c r="G2" s="440"/>
      <c r="H2" s="440"/>
      <c r="I2" s="440"/>
      <c r="J2" s="440"/>
      <c r="K2" s="440"/>
    </row>
    <row r="3" spans="4:11" ht="15.75" customHeight="1" x14ac:dyDescent="0.25">
      <c r="D3" s="445" t="s">
        <v>248</v>
      </c>
      <c r="E3" s="445"/>
      <c r="F3" s="445"/>
      <c r="G3" s="445"/>
      <c r="H3" s="445"/>
      <c r="I3" s="445"/>
      <c r="J3" s="445"/>
      <c r="K3" s="445"/>
    </row>
    <row r="4" spans="4:11" ht="19.5" customHeight="1" x14ac:dyDescent="0.25">
      <c r="D4" s="448" t="s">
        <v>249</v>
      </c>
      <c r="E4" s="448"/>
      <c r="F4" s="449"/>
      <c r="G4" s="450">
        <f>'📦 Gastos Importación'!E28</f>
        <v>49782.29</v>
      </c>
      <c r="H4" s="450"/>
      <c r="I4" s="446">
        <f>G4*'📋 Datos Generales'!E19</f>
        <v>185190.11880000003</v>
      </c>
      <c r="J4" s="446"/>
      <c r="K4" s="446"/>
    </row>
    <row r="5" spans="4:11" ht="27.75" customHeight="1" x14ac:dyDescent="0.25">
      <c r="D5" s="443" t="s">
        <v>250</v>
      </c>
      <c r="E5" s="443"/>
      <c r="F5" s="444"/>
      <c r="G5" s="447">
        <f>IF('🧾 Factura Comercial'!I507=0,0,G4/'🧾 Factura Comercial'!I507)</f>
        <v>1.1407156252062267</v>
      </c>
      <c r="H5" s="447"/>
      <c r="I5" s="447"/>
      <c r="J5" s="447"/>
      <c r="K5" s="447"/>
    </row>
    <row r="6" spans="4:11" ht="34.5" customHeight="1" x14ac:dyDescent="0.25">
      <c r="D6" s="107" t="s">
        <v>133</v>
      </c>
      <c r="E6" s="107" t="s">
        <v>251</v>
      </c>
      <c r="F6" s="107" t="s">
        <v>252</v>
      </c>
      <c r="G6" s="107" t="s">
        <v>137</v>
      </c>
      <c r="H6" s="107" t="s">
        <v>138</v>
      </c>
      <c r="I6" s="107" t="s">
        <v>445</v>
      </c>
      <c r="J6" s="107" t="s">
        <v>253</v>
      </c>
      <c r="K6" s="107" t="s">
        <v>254</v>
      </c>
    </row>
    <row r="7" spans="4:11" ht="19.5" customHeight="1" x14ac:dyDescent="0.25">
      <c r="D7" s="88">
        <v>1</v>
      </c>
      <c r="E7" s="256" t="str">
        <f>'🧾 Factura Comercial'!E7</f>
        <v>Case Transparente TPU iPhone 15</v>
      </c>
      <c r="F7" s="257">
        <f>'🧾 Factura Comercial'!G7</f>
        <v>480</v>
      </c>
      <c r="G7" s="258">
        <f>'🧾 Factura Comercial'!H7</f>
        <v>1.21</v>
      </c>
      <c r="H7" s="259">
        <f>'🧾 Factura Comercial'!I7</f>
        <v>580.79999999999995</v>
      </c>
      <c r="I7" s="298">
        <f>'🧾 Factura Comercial'!J7</f>
        <v>1.3308500575601812E-2</v>
      </c>
      <c r="J7" s="260">
        <f>IF($G$5=0,0,$G$5*G7)</f>
        <v>1.3802659064995342</v>
      </c>
      <c r="K7" s="261">
        <f>J7*'📋 Datos Generales'!$E$19</f>
        <v>5.1345891721782673</v>
      </c>
    </row>
    <row r="8" spans="4:11" ht="19.5" customHeight="1" x14ac:dyDescent="0.25">
      <c r="D8" s="13">
        <v>2</v>
      </c>
      <c r="E8" s="262" t="str">
        <f>'🧾 Factura Comercial'!E8</f>
        <v>Cable USB-C Trenzado 1m</v>
      </c>
      <c r="F8" s="263">
        <f>'🧾 Factura Comercial'!G8</f>
        <v>2880</v>
      </c>
      <c r="G8" s="264">
        <f>'🧾 Factura Comercial'!H8</f>
        <v>0.68</v>
      </c>
      <c r="H8" s="265">
        <f>'🧾 Factura Comercial'!I8</f>
        <v>1958.4</v>
      </c>
      <c r="I8" s="298">
        <f>'🧾 Factura Comercial'!J8</f>
        <v>4.4874944089632565E-2</v>
      </c>
      <c r="J8" s="260">
        <f t="shared" ref="J8:J71" si="0">IF($G$5=0,0,$G$5*G8)</f>
        <v>0.77568662514023423</v>
      </c>
      <c r="K8" s="261">
        <f>J8*'📋 Datos Generales'!$E$19</f>
        <v>2.8855542455216714</v>
      </c>
    </row>
    <row r="9" spans="4:11" ht="19.5" customHeight="1" x14ac:dyDescent="0.25">
      <c r="D9" s="13">
        <v>3</v>
      </c>
      <c r="E9" s="262" t="str">
        <f>'🧾 Factura Comercial'!E9</f>
        <v>Protector Pantalla Vidrio Templado</v>
      </c>
      <c r="F9" s="263">
        <f>'🧾 Factura Comercial'!G9</f>
        <v>2880</v>
      </c>
      <c r="G9" s="264">
        <f>'🧾 Factura Comercial'!H9</f>
        <v>0.4</v>
      </c>
      <c r="H9" s="265">
        <f>'🧾 Factura Comercial'!I9</f>
        <v>1152</v>
      </c>
      <c r="I9" s="298">
        <f>'🧾 Factura Comercial'!J9</f>
        <v>2.6397025935077978E-2</v>
      </c>
      <c r="J9" s="260">
        <f t="shared" si="0"/>
        <v>0.45628625008249069</v>
      </c>
      <c r="K9" s="261">
        <f>J9*'📋 Datos Generales'!$E$19</f>
        <v>1.6973848503068654</v>
      </c>
    </row>
    <row r="10" spans="4:11" ht="19.5" customHeight="1" x14ac:dyDescent="0.25">
      <c r="D10" s="13">
        <v>4</v>
      </c>
      <c r="E10" s="262" t="str">
        <f>'🧾 Factura Comercial'!E10</f>
        <v>Audífonos In-Ear con Micrófono</v>
      </c>
      <c r="F10" s="263">
        <f>'🧾 Factura Comercial'!G10</f>
        <v>10224</v>
      </c>
      <c r="G10" s="264">
        <f>'🧾 Factura Comercial'!H10</f>
        <v>0.34</v>
      </c>
      <c r="H10" s="265">
        <f>'🧾 Factura Comercial'!I10</f>
        <v>3476.1600000000003</v>
      </c>
      <c r="I10" s="298">
        <f>'🧾 Factura Comercial'!J10</f>
        <v>7.9653025759097801E-2</v>
      </c>
      <c r="J10" s="260">
        <f t="shared" si="0"/>
        <v>0.38784331257011712</v>
      </c>
      <c r="K10" s="261">
        <f>J10*'📋 Datos Generales'!$E$19</f>
        <v>1.4427771227608357</v>
      </c>
    </row>
    <row r="11" spans="4:11" ht="19.5" customHeight="1" x14ac:dyDescent="0.25">
      <c r="D11" s="13">
        <v>5</v>
      </c>
      <c r="E11" s="262" t="str">
        <f>'🧾 Factura Comercial'!E11</f>
        <v>Cable Micro USB 2m Nylon</v>
      </c>
      <c r="F11" s="263">
        <f>'🧾 Factura Comercial'!G11</f>
        <v>8640</v>
      </c>
      <c r="G11" s="264">
        <f>'🧾 Factura Comercial'!H11</f>
        <v>0.26</v>
      </c>
      <c r="H11" s="265">
        <f>'🧾 Factura Comercial'!I11</f>
        <v>2246.4</v>
      </c>
      <c r="I11" s="298">
        <f>'🧾 Factura Comercial'!J11</f>
        <v>5.147420057340206E-2</v>
      </c>
      <c r="J11" s="260">
        <f t="shared" si="0"/>
        <v>0.29658606255361897</v>
      </c>
      <c r="K11" s="261">
        <f>J11*'📋 Datos Generales'!$E$19</f>
        <v>1.1033001526994626</v>
      </c>
    </row>
    <row r="12" spans="4:11" ht="19.5" customHeight="1" x14ac:dyDescent="0.25">
      <c r="D12" s="13">
        <v>6</v>
      </c>
      <c r="E12" s="262" t="str">
        <f>'🧾 Factura Comercial'!E12</f>
        <v>Soporte Anillo Pop Socket Metálico</v>
      </c>
      <c r="F12" s="263">
        <f>'🧾 Factura Comercial'!G12</f>
        <v>2160</v>
      </c>
      <c r="G12" s="264">
        <f>'🧾 Factura Comercial'!H12</f>
        <v>0.28999999999999998</v>
      </c>
      <c r="H12" s="259">
        <f>'🧾 Factura Comercial'!I12</f>
        <v>626.4</v>
      </c>
      <c r="I12" s="298">
        <f>'🧾 Factura Comercial'!J12</f>
        <v>1.435338285219865E-2</v>
      </c>
      <c r="J12" s="260">
        <f t="shared" si="0"/>
        <v>0.33080753130980572</v>
      </c>
      <c r="K12" s="261">
        <f>J12*'📋 Datos Generales'!$E$19</f>
        <v>1.2306040164724774</v>
      </c>
    </row>
    <row r="13" spans="4:11" ht="19.5" customHeight="1" x14ac:dyDescent="0.25">
      <c r="D13" s="13">
        <v>7</v>
      </c>
      <c r="E13" s="262" t="str">
        <f>'🧾 Factura Comercial'!E13</f>
        <v>Cargador Inalámbrico 15W Qi</v>
      </c>
      <c r="F13" s="263">
        <f>'🧾 Factura Comercial'!G13</f>
        <v>240</v>
      </c>
      <c r="G13" s="264">
        <f>'🧾 Factura Comercial'!H13</f>
        <v>5.71</v>
      </c>
      <c r="H13" s="265">
        <f>'🧾 Factura Comercial'!I13</f>
        <v>1370.4</v>
      </c>
      <c r="I13" s="298">
        <f>'🧾 Factura Comercial'!J13</f>
        <v>3.1401462101936513E-2</v>
      </c>
      <c r="J13" s="260">
        <f t="shared" si="0"/>
        <v>6.5134862199275547</v>
      </c>
      <c r="K13" s="261">
        <f>J13*'📋 Datos Generales'!$E$19</f>
        <v>24.230168738130505</v>
      </c>
    </row>
    <row r="14" spans="4:11" ht="19.5" customHeight="1" x14ac:dyDescent="0.25">
      <c r="D14" s="13">
        <v>8</v>
      </c>
      <c r="E14" s="262" t="str">
        <f>'🧾 Factura Comercial'!E14</f>
        <v>Case Wallet Cuero PU Samsung S24</v>
      </c>
      <c r="F14" s="263">
        <f>'🧾 Factura Comercial'!G14</f>
        <v>1920</v>
      </c>
      <c r="G14" s="258">
        <f>'🧾 Factura Comercial'!H14</f>
        <v>0.76</v>
      </c>
      <c r="H14" s="265">
        <f>'🧾 Factura Comercial'!I14</f>
        <v>1459.2</v>
      </c>
      <c r="I14" s="298">
        <f>'🧾 Factura Comercial'!J14</f>
        <v>3.3436232851098771E-2</v>
      </c>
      <c r="J14" s="260">
        <f t="shared" si="0"/>
        <v>0.86694387515673232</v>
      </c>
      <c r="K14" s="261">
        <f>J14*'📋 Datos Generales'!$E$19</f>
        <v>3.2250312155830443</v>
      </c>
    </row>
    <row r="15" spans="4:11" ht="19.5" customHeight="1" x14ac:dyDescent="0.25">
      <c r="D15" s="13">
        <v>9</v>
      </c>
      <c r="E15" s="262" t="str">
        <f>'🧾 Factura Comercial'!E15</f>
        <v>Adaptador USB-C a Jack 3.5mm</v>
      </c>
      <c r="F15" s="263">
        <f>'🧾 Factura Comercial'!G15</f>
        <v>4800</v>
      </c>
      <c r="G15" s="264">
        <f>'🧾 Factura Comercial'!H15</f>
        <v>0.28000000000000003</v>
      </c>
      <c r="H15" s="265">
        <f>'🧾 Factura Comercial'!I15</f>
        <v>1344.0000000000002</v>
      </c>
      <c r="I15" s="298">
        <f>'🧾 Factura Comercial'!J15</f>
        <v>3.0796530257590979E-2</v>
      </c>
      <c r="J15" s="260">
        <f t="shared" si="0"/>
        <v>0.31940037505774349</v>
      </c>
      <c r="K15" s="261">
        <f>J15*'📋 Datos Generales'!$E$19</f>
        <v>1.1881693952148058</v>
      </c>
    </row>
    <row r="16" spans="4:11" ht="19.5" customHeight="1" x14ac:dyDescent="0.25">
      <c r="D16" s="13">
        <v>10</v>
      </c>
      <c r="E16" s="256" t="str">
        <f>'🧾 Factura Comercial'!E16</f>
        <v>Adaptador YYY 67</v>
      </c>
      <c r="F16" s="257">
        <f>'🧾 Factura Comercial'!G16</f>
        <v>2000</v>
      </c>
      <c r="G16" s="264">
        <f>'🧾 Factura Comercial'!H16</f>
        <v>0.5</v>
      </c>
      <c r="H16" s="265">
        <f>'🧾 Factura Comercial'!I16</f>
        <v>1000</v>
      </c>
      <c r="I16" s="298">
        <f>'🧾 Factura Comercial'!J16</f>
        <v>2.2914085013088521E-2</v>
      </c>
      <c r="J16" s="260">
        <f t="shared" si="0"/>
        <v>0.57035781260311336</v>
      </c>
      <c r="K16" s="261">
        <f>J16*'📋 Datos Generales'!$E$19</f>
        <v>2.1217310628835819</v>
      </c>
    </row>
    <row r="17" spans="4:11" ht="19.5" customHeight="1" x14ac:dyDescent="0.25">
      <c r="D17" s="13">
        <v>11</v>
      </c>
      <c r="E17" s="262" t="str">
        <f>'🧾 Factura Comercial'!E17</f>
        <v>Case Transparente TPU iPhone 15</v>
      </c>
      <c r="F17" s="263">
        <f>'🧾 Factura Comercial'!G17</f>
        <v>480</v>
      </c>
      <c r="G17" s="264">
        <f>'🧾 Factura Comercial'!H17</f>
        <v>1.21</v>
      </c>
      <c r="H17" s="259">
        <f>'🧾 Factura Comercial'!I17</f>
        <v>580.79999999999995</v>
      </c>
      <c r="I17" s="298">
        <f>'🧾 Factura Comercial'!J17</f>
        <v>1.3308500575601812E-2</v>
      </c>
      <c r="J17" s="260">
        <f t="shared" si="0"/>
        <v>1.3802659064995342</v>
      </c>
      <c r="K17" s="261">
        <f>J17*'📋 Datos Generales'!$E$19</f>
        <v>5.1345891721782673</v>
      </c>
    </row>
    <row r="18" spans="4:11" ht="19.5" customHeight="1" x14ac:dyDescent="0.25">
      <c r="D18" s="13">
        <v>12</v>
      </c>
      <c r="E18" s="262" t="str">
        <f>'🧾 Factura Comercial'!E18</f>
        <v>Cable USB-C Trenzado 1m</v>
      </c>
      <c r="F18" s="263">
        <f>'🧾 Factura Comercial'!G18</f>
        <v>2880</v>
      </c>
      <c r="G18" s="264">
        <f>'🧾 Factura Comercial'!H18</f>
        <v>0.68</v>
      </c>
      <c r="H18" s="265">
        <f>'🧾 Factura Comercial'!I18</f>
        <v>1958.4</v>
      </c>
      <c r="I18" s="298">
        <f>'🧾 Factura Comercial'!J18</f>
        <v>4.4874944089632565E-2</v>
      </c>
      <c r="J18" s="260">
        <f t="shared" si="0"/>
        <v>0.77568662514023423</v>
      </c>
      <c r="K18" s="261">
        <f>J18*'📋 Datos Generales'!$E$19</f>
        <v>2.8855542455216714</v>
      </c>
    </row>
    <row r="19" spans="4:11" ht="19.5" customHeight="1" x14ac:dyDescent="0.25">
      <c r="D19" s="13">
        <v>13</v>
      </c>
      <c r="E19" s="262" t="str">
        <f>'🧾 Factura Comercial'!E19</f>
        <v>Protector Pantalla Vidrio Templado</v>
      </c>
      <c r="F19" s="263">
        <f>'🧾 Factura Comercial'!G19</f>
        <v>2880</v>
      </c>
      <c r="G19" s="264">
        <f>'🧾 Factura Comercial'!H19</f>
        <v>0.4</v>
      </c>
      <c r="H19" s="265">
        <f>'🧾 Factura Comercial'!I19</f>
        <v>1152</v>
      </c>
      <c r="I19" s="298">
        <f>'🧾 Factura Comercial'!J19</f>
        <v>2.6397025935077978E-2</v>
      </c>
      <c r="J19" s="260">
        <f t="shared" si="0"/>
        <v>0.45628625008249069</v>
      </c>
      <c r="K19" s="261">
        <f>J19*'📋 Datos Generales'!$E$19</f>
        <v>1.6973848503068654</v>
      </c>
    </row>
    <row r="20" spans="4:11" ht="19.5" customHeight="1" x14ac:dyDescent="0.25">
      <c r="D20" s="13">
        <v>14</v>
      </c>
      <c r="E20" s="262" t="str">
        <f>'🧾 Factura Comercial'!E20</f>
        <v>Audífonos In-Ear con Micrófono</v>
      </c>
      <c r="F20" s="263">
        <f>'🧾 Factura Comercial'!G20</f>
        <v>10224</v>
      </c>
      <c r="G20" s="264">
        <f>'🧾 Factura Comercial'!H20</f>
        <v>0.34</v>
      </c>
      <c r="H20" s="265">
        <f>'🧾 Factura Comercial'!I20</f>
        <v>3476.1600000000003</v>
      </c>
      <c r="I20" s="298">
        <f>'🧾 Factura Comercial'!J20</f>
        <v>7.9653025759097801E-2</v>
      </c>
      <c r="J20" s="260">
        <f t="shared" si="0"/>
        <v>0.38784331257011712</v>
      </c>
      <c r="K20" s="261">
        <f>J20*'📋 Datos Generales'!$E$19</f>
        <v>1.4427771227608357</v>
      </c>
    </row>
    <row r="21" spans="4:11" ht="19.5" customHeight="1" x14ac:dyDescent="0.25">
      <c r="D21" s="13">
        <v>15</v>
      </c>
      <c r="E21" s="262" t="str">
        <f>'🧾 Factura Comercial'!E21</f>
        <v>Cable Micro USB 2m Nylon</v>
      </c>
      <c r="F21" s="263">
        <f>'🧾 Factura Comercial'!G21</f>
        <v>8640</v>
      </c>
      <c r="G21" s="258">
        <f>'🧾 Factura Comercial'!H21</f>
        <v>0.26</v>
      </c>
      <c r="H21" s="265">
        <f>'🧾 Factura Comercial'!I21</f>
        <v>2246.4</v>
      </c>
      <c r="I21" s="298">
        <f>'🧾 Factura Comercial'!J21</f>
        <v>5.147420057340206E-2</v>
      </c>
      <c r="J21" s="260">
        <f t="shared" si="0"/>
        <v>0.29658606255361897</v>
      </c>
      <c r="K21" s="261">
        <f>J21*'📋 Datos Generales'!$E$19</f>
        <v>1.1033001526994626</v>
      </c>
    </row>
    <row r="22" spans="4:11" ht="19.5" customHeight="1" x14ac:dyDescent="0.25">
      <c r="D22" s="13">
        <v>16</v>
      </c>
      <c r="E22" s="262" t="str">
        <f>'🧾 Factura Comercial'!E22</f>
        <v>Soporte Anillo Pop Socket Metálico</v>
      </c>
      <c r="F22" s="263">
        <f>'🧾 Factura Comercial'!G22</f>
        <v>2160</v>
      </c>
      <c r="G22" s="264">
        <f>'🧾 Factura Comercial'!H22</f>
        <v>0.28999999999999998</v>
      </c>
      <c r="H22" s="259">
        <f>'🧾 Factura Comercial'!I22</f>
        <v>626.4</v>
      </c>
      <c r="I22" s="298">
        <f>'🧾 Factura Comercial'!J22</f>
        <v>1.435338285219865E-2</v>
      </c>
      <c r="J22" s="260">
        <f t="shared" si="0"/>
        <v>0.33080753130980572</v>
      </c>
      <c r="K22" s="261">
        <f>J22*'📋 Datos Generales'!$E$19</f>
        <v>1.2306040164724774</v>
      </c>
    </row>
    <row r="23" spans="4:11" ht="19.5" customHeight="1" x14ac:dyDescent="0.25">
      <c r="D23" s="13">
        <v>17</v>
      </c>
      <c r="E23" s="262" t="str">
        <f>'🧾 Factura Comercial'!E23</f>
        <v>Cargador Inalámbrico 15W Qi</v>
      </c>
      <c r="F23" s="263">
        <f>'🧾 Factura Comercial'!G23</f>
        <v>240</v>
      </c>
      <c r="G23" s="264">
        <f>'🧾 Factura Comercial'!H23</f>
        <v>5.71</v>
      </c>
      <c r="H23" s="265">
        <f>'🧾 Factura Comercial'!I23</f>
        <v>1370.4</v>
      </c>
      <c r="I23" s="298">
        <f>'🧾 Factura Comercial'!J23</f>
        <v>3.1401462101936513E-2</v>
      </c>
      <c r="J23" s="260">
        <f t="shared" si="0"/>
        <v>6.5134862199275547</v>
      </c>
      <c r="K23" s="261">
        <f>J23*'📋 Datos Generales'!$E$19</f>
        <v>24.230168738130505</v>
      </c>
    </row>
    <row r="24" spans="4:11" ht="19.5" customHeight="1" x14ac:dyDescent="0.25">
      <c r="D24" s="13">
        <v>18</v>
      </c>
      <c r="E24" s="262" t="str">
        <f>'🧾 Factura Comercial'!E24</f>
        <v>Case Wallet Cuero PU Samsung S24</v>
      </c>
      <c r="F24" s="263">
        <f>'🧾 Factura Comercial'!G24</f>
        <v>1920</v>
      </c>
      <c r="G24" s="264">
        <f>'🧾 Factura Comercial'!H24</f>
        <v>0.76</v>
      </c>
      <c r="H24" s="265">
        <f>'🧾 Factura Comercial'!I24</f>
        <v>1459.2</v>
      </c>
      <c r="I24" s="298">
        <f>'🧾 Factura Comercial'!J24</f>
        <v>3.3436232851098771E-2</v>
      </c>
      <c r="J24" s="260">
        <f t="shared" si="0"/>
        <v>0.86694387515673232</v>
      </c>
      <c r="K24" s="261">
        <f>J24*'📋 Datos Generales'!$E$19</f>
        <v>3.2250312155830443</v>
      </c>
    </row>
    <row r="25" spans="4:11" ht="19.5" customHeight="1" x14ac:dyDescent="0.25">
      <c r="D25" s="13">
        <v>19</v>
      </c>
      <c r="E25" s="256" t="str">
        <f>'🧾 Factura Comercial'!E25</f>
        <v>Adaptador USB-C a Jack 3.5mm</v>
      </c>
      <c r="F25" s="257">
        <f>'🧾 Factura Comercial'!G25</f>
        <v>4800</v>
      </c>
      <c r="G25" s="264">
        <f>'🧾 Factura Comercial'!H25</f>
        <v>0.28000000000000003</v>
      </c>
      <c r="H25" s="265">
        <f>'🧾 Factura Comercial'!I25</f>
        <v>1344.0000000000002</v>
      </c>
      <c r="I25" s="298">
        <f>'🧾 Factura Comercial'!J25</f>
        <v>3.0796530257590979E-2</v>
      </c>
      <c r="J25" s="260">
        <f t="shared" si="0"/>
        <v>0.31940037505774349</v>
      </c>
      <c r="K25" s="261">
        <f>J25*'📋 Datos Generales'!$E$19</f>
        <v>1.1881693952148058</v>
      </c>
    </row>
    <row r="26" spans="4:11" ht="19.5" customHeight="1" x14ac:dyDescent="0.25">
      <c r="D26" s="13">
        <v>20</v>
      </c>
      <c r="E26" s="262" t="str">
        <f>'🧾 Factura Comercial'!E26</f>
        <v>Case Transparente TPU iPhone 15</v>
      </c>
      <c r="F26" s="263">
        <f>'🧾 Factura Comercial'!G26</f>
        <v>480</v>
      </c>
      <c r="G26" s="264">
        <f>'🧾 Factura Comercial'!H26</f>
        <v>1.21</v>
      </c>
      <c r="H26" s="265">
        <f>'🧾 Factura Comercial'!I26</f>
        <v>580.79999999999995</v>
      </c>
      <c r="I26" s="298">
        <f>'🧾 Factura Comercial'!J26</f>
        <v>1.3308500575601812E-2</v>
      </c>
      <c r="J26" s="260">
        <f t="shared" si="0"/>
        <v>1.3802659064995342</v>
      </c>
      <c r="K26" s="261">
        <f>J26*'📋 Datos Generales'!$E$19</f>
        <v>5.1345891721782673</v>
      </c>
    </row>
    <row r="27" spans="4:11" ht="19.5" customHeight="1" x14ac:dyDescent="0.25">
      <c r="D27" s="13">
        <v>21</v>
      </c>
      <c r="E27" s="262" t="str">
        <f>'🧾 Factura Comercial'!E27</f>
        <v>Cable USB-C Trenzado 1m</v>
      </c>
      <c r="F27" s="263">
        <f>'🧾 Factura Comercial'!G27</f>
        <v>2880</v>
      </c>
      <c r="G27" s="264">
        <f>'🧾 Factura Comercial'!H27</f>
        <v>0.68</v>
      </c>
      <c r="H27" s="259">
        <f>'🧾 Factura Comercial'!I27</f>
        <v>1958.4</v>
      </c>
      <c r="I27" s="298">
        <f>'🧾 Factura Comercial'!J27</f>
        <v>4.4874944089632565E-2</v>
      </c>
      <c r="J27" s="260">
        <f t="shared" si="0"/>
        <v>0.77568662514023423</v>
      </c>
      <c r="K27" s="261">
        <f>J27*'📋 Datos Generales'!$E$19</f>
        <v>2.8855542455216714</v>
      </c>
    </row>
    <row r="28" spans="4:11" ht="19.5" customHeight="1" x14ac:dyDescent="0.25">
      <c r="D28" s="13">
        <v>22</v>
      </c>
      <c r="E28" s="262" t="str">
        <f>'🧾 Factura Comercial'!E28</f>
        <v>Protector Pantalla Vidrio Templado</v>
      </c>
      <c r="F28" s="263">
        <f>'🧾 Factura Comercial'!G28</f>
        <v>2880</v>
      </c>
      <c r="G28" s="258">
        <f>'🧾 Factura Comercial'!H28</f>
        <v>0.4</v>
      </c>
      <c r="H28" s="265">
        <f>'🧾 Factura Comercial'!I28</f>
        <v>1152</v>
      </c>
      <c r="I28" s="298">
        <f>'🧾 Factura Comercial'!J28</f>
        <v>2.6397025935077978E-2</v>
      </c>
      <c r="J28" s="260">
        <f t="shared" si="0"/>
        <v>0.45628625008249069</v>
      </c>
      <c r="K28" s="261">
        <f>J28*'📋 Datos Generales'!$E$19</f>
        <v>1.6973848503068654</v>
      </c>
    </row>
    <row r="29" spans="4:11" ht="19.5" customHeight="1" x14ac:dyDescent="0.25">
      <c r="D29" s="13">
        <v>23</v>
      </c>
      <c r="E29" s="262" t="str">
        <f>'🧾 Factura Comercial'!E29</f>
        <v>Audífonos In-Ear con Micrófono</v>
      </c>
      <c r="F29" s="263">
        <f>'🧾 Factura Comercial'!G29</f>
        <v>10224</v>
      </c>
      <c r="G29" s="264">
        <f>'🧾 Factura Comercial'!H29</f>
        <v>0.34</v>
      </c>
      <c r="H29" s="265">
        <f>'🧾 Factura Comercial'!I29</f>
        <v>3476.1600000000003</v>
      </c>
      <c r="I29" s="298">
        <f>'🧾 Factura Comercial'!J29</f>
        <v>7.9653025759097801E-2</v>
      </c>
      <c r="J29" s="260">
        <f t="shared" si="0"/>
        <v>0.38784331257011712</v>
      </c>
      <c r="K29" s="261">
        <f>J29*'📋 Datos Generales'!$E$19</f>
        <v>1.4427771227608357</v>
      </c>
    </row>
    <row r="30" spans="4:11" ht="19.5" customHeight="1" x14ac:dyDescent="0.25">
      <c r="D30" s="13">
        <v>24</v>
      </c>
      <c r="E30" s="262" t="str">
        <f>'🧾 Factura Comercial'!E30</f>
        <v>Cable Micro USB 2m Nylon</v>
      </c>
      <c r="F30" s="263">
        <f>'🧾 Factura Comercial'!G30</f>
        <v>8640</v>
      </c>
      <c r="G30" s="264">
        <f>'🧾 Factura Comercial'!H30</f>
        <v>0.26</v>
      </c>
      <c r="H30" s="265">
        <f>'🧾 Factura Comercial'!I30</f>
        <v>2246.4</v>
      </c>
      <c r="I30" s="298">
        <f>'🧾 Factura Comercial'!J30</f>
        <v>5.147420057340206E-2</v>
      </c>
      <c r="J30" s="260">
        <f t="shared" si="0"/>
        <v>0.29658606255361897</v>
      </c>
      <c r="K30" s="261">
        <f>J30*'📋 Datos Generales'!$E$19</f>
        <v>1.1033001526994626</v>
      </c>
    </row>
    <row r="31" spans="4:11" ht="19.5" customHeight="1" x14ac:dyDescent="0.25">
      <c r="D31" s="13">
        <v>25</v>
      </c>
      <c r="E31" s="262" t="str">
        <f>'🧾 Factura Comercial'!E31</f>
        <v>Soporte Anillo Pop Socket Metálico</v>
      </c>
      <c r="F31" s="263">
        <f>'🧾 Factura Comercial'!G31</f>
        <v>2160</v>
      </c>
      <c r="G31" s="264">
        <f>'🧾 Factura Comercial'!H31</f>
        <v>0.28999999999999998</v>
      </c>
      <c r="H31" s="265">
        <f>'🧾 Factura Comercial'!I31</f>
        <v>626.4</v>
      </c>
      <c r="I31" s="298">
        <f>'🧾 Factura Comercial'!J31</f>
        <v>1.435338285219865E-2</v>
      </c>
      <c r="J31" s="260">
        <f t="shared" si="0"/>
        <v>0.33080753130980572</v>
      </c>
      <c r="K31" s="261">
        <f>J31*'📋 Datos Generales'!$E$19</f>
        <v>1.2306040164724774</v>
      </c>
    </row>
    <row r="32" spans="4:11" ht="19.5" customHeight="1" x14ac:dyDescent="0.25">
      <c r="D32" s="13">
        <v>26</v>
      </c>
      <c r="E32" s="262" t="str">
        <f>'🧾 Factura Comercial'!E32</f>
        <v>Cargador Inalámbrico 15W Qi</v>
      </c>
      <c r="F32" s="263">
        <f>'🧾 Factura Comercial'!G32</f>
        <v>240</v>
      </c>
      <c r="G32" s="264">
        <f>'🧾 Factura Comercial'!H32</f>
        <v>5.71</v>
      </c>
      <c r="H32" s="259">
        <f>'🧾 Factura Comercial'!I32</f>
        <v>1370.4</v>
      </c>
      <c r="I32" s="298">
        <f>'🧾 Factura Comercial'!J32</f>
        <v>3.1401462101936513E-2</v>
      </c>
      <c r="J32" s="260">
        <f t="shared" si="0"/>
        <v>6.5134862199275547</v>
      </c>
      <c r="K32" s="261">
        <f>J32*'📋 Datos Generales'!$E$19</f>
        <v>24.230168738130505</v>
      </c>
    </row>
    <row r="33" spans="4:11" ht="19.5" customHeight="1" x14ac:dyDescent="0.25">
      <c r="D33" s="13">
        <v>27</v>
      </c>
      <c r="E33" s="262" t="str">
        <f>'🧾 Factura Comercial'!E33</f>
        <v>Case Wallet Cuero PU Samsung S24</v>
      </c>
      <c r="F33" s="263">
        <f>'🧾 Factura Comercial'!G33</f>
        <v>1920</v>
      </c>
      <c r="G33" s="264">
        <f>'🧾 Factura Comercial'!H33</f>
        <v>0.76</v>
      </c>
      <c r="H33" s="265">
        <f>'🧾 Factura Comercial'!I33</f>
        <v>1459.2</v>
      </c>
      <c r="I33" s="298">
        <f>'🧾 Factura Comercial'!J33</f>
        <v>3.3436232851098771E-2</v>
      </c>
      <c r="J33" s="260">
        <f t="shared" si="0"/>
        <v>0.86694387515673232</v>
      </c>
      <c r="K33" s="261">
        <f>J33*'📋 Datos Generales'!$E$19</f>
        <v>3.2250312155830443</v>
      </c>
    </row>
    <row r="34" spans="4:11" ht="19.5" customHeight="1" x14ac:dyDescent="0.25">
      <c r="D34" s="13">
        <v>28</v>
      </c>
      <c r="E34" s="256" t="str">
        <f>'🧾 Factura Comercial'!E34</f>
        <v>Adaptador USB-C a Jack 3.5mm</v>
      </c>
      <c r="F34" s="257">
        <f>'🧾 Factura Comercial'!G34</f>
        <v>4800</v>
      </c>
      <c r="G34" s="264">
        <f>'🧾 Factura Comercial'!H34</f>
        <v>0.28000000000000003</v>
      </c>
      <c r="H34" s="265">
        <f>'🧾 Factura Comercial'!I34</f>
        <v>1344.0000000000002</v>
      </c>
      <c r="I34" s="298">
        <f>'🧾 Factura Comercial'!J34</f>
        <v>3.0796530257590979E-2</v>
      </c>
      <c r="J34" s="260">
        <f t="shared" si="0"/>
        <v>0.31940037505774349</v>
      </c>
      <c r="K34" s="261">
        <f>J34*'📋 Datos Generales'!$E$19</f>
        <v>1.1881693952148058</v>
      </c>
    </row>
    <row r="35" spans="4:11" ht="19.5" hidden="1" customHeight="1" x14ac:dyDescent="0.25">
      <c r="D35" s="13">
        <v>29</v>
      </c>
      <c r="E35" s="262">
        <f>'🧾 Factura Comercial'!E35</f>
        <v>0</v>
      </c>
      <c r="F35" s="263">
        <f>'🧾 Factura Comercial'!G35</f>
        <v>0</v>
      </c>
      <c r="G35" s="258">
        <f>'🧾 Factura Comercial'!H35</f>
        <v>0</v>
      </c>
      <c r="H35" s="265">
        <f>'🧾 Factura Comercial'!I35</f>
        <v>0</v>
      </c>
      <c r="I35" s="298">
        <f>'🧾 Factura Comercial'!J35</f>
        <v>0</v>
      </c>
      <c r="J35" s="260">
        <f t="shared" si="0"/>
        <v>0</v>
      </c>
      <c r="K35" s="261">
        <f>J35*'📋 Datos Generales'!$E$19</f>
        <v>0</v>
      </c>
    </row>
    <row r="36" spans="4:11" ht="19.5" hidden="1" customHeight="1" x14ac:dyDescent="0.25">
      <c r="D36" s="13">
        <v>30</v>
      </c>
      <c r="E36" s="262">
        <f>'🧾 Factura Comercial'!E36</f>
        <v>0</v>
      </c>
      <c r="F36" s="263">
        <f>'🧾 Factura Comercial'!G36</f>
        <v>0</v>
      </c>
      <c r="G36" s="264">
        <f>'🧾 Factura Comercial'!H36</f>
        <v>0</v>
      </c>
      <c r="H36" s="265">
        <f>'🧾 Factura Comercial'!I36</f>
        <v>0</v>
      </c>
      <c r="I36" s="298">
        <f>'🧾 Factura Comercial'!J36</f>
        <v>0</v>
      </c>
      <c r="J36" s="260">
        <f t="shared" si="0"/>
        <v>0</v>
      </c>
      <c r="K36" s="261">
        <f>J36*'📋 Datos Generales'!$E$19</f>
        <v>0</v>
      </c>
    </row>
    <row r="37" spans="4:11" ht="19.5" hidden="1" customHeight="1" x14ac:dyDescent="0.25">
      <c r="D37" s="13">
        <v>31</v>
      </c>
      <c r="E37" s="262">
        <f>'🧾 Factura Comercial'!E37</f>
        <v>0</v>
      </c>
      <c r="F37" s="263">
        <f>'🧾 Factura Comercial'!G37</f>
        <v>0</v>
      </c>
      <c r="G37" s="264">
        <f>'🧾 Factura Comercial'!H37</f>
        <v>0</v>
      </c>
      <c r="H37" s="259">
        <f>'🧾 Factura Comercial'!I37</f>
        <v>0</v>
      </c>
      <c r="I37" s="298">
        <f>'🧾 Factura Comercial'!J37</f>
        <v>0</v>
      </c>
      <c r="J37" s="260">
        <f t="shared" si="0"/>
        <v>0</v>
      </c>
      <c r="K37" s="261">
        <f>J37*'📋 Datos Generales'!$E$19</f>
        <v>0</v>
      </c>
    </row>
    <row r="38" spans="4:11" ht="19.5" hidden="1" customHeight="1" x14ac:dyDescent="0.25">
      <c r="D38" s="13">
        <v>32</v>
      </c>
      <c r="E38" s="262">
        <f>'🧾 Factura Comercial'!E38</f>
        <v>0</v>
      </c>
      <c r="F38" s="263">
        <f>'🧾 Factura Comercial'!G38</f>
        <v>0</v>
      </c>
      <c r="G38" s="264">
        <f>'🧾 Factura Comercial'!H38</f>
        <v>0</v>
      </c>
      <c r="H38" s="265">
        <f>'🧾 Factura Comercial'!I38</f>
        <v>0</v>
      </c>
      <c r="I38" s="298">
        <f>'🧾 Factura Comercial'!J38</f>
        <v>0</v>
      </c>
      <c r="J38" s="260">
        <f t="shared" si="0"/>
        <v>0</v>
      </c>
      <c r="K38" s="261">
        <f>J38*'📋 Datos Generales'!$E$19</f>
        <v>0</v>
      </c>
    </row>
    <row r="39" spans="4:11" ht="19.5" hidden="1" customHeight="1" x14ac:dyDescent="0.25">
      <c r="D39" s="13">
        <v>33</v>
      </c>
      <c r="E39" s="262">
        <f>'🧾 Factura Comercial'!E39</f>
        <v>0</v>
      </c>
      <c r="F39" s="263">
        <f>'🧾 Factura Comercial'!G39</f>
        <v>0</v>
      </c>
      <c r="G39" s="264">
        <f>'🧾 Factura Comercial'!H39</f>
        <v>0</v>
      </c>
      <c r="H39" s="265">
        <f>'🧾 Factura Comercial'!I39</f>
        <v>0</v>
      </c>
      <c r="I39" s="298">
        <f>'🧾 Factura Comercial'!J39</f>
        <v>0</v>
      </c>
      <c r="J39" s="260">
        <f t="shared" si="0"/>
        <v>0</v>
      </c>
      <c r="K39" s="261">
        <f>J39*'📋 Datos Generales'!$E$19</f>
        <v>0</v>
      </c>
    </row>
    <row r="40" spans="4:11" ht="19.5" hidden="1" customHeight="1" x14ac:dyDescent="0.25">
      <c r="D40" s="13">
        <v>34</v>
      </c>
      <c r="E40" s="262">
        <f>'🧾 Factura Comercial'!E40</f>
        <v>0</v>
      </c>
      <c r="F40" s="263">
        <f>'🧾 Factura Comercial'!G40</f>
        <v>0</v>
      </c>
      <c r="G40" s="264">
        <f>'🧾 Factura Comercial'!H40</f>
        <v>0</v>
      </c>
      <c r="H40" s="265">
        <f>'🧾 Factura Comercial'!I40</f>
        <v>0</v>
      </c>
      <c r="I40" s="298">
        <f>'🧾 Factura Comercial'!J40</f>
        <v>0</v>
      </c>
      <c r="J40" s="260">
        <f t="shared" si="0"/>
        <v>0</v>
      </c>
      <c r="K40" s="261">
        <f>J40*'📋 Datos Generales'!$E$19</f>
        <v>0</v>
      </c>
    </row>
    <row r="41" spans="4:11" ht="19.5" hidden="1" customHeight="1" x14ac:dyDescent="0.25">
      <c r="D41" s="13">
        <v>35</v>
      </c>
      <c r="E41" s="262">
        <f>'🧾 Factura Comercial'!E41</f>
        <v>0</v>
      </c>
      <c r="F41" s="263">
        <f>'🧾 Factura Comercial'!G41</f>
        <v>0</v>
      </c>
      <c r="G41" s="264">
        <f>'🧾 Factura Comercial'!H41</f>
        <v>0</v>
      </c>
      <c r="H41" s="265">
        <f>'🧾 Factura Comercial'!I41</f>
        <v>0</v>
      </c>
      <c r="I41" s="298">
        <f>'🧾 Factura Comercial'!J41</f>
        <v>0</v>
      </c>
      <c r="J41" s="260">
        <f t="shared" si="0"/>
        <v>0</v>
      </c>
      <c r="K41" s="261">
        <f>J41*'📋 Datos Generales'!$E$19</f>
        <v>0</v>
      </c>
    </row>
    <row r="42" spans="4:11" ht="19.5" hidden="1" customHeight="1" x14ac:dyDescent="0.25">
      <c r="D42" s="13">
        <v>36</v>
      </c>
      <c r="E42" s="262">
        <f>'🧾 Factura Comercial'!E42</f>
        <v>0</v>
      </c>
      <c r="F42" s="263">
        <f>'🧾 Factura Comercial'!G42</f>
        <v>0</v>
      </c>
      <c r="G42" s="258">
        <f>'🧾 Factura Comercial'!H42</f>
        <v>0</v>
      </c>
      <c r="H42" s="259">
        <f>'🧾 Factura Comercial'!I42</f>
        <v>0</v>
      </c>
      <c r="I42" s="298">
        <f>'🧾 Factura Comercial'!J42</f>
        <v>0</v>
      </c>
      <c r="J42" s="260">
        <f t="shared" si="0"/>
        <v>0</v>
      </c>
      <c r="K42" s="261">
        <f>J42*'📋 Datos Generales'!$E$19</f>
        <v>0</v>
      </c>
    </row>
    <row r="43" spans="4:11" ht="19.5" hidden="1" customHeight="1" x14ac:dyDescent="0.25">
      <c r="D43" s="13">
        <v>37</v>
      </c>
      <c r="E43" s="256">
        <f>'🧾 Factura Comercial'!E43</f>
        <v>0</v>
      </c>
      <c r="F43" s="257">
        <f>'🧾 Factura Comercial'!G43</f>
        <v>0</v>
      </c>
      <c r="G43" s="264">
        <f>'🧾 Factura Comercial'!H43</f>
        <v>0</v>
      </c>
      <c r="H43" s="265">
        <f>'🧾 Factura Comercial'!I43</f>
        <v>0</v>
      </c>
      <c r="I43" s="298">
        <f>'🧾 Factura Comercial'!J43</f>
        <v>0</v>
      </c>
      <c r="J43" s="260">
        <f t="shared" si="0"/>
        <v>0</v>
      </c>
      <c r="K43" s="261">
        <f>J43*'📋 Datos Generales'!$E$19</f>
        <v>0</v>
      </c>
    </row>
    <row r="44" spans="4:11" ht="19.5" hidden="1" customHeight="1" x14ac:dyDescent="0.25">
      <c r="D44" s="13">
        <v>38</v>
      </c>
      <c r="E44" s="262">
        <f>'🧾 Factura Comercial'!E44</f>
        <v>0</v>
      </c>
      <c r="F44" s="263">
        <f>'🧾 Factura Comercial'!G44</f>
        <v>0</v>
      </c>
      <c r="G44" s="264">
        <f>'🧾 Factura Comercial'!H44</f>
        <v>0</v>
      </c>
      <c r="H44" s="265">
        <f>'🧾 Factura Comercial'!I44</f>
        <v>0</v>
      </c>
      <c r="I44" s="298">
        <f>'🧾 Factura Comercial'!J44</f>
        <v>0</v>
      </c>
      <c r="J44" s="260">
        <f t="shared" si="0"/>
        <v>0</v>
      </c>
      <c r="K44" s="261">
        <f>J44*'📋 Datos Generales'!$E$19</f>
        <v>0</v>
      </c>
    </row>
    <row r="45" spans="4:11" ht="19.5" hidden="1" customHeight="1" x14ac:dyDescent="0.25">
      <c r="D45" s="13">
        <v>39</v>
      </c>
      <c r="E45" s="262">
        <f>'🧾 Factura Comercial'!E45</f>
        <v>0</v>
      </c>
      <c r="F45" s="263">
        <f>'🧾 Factura Comercial'!G45</f>
        <v>0</v>
      </c>
      <c r="G45" s="264">
        <f>'🧾 Factura Comercial'!H45</f>
        <v>0</v>
      </c>
      <c r="H45" s="265">
        <f>'🧾 Factura Comercial'!I45</f>
        <v>0</v>
      </c>
      <c r="I45" s="298">
        <f>'🧾 Factura Comercial'!J45</f>
        <v>0</v>
      </c>
      <c r="J45" s="260">
        <f t="shared" si="0"/>
        <v>0</v>
      </c>
      <c r="K45" s="261">
        <f>J45*'📋 Datos Generales'!$E$19</f>
        <v>0</v>
      </c>
    </row>
    <row r="46" spans="4:11" ht="19.5" hidden="1" customHeight="1" x14ac:dyDescent="0.25">
      <c r="D46" s="13">
        <v>40</v>
      </c>
      <c r="E46" s="262">
        <f>'🧾 Factura Comercial'!E46</f>
        <v>0</v>
      </c>
      <c r="F46" s="263">
        <f>'🧾 Factura Comercial'!G46</f>
        <v>0</v>
      </c>
      <c r="G46" s="264">
        <f>'🧾 Factura Comercial'!H46</f>
        <v>0</v>
      </c>
      <c r="H46" s="265">
        <f>'🧾 Factura Comercial'!I46</f>
        <v>0</v>
      </c>
      <c r="I46" s="298">
        <f>'🧾 Factura Comercial'!J46</f>
        <v>0</v>
      </c>
      <c r="J46" s="260">
        <f t="shared" si="0"/>
        <v>0</v>
      </c>
      <c r="K46" s="261">
        <f>J46*'📋 Datos Generales'!$E$19</f>
        <v>0</v>
      </c>
    </row>
    <row r="47" spans="4:11" ht="19.5" hidden="1" customHeight="1" x14ac:dyDescent="0.25">
      <c r="D47" s="13">
        <v>41</v>
      </c>
      <c r="E47" s="262">
        <f>'🧾 Factura Comercial'!E47</f>
        <v>0</v>
      </c>
      <c r="F47" s="263">
        <f>'🧾 Factura Comercial'!G47</f>
        <v>0</v>
      </c>
      <c r="G47" s="264">
        <f>'🧾 Factura Comercial'!H47</f>
        <v>0</v>
      </c>
      <c r="H47" s="259">
        <f>'🧾 Factura Comercial'!I47</f>
        <v>0</v>
      </c>
      <c r="I47" s="298">
        <f>'🧾 Factura Comercial'!J47</f>
        <v>0</v>
      </c>
      <c r="J47" s="260">
        <f t="shared" si="0"/>
        <v>0</v>
      </c>
      <c r="K47" s="261">
        <f>J47*'📋 Datos Generales'!$E$19</f>
        <v>0</v>
      </c>
    </row>
    <row r="48" spans="4:11" ht="19.5" hidden="1" customHeight="1" x14ac:dyDescent="0.25">
      <c r="D48" s="13">
        <v>42</v>
      </c>
      <c r="E48" s="262">
        <f>'🧾 Factura Comercial'!E48</f>
        <v>0</v>
      </c>
      <c r="F48" s="263">
        <f>'🧾 Factura Comercial'!G48</f>
        <v>0</v>
      </c>
      <c r="G48" s="264">
        <f>'🧾 Factura Comercial'!H48</f>
        <v>0</v>
      </c>
      <c r="H48" s="265">
        <f>'🧾 Factura Comercial'!I48</f>
        <v>0</v>
      </c>
      <c r="I48" s="298">
        <f>'🧾 Factura Comercial'!J48</f>
        <v>0</v>
      </c>
      <c r="J48" s="260">
        <f t="shared" si="0"/>
        <v>0</v>
      </c>
      <c r="K48" s="261">
        <f>J48*'📋 Datos Generales'!$E$19</f>
        <v>0</v>
      </c>
    </row>
    <row r="49" spans="4:11" ht="19.5" hidden="1" customHeight="1" x14ac:dyDescent="0.25">
      <c r="D49" s="13">
        <v>43</v>
      </c>
      <c r="E49" s="262">
        <f>'🧾 Factura Comercial'!E49</f>
        <v>0</v>
      </c>
      <c r="F49" s="263">
        <f>'🧾 Factura Comercial'!G49</f>
        <v>0</v>
      </c>
      <c r="G49" s="258">
        <f>'🧾 Factura Comercial'!H49</f>
        <v>0</v>
      </c>
      <c r="H49" s="265">
        <f>'🧾 Factura Comercial'!I49</f>
        <v>0</v>
      </c>
      <c r="I49" s="298">
        <f>'🧾 Factura Comercial'!J49</f>
        <v>0</v>
      </c>
      <c r="J49" s="260">
        <f t="shared" si="0"/>
        <v>0</v>
      </c>
      <c r="K49" s="261">
        <f>J49*'📋 Datos Generales'!$E$19</f>
        <v>0</v>
      </c>
    </row>
    <row r="50" spans="4:11" ht="19.5" hidden="1" customHeight="1" x14ac:dyDescent="0.25">
      <c r="D50" s="13">
        <v>44</v>
      </c>
      <c r="E50" s="262">
        <f>'🧾 Factura Comercial'!E50</f>
        <v>0</v>
      </c>
      <c r="F50" s="263">
        <f>'🧾 Factura Comercial'!G50</f>
        <v>0</v>
      </c>
      <c r="G50" s="264">
        <f>'🧾 Factura Comercial'!H50</f>
        <v>0</v>
      </c>
      <c r="H50" s="265">
        <f>'🧾 Factura Comercial'!I50</f>
        <v>0</v>
      </c>
      <c r="I50" s="298">
        <f>'🧾 Factura Comercial'!J50</f>
        <v>0</v>
      </c>
      <c r="J50" s="260">
        <f t="shared" si="0"/>
        <v>0</v>
      </c>
      <c r="K50" s="261">
        <f>J50*'📋 Datos Generales'!$E$19</f>
        <v>0</v>
      </c>
    </row>
    <row r="51" spans="4:11" ht="19.5" hidden="1" customHeight="1" x14ac:dyDescent="0.25">
      <c r="D51" s="13">
        <v>45</v>
      </c>
      <c r="E51" s="262">
        <f>'🧾 Factura Comercial'!E51</f>
        <v>0</v>
      </c>
      <c r="F51" s="263">
        <f>'🧾 Factura Comercial'!G51</f>
        <v>0</v>
      </c>
      <c r="G51" s="264">
        <f>'🧾 Factura Comercial'!H51</f>
        <v>0</v>
      </c>
      <c r="H51" s="265">
        <f>'🧾 Factura Comercial'!I51</f>
        <v>0</v>
      </c>
      <c r="I51" s="298">
        <f>'🧾 Factura Comercial'!J51</f>
        <v>0</v>
      </c>
      <c r="J51" s="260">
        <f t="shared" si="0"/>
        <v>0</v>
      </c>
      <c r="K51" s="261">
        <f>J51*'📋 Datos Generales'!$E$19</f>
        <v>0</v>
      </c>
    </row>
    <row r="52" spans="4:11" ht="19.5" hidden="1" customHeight="1" x14ac:dyDescent="0.25">
      <c r="D52" s="13">
        <v>46</v>
      </c>
      <c r="E52" s="256">
        <f>'🧾 Factura Comercial'!E52</f>
        <v>0</v>
      </c>
      <c r="F52" s="257">
        <f>'🧾 Factura Comercial'!G52</f>
        <v>0</v>
      </c>
      <c r="G52" s="264">
        <f>'🧾 Factura Comercial'!H52</f>
        <v>0</v>
      </c>
      <c r="H52" s="259">
        <f>'🧾 Factura Comercial'!I52</f>
        <v>0</v>
      </c>
      <c r="I52" s="298">
        <f>'🧾 Factura Comercial'!J52</f>
        <v>0</v>
      </c>
      <c r="J52" s="260">
        <f t="shared" si="0"/>
        <v>0</v>
      </c>
      <c r="K52" s="261">
        <f>J52*'📋 Datos Generales'!$E$19</f>
        <v>0</v>
      </c>
    </row>
    <row r="53" spans="4:11" ht="19.5" hidden="1" customHeight="1" x14ac:dyDescent="0.25">
      <c r="D53" s="13">
        <v>47</v>
      </c>
      <c r="E53" s="262">
        <f>'🧾 Factura Comercial'!E53</f>
        <v>0</v>
      </c>
      <c r="F53" s="263">
        <f>'🧾 Factura Comercial'!G53</f>
        <v>0</v>
      </c>
      <c r="G53" s="264">
        <f>'🧾 Factura Comercial'!H53</f>
        <v>0</v>
      </c>
      <c r="H53" s="265">
        <f>'🧾 Factura Comercial'!I53</f>
        <v>0</v>
      </c>
      <c r="I53" s="298">
        <f>'🧾 Factura Comercial'!J53</f>
        <v>0</v>
      </c>
      <c r="J53" s="260">
        <f t="shared" si="0"/>
        <v>0</v>
      </c>
      <c r="K53" s="261">
        <f>J53*'📋 Datos Generales'!$E$19</f>
        <v>0</v>
      </c>
    </row>
    <row r="54" spans="4:11" ht="19.5" hidden="1" customHeight="1" x14ac:dyDescent="0.25">
      <c r="D54" s="13">
        <v>48</v>
      </c>
      <c r="E54" s="262">
        <f>'🧾 Factura Comercial'!E54</f>
        <v>0</v>
      </c>
      <c r="F54" s="263">
        <f>'🧾 Factura Comercial'!G54</f>
        <v>0</v>
      </c>
      <c r="G54" s="264">
        <f>'🧾 Factura Comercial'!H54</f>
        <v>0</v>
      </c>
      <c r="H54" s="265">
        <f>'🧾 Factura Comercial'!I54</f>
        <v>0</v>
      </c>
      <c r="I54" s="298">
        <f>'🧾 Factura Comercial'!J54</f>
        <v>0</v>
      </c>
      <c r="J54" s="260">
        <f t="shared" si="0"/>
        <v>0</v>
      </c>
      <c r="K54" s="261">
        <f>J54*'📋 Datos Generales'!$E$19</f>
        <v>0</v>
      </c>
    </row>
    <row r="55" spans="4:11" ht="19.5" hidden="1" customHeight="1" x14ac:dyDescent="0.25">
      <c r="D55" s="13">
        <v>49</v>
      </c>
      <c r="E55" s="262">
        <f>'🧾 Factura Comercial'!E55</f>
        <v>0</v>
      </c>
      <c r="F55" s="263">
        <f>'🧾 Factura Comercial'!G55</f>
        <v>0</v>
      </c>
      <c r="G55" s="264">
        <f>'🧾 Factura Comercial'!H55</f>
        <v>0</v>
      </c>
      <c r="H55" s="265">
        <f>'🧾 Factura Comercial'!I55</f>
        <v>0</v>
      </c>
      <c r="I55" s="298">
        <f>'🧾 Factura Comercial'!J55</f>
        <v>0</v>
      </c>
      <c r="J55" s="260">
        <f t="shared" si="0"/>
        <v>0</v>
      </c>
      <c r="K55" s="261">
        <f>J55*'📋 Datos Generales'!$E$19</f>
        <v>0</v>
      </c>
    </row>
    <row r="56" spans="4:11" ht="19.5" hidden="1" customHeight="1" x14ac:dyDescent="0.25">
      <c r="D56" s="13">
        <v>50</v>
      </c>
      <c r="E56" s="262">
        <f>'🧾 Factura Comercial'!E56</f>
        <v>0</v>
      </c>
      <c r="F56" s="263">
        <f>'🧾 Factura Comercial'!G56</f>
        <v>0</v>
      </c>
      <c r="G56" s="258">
        <f>'🧾 Factura Comercial'!H56</f>
        <v>0</v>
      </c>
      <c r="H56" s="265">
        <f>'🧾 Factura Comercial'!I56</f>
        <v>0</v>
      </c>
      <c r="I56" s="298">
        <f>'🧾 Factura Comercial'!J56</f>
        <v>0</v>
      </c>
      <c r="J56" s="260">
        <f t="shared" si="0"/>
        <v>0</v>
      </c>
      <c r="K56" s="261">
        <f>J56*'📋 Datos Generales'!$E$19</f>
        <v>0</v>
      </c>
    </row>
    <row r="57" spans="4:11" ht="19.5" hidden="1" customHeight="1" x14ac:dyDescent="0.25">
      <c r="D57" s="13">
        <v>51</v>
      </c>
      <c r="E57" s="262">
        <f>'🧾 Factura Comercial'!E57</f>
        <v>0</v>
      </c>
      <c r="F57" s="263">
        <f>'🧾 Factura Comercial'!G57</f>
        <v>0</v>
      </c>
      <c r="G57" s="264">
        <f>'🧾 Factura Comercial'!H57</f>
        <v>0</v>
      </c>
      <c r="H57" s="259">
        <f>'🧾 Factura Comercial'!I57</f>
        <v>0</v>
      </c>
      <c r="I57" s="298">
        <f>'🧾 Factura Comercial'!J57</f>
        <v>0</v>
      </c>
      <c r="J57" s="260">
        <f t="shared" si="0"/>
        <v>0</v>
      </c>
      <c r="K57" s="261">
        <f>J57*'📋 Datos Generales'!$E$19</f>
        <v>0</v>
      </c>
    </row>
    <row r="58" spans="4:11" ht="19.5" hidden="1" customHeight="1" x14ac:dyDescent="0.25">
      <c r="D58" s="13">
        <v>52</v>
      </c>
      <c r="E58" s="262">
        <f>'🧾 Factura Comercial'!E58</f>
        <v>0</v>
      </c>
      <c r="F58" s="263">
        <f>'🧾 Factura Comercial'!G58</f>
        <v>0</v>
      </c>
      <c r="G58" s="264">
        <f>'🧾 Factura Comercial'!H58</f>
        <v>0</v>
      </c>
      <c r="H58" s="265">
        <f>'🧾 Factura Comercial'!I58</f>
        <v>0</v>
      </c>
      <c r="I58" s="298">
        <f>'🧾 Factura Comercial'!J58</f>
        <v>0</v>
      </c>
      <c r="J58" s="260">
        <f t="shared" si="0"/>
        <v>0</v>
      </c>
      <c r="K58" s="261">
        <f>J58*'📋 Datos Generales'!$E$19</f>
        <v>0</v>
      </c>
    </row>
    <row r="59" spans="4:11" ht="19.5" hidden="1" customHeight="1" x14ac:dyDescent="0.25">
      <c r="D59" s="13">
        <v>53</v>
      </c>
      <c r="E59" s="262">
        <f>'🧾 Factura Comercial'!E59</f>
        <v>0</v>
      </c>
      <c r="F59" s="263">
        <f>'🧾 Factura Comercial'!G59</f>
        <v>0</v>
      </c>
      <c r="G59" s="264">
        <f>'🧾 Factura Comercial'!H59</f>
        <v>0</v>
      </c>
      <c r="H59" s="265">
        <f>'🧾 Factura Comercial'!I59</f>
        <v>0</v>
      </c>
      <c r="I59" s="298">
        <f>'🧾 Factura Comercial'!J59</f>
        <v>0</v>
      </c>
      <c r="J59" s="260">
        <f t="shared" si="0"/>
        <v>0</v>
      </c>
      <c r="K59" s="261">
        <f>J59*'📋 Datos Generales'!$E$19</f>
        <v>0</v>
      </c>
    </row>
    <row r="60" spans="4:11" ht="19.5" hidden="1" customHeight="1" x14ac:dyDescent="0.25">
      <c r="D60" s="13">
        <v>54</v>
      </c>
      <c r="E60" s="262">
        <f>'🧾 Factura Comercial'!E60</f>
        <v>0</v>
      </c>
      <c r="F60" s="263">
        <f>'🧾 Factura Comercial'!G60</f>
        <v>0</v>
      </c>
      <c r="G60" s="264">
        <f>'🧾 Factura Comercial'!H60</f>
        <v>0</v>
      </c>
      <c r="H60" s="265">
        <f>'🧾 Factura Comercial'!I60</f>
        <v>0</v>
      </c>
      <c r="I60" s="298">
        <f>'🧾 Factura Comercial'!J60</f>
        <v>0</v>
      </c>
      <c r="J60" s="260">
        <f t="shared" si="0"/>
        <v>0</v>
      </c>
      <c r="K60" s="261">
        <f>J60*'📋 Datos Generales'!$E$19</f>
        <v>0</v>
      </c>
    </row>
    <row r="61" spans="4:11" ht="19.5" hidden="1" customHeight="1" x14ac:dyDescent="0.25">
      <c r="D61" s="13">
        <v>55</v>
      </c>
      <c r="E61" s="256">
        <f>'🧾 Factura Comercial'!E61</f>
        <v>0</v>
      </c>
      <c r="F61" s="257">
        <f>'🧾 Factura Comercial'!G61</f>
        <v>0</v>
      </c>
      <c r="G61" s="264">
        <f>'🧾 Factura Comercial'!H61</f>
        <v>0</v>
      </c>
      <c r="H61" s="265">
        <f>'🧾 Factura Comercial'!I61</f>
        <v>0</v>
      </c>
      <c r="I61" s="298">
        <f>'🧾 Factura Comercial'!J61</f>
        <v>0</v>
      </c>
      <c r="J61" s="260">
        <f t="shared" si="0"/>
        <v>0</v>
      </c>
      <c r="K61" s="261">
        <f>J61*'📋 Datos Generales'!$E$19</f>
        <v>0</v>
      </c>
    </row>
    <row r="62" spans="4:11" ht="19.5" hidden="1" customHeight="1" x14ac:dyDescent="0.25">
      <c r="D62" s="13">
        <v>56</v>
      </c>
      <c r="E62" s="262">
        <f>'🧾 Factura Comercial'!E62</f>
        <v>0</v>
      </c>
      <c r="F62" s="263">
        <f>'🧾 Factura Comercial'!G62</f>
        <v>0</v>
      </c>
      <c r="G62" s="264">
        <f>'🧾 Factura Comercial'!H62</f>
        <v>0</v>
      </c>
      <c r="H62" s="259">
        <f>'🧾 Factura Comercial'!I62</f>
        <v>0</v>
      </c>
      <c r="I62" s="298">
        <f>'🧾 Factura Comercial'!J62</f>
        <v>0</v>
      </c>
      <c r="J62" s="260">
        <f t="shared" si="0"/>
        <v>0</v>
      </c>
      <c r="K62" s="261">
        <f>J62*'📋 Datos Generales'!$E$19</f>
        <v>0</v>
      </c>
    </row>
    <row r="63" spans="4:11" ht="19.5" hidden="1" customHeight="1" x14ac:dyDescent="0.25">
      <c r="D63" s="13">
        <v>57</v>
      </c>
      <c r="E63" s="262">
        <f>'🧾 Factura Comercial'!E63</f>
        <v>0</v>
      </c>
      <c r="F63" s="263">
        <f>'🧾 Factura Comercial'!G63</f>
        <v>0</v>
      </c>
      <c r="G63" s="258">
        <f>'🧾 Factura Comercial'!H63</f>
        <v>0</v>
      </c>
      <c r="H63" s="265">
        <f>'🧾 Factura Comercial'!I63</f>
        <v>0</v>
      </c>
      <c r="I63" s="298">
        <f>'🧾 Factura Comercial'!J63</f>
        <v>0</v>
      </c>
      <c r="J63" s="260">
        <f t="shared" si="0"/>
        <v>0</v>
      </c>
      <c r="K63" s="261">
        <f>J63*'📋 Datos Generales'!$E$19</f>
        <v>0</v>
      </c>
    </row>
    <row r="64" spans="4:11" ht="19.5" hidden="1" customHeight="1" x14ac:dyDescent="0.25">
      <c r="D64" s="13">
        <v>58</v>
      </c>
      <c r="E64" s="262">
        <f>'🧾 Factura Comercial'!E64</f>
        <v>0</v>
      </c>
      <c r="F64" s="263">
        <f>'🧾 Factura Comercial'!G64</f>
        <v>0</v>
      </c>
      <c r="G64" s="264">
        <f>'🧾 Factura Comercial'!H64</f>
        <v>0</v>
      </c>
      <c r="H64" s="265">
        <f>'🧾 Factura Comercial'!I64</f>
        <v>0</v>
      </c>
      <c r="I64" s="298">
        <f>'🧾 Factura Comercial'!J64</f>
        <v>0</v>
      </c>
      <c r="J64" s="260">
        <f t="shared" si="0"/>
        <v>0</v>
      </c>
      <c r="K64" s="261">
        <f>J64*'📋 Datos Generales'!$E$19</f>
        <v>0</v>
      </c>
    </row>
    <row r="65" spans="4:11" ht="19.5" hidden="1" customHeight="1" x14ac:dyDescent="0.25">
      <c r="D65" s="13">
        <v>59</v>
      </c>
      <c r="E65" s="262">
        <f>'🧾 Factura Comercial'!E65</f>
        <v>0</v>
      </c>
      <c r="F65" s="263">
        <f>'🧾 Factura Comercial'!G65</f>
        <v>0</v>
      </c>
      <c r="G65" s="264">
        <f>'🧾 Factura Comercial'!H65</f>
        <v>0</v>
      </c>
      <c r="H65" s="265">
        <f>'🧾 Factura Comercial'!I65</f>
        <v>0</v>
      </c>
      <c r="I65" s="298">
        <f>'🧾 Factura Comercial'!J65</f>
        <v>0</v>
      </c>
      <c r="J65" s="260">
        <f t="shared" si="0"/>
        <v>0</v>
      </c>
      <c r="K65" s="261">
        <f>J65*'📋 Datos Generales'!$E$19</f>
        <v>0</v>
      </c>
    </row>
    <row r="66" spans="4:11" ht="19.5" hidden="1" customHeight="1" x14ac:dyDescent="0.25">
      <c r="D66" s="13">
        <v>60</v>
      </c>
      <c r="E66" s="262">
        <f>'🧾 Factura Comercial'!E66</f>
        <v>0</v>
      </c>
      <c r="F66" s="263">
        <f>'🧾 Factura Comercial'!G66</f>
        <v>0</v>
      </c>
      <c r="G66" s="264">
        <f>'🧾 Factura Comercial'!H66</f>
        <v>0</v>
      </c>
      <c r="H66" s="265">
        <f>'🧾 Factura Comercial'!I66</f>
        <v>0</v>
      </c>
      <c r="I66" s="298">
        <f>'🧾 Factura Comercial'!J66</f>
        <v>0</v>
      </c>
      <c r="J66" s="260">
        <f t="shared" si="0"/>
        <v>0</v>
      </c>
      <c r="K66" s="261">
        <f>J66*'📋 Datos Generales'!$E$19</f>
        <v>0</v>
      </c>
    </row>
    <row r="67" spans="4:11" ht="19.5" hidden="1" customHeight="1" x14ac:dyDescent="0.25">
      <c r="D67" s="13">
        <v>61</v>
      </c>
      <c r="E67" s="262">
        <f>'🧾 Factura Comercial'!E67</f>
        <v>0</v>
      </c>
      <c r="F67" s="263">
        <f>'🧾 Factura Comercial'!G67</f>
        <v>0</v>
      </c>
      <c r="G67" s="264">
        <f>'🧾 Factura Comercial'!H67</f>
        <v>0</v>
      </c>
      <c r="H67" s="259">
        <f>'🧾 Factura Comercial'!I67</f>
        <v>0</v>
      </c>
      <c r="I67" s="298">
        <f>'🧾 Factura Comercial'!J67</f>
        <v>0</v>
      </c>
      <c r="J67" s="260">
        <f t="shared" si="0"/>
        <v>0</v>
      </c>
      <c r="K67" s="261">
        <f>J67*'📋 Datos Generales'!$E$19</f>
        <v>0</v>
      </c>
    </row>
    <row r="68" spans="4:11" ht="19.5" hidden="1" customHeight="1" x14ac:dyDescent="0.25">
      <c r="D68" s="13">
        <v>62</v>
      </c>
      <c r="E68" s="262">
        <f>'🧾 Factura Comercial'!E68</f>
        <v>0</v>
      </c>
      <c r="F68" s="263">
        <f>'🧾 Factura Comercial'!G68</f>
        <v>0</v>
      </c>
      <c r="G68" s="264">
        <f>'🧾 Factura Comercial'!H68</f>
        <v>0</v>
      </c>
      <c r="H68" s="265">
        <f>'🧾 Factura Comercial'!I68</f>
        <v>0</v>
      </c>
      <c r="I68" s="298">
        <f>'🧾 Factura Comercial'!J68</f>
        <v>0</v>
      </c>
      <c r="J68" s="260">
        <f t="shared" si="0"/>
        <v>0</v>
      </c>
      <c r="K68" s="261">
        <f>J68*'📋 Datos Generales'!$E$19</f>
        <v>0</v>
      </c>
    </row>
    <row r="69" spans="4:11" ht="19.5" hidden="1" customHeight="1" x14ac:dyDescent="0.25">
      <c r="D69" s="13">
        <v>63</v>
      </c>
      <c r="E69" s="262">
        <f>'🧾 Factura Comercial'!E69</f>
        <v>0</v>
      </c>
      <c r="F69" s="263">
        <f>'🧾 Factura Comercial'!G69</f>
        <v>0</v>
      </c>
      <c r="G69" s="264">
        <f>'🧾 Factura Comercial'!H69</f>
        <v>0</v>
      </c>
      <c r="H69" s="265">
        <f>'🧾 Factura Comercial'!I69</f>
        <v>0</v>
      </c>
      <c r="I69" s="298">
        <f>'🧾 Factura Comercial'!J69</f>
        <v>0</v>
      </c>
      <c r="J69" s="260">
        <f t="shared" si="0"/>
        <v>0</v>
      </c>
      <c r="K69" s="261">
        <f>J69*'📋 Datos Generales'!$E$19</f>
        <v>0</v>
      </c>
    </row>
    <row r="70" spans="4:11" ht="19.5" hidden="1" customHeight="1" x14ac:dyDescent="0.25">
      <c r="D70" s="13">
        <v>64</v>
      </c>
      <c r="E70" s="256">
        <f>'🧾 Factura Comercial'!E70</f>
        <v>0</v>
      </c>
      <c r="F70" s="257">
        <f>'🧾 Factura Comercial'!G70</f>
        <v>0</v>
      </c>
      <c r="G70" s="258">
        <f>'🧾 Factura Comercial'!H70</f>
        <v>0</v>
      </c>
      <c r="H70" s="265">
        <f>'🧾 Factura Comercial'!I70</f>
        <v>0</v>
      </c>
      <c r="I70" s="298">
        <f>'🧾 Factura Comercial'!J70</f>
        <v>0</v>
      </c>
      <c r="J70" s="260">
        <f t="shared" si="0"/>
        <v>0</v>
      </c>
      <c r="K70" s="261">
        <f>J70*'📋 Datos Generales'!$E$19</f>
        <v>0</v>
      </c>
    </row>
    <row r="71" spans="4:11" ht="19.5" hidden="1" customHeight="1" x14ac:dyDescent="0.25">
      <c r="D71" s="13">
        <v>65</v>
      </c>
      <c r="E71" s="262">
        <f>'🧾 Factura Comercial'!E71</f>
        <v>0</v>
      </c>
      <c r="F71" s="263">
        <f>'🧾 Factura Comercial'!G71</f>
        <v>0</v>
      </c>
      <c r="G71" s="264">
        <f>'🧾 Factura Comercial'!H71</f>
        <v>0</v>
      </c>
      <c r="H71" s="265">
        <f>'🧾 Factura Comercial'!I71</f>
        <v>0</v>
      </c>
      <c r="I71" s="298">
        <f>'🧾 Factura Comercial'!J71</f>
        <v>0</v>
      </c>
      <c r="J71" s="260">
        <f t="shared" si="0"/>
        <v>0</v>
      </c>
      <c r="K71" s="261">
        <f>J71*'📋 Datos Generales'!$E$19</f>
        <v>0</v>
      </c>
    </row>
    <row r="72" spans="4:11" ht="19.5" hidden="1" customHeight="1" x14ac:dyDescent="0.25">
      <c r="D72" s="13">
        <v>66</v>
      </c>
      <c r="E72" s="262">
        <f>'🧾 Factura Comercial'!E72</f>
        <v>0</v>
      </c>
      <c r="F72" s="263">
        <f>'🧾 Factura Comercial'!G72</f>
        <v>0</v>
      </c>
      <c r="G72" s="264">
        <f>'🧾 Factura Comercial'!H72</f>
        <v>0</v>
      </c>
      <c r="H72" s="259">
        <f>'🧾 Factura Comercial'!I72</f>
        <v>0</v>
      </c>
      <c r="I72" s="298">
        <f>'🧾 Factura Comercial'!J72</f>
        <v>0</v>
      </c>
      <c r="J72" s="260">
        <f t="shared" ref="J72:J135" si="1">IF($G$5=0,0,$G$5*G72)</f>
        <v>0</v>
      </c>
      <c r="K72" s="261">
        <f>J72*'📋 Datos Generales'!$E$19</f>
        <v>0</v>
      </c>
    </row>
    <row r="73" spans="4:11" ht="19.5" hidden="1" customHeight="1" x14ac:dyDescent="0.25">
      <c r="D73" s="13">
        <v>67</v>
      </c>
      <c r="E73" s="262">
        <f>'🧾 Factura Comercial'!E73</f>
        <v>0</v>
      </c>
      <c r="F73" s="263">
        <f>'🧾 Factura Comercial'!G73</f>
        <v>0</v>
      </c>
      <c r="G73" s="264">
        <f>'🧾 Factura Comercial'!H73</f>
        <v>0</v>
      </c>
      <c r="H73" s="265">
        <f>'🧾 Factura Comercial'!I73</f>
        <v>0</v>
      </c>
      <c r="I73" s="298">
        <f>'🧾 Factura Comercial'!J73</f>
        <v>0</v>
      </c>
      <c r="J73" s="260">
        <f t="shared" si="1"/>
        <v>0</v>
      </c>
      <c r="K73" s="261">
        <f>J73*'📋 Datos Generales'!$E$19</f>
        <v>0</v>
      </c>
    </row>
    <row r="74" spans="4:11" ht="19.5" hidden="1" customHeight="1" x14ac:dyDescent="0.25">
      <c r="D74" s="13">
        <v>68</v>
      </c>
      <c r="E74" s="262">
        <f>'🧾 Factura Comercial'!E74</f>
        <v>0</v>
      </c>
      <c r="F74" s="263">
        <f>'🧾 Factura Comercial'!G74</f>
        <v>0</v>
      </c>
      <c r="G74" s="264">
        <f>'🧾 Factura Comercial'!H74</f>
        <v>0</v>
      </c>
      <c r="H74" s="265">
        <f>'🧾 Factura Comercial'!I74</f>
        <v>0</v>
      </c>
      <c r="I74" s="298">
        <f>'🧾 Factura Comercial'!J74</f>
        <v>0</v>
      </c>
      <c r="J74" s="260">
        <f t="shared" si="1"/>
        <v>0</v>
      </c>
      <c r="K74" s="261">
        <f>J74*'📋 Datos Generales'!$E$19</f>
        <v>0</v>
      </c>
    </row>
    <row r="75" spans="4:11" ht="19.5" hidden="1" customHeight="1" x14ac:dyDescent="0.25">
      <c r="D75" s="13">
        <v>69</v>
      </c>
      <c r="E75" s="262">
        <f>'🧾 Factura Comercial'!E75</f>
        <v>0</v>
      </c>
      <c r="F75" s="263">
        <f>'🧾 Factura Comercial'!G75</f>
        <v>0</v>
      </c>
      <c r="G75" s="264">
        <f>'🧾 Factura Comercial'!H75</f>
        <v>0</v>
      </c>
      <c r="H75" s="265">
        <f>'🧾 Factura Comercial'!I75</f>
        <v>0</v>
      </c>
      <c r="I75" s="298">
        <f>'🧾 Factura Comercial'!J75</f>
        <v>0</v>
      </c>
      <c r="J75" s="260">
        <f t="shared" si="1"/>
        <v>0</v>
      </c>
      <c r="K75" s="261">
        <f>J75*'📋 Datos Generales'!$E$19</f>
        <v>0</v>
      </c>
    </row>
    <row r="76" spans="4:11" ht="19.5" hidden="1" customHeight="1" x14ac:dyDescent="0.25">
      <c r="D76" s="13">
        <v>70</v>
      </c>
      <c r="E76" s="262">
        <f>'🧾 Factura Comercial'!E76</f>
        <v>0</v>
      </c>
      <c r="F76" s="263">
        <f>'🧾 Factura Comercial'!G76</f>
        <v>0</v>
      </c>
      <c r="G76" s="264">
        <f>'🧾 Factura Comercial'!H76</f>
        <v>0</v>
      </c>
      <c r="H76" s="265">
        <f>'🧾 Factura Comercial'!I76</f>
        <v>0</v>
      </c>
      <c r="I76" s="298">
        <f>'🧾 Factura Comercial'!J76</f>
        <v>0</v>
      </c>
      <c r="J76" s="260">
        <f t="shared" si="1"/>
        <v>0</v>
      </c>
      <c r="K76" s="261">
        <f>J76*'📋 Datos Generales'!$E$19</f>
        <v>0</v>
      </c>
    </row>
    <row r="77" spans="4:11" ht="19.5" hidden="1" customHeight="1" x14ac:dyDescent="0.25">
      <c r="D77" s="13">
        <v>71</v>
      </c>
      <c r="E77" s="262">
        <f>'🧾 Factura Comercial'!E77</f>
        <v>0</v>
      </c>
      <c r="F77" s="263">
        <f>'🧾 Factura Comercial'!G77</f>
        <v>0</v>
      </c>
      <c r="G77" s="258">
        <f>'🧾 Factura Comercial'!H77</f>
        <v>0</v>
      </c>
      <c r="H77" s="259">
        <f>'🧾 Factura Comercial'!I77</f>
        <v>0</v>
      </c>
      <c r="I77" s="298">
        <f>'🧾 Factura Comercial'!J77</f>
        <v>0</v>
      </c>
      <c r="J77" s="260">
        <f t="shared" si="1"/>
        <v>0</v>
      </c>
      <c r="K77" s="261">
        <f>J77*'📋 Datos Generales'!$E$19</f>
        <v>0</v>
      </c>
    </row>
    <row r="78" spans="4:11" ht="19.5" hidden="1" customHeight="1" x14ac:dyDescent="0.25">
      <c r="D78" s="13">
        <v>72</v>
      </c>
      <c r="E78" s="262">
        <f>'🧾 Factura Comercial'!E78</f>
        <v>0</v>
      </c>
      <c r="F78" s="263">
        <f>'🧾 Factura Comercial'!G78</f>
        <v>0</v>
      </c>
      <c r="G78" s="264">
        <f>'🧾 Factura Comercial'!H78</f>
        <v>0</v>
      </c>
      <c r="H78" s="265">
        <f>'🧾 Factura Comercial'!I78</f>
        <v>0</v>
      </c>
      <c r="I78" s="298">
        <f>'🧾 Factura Comercial'!J78</f>
        <v>0</v>
      </c>
      <c r="J78" s="260">
        <f t="shared" si="1"/>
        <v>0</v>
      </c>
      <c r="K78" s="261">
        <f>J78*'📋 Datos Generales'!$E$19</f>
        <v>0</v>
      </c>
    </row>
    <row r="79" spans="4:11" ht="19.5" hidden="1" customHeight="1" x14ac:dyDescent="0.25">
      <c r="D79" s="13">
        <v>73</v>
      </c>
      <c r="E79" s="256">
        <f>'🧾 Factura Comercial'!E79</f>
        <v>0</v>
      </c>
      <c r="F79" s="257">
        <f>'🧾 Factura Comercial'!G79</f>
        <v>0</v>
      </c>
      <c r="G79" s="264">
        <f>'🧾 Factura Comercial'!H79</f>
        <v>0</v>
      </c>
      <c r="H79" s="265">
        <f>'🧾 Factura Comercial'!I79</f>
        <v>0</v>
      </c>
      <c r="I79" s="298">
        <f>'🧾 Factura Comercial'!J79</f>
        <v>0</v>
      </c>
      <c r="J79" s="260">
        <f t="shared" si="1"/>
        <v>0</v>
      </c>
      <c r="K79" s="261">
        <f>J79*'📋 Datos Generales'!$E$19</f>
        <v>0</v>
      </c>
    </row>
    <row r="80" spans="4:11" ht="19.5" hidden="1" customHeight="1" x14ac:dyDescent="0.25">
      <c r="D80" s="13">
        <v>74</v>
      </c>
      <c r="E80" s="262">
        <f>'🧾 Factura Comercial'!E80</f>
        <v>0</v>
      </c>
      <c r="F80" s="263">
        <f>'🧾 Factura Comercial'!G80</f>
        <v>0</v>
      </c>
      <c r="G80" s="264">
        <f>'🧾 Factura Comercial'!H80</f>
        <v>0</v>
      </c>
      <c r="H80" s="265">
        <f>'🧾 Factura Comercial'!I80</f>
        <v>0</v>
      </c>
      <c r="I80" s="298">
        <f>'🧾 Factura Comercial'!J80</f>
        <v>0</v>
      </c>
      <c r="J80" s="260">
        <f t="shared" si="1"/>
        <v>0</v>
      </c>
      <c r="K80" s="261">
        <f>J80*'📋 Datos Generales'!$E$19</f>
        <v>0</v>
      </c>
    </row>
    <row r="81" spans="4:11" ht="19.5" hidden="1" customHeight="1" x14ac:dyDescent="0.25">
      <c r="D81" s="13">
        <v>75</v>
      </c>
      <c r="E81" s="262">
        <f>'🧾 Factura Comercial'!E81</f>
        <v>0</v>
      </c>
      <c r="F81" s="263">
        <f>'🧾 Factura Comercial'!G81</f>
        <v>0</v>
      </c>
      <c r="G81" s="264">
        <f>'🧾 Factura Comercial'!H81</f>
        <v>0</v>
      </c>
      <c r="H81" s="265">
        <f>'🧾 Factura Comercial'!I81</f>
        <v>0</v>
      </c>
      <c r="I81" s="298">
        <f>'🧾 Factura Comercial'!J81</f>
        <v>0</v>
      </c>
      <c r="J81" s="260">
        <f t="shared" si="1"/>
        <v>0</v>
      </c>
      <c r="K81" s="261">
        <f>J81*'📋 Datos Generales'!$E$19</f>
        <v>0</v>
      </c>
    </row>
    <row r="82" spans="4:11" ht="19.5" hidden="1" customHeight="1" x14ac:dyDescent="0.25">
      <c r="D82" s="13">
        <v>76</v>
      </c>
      <c r="E82" s="262">
        <f>'🧾 Factura Comercial'!E82</f>
        <v>0</v>
      </c>
      <c r="F82" s="263">
        <f>'🧾 Factura Comercial'!G82</f>
        <v>0</v>
      </c>
      <c r="G82" s="264">
        <f>'🧾 Factura Comercial'!H82</f>
        <v>0</v>
      </c>
      <c r="H82" s="259">
        <f>'🧾 Factura Comercial'!I82</f>
        <v>0</v>
      </c>
      <c r="I82" s="298">
        <f>'🧾 Factura Comercial'!J82</f>
        <v>0</v>
      </c>
      <c r="J82" s="260">
        <f t="shared" si="1"/>
        <v>0</v>
      </c>
      <c r="K82" s="261">
        <f>J82*'📋 Datos Generales'!$E$19</f>
        <v>0</v>
      </c>
    </row>
    <row r="83" spans="4:11" ht="19.5" hidden="1" customHeight="1" x14ac:dyDescent="0.25">
      <c r="D83" s="13">
        <v>77</v>
      </c>
      <c r="E83" s="262">
        <f>'🧾 Factura Comercial'!E83</f>
        <v>0</v>
      </c>
      <c r="F83" s="263">
        <f>'🧾 Factura Comercial'!G83</f>
        <v>0</v>
      </c>
      <c r="G83" s="264">
        <f>'🧾 Factura Comercial'!H83</f>
        <v>0</v>
      </c>
      <c r="H83" s="265">
        <f>'🧾 Factura Comercial'!I83</f>
        <v>0</v>
      </c>
      <c r="I83" s="298">
        <f>'🧾 Factura Comercial'!J83</f>
        <v>0</v>
      </c>
      <c r="J83" s="260">
        <f t="shared" si="1"/>
        <v>0</v>
      </c>
      <c r="K83" s="261">
        <f>J83*'📋 Datos Generales'!$E$19</f>
        <v>0</v>
      </c>
    </row>
    <row r="84" spans="4:11" ht="19.5" hidden="1" customHeight="1" x14ac:dyDescent="0.25">
      <c r="D84" s="13">
        <v>78</v>
      </c>
      <c r="E84" s="262">
        <f>'🧾 Factura Comercial'!E84</f>
        <v>0</v>
      </c>
      <c r="F84" s="263">
        <f>'🧾 Factura Comercial'!G84</f>
        <v>0</v>
      </c>
      <c r="G84" s="258">
        <f>'🧾 Factura Comercial'!H84</f>
        <v>0</v>
      </c>
      <c r="H84" s="265">
        <f>'🧾 Factura Comercial'!I84</f>
        <v>0</v>
      </c>
      <c r="I84" s="298">
        <f>'🧾 Factura Comercial'!J84</f>
        <v>0</v>
      </c>
      <c r="J84" s="260">
        <f t="shared" si="1"/>
        <v>0</v>
      </c>
      <c r="K84" s="261">
        <f>J84*'📋 Datos Generales'!$E$19</f>
        <v>0</v>
      </c>
    </row>
    <row r="85" spans="4:11" ht="19.5" hidden="1" customHeight="1" x14ac:dyDescent="0.25">
      <c r="D85" s="13">
        <v>79</v>
      </c>
      <c r="E85" s="262">
        <f>'🧾 Factura Comercial'!E85</f>
        <v>0</v>
      </c>
      <c r="F85" s="263">
        <f>'🧾 Factura Comercial'!G85</f>
        <v>0</v>
      </c>
      <c r="G85" s="264">
        <f>'🧾 Factura Comercial'!H85</f>
        <v>0</v>
      </c>
      <c r="H85" s="265">
        <f>'🧾 Factura Comercial'!I85</f>
        <v>0</v>
      </c>
      <c r="I85" s="298">
        <f>'🧾 Factura Comercial'!J85</f>
        <v>0</v>
      </c>
      <c r="J85" s="260">
        <f t="shared" si="1"/>
        <v>0</v>
      </c>
      <c r="K85" s="261">
        <f>J85*'📋 Datos Generales'!$E$19</f>
        <v>0</v>
      </c>
    </row>
    <row r="86" spans="4:11" ht="19.5" hidden="1" customHeight="1" x14ac:dyDescent="0.25">
      <c r="D86" s="13">
        <v>80</v>
      </c>
      <c r="E86" s="262">
        <f>'🧾 Factura Comercial'!E86</f>
        <v>0</v>
      </c>
      <c r="F86" s="263">
        <f>'🧾 Factura Comercial'!G86</f>
        <v>0</v>
      </c>
      <c r="G86" s="264">
        <f>'🧾 Factura Comercial'!H86</f>
        <v>0</v>
      </c>
      <c r="H86" s="265">
        <f>'🧾 Factura Comercial'!I86</f>
        <v>0</v>
      </c>
      <c r="I86" s="298">
        <f>'🧾 Factura Comercial'!J86</f>
        <v>0</v>
      </c>
      <c r="J86" s="260">
        <f t="shared" si="1"/>
        <v>0</v>
      </c>
      <c r="K86" s="261">
        <f>J86*'📋 Datos Generales'!$E$19</f>
        <v>0</v>
      </c>
    </row>
    <row r="87" spans="4:11" ht="19.5" hidden="1" customHeight="1" x14ac:dyDescent="0.25">
      <c r="D87" s="13">
        <v>81</v>
      </c>
      <c r="E87" s="262">
        <f>'🧾 Factura Comercial'!E87</f>
        <v>0</v>
      </c>
      <c r="F87" s="263">
        <f>'🧾 Factura Comercial'!G87</f>
        <v>0</v>
      </c>
      <c r="G87" s="264">
        <f>'🧾 Factura Comercial'!H87</f>
        <v>0</v>
      </c>
      <c r="H87" s="259">
        <f>'🧾 Factura Comercial'!I87</f>
        <v>0</v>
      </c>
      <c r="I87" s="298">
        <f>'🧾 Factura Comercial'!J87</f>
        <v>0</v>
      </c>
      <c r="J87" s="260">
        <f t="shared" si="1"/>
        <v>0</v>
      </c>
      <c r="K87" s="261">
        <f>J87*'📋 Datos Generales'!$E$19</f>
        <v>0</v>
      </c>
    </row>
    <row r="88" spans="4:11" ht="19.5" hidden="1" customHeight="1" x14ac:dyDescent="0.25">
      <c r="D88" s="13">
        <v>82</v>
      </c>
      <c r="E88" s="256">
        <f>'🧾 Factura Comercial'!E88</f>
        <v>0</v>
      </c>
      <c r="F88" s="257">
        <f>'🧾 Factura Comercial'!G88</f>
        <v>0</v>
      </c>
      <c r="G88" s="264">
        <f>'🧾 Factura Comercial'!H88</f>
        <v>0</v>
      </c>
      <c r="H88" s="265">
        <f>'🧾 Factura Comercial'!I88</f>
        <v>0</v>
      </c>
      <c r="I88" s="298">
        <f>'🧾 Factura Comercial'!J88</f>
        <v>0</v>
      </c>
      <c r="J88" s="260">
        <f t="shared" si="1"/>
        <v>0</v>
      </c>
      <c r="K88" s="261">
        <f>J88*'📋 Datos Generales'!$E$19</f>
        <v>0</v>
      </c>
    </row>
    <row r="89" spans="4:11" ht="19.5" hidden="1" customHeight="1" x14ac:dyDescent="0.25">
      <c r="D89" s="13">
        <v>83</v>
      </c>
      <c r="E89" s="262">
        <f>'🧾 Factura Comercial'!E89</f>
        <v>0</v>
      </c>
      <c r="F89" s="263">
        <f>'🧾 Factura Comercial'!G89</f>
        <v>0</v>
      </c>
      <c r="G89" s="264">
        <f>'🧾 Factura Comercial'!H89</f>
        <v>0</v>
      </c>
      <c r="H89" s="265">
        <f>'🧾 Factura Comercial'!I89</f>
        <v>0</v>
      </c>
      <c r="I89" s="298">
        <f>'🧾 Factura Comercial'!J89</f>
        <v>0</v>
      </c>
      <c r="J89" s="260">
        <f t="shared" si="1"/>
        <v>0</v>
      </c>
      <c r="K89" s="261">
        <f>J89*'📋 Datos Generales'!$E$19</f>
        <v>0</v>
      </c>
    </row>
    <row r="90" spans="4:11" ht="19.5" hidden="1" customHeight="1" x14ac:dyDescent="0.25">
      <c r="D90" s="13">
        <v>84</v>
      </c>
      <c r="E90" s="262">
        <f>'🧾 Factura Comercial'!E90</f>
        <v>0</v>
      </c>
      <c r="F90" s="263">
        <f>'🧾 Factura Comercial'!G90</f>
        <v>0</v>
      </c>
      <c r="G90" s="264">
        <f>'🧾 Factura Comercial'!H90</f>
        <v>0</v>
      </c>
      <c r="H90" s="265">
        <f>'🧾 Factura Comercial'!I90</f>
        <v>0</v>
      </c>
      <c r="I90" s="298">
        <f>'🧾 Factura Comercial'!J90</f>
        <v>0</v>
      </c>
      <c r="J90" s="260">
        <f t="shared" si="1"/>
        <v>0</v>
      </c>
      <c r="K90" s="261">
        <f>J90*'📋 Datos Generales'!$E$19</f>
        <v>0</v>
      </c>
    </row>
    <row r="91" spans="4:11" ht="19.5" hidden="1" customHeight="1" x14ac:dyDescent="0.25">
      <c r="D91" s="13">
        <v>85</v>
      </c>
      <c r="E91" s="262">
        <f>'🧾 Factura Comercial'!E91</f>
        <v>0</v>
      </c>
      <c r="F91" s="263">
        <f>'🧾 Factura Comercial'!G91</f>
        <v>0</v>
      </c>
      <c r="G91" s="258">
        <f>'🧾 Factura Comercial'!H91</f>
        <v>0</v>
      </c>
      <c r="H91" s="265">
        <f>'🧾 Factura Comercial'!I91</f>
        <v>0</v>
      </c>
      <c r="I91" s="298">
        <f>'🧾 Factura Comercial'!J91</f>
        <v>0</v>
      </c>
      <c r="J91" s="260">
        <f t="shared" si="1"/>
        <v>0</v>
      </c>
      <c r="K91" s="261">
        <f>J91*'📋 Datos Generales'!$E$19</f>
        <v>0</v>
      </c>
    </row>
    <row r="92" spans="4:11" ht="19.5" hidden="1" customHeight="1" x14ac:dyDescent="0.25">
      <c r="D92" s="13">
        <v>86</v>
      </c>
      <c r="E92" s="262">
        <f>'🧾 Factura Comercial'!E92</f>
        <v>0</v>
      </c>
      <c r="F92" s="263">
        <f>'🧾 Factura Comercial'!G92</f>
        <v>0</v>
      </c>
      <c r="G92" s="264">
        <f>'🧾 Factura Comercial'!H92</f>
        <v>0</v>
      </c>
      <c r="H92" s="259">
        <f>'🧾 Factura Comercial'!I92</f>
        <v>0</v>
      </c>
      <c r="I92" s="298">
        <f>'🧾 Factura Comercial'!J92</f>
        <v>0</v>
      </c>
      <c r="J92" s="260">
        <f t="shared" si="1"/>
        <v>0</v>
      </c>
      <c r="K92" s="261">
        <f>J92*'📋 Datos Generales'!$E$19</f>
        <v>0</v>
      </c>
    </row>
    <row r="93" spans="4:11" ht="19.5" hidden="1" customHeight="1" x14ac:dyDescent="0.25">
      <c r="D93" s="13">
        <v>87</v>
      </c>
      <c r="E93" s="262">
        <f>'🧾 Factura Comercial'!E93</f>
        <v>0</v>
      </c>
      <c r="F93" s="263">
        <f>'🧾 Factura Comercial'!G93</f>
        <v>0</v>
      </c>
      <c r="G93" s="264">
        <f>'🧾 Factura Comercial'!H93</f>
        <v>0</v>
      </c>
      <c r="H93" s="265">
        <f>'🧾 Factura Comercial'!I93</f>
        <v>0</v>
      </c>
      <c r="I93" s="298">
        <f>'🧾 Factura Comercial'!J93</f>
        <v>0</v>
      </c>
      <c r="J93" s="260">
        <f t="shared" si="1"/>
        <v>0</v>
      </c>
      <c r="K93" s="261">
        <f>J93*'📋 Datos Generales'!$E$19</f>
        <v>0</v>
      </c>
    </row>
    <row r="94" spans="4:11" ht="19.5" hidden="1" customHeight="1" x14ac:dyDescent="0.25">
      <c r="D94" s="13">
        <v>88</v>
      </c>
      <c r="E94" s="262">
        <f>'🧾 Factura Comercial'!E94</f>
        <v>0</v>
      </c>
      <c r="F94" s="263">
        <f>'🧾 Factura Comercial'!G94</f>
        <v>0</v>
      </c>
      <c r="G94" s="264">
        <f>'🧾 Factura Comercial'!H94</f>
        <v>0</v>
      </c>
      <c r="H94" s="265">
        <f>'🧾 Factura Comercial'!I94</f>
        <v>0</v>
      </c>
      <c r="I94" s="298">
        <f>'🧾 Factura Comercial'!J94</f>
        <v>0</v>
      </c>
      <c r="J94" s="260">
        <f t="shared" si="1"/>
        <v>0</v>
      </c>
      <c r="K94" s="261">
        <f>J94*'📋 Datos Generales'!$E$19</f>
        <v>0</v>
      </c>
    </row>
    <row r="95" spans="4:11" ht="19.5" hidden="1" customHeight="1" x14ac:dyDescent="0.25">
      <c r="D95" s="13">
        <v>89</v>
      </c>
      <c r="E95" s="262">
        <f>'🧾 Factura Comercial'!E95</f>
        <v>0</v>
      </c>
      <c r="F95" s="263">
        <f>'🧾 Factura Comercial'!G95</f>
        <v>0</v>
      </c>
      <c r="G95" s="264">
        <f>'🧾 Factura Comercial'!H95</f>
        <v>0</v>
      </c>
      <c r="H95" s="265">
        <f>'🧾 Factura Comercial'!I95</f>
        <v>0</v>
      </c>
      <c r="I95" s="298">
        <f>'🧾 Factura Comercial'!J95</f>
        <v>0</v>
      </c>
      <c r="J95" s="260">
        <f t="shared" si="1"/>
        <v>0</v>
      </c>
      <c r="K95" s="261">
        <f>J95*'📋 Datos Generales'!$E$19</f>
        <v>0</v>
      </c>
    </row>
    <row r="96" spans="4:11" ht="19.5" hidden="1" customHeight="1" x14ac:dyDescent="0.25">
      <c r="D96" s="13">
        <v>90</v>
      </c>
      <c r="E96" s="262">
        <f>'🧾 Factura Comercial'!E96</f>
        <v>0</v>
      </c>
      <c r="F96" s="263">
        <f>'🧾 Factura Comercial'!G96</f>
        <v>0</v>
      </c>
      <c r="G96" s="264">
        <f>'🧾 Factura Comercial'!H96</f>
        <v>0</v>
      </c>
      <c r="H96" s="265">
        <f>'🧾 Factura Comercial'!I96</f>
        <v>0</v>
      </c>
      <c r="I96" s="298">
        <f>'🧾 Factura Comercial'!J96</f>
        <v>0</v>
      </c>
      <c r="J96" s="260">
        <f t="shared" si="1"/>
        <v>0</v>
      </c>
      <c r="K96" s="261">
        <f>J96*'📋 Datos Generales'!$E$19</f>
        <v>0</v>
      </c>
    </row>
    <row r="97" spans="4:11" ht="19.5" hidden="1" customHeight="1" x14ac:dyDescent="0.25">
      <c r="D97" s="13">
        <v>91</v>
      </c>
      <c r="E97" s="256">
        <f>'🧾 Factura Comercial'!E97</f>
        <v>0</v>
      </c>
      <c r="F97" s="257">
        <f>'🧾 Factura Comercial'!G97</f>
        <v>0</v>
      </c>
      <c r="G97" s="264">
        <f>'🧾 Factura Comercial'!H97</f>
        <v>0</v>
      </c>
      <c r="H97" s="259">
        <f>'🧾 Factura Comercial'!I97</f>
        <v>0</v>
      </c>
      <c r="I97" s="298">
        <f>'🧾 Factura Comercial'!J97</f>
        <v>0</v>
      </c>
      <c r="J97" s="260">
        <f t="shared" si="1"/>
        <v>0</v>
      </c>
      <c r="K97" s="261">
        <f>J97*'📋 Datos Generales'!$E$19</f>
        <v>0</v>
      </c>
    </row>
    <row r="98" spans="4:11" ht="19.5" hidden="1" customHeight="1" x14ac:dyDescent="0.25">
      <c r="D98" s="13">
        <v>92</v>
      </c>
      <c r="E98" s="262">
        <f>'🧾 Factura Comercial'!E98</f>
        <v>0</v>
      </c>
      <c r="F98" s="263">
        <f>'🧾 Factura Comercial'!G98</f>
        <v>0</v>
      </c>
      <c r="G98" s="258">
        <f>'🧾 Factura Comercial'!H98</f>
        <v>0</v>
      </c>
      <c r="H98" s="265">
        <f>'🧾 Factura Comercial'!I98</f>
        <v>0</v>
      </c>
      <c r="I98" s="298">
        <f>'🧾 Factura Comercial'!J98</f>
        <v>0</v>
      </c>
      <c r="J98" s="260">
        <f t="shared" si="1"/>
        <v>0</v>
      </c>
      <c r="K98" s="261">
        <f>J98*'📋 Datos Generales'!$E$19</f>
        <v>0</v>
      </c>
    </row>
    <row r="99" spans="4:11" ht="19.5" hidden="1" customHeight="1" x14ac:dyDescent="0.25">
      <c r="D99" s="13">
        <v>93</v>
      </c>
      <c r="E99" s="262">
        <f>'🧾 Factura Comercial'!E99</f>
        <v>0</v>
      </c>
      <c r="F99" s="263">
        <f>'🧾 Factura Comercial'!G99</f>
        <v>0</v>
      </c>
      <c r="G99" s="264">
        <f>'🧾 Factura Comercial'!H99</f>
        <v>0</v>
      </c>
      <c r="H99" s="265">
        <f>'🧾 Factura Comercial'!I99</f>
        <v>0</v>
      </c>
      <c r="I99" s="298">
        <f>'🧾 Factura Comercial'!J99</f>
        <v>0</v>
      </c>
      <c r="J99" s="260">
        <f t="shared" si="1"/>
        <v>0</v>
      </c>
      <c r="K99" s="261">
        <f>J99*'📋 Datos Generales'!$E$19</f>
        <v>0</v>
      </c>
    </row>
    <row r="100" spans="4:11" ht="19.5" hidden="1" customHeight="1" x14ac:dyDescent="0.25">
      <c r="D100" s="13">
        <v>94</v>
      </c>
      <c r="E100" s="262">
        <f>'🧾 Factura Comercial'!E100</f>
        <v>0</v>
      </c>
      <c r="F100" s="263">
        <f>'🧾 Factura Comercial'!G100</f>
        <v>0</v>
      </c>
      <c r="G100" s="264">
        <f>'🧾 Factura Comercial'!H100</f>
        <v>0</v>
      </c>
      <c r="H100" s="265">
        <f>'🧾 Factura Comercial'!I100</f>
        <v>0</v>
      </c>
      <c r="I100" s="298">
        <f>'🧾 Factura Comercial'!J100</f>
        <v>0</v>
      </c>
      <c r="J100" s="260">
        <f t="shared" si="1"/>
        <v>0</v>
      </c>
      <c r="K100" s="261">
        <f>J100*'📋 Datos Generales'!$E$19</f>
        <v>0</v>
      </c>
    </row>
    <row r="101" spans="4:11" ht="19.5" hidden="1" customHeight="1" x14ac:dyDescent="0.25">
      <c r="D101" s="13">
        <v>95</v>
      </c>
      <c r="E101" s="262">
        <f>'🧾 Factura Comercial'!E101</f>
        <v>0</v>
      </c>
      <c r="F101" s="263">
        <f>'🧾 Factura Comercial'!G101</f>
        <v>0</v>
      </c>
      <c r="G101" s="264">
        <f>'🧾 Factura Comercial'!H101</f>
        <v>0</v>
      </c>
      <c r="H101" s="265">
        <f>'🧾 Factura Comercial'!I101</f>
        <v>0</v>
      </c>
      <c r="I101" s="298">
        <f>'🧾 Factura Comercial'!J101</f>
        <v>0</v>
      </c>
      <c r="J101" s="260">
        <f t="shared" si="1"/>
        <v>0</v>
      </c>
      <c r="K101" s="261">
        <f>J101*'📋 Datos Generales'!$E$19</f>
        <v>0</v>
      </c>
    </row>
    <row r="102" spans="4:11" ht="19.5" hidden="1" customHeight="1" x14ac:dyDescent="0.25">
      <c r="D102" s="13">
        <v>96</v>
      </c>
      <c r="E102" s="262">
        <f>'🧾 Factura Comercial'!E102</f>
        <v>0</v>
      </c>
      <c r="F102" s="263">
        <f>'🧾 Factura Comercial'!G102</f>
        <v>0</v>
      </c>
      <c r="G102" s="264">
        <f>'🧾 Factura Comercial'!H102</f>
        <v>0</v>
      </c>
      <c r="H102" s="259">
        <f>'🧾 Factura Comercial'!I102</f>
        <v>0</v>
      </c>
      <c r="I102" s="298">
        <f>'🧾 Factura Comercial'!J102</f>
        <v>0</v>
      </c>
      <c r="J102" s="260">
        <f t="shared" si="1"/>
        <v>0</v>
      </c>
      <c r="K102" s="261">
        <f>J102*'📋 Datos Generales'!$E$19</f>
        <v>0</v>
      </c>
    </row>
    <row r="103" spans="4:11" ht="19.5" hidden="1" customHeight="1" x14ac:dyDescent="0.25">
      <c r="D103" s="13">
        <v>97</v>
      </c>
      <c r="E103" s="262">
        <f>'🧾 Factura Comercial'!E103</f>
        <v>0</v>
      </c>
      <c r="F103" s="263">
        <f>'🧾 Factura Comercial'!G103</f>
        <v>0</v>
      </c>
      <c r="G103" s="264">
        <f>'🧾 Factura Comercial'!H103</f>
        <v>0</v>
      </c>
      <c r="H103" s="265">
        <f>'🧾 Factura Comercial'!I103</f>
        <v>0</v>
      </c>
      <c r="I103" s="298">
        <f>'🧾 Factura Comercial'!J103</f>
        <v>0</v>
      </c>
      <c r="J103" s="260">
        <f t="shared" si="1"/>
        <v>0</v>
      </c>
      <c r="K103" s="261">
        <f>J103*'📋 Datos Generales'!$E$19</f>
        <v>0</v>
      </c>
    </row>
    <row r="104" spans="4:11" ht="19.5" hidden="1" customHeight="1" x14ac:dyDescent="0.25">
      <c r="D104" s="13">
        <v>98</v>
      </c>
      <c r="E104" s="262">
        <f>'🧾 Factura Comercial'!E104</f>
        <v>0</v>
      </c>
      <c r="F104" s="263">
        <f>'🧾 Factura Comercial'!G104</f>
        <v>0</v>
      </c>
      <c r="G104" s="264">
        <f>'🧾 Factura Comercial'!H104</f>
        <v>0</v>
      </c>
      <c r="H104" s="265">
        <f>'🧾 Factura Comercial'!I104</f>
        <v>0</v>
      </c>
      <c r="I104" s="298">
        <f>'🧾 Factura Comercial'!J104</f>
        <v>0</v>
      </c>
      <c r="J104" s="260">
        <f t="shared" si="1"/>
        <v>0</v>
      </c>
      <c r="K104" s="261">
        <f>J104*'📋 Datos Generales'!$E$19</f>
        <v>0</v>
      </c>
    </row>
    <row r="105" spans="4:11" ht="19.5" hidden="1" customHeight="1" x14ac:dyDescent="0.25">
      <c r="D105" s="13">
        <v>99</v>
      </c>
      <c r="E105" s="262">
        <f>'🧾 Factura Comercial'!E105</f>
        <v>0</v>
      </c>
      <c r="F105" s="263">
        <f>'🧾 Factura Comercial'!G105</f>
        <v>0</v>
      </c>
      <c r="G105" s="258">
        <f>'🧾 Factura Comercial'!H105</f>
        <v>0</v>
      </c>
      <c r="H105" s="265">
        <f>'🧾 Factura Comercial'!I105</f>
        <v>0</v>
      </c>
      <c r="I105" s="298">
        <f>'🧾 Factura Comercial'!J105</f>
        <v>0</v>
      </c>
      <c r="J105" s="260">
        <f t="shared" si="1"/>
        <v>0</v>
      </c>
      <c r="K105" s="261">
        <f>J105*'📋 Datos Generales'!$E$19</f>
        <v>0</v>
      </c>
    </row>
    <row r="106" spans="4:11" ht="19.5" hidden="1" customHeight="1" x14ac:dyDescent="0.25">
      <c r="D106" s="13">
        <v>100</v>
      </c>
      <c r="E106" s="256">
        <f>'🧾 Factura Comercial'!E106</f>
        <v>0</v>
      </c>
      <c r="F106" s="257">
        <f>'🧾 Factura Comercial'!G106</f>
        <v>0</v>
      </c>
      <c r="G106" s="264">
        <f>'🧾 Factura Comercial'!H106</f>
        <v>0</v>
      </c>
      <c r="H106" s="265">
        <f>'🧾 Factura Comercial'!I106</f>
        <v>0</v>
      </c>
      <c r="I106" s="298">
        <f>'🧾 Factura Comercial'!J106</f>
        <v>0</v>
      </c>
      <c r="J106" s="260">
        <f t="shared" si="1"/>
        <v>0</v>
      </c>
      <c r="K106" s="261">
        <f>J106*'📋 Datos Generales'!$E$19</f>
        <v>0</v>
      </c>
    </row>
    <row r="107" spans="4:11" ht="19.5" hidden="1" customHeight="1" x14ac:dyDescent="0.25">
      <c r="D107" s="13">
        <v>101</v>
      </c>
      <c r="E107" s="262">
        <f>'🧾 Factura Comercial'!E107</f>
        <v>0</v>
      </c>
      <c r="F107" s="263">
        <f>'🧾 Factura Comercial'!G107</f>
        <v>0</v>
      </c>
      <c r="G107" s="264">
        <f>'🧾 Factura Comercial'!H107</f>
        <v>0</v>
      </c>
      <c r="H107" s="259">
        <f>'🧾 Factura Comercial'!I107</f>
        <v>0</v>
      </c>
      <c r="I107" s="298">
        <f>'🧾 Factura Comercial'!J107</f>
        <v>0</v>
      </c>
      <c r="J107" s="260">
        <f t="shared" si="1"/>
        <v>0</v>
      </c>
      <c r="K107" s="261">
        <f>J107*'📋 Datos Generales'!$E$19</f>
        <v>0</v>
      </c>
    </row>
    <row r="108" spans="4:11" ht="19.5" hidden="1" customHeight="1" x14ac:dyDescent="0.25">
      <c r="D108" s="13">
        <v>102</v>
      </c>
      <c r="E108" s="262">
        <f>'🧾 Factura Comercial'!E108</f>
        <v>0</v>
      </c>
      <c r="F108" s="263">
        <f>'🧾 Factura Comercial'!G108</f>
        <v>0</v>
      </c>
      <c r="G108" s="264">
        <f>'🧾 Factura Comercial'!H108</f>
        <v>0</v>
      </c>
      <c r="H108" s="265">
        <f>'🧾 Factura Comercial'!I108</f>
        <v>0</v>
      </c>
      <c r="I108" s="298">
        <f>'🧾 Factura Comercial'!J108</f>
        <v>0</v>
      </c>
      <c r="J108" s="260">
        <f t="shared" si="1"/>
        <v>0</v>
      </c>
      <c r="K108" s="261">
        <f>J108*'📋 Datos Generales'!$E$19</f>
        <v>0</v>
      </c>
    </row>
    <row r="109" spans="4:11" ht="19.5" hidden="1" customHeight="1" x14ac:dyDescent="0.25">
      <c r="D109" s="13">
        <v>103</v>
      </c>
      <c r="E109" s="262">
        <f>'🧾 Factura Comercial'!E109</f>
        <v>0</v>
      </c>
      <c r="F109" s="263">
        <f>'🧾 Factura Comercial'!G109</f>
        <v>0</v>
      </c>
      <c r="G109" s="264">
        <f>'🧾 Factura Comercial'!H109</f>
        <v>0</v>
      </c>
      <c r="H109" s="265">
        <f>'🧾 Factura Comercial'!I109</f>
        <v>0</v>
      </c>
      <c r="I109" s="298">
        <f>'🧾 Factura Comercial'!J109</f>
        <v>0</v>
      </c>
      <c r="J109" s="260">
        <f t="shared" si="1"/>
        <v>0</v>
      </c>
      <c r="K109" s="261">
        <f>J109*'📋 Datos Generales'!$E$19</f>
        <v>0</v>
      </c>
    </row>
    <row r="110" spans="4:11" ht="19.5" hidden="1" customHeight="1" x14ac:dyDescent="0.25">
      <c r="D110" s="13">
        <v>104</v>
      </c>
      <c r="E110" s="262">
        <f>'🧾 Factura Comercial'!E110</f>
        <v>0</v>
      </c>
      <c r="F110" s="263">
        <f>'🧾 Factura Comercial'!G110</f>
        <v>0</v>
      </c>
      <c r="G110" s="264">
        <f>'🧾 Factura Comercial'!H110</f>
        <v>0</v>
      </c>
      <c r="H110" s="265">
        <f>'🧾 Factura Comercial'!I110</f>
        <v>0</v>
      </c>
      <c r="I110" s="298">
        <f>'🧾 Factura Comercial'!J110</f>
        <v>0</v>
      </c>
      <c r="J110" s="260">
        <f t="shared" si="1"/>
        <v>0</v>
      </c>
      <c r="K110" s="261">
        <f>J110*'📋 Datos Generales'!$E$19</f>
        <v>0</v>
      </c>
    </row>
    <row r="111" spans="4:11" ht="19.5" hidden="1" customHeight="1" x14ac:dyDescent="0.25">
      <c r="D111" s="13">
        <v>105</v>
      </c>
      <c r="E111" s="262">
        <f>'🧾 Factura Comercial'!E111</f>
        <v>0</v>
      </c>
      <c r="F111" s="263">
        <f>'🧾 Factura Comercial'!G111</f>
        <v>0</v>
      </c>
      <c r="G111" s="264">
        <f>'🧾 Factura Comercial'!H111</f>
        <v>0</v>
      </c>
      <c r="H111" s="265">
        <f>'🧾 Factura Comercial'!I111</f>
        <v>0</v>
      </c>
      <c r="I111" s="298">
        <f>'🧾 Factura Comercial'!J111</f>
        <v>0</v>
      </c>
      <c r="J111" s="260">
        <f t="shared" si="1"/>
        <v>0</v>
      </c>
      <c r="K111" s="261">
        <f>J111*'📋 Datos Generales'!$E$19</f>
        <v>0</v>
      </c>
    </row>
    <row r="112" spans="4:11" ht="19.5" hidden="1" customHeight="1" x14ac:dyDescent="0.25">
      <c r="D112" s="13">
        <v>106</v>
      </c>
      <c r="E112" s="262">
        <f>'🧾 Factura Comercial'!E112</f>
        <v>0</v>
      </c>
      <c r="F112" s="263">
        <f>'🧾 Factura Comercial'!G112</f>
        <v>0</v>
      </c>
      <c r="G112" s="258">
        <f>'🧾 Factura Comercial'!H112</f>
        <v>0</v>
      </c>
      <c r="H112" s="259">
        <f>'🧾 Factura Comercial'!I112</f>
        <v>0</v>
      </c>
      <c r="I112" s="298">
        <f>'🧾 Factura Comercial'!J112</f>
        <v>0</v>
      </c>
      <c r="J112" s="260">
        <f t="shared" si="1"/>
        <v>0</v>
      </c>
      <c r="K112" s="261">
        <f>J112*'📋 Datos Generales'!$E$19</f>
        <v>0</v>
      </c>
    </row>
    <row r="113" spans="4:11" ht="19.5" hidden="1" customHeight="1" x14ac:dyDescent="0.25">
      <c r="D113" s="13">
        <v>107</v>
      </c>
      <c r="E113" s="262">
        <f>'🧾 Factura Comercial'!E113</f>
        <v>0</v>
      </c>
      <c r="F113" s="263">
        <f>'🧾 Factura Comercial'!G113</f>
        <v>0</v>
      </c>
      <c r="G113" s="264">
        <f>'🧾 Factura Comercial'!H113</f>
        <v>0</v>
      </c>
      <c r="H113" s="265">
        <f>'🧾 Factura Comercial'!I113</f>
        <v>0</v>
      </c>
      <c r="I113" s="298">
        <f>'🧾 Factura Comercial'!J113</f>
        <v>0</v>
      </c>
      <c r="J113" s="260">
        <f t="shared" si="1"/>
        <v>0</v>
      </c>
      <c r="K113" s="261">
        <f>J113*'📋 Datos Generales'!$E$19</f>
        <v>0</v>
      </c>
    </row>
    <row r="114" spans="4:11" ht="19.5" hidden="1" customHeight="1" x14ac:dyDescent="0.25">
      <c r="D114" s="13">
        <v>108</v>
      </c>
      <c r="E114" s="262">
        <f>'🧾 Factura Comercial'!E114</f>
        <v>0</v>
      </c>
      <c r="F114" s="263">
        <f>'🧾 Factura Comercial'!G114</f>
        <v>0</v>
      </c>
      <c r="G114" s="264">
        <f>'🧾 Factura Comercial'!H114</f>
        <v>0</v>
      </c>
      <c r="H114" s="265">
        <f>'🧾 Factura Comercial'!I114</f>
        <v>0</v>
      </c>
      <c r="I114" s="298">
        <f>'🧾 Factura Comercial'!J114</f>
        <v>0</v>
      </c>
      <c r="J114" s="260">
        <f t="shared" si="1"/>
        <v>0</v>
      </c>
      <c r="K114" s="261">
        <f>J114*'📋 Datos Generales'!$E$19</f>
        <v>0</v>
      </c>
    </row>
    <row r="115" spans="4:11" ht="19.5" hidden="1" customHeight="1" x14ac:dyDescent="0.25">
      <c r="D115" s="13">
        <v>109</v>
      </c>
      <c r="E115" s="256">
        <f>'🧾 Factura Comercial'!E115</f>
        <v>0</v>
      </c>
      <c r="F115" s="257">
        <f>'🧾 Factura Comercial'!G115</f>
        <v>0</v>
      </c>
      <c r="G115" s="264">
        <f>'🧾 Factura Comercial'!H115</f>
        <v>0</v>
      </c>
      <c r="H115" s="265">
        <f>'🧾 Factura Comercial'!I115</f>
        <v>0</v>
      </c>
      <c r="I115" s="298">
        <f>'🧾 Factura Comercial'!J115</f>
        <v>0</v>
      </c>
      <c r="J115" s="260">
        <f t="shared" si="1"/>
        <v>0</v>
      </c>
      <c r="K115" s="261">
        <f>J115*'📋 Datos Generales'!$E$19</f>
        <v>0</v>
      </c>
    </row>
    <row r="116" spans="4:11" ht="19.5" hidden="1" customHeight="1" x14ac:dyDescent="0.25">
      <c r="D116" s="13">
        <v>110</v>
      </c>
      <c r="E116" s="262">
        <f>'🧾 Factura Comercial'!E116</f>
        <v>0</v>
      </c>
      <c r="F116" s="263">
        <f>'🧾 Factura Comercial'!G116</f>
        <v>0</v>
      </c>
      <c r="G116" s="264">
        <f>'🧾 Factura Comercial'!H116</f>
        <v>0</v>
      </c>
      <c r="H116" s="265">
        <f>'🧾 Factura Comercial'!I116</f>
        <v>0</v>
      </c>
      <c r="I116" s="298">
        <f>'🧾 Factura Comercial'!J116</f>
        <v>0</v>
      </c>
      <c r="J116" s="260">
        <f t="shared" si="1"/>
        <v>0</v>
      </c>
      <c r="K116" s="261">
        <f>J116*'📋 Datos Generales'!$E$19</f>
        <v>0</v>
      </c>
    </row>
    <row r="117" spans="4:11" ht="19.5" hidden="1" customHeight="1" x14ac:dyDescent="0.25">
      <c r="D117" s="13">
        <v>111</v>
      </c>
      <c r="E117" s="262">
        <f>'🧾 Factura Comercial'!E117</f>
        <v>0</v>
      </c>
      <c r="F117" s="263">
        <f>'🧾 Factura Comercial'!G117</f>
        <v>0</v>
      </c>
      <c r="G117" s="264">
        <f>'🧾 Factura Comercial'!H117</f>
        <v>0</v>
      </c>
      <c r="H117" s="259">
        <f>'🧾 Factura Comercial'!I117</f>
        <v>0</v>
      </c>
      <c r="I117" s="298">
        <f>'🧾 Factura Comercial'!J117</f>
        <v>0</v>
      </c>
      <c r="J117" s="260">
        <f t="shared" si="1"/>
        <v>0</v>
      </c>
      <c r="K117" s="261">
        <f>J117*'📋 Datos Generales'!$E$19</f>
        <v>0</v>
      </c>
    </row>
    <row r="118" spans="4:11" ht="19.5" hidden="1" customHeight="1" x14ac:dyDescent="0.25">
      <c r="D118" s="13">
        <v>112</v>
      </c>
      <c r="E118" s="262">
        <f>'🧾 Factura Comercial'!E118</f>
        <v>0</v>
      </c>
      <c r="F118" s="263">
        <f>'🧾 Factura Comercial'!G118</f>
        <v>0</v>
      </c>
      <c r="G118" s="264">
        <f>'🧾 Factura Comercial'!H118</f>
        <v>0</v>
      </c>
      <c r="H118" s="265">
        <f>'🧾 Factura Comercial'!I118</f>
        <v>0</v>
      </c>
      <c r="I118" s="298">
        <f>'🧾 Factura Comercial'!J118</f>
        <v>0</v>
      </c>
      <c r="J118" s="260">
        <f t="shared" si="1"/>
        <v>0</v>
      </c>
      <c r="K118" s="261">
        <f>J118*'📋 Datos Generales'!$E$19</f>
        <v>0</v>
      </c>
    </row>
    <row r="119" spans="4:11" ht="19.5" hidden="1" customHeight="1" x14ac:dyDescent="0.25">
      <c r="D119" s="13">
        <v>113</v>
      </c>
      <c r="E119" s="262">
        <f>'🧾 Factura Comercial'!E119</f>
        <v>0</v>
      </c>
      <c r="F119" s="263">
        <f>'🧾 Factura Comercial'!G119</f>
        <v>0</v>
      </c>
      <c r="G119" s="258">
        <f>'🧾 Factura Comercial'!H119</f>
        <v>0</v>
      </c>
      <c r="H119" s="265">
        <f>'🧾 Factura Comercial'!I119</f>
        <v>0</v>
      </c>
      <c r="I119" s="298">
        <f>'🧾 Factura Comercial'!J119</f>
        <v>0</v>
      </c>
      <c r="J119" s="260">
        <f t="shared" si="1"/>
        <v>0</v>
      </c>
      <c r="K119" s="261">
        <f>J119*'📋 Datos Generales'!$E$19</f>
        <v>0</v>
      </c>
    </row>
    <row r="120" spans="4:11" ht="19.5" hidden="1" customHeight="1" x14ac:dyDescent="0.25">
      <c r="D120" s="13">
        <v>114</v>
      </c>
      <c r="E120" s="262">
        <f>'🧾 Factura Comercial'!E120</f>
        <v>0</v>
      </c>
      <c r="F120" s="263">
        <f>'🧾 Factura Comercial'!G120</f>
        <v>0</v>
      </c>
      <c r="G120" s="264">
        <f>'🧾 Factura Comercial'!H120</f>
        <v>0</v>
      </c>
      <c r="H120" s="265">
        <f>'🧾 Factura Comercial'!I120</f>
        <v>0</v>
      </c>
      <c r="I120" s="298">
        <f>'🧾 Factura Comercial'!J120</f>
        <v>0</v>
      </c>
      <c r="J120" s="260">
        <f t="shared" si="1"/>
        <v>0</v>
      </c>
      <c r="K120" s="261">
        <f>J120*'📋 Datos Generales'!$E$19</f>
        <v>0</v>
      </c>
    </row>
    <row r="121" spans="4:11" ht="19.5" hidden="1" customHeight="1" x14ac:dyDescent="0.25">
      <c r="D121" s="13">
        <v>115</v>
      </c>
      <c r="E121" s="262">
        <f>'🧾 Factura Comercial'!E121</f>
        <v>0</v>
      </c>
      <c r="F121" s="263">
        <f>'🧾 Factura Comercial'!G121</f>
        <v>0</v>
      </c>
      <c r="G121" s="264">
        <f>'🧾 Factura Comercial'!H121</f>
        <v>0</v>
      </c>
      <c r="H121" s="265">
        <f>'🧾 Factura Comercial'!I121</f>
        <v>0</v>
      </c>
      <c r="I121" s="298">
        <f>'🧾 Factura Comercial'!J121</f>
        <v>0</v>
      </c>
      <c r="J121" s="260">
        <f t="shared" si="1"/>
        <v>0</v>
      </c>
      <c r="K121" s="261">
        <f>J121*'📋 Datos Generales'!$E$19</f>
        <v>0</v>
      </c>
    </row>
    <row r="122" spans="4:11" ht="19.5" hidden="1" customHeight="1" x14ac:dyDescent="0.25">
      <c r="D122" s="13">
        <v>116</v>
      </c>
      <c r="E122" s="262">
        <f>'🧾 Factura Comercial'!E122</f>
        <v>0</v>
      </c>
      <c r="F122" s="263">
        <f>'🧾 Factura Comercial'!G122</f>
        <v>0</v>
      </c>
      <c r="G122" s="264">
        <f>'🧾 Factura Comercial'!H122</f>
        <v>0</v>
      </c>
      <c r="H122" s="259">
        <f>'🧾 Factura Comercial'!I122</f>
        <v>0</v>
      </c>
      <c r="I122" s="298">
        <f>'🧾 Factura Comercial'!J122</f>
        <v>0</v>
      </c>
      <c r="J122" s="260">
        <f t="shared" si="1"/>
        <v>0</v>
      </c>
      <c r="K122" s="261">
        <f>J122*'📋 Datos Generales'!$E$19</f>
        <v>0</v>
      </c>
    </row>
    <row r="123" spans="4:11" ht="19.5" hidden="1" customHeight="1" x14ac:dyDescent="0.25">
      <c r="D123" s="13">
        <v>117</v>
      </c>
      <c r="E123" s="262">
        <f>'🧾 Factura Comercial'!E123</f>
        <v>0</v>
      </c>
      <c r="F123" s="263">
        <f>'🧾 Factura Comercial'!G123</f>
        <v>0</v>
      </c>
      <c r="G123" s="264">
        <f>'🧾 Factura Comercial'!H123</f>
        <v>0</v>
      </c>
      <c r="H123" s="265">
        <f>'🧾 Factura Comercial'!I123</f>
        <v>0</v>
      </c>
      <c r="I123" s="298">
        <f>'🧾 Factura Comercial'!J123</f>
        <v>0</v>
      </c>
      <c r="J123" s="260">
        <f t="shared" si="1"/>
        <v>0</v>
      </c>
      <c r="K123" s="261">
        <f>J123*'📋 Datos Generales'!$E$19</f>
        <v>0</v>
      </c>
    </row>
    <row r="124" spans="4:11" ht="19.5" hidden="1" customHeight="1" x14ac:dyDescent="0.25">
      <c r="D124" s="13">
        <v>118</v>
      </c>
      <c r="E124" s="256">
        <f>'🧾 Factura Comercial'!E124</f>
        <v>0</v>
      </c>
      <c r="F124" s="257">
        <f>'🧾 Factura Comercial'!G124</f>
        <v>0</v>
      </c>
      <c r="G124" s="264">
        <f>'🧾 Factura Comercial'!H124</f>
        <v>0</v>
      </c>
      <c r="H124" s="265">
        <f>'🧾 Factura Comercial'!I124</f>
        <v>0</v>
      </c>
      <c r="I124" s="298">
        <f>'🧾 Factura Comercial'!J124</f>
        <v>0</v>
      </c>
      <c r="J124" s="260">
        <f t="shared" si="1"/>
        <v>0</v>
      </c>
      <c r="K124" s="261">
        <f>J124*'📋 Datos Generales'!$E$19</f>
        <v>0</v>
      </c>
    </row>
    <row r="125" spans="4:11" ht="19.5" hidden="1" customHeight="1" x14ac:dyDescent="0.25">
      <c r="D125" s="13">
        <v>119</v>
      </c>
      <c r="E125" s="262">
        <f>'🧾 Factura Comercial'!E125</f>
        <v>0</v>
      </c>
      <c r="F125" s="263">
        <f>'🧾 Factura Comercial'!G125</f>
        <v>0</v>
      </c>
      <c r="G125" s="264">
        <f>'🧾 Factura Comercial'!H125</f>
        <v>0</v>
      </c>
      <c r="H125" s="265">
        <f>'🧾 Factura Comercial'!I125</f>
        <v>0</v>
      </c>
      <c r="I125" s="298">
        <f>'🧾 Factura Comercial'!J125</f>
        <v>0</v>
      </c>
      <c r="J125" s="260">
        <f t="shared" si="1"/>
        <v>0</v>
      </c>
      <c r="K125" s="261">
        <f>J125*'📋 Datos Generales'!$E$19</f>
        <v>0</v>
      </c>
    </row>
    <row r="126" spans="4:11" ht="19.5" hidden="1" customHeight="1" x14ac:dyDescent="0.25">
      <c r="D126" s="13">
        <v>120</v>
      </c>
      <c r="E126" s="262">
        <f>'🧾 Factura Comercial'!E126</f>
        <v>0</v>
      </c>
      <c r="F126" s="263">
        <f>'🧾 Factura Comercial'!G126</f>
        <v>0</v>
      </c>
      <c r="G126" s="258">
        <f>'🧾 Factura Comercial'!H126</f>
        <v>0</v>
      </c>
      <c r="H126" s="265">
        <f>'🧾 Factura Comercial'!I126</f>
        <v>0</v>
      </c>
      <c r="I126" s="298">
        <f>'🧾 Factura Comercial'!J126</f>
        <v>0</v>
      </c>
      <c r="J126" s="260">
        <f t="shared" si="1"/>
        <v>0</v>
      </c>
      <c r="K126" s="261">
        <f>J126*'📋 Datos Generales'!$E$19</f>
        <v>0</v>
      </c>
    </row>
    <row r="127" spans="4:11" ht="19.5" hidden="1" customHeight="1" x14ac:dyDescent="0.25">
      <c r="D127" s="13">
        <v>121</v>
      </c>
      <c r="E127" s="262">
        <f>'🧾 Factura Comercial'!E127</f>
        <v>0</v>
      </c>
      <c r="F127" s="263">
        <f>'🧾 Factura Comercial'!G127</f>
        <v>0</v>
      </c>
      <c r="G127" s="264">
        <f>'🧾 Factura Comercial'!H127</f>
        <v>0</v>
      </c>
      <c r="H127" s="259">
        <f>'🧾 Factura Comercial'!I127</f>
        <v>0</v>
      </c>
      <c r="I127" s="298">
        <f>'🧾 Factura Comercial'!J127</f>
        <v>0</v>
      </c>
      <c r="J127" s="260">
        <f t="shared" si="1"/>
        <v>0</v>
      </c>
      <c r="K127" s="261">
        <f>J127*'📋 Datos Generales'!$E$19</f>
        <v>0</v>
      </c>
    </row>
    <row r="128" spans="4:11" ht="19.5" hidden="1" customHeight="1" x14ac:dyDescent="0.25">
      <c r="D128" s="13">
        <v>122</v>
      </c>
      <c r="E128" s="262">
        <f>'🧾 Factura Comercial'!E128</f>
        <v>0</v>
      </c>
      <c r="F128" s="263">
        <f>'🧾 Factura Comercial'!G128</f>
        <v>0</v>
      </c>
      <c r="G128" s="264">
        <f>'🧾 Factura Comercial'!H128</f>
        <v>0</v>
      </c>
      <c r="H128" s="265">
        <f>'🧾 Factura Comercial'!I128</f>
        <v>0</v>
      </c>
      <c r="I128" s="298">
        <f>'🧾 Factura Comercial'!J128</f>
        <v>0</v>
      </c>
      <c r="J128" s="260">
        <f t="shared" si="1"/>
        <v>0</v>
      </c>
      <c r="K128" s="261">
        <f>J128*'📋 Datos Generales'!$E$19</f>
        <v>0</v>
      </c>
    </row>
    <row r="129" spans="4:11" ht="19.5" hidden="1" customHeight="1" x14ac:dyDescent="0.25">
      <c r="D129" s="13">
        <v>123</v>
      </c>
      <c r="E129" s="262">
        <f>'🧾 Factura Comercial'!E129</f>
        <v>0</v>
      </c>
      <c r="F129" s="263">
        <f>'🧾 Factura Comercial'!G129</f>
        <v>0</v>
      </c>
      <c r="G129" s="264">
        <f>'🧾 Factura Comercial'!H129</f>
        <v>0</v>
      </c>
      <c r="H129" s="265">
        <f>'🧾 Factura Comercial'!I129</f>
        <v>0</v>
      </c>
      <c r="I129" s="298">
        <f>'🧾 Factura Comercial'!J129</f>
        <v>0</v>
      </c>
      <c r="J129" s="260">
        <f t="shared" si="1"/>
        <v>0</v>
      </c>
      <c r="K129" s="261">
        <f>J129*'📋 Datos Generales'!$E$19</f>
        <v>0</v>
      </c>
    </row>
    <row r="130" spans="4:11" ht="19.5" hidden="1" customHeight="1" x14ac:dyDescent="0.25">
      <c r="D130" s="13">
        <v>124</v>
      </c>
      <c r="E130" s="262">
        <f>'🧾 Factura Comercial'!E130</f>
        <v>0</v>
      </c>
      <c r="F130" s="263">
        <f>'🧾 Factura Comercial'!G130</f>
        <v>0</v>
      </c>
      <c r="G130" s="264">
        <f>'🧾 Factura Comercial'!H130</f>
        <v>0</v>
      </c>
      <c r="H130" s="265">
        <f>'🧾 Factura Comercial'!I130</f>
        <v>0</v>
      </c>
      <c r="I130" s="298">
        <f>'🧾 Factura Comercial'!J130</f>
        <v>0</v>
      </c>
      <c r="J130" s="260">
        <f t="shared" si="1"/>
        <v>0</v>
      </c>
      <c r="K130" s="261">
        <f>J130*'📋 Datos Generales'!$E$19</f>
        <v>0</v>
      </c>
    </row>
    <row r="131" spans="4:11" ht="19.5" hidden="1" customHeight="1" x14ac:dyDescent="0.25">
      <c r="D131" s="13">
        <v>125</v>
      </c>
      <c r="E131" s="262">
        <f>'🧾 Factura Comercial'!E131</f>
        <v>0</v>
      </c>
      <c r="F131" s="263">
        <f>'🧾 Factura Comercial'!G131</f>
        <v>0</v>
      </c>
      <c r="G131" s="264">
        <f>'🧾 Factura Comercial'!H131</f>
        <v>0</v>
      </c>
      <c r="H131" s="265">
        <f>'🧾 Factura Comercial'!I131</f>
        <v>0</v>
      </c>
      <c r="I131" s="298">
        <f>'🧾 Factura Comercial'!J131</f>
        <v>0</v>
      </c>
      <c r="J131" s="260">
        <f t="shared" si="1"/>
        <v>0</v>
      </c>
      <c r="K131" s="261">
        <f>J131*'📋 Datos Generales'!$E$19</f>
        <v>0</v>
      </c>
    </row>
    <row r="132" spans="4:11" ht="19.5" hidden="1" customHeight="1" x14ac:dyDescent="0.25">
      <c r="D132" s="13">
        <v>126</v>
      </c>
      <c r="E132" s="262">
        <f>'🧾 Factura Comercial'!E132</f>
        <v>0</v>
      </c>
      <c r="F132" s="263">
        <f>'🧾 Factura Comercial'!G132</f>
        <v>0</v>
      </c>
      <c r="G132" s="264">
        <f>'🧾 Factura Comercial'!H132</f>
        <v>0</v>
      </c>
      <c r="H132" s="259">
        <f>'🧾 Factura Comercial'!I132</f>
        <v>0</v>
      </c>
      <c r="I132" s="298">
        <f>'🧾 Factura Comercial'!J132</f>
        <v>0</v>
      </c>
      <c r="J132" s="260">
        <f t="shared" si="1"/>
        <v>0</v>
      </c>
      <c r="K132" s="261">
        <f>J132*'📋 Datos Generales'!$E$19</f>
        <v>0</v>
      </c>
    </row>
    <row r="133" spans="4:11" ht="19.5" hidden="1" customHeight="1" x14ac:dyDescent="0.25">
      <c r="D133" s="13">
        <v>127</v>
      </c>
      <c r="E133" s="256">
        <f>'🧾 Factura Comercial'!E133</f>
        <v>0</v>
      </c>
      <c r="F133" s="257">
        <f>'🧾 Factura Comercial'!G133</f>
        <v>0</v>
      </c>
      <c r="G133" s="258">
        <f>'🧾 Factura Comercial'!H133</f>
        <v>0</v>
      </c>
      <c r="H133" s="265">
        <f>'🧾 Factura Comercial'!I133</f>
        <v>0</v>
      </c>
      <c r="I133" s="298">
        <f>'🧾 Factura Comercial'!J133</f>
        <v>0</v>
      </c>
      <c r="J133" s="260">
        <f t="shared" si="1"/>
        <v>0</v>
      </c>
      <c r="K133" s="261">
        <f>J133*'📋 Datos Generales'!$E$19</f>
        <v>0</v>
      </c>
    </row>
    <row r="134" spans="4:11" ht="19.5" hidden="1" customHeight="1" x14ac:dyDescent="0.25">
      <c r="D134" s="13">
        <v>128</v>
      </c>
      <c r="E134" s="262">
        <f>'🧾 Factura Comercial'!E134</f>
        <v>0</v>
      </c>
      <c r="F134" s="263">
        <f>'🧾 Factura Comercial'!G134</f>
        <v>0</v>
      </c>
      <c r="G134" s="264">
        <f>'🧾 Factura Comercial'!H134</f>
        <v>0</v>
      </c>
      <c r="H134" s="265">
        <f>'🧾 Factura Comercial'!I134</f>
        <v>0</v>
      </c>
      <c r="I134" s="298">
        <f>'🧾 Factura Comercial'!J134</f>
        <v>0</v>
      </c>
      <c r="J134" s="260">
        <f t="shared" si="1"/>
        <v>0</v>
      </c>
      <c r="K134" s="261">
        <f>J134*'📋 Datos Generales'!$E$19</f>
        <v>0</v>
      </c>
    </row>
    <row r="135" spans="4:11" ht="19.5" hidden="1" customHeight="1" x14ac:dyDescent="0.25">
      <c r="D135" s="13">
        <v>129</v>
      </c>
      <c r="E135" s="262">
        <f>'🧾 Factura Comercial'!E135</f>
        <v>0</v>
      </c>
      <c r="F135" s="263">
        <f>'🧾 Factura Comercial'!G135</f>
        <v>0</v>
      </c>
      <c r="G135" s="264">
        <f>'🧾 Factura Comercial'!H135</f>
        <v>0</v>
      </c>
      <c r="H135" s="265">
        <f>'🧾 Factura Comercial'!I135</f>
        <v>0</v>
      </c>
      <c r="I135" s="298">
        <f>'🧾 Factura Comercial'!J135</f>
        <v>0</v>
      </c>
      <c r="J135" s="260">
        <f t="shared" si="1"/>
        <v>0</v>
      </c>
      <c r="K135" s="261">
        <f>J135*'📋 Datos Generales'!$E$19</f>
        <v>0</v>
      </c>
    </row>
    <row r="136" spans="4:11" ht="19.5" hidden="1" customHeight="1" x14ac:dyDescent="0.25">
      <c r="D136" s="13">
        <v>130</v>
      </c>
      <c r="E136" s="262">
        <f>'🧾 Factura Comercial'!E136</f>
        <v>0</v>
      </c>
      <c r="F136" s="263">
        <f>'🧾 Factura Comercial'!G136</f>
        <v>0</v>
      </c>
      <c r="G136" s="264">
        <f>'🧾 Factura Comercial'!H136</f>
        <v>0</v>
      </c>
      <c r="H136" s="265">
        <f>'🧾 Factura Comercial'!I136</f>
        <v>0</v>
      </c>
      <c r="I136" s="298">
        <f>'🧾 Factura Comercial'!J136</f>
        <v>0</v>
      </c>
      <c r="J136" s="260">
        <f t="shared" ref="J136:J199" si="2">IF($G$5=0,0,$G$5*G136)</f>
        <v>0</v>
      </c>
      <c r="K136" s="261">
        <f>J136*'📋 Datos Generales'!$E$19</f>
        <v>0</v>
      </c>
    </row>
    <row r="137" spans="4:11" ht="19.5" hidden="1" customHeight="1" x14ac:dyDescent="0.25">
      <c r="D137" s="13">
        <v>131</v>
      </c>
      <c r="E137" s="262">
        <f>'🧾 Factura Comercial'!E137</f>
        <v>0</v>
      </c>
      <c r="F137" s="263">
        <f>'🧾 Factura Comercial'!G137</f>
        <v>0</v>
      </c>
      <c r="G137" s="264">
        <f>'🧾 Factura Comercial'!H137</f>
        <v>0</v>
      </c>
      <c r="H137" s="259">
        <f>'🧾 Factura Comercial'!I137</f>
        <v>0</v>
      </c>
      <c r="I137" s="298">
        <f>'🧾 Factura Comercial'!J137</f>
        <v>0</v>
      </c>
      <c r="J137" s="260">
        <f t="shared" si="2"/>
        <v>0</v>
      </c>
      <c r="K137" s="261">
        <f>J137*'📋 Datos Generales'!$E$19</f>
        <v>0</v>
      </c>
    </row>
    <row r="138" spans="4:11" ht="19.5" hidden="1" customHeight="1" x14ac:dyDescent="0.25">
      <c r="D138" s="13">
        <v>132</v>
      </c>
      <c r="E138" s="262">
        <f>'🧾 Factura Comercial'!E138</f>
        <v>0</v>
      </c>
      <c r="F138" s="263">
        <f>'🧾 Factura Comercial'!G138</f>
        <v>0</v>
      </c>
      <c r="G138" s="264">
        <f>'🧾 Factura Comercial'!H138</f>
        <v>0</v>
      </c>
      <c r="H138" s="265">
        <f>'🧾 Factura Comercial'!I138</f>
        <v>0</v>
      </c>
      <c r="I138" s="298">
        <f>'🧾 Factura Comercial'!J138</f>
        <v>0</v>
      </c>
      <c r="J138" s="260">
        <f t="shared" si="2"/>
        <v>0</v>
      </c>
      <c r="K138" s="261">
        <f>J138*'📋 Datos Generales'!$E$19</f>
        <v>0</v>
      </c>
    </row>
    <row r="139" spans="4:11" ht="19.5" hidden="1" customHeight="1" x14ac:dyDescent="0.25">
      <c r="D139" s="13">
        <v>133</v>
      </c>
      <c r="E139" s="262">
        <f>'🧾 Factura Comercial'!E139</f>
        <v>0</v>
      </c>
      <c r="F139" s="263">
        <f>'🧾 Factura Comercial'!G139</f>
        <v>0</v>
      </c>
      <c r="G139" s="264">
        <f>'🧾 Factura Comercial'!H139</f>
        <v>0</v>
      </c>
      <c r="H139" s="265">
        <f>'🧾 Factura Comercial'!I139</f>
        <v>0</v>
      </c>
      <c r="I139" s="298">
        <f>'🧾 Factura Comercial'!J139</f>
        <v>0</v>
      </c>
      <c r="J139" s="260">
        <f t="shared" si="2"/>
        <v>0</v>
      </c>
      <c r="K139" s="261">
        <f>J139*'📋 Datos Generales'!$E$19</f>
        <v>0</v>
      </c>
    </row>
    <row r="140" spans="4:11" ht="19.5" hidden="1" customHeight="1" x14ac:dyDescent="0.25">
      <c r="D140" s="13">
        <v>134</v>
      </c>
      <c r="E140" s="262">
        <f>'🧾 Factura Comercial'!E140</f>
        <v>0</v>
      </c>
      <c r="F140" s="263">
        <f>'🧾 Factura Comercial'!G140</f>
        <v>0</v>
      </c>
      <c r="G140" s="258">
        <f>'🧾 Factura Comercial'!H140</f>
        <v>0</v>
      </c>
      <c r="H140" s="265">
        <f>'🧾 Factura Comercial'!I140</f>
        <v>0</v>
      </c>
      <c r="I140" s="298">
        <f>'🧾 Factura Comercial'!J140</f>
        <v>0</v>
      </c>
      <c r="J140" s="260">
        <f t="shared" si="2"/>
        <v>0</v>
      </c>
      <c r="K140" s="261">
        <f>J140*'📋 Datos Generales'!$E$19</f>
        <v>0</v>
      </c>
    </row>
    <row r="141" spans="4:11" ht="19.5" hidden="1" customHeight="1" x14ac:dyDescent="0.25">
      <c r="D141" s="13">
        <v>135</v>
      </c>
      <c r="E141" s="262">
        <f>'🧾 Factura Comercial'!E141</f>
        <v>0</v>
      </c>
      <c r="F141" s="263">
        <f>'🧾 Factura Comercial'!G141</f>
        <v>0</v>
      </c>
      <c r="G141" s="264">
        <f>'🧾 Factura Comercial'!H141</f>
        <v>0</v>
      </c>
      <c r="H141" s="265">
        <f>'🧾 Factura Comercial'!I141</f>
        <v>0</v>
      </c>
      <c r="I141" s="298">
        <f>'🧾 Factura Comercial'!J141</f>
        <v>0</v>
      </c>
      <c r="J141" s="260">
        <f t="shared" si="2"/>
        <v>0</v>
      </c>
      <c r="K141" s="261">
        <f>J141*'📋 Datos Generales'!$E$19</f>
        <v>0</v>
      </c>
    </row>
    <row r="142" spans="4:11" ht="19.5" hidden="1" customHeight="1" x14ac:dyDescent="0.25">
      <c r="D142" s="13">
        <v>136</v>
      </c>
      <c r="E142" s="256">
        <f>'🧾 Factura Comercial'!E142</f>
        <v>0</v>
      </c>
      <c r="F142" s="257">
        <f>'🧾 Factura Comercial'!G142</f>
        <v>0</v>
      </c>
      <c r="G142" s="264">
        <f>'🧾 Factura Comercial'!H142</f>
        <v>0</v>
      </c>
      <c r="H142" s="259">
        <f>'🧾 Factura Comercial'!I142</f>
        <v>0</v>
      </c>
      <c r="I142" s="298">
        <f>'🧾 Factura Comercial'!J142</f>
        <v>0</v>
      </c>
      <c r="J142" s="260">
        <f t="shared" si="2"/>
        <v>0</v>
      </c>
      <c r="K142" s="261">
        <f>J142*'📋 Datos Generales'!$E$19</f>
        <v>0</v>
      </c>
    </row>
    <row r="143" spans="4:11" ht="19.5" hidden="1" customHeight="1" x14ac:dyDescent="0.25">
      <c r="D143" s="13">
        <v>137</v>
      </c>
      <c r="E143" s="262">
        <f>'🧾 Factura Comercial'!E143</f>
        <v>0</v>
      </c>
      <c r="F143" s="263">
        <f>'🧾 Factura Comercial'!G143</f>
        <v>0</v>
      </c>
      <c r="G143" s="264">
        <f>'🧾 Factura Comercial'!H143</f>
        <v>0</v>
      </c>
      <c r="H143" s="265">
        <f>'🧾 Factura Comercial'!I143</f>
        <v>0</v>
      </c>
      <c r="I143" s="298">
        <f>'🧾 Factura Comercial'!J143</f>
        <v>0</v>
      </c>
      <c r="J143" s="260">
        <f t="shared" si="2"/>
        <v>0</v>
      </c>
      <c r="K143" s="261">
        <f>J143*'📋 Datos Generales'!$E$19</f>
        <v>0</v>
      </c>
    </row>
    <row r="144" spans="4:11" ht="19.5" hidden="1" customHeight="1" x14ac:dyDescent="0.25">
      <c r="D144" s="13">
        <v>138</v>
      </c>
      <c r="E144" s="262">
        <f>'🧾 Factura Comercial'!E144</f>
        <v>0</v>
      </c>
      <c r="F144" s="263">
        <f>'🧾 Factura Comercial'!G144</f>
        <v>0</v>
      </c>
      <c r="G144" s="264">
        <f>'🧾 Factura Comercial'!H144</f>
        <v>0</v>
      </c>
      <c r="H144" s="265">
        <f>'🧾 Factura Comercial'!I144</f>
        <v>0</v>
      </c>
      <c r="I144" s="298">
        <f>'🧾 Factura Comercial'!J144</f>
        <v>0</v>
      </c>
      <c r="J144" s="260">
        <f t="shared" si="2"/>
        <v>0</v>
      </c>
      <c r="K144" s="261">
        <f>J144*'📋 Datos Generales'!$E$19</f>
        <v>0</v>
      </c>
    </row>
    <row r="145" spans="4:11" ht="19.5" hidden="1" customHeight="1" x14ac:dyDescent="0.25">
      <c r="D145" s="13">
        <v>139</v>
      </c>
      <c r="E145" s="262">
        <f>'🧾 Factura Comercial'!E145</f>
        <v>0</v>
      </c>
      <c r="F145" s="263">
        <f>'🧾 Factura Comercial'!G145</f>
        <v>0</v>
      </c>
      <c r="G145" s="264">
        <f>'🧾 Factura Comercial'!H145</f>
        <v>0</v>
      </c>
      <c r="H145" s="265">
        <f>'🧾 Factura Comercial'!I145</f>
        <v>0</v>
      </c>
      <c r="I145" s="298">
        <f>'🧾 Factura Comercial'!J145</f>
        <v>0</v>
      </c>
      <c r="J145" s="260">
        <f t="shared" si="2"/>
        <v>0</v>
      </c>
      <c r="K145" s="261">
        <f>J145*'📋 Datos Generales'!$E$19</f>
        <v>0</v>
      </c>
    </row>
    <row r="146" spans="4:11" ht="19.5" hidden="1" customHeight="1" x14ac:dyDescent="0.25">
      <c r="D146" s="13">
        <v>140</v>
      </c>
      <c r="E146" s="262">
        <f>'🧾 Factura Comercial'!E146</f>
        <v>0</v>
      </c>
      <c r="F146" s="263">
        <f>'🧾 Factura Comercial'!G146</f>
        <v>0</v>
      </c>
      <c r="G146" s="264">
        <f>'🧾 Factura Comercial'!H146</f>
        <v>0</v>
      </c>
      <c r="H146" s="265">
        <f>'🧾 Factura Comercial'!I146</f>
        <v>0</v>
      </c>
      <c r="I146" s="298">
        <f>'🧾 Factura Comercial'!J146</f>
        <v>0</v>
      </c>
      <c r="J146" s="260">
        <f t="shared" si="2"/>
        <v>0</v>
      </c>
      <c r="K146" s="261">
        <f>J146*'📋 Datos Generales'!$E$19</f>
        <v>0</v>
      </c>
    </row>
    <row r="147" spans="4:11" ht="19.5" hidden="1" customHeight="1" x14ac:dyDescent="0.25">
      <c r="D147" s="13">
        <v>141</v>
      </c>
      <c r="E147" s="262">
        <f>'🧾 Factura Comercial'!E147</f>
        <v>0</v>
      </c>
      <c r="F147" s="263">
        <f>'🧾 Factura Comercial'!G147</f>
        <v>0</v>
      </c>
      <c r="G147" s="258">
        <f>'🧾 Factura Comercial'!H147</f>
        <v>0</v>
      </c>
      <c r="H147" s="259">
        <f>'🧾 Factura Comercial'!I147</f>
        <v>0</v>
      </c>
      <c r="I147" s="298">
        <f>'🧾 Factura Comercial'!J147</f>
        <v>0</v>
      </c>
      <c r="J147" s="260">
        <f t="shared" si="2"/>
        <v>0</v>
      </c>
      <c r="K147" s="261">
        <f>J147*'📋 Datos Generales'!$E$19</f>
        <v>0</v>
      </c>
    </row>
    <row r="148" spans="4:11" ht="19.5" hidden="1" customHeight="1" x14ac:dyDescent="0.25">
      <c r="D148" s="13">
        <v>142</v>
      </c>
      <c r="E148" s="262">
        <f>'🧾 Factura Comercial'!E148</f>
        <v>0</v>
      </c>
      <c r="F148" s="263">
        <f>'🧾 Factura Comercial'!G148</f>
        <v>0</v>
      </c>
      <c r="G148" s="264">
        <f>'🧾 Factura Comercial'!H148</f>
        <v>0</v>
      </c>
      <c r="H148" s="265">
        <f>'🧾 Factura Comercial'!I148</f>
        <v>0</v>
      </c>
      <c r="I148" s="298">
        <f>'🧾 Factura Comercial'!J148</f>
        <v>0</v>
      </c>
      <c r="J148" s="260">
        <f t="shared" si="2"/>
        <v>0</v>
      </c>
      <c r="K148" s="261">
        <f>J148*'📋 Datos Generales'!$E$19</f>
        <v>0</v>
      </c>
    </row>
    <row r="149" spans="4:11" ht="19.5" hidden="1" customHeight="1" x14ac:dyDescent="0.25">
      <c r="D149" s="13">
        <v>143</v>
      </c>
      <c r="E149" s="262">
        <f>'🧾 Factura Comercial'!E149</f>
        <v>0</v>
      </c>
      <c r="F149" s="263">
        <f>'🧾 Factura Comercial'!G149</f>
        <v>0</v>
      </c>
      <c r="G149" s="264">
        <f>'🧾 Factura Comercial'!H149</f>
        <v>0</v>
      </c>
      <c r="H149" s="265">
        <f>'🧾 Factura Comercial'!I149</f>
        <v>0</v>
      </c>
      <c r="I149" s="298">
        <f>'🧾 Factura Comercial'!J149</f>
        <v>0</v>
      </c>
      <c r="J149" s="260">
        <f t="shared" si="2"/>
        <v>0</v>
      </c>
      <c r="K149" s="261">
        <f>J149*'📋 Datos Generales'!$E$19</f>
        <v>0</v>
      </c>
    </row>
    <row r="150" spans="4:11" ht="19.5" hidden="1" customHeight="1" x14ac:dyDescent="0.25">
      <c r="D150" s="13">
        <v>144</v>
      </c>
      <c r="E150" s="262">
        <f>'🧾 Factura Comercial'!E150</f>
        <v>0</v>
      </c>
      <c r="F150" s="263">
        <f>'🧾 Factura Comercial'!G150</f>
        <v>0</v>
      </c>
      <c r="G150" s="264">
        <f>'🧾 Factura Comercial'!H150</f>
        <v>0</v>
      </c>
      <c r="H150" s="265">
        <f>'🧾 Factura Comercial'!I150</f>
        <v>0</v>
      </c>
      <c r="I150" s="298">
        <f>'🧾 Factura Comercial'!J150</f>
        <v>0</v>
      </c>
      <c r="J150" s="260">
        <f t="shared" si="2"/>
        <v>0</v>
      </c>
      <c r="K150" s="261">
        <f>J150*'📋 Datos Generales'!$E$19</f>
        <v>0</v>
      </c>
    </row>
    <row r="151" spans="4:11" ht="19.5" hidden="1" customHeight="1" x14ac:dyDescent="0.25">
      <c r="D151" s="13">
        <v>145</v>
      </c>
      <c r="E151" s="256">
        <f>'🧾 Factura Comercial'!E151</f>
        <v>0</v>
      </c>
      <c r="F151" s="257">
        <f>'🧾 Factura Comercial'!G151</f>
        <v>0</v>
      </c>
      <c r="G151" s="264">
        <f>'🧾 Factura Comercial'!H151</f>
        <v>0</v>
      </c>
      <c r="H151" s="265">
        <f>'🧾 Factura Comercial'!I151</f>
        <v>0</v>
      </c>
      <c r="I151" s="298">
        <f>'🧾 Factura Comercial'!J151</f>
        <v>0</v>
      </c>
      <c r="J151" s="260">
        <f t="shared" si="2"/>
        <v>0</v>
      </c>
      <c r="K151" s="261">
        <f>J151*'📋 Datos Generales'!$E$19</f>
        <v>0</v>
      </c>
    </row>
    <row r="152" spans="4:11" ht="19.5" hidden="1" customHeight="1" x14ac:dyDescent="0.25">
      <c r="D152" s="13">
        <v>146</v>
      </c>
      <c r="E152" s="262">
        <f>'🧾 Factura Comercial'!E152</f>
        <v>0</v>
      </c>
      <c r="F152" s="263">
        <f>'🧾 Factura Comercial'!G152</f>
        <v>0</v>
      </c>
      <c r="G152" s="264">
        <f>'🧾 Factura Comercial'!H152</f>
        <v>0</v>
      </c>
      <c r="H152" s="259">
        <f>'🧾 Factura Comercial'!I152</f>
        <v>0</v>
      </c>
      <c r="I152" s="298">
        <f>'🧾 Factura Comercial'!J152</f>
        <v>0</v>
      </c>
      <c r="J152" s="260">
        <f t="shared" si="2"/>
        <v>0</v>
      </c>
      <c r="K152" s="261">
        <f>J152*'📋 Datos Generales'!$E$19</f>
        <v>0</v>
      </c>
    </row>
    <row r="153" spans="4:11" ht="19.5" hidden="1" customHeight="1" x14ac:dyDescent="0.25">
      <c r="D153" s="13">
        <v>147</v>
      </c>
      <c r="E153" s="262">
        <f>'🧾 Factura Comercial'!E153</f>
        <v>0</v>
      </c>
      <c r="F153" s="263">
        <f>'🧾 Factura Comercial'!G153</f>
        <v>0</v>
      </c>
      <c r="G153" s="264">
        <f>'🧾 Factura Comercial'!H153</f>
        <v>0</v>
      </c>
      <c r="H153" s="265">
        <f>'🧾 Factura Comercial'!I153</f>
        <v>0</v>
      </c>
      <c r="I153" s="298">
        <f>'🧾 Factura Comercial'!J153</f>
        <v>0</v>
      </c>
      <c r="J153" s="260">
        <f t="shared" si="2"/>
        <v>0</v>
      </c>
      <c r="K153" s="261">
        <f>J153*'📋 Datos Generales'!$E$19</f>
        <v>0</v>
      </c>
    </row>
    <row r="154" spans="4:11" ht="19.5" hidden="1" customHeight="1" x14ac:dyDescent="0.25">
      <c r="D154" s="13">
        <v>148</v>
      </c>
      <c r="E154" s="262">
        <f>'🧾 Factura Comercial'!E154</f>
        <v>0</v>
      </c>
      <c r="F154" s="263">
        <f>'🧾 Factura Comercial'!G154</f>
        <v>0</v>
      </c>
      <c r="G154" s="258">
        <f>'🧾 Factura Comercial'!H154</f>
        <v>0</v>
      </c>
      <c r="H154" s="265">
        <f>'🧾 Factura Comercial'!I154</f>
        <v>0</v>
      </c>
      <c r="I154" s="298">
        <f>'🧾 Factura Comercial'!J154</f>
        <v>0</v>
      </c>
      <c r="J154" s="260">
        <f t="shared" si="2"/>
        <v>0</v>
      </c>
      <c r="K154" s="261">
        <f>J154*'📋 Datos Generales'!$E$19</f>
        <v>0</v>
      </c>
    </row>
    <row r="155" spans="4:11" ht="19.5" hidden="1" customHeight="1" x14ac:dyDescent="0.25">
      <c r="D155" s="13">
        <v>149</v>
      </c>
      <c r="E155" s="262">
        <f>'🧾 Factura Comercial'!E155</f>
        <v>0</v>
      </c>
      <c r="F155" s="263">
        <f>'🧾 Factura Comercial'!G155</f>
        <v>0</v>
      </c>
      <c r="G155" s="264">
        <f>'🧾 Factura Comercial'!H155</f>
        <v>0</v>
      </c>
      <c r="H155" s="265">
        <f>'🧾 Factura Comercial'!I155</f>
        <v>0</v>
      </c>
      <c r="I155" s="298">
        <f>'🧾 Factura Comercial'!J155</f>
        <v>0</v>
      </c>
      <c r="J155" s="260">
        <f t="shared" si="2"/>
        <v>0</v>
      </c>
      <c r="K155" s="261">
        <f>J155*'📋 Datos Generales'!$E$19</f>
        <v>0</v>
      </c>
    </row>
    <row r="156" spans="4:11" ht="19.5" hidden="1" customHeight="1" x14ac:dyDescent="0.25">
      <c r="D156" s="13">
        <v>150</v>
      </c>
      <c r="E156" s="262">
        <f>'🧾 Factura Comercial'!E156</f>
        <v>0</v>
      </c>
      <c r="F156" s="263">
        <f>'🧾 Factura Comercial'!G156</f>
        <v>0</v>
      </c>
      <c r="G156" s="264">
        <f>'🧾 Factura Comercial'!H156</f>
        <v>0</v>
      </c>
      <c r="H156" s="265">
        <f>'🧾 Factura Comercial'!I156</f>
        <v>0</v>
      </c>
      <c r="I156" s="298">
        <f>'🧾 Factura Comercial'!J156</f>
        <v>0</v>
      </c>
      <c r="J156" s="260">
        <f t="shared" si="2"/>
        <v>0</v>
      </c>
      <c r="K156" s="261">
        <f>J156*'📋 Datos Generales'!$E$19</f>
        <v>0</v>
      </c>
    </row>
    <row r="157" spans="4:11" ht="19.5" hidden="1" customHeight="1" x14ac:dyDescent="0.25">
      <c r="D157" s="13">
        <v>151</v>
      </c>
      <c r="E157" s="262">
        <f>'🧾 Factura Comercial'!E157</f>
        <v>0</v>
      </c>
      <c r="F157" s="263">
        <f>'🧾 Factura Comercial'!G157</f>
        <v>0</v>
      </c>
      <c r="G157" s="264">
        <f>'🧾 Factura Comercial'!H157</f>
        <v>0</v>
      </c>
      <c r="H157" s="259">
        <f>'🧾 Factura Comercial'!I157</f>
        <v>0</v>
      </c>
      <c r="I157" s="298">
        <f>'🧾 Factura Comercial'!J157</f>
        <v>0</v>
      </c>
      <c r="J157" s="260">
        <f t="shared" si="2"/>
        <v>0</v>
      </c>
      <c r="K157" s="261">
        <f>J157*'📋 Datos Generales'!$E$19</f>
        <v>0</v>
      </c>
    </row>
    <row r="158" spans="4:11" ht="19.5" hidden="1" customHeight="1" x14ac:dyDescent="0.25">
      <c r="D158" s="13">
        <v>152</v>
      </c>
      <c r="E158" s="262">
        <f>'🧾 Factura Comercial'!E158</f>
        <v>0</v>
      </c>
      <c r="F158" s="263">
        <f>'🧾 Factura Comercial'!G158</f>
        <v>0</v>
      </c>
      <c r="G158" s="264">
        <f>'🧾 Factura Comercial'!H158</f>
        <v>0</v>
      </c>
      <c r="H158" s="265">
        <f>'🧾 Factura Comercial'!I158</f>
        <v>0</v>
      </c>
      <c r="I158" s="298">
        <f>'🧾 Factura Comercial'!J158</f>
        <v>0</v>
      </c>
      <c r="J158" s="260">
        <f t="shared" si="2"/>
        <v>0</v>
      </c>
      <c r="K158" s="261">
        <f>J158*'📋 Datos Generales'!$E$19</f>
        <v>0</v>
      </c>
    </row>
    <row r="159" spans="4:11" ht="19.5" hidden="1" customHeight="1" x14ac:dyDescent="0.25">
      <c r="D159" s="13">
        <v>153</v>
      </c>
      <c r="E159" s="262">
        <f>'🧾 Factura Comercial'!E159</f>
        <v>0</v>
      </c>
      <c r="F159" s="263">
        <f>'🧾 Factura Comercial'!G159</f>
        <v>0</v>
      </c>
      <c r="G159" s="264">
        <f>'🧾 Factura Comercial'!H159</f>
        <v>0</v>
      </c>
      <c r="H159" s="265">
        <f>'🧾 Factura Comercial'!I159</f>
        <v>0</v>
      </c>
      <c r="I159" s="298">
        <f>'🧾 Factura Comercial'!J159</f>
        <v>0</v>
      </c>
      <c r="J159" s="260">
        <f t="shared" si="2"/>
        <v>0</v>
      </c>
      <c r="K159" s="261">
        <f>J159*'📋 Datos Generales'!$E$19</f>
        <v>0</v>
      </c>
    </row>
    <row r="160" spans="4:11" ht="19.5" hidden="1" customHeight="1" x14ac:dyDescent="0.25">
      <c r="D160" s="13">
        <v>154</v>
      </c>
      <c r="E160" s="256">
        <f>'🧾 Factura Comercial'!E160</f>
        <v>0</v>
      </c>
      <c r="F160" s="257">
        <f>'🧾 Factura Comercial'!G160</f>
        <v>0</v>
      </c>
      <c r="G160" s="264">
        <f>'🧾 Factura Comercial'!H160</f>
        <v>0</v>
      </c>
      <c r="H160" s="265">
        <f>'🧾 Factura Comercial'!I160</f>
        <v>0</v>
      </c>
      <c r="I160" s="298">
        <f>'🧾 Factura Comercial'!J160</f>
        <v>0</v>
      </c>
      <c r="J160" s="260">
        <f t="shared" si="2"/>
        <v>0</v>
      </c>
      <c r="K160" s="261">
        <f>J160*'📋 Datos Generales'!$E$19</f>
        <v>0</v>
      </c>
    </row>
    <row r="161" spans="4:11" ht="19.5" hidden="1" customHeight="1" x14ac:dyDescent="0.25">
      <c r="D161" s="13">
        <v>155</v>
      </c>
      <c r="E161" s="262">
        <f>'🧾 Factura Comercial'!E161</f>
        <v>0</v>
      </c>
      <c r="F161" s="263">
        <f>'🧾 Factura Comercial'!G161</f>
        <v>0</v>
      </c>
      <c r="G161" s="258">
        <f>'🧾 Factura Comercial'!H161</f>
        <v>0</v>
      </c>
      <c r="H161" s="265">
        <f>'🧾 Factura Comercial'!I161</f>
        <v>0</v>
      </c>
      <c r="I161" s="298">
        <f>'🧾 Factura Comercial'!J161</f>
        <v>0</v>
      </c>
      <c r="J161" s="260">
        <f t="shared" si="2"/>
        <v>0</v>
      </c>
      <c r="K161" s="261">
        <f>J161*'📋 Datos Generales'!$E$19</f>
        <v>0</v>
      </c>
    </row>
    <row r="162" spans="4:11" ht="19.5" hidden="1" customHeight="1" x14ac:dyDescent="0.25">
      <c r="D162" s="13">
        <v>156</v>
      </c>
      <c r="E162" s="262">
        <f>'🧾 Factura Comercial'!E162</f>
        <v>0</v>
      </c>
      <c r="F162" s="263">
        <f>'🧾 Factura Comercial'!G162</f>
        <v>0</v>
      </c>
      <c r="G162" s="264">
        <f>'🧾 Factura Comercial'!H162</f>
        <v>0</v>
      </c>
      <c r="H162" s="259">
        <f>'🧾 Factura Comercial'!I162</f>
        <v>0</v>
      </c>
      <c r="I162" s="298">
        <f>'🧾 Factura Comercial'!J162</f>
        <v>0</v>
      </c>
      <c r="J162" s="260">
        <f t="shared" si="2"/>
        <v>0</v>
      </c>
      <c r="K162" s="261">
        <f>J162*'📋 Datos Generales'!$E$19</f>
        <v>0</v>
      </c>
    </row>
    <row r="163" spans="4:11" ht="19.5" hidden="1" customHeight="1" x14ac:dyDescent="0.25">
      <c r="D163" s="13">
        <v>157</v>
      </c>
      <c r="E163" s="262">
        <f>'🧾 Factura Comercial'!E163</f>
        <v>0</v>
      </c>
      <c r="F163" s="263">
        <f>'🧾 Factura Comercial'!G163</f>
        <v>0</v>
      </c>
      <c r="G163" s="264">
        <f>'🧾 Factura Comercial'!H163</f>
        <v>0</v>
      </c>
      <c r="H163" s="265">
        <f>'🧾 Factura Comercial'!I163</f>
        <v>0</v>
      </c>
      <c r="I163" s="298">
        <f>'🧾 Factura Comercial'!J163</f>
        <v>0</v>
      </c>
      <c r="J163" s="260">
        <f t="shared" si="2"/>
        <v>0</v>
      </c>
      <c r="K163" s="261">
        <f>J163*'📋 Datos Generales'!$E$19</f>
        <v>0</v>
      </c>
    </row>
    <row r="164" spans="4:11" ht="19.5" hidden="1" customHeight="1" x14ac:dyDescent="0.25">
      <c r="D164" s="13">
        <v>158</v>
      </c>
      <c r="E164" s="262">
        <f>'🧾 Factura Comercial'!E164</f>
        <v>0</v>
      </c>
      <c r="F164" s="263">
        <f>'🧾 Factura Comercial'!G164</f>
        <v>0</v>
      </c>
      <c r="G164" s="264">
        <f>'🧾 Factura Comercial'!H164</f>
        <v>0</v>
      </c>
      <c r="H164" s="265">
        <f>'🧾 Factura Comercial'!I164</f>
        <v>0</v>
      </c>
      <c r="I164" s="298">
        <f>'🧾 Factura Comercial'!J164</f>
        <v>0</v>
      </c>
      <c r="J164" s="260">
        <f t="shared" si="2"/>
        <v>0</v>
      </c>
      <c r="K164" s="261">
        <f>J164*'📋 Datos Generales'!$E$19</f>
        <v>0</v>
      </c>
    </row>
    <row r="165" spans="4:11" ht="19.5" hidden="1" customHeight="1" x14ac:dyDescent="0.25">
      <c r="D165" s="13">
        <v>159</v>
      </c>
      <c r="E165" s="262">
        <f>'🧾 Factura Comercial'!E165</f>
        <v>0</v>
      </c>
      <c r="F165" s="263">
        <f>'🧾 Factura Comercial'!G165</f>
        <v>0</v>
      </c>
      <c r="G165" s="264">
        <f>'🧾 Factura Comercial'!H165</f>
        <v>0</v>
      </c>
      <c r="H165" s="265">
        <f>'🧾 Factura Comercial'!I165</f>
        <v>0</v>
      </c>
      <c r="I165" s="298">
        <f>'🧾 Factura Comercial'!J165</f>
        <v>0</v>
      </c>
      <c r="J165" s="260">
        <f t="shared" si="2"/>
        <v>0</v>
      </c>
      <c r="K165" s="261">
        <f>J165*'📋 Datos Generales'!$E$19</f>
        <v>0</v>
      </c>
    </row>
    <row r="166" spans="4:11" ht="19.5" hidden="1" customHeight="1" x14ac:dyDescent="0.25">
      <c r="D166" s="13">
        <v>160</v>
      </c>
      <c r="E166" s="262">
        <f>'🧾 Factura Comercial'!E166</f>
        <v>0</v>
      </c>
      <c r="F166" s="263">
        <f>'🧾 Factura Comercial'!G166</f>
        <v>0</v>
      </c>
      <c r="G166" s="264">
        <f>'🧾 Factura Comercial'!H166</f>
        <v>0</v>
      </c>
      <c r="H166" s="265">
        <f>'🧾 Factura Comercial'!I166</f>
        <v>0</v>
      </c>
      <c r="I166" s="298">
        <f>'🧾 Factura Comercial'!J166</f>
        <v>0</v>
      </c>
      <c r="J166" s="260">
        <f t="shared" si="2"/>
        <v>0</v>
      </c>
      <c r="K166" s="261">
        <f>J166*'📋 Datos Generales'!$E$19</f>
        <v>0</v>
      </c>
    </row>
    <row r="167" spans="4:11" ht="19.5" hidden="1" customHeight="1" x14ac:dyDescent="0.25">
      <c r="D167" s="13">
        <v>161</v>
      </c>
      <c r="E167" s="262">
        <f>'🧾 Factura Comercial'!E167</f>
        <v>0</v>
      </c>
      <c r="F167" s="263">
        <f>'🧾 Factura Comercial'!G167</f>
        <v>0</v>
      </c>
      <c r="G167" s="264">
        <f>'🧾 Factura Comercial'!H167</f>
        <v>0</v>
      </c>
      <c r="H167" s="259">
        <f>'🧾 Factura Comercial'!I167</f>
        <v>0</v>
      </c>
      <c r="I167" s="298">
        <f>'🧾 Factura Comercial'!J167</f>
        <v>0</v>
      </c>
      <c r="J167" s="260">
        <f t="shared" si="2"/>
        <v>0</v>
      </c>
      <c r="K167" s="261">
        <f>J167*'📋 Datos Generales'!$E$19</f>
        <v>0</v>
      </c>
    </row>
    <row r="168" spans="4:11" ht="19.5" hidden="1" customHeight="1" x14ac:dyDescent="0.25">
      <c r="D168" s="13">
        <v>162</v>
      </c>
      <c r="E168" s="262">
        <f>'🧾 Factura Comercial'!E168</f>
        <v>0</v>
      </c>
      <c r="F168" s="263">
        <f>'🧾 Factura Comercial'!G168</f>
        <v>0</v>
      </c>
      <c r="G168" s="258">
        <f>'🧾 Factura Comercial'!H168</f>
        <v>0</v>
      </c>
      <c r="H168" s="265">
        <f>'🧾 Factura Comercial'!I168</f>
        <v>0</v>
      </c>
      <c r="I168" s="298">
        <f>'🧾 Factura Comercial'!J168</f>
        <v>0</v>
      </c>
      <c r="J168" s="260">
        <f t="shared" si="2"/>
        <v>0</v>
      </c>
      <c r="K168" s="261">
        <f>J168*'📋 Datos Generales'!$E$19</f>
        <v>0</v>
      </c>
    </row>
    <row r="169" spans="4:11" ht="19.5" hidden="1" customHeight="1" x14ac:dyDescent="0.25">
      <c r="D169" s="13">
        <v>163</v>
      </c>
      <c r="E169" s="256">
        <f>'🧾 Factura Comercial'!E169</f>
        <v>0</v>
      </c>
      <c r="F169" s="257">
        <f>'🧾 Factura Comercial'!G169</f>
        <v>0</v>
      </c>
      <c r="G169" s="264">
        <f>'🧾 Factura Comercial'!H169</f>
        <v>0</v>
      </c>
      <c r="H169" s="265">
        <f>'🧾 Factura Comercial'!I169</f>
        <v>0</v>
      </c>
      <c r="I169" s="298">
        <f>'🧾 Factura Comercial'!J169</f>
        <v>0</v>
      </c>
      <c r="J169" s="260">
        <f t="shared" si="2"/>
        <v>0</v>
      </c>
      <c r="K169" s="261">
        <f>J169*'📋 Datos Generales'!$E$19</f>
        <v>0</v>
      </c>
    </row>
    <row r="170" spans="4:11" ht="19.5" hidden="1" customHeight="1" x14ac:dyDescent="0.25">
      <c r="D170" s="13">
        <v>164</v>
      </c>
      <c r="E170" s="262">
        <f>'🧾 Factura Comercial'!E170</f>
        <v>0</v>
      </c>
      <c r="F170" s="263">
        <f>'🧾 Factura Comercial'!G170</f>
        <v>0</v>
      </c>
      <c r="G170" s="264">
        <f>'🧾 Factura Comercial'!H170</f>
        <v>0</v>
      </c>
      <c r="H170" s="265">
        <f>'🧾 Factura Comercial'!I170</f>
        <v>0</v>
      </c>
      <c r="I170" s="298">
        <f>'🧾 Factura Comercial'!J170</f>
        <v>0</v>
      </c>
      <c r="J170" s="260">
        <f t="shared" si="2"/>
        <v>0</v>
      </c>
      <c r="K170" s="261">
        <f>J170*'📋 Datos Generales'!$E$19</f>
        <v>0</v>
      </c>
    </row>
    <row r="171" spans="4:11" ht="19.5" hidden="1" customHeight="1" x14ac:dyDescent="0.25">
      <c r="D171" s="13">
        <v>165</v>
      </c>
      <c r="E171" s="262">
        <f>'🧾 Factura Comercial'!E171</f>
        <v>0</v>
      </c>
      <c r="F171" s="263">
        <f>'🧾 Factura Comercial'!G171</f>
        <v>0</v>
      </c>
      <c r="G171" s="264">
        <f>'🧾 Factura Comercial'!H171</f>
        <v>0</v>
      </c>
      <c r="H171" s="265">
        <f>'🧾 Factura Comercial'!I171</f>
        <v>0</v>
      </c>
      <c r="I171" s="298">
        <f>'🧾 Factura Comercial'!J171</f>
        <v>0</v>
      </c>
      <c r="J171" s="260">
        <f t="shared" si="2"/>
        <v>0</v>
      </c>
      <c r="K171" s="261">
        <f>J171*'📋 Datos Generales'!$E$19</f>
        <v>0</v>
      </c>
    </row>
    <row r="172" spans="4:11" ht="19.5" hidden="1" customHeight="1" x14ac:dyDescent="0.25">
      <c r="D172" s="13">
        <v>166</v>
      </c>
      <c r="E172" s="262">
        <f>'🧾 Factura Comercial'!E172</f>
        <v>0</v>
      </c>
      <c r="F172" s="263">
        <f>'🧾 Factura Comercial'!G172</f>
        <v>0</v>
      </c>
      <c r="G172" s="264">
        <f>'🧾 Factura Comercial'!H172</f>
        <v>0</v>
      </c>
      <c r="H172" s="259">
        <f>'🧾 Factura Comercial'!I172</f>
        <v>0</v>
      </c>
      <c r="I172" s="298">
        <f>'🧾 Factura Comercial'!J172</f>
        <v>0</v>
      </c>
      <c r="J172" s="260">
        <f t="shared" si="2"/>
        <v>0</v>
      </c>
      <c r="K172" s="261">
        <f>J172*'📋 Datos Generales'!$E$19</f>
        <v>0</v>
      </c>
    </row>
    <row r="173" spans="4:11" ht="19.5" hidden="1" customHeight="1" x14ac:dyDescent="0.25">
      <c r="D173" s="13">
        <v>167</v>
      </c>
      <c r="E173" s="262">
        <f>'🧾 Factura Comercial'!E173</f>
        <v>0</v>
      </c>
      <c r="F173" s="263">
        <f>'🧾 Factura Comercial'!G173</f>
        <v>0</v>
      </c>
      <c r="G173" s="264">
        <f>'🧾 Factura Comercial'!H173</f>
        <v>0</v>
      </c>
      <c r="H173" s="265">
        <f>'🧾 Factura Comercial'!I173</f>
        <v>0</v>
      </c>
      <c r="I173" s="298">
        <f>'🧾 Factura Comercial'!J173</f>
        <v>0</v>
      </c>
      <c r="J173" s="260">
        <f t="shared" si="2"/>
        <v>0</v>
      </c>
      <c r="K173" s="261">
        <f>J173*'📋 Datos Generales'!$E$19</f>
        <v>0</v>
      </c>
    </row>
    <row r="174" spans="4:11" ht="19.5" hidden="1" customHeight="1" x14ac:dyDescent="0.25">
      <c r="D174" s="13">
        <v>168</v>
      </c>
      <c r="E174" s="262">
        <f>'🧾 Factura Comercial'!E174</f>
        <v>0</v>
      </c>
      <c r="F174" s="263">
        <f>'🧾 Factura Comercial'!G174</f>
        <v>0</v>
      </c>
      <c r="G174" s="264">
        <f>'🧾 Factura Comercial'!H174</f>
        <v>0</v>
      </c>
      <c r="H174" s="265">
        <f>'🧾 Factura Comercial'!I174</f>
        <v>0</v>
      </c>
      <c r="I174" s="298">
        <f>'🧾 Factura Comercial'!J174</f>
        <v>0</v>
      </c>
      <c r="J174" s="260">
        <f t="shared" si="2"/>
        <v>0</v>
      </c>
      <c r="K174" s="261">
        <f>J174*'📋 Datos Generales'!$E$19</f>
        <v>0</v>
      </c>
    </row>
    <row r="175" spans="4:11" ht="19.5" hidden="1" customHeight="1" x14ac:dyDescent="0.25">
      <c r="D175" s="13">
        <v>169</v>
      </c>
      <c r="E175" s="262">
        <f>'🧾 Factura Comercial'!E175</f>
        <v>0</v>
      </c>
      <c r="F175" s="263">
        <f>'🧾 Factura Comercial'!G175</f>
        <v>0</v>
      </c>
      <c r="G175" s="258">
        <f>'🧾 Factura Comercial'!H175</f>
        <v>0</v>
      </c>
      <c r="H175" s="265">
        <f>'🧾 Factura Comercial'!I175</f>
        <v>0</v>
      </c>
      <c r="I175" s="298">
        <f>'🧾 Factura Comercial'!J175</f>
        <v>0</v>
      </c>
      <c r="J175" s="260">
        <f t="shared" si="2"/>
        <v>0</v>
      </c>
      <c r="K175" s="261">
        <f>J175*'📋 Datos Generales'!$E$19</f>
        <v>0</v>
      </c>
    </row>
    <row r="176" spans="4:11" ht="19.5" hidden="1" customHeight="1" x14ac:dyDescent="0.25">
      <c r="D176" s="13">
        <v>170</v>
      </c>
      <c r="E176" s="262">
        <f>'🧾 Factura Comercial'!E176</f>
        <v>0</v>
      </c>
      <c r="F176" s="263">
        <f>'🧾 Factura Comercial'!G176</f>
        <v>0</v>
      </c>
      <c r="G176" s="264">
        <f>'🧾 Factura Comercial'!H176</f>
        <v>0</v>
      </c>
      <c r="H176" s="265">
        <f>'🧾 Factura Comercial'!I176</f>
        <v>0</v>
      </c>
      <c r="I176" s="298">
        <f>'🧾 Factura Comercial'!J176</f>
        <v>0</v>
      </c>
      <c r="J176" s="260">
        <f t="shared" si="2"/>
        <v>0</v>
      </c>
      <c r="K176" s="261">
        <f>J176*'📋 Datos Generales'!$E$19</f>
        <v>0</v>
      </c>
    </row>
    <row r="177" spans="4:11" ht="19.5" hidden="1" customHeight="1" x14ac:dyDescent="0.25">
      <c r="D177" s="13">
        <v>171</v>
      </c>
      <c r="E177" s="262">
        <f>'🧾 Factura Comercial'!E177</f>
        <v>0</v>
      </c>
      <c r="F177" s="263">
        <f>'🧾 Factura Comercial'!G177</f>
        <v>0</v>
      </c>
      <c r="G177" s="264">
        <f>'🧾 Factura Comercial'!H177</f>
        <v>0</v>
      </c>
      <c r="H177" s="259">
        <f>'🧾 Factura Comercial'!I177</f>
        <v>0</v>
      </c>
      <c r="I177" s="298">
        <f>'🧾 Factura Comercial'!J177</f>
        <v>0</v>
      </c>
      <c r="J177" s="260">
        <f t="shared" si="2"/>
        <v>0</v>
      </c>
      <c r="K177" s="261">
        <f>J177*'📋 Datos Generales'!$E$19</f>
        <v>0</v>
      </c>
    </row>
    <row r="178" spans="4:11" ht="19.5" hidden="1" customHeight="1" x14ac:dyDescent="0.25">
      <c r="D178" s="13">
        <v>172</v>
      </c>
      <c r="E178" s="256">
        <f>'🧾 Factura Comercial'!E178</f>
        <v>0</v>
      </c>
      <c r="F178" s="257">
        <f>'🧾 Factura Comercial'!G178</f>
        <v>0</v>
      </c>
      <c r="G178" s="264">
        <f>'🧾 Factura Comercial'!H178</f>
        <v>0</v>
      </c>
      <c r="H178" s="265">
        <f>'🧾 Factura Comercial'!I178</f>
        <v>0</v>
      </c>
      <c r="I178" s="298">
        <f>'🧾 Factura Comercial'!J178</f>
        <v>0</v>
      </c>
      <c r="J178" s="260">
        <f t="shared" si="2"/>
        <v>0</v>
      </c>
      <c r="K178" s="261">
        <f>J178*'📋 Datos Generales'!$E$19</f>
        <v>0</v>
      </c>
    </row>
    <row r="179" spans="4:11" ht="19.5" hidden="1" customHeight="1" x14ac:dyDescent="0.25">
      <c r="D179" s="13">
        <v>173</v>
      </c>
      <c r="E179" s="262">
        <f>'🧾 Factura Comercial'!E179</f>
        <v>0</v>
      </c>
      <c r="F179" s="263">
        <f>'🧾 Factura Comercial'!G179</f>
        <v>0</v>
      </c>
      <c r="G179" s="264">
        <f>'🧾 Factura Comercial'!H179</f>
        <v>0</v>
      </c>
      <c r="H179" s="265">
        <f>'🧾 Factura Comercial'!I179</f>
        <v>0</v>
      </c>
      <c r="I179" s="298">
        <f>'🧾 Factura Comercial'!J179</f>
        <v>0</v>
      </c>
      <c r="J179" s="260">
        <f t="shared" si="2"/>
        <v>0</v>
      </c>
      <c r="K179" s="261">
        <f>J179*'📋 Datos Generales'!$E$19</f>
        <v>0</v>
      </c>
    </row>
    <row r="180" spans="4:11" ht="19.5" hidden="1" customHeight="1" x14ac:dyDescent="0.25">
      <c r="D180" s="13">
        <v>174</v>
      </c>
      <c r="E180" s="262">
        <f>'🧾 Factura Comercial'!E180</f>
        <v>0</v>
      </c>
      <c r="F180" s="263">
        <f>'🧾 Factura Comercial'!G180</f>
        <v>0</v>
      </c>
      <c r="G180" s="264">
        <f>'🧾 Factura Comercial'!H180</f>
        <v>0</v>
      </c>
      <c r="H180" s="265">
        <f>'🧾 Factura Comercial'!I180</f>
        <v>0</v>
      </c>
      <c r="I180" s="298">
        <f>'🧾 Factura Comercial'!J180</f>
        <v>0</v>
      </c>
      <c r="J180" s="260">
        <f t="shared" si="2"/>
        <v>0</v>
      </c>
      <c r="K180" s="261">
        <f>J180*'📋 Datos Generales'!$E$19</f>
        <v>0</v>
      </c>
    </row>
    <row r="181" spans="4:11" ht="19.5" hidden="1" customHeight="1" x14ac:dyDescent="0.25">
      <c r="D181" s="13">
        <v>175</v>
      </c>
      <c r="E181" s="262">
        <f>'🧾 Factura Comercial'!E181</f>
        <v>0</v>
      </c>
      <c r="F181" s="263">
        <f>'🧾 Factura Comercial'!G181</f>
        <v>0</v>
      </c>
      <c r="G181" s="264">
        <f>'🧾 Factura Comercial'!H181</f>
        <v>0</v>
      </c>
      <c r="H181" s="265">
        <f>'🧾 Factura Comercial'!I181</f>
        <v>0</v>
      </c>
      <c r="I181" s="298">
        <f>'🧾 Factura Comercial'!J181</f>
        <v>0</v>
      </c>
      <c r="J181" s="260">
        <f t="shared" si="2"/>
        <v>0</v>
      </c>
      <c r="K181" s="261">
        <f>J181*'📋 Datos Generales'!$E$19</f>
        <v>0</v>
      </c>
    </row>
    <row r="182" spans="4:11" ht="19.5" hidden="1" customHeight="1" x14ac:dyDescent="0.25">
      <c r="D182" s="13">
        <v>176</v>
      </c>
      <c r="E182" s="262">
        <f>'🧾 Factura Comercial'!E182</f>
        <v>0</v>
      </c>
      <c r="F182" s="263">
        <f>'🧾 Factura Comercial'!G182</f>
        <v>0</v>
      </c>
      <c r="G182" s="258">
        <f>'🧾 Factura Comercial'!H182</f>
        <v>0</v>
      </c>
      <c r="H182" s="259">
        <f>'🧾 Factura Comercial'!I182</f>
        <v>0</v>
      </c>
      <c r="I182" s="298">
        <f>'🧾 Factura Comercial'!J182</f>
        <v>0</v>
      </c>
      <c r="J182" s="260">
        <f t="shared" si="2"/>
        <v>0</v>
      </c>
      <c r="K182" s="261">
        <f>J182*'📋 Datos Generales'!$E$19</f>
        <v>0</v>
      </c>
    </row>
    <row r="183" spans="4:11" ht="19.5" hidden="1" customHeight="1" x14ac:dyDescent="0.25">
      <c r="D183" s="13">
        <v>177</v>
      </c>
      <c r="E183" s="262">
        <f>'🧾 Factura Comercial'!E183</f>
        <v>0</v>
      </c>
      <c r="F183" s="263">
        <f>'🧾 Factura Comercial'!G183</f>
        <v>0</v>
      </c>
      <c r="G183" s="264">
        <f>'🧾 Factura Comercial'!H183</f>
        <v>0</v>
      </c>
      <c r="H183" s="265">
        <f>'🧾 Factura Comercial'!I183</f>
        <v>0</v>
      </c>
      <c r="I183" s="298">
        <f>'🧾 Factura Comercial'!J183</f>
        <v>0</v>
      </c>
      <c r="J183" s="260">
        <f t="shared" si="2"/>
        <v>0</v>
      </c>
      <c r="K183" s="261">
        <f>J183*'📋 Datos Generales'!$E$19</f>
        <v>0</v>
      </c>
    </row>
    <row r="184" spans="4:11" ht="19.5" hidden="1" customHeight="1" x14ac:dyDescent="0.25">
      <c r="D184" s="13">
        <v>178</v>
      </c>
      <c r="E184" s="262">
        <f>'🧾 Factura Comercial'!E184</f>
        <v>0</v>
      </c>
      <c r="F184" s="263">
        <f>'🧾 Factura Comercial'!G184</f>
        <v>0</v>
      </c>
      <c r="G184" s="264">
        <f>'🧾 Factura Comercial'!H184</f>
        <v>0</v>
      </c>
      <c r="H184" s="265">
        <f>'🧾 Factura Comercial'!I184</f>
        <v>0</v>
      </c>
      <c r="I184" s="298">
        <f>'🧾 Factura Comercial'!J184</f>
        <v>0</v>
      </c>
      <c r="J184" s="260">
        <f t="shared" si="2"/>
        <v>0</v>
      </c>
      <c r="K184" s="261">
        <f>J184*'📋 Datos Generales'!$E$19</f>
        <v>0</v>
      </c>
    </row>
    <row r="185" spans="4:11" ht="19.5" hidden="1" customHeight="1" x14ac:dyDescent="0.25">
      <c r="D185" s="13">
        <v>179</v>
      </c>
      <c r="E185" s="262">
        <f>'🧾 Factura Comercial'!E185</f>
        <v>0</v>
      </c>
      <c r="F185" s="263">
        <f>'🧾 Factura Comercial'!G185</f>
        <v>0</v>
      </c>
      <c r="G185" s="264">
        <f>'🧾 Factura Comercial'!H185</f>
        <v>0</v>
      </c>
      <c r="H185" s="265">
        <f>'🧾 Factura Comercial'!I185</f>
        <v>0</v>
      </c>
      <c r="I185" s="298">
        <f>'🧾 Factura Comercial'!J185</f>
        <v>0</v>
      </c>
      <c r="J185" s="260">
        <f t="shared" si="2"/>
        <v>0</v>
      </c>
      <c r="K185" s="261">
        <f>J185*'📋 Datos Generales'!$E$19</f>
        <v>0</v>
      </c>
    </row>
    <row r="186" spans="4:11" ht="19.5" hidden="1" customHeight="1" x14ac:dyDescent="0.25">
      <c r="D186" s="13">
        <v>180</v>
      </c>
      <c r="E186" s="262">
        <f>'🧾 Factura Comercial'!E186</f>
        <v>0</v>
      </c>
      <c r="F186" s="263">
        <f>'🧾 Factura Comercial'!G186</f>
        <v>0</v>
      </c>
      <c r="G186" s="264">
        <f>'🧾 Factura Comercial'!H186</f>
        <v>0</v>
      </c>
      <c r="H186" s="265">
        <f>'🧾 Factura Comercial'!I186</f>
        <v>0</v>
      </c>
      <c r="I186" s="298">
        <f>'🧾 Factura Comercial'!J186</f>
        <v>0</v>
      </c>
      <c r="J186" s="260">
        <f t="shared" si="2"/>
        <v>0</v>
      </c>
      <c r="K186" s="261">
        <f>J186*'📋 Datos Generales'!$E$19</f>
        <v>0</v>
      </c>
    </row>
    <row r="187" spans="4:11" ht="19.5" hidden="1" customHeight="1" x14ac:dyDescent="0.25">
      <c r="D187" s="13">
        <v>181</v>
      </c>
      <c r="E187" s="256">
        <f>'🧾 Factura Comercial'!E187</f>
        <v>0</v>
      </c>
      <c r="F187" s="257">
        <f>'🧾 Factura Comercial'!G187</f>
        <v>0</v>
      </c>
      <c r="G187" s="264">
        <f>'🧾 Factura Comercial'!H187</f>
        <v>0</v>
      </c>
      <c r="H187" s="259">
        <f>'🧾 Factura Comercial'!I187</f>
        <v>0</v>
      </c>
      <c r="I187" s="298">
        <f>'🧾 Factura Comercial'!J187</f>
        <v>0</v>
      </c>
      <c r="J187" s="260">
        <f t="shared" si="2"/>
        <v>0</v>
      </c>
      <c r="K187" s="261">
        <f>J187*'📋 Datos Generales'!$E$19</f>
        <v>0</v>
      </c>
    </row>
    <row r="188" spans="4:11" ht="19.5" hidden="1" customHeight="1" x14ac:dyDescent="0.25">
      <c r="D188" s="13">
        <v>182</v>
      </c>
      <c r="E188" s="262">
        <f>'🧾 Factura Comercial'!E188</f>
        <v>0</v>
      </c>
      <c r="F188" s="263">
        <f>'🧾 Factura Comercial'!G188</f>
        <v>0</v>
      </c>
      <c r="G188" s="264">
        <f>'🧾 Factura Comercial'!H188</f>
        <v>0</v>
      </c>
      <c r="H188" s="265">
        <f>'🧾 Factura Comercial'!I188</f>
        <v>0</v>
      </c>
      <c r="I188" s="298">
        <f>'🧾 Factura Comercial'!J188</f>
        <v>0</v>
      </c>
      <c r="J188" s="260">
        <f t="shared" si="2"/>
        <v>0</v>
      </c>
      <c r="K188" s="261">
        <f>J188*'📋 Datos Generales'!$E$19</f>
        <v>0</v>
      </c>
    </row>
    <row r="189" spans="4:11" ht="19.5" hidden="1" customHeight="1" x14ac:dyDescent="0.25">
      <c r="D189" s="13">
        <v>183</v>
      </c>
      <c r="E189" s="262">
        <f>'🧾 Factura Comercial'!E189</f>
        <v>0</v>
      </c>
      <c r="F189" s="263">
        <f>'🧾 Factura Comercial'!G189</f>
        <v>0</v>
      </c>
      <c r="G189" s="258">
        <f>'🧾 Factura Comercial'!H189</f>
        <v>0</v>
      </c>
      <c r="H189" s="265">
        <f>'🧾 Factura Comercial'!I189</f>
        <v>0</v>
      </c>
      <c r="I189" s="298">
        <f>'🧾 Factura Comercial'!J189</f>
        <v>0</v>
      </c>
      <c r="J189" s="260">
        <f t="shared" si="2"/>
        <v>0</v>
      </c>
      <c r="K189" s="261">
        <f>J189*'📋 Datos Generales'!$E$19</f>
        <v>0</v>
      </c>
    </row>
    <row r="190" spans="4:11" ht="19.5" hidden="1" customHeight="1" x14ac:dyDescent="0.25">
      <c r="D190" s="13">
        <v>184</v>
      </c>
      <c r="E190" s="262">
        <f>'🧾 Factura Comercial'!E190</f>
        <v>0</v>
      </c>
      <c r="F190" s="263">
        <f>'🧾 Factura Comercial'!G190</f>
        <v>0</v>
      </c>
      <c r="G190" s="264">
        <f>'🧾 Factura Comercial'!H190</f>
        <v>0</v>
      </c>
      <c r="H190" s="265">
        <f>'🧾 Factura Comercial'!I190</f>
        <v>0</v>
      </c>
      <c r="I190" s="298">
        <f>'🧾 Factura Comercial'!J190</f>
        <v>0</v>
      </c>
      <c r="J190" s="260">
        <f t="shared" si="2"/>
        <v>0</v>
      </c>
      <c r="K190" s="261">
        <f>J190*'📋 Datos Generales'!$E$19</f>
        <v>0</v>
      </c>
    </row>
    <row r="191" spans="4:11" ht="19.5" hidden="1" customHeight="1" x14ac:dyDescent="0.25">
      <c r="D191" s="13">
        <v>185</v>
      </c>
      <c r="E191" s="262">
        <f>'🧾 Factura Comercial'!E191</f>
        <v>0</v>
      </c>
      <c r="F191" s="263">
        <f>'🧾 Factura Comercial'!G191</f>
        <v>0</v>
      </c>
      <c r="G191" s="264">
        <f>'🧾 Factura Comercial'!H191</f>
        <v>0</v>
      </c>
      <c r="H191" s="265">
        <f>'🧾 Factura Comercial'!I191</f>
        <v>0</v>
      </c>
      <c r="I191" s="298">
        <f>'🧾 Factura Comercial'!J191</f>
        <v>0</v>
      </c>
      <c r="J191" s="260">
        <f t="shared" si="2"/>
        <v>0</v>
      </c>
      <c r="K191" s="261">
        <f>J191*'📋 Datos Generales'!$E$19</f>
        <v>0</v>
      </c>
    </row>
    <row r="192" spans="4:11" ht="19.5" hidden="1" customHeight="1" x14ac:dyDescent="0.25">
      <c r="D192" s="13">
        <v>186</v>
      </c>
      <c r="E192" s="262">
        <f>'🧾 Factura Comercial'!E192</f>
        <v>0</v>
      </c>
      <c r="F192" s="263">
        <f>'🧾 Factura Comercial'!G192</f>
        <v>0</v>
      </c>
      <c r="G192" s="264">
        <f>'🧾 Factura Comercial'!H192</f>
        <v>0</v>
      </c>
      <c r="H192" s="259">
        <f>'🧾 Factura Comercial'!I192</f>
        <v>0</v>
      </c>
      <c r="I192" s="298">
        <f>'🧾 Factura Comercial'!J192</f>
        <v>0</v>
      </c>
      <c r="J192" s="260">
        <f t="shared" si="2"/>
        <v>0</v>
      </c>
      <c r="K192" s="261">
        <f>J192*'📋 Datos Generales'!$E$19</f>
        <v>0</v>
      </c>
    </row>
    <row r="193" spans="4:11" ht="19.5" hidden="1" customHeight="1" x14ac:dyDescent="0.25">
      <c r="D193" s="13">
        <v>187</v>
      </c>
      <c r="E193" s="262">
        <f>'🧾 Factura Comercial'!E193</f>
        <v>0</v>
      </c>
      <c r="F193" s="263">
        <f>'🧾 Factura Comercial'!G193</f>
        <v>0</v>
      </c>
      <c r="G193" s="264">
        <f>'🧾 Factura Comercial'!H193</f>
        <v>0</v>
      </c>
      <c r="H193" s="265">
        <f>'🧾 Factura Comercial'!I193</f>
        <v>0</v>
      </c>
      <c r="I193" s="298">
        <f>'🧾 Factura Comercial'!J193</f>
        <v>0</v>
      </c>
      <c r="J193" s="260">
        <f t="shared" si="2"/>
        <v>0</v>
      </c>
      <c r="K193" s="261">
        <f>J193*'📋 Datos Generales'!$E$19</f>
        <v>0</v>
      </c>
    </row>
    <row r="194" spans="4:11" ht="19.5" hidden="1" customHeight="1" x14ac:dyDescent="0.25">
      <c r="D194" s="13">
        <v>188</v>
      </c>
      <c r="E194" s="262">
        <f>'🧾 Factura Comercial'!E194</f>
        <v>0</v>
      </c>
      <c r="F194" s="263">
        <f>'🧾 Factura Comercial'!G194</f>
        <v>0</v>
      </c>
      <c r="G194" s="264">
        <f>'🧾 Factura Comercial'!H194</f>
        <v>0</v>
      </c>
      <c r="H194" s="265">
        <f>'🧾 Factura Comercial'!I194</f>
        <v>0</v>
      </c>
      <c r="I194" s="298">
        <f>'🧾 Factura Comercial'!J194</f>
        <v>0</v>
      </c>
      <c r="J194" s="260">
        <f t="shared" si="2"/>
        <v>0</v>
      </c>
      <c r="K194" s="261">
        <f>J194*'📋 Datos Generales'!$E$19</f>
        <v>0</v>
      </c>
    </row>
    <row r="195" spans="4:11" ht="19.5" hidden="1" customHeight="1" x14ac:dyDescent="0.25">
      <c r="D195" s="13">
        <v>189</v>
      </c>
      <c r="E195" s="262">
        <f>'🧾 Factura Comercial'!E195</f>
        <v>0</v>
      </c>
      <c r="F195" s="263">
        <f>'🧾 Factura Comercial'!G195</f>
        <v>0</v>
      </c>
      <c r="G195" s="264">
        <f>'🧾 Factura Comercial'!H195</f>
        <v>0</v>
      </c>
      <c r="H195" s="265">
        <f>'🧾 Factura Comercial'!I195</f>
        <v>0</v>
      </c>
      <c r="I195" s="298">
        <f>'🧾 Factura Comercial'!J195</f>
        <v>0</v>
      </c>
      <c r="J195" s="260">
        <f t="shared" si="2"/>
        <v>0</v>
      </c>
      <c r="K195" s="261">
        <f>J195*'📋 Datos Generales'!$E$19</f>
        <v>0</v>
      </c>
    </row>
    <row r="196" spans="4:11" ht="19.5" hidden="1" customHeight="1" x14ac:dyDescent="0.25">
      <c r="D196" s="13">
        <v>190</v>
      </c>
      <c r="E196" s="256">
        <f>'🧾 Factura Comercial'!E196</f>
        <v>0</v>
      </c>
      <c r="F196" s="257">
        <f>'🧾 Factura Comercial'!G196</f>
        <v>0</v>
      </c>
      <c r="G196" s="258">
        <f>'🧾 Factura Comercial'!H196</f>
        <v>0</v>
      </c>
      <c r="H196" s="265">
        <f>'🧾 Factura Comercial'!I196</f>
        <v>0</v>
      </c>
      <c r="I196" s="298">
        <f>'🧾 Factura Comercial'!J196</f>
        <v>0</v>
      </c>
      <c r="J196" s="260">
        <f t="shared" si="2"/>
        <v>0</v>
      </c>
      <c r="K196" s="261">
        <f>J196*'📋 Datos Generales'!$E$19</f>
        <v>0</v>
      </c>
    </row>
    <row r="197" spans="4:11" ht="19.5" hidden="1" customHeight="1" x14ac:dyDescent="0.25">
      <c r="D197" s="13">
        <v>191</v>
      </c>
      <c r="E197" s="262">
        <f>'🧾 Factura Comercial'!E197</f>
        <v>0</v>
      </c>
      <c r="F197" s="263">
        <f>'🧾 Factura Comercial'!G197</f>
        <v>0</v>
      </c>
      <c r="G197" s="264">
        <f>'🧾 Factura Comercial'!H197</f>
        <v>0</v>
      </c>
      <c r="H197" s="259">
        <f>'🧾 Factura Comercial'!I197</f>
        <v>0</v>
      </c>
      <c r="I197" s="298">
        <f>'🧾 Factura Comercial'!J197</f>
        <v>0</v>
      </c>
      <c r="J197" s="260">
        <f t="shared" si="2"/>
        <v>0</v>
      </c>
      <c r="K197" s="261">
        <f>J197*'📋 Datos Generales'!$E$19</f>
        <v>0</v>
      </c>
    </row>
    <row r="198" spans="4:11" ht="19.5" hidden="1" customHeight="1" x14ac:dyDescent="0.25">
      <c r="D198" s="13">
        <v>192</v>
      </c>
      <c r="E198" s="262">
        <f>'🧾 Factura Comercial'!E198</f>
        <v>0</v>
      </c>
      <c r="F198" s="263">
        <f>'🧾 Factura Comercial'!G198</f>
        <v>0</v>
      </c>
      <c r="G198" s="264">
        <f>'🧾 Factura Comercial'!H198</f>
        <v>0</v>
      </c>
      <c r="H198" s="265">
        <f>'🧾 Factura Comercial'!I198</f>
        <v>0</v>
      </c>
      <c r="I198" s="298">
        <f>'🧾 Factura Comercial'!J198</f>
        <v>0</v>
      </c>
      <c r="J198" s="260">
        <f t="shared" si="2"/>
        <v>0</v>
      </c>
      <c r="K198" s="261">
        <f>J198*'📋 Datos Generales'!$E$19</f>
        <v>0</v>
      </c>
    </row>
    <row r="199" spans="4:11" ht="19.5" hidden="1" customHeight="1" x14ac:dyDescent="0.25">
      <c r="D199" s="13">
        <v>193</v>
      </c>
      <c r="E199" s="262">
        <f>'🧾 Factura Comercial'!E199</f>
        <v>0</v>
      </c>
      <c r="F199" s="263">
        <f>'🧾 Factura Comercial'!G199</f>
        <v>0</v>
      </c>
      <c r="G199" s="264">
        <f>'🧾 Factura Comercial'!H199</f>
        <v>0</v>
      </c>
      <c r="H199" s="265">
        <f>'🧾 Factura Comercial'!I199</f>
        <v>0</v>
      </c>
      <c r="I199" s="298">
        <f>'🧾 Factura Comercial'!J199</f>
        <v>0</v>
      </c>
      <c r="J199" s="260">
        <f t="shared" si="2"/>
        <v>0</v>
      </c>
      <c r="K199" s="261">
        <f>J199*'📋 Datos Generales'!$E$19</f>
        <v>0</v>
      </c>
    </row>
    <row r="200" spans="4:11" ht="19.5" hidden="1" customHeight="1" x14ac:dyDescent="0.25">
      <c r="D200" s="13">
        <v>194</v>
      </c>
      <c r="E200" s="262">
        <f>'🧾 Factura Comercial'!E200</f>
        <v>0</v>
      </c>
      <c r="F200" s="263">
        <f>'🧾 Factura Comercial'!G200</f>
        <v>0</v>
      </c>
      <c r="G200" s="264">
        <f>'🧾 Factura Comercial'!H200</f>
        <v>0</v>
      </c>
      <c r="H200" s="265">
        <f>'🧾 Factura Comercial'!I200</f>
        <v>0</v>
      </c>
      <c r="I200" s="298">
        <f>'🧾 Factura Comercial'!J200</f>
        <v>0</v>
      </c>
      <c r="J200" s="260">
        <f t="shared" ref="J200:J263" si="3">IF($G$5=0,0,$G$5*G200)</f>
        <v>0</v>
      </c>
      <c r="K200" s="261">
        <f>J200*'📋 Datos Generales'!$E$19</f>
        <v>0</v>
      </c>
    </row>
    <row r="201" spans="4:11" ht="19.5" hidden="1" customHeight="1" x14ac:dyDescent="0.25">
      <c r="D201" s="13">
        <v>195</v>
      </c>
      <c r="E201" s="262">
        <f>'🧾 Factura Comercial'!E201</f>
        <v>0</v>
      </c>
      <c r="F201" s="263">
        <f>'🧾 Factura Comercial'!G201</f>
        <v>0</v>
      </c>
      <c r="G201" s="264">
        <f>'🧾 Factura Comercial'!H201</f>
        <v>0</v>
      </c>
      <c r="H201" s="265">
        <f>'🧾 Factura Comercial'!I201</f>
        <v>0</v>
      </c>
      <c r="I201" s="298">
        <f>'🧾 Factura Comercial'!J201</f>
        <v>0</v>
      </c>
      <c r="J201" s="260">
        <f t="shared" si="3"/>
        <v>0</v>
      </c>
      <c r="K201" s="261">
        <f>J201*'📋 Datos Generales'!$E$19</f>
        <v>0</v>
      </c>
    </row>
    <row r="202" spans="4:11" ht="19.5" hidden="1" customHeight="1" x14ac:dyDescent="0.25">
      <c r="D202" s="13">
        <v>196</v>
      </c>
      <c r="E202" s="262">
        <f>'🧾 Factura Comercial'!E202</f>
        <v>0</v>
      </c>
      <c r="F202" s="263">
        <f>'🧾 Factura Comercial'!G202</f>
        <v>0</v>
      </c>
      <c r="G202" s="264">
        <f>'🧾 Factura Comercial'!H202</f>
        <v>0</v>
      </c>
      <c r="H202" s="259">
        <f>'🧾 Factura Comercial'!I202</f>
        <v>0</v>
      </c>
      <c r="I202" s="298">
        <f>'🧾 Factura Comercial'!J202</f>
        <v>0</v>
      </c>
      <c r="J202" s="260">
        <f t="shared" si="3"/>
        <v>0</v>
      </c>
      <c r="K202" s="261">
        <f>J202*'📋 Datos Generales'!$E$19</f>
        <v>0</v>
      </c>
    </row>
    <row r="203" spans="4:11" ht="19.5" hidden="1" customHeight="1" x14ac:dyDescent="0.25">
      <c r="D203" s="13">
        <v>197</v>
      </c>
      <c r="E203" s="262">
        <f>'🧾 Factura Comercial'!E203</f>
        <v>0</v>
      </c>
      <c r="F203" s="263">
        <f>'🧾 Factura Comercial'!G203</f>
        <v>0</v>
      </c>
      <c r="G203" s="258">
        <f>'🧾 Factura Comercial'!H203</f>
        <v>0</v>
      </c>
      <c r="H203" s="265">
        <f>'🧾 Factura Comercial'!I203</f>
        <v>0</v>
      </c>
      <c r="I203" s="298">
        <f>'🧾 Factura Comercial'!J203</f>
        <v>0</v>
      </c>
      <c r="J203" s="260">
        <f t="shared" si="3"/>
        <v>0</v>
      </c>
      <c r="K203" s="261">
        <f>J203*'📋 Datos Generales'!$E$19</f>
        <v>0</v>
      </c>
    </row>
    <row r="204" spans="4:11" ht="19.5" hidden="1" customHeight="1" x14ac:dyDescent="0.25">
      <c r="D204" s="13">
        <v>198</v>
      </c>
      <c r="E204" s="262">
        <f>'🧾 Factura Comercial'!E204</f>
        <v>0</v>
      </c>
      <c r="F204" s="263">
        <f>'🧾 Factura Comercial'!G204</f>
        <v>0</v>
      </c>
      <c r="G204" s="264">
        <f>'🧾 Factura Comercial'!H204</f>
        <v>0</v>
      </c>
      <c r="H204" s="265">
        <f>'🧾 Factura Comercial'!I204</f>
        <v>0</v>
      </c>
      <c r="I204" s="298">
        <f>'🧾 Factura Comercial'!J204</f>
        <v>0</v>
      </c>
      <c r="J204" s="260">
        <f t="shared" si="3"/>
        <v>0</v>
      </c>
      <c r="K204" s="261">
        <f>J204*'📋 Datos Generales'!$E$19</f>
        <v>0</v>
      </c>
    </row>
    <row r="205" spans="4:11" ht="19.5" hidden="1" customHeight="1" x14ac:dyDescent="0.25">
      <c r="D205" s="13">
        <v>199</v>
      </c>
      <c r="E205" s="256">
        <f>'🧾 Factura Comercial'!E205</f>
        <v>0</v>
      </c>
      <c r="F205" s="257">
        <f>'🧾 Factura Comercial'!G205</f>
        <v>0</v>
      </c>
      <c r="G205" s="264">
        <f>'🧾 Factura Comercial'!H205</f>
        <v>0</v>
      </c>
      <c r="H205" s="265">
        <f>'🧾 Factura Comercial'!I205</f>
        <v>0</v>
      </c>
      <c r="I205" s="298">
        <f>'🧾 Factura Comercial'!J205</f>
        <v>0</v>
      </c>
      <c r="J205" s="260">
        <f t="shared" si="3"/>
        <v>0</v>
      </c>
      <c r="K205" s="261">
        <f>J205*'📋 Datos Generales'!$E$19</f>
        <v>0</v>
      </c>
    </row>
    <row r="206" spans="4:11" ht="19.5" hidden="1" customHeight="1" x14ac:dyDescent="0.25">
      <c r="D206" s="13">
        <v>200</v>
      </c>
      <c r="E206" s="262">
        <f>'🧾 Factura Comercial'!E206</f>
        <v>0</v>
      </c>
      <c r="F206" s="263">
        <f>'🧾 Factura Comercial'!G206</f>
        <v>0</v>
      </c>
      <c r="G206" s="264">
        <f>'🧾 Factura Comercial'!H206</f>
        <v>0</v>
      </c>
      <c r="H206" s="265">
        <f>'🧾 Factura Comercial'!I206</f>
        <v>0</v>
      </c>
      <c r="I206" s="298">
        <f>'🧾 Factura Comercial'!J206</f>
        <v>0</v>
      </c>
      <c r="J206" s="260">
        <f t="shared" si="3"/>
        <v>0</v>
      </c>
      <c r="K206" s="261">
        <f>J206*'📋 Datos Generales'!$E$19</f>
        <v>0</v>
      </c>
    </row>
    <row r="207" spans="4:11" ht="19.5" hidden="1" customHeight="1" x14ac:dyDescent="0.25">
      <c r="D207" s="13">
        <v>201</v>
      </c>
      <c r="E207" s="262">
        <f>'🧾 Factura Comercial'!E207</f>
        <v>0</v>
      </c>
      <c r="F207" s="263">
        <f>'🧾 Factura Comercial'!G207</f>
        <v>0</v>
      </c>
      <c r="G207" s="264">
        <f>'🧾 Factura Comercial'!H207</f>
        <v>0</v>
      </c>
      <c r="H207" s="259">
        <f>'🧾 Factura Comercial'!I207</f>
        <v>0</v>
      </c>
      <c r="I207" s="298">
        <f>'🧾 Factura Comercial'!J207</f>
        <v>0</v>
      </c>
      <c r="J207" s="260">
        <f t="shared" si="3"/>
        <v>0</v>
      </c>
      <c r="K207" s="261">
        <f>J207*'📋 Datos Generales'!$E$19</f>
        <v>0</v>
      </c>
    </row>
    <row r="208" spans="4:11" ht="19.5" hidden="1" customHeight="1" x14ac:dyDescent="0.25">
      <c r="D208" s="13">
        <v>202</v>
      </c>
      <c r="E208" s="262">
        <f>'🧾 Factura Comercial'!E208</f>
        <v>0</v>
      </c>
      <c r="F208" s="263">
        <f>'🧾 Factura Comercial'!G208</f>
        <v>0</v>
      </c>
      <c r="G208" s="264">
        <f>'🧾 Factura Comercial'!H208</f>
        <v>0</v>
      </c>
      <c r="H208" s="265">
        <f>'🧾 Factura Comercial'!I208</f>
        <v>0</v>
      </c>
      <c r="I208" s="298">
        <f>'🧾 Factura Comercial'!J208</f>
        <v>0</v>
      </c>
      <c r="J208" s="260">
        <f t="shared" si="3"/>
        <v>0</v>
      </c>
      <c r="K208" s="261">
        <f>J208*'📋 Datos Generales'!$E$19</f>
        <v>0</v>
      </c>
    </row>
    <row r="209" spans="4:11" ht="19.5" hidden="1" customHeight="1" x14ac:dyDescent="0.25">
      <c r="D209" s="13">
        <v>203</v>
      </c>
      <c r="E209" s="262">
        <f>'🧾 Factura Comercial'!E209</f>
        <v>0</v>
      </c>
      <c r="F209" s="263">
        <f>'🧾 Factura Comercial'!G209</f>
        <v>0</v>
      </c>
      <c r="G209" s="264">
        <f>'🧾 Factura Comercial'!H209</f>
        <v>0</v>
      </c>
      <c r="H209" s="265">
        <f>'🧾 Factura Comercial'!I209</f>
        <v>0</v>
      </c>
      <c r="I209" s="298">
        <f>'🧾 Factura Comercial'!J209</f>
        <v>0</v>
      </c>
      <c r="J209" s="260">
        <f t="shared" si="3"/>
        <v>0</v>
      </c>
      <c r="K209" s="261">
        <f>J209*'📋 Datos Generales'!$E$19</f>
        <v>0</v>
      </c>
    </row>
    <row r="210" spans="4:11" ht="19.5" hidden="1" customHeight="1" x14ac:dyDescent="0.25">
      <c r="D210" s="13">
        <v>204</v>
      </c>
      <c r="E210" s="262">
        <f>'🧾 Factura Comercial'!E210</f>
        <v>0</v>
      </c>
      <c r="F210" s="263">
        <f>'🧾 Factura Comercial'!G210</f>
        <v>0</v>
      </c>
      <c r="G210" s="258">
        <f>'🧾 Factura Comercial'!H210</f>
        <v>0</v>
      </c>
      <c r="H210" s="265">
        <f>'🧾 Factura Comercial'!I210</f>
        <v>0</v>
      </c>
      <c r="I210" s="298">
        <f>'🧾 Factura Comercial'!J210</f>
        <v>0</v>
      </c>
      <c r="J210" s="260">
        <f t="shared" si="3"/>
        <v>0</v>
      </c>
      <c r="K210" s="261">
        <f>J210*'📋 Datos Generales'!$E$19</f>
        <v>0</v>
      </c>
    </row>
    <row r="211" spans="4:11" ht="19.5" hidden="1" customHeight="1" x14ac:dyDescent="0.25">
      <c r="D211" s="13">
        <v>205</v>
      </c>
      <c r="E211" s="262">
        <f>'🧾 Factura Comercial'!E211</f>
        <v>0</v>
      </c>
      <c r="F211" s="263">
        <f>'🧾 Factura Comercial'!G211</f>
        <v>0</v>
      </c>
      <c r="G211" s="264">
        <f>'🧾 Factura Comercial'!H211</f>
        <v>0</v>
      </c>
      <c r="H211" s="265">
        <f>'🧾 Factura Comercial'!I211</f>
        <v>0</v>
      </c>
      <c r="I211" s="298">
        <f>'🧾 Factura Comercial'!J211</f>
        <v>0</v>
      </c>
      <c r="J211" s="260">
        <f t="shared" si="3"/>
        <v>0</v>
      </c>
      <c r="K211" s="261">
        <f>J211*'📋 Datos Generales'!$E$19</f>
        <v>0</v>
      </c>
    </row>
    <row r="212" spans="4:11" ht="19.5" hidden="1" customHeight="1" x14ac:dyDescent="0.25">
      <c r="D212" s="13">
        <v>206</v>
      </c>
      <c r="E212" s="262">
        <f>'🧾 Factura Comercial'!E212</f>
        <v>0</v>
      </c>
      <c r="F212" s="263">
        <f>'🧾 Factura Comercial'!G212</f>
        <v>0</v>
      </c>
      <c r="G212" s="264">
        <f>'🧾 Factura Comercial'!H212</f>
        <v>0</v>
      </c>
      <c r="H212" s="259">
        <f>'🧾 Factura Comercial'!I212</f>
        <v>0</v>
      </c>
      <c r="I212" s="298">
        <f>'🧾 Factura Comercial'!J212</f>
        <v>0</v>
      </c>
      <c r="J212" s="260">
        <f t="shared" si="3"/>
        <v>0</v>
      </c>
      <c r="K212" s="261">
        <f>J212*'📋 Datos Generales'!$E$19</f>
        <v>0</v>
      </c>
    </row>
    <row r="213" spans="4:11" ht="19.5" hidden="1" customHeight="1" x14ac:dyDescent="0.25">
      <c r="D213" s="13">
        <v>207</v>
      </c>
      <c r="E213" s="262">
        <f>'🧾 Factura Comercial'!E213</f>
        <v>0</v>
      </c>
      <c r="F213" s="263">
        <f>'🧾 Factura Comercial'!G213</f>
        <v>0</v>
      </c>
      <c r="G213" s="264">
        <f>'🧾 Factura Comercial'!H213</f>
        <v>0</v>
      </c>
      <c r="H213" s="265">
        <f>'🧾 Factura Comercial'!I213</f>
        <v>0</v>
      </c>
      <c r="I213" s="298">
        <f>'🧾 Factura Comercial'!J213</f>
        <v>0</v>
      </c>
      <c r="J213" s="260">
        <f t="shared" si="3"/>
        <v>0</v>
      </c>
      <c r="K213" s="261">
        <f>J213*'📋 Datos Generales'!$E$19</f>
        <v>0</v>
      </c>
    </row>
    <row r="214" spans="4:11" ht="19.5" hidden="1" customHeight="1" x14ac:dyDescent="0.25">
      <c r="D214" s="13">
        <v>208</v>
      </c>
      <c r="E214" s="256">
        <f>'🧾 Factura Comercial'!E214</f>
        <v>0</v>
      </c>
      <c r="F214" s="257">
        <f>'🧾 Factura Comercial'!G214</f>
        <v>0</v>
      </c>
      <c r="G214" s="264">
        <f>'🧾 Factura Comercial'!H214</f>
        <v>0</v>
      </c>
      <c r="H214" s="265">
        <f>'🧾 Factura Comercial'!I214</f>
        <v>0</v>
      </c>
      <c r="I214" s="298">
        <f>'🧾 Factura Comercial'!J214</f>
        <v>0</v>
      </c>
      <c r="J214" s="260">
        <f t="shared" si="3"/>
        <v>0</v>
      </c>
      <c r="K214" s="261">
        <f>J214*'📋 Datos Generales'!$E$19</f>
        <v>0</v>
      </c>
    </row>
    <row r="215" spans="4:11" ht="19.5" hidden="1" customHeight="1" x14ac:dyDescent="0.25">
      <c r="D215" s="13">
        <v>209</v>
      </c>
      <c r="E215" s="262">
        <f>'🧾 Factura Comercial'!E215</f>
        <v>0</v>
      </c>
      <c r="F215" s="263">
        <f>'🧾 Factura Comercial'!G215</f>
        <v>0</v>
      </c>
      <c r="G215" s="264">
        <f>'🧾 Factura Comercial'!H215</f>
        <v>0</v>
      </c>
      <c r="H215" s="265">
        <f>'🧾 Factura Comercial'!I215</f>
        <v>0</v>
      </c>
      <c r="I215" s="298">
        <f>'🧾 Factura Comercial'!J215</f>
        <v>0</v>
      </c>
      <c r="J215" s="260">
        <f t="shared" si="3"/>
        <v>0</v>
      </c>
      <c r="K215" s="261">
        <f>J215*'📋 Datos Generales'!$E$19</f>
        <v>0</v>
      </c>
    </row>
    <row r="216" spans="4:11" ht="19.5" hidden="1" customHeight="1" x14ac:dyDescent="0.25">
      <c r="D216" s="13">
        <v>210</v>
      </c>
      <c r="E216" s="262">
        <f>'🧾 Factura Comercial'!E216</f>
        <v>0</v>
      </c>
      <c r="F216" s="263">
        <f>'🧾 Factura Comercial'!G216</f>
        <v>0</v>
      </c>
      <c r="G216" s="264">
        <f>'🧾 Factura Comercial'!H216</f>
        <v>0</v>
      </c>
      <c r="H216" s="265">
        <f>'🧾 Factura Comercial'!I216</f>
        <v>0</v>
      </c>
      <c r="I216" s="298">
        <f>'🧾 Factura Comercial'!J216</f>
        <v>0</v>
      </c>
      <c r="J216" s="260">
        <f t="shared" si="3"/>
        <v>0</v>
      </c>
      <c r="K216" s="261">
        <f>J216*'📋 Datos Generales'!$E$19</f>
        <v>0</v>
      </c>
    </row>
    <row r="217" spans="4:11" ht="19.5" hidden="1" customHeight="1" x14ac:dyDescent="0.25">
      <c r="D217" s="13">
        <v>211</v>
      </c>
      <c r="E217" s="262">
        <f>'🧾 Factura Comercial'!E217</f>
        <v>0</v>
      </c>
      <c r="F217" s="263">
        <f>'🧾 Factura Comercial'!G217</f>
        <v>0</v>
      </c>
      <c r="G217" s="258">
        <f>'🧾 Factura Comercial'!H217</f>
        <v>0</v>
      </c>
      <c r="H217" s="259">
        <f>'🧾 Factura Comercial'!I217</f>
        <v>0</v>
      </c>
      <c r="I217" s="298">
        <f>'🧾 Factura Comercial'!J217</f>
        <v>0</v>
      </c>
      <c r="J217" s="260">
        <f t="shared" si="3"/>
        <v>0</v>
      </c>
      <c r="K217" s="261">
        <f>J217*'📋 Datos Generales'!$E$19</f>
        <v>0</v>
      </c>
    </row>
    <row r="218" spans="4:11" ht="19.5" hidden="1" customHeight="1" x14ac:dyDescent="0.25">
      <c r="D218" s="13">
        <v>212</v>
      </c>
      <c r="E218" s="262">
        <f>'🧾 Factura Comercial'!E218</f>
        <v>0</v>
      </c>
      <c r="F218" s="263">
        <f>'🧾 Factura Comercial'!G218</f>
        <v>0</v>
      </c>
      <c r="G218" s="264">
        <f>'🧾 Factura Comercial'!H218</f>
        <v>0</v>
      </c>
      <c r="H218" s="265">
        <f>'🧾 Factura Comercial'!I218</f>
        <v>0</v>
      </c>
      <c r="I218" s="298">
        <f>'🧾 Factura Comercial'!J218</f>
        <v>0</v>
      </c>
      <c r="J218" s="260">
        <f t="shared" si="3"/>
        <v>0</v>
      </c>
      <c r="K218" s="261">
        <f>J218*'📋 Datos Generales'!$E$19</f>
        <v>0</v>
      </c>
    </row>
    <row r="219" spans="4:11" ht="19.5" hidden="1" customHeight="1" x14ac:dyDescent="0.25">
      <c r="D219" s="13">
        <v>213</v>
      </c>
      <c r="E219" s="262">
        <f>'🧾 Factura Comercial'!E219</f>
        <v>0</v>
      </c>
      <c r="F219" s="263">
        <f>'🧾 Factura Comercial'!G219</f>
        <v>0</v>
      </c>
      <c r="G219" s="264">
        <f>'🧾 Factura Comercial'!H219</f>
        <v>0</v>
      </c>
      <c r="H219" s="265">
        <f>'🧾 Factura Comercial'!I219</f>
        <v>0</v>
      </c>
      <c r="I219" s="298">
        <f>'🧾 Factura Comercial'!J219</f>
        <v>0</v>
      </c>
      <c r="J219" s="260">
        <f t="shared" si="3"/>
        <v>0</v>
      </c>
      <c r="K219" s="261">
        <f>J219*'📋 Datos Generales'!$E$19</f>
        <v>0</v>
      </c>
    </row>
    <row r="220" spans="4:11" ht="19.5" hidden="1" customHeight="1" x14ac:dyDescent="0.25">
      <c r="D220" s="13">
        <v>214</v>
      </c>
      <c r="E220" s="262">
        <f>'🧾 Factura Comercial'!E220</f>
        <v>0</v>
      </c>
      <c r="F220" s="263">
        <f>'🧾 Factura Comercial'!G220</f>
        <v>0</v>
      </c>
      <c r="G220" s="264">
        <f>'🧾 Factura Comercial'!H220</f>
        <v>0</v>
      </c>
      <c r="H220" s="265">
        <f>'🧾 Factura Comercial'!I220</f>
        <v>0</v>
      </c>
      <c r="I220" s="298">
        <f>'🧾 Factura Comercial'!J220</f>
        <v>0</v>
      </c>
      <c r="J220" s="260">
        <f t="shared" si="3"/>
        <v>0</v>
      </c>
      <c r="K220" s="261">
        <f>J220*'📋 Datos Generales'!$E$19</f>
        <v>0</v>
      </c>
    </row>
    <row r="221" spans="4:11" ht="19.5" hidden="1" customHeight="1" x14ac:dyDescent="0.25">
      <c r="D221" s="13">
        <v>215</v>
      </c>
      <c r="E221" s="262">
        <f>'🧾 Factura Comercial'!E221</f>
        <v>0</v>
      </c>
      <c r="F221" s="263">
        <f>'🧾 Factura Comercial'!G221</f>
        <v>0</v>
      </c>
      <c r="G221" s="264">
        <f>'🧾 Factura Comercial'!H221</f>
        <v>0</v>
      </c>
      <c r="H221" s="265">
        <f>'🧾 Factura Comercial'!I221</f>
        <v>0</v>
      </c>
      <c r="I221" s="298">
        <f>'🧾 Factura Comercial'!J221</f>
        <v>0</v>
      </c>
      <c r="J221" s="260">
        <f t="shared" si="3"/>
        <v>0</v>
      </c>
      <c r="K221" s="261">
        <f>J221*'📋 Datos Generales'!$E$19</f>
        <v>0</v>
      </c>
    </row>
    <row r="222" spans="4:11" ht="19.5" hidden="1" customHeight="1" x14ac:dyDescent="0.25">
      <c r="D222" s="13">
        <v>216</v>
      </c>
      <c r="E222" s="262">
        <f>'🧾 Factura Comercial'!E222</f>
        <v>0</v>
      </c>
      <c r="F222" s="263">
        <f>'🧾 Factura Comercial'!G222</f>
        <v>0</v>
      </c>
      <c r="G222" s="264">
        <f>'🧾 Factura Comercial'!H222</f>
        <v>0</v>
      </c>
      <c r="H222" s="259">
        <f>'🧾 Factura Comercial'!I222</f>
        <v>0</v>
      </c>
      <c r="I222" s="298">
        <f>'🧾 Factura Comercial'!J222</f>
        <v>0</v>
      </c>
      <c r="J222" s="260">
        <f t="shared" si="3"/>
        <v>0</v>
      </c>
      <c r="K222" s="261">
        <f>J222*'📋 Datos Generales'!$E$19</f>
        <v>0</v>
      </c>
    </row>
    <row r="223" spans="4:11" ht="19.5" hidden="1" customHeight="1" x14ac:dyDescent="0.25">
      <c r="D223" s="13">
        <v>217</v>
      </c>
      <c r="E223" s="256">
        <f>'🧾 Factura Comercial'!E223</f>
        <v>0</v>
      </c>
      <c r="F223" s="257">
        <f>'🧾 Factura Comercial'!G223</f>
        <v>0</v>
      </c>
      <c r="G223" s="264">
        <f>'🧾 Factura Comercial'!H223</f>
        <v>0</v>
      </c>
      <c r="H223" s="265">
        <f>'🧾 Factura Comercial'!I223</f>
        <v>0</v>
      </c>
      <c r="I223" s="298">
        <f>'🧾 Factura Comercial'!J223</f>
        <v>0</v>
      </c>
      <c r="J223" s="260">
        <f t="shared" si="3"/>
        <v>0</v>
      </c>
      <c r="K223" s="261">
        <f>J223*'📋 Datos Generales'!$E$19</f>
        <v>0</v>
      </c>
    </row>
    <row r="224" spans="4:11" ht="19.5" hidden="1" customHeight="1" x14ac:dyDescent="0.25">
      <c r="D224" s="13">
        <v>218</v>
      </c>
      <c r="E224" s="262">
        <f>'🧾 Factura Comercial'!E224</f>
        <v>0</v>
      </c>
      <c r="F224" s="263">
        <f>'🧾 Factura Comercial'!G224</f>
        <v>0</v>
      </c>
      <c r="G224" s="258">
        <f>'🧾 Factura Comercial'!H224</f>
        <v>0</v>
      </c>
      <c r="H224" s="265">
        <f>'🧾 Factura Comercial'!I224</f>
        <v>0</v>
      </c>
      <c r="I224" s="298">
        <f>'🧾 Factura Comercial'!J224</f>
        <v>0</v>
      </c>
      <c r="J224" s="260">
        <f t="shared" si="3"/>
        <v>0</v>
      </c>
      <c r="K224" s="261">
        <f>J224*'📋 Datos Generales'!$E$19</f>
        <v>0</v>
      </c>
    </row>
    <row r="225" spans="4:11" ht="19.5" hidden="1" customHeight="1" x14ac:dyDescent="0.25">
      <c r="D225" s="13">
        <v>219</v>
      </c>
      <c r="E225" s="262">
        <f>'🧾 Factura Comercial'!E225</f>
        <v>0</v>
      </c>
      <c r="F225" s="263">
        <f>'🧾 Factura Comercial'!G225</f>
        <v>0</v>
      </c>
      <c r="G225" s="264">
        <f>'🧾 Factura Comercial'!H225</f>
        <v>0</v>
      </c>
      <c r="H225" s="265">
        <f>'🧾 Factura Comercial'!I225</f>
        <v>0</v>
      </c>
      <c r="I225" s="298">
        <f>'🧾 Factura Comercial'!J225</f>
        <v>0</v>
      </c>
      <c r="J225" s="260">
        <f t="shared" si="3"/>
        <v>0</v>
      </c>
      <c r="K225" s="261">
        <f>J225*'📋 Datos Generales'!$E$19</f>
        <v>0</v>
      </c>
    </row>
    <row r="226" spans="4:11" ht="19.5" hidden="1" customHeight="1" x14ac:dyDescent="0.25">
      <c r="D226" s="13">
        <v>220</v>
      </c>
      <c r="E226" s="262">
        <f>'🧾 Factura Comercial'!E226</f>
        <v>0</v>
      </c>
      <c r="F226" s="263">
        <f>'🧾 Factura Comercial'!G226</f>
        <v>0</v>
      </c>
      <c r="G226" s="264">
        <f>'🧾 Factura Comercial'!H226</f>
        <v>0</v>
      </c>
      <c r="H226" s="265">
        <f>'🧾 Factura Comercial'!I226</f>
        <v>0</v>
      </c>
      <c r="I226" s="298">
        <f>'🧾 Factura Comercial'!J226</f>
        <v>0</v>
      </c>
      <c r="J226" s="260">
        <f t="shared" si="3"/>
        <v>0</v>
      </c>
      <c r="K226" s="261">
        <f>J226*'📋 Datos Generales'!$E$19</f>
        <v>0</v>
      </c>
    </row>
    <row r="227" spans="4:11" ht="19.5" hidden="1" customHeight="1" x14ac:dyDescent="0.25">
      <c r="D227" s="13">
        <v>221</v>
      </c>
      <c r="E227" s="262">
        <f>'🧾 Factura Comercial'!E227</f>
        <v>0</v>
      </c>
      <c r="F227" s="263">
        <f>'🧾 Factura Comercial'!G227</f>
        <v>0</v>
      </c>
      <c r="G227" s="264">
        <f>'🧾 Factura Comercial'!H227</f>
        <v>0</v>
      </c>
      <c r="H227" s="259">
        <f>'🧾 Factura Comercial'!I227</f>
        <v>0</v>
      </c>
      <c r="I227" s="298">
        <f>'🧾 Factura Comercial'!J227</f>
        <v>0</v>
      </c>
      <c r="J227" s="260">
        <f t="shared" si="3"/>
        <v>0</v>
      </c>
      <c r="K227" s="261">
        <f>J227*'📋 Datos Generales'!$E$19</f>
        <v>0</v>
      </c>
    </row>
    <row r="228" spans="4:11" ht="19.5" hidden="1" customHeight="1" x14ac:dyDescent="0.25">
      <c r="D228" s="13">
        <v>222</v>
      </c>
      <c r="E228" s="262">
        <f>'🧾 Factura Comercial'!E228</f>
        <v>0</v>
      </c>
      <c r="F228" s="263">
        <f>'🧾 Factura Comercial'!G228</f>
        <v>0</v>
      </c>
      <c r="G228" s="264">
        <f>'🧾 Factura Comercial'!H228</f>
        <v>0</v>
      </c>
      <c r="H228" s="265">
        <f>'🧾 Factura Comercial'!I228</f>
        <v>0</v>
      </c>
      <c r="I228" s="298">
        <f>'🧾 Factura Comercial'!J228</f>
        <v>0</v>
      </c>
      <c r="J228" s="260">
        <f t="shared" si="3"/>
        <v>0</v>
      </c>
      <c r="K228" s="261">
        <f>J228*'📋 Datos Generales'!$E$19</f>
        <v>0</v>
      </c>
    </row>
    <row r="229" spans="4:11" ht="19.5" hidden="1" customHeight="1" x14ac:dyDescent="0.25">
      <c r="D229" s="13">
        <v>223</v>
      </c>
      <c r="E229" s="262">
        <f>'🧾 Factura Comercial'!E229</f>
        <v>0</v>
      </c>
      <c r="F229" s="263">
        <f>'🧾 Factura Comercial'!G229</f>
        <v>0</v>
      </c>
      <c r="G229" s="264">
        <f>'🧾 Factura Comercial'!H229</f>
        <v>0</v>
      </c>
      <c r="H229" s="265">
        <f>'🧾 Factura Comercial'!I229</f>
        <v>0</v>
      </c>
      <c r="I229" s="298">
        <f>'🧾 Factura Comercial'!J229</f>
        <v>0</v>
      </c>
      <c r="J229" s="260">
        <f t="shared" si="3"/>
        <v>0</v>
      </c>
      <c r="K229" s="261">
        <f>J229*'📋 Datos Generales'!$E$19</f>
        <v>0</v>
      </c>
    </row>
    <row r="230" spans="4:11" ht="19.5" hidden="1" customHeight="1" x14ac:dyDescent="0.25">
      <c r="D230" s="13">
        <v>224</v>
      </c>
      <c r="E230" s="262">
        <f>'🧾 Factura Comercial'!E230</f>
        <v>0</v>
      </c>
      <c r="F230" s="263">
        <f>'🧾 Factura Comercial'!G230</f>
        <v>0</v>
      </c>
      <c r="G230" s="264">
        <f>'🧾 Factura Comercial'!H230</f>
        <v>0</v>
      </c>
      <c r="H230" s="265">
        <f>'🧾 Factura Comercial'!I230</f>
        <v>0</v>
      </c>
      <c r="I230" s="298">
        <f>'🧾 Factura Comercial'!J230</f>
        <v>0</v>
      </c>
      <c r="J230" s="260">
        <f t="shared" si="3"/>
        <v>0</v>
      </c>
      <c r="K230" s="261">
        <f>J230*'📋 Datos Generales'!$E$19</f>
        <v>0</v>
      </c>
    </row>
    <row r="231" spans="4:11" ht="19.5" hidden="1" customHeight="1" x14ac:dyDescent="0.25">
      <c r="D231" s="13">
        <v>225</v>
      </c>
      <c r="E231" s="262">
        <f>'🧾 Factura Comercial'!E231</f>
        <v>0</v>
      </c>
      <c r="F231" s="263">
        <f>'🧾 Factura Comercial'!G231</f>
        <v>0</v>
      </c>
      <c r="G231" s="258">
        <f>'🧾 Factura Comercial'!H231</f>
        <v>0</v>
      </c>
      <c r="H231" s="265">
        <f>'🧾 Factura Comercial'!I231</f>
        <v>0</v>
      </c>
      <c r="I231" s="298">
        <f>'🧾 Factura Comercial'!J231</f>
        <v>0</v>
      </c>
      <c r="J231" s="260">
        <f t="shared" si="3"/>
        <v>0</v>
      </c>
      <c r="K231" s="261">
        <f>J231*'📋 Datos Generales'!$E$19</f>
        <v>0</v>
      </c>
    </row>
    <row r="232" spans="4:11" ht="19.5" hidden="1" customHeight="1" x14ac:dyDescent="0.25">
      <c r="D232" s="13">
        <v>226</v>
      </c>
      <c r="E232" s="256">
        <f>'🧾 Factura Comercial'!E232</f>
        <v>0</v>
      </c>
      <c r="F232" s="257">
        <f>'🧾 Factura Comercial'!G232</f>
        <v>0</v>
      </c>
      <c r="G232" s="264">
        <f>'🧾 Factura Comercial'!H232</f>
        <v>0</v>
      </c>
      <c r="H232" s="259">
        <f>'🧾 Factura Comercial'!I232</f>
        <v>0</v>
      </c>
      <c r="I232" s="298">
        <f>'🧾 Factura Comercial'!J232</f>
        <v>0</v>
      </c>
      <c r="J232" s="260">
        <f t="shared" si="3"/>
        <v>0</v>
      </c>
      <c r="K232" s="261">
        <f>J232*'📋 Datos Generales'!$E$19</f>
        <v>0</v>
      </c>
    </row>
    <row r="233" spans="4:11" ht="19.5" hidden="1" customHeight="1" x14ac:dyDescent="0.25">
      <c r="D233" s="13">
        <v>227</v>
      </c>
      <c r="E233" s="262">
        <f>'🧾 Factura Comercial'!E233</f>
        <v>0</v>
      </c>
      <c r="F233" s="263">
        <f>'🧾 Factura Comercial'!G233</f>
        <v>0</v>
      </c>
      <c r="G233" s="264">
        <f>'🧾 Factura Comercial'!H233</f>
        <v>0</v>
      </c>
      <c r="H233" s="265">
        <f>'🧾 Factura Comercial'!I233</f>
        <v>0</v>
      </c>
      <c r="I233" s="298">
        <f>'🧾 Factura Comercial'!J233</f>
        <v>0</v>
      </c>
      <c r="J233" s="260">
        <f t="shared" si="3"/>
        <v>0</v>
      </c>
      <c r="K233" s="261">
        <f>J233*'📋 Datos Generales'!$E$19</f>
        <v>0</v>
      </c>
    </row>
    <row r="234" spans="4:11" ht="19.5" hidden="1" customHeight="1" x14ac:dyDescent="0.25">
      <c r="D234" s="13">
        <v>228</v>
      </c>
      <c r="E234" s="262">
        <f>'🧾 Factura Comercial'!E234</f>
        <v>0</v>
      </c>
      <c r="F234" s="263">
        <f>'🧾 Factura Comercial'!G234</f>
        <v>0</v>
      </c>
      <c r="G234" s="264">
        <f>'🧾 Factura Comercial'!H234</f>
        <v>0</v>
      </c>
      <c r="H234" s="265">
        <f>'🧾 Factura Comercial'!I234</f>
        <v>0</v>
      </c>
      <c r="I234" s="298">
        <f>'🧾 Factura Comercial'!J234</f>
        <v>0</v>
      </c>
      <c r="J234" s="260">
        <f t="shared" si="3"/>
        <v>0</v>
      </c>
      <c r="K234" s="261">
        <f>J234*'📋 Datos Generales'!$E$19</f>
        <v>0</v>
      </c>
    </row>
    <row r="235" spans="4:11" ht="19.5" hidden="1" customHeight="1" x14ac:dyDescent="0.25">
      <c r="D235" s="13">
        <v>229</v>
      </c>
      <c r="E235" s="262">
        <f>'🧾 Factura Comercial'!E235</f>
        <v>0</v>
      </c>
      <c r="F235" s="263">
        <f>'🧾 Factura Comercial'!G235</f>
        <v>0</v>
      </c>
      <c r="G235" s="264">
        <f>'🧾 Factura Comercial'!H235</f>
        <v>0</v>
      </c>
      <c r="H235" s="265">
        <f>'🧾 Factura Comercial'!I235</f>
        <v>0</v>
      </c>
      <c r="I235" s="298">
        <f>'🧾 Factura Comercial'!J235</f>
        <v>0</v>
      </c>
      <c r="J235" s="260">
        <f t="shared" si="3"/>
        <v>0</v>
      </c>
      <c r="K235" s="261">
        <f>J235*'📋 Datos Generales'!$E$19</f>
        <v>0</v>
      </c>
    </row>
    <row r="236" spans="4:11" ht="19.5" hidden="1" customHeight="1" x14ac:dyDescent="0.25">
      <c r="D236" s="13">
        <v>230</v>
      </c>
      <c r="E236" s="262">
        <f>'🧾 Factura Comercial'!E236</f>
        <v>0</v>
      </c>
      <c r="F236" s="263">
        <f>'🧾 Factura Comercial'!G236</f>
        <v>0</v>
      </c>
      <c r="G236" s="264">
        <f>'🧾 Factura Comercial'!H236</f>
        <v>0</v>
      </c>
      <c r="H236" s="265">
        <f>'🧾 Factura Comercial'!I236</f>
        <v>0</v>
      </c>
      <c r="I236" s="298">
        <f>'🧾 Factura Comercial'!J236</f>
        <v>0</v>
      </c>
      <c r="J236" s="260">
        <f t="shared" si="3"/>
        <v>0</v>
      </c>
      <c r="K236" s="261">
        <f>J236*'📋 Datos Generales'!$E$19</f>
        <v>0</v>
      </c>
    </row>
    <row r="237" spans="4:11" ht="19.5" hidden="1" customHeight="1" x14ac:dyDescent="0.25">
      <c r="D237" s="13">
        <v>231</v>
      </c>
      <c r="E237" s="262">
        <f>'🧾 Factura Comercial'!E237</f>
        <v>0</v>
      </c>
      <c r="F237" s="263">
        <f>'🧾 Factura Comercial'!G237</f>
        <v>0</v>
      </c>
      <c r="G237" s="264">
        <f>'🧾 Factura Comercial'!H237</f>
        <v>0</v>
      </c>
      <c r="H237" s="259">
        <f>'🧾 Factura Comercial'!I237</f>
        <v>0</v>
      </c>
      <c r="I237" s="298">
        <f>'🧾 Factura Comercial'!J237</f>
        <v>0</v>
      </c>
      <c r="J237" s="260">
        <f t="shared" si="3"/>
        <v>0</v>
      </c>
      <c r="K237" s="261">
        <f>J237*'📋 Datos Generales'!$E$19</f>
        <v>0</v>
      </c>
    </row>
    <row r="238" spans="4:11" ht="19.5" hidden="1" customHeight="1" x14ac:dyDescent="0.25">
      <c r="D238" s="13">
        <v>232</v>
      </c>
      <c r="E238" s="262">
        <f>'🧾 Factura Comercial'!E238</f>
        <v>0</v>
      </c>
      <c r="F238" s="263">
        <f>'🧾 Factura Comercial'!G238</f>
        <v>0</v>
      </c>
      <c r="G238" s="258">
        <f>'🧾 Factura Comercial'!H238</f>
        <v>0</v>
      </c>
      <c r="H238" s="265">
        <f>'🧾 Factura Comercial'!I238</f>
        <v>0</v>
      </c>
      <c r="I238" s="298">
        <f>'🧾 Factura Comercial'!J238</f>
        <v>0</v>
      </c>
      <c r="J238" s="260">
        <f t="shared" si="3"/>
        <v>0</v>
      </c>
      <c r="K238" s="261">
        <f>J238*'📋 Datos Generales'!$E$19</f>
        <v>0</v>
      </c>
    </row>
    <row r="239" spans="4:11" ht="19.5" hidden="1" customHeight="1" x14ac:dyDescent="0.25">
      <c r="D239" s="13">
        <v>233</v>
      </c>
      <c r="E239" s="262">
        <f>'🧾 Factura Comercial'!E239</f>
        <v>0</v>
      </c>
      <c r="F239" s="263">
        <f>'🧾 Factura Comercial'!G239</f>
        <v>0</v>
      </c>
      <c r="G239" s="264">
        <f>'🧾 Factura Comercial'!H239</f>
        <v>0</v>
      </c>
      <c r="H239" s="265">
        <f>'🧾 Factura Comercial'!I239</f>
        <v>0</v>
      </c>
      <c r="I239" s="298">
        <f>'🧾 Factura Comercial'!J239</f>
        <v>0</v>
      </c>
      <c r="J239" s="260">
        <f t="shared" si="3"/>
        <v>0</v>
      </c>
      <c r="K239" s="261">
        <f>J239*'📋 Datos Generales'!$E$19</f>
        <v>0</v>
      </c>
    </row>
    <row r="240" spans="4:11" ht="19.5" hidden="1" customHeight="1" x14ac:dyDescent="0.25">
      <c r="D240" s="13">
        <v>234</v>
      </c>
      <c r="E240" s="262">
        <f>'🧾 Factura Comercial'!E240</f>
        <v>0</v>
      </c>
      <c r="F240" s="263">
        <f>'🧾 Factura Comercial'!G240</f>
        <v>0</v>
      </c>
      <c r="G240" s="264">
        <f>'🧾 Factura Comercial'!H240</f>
        <v>0</v>
      </c>
      <c r="H240" s="265">
        <f>'🧾 Factura Comercial'!I240</f>
        <v>0</v>
      </c>
      <c r="I240" s="298">
        <f>'🧾 Factura Comercial'!J240</f>
        <v>0</v>
      </c>
      <c r="J240" s="260">
        <f t="shared" si="3"/>
        <v>0</v>
      </c>
      <c r="K240" s="261">
        <f>J240*'📋 Datos Generales'!$E$19</f>
        <v>0</v>
      </c>
    </row>
    <row r="241" spans="4:11" ht="19.5" hidden="1" customHeight="1" x14ac:dyDescent="0.25">
      <c r="D241" s="13">
        <v>235</v>
      </c>
      <c r="E241" s="256">
        <f>'🧾 Factura Comercial'!E241</f>
        <v>0</v>
      </c>
      <c r="F241" s="257">
        <f>'🧾 Factura Comercial'!G241</f>
        <v>0</v>
      </c>
      <c r="G241" s="264">
        <f>'🧾 Factura Comercial'!H241</f>
        <v>0</v>
      </c>
      <c r="H241" s="265">
        <f>'🧾 Factura Comercial'!I241</f>
        <v>0</v>
      </c>
      <c r="I241" s="298">
        <f>'🧾 Factura Comercial'!J241</f>
        <v>0</v>
      </c>
      <c r="J241" s="260">
        <f t="shared" si="3"/>
        <v>0</v>
      </c>
      <c r="K241" s="261">
        <f>J241*'📋 Datos Generales'!$E$19</f>
        <v>0</v>
      </c>
    </row>
    <row r="242" spans="4:11" ht="19.5" hidden="1" customHeight="1" x14ac:dyDescent="0.25">
      <c r="D242" s="13">
        <v>236</v>
      </c>
      <c r="E242" s="262">
        <f>'🧾 Factura Comercial'!E242</f>
        <v>0</v>
      </c>
      <c r="F242" s="263">
        <f>'🧾 Factura Comercial'!G242</f>
        <v>0</v>
      </c>
      <c r="G242" s="264">
        <f>'🧾 Factura Comercial'!H242</f>
        <v>0</v>
      </c>
      <c r="H242" s="259">
        <f>'🧾 Factura Comercial'!I242</f>
        <v>0</v>
      </c>
      <c r="I242" s="298">
        <f>'🧾 Factura Comercial'!J242</f>
        <v>0</v>
      </c>
      <c r="J242" s="260">
        <f t="shared" si="3"/>
        <v>0</v>
      </c>
      <c r="K242" s="261">
        <f>J242*'📋 Datos Generales'!$E$19</f>
        <v>0</v>
      </c>
    </row>
    <row r="243" spans="4:11" ht="19.5" hidden="1" customHeight="1" x14ac:dyDescent="0.25">
      <c r="D243" s="13">
        <v>237</v>
      </c>
      <c r="E243" s="262">
        <f>'🧾 Factura Comercial'!E243</f>
        <v>0</v>
      </c>
      <c r="F243" s="263">
        <f>'🧾 Factura Comercial'!G243</f>
        <v>0</v>
      </c>
      <c r="G243" s="264">
        <f>'🧾 Factura Comercial'!H243</f>
        <v>0</v>
      </c>
      <c r="H243" s="265">
        <f>'🧾 Factura Comercial'!I243</f>
        <v>0</v>
      </c>
      <c r="I243" s="298">
        <f>'🧾 Factura Comercial'!J243</f>
        <v>0</v>
      </c>
      <c r="J243" s="260">
        <f t="shared" si="3"/>
        <v>0</v>
      </c>
      <c r="K243" s="261">
        <f>J243*'📋 Datos Generales'!$E$19</f>
        <v>0</v>
      </c>
    </row>
    <row r="244" spans="4:11" ht="19.5" hidden="1" customHeight="1" x14ac:dyDescent="0.25">
      <c r="D244" s="13">
        <v>238</v>
      </c>
      <c r="E244" s="262">
        <f>'🧾 Factura Comercial'!E244</f>
        <v>0</v>
      </c>
      <c r="F244" s="263">
        <f>'🧾 Factura Comercial'!G244</f>
        <v>0</v>
      </c>
      <c r="G244" s="264">
        <f>'🧾 Factura Comercial'!H244</f>
        <v>0</v>
      </c>
      <c r="H244" s="265">
        <f>'🧾 Factura Comercial'!I244</f>
        <v>0</v>
      </c>
      <c r="I244" s="298">
        <f>'🧾 Factura Comercial'!J244</f>
        <v>0</v>
      </c>
      <c r="J244" s="260">
        <f t="shared" si="3"/>
        <v>0</v>
      </c>
      <c r="K244" s="261">
        <f>J244*'📋 Datos Generales'!$E$19</f>
        <v>0</v>
      </c>
    </row>
    <row r="245" spans="4:11" ht="19.5" hidden="1" customHeight="1" x14ac:dyDescent="0.25">
      <c r="D245" s="13">
        <v>239</v>
      </c>
      <c r="E245" s="262">
        <f>'🧾 Factura Comercial'!E245</f>
        <v>0</v>
      </c>
      <c r="F245" s="263">
        <f>'🧾 Factura Comercial'!G245</f>
        <v>0</v>
      </c>
      <c r="G245" s="258">
        <f>'🧾 Factura Comercial'!H245</f>
        <v>0</v>
      </c>
      <c r="H245" s="265">
        <f>'🧾 Factura Comercial'!I245</f>
        <v>0</v>
      </c>
      <c r="I245" s="298">
        <f>'🧾 Factura Comercial'!J245</f>
        <v>0</v>
      </c>
      <c r="J245" s="260">
        <f t="shared" si="3"/>
        <v>0</v>
      </c>
      <c r="K245" s="261">
        <f>J245*'📋 Datos Generales'!$E$19</f>
        <v>0</v>
      </c>
    </row>
    <row r="246" spans="4:11" ht="19.5" hidden="1" customHeight="1" x14ac:dyDescent="0.25">
      <c r="D246" s="13">
        <v>240</v>
      </c>
      <c r="E246" s="262">
        <f>'🧾 Factura Comercial'!E246</f>
        <v>0</v>
      </c>
      <c r="F246" s="263">
        <f>'🧾 Factura Comercial'!G246</f>
        <v>0</v>
      </c>
      <c r="G246" s="264">
        <f>'🧾 Factura Comercial'!H246</f>
        <v>0</v>
      </c>
      <c r="H246" s="265">
        <f>'🧾 Factura Comercial'!I246</f>
        <v>0</v>
      </c>
      <c r="I246" s="298">
        <f>'🧾 Factura Comercial'!J246</f>
        <v>0</v>
      </c>
      <c r="J246" s="260">
        <f t="shared" si="3"/>
        <v>0</v>
      </c>
      <c r="K246" s="261">
        <f>J246*'📋 Datos Generales'!$E$19</f>
        <v>0</v>
      </c>
    </row>
    <row r="247" spans="4:11" ht="19.5" hidden="1" customHeight="1" x14ac:dyDescent="0.25">
      <c r="D247" s="13">
        <v>241</v>
      </c>
      <c r="E247" s="262">
        <f>'🧾 Factura Comercial'!E247</f>
        <v>0</v>
      </c>
      <c r="F247" s="263">
        <f>'🧾 Factura Comercial'!G247</f>
        <v>0</v>
      </c>
      <c r="G247" s="264">
        <f>'🧾 Factura Comercial'!H247</f>
        <v>0</v>
      </c>
      <c r="H247" s="259">
        <f>'🧾 Factura Comercial'!I247</f>
        <v>0</v>
      </c>
      <c r="I247" s="298">
        <f>'🧾 Factura Comercial'!J247</f>
        <v>0</v>
      </c>
      <c r="J247" s="260">
        <f t="shared" si="3"/>
        <v>0</v>
      </c>
      <c r="K247" s="261">
        <f>J247*'📋 Datos Generales'!$E$19</f>
        <v>0</v>
      </c>
    </row>
    <row r="248" spans="4:11" ht="19.5" hidden="1" customHeight="1" x14ac:dyDescent="0.25">
      <c r="D248" s="13">
        <v>242</v>
      </c>
      <c r="E248" s="262">
        <f>'🧾 Factura Comercial'!E248</f>
        <v>0</v>
      </c>
      <c r="F248" s="263">
        <f>'🧾 Factura Comercial'!G248</f>
        <v>0</v>
      </c>
      <c r="G248" s="264">
        <f>'🧾 Factura Comercial'!H248</f>
        <v>0</v>
      </c>
      <c r="H248" s="265">
        <f>'🧾 Factura Comercial'!I248</f>
        <v>0</v>
      </c>
      <c r="I248" s="298">
        <f>'🧾 Factura Comercial'!J248</f>
        <v>0</v>
      </c>
      <c r="J248" s="260">
        <f t="shared" si="3"/>
        <v>0</v>
      </c>
      <c r="K248" s="261">
        <f>J248*'📋 Datos Generales'!$E$19</f>
        <v>0</v>
      </c>
    </row>
    <row r="249" spans="4:11" ht="19.5" hidden="1" customHeight="1" x14ac:dyDescent="0.25">
      <c r="D249" s="13">
        <v>243</v>
      </c>
      <c r="E249" s="262">
        <f>'🧾 Factura Comercial'!E249</f>
        <v>0</v>
      </c>
      <c r="F249" s="263">
        <f>'🧾 Factura Comercial'!G249</f>
        <v>0</v>
      </c>
      <c r="G249" s="264">
        <f>'🧾 Factura Comercial'!H249</f>
        <v>0</v>
      </c>
      <c r="H249" s="265">
        <f>'🧾 Factura Comercial'!I249</f>
        <v>0</v>
      </c>
      <c r="I249" s="298">
        <f>'🧾 Factura Comercial'!J249</f>
        <v>0</v>
      </c>
      <c r="J249" s="260">
        <f t="shared" si="3"/>
        <v>0</v>
      </c>
      <c r="K249" s="261">
        <f>J249*'📋 Datos Generales'!$E$19</f>
        <v>0</v>
      </c>
    </row>
    <row r="250" spans="4:11" ht="19.5" hidden="1" customHeight="1" x14ac:dyDescent="0.25">
      <c r="D250" s="13">
        <v>244</v>
      </c>
      <c r="E250" s="256">
        <f>'🧾 Factura Comercial'!E250</f>
        <v>0</v>
      </c>
      <c r="F250" s="257">
        <f>'🧾 Factura Comercial'!G250</f>
        <v>0</v>
      </c>
      <c r="G250" s="264">
        <f>'🧾 Factura Comercial'!H250</f>
        <v>0</v>
      </c>
      <c r="H250" s="265">
        <f>'🧾 Factura Comercial'!I250</f>
        <v>0</v>
      </c>
      <c r="I250" s="298">
        <f>'🧾 Factura Comercial'!J250</f>
        <v>0</v>
      </c>
      <c r="J250" s="260">
        <f t="shared" si="3"/>
        <v>0</v>
      </c>
      <c r="K250" s="261">
        <f>J250*'📋 Datos Generales'!$E$19</f>
        <v>0</v>
      </c>
    </row>
    <row r="251" spans="4:11" ht="19.5" hidden="1" customHeight="1" x14ac:dyDescent="0.25">
      <c r="D251" s="13">
        <v>245</v>
      </c>
      <c r="E251" s="262">
        <f>'🧾 Factura Comercial'!E251</f>
        <v>0</v>
      </c>
      <c r="F251" s="263">
        <f>'🧾 Factura Comercial'!G251</f>
        <v>0</v>
      </c>
      <c r="G251" s="264">
        <f>'🧾 Factura Comercial'!H251</f>
        <v>0</v>
      </c>
      <c r="H251" s="265">
        <f>'🧾 Factura Comercial'!I251</f>
        <v>0</v>
      </c>
      <c r="I251" s="298">
        <f>'🧾 Factura Comercial'!J251</f>
        <v>0</v>
      </c>
      <c r="J251" s="260">
        <f t="shared" si="3"/>
        <v>0</v>
      </c>
      <c r="K251" s="261">
        <f>J251*'📋 Datos Generales'!$E$19</f>
        <v>0</v>
      </c>
    </row>
    <row r="252" spans="4:11" ht="19.5" hidden="1" customHeight="1" x14ac:dyDescent="0.25">
      <c r="D252" s="13">
        <v>246</v>
      </c>
      <c r="E252" s="262">
        <f>'🧾 Factura Comercial'!E252</f>
        <v>0</v>
      </c>
      <c r="F252" s="263">
        <f>'🧾 Factura Comercial'!G252</f>
        <v>0</v>
      </c>
      <c r="G252" s="258">
        <f>'🧾 Factura Comercial'!H252</f>
        <v>0</v>
      </c>
      <c r="H252" s="259">
        <f>'🧾 Factura Comercial'!I252</f>
        <v>0</v>
      </c>
      <c r="I252" s="298">
        <f>'🧾 Factura Comercial'!J252</f>
        <v>0</v>
      </c>
      <c r="J252" s="260">
        <f t="shared" si="3"/>
        <v>0</v>
      </c>
      <c r="K252" s="261">
        <f>J252*'📋 Datos Generales'!$E$19</f>
        <v>0</v>
      </c>
    </row>
    <row r="253" spans="4:11" ht="19.5" hidden="1" customHeight="1" x14ac:dyDescent="0.25">
      <c r="D253" s="13">
        <v>247</v>
      </c>
      <c r="E253" s="262">
        <f>'🧾 Factura Comercial'!E253</f>
        <v>0</v>
      </c>
      <c r="F253" s="263">
        <f>'🧾 Factura Comercial'!G253</f>
        <v>0</v>
      </c>
      <c r="G253" s="264">
        <f>'🧾 Factura Comercial'!H253</f>
        <v>0</v>
      </c>
      <c r="H253" s="265">
        <f>'🧾 Factura Comercial'!I253</f>
        <v>0</v>
      </c>
      <c r="I253" s="298">
        <f>'🧾 Factura Comercial'!J253</f>
        <v>0</v>
      </c>
      <c r="J253" s="260">
        <f t="shared" si="3"/>
        <v>0</v>
      </c>
      <c r="K253" s="261">
        <f>J253*'📋 Datos Generales'!$E$19</f>
        <v>0</v>
      </c>
    </row>
    <row r="254" spans="4:11" ht="19.5" hidden="1" customHeight="1" x14ac:dyDescent="0.25">
      <c r="D254" s="13">
        <v>248</v>
      </c>
      <c r="E254" s="262">
        <f>'🧾 Factura Comercial'!E254</f>
        <v>0</v>
      </c>
      <c r="F254" s="263">
        <f>'🧾 Factura Comercial'!G254</f>
        <v>0</v>
      </c>
      <c r="G254" s="264">
        <f>'🧾 Factura Comercial'!H254</f>
        <v>0</v>
      </c>
      <c r="H254" s="265">
        <f>'🧾 Factura Comercial'!I254</f>
        <v>0</v>
      </c>
      <c r="I254" s="298">
        <f>'🧾 Factura Comercial'!J254</f>
        <v>0</v>
      </c>
      <c r="J254" s="260">
        <f t="shared" si="3"/>
        <v>0</v>
      </c>
      <c r="K254" s="261">
        <f>J254*'📋 Datos Generales'!$E$19</f>
        <v>0</v>
      </c>
    </row>
    <row r="255" spans="4:11" ht="19.5" hidden="1" customHeight="1" x14ac:dyDescent="0.25">
      <c r="D255" s="13">
        <v>249</v>
      </c>
      <c r="E255" s="262">
        <f>'🧾 Factura Comercial'!E255</f>
        <v>0</v>
      </c>
      <c r="F255" s="263">
        <f>'🧾 Factura Comercial'!G255</f>
        <v>0</v>
      </c>
      <c r="G255" s="264">
        <f>'🧾 Factura Comercial'!H255</f>
        <v>0</v>
      </c>
      <c r="H255" s="265">
        <f>'🧾 Factura Comercial'!I255</f>
        <v>0</v>
      </c>
      <c r="I255" s="298">
        <f>'🧾 Factura Comercial'!J255</f>
        <v>0</v>
      </c>
      <c r="J255" s="260">
        <f t="shared" si="3"/>
        <v>0</v>
      </c>
      <c r="K255" s="261">
        <f>J255*'📋 Datos Generales'!$E$19</f>
        <v>0</v>
      </c>
    </row>
    <row r="256" spans="4:11" ht="19.5" hidden="1" customHeight="1" x14ac:dyDescent="0.25">
      <c r="D256" s="13">
        <v>250</v>
      </c>
      <c r="E256" s="262">
        <f>'🧾 Factura Comercial'!E256</f>
        <v>0</v>
      </c>
      <c r="F256" s="263">
        <f>'🧾 Factura Comercial'!G256</f>
        <v>0</v>
      </c>
      <c r="G256" s="264">
        <f>'🧾 Factura Comercial'!H256</f>
        <v>0</v>
      </c>
      <c r="H256" s="265">
        <f>'🧾 Factura Comercial'!I256</f>
        <v>0</v>
      </c>
      <c r="I256" s="298">
        <f>'🧾 Factura Comercial'!J256</f>
        <v>0</v>
      </c>
      <c r="J256" s="260">
        <f t="shared" si="3"/>
        <v>0</v>
      </c>
      <c r="K256" s="261">
        <f>J256*'📋 Datos Generales'!$E$19</f>
        <v>0</v>
      </c>
    </row>
    <row r="257" spans="4:11" ht="19.5" hidden="1" customHeight="1" x14ac:dyDescent="0.25">
      <c r="D257" s="13">
        <v>251</v>
      </c>
      <c r="E257" s="262">
        <f>'🧾 Factura Comercial'!E257</f>
        <v>0</v>
      </c>
      <c r="F257" s="263">
        <f>'🧾 Factura Comercial'!G257</f>
        <v>0</v>
      </c>
      <c r="G257" s="264">
        <f>'🧾 Factura Comercial'!H257</f>
        <v>0</v>
      </c>
      <c r="H257" s="259">
        <f>'🧾 Factura Comercial'!I257</f>
        <v>0</v>
      </c>
      <c r="I257" s="298">
        <f>'🧾 Factura Comercial'!J257</f>
        <v>0</v>
      </c>
      <c r="J257" s="260">
        <f t="shared" si="3"/>
        <v>0</v>
      </c>
      <c r="K257" s="261">
        <f>J257*'📋 Datos Generales'!$E$19</f>
        <v>0</v>
      </c>
    </row>
    <row r="258" spans="4:11" ht="19.5" hidden="1" customHeight="1" x14ac:dyDescent="0.25">
      <c r="D258" s="13">
        <v>252</v>
      </c>
      <c r="E258" s="262">
        <f>'🧾 Factura Comercial'!E258</f>
        <v>0</v>
      </c>
      <c r="F258" s="263">
        <f>'🧾 Factura Comercial'!G258</f>
        <v>0</v>
      </c>
      <c r="G258" s="264">
        <f>'🧾 Factura Comercial'!H258</f>
        <v>0</v>
      </c>
      <c r="H258" s="265">
        <f>'🧾 Factura Comercial'!I258</f>
        <v>0</v>
      </c>
      <c r="I258" s="298">
        <f>'🧾 Factura Comercial'!J258</f>
        <v>0</v>
      </c>
      <c r="J258" s="260">
        <f t="shared" si="3"/>
        <v>0</v>
      </c>
      <c r="K258" s="261">
        <f>J258*'📋 Datos Generales'!$E$19</f>
        <v>0</v>
      </c>
    </row>
    <row r="259" spans="4:11" ht="19.5" hidden="1" customHeight="1" x14ac:dyDescent="0.25">
      <c r="D259" s="13">
        <v>253</v>
      </c>
      <c r="E259" s="256">
        <f>'🧾 Factura Comercial'!E259</f>
        <v>0</v>
      </c>
      <c r="F259" s="257">
        <f>'🧾 Factura Comercial'!G259</f>
        <v>0</v>
      </c>
      <c r="G259" s="258">
        <f>'🧾 Factura Comercial'!H259</f>
        <v>0</v>
      </c>
      <c r="H259" s="265">
        <f>'🧾 Factura Comercial'!I259</f>
        <v>0</v>
      </c>
      <c r="I259" s="298">
        <f>'🧾 Factura Comercial'!J259</f>
        <v>0</v>
      </c>
      <c r="J259" s="260">
        <f t="shared" si="3"/>
        <v>0</v>
      </c>
      <c r="K259" s="261">
        <f>J259*'📋 Datos Generales'!$E$19</f>
        <v>0</v>
      </c>
    </row>
    <row r="260" spans="4:11" ht="19.5" hidden="1" customHeight="1" x14ac:dyDescent="0.25">
      <c r="D260" s="13">
        <v>254</v>
      </c>
      <c r="E260" s="262">
        <f>'🧾 Factura Comercial'!E260</f>
        <v>0</v>
      </c>
      <c r="F260" s="263">
        <f>'🧾 Factura Comercial'!G260</f>
        <v>0</v>
      </c>
      <c r="G260" s="264">
        <f>'🧾 Factura Comercial'!H260</f>
        <v>0</v>
      </c>
      <c r="H260" s="265">
        <f>'🧾 Factura Comercial'!I260</f>
        <v>0</v>
      </c>
      <c r="I260" s="298">
        <f>'🧾 Factura Comercial'!J260</f>
        <v>0</v>
      </c>
      <c r="J260" s="260">
        <f t="shared" si="3"/>
        <v>0</v>
      </c>
      <c r="K260" s="261">
        <f>J260*'📋 Datos Generales'!$E$19</f>
        <v>0</v>
      </c>
    </row>
    <row r="261" spans="4:11" ht="19.5" hidden="1" customHeight="1" x14ac:dyDescent="0.25">
      <c r="D261" s="13">
        <v>255</v>
      </c>
      <c r="E261" s="262">
        <f>'🧾 Factura Comercial'!E261</f>
        <v>0</v>
      </c>
      <c r="F261" s="263">
        <f>'🧾 Factura Comercial'!G261</f>
        <v>0</v>
      </c>
      <c r="G261" s="264">
        <f>'🧾 Factura Comercial'!H261</f>
        <v>0</v>
      </c>
      <c r="H261" s="265">
        <f>'🧾 Factura Comercial'!I261</f>
        <v>0</v>
      </c>
      <c r="I261" s="298">
        <f>'🧾 Factura Comercial'!J261</f>
        <v>0</v>
      </c>
      <c r="J261" s="260">
        <f t="shared" si="3"/>
        <v>0</v>
      </c>
      <c r="K261" s="261">
        <f>J261*'📋 Datos Generales'!$E$19</f>
        <v>0</v>
      </c>
    </row>
    <row r="262" spans="4:11" ht="19.5" hidden="1" customHeight="1" x14ac:dyDescent="0.25">
      <c r="D262" s="13">
        <v>256</v>
      </c>
      <c r="E262" s="262">
        <f>'🧾 Factura Comercial'!E262</f>
        <v>0</v>
      </c>
      <c r="F262" s="263">
        <f>'🧾 Factura Comercial'!G262</f>
        <v>0</v>
      </c>
      <c r="G262" s="264">
        <f>'🧾 Factura Comercial'!H262</f>
        <v>0</v>
      </c>
      <c r="H262" s="259">
        <f>'🧾 Factura Comercial'!I262</f>
        <v>0</v>
      </c>
      <c r="I262" s="298">
        <f>'🧾 Factura Comercial'!J262</f>
        <v>0</v>
      </c>
      <c r="J262" s="260">
        <f t="shared" si="3"/>
        <v>0</v>
      </c>
      <c r="K262" s="261">
        <f>J262*'📋 Datos Generales'!$E$19</f>
        <v>0</v>
      </c>
    </row>
    <row r="263" spans="4:11" ht="19.5" hidden="1" customHeight="1" x14ac:dyDescent="0.25">
      <c r="D263" s="13">
        <v>257</v>
      </c>
      <c r="E263" s="262">
        <f>'🧾 Factura Comercial'!E263</f>
        <v>0</v>
      </c>
      <c r="F263" s="263">
        <f>'🧾 Factura Comercial'!G263</f>
        <v>0</v>
      </c>
      <c r="G263" s="264">
        <f>'🧾 Factura Comercial'!H263</f>
        <v>0</v>
      </c>
      <c r="H263" s="265">
        <f>'🧾 Factura Comercial'!I263</f>
        <v>0</v>
      </c>
      <c r="I263" s="298">
        <f>'🧾 Factura Comercial'!J263</f>
        <v>0</v>
      </c>
      <c r="J263" s="260">
        <f t="shared" si="3"/>
        <v>0</v>
      </c>
      <c r="K263" s="261">
        <f>J263*'📋 Datos Generales'!$E$19</f>
        <v>0</v>
      </c>
    </row>
    <row r="264" spans="4:11" ht="19.5" hidden="1" customHeight="1" x14ac:dyDescent="0.25">
      <c r="D264" s="13">
        <v>258</v>
      </c>
      <c r="E264" s="262">
        <f>'🧾 Factura Comercial'!E264</f>
        <v>0</v>
      </c>
      <c r="F264" s="263">
        <f>'🧾 Factura Comercial'!G264</f>
        <v>0</v>
      </c>
      <c r="G264" s="264">
        <f>'🧾 Factura Comercial'!H264</f>
        <v>0</v>
      </c>
      <c r="H264" s="265">
        <f>'🧾 Factura Comercial'!I264</f>
        <v>0</v>
      </c>
      <c r="I264" s="298">
        <f>'🧾 Factura Comercial'!J264</f>
        <v>0</v>
      </c>
      <c r="J264" s="260">
        <f t="shared" ref="J264:J327" si="4">IF($G$5=0,0,$G$5*G264)</f>
        <v>0</v>
      </c>
      <c r="K264" s="261">
        <f>J264*'📋 Datos Generales'!$E$19</f>
        <v>0</v>
      </c>
    </row>
    <row r="265" spans="4:11" ht="19.5" hidden="1" customHeight="1" x14ac:dyDescent="0.25">
      <c r="D265" s="13">
        <v>259</v>
      </c>
      <c r="E265" s="262">
        <f>'🧾 Factura Comercial'!E265</f>
        <v>0</v>
      </c>
      <c r="F265" s="263">
        <f>'🧾 Factura Comercial'!G265</f>
        <v>0</v>
      </c>
      <c r="G265" s="264">
        <f>'🧾 Factura Comercial'!H265</f>
        <v>0</v>
      </c>
      <c r="H265" s="265">
        <f>'🧾 Factura Comercial'!I265</f>
        <v>0</v>
      </c>
      <c r="I265" s="298">
        <f>'🧾 Factura Comercial'!J265</f>
        <v>0</v>
      </c>
      <c r="J265" s="260">
        <f t="shared" si="4"/>
        <v>0</v>
      </c>
      <c r="K265" s="261">
        <f>J265*'📋 Datos Generales'!$E$19</f>
        <v>0</v>
      </c>
    </row>
    <row r="266" spans="4:11" ht="19.5" hidden="1" customHeight="1" x14ac:dyDescent="0.25">
      <c r="D266" s="13">
        <v>260</v>
      </c>
      <c r="E266" s="262">
        <f>'🧾 Factura Comercial'!E266</f>
        <v>0</v>
      </c>
      <c r="F266" s="263">
        <f>'🧾 Factura Comercial'!G266</f>
        <v>0</v>
      </c>
      <c r="G266" s="258">
        <f>'🧾 Factura Comercial'!H266</f>
        <v>0</v>
      </c>
      <c r="H266" s="265">
        <f>'🧾 Factura Comercial'!I266</f>
        <v>0</v>
      </c>
      <c r="I266" s="298">
        <f>'🧾 Factura Comercial'!J266</f>
        <v>0</v>
      </c>
      <c r="J266" s="260">
        <f t="shared" si="4"/>
        <v>0</v>
      </c>
      <c r="K266" s="261">
        <f>J266*'📋 Datos Generales'!$E$19</f>
        <v>0</v>
      </c>
    </row>
    <row r="267" spans="4:11" ht="19.5" hidden="1" customHeight="1" x14ac:dyDescent="0.25">
      <c r="D267" s="13">
        <v>261</v>
      </c>
      <c r="E267" s="262">
        <f>'🧾 Factura Comercial'!E267</f>
        <v>0</v>
      </c>
      <c r="F267" s="263">
        <f>'🧾 Factura Comercial'!G267</f>
        <v>0</v>
      </c>
      <c r="G267" s="264">
        <f>'🧾 Factura Comercial'!H267</f>
        <v>0</v>
      </c>
      <c r="H267" s="259">
        <f>'🧾 Factura Comercial'!I267</f>
        <v>0</v>
      </c>
      <c r="I267" s="298">
        <f>'🧾 Factura Comercial'!J267</f>
        <v>0</v>
      </c>
      <c r="J267" s="260">
        <f t="shared" si="4"/>
        <v>0</v>
      </c>
      <c r="K267" s="261">
        <f>J267*'📋 Datos Generales'!$E$19</f>
        <v>0</v>
      </c>
    </row>
    <row r="268" spans="4:11" ht="19.5" hidden="1" customHeight="1" x14ac:dyDescent="0.25">
      <c r="D268" s="13">
        <v>262</v>
      </c>
      <c r="E268" s="256">
        <f>'🧾 Factura Comercial'!E268</f>
        <v>0</v>
      </c>
      <c r="F268" s="257">
        <f>'🧾 Factura Comercial'!G268</f>
        <v>0</v>
      </c>
      <c r="G268" s="264">
        <f>'🧾 Factura Comercial'!H268</f>
        <v>0</v>
      </c>
      <c r="H268" s="265">
        <f>'🧾 Factura Comercial'!I268</f>
        <v>0</v>
      </c>
      <c r="I268" s="298">
        <f>'🧾 Factura Comercial'!J268</f>
        <v>0</v>
      </c>
      <c r="J268" s="260">
        <f t="shared" si="4"/>
        <v>0</v>
      </c>
      <c r="K268" s="261">
        <f>J268*'📋 Datos Generales'!$E$19</f>
        <v>0</v>
      </c>
    </row>
    <row r="269" spans="4:11" ht="19.5" hidden="1" customHeight="1" x14ac:dyDescent="0.25">
      <c r="D269" s="13">
        <v>263</v>
      </c>
      <c r="E269" s="262">
        <f>'🧾 Factura Comercial'!E269</f>
        <v>0</v>
      </c>
      <c r="F269" s="263">
        <f>'🧾 Factura Comercial'!G269</f>
        <v>0</v>
      </c>
      <c r="G269" s="264">
        <f>'🧾 Factura Comercial'!H269</f>
        <v>0</v>
      </c>
      <c r="H269" s="265">
        <f>'🧾 Factura Comercial'!I269</f>
        <v>0</v>
      </c>
      <c r="I269" s="298">
        <f>'🧾 Factura Comercial'!J269</f>
        <v>0</v>
      </c>
      <c r="J269" s="260">
        <f t="shared" si="4"/>
        <v>0</v>
      </c>
      <c r="K269" s="261">
        <f>J269*'📋 Datos Generales'!$E$19</f>
        <v>0</v>
      </c>
    </row>
    <row r="270" spans="4:11" ht="19.5" hidden="1" customHeight="1" x14ac:dyDescent="0.25">
      <c r="D270" s="13">
        <v>264</v>
      </c>
      <c r="E270" s="262">
        <f>'🧾 Factura Comercial'!E270</f>
        <v>0</v>
      </c>
      <c r="F270" s="263">
        <f>'🧾 Factura Comercial'!G270</f>
        <v>0</v>
      </c>
      <c r="G270" s="264">
        <f>'🧾 Factura Comercial'!H270</f>
        <v>0</v>
      </c>
      <c r="H270" s="265">
        <f>'🧾 Factura Comercial'!I270</f>
        <v>0</v>
      </c>
      <c r="I270" s="298">
        <f>'🧾 Factura Comercial'!J270</f>
        <v>0</v>
      </c>
      <c r="J270" s="260">
        <f t="shared" si="4"/>
        <v>0</v>
      </c>
      <c r="K270" s="261">
        <f>J270*'📋 Datos Generales'!$E$19</f>
        <v>0</v>
      </c>
    </row>
    <row r="271" spans="4:11" ht="19.5" hidden="1" customHeight="1" x14ac:dyDescent="0.25">
      <c r="D271" s="13">
        <v>265</v>
      </c>
      <c r="E271" s="262">
        <f>'🧾 Factura Comercial'!E271</f>
        <v>0</v>
      </c>
      <c r="F271" s="263">
        <f>'🧾 Factura Comercial'!G271</f>
        <v>0</v>
      </c>
      <c r="G271" s="264">
        <f>'🧾 Factura Comercial'!H271</f>
        <v>0</v>
      </c>
      <c r="H271" s="265">
        <f>'🧾 Factura Comercial'!I271</f>
        <v>0</v>
      </c>
      <c r="I271" s="298">
        <f>'🧾 Factura Comercial'!J271</f>
        <v>0</v>
      </c>
      <c r="J271" s="260">
        <f t="shared" si="4"/>
        <v>0</v>
      </c>
      <c r="K271" s="261">
        <f>J271*'📋 Datos Generales'!$E$19</f>
        <v>0</v>
      </c>
    </row>
    <row r="272" spans="4:11" ht="19.5" hidden="1" customHeight="1" x14ac:dyDescent="0.25">
      <c r="D272" s="13">
        <v>266</v>
      </c>
      <c r="E272" s="262">
        <f>'🧾 Factura Comercial'!E272</f>
        <v>0</v>
      </c>
      <c r="F272" s="263">
        <f>'🧾 Factura Comercial'!G272</f>
        <v>0</v>
      </c>
      <c r="G272" s="264">
        <f>'🧾 Factura Comercial'!H272</f>
        <v>0</v>
      </c>
      <c r="H272" s="259">
        <f>'🧾 Factura Comercial'!I272</f>
        <v>0</v>
      </c>
      <c r="I272" s="298">
        <f>'🧾 Factura Comercial'!J272</f>
        <v>0</v>
      </c>
      <c r="J272" s="260">
        <f t="shared" si="4"/>
        <v>0</v>
      </c>
      <c r="K272" s="261">
        <f>J272*'📋 Datos Generales'!$E$19</f>
        <v>0</v>
      </c>
    </row>
    <row r="273" spans="4:11" ht="19.5" hidden="1" customHeight="1" x14ac:dyDescent="0.25">
      <c r="D273" s="13">
        <v>267</v>
      </c>
      <c r="E273" s="262">
        <f>'🧾 Factura Comercial'!E273</f>
        <v>0</v>
      </c>
      <c r="F273" s="263">
        <f>'🧾 Factura Comercial'!G273</f>
        <v>0</v>
      </c>
      <c r="G273" s="258">
        <f>'🧾 Factura Comercial'!H273</f>
        <v>0</v>
      </c>
      <c r="H273" s="265">
        <f>'🧾 Factura Comercial'!I273</f>
        <v>0</v>
      </c>
      <c r="I273" s="298">
        <f>'🧾 Factura Comercial'!J273</f>
        <v>0</v>
      </c>
      <c r="J273" s="260">
        <f t="shared" si="4"/>
        <v>0</v>
      </c>
      <c r="K273" s="261">
        <f>J273*'📋 Datos Generales'!$E$19</f>
        <v>0</v>
      </c>
    </row>
    <row r="274" spans="4:11" ht="19.5" hidden="1" customHeight="1" x14ac:dyDescent="0.25">
      <c r="D274" s="13">
        <v>268</v>
      </c>
      <c r="E274" s="262">
        <f>'🧾 Factura Comercial'!E274</f>
        <v>0</v>
      </c>
      <c r="F274" s="263">
        <f>'🧾 Factura Comercial'!G274</f>
        <v>0</v>
      </c>
      <c r="G274" s="264">
        <f>'🧾 Factura Comercial'!H274</f>
        <v>0</v>
      </c>
      <c r="H274" s="265">
        <f>'🧾 Factura Comercial'!I274</f>
        <v>0</v>
      </c>
      <c r="I274" s="298">
        <f>'🧾 Factura Comercial'!J274</f>
        <v>0</v>
      </c>
      <c r="J274" s="260">
        <f t="shared" si="4"/>
        <v>0</v>
      </c>
      <c r="K274" s="261">
        <f>J274*'📋 Datos Generales'!$E$19</f>
        <v>0</v>
      </c>
    </row>
    <row r="275" spans="4:11" ht="19.5" hidden="1" customHeight="1" x14ac:dyDescent="0.25">
      <c r="D275" s="13">
        <v>269</v>
      </c>
      <c r="E275" s="262">
        <f>'🧾 Factura Comercial'!E275</f>
        <v>0</v>
      </c>
      <c r="F275" s="263">
        <f>'🧾 Factura Comercial'!G275</f>
        <v>0</v>
      </c>
      <c r="G275" s="264">
        <f>'🧾 Factura Comercial'!H275</f>
        <v>0</v>
      </c>
      <c r="H275" s="265">
        <f>'🧾 Factura Comercial'!I275</f>
        <v>0</v>
      </c>
      <c r="I275" s="298">
        <f>'🧾 Factura Comercial'!J275</f>
        <v>0</v>
      </c>
      <c r="J275" s="260">
        <f t="shared" si="4"/>
        <v>0</v>
      </c>
      <c r="K275" s="261">
        <f>J275*'📋 Datos Generales'!$E$19</f>
        <v>0</v>
      </c>
    </row>
    <row r="276" spans="4:11" ht="19.5" hidden="1" customHeight="1" x14ac:dyDescent="0.25">
      <c r="D276" s="13">
        <v>270</v>
      </c>
      <c r="E276" s="262">
        <f>'🧾 Factura Comercial'!E276</f>
        <v>0</v>
      </c>
      <c r="F276" s="263">
        <f>'🧾 Factura Comercial'!G276</f>
        <v>0</v>
      </c>
      <c r="G276" s="264">
        <f>'🧾 Factura Comercial'!H276</f>
        <v>0</v>
      </c>
      <c r="H276" s="265">
        <f>'🧾 Factura Comercial'!I276</f>
        <v>0</v>
      </c>
      <c r="I276" s="298">
        <f>'🧾 Factura Comercial'!J276</f>
        <v>0</v>
      </c>
      <c r="J276" s="260">
        <f t="shared" si="4"/>
        <v>0</v>
      </c>
      <c r="K276" s="261">
        <f>J276*'📋 Datos Generales'!$E$19</f>
        <v>0</v>
      </c>
    </row>
    <row r="277" spans="4:11" ht="19.5" hidden="1" customHeight="1" x14ac:dyDescent="0.25">
      <c r="D277" s="13">
        <v>271</v>
      </c>
      <c r="E277" s="256">
        <f>'🧾 Factura Comercial'!E277</f>
        <v>0</v>
      </c>
      <c r="F277" s="257">
        <f>'🧾 Factura Comercial'!G277</f>
        <v>0</v>
      </c>
      <c r="G277" s="264">
        <f>'🧾 Factura Comercial'!H277</f>
        <v>0</v>
      </c>
      <c r="H277" s="259">
        <f>'🧾 Factura Comercial'!I277</f>
        <v>0</v>
      </c>
      <c r="I277" s="298">
        <f>'🧾 Factura Comercial'!J277</f>
        <v>0</v>
      </c>
      <c r="J277" s="260">
        <f t="shared" si="4"/>
        <v>0</v>
      </c>
      <c r="K277" s="261">
        <f>J277*'📋 Datos Generales'!$E$19</f>
        <v>0</v>
      </c>
    </row>
    <row r="278" spans="4:11" ht="19.5" hidden="1" customHeight="1" x14ac:dyDescent="0.25">
      <c r="D278" s="13">
        <v>272</v>
      </c>
      <c r="E278" s="262">
        <f>'🧾 Factura Comercial'!E278</f>
        <v>0</v>
      </c>
      <c r="F278" s="263">
        <f>'🧾 Factura Comercial'!G278</f>
        <v>0</v>
      </c>
      <c r="G278" s="264">
        <f>'🧾 Factura Comercial'!H278</f>
        <v>0</v>
      </c>
      <c r="H278" s="265">
        <f>'🧾 Factura Comercial'!I278</f>
        <v>0</v>
      </c>
      <c r="I278" s="298">
        <f>'🧾 Factura Comercial'!J278</f>
        <v>0</v>
      </c>
      <c r="J278" s="260">
        <f t="shared" si="4"/>
        <v>0</v>
      </c>
      <c r="K278" s="261">
        <f>J278*'📋 Datos Generales'!$E$19</f>
        <v>0</v>
      </c>
    </row>
    <row r="279" spans="4:11" ht="19.5" hidden="1" customHeight="1" x14ac:dyDescent="0.25">
      <c r="D279" s="13">
        <v>273</v>
      </c>
      <c r="E279" s="262">
        <f>'🧾 Factura Comercial'!E279</f>
        <v>0</v>
      </c>
      <c r="F279" s="263">
        <f>'🧾 Factura Comercial'!G279</f>
        <v>0</v>
      </c>
      <c r="G279" s="264">
        <f>'🧾 Factura Comercial'!H279</f>
        <v>0</v>
      </c>
      <c r="H279" s="265">
        <f>'🧾 Factura Comercial'!I279</f>
        <v>0</v>
      </c>
      <c r="I279" s="298">
        <f>'🧾 Factura Comercial'!J279</f>
        <v>0</v>
      </c>
      <c r="J279" s="260">
        <f t="shared" si="4"/>
        <v>0</v>
      </c>
      <c r="K279" s="261">
        <f>J279*'📋 Datos Generales'!$E$19</f>
        <v>0</v>
      </c>
    </row>
    <row r="280" spans="4:11" ht="19.5" hidden="1" customHeight="1" x14ac:dyDescent="0.25">
      <c r="D280" s="13">
        <v>274</v>
      </c>
      <c r="E280" s="262">
        <f>'🧾 Factura Comercial'!E280</f>
        <v>0</v>
      </c>
      <c r="F280" s="263">
        <f>'🧾 Factura Comercial'!G280</f>
        <v>0</v>
      </c>
      <c r="G280" s="258">
        <f>'🧾 Factura Comercial'!H280</f>
        <v>0</v>
      </c>
      <c r="H280" s="265">
        <f>'🧾 Factura Comercial'!I280</f>
        <v>0</v>
      </c>
      <c r="I280" s="298">
        <f>'🧾 Factura Comercial'!J280</f>
        <v>0</v>
      </c>
      <c r="J280" s="260">
        <f t="shared" si="4"/>
        <v>0</v>
      </c>
      <c r="K280" s="261">
        <f>J280*'📋 Datos Generales'!$E$19</f>
        <v>0</v>
      </c>
    </row>
    <row r="281" spans="4:11" ht="19.5" hidden="1" customHeight="1" x14ac:dyDescent="0.25">
      <c r="D281" s="13">
        <v>275</v>
      </c>
      <c r="E281" s="262">
        <f>'🧾 Factura Comercial'!E281</f>
        <v>0</v>
      </c>
      <c r="F281" s="263">
        <f>'🧾 Factura Comercial'!G281</f>
        <v>0</v>
      </c>
      <c r="G281" s="264">
        <f>'🧾 Factura Comercial'!H281</f>
        <v>0</v>
      </c>
      <c r="H281" s="265">
        <f>'🧾 Factura Comercial'!I281</f>
        <v>0</v>
      </c>
      <c r="I281" s="298">
        <f>'🧾 Factura Comercial'!J281</f>
        <v>0</v>
      </c>
      <c r="J281" s="260">
        <f t="shared" si="4"/>
        <v>0</v>
      </c>
      <c r="K281" s="261">
        <f>J281*'📋 Datos Generales'!$E$19</f>
        <v>0</v>
      </c>
    </row>
    <row r="282" spans="4:11" ht="19.5" hidden="1" customHeight="1" x14ac:dyDescent="0.25">
      <c r="D282" s="13">
        <v>276</v>
      </c>
      <c r="E282" s="262">
        <f>'🧾 Factura Comercial'!E282</f>
        <v>0</v>
      </c>
      <c r="F282" s="263">
        <f>'🧾 Factura Comercial'!G282</f>
        <v>0</v>
      </c>
      <c r="G282" s="264">
        <f>'🧾 Factura Comercial'!H282</f>
        <v>0</v>
      </c>
      <c r="H282" s="259">
        <f>'🧾 Factura Comercial'!I282</f>
        <v>0</v>
      </c>
      <c r="I282" s="298">
        <f>'🧾 Factura Comercial'!J282</f>
        <v>0</v>
      </c>
      <c r="J282" s="260">
        <f t="shared" si="4"/>
        <v>0</v>
      </c>
      <c r="K282" s="261">
        <f>J282*'📋 Datos Generales'!$E$19</f>
        <v>0</v>
      </c>
    </row>
    <row r="283" spans="4:11" ht="19.5" hidden="1" customHeight="1" x14ac:dyDescent="0.25">
      <c r="D283" s="13">
        <v>277</v>
      </c>
      <c r="E283" s="262">
        <f>'🧾 Factura Comercial'!E283</f>
        <v>0</v>
      </c>
      <c r="F283" s="263">
        <f>'🧾 Factura Comercial'!G283</f>
        <v>0</v>
      </c>
      <c r="G283" s="264">
        <f>'🧾 Factura Comercial'!H283</f>
        <v>0</v>
      </c>
      <c r="H283" s="265">
        <f>'🧾 Factura Comercial'!I283</f>
        <v>0</v>
      </c>
      <c r="I283" s="298">
        <f>'🧾 Factura Comercial'!J283</f>
        <v>0</v>
      </c>
      <c r="J283" s="260">
        <f t="shared" si="4"/>
        <v>0</v>
      </c>
      <c r="K283" s="261">
        <f>J283*'📋 Datos Generales'!$E$19</f>
        <v>0</v>
      </c>
    </row>
    <row r="284" spans="4:11" ht="19.5" hidden="1" customHeight="1" x14ac:dyDescent="0.25">
      <c r="D284" s="13">
        <v>278</v>
      </c>
      <c r="E284" s="262">
        <f>'🧾 Factura Comercial'!E284</f>
        <v>0</v>
      </c>
      <c r="F284" s="263">
        <f>'🧾 Factura Comercial'!G284</f>
        <v>0</v>
      </c>
      <c r="G284" s="264">
        <f>'🧾 Factura Comercial'!H284</f>
        <v>0</v>
      </c>
      <c r="H284" s="265">
        <f>'🧾 Factura Comercial'!I284</f>
        <v>0</v>
      </c>
      <c r="I284" s="298">
        <f>'🧾 Factura Comercial'!J284</f>
        <v>0</v>
      </c>
      <c r="J284" s="260">
        <f t="shared" si="4"/>
        <v>0</v>
      </c>
      <c r="K284" s="261">
        <f>J284*'📋 Datos Generales'!$E$19</f>
        <v>0</v>
      </c>
    </row>
    <row r="285" spans="4:11" ht="19.5" hidden="1" customHeight="1" x14ac:dyDescent="0.25">
      <c r="D285" s="13">
        <v>279</v>
      </c>
      <c r="E285" s="262">
        <f>'🧾 Factura Comercial'!E285</f>
        <v>0</v>
      </c>
      <c r="F285" s="263">
        <f>'🧾 Factura Comercial'!G285</f>
        <v>0</v>
      </c>
      <c r="G285" s="264">
        <f>'🧾 Factura Comercial'!H285</f>
        <v>0</v>
      </c>
      <c r="H285" s="265">
        <f>'🧾 Factura Comercial'!I285</f>
        <v>0</v>
      </c>
      <c r="I285" s="298">
        <f>'🧾 Factura Comercial'!J285</f>
        <v>0</v>
      </c>
      <c r="J285" s="260">
        <f t="shared" si="4"/>
        <v>0</v>
      </c>
      <c r="K285" s="261">
        <f>J285*'📋 Datos Generales'!$E$19</f>
        <v>0</v>
      </c>
    </row>
    <row r="286" spans="4:11" ht="19.5" hidden="1" customHeight="1" x14ac:dyDescent="0.25">
      <c r="D286" s="13">
        <v>280</v>
      </c>
      <c r="E286" s="256">
        <f>'🧾 Factura Comercial'!E286</f>
        <v>0</v>
      </c>
      <c r="F286" s="257">
        <f>'🧾 Factura Comercial'!G286</f>
        <v>0</v>
      </c>
      <c r="G286" s="264">
        <f>'🧾 Factura Comercial'!H286</f>
        <v>0</v>
      </c>
      <c r="H286" s="265">
        <f>'🧾 Factura Comercial'!I286</f>
        <v>0</v>
      </c>
      <c r="I286" s="298">
        <f>'🧾 Factura Comercial'!J286</f>
        <v>0</v>
      </c>
      <c r="J286" s="260">
        <f t="shared" si="4"/>
        <v>0</v>
      </c>
      <c r="K286" s="261">
        <f>J286*'📋 Datos Generales'!$E$19</f>
        <v>0</v>
      </c>
    </row>
    <row r="287" spans="4:11" ht="19.5" hidden="1" customHeight="1" x14ac:dyDescent="0.25">
      <c r="D287" s="13">
        <v>281</v>
      </c>
      <c r="E287" s="262">
        <f>'🧾 Factura Comercial'!E287</f>
        <v>0</v>
      </c>
      <c r="F287" s="263">
        <f>'🧾 Factura Comercial'!G287</f>
        <v>0</v>
      </c>
      <c r="G287" s="258">
        <f>'🧾 Factura Comercial'!H287</f>
        <v>0</v>
      </c>
      <c r="H287" s="259">
        <f>'🧾 Factura Comercial'!I287</f>
        <v>0</v>
      </c>
      <c r="I287" s="298">
        <f>'🧾 Factura Comercial'!J287</f>
        <v>0</v>
      </c>
      <c r="J287" s="260">
        <f t="shared" si="4"/>
        <v>0</v>
      </c>
      <c r="K287" s="261">
        <f>J287*'📋 Datos Generales'!$E$19</f>
        <v>0</v>
      </c>
    </row>
    <row r="288" spans="4:11" ht="19.5" hidden="1" customHeight="1" x14ac:dyDescent="0.25">
      <c r="D288" s="13">
        <v>282</v>
      </c>
      <c r="E288" s="262">
        <f>'🧾 Factura Comercial'!E288</f>
        <v>0</v>
      </c>
      <c r="F288" s="263">
        <f>'🧾 Factura Comercial'!G288</f>
        <v>0</v>
      </c>
      <c r="G288" s="264">
        <f>'🧾 Factura Comercial'!H288</f>
        <v>0</v>
      </c>
      <c r="H288" s="265">
        <f>'🧾 Factura Comercial'!I288</f>
        <v>0</v>
      </c>
      <c r="I288" s="298">
        <f>'🧾 Factura Comercial'!J288</f>
        <v>0</v>
      </c>
      <c r="J288" s="260">
        <f t="shared" si="4"/>
        <v>0</v>
      </c>
      <c r="K288" s="261">
        <f>J288*'📋 Datos Generales'!$E$19</f>
        <v>0</v>
      </c>
    </row>
    <row r="289" spans="4:11" ht="19.5" hidden="1" customHeight="1" x14ac:dyDescent="0.25">
      <c r="D289" s="13">
        <v>283</v>
      </c>
      <c r="E289" s="262">
        <f>'🧾 Factura Comercial'!E289</f>
        <v>0</v>
      </c>
      <c r="F289" s="263">
        <f>'🧾 Factura Comercial'!G289</f>
        <v>0</v>
      </c>
      <c r="G289" s="264">
        <f>'🧾 Factura Comercial'!H289</f>
        <v>0</v>
      </c>
      <c r="H289" s="265">
        <f>'🧾 Factura Comercial'!I289</f>
        <v>0</v>
      </c>
      <c r="I289" s="298">
        <f>'🧾 Factura Comercial'!J289</f>
        <v>0</v>
      </c>
      <c r="J289" s="260">
        <f t="shared" si="4"/>
        <v>0</v>
      </c>
      <c r="K289" s="261">
        <f>J289*'📋 Datos Generales'!$E$19</f>
        <v>0</v>
      </c>
    </row>
    <row r="290" spans="4:11" ht="19.5" hidden="1" customHeight="1" x14ac:dyDescent="0.25">
      <c r="D290" s="13">
        <v>284</v>
      </c>
      <c r="E290" s="262">
        <f>'🧾 Factura Comercial'!E290</f>
        <v>0</v>
      </c>
      <c r="F290" s="263">
        <f>'🧾 Factura Comercial'!G290</f>
        <v>0</v>
      </c>
      <c r="G290" s="264">
        <f>'🧾 Factura Comercial'!H290</f>
        <v>0</v>
      </c>
      <c r="H290" s="265">
        <f>'🧾 Factura Comercial'!I290</f>
        <v>0</v>
      </c>
      <c r="I290" s="298">
        <f>'🧾 Factura Comercial'!J290</f>
        <v>0</v>
      </c>
      <c r="J290" s="260">
        <f t="shared" si="4"/>
        <v>0</v>
      </c>
      <c r="K290" s="261">
        <f>J290*'📋 Datos Generales'!$E$19</f>
        <v>0</v>
      </c>
    </row>
    <row r="291" spans="4:11" ht="19.5" hidden="1" customHeight="1" x14ac:dyDescent="0.25">
      <c r="D291" s="13">
        <v>285</v>
      </c>
      <c r="E291" s="262">
        <f>'🧾 Factura Comercial'!E291</f>
        <v>0</v>
      </c>
      <c r="F291" s="263">
        <f>'🧾 Factura Comercial'!G291</f>
        <v>0</v>
      </c>
      <c r="G291" s="264">
        <f>'🧾 Factura Comercial'!H291</f>
        <v>0</v>
      </c>
      <c r="H291" s="265">
        <f>'🧾 Factura Comercial'!I291</f>
        <v>0</v>
      </c>
      <c r="I291" s="298">
        <f>'🧾 Factura Comercial'!J291</f>
        <v>0</v>
      </c>
      <c r="J291" s="260">
        <f t="shared" si="4"/>
        <v>0</v>
      </c>
      <c r="K291" s="261">
        <f>J291*'📋 Datos Generales'!$E$19</f>
        <v>0</v>
      </c>
    </row>
    <row r="292" spans="4:11" ht="19.5" hidden="1" customHeight="1" x14ac:dyDescent="0.25">
      <c r="D292" s="13">
        <v>286</v>
      </c>
      <c r="E292" s="262">
        <f>'🧾 Factura Comercial'!E292</f>
        <v>0</v>
      </c>
      <c r="F292" s="263">
        <f>'🧾 Factura Comercial'!G292</f>
        <v>0</v>
      </c>
      <c r="G292" s="264">
        <f>'🧾 Factura Comercial'!H292</f>
        <v>0</v>
      </c>
      <c r="H292" s="259">
        <f>'🧾 Factura Comercial'!I292</f>
        <v>0</v>
      </c>
      <c r="I292" s="298">
        <f>'🧾 Factura Comercial'!J292</f>
        <v>0</v>
      </c>
      <c r="J292" s="260">
        <f t="shared" si="4"/>
        <v>0</v>
      </c>
      <c r="K292" s="261">
        <f>J292*'📋 Datos Generales'!$E$19</f>
        <v>0</v>
      </c>
    </row>
    <row r="293" spans="4:11" ht="19.5" hidden="1" customHeight="1" x14ac:dyDescent="0.25">
      <c r="D293" s="13">
        <v>287</v>
      </c>
      <c r="E293" s="262">
        <f>'🧾 Factura Comercial'!E293</f>
        <v>0</v>
      </c>
      <c r="F293" s="263">
        <f>'🧾 Factura Comercial'!G293</f>
        <v>0</v>
      </c>
      <c r="G293" s="264">
        <f>'🧾 Factura Comercial'!H293</f>
        <v>0</v>
      </c>
      <c r="H293" s="265">
        <f>'🧾 Factura Comercial'!I293</f>
        <v>0</v>
      </c>
      <c r="I293" s="298">
        <f>'🧾 Factura Comercial'!J293</f>
        <v>0</v>
      </c>
      <c r="J293" s="260">
        <f t="shared" si="4"/>
        <v>0</v>
      </c>
      <c r="K293" s="261">
        <f>J293*'📋 Datos Generales'!$E$19</f>
        <v>0</v>
      </c>
    </row>
    <row r="294" spans="4:11" ht="19.5" hidden="1" customHeight="1" x14ac:dyDescent="0.25">
      <c r="D294" s="13">
        <v>288</v>
      </c>
      <c r="E294" s="262">
        <f>'🧾 Factura Comercial'!E294</f>
        <v>0</v>
      </c>
      <c r="F294" s="263">
        <f>'🧾 Factura Comercial'!G294</f>
        <v>0</v>
      </c>
      <c r="G294" s="258">
        <f>'🧾 Factura Comercial'!H294</f>
        <v>0</v>
      </c>
      <c r="H294" s="265">
        <f>'🧾 Factura Comercial'!I294</f>
        <v>0</v>
      </c>
      <c r="I294" s="298">
        <f>'🧾 Factura Comercial'!J294</f>
        <v>0</v>
      </c>
      <c r="J294" s="260">
        <f t="shared" si="4"/>
        <v>0</v>
      </c>
      <c r="K294" s="261">
        <f>J294*'📋 Datos Generales'!$E$19</f>
        <v>0</v>
      </c>
    </row>
    <row r="295" spans="4:11" ht="19.5" hidden="1" customHeight="1" x14ac:dyDescent="0.25">
      <c r="D295" s="13">
        <v>289</v>
      </c>
      <c r="E295" s="256">
        <f>'🧾 Factura Comercial'!E295</f>
        <v>0</v>
      </c>
      <c r="F295" s="257">
        <f>'🧾 Factura Comercial'!G295</f>
        <v>0</v>
      </c>
      <c r="G295" s="264">
        <f>'🧾 Factura Comercial'!H295</f>
        <v>0</v>
      </c>
      <c r="H295" s="265">
        <f>'🧾 Factura Comercial'!I295</f>
        <v>0</v>
      </c>
      <c r="I295" s="298">
        <f>'🧾 Factura Comercial'!J295</f>
        <v>0</v>
      </c>
      <c r="J295" s="260">
        <f t="shared" si="4"/>
        <v>0</v>
      </c>
      <c r="K295" s="261">
        <f>J295*'📋 Datos Generales'!$E$19</f>
        <v>0</v>
      </c>
    </row>
    <row r="296" spans="4:11" ht="19.5" hidden="1" customHeight="1" x14ac:dyDescent="0.25">
      <c r="D296" s="13">
        <v>290</v>
      </c>
      <c r="E296" s="262">
        <f>'🧾 Factura Comercial'!E296</f>
        <v>0</v>
      </c>
      <c r="F296" s="263">
        <f>'🧾 Factura Comercial'!G296</f>
        <v>0</v>
      </c>
      <c r="G296" s="264">
        <f>'🧾 Factura Comercial'!H296</f>
        <v>0</v>
      </c>
      <c r="H296" s="265">
        <f>'🧾 Factura Comercial'!I296</f>
        <v>0</v>
      </c>
      <c r="I296" s="298">
        <f>'🧾 Factura Comercial'!J296</f>
        <v>0</v>
      </c>
      <c r="J296" s="260">
        <f t="shared" si="4"/>
        <v>0</v>
      </c>
      <c r="K296" s="261">
        <f>J296*'📋 Datos Generales'!$E$19</f>
        <v>0</v>
      </c>
    </row>
    <row r="297" spans="4:11" ht="19.5" hidden="1" customHeight="1" x14ac:dyDescent="0.25">
      <c r="D297" s="13">
        <v>291</v>
      </c>
      <c r="E297" s="262">
        <f>'🧾 Factura Comercial'!E297</f>
        <v>0</v>
      </c>
      <c r="F297" s="263">
        <f>'🧾 Factura Comercial'!G297</f>
        <v>0</v>
      </c>
      <c r="G297" s="264">
        <f>'🧾 Factura Comercial'!H297</f>
        <v>0</v>
      </c>
      <c r="H297" s="259">
        <f>'🧾 Factura Comercial'!I297</f>
        <v>0</v>
      </c>
      <c r="I297" s="298">
        <f>'🧾 Factura Comercial'!J297</f>
        <v>0</v>
      </c>
      <c r="J297" s="260">
        <f t="shared" si="4"/>
        <v>0</v>
      </c>
      <c r="K297" s="261">
        <f>J297*'📋 Datos Generales'!$E$19</f>
        <v>0</v>
      </c>
    </row>
    <row r="298" spans="4:11" ht="19.5" hidden="1" customHeight="1" x14ac:dyDescent="0.25">
      <c r="D298" s="13">
        <v>292</v>
      </c>
      <c r="E298" s="262">
        <f>'🧾 Factura Comercial'!E298</f>
        <v>0</v>
      </c>
      <c r="F298" s="263">
        <f>'🧾 Factura Comercial'!G298</f>
        <v>0</v>
      </c>
      <c r="G298" s="264">
        <f>'🧾 Factura Comercial'!H298</f>
        <v>0</v>
      </c>
      <c r="H298" s="265">
        <f>'🧾 Factura Comercial'!I298</f>
        <v>0</v>
      </c>
      <c r="I298" s="298">
        <f>'🧾 Factura Comercial'!J298</f>
        <v>0</v>
      </c>
      <c r="J298" s="260">
        <f t="shared" si="4"/>
        <v>0</v>
      </c>
      <c r="K298" s="261">
        <f>J298*'📋 Datos Generales'!$E$19</f>
        <v>0</v>
      </c>
    </row>
    <row r="299" spans="4:11" ht="19.5" hidden="1" customHeight="1" x14ac:dyDescent="0.25">
      <c r="D299" s="13">
        <v>293</v>
      </c>
      <c r="E299" s="262">
        <f>'🧾 Factura Comercial'!E299</f>
        <v>0</v>
      </c>
      <c r="F299" s="263">
        <f>'🧾 Factura Comercial'!G299</f>
        <v>0</v>
      </c>
      <c r="G299" s="264">
        <f>'🧾 Factura Comercial'!H299</f>
        <v>0</v>
      </c>
      <c r="H299" s="265">
        <f>'🧾 Factura Comercial'!I299</f>
        <v>0</v>
      </c>
      <c r="I299" s="298">
        <f>'🧾 Factura Comercial'!J299</f>
        <v>0</v>
      </c>
      <c r="J299" s="260">
        <f t="shared" si="4"/>
        <v>0</v>
      </c>
      <c r="K299" s="261">
        <f>J299*'📋 Datos Generales'!$E$19</f>
        <v>0</v>
      </c>
    </row>
    <row r="300" spans="4:11" ht="19.5" hidden="1" customHeight="1" x14ac:dyDescent="0.25">
      <c r="D300" s="13">
        <v>294</v>
      </c>
      <c r="E300" s="262">
        <f>'🧾 Factura Comercial'!E300</f>
        <v>0</v>
      </c>
      <c r="F300" s="263">
        <f>'🧾 Factura Comercial'!G300</f>
        <v>0</v>
      </c>
      <c r="G300" s="264">
        <f>'🧾 Factura Comercial'!H300</f>
        <v>0</v>
      </c>
      <c r="H300" s="265">
        <f>'🧾 Factura Comercial'!I300</f>
        <v>0</v>
      </c>
      <c r="I300" s="298">
        <f>'🧾 Factura Comercial'!J300</f>
        <v>0</v>
      </c>
      <c r="J300" s="260">
        <f t="shared" si="4"/>
        <v>0</v>
      </c>
      <c r="K300" s="261">
        <f>J300*'📋 Datos Generales'!$E$19</f>
        <v>0</v>
      </c>
    </row>
    <row r="301" spans="4:11" ht="19.5" hidden="1" customHeight="1" x14ac:dyDescent="0.25">
      <c r="D301" s="13">
        <v>295</v>
      </c>
      <c r="E301" s="262">
        <f>'🧾 Factura Comercial'!E301</f>
        <v>0</v>
      </c>
      <c r="F301" s="263">
        <f>'🧾 Factura Comercial'!G301</f>
        <v>0</v>
      </c>
      <c r="G301" s="258">
        <f>'🧾 Factura Comercial'!H301</f>
        <v>0</v>
      </c>
      <c r="H301" s="265">
        <f>'🧾 Factura Comercial'!I301</f>
        <v>0</v>
      </c>
      <c r="I301" s="298">
        <f>'🧾 Factura Comercial'!J301</f>
        <v>0</v>
      </c>
      <c r="J301" s="260">
        <f t="shared" si="4"/>
        <v>0</v>
      </c>
      <c r="K301" s="261">
        <f>J301*'📋 Datos Generales'!$E$19</f>
        <v>0</v>
      </c>
    </row>
    <row r="302" spans="4:11" ht="19.5" hidden="1" customHeight="1" x14ac:dyDescent="0.25">
      <c r="D302" s="13">
        <v>296</v>
      </c>
      <c r="E302" s="262">
        <f>'🧾 Factura Comercial'!E302</f>
        <v>0</v>
      </c>
      <c r="F302" s="263">
        <f>'🧾 Factura Comercial'!G302</f>
        <v>0</v>
      </c>
      <c r="G302" s="264">
        <f>'🧾 Factura Comercial'!H302</f>
        <v>0</v>
      </c>
      <c r="H302" s="259">
        <f>'🧾 Factura Comercial'!I302</f>
        <v>0</v>
      </c>
      <c r="I302" s="298">
        <f>'🧾 Factura Comercial'!J302</f>
        <v>0</v>
      </c>
      <c r="J302" s="260">
        <f t="shared" si="4"/>
        <v>0</v>
      </c>
      <c r="K302" s="261">
        <f>J302*'📋 Datos Generales'!$E$19</f>
        <v>0</v>
      </c>
    </row>
    <row r="303" spans="4:11" ht="19.5" hidden="1" customHeight="1" x14ac:dyDescent="0.25">
      <c r="D303" s="13">
        <v>297</v>
      </c>
      <c r="E303" s="262">
        <f>'🧾 Factura Comercial'!E303</f>
        <v>0</v>
      </c>
      <c r="F303" s="263">
        <f>'🧾 Factura Comercial'!G303</f>
        <v>0</v>
      </c>
      <c r="G303" s="264">
        <f>'🧾 Factura Comercial'!H303</f>
        <v>0</v>
      </c>
      <c r="H303" s="265">
        <f>'🧾 Factura Comercial'!I303</f>
        <v>0</v>
      </c>
      <c r="I303" s="298">
        <f>'🧾 Factura Comercial'!J303</f>
        <v>0</v>
      </c>
      <c r="J303" s="260">
        <f t="shared" si="4"/>
        <v>0</v>
      </c>
      <c r="K303" s="261">
        <f>J303*'📋 Datos Generales'!$E$19</f>
        <v>0</v>
      </c>
    </row>
    <row r="304" spans="4:11" ht="19.5" hidden="1" customHeight="1" x14ac:dyDescent="0.25">
      <c r="D304" s="13">
        <v>298</v>
      </c>
      <c r="E304" s="256">
        <f>'🧾 Factura Comercial'!E304</f>
        <v>0</v>
      </c>
      <c r="F304" s="257">
        <f>'🧾 Factura Comercial'!G304</f>
        <v>0</v>
      </c>
      <c r="G304" s="264">
        <f>'🧾 Factura Comercial'!H304</f>
        <v>0</v>
      </c>
      <c r="H304" s="265">
        <f>'🧾 Factura Comercial'!I304</f>
        <v>0</v>
      </c>
      <c r="I304" s="298">
        <f>'🧾 Factura Comercial'!J304</f>
        <v>0</v>
      </c>
      <c r="J304" s="260">
        <f t="shared" si="4"/>
        <v>0</v>
      </c>
      <c r="K304" s="261">
        <f>J304*'📋 Datos Generales'!$E$19</f>
        <v>0</v>
      </c>
    </row>
    <row r="305" spans="4:11" ht="19.5" hidden="1" customHeight="1" x14ac:dyDescent="0.25">
      <c r="D305" s="13">
        <v>299</v>
      </c>
      <c r="E305" s="262">
        <f>'🧾 Factura Comercial'!E305</f>
        <v>0</v>
      </c>
      <c r="F305" s="263">
        <f>'🧾 Factura Comercial'!G305</f>
        <v>0</v>
      </c>
      <c r="G305" s="264">
        <f>'🧾 Factura Comercial'!H305</f>
        <v>0</v>
      </c>
      <c r="H305" s="265">
        <f>'🧾 Factura Comercial'!I305</f>
        <v>0</v>
      </c>
      <c r="I305" s="298">
        <f>'🧾 Factura Comercial'!J305</f>
        <v>0</v>
      </c>
      <c r="J305" s="260">
        <f t="shared" si="4"/>
        <v>0</v>
      </c>
      <c r="K305" s="261">
        <f>J305*'📋 Datos Generales'!$E$19</f>
        <v>0</v>
      </c>
    </row>
    <row r="306" spans="4:11" ht="19.5" hidden="1" customHeight="1" x14ac:dyDescent="0.25">
      <c r="D306" s="13">
        <v>300</v>
      </c>
      <c r="E306" s="262">
        <f>'🧾 Factura Comercial'!E306</f>
        <v>0</v>
      </c>
      <c r="F306" s="263">
        <f>'🧾 Factura Comercial'!G306</f>
        <v>0</v>
      </c>
      <c r="G306" s="264">
        <f>'🧾 Factura Comercial'!H306</f>
        <v>0</v>
      </c>
      <c r="H306" s="265">
        <f>'🧾 Factura Comercial'!I306</f>
        <v>0</v>
      </c>
      <c r="I306" s="298">
        <f>'🧾 Factura Comercial'!J306</f>
        <v>0</v>
      </c>
      <c r="J306" s="260">
        <f t="shared" si="4"/>
        <v>0</v>
      </c>
      <c r="K306" s="261">
        <f>J306*'📋 Datos Generales'!$E$19</f>
        <v>0</v>
      </c>
    </row>
    <row r="307" spans="4:11" ht="19.5" hidden="1" customHeight="1" x14ac:dyDescent="0.25">
      <c r="D307" s="13">
        <v>301</v>
      </c>
      <c r="E307" s="262">
        <f>'🧾 Factura Comercial'!E307</f>
        <v>0</v>
      </c>
      <c r="F307" s="263">
        <f>'🧾 Factura Comercial'!G307</f>
        <v>0</v>
      </c>
      <c r="G307" s="264">
        <f>'🧾 Factura Comercial'!H307</f>
        <v>0</v>
      </c>
      <c r="H307" s="259">
        <f>'🧾 Factura Comercial'!I307</f>
        <v>0</v>
      </c>
      <c r="I307" s="298">
        <f>'🧾 Factura Comercial'!J307</f>
        <v>0</v>
      </c>
      <c r="J307" s="260">
        <f t="shared" si="4"/>
        <v>0</v>
      </c>
      <c r="K307" s="261">
        <f>J307*'📋 Datos Generales'!$E$19</f>
        <v>0</v>
      </c>
    </row>
    <row r="308" spans="4:11" ht="19.5" hidden="1" customHeight="1" x14ac:dyDescent="0.25">
      <c r="D308" s="13">
        <v>302</v>
      </c>
      <c r="E308" s="262">
        <f>'🧾 Factura Comercial'!E308</f>
        <v>0</v>
      </c>
      <c r="F308" s="263">
        <f>'🧾 Factura Comercial'!G308</f>
        <v>0</v>
      </c>
      <c r="G308" s="258">
        <f>'🧾 Factura Comercial'!H308</f>
        <v>0</v>
      </c>
      <c r="H308" s="265">
        <f>'🧾 Factura Comercial'!I308</f>
        <v>0</v>
      </c>
      <c r="I308" s="298">
        <f>'🧾 Factura Comercial'!J308</f>
        <v>0</v>
      </c>
      <c r="J308" s="260">
        <f t="shared" si="4"/>
        <v>0</v>
      </c>
      <c r="K308" s="261">
        <f>J308*'📋 Datos Generales'!$E$19</f>
        <v>0</v>
      </c>
    </row>
    <row r="309" spans="4:11" ht="19.5" hidden="1" customHeight="1" x14ac:dyDescent="0.25">
      <c r="D309" s="13">
        <v>303</v>
      </c>
      <c r="E309" s="262">
        <f>'🧾 Factura Comercial'!E309</f>
        <v>0</v>
      </c>
      <c r="F309" s="263">
        <f>'🧾 Factura Comercial'!G309</f>
        <v>0</v>
      </c>
      <c r="G309" s="264">
        <f>'🧾 Factura Comercial'!H309</f>
        <v>0</v>
      </c>
      <c r="H309" s="265">
        <f>'🧾 Factura Comercial'!I309</f>
        <v>0</v>
      </c>
      <c r="I309" s="298">
        <f>'🧾 Factura Comercial'!J309</f>
        <v>0</v>
      </c>
      <c r="J309" s="260">
        <f t="shared" si="4"/>
        <v>0</v>
      </c>
      <c r="K309" s="261">
        <f>J309*'📋 Datos Generales'!$E$19</f>
        <v>0</v>
      </c>
    </row>
    <row r="310" spans="4:11" ht="19.5" hidden="1" customHeight="1" x14ac:dyDescent="0.25">
      <c r="D310" s="13">
        <v>304</v>
      </c>
      <c r="E310" s="262">
        <f>'🧾 Factura Comercial'!E310</f>
        <v>0</v>
      </c>
      <c r="F310" s="263">
        <f>'🧾 Factura Comercial'!G310</f>
        <v>0</v>
      </c>
      <c r="G310" s="264">
        <f>'🧾 Factura Comercial'!H310</f>
        <v>0</v>
      </c>
      <c r="H310" s="265">
        <f>'🧾 Factura Comercial'!I310</f>
        <v>0</v>
      </c>
      <c r="I310" s="298">
        <f>'🧾 Factura Comercial'!J310</f>
        <v>0</v>
      </c>
      <c r="J310" s="260">
        <f t="shared" si="4"/>
        <v>0</v>
      </c>
      <c r="K310" s="261">
        <f>J310*'📋 Datos Generales'!$E$19</f>
        <v>0</v>
      </c>
    </row>
    <row r="311" spans="4:11" ht="19.5" hidden="1" customHeight="1" x14ac:dyDescent="0.25">
      <c r="D311" s="13">
        <v>305</v>
      </c>
      <c r="E311" s="262">
        <f>'🧾 Factura Comercial'!E311</f>
        <v>0</v>
      </c>
      <c r="F311" s="263">
        <f>'🧾 Factura Comercial'!G311</f>
        <v>0</v>
      </c>
      <c r="G311" s="264">
        <f>'🧾 Factura Comercial'!H311</f>
        <v>0</v>
      </c>
      <c r="H311" s="265">
        <f>'🧾 Factura Comercial'!I311</f>
        <v>0</v>
      </c>
      <c r="I311" s="298">
        <f>'🧾 Factura Comercial'!J311</f>
        <v>0</v>
      </c>
      <c r="J311" s="260">
        <f t="shared" si="4"/>
        <v>0</v>
      </c>
      <c r="K311" s="261">
        <f>J311*'📋 Datos Generales'!$E$19</f>
        <v>0</v>
      </c>
    </row>
    <row r="312" spans="4:11" ht="19.5" hidden="1" customHeight="1" x14ac:dyDescent="0.25">
      <c r="D312" s="13">
        <v>306</v>
      </c>
      <c r="E312" s="262">
        <f>'🧾 Factura Comercial'!E312</f>
        <v>0</v>
      </c>
      <c r="F312" s="263">
        <f>'🧾 Factura Comercial'!G312</f>
        <v>0</v>
      </c>
      <c r="G312" s="264">
        <f>'🧾 Factura Comercial'!H312</f>
        <v>0</v>
      </c>
      <c r="H312" s="259">
        <f>'🧾 Factura Comercial'!I312</f>
        <v>0</v>
      </c>
      <c r="I312" s="298">
        <f>'🧾 Factura Comercial'!J312</f>
        <v>0</v>
      </c>
      <c r="J312" s="260">
        <f t="shared" si="4"/>
        <v>0</v>
      </c>
      <c r="K312" s="261">
        <f>J312*'📋 Datos Generales'!$E$19</f>
        <v>0</v>
      </c>
    </row>
    <row r="313" spans="4:11" ht="19.5" hidden="1" customHeight="1" x14ac:dyDescent="0.25">
      <c r="D313" s="13">
        <v>307</v>
      </c>
      <c r="E313" s="256">
        <f>'🧾 Factura Comercial'!E313</f>
        <v>0</v>
      </c>
      <c r="F313" s="257">
        <f>'🧾 Factura Comercial'!G313</f>
        <v>0</v>
      </c>
      <c r="G313" s="264">
        <f>'🧾 Factura Comercial'!H313</f>
        <v>0</v>
      </c>
      <c r="H313" s="265">
        <f>'🧾 Factura Comercial'!I313</f>
        <v>0</v>
      </c>
      <c r="I313" s="298">
        <f>'🧾 Factura Comercial'!J313</f>
        <v>0</v>
      </c>
      <c r="J313" s="260">
        <f t="shared" si="4"/>
        <v>0</v>
      </c>
      <c r="K313" s="261">
        <f>J313*'📋 Datos Generales'!$E$19</f>
        <v>0</v>
      </c>
    </row>
    <row r="314" spans="4:11" ht="19.5" hidden="1" customHeight="1" x14ac:dyDescent="0.25">
      <c r="D314" s="13">
        <v>308</v>
      </c>
      <c r="E314" s="262">
        <f>'🧾 Factura Comercial'!E314</f>
        <v>0</v>
      </c>
      <c r="F314" s="263">
        <f>'🧾 Factura Comercial'!G314</f>
        <v>0</v>
      </c>
      <c r="G314" s="264">
        <f>'🧾 Factura Comercial'!H314</f>
        <v>0</v>
      </c>
      <c r="H314" s="265">
        <f>'🧾 Factura Comercial'!I314</f>
        <v>0</v>
      </c>
      <c r="I314" s="298">
        <f>'🧾 Factura Comercial'!J314</f>
        <v>0</v>
      </c>
      <c r="J314" s="260">
        <f t="shared" si="4"/>
        <v>0</v>
      </c>
      <c r="K314" s="261">
        <f>J314*'📋 Datos Generales'!$E$19</f>
        <v>0</v>
      </c>
    </row>
    <row r="315" spans="4:11" ht="19.5" hidden="1" customHeight="1" x14ac:dyDescent="0.25">
      <c r="D315" s="13">
        <v>309</v>
      </c>
      <c r="E315" s="262">
        <f>'🧾 Factura Comercial'!E315</f>
        <v>0</v>
      </c>
      <c r="F315" s="263">
        <f>'🧾 Factura Comercial'!G315</f>
        <v>0</v>
      </c>
      <c r="G315" s="258">
        <f>'🧾 Factura Comercial'!H315</f>
        <v>0</v>
      </c>
      <c r="H315" s="265">
        <f>'🧾 Factura Comercial'!I315</f>
        <v>0</v>
      </c>
      <c r="I315" s="298">
        <f>'🧾 Factura Comercial'!J315</f>
        <v>0</v>
      </c>
      <c r="J315" s="260">
        <f t="shared" si="4"/>
        <v>0</v>
      </c>
      <c r="K315" s="261">
        <f>J315*'📋 Datos Generales'!$E$19</f>
        <v>0</v>
      </c>
    </row>
    <row r="316" spans="4:11" ht="19.5" hidden="1" customHeight="1" x14ac:dyDescent="0.25">
      <c r="D316" s="13">
        <v>310</v>
      </c>
      <c r="E316" s="262">
        <f>'🧾 Factura Comercial'!E316</f>
        <v>0</v>
      </c>
      <c r="F316" s="263">
        <f>'🧾 Factura Comercial'!G316</f>
        <v>0</v>
      </c>
      <c r="G316" s="264">
        <f>'🧾 Factura Comercial'!H316</f>
        <v>0</v>
      </c>
      <c r="H316" s="265">
        <f>'🧾 Factura Comercial'!I316</f>
        <v>0</v>
      </c>
      <c r="I316" s="298">
        <f>'🧾 Factura Comercial'!J316</f>
        <v>0</v>
      </c>
      <c r="J316" s="260">
        <f t="shared" si="4"/>
        <v>0</v>
      </c>
      <c r="K316" s="261">
        <f>J316*'📋 Datos Generales'!$E$19</f>
        <v>0</v>
      </c>
    </row>
    <row r="317" spans="4:11" ht="19.5" hidden="1" customHeight="1" x14ac:dyDescent="0.25">
      <c r="D317" s="13">
        <v>311</v>
      </c>
      <c r="E317" s="262">
        <f>'🧾 Factura Comercial'!E317</f>
        <v>0</v>
      </c>
      <c r="F317" s="263">
        <f>'🧾 Factura Comercial'!G317</f>
        <v>0</v>
      </c>
      <c r="G317" s="264">
        <f>'🧾 Factura Comercial'!H317</f>
        <v>0</v>
      </c>
      <c r="H317" s="259">
        <f>'🧾 Factura Comercial'!I317</f>
        <v>0</v>
      </c>
      <c r="I317" s="298">
        <f>'🧾 Factura Comercial'!J317</f>
        <v>0</v>
      </c>
      <c r="J317" s="260">
        <f t="shared" si="4"/>
        <v>0</v>
      </c>
      <c r="K317" s="261">
        <f>J317*'📋 Datos Generales'!$E$19</f>
        <v>0</v>
      </c>
    </row>
    <row r="318" spans="4:11" ht="19.5" hidden="1" customHeight="1" x14ac:dyDescent="0.25">
      <c r="D318" s="13">
        <v>312</v>
      </c>
      <c r="E318" s="262">
        <f>'🧾 Factura Comercial'!E318</f>
        <v>0</v>
      </c>
      <c r="F318" s="263">
        <f>'🧾 Factura Comercial'!G318</f>
        <v>0</v>
      </c>
      <c r="G318" s="264">
        <f>'🧾 Factura Comercial'!H318</f>
        <v>0</v>
      </c>
      <c r="H318" s="265">
        <f>'🧾 Factura Comercial'!I318</f>
        <v>0</v>
      </c>
      <c r="I318" s="298">
        <f>'🧾 Factura Comercial'!J318</f>
        <v>0</v>
      </c>
      <c r="J318" s="260">
        <f t="shared" si="4"/>
        <v>0</v>
      </c>
      <c r="K318" s="261">
        <f>J318*'📋 Datos Generales'!$E$19</f>
        <v>0</v>
      </c>
    </row>
    <row r="319" spans="4:11" ht="19.5" hidden="1" customHeight="1" x14ac:dyDescent="0.25">
      <c r="D319" s="13">
        <v>313</v>
      </c>
      <c r="E319" s="262">
        <f>'🧾 Factura Comercial'!E319</f>
        <v>0</v>
      </c>
      <c r="F319" s="263">
        <f>'🧾 Factura Comercial'!G319</f>
        <v>0</v>
      </c>
      <c r="G319" s="264">
        <f>'🧾 Factura Comercial'!H319</f>
        <v>0</v>
      </c>
      <c r="H319" s="265">
        <f>'🧾 Factura Comercial'!I319</f>
        <v>0</v>
      </c>
      <c r="I319" s="298">
        <f>'🧾 Factura Comercial'!J319</f>
        <v>0</v>
      </c>
      <c r="J319" s="260">
        <f t="shared" si="4"/>
        <v>0</v>
      </c>
      <c r="K319" s="261">
        <f>J319*'📋 Datos Generales'!$E$19</f>
        <v>0</v>
      </c>
    </row>
    <row r="320" spans="4:11" ht="19.5" hidden="1" customHeight="1" x14ac:dyDescent="0.25">
      <c r="D320" s="13">
        <v>314</v>
      </c>
      <c r="E320" s="262">
        <f>'🧾 Factura Comercial'!E320</f>
        <v>0</v>
      </c>
      <c r="F320" s="263">
        <f>'🧾 Factura Comercial'!G320</f>
        <v>0</v>
      </c>
      <c r="G320" s="264">
        <f>'🧾 Factura Comercial'!H320</f>
        <v>0</v>
      </c>
      <c r="H320" s="265">
        <f>'🧾 Factura Comercial'!I320</f>
        <v>0</v>
      </c>
      <c r="I320" s="298">
        <f>'🧾 Factura Comercial'!J320</f>
        <v>0</v>
      </c>
      <c r="J320" s="260">
        <f t="shared" si="4"/>
        <v>0</v>
      </c>
      <c r="K320" s="261">
        <f>J320*'📋 Datos Generales'!$E$19</f>
        <v>0</v>
      </c>
    </row>
    <row r="321" spans="4:11" ht="19.5" hidden="1" customHeight="1" x14ac:dyDescent="0.25">
      <c r="D321" s="13">
        <v>315</v>
      </c>
      <c r="E321" s="262">
        <f>'🧾 Factura Comercial'!E321</f>
        <v>0</v>
      </c>
      <c r="F321" s="263">
        <f>'🧾 Factura Comercial'!G321</f>
        <v>0</v>
      </c>
      <c r="G321" s="264">
        <f>'🧾 Factura Comercial'!H321</f>
        <v>0</v>
      </c>
      <c r="H321" s="265">
        <f>'🧾 Factura Comercial'!I321</f>
        <v>0</v>
      </c>
      <c r="I321" s="298">
        <f>'🧾 Factura Comercial'!J321</f>
        <v>0</v>
      </c>
      <c r="J321" s="260">
        <f t="shared" si="4"/>
        <v>0</v>
      </c>
      <c r="K321" s="261">
        <f>J321*'📋 Datos Generales'!$E$19</f>
        <v>0</v>
      </c>
    </row>
    <row r="322" spans="4:11" ht="19.5" hidden="1" customHeight="1" x14ac:dyDescent="0.25">
      <c r="D322" s="13">
        <v>316</v>
      </c>
      <c r="E322" s="256">
        <f>'🧾 Factura Comercial'!E322</f>
        <v>0</v>
      </c>
      <c r="F322" s="257">
        <f>'🧾 Factura Comercial'!G322</f>
        <v>0</v>
      </c>
      <c r="G322" s="258">
        <f>'🧾 Factura Comercial'!H322</f>
        <v>0</v>
      </c>
      <c r="H322" s="259">
        <f>'🧾 Factura Comercial'!I322</f>
        <v>0</v>
      </c>
      <c r="I322" s="298">
        <f>'🧾 Factura Comercial'!J322</f>
        <v>0</v>
      </c>
      <c r="J322" s="260">
        <f t="shared" si="4"/>
        <v>0</v>
      </c>
      <c r="K322" s="261">
        <f>J322*'📋 Datos Generales'!$E$19</f>
        <v>0</v>
      </c>
    </row>
    <row r="323" spans="4:11" ht="19.5" hidden="1" customHeight="1" x14ac:dyDescent="0.25">
      <c r="D323" s="13">
        <v>317</v>
      </c>
      <c r="E323" s="262">
        <f>'🧾 Factura Comercial'!E323</f>
        <v>0</v>
      </c>
      <c r="F323" s="263">
        <f>'🧾 Factura Comercial'!G323</f>
        <v>0</v>
      </c>
      <c r="G323" s="264">
        <f>'🧾 Factura Comercial'!H323</f>
        <v>0</v>
      </c>
      <c r="H323" s="265">
        <f>'🧾 Factura Comercial'!I323</f>
        <v>0</v>
      </c>
      <c r="I323" s="298">
        <f>'🧾 Factura Comercial'!J323</f>
        <v>0</v>
      </c>
      <c r="J323" s="260">
        <f t="shared" si="4"/>
        <v>0</v>
      </c>
      <c r="K323" s="261">
        <f>J323*'📋 Datos Generales'!$E$19</f>
        <v>0</v>
      </c>
    </row>
    <row r="324" spans="4:11" ht="19.5" hidden="1" customHeight="1" x14ac:dyDescent="0.25">
      <c r="D324" s="13">
        <v>318</v>
      </c>
      <c r="E324" s="262">
        <f>'🧾 Factura Comercial'!E324</f>
        <v>0</v>
      </c>
      <c r="F324" s="263">
        <f>'🧾 Factura Comercial'!G324</f>
        <v>0</v>
      </c>
      <c r="G324" s="264">
        <f>'🧾 Factura Comercial'!H324</f>
        <v>0</v>
      </c>
      <c r="H324" s="265">
        <f>'🧾 Factura Comercial'!I324</f>
        <v>0</v>
      </c>
      <c r="I324" s="298">
        <f>'🧾 Factura Comercial'!J324</f>
        <v>0</v>
      </c>
      <c r="J324" s="260">
        <f t="shared" si="4"/>
        <v>0</v>
      </c>
      <c r="K324" s="261">
        <f>J324*'📋 Datos Generales'!$E$19</f>
        <v>0</v>
      </c>
    </row>
    <row r="325" spans="4:11" ht="19.5" hidden="1" customHeight="1" x14ac:dyDescent="0.25">
      <c r="D325" s="13">
        <v>319</v>
      </c>
      <c r="E325" s="262">
        <f>'🧾 Factura Comercial'!E325</f>
        <v>0</v>
      </c>
      <c r="F325" s="263">
        <f>'🧾 Factura Comercial'!G325</f>
        <v>0</v>
      </c>
      <c r="G325" s="264">
        <f>'🧾 Factura Comercial'!H325</f>
        <v>0</v>
      </c>
      <c r="H325" s="265">
        <f>'🧾 Factura Comercial'!I325</f>
        <v>0</v>
      </c>
      <c r="I325" s="298">
        <f>'🧾 Factura Comercial'!J325</f>
        <v>0</v>
      </c>
      <c r="J325" s="260">
        <f t="shared" si="4"/>
        <v>0</v>
      </c>
      <c r="K325" s="261">
        <f>J325*'📋 Datos Generales'!$E$19</f>
        <v>0</v>
      </c>
    </row>
    <row r="326" spans="4:11" ht="19.5" hidden="1" customHeight="1" x14ac:dyDescent="0.25">
      <c r="D326" s="13">
        <v>320</v>
      </c>
      <c r="E326" s="262">
        <f>'🧾 Factura Comercial'!E326</f>
        <v>0</v>
      </c>
      <c r="F326" s="263">
        <f>'🧾 Factura Comercial'!G326</f>
        <v>0</v>
      </c>
      <c r="G326" s="264">
        <f>'🧾 Factura Comercial'!H326</f>
        <v>0</v>
      </c>
      <c r="H326" s="265">
        <f>'🧾 Factura Comercial'!I326</f>
        <v>0</v>
      </c>
      <c r="I326" s="298">
        <f>'🧾 Factura Comercial'!J326</f>
        <v>0</v>
      </c>
      <c r="J326" s="260">
        <f t="shared" si="4"/>
        <v>0</v>
      </c>
      <c r="K326" s="261">
        <f>J326*'📋 Datos Generales'!$E$19</f>
        <v>0</v>
      </c>
    </row>
    <row r="327" spans="4:11" ht="19.5" hidden="1" customHeight="1" x14ac:dyDescent="0.25">
      <c r="D327" s="13">
        <v>321</v>
      </c>
      <c r="E327" s="262">
        <f>'🧾 Factura Comercial'!E327</f>
        <v>0</v>
      </c>
      <c r="F327" s="263">
        <f>'🧾 Factura Comercial'!G327</f>
        <v>0</v>
      </c>
      <c r="G327" s="264">
        <f>'🧾 Factura Comercial'!H327</f>
        <v>0</v>
      </c>
      <c r="H327" s="259">
        <f>'🧾 Factura Comercial'!I327</f>
        <v>0</v>
      </c>
      <c r="I327" s="298">
        <f>'🧾 Factura Comercial'!J327</f>
        <v>0</v>
      </c>
      <c r="J327" s="260">
        <f t="shared" si="4"/>
        <v>0</v>
      </c>
      <c r="K327" s="261">
        <f>J327*'📋 Datos Generales'!$E$19</f>
        <v>0</v>
      </c>
    </row>
    <row r="328" spans="4:11" ht="19.5" hidden="1" customHeight="1" x14ac:dyDescent="0.25">
      <c r="D328" s="13">
        <v>322</v>
      </c>
      <c r="E328" s="262">
        <f>'🧾 Factura Comercial'!E328</f>
        <v>0</v>
      </c>
      <c r="F328" s="263">
        <f>'🧾 Factura Comercial'!G328</f>
        <v>0</v>
      </c>
      <c r="G328" s="264">
        <f>'🧾 Factura Comercial'!H328</f>
        <v>0</v>
      </c>
      <c r="H328" s="265">
        <f>'🧾 Factura Comercial'!I328</f>
        <v>0</v>
      </c>
      <c r="I328" s="298">
        <f>'🧾 Factura Comercial'!J328</f>
        <v>0</v>
      </c>
      <c r="J328" s="260">
        <f t="shared" ref="J328:J391" si="5">IF($G$5=0,0,$G$5*G328)</f>
        <v>0</v>
      </c>
      <c r="K328" s="261">
        <f>J328*'📋 Datos Generales'!$E$19</f>
        <v>0</v>
      </c>
    </row>
    <row r="329" spans="4:11" ht="19.5" hidden="1" customHeight="1" x14ac:dyDescent="0.25">
      <c r="D329" s="13">
        <v>323</v>
      </c>
      <c r="E329" s="262">
        <f>'🧾 Factura Comercial'!E329</f>
        <v>0</v>
      </c>
      <c r="F329" s="263">
        <f>'🧾 Factura Comercial'!G329</f>
        <v>0</v>
      </c>
      <c r="G329" s="258">
        <f>'🧾 Factura Comercial'!H329</f>
        <v>0</v>
      </c>
      <c r="H329" s="265">
        <f>'🧾 Factura Comercial'!I329</f>
        <v>0</v>
      </c>
      <c r="I329" s="298">
        <f>'🧾 Factura Comercial'!J329</f>
        <v>0</v>
      </c>
      <c r="J329" s="260">
        <f t="shared" si="5"/>
        <v>0</v>
      </c>
      <c r="K329" s="261">
        <f>J329*'📋 Datos Generales'!$E$19</f>
        <v>0</v>
      </c>
    </row>
    <row r="330" spans="4:11" ht="19.5" hidden="1" customHeight="1" x14ac:dyDescent="0.25">
      <c r="D330" s="13">
        <v>324</v>
      </c>
      <c r="E330" s="262">
        <f>'🧾 Factura Comercial'!E330</f>
        <v>0</v>
      </c>
      <c r="F330" s="263">
        <f>'🧾 Factura Comercial'!G330</f>
        <v>0</v>
      </c>
      <c r="G330" s="264">
        <f>'🧾 Factura Comercial'!H330</f>
        <v>0</v>
      </c>
      <c r="H330" s="265">
        <f>'🧾 Factura Comercial'!I330</f>
        <v>0</v>
      </c>
      <c r="I330" s="298">
        <f>'🧾 Factura Comercial'!J330</f>
        <v>0</v>
      </c>
      <c r="J330" s="260">
        <f t="shared" si="5"/>
        <v>0</v>
      </c>
      <c r="K330" s="261">
        <f>J330*'📋 Datos Generales'!$E$19</f>
        <v>0</v>
      </c>
    </row>
    <row r="331" spans="4:11" ht="19.5" hidden="1" customHeight="1" x14ac:dyDescent="0.25">
      <c r="D331" s="13">
        <v>325</v>
      </c>
      <c r="E331" s="256">
        <f>'🧾 Factura Comercial'!E331</f>
        <v>0</v>
      </c>
      <c r="F331" s="257">
        <f>'🧾 Factura Comercial'!G331</f>
        <v>0</v>
      </c>
      <c r="G331" s="264">
        <f>'🧾 Factura Comercial'!H331</f>
        <v>0</v>
      </c>
      <c r="H331" s="265">
        <f>'🧾 Factura Comercial'!I331</f>
        <v>0</v>
      </c>
      <c r="I331" s="298">
        <f>'🧾 Factura Comercial'!J331</f>
        <v>0</v>
      </c>
      <c r="J331" s="260">
        <f t="shared" si="5"/>
        <v>0</v>
      </c>
      <c r="K331" s="261">
        <f>J331*'📋 Datos Generales'!$E$19</f>
        <v>0</v>
      </c>
    </row>
    <row r="332" spans="4:11" ht="19.5" hidden="1" customHeight="1" x14ac:dyDescent="0.25">
      <c r="D332" s="13">
        <v>326</v>
      </c>
      <c r="E332" s="262">
        <f>'🧾 Factura Comercial'!E332</f>
        <v>0</v>
      </c>
      <c r="F332" s="263">
        <f>'🧾 Factura Comercial'!G332</f>
        <v>0</v>
      </c>
      <c r="G332" s="264">
        <f>'🧾 Factura Comercial'!H332</f>
        <v>0</v>
      </c>
      <c r="H332" s="259">
        <f>'🧾 Factura Comercial'!I332</f>
        <v>0</v>
      </c>
      <c r="I332" s="298">
        <f>'🧾 Factura Comercial'!J332</f>
        <v>0</v>
      </c>
      <c r="J332" s="260">
        <f t="shared" si="5"/>
        <v>0</v>
      </c>
      <c r="K332" s="261">
        <f>J332*'📋 Datos Generales'!$E$19</f>
        <v>0</v>
      </c>
    </row>
    <row r="333" spans="4:11" ht="19.5" hidden="1" customHeight="1" x14ac:dyDescent="0.25">
      <c r="D333" s="13">
        <v>327</v>
      </c>
      <c r="E333" s="262">
        <f>'🧾 Factura Comercial'!E333</f>
        <v>0</v>
      </c>
      <c r="F333" s="263">
        <f>'🧾 Factura Comercial'!G333</f>
        <v>0</v>
      </c>
      <c r="G333" s="264">
        <f>'🧾 Factura Comercial'!H333</f>
        <v>0</v>
      </c>
      <c r="H333" s="265">
        <f>'🧾 Factura Comercial'!I333</f>
        <v>0</v>
      </c>
      <c r="I333" s="298">
        <f>'🧾 Factura Comercial'!J333</f>
        <v>0</v>
      </c>
      <c r="J333" s="260">
        <f t="shared" si="5"/>
        <v>0</v>
      </c>
      <c r="K333" s="261">
        <f>J333*'📋 Datos Generales'!$E$19</f>
        <v>0</v>
      </c>
    </row>
    <row r="334" spans="4:11" ht="19.5" hidden="1" customHeight="1" x14ac:dyDescent="0.25">
      <c r="D334" s="13">
        <v>328</v>
      </c>
      <c r="E334" s="262">
        <f>'🧾 Factura Comercial'!E334</f>
        <v>0</v>
      </c>
      <c r="F334" s="263">
        <f>'🧾 Factura Comercial'!G334</f>
        <v>0</v>
      </c>
      <c r="G334" s="264">
        <f>'🧾 Factura Comercial'!H334</f>
        <v>0</v>
      </c>
      <c r="H334" s="265">
        <f>'🧾 Factura Comercial'!I334</f>
        <v>0</v>
      </c>
      <c r="I334" s="298">
        <f>'🧾 Factura Comercial'!J334</f>
        <v>0</v>
      </c>
      <c r="J334" s="260">
        <f t="shared" si="5"/>
        <v>0</v>
      </c>
      <c r="K334" s="261">
        <f>J334*'📋 Datos Generales'!$E$19</f>
        <v>0</v>
      </c>
    </row>
    <row r="335" spans="4:11" ht="19.5" hidden="1" customHeight="1" x14ac:dyDescent="0.25">
      <c r="D335" s="13">
        <v>329</v>
      </c>
      <c r="E335" s="262">
        <f>'🧾 Factura Comercial'!E335</f>
        <v>0</v>
      </c>
      <c r="F335" s="263">
        <f>'🧾 Factura Comercial'!G335</f>
        <v>0</v>
      </c>
      <c r="G335" s="264">
        <f>'🧾 Factura Comercial'!H335</f>
        <v>0</v>
      </c>
      <c r="H335" s="265">
        <f>'🧾 Factura Comercial'!I335</f>
        <v>0</v>
      </c>
      <c r="I335" s="298">
        <f>'🧾 Factura Comercial'!J335</f>
        <v>0</v>
      </c>
      <c r="J335" s="260">
        <f t="shared" si="5"/>
        <v>0</v>
      </c>
      <c r="K335" s="261">
        <f>J335*'📋 Datos Generales'!$E$19</f>
        <v>0</v>
      </c>
    </row>
    <row r="336" spans="4:11" ht="19.5" hidden="1" customHeight="1" x14ac:dyDescent="0.25">
      <c r="D336" s="13">
        <v>330</v>
      </c>
      <c r="E336" s="262">
        <f>'🧾 Factura Comercial'!E336</f>
        <v>0</v>
      </c>
      <c r="F336" s="263">
        <f>'🧾 Factura Comercial'!G336</f>
        <v>0</v>
      </c>
      <c r="G336" s="258">
        <f>'🧾 Factura Comercial'!H336</f>
        <v>0</v>
      </c>
      <c r="H336" s="265">
        <f>'🧾 Factura Comercial'!I336</f>
        <v>0</v>
      </c>
      <c r="I336" s="298">
        <f>'🧾 Factura Comercial'!J336</f>
        <v>0</v>
      </c>
      <c r="J336" s="260">
        <f t="shared" si="5"/>
        <v>0</v>
      </c>
      <c r="K336" s="261">
        <f>J336*'📋 Datos Generales'!$E$19</f>
        <v>0</v>
      </c>
    </row>
    <row r="337" spans="4:11" ht="19.5" hidden="1" customHeight="1" x14ac:dyDescent="0.25">
      <c r="D337" s="13">
        <v>331</v>
      </c>
      <c r="E337" s="262">
        <f>'🧾 Factura Comercial'!E337</f>
        <v>0</v>
      </c>
      <c r="F337" s="263">
        <f>'🧾 Factura Comercial'!G337</f>
        <v>0</v>
      </c>
      <c r="G337" s="264">
        <f>'🧾 Factura Comercial'!H337</f>
        <v>0</v>
      </c>
      <c r="H337" s="259">
        <f>'🧾 Factura Comercial'!I337</f>
        <v>0</v>
      </c>
      <c r="I337" s="298">
        <f>'🧾 Factura Comercial'!J337</f>
        <v>0</v>
      </c>
      <c r="J337" s="260">
        <f t="shared" si="5"/>
        <v>0</v>
      </c>
      <c r="K337" s="261">
        <f>J337*'📋 Datos Generales'!$E$19</f>
        <v>0</v>
      </c>
    </row>
    <row r="338" spans="4:11" ht="19.5" hidden="1" customHeight="1" x14ac:dyDescent="0.25">
      <c r="D338" s="13">
        <v>332</v>
      </c>
      <c r="E338" s="262">
        <f>'🧾 Factura Comercial'!E338</f>
        <v>0</v>
      </c>
      <c r="F338" s="263">
        <f>'🧾 Factura Comercial'!G338</f>
        <v>0</v>
      </c>
      <c r="G338" s="264">
        <f>'🧾 Factura Comercial'!H338</f>
        <v>0</v>
      </c>
      <c r="H338" s="265">
        <f>'🧾 Factura Comercial'!I338</f>
        <v>0</v>
      </c>
      <c r="I338" s="298">
        <f>'🧾 Factura Comercial'!J338</f>
        <v>0</v>
      </c>
      <c r="J338" s="260">
        <f t="shared" si="5"/>
        <v>0</v>
      </c>
      <c r="K338" s="261">
        <f>J338*'📋 Datos Generales'!$E$19</f>
        <v>0</v>
      </c>
    </row>
    <row r="339" spans="4:11" ht="19.5" hidden="1" customHeight="1" x14ac:dyDescent="0.25">
      <c r="D339" s="13">
        <v>333</v>
      </c>
      <c r="E339" s="262">
        <f>'🧾 Factura Comercial'!E339</f>
        <v>0</v>
      </c>
      <c r="F339" s="263">
        <f>'🧾 Factura Comercial'!G339</f>
        <v>0</v>
      </c>
      <c r="G339" s="264">
        <f>'🧾 Factura Comercial'!H339</f>
        <v>0</v>
      </c>
      <c r="H339" s="265">
        <f>'🧾 Factura Comercial'!I339</f>
        <v>0</v>
      </c>
      <c r="I339" s="298">
        <f>'🧾 Factura Comercial'!J339</f>
        <v>0</v>
      </c>
      <c r="J339" s="260">
        <f t="shared" si="5"/>
        <v>0</v>
      </c>
      <c r="K339" s="261">
        <f>J339*'📋 Datos Generales'!$E$19</f>
        <v>0</v>
      </c>
    </row>
    <row r="340" spans="4:11" ht="19.5" hidden="1" customHeight="1" x14ac:dyDescent="0.25">
      <c r="D340" s="13">
        <v>334</v>
      </c>
      <c r="E340" s="256">
        <f>'🧾 Factura Comercial'!E340</f>
        <v>0</v>
      </c>
      <c r="F340" s="257">
        <f>'🧾 Factura Comercial'!G340</f>
        <v>0</v>
      </c>
      <c r="G340" s="264">
        <f>'🧾 Factura Comercial'!H340</f>
        <v>0</v>
      </c>
      <c r="H340" s="265">
        <f>'🧾 Factura Comercial'!I340</f>
        <v>0</v>
      </c>
      <c r="I340" s="298">
        <f>'🧾 Factura Comercial'!J340</f>
        <v>0</v>
      </c>
      <c r="J340" s="260">
        <f t="shared" si="5"/>
        <v>0</v>
      </c>
      <c r="K340" s="261">
        <f>J340*'📋 Datos Generales'!$E$19</f>
        <v>0</v>
      </c>
    </row>
    <row r="341" spans="4:11" ht="19.5" hidden="1" customHeight="1" x14ac:dyDescent="0.25">
      <c r="D341" s="13">
        <v>335</v>
      </c>
      <c r="E341" s="262">
        <f>'🧾 Factura Comercial'!E341</f>
        <v>0</v>
      </c>
      <c r="F341" s="263">
        <f>'🧾 Factura Comercial'!G341</f>
        <v>0</v>
      </c>
      <c r="G341" s="264">
        <f>'🧾 Factura Comercial'!H341</f>
        <v>0</v>
      </c>
      <c r="H341" s="265">
        <f>'🧾 Factura Comercial'!I341</f>
        <v>0</v>
      </c>
      <c r="I341" s="298">
        <f>'🧾 Factura Comercial'!J341</f>
        <v>0</v>
      </c>
      <c r="J341" s="260">
        <f t="shared" si="5"/>
        <v>0</v>
      </c>
      <c r="K341" s="261">
        <f>J341*'📋 Datos Generales'!$E$19</f>
        <v>0</v>
      </c>
    </row>
    <row r="342" spans="4:11" ht="19.5" hidden="1" customHeight="1" x14ac:dyDescent="0.25">
      <c r="D342" s="13">
        <v>336</v>
      </c>
      <c r="E342" s="262">
        <f>'🧾 Factura Comercial'!E342</f>
        <v>0</v>
      </c>
      <c r="F342" s="263">
        <f>'🧾 Factura Comercial'!G342</f>
        <v>0</v>
      </c>
      <c r="G342" s="264">
        <f>'🧾 Factura Comercial'!H342</f>
        <v>0</v>
      </c>
      <c r="H342" s="259">
        <f>'🧾 Factura Comercial'!I342</f>
        <v>0</v>
      </c>
      <c r="I342" s="298">
        <f>'🧾 Factura Comercial'!J342</f>
        <v>0</v>
      </c>
      <c r="J342" s="260">
        <f t="shared" si="5"/>
        <v>0</v>
      </c>
      <c r="K342" s="261">
        <f>J342*'📋 Datos Generales'!$E$19</f>
        <v>0</v>
      </c>
    </row>
    <row r="343" spans="4:11" ht="19.5" hidden="1" customHeight="1" x14ac:dyDescent="0.25">
      <c r="D343" s="13">
        <v>337</v>
      </c>
      <c r="E343" s="262">
        <f>'🧾 Factura Comercial'!E343</f>
        <v>0</v>
      </c>
      <c r="F343" s="263">
        <f>'🧾 Factura Comercial'!G343</f>
        <v>0</v>
      </c>
      <c r="G343" s="258">
        <f>'🧾 Factura Comercial'!H343</f>
        <v>0</v>
      </c>
      <c r="H343" s="265">
        <f>'🧾 Factura Comercial'!I343</f>
        <v>0</v>
      </c>
      <c r="I343" s="298">
        <f>'🧾 Factura Comercial'!J343</f>
        <v>0</v>
      </c>
      <c r="J343" s="260">
        <f t="shared" si="5"/>
        <v>0</v>
      </c>
      <c r="K343" s="261">
        <f>J343*'📋 Datos Generales'!$E$19</f>
        <v>0</v>
      </c>
    </row>
    <row r="344" spans="4:11" ht="19.5" hidden="1" customHeight="1" x14ac:dyDescent="0.25">
      <c r="D344" s="13">
        <v>338</v>
      </c>
      <c r="E344" s="262">
        <f>'🧾 Factura Comercial'!E344</f>
        <v>0</v>
      </c>
      <c r="F344" s="263">
        <f>'🧾 Factura Comercial'!G344</f>
        <v>0</v>
      </c>
      <c r="G344" s="264">
        <f>'🧾 Factura Comercial'!H344</f>
        <v>0</v>
      </c>
      <c r="H344" s="265">
        <f>'🧾 Factura Comercial'!I344</f>
        <v>0</v>
      </c>
      <c r="I344" s="298">
        <f>'🧾 Factura Comercial'!J344</f>
        <v>0</v>
      </c>
      <c r="J344" s="260">
        <f t="shared" si="5"/>
        <v>0</v>
      </c>
      <c r="K344" s="261">
        <f>J344*'📋 Datos Generales'!$E$19</f>
        <v>0</v>
      </c>
    </row>
    <row r="345" spans="4:11" ht="19.5" hidden="1" customHeight="1" x14ac:dyDescent="0.25">
      <c r="D345" s="13">
        <v>339</v>
      </c>
      <c r="E345" s="262">
        <f>'🧾 Factura Comercial'!E345</f>
        <v>0</v>
      </c>
      <c r="F345" s="263">
        <f>'🧾 Factura Comercial'!G345</f>
        <v>0</v>
      </c>
      <c r="G345" s="264">
        <f>'🧾 Factura Comercial'!H345</f>
        <v>0</v>
      </c>
      <c r="H345" s="265">
        <f>'🧾 Factura Comercial'!I345</f>
        <v>0</v>
      </c>
      <c r="I345" s="298">
        <f>'🧾 Factura Comercial'!J345</f>
        <v>0</v>
      </c>
      <c r="J345" s="260">
        <f t="shared" si="5"/>
        <v>0</v>
      </c>
      <c r="K345" s="261">
        <f>J345*'📋 Datos Generales'!$E$19</f>
        <v>0</v>
      </c>
    </row>
    <row r="346" spans="4:11" ht="19.5" hidden="1" customHeight="1" x14ac:dyDescent="0.25">
      <c r="D346" s="13">
        <v>340</v>
      </c>
      <c r="E346" s="262">
        <f>'🧾 Factura Comercial'!E346</f>
        <v>0</v>
      </c>
      <c r="F346" s="263">
        <f>'🧾 Factura Comercial'!G346</f>
        <v>0</v>
      </c>
      <c r="G346" s="264">
        <f>'🧾 Factura Comercial'!H346</f>
        <v>0</v>
      </c>
      <c r="H346" s="265">
        <f>'🧾 Factura Comercial'!I346</f>
        <v>0</v>
      </c>
      <c r="I346" s="298">
        <f>'🧾 Factura Comercial'!J346</f>
        <v>0</v>
      </c>
      <c r="J346" s="260">
        <f t="shared" si="5"/>
        <v>0</v>
      </c>
      <c r="K346" s="261">
        <f>J346*'📋 Datos Generales'!$E$19</f>
        <v>0</v>
      </c>
    </row>
    <row r="347" spans="4:11" ht="19.5" hidden="1" customHeight="1" x14ac:dyDescent="0.25">
      <c r="D347" s="13">
        <v>341</v>
      </c>
      <c r="E347" s="262">
        <f>'🧾 Factura Comercial'!E347</f>
        <v>0</v>
      </c>
      <c r="F347" s="263">
        <f>'🧾 Factura Comercial'!G347</f>
        <v>0</v>
      </c>
      <c r="G347" s="264">
        <f>'🧾 Factura Comercial'!H347</f>
        <v>0</v>
      </c>
      <c r="H347" s="259">
        <f>'🧾 Factura Comercial'!I347</f>
        <v>0</v>
      </c>
      <c r="I347" s="298">
        <f>'🧾 Factura Comercial'!J347</f>
        <v>0</v>
      </c>
      <c r="J347" s="260">
        <f t="shared" si="5"/>
        <v>0</v>
      </c>
      <c r="K347" s="261">
        <f>J347*'📋 Datos Generales'!$E$19</f>
        <v>0</v>
      </c>
    </row>
    <row r="348" spans="4:11" ht="19.5" hidden="1" customHeight="1" x14ac:dyDescent="0.25">
      <c r="D348" s="13">
        <v>342</v>
      </c>
      <c r="E348" s="262">
        <f>'🧾 Factura Comercial'!E348</f>
        <v>0</v>
      </c>
      <c r="F348" s="263">
        <f>'🧾 Factura Comercial'!G348</f>
        <v>0</v>
      </c>
      <c r="G348" s="264">
        <f>'🧾 Factura Comercial'!H348</f>
        <v>0</v>
      </c>
      <c r="H348" s="265">
        <f>'🧾 Factura Comercial'!I348</f>
        <v>0</v>
      </c>
      <c r="I348" s="298">
        <f>'🧾 Factura Comercial'!J348</f>
        <v>0</v>
      </c>
      <c r="J348" s="260">
        <f t="shared" si="5"/>
        <v>0</v>
      </c>
      <c r="K348" s="261">
        <f>J348*'📋 Datos Generales'!$E$19</f>
        <v>0</v>
      </c>
    </row>
    <row r="349" spans="4:11" ht="19.5" hidden="1" customHeight="1" x14ac:dyDescent="0.25">
      <c r="D349" s="13">
        <v>343</v>
      </c>
      <c r="E349" s="256">
        <f>'🧾 Factura Comercial'!E349</f>
        <v>0</v>
      </c>
      <c r="F349" s="257">
        <f>'🧾 Factura Comercial'!G349</f>
        <v>0</v>
      </c>
      <c r="G349" s="264">
        <f>'🧾 Factura Comercial'!H349</f>
        <v>0</v>
      </c>
      <c r="H349" s="265">
        <f>'🧾 Factura Comercial'!I349</f>
        <v>0</v>
      </c>
      <c r="I349" s="298">
        <f>'🧾 Factura Comercial'!J349</f>
        <v>0</v>
      </c>
      <c r="J349" s="260">
        <f t="shared" si="5"/>
        <v>0</v>
      </c>
      <c r="K349" s="261">
        <f>J349*'📋 Datos Generales'!$E$19</f>
        <v>0</v>
      </c>
    </row>
    <row r="350" spans="4:11" ht="19.5" hidden="1" customHeight="1" x14ac:dyDescent="0.25">
      <c r="D350" s="13">
        <v>344</v>
      </c>
      <c r="E350" s="262">
        <f>'🧾 Factura Comercial'!E350</f>
        <v>0</v>
      </c>
      <c r="F350" s="263">
        <f>'🧾 Factura Comercial'!G350</f>
        <v>0</v>
      </c>
      <c r="G350" s="258">
        <f>'🧾 Factura Comercial'!H350</f>
        <v>0</v>
      </c>
      <c r="H350" s="265">
        <f>'🧾 Factura Comercial'!I350</f>
        <v>0</v>
      </c>
      <c r="I350" s="298">
        <f>'🧾 Factura Comercial'!J350</f>
        <v>0</v>
      </c>
      <c r="J350" s="260">
        <f t="shared" si="5"/>
        <v>0</v>
      </c>
      <c r="K350" s="261">
        <f>J350*'📋 Datos Generales'!$E$19</f>
        <v>0</v>
      </c>
    </row>
    <row r="351" spans="4:11" ht="19.5" hidden="1" customHeight="1" x14ac:dyDescent="0.25">
      <c r="D351" s="13">
        <v>345</v>
      </c>
      <c r="E351" s="262">
        <f>'🧾 Factura Comercial'!E351</f>
        <v>0</v>
      </c>
      <c r="F351" s="263">
        <f>'🧾 Factura Comercial'!G351</f>
        <v>0</v>
      </c>
      <c r="G351" s="264">
        <f>'🧾 Factura Comercial'!H351</f>
        <v>0</v>
      </c>
      <c r="H351" s="265">
        <f>'🧾 Factura Comercial'!I351</f>
        <v>0</v>
      </c>
      <c r="I351" s="298">
        <f>'🧾 Factura Comercial'!J351</f>
        <v>0</v>
      </c>
      <c r="J351" s="260">
        <f t="shared" si="5"/>
        <v>0</v>
      </c>
      <c r="K351" s="261">
        <f>J351*'📋 Datos Generales'!$E$19</f>
        <v>0</v>
      </c>
    </row>
    <row r="352" spans="4:11" ht="19.5" hidden="1" customHeight="1" x14ac:dyDescent="0.25">
      <c r="D352" s="13">
        <v>346</v>
      </c>
      <c r="E352" s="262">
        <f>'🧾 Factura Comercial'!E352</f>
        <v>0</v>
      </c>
      <c r="F352" s="263">
        <f>'🧾 Factura Comercial'!G352</f>
        <v>0</v>
      </c>
      <c r="G352" s="264">
        <f>'🧾 Factura Comercial'!H352</f>
        <v>0</v>
      </c>
      <c r="H352" s="259">
        <f>'🧾 Factura Comercial'!I352</f>
        <v>0</v>
      </c>
      <c r="I352" s="298">
        <f>'🧾 Factura Comercial'!J352</f>
        <v>0</v>
      </c>
      <c r="J352" s="260">
        <f t="shared" si="5"/>
        <v>0</v>
      </c>
      <c r="K352" s="261">
        <f>J352*'📋 Datos Generales'!$E$19</f>
        <v>0</v>
      </c>
    </row>
    <row r="353" spans="4:11" ht="19.5" hidden="1" customHeight="1" x14ac:dyDescent="0.25">
      <c r="D353" s="13">
        <v>347</v>
      </c>
      <c r="E353" s="262">
        <f>'🧾 Factura Comercial'!E353</f>
        <v>0</v>
      </c>
      <c r="F353" s="263">
        <f>'🧾 Factura Comercial'!G353</f>
        <v>0</v>
      </c>
      <c r="G353" s="264">
        <f>'🧾 Factura Comercial'!H353</f>
        <v>0</v>
      </c>
      <c r="H353" s="265">
        <f>'🧾 Factura Comercial'!I353</f>
        <v>0</v>
      </c>
      <c r="I353" s="298">
        <f>'🧾 Factura Comercial'!J353</f>
        <v>0</v>
      </c>
      <c r="J353" s="260">
        <f t="shared" si="5"/>
        <v>0</v>
      </c>
      <c r="K353" s="261">
        <f>J353*'📋 Datos Generales'!$E$19</f>
        <v>0</v>
      </c>
    </row>
    <row r="354" spans="4:11" ht="19.5" hidden="1" customHeight="1" x14ac:dyDescent="0.25">
      <c r="D354" s="13">
        <v>348</v>
      </c>
      <c r="E354" s="262">
        <f>'🧾 Factura Comercial'!E354</f>
        <v>0</v>
      </c>
      <c r="F354" s="263">
        <f>'🧾 Factura Comercial'!G354</f>
        <v>0</v>
      </c>
      <c r="G354" s="264">
        <f>'🧾 Factura Comercial'!H354</f>
        <v>0</v>
      </c>
      <c r="H354" s="265">
        <f>'🧾 Factura Comercial'!I354</f>
        <v>0</v>
      </c>
      <c r="I354" s="298">
        <f>'🧾 Factura Comercial'!J354</f>
        <v>0</v>
      </c>
      <c r="J354" s="260">
        <f t="shared" si="5"/>
        <v>0</v>
      </c>
      <c r="K354" s="261">
        <f>J354*'📋 Datos Generales'!$E$19</f>
        <v>0</v>
      </c>
    </row>
    <row r="355" spans="4:11" ht="19.5" hidden="1" customHeight="1" x14ac:dyDescent="0.25">
      <c r="D355" s="13">
        <v>349</v>
      </c>
      <c r="E355" s="262">
        <f>'🧾 Factura Comercial'!E355</f>
        <v>0</v>
      </c>
      <c r="F355" s="263">
        <f>'🧾 Factura Comercial'!G355</f>
        <v>0</v>
      </c>
      <c r="G355" s="264">
        <f>'🧾 Factura Comercial'!H355</f>
        <v>0</v>
      </c>
      <c r="H355" s="265">
        <f>'🧾 Factura Comercial'!I355</f>
        <v>0</v>
      </c>
      <c r="I355" s="298">
        <f>'🧾 Factura Comercial'!J355</f>
        <v>0</v>
      </c>
      <c r="J355" s="260">
        <f t="shared" si="5"/>
        <v>0</v>
      </c>
      <c r="K355" s="261">
        <f>J355*'📋 Datos Generales'!$E$19</f>
        <v>0</v>
      </c>
    </row>
    <row r="356" spans="4:11" ht="19.5" hidden="1" customHeight="1" x14ac:dyDescent="0.25">
      <c r="D356" s="13">
        <v>350</v>
      </c>
      <c r="E356" s="262">
        <f>'🧾 Factura Comercial'!E356</f>
        <v>0</v>
      </c>
      <c r="F356" s="263">
        <f>'🧾 Factura Comercial'!G356</f>
        <v>0</v>
      </c>
      <c r="G356" s="264">
        <f>'🧾 Factura Comercial'!H356</f>
        <v>0</v>
      </c>
      <c r="H356" s="265">
        <f>'🧾 Factura Comercial'!I356</f>
        <v>0</v>
      </c>
      <c r="I356" s="298">
        <f>'🧾 Factura Comercial'!J356</f>
        <v>0</v>
      </c>
      <c r="J356" s="260">
        <f t="shared" si="5"/>
        <v>0</v>
      </c>
      <c r="K356" s="261">
        <f>J356*'📋 Datos Generales'!$E$19</f>
        <v>0</v>
      </c>
    </row>
    <row r="357" spans="4:11" ht="19.5" hidden="1" customHeight="1" x14ac:dyDescent="0.25">
      <c r="D357" s="13">
        <v>351</v>
      </c>
      <c r="E357" s="262">
        <f>'🧾 Factura Comercial'!E357</f>
        <v>0</v>
      </c>
      <c r="F357" s="263">
        <f>'🧾 Factura Comercial'!G357</f>
        <v>0</v>
      </c>
      <c r="G357" s="258">
        <f>'🧾 Factura Comercial'!H357</f>
        <v>0</v>
      </c>
      <c r="H357" s="259">
        <f>'🧾 Factura Comercial'!I357</f>
        <v>0</v>
      </c>
      <c r="I357" s="298">
        <f>'🧾 Factura Comercial'!J357</f>
        <v>0</v>
      </c>
      <c r="J357" s="260">
        <f t="shared" si="5"/>
        <v>0</v>
      </c>
      <c r="K357" s="261">
        <f>J357*'📋 Datos Generales'!$E$19</f>
        <v>0</v>
      </c>
    </row>
    <row r="358" spans="4:11" ht="19.5" hidden="1" customHeight="1" x14ac:dyDescent="0.25">
      <c r="D358" s="13">
        <v>352</v>
      </c>
      <c r="E358" s="256">
        <f>'🧾 Factura Comercial'!E358</f>
        <v>0</v>
      </c>
      <c r="F358" s="257">
        <f>'🧾 Factura Comercial'!G358</f>
        <v>0</v>
      </c>
      <c r="G358" s="264">
        <f>'🧾 Factura Comercial'!H358</f>
        <v>0</v>
      </c>
      <c r="H358" s="265">
        <f>'🧾 Factura Comercial'!I358</f>
        <v>0</v>
      </c>
      <c r="I358" s="298">
        <f>'🧾 Factura Comercial'!J358</f>
        <v>0</v>
      </c>
      <c r="J358" s="260">
        <f t="shared" si="5"/>
        <v>0</v>
      </c>
      <c r="K358" s="261">
        <f>J358*'📋 Datos Generales'!$E$19</f>
        <v>0</v>
      </c>
    </row>
    <row r="359" spans="4:11" ht="19.5" hidden="1" customHeight="1" x14ac:dyDescent="0.25">
      <c r="D359" s="13">
        <v>353</v>
      </c>
      <c r="E359" s="262">
        <f>'🧾 Factura Comercial'!E359</f>
        <v>0</v>
      </c>
      <c r="F359" s="263">
        <f>'🧾 Factura Comercial'!G359</f>
        <v>0</v>
      </c>
      <c r="G359" s="264">
        <f>'🧾 Factura Comercial'!H359</f>
        <v>0</v>
      </c>
      <c r="H359" s="265">
        <f>'🧾 Factura Comercial'!I359</f>
        <v>0</v>
      </c>
      <c r="I359" s="298">
        <f>'🧾 Factura Comercial'!J359</f>
        <v>0</v>
      </c>
      <c r="J359" s="260">
        <f t="shared" si="5"/>
        <v>0</v>
      </c>
      <c r="K359" s="261">
        <f>J359*'📋 Datos Generales'!$E$19</f>
        <v>0</v>
      </c>
    </row>
    <row r="360" spans="4:11" ht="19.5" hidden="1" customHeight="1" x14ac:dyDescent="0.25">
      <c r="D360" s="13">
        <v>354</v>
      </c>
      <c r="E360" s="262">
        <f>'🧾 Factura Comercial'!E360</f>
        <v>0</v>
      </c>
      <c r="F360" s="263">
        <f>'🧾 Factura Comercial'!G360</f>
        <v>0</v>
      </c>
      <c r="G360" s="264">
        <f>'🧾 Factura Comercial'!H360</f>
        <v>0</v>
      </c>
      <c r="H360" s="265">
        <f>'🧾 Factura Comercial'!I360</f>
        <v>0</v>
      </c>
      <c r="I360" s="298">
        <f>'🧾 Factura Comercial'!J360</f>
        <v>0</v>
      </c>
      <c r="J360" s="260">
        <f t="shared" si="5"/>
        <v>0</v>
      </c>
      <c r="K360" s="261">
        <f>J360*'📋 Datos Generales'!$E$19</f>
        <v>0</v>
      </c>
    </row>
    <row r="361" spans="4:11" ht="19.5" hidden="1" customHeight="1" x14ac:dyDescent="0.25">
      <c r="D361" s="13">
        <v>355</v>
      </c>
      <c r="E361" s="262">
        <f>'🧾 Factura Comercial'!E361</f>
        <v>0</v>
      </c>
      <c r="F361" s="263">
        <f>'🧾 Factura Comercial'!G361</f>
        <v>0</v>
      </c>
      <c r="G361" s="264">
        <f>'🧾 Factura Comercial'!H361</f>
        <v>0</v>
      </c>
      <c r="H361" s="265">
        <f>'🧾 Factura Comercial'!I361</f>
        <v>0</v>
      </c>
      <c r="I361" s="298">
        <f>'🧾 Factura Comercial'!J361</f>
        <v>0</v>
      </c>
      <c r="J361" s="260">
        <f t="shared" si="5"/>
        <v>0</v>
      </c>
      <c r="K361" s="261">
        <f>J361*'📋 Datos Generales'!$E$19</f>
        <v>0</v>
      </c>
    </row>
    <row r="362" spans="4:11" ht="19.5" hidden="1" customHeight="1" x14ac:dyDescent="0.25">
      <c r="D362" s="13">
        <v>356</v>
      </c>
      <c r="E362" s="262">
        <f>'🧾 Factura Comercial'!E362</f>
        <v>0</v>
      </c>
      <c r="F362" s="263">
        <f>'🧾 Factura Comercial'!G362</f>
        <v>0</v>
      </c>
      <c r="G362" s="264">
        <f>'🧾 Factura Comercial'!H362</f>
        <v>0</v>
      </c>
      <c r="H362" s="259">
        <f>'🧾 Factura Comercial'!I362</f>
        <v>0</v>
      </c>
      <c r="I362" s="298">
        <f>'🧾 Factura Comercial'!J362</f>
        <v>0</v>
      </c>
      <c r="J362" s="260">
        <f t="shared" si="5"/>
        <v>0</v>
      </c>
      <c r="K362" s="261">
        <f>J362*'📋 Datos Generales'!$E$19</f>
        <v>0</v>
      </c>
    </row>
    <row r="363" spans="4:11" ht="19.5" hidden="1" customHeight="1" x14ac:dyDescent="0.25">
      <c r="D363" s="13">
        <v>357</v>
      </c>
      <c r="E363" s="262">
        <f>'🧾 Factura Comercial'!E363</f>
        <v>0</v>
      </c>
      <c r="F363" s="263">
        <f>'🧾 Factura Comercial'!G363</f>
        <v>0</v>
      </c>
      <c r="G363" s="264">
        <f>'🧾 Factura Comercial'!H363</f>
        <v>0</v>
      </c>
      <c r="H363" s="265">
        <f>'🧾 Factura Comercial'!I363</f>
        <v>0</v>
      </c>
      <c r="I363" s="298">
        <f>'🧾 Factura Comercial'!J363</f>
        <v>0</v>
      </c>
      <c r="J363" s="260">
        <f t="shared" si="5"/>
        <v>0</v>
      </c>
      <c r="K363" s="261">
        <f>J363*'📋 Datos Generales'!$E$19</f>
        <v>0</v>
      </c>
    </row>
    <row r="364" spans="4:11" ht="19.5" hidden="1" customHeight="1" x14ac:dyDescent="0.25">
      <c r="D364" s="13">
        <v>358</v>
      </c>
      <c r="E364" s="262">
        <f>'🧾 Factura Comercial'!E364</f>
        <v>0</v>
      </c>
      <c r="F364" s="263">
        <f>'🧾 Factura Comercial'!G364</f>
        <v>0</v>
      </c>
      <c r="G364" s="258">
        <f>'🧾 Factura Comercial'!H364</f>
        <v>0</v>
      </c>
      <c r="H364" s="265">
        <f>'🧾 Factura Comercial'!I364</f>
        <v>0</v>
      </c>
      <c r="I364" s="298">
        <f>'🧾 Factura Comercial'!J364</f>
        <v>0</v>
      </c>
      <c r="J364" s="260">
        <f t="shared" si="5"/>
        <v>0</v>
      </c>
      <c r="K364" s="261">
        <f>J364*'📋 Datos Generales'!$E$19</f>
        <v>0</v>
      </c>
    </row>
    <row r="365" spans="4:11" ht="19.5" hidden="1" customHeight="1" x14ac:dyDescent="0.25">
      <c r="D365" s="13">
        <v>359</v>
      </c>
      <c r="E365" s="262">
        <f>'🧾 Factura Comercial'!E365</f>
        <v>0</v>
      </c>
      <c r="F365" s="263">
        <f>'🧾 Factura Comercial'!G365</f>
        <v>0</v>
      </c>
      <c r="G365" s="264">
        <f>'🧾 Factura Comercial'!H365</f>
        <v>0</v>
      </c>
      <c r="H365" s="265">
        <f>'🧾 Factura Comercial'!I365</f>
        <v>0</v>
      </c>
      <c r="I365" s="298">
        <f>'🧾 Factura Comercial'!J365</f>
        <v>0</v>
      </c>
      <c r="J365" s="260">
        <f t="shared" si="5"/>
        <v>0</v>
      </c>
      <c r="K365" s="261">
        <f>J365*'📋 Datos Generales'!$E$19</f>
        <v>0</v>
      </c>
    </row>
    <row r="366" spans="4:11" ht="19.5" hidden="1" customHeight="1" x14ac:dyDescent="0.25">
      <c r="D366" s="13">
        <v>360</v>
      </c>
      <c r="E366" s="262">
        <f>'🧾 Factura Comercial'!E366</f>
        <v>0</v>
      </c>
      <c r="F366" s="263">
        <f>'🧾 Factura Comercial'!G366</f>
        <v>0</v>
      </c>
      <c r="G366" s="264">
        <f>'🧾 Factura Comercial'!H366</f>
        <v>0</v>
      </c>
      <c r="H366" s="265">
        <f>'🧾 Factura Comercial'!I366</f>
        <v>0</v>
      </c>
      <c r="I366" s="298">
        <f>'🧾 Factura Comercial'!J366</f>
        <v>0</v>
      </c>
      <c r="J366" s="260">
        <f t="shared" si="5"/>
        <v>0</v>
      </c>
      <c r="K366" s="261">
        <f>J366*'📋 Datos Generales'!$E$19</f>
        <v>0</v>
      </c>
    </row>
    <row r="367" spans="4:11" ht="19.5" hidden="1" customHeight="1" x14ac:dyDescent="0.25">
      <c r="D367" s="13">
        <v>361</v>
      </c>
      <c r="E367" s="256">
        <f>'🧾 Factura Comercial'!E367</f>
        <v>0</v>
      </c>
      <c r="F367" s="257">
        <f>'🧾 Factura Comercial'!G367</f>
        <v>0</v>
      </c>
      <c r="G367" s="264">
        <f>'🧾 Factura Comercial'!H367</f>
        <v>0</v>
      </c>
      <c r="H367" s="259">
        <f>'🧾 Factura Comercial'!I367</f>
        <v>0</v>
      </c>
      <c r="I367" s="298">
        <f>'🧾 Factura Comercial'!J367</f>
        <v>0</v>
      </c>
      <c r="J367" s="260">
        <f t="shared" si="5"/>
        <v>0</v>
      </c>
      <c r="K367" s="261">
        <f>J367*'📋 Datos Generales'!$E$19</f>
        <v>0</v>
      </c>
    </row>
    <row r="368" spans="4:11" ht="19.5" hidden="1" customHeight="1" x14ac:dyDescent="0.25">
      <c r="D368" s="13">
        <v>362</v>
      </c>
      <c r="E368" s="262">
        <f>'🧾 Factura Comercial'!E368</f>
        <v>0</v>
      </c>
      <c r="F368" s="263">
        <f>'🧾 Factura Comercial'!G368</f>
        <v>0</v>
      </c>
      <c r="G368" s="264">
        <f>'🧾 Factura Comercial'!H368</f>
        <v>0</v>
      </c>
      <c r="H368" s="265">
        <f>'🧾 Factura Comercial'!I368</f>
        <v>0</v>
      </c>
      <c r="I368" s="298">
        <f>'🧾 Factura Comercial'!J368</f>
        <v>0</v>
      </c>
      <c r="J368" s="260">
        <f t="shared" si="5"/>
        <v>0</v>
      </c>
      <c r="K368" s="261">
        <f>J368*'📋 Datos Generales'!$E$19</f>
        <v>0</v>
      </c>
    </row>
    <row r="369" spans="4:11" ht="19.5" hidden="1" customHeight="1" x14ac:dyDescent="0.25">
      <c r="D369" s="13">
        <v>363</v>
      </c>
      <c r="E369" s="262">
        <f>'🧾 Factura Comercial'!E369</f>
        <v>0</v>
      </c>
      <c r="F369" s="263">
        <f>'🧾 Factura Comercial'!G369</f>
        <v>0</v>
      </c>
      <c r="G369" s="264">
        <f>'🧾 Factura Comercial'!H369</f>
        <v>0</v>
      </c>
      <c r="H369" s="265">
        <f>'🧾 Factura Comercial'!I369</f>
        <v>0</v>
      </c>
      <c r="I369" s="298">
        <f>'🧾 Factura Comercial'!J369</f>
        <v>0</v>
      </c>
      <c r="J369" s="260">
        <f t="shared" si="5"/>
        <v>0</v>
      </c>
      <c r="K369" s="261">
        <f>J369*'📋 Datos Generales'!$E$19</f>
        <v>0</v>
      </c>
    </row>
    <row r="370" spans="4:11" ht="19.5" hidden="1" customHeight="1" x14ac:dyDescent="0.25">
      <c r="D370" s="13">
        <v>364</v>
      </c>
      <c r="E370" s="262">
        <f>'🧾 Factura Comercial'!E370</f>
        <v>0</v>
      </c>
      <c r="F370" s="263">
        <f>'🧾 Factura Comercial'!G370</f>
        <v>0</v>
      </c>
      <c r="G370" s="264">
        <f>'🧾 Factura Comercial'!H370</f>
        <v>0</v>
      </c>
      <c r="H370" s="265">
        <f>'🧾 Factura Comercial'!I370</f>
        <v>0</v>
      </c>
      <c r="I370" s="298">
        <f>'🧾 Factura Comercial'!J370</f>
        <v>0</v>
      </c>
      <c r="J370" s="260">
        <f t="shared" si="5"/>
        <v>0</v>
      </c>
      <c r="K370" s="261">
        <f>J370*'📋 Datos Generales'!$E$19</f>
        <v>0</v>
      </c>
    </row>
    <row r="371" spans="4:11" ht="19.5" hidden="1" customHeight="1" x14ac:dyDescent="0.25">
      <c r="D371" s="13">
        <v>365</v>
      </c>
      <c r="E371" s="262">
        <f>'🧾 Factura Comercial'!E371</f>
        <v>0</v>
      </c>
      <c r="F371" s="263">
        <f>'🧾 Factura Comercial'!G371</f>
        <v>0</v>
      </c>
      <c r="G371" s="258">
        <f>'🧾 Factura Comercial'!H371</f>
        <v>0</v>
      </c>
      <c r="H371" s="265">
        <f>'🧾 Factura Comercial'!I371</f>
        <v>0</v>
      </c>
      <c r="I371" s="298">
        <f>'🧾 Factura Comercial'!J371</f>
        <v>0</v>
      </c>
      <c r="J371" s="260">
        <f t="shared" si="5"/>
        <v>0</v>
      </c>
      <c r="K371" s="261">
        <f>J371*'📋 Datos Generales'!$E$19</f>
        <v>0</v>
      </c>
    </row>
    <row r="372" spans="4:11" ht="19.5" hidden="1" customHeight="1" x14ac:dyDescent="0.25">
      <c r="D372" s="13">
        <v>366</v>
      </c>
      <c r="E372" s="262">
        <f>'🧾 Factura Comercial'!E372</f>
        <v>0</v>
      </c>
      <c r="F372" s="263">
        <f>'🧾 Factura Comercial'!G372</f>
        <v>0</v>
      </c>
      <c r="G372" s="264">
        <f>'🧾 Factura Comercial'!H372</f>
        <v>0</v>
      </c>
      <c r="H372" s="259">
        <f>'🧾 Factura Comercial'!I372</f>
        <v>0</v>
      </c>
      <c r="I372" s="298">
        <f>'🧾 Factura Comercial'!J372</f>
        <v>0</v>
      </c>
      <c r="J372" s="260">
        <f t="shared" si="5"/>
        <v>0</v>
      </c>
      <c r="K372" s="261">
        <f>J372*'📋 Datos Generales'!$E$19</f>
        <v>0</v>
      </c>
    </row>
    <row r="373" spans="4:11" ht="19.5" hidden="1" customHeight="1" x14ac:dyDescent="0.25">
      <c r="D373" s="13">
        <v>367</v>
      </c>
      <c r="E373" s="262">
        <f>'🧾 Factura Comercial'!E373</f>
        <v>0</v>
      </c>
      <c r="F373" s="263">
        <f>'🧾 Factura Comercial'!G373</f>
        <v>0</v>
      </c>
      <c r="G373" s="264">
        <f>'🧾 Factura Comercial'!H373</f>
        <v>0</v>
      </c>
      <c r="H373" s="265">
        <f>'🧾 Factura Comercial'!I373</f>
        <v>0</v>
      </c>
      <c r="I373" s="298">
        <f>'🧾 Factura Comercial'!J373</f>
        <v>0</v>
      </c>
      <c r="J373" s="260">
        <f t="shared" si="5"/>
        <v>0</v>
      </c>
      <c r="K373" s="261">
        <f>J373*'📋 Datos Generales'!$E$19</f>
        <v>0</v>
      </c>
    </row>
    <row r="374" spans="4:11" ht="19.5" hidden="1" customHeight="1" x14ac:dyDescent="0.25">
      <c r="D374" s="13">
        <v>368</v>
      </c>
      <c r="E374" s="262">
        <f>'🧾 Factura Comercial'!E374</f>
        <v>0</v>
      </c>
      <c r="F374" s="263">
        <f>'🧾 Factura Comercial'!G374</f>
        <v>0</v>
      </c>
      <c r="G374" s="264">
        <f>'🧾 Factura Comercial'!H374</f>
        <v>0</v>
      </c>
      <c r="H374" s="265">
        <f>'🧾 Factura Comercial'!I374</f>
        <v>0</v>
      </c>
      <c r="I374" s="298">
        <f>'🧾 Factura Comercial'!J374</f>
        <v>0</v>
      </c>
      <c r="J374" s="260">
        <f t="shared" si="5"/>
        <v>0</v>
      </c>
      <c r="K374" s="261">
        <f>J374*'📋 Datos Generales'!$E$19</f>
        <v>0</v>
      </c>
    </row>
    <row r="375" spans="4:11" ht="19.5" hidden="1" customHeight="1" x14ac:dyDescent="0.25">
      <c r="D375" s="13">
        <v>369</v>
      </c>
      <c r="E375" s="262">
        <f>'🧾 Factura Comercial'!E375</f>
        <v>0</v>
      </c>
      <c r="F375" s="263">
        <f>'🧾 Factura Comercial'!G375</f>
        <v>0</v>
      </c>
      <c r="G375" s="264">
        <f>'🧾 Factura Comercial'!H375</f>
        <v>0</v>
      </c>
      <c r="H375" s="265">
        <f>'🧾 Factura Comercial'!I375</f>
        <v>0</v>
      </c>
      <c r="I375" s="298">
        <f>'🧾 Factura Comercial'!J375</f>
        <v>0</v>
      </c>
      <c r="J375" s="260">
        <f t="shared" si="5"/>
        <v>0</v>
      </c>
      <c r="K375" s="261">
        <f>J375*'📋 Datos Generales'!$E$19</f>
        <v>0</v>
      </c>
    </row>
    <row r="376" spans="4:11" ht="19.5" hidden="1" customHeight="1" x14ac:dyDescent="0.25">
      <c r="D376" s="13">
        <v>370</v>
      </c>
      <c r="E376" s="256">
        <f>'🧾 Factura Comercial'!E376</f>
        <v>0</v>
      </c>
      <c r="F376" s="257">
        <f>'🧾 Factura Comercial'!G376</f>
        <v>0</v>
      </c>
      <c r="G376" s="264">
        <f>'🧾 Factura Comercial'!H376</f>
        <v>0</v>
      </c>
      <c r="H376" s="265">
        <f>'🧾 Factura Comercial'!I376</f>
        <v>0</v>
      </c>
      <c r="I376" s="298">
        <f>'🧾 Factura Comercial'!J376</f>
        <v>0</v>
      </c>
      <c r="J376" s="260">
        <f t="shared" si="5"/>
        <v>0</v>
      </c>
      <c r="K376" s="261">
        <f>J376*'📋 Datos Generales'!$E$19</f>
        <v>0</v>
      </c>
    </row>
    <row r="377" spans="4:11" ht="19.5" hidden="1" customHeight="1" x14ac:dyDescent="0.25">
      <c r="D377" s="13">
        <v>371</v>
      </c>
      <c r="E377" s="262">
        <f>'🧾 Factura Comercial'!E377</f>
        <v>0</v>
      </c>
      <c r="F377" s="263">
        <f>'🧾 Factura Comercial'!G377</f>
        <v>0</v>
      </c>
      <c r="G377" s="264">
        <f>'🧾 Factura Comercial'!H377</f>
        <v>0</v>
      </c>
      <c r="H377" s="259">
        <f>'🧾 Factura Comercial'!I377</f>
        <v>0</v>
      </c>
      <c r="I377" s="298">
        <f>'🧾 Factura Comercial'!J377</f>
        <v>0</v>
      </c>
      <c r="J377" s="260">
        <f t="shared" si="5"/>
        <v>0</v>
      </c>
      <c r="K377" s="261">
        <f>J377*'📋 Datos Generales'!$E$19</f>
        <v>0</v>
      </c>
    </row>
    <row r="378" spans="4:11" ht="19.5" hidden="1" customHeight="1" x14ac:dyDescent="0.25">
      <c r="D378" s="13">
        <v>372</v>
      </c>
      <c r="E378" s="262">
        <f>'🧾 Factura Comercial'!E378</f>
        <v>0</v>
      </c>
      <c r="F378" s="263">
        <f>'🧾 Factura Comercial'!G378</f>
        <v>0</v>
      </c>
      <c r="G378" s="258">
        <f>'🧾 Factura Comercial'!H378</f>
        <v>0</v>
      </c>
      <c r="H378" s="265">
        <f>'🧾 Factura Comercial'!I378</f>
        <v>0</v>
      </c>
      <c r="I378" s="298">
        <f>'🧾 Factura Comercial'!J378</f>
        <v>0</v>
      </c>
      <c r="J378" s="260">
        <f t="shared" si="5"/>
        <v>0</v>
      </c>
      <c r="K378" s="261">
        <f>J378*'📋 Datos Generales'!$E$19</f>
        <v>0</v>
      </c>
    </row>
    <row r="379" spans="4:11" ht="19.5" hidden="1" customHeight="1" x14ac:dyDescent="0.25">
      <c r="D379" s="13">
        <v>373</v>
      </c>
      <c r="E379" s="262">
        <f>'🧾 Factura Comercial'!E379</f>
        <v>0</v>
      </c>
      <c r="F379" s="263">
        <f>'🧾 Factura Comercial'!G379</f>
        <v>0</v>
      </c>
      <c r="G379" s="264">
        <f>'🧾 Factura Comercial'!H379</f>
        <v>0</v>
      </c>
      <c r="H379" s="265">
        <f>'🧾 Factura Comercial'!I379</f>
        <v>0</v>
      </c>
      <c r="I379" s="298">
        <f>'🧾 Factura Comercial'!J379</f>
        <v>0</v>
      </c>
      <c r="J379" s="260">
        <f t="shared" si="5"/>
        <v>0</v>
      </c>
      <c r="K379" s="261">
        <f>J379*'📋 Datos Generales'!$E$19</f>
        <v>0</v>
      </c>
    </row>
    <row r="380" spans="4:11" ht="19.5" hidden="1" customHeight="1" x14ac:dyDescent="0.25">
      <c r="D380" s="13">
        <v>374</v>
      </c>
      <c r="E380" s="262">
        <f>'🧾 Factura Comercial'!E380</f>
        <v>0</v>
      </c>
      <c r="F380" s="263">
        <f>'🧾 Factura Comercial'!G380</f>
        <v>0</v>
      </c>
      <c r="G380" s="264">
        <f>'🧾 Factura Comercial'!H380</f>
        <v>0</v>
      </c>
      <c r="H380" s="265">
        <f>'🧾 Factura Comercial'!I380</f>
        <v>0</v>
      </c>
      <c r="I380" s="298">
        <f>'🧾 Factura Comercial'!J380</f>
        <v>0</v>
      </c>
      <c r="J380" s="260">
        <f t="shared" si="5"/>
        <v>0</v>
      </c>
      <c r="K380" s="261">
        <f>J380*'📋 Datos Generales'!$E$19</f>
        <v>0</v>
      </c>
    </row>
    <row r="381" spans="4:11" ht="19.5" hidden="1" customHeight="1" x14ac:dyDescent="0.25">
      <c r="D381" s="13">
        <v>375</v>
      </c>
      <c r="E381" s="262">
        <f>'🧾 Factura Comercial'!E381</f>
        <v>0</v>
      </c>
      <c r="F381" s="263">
        <f>'🧾 Factura Comercial'!G381</f>
        <v>0</v>
      </c>
      <c r="G381" s="264">
        <f>'🧾 Factura Comercial'!H381</f>
        <v>0</v>
      </c>
      <c r="H381" s="265">
        <f>'🧾 Factura Comercial'!I381</f>
        <v>0</v>
      </c>
      <c r="I381" s="298">
        <f>'🧾 Factura Comercial'!J381</f>
        <v>0</v>
      </c>
      <c r="J381" s="260">
        <f t="shared" si="5"/>
        <v>0</v>
      </c>
      <c r="K381" s="261">
        <f>J381*'📋 Datos Generales'!$E$19</f>
        <v>0</v>
      </c>
    </row>
    <row r="382" spans="4:11" ht="19.5" hidden="1" customHeight="1" x14ac:dyDescent="0.25">
      <c r="D382" s="13">
        <v>376</v>
      </c>
      <c r="E382" s="262">
        <f>'🧾 Factura Comercial'!E382</f>
        <v>0</v>
      </c>
      <c r="F382" s="263">
        <f>'🧾 Factura Comercial'!G382</f>
        <v>0</v>
      </c>
      <c r="G382" s="264">
        <f>'🧾 Factura Comercial'!H382</f>
        <v>0</v>
      </c>
      <c r="H382" s="259">
        <f>'🧾 Factura Comercial'!I382</f>
        <v>0</v>
      </c>
      <c r="I382" s="298">
        <f>'🧾 Factura Comercial'!J382</f>
        <v>0</v>
      </c>
      <c r="J382" s="260">
        <f t="shared" si="5"/>
        <v>0</v>
      </c>
      <c r="K382" s="261">
        <f>J382*'📋 Datos Generales'!$E$19</f>
        <v>0</v>
      </c>
    </row>
    <row r="383" spans="4:11" ht="19.5" hidden="1" customHeight="1" x14ac:dyDescent="0.25">
      <c r="D383" s="13">
        <v>377</v>
      </c>
      <c r="E383" s="262">
        <f>'🧾 Factura Comercial'!E383</f>
        <v>0</v>
      </c>
      <c r="F383" s="263">
        <f>'🧾 Factura Comercial'!G383</f>
        <v>0</v>
      </c>
      <c r="G383" s="264">
        <f>'🧾 Factura Comercial'!H383</f>
        <v>0</v>
      </c>
      <c r="H383" s="265">
        <f>'🧾 Factura Comercial'!I383</f>
        <v>0</v>
      </c>
      <c r="I383" s="298">
        <f>'🧾 Factura Comercial'!J383</f>
        <v>0</v>
      </c>
      <c r="J383" s="260">
        <f t="shared" si="5"/>
        <v>0</v>
      </c>
      <c r="K383" s="261">
        <f>J383*'📋 Datos Generales'!$E$19</f>
        <v>0</v>
      </c>
    </row>
    <row r="384" spans="4:11" ht="19.5" hidden="1" customHeight="1" x14ac:dyDescent="0.25">
      <c r="D384" s="13">
        <v>378</v>
      </c>
      <c r="E384" s="262">
        <f>'🧾 Factura Comercial'!E384</f>
        <v>0</v>
      </c>
      <c r="F384" s="263">
        <f>'🧾 Factura Comercial'!G384</f>
        <v>0</v>
      </c>
      <c r="G384" s="264">
        <f>'🧾 Factura Comercial'!H384</f>
        <v>0</v>
      </c>
      <c r="H384" s="265">
        <f>'🧾 Factura Comercial'!I384</f>
        <v>0</v>
      </c>
      <c r="I384" s="298">
        <f>'🧾 Factura Comercial'!J384</f>
        <v>0</v>
      </c>
      <c r="J384" s="260">
        <f t="shared" si="5"/>
        <v>0</v>
      </c>
      <c r="K384" s="261">
        <f>J384*'📋 Datos Generales'!$E$19</f>
        <v>0</v>
      </c>
    </row>
    <row r="385" spans="4:11" ht="19.5" hidden="1" customHeight="1" x14ac:dyDescent="0.25">
      <c r="D385" s="13">
        <v>379</v>
      </c>
      <c r="E385" s="256">
        <f>'🧾 Factura Comercial'!E385</f>
        <v>0</v>
      </c>
      <c r="F385" s="257">
        <f>'🧾 Factura Comercial'!G385</f>
        <v>0</v>
      </c>
      <c r="G385" s="258">
        <f>'🧾 Factura Comercial'!H385</f>
        <v>0</v>
      </c>
      <c r="H385" s="265">
        <f>'🧾 Factura Comercial'!I385</f>
        <v>0</v>
      </c>
      <c r="I385" s="298">
        <f>'🧾 Factura Comercial'!J385</f>
        <v>0</v>
      </c>
      <c r="J385" s="260">
        <f t="shared" si="5"/>
        <v>0</v>
      </c>
      <c r="K385" s="261">
        <f>J385*'📋 Datos Generales'!$E$19</f>
        <v>0</v>
      </c>
    </row>
    <row r="386" spans="4:11" ht="19.5" hidden="1" customHeight="1" x14ac:dyDescent="0.25">
      <c r="D386" s="13">
        <v>380</v>
      </c>
      <c r="E386" s="262">
        <f>'🧾 Factura Comercial'!E386</f>
        <v>0</v>
      </c>
      <c r="F386" s="263">
        <f>'🧾 Factura Comercial'!G386</f>
        <v>0</v>
      </c>
      <c r="G386" s="264">
        <f>'🧾 Factura Comercial'!H386</f>
        <v>0</v>
      </c>
      <c r="H386" s="265">
        <f>'🧾 Factura Comercial'!I386</f>
        <v>0</v>
      </c>
      <c r="I386" s="298">
        <f>'🧾 Factura Comercial'!J386</f>
        <v>0</v>
      </c>
      <c r="J386" s="260">
        <f t="shared" si="5"/>
        <v>0</v>
      </c>
      <c r="K386" s="261">
        <f>J386*'📋 Datos Generales'!$E$19</f>
        <v>0</v>
      </c>
    </row>
    <row r="387" spans="4:11" ht="19.5" hidden="1" customHeight="1" x14ac:dyDescent="0.25">
      <c r="D387" s="13">
        <v>381</v>
      </c>
      <c r="E387" s="262">
        <f>'🧾 Factura Comercial'!E387</f>
        <v>0</v>
      </c>
      <c r="F387" s="263">
        <f>'🧾 Factura Comercial'!G387</f>
        <v>0</v>
      </c>
      <c r="G387" s="264">
        <f>'🧾 Factura Comercial'!H387</f>
        <v>0</v>
      </c>
      <c r="H387" s="259">
        <f>'🧾 Factura Comercial'!I387</f>
        <v>0</v>
      </c>
      <c r="I387" s="298">
        <f>'🧾 Factura Comercial'!J387</f>
        <v>0</v>
      </c>
      <c r="J387" s="260">
        <f t="shared" si="5"/>
        <v>0</v>
      </c>
      <c r="K387" s="261">
        <f>J387*'📋 Datos Generales'!$E$19</f>
        <v>0</v>
      </c>
    </row>
    <row r="388" spans="4:11" ht="19.5" hidden="1" customHeight="1" x14ac:dyDescent="0.25">
      <c r="D388" s="13">
        <v>382</v>
      </c>
      <c r="E388" s="262">
        <f>'🧾 Factura Comercial'!E388</f>
        <v>0</v>
      </c>
      <c r="F388" s="263">
        <f>'🧾 Factura Comercial'!G388</f>
        <v>0</v>
      </c>
      <c r="G388" s="264">
        <f>'🧾 Factura Comercial'!H388</f>
        <v>0</v>
      </c>
      <c r="H388" s="265">
        <f>'🧾 Factura Comercial'!I388</f>
        <v>0</v>
      </c>
      <c r="I388" s="298">
        <f>'🧾 Factura Comercial'!J388</f>
        <v>0</v>
      </c>
      <c r="J388" s="260">
        <f t="shared" si="5"/>
        <v>0</v>
      </c>
      <c r="K388" s="261">
        <f>J388*'📋 Datos Generales'!$E$19</f>
        <v>0</v>
      </c>
    </row>
    <row r="389" spans="4:11" ht="19.5" hidden="1" customHeight="1" x14ac:dyDescent="0.25">
      <c r="D389" s="13">
        <v>383</v>
      </c>
      <c r="E389" s="262">
        <f>'🧾 Factura Comercial'!E389</f>
        <v>0</v>
      </c>
      <c r="F389" s="263">
        <f>'🧾 Factura Comercial'!G389</f>
        <v>0</v>
      </c>
      <c r="G389" s="264">
        <f>'🧾 Factura Comercial'!H389</f>
        <v>0</v>
      </c>
      <c r="H389" s="265">
        <f>'🧾 Factura Comercial'!I389</f>
        <v>0</v>
      </c>
      <c r="I389" s="298">
        <f>'🧾 Factura Comercial'!J389</f>
        <v>0</v>
      </c>
      <c r="J389" s="260">
        <f t="shared" si="5"/>
        <v>0</v>
      </c>
      <c r="K389" s="261">
        <f>J389*'📋 Datos Generales'!$E$19</f>
        <v>0</v>
      </c>
    </row>
    <row r="390" spans="4:11" ht="19.5" hidden="1" customHeight="1" x14ac:dyDescent="0.25">
      <c r="D390" s="13">
        <v>384</v>
      </c>
      <c r="E390" s="262">
        <f>'🧾 Factura Comercial'!E390</f>
        <v>0</v>
      </c>
      <c r="F390" s="263">
        <f>'🧾 Factura Comercial'!G390</f>
        <v>0</v>
      </c>
      <c r="G390" s="264">
        <f>'🧾 Factura Comercial'!H390</f>
        <v>0</v>
      </c>
      <c r="H390" s="265">
        <f>'🧾 Factura Comercial'!I390</f>
        <v>0</v>
      </c>
      <c r="I390" s="298">
        <f>'🧾 Factura Comercial'!J390</f>
        <v>0</v>
      </c>
      <c r="J390" s="260">
        <f t="shared" si="5"/>
        <v>0</v>
      </c>
      <c r="K390" s="261">
        <f>J390*'📋 Datos Generales'!$E$19</f>
        <v>0</v>
      </c>
    </row>
    <row r="391" spans="4:11" ht="19.5" hidden="1" customHeight="1" x14ac:dyDescent="0.25">
      <c r="D391" s="13">
        <v>385</v>
      </c>
      <c r="E391" s="262">
        <f>'🧾 Factura Comercial'!E391</f>
        <v>0</v>
      </c>
      <c r="F391" s="263">
        <f>'🧾 Factura Comercial'!G391</f>
        <v>0</v>
      </c>
      <c r="G391" s="264">
        <f>'🧾 Factura Comercial'!H391</f>
        <v>0</v>
      </c>
      <c r="H391" s="265">
        <f>'🧾 Factura Comercial'!I391</f>
        <v>0</v>
      </c>
      <c r="I391" s="298">
        <f>'🧾 Factura Comercial'!J391</f>
        <v>0</v>
      </c>
      <c r="J391" s="260">
        <f t="shared" si="5"/>
        <v>0</v>
      </c>
      <c r="K391" s="261">
        <f>J391*'📋 Datos Generales'!$E$19</f>
        <v>0</v>
      </c>
    </row>
    <row r="392" spans="4:11" ht="19.5" hidden="1" customHeight="1" x14ac:dyDescent="0.25">
      <c r="D392" s="13">
        <v>386</v>
      </c>
      <c r="E392" s="262">
        <f>'🧾 Factura Comercial'!E392</f>
        <v>0</v>
      </c>
      <c r="F392" s="263">
        <f>'🧾 Factura Comercial'!G392</f>
        <v>0</v>
      </c>
      <c r="G392" s="258">
        <f>'🧾 Factura Comercial'!H392</f>
        <v>0</v>
      </c>
      <c r="H392" s="259">
        <f>'🧾 Factura Comercial'!I392</f>
        <v>0</v>
      </c>
      <c r="I392" s="298">
        <f>'🧾 Factura Comercial'!J392</f>
        <v>0</v>
      </c>
      <c r="J392" s="260">
        <f t="shared" ref="J392:J455" si="6">IF($G$5=0,0,$G$5*G392)</f>
        <v>0</v>
      </c>
      <c r="K392" s="261">
        <f>J392*'📋 Datos Generales'!$E$19</f>
        <v>0</v>
      </c>
    </row>
    <row r="393" spans="4:11" ht="19.5" hidden="1" customHeight="1" x14ac:dyDescent="0.25">
      <c r="D393" s="13">
        <v>387</v>
      </c>
      <c r="E393" s="262">
        <f>'🧾 Factura Comercial'!E393</f>
        <v>0</v>
      </c>
      <c r="F393" s="263">
        <f>'🧾 Factura Comercial'!G393</f>
        <v>0</v>
      </c>
      <c r="G393" s="264">
        <f>'🧾 Factura Comercial'!H393</f>
        <v>0</v>
      </c>
      <c r="H393" s="265">
        <f>'🧾 Factura Comercial'!I393</f>
        <v>0</v>
      </c>
      <c r="I393" s="298">
        <f>'🧾 Factura Comercial'!J393</f>
        <v>0</v>
      </c>
      <c r="J393" s="260">
        <f t="shared" si="6"/>
        <v>0</v>
      </c>
      <c r="K393" s="261">
        <f>J393*'📋 Datos Generales'!$E$19</f>
        <v>0</v>
      </c>
    </row>
    <row r="394" spans="4:11" ht="19.5" hidden="1" customHeight="1" x14ac:dyDescent="0.25">
      <c r="D394" s="13">
        <v>388</v>
      </c>
      <c r="E394" s="256">
        <f>'🧾 Factura Comercial'!E394</f>
        <v>0</v>
      </c>
      <c r="F394" s="257">
        <f>'🧾 Factura Comercial'!G394</f>
        <v>0</v>
      </c>
      <c r="G394" s="264">
        <f>'🧾 Factura Comercial'!H394</f>
        <v>0</v>
      </c>
      <c r="H394" s="265">
        <f>'🧾 Factura Comercial'!I394</f>
        <v>0</v>
      </c>
      <c r="I394" s="298">
        <f>'🧾 Factura Comercial'!J394</f>
        <v>0</v>
      </c>
      <c r="J394" s="260">
        <f t="shared" si="6"/>
        <v>0</v>
      </c>
      <c r="K394" s="261">
        <f>J394*'📋 Datos Generales'!$E$19</f>
        <v>0</v>
      </c>
    </row>
    <row r="395" spans="4:11" ht="19.5" hidden="1" customHeight="1" x14ac:dyDescent="0.25">
      <c r="D395" s="13">
        <v>389</v>
      </c>
      <c r="E395" s="262">
        <f>'🧾 Factura Comercial'!E395</f>
        <v>0</v>
      </c>
      <c r="F395" s="263">
        <f>'🧾 Factura Comercial'!G395</f>
        <v>0</v>
      </c>
      <c r="G395" s="264">
        <f>'🧾 Factura Comercial'!H395</f>
        <v>0</v>
      </c>
      <c r="H395" s="265">
        <f>'🧾 Factura Comercial'!I395</f>
        <v>0</v>
      </c>
      <c r="I395" s="298">
        <f>'🧾 Factura Comercial'!J395</f>
        <v>0</v>
      </c>
      <c r="J395" s="260">
        <f t="shared" si="6"/>
        <v>0</v>
      </c>
      <c r="K395" s="261">
        <f>J395*'📋 Datos Generales'!$E$19</f>
        <v>0</v>
      </c>
    </row>
    <row r="396" spans="4:11" ht="19.5" hidden="1" customHeight="1" x14ac:dyDescent="0.25">
      <c r="D396" s="13">
        <v>390</v>
      </c>
      <c r="E396" s="262">
        <f>'🧾 Factura Comercial'!E396</f>
        <v>0</v>
      </c>
      <c r="F396" s="263">
        <f>'🧾 Factura Comercial'!G396</f>
        <v>0</v>
      </c>
      <c r="G396" s="264">
        <f>'🧾 Factura Comercial'!H396</f>
        <v>0</v>
      </c>
      <c r="H396" s="265">
        <f>'🧾 Factura Comercial'!I396</f>
        <v>0</v>
      </c>
      <c r="I396" s="298">
        <f>'🧾 Factura Comercial'!J396</f>
        <v>0</v>
      </c>
      <c r="J396" s="260">
        <f t="shared" si="6"/>
        <v>0</v>
      </c>
      <c r="K396" s="261">
        <f>J396*'📋 Datos Generales'!$E$19</f>
        <v>0</v>
      </c>
    </row>
    <row r="397" spans="4:11" ht="19.5" hidden="1" customHeight="1" x14ac:dyDescent="0.25">
      <c r="D397" s="13">
        <v>391</v>
      </c>
      <c r="E397" s="262">
        <f>'🧾 Factura Comercial'!E397</f>
        <v>0</v>
      </c>
      <c r="F397" s="263">
        <f>'🧾 Factura Comercial'!G397</f>
        <v>0</v>
      </c>
      <c r="G397" s="264">
        <f>'🧾 Factura Comercial'!H397</f>
        <v>0</v>
      </c>
      <c r="H397" s="259">
        <f>'🧾 Factura Comercial'!I397</f>
        <v>0</v>
      </c>
      <c r="I397" s="298">
        <f>'🧾 Factura Comercial'!J397</f>
        <v>0</v>
      </c>
      <c r="J397" s="260">
        <f t="shared" si="6"/>
        <v>0</v>
      </c>
      <c r="K397" s="261">
        <f>J397*'📋 Datos Generales'!$E$19</f>
        <v>0</v>
      </c>
    </row>
    <row r="398" spans="4:11" ht="19.5" hidden="1" customHeight="1" x14ac:dyDescent="0.25">
      <c r="D398" s="13">
        <v>392</v>
      </c>
      <c r="E398" s="262">
        <f>'🧾 Factura Comercial'!E398</f>
        <v>0</v>
      </c>
      <c r="F398" s="263">
        <f>'🧾 Factura Comercial'!G398</f>
        <v>0</v>
      </c>
      <c r="G398" s="264">
        <f>'🧾 Factura Comercial'!H398</f>
        <v>0</v>
      </c>
      <c r="H398" s="265">
        <f>'🧾 Factura Comercial'!I398</f>
        <v>0</v>
      </c>
      <c r="I398" s="298">
        <f>'🧾 Factura Comercial'!J398</f>
        <v>0</v>
      </c>
      <c r="J398" s="260">
        <f t="shared" si="6"/>
        <v>0</v>
      </c>
      <c r="K398" s="261">
        <f>J398*'📋 Datos Generales'!$E$19</f>
        <v>0</v>
      </c>
    </row>
    <row r="399" spans="4:11" ht="19.5" hidden="1" customHeight="1" x14ac:dyDescent="0.25">
      <c r="D399" s="13">
        <v>393</v>
      </c>
      <c r="E399" s="262">
        <f>'🧾 Factura Comercial'!E399</f>
        <v>0</v>
      </c>
      <c r="F399" s="263">
        <f>'🧾 Factura Comercial'!G399</f>
        <v>0</v>
      </c>
      <c r="G399" s="258">
        <f>'🧾 Factura Comercial'!H399</f>
        <v>0</v>
      </c>
      <c r="H399" s="265">
        <f>'🧾 Factura Comercial'!I399</f>
        <v>0</v>
      </c>
      <c r="I399" s="298">
        <f>'🧾 Factura Comercial'!J399</f>
        <v>0</v>
      </c>
      <c r="J399" s="260">
        <f t="shared" si="6"/>
        <v>0</v>
      </c>
      <c r="K399" s="261">
        <f>J399*'📋 Datos Generales'!$E$19</f>
        <v>0</v>
      </c>
    </row>
    <row r="400" spans="4:11" ht="19.5" hidden="1" customHeight="1" x14ac:dyDescent="0.25">
      <c r="D400" s="13">
        <v>394</v>
      </c>
      <c r="E400" s="262">
        <f>'🧾 Factura Comercial'!E400</f>
        <v>0</v>
      </c>
      <c r="F400" s="263">
        <f>'🧾 Factura Comercial'!G400</f>
        <v>0</v>
      </c>
      <c r="G400" s="264">
        <f>'🧾 Factura Comercial'!H400</f>
        <v>0</v>
      </c>
      <c r="H400" s="265">
        <f>'🧾 Factura Comercial'!I400</f>
        <v>0</v>
      </c>
      <c r="I400" s="298">
        <f>'🧾 Factura Comercial'!J400</f>
        <v>0</v>
      </c>
      <c r="J400" s="260">
        <f t="shared" si="6"/>
        <v>0</v>
      </c>
      <c r="K400" s="261">
        <f>J400*'📋 Datos Generales'!$E$19</f>
        <v>0</v>
      </c>
    </row>
    <row r="401" spans="4:11" ht="19.5" hidden="1" customHeight="1" x14ac:dyDescent="0.25">
      <c r="D401" s="13">
        <v>395</v>
      </c>
      <c r="E401" s="262">
        <f>'🧾 Factura Comercial'!E401</f>
        <v>0</v>
      </c>
      <c r="F401" s="263">
        <f>'🧾 Factura Comercial'!G401</f>
        <v>0</v>
      </c>
      <c r="G401" s="264">
        <f>'🧾 Factura Comercial'!H401</f>
        <v>0</v>
      </c>
      <c r="H401" s="265">
        <f>'🧾 Factura Comercial'!I401</f>
        <v>0</v>
      </c>
      <c r="I401" s="298">
        <f>'🧾 Factura Comercial'!J401</f>
        <v>0</v>
      </c>
      <c r="J401" s="260">
        <f t="shared" si="6"/>
        <v>0</v>
      </c>
      <c r="K401" s="261">
        <f>J401*'📋 Datos Generales'!$E$19</f>
        <v>0</v>
      </c>
    </row>
    <row r="402" spans="4:11" ht="19.5" hidden="1" customHeight="1" x14ac:dyDescent="0.25">
      <c r="D402" s="13">
        <v>396</v>
      </c>
      <c r="E402" s="262">
        <f>'🧾 Factura Comercial'!E402</f>
        <v>0</v>
      </c>
      <c r="F402" s="263">
        <f>'🧾 Factura Comercial'!G402</f>
        <v>0</v>
      </c>
      <c r="G402" s="264">
        <f>'🧾 Factura Comercial'!H402</f>
        <v>0</v>
      </c>
      <c r="H402" s="259">
        <f>'🧾 Factura Comercial'!I402</f>
        <v>0</v>
      </c>
      <c r="I402" s="298">
        <f>'🧾 Factura Comercial'!J402</f>
        <v>0</v>
      </c>
      <c r="J402" s="260">
        <f t="shared" si="6"/>
        <v>0</v>
      </c>
      <c r="K402" s="261">
        <f>J402*'📋 Datos Generales'!$E$19</f>
        <v>0</v>
      </c>
    </row>
    <row r="403" spans="4:11" ht="19.5" hidden="1" customHeight="1" x14ac:dyDescent="0.25">
      <c r="D403" s="13">
        <v>397</v>
      </c>
      <c r="E403" s="256">
        <f>'🧾 Factura Comercial'!E403</f>
        <v>0</v>
      </c>
      <c r="F403" s="257">
        <f>'🧾 Factura Comercial'!G403</f>
        <v>0</v>
      </c>
      <c r="G403" s="264">
        <f>'🧾 Factura Comercial'!H403</f>
        <v>0</v>
      </c>
      <c r="H403" s="265">
        <f>'🧾 Factura Comercial'!I403</f>
        <v>0</v>
      </c>
      <c r="I403" s="298">
        <f>'🧾 Factura Comercial'!J403</f>
        <v>0</v>
      </c>
      <c r="J403" s="260">
        <f t="shared" si="6"/>
        <v>0</v>
      </c>
      <c r="K403" s="261">
        <f>J403*'📋 Datos Generales'!$E$19</f>
        <v>0</v>
      </c>
    </row>
    <row r="404" spans="4:11" ht="19.5" hidden="1" customHeight="1" x14ac:dyDescent="0.25">
      <c r="D404" s="13">
        <v>398</v>
      </c>
      <c r="E404" s="262">
        <f>'🧾 Factura Comercial'!E404</f>
        <v>0</v>
      </c>
      <c r="F404" s="263">
        <f>'🧾 Factura Comercial'!G404</f>
        <v>0</v>
      </c>
      <c r="G404" s="264">
        <f>'🧾 Factura Comercial'!H404</f>
        <v>0</v>
      </c>
      <c r="H404" s="265">
        <f>'🧾 Factura Comercial'!I404</f>
        <v>0</v>
      </c>
      <c r="I404" s="298">
        <f>'🧾 Factura Comercial'!J404</f>
        <v>0</v>
      </c>
      <c r="J404" s="260">
        <f t="shared" si="6"/>
        <v>0</v>
      </c>
      <c r="K404" s="261">
        <f>J404*'📋 Datos Generales'!$E$19</f>
        <v>0</v>
      </c>
    </row>
    <row r="405" spans="4:11" ht="19.5" hidden="1" customHeight="1" x14ac:dyDescent="0.25">
      <c r="D405" s="13">
        <v>399</v>
      </c>
      <c r="E405" s="262">
        <f>'🧾 Factura Comercial'!E405</f>
        <v>0</v>
      </c>
      <c r="F405" s="263">
        <f>'🧾 Factura Comercial'!G405</f>
        <v>0</v>
      </c>
      <c r="G405" s="264">
        <f>'🧾 Factura Comercial'!H405</f>
        <v>0</v>
      </c>
      <c r="H405" s="265">
        <f>'🧾 Factura Comercial'!I405</f>
        <v>0</v>
      </c>
      <c r="I405" s="298">
        <f>'🧾 Factura Comercial'!J405</f>
        <v>0</v>
      </c>
      <c r="J405" s="260">
        <f t="shared" si="6"/>
        <v>0</v>
      </c>
      <c r="K405" s="261">
        <f>J405*'📋 Datos Generales'!$E$19</f>
        <v>0</v>
      </c>
    </row>
    <row r="406" spans="4:11" ht="19.5" hidden="1" customHeight="1" x14ac:dyDescent="0.25">
      <c r="D406" s="13">
        <v>400</v>
      </c>
      <c r="E406" s="262">
        <f>'🧾 Factura Comercial'!E406</f>
        <v>0</v>
      </c>
      <c r="F406" s="263">
        <f>'🧾 Factura Comercial'!G406</f>
        <v>0</v>
      </c>
      <c r="G406" s="258">
        <f>'🧾 Factura Comercial'!H406</f>
        <v>0</v>
      </c>
      <c r="H406" s="265">
        <f>'🧾 Factura Comercial'!I406</f>
        <v>0</v>
      </c>
      <c r="I406" s="298">
        <f>'🧾 Factura Comercial'!J406</f>
        <v>0</v>
      </c>
      <c r="J406" s="260">
        <f t="shared" si="6"/>
        <v>0</v>
      </c>
      <c r="K406" s="261">
        <f>J406*'📋 Datos Generales'!$E$19</f>
        <v>0</v>
      </c>
    </row>
    <row r="407" spans="4:11" ht="19.5" hidden="1" customHeight="1" x14ac:dyDescent="0.25">
      <c r="D407" s="13">
        <v>401</v>
      </c>
      <c r="E407" s="262">
        <f>'🧾 Factura Comercial'!E407</f>
        <v>0</v>
      </c>
      <c r="F407" s="263">
        <f>'🧾 Factura Comercial'!G407</f>
        <v>0</v>
      </c>
      <c r="G407" s="264">
        <f>'🧾 Factura Comercial'!H407</f>
        <v>0</v>
      </c>
      <c r="H407" s="259">
        <f>'🧾 Factura Comercial'!I407</f>
        <v>0</v>
      </c>
      <c r="I407" s="298">
        <f>'🧾 Factura Comercial'!J407</f>
        <v>0</v>
      </c>
      <c r="J407" s="260">
        <f t="shared" si="6"/>
        <v>0</v>
      </c>
      <c r="K407" s="261">
        <f>J407*'📋 Datos Generales'!$E$19</f>
        <v>0</v>
      </c>
    </row>
    <row r="408" spans="4:11" ht="19.5" hidden="1" customHeight="1" x14ac:dyDescent="0.25">
      <c r="D408" s="13">
        <v>402</v>
      </c>
      <c r="E408" s="262">
        <f>'🧾 Factura Comercial'!E408</f>
        <v>0</v>
      </c>
      <c r="F408" s="263">
        <f>'🧾 Factura Comercial'!G408</f>
        <v>0</v>
      </c>
      <c r="G408" s="264">
        <f>'🧾 Factura Comercial'!H408</f>
        <v>0</v>
      </c>
      <c r="H408" s="265">
        <f>'🧾 Factura Comercial'!I408</f>
        <v>0</v>
      </c>
      <c r="I408" s="298">
        <f>'🧾 Factura Comercial'!J408</f>
        <v>0</v>
      </c>
      <c r="J408" s="260">
        <f t="shared" si="6"/>
        <v>0</v>
      </c>
      <c r="K408" s="261">
        <f>J408*'📋 Datos Generales'!$E$19</f>
        <v>0</v>
      </c>
    </row>
    <row r="409" spans="4:11" ht="19.5" hidden="1" customHeight="1" x14ac:dyDescent="0.25">
      <c r="D409" s="13">
        <v>403</v>
      </c>
      <c r="E409" s="262">
        <f>'🧾 Factura Comercial'!E409</f>
        <v>0</v>
      </c>
      <c r="F409" s="263">
        <f>'🧾 Factura Comercial'!G409</f>
        <v>0</v>
      </c>
      <c r="G409" s="264">
        <f>'🧾 Factura Comercial'!H409</f>
        <v>0</v>
      </c>
      <c r="H409" s="265">
        <f>'🧾 Factura Comercial'!I409</f>
        <v>0</v>
      </c>
      <c r="I409" s="298">
        <f>'🧾 Factura Comercial'!J409</f>
        <v>0</v>
      </c>
      <c r="J409" s="260">
        <f t="shared" si="6"/>
        <v>0</v>
      </c>
      <c r="K409" s="261">
        <f>J409*'📋 Datos Generales'!$E$19</f>
        <v>0</v>
      </c>
    </row>
    <row r="410" spans="4:11" ht="19.5" hidden="1" customHeight="1" x14ac:dyDescent="0.25">
      <c r="D410" s="13">
        <v>404</v>
      </c>
      <c r="E410" s="262">
        <f>'🧾 Factura Comercial'!E410</f>
        <v>0</v>
      </c>
      <c r="F410" s="263">
        <f>'🧾 Factura Comercial'!G410</f>
        <v>0</v>
      </c>
      <c r="G410" s="264">
        <f>'🧾 Factura Comercial'!H410</f>
        <v>0</v>
      </c>
      <c r="H410" s="265">
        <f>'🧾 Factura Comercial'!I410</f>
        <v>0</v>
      </c>
      <c r="I410" s="298">
        <f>'🧾 Factura Comercial'!J410</f>
        <v>0</v>
      </c>
      <c r="J410" s="260">
        <f t="shared" si="6"/>
        <v>0</v>
      </c>
      <c r="K410" s="261">
        <f>J410*'📋 Datos Generales'!$E$19</f>
        <v>0</v>
      </c>
    </row>
    <row r="411" spans="4:11" ht="19.5" hidden="1" customHeight="1" x14ac:dyDescent="0.25">
      <c r="D411" s="13">
        <v>405</v>
      </c>
      <c r="E411" s="262">
        <f>'🧾 Factura Comercial'!E411</f>
        <v>0</v>
      </c>
      <c r="F411" s="263">
        <f>'🧾 Factura Comercial'!G411</f>
        <v>0</v>
      </c>
      <c r="G411" s="264">
        <f>'🧾 Factura Comercial'!H411</f>
        <v>0</v>
      </c>
      <c r="H411" s="265">
        <f>'🧾 Factura Comercial'!I411</f>
        <v>0</v>
      </c>
      <c r="I411" s="298">
        <f>'🧾 Factura Comercial'!J411</f>
        <v>0</v>
      </c>
      <c r="J411" s="260">
        <f t="shared" si="6"/>
        <v>0</v>
      </c>
      <c r="K411" s="261">
        <f>J411*'📋 Datos Generales'!$E$19</f>
        <v>0</v>
      </c>
    </row>
    <row r="412" spans="4:11" ht="19.5" hidden="1" customHeight="1" x14ac:dyDescent="0.25">
      <c r="D412" s="13">
        <v>406</v>
      </c>
      <c r="E412" s="256">
        <f>'🧾 Factura Comercial'!E412</f>
        <v>0</v>
      </c>
      <c r="F412" s="257">
        <f>'🧾 Factura Comercial'!G412</f>
        <v>0</v>
      </c>
      <c r="G412" s="264">
        <f>'🧾 Factura Comercial'!H412</f>
        <v>0</v>
      </c>
      <c r="H412" s="259">
        <f>'🧾 Factura Comercial'!I412</f>
        <v>0</v>
      </c>
      <c r="I412" s="298">
        <f>'🧾 Factura Comercial'!J412</f>
        <v>0</v>
      </c>
      <c r="J412" s="260">
        <f t="shared" si="6"/>
        <v>0</v>
      </c>
      <c r="K412" s="261">
        <f>J412*'📋 Datos Generales'!$E$19</f>
        <v>0</v>
      </c>
    </row>
    <row r="413" spans="4:11" ht="19.5" hidden="1" customHeight="1" x14ac:dyDescent="0.25">
      <c r="D413" s="13">
        <v>407</v>
      </c>
      <c r="E413" s="262">
        <f>'🧾 Factura Comercial'!E413</f>
        <v>0</v>
      </c>
      <c r="F413" s="263">
        <f>'🧾 Factura Comercial'!G413</f>
        <v>0</v>
      </c>
      <c r="G413" s="258">
        <f>'🧾 Factura Comercial'!H413</f>
        <v>0</v>
      </c>
      <c r="H413" s="265">
        <f>'🧾 Factura Comercial'!I413</f>
        <v>0</v>
      </c>
      <c r="I413" s="298">
        <f>'🧾 Factura Comercial'!J413</f>
        <v>0</v>
      </c>
      <c r="J413" s="260">
        <f t="shared" si="6"/>
        <v>0</v>
      </c>
      <c r="K413" s="261">
        <f>J413*'📋 Datos Generales'!$E$19</f>
        <v>0</v>
      </c>
    </row>
    <row r="414" spans="4:11" ht="19.5" hidden="1" customHeight="1" x14ac:dyDescent="0.25">
      <c r="D414" s="13">
        <v>408</v>
      </c>
      <c r="E414" s="262">
        <f>'🧾 Factura Comercial'!E414</f>
        <v>0</v>
      </c>
      <c r="F414" s="263">
        <f>'🧾 Factura Comercial'!G414</f>
        <v>0</v>
      </c>
      <c r="G414" s="264">
        <f>'🧾 Factura Comercial'!H414</f>
        <v>0</v>
      </c>
      <c r="H414" s="265">
        <f>'🧾 Factura Comercial'!I414</f>
        <v>0</v>
      </c>
      <c r="I414" s="298">
        <f>'🧾 Factura Comercial'!J414</f>
        <v>0</v>
      </c>
      <c r="J414" s="260">
        <f t="shared" si="6"/>
        <v>0</v>
      </c>
      <c r="K414" s="261">
        <f>J414*'📋 Datos Generales'!$E$19</f>
        <v>0</v>
      </c>
    </row>
    <row r="415" spans="4:11" ht="19.5" hidden="1" customHeight="1" x14ac:dyDescent="0.25">
      <c r="D415" s="13">
        <v>409</v>
      </c>
      <c r="E415" s="262">
        <f>'🧾 Factura Comercial'!E415</f>
        <v>0</v>
      </c>
      <c r="F415" s="263">
        <f>'🧾 Factura Comercial'!G415</f>
        <v>0</v>
      </c>
      <c r="G415" s="264">
        <f>'🧾 Factura Comercial'!H415</f>
        <v>0</v>
      </c>
      <c r="H415" s="265">
        <f>'🧾 Factura Comercial'!I415</f>
        <v>0</v>
      </c>
      <c r="I415" s="298">
        <f>'🧾 Factura Comercial'!J415</f>
        <v>0</v>
      </c>
      <c r="J415" s="260">
        <f t="shared" si="6"/>
        <v>0</v>
      </c>
      <c r="K415" s="261">
        <f>J415*'📋 Datos Generales'!$E$19</f>
        <v>0</v>
      </c>
    </row>
    <row r="416" spans="4:11" ht="19.5" hidden="1" customHeight="1" x14ac:dyDescent="0.25">
      <c r="D416" s="13">
        <v>410</v>
      </c>
      <c r="E416" s="262">
        <f>'🧾 Factura Comercial'!E416</f>
        <v>0</v>
      </c>
      <c r="F416" s="263">
        <f>'🧾 Factura Comercial'!G416</f>
        <v>0</v>
      </c>
      <c r="G416" s="264">
        <f>'🧾 Factura Comercial'!H416</f>
        <v>0</v>
      </c>
      <c r="H416" s="265">
        <f>'🧾 Factura Comercial'!I416</f>
        <v>0</v>
      </c>
      <c r="I416" s="298">
        <f>'🧾 Factura Comercial'!J416</f>
        <v>0</v>
      </c>
      <c r="J416" s="260">
        <f t="shared" si="6"/>
        <v>0</v>
      </c>
      <c r="K416" s="261">
        <f>J416*'📋 Datos Generales'!$E$19</f>
        <v>0</v>
      </c>
    </row>
    <row r="417" spans="4:11" ht="19.5" hidden="1" customHeight="1" x14ac:dyDescent="0.25">
      <c r="D417" s="13">
        <v>411</v>
      </c>
      <c r="E417" s="262">
        <f>'🧾 Factura Comercial'!E417</f>
        <v>0</v>
      </c>
      <c r="F417" s="263">
        <f>'🧾 Factura Comercial'!G417</f>
        <v>0</v>
      </c>
      <c r="G417" s="264">
        <f>'🧾 Factura Comercial'!H417</f>
        <v>0</v>
      </c>
      <c r="H417" s="259">
        <f>'🧾 Factura Comercial'!I417</f>
        <v>0</v>
      </c>
      <c r="I417" s="298">
        <f>'🧾 Factura Comercial'!J417</f>
        <v>0</v>
      </c>
      <c r="J417" s="260">
        <f t="shared" si="6"/>
        <v>0</v>
      </c>
      <c r="K417" s="261">
        <f>J417*'📋 Datos Generales'!$E$19</f>
        <v>0</v>
      </c>
    </row>
    <row r="418" spans="4:11" ht="19.5" hidden="1" customHeight="1" x14ac:dyDescent="0.25">
      <c r="D418" s="13">
        <v>412</v>
      </c>
      <c r="E418" s="262">
        <f>'🧾 Factura Comercial'!E418</f>
        <v>0</v>
      </c>
      <c r="F418" s="263">
        <f>'🧾 Factura Comercial'!G418</f>
        <v>0</v>
      </c>
      <c r="G418" s="264">
        <f>'🧾 Factura Comercial'!H418</f>
        <v>0</v>
      </c>
      <c r="H418" s="265">
        <f>'🧾 Factura Comercial'!I418</f>
        <v>0</v>
      </c>
      <c r="I418" s="298">
        <f>'🧾 Factura Comercial'!J418</f>
        <v>0</v>
      </c>
      <c r="J418" s="260">
        <f t="shared" si="6"/>
        <v>0</v>
      </c>
      <c r="K418" s="261">
        <f>J418*'📋 Datos Generales'!$E$19</f>
        <v>0</v>
      </c>
    </row>
    <row r="419" spans="4:11" ht="19.5" hidden="1" customHeight="1" x14ac:dyDescent="0.25">
      <c r="D419" s="13">
        <v>413</v>
      </c>
      <c r="E419" s="262">
        <f>'🧾 Factura Comercial'!E419</f>
        <v>0</v>
      </c>
      <c r="F419" s="263">
        <f>'🧾 Factura Comercial'!G419</f>
        <v>0</v>
      </c>
      <c r="G419" s="264">
        <f>'🧾 Factura Comercial'!H419</f>
        <v>0</v>
      </c>
      <c r="H419" s="265">
        <f>'🧾 Factura Comercial'!I419</f>
        <v>0</v>
      </c>
      <c r="I419" s="298">
        <f>'🧾 Factura Comercial'!J419</f>
        <v>0</v>
      </c>
      <c r="J419" s="260">
        <f t="shared" si="6"/>
        <v>0</v>
      </c>
      <c r="K419" s="261">
        <f>J419*'📋 Datos Generales'!$E$19</f>
        <v>0</v>
      </c>
    </row>
    <row r="420" spans="4:11" ht="19.5" hidden="1" customHeight="1" x14ac:dyDescent="0.25">
      <c r="D420" s="13">
        <v>414</v>
      </c>
      <c r="E420" s="262">
        <f>'🧾 Factura Comercial'!E420</f>
        <v>0</v>
      </c>
      <c r="F420" s="263">
        <f>'🧾 Factura Comercial'!G420</f>
        <v>0</v>
      </c>
      <c r="G420" s="258">
        <f>'🧾 Factura Comercial'!H420</f>
        <v>0</v>
      </c>
      <c r="H420" s="265">
        <f>'🧾 Factura Comercial'!I420</f>
        <v>0</v>
      </c>
      <c r="I420" s="298">
        <f>'🧾 Factura Comercial'!J420</f>
        <v>0</v>
      </c>
      <c r="J420" s="260">
        <f t="shared" si="6"/>
        <v>0</v>
      </c>
      <c r="K420" s="261">
        <f>J420*'📋 Datos Generales'!$E$19</f>
        <v>0</v>
      </c>
    </row>
    <row r="421" spans="4:11" ht="19.5" hidden="1" customHeight="1" x14ac:dyDescent="0.25">
      <c r="D421" s="13">
        <v>415</v>
      </c>
      <c r="E421" s="256">
        <f>'🧾 Factura Comercial'!E421</f>
        <v>0</v>
      </c>
      <c r="F421" s="257">
        <f>'🧾 Factura Comercial'!G421</f>
        <v>0</v>
      </c>
      <c r="G421" s="264">
        <f>'🧾 Factura Comercial'!H421</f>
        <v>0</v>
      </c>
      <c r="H421" s="265">
        <f>'🧾 Factura Comercial'!I421</f>
        <v>0</v>
      </c>
      <c r="I421" s="298">
        <f>'🧾 Factura Comercial'!J421</f>
        <v>0</v>
      </c>
      <c r="J421" s="260">
        <f t="shared" si="6"/>
        <v>0</v>
      </c>
      <c r="K421" s="261">
        <f>J421*'📋 Datos Generales'!$E$19</f>
        <v>0</v>
      </c>
    </row>
    <row r="422" spans="4:11" ht="19.5" hidden="1" customHeight="1" x14ac:dyDescent="0.25">
      <c r="D422" s="13">
        <v>416</v>
      </c>
      <c r="E422" s="262">
        <f>'🧾 Factura Comercial'!E422</f>
        <v>0</v>
      </c>
      <c r="F422" s="263">
        <f>'🧾 Factura Comercial'!G422</f>
        <v>0</v>
      </c>
      <c r="G422" s="264">
        <f>'🧾 Factura Comercial'!H422</f>
        <v>0</v>
      </c>
      <c r="H422" s="259">
        <f>'🧾 Factura Comercial'!I422</f>
        <v>0</v>
      </c>
      <c r="I422" s="298">
        <f>'🧾 Factura Comercial'!J422</f>
        <v>0</v>
      </c>
      <c r="J422" s="260">
        <f t="shared" si="6"/>
        <v>0</v>
      </c>
      <c r="K422" s="261">
        <f>J422*'📋 Datos Generales'!$E$19</f>
        <v>0</v>
      </c>
    </row>
    <row r="423" spans="4:11" ht="19.5" hidden="1" customHeight="1" x14ac:dyDescent="0.25">
      <c r="D423" s="13">
        <v>417</v>
      </c>
      <c r="E423" s="262">
        <f>'🧾 Factura Comercial'!E423</f>
        <v>0</v>
      </c>
      <c r="F423" s="263">
        <f>'🧾 Factura Comercial'!G423</f>
        <v>0</v>
      </c>
      <c r="G423" s="264">
        <f>'🧾 Factura Comercial'!H423</f>
        <v>0</v>
      </c>
      <c r="H423" s="265">
        <f>'🧾 Factura Comercial'!I423</f>
        <v>0</v>
      </c>
      <c r="I423" s="298">
        <f>'🧾 Factura Comercial'!J423</f>
        <v>0</v>
      </c>
      <c r="J423" s="260">
        <f t="shared" si="6"/>
        <v>0</v>
      </c>
      <c r="K423" s="261">
        <f>J423*'📋 Datos Generales'!$E$19</f>
        <v>0</v>
      </c>
    </row>
    <row r="424" spans="4:11" ht="19.5" hidden="1" customHeight="1" x14ac:dyDescent="0.25">
      <c r="D424" s="13">
        <v>418</v>
      </c>
      <c r="E424" s="262">
        <f>'🧾 Factura Comercial'!E424</f>
        <v>0</v>
      </c>
      <c r="F424" s="263">
        <f>'🧾 Factura Comercial'!G424</f>
        <v>0</v>
      </c>
      <c r="G424" s="264">
        <f>'🧾 Factura Comercial'!H424</f>
        <v>0</v>
      </c>
      <c r="H424" s="265">
        <f>'🧾 Factura Comercial'!I424</f>
        <v>0</v>
      </c>
      <c r="I424" s="298">
        <f>'🧾 Factura Comercial'!J424</f>
        <v>0</v>
      </c>
      <c r="J424" s="260">
        <f t="shared" si="6"/>
        <v>0</v>
      </c>
      <c r="K424" s="261">
        <f>J424*'📋 Datos Generales'!$E$19</f>
        <v>0</v>
      </c>
    </row>
    <row r="425" spans="4:11" ht="19.5" hidden="1" customHeight="1" x14ac:dyDescent="0.25">
      <c r="D425" s="13">
        <v>419</v>
      </c>
      <c r="E425" s="262">
        <f>'🧾 Factura Comercial'!E425</f>
        <v>0</v>
      </c>
      <c r="F425" s="263">
        <f>'🧾 Factura Comercial'!G425</f>
        <v>0</v>
      </c>
      <c r="G425" s="264">
        <f>'🧾 Factura Comercial'!H425</f>
        <v>0</v>
      </c>
      <c r="H425" s="265">
        <f>'🧾 Factura Comercial'!I425</f>
        <v>0</v>
      </c>
      <c r="I425" s="298">
        <f>'🧾 Factura Comercial'!J425</f>
        <v>0</v>
      </c>
      <c r="J425" s="260">
        <f t="shared" si="6"/>
        <v>0</v>
      </c>
      <c r="K425" s="261">
        <f>J425*'📋 Datos Generales'!$E$19</f>
        <v>0</v>
      </c>
    </row>
    <row r="426" spans="4:11" ht="19.5" hidden="1" customHeight="1" x14ac:dyDescent="0.25">
      <c r="D426" s="13">
        <v>420</v>
      </c>
      <c r="E426" s="262">
        <f>'🧾 Factura Comercial'!E426</f>
        <v>0</v>
      </c>
      <c r="F426" s="263">
        <f>'🧾 Factura Comercial'!G426</f>
        <v>0</v>
      </c>
      <c r="G426" s="264">
        <f>'🧾 Factura Comercial'!H426</f>
        <v>0</v>
      </c>
      <c r="H426" s="265">
        <f>'🧾 Factura Comercial'!I426</f>
        <v>0</v>
      </c>
      <c r="I426" s="298">
        <f>'🧾 Factura Comercial'!J426</f>
        <v>0</v>
      </c>
      <c r="J426" s="260">
        <f t="shared" si="6"/>
        <v>0</v>
      </c>
      <c r="K426" s="261">
        <f>J426*'📋 Datos Generales'!$E$19</f>
        <v>0</v>
      </c>
    </row>
    <row r="427" spans="4:11" ht="19.5" hidden="1" customHeight="1" x14ac:dyDescent="0.25">
      <c r="D427" s="13">
        <v>421</v>
      </c>
      <c r="E427" s="262">
        <f>'🧾 Factura Comercial'!E427</f>
        <v>0</v>
      </c>
      <c r="F427" s="263">
        <f>'🧾 Factura Comercial'!G427</f>
        <v>0</v>
      </c>
      <c r="G427" s="258">
        <f>'🧾 Factura Comercial'!H427</f>
        <v>0</v>
      </c>
      <c r="H427" s="259">
        <f>'🧾 Factura Comercial'!I427</f>
        <v>0</v>
      </c>
      <c r="I427" s="298">
        <f>'🧾 Factura Comercial'!J427</f>
        <v>0</v>
      </c>
      <c r="J427" s="260">
        <f t="shared" si="6"/>
        <v>0</v>
      </c>
      <c r="K427" s="261">
        <f>J427*'📋 Datos Generales'!$E$19</f>
        <v>0</v>
      </c>
    </row>
    <row r="428" spans="4:11" ht="19.5" hidden="1" customHeight="1" x14ac:dyDescent="0.25">
      <c r="D428" s="13">
        <v>422</v>
      </c>
      <c r="E428" s="262">
        <f>'🧾 Factura Comercial'!E428</f>
        <v>0</v>
      </c>
      <c r="F428" s="263">
        <f>'🧾 Factura Comercial'!G428</f>
        <v>0</v>
      </c>
      <c r="G428" s="264">
        <f>'🧾 Factura Comercial'!H428</f>
        <v>0</v>
      </c>
      <c r="H428" s="265">
        <f>'🧾 Factura Comercial'!I428</f>
        <v>0</v>
      </c>
      <c r="I428" s="298">
        <f>'🧾 Factura Comercial'!J428</f>
        <v>0</v>
      </c>
      <c r="J428" s="260">
        <f t="shared" si="6"/>
        <v>0</v>
      </c>
      <c r="K428" s="261">
        <f>J428*'📋 Datos Generales'!$E$19</f>
        <v>0</v>
      </c>
    </row>
    <row r="429" spans="4:11" ht="19.5" hidden="1" customHeight="1" x14ac:dyDescent="0.25">
      <c r="D429" s="13">
        <v>423</v>
      </c>
      <c r="E429" s="262">
        <f>'🧾 Factura Comercial'!E429</f>
        <v>0</v>
      </c>
      <c r="F429" s="263">
        <f>'🧾 Factura Comercial'!G429</f>
        <v>0</v>
      </c>
      <c r="G429" s="264">
        <f>'🧾 Factura Comercial'!H429</f>
        <v>0</v>
      </c>
      <c r="H429" s="265">
        <f>'🧾 Factura Comercial'!I429</f>
        <v>0</v>
      </c>
      <c r="I429" s="298">
        <f>'🧾 Factura Comercial'!J429</f>
        <v>0</v>
      </c>
      <c r="J429" s="260">
        <f t="shared" si="6"/>
        <v>0</v>
      </c>
      <c r="K429" s="261">
        <f>J429*'📋 Datos Generales'!$E$19</f>
        <v>0</v>
      </c>
    </row>
    <row r="430" spans="4:11" ht="19.5" hidden="1" customHeight="1" x14ac:dyDescent="0.25">
      <c r="D430" s="13">
        <v>424</v>
      </c>
      <c r="E430" s="256">
        <f>'🧾 Factura Comercial'!E430</f>
        <v>0</v>
      </c>
      <c r="F430" s="257">
        <f>'🧾 Factura Comercial'!G430</f>
        <v>0</v>
      </c>
      <c r="G430" s="264">
        <f>'🧾 Factura Comercial'!H430</f>
        <v>0</v>
      </c>
      <c r="H430" s="265">
        <f>'🧾 Factura Comercial'!I430</f>
        <v>0</v>
      </c>
      <c r="I430" s="298">
        <f>'🧾 Factura Comercial'!J430</f>
        <v>0</v>
      </c>
      <c r="J430" s="260">
        <f t="shared" si="6"/>
        <v>0</v>
      </c>
      <c r="K430" s="261">
        <f>J430*'📋 Datos Generales'!$E$19</f>
        <v>0</v>
      </c>
    </row>
    <row r="431" spans="4:11" ht="19.5" hidden="1" customHeight="1" x14ac:dyDescent="0.25">
      <c r="D431" s="13">
        <v>425</v>
      </c>
      <c r="E431" s="262">
        <f>'🧾 Factura Comercial'!E431</f>
        <v>0</v>
      </c>
      <c r="F431" s="263">
        <f>'🧾 Factura Comercial'!G431</f>
        <v>0</v>
      </c>
      <c r="G431" s="264">
        <f>'🧾 Factura Comercial'!H431</f>
        <v>0</v>
      </c>
      <c r="H431" s="265">
        <f>'🧾 Factura Comercial'!I431</f>
        <v>0</v>
      </c>
      <c r="I431" s="298">
        <f>'🧾 Factura Comercial'!J431</f>
        <v>0</v>
      </c>
      <c r="J431" s="260">
        <f t="shared" si="6"/>
        <v>0</v>
      </c>
      <c r="K431" s="261">
        <f>J431*'📋 Datos Generales'!$E$19</f>
        <v>0</v>
      </c>
    </row>
    <row r="432" spans="4:11" ht="19.5" hidden="1" customHeight="1" x14ac:dyDescent="0.25">
      <c r="D432" s="13">
        <v>426</v>
      </c>
      <c r="E432" s="262">
        <f>'🧾 Factura Comercial'!E432</f>
        <v>0</v>
      </c>
      <c r="F432" s="263">
        <f>'🧾 Factura Comercial'!G432</f>
        <v>0</v>
      </c>
      <c r="G432" s="264">
        <f>'🧾 Factura Comercial'!H432</f>
        <v>0</v>
      </c>
      <c r="H432" s="259">
        <f>'🧾 Factura Comercial'!I432</f>
        <v>0</v>
      </c>
      <c r="I432" s="298">
        <f>'🧾 Factura Comercial'!J432</f>
        <v>0</v>
      </c>
      <c r="J432" s="260">
        <f t="shared" si="6"/>
        <v>0</v>
      </c>
      <c r="K432" s="261">
        <f>J432*'📋 Datos Generales'!$E$19</f>
        <v>0</v>
      </c>
    </row>
    <row r="433" spans="4:11" ht="19.5" hidden="1" customHeight="1" x14ac:dyDescent="0.25">
      <c r="D433" s="13">
        <v>427</v>
      </c>
      <c r="E433" s="262">
        <f>'🧾 Factura Comercial'!E433</f>
        <v>0</v>
      </c>
      <c r="F433" s="263">
        <f>'🧾 Factura Comercial'!G433</f>
        <v>0</v>
      </c>
      <c r="G433" s="264">
        <f>'🧾 Factura Comercial'!H433</f>
        <v>0</v>
      </c>
      <c r="H433" s="265">
        <f>'🧾 Factura Comercial'!I433</f>
        <v>0</v>
      </c>
      <c r="I433" s="298">
        <f>'🧾 Factura Comercial'!J433</f>
        <v>0</v>
      </c>
      <c r="J433" s="260">
        <f t="shared" si="6"/>
        <v>0</v>
      </c>
      <c r="K433" s="261">
        <f>J433*'📋 Datos Generales'!$E$19</f>
        <v>0</v>
      </c>
    </row>
    <row r="434" spans="4:11" ht="19.5" hidden="1" customHeight="1" x14ac:dyDescent="0.25">
      <c r="D434" s="13">
        <v>428</v>
      </c>
      <c r="E434" s="262">
        <f>'🧾 Factura Comercial'!E434</f>
        <v>0</v>
      </c>
      <c r="F434" s="263">
        <f>'🧾 Factura Comercial'!G434</f>
        <v>0</v>
      </c>
      <c r="G434" s="258">
        <f>'🧾 Factura Comercial'!H434</f>
        <v>0</v>
      </c>
      <c r="H434" s="265">
        <f>'🧾 Factura Comercial'!I434</f>
        <v>0</v>
      </c>
      <c r="I434" s="298">
        <f>'🧾 Factura Comercial'!J434</f>
        <v>0</v>
      </c>
      <c r="J434" s="260">
        <f t="shared" si="6"/>
        <v>0</v>
      </c>
      <c r="K434" s="261">
        <f>J434*'📋 Datos Generales'!$E$19</f>
        <v>0</v>
      </c>
    </row>
    <row r="435" spans="4:11" ht="19.5" hidden="1" customHeight="1" x14ac:dyDescent="0.25">
      <c r="D435" s="13">
        <v>429</v>
      </c>
      <c r="E435" s="262">
        <f>'🧾 Factura Comercial'!E435</f>
        <v>0</v>
      </c>
      <c r="F435" s="263">
        <f>'🧾 Factura Comercial'!G435</f>
        <v>0</v>
      </c>
      <c r="G435" s="264">
        <f>'🧾 Factura Comercial'!H435</f>
        <v>0</v>
      </c>
      <c r="H435" s="265">
        <f>'🧾 Factura Comercial'!I435</f>
        <v>0</v>
      </c>
      <c r="I435" s="298">
        <f>'🧾 Factura Comercial'!J435</f>
        <v>0</v>
      </c>
      <c r="J435" s="260">
        <f t="shared" si="6"/>
        <v>0</v>
      </c>
      <c r="K435" s="261">
        <f>J435*'📋 Datos Generales'!$E$19</f>
        <v>0</v>
      </c>
    </row>
    <row r="436" spans="4:11" ht="19.5" hidden="1" customHeight="1" x14ac:dyDescent="0.25">
      <c r="D436" s="13">
        <v>430</v>
      </c>
      <c r="E436" s="262">
        <f>'🧾 Factura Comercial'!E436</f>
        <v>0</v>
      </c>
      <c r="F436" s="263">
        <f>'🧾 Factura Comercial'!G436</f>
        <v>0</v>
      </c>
      <c r="G436" s="264">
        <f>'🧾 Factura Comercial'!H436</f>
        <v>0</v>
      </c>
      <c r="H436" s="265">
        <f>'🧾 Factura Comercial'!I436</f>
        <v>0</v>
      </c>
      <c r="I436" s="298">
        <f>'🧾 Factura Comercial'!J436</f>
        <v>0</v>
      </c>
      <c r="J436" s="260">
        <f t="shared" si="6"/>
        <v>0</v>
      </c>
      <c r="K436" s="261">
        <f>J436*'📋 Datos Generales'!$E$19</f>
        <v>0</v>
      </c>
    </row>
    <row r="437" spans="4:11" ht="19.5" hidden="1" customHeight="1" x14ac:dyDescent="0.25">
      <c r="D437" s="13">
        <v>431</v>
      </c>
      <c r="E437" s="262">
        <f>'🧾 Factura Comercial'!E437</f>
        <v>0</v>
      </c>
      <c r="F437" s="263">
        <f>'🧾 Factura Comercial'!G437</f>
        <v>0</v>
      </c>
      <c r="G437" s="264">
        <f>'🧾 Factura Comercial'!H437</f>
        <v>0</v>
      </c>
      <c r="H437" s="259">
        <f>'🧾 Factura Comercial'!I437</f>
        <v>0</v>
      </c>
      <c r="I437" s="298">
        <f>'🧾 Factura Comercial'!J437</f>
        <v>0</v>
      </c>
      <c r="J437" s="260">
        <f t="shared" si="6"/>
        <v>0</v>
      </c>
      <c r="K437" s="261">
        <f>J437*'📋 Datos Generales'!$E$19</f>
        <v>0</v>
      </c>
    </row>
    <row r="438" spans="4:11" ht="19.5" hidden="1" customHeight="1" x14ac:dyDescent="0.25">
      <c r="D438" s="13">
        <v>432</v>
      </c>
      <c r="E438" s="262">
        <f>'🧾 Factura Comercial'!E438</f>
        <v>0</v>
      </c>
      <c r="F438" s="263">
        <f>'🧾 Factura Comercial'!G438</f>
        <v>0</v>
      </c>
      <c r="G438" s="264">
        <f>'🧾 Factura Comercial'!H438</f>
        <v>0</v>
      </c>
      <c r="H438" s="265">
        <f>'🧾 Factura Comercial'!I438</f>
        <v>0</v>
      </c>
      <c r="I438" s="298">
        <f>'🧾 Factura Comercial'!J438</f>
        <v>0</v>
      </c>
      <c r="J438" s="260">
        <f t="shared" si="6"/>
        <v>0</v>
      </c>
      <c r="K438" s="261">
        <f>J438*'📋 Datos Generales'!$E$19</f>
        <v>0</v>
      </c>
    </row>
    <row r="439" spans="4:11" ht="19.5" hidden="1" customHeight="1" x14ac:dyDescent="0.25">
      <c r="D439" s="13">
        <v>433</v>
      </c>
      <c r="E439" s="256">
        <f>'🧾 Factura Comercial'!E439</f>
        <v>0</v>
      </c>
      <c r="F439" s="257">
        <f>'🧾 Factura Comercial'!G439</f>
        <v>0</v>
      </c>
      <c r="G439" s="264">
        <f>'🧾 Factura Comercial'!H439</f>
        <v>0</v>
      </c>
      <c r="H439" s="265">
        <f>'🧾 Factura Comercial'!I439</f>
        <v>0</v>
      </c>
      <c r="I439" s="298">
        <f>'🧾 Factura Comercial'!J439</f>
        <v>0</v>
      </c>
      <c r="J439" s="260">
        <f t="shared" si="6"/>
        <v>0</v>
      </c>
      <c r="K439" s="261">
        <f>J439*'📋 Datos Generales'!$E$19</f>
        <v>0</v>
      </c>
    </row>
    <row r="440" spans="4:11" ht="19.5" hidden="1" customHeight="1" x14ac:dyDescent="0.25">
      <c r="D440" s="13">
        <v>434</v>
      </c>
      <c r="E440" s="262">
        <f>'🧾 Factura Comercial'!E440</f>
        <v>0</v>
      </c>
      <c r="F440" s="263">
        <f>'🧾 Factura Comercial'!G440</f>
        <v>0</v>
      </c>
      <c r="G440" s="264">
        <f>'🧾 Factura Comercial'!H440</f>
        <v>0</v>
      </c>
      <c r="H440" s="265">
        <f>'🧾 Factura Comercial'!I440</f>
        <v>0</v>
      </c>
      <c r="I440" s="298">
        <f>'🧾 Factura Comercial'!J440</f>
        <v>0</v>
      </c>
      <c r="J440" s="260">
        <f t="shared" si="6"/>
        <v>0</v>
      </c>
      <c r="K440" s="261">
        <f>J440*'📋 Datos Generales'!$E$19</f>
        <v>0</v>
      </c>
    </row>
    <row r="441" spans="4:11" ht="19.5" hidden="1" customHeight="1" x14ac:dyDescent="0.25">
      <c r="D441" s="13">
        <v>435</v>
      </c>
      <c r="E441" s="262">
        <f>'🧾 Factura Comercial'!E441</f>
        <v>0</v>
      </c>
      <c r="F441" s="263">
        <f>'🧾 Factura Comercial'!G441</f>
        <v>0</v>
      </c>
      <c r="G441" s="258">
        <f>'🧾 Factura Comercial'!H441</f>
        <v>0</v>
      </c>
      <c r="H441" s="265">
        <f>'🧾 Factura Comercial'!I441</f>
        <v>0</v>
      </c>
      <c r="I441" s="298">
        <f>'🧾 Factura Comercial'!J441</f>
        <v>0</v>
      </c>
      <c r="J441" s="260">
        <f t="shared" si="6"/>
        <v>0</v>
      </c>
      <c r="K441" s="261">
        <f>J441*'📋 Datos Generales'!$E$19</f>
        <v>0</v>
      </c>
    </row>
    <row r="442" spans="4:11" ht="19.5" hidden="1" customHeight="1" x14ac:dyDescent="0.25">
      <c r="D442" s="13">
        <v>436</v>
      </c>
      <c r="E442" s="262">
        <f>'🧾 Factura Comercial'!E442</f>
        <v>0</v>
      </c>
      <c r="F442" s="263">
        <f>'🧾 Factura Comercial'!G442</f>
        <v>0</v>
      </c>
      <c r="G442" s="264">
        <f>'🧾 Factura Comercial'!H442</f>
        <v>0</v>
      </c>
      <c r="H442" s="259">
        <f>'🧾 Factura Comercial'!I442</f>
        <v>0</v>
      </c>
      <c r="I442" s="298">
        <f>'🧾 Factura Comercial'!J442</f>
        <v>0</v>
      </c>
      <c r="J442" s="260">
        <f t="shared" si="6"/>
        <v>0</v>
      </c>
      <c r="K442" s="261">
        <f>J442*'📋 Datos Generales'!$E$19</f>
        <v>0</v>
      </c>
    </row>
    <row r="443" spans="4:11" ht="19.5" hidden="1" customHeight="1" x14ac:dyDescent="0.25">
      <c r="D443" s="13">
        <v>437</v>
      </c>
      <c r="E443" s="262">
        <f>'🧾 Factura Comercial'!E443</f>
        <v>0</v>
      </c>
      <c r="F443" s="263">
        <f>'🧾 Factura Comercial'!G443</f>
        <v>0</v>
      </c>
      <c r="G443" s="264">
        <f>'🧾 Factura Comercial'!H443</f>
        <v>0</v>
      </c>
      <c r="H443" s="265">
        <f>'🧾 Factura Comercial'!I443</f>
        <v>0</v>
      </c>
      <c r="I443" s="298">
        <f>'🧾 Factura Comercial'!J443</f>
        <v>0</v>
      </c>
      <c r="J443" s="260">
        <f t="shared" si="6"/>
        <v>0</v>
      </c>
      <c r="K443" s="261">
        <f>J443*'📋 Datos Generales'!$E$19</f>
        <v>0</v>
      </c>
    </row>
    <row r="444" spans="4:11" ht="19.5" hidden="1" customHeight="1" x14ac:dyDescent="0.25">
      <c r="D444" s="13">
        <v>438</v>
      </c>
      <c r="E444" s="262">
        <f>'🧾 Factura Comercial'!E444</f>
        <v>0</v>
      </c>
      <c r="F444" s="263">
        <f>'🧾 Factura Comercial'!G444</f>
        <v>0</v>
      </c>
      <c r="G444" s="264">
        <f>'🧾 Factura Comercial'!H444</f>
        <v>0</v>
      </c>
      <c r="H444" s="265">
        <f>'🧾 Factura Comercial'!I444</f>
        <v>0</v>
      </c>
      <c r="I444" s="298">
        <f>'🧾 Factura Comercial'!J444</f>
        <v>0</v>
      </c>
      <c r="J444" s="260">
        <f t="shared" si="6"/>
        <v>0</v>
      </c>
      <c r="K444" s="261">
        <f>J444*'📋 Datos Generales'!$E$19</f>
        <v>0</v>
      </c>
    </row>
    <row r="445" spans="4:11" ht="19.5" hidden="1" customHeight="1" x14ac:dyDescent="0.25">
      <c r="D445" s="13">
        <v>439</v>
      </c>
      <c r="E445" s="262">
        <f>'🧾 Factura Comercial'!E445</f>
        <v>0</v>
      </c>
      <c r="F445" s="263">
        <f>'🧾 Factura Comercial'!G445</f>
        <v>0</v>
      </c>
      <c r="G445" s="264">
        <f>'🧾 Factura Comercial'!H445</f>
        <v>0</v>
      </c>
      <c r="H445" s="265">
        <f>'🧾 Factura Comercial'!I445</f>
        <v>0</v>
      </c>
      <c r="I445" s="298">
        <f>'🧾 Factura Comercial'!J445</f>
        <v>0</v>
      </c>
      <c r="J445" s="260">
        <f t="shared" si="6"/>
        <v>0</v>
      </c>
      <c r="K445" s="261">
        <f>J445*'📋 Datos Generales'!$E$19</f>
        <v>0</v>
      </c>
    </row>
    <row r="446" spans="4:11" ht="19.5" hidden="1" customHeight="1" x14ac:dyDescent="0.25">
      <c r="D446" s="13">
        <v>440</v>
      </c>
      <c r="E446" s="262">
        <f>'🧾 Factura Comercial'!E446</f>
        <v>0</v>
      </c>
      <c r="F446" s="263">
        <f>'🧾 Factura Comercial'!G446</f>
        <v>0</v>
      </c>
      <c r="G446" s="264">
        <f>'🧾 Factura Comercial'!H446</f>
        <v>0</v>
      </c>
      <c r="H446" s="265">
        <f>'🧾 Factura Comercial'!I446</f>
        <v>0</v>
      </c>
      <c r="I446" s="298">
        <f>'🧾 Factura Comercial'!J446</f>
        <v>0</v>
      </c>
      <c r="J446" s="260">
        <f t="shared" si="6"/>
        <v>0</v>
      </c>
      <c r="K446" s="261">
        <f>J446*'📋 Datos Generales'!$E$19</f>
        <v>0</v>
      </c>
    </row>
    <row r="447" spans="4:11" ht="19.5" hidden="1" customHeight="1" x14ac:dyDescent="0.25">
      <c r="D447" s="13">
        <v>441</v>
      </c>
      <c r="E447" s="262">
        <f>'🧾 Factura Comercial'!E447</f>
        <v>0</v>
      </c>
      <c r="F447" s="263">
        <f>'🧾 Factura Comercial'!G447</f>
        <v>0</v>
      </c>
      <c r="G447" s="264">
        <f>'🧾 Factura Comercial'!H447</f>
        <v>0</v>
      </c>
      <c r="H447" s="259">
        <f>'🧾 Factura Comercial'!I447</f>
        <v>0</v>
      </c>
      <c r="I447" s="298">
        <f>'🧾 Factura Comercial'!J447</f>
        <v>0</v>
      </c>
      <c r="J447" s="260">
        <f t="shared" si="6"/>
        <v>0</v>
      </c>
      <c r="K447" s="261">
        <f>J447*'📋 Datos Generales'!$E$19</f>
        <v>0</v>
      </c>
    </row>
    <row r="448" spans="4:11" ht="19.5" hidden="1" customHeight="1" x14ac:dyDescent="0.25">
      <c r="D448" s="13">
        <v>442</v>
      </c>
      <c r="E448" s="256">
        <f>'🧾 Factura Comercial'!E448</f>
        <v>0</v>
      </c>
      <c r="F448" s="257">
        <f>'🧾 Factura Comercial'!G448</f>
        <v>0</v>
      </c>
      <c r="G448" s="258">
        <f>'🧾 Factura Comercial'!H448</f>
        <v>0</v>
      </c>
      <c r="H448" s="265">
        <f>'🧾 Factura Comercial'!I448</f>
        <v>0</v>
      </c>
      <c r="I448" s="298">
        <f>'🧾 Factura Comercial'!J448</f>
        <v>0</v>
      </c>
      <c r="J448" s="260">
        <f t="shared" si="6"/>
        <v>0</v>
      </c>
      <c r="K448" s="261">
        <f>J448*'📋 Datos Generales'!$E$19</f>
        <v>0</v>
      </c>
    </row>
    <row r="449" spans="4:11" ht="19.5" hidden="1" customHeight="1" x14ac:dyDescent="0.25">
      <c r="D449" s="13">
        <v>443</v>
      </c>
      <c r="E449" s="262">
        <f>'🧾 Factura Comercial'!E449</f>
        <v>0</v>
      </c>
      <c r="F449" s="263">
        <f>'🧾 Factura Comercial'!G449</f>
        <v>0</v>
      </c>
      <c r="G449" s="264">
        <f>'🧾 Factura Comercial'!H449</f>
        <v>0</v>
      </c>
      <c r="H449" s="265">
        <f>'🧾 Factura Comercial'!I449</f>
        <v>0</v>
      </c>
      <c r="I449" s="298">
        <f>'🧾 Factura Comercial'!J449</f>
        <v>0</v>
      </c>
      <c r="J449" s="260">
        <f t="shared" si="6"/>
        <v>0</v>
      </c>
      <c r="K449" s="261">
        <f>J449*'📋 Datos Generales'!$E$19</f>
        <v>0</v>
      </c>
    </row>
    <row r="450" spans="4:11" ht="19.5" hidden="1" customHeight="1" x14ac:dyDescent="0.25">
      <c r="D450" s="13">
        <v>444</v>
      </c>
      <c r="E450" s="262">
        <f>'🧾 Factura Comercial'!E450</f>
        <v>0</v>
      </c>
      <c r="F450" s="263">
        <f>'🧾 Factura Comercial'!G450</f>
        <v>0</v>
      </c>
      <c r="G450" s="264">
        <f>'🧾 Factura Comercial'!H450</f>
        <v>0</v>
      </c>
      <c r="H450" s="265">
        <f>'🧾 Factura Comercial'!I450</f>
        <v>0</v>
      </c>
      <c r="I450" s="298">
        <f>'🧾 Factura Comercial'!J450</f>
        <v>0</v>
      </c>
      <c r="J450" s="260">
        <f t="shared" si="6"/>
        <v>0</v>
      </c>
      <c r="K450" s="261">
        <f>J450*'📋 Datos Generales'!$E$19</f>
        <v>0</v>
      </c>
    </row>
    <row r="451" spans="4:11" ht="19.5" hidden="1" customHeight="1" x14ac:dyDescent="0.25">
      <c r="D451" s="13">
        <v>445</v>
      </c>
      <c r="E451" s="262">
        <f>'🧾 Factura Comercial'!E451</f>
        <v>0</v>
      </c>
      <c r="F451" s="263">
        <f>'🧾 Factura Comercial'!G451</f>
        <v>0</v>
      </c>
      <c r="G451" s="264">
        <f>'🧾 Factura Comercial'!H451</f>
        <v>0</v>
      </c>
      <c r="H451" s="265">
        <f>'🧾 Factura Comercial'!I451</f>
        <v>0</v>
      </c>
      <c r="I451" s="298">
        <f>'🧾 Factura Comercial'!J451</f>
        <v>0</v>
      </c>
      <c r="J451" s="260">
        <f t="shared" si="6"/>
        <v>0</v>
      </c>
      <c r="K451" s="261">
        <f>J451*'📋 Datos Generales'!$E$19</f>
        <v>0</v>
      </c>
    </row>
    <row r="452" spans="4:11" ht="19.5" hidden="1" customHeight="1" x14ac:dyDescent="0.25">
      <c r="D452" s="13">
        <v>446</v>
      </c>
      <c r="E452" s="262">
        <f>'🧾 Factura Comercial'!E452</f>
        <v>0</v>
      </c>
      <c r="F452" s="263">
        <f>'🧾 Factura Comercial'!G452</f>
        <v>0</v>
      </c>
      <c r="G452" s="264">
        <f>'🧾 Factura Comercial'!H452</f>
        <v>0</v>
      </c>
      <c r="H452" s="259">
        <f>'🧾 Factura Comercial'!I452</f>
        <v>0</v>
      </c>
      <c r="I452" s="298">
        <f>'🧾 Factura Comercial'!J452</f>
        <v>0</v>
      </c>
      <c r="J452" s="260">
        <f t="shared" si="6"/>
        <v>0</v>
      </c>
      <c r="K452" s="261">
        <f>J452*'📋 Datos Generales'!$E$19</f>
        <v>0</v>
      </c>
    </row>
    <row r="453" spans="4:11" ht="19.5" hidden="1" customHeight="1" x14ac:dyDescent="0.25">
      <c r="D453" s="13">
        <v>447</v>
      </c>
      <c r="E453" s="262">
        <f>'🧾 Factura Comercial'!E453</f>
        <v>0</v>
      </c>
      <c r="F453" s="263">
        <f>'🧾 Factura Comercial'!G453</f>
        <v>0</v>
      </c>
      <c r="G453" s="264">
        <f>'🧾 Factura Comercial'!H453</f>
        <v>0</v>
      </c>
      <c r="H453" s="265">
        <f>'🧾 Factura Comercial'!I453</f>
        <v>0</v>
      </c>
      <c r="I453" s="298">
        <f>'🧾 Factura Comercial'!J453</f>
        <v>0</v>
      </c>
      <c r="J453" s="260">
        <f t="shared" si="6"/>
        <v>0</v>
      </c>
      <c r="K453" s="261">
        <f>J453*'📋 Datos Generales'!$E$19</f>
        <v>0</v>
      </c>
    </row>
    <row r="454" spans="4:11" ht="19.5" hidden="1" customHeight="1" x14ac:dyDescent="0.25">
      <c r="D454" s="13">
        <v>448</v>
      </c>
      <c r="E454" s="262">
        <f>'🧾 Factura Comercial'!E454</f>
        <v>0</v>
      </c>
      <c r="F454" s="263">
        <f>'🧾 Factura Comercial'!G454</f>
        <v>0</v>
      </c>
      <c r="G454" s="264">
        <f>'🧾 Factura Comercial'!H454</f>
        <v>0</v>
      </c>
      <c r="H454" s="265">
        <f>'🧾 Factura Comercial'!I454</f>
        <v>0</v>
      </c>
      <c r="I454" s="298">
        <f>'🧾 Factura Comercial'!J454</f>
        <v>0</v>
      </c>
      <c r="J454" s="260">
        <f t="shared" si="6"/>
        <v>0</v>
      </c>
      <c r="K454" s="261">
        <f>J454*'📋 Datos Generales'!$E$19</f>
        <v>0</v>
      </c>
    </row>
    <row r="455" spans="4:11" ht="19.5" hidden="1" customHeight="1" x14ac:dyDescent="0.25">
      <c r="D455" s="13">
        <v>449</v>
      </c>
      <c r="E455" s="262">
        <f>'🧾 Factura Comercial'!E455</f>
        <v>0</v>
      </c>
      <c r="F455" s="263">
        <f>'🧾 Factura Comercial'!G455</f>
        <v>0</v>
      </c>
      <c r="G455" s="258">
        <f>'🧾 Factura Comercial'!H455</f>
        <v>0</v>
      </c>
      <c r="H455" s="265">
        <f>'🧾 Factura Comercial'!I455</f>
        <v>0</v>
      </c>
      <c r="I455" s="298">
        <f>'🧾 Factura Comercial'!J455</f>
        <v>0</v>
      </c>
      <c r="J455" s="260">
        <f t="shared" si="6"/>
        <v>0</v>
      </c>
      <c r="K455" s="261">
        <f>J455*'📋 Datos Generales'!$E$19</f>
        <v>0</v>
      </c>
    </row>
    <row r="456" spans="4:11" ht="19.5" hidden="1" customHeight="1" x14ac:dyDescent="0.25">
      <c r="D456" s="13">
        <v>450</v>
      </c>
      <c r="E456" s="262">
        <f>'🧾 Factura Comercial'!E456</f>
        <v>0</v>
      </c>
      <c r="F456" s="263">
        <f>'🧾 Factura Comercial'!G456</f>
        <v>0</v>
      </c>
      <c r="G456" s="264">
        <f>'🧾 Factura Comercial'!H456</f>
        <v>0</v>
      </c>
      <c r="H456" s="265">
        <f>'🧾 Factura Comercial'!I456</f>
        <v>0</v>
      </c>
      <c r="I456" s="298">
        <f>'🧾 Factura Comercial'!J456</f>
        <v>0</v>
      </c>
      <c r="J456" s="260">
        <f t="shared" ref="J456:J505" si="7">IF($G$5=0,0,$G$5*G456)</f>
        <v>0</v>
      </c>
      <c r="K456" s="261">
        <f>J456*'📋 Datos Generales'!$E$19</f>
        <v>0</v>
      </c>
    </row>
    <row r="457" spans="4:11" ht="19.5" hidden="1" customHeight="1" x14ac:dyDescent="0.25">
      <c r="D457" s="13">
        <v>451</v>
      </c>
      <c r="E457" s="256">
        <f>'🧾 Factura Comercial'!E457</f>
        <v>0</v>
      </c>
      <c r="F457" s="257">
        <f>'🧾 Factura Comercial'!G457</f>
        <v>0</v>
      </c>
      <c r="G457" s="264">
        <f>'🧾 Factura Comercial'!H457</f>
        <v>0</v>
      </c>
      <c r="H457" s="259">
        <f>'🧾 Factura Comercial'!I457</f>
        <v>0</v>
      </c>
      <c r="I457" s="298">
        <f>'🧾 Factura Comercial'!J457</f>
        <v>0</v>
      </c>
      <c r="J457" s="260">
        <f t="shared" si="7"/>
        <v>0</v>
      </c>
      <c r="K457" s="261">
        <f>J457*'📋 Datos Generales'!$E$19</f>
        <v>0</v>
      </c>
    </row>
    <row r="458" spans="4:11" ht="19.5" hidden="1" customHeight="1" x14ac:dyDescent="0.25">
      <c r="D458" s="13">
        <v>452</v>
      </c>
      <c r="E458" s="262">
        <f>'🧾 Factura Comercial'!E458</f>
        <v>0</v>
      </c>
      <c r="F458" s="263">
        <f>'🧾 Factura Comercial'!G458</f>
        <v>0</v>
      </c>
      <c r="G458" s="264">
        <f>'🧾 Factura Comercial'!H458</f>
        <v>0</v>
      </c>
      <c r="H458" s="265">
        <f>'🧾 Factura Comercial'!I458</f>
        <v>0</v>
      </c>
      <c r="I458" s="298">
        <f>'🧾 Factura Comercial'!J458</f>
        <v>0</v>
      </c>
      <c r="J458" s="260">
        <f t="shared" si="7"/>
        <v>0</v>
      </c>
      <c r="K458" s="261">
        <f>J458*'📋 Datos Generales'!$E$19</f>
        <v>0</v>
      </c>
    </row>
    <row r="459" spans="4:11" ht="19.5" hidden="1" customHeight="1" x14ac:dyDescent="0.25">
      <c r="D459" s="13">
        <v>453</v>
      </c>
      <c r="E459" s="262">
        <f>'🧾 Factura Comercial'!E459</f>
        <v>0</v>
      </c>
      <c r="F459" s="263">
        <f>'🧾 Factura Comercial'!G459</f>
        <v>0</v>
      </c>
      <c r="G459" s="264">
        <f>'🧾 Factura Comercial'!H459</f>
        <v>0</v>
      </c>
      <c r="H459" s="265">
        <f>'🧾 Factura Comercial'!I459</f>
        <v>0</v>
      </c>
      <c r="I459" s="298">
        <f>'🧾 Factura Comercial'!J459</f>
        <v>0</v>
      </c>
      <c r="J459" s="260">
        <f t="shared" si="7"/>
        <v>0</v>
      </c>
      <c r="K459" s="261">
        <f>J459*'📋 Datos Generales'!$E$19</f>
        <v>0</v>
      </c>
    </row>
    <row r="460" spans="4:11" ht="19.5" hidden="1" customHeight="1" x14ac:dyDescent="0.25">
      <c r="D460" s="13">
        <v>454</v>
      </c>
      <c r="E460" s="262">
        <f>'🧾 Factura Comercial'!E460</f>
        <v>0</v>
      </c>
      <c r="F460" s="263">
        <f>'🧾 Factura Comercial'!G460</f>
        <v>0</v>
      </c>
      <c r="G460" s="264">
        <f>'🧾 Factura Comercial'!H460</f>
        <v>0</v>
      </c>
      <c r="H460" s="265">
        <f>'🧾 Factura Comercial'!I460</f>
        <v>0</v>
      </c>
      <c r="I460" s="298">
        <f>'🧾 Factura Comercial'!J460</f>
        <v>0</v>
      </c>
      <c r="J460" s="260">
        <f t="shared" si="7"/>
        <v>0</v>
      </c>
      <c r="K460" s="261">
        <f>J460*'📋 Datos Generales'!$E$19</f>
        <v>0</v>
      </c>
    </row>
    <row r="461" spans="4:11" ht="19.5" hidden="1" customHeight="1" x14ac:dyDescent="0.25">
      <c r="D461" s="13">
        <v>455</v>
      </c>
      <c r="E461" s="262">
        <f>'🧾 Factura Comercial'!E461</f>
        <v>0</v>
      </c>
      <c r="F461" s="263">
        <f>'🧾 Factura Comercial'!G461</f>
        <v>0</v>
      </c>
      <c r="G461" s="264">
        <f>'🧾 Factura Comercial'!H461</f>
        <v>0</v>
      </c>
      <c r="H461" s="265">
        <f>'🧾 Factura Comercial'!I461</f>
        <v>0</v>
      </c>
      <c r="I461" s="298">
        <f>'🧾 Factura Comercial'!J461</f>
        <v>0</v>
      </c>
      <c r="J461" s="260">
        <f t="shared" si="7"/>
        <v>0</v>
      </c>
      <c r="K461" s="261">
        <f>J461*'📋 Datos Generales'!$E$19</f>
        <v>0</v>
      </c>
    </row>
    <row r="462" spans="4:11" ht="19.5" hidden="1" customHeight="1" x14ac:dyDescent="0.25">
      <c r="D462" s="13">
        <v>456</v>
      </c>
      <c r="E462" s="262">
        <f>'🧾 Factura Comercial'!E462</f>
        <v>0</v>
      </c>
      <c r="F462" s="263">
        <f>'🧾 Factura Comercial'!G462</f>
        <v>0</v>
      </c>
      <c r="G462" s="258">
        <f>'🧾 Factura Comercial'!H462</f>
        <v>0</v>
      </c>
      <c r="H462" s="259">
        <f>'🧾 Factura Comercial'!I462</f>
        <v>0</v>
      </c>
      <c r="I462" s="298">
        <f>'🧾 Factura Comercial'!J462</f>
        <v>0</v>
      </c>
      <c r="J462" s="260">
        <f t="shared" si="7"/>
        <v>0</v>
      </c>
      <c r="K462" s="261">
        <f>J462*'📋 Datos Generales'!$E$19</f>
        <v>0</v>
      </c>
    </row>
    <row r="463" spans="4:11" ht="19.5" hidden="1" customHeight="1" x14ac:dyDescent="0.25">
      <c r="D463" s="13">
        <v>457</v>
      </c>
      <c r="E463" s="262">
        <f>'🧾 Factura Comercial'!E463</f>
        <v>0</v>
      </c>
      <c r="F463" s="263">
        <f>'🧾 Factura Comercial'!G463</f>
        <v>0</v>
      </c>
      <c r="G463" s="264">
        <f>'🧾 Factura Comercial'!H463</f>
        <v>0</v>
      </c>
      <c r="H463" s="265">
        <f>'🧾 Factura Comercial'!I463</f>
        <v>0</v>
      </c>
      <c r="I463" s="298">
        <f>'🧾 Factura Comercial'!J463</f>
        <v>0</v>
      </c>
      <c r="J463" s="260">
        <f t="shared" si="7"/>
        <v>0</v>
      </c>
      <c r="K463" s="261">
        <f>J463*'📋 Datos Generales'!$E$19</f>
        <v>0</v>
      </c>
    </row>
    <row r="464" spans="4:11" ht="19.5" hidden="1" customHeight="1" x14ac:dyDescent="0.25">
      <c r="D464" s="13">
        <v>458</v>
      </c>
      <c r="E464" s="262">
        <f>'🧾 Factura Comercial'!E464</f>
        <v>0</v>
      </c>
      <c r="F464" s="263">
        <f>'🧾 Factura Comercial'!G464</f>
        <v>0</v>
      </c>
      <c r="G464" s="264">
        <f>'🧾 Factura Comercial'!H464</f>
        <v>0</v>
      </c>
      <c r="H464" s="265">
        <f>'🧾 Factura Comercial'!I464</f>
        <v>0</v>
      </c>
      <c r="I464" s="298">
        <f>'🧾 Factura Comercial'!J464</f>
        <v>0</v>
      </c>
      <c r="J464" s="260">
        <f t="shared" si="7"/>
        <v>0</v>
      </c>
      <c r="K464" s="261">
        <f>J464*'📋 Datos Generales'!$E$19</f>
        <v>0</v>
      </c>
    </row>
    <row r="465" spans="4:11" ht="19.5" hidden="1" customHeight="1" x14ac:dyDescent="0.25">
      <c r="D465" s="13">
        <v>459</v>
      </c>
      <c r="E465" s="262">
        <f>'🧾 Factura Comercial'!E465</f>
        <v>0</v>
      </c>
      <c r="F465" s="263">
        <f>'🧾 Factura Comercial'!G465</f>
        <v>0</v>
      </c>
      <c r="G465" s="264">
        <f>'🧾 Factura Comercial'!H465</f>
        <v>0</v>
      </c>
      <c r="H465" s="265">
        <f>'🧾 Factura Comercial'!I465</f>
        <v>0</v>
      </c>
      <c r="I465" s="298">
        <f>'🧾 Factura Comercial'!J465</f>
        <v>0</v>
      </c>
      <c r="J465" s="260">
        <f t="shared" si="7"/>
        <v>0</v>
      </c>
      <c r="K465" s="261">
        <f>J465*'📋 Datos Generales'!$E$19</f>
        <v>0</v>
      </c>
    </row>
    <row r="466" spans="4:11" ht="19.5" hidden="1" customHeight="1" x14ac:dyDescent="0.25">
      <c r="D466" s="13">
        <v>460</v>
      </c>
      <c r="E466" s="256">
        <f>'🧾 Factura Comercial'!E466</f>
        <v>0</v>
      </c>
      <c r="F466" s="257">
        <f>'🧾 Factura Comercial'!G466</f>
        <v>0</v>
      </c>
      <c r="G466" s="264">
        <f>'🧾 Factura Comercial'!H466</f>
        <v>0</v>
      </c>
      <c r="H466" s="265">
        <f>'🧾 Factura Comercial'!I466</f>
        <v>0</v>
      </c>
      <c r="I466" s="298">
        <f>'🧾 Factura Comercial'!J466</f>
        <v>0</v>
      </c>
      <c r="J466" s="260">
        <f t="shared" si="7"/>
        <v>0</v>
      </c>
      <c r="K466" s="261">
        <f>J466*'📋 Datos Generales'!$E$19</f>
        <v>0</v>
      </c>
    </row>
    <row r="467" spans="4:11" ht="19.5" hidden="1" customHeight="1" x14ac:dyDescent="0.25">
      <c r="D467" s="13">
        <v>461</v>
      </c>
      <c r="E467" s="262">
        <f>'🧾 Factura Comercial'!E467</f>
        <v>0</v>
      </c>
      <c r="F467" s="263">
        <f>'🧾 Factura Comercial'!G467</f>
        <v>0</v>
      </c>
      <c r="G467" s="264">
        <f>'🧾 Factura Comercial'!H467</f>
        <v>0</v>
      </c>
      <c r="H467" s="259">
        <f>'🧾 Factura Comercial'!I467</f>
        <v>0</v>
      </c>
      <c r="I467" s="298">
        <f>'🧾 Factura Comercial'!J467</f>
        <v>0</v>
      </c>
      <c r="J467" s="260">
        <f t="shared" si="7"/>
        <v>0</v>
      </c>
      <c r="K467" s="261">
        <f>J467*'📋 Datos Generales'!$E$19</f>
        <v>0</v>
      </c>
    </row>
    <row r="468" spans="4:11" ht="19.5" hidden="1" customHeight="1" x14ac:dyDescent="0.25">
      <c r="D468" s="13">
        <v>462</v>
      </c>
      <c r="E468" s="262">
        <f>'🧾 Factura Comercial'!E468</f>
        <v>0</v>
      </c>
      <c r="F468" s="263">
        <f>'🧾 Factura Comercial'!G468</f>
        <v>0</v>
      </c>
      <c r="G468" s="264">
        <f>'🧾 Factura Comercial'!H468</f>
        <v>0</v>
      </c>
      <c r="H468" s="265">
        <f>'🧾 Factura Comercial'!I468</f>
        <v>0</v>
      </c>
      <c r="I468" s="298">
        <f>'🧾 Factura Comercial'!J468</f>
        <v>0</v>
      </c>
      <c r="J468" s="260">
        <f t="shared" si="7"/>
        <v>0</v>
      </c>
      <c r="K468" s="261">
        <f>J468*'📋 Datos Generales'!$E$19</f>
        <v>0</v>
      </c>
    </row>
    <row r="469" spans="4:11" ht="19.5" hidden="1" customHeight="1" x14ac:dyDescent="0.25">
      <c r="D469" s="13">
        <v>463</v>
      </c>
      <c r="E469" s="262">
        <f>'🧾 Factura Comercial'!E469</f>
        <v>0</v>
      </c>
      <c r="F469" s="263">
        <f>'🧾 Factura Comercial'!G469</f>
        <v>0</v>
      </c>
      <c r="G469" s="258">
        <f>'🧾 Factura Comercial'!H469</f>
        <v>0</v>
      </c>
      <c r="H469" s="265">
        <f>'🧾 Factura Comercial'!I469</f>
        <v>0</v>
      </c>
      <c r="I469" s="298">
        <f>'🧾 Factura Comercial'!J469</f>
        <v>0</v>
      </c>
      <c r="J469" s="260">
        <f t="shared" si="7"/>
        <v>0</v>
      </c>
      <c r="K469" s="261">
        <f>J469*'📋 Datos Generales'!$E$19</f>
        <v>0</v>
      </c>
    </row>
    <row r="470" spans="4:11" ht="19.5" hidden="1" customHeight="1" x14ac:dyDescent="0.25">
      <c r="D470" s="13">
        <v>464</v>
      </c>
      <c r="E470" s="262">
        <f>'🧾 Factura Comercial'!E470</f>
        <v>0</v>
      </c>
      <c r="F470" s="263">
        <f>'🧾 Factura Comercial'!G470</f>
        <v>0</v>
      </c>
      <c r="G470" s="264">
        <f>'🧾 Factura Comercial'!H470</f>
        <v>0</v>
      </c>
      <c r="H470" s="265">
        <f>'🧾 Factura Comercial'!I470</f>
        <v>0</v>
      </c>
      <c r="I470" s="298">
        <f>'🧾 Factura Comercial'!J470</f>
        <v>0</v>
      </c>
      <c r="J470" s="260">
        <f t="shared" si="7"/>
        <v>0</v>
      </c>
      <c r="K470" s="261">
        <f>J470*'📋 Datos Generales'!$E$19</f>
        <v>0</v>
      </c>
    </row>
    <row r="471" spans="4:11" ht="19.5" hidden="1" customHeight="1" x14ac:dyDescent="0.25">
      <c r="D471" s="13">
        <v>465</v>
      </c>
      <c r="E471" s="262">
        <f>'🧾 Factura Comercial'!E471</f>
        <v>0</v>
      </c>
      <c r="F471" s="263">
        <f>'🧾 Factura Comercial'!G471</f>
        <v>0</v>
      </c>
      <c r="G471" s="264">
        <f>'🧾 Factura Comercial'!H471</f>
        <v>0</v>
      </c>
      <c r="H471" s="265">
        <f>'🧾 Factura Comercial'!I471</f>
        <v>0</v>
      </c>
      <c r="I471" s="298">
        <f>'🧾 Factura Comercial'!J471</f>
        <v>0</v>
      </c>
      <c r="J471" s="260">
        <f t="shared" si="7"/>
        <v>0</v>
      </c>
      <c r="K471" s="261">
        <f>J471*'📋 Datos Generales'!$E$19</f>
        <v>0</v>
      </c>
    </row>
    <row r="472" spans="4:11" ht="19.5" hidden="1" customHeight="1" x14ac:dyDescent="0.25">
      <c r="D472" s="13">
        <v>466</v>
      </c>
      <c r="E472" s="262">
        <f>'🧾 Factura Comercial'!E472</f>
        <v>0</v>
      </c>
      <c r="F472" s="263">
        <f>'🧾 Factura Comercial'!G472</f>
        <v>0</v>
      </c>
      <c r="G472" s="264">
        <f>'🧾 Factura Comercial'!H472</f>
        <v>0</v>
      </c>
      <c r="H472" s="259">
        <f>'🧾 Factura Comercial'!I472</f>
        <v>0</v>
      </c>
      <c r="I472" s="298">
        <f>'🧾 Factura Comercial'!J472</f>
        <v>0</v>
      </c>
      <c r="J472" s="260">
        <f t="shared" si="7"/>
        <v>0</v>
      </c>
      <c r="K472" s="261">
        <f>J472*'📋 Datos Generales'!$E$19</f>
        <v>0</v>
      </c>
    </row>
    <row r="473" spans="4:11" ht="19.5" hidden="1" customHeight="1" x14ac:dyDescent="0.25">
      <c r="D473" s="13">
        <v>467</v>
      </c>
      <c r="E473" s="262">
        <f>'🧾 Factura Comercial'!E473</f>
        <v>0</v>
      </c>
      <c r="F473" s="263">
        <f>'🧾 Factura Comercial'!G473</f>
        <v>0</v>
      </c>
      <c r="G473" s="264">
        <f>'🧾 Factura Comercial'!H473</f>
        <v>0</v>
      </c>
      <c r="H473" s="265">
        <f>'🧾 Factura Comercial'!I473</f>
        <v>0</v>
      </c>
      <c r="I473" s="298">
        <f>'🧾 Factura Comercial'!J473</f>
        <v>0</v>
      </c>
      <c r="J473" s="260">
        <f t="shared" si="7"/>
        <v>0</v>
      </c>
      <c r="K473" s="261">
        <f>J473*'📋 Datos Generales'!$E$19</f>
        <v>0</v>
      </c>
    </row>
    <row r="474" spans="4:11" ht="19.5" hidden="1" customHeight="1" x14ac:dyDescent="0.25">
      <c r="D474" s="13">
        <v>468</v>
      </c>
      <c r="E474" s="262">
        <f>'🧾 Factura Comercial'!E474</f>
        <v>0</v>
      </c>
      <c r="F474" s="263">
        <f>'🧾 Factura Comercial'!G474</f>
        <v>0</v>
      </c>
      <c r="G474" s="264">
        <f>'🧾 Factura Comercial'!H474</f>
        <v>0</v>
      </c>
      <c r="H474" s="265">
        <f>'🧾 Factura Comercial'!I474</f>
        <v>0</v>
      </c>
      <c r="I474" s="298">
        <f>'🧾 Factura Comercial'!J474</f>
        <v>0</v>
      </c>
      <c r="J474" s="260">
        <f t="shared" si="7"/>
        <v>0</v>
      </c>
      <c r="K474" s="261">
        <f>J474*'📋 Datos Generales'!$E$19</f>
        <v>0</v>
      </c>
    </row>
    <row r="475" spans="4:11" ht="19.5" hidden="1" customHeight="1" x14ac:dyDescent="0.25">
      <c r="D475" s="13">
        <v>469</v>
      </c>
      <c r="E475" s="256">
        <f>'🧾 Factura Comercial'!E475</f>
        <v>0</v>
      </c>
      <c r="F475" s="257">
        <f>'🧾 Factura Comercial'!G475</f>
        <v>0</v>
      </c>
      <c r="G475" s="264">
        <f>'🧾 Factura Comercial'!H475</f>
        <v>0</v>
      </c>
      <c r="H475" s="265">
        <f>'🧾 Factura Comercial'!I475</f>
        <v>0</v>
      </c>
      <c r="I475" s="298">
        <f>'🧾 Factura Comercial'!J475</f>
        <v>0</v>
      </c>
      <c r="J475" s="260">
        <f t="shared" si="7"/>
        <v>0</v>
      </c>
      <c r="K475" s="261">
        <f>J475*'📋 Datos Generales'!$E$19</f>
        <v>0</v>
      </c>
    </row>
    <row r="476" spans="4:11" ht="19.5" hidden="1" customHeight="1" x14ac:dyDescent="0.25">
      <c r="D476" s="13">
        <v>470</v>
      </c>
      <c r="E476" s="262">
        <f>'🧾 Factura Comercial'!E476</f>
        <v>0</v>
      </c>
      <c r="F476" s="263">
        <f>'🧾 Factura Comercial'!G476</f>
        <v>0</v>
      </c>
      <c r="G476" s="258">
        <f>'🧾 Factura Comercial'!H476</f>
        <v>0</v>
      </c>
      <c r="H476" s="265">
        <f>'🧾 Factura Comercial'!I476</f>
        <v>0</v>
      </c>
      <c r="I476" s="298">
        <f>'🧾 Factura Comercial'!J476</f>
        <v>0</v>
      </c>
      <c r="J476" s="260">
        <f t="shared" si="7"/>
        <v>0</v>
      </c>
      <c r="K476" s="261">
        <f>J476*'📋 Datos Generales'!$E$19</f>
        <v>0</v>
      </c>
    </row>
    <row r="477" spans="4:11" ht="19.5" hidden="1" customHeight="1" x14ac:dyDescent="0.25">
      <c r="D477" s="13">
        <v>471</v>
      </c>
      <c r="E477" s="262">
        <f>'🧾 Factura Comercial'!E477</f>
        <v>0</v>
      </c>
      <c r="F477" s="263">
        <f>'🧾 Factura Comercial'!G477</f>
        <v>0</v>
      </c>
      <c r="G477" s="264">
        <f>'🧾 Factura Comercial'!H477</f>
        <v>0</v>
      </c>
      <c r="H477" s="259">
        <f>'🧾 Factura Comercial'!I477</f>
        <v>0</v>
      </c>
      <c r="I477" s="298">
        <f>'🧾 Factura Comercial'!J477</f>
        <v>0</v>
      </c>
      <c r="J477" s="260">
        <f t="shared" si="7"/>
        <v>0</v>
      </c>
      <c r="K477" s="261">
        <f>J477*'📋 Datos Generales'!$E$19</f>
        <v>0</v>
      </c>
    </row>
    <row r="478" spans="4:11" ht="19.5" hidden="1" customHeight="1" x14ac:dyDescent="0.25">
      <c r="D478" s="13">
        <v>472</v>
      </c>
      <c r="E478" s="262">
        <f>'🧾 Factura Comercial'!E478</f>
        <v>0</v>
      </c>
      <c r="F478" s="263">
        <f>'🧾 Factura Comercial'!G478</f>
        <v>0</v>
      </c>
      <c r="G478" s="264">
        <f>'🧾 Factura Comercial'!H478</f>
        <v>0</v>
      </c>
      <c r="H478" s="265">
        <f>'🧾 Factura Comercial'!I478</f>
        <v>0</v>
      </c>
      <c r="I478" s="298">
        <f>'🧾 Factura Comercial'!J478</f>
        <v>0</v>
      </c>
      <c r="J478" s="260">
        <f t="shared" si="7"/>
        <v>0</v>
      </c>
      <c r="K478" s="261">
        <f>J478*'📋 Datos Generales'!$E$19</f>
        <v>0</v>
      </c>
    </row>
    <row r="479" spans="4:11" ht="19.5" hidden="1" customHeight="1" x14ac:dyDescent="0.25">
      <c r="D479" s="13">
        <v>473</v>
      </c>
      <c r="E479" s="262">
        <f>'🧾 Factura Comercial'!E479</f>
        <v>0</v>
      </c>
      <c r="F479" s="263">
        <f>'🧾 Factura Comercial'!G479</f>
        <v>0</v>
      </c>
      <c r="G479" s="264">
        <f>'🧾 Factura Comercial'!H479</f>
        <v>0</v>
      </c>
      <c r="H479" s="265">
        <f>'🧾 Factura Comercial'!I479</f>
        <v>0</v>
      </c>
      <c r="I479" s="298">
        <f>'🧾 Factura Comercial'!J479</f>
        <v>0</v>
      </c>
      <c r="J479" s="260">
        <f t="shared" si="7"/>
        <v>0</v>
      </c>
      <c r="K479" s="261">
        <f>J479*'📋 Datos Generales'!$E$19</f>
        <v>0</v>
      </c>
    </row>
    <row r="480" spans="4:11" ht="19.5" hidden="1" customHeight="1" x14ac:dyDescent="0.25">
      <c r="D480" s="13">
        <v>474</v>
      </c>
      <c r="E480" s="262">
        <f>'🧾 Factura Comercial'!E480</f>
        <v>0</v>
      </c>
      <c r="F480" s="263">
        <f>'🧾 Factura Comercial'!G480</f>
        <v>0</v>
      </c>
      <c r="G480" s="264">
        <f>'🧾 Factura Comercial'!H480</f>
        <v>0</v>
      </c>
      <c r="H480" s="265">
        <f>'🧾 Factura Comercial'!I480</f>
        <v>0</v>
      </c>
      <c r="I480" s="298">
        <f>'🧾 Factura Comercial'!J480</f>
        <v>0</v>
      </c>
      <c r="J480" s="260">
        <f t="shared" si="7"/>
        <v>0</v>
      </c>
      <c r="K480" s="261">
        <f>J480*'📋 Datos Generales'!$E$19</f>
        <v>0</v>
      </c>
    </row>
    <row r="481" spans="4:11" ht="19.5" hidden="1" customHeight="1" x14ac:dyDescent="0.25">
      <c r="D481" s="13">
        <v>475</v>
      </c>
      <c r="E481" s="262">
        <f>'🧾 Factura Comercial'!E481</f>
        <v>0</v>
      </c>
      <c r="F481" s="263">
        <f>'🧾 Factura Comercial'!G481</f>
        <v>0</v>
      </c>
      <c r="G481" s="264">
        <f>'🧾 Factura Comercial'!H481</f>
        <v>0</v>
      </c>
      <c r="H481" s="265">
        <f>'🧾 Factura Comercial'!I481</f>
        <v>0</v>
      </c>
      <c r="I481" s="298">
        <f>'🧾 Factura Comercial'!J481</f>
        <v>0</v>
      </c>
      <c r="J481" s="260">
        <f t="shared" si="7"/>
        <v>0</v>
      </c>
      <c r="K481" s="261">
        <f>J481*'📋 Datos Generales'!$E$19</f>
        <v>0</v>
      </c>
    </row>
    <row r="482" spans="4:11" ht="19.5" hidden="1" customHeight="1" x14ac:dyDescent="0.25">
      <c r="D482" s="13">
        <v>476</v>
      </c>
      <c r="E482" s="262">
        <f>'🧾 Factura Comercial'!E482</f>
        <v>0</v>
      </c>
      <c r="F482" s="263">
        <f>'🧾 Factura Comercial'!G482</f>
        <v>0</v>
      </c>
      <c r="G482" s="264">
        <f>'🧾 Factura Comercial'!H482</f>
        <v>0</v>
      </c>
      <c r="H482" s="259">
        <f>'🧾 Factura Comercial'!I482</f>
        <v>0</v>
      </c>
      <c r="I482" s="298">
        <f>'🧾 Factura Comercial'!J482</f>
        <v>0</v>
      </c>
      <c r="J482" s="260">
        <f t="shared" si="7"/>
        <v>0</v>
      </c>
      <c r="K482" s="261">
        <f>J482*'📋 Datos Generales'!$E$19</f>
        <v>0</v>
      </c>
    </row>
    <row r="483" spans="4:11" ht="19.5" hidden="1" customHeight="1" x14ac:dyDescent="0.25">
      <c r="D483" s="13">
        <v>477</v>
      </c>
      <c r="E483" s="262">
        <f>'🧾 Factura Comercial'!E483</f>
        <v>0</v>
      </c>
      <c r="F483" s="263">
        <f>'🧾 Factura Comercial'!G483</f>
        <v>0</v>
      </c>
      <c r="G483" s="258">
        <f>'🧾 Factura Comercial'!H483</f>
        <v>0</v>
      </c>
      <c r="H483" s="265">
        <f>'🧾 Factura Comercial'!I483</f>
        <v>0</v>
      </c>
      <c r="I483" s="298">
        <f>'🧾 Factura Comercial'!J483</f>
        <v>0</v>
      </c>
      <c r="J483" s="260">
        <f t="shared" si="7"/>
        <v>0</v>
      </c>
      <c r="K483" s="261">
        <f>J483*'📋 Datos Generales'!$E$19</f>
        <v>0</v>
      </c>
    </row>
    <row r="484" spans="4:11" ht="19.5" hidden="1" customHeight="1" x14ac:dyDescent="0.25">
      <c r="D484" s="13">
        <v>478</v>
      </c>
      <c r="E484" s="256">
        <f>'🧾 Factura Comercial'!E484</f>
        <v>0</v>
      </c>
      <c r="F484" s="257">
        <f>'🧾 Factura Comercial'!G484</f>
        <v>0</v>
      </c>
      <c r="G484" s="264">
        <f>'🧾 Factura Comercial'!H484</f>
        <v>0</v>
      </c>
      <c r="H484" s="265">
        <f>'🧾 Factura Comercial'!I484</f>
        <v>0</v>
      </c>
      <c r="I484" s="298">
        <f>'🧾 Factura Comercial'!J484</f>
        <v>0</v>
      </c>
      <c r="J484" s="260">
        <f t="shared" si="7"/>
        <v>0</v>
      </c>
      <c r="K484" s="261">
        <f>J484*'📋 Datos Generales'!$E$19</f>
        <v>0</v>
      </c>
    </row>
    <row r="485" spans="4:11" ht="19.5" hidden="1" customHeight="1" x14ac:dyDescent="0.25">
      <c r="D485" s="13">
        <v>479</v>
      </c>
      <c r="E485" s="262">
        <f>'🧾 Factura Comercial'!E485</f>
        <v>0</v>
      </c>
      <c r="F485" s="263">
        <f>'🧾 Factura Comercial'!G485</f>
        <v>0</v>
      </c>
      <c r="G485" s="264">
        <f>'🧾 Factura Comercial'!H485</f>
        <v>0</v>
      </c>
      <c r="H485" s="265">
        <f>'🧾 Factura Comercial'!I485</f>
        <v>0</v>
      </c>
      <c r="I485" s="298">
        <f>'🧾 Factura Comercial'!J485</f>
        <v>0</v>
      </c>
      <c r="J485" s="260">
        <f t="shared" si="7"/>
        <v>0</v>
      </c>
      <c r="K485" s="261">
        <f>J485*'📋 Datos Generales'!$E$19</f>
        <v>0</v>
      </c>
    </row>
    <row r="486" spans="4:11" ht="19.5" hidden="1" customHeight="1" x14ac:dyDescent="0.25">
      <c r="D486" s="13">
        <v>480</v>
      </c>
      <c r="E486" s="262">
        <f>'🧾 Factura Comercial'!E486</f>
        <v>0</v>
      </c>
      <c r="F486" s="263">
        <f>'🧾 Factura Comercial'!G486</f>
        <v>0</v>
      </c>
      <c r="G486" s="264">
        <f>'🧾 Factura Comercial'!H486</f>
        <v>0</v>
      </c>
      <c r="H486" s="265">
        <f>'🧾 Factura Comercial'!I486</f>
        <v>0</v>
      </c>
      <c r="I486" s="298">
        <f>'🧾 Factura Comercial'!J486</f>
        <v>0</v>
      </c>
      <c r="J486" s="260">
        <f t="shared" si="7"/>
        <v>0</v>
      </c>
      <c r="K486" s="261">
        <f>J486*'📋 Datos Generales'!$E$19</f>
        <v>0</v>
      </c>
    </row>
    <row r="487" spans="4:11" ht="19.5" hidden="1" customHeight="1" x14ac:dyDescent="0.25">
      <c r="D487" s="13">
        <v>481</v>
      </c>
      <c r="E487" s="262">
        <f>'🧾 Factura Comercial'!E487</f>
        <v>0</v>
      </c>
      <c r="F487" s="263">
        <f>'🧾 Factura Comercial'!G487</f>
        <v>0</v>
      </c>
      <c r="G487" s="264">
        <f>'🧾 Factura Comercial'!H487</f>
        <v>0</v>
      </c>
      <c r="H487" s="259">
        <f>'🧾 Factura Comercial'!I487</f>
        <v>0</v>
      </c>
      <c r="I487" s="298">
        <f>'🧾 Factura Comercial'!J487</f>
        <v>0</v>
      </c>
      <c r="J487" s="260">
        <f t="shared" si="7"/>
        <v>0</v>
      </c>
      <c r="K487" s="261">
        <f>J487*'📋 Datos Generales'!$E$19</f>
        <v>0</v>
      </c>
    </row>
    <row r="488" spans="4:11" ht="19.5" hidden="1" customHeight="1" x14ac:dyDescent="0.25">
      <c r="D488" s="13">
        <v>482</v>
      </c>
      <c r="E488" s="262">
        <f>'🧾 Factura Comercial'!E488</f>
        <v>0</v>
      </c>
      <c r="F488" s="263">
        <f>'🧾 Factura Comercial'!G488</f>
        <v>0</v>
      </c>
      <c r="G488" s="264">
        <f>'🧾 Factura Comercial'!H488</f>
        <v>0</v>
      </c>
      <c r="H488" s="265">
        <f>'🧾 Factura Comercial'!I488</f>
        <v>0</v>
      </c>
      <c r="I488" s="298">
        <f>'🧾 Factura Comercial'!J488</f>
        <v>0</v>
      </c>
      <c r="J488" s="260">
        <f t="shared" si="7"/>
        <v>0</v>
      </c>
      <c r="K488" s="261">
        <f>J488*'📋 Datos Generales'!$E$19</f>
        <v>0</v>
      </c>
    </row>
    <row r="489" spans="4:11" ht="19.5" hidden="1" customHeight="1" x14ac:dyDescent="0.25">
      <c r="D489" s="13">
        <v>483</v>
      </c>
      <c r="E489" s="262">
        <f>'🧾 Factura Comercial'!E489</f>
        <v>0</v>
      </c>
      <c r="F489" s="263">
        <f>'🧾 Factura Comercial'!G489</f>
        <v>0</v>
      </c>
      <c r="G489" s="264">
        <f>'🧾 Factura Comercial'!H489</f>
        <v>0</v>
      </c>
      <c r="H489" s="265">
        <f>'🧾 Factura Comercial'!I489</f>
        <v>0</v>
      </c>
      <c r="I489" s="298">
        <f>'🧾 Factura Comercial'!J489</f>
        <v>0</v>
      </c>
      <c r="J489" s="260">
        <f t="shared" si="7"/>
        <v>0</v>
      </c>
      <c r="K489" s="261">
        <f>J489*'📋 Datos Generales'!$E$19</f>
        <v>0</v>
      </c>
    </row>
    <row r="490" spans="4:11" ht="19.5" hidden="1" customHeight="1" x14ac:dyDescent="0.25">
      <c r="D490" s="13">
        <v>484</v>
      </c>
      <c r="E490" s="262">
        <f>'🧾 Factura Comercial'!E490</f>
        <v>0</v>
      </c>
      <c r="F490" s="263">
        <f>'🧾 Factura Comercial'!G490</f>
        <v>0</v>
      </c>
      <c r="G490" s="258">
        <f>'🧾 Factura Comercial'!H490</f>
        <v>0</v>
      </c>
      <c r="H490" s="265">
        <f>'🧾 Factura Comercial'!I490</f>
        <v>0</v>
      </c>
      <c r="I490" s="298">
        <f>'🧾 Factura Comercial'!J490</f>
        <v>0</v>
      </c>
      <c r="J490" s="260">
        <f t="shared" si="7"/>
        <v>0</v>
      </c>
      <c r="K490" s="261">
        <f>J490*'📋 Datos Generales'!$E$19</f>
        <v>0</v>
      </c>
    </row>
    <row r="491" spans="4:11" ht="19.5" hidden="1" customHeight="1" x14ac:dyDescent="0.25">
      <c r="D491" s="13">
        <v>485</v>
      </c>
      <c r="E491" s="262">
        <f>'🧾 Factura Comercial'!E491</f>
        <v>0</v>
      </c>
      <c r="F491" s="263">
        <f>'🧾 Factura Comercial'!G491</f>
        <v>0</v>
      </c>
      <c r="G491" s="264">
        <f>'🧾 Factura Comercial'!H491</f>
        <v>0</v>
      </c>
      <c r="H491" s="265">
        <f>'🧾 Factura Comercial'!I491</f>
        <v>0</v>
      </c>
      <c r="I491" s="298">
        <f>'🧾 Factura Comercial'!J491</f>
        <v>0</v>
      </c>
      <c r="J491" s="260">
        <f t="shared" si="7"/>
        <v>0</v>
      </c>
      <c r="K491" s="261">
        <f>J491*'📋 Datos Generales'!$E$19</f>
        <v>0</v>
      </c>
    </row>
    <row r="492" spans="4:11" ht="19.5" hidden="1" customHeight="1" x14ac:dyDescent="0.25">
      <c r="D492" s="13">
        <v>486</v>
      </c>
      <c r="E492" s="262">
        <f>'🧾 Factura Comercial'!E492</f>
        <v>0</v>
      </c>
      <c r="F492" s="263">
        <f>'🧾 Factura Comercial'!G492</f>
        <v>0</v>
      </c>
      <c r="G492" s="264">
        <f>'🧾 Factura Comercial'!H492</f>
        <v>0</v>
      </c>
      <c r="H492" s="259">
        <f>'🧾 Factura Comercial'!I492</f>
        <v>0</v>
      </c>
      <c r="I492" s="298">
        <f>'🧾 Factura Comercial'!J492</f>
        <v>0</v>
      </c>
      <c r="J492" s="260">
        <f t="shared" si="7"/>
        <v>0</v>
      </c>
      <c r="K492" s="261">
        <f>J492*'📋 Datos Generales'!$E$19</f>
        <v>0</v>
      </c>
    </row>
    <row r="493" spans="4:11" ht="19.5" hidden="1" customHeight="1" x14ac:dyDescent="0.25">
      <c r="D493" s="13">
        <v>487</v>
      </c>
      <c r="E493" s="256">
        <f>'🧾 Factura Comercial'!E493</f>
        <v>0</v>
      </c>
      <c r="F493" s="257">
        <f>'🧾 Factura Comercial'!G493</f>
        <v>0</v>
      </c>
      <c r="G493" s="264">
        <f>'🧾 Factura Comercial'!H493</f>
        <v>0</v>
      </c>
      <c r="H493" s="265">
        <f>'🧾 Factura Comercial'!I493</f>
        <v>0</v>
      </c>
      <c r="I493" s="298">
        <f>'🧾 Factura Comercial'!J493</f>
        <v>0</v>
      </c>
      <c r="J493" s="260">
        <f t="shared" si="7"/>
        <v>0</v>
      </c>
      <c r="K493" s="261">
        <f>J493*'📋 Datos Generales'!$E$19</f>
        <v>0</v>
      </c>
    </row>
    <row r="494" spans="4:11" ht="19.5" hidden="1" customHeight="1" x14ac:dyDescent="0.25">
      <c r="D494" s="13">
        <v>488</v>
      </c>
      <c r="E494" s="262">
        <f>'🧾 Factura Comercial'!E494</f>
        <v>0</v>
      </c>
      <c r="F494" s="263">
        <f>'🧾 Factura Comercial'!G494</f>
        <v>0</v>
      </c>
      <c r="G494" s="264">
        <f>'🧾 Factura Comercial'!H494</f>
        <v>0</v>
      </c>
      <c r="H494" s="265">
        <f>'🧾 Factura Comercial'!I494</f>
        <v>0</v>
      </c>
      <c r="I494" s="298">
        <f>'🧾 Factura Comercial'!J494</f>
        <v>0</v>
      </c>
      <c r="J494" s="260">
        <f t="shared" si="7"/>
        <v>0</v>
      </c>
      <c r="K494" s="261">
        <f>J494*'📋 Datos Generales'!$E$19</f>
        <v>0</v>
      </c>
    </row>
    <row r="495" spans="4:11" ht="19.5" hidden="1" customHeight="1" x14ac:dyDescent="0.25">
      <c r="D495" s="13">
        <v>489</v>
      </c>
      <c r="E495" s="262">
        <f>'🧾 Factura Comercial'!E495</f>
        <v>0</v>
      </c>
      <c r="F495" s="263">
        <f>'🧾 Factura Comercial'!G495</f>
        <v>0</v>
      </c>
      <c r="G495" s="264">
        <f>'🧾 Factura Comercial'!H495</f>
        <v>0</v>
      </c>
      <c r="H495" s="265">
        <f>'🧾 Factura Comercial'!I495</f>
        <v>0</v>
      </c>
      <c r="I495" s="298">
        <f>'🧾 Factura Comercial'!J495</f>
        <v>0</v>
      </c>
      <c r="J495" s="260">
        <f t="shared" si="7"/>
        <v>0</v>
      </c>
      <c r="K495" s="261">
        <f>J495*'📋 Datos Generales'!$E$19</f>
        <v>0</v>
      </c>
    </row>
    <row r="496" spans="4:11" ht="19.5" hidden="1" customHeight="1" x14ac:dyDescent="0.25">
      <c r="D496" s="13">
        <v>490</v>
      </c>
      <c r="E496" s="262">
        <f>'🧾 Factura Comercial'!E496</f>
        <v>0</v>
      </c>
      <c r="F496" s="263">
        <f>'🧾 Factura Comercial'!G496</f>
        <v>0</v>
      </c>
      <c r="G496" s="264">
        <f>'🧾 Factura Comercial'!H496</f>
        <v>0</v>
      </c>
      <c r="H496" s="265">
        <f>'🧾 Factura Comercial'!I496</f>
        <v>0</v>
      </c>
      <c r="I496" s="298">
        <f>'🧾 Factura Comercial'!J496</f>
        <v>0</v>
      </c>
      <c r="J496" s="260">
        <f t="shared" si="7"/>
        <v>0</v>
      </c>
      <c r="K496" s="261">
        <f>J496*'📋 Datos Generales'!$E$19</f>
        <v>0</v>
      </c>
    </row>
    <row r="497" spans="4:11" ht="19.5" hidden="1" customHeight="1" x14ac:dyDescent="0.25">
      <c r="D497" s="13">
        <v>491</v>
      </c>
      <c r="E497" s="262">
        <f>'🧾 Factura Comercial'!E497</f>
        <v>0</v>
      </c>
      <c r="F497" s="263">
        <f>'🧾 Factura Comercial'!G497</f>
        <v>0</v>
      </c>
      <c r="G497" s="258">
        <f>'🧾 Factura Comercial'!H497</f>
        <v>0</v>
      </c>
      <c r="H497" s="259">
        <f>'🧾 Factura Comercial'!I497</f>
        <v>0</v>
      </c>
      <c r="I497" s="298">
        <f>'🧾 Factura Comercial'!J497</f>
        <v>0</v>
      </c>
      <c r="J497" s="260">
        <f t="shared" si="7"/>
        <v>0</v>
      </c>
      <c r="K497" s="261">
        <f>J497*'📋 Datos Generales'!$E$19</f>
        <v>0</v>
      </c>
    </row>
    <row r="498" spans="4:11" ht="19.5" hidden="1" customHeight="1" x14ac:dyDescent="0.25">
      <c r="D498" s="13">
        <v>492</v>
      </c>
      <c r="E498" s="262">
        <f>'🧾 Factura Comercial'!E498</f>
        <v>0</v>
      </c>
      <c r="F498" s="263">
        <f>'🧾 Factura Comercial'!G498</f>
        <v>0</v>
      </c>
      <c r="G498" s="264">
        <f>'🧾 Factura Comercial'!H498</f>
        <v>0</v>
      </c>
      <c r="H498" s="265">
        <f>'🧾 Factura Comercial'!I498</f>
        <v>0</v>
      </c>
      <c r="I498" s="298">
        <f>'🧾 Factura Comercial'!J498</f>
        <v>0</v>
      </c>
      <c r="J498" s="260">
        <f t="shared" si="7"/>
        <v>0</v>
      </c>
      <c r="K498" s="261">
        <f>J498*'📋 Datos Generales'!$E$19</f>
        <v>0</v>
      </c>
    </row>
    <row r="499" spans="4:11" ht="19.5" hidden="1" customHeight="1" x14ac:dyDescent="0.25">
      <c r="D499" s="13">
        <v>493</v>
      </c>
      <c r="E499" s="262">
        <f>'🧾 Factura Comercial'!E499</f>
        <v>0</v>
      </c>
      <c r="F499" s="263">
        <f>'🧾 Factura Comercial'!G499</f>
        <v>0</v>
      </c>
      <c r="G499" s="264">
        <f>'🧾 Factura Comercial'!H499</f>
        <v>0</v>
      </c>
      <c r="H499" s="265">
        <f>'🧾 Factura Comercial'!I499</f>
        <v>0</v>
      </c>
      <c r="I499" s="298">
        <f>'🧾 Factura Comercial'!J499</f>
        <v>0</v>
      </c>
      <c r="J499" s="260">
        <f t="shared" si="7"/>
        <v>0</v>
      </c>
      <c r="K499" s="261">
        <f>J499*'📋 Datos Generales'!$E$19</f>
        <v>0</v>
      </c>
    </row>
    <row r="500" spans="4:11" ht="19.5" hidden="1" customHeight="1" x14ac:dyDescent="0.25">
      <c r="D500" s="13">
        <v>494</v>
      </c>
      <c r="E500" s="262">
        <f>'🧾 Factura Comercial'!E500</f>
        <v>0</v>
      </c>
      <c r="F500" s="263">
        <f>'🧾 Factura Comercial'!G500</f>
        <v>0</v>
      </c>
      <c r="G500" s="264">
        <f>'🧾 Factura Comercial'!H500</f>
        <v>0</v>
      </c>
      <c r="H500" s="265">
        <f>'🧾 Factura Comercial'!I500</f>
        <v>0</v>
      </c>
      <c r="I500" s="298">
        <f>'🧾 Factura Comercial'!J500</f>
        <v>0</v>
      </c>
      <c r="J500" s="260">
        <f t="shared" si="7"/>
        <v>0</v>
      </c>
      <c r="K500" s="261">
        <f>J500*'📋 Datos Generales'!$E$19</f>
        <v>0</v>
      </c>
    </row>
    <row r="501" spans="4:11" ht="19.5" hidden="1" customHeight="1" x14ac:dyDescent="0.25">
      <c r="D501" s="13">
        <v>495</v>
      </c>
      <c r="E501" s="262">
        <f>'🧾 Factura Comercial'!E501</f>
        <v>0</v>
      </c>
      <c r="F501" s="263">
        <f>'🧾 Factura Comercial'!G501</f>
        <v>0</v>
      </c>
      <c r="G501" s="264">
        <f>'🧾 Factura Comercial'!H501</f>
        <v>0</v>
      </c>
      <c r="H501" s="265">
        <f>'🧾 Factura Comercial'!I501</f>
        <v>0</v>
      </c>
      <c r="I501" s="298">
        <f>'🧾 Factura Comercial'!J501</f>
        <v>0</v>
      </c>
      <c r="J501" s="260">
        <f t="shared" si="7"/>
        <v>0</v>
      </c>
      <c r="K501" s="261">
        <f>J501*'📋 Datos Generales'!$E$19</f>
        <v>0</v>
      </c>
    </row>
    <row r="502" spans="4:11" ht="19.5" hidden="1" customHeight="1" x14ac:dyDescent="0.25">
      <c r="D502" s="13">
        <v>496</v>
      </c>
      <c r="E502" s="256">
        <f>'🧾 Factura Comercial'!E502</f>
        <v>0</v>
      </c>
      <c r="F502" s="257">
        <f>'🧾 Factura Comercial'!G502</f>
        <v>0</v>
      </c>
      <c r="G502" s="264">
        <f>'🧾 Factura Comercial'!H502</f>
        <v>0</v>
      </c>
      <c r="H502" s="259">
        <f>'🧾 Factura Comercial'!I502</f>
        <v>0</v>
      </c>
      <c r="I502" s="298">
        <f>'🧾 Factura Comercial'!J502</f>
        <v>0</v>
      </c>
      <c r="J502" s="260">
        <f t="shared" si="7"/>
        <v>0</v>
      </c>
      <c r="K502" s="261">
        <f>J502*'📋 Datos Generales'!$E$19</f>
        <v>0</v>
      </c>
    </row>
    <row r="503" spans="4:11" ht="19.5" hidden="1" customHeight="1" x14ac:dyDescent="0.25">
      <c r="D503" s="13">
        <v>497</v>
      </c>
      <c r="E503" s="262">
        <f>'🧾 Factura Comercial'!E503</f>
        <v>0</v>
      </c>
      <c r="F503" s="263">
        <f>'🧾 Factura Comercial'!G503</f>
        <v>0</v>
      </c>
      <c r="G503" s="264">
        <f>'🧾 Factura Comercial'!H503</f>
        <v>0</v>
      </c>
      <c r="H503" s="265">
        <f>'🧾 Factura Comercial'!I503</f>
        <v>0</v>
      </c>
      <c r="I503" s="298">
        <f>'🧾 Factura Comercial'!J503</f>
        <v>0</v>
      </c>
      <c r="J503" s="260">
        <f t="shared" si="7"/>
        <v>0</v>
      </c>
      <c r="K503" s="261">
        <f>J503*'📋 Datos Generales'!$E$19</f>
        <v>0</v>
      </c>
    </row>
    <row r="504" spans="4:11" ht="19.5" hidden="1" customHeight="1" x14ac:dyDescent="0.25">
      <c r="D504" s="13">
        <v>498</v>
      </c>
      <c r="E504" s="262">
        <f>'🧾 Factura Comercial'!E504</f>
        <v>0</v>
      </c>
      <c r="F504" s="263">
        <f>'🧾 Factura Comercial'!G504</f>
        <v>0</v>
      </c>
      <c r="G504" s="258">
        <f>'🧾 Factura Comercial'!H504</f>
        <v>0</v>
      </c>
      <c r="H504" s="265">
        <f>'🧾 Factura Comercial'!I504</f>
        <v>0</v>
      </c>
      <c r="I504" s="298">
        <f>'🧾 Factura Comercial'!J504</f>
        <v>0</v>
      </c>
      <c r="J504" s="260">
        <f t="shared" si="7"/>
        <v>0</v>
      </c>
      <c r="K504" s="261">
        <f>J504*'📋 Datos Generales'!$E$19</f>
        <v>0</v>
      </c>
    </row>
    <row r="505" spans="4:11" ht="19.5" hidden="1" customHeight="1" x14ac:dyDescent="0.25">
      <c r="D505" s="13">
        <v>499</v>
      </c>
      <c r="E505" s="262">
        <f>'🧾 Factura Comercial'!E505</f>
        <v>0</v>
      </c>
      <c r="F505" s="263">
        <f>'🧾 Factura Comercial'!G505</f>
        <v>0</v>
      </c>
      <c r="G505" s="264">
        <f>'🧾 Factura Comercial'!H505</f>
        <v>0</v>
      </c>
      <c r="H505" s="265">
        <f>'🧾 Factura Comercial'!I505</f>
        <v>0</v>
      </c>
      <c r="I505" s="298">
        <f>'🧾 Factura Comercial'!J505</f>
        <v>0</v>
      </c>
      <c r="J505" s="260">
        <f t="shared" si="7"/>
        <v>0</v>
      </c>
      <c r="K505" s="261">
        <f>J505*'📋 Datos Generales'!$E$19</f>
        <v>0</v>
      </c>
    </row>
    <row r="506" spans="4:11" x14ac:dyDescent="0.25">
      <c r="D506" s="93"/>
      <c r="E506" s="93"/>
      <c r="F506" s="93"/>
      <c r="G506" s="93"/>
      <c r="H506" s="93"/>
      <c r="I506" s="93"/>
      <c r="J506" s="93"/>
      <c r="K506" s="93"/>
    </row>
    <row r="507" spans="4:11" x14ac:dyDescent="0.25">
      <c r="D507" s="93"/>
      <c r="E507" s="93"/>
      <c r="F507" s="93"/>
      <c r="G507" s="93"/>
      <c r="H507" s="93"/>
      <c r="I507" s="93"/>
      <c r="J507" s="93"/>
      <c r="K507" s="93"/>
    </row>
    <row r="508" spans="4:11" x14ac:dyDescent="0.25">
      <c r="D508" s="93"/>
      <c r="E508" s="93"/>
      <c r="F508" s="93"/>
      <c r="G508" s="93"/>
      <c r="H508" s="93"/>
      <c r="I508" s="93"/>
      <c r="J508" s="93"/>
      <c r="K508" s="93"/>
    </row>
    <row r="509" spans="4:11" x14ac:dyDescent="0.25">
      <c r="D509" s="93"/>
      <c r="E509" s="93"/>
      <c r="F509" s="93"/>
      <c r="G509" s="93"/>
      <c r="H509" s="93"/>
      <c r="I509" s="93"/>
      <c r="J509" s="93"/>
      <c r="K509" s="93"/>
    </row>
    <row r="510" spans="4:11" x14ac:dyDescent="0.25">
      <c r="D510" s="93"/>
      <c r="E510" s="93"/>
      <c r="F510" s="93"/>
      <c r="G510" s="93"/>
      <c r="H510" s="93"/>
      <c r="I510" s="93"/>
      <c r="J510" s="93"/>
      <c r="K510" s="93"/>
    </row>
    <row r="511" spans="4:11" x14ac:dyDescent="0.25">
      <c r="D511" s="93"/>
      <c r="E511" s="93"/>
      <c r="F511" s="93"/>
      <c r="G511" s="93"/>
      <c r="H511" s="93"/>
      <c r="I511" s="93"/>
      <c r="J511" s="93"/>
      <c r="K511" s="93"/>
    </row>
    <row r="512" spans="4:11" x14ac:dyDescent="0.25">
      <c r="D512" s="93"/>
      <c r="E512" s="93"/>
      <c r="F512" s="93"/>
      <c r="G512" s="93"/>
      <c r="H512" s="93"/>
      <c r="I512" s="93"/>
      <c r="J512" s="93"/>
      <c r="K512" s="93"/>
    </row>
    <row r="513" spans="4:11" x14ac:dyDescent="0.25">
      <c r="D513" s="93"/>
      <c r="E513" s="93"/>
      <c r="F513" s="93"/>
      <c r="G513" s="93"/>
      <c r="H513" s="93"/>
      <c r="I513" s="93"/>
      <c r="J513" s="93"/>
      <c r="K513" s="93"/>
    </row>
    <row r="514" spans="4:11" x14ac:dyDescent="0.25">
      <c r="D514" s="93"/>
      <c r="E514" s="93"/>
      <c r="F514" s="93"/>
      <c r="G514" s="93"/>
      <c r="H514" s="93"/>
      <c r="I514" s="93"/>
      <c r="J514" s="93"/>
      <c r="K514" s="93"/>
    </row>
    <row r="515" spans="4:11" x14ac:dyDescent="0.25">
      <c r="D515" s="93"/>
      <c r="E515" s="93"/>
      <c r="F515" s="93"/>
      <c r="G515" s="93"/>
      <c r="H515" s="93"/>
      <c r="I515" s="93"/>
      <c r="J515" s="93"/>
      <c r="K515" s="93"/>
    </row>
    <row r="516" spans="4:11" x14ac:dyDescent="0.25">
      <c r="D516" s="93"/>
      <c r="E516" s="93"/>
      <c r="F516" s="93"/>
      <c r="G516" s="93"/>
      <c r="H516" s="93"/>
      <c r="I516" s="93"/>
      <c r="J516" s="93"/>
      <c r="K516" s="93"/>
    </row>
    <row r="517" spans="4:11" x14ac:dyDescent="0.25">
      <c r="D517" s="93"/>
      <c r="E517" s="93"/>
      <c r="F517" s="93"/>
      <c r="G517" s="93"/>
      <c r="H517" s="93"/>
      <c r="I517" s="93"/>
      <c r="J517" s="93"/>
      <c r="K517" s="93"/>
    </row>
    <row r="518" spans="4:11" x14ac:dyDescent="0.25">
      <c r="D518" s="93"/>
      <c r="E518" s="93"/>
      <c r="F518" s="93"/>
      <c r="G518" s="93"/>
      <c r="H518" s="93"/>
      <c r="I518" s="93"/>
      <c r="J518" s="93"/>
      <c r="K518" s="93"/>
    </row>
    <row r="519" spans="4:11" x14ac:dyDescent="0.25">
      <c r="D519" s="93"/>
      <c r="E519" s="93"/>
      <c r="F519" s="93"/>
      <c r="G519" s="93"/>
      <c r="H519" s="93"/>
      <c r="I519" s="93"/>
      <c r="J519" s="93"/>
      <c r="K519" s="93"/>
    </row>
    <row r="520" spans="4:11" x14ac:dyDescent="0.25">
      <c r="D520" s="93"/>
      <c r="E520" s="93"/>
      <c r="F520" s="93"/>
      <c r="G520" s="93"/>
      <c r="H520" s="93"/>
      <c r="I520" s="93"/>
      <c r="J520" s="93"/>
      <c r="K520" s="93"/>
    </row>
    <row r="521" spans="4:11" x14ac:dyDescent="0.25">
      <c r="D521" s="93"/>
      <c r="E521" s="93"/>
      <c r="F521" s="93"/>
      <c r="G521" s="93"/>
      <c r="H521" s="93"/>
      <c r="I521" s="93"/>
      <c r="J521" s="93"/>
      <c r="K521" s="93"/>
    </row>
    <row r="522" spans="4:11" x14ac:dyDescent="0.25">
      <c r="D522" s="93"/>
      <c r="E522" s="93"/>
      <c r="F522" s="93"/>
      <c r="G522" s="93"/>
      <c r="H522" s="93"/>
      <c r="I522" s="93"/>
      <c r="J522" s="93"/>
      <c r="K522" s="93"/>
    </row>
    <row r="523" spans="4:11" x14ac:dyDescent="0.25">
      <c r="D523" s="93"/>
      <c r="E523" s="93"/>
      <c r="F523" s="93"/>
      <c r="G523" s="93"/>
      <c r="H523" s="93"/>
      <c r="I523" s="93"/>
      <c r="J523" s="93"/>
      <c r="K523" s="93"/>
    </row>
    <row r="524" spans="4:11" x14ac:dyDescent="0.25">
      <c r="D524" s="93"/>
      <c r="E524" s="93"/>
      <c r="F524" s="93"/>
      <c r="G524" s="93"/>
      <c r="H524" s="93"/>
      <c r="I524" s="93"/>
      <c r="J524" s="93"/>
      <c r="K524" s="93"/>
    </row>
    <row r="525" spans="4:11" x14ac:dyDescent="0.25">
      <c r="D525" s="93"/>
      <c r="E525" s="93"/>
      <c r="F525" s="93"/>
      <c r="G525" s="93"/>
      <c r="H525" s="93"/>
      <c r="I525" s="93"/>
      <c r="J525" s="93"/>
      <c r="K525" s="93"/>
    </row>
    <row r="526" spans="4:11" x14ac:dyDescent="0.25">
      <c r="D526" s="93"/>
      <c r="E526" s="93"/>
      <c r="F526" s="93"/>
      <c r="G526" s="93"/>
      <c r="H526" s="93"/>
      <c r="I526" s="93"/>
      <c r="J526" s="93"/>
      <c r="K526" s="93"/>
    </row>
    <row r="527" spans="4:11" x14ac:dyDescent="0.25">
      <c r="D527" s="93"/>
      <c r="E527" s="93"/>
      <c r="F527" s="93"/>
      <c r="G527" s="93"/>
      <c r="H527" s="93"/>
      <c r="I527" s="93"/>
      <c r="J527" s="93"/>
      <c r="K527" s="93"/>
    </row>
    <row r="528" spans="4:11" x14ac:dyDescent="0.25">
      <c r="D528" s="93"/>
      <c r="E528" s="93"/>
      <c r="F528" s="93"/>
      <c r="G528" s="93"/>
      <c r="H528" s="93"/>
      <c r="I528" s="93"/>
      <c r="J528" s="93"/>
      <c r="K528" s="93"/>
    </row>
    <row r="529" spans="4:11" x14ac:dyDescent="0.25">
      <c r="D529" s="93"/>
      <c r="E529" s="93"/>
      <c r="F529" s="93"/>
      <c r="G529" s="93"/>
      <c r="H529" s="93"/>
      <c r="I529" s="93"/>
      <c r="J529" s="93"/>
      <c r="K529" s="93"/>
    </row>
    <row r="530" spans="4:11" x14ac:dyDescent="0.25">
      <c r="D530" s="93"/>
      <c r="E530" s="93"/>
      <c r="F530" s="93"/>
      <c r="G530" s="93"/>
      <c r="H530" s="93"/>
      <c r="I530" s="93"/>
      <c r="J530" s="93"/>
      <c r="K530" s="93"/>
    </row>
    <row r="531" spans="4:11" x14ac:dyDescent="0.25">
      <c r="D531" s="93"/>
      <c r="E531" s="93"/>
      <c r="F531" s="93"/>
      <c r="G531" s="93"/>
      <c r="H531" s="93"/>
      <c r="I531" s="93"/>
      <c r="J531" s="93"/>
      <c r="K531" s="93"/>
    </row>
    <row r="532" spans="4:11" x14ac:dyDescent="0.25">
      <c r="D532" s="93"/>
      <c r="E532" s="93"/>
      <c r="F532" s="93"/>
      <c r="G532" s="93"/>
      <c r="H532" s="93"/>
      <c r="I532" s="93"/>
      <c r="J532" s="93"/>
      <c r="K532" s="93"/>
    </row>
    <row r="533" spans="4:11" x14ac:dyDescent="0.25">
      <c r="D533" s="93"/>
      <c r="E533" s="93"/>
      <c r="F533" s="93"/>
      <c r="G533" s="93"/>
      <c r="H533" s="93"/>
      <c r="I533" s="93"/>
      <c r="J533" s="93"/>
      <c r="K533" s="93"/>
    </row>
    <row r="534" spans="4:11" x14ac:dyDescent="0.25">
      <c r="D534" s="93"/>
      <c r="E534" s="93"/>
      <c r="F534" s="93"/>
      <c r="G534" s="93"/>
      <c r="H534" s="93"/>
      <c r="I534" s="93"/>
      <c r="J534" s="93"/>
      <c r="K534" s="93"/>
    </row>
    <row r="535" spans="4:11" x14ac:dyDescent="0.25">
      <c r="D535" s="93"/>
      <c r="E535" s="93"/>
      <c r="F535" s="93"/>
      <c r="G535" s="93"/>
      <c r="H535" s="93"/>
      <c r="I535" s="93"/>
      <c r="J535" s="93"/>
      <c r="K535" s="93"/>
    </row>
    <row r="536" spans="4:11" x14ac:dyDescent="0.25">
      <c r="D536" s="93"/>
      <c r="E536" s="93"/>
      <c r="F536" s="93"/>
      <c r="G536" s="93"/>
      <c r="H536" s="93"/>
      <c r="I536" s="93"/>
      <c r="J536" s="93"/>
      <c r="K536" s="93"/>
    </row>
    <row r="537" spans="4:11" x14ac:dyDescent="0.25">
      <c r="D537" s="93"/>
      <c r="E537" s="93"/>
      <c r="F537" s="93"/>
      <c r="G537" s="93"/>
      <c r="H537" s="93"/>
      <c r="I537" s="93"/>
      <c r="J537" s="93"/>
      <c r="K537" s="93"/>
    </row>
    <row r="538" spans="4:11" x14ac:dyDescent="0.25">
      <c r="D538" s="93"/>
      <c r="E538" s="93"/>
      <c r="F538" s="93"/>
      <c r="G538" s="93"/>
      <c r="H538" s="93"/>
      <c r="I538" s="93"/>
      <c r="J538" s="93"/>
      <c r="K538" s="93"/>
    </row>
    <row r="539" spans="4:11" x14ac:dyDescent="0.25">
      <c r="D539" s="93"/>
      <c r="E539" s="93"/>
      <c r="F539" s="93"/>
      <c r="G539" s="93"/>
      <c r="H539" s="93"/>
      <c r="I539" s="93"/>
      <c r="J539" s="93"/>
      <c r="K539" s="93"/>
    </row>
    <row r="540" spans="4:11" x14ac:dyDescent="0.25">
      <c r="D540" s="93"/>
      <c r="E540" s="93"/>
      <c r="F540" s="93"/>
      <c r="G540" s="93"/>
      <c r="H540" s="93"/>
      <c r="I540" s="93"/>
      <c r="J540" s="93"/>
      <c r="K540" s="93"/>
    </row>
    <row r="541" spans="4:11" x14ac:dyDescent="0.25">
      <c r="D541" s="93"/>
      <c r="E541" s="93"/>
      <c r="F541" s="93"/>
      <c r="G541" s="93"/>
      <c r="H541" s="93"/>
      <c r="I541" s="93"/>
      <c r="J541" s="93"/>
      <c r="K541" s="93"/>
    </row>
    <row r="542" spans="4:11" x14ac:dyDescent="0.25">
      <c r="D542" s="93"/>
      <c r="E542" s="93"/>
      <c r="F542" s="93"/>
      <c r="G542" s="93"/>
      <c r="H542" s="93"/>
      <c r="I542" s="93"/>
      <c r="J542" s="93"/>
      <c r="K542" s="93"/>
    </row>
    <row r="543" spans="4:11" x14ac:dyDescent="0.25">
      <c r="D543" s="93"/>
      <c r="E543" s="93"/>
      <c r="F543" s="93"/>
      <c r="G543" s="93"/>
      <c r="H543" s="93"/>
      <c r="I543" s="93"/>
      <c r="J543" s="93"/>
      <c r="K543" s="93"/>
    </row>
    <row r="544" spans="4:11" x14ac:dyDescent="0.25">
      <c r="D544" s="93"/>
      <c r="E544" s="93"/>
      <c r="F544" s="93"/>
      <c r="G544" s="93"/>
      <c r="H544" s="93"/>
      <c r="I544" s="93"/>
      <c r="J544" s="93"/>
      <c r="K544" s="93"/>
    </row>
    <row r="545" spans="4:11" x14ac:dyDescent="0.25">
      <c r="D545" s="93"/>
      <c r="E545" s="93"/>
      <c r="F545" s="93"/>
      <c r="G545" s="93"/>
      <c r="H545" s="93"/>
      <c r="I545" s="93"/>
      <c r="J545" s="93"/>
      <c r="K545" s="93"/>
    </row>
    <row r="546" spans="4:11" x14ac:dyDescent="0.25">
      <c r="D546" s="93"/>
      <c r="E546" s="93"/>
      <c r="F546" s="93"/>
      <c r="G546" s="93"/>
      <c r="H546" s="93"/>
      <c r="I546" s="93"/>
      <c r="J546" s="93"/>
      <c r="K546" s="93"/>
    </row>
    <row r="547" spans="4:11" x14ac:dyDescent="0.25">
      <c r="D547" s="93"/>
      <c r="E547" s="93"/>
      <c r="F547" s="93"/>
      <c r="G547" s="93"/>
      <c r="H547" s="93"/>
      <c r="I547" s="93"/>
      <c r="J547" s="93"/>
      <c r="K547" s="93"/>
    </row>
    <row r="548" spans="4:11" x14ac:dyDescent="0.25">
      <c r="D548" s="93"/>
      <c r="E548" s="93"/>
      <c r="F548" s="93"/>
      <c r="G548" s="93"/>
      <c r="H548" s="93"/>
      <c r="I548" s="93"/>
      <c r="J548" s="93"/>
      <c r="K548" s="93"/>
    </row>
    <row r="549" spans="4:11" x14ac:dyDescent="0.25">
      <c r="D549" s="93"/>
      <c r="E549" s="93"/>
      <c r="F549" s="93"/>
      <c r="G549" s="93"/>
      <c r="H549" s="93"/>
      <c r="I549" s="93"/>
      <c r="J549" s="93"/>
      <c r="K549" s="93"/>
    </row>
    <row r="550" spans="4:11" x14ac:dyDescent="0.25">
      <c r="D550" s="93"/>
      <c r="E550" s="93"/>
      <c r="F550" s="93"/>
      <c r="G550" s="93"/>
      <c r="H550" s="93"/>
      <c r="I550" s="93"/>
      <c r="J550" s="93"/>
      <c r="K550" s="93"/>
    </row>
    <row r="551" spans="4:11" x14ac:dyDescent="0.25">
      <c r="D551" s="93"/>
      <c r="E551" s="93"/>
      <c r="F551" s="93"/>
      <c r="G551" s="93"/>
      <c r="H551" s="93"/>
      <c r="I551" s="93"/>
      <c r="J551" s="93"/>
      <c r="K551" s="93"/>
    </row>
    <row r="552" spans="4:11" x14ac:dyDescent="0.25">
      <c r="D552" s="93"/>
      <c r="E552" s="93"/>
      <c r="F552" s="93"/>
      <c r="G552" s="93"/>
      <c r="H552" s="93"/>
      <c r="I552" s="93"/>
      <c r="J552" s="93"/>
      <c r="K552" s="93"/>
    </row>
    <row r="553" spans="4:11" x14ac:dyDescent="0.25">
      <c r="D553" s="93"/>
      <c r="E553" s="93"/>
      <c r="F553" s="93"/>
      <c r="G553" s="93"/>
      <c r="H553" s="93"/>
      <c r="I553" s="93"/>
      <c r="J553" s="93"/>
      <c r="K553" s="93"/>
    </row>
    <row r="554" spans="4:11" x14ac:dyDescent="0.25">
      <c r="D554" s="93"/>
      <c r="E554" s="93"/>
      <c r="F554" s="93"/>
      <c r="G554" s="93"/>
      <c r="H554" s="93"/>
      <c r="I554" s="93"/>
      <c r="J554" s="93"/>
      <c r="K554" s="93"/>
    </row>
    <row r="555" spans="4:11" x14ac:dyDescent="0.25">
      <c r="D555" s="93"/>
      <c r="E555" s="93"/>
      <c r="F555" s="93"/>
      <c r="G555" s="93"/>
      <c r="H555" s="93"/>
      <c r="I555" s="93"/>
      <c r="J555" s="93"/>
      <c r="K555" s="93"/>
    </row>
    <row r="556" spans="4:11" x14ac:dyDescent="0.25">
      <c r="D556" s="93"/>
      <c r="E556" s="93"/>
      <c r="F556" s="93"/>
      <c r="G556" s="93"/>
      <c r="H556" s="93"/>
      <c r="I556" s="93"/>
      <c r="J556" s="93"/>
      <c r="K556" s="93"/>
    </row>
    <row r="557" spans="4:11" x14ac:dyDescent="0.25">
      <c r="D557" s="93"/>
      <c r="E557" s="93"/>
      <c r="F557" s="93"/>
      <c r="G557" s="93"/>
      <c r="H557" s="93"/>
      <c r="I557" s="93"/>
      <c r="J557" s="93"/>
      <c r="K557" s="93"/>
    </row>
    <row r="558" spans="4:11" x14ac:dyDescent="0.25">
      <c r="D558" s="93"/>
      <c r="E558" s="93"/>
      <c r="F558" s="93"/>
      <c r="G558" s="93"/>
      <c r="H558" s="93"/>
      <c r="I558" s="93"/>
      <c r="J558" s="93"/>
      <c r="K558" s="93"/>
    </row>
    <row r="559" spans="4:11" x14ac:dyDescent="0.25">
      <c r="D559" s="93"/>
      <c r="E559" s="93"/>
      <c r="F559" s="93"/>
      <c r="G559" s="93"/>
      <c r="H559" s="93"/>
      <c r="I559" s="93"/>
      <c r="J559" s="93"/>
      <c r="K559" s="93"/>
    </row>
    <row r="560" spans="4:11" x14ac:dyDescent="0.25">
      <c r="D560" s="93"/>
      <c r="E560" s="93"/>
      <c r="F560" s="93"/>
      <c r="G560" s="93"/>
      <c r="H560" s="93"/>
      <c r="I560" s="93"/>
      <c r="J560" s="93"/>
      <c r="K560" s="93"/>
    </row>
    <row r="561" spans="4:11" x14ac:dyDescent="0.25">
      <c r="D561" s="93"/>
      <c r="E561" s="93"/>
      <c r="F561" s="93"/>
      <c r="G561" s="93"/>
      <c r="H561" s="93"/>
      <c r="I561" s="93"/>
      <c r="J561" s="93"/>
      <c r="K561" s="93"/>
    </row>
    <row r="562" spans="4:11" x14ac:dyDescent="0.25">
      <c r="D562" s="93"/>
      <c r="E562" s="93"/>
      <c r="F562" s="93"/>
      <c r="G562" s="93"/>
      <c r="H562" s="93"/>
      <c r="I562" s="93"/>
      <c r="J562" s="93"/>
      <c r="K562" s="93"/>
    </row>
    <row r="563" spans="4:11" x14ac:dyDescent="0.25">
      <c r="D563" s="93"/>
      <c r="E563" s="93"/>
      <c r="F563" s="93"/>
      <c r="G563" s="93"/>
      <c r="H563" s="93"/>
      <c r="I563" s="93"/>
      <c r="J563" s="93"/>
      <c r="K563" s="93"/>
    </row>
    <row r="564" spans="4:11" x14ac:dyDescent="0.25">
      <c r="D564" s="93"/>
      <c r="E564" s="93"/>
      <c r="F564" s="93"/>
      <c r="G564" s="93"/>
      <c r="H564" s="93"/>
      <c r="I564" s="93"/>
      <c r="J564" s="93"/>
      <c r="K564" s="93"/>
    </row>
    <row r="565" spans="4:11" x14ac:dyDescent="0.25">
      <c r="D565" s="93"/>
      <c r="E565" s="93"/>
      <c r="F565" s="93"/>
      <c r="G565" s="93"/>
      <c r="H565" s="93"/>
      <c r="I565" s="93"/>
      <c r="J565" s="93"/>
      <c r="K565" s="93"/>
    </row>
    <row r="566" spans="4:11" x14ac:dyDescent="0.25">
      <c r="D566" s="93"/>
      <c r="E566" s="93"/>
      <c r="F566" s="93"/>
      <c r="G566" s="93"/>
      <c r="H566" s="93"/>
      <c r="I566" s="93"/>
      <c r="J566" s="93"/>
      <c r="K566" s="93"/>
    </row>
    <row r="567" spans="4:11" x14ac:dyDescent="0.25">
      <c r="D567" s="93"/>
      <c r="E567" s="93"/>
      <c r="F567" s="93"/>
      <c r="G567" s="93"/>
      <c r="H567" s="93"/>
      <c r="I567" s="93"/>
      <c r="J567" s="93"/>
      <c r="K567" s="93"/>
    </row>
    <row r="568" spans="4:11" x14ac:dyDescent="0.25">
      <c r="D568" s="93"/>
      <c r="E568" s="93"/>
      <c r="F568" s="93"/>
      <c r="G568" s="93"/>
      <c r="H568" s="93"/>
      <c r="I568" s="93"/>
      <c r="J568" s="93"/>
      <c r="K568" s="93"/>
    </row>
    <row r="569" spans="4:11" x14ac:dyDescent="0.25">
      <c r="D569" s="93"/>
      <c r="E569" s="93"/>
      <c r="F569" s="93"/>
      <c r="G569" s="93"/>
      <c r="H569" s="93"/>
      <c r="I569" s="93"/>
      <c r="J569" s="93"/>
      <c r="K569" s="93"/>
    </row>
    <row r="570" spans="4:11" x14ac:dyDescent="0.25">
      <c r="D570" s="93"/>
      <c r="E570" s="93"/>
      <c r="F570" s="93"/>
      <c r="G570" s="93"/>
      <c r="H570" s="93"/>
      <c r="I570" s="93"/>
      <c r="J570" s="93"/>
      <c r="K570" s="93"/>
    </row>
    <row r="571" spans="4:11" x14ac:dyDescent="0.25">
      <c r="D571" s="93"/>
      <c r="E571" s="93"/>
      <c r="F571" s="93"/>
      <c r="G571" s="93"/>
      <c r="H571" s="93"/>
      <c r="I571" s="93"/>
      <c r="J571" s="93"/>
      <c r="K571" s="93"/>
    </row>
    <row r="572" spans="4:11" x14ac:dyDescent="0.25">
      <c r="D572" s="93"/>
      <c r="E572" s="93"/>
      <c r="F572" s="93"/>
      <c r="G572" s="93"/>
      <c r="H572" s="93"/>
      <c r="I572" s="93"/>
      <c r="J572" s="93"/>
      <c r="K572" s="93"/>
    </row>
    <row r="573" spans="4:11" x14ac:dyDescent="0.25">
      <c r="D573" s="93"/>
      <c r="E573" s="93"/>
      <c r="F573" s="93"/>
      <c r="G573" s="93"/>
      <c r="H573" s="93"/>
      <c r="I573" s="93"/>
      <c r="J573" s="93"/>
      <c r="K573" s="93"/>
    </row>
    <row r="574" spans="4:11" x14ac:dyDescent="0.25">
      <c r="D574" s="93"/>
      <c r="E574" s="93"/>
      <c r="F574" s="93"/>
      <c r="G574" s="93"/>
      <c r="H574" s="93"/>
      <c r="I574" s="93"/>
      <c r="J574" s="93"/>
      <c r="K574" s="93"/>
    </row>
    <row r="575" spans="4:11" x14ac:dyDescent="0.25">
      <c r="D575" s="93"/>
      <c r="E575" s="93"/>
      <c r="F575" s="93"/>
      <c r="G575" s="93"/>
      <c r="H575" s="93"/>
      <c r="I575" s="93"/>
      <c r="J575" s="93"/>
      <c r="K575" s="93"/>
    </row>
    <row r="576" spans="4:11" x14ac:dyDescent="0.25">
      <c r="D576" s="93"/>
      <c r="E576" s="93"/>
      <c r="F576" s="93"/>
      <c r="G576" s="93"/>
      <c r="H576" s="93"/>
      <c r="I576" s="93"/>
      <c r="J576" s="93"/>
      <c r="K576" s="93"/>
    </row>
    <row r="577" spans="4:11" x14ac:dyDescent="0.25">
      <c r="D577" s="93"/>
      <c r="E577" s="93"/>
      <c r="F577" s="93"/>
      <c r="G577" s="93"/>
      <c r="H577" s="93"/>
      <c r="I577" s="93"/>
      <c r="J577" s="93"/>
      <c r="K577" s="93"/>
    </row>
    <row r="578" spans="4:11" x14ac:dyDescent="0.25">
      <c r="D578" s="93"/>
      <c r="E578" s="93"/>
      <c r="F578" s="93"/>
      <c r="G578" s="93"/>
      <c r="H578" s="93"/>
      <c r="I578" s="93"/>
      <c r="J578" s="93"/>
      <c r="K578" s="93"/>
    </row>
    <row r="579" spans="4:11" x14ac:dyDescent="0.25">
      <c r="D579" s="93"/>
      <c r="E579" s="93"/>
      <c r="F579" s="93"/>
      <c r="G579" s="93"/>
      <c r="H579" s="93"/>
      <c r="I579" s="93"/>
      <c r="J579" s="93"/>
      <c r="K579" s="93"/>
    </row>
    <row r="580" spans="4:11" x14ac:dyDescent="0.25">
      <c r="D580" s="93"/>
      <c r="E580" s="93"/>
      <c r="F580" s="93"/>
      <c r="G580" s="93"/>
      <c r="H580" s="93"/>
      <c r="I580" s="93"/>
      <c r="J580" s="93"/>
      <c r="K580" s="93"/>
    </row>
    <row r="581" spans="4:11" x14ac:dyDescent="0.25">
      <c r="D581" s="93"/>
      <c r="E581" s="93"/>
      <c r="F581" s="93"/>
      <c r="G581" s="93"/>
      <c r="H581" s="93"/>
      <c r="I581" s="93"/>
      <c r="J581" s="93"/>
      <c r="K581" s="93"/>
    </row>
    <row r="582" spans="4:11" x14ac:dyDescent="0.25">
      <c r="D582" s="93"/>
      <c r="E582" s="93"/>
      <c r="F582" s="93"/>
      <c r="G582" s="93"/>
      <c r="H582" s="93"/>
      <c r="I582" s="93"/>
      <c r="J582" s="93"/>
      <c r="K582" s="93"/>
    </row>
    <row r="583" spans="4:11" x14ac:dyDescent="0.25">
      <c r="D583" s="93"/>
      <c r="E583" s="93"/>
      <c r="F583" s="93"/>
      <c r="G583" s="93"/>
      <c r="H583" s="93"/>
      <c r="I583" s="93"/>
      <c r="J583" s="93"/>
      <c r="K583" s="93"/>
    </row>
    <row r="584" spans="4:11" x14ac:dyDescent="0.25">
      <c r="D584" s="93"/>
      <c r="E584" s="93"/>
      <c r="F584" s="93"/>
      <c r="G584" s="93"/>
      <c r="H584" s="93"/>
      <c r="I584" s="93"/>
      <c r="J584" s="93"/>
      <c r="K584" s="93"/>
    </row>
    <row r="585" spans="4:11" x14ac:dyDescent="0.25">
      <c r="D585" s="93"/>
      <c r="E585" s="93"/>
      <c r="F585" s="93"/>
      <c r="G585" s="93"/>
      <c r="H585" s="93"/>
      <c r="I585" s="93"/>
      <c r="J585" s="93"/>
      <c r="K585" s="93"/>
    </row>
    <row r="586" spans="4:11" x14ac:dyDescent="0.25">
      <c r="D586" s="93"/>
      <c r="E586" s="93"/>
      <c r="F586" s="93"/>
      <c r="G586" s="93"/>
      <c r="H586" s="93"/>
      <c r="I586" s="93"/>
      <c r="J586" s="93"/>
      <c r="K586" s="93"/>
    </row>
    <row r="587" spans="4:11" x14ac:dyDescent="0.25">
      <c r="D587" s="93"/>
      <c r="E587" s="93"/>
      <c r="F587" s="93"/>
      <c r="G587" s="93"/>
      <c r="H587" s="93"/>
      <c r="I587" s="93"/>
      <c r="J587" s="93"/>
      <c r="K587" s="93"/>
    </row>
    <row r="588" spans="4:11" x14ac:dyDescent="0.25">
      <c r="D588" s="93"/>
      <c r="E588" s="93"/>
      <c r="F588" s="93"/>
      <c r="G588" s="93"/>
      <c r="H588" s="93"/>
      <c r="I588" s="93"/>
      <c r="J588" s="93"/>
      <c r="K588" s="93"/>
    </row>
    <row r="589" spans="4:11" x14ac:dyDescent="0.25">
      <c r="D589" s="93"/>
      <c r="E589" s="93"/>
      <c r="F589" s="93"/>
      <c r="G589" s="93"/>
      <c r="H589" s="93"/>
      <c r="I589" s="93"/>
      <c r="J589" s="93"/>
      <c r="K589" s="93"/>
    </row>
    <row r="590" spans="4:11" x14ac:dyDescent="0.25">
      <c r="D590" s="93"/>
      <c r="E590" s="93"/>
      <c r="F590" s="93"/>
      <c r="G590" s="93"/>
      <c r="H590" s="93"/>
      <c r="I590" s="93"/>
      <c r="J590" s="93"/>
      <c r="K590" s="93"/>
    </row>
    <row r="591" spans="4:11" x14ac:dyDescent="0.25">
      <c r="D591" s="93"/>
      <c r="E591" s="93"/>
      <c r="F591" s="93"/>
      <c r="G591" s="93"/>
      <c r="H591" s="93"/>
      <c r="I591" s="93"/>
      <c r="J591" s="93"/>
      <c r="K591" s="93"/>
    </row>
    <row r="592" spans="4:11" x14ac:dyDescent="0.25">
      <c r="D592" s="93"/>
      <c r="E592" s="93"/>
      <c r="F592" s="93"/>
      <c r="G592" s="93"/>
      <c r="H592" s="93"/>
      <c r="I592" s="93"/>
      <c r="J592" s="93"/>
      <c r="K592" s="93"/>
    </row>
    <row r="593" spans="4:11" x14ac:dyDescent="0.25">
      <c r="D593" s="93"/>
      <c r="E593" s="93"/>
      <c r="F593" s="93"/>
      <c r="G593" s="93"/>
      <c r="H593" s="93"/>
      <c r="I593" s="93"/>
      <c r="J593" s="93"/>
      <c r="K593" s="93"/>
    </row>
    <row r="594" spans="4:11" x14ac:dyDescent="0.25">
      <c r="D594" s="93"/>
      <c r="E594" s="93"/>
      <c r="F594" s="93"/>
      <c r="G594" s="93"/>
      <c r="H594" s="93"/>
      <c r="I594" s="93"/>
      <c r="J594" s="93"/>
      <c r="K594" s="93"/>
    </row>
    <row r="595" spans="4:11" x14ac:dyDescent="0.25">
      <c r="D595" s="93"/>
      <c r="E595" s="93"/>
      <c r="F595" s="93"/>
      <c r="G595" s="93"/>
      <c r="H595" s="93"/>
      <c r="I595" s="93"/>
      <c r="J595" s="93"/>
      <c r="K595" s="93"/>
    </row>
    <row r="596" spans="4:11" x14ac:dyDescent="0.25">
      <c r="D596" s="93"/>
      <c r="E596" s="93"/>
      <c r="F596" s="93"/>
      <c r="G596" s="93"/>
      <c r="H596" s="93"/>
      <c r="I596" s="93"/>
      <c r="J596" s="93"/>
      <c r="K596" s="93"/>
    </row>
    <row r="597" spans="4:11" x14ac:dyDescent="0.25">
      <c r="D597" s="93"/>
      <c r="E597" s="93"/>
      <c r="F597" s="93"/>
      <c r="G597" s="93"/>
      <c r="H597" s="93"/>
      <c r="I597" s="93"/>
      <c r="J597" s="93"/>
      <c r="K597" s="93"/>
    </row>
    <row r="598" spans="4:11" x14ac:dyDescent="0.25">
      <c r="D598" s="93"/>
      <c r="E598" s="93"/>
      <c r="F598" s="93"/>
      <c r="G598" s="93"/>
      <c r="H598" s="93"/>
      <c r="I598" s="93"/>
      <c r="J598" s="93"/>
      <c r="K598" s="93"/>
    </row>
    <row r="599" spans="4:11" x14ac:dyDescent="0.25">
      <c r="D599" s="93"/>
      <c r="E599" s="93"/>
      <c r="F599" s="93"/>
      <c r="G599" s="93"/>
      <c r="H599" s="93"/>
      <c r="I599" s="93"/>
      <c r="J599" s="93"/>
      <c r="K599" s="93"/>
    </row>
    <row r="600" spans="4:11" x14ac:dyDescent="0.25">
      <c r="D600" s="93"/>
      <c r="E600" s="93"/>
      <c r="F600" s="93"/>
      <c r="G600" s="93"/>
      <c r="H600" s="93"/>
      <c r="I600" s="93"/>
      <c r="J600" s="93"/>
      <c r="K600" s="93"/>
    </row>
    <row r="601" spans="4:11" x14ac:dyDescent="0.25">
      <c r="D601" s="93"/>
      <c r="E601" s="93"/>
      <c r="F601" s="93"/>
      <c r="G601" s="93"/>
      <c r="H601" s="93"/>
      <c r="I601" s="93"/>
      <c r="J601" s="93"/>
      <c r="K601" s="93"/>
    </row>
    <row r="602" spans="4:11" x14ac:dyDescent="0.25">
      <c r="D602" s="93"/>
      <c r="E602" s="93"/>
      <c r="F602" s="93"/>
      <c r="G602" s="93"/>
      <c r="H602" s="93"/>
      <c r="I602" s="93"/>
      <c r="J602" s="93"/>
      <c r="K602" s="93"/>
    </row>
    <row r="603" spans="4:11" x14ac:dyDescent="0.25">
      <c r="D603" s="93"/>
      <c r="E603" s="93"/>
      <c r="F603" s="93"/>
      <c r="G603" s="93"/>
      <c r="H603" s="93"/>
      <c r="I603" s="93"/>
      <c r="J603" s="93"/>
      <c r="K603" s="93"/>
    </row>
    <row r="604" spans="4:11" x14ac:dyDescent="0.25">
      <c r="D604" s="93"/>
      <c r="E604" s="93"/>
      <c r="F604" s="93"/>
      <c r="G604" s="93"/>
      <c r="H604" s="93"/>
      <c r="I604" s="93"/>
      <c r="J604" s="93"/>
      <c r="K604" s="93"/>
    </row>
    <row r="605" spans="4:11" x14ac:dyDescent="0.25">
      <c r="D605" s="93"/>
      <c r="E605" s="93"/>
      <c r="F605" s="93"/>
      <c r="G605" s="93"/>
      <c r="H605" s="93"/>
      <c r="I605" s="93"/>
      <c r="J605" s="93"/>
      <c r="K605" s="93"/>
    </row>
    <row r="606" spans="4:11" x14ac:dyDescent="0.25">
      <c r="D606" s="93"/>
      <c r="E606" s="93"/>
      <c r="F606" s="93"/>
      <c r="G606" s="93"/>
      <c r="H606" s="93"/>
      <c r="I606" s="93"/>
      <c r="J606" s="93"/>
      <c r="K606" s="93"/>
    </row>
    <row r="607" spans="4:11" x14ac:dyDescent="0.25">
      <c r="D607" s="93"/>
      <c r="E607" s="93"/>
      <c r="F607" s="93"/>
      <c r="G607" s="93"/>
      <c r="H607" s="93"/>
      <c r="I607" s="93"/>
      <c r="J607" s="93"/>
      <c r="K607" s="93"/>
    </row>
    <row r="608" spans="4:11" x14ac:dyDescent="0.25">
      <c r="D608" s="93"/>
      <c r="E608" s="93"/>
      <c r="F608" s="93"/>
      <c r="G608" s="93"/>
      <c r="H608" s="93"/>
      <c r="I608" s="93"/>
      <c r="J608" s="93"/>
      <c r="K608" s="93"/>
    </row>
    <row r="609" spans="4:11" x14ac:dyDescent="0.25">
      <c r="D609" s="93"/>
      <c r="E609" s="93"/>
      <c r="F609" s="93"/>
      <c r="G609" s="93"/>
      <c r="H609" s="93"/>
      <c r="I609" s="93"/>
      <c r="J609" s="93"/>
      <c r="K609" s="93"/>
    </row>
    <row r="610" spans="4:11" x14ac:dyDescent="0.25">
      <c r="D610" s="93"/>
      <c r="E610" s="93"/>
      <c r="F610" s="93"/>
      <c r="G610" s="93"/>
      <c r="H610" s="93"/>
      <c r="I610" s="93"/>
      <c r="J610" s="93"/>
      <c r="K610" s="93"/>
    </row>
    <row r="611" spans="4:11" x14ac:dyDescent="0.25">
      <c r="D611" s="93"/>
      <c r="E611" s="93"/>
      <c r="F611" s="93"/>
      <c r="G611" s="93"/>
      <c r="H611" s="93"/>
      <c r="I611" s="93"/>
      <c r="J611" s="93"/>
      <c r="K611" s="93"/>
    </row>
    <row r="612" spans="4:11" x14ac:dyDescent="0.25">
      <c r="D612" s="93"/>
      <c r="E612" s="93"/>
      <c r="F612" s="93"/>
      <c r="G612" s="93"/>
      <c r="H612" s="93"/>
      <c r="I612" s="93"/>
      <c r="J612" s="93"/>
      <c r="K612" s="93"/>
    </row>
    <row r="613" spans="4:11" x14ac:dyDescent="0.25">
      <c r="D613" s="93"/>
      <c r="E613" s="93"/>
      <c r="F613" s="93"/>
      <c r="G613" s="93"/>
      <c r="H613" s="93"/>
      <c r="I613" s="93"/>
      <c r="J613" s="93"/>
      <c r="K613" s="93"/>
    </row>
    <row r="614" spans="4:11" x14ac:dyDescent="0.25">
      <c r="D614" s="93"/>
      <c r="E614" s="93"/>
      <c r="F614" s="93"/>
      <c r="G614" s="93"/>
      <c r="H614" s="93"/>
      <c r="I614" s="93"/>
      <c r="J614" s="93"/>
      <c r="K614" s="93"/>
    </row>
    <row r="615" spans="4:11" x14ac:dyDescent="0.25">
      <c r="D615" s="93"/>
      <c r="E615" s="93"/>
      <c r="F615" s="93"/>
      <c r="G615" s="93"/>
      <c r="H615" s="93"/>
      <c r="I615" s="93"/>
      <c r="J615" s="93"/>
      <c r="K615" s="93"/>
    </row>
    <row r="616" spans="4:11" x14ac:dyDescent="0.25">
      <c r="D616" s="93"/>
      <c r="E616" s="93"/>
      <c r="F616" s="93"/>
      <c r="G616" s="93"/>
      <c r="H616" s="93"/>
      <c r="I616" s="93"/>
      <c r="J616" s="93"/>
      <c r="K616" s="93"/>
    </row>
    <row r="617" spans="4:11" x14ac:dyDescent="0.25">
      <c r="D617" s="93"/>
      <c r="E617" s="93"/>
      <c r="F617" s="93"/>
      <c r="G617" s="93"/>
      <c r="H617" s="93"/>
      <c r="I617" s="93"/>
      <c r="J617" s="93"/>
      <c r="K617" s="93"/>
    </row>
    <row r="618" spans="4:11" x14ac:dyDescent="0.25">
      <c r="D618" s="93"/>
      <c r="E618" s="93"/>
      <c r="F618" s="93"/>
      <c r="G618" s="93"/>
      <c r="H618" s="93"/>
      <c r="I618" s="93"/>
      <c r="J618" s="93"/>
      <c r="K618" s="93"/>
    </row>
    <row r="619" spans="4:11" x14ac:dyDescent="0.25">
      <c r="D619" s="93"/>
      <c r="E619" s="93"/>
      <c r="F619" s="93"/>
      <c r="G619" s="93"/>
      <c r="H619" s="93"/>
      <c r="I619" s="93"/>
      <c r="J619" s="93"/>
      <c r="K619" s="93"/>
    </row>
    <row r="620" spans="4:11" x14ac:dyDescent="0.25">
      <c r="D620" s="93"/>
      <c r="E620" s="93"/>
      <c r="F620" s="93"/>
      <c r="G620" s="93"/>
      <c r="H620" s="93"/>
      <c r="I620" s="93"/>
      <c r="J620" s="93"/>
      <c r="K620" s="93"/>
    </row>
    <row r="621" spans="4:11" x14ac:dyDescent="0.25">
      <c r="D621" s="93"/>
      <c r="E621" s="93"/>
      <c r="F621" s="93"/>
      <c r="G621" s="93"/>
      <c r="H621" s="93"/>
      <c r="I621" s="93"/>
      <c r="J621" s="93"/>
      <c r="K621" s="93"/>
    </row>
    <row r="622" spans="4:11" x14ac:dyDescent="0.25">
      <c r="D622" s="93"/>
      <c r="E622" s="93"/>
      <c r="F622" s="93"/>
      <c r="G622" s="93"/>
      <c r="H622" s="93"/>
      <c r="I622" s="93"/>
      <c r="J622" s="93"/>
      <c r="K622" s="93"/>
    </row>
    <row r="623" spans="4:11" x14ac:dyDescent="0.25">
      <c r="D623" s="93"/>
      <c r="E623" s="93"/>
      <c r="F623" s="93"/>
      <c r="G623" s="93"/>
      <c r="H623" s="93"/>
      <c r="I623" s="93"/>
      <c r="J623" s="93"/>
      <c r="K623" s="93"/>
    </row>
    <row r="624" spans="4:11" x14ac:dyDescent="0.25">
      <c r="D624" s="93"/>
      <c r="E624" s="93"/>
      <c r="F624" s="93"/>
      <c r="G624" s="93"/>
      <c r="H624" s="93"/>
      <c r="I624" s="93"/>
      <c r="J624" s="93"/>
      <c r="K624" s="93"/>
    </row>
    <row r="625" spans="4:11" x14ac:dyDescent="0.25">
      <c r="D625" s="93"/>
      <c r="E625" s="93"/>
      <c r="F625" s="93"/>
      <c r="G625" s="93"/>
      <c r="H625" s="93"/>
      <c r="I625" s="93"/>
      <c r="J625" s="93"/>
      <c r="K625" s="93"/>
    </row>
    <row r="626" spans="4:11" x14ac:dyDescent="0.25">
      <c r="D626" s="93"/>
      <c r="E626" s="93"/>
      <c r="F626" s="93"/>
      <c r="G626" s="93"/>
      <c r="H626" s="93"/>
      <c r="I626" s="93"/>
      <c r="J626" s="93"/>
      <c r="K626" s="93"/>
    </row>
    <row r="627" spans="4:11" x14ac:dyDescent="0.25">
      <c r="D627" s="93"/>
      <c r="E627" s="93"/>
      <c r="F627" s="93"/>
      <c r="G627" s="93"/>
      <c r="H627" s="93"/>
      <c r="I627" s="93"/>
      <c r="J627" s="93"/>
      <c r="K627" s="93"/>
    </row>
    <row r="628" spans="4:11" x14ac:dyDescent="0.25">
      <c r="D628" s="93"/>
      <c r="E628" s="93"/>
      <c r="F628" s="93"/>
      <c r="G628" s="93"/>
      <c r="H628" s="93"/>
      <c r="I628" s="93"/>
      <c r="J628" s="93"/>
      <c r="K628" s="93"/>
    </row>
    <row r="629" spans="4:11" x14ac:dyDescent="0.25">
      <c r="D629" s="93"/>
      <c r="E629" s="93"/>
      <c r="F629" s="93"/>
      <c r="G629" s="93"/>
      <c r="H629" s="93"/>
      <c r="I629" s="93"/>
      <c r="J629" s="93"/>
      <c r="K629" s="93"/>
    </row>
    <row r="630" spans="4:11" x14ac:dyDescent="0.25">
      <c r="D630" s="93"/>
      <c r="E630" s="93"/>
      <c r="F630" s="93"/>
      <c r="G630" s="93"/>
      <c r="H630" s="93"/>
      <c r="I630" s="93"/>
      <c r="J630" s="93"/>
      <c r="K630" s="93"/>
    </row>
    <row r="631" spans="4:11" x14ac:dyDescent="0.25">
      <c r="D631" s="93"/>
      <c r="E631" s="93"/>
      <c r="F631" s="93"/>
      <c r="G631" s="93"/>
      <c r="H631" s="93"/>
      <c r="I631" s="93"/>
      <c r="J631" s="93"/>
      <c r="K631" s="93"/>
    </row>
    <row r="632" spans="4:11" x14ac:dyDescent="0.25">
      <c r="D632" s="93"/>
      <c r="E632" s="93"/>
      <c r="F632" s="93"/>
      <c r="G632" s="93"/>
      <c r="H632" s="93"/>
      <c r="I632" s="93"/>
      <c r="J632" s="93"/>
      <c r="K632" s="93"/>
    </row>
    <row r="633" spans="4:11" x14ac:dyDescent="0.25">
      <c r="D633" s="93"/>
      <c r="E633" s="93"/>
      <c r="F633" s="93"/>
      <c r="G633" s="93"/>
      <c r="H633" s="93"/>
      <c r="I633" s="93"/>
      <c r="J633" s="93"/>
      <c r="K633" s="93"/>
    </row>
    <row r="634" spans="4:11" x14ac:dyDescent="0.25">
      <c r="D634" s="93"/>
      <c r="E634" s="93"/>
      <c r="F634" s="93"/>
      <c r="G634" s="93"/>
      <c r="H634" s="93"/>
      <c r="I634" s="93"/>
      <c r="J634" s="93"/>
      <c r="K634" s="93"/>
    </row>
    <row r="635" spans="4:11" x14ac:dyDescent="0.25">
      <c r="D635" s="93"/>
      <c r="E635" s="93"/>
      <c r="F635" s="93"/>
      <c r="G635" s="93"/>
      <c r="H635" s="93"/>
      <c r="I635" s="93"/>
      <c r="J635" s="93"/>
      <c r="K635" s="93"/>
    </row>
    <row r="636" spans="4:11" x14ac:dyDescent="0.25">
      <c r="D636" s="93"/>
      <c r="E636" s="93"/>
      <c r="F636" s="93"/>
      <c r="G636" s="93"/>
      <c r="H636" s="93"/>
      <c r="I636" s="93"/>
      <c r="J636" s="93"/>
      <c r="K636" s="93"/>
    </row>
    <row r="637" spans="4:11" x14ac:dyDescent="0.25">
      <c r="D637" s="93"/>
      <c r="E637" s="93"/>
      <c r="F637" s="93"/>
      <c r="G637" s="93"/>
      <c r="H637" s="93"/>
      <c r="I637" s="93"/>
      <c r="J637" s="93"/>
      <c r="K637" s="93"/>
    </row>
    <row r="638" spans="4:11" x14ac:dyDescent="0.25">
      <c r="D638" s="93"/>
      <c r="E638" s="93"/>
      <c r="F638" s="93"/>
      <c r="G638" s="93"/>
      <c r="H638" s="93"/>
      <c r="I638" s="93"/>
      <c r="J638" s="93"/>
      <c r="K638" s="93"/>
    </row>
    <row r="639" spans="4:11" x14ac:dyDescent="0.25">
      <c r="D639" s="93"/>
      <c r="E639" s="93"/>
      <c r="F639" s="93"/>
      <c r="G639" s="93"/>
      <c r="H639" s="93"/>
      <c r="I639" s="93"/>
      <c r="J639" s="93"/>
      <c r="K639" s="93"/>
    </row>
    <row r="640" spans="4:11" x14ac:dyDescent="0.25">
      <c r="D640" s="93"/>
      <c r="E640" s="93"/>
      <c r="F640" s="93"/>
      <c r="G640" s="93"/>
      <c r="H640" s="93"/>
      <c r="I640" s="93"/>
      <c r="J640" s="93"/>
      <c r="K640" s="93"/>
    </row>
    <row r="641" spans="4:11" x14ac:dyDescent="0.25">
      <c r="D641" s="93"/>
      <c r="E641" s="93"/>
      <c r="F641" s="93"/>
      <c r="G641" s="93"/>
      <c r="H641" s="93"/>
      <c r="I641" s="93"/>
      <c r="J641" s="93"/>
      <c r="K641" s="93"/>
    </row>
    <row r="642" spans="4:11" x14ac:dyDescent="0.25">
      <c r="D642" s="93"/>
      <c r="E642" s="93"/>
      <c r="F642" s="93"/>
      <c r="G642" s="93"/>
      <c r="H642" s="93"/>
      <c r="I642" s="93"/>
      <c r="J642" s="93"/>
      <c r="K642" s="93"/>
    </row>
    <row r="643" spans="4:11" x14ac:dyDescent="0.25">
      <c r="D643" s="93"/>
      <c r="E643" s="93"/>
      <c r="F643" s="93"/>
      <c r="G643" s="93"/>
      <c r="H643" s="93"/>
      <c r="I643" s="93"/>
      <c r="J643" s="93"/>
      <c r="K643" s="93"/>
    </row>
    <row r="644" spans="4:11" x14ac:dyDescent="0.25">
      <c r="D644" s="93"/>
      <c r="E644" s="93"/>
      <c r="F644" s="93"/>
      <c r="G644" s="93"/>
      <c r="H644" s="93"/>
      <c r="I644" s="93"/>
      <c r="J644" s="93"/>
      <c r="K644" s="93"/>
    </row>
    <row r="645" spans="4:11" x14ac:dyDescent="0.25">
      <c r="D645" s="93"/>
      <c r="E645" s="93"/>
      <c r="F645" s="93"/>
      <c r="G645" s="93"/>
      <c r="H645" s="93"/>
      <c r="I645" s="93"/>
      <c r="J645" s="93"/>
      <c r="K645" s="93"/>
    </row>
    <row r="646" spans="4:11" x14ac:dyDescent="0.25">
      <c r="D646" s="93"/>
      <c r="E646" s="93"/>
      <c r="F646" s="93"/>
      <c r="G646" s="93"/>
      <c r="H646" s="93"/>
      <c r="I646" s="93"/>
      <c r="J646" s="93"/>
      <c r="K646" s="93"/>
    </row>
    <row r="647" spans="4:11" x14ac:dyDescent="0.25">
      <c r="D647" s="93"/>
      <c r="E647" s="93"/>
      <c r="F647" s="93"/>
      <c r="G647" s="93"/>
      <c r="H647" s="93"/>
      <c r="I647" s="93"/>
      <c r="J647" s="93"/>
      <c r="K647" s="93"/>
    </row>
    <row r="648" spans="4:11" x14ac:dyDescent="0.25">
      <c r="D648" s="93"/>
      <c r="E648" s="93"/>
      <c r="F648" s="93"/>
      <c r="G648" s="93"/>
      <c r="H648" s="93"/>
      <c r="I648" s="93"/>
      <c r="J648" s="93"/>
      <c r="K648" s="93"/>
    </row>
    <row r="649" spans="4:11" x14ac:dyDescent="0.25">
      <c r="D649" s="93"/>
      <c r="E649" s="93"/>
      <c r="F649" s="93"/>
      <c r="G649" s="93"/>
      <c r="H649" s="93"/>
      <c r="I649" s="93"/>
      <c r="J649" s="93"/>
      <c r="K649" s="93"/>
    </row>
    <row r="650" spans="4:11" x14ac:dyDescent="0.25">
      <c r="D650" s="93"/>
      <c r="E650" s="93"/>
      <c r="F650" s="93"/>
      <c r="G650" s="93"/>
      <c r="H650" s="93"/>
      <c r="I650" s="93"/>
      <c r="J650" s="93"/>
      <c r="K650" s="93"/>
    </row>
    <row r="651" spans="4:11" x14ac:dyDescent="0.25">
      <c r="D651" s="93"/>
      <c r="E651" s="93"/>
      <c r="F651" s="93"/>
      <c r="G651" s="93"/>
      <c r="H651" s="93"/>
      <c r="I651" s="93"/>
      <c r="J651" s="93"/>
      <c r="K651" s="93"/>
    </row>
    <row r="652" spans="4:11" x14ac:dyDescent="0.25">
      <c r="D652" s="93"/>
      <c r="E652" s="93"/>
      <c r="F652" s="93"/>
      <c r="G652" s="93"/>
      <c r="H652" s="93"/>
      <c r="I652" s="93"/>
      <c r="J652" s="93"/>
      <c r="K652" s="93"/>
    </row>
    <row r="653" spans="4:11" x14ac:dyDescent="0.25">
      <c r="D653" s="93"/>
      <c r="E653" s="93"/>
      <c r="F653" s="93"/>
      <c r="G653" s="93"/>
      <c r="H653" s="93"/>
      <c r="I653" s="93"/>
      <c r="J653" s="93"/>
      <c r="K653" s="93"/>
    </row>
    <row r="654" spans="4:11" x14ac:dyDescent="0.25">
      <c r="D654" s="93"/>
      <c r="E654" s="93"/>
      <c r="F654" s="93"/>
      <c r="G654" s="93"/>
      <c r="H654" s="93"/>
      <c r="I654" s="93"/>
      <c r="J654" s="93"/>
      <c r="K654" s="93"/>
    </row>
    <row r="655" spans="4:11" x14ac:dyDescent="0.25">
      <c r="D655" s="93"/>
      <c r="E655" s="93"/>
      <c r="F655" s="93"/>
      <c r="G655" s="93"/>
      <c r="H655" s="93"/>
      <c r="I655" s="93"/>
      <c r="J655" s="93"/>
      <c r="K655" s="93"/>
    </row>
    <row r="656" spans="4:11" x14ac:dyDescent="0.25">
      <c r="D656" s="93"/>
      <c r="E656" s="93"/>
      <c r="F656" s="93"/>
      <c r="G656" s="93"/>
      <c r="H656" s="93"/>
      <c r="I656" s="93"/>
      <c r="J656" s="93"/>
      <c r="K656" s="93"/>
    </row>
    <row r="657" spans="4:11" x14ac:dyDescent="0.25">
      <c r="D657" s="93"/>
      <c r="E657" s="93"/>
      <c r="F657" s="93"/>
      <c r="G657" s="93"/>
      <c r="H657" s="93"/>
      <c r="I657" s="93"/>
      <c r="J657" s="93"/>
      <c r="K657" s="93"/>
    </row>
    <row r="658" spans="4:11" x14ac:dyDescent="0.25">
      <c r="D658" s="93"/>
      <c r="E658" s="93"/>
      <c r="F658" s="93"/>
      <c r="G658" s="93"/>
      <c r="H658" s="93"/>
      <c r="I658" s="93"/>
      <c r="J658" s="93"/>
      <c r="K658" s="93"/>
    </row>
    <row r="659" spans="4:11" x14ac:dyDescent="0.25">
      <c r="D659" s="93"/>
      <c r="E659" s="93"/>
      <c r="F659" s="93"/>
      <c r="G659" s="93"/>
      <c r="H659" s="93"/>
      <c r="I659" s="93"/>
      <c r="J659" s="93"/>
      <c r="K659" s="93"/>
    </row>
    <row r="660" spans="4:11" x14ac:dyDescent="0.25">
      <c r="D660" s="93"/>
      <c r="E660" s="93"/>
      <c r="F660" s="93"/>
      <c r="G660" s="93"/>
      <c r="H660" s="93"/>
      <c r="I660" s="93"/>
      <c r="J660" s="93"/>
      <c r="K660" s="93"/>
    </row>
    <row r="661" spans="4:11" x14ac:dyDescent="0.25">
      <c r="D661" s="93"/>
      <c r="E661" s="93"/>
      <c r="F661" s="93"/>
      <c r="G661" s="93"/>
      <c r="H661" s="93"/>
      <c r="I661" s="93"/>
      <c r="J661" s="93"/>
      <c r="K661" s="93"/>
    </row>
    <row r="662" spans="4:11" x14ac:dyDescent="0.25">
      <c r="D662" s="93"/>
      <c r="E662" s="93"/>
      <c r="F662" s="93"/>
      <c r="G662" s="93"/>
      <c r="H662" s="93"/>
      <c r="I662" s="93"/>
      <c r="J662" s="93"/>
      <c r="K662" s="93"/>
    </row>
    <row r="663" spans="4:11" x14ac:dyDescent="0.25">
      <c r="D663" s="93"/>
      <c r="E663" s="93"/>
      <c r="F663" s="93"/>
      <c r="G663" s="93"/>
      <c r="H663" s="93"/>
      <c r="I663" s="93"/>
      <c r="J663" s="93"/>
      <c r="K663" s="93"/>
    </row>
    <row r="664" spans="4:11" x14ac:dyDescent="0.25">
      <c r="D664" s="93"/>
      <c r="E664" s="93"/>
      <c r="F664" s="93"/>
      <c r="G664" s="93"/>
      <c r="H664" s="93"/>
      <c r="I664" s="93"/>
      <c r="J664" s="93"/>
      <c r="K664" s="93"/>
    </row>
    <row r="665" spans="4:11" x14ac:dyDescent="0.25">
      <c r="D665" s="93"/>
      <c r="E665" s="93"/>
      <c r="F665" s="93"/>
      <c r="G665" s="93"/>
      <c r="H665" s="93"/>
      <c r="I665" s="93"/>
      <c r="J665" s="93"/>
      <c r="K665" s="93"/>
    </row>
    <row r="666" spans="4:11" x14ac:dyDescent="0.25">
      <c r="D666" s="93"/>
      <c r="E666" s="93"/>
      <c r="F666" s="93"/>
      <c r="G666" s="93"/>
      <c r="H666" s="93"/>
      <c r="I666" s="93"/>
      <c r="J666" s="93"/>
      <c r="K666" s="93"/>
    </row>
    <row r="667" spans="4:11" x14ac:dyDescent="0.25">
      <c r="D667" s="93"/>
      <c r="E667" s="93"/>
      <c r="F667" s="93"/>
      <c r="G667" s="93"/>
      <c r="H667" s="93"/>
      <c r="I667" s="93"/>
      <c r="J667" s="93"/>
      <c r="K667" s="93"/>
    </row>
    <row r="668" spans="4:11" x14ac:dyDescent="0.25">
      <c r="D668" s="93"/>
      <c r="E668" s="93"/>
      <c r="F668" s="93"/>
      <c r="G668" s="93"/>
      <c r="H668" s="93"/>
      <c r="I668" s="93"/>
      <c r="J668" s="93"/>
      <c r="K668" s="93"/>
    </row>
    <row r="669" spans="4:11" x14ac:dyDescent="0.25">
      <c r="D669" s="93"/>
      <c r="E669" s="93"/>
      <c r="F669" s="93"/>
      <c r="G669" s="93"/>
      <c r="H669" s="93"/>
      <c r="I669" s="93"/>
      <c r="J669" s="93"/>
      <c r="K669" s="93"/>
    </row>
    <row r="670" spans="4:11" x14ac:dyDescent="0.25">
      <c r="D670" s="93"/>
      <c r="E670" s="93"/>
      <c r="F670" s="93"/>
      <c r="G670" s="93"/>
      <c r="H670" s="93"/>
      <c r="I670" s="93"/>
      <c r="J670" s="93"/>
      <c r="K670" s="93"/>
    </row>
    <row r="671" spans="4:11" x14ac:dyDescent="0.25">
      <c r="D671" s="93"/>
      <c r="E671" s="93"/>
      <c r="F671" s="93"/>
      <c r="G671" s="93"/>
      <c r="H671" s="93"/>
      <c r="I671" s="93"/>
      <c r="J671" s="93"/>
      <c r="K671" s="93"/>
    </row>
    <row r="672" spans="4:11" x14ac:dyDescent="0.25">
      <c r="D672" s="93"/>
      <c r="E672" s="93"/>
      <c r="F672" s="93"/>
      <c r="G672" s="93"/>
      <c r="H672" s="93"/>
      <c r="I672" s="93"/>
      <c r="J672" s="93"/>
      <c r="K672" s="93"/>
    </row>
    <row r="673" spans="4:11" x14ac:dyDescent="0.25">
      <c r="D673" s="93"/>
      <c r="E673" s="93"/>
      <c r="F673" s="93"/>
      <c r="G673" s="93"/>
      <c r="H673" s="93"/>
      <c r="I673" s="93"/>
      <c r="J673" s="93"/>
      <c r="K673" s="93"/>
    </row>
    <row r="674" spans="4:11" x14ac:dyDescent="0.25">
      <c r="D674" s="93"/>
      <c r="E674" s="93"/>
      <c r="F674" s="93"/>
      <c r="G674" s="93"/>
      <c r="H674" s="93"/>
      <c r="I674" s="93"/>
      <c r="J674" s="93"/>
      <c r="K674" s="93"/>
    </row>
    <row r="675" spans="4:11" x14ac:dyDescent="0.25">
      <c r="D675" s="93"/>
      <c r="E675" s="93"/>
      <c r="F675" s="93"/>
      <c r="G675" s="93"/>
      <c r="H675" s="93"/>
      <c r="I675" s="93"/>
      <c r="J675" s="93"/>
      <c r="K675" s="93"/>
    </row>
    <row r="676" spans="4:11" x14ac:dyDescent="0.25">
      <c r="D676" s="93"/>
      <c r="E676" s="93"/>
      <c r="F676" s="93"/>
      <c r="G676" s="93"/>
      <c r="H676" s="93"/>
      <c r="I676" s="93"/>
      <c r="J676" s="93"/>
      <c r="K676" s="93"/>
    </row>
    <row r="677" spans="4:11" x14ac:dyDescent="0.25">
      <c r="D677" s="93"/>
      <c r="E677" s="93"/>
      <c r="F677" s="93"/>
      <c r="G677" s="93"/>
      <c r="H677" s="93"/>
      <c r="I677" s="93"/>
      <c r="J677" s="93"/>
      <c r="K677" s="93"/>
    </row>
    <row r="678" spans="4:11" x14ac:dyDescent="0.25">
      <c r="D678" s="93"/>
      <c r="E678" s="93"/>
      <c r="F678" s="93"/>
      <c r="G678" s="93"/>
      <c r="H678" s="93"/>
      <c r="I678" s="93"/>
      <c r="J678" s="93"/>
      <c r="K678" s="93"/>
    </row>
    <row r="679" spans="4:11" x14ac:dyDescent="0.25">
      <c r="D679" s="93"/>
      <c r="E679" s="93"/>
      <c r="F679" s="93"/>
      <c r="G679" s="93"/>
      <c r="H679" s="93"/>
      <c r="I679" s="93"/>
      <c r="J679" s="93"/>
      <c r="K679" s="93"/>
    </row>
    <row r="680" spans="4:11" x14ac:dyDescent="0.25">
      <c r="D680" s="93"/>
      <c r="E680" s="93"/>
      <c r="F680" s="93"/>
      <c r="G680" s="93"/>
      <c r="H680" s="93"/>
      <c r="I680" s="93"/>
      <c r="J680" s="93"/>
      <c r="K680" s="93"/>
    </row>
    <row r="681" spans="4:11" x14ac:dyDescent="0.25">
      <c r="D681" s="93"/>
      <c r="E681" s="93"/>
      <c r="F681" s="93"/>
      <c r="G681" s="93"/>
      <c r="H681" s="93"/>
      <c r="I681" s="93"/>
      <c r="J681" s="93"/>
      <c r="K681" s="93"/>
    </row>
    <row r="682" spans="4:11" x14ac:dyDescent="0.25">
      <c r="D682" s="93"/>
      <c r="E682" s="93"/>
      <c r="F682" s="93"/>
      <c r="G682" s="93"/>
      <c r="H682" s="93"/>
      <c r="I682" s="93"/>
      <c r="J682" s="93"/>
      <c r="K682" s="93"/>
    </row>
    <row r="683" spans="4:11" x14ac:dyDescent="0.25">
      <c r="D683" s="93"/>
      <c r="E683" s="93"/>
      <c r="F683" s="93"/>
      <c r="G683" s="93"/>
      <c r="H683" s="93"/>
      <c r="I683" s="93"/>
      <c r="J683" s="93"/>
      <c r="K683" s="93"/>
    </row>
    <row r="684" spans="4:11" x14ac:dyDescent="0.25">
      <c r="D684" s="93"/>
      <c r="E684" s="93"/>
      <c r="F684" s="93"/>
      <c r="G684" s="93"/>
      <c r="H684" s="93"/>
      <c r="I684" s="93"/>
      <c r="J684" s="93"/>
      <c r="K684" s="93"/>
    </row>
    <row r="685" spans="4:11" x14ac:dyDescent="0.25">
      <c r="D685" s="93"/>
      <c r="E685" s="93"/>
      <c r="F685" s="93"/>
      <c r="G685" s="93"/>
      <c r="H685" s="93"/>
      <c r="I685" s="93"/>
      <c r="J685" s="93"/>
      <c r="K685" s="93"/>
    </row>
    <row r="686" spans="4:11" x14ac:dyDescent="0.25">
      <c r="D686" s="93"/>
      <c r="E686" s="93"/>
      <c r="F686" s="93"/>
      <c r="G686" s="93"/>
      <c r="H686" s="93"/>
      <c r="I686" s="93"/>
      <c r="J686" s="93"/>
      <c r="K686" s="93"/>
    </row>
    <row r="687" spans="4:11" x14ac:dyDescent="0.25">
      <c r="D687" s="93"/>
      <c r="E687" s="93"/>
      <c r="F687" s="93"/>
      <c r="G687" s="93"/>
      <c r="H687" s="93"/>
      <c r="I687" s="93"/>
      <c r="J687" s="93"/>
      <c r="K687" s="93"/>
    </row>
    <row r="688" spans="4:11" x14ac:dyDescent="0.25">
      <c r="D688" s="93"/>
      <c r="E688" s="93"/>
      <c r="F688" s="93"/>
      <c r="G688" s="93"/>
      <c r="H688" s="93"/>
      <c r="I688" s="93"/>
      <c r="J688" s="93"/>
      <c r="K688" s="93"/>
    </row>
    <row r="689" spans="4:11" x14ac:dyDescent="0.25">
      <c r="D689" s="93"/>
      <c r="E689" s="93"/>
      <c r="F689" s="93"/>
      <c r="G689" s="93"/>
      <c r="H689" s="93"/>
      <c r="I689" s="93"/>
      <c r="J689" s="93"/>
      <c r="K689" s="93"/>
    </row>
    <row r="690" spans="4:11" x14ac:dyDescent="0.25">
      <c r="D690" s="93"/>
      <c r="E690" s="93"/>
      <c r="F690" s="93"/>
      <c r="G690" s="93"/>
      <c r="H690" s="93"/>
      <c r="I690" s="93"/>
      <c r="J690" s="93"/>
      <c r="K690" s="93"/>
    </row>
    <row r="691" spans="4:11" x14ac:dyDescent="0.25">
      <c r="D691" s="93"/>
      <c r="E691" s="93"/>
      <c r="F691" s="93"/>
      <c r="G691" s="93"/>
      <c r="H691" s="93"/>
      <c r="I691" s="93"/>
      <c r="J691" s="93"/>
      <c r="K691" s="93"/>
    </row>
    <row r="692" spans="4:11" x14ac:dyDescent="0.25">
      <c r="D692" s="93"/>
      <c r="E692" s="93"/>
      <c r="F692" s="93"/>
      <c r="G692" s="93"/>
      <c r="H692" s="93"/>
      <c r="I692" s="93"/>
      <c r="J692" s="93"/>
      <c r="K692" s="93"/>
    </row>
    <row r="693" spans="4:11" x14ac:dyDescent="0.25">
      <c r="D693" s="93"/>
      <c r="E693" s="93"/>
      <c r="F693" s="93"/>
      <c r="G693" s="93"/>
      <c r="H693" s="93"/>
      <c r="I693" s="93"/>
      <c r="J693" s="93"/>
      <c r="K693" s="93"/>
    </row>
    <row r="694" spans="4:11" x14ac:dyDescent="0.25">
      <c r="D694" s="93"/>
      <c r="E694" s="93"/>
      <c r="F694" s="93"/>
      <c r="G694" s="93"/>
      <c r="H694" s="93"/>
      <c r="I694" s="93"/>
      <c r="J694" s="93"/>
      <c r="K694" s="93"/>
    </row>
    <row r="695" spans="4:11" x14ac:dyDescent="0.25">
      <c r="D695" s="93"/>
      <c r="E695" s="93"/>
      <c r="F695" s="93"/>
      <c r="G695" s="93"/>
      <c r="H695" s="93"/>
      <c r="I695" s="93"/>
      <c r="J695" s="93"/>
      <c r="K695" s="93"/>
    </row>
    <row r="696" spans="4:11" x14ac:dyDescent="0.25">
      <c r="D696" s="93"/>
      <c r="E696" s="93"/>
      <c r="F696" s="93"/>
      <c r="G696" s="93"/>
      <c r="H696" s="93"/>
      <c r="I696" s="93"/>
      <c r="J696" s="93"/>
      <c r="K696" s="93"/>
    </row>
    <row r="697" spans="4:11" x14ac:dyDescent="0.25">
      <c r="D697" s="93"/>
      <c r="E697" s="93"/>
      <c r="F697" s="93"/>
      <c r="G697" s="93"/>
      <c r="H697" s="93"/>
      <c r="I697" s="93"/>
      <c r="J697" s="93"/>
      <c r="K697" s="93"/>
    </row>
    <row r="698" spans="4:11" x14ac:dyDescent="0.25">
      <c r="D698" s="93"/>
      <c r="E698" s="93"/>
      <c r="F698" s="93"/>
      <c r="G698" s="93"/>
      <c r="H698" s="93"/>
      <c r="I698" s="93"/>
      <c r="J698" s="93"/>
      <c r="K698" s="93"/>
    </row>
    <row r="699" spans="4:11" x14ac:dyDescent="0.25">
      <c r="D699" s="93"/>
      <c r="E699" s="93"/>
      <c r="F699" s="93"/>
      <c r="G699" s="93"/>
      <c r="H699" s="93"/>
      <c r="I699" s="93"/>
      <c r="J699" s="93"/>
      <c r="K699" s="93"/>
    </row>
    <row r="700" spans="4:11" x14ac:dyDescent="0.25">
      <c r="D700" s="93"/>
      <c r="E700" s="93"/>
      <c r="F700" s="93"/>
      <c r="G700" s="93"/>
      <c r="H700" s="93"/>
      <c r="I700" s="93"/>
      <c r="J700" s="93"/>
      <c r="K700" s="93"/>
    </row>
    <row r="701" spans="4:11" x14ac:dyDescent="0.25">
      <c r="D701" s="93"/>
      <c r="E701" s="93"/>
      <c r="F701" s="93"/>
      <c r="G701" s="93"/>
      <c r="H701" s="93"/>
      <c r="I701" s="93"/>
      <c r="J701" s="93"/>
      <c r="K701" s="93"/>
    </row>
    <row r="702" spans="4:11" x14ac:dyDescent="0.25">
      <c r="D702" s="93"/>
      <c r="E702" s="93"/>
      <c r="F702" s="93"/>
      <c r="G702" s="93"/>
      <c r="H702" s="93"/>
      <c r="I702" s="93"/>
      <c r="J702" s="93"/>
      <c r="K702" s="93"/>
    </row>
    <row r="703" spans="4:11" x14ac:dyDescent="0.25">
      <c r="D703" s="93"/>
      <c r="E703" s="93"/>
      <c r="F703" s="93"/>
      <c r="G703" s="93"/>
      <c r="H703" s="93"/>
      <c r="I703" s="93"/>
      <c r="J703" s="93"/>
      <c r="K703" s="93"/>
    </row>
    <row r="704" spans="4:11" x14ac:dyDescent="0.25">
      <c r="D704" s="93"/>
      <c r="E704" s="93"/>
      <c r="F704" s="93"/>
      <c r="G704" s="93"/>
      <c r="H704" s="93"/>
      <c r="I704" s="93"/>
      <c r="J704" s="93"/>
      <c r="K704" s="93"/>
    </row>
    <row r="705" spans="4:11" x14ac:dyDescent="0.25">
      <c r="D705" s="93"/>
      <c r="E705" s="93"/>
      <c r="F705" s="93"/>
      <c r="G705" s="93"/>
      <c r="H705" s="93"/>
      <c r="I705" s="93"/>
      <c r="J705" s="93"/>
      <c r="K705" s="93"/>
    </row>
    <row r="706" spans="4:11" x14ac:dyDescent="0.25">
      <c r="D706" s="93"/>
      <c r="E706" s="93"/>
      <c r="F706" s="93"/>
      <c r="G706" s="93"/>
      <c r="H706" s="93"/>
      <c r="I706" s="93"/>
      <c r="J706" s="93"/>
      <c r="K706" s="93"/>
    </row>
    <row r="707" spans="4:11" x14ac:dyDescent="0.25">
      <c r="D707" s="93"/>
      <c r="E707" s="93"/>
      <c r="F707" s="93"/>
      <c r="G707" s="93"/>
      <c r="H707" s="93"/>
      <c r="I707" s="93"/>
      <c r="J707" s="93"/>
      <c r="K707" s="93"/>
    </row>
    <row r="708" spans="4:11" x14ac:dyDescent="0.25">
      <c r="D708" s="93"/>
      <c r="E708" s="93"/>
      <c r="F708" s="93"/>
      <c r="G708" s="93"/>
      <c r="H708" s="93"/>
      <c r="I708" s="93"/>
      <c r="J708" s="93"/>
      <c r="K708" s="93"/>
    </row>
    <row r="709" spans="4:11" x14ac:dyDescent="0.25">
      <c r="D709" s="93"/>
      <c r="E709" s="93"/>
      <c r="F709" s="93"/>
      <c r="G709" s="93"/>
      <c r="H709" s="93"/>
      <c r="I709" s="93"/>
      <c r="J709" s="93"/>
      <c r="K709" s="93"/>
    </row>
    <row r="710" spans="4:11" x14ac:dyDescent="0.25">
      <c r="D710" s="93"/>
      <c r="E710" s="93"/>
      <c r="F710" s="93"/>
      <c r="G710" s="93"/>
      <c r="H710" s="93"/>
      <c r="I710" s="93"/>
      <c r="J710" s="93"/>
      <c r="K710" s="93"/>
    </row>
    <row r="711" spans="4:11" x14ac:dyDescent="0.25">
      <c r="D711" s="93"/>
      <c r="E711" s="93"/>
      <c r="F711" s="93"/>
      <c r="G711" s="93"/>
      <c r="H711" s="93"/>
      <c r="I711" s="93"/>
      <c r="J711" s="93"/>
      <c r="K711" s="93"/>
    </row>
    <row r="712" spans="4:11" x14ac:dyDescent="0.25">
      <c r="D712" s="93"/>
      <c r="E712" s="93"/>
      <c r="F712" s="93"/>
      <c r="G712" s="93"/>
      <c r="H712" s="93"/>
      <c r="I712" s="93"/>
      <c r="J712" s="93"/>
      <c r="K712" s="93"/>
    </row>
    <row r="713" spans="4:11" x14ac:dyDescent="0.25">
      <c r="D713" s="93"/>
      <c r="E713" s="93"/>
      <c r="F713" s="93"/>
      <c r="G713" s="93"/>
      <c r="H713" s="93"/>
      <c r="I713" s="93"/>
      <c r="J713" s="93"/>
      <c r="K713" s="93"/>
    </row>
    <row r="714" spans="4:11" x14ac:dyDescent="0.25">
      <c r="D714" s="93"/>
      <c r="E714" s="93"/>
      <c r="F714" s="93"/>
      <c r="G714" s="93"/>
      <c r="H714" s="93"/>
      <c r="I714" s="93"/>
      <c r="J714" s="93"/>
      <c r="K714" s="93"/>
    </row>
    <row r="715" spans="4:11" x14ac:dyDescent="0.25">
      <c r="D715" s="93"/>
      <c r="E715" s="93"/>
      <c r="F715" s="93"/>
      <c r="G715" s="93"/>
      <c r="H715" s="93"/>
      <c r="I715" s="93"/>
      <c r="J715" s="93"/>
      <c r="K715" s="93"/>
    </row>
    <row r="716" spans="4:11" x14ac:dyDescent="0.25">
      <c r="D716" s="93"/>
      <c r="E716" s="93"/>
      <c r="F716" s="93"/>
      <c r="G716" s="93"/>
      <c r="H716" s="93"/>
      <c r="I716" s="93"/>
      <c r="J716" s="93"/>
      <c r="K716" s="93"/>
    </row>
    <row r="717" spans="4:11" x14ac:dyDescent="0.25">
      <c r="D717" s="93"/>
      <c r="E717" s="93"/>
      <c r="F717" s="93"/>
      <c r="G717" s="93"/>
      <c r="H717" s="93"/>
      <c r="I717" s="93"/>
      <c r="J717" s="93"/>
      <c r="K717" s="93"/>
    </row>
    <row r="718" spans="4:11" x14ac:dyDescent="0.25">
      <c r="D718" s="93"/>
      <c r="E718" s="93"/>
      <c r="F718" s="93"/>
      <c r="G718" s="93"/>
      <c r="H718" s="93"/>
      <c r="I718" s="93"/>
      <c r="J718" s="93"/>
      <c r="K718" s="93"/>
    </row>
    <row r="719" spans="4:11" x14ac:dyDescent="0.25">
      <c r="D719" s="93"/>
      <c r="E719" s="93"/>
      <c r="F719" s="93"/>
      <c r="G719" s="93"/>
      <c r="H719" s="93"/>
      <c r="I719" s="93"/>
      <c r="J719" s="93"/>
      <c r="K719" s="93"/>
    </row>
    <row r="720" spans="4:11" x14ac:dyDescent="0.25">
      <c r="D720" s="93"/>
      <c r="E720" s="93"/>
      <c r="F720" s="93"/>
      <c r="G720" s="93"/>
      <c r="H720" s="93"/>
      <c r="I720" s="93"/>
      <c r="J720" s="93"/>
      <c r="K720" s="93"/>
    </row>
    <row r="721" spans="4:11" x14ac:dyDescent="0.25">
      <c r="D721" s="93"/>
      <c r="E721" s="93"/>
      <c r="F721" s="93"/>
      <c r="G721" s="93"/>
      <c r="H721" s="93"/>
      <c r="I721" s="93"/>
      <c r="J721" s="93"/>
      <c r="K721" s="93"/>
    </row>
    <row r="722" spans="4:11" x14ac:dyDescent="0.25">
      <c r="D722" s="93"/>
      <c r="E722" s="93"/>
      <c r="F722" s="93"/>
      <c r="G722" s="93"/>
      <c r="H722" s="93"/>
      <c r="I722" s="93"/>
      <c r="J722" s="93"/>
      <c r="K722" s="93"/>
    </row>
    <row r="723" spans="4:11" x14ac:dyDescent="0.25">
      <c r="D723" s="93"/>
      <c r="E723" s="93"/>
      <c r="F723" s="93"/>
      <c r="G723" s="93"/>
      <c r="H723" s="93"/>
      <c r="I723" s="93"/>
      <c r="J723" s="93"/>
      <c r="K723" s="93"/>
    </row>
    <row r="724" spans="4:11" x14ac:dyDescent="0.25">
      <c r="D724" s="93"/>
      <c r="E724" s="93"/>
      <c r="F724" s="93"/>
      <c r="G724" s="93"/>
      <c r="H724" s="93"/>
      <c r="I724" s="93"/>
      <c r="J724" s="93"/>
      <c r="K724" s="93"/>
    </row>
    <row r="725" spans="4:11" x14ac:dyDescent="0.25">
      <c r="D725" s="93"/>
      <c r="E725" s="93"/>
      <c r="F725" s="93"/>
      <c r="G725" s="93"/>
      <c r="H725" s="93"/>
      <c r="I725" s="93"/>
      <c r="J725" s="93"/>
      <c r="K725" s="93"/>
    </row>
    <row r="726" spans="4:11" x14ac:dyDescent="0.25">
      <c r="D726" s="93"/>
      <c r="E726" s="93"/>
      <c r="F726" s="93"/>
      <c r="G726" s="93"/>
      <c r="H726" s="93"/>
      <c r="I726" s="93"/>
      <c r="J726" s="93"/>
      <c r="K726" s="93"/>
    </row>
    <row r="727" spans="4:11" x14ac:dyDescent="0.25">
      <c r="D727" s="93"/>
      <c r="E727" s="93"/>
      <c r="F727" s="93"/>
      <c r="G727" s="93"/>
      <c r="H727" s="93"/>
      <c r="I727" s="93"/>
      <c r="J727" s="93"/>
      <c r="K727" s="93"/>
    </row>
    <row r="728" spans="4:11" x14ac:dyDescent="0.25">
      <c r="D728" s="93"/>
      <c r="E728" s="93"/>
      <c r="F728" s="93"/>
      <c r="G728" s="93"/>
      <c r="H728" s="93"/>
      <c r="I728" s="93"/>
      <c r="J728" s="93"/>
      <c r="K728" s="93"/>
    </row>
    <row r="729" spans="4:11" x14ac:dyDescent="0.25">
      <c r="D729" s="93"/>
      <c r="E729" s="93"/>
      <c r="F729" s="93"/>
      <c r="G729" s="93"/>
      <c r="H729" s="93"/>
      <c r="I729" s="93"/>
      <c r="J729" s="93"/>
      <c r="K729" s="93"/>
    </row>
    <row r="730" spans="4:11" x14ac:dyDescent="0.25">
      <c r="D730" s="93"/>
      <c r="E730" s="93"/>
      <c r="F730" s="93"/>
      <c r="G730" s="93"/>
      <c r="H730" s="93"/>
      <c r="I730" s="93"/>
      <c r="J730" s="93"/>
      <c r="K730" s="93"/>
    </row>
    <row r="731" spans="4:11" x14ac:dyDescent="0.25">
      <c r="D731" s="93"/>
      <c r="E731" s="93"/>
      <c r="F731" s="93"/>
      <c r="G731" s="93"/>
      <c r="H731" s="93"/>
      <c r="I731" s="93"/>
      <c r="J731" s="93"/>
      <c r="K731" s="93"/>
    </row>
    <row r="732" spans="4:11" x14ac:dyDescent="0.25">
      <c r="D732" s="93"/>
      <c r="E732" s="93"/>
      <c r="F732" s="93"/>
      <c r="G732" s="93"/>
      <c r="H732" s="93"/>
      <c r="I732" s="93"/>
      <c r="J732" s="93"/>
      <c r="K732" s="93"/>
    </row>
    <row r="733" spans="4:11" x14ac:dyDescent="0.25">
      <c r="D733" s="93"/>
      <c r="E733" s="93"/>
      <c r="F733" s="93"/>
      <c r="G733" s="93"/>
      <c r="H733" s="93"/>
      <c r="I733" s="93"/>
      <c r="J733" s="93"/>
      <c r="K733" s="93"/>
    </row>
    <row r="734" spans="4:11" x14ac:dyDescent="0.25">
      <c r="D734" s="93"/>
      <c r="E734" s="93"/>
      <c r="F734" s="93"/>
      <c r="G734" s="93"/>
      <c r="H734" s="93"/>
      <c r="I734" s="93"/>
      <c r="J734" s="93"/>
      <c r="K734" s="93"/>
    </row>
    <row r="735" spans="4:11" x14ac:dyDescent="0.25">
      <c r="D735" s="93"/>
      <c r="E735" s="93"/>
      <c r="F735" s="93"/>
      <c r="G735" s="93"/>
      <c r="H735" s="93"/>
      <c r="I735" s="93"/>
      <c r="J735" s="93"/>
      <c r="K735" s="93"/>
    </row>
    <row r="736" spans="4:11" x14ac:dyDescent="0.25">
      <c r="D736" s="93"/>
      <c r="E736" s="93"/>
      <c r="F736" s="93"/>
      <c r="G736" s="93"/>
      <c r="H736" s="93"/>
      <c r="I736" s="93"/>
      <c r="J736" s="93"/>
      <c r="K736" s="93"/>
    </row>
    <row r="737" spans="4:11" x14ac:dyDescent="0.25">
      <c r="D737" s="93"/>
      <c r="E737" s="93"/>
      <c r="F737" s="93"/>
      <c r="G737" s="93"/>
      <c r="H737" s="93"/>
      <c r="I737" s="93"/>
      <c r="J737" s="93"/>
      <c r="K737" s="93"/>
    </row>
    <row r="738" spans="4:11" x14ac:dyDescent="0.25">
      <c r="D738" s="93"/>
      <c r="E738" s="93"/>
      <c r="F738" s="93"/>
      <c r="G738" s="93"/>
      <c r="H738" s="93"/>
      <c r="I738" s="93"/>
      <c r="J738" s="93"/>
      <c r="K738" s="93"/>
    </row>
    <row r="739" spans="4:11" x14ac:dyDescent="0.25">
      <c r="D739" s="93"/>
      <c r="E739" s="93"/>
      <c r="F739" s="93"/>
      <c r="G739" s="93"/>
      <c r="H739" s="93"/>
      <c r="I739" s="93"/>
      <c r="J739" s="93"/>
      <c r="K739" s="93"/>
    </row>
    <row r="740" spans="4:11" x14ac:dyDescent="0.25">
      <c r="D740" s="93"/>
      <c r="E740" s="93"/>
      <c r="F740" s="93"/>
      <c r="G740" s="93"/>
      <c r="H740" s="93"/>
      <c r="I740" s="93"/>
      <c r="J740" s="93"/>
      <c r="K740" s="93"/>
    </row>
    <row r="741" spans="4:11" x14ac:dyDescent="0.25">
      <c r="D741" s="93"/>
      <c r="E741" s="93"/>
      <c r="F741" s="93"/>
      <c r="G741" s="93"/>
      <c r="H741" s="93"/>
      <c r="I741" s="93"/>
      <c r="J741" s="93"/>
      <c r="K741" s="93"/>
    </row>
    <row r="742" spans="4:11" x14ac:dyDescent="0.25">
      <c r="D742" s="93"/>
      <c r="E742" s="93"/>
      <c r="F742" s="93"/>
      <c r="G742" s="93"/>
      <c r="H742" s="93"/>
      <c r="I742" s="93"/>
      <c r="J742" s="93"/>
      <c r="K742" s="93"/>
    </row>
    <row r="743" spans="4:11" x14ac:dyDescent="0.25">
      <c r="D743" s="93"/>
      <c r="E743" s="93"/>
      <c r="F743" s="93"/>
      <c r="G743" s="93"/>
      <c r="H743" s="93"/>
      <c r="I743" s="93"/>
      <c r="J743" s="93"/>
      <c r="K743" s="93"/>
    </row>
    <row r="744" spans="4:11" x14ac:dyDescent="0.25">
      <c r="D744" s="93"/>
      <c r="E744" s="93"/>
      <c r="F744" s="93"/>
      <c r="G744" s="93"/>
      <c r="H744" s="93"/>
      <c r="I744" s="93"/>
      <c r="J744" s="93"/>
      <c r="K744" s="93"/>
    </row>
    <row r="745" spans="4:11" x14ac:dyDescent="0.25">
      <c r="D745" s="93"/>
      <c r="E745" s="93"/>
      <c r="F745" s="93"/>
      <c r="G745" s="93"/>
      <c r="H745" s="93"/>
      <c r="I745" s="93"/>
      <c r="J745" s="93"/>
      <c r="K745" s="93"/>
    </row>
    <row r="746" spans="4:11" x14ac:dyDescent="0.25">
      <c r="D746" s="93"/>
      <c r="E746" s="93"/>
      <c r="F746" s="93"/>
      <c r="G746" s="93"/>
      <c r="H746" s="93"/>
      <c r="I746" s="93"/>
      <c r="J746" s="93"/>
      <c r="K746" s="93"/>
    </row>
    <row r="747" spans="4:11" x14ac:dyDescent="0.25">
      <c r="D747" s="93"/>
      <c r="E747" s="93"/>
      <c r="F747" s="93"/>
      <c r="G747" s="93"/>
      <c r="H747" s="93"/>
      <c r="I747" s="93"/>
      <c r="J747" s="93"/>
      <c r="K747" s="93"/>
    </row>
    <row r="748" spans="4:11" x14ac:dyDescent="0.25">
      <c r="D748" s="93"/>
      <c r="E748" s="93"/>
      <c r="F748" s="93"/>
      <c r="G748" s="93"/>
      <c r="H748" s="93"/>
      <c r="I748" s="93"/>
      <c r="J748" s="93"/>
      <c r="K748" s="93"/>
    </row>
    <row r="749" spans="4:11" x14ac:dyDescent="0.25">
      <c r="D749" s="93"/>
      <c r="E749" s="93"/>
      <c r="F749" s="93"/>
      <c r="G749" s="93"/>
      <c r="H749" s="93"/>
      <c r="I749" s="93"/>
      <c r="J749" s="93"/>
      <c r="K749" s="93"/>
    </row>
    <row r="750" spans="4:11" x14ac:dyDescent="0.25">
      <c r="D750" s="93"/>
      <c r="E750" s="93"/>
      <c r="F750" s="93"/>
      <c r="G750" s="93"/>
      <c r="H750" s="93"/>
      <c r="I750" s="93"/>
      <c r="J750" s="93"/>
      <c r="K750" s="93"/>
    </row>
    <row r="751" spans="4:11" x14ac:dyDescent="0.25">
      <c r="D751" s="93"/>
      <c r="E751" s="93"/>
      <c r="F751" s="93"/>
      <c r="G751" s="93"/>
      <c r="H751" s="93"/>
      <c r="I751" s="93"/>
      <c r="J751" s="93"/>
      <c r="K751" s="93"/>
    </row>
    <row r="752" spans="4:11" x14ac:dyDescent="0.25">
      <c r="D752" s="93"/>
      <c r="E752" s="93"/>
      <c r="F752" s="93"/>
      <c r="G752" s="93"/>
      <c r="H752" s="93"/>
      <c r="I752" s="93"/>
      <c r="J752" s="93"/>
      <c r="K752" s="93"/>
    </row>
    <row r="753" spans="4:11" x14ac:dyDescent="0.25">
      <c r="D753" s="93"/>
      <c r="E753" s="93"/>
      <c r="F753" s="93"/>
      <c r="G753" s="93"/>
      <c r="H753" s="93"/>
      <c r="I753" s="93"/>
      <c r="J753" s="93"/>
      <c r="K753" s="93"/>
    </row>
    <row r="754" spans="4:11" x14ac:dyDescent="0.25">
      <c r="D754" s="93"/>
      <c r="E754" s="93"/>
      <c r="F754" s="93"/>
      <c r="G754" s="93"/>
      <c r="H754" s="93"/>
      <c r="I754" s="93"/>
      <c r="J754" s="93"/>
      <c r="K754" s="93"/>
    </row>
    <row r="755" spans="4:11" x14ac:dyDescent="0.25">
      <c r="D755" s="93"/>
      <c r="E755" s="93"/>
      <c r="F755" s="93"/>
      <c r="G755" s="93"/>
      <c r="H755" s="93"/>
      <c r="I755" s="93"/>
      <c r="J755" s="93"/>
      <c r="K755" s="93"/>
    </row>
    <row r="756" spans="4:11" x14ac:dyDescent="0.25">
      <c r="D756" s="93"/>
      <c r="E756" s="93"/>
      <c r="F756" s="93"/>
      <c r="G756" s="93"/>
      <c r="H756" s="93"/>
      <c r="I756" s="93"/>
      <c r="J756" s="93"/>
      <c r="K756" s="93"/>
    </row>
    <row r="757" spans="4:11" x14ac:dyDescent="0.25">
      <c r="D757" s="93"/>
      <c r="E757" s="93"/>
      <c r="F757" s="93"/>
      <c r="G757" s="93"/>
      <c r="H757" s="93"/>
      <c r="I757" s="93"/>
      <c r="J757" s="93"/>
      <c r="K757" s="93"/>
    </row>
    <row r="758" spans="4:11" x14ac:dyDescent="0.25">
      <c r="D758" s="93"/>
      <c r="E758" s="93"/>
      <c r="F758" s="93"/>
      <c r="G758" s="93"/>
      <c r="H758" s="93"/>
      <c r="I758" s="93"/>
      <c r="J758" s="93"/>
      <c r="K758" s="93"/>
    </row>
    <row r="759" spans="4:11" x14ac:dyDescent="0.25">
      <c r="D759" s="93"/>
      <c r="E759" s="93"/>
      <c r="F759" s="93"/>
      <c r="G759" s="93"/>
      <c r="H759" s="93"/>
      <c r="I759" s="93"/>
      <c r="J759" s="93"/>
      <c r="K759" s="93"/>
    </row>
    <row r="760" spans="4:11" x14ac:dyDescent="0.25">
      <c r="D760" s="93"/>
      <c r="E760" s="93"/>
      <c r="F760" s="93"/>
      <c r="G760" s="93"/>
      <c r="H760" s="93"/>
      <c r="I760" s="93"/>
      <c r="J760" s="93"/>
      <c r="K760" s="93"/>
    </row>
    <row r="761" spans="4:11" x14ac:dyDescent="0.25">
      <c r="D761" s="93"/>
      <c r="E761" s="93"/>
      <c r="F761" s="93"/>
      <c r="G761" s="93"/>
      <c r="H761" s="93"/>
      <c r="I761" s="93"/>
      <c r="J761" s="93"/>
      <c r="K761" s="93"/>
    </row>
    <row r="762" spans="4:11" x14ac:dyDescent="0.25">
      <c r="D762" s="93"/>
      <c r="E762" s="93"/>
      <c r="F762" s="93"/>
      <c r="G762" s="93"/>
      <c r="H762" s="93"/>
      <c r="I762" s="93"/>
      <c r="J762" s="93"/>
      <c r="K762" s="93"/>
    </row>
    <row r="763" spans="4:11" x14ac:dyDescent="0.25">
      <c r="D763" s="93"/>
      <c r="E763" s="93"/>
      <c r="F763" s="93"/>
      <c r="G763" s="93"/>
      <c r="H763" s="93"/>
      <c r="I763" s="93"/>
      <c r="J763" s="93"/>
      <c r="K763" s="93"/>
    </row>
    <row r="764" spans="4:11" x14ac:dyDescent="0.25">
      <c r="D764" s="93"/>
      <c r="E764" s="93"/>
      <c r="F764" s="93"/>
      <c r="G764" s="93"/>
      <c r="H764" s="93"/>
      <c r="I764" s="93"/>
      <c r="J764" s="93"/>
      <c r="K764" s="93"/>
    </row>
    <row r="765" spans="4:11" x14ac:dyDescent="0.25">
      <c r="D765" s="93"/>
      <c r="E765" s="93"/>
      <c r="F765" s="93"/>
      <c r="G765" s="93"/>
      <c r="H765" s="93"/>
      <c r="I765" s="93"/>
      <c r="J765" s="93"/>
      <c r="K765" s="93"/>
    </row>
    <row r="766" spans="4:11" x14ac:dyDescent="0.25">
      <c r="D766" s="93"/>
      <c r="E766" s="93"/>
      <c r="F766" s="93"/>
      <c r="G766" s="93"/>
      <c r="H766" s="93"/>
      <c r="I766" s="93"/>
      <c r="J766" s="93"/>
      <c r="K766" s="93"/>
    </row>
    <row r="767" spans="4:11" x14ac:dyDescent="0.25">
      <c r="D767" s="93"/>
      <c r="E767" s="93"/>
      <c r="F767" s="93"/>
      <c r="G767" s="93"/>
      <c r="H767" s="93"/>
      <c r="I767" s="93"/>
      <c r="J767" s="93"/>
      <c r="K767" s="93"/>
    </row>
    <row r="768" spans="4:11" x14ac:dyDescent="0.25">
      <c r="D768" s="93"/>
      <c r="E768" s="93"/>
      <c r="F768" s="93"/>
      <c r="G768" s="93"/>
      <c r="H768" s="93"/>
      <c r="I768" s="93"/>
      <c r="J768" s="93"/>
      <c r="K768" s="93"/>
    </row>
    <row r="769" spans="4:11" x14ac:dyDescent="0.25">
      <c r="D769" s="93"/>
      <c r="E769" s="93"/>
      <c r="F769" s="93"/>
      <c r="G769" s="93"/>
      <c r="H769" s="93"/>
      <c r="I769" s="93"/>
      <c r="J769" s="93"/>
      <c r="K769" s="93"/>
    </row>
    <row r="770" spans="4:11" x14ac:dyDescent="0.25">
      <c r="D770" s="93"/>
      <c r="E770" s="93"/>
      <c r="F770" s="93"/>
      <c r="G770" s="93"/>
      <c r="H770" s="93"/>
      <c r="I770" s="93"/>
      <c r="J770" s="93"/>
      <c r="K770" s="93"/>
    </row>
    <row r="771" spans="4:11" x14ac:dyDescent="0.25">
      <c r="D771" s="93"/>
      <c r="E771" s="93"/>
      <c r="F771" s="93"/>
      <c r="G771" s="93"/>
      <c r="H771" s="93"/>
      <c r="I771" s="93"/>
      <c r="J771" s="93"/>
      <c r="K771" s="93"/>
    </row>
    <row r="772" spans="4:11" x14ac:dyDescent="0.25">
      <c r="D772" s="93"/>
      <c r="E772" s="93"/>
      <c r="F772" s="93"/>
      <c r="G772" s="93"/>
      <c r="H772" s="93"/>
      <c r="I772" s="93"/>
      <c r="J772" s="93"/>
      <c r="K772" s="93"/>
    </row>
    <row r="773" spans="4:11" x14ac:dyDescent="0.25">
      <c r="D773" s="93"/>
      <c r="E773" s="93"/>
      <c r="F773" s="93"/>
      <c r="G773" s="93"/>
      <c r="H773" s="93"/>
      <c r="I773" s="93"/>
      <c r="J773" s="93"/>
      <c r="K773" s="93"/>
    </row>
    <row r="774" spans="4:11" x14ac:dyDescent="0.25">
      <c r="D774" s="93"/>
      <c r="E774" s="93"/>
      <c r="F774" s="93"/>
      <c r="G774" s="93"/>
      <c r="H774" s="93"/>
      <c r="I774" s="93"/>
      <c r="J774" s="93"/>
      <c r="K774" s="93"/>
    </row>
    <row r="775" spans="4:11" x14ac:dyDescent="0.25">
      <c r="D775" s="93"/>
      <c r="E775" s="93"/>
      <c r="F775" s="93"/>
      <c r="G775" s="93"/>
      <c r="H775" s="93"/>
      <c r="I775" s="93"/>
      <c r="J775" s="93"/>
      <c r="K775" s="93"/>
    </row>
    <row r="776" spans="4:11" x14ac:dyDescent="0.25">
      <c r="D776" s="93"/>
      <c r="E776" s="93"/>
      <c r="F776" s="93"/>
      <c r="G776" s="93"/>
      <c r="H776" s="93"/>
      <c r="I776" s="93"/>
      <c r="J776" s="93"/>
      <c r="K776" s="93"/>
    </row>
    <row r="777" spans="4:11" x14ac:dyDescent="0.25">
      <c r="D777" s="93"/>
      <c r="E777" s="93"/>
      <c r="F777" s="93"/>
      <c r="G777" s="93"/>
      <c r="H777" s="93"/>
      <c r="I777" s="93"/>
      <c r="J777" s="93"/>
      <c r="K777" s="93"/>
    </row>
    <row r="778" spans="4:11" x14ac:dyDescent="0.25">
      <c r="D778" s="93"/>
      <c r="E778" s="93"/>
      <c r="F778" s="93"/>
      <c r="G778" s="93"/>
      <c r="H778" s="93"/>
      <c r="I778" s="93"/>
      <c r="J778" s="93"/>
      <c r="K778" s="93"/>
    </row>
    <row r="779" spans="4:11" x14ac:dyDescent="0.25">
      <c r="D779" s="93"/>
      <c r="E779" s="93"/>
      <c r="F779" s="93"/>
      <c r="G779" s="93"/>
      <c r="H779" s="93"/>
      <c r="I779" s="93"/>
      <c r="J779" s="93"/>
      <c r="K779" s="93"/>
    </row>
    <row r="780" spans="4:11" x14ac:dyDescent="0.25">
      <c r="D780" s="93"/>
      <c r="E780" s="93"/>
      <c r="F780" s="93"/>
      <c r="G780" s="93"/>
      <c r="H780" s="93"/>
      <c r="I780" s="93"/>
      <c r="J780" s="93"/>
      <c r="K780" s="93"/>
    </row>
    <row r="781" spans="4:11" x14ac:dyDescent="0.25">
      <c r="D781" s="93"/>
      <c r="E781" s="93"/>
      <c r="F781" s="93"/>
      <c r="G781" s="93"/>
      <c r="H781" s="93"/>
      <c r="I781" s="93"/>
      <c r="J781" s="93"/>
      <c r="K781" s="93"/>
    </row>
    <row r="782" spans="4:11" x14ac:dyDescent="0.25">
      <c r="D782" s="93"/>
      <c r="E782" s="93"/>
      <c r="F782" s="93"/>
      <c r="G782" s="93"/>
      <c r="H782" s="93"/>
      <c r="I782" s="93"/>
      <c r="J782" s="93"/>
      <c r="K782" s="93"/>
    </row>
    <row r="783" spans="4:11" x14ac:dyDescent="0.25">
      <c r="D783" s="93"/>
      <c r="E783" s="93"/>
      <c r="F783" s="93"/>
      <c r="G783" s="93"/>
      <c r="H783" s="93"/>
      <c r="I783" s="93"/>
      <c r="J783" s="93"/>
      <c r="K783" s="93"/>
    </row>
    <row r="784" spans="4:11" x14ac:dyDescent="0.25">
      <c r="D784" s="93"/>
      <c r="E784" s="93"/>
      <c r="F784" s="93"/>
      <c r="G784" s="93"/>
      <c r="H784" s="93"/>
      <c r="I784" s="93"/>
      <c r="J784" s="93"/>
      <c r="K784" s="93"/>
    </row>
    <row r="785" spans="4:11" x14ac:dyDescent="0.25">
      <c r="D785" s="93"/>
      <c r="E785" s="93"/>
      <c r="F785" s="93"/>
      <c r="G785" s="93"/>
      <c r="H785" s="93"/>
      <c r="I785" s="93"/>
      <c r="J785" s="93"/>
      <c r="K785" s="93"/>
    </row>
    <row r="786" spans="4:11" x14ac:dyDescent="0.25">
      <c r="D786" s="93"/>
      <c r="E786" s="93"/>
      <c r="F786" s="93"/>
      <c r="G786" s="93"/>
      <c r="H786" s="93"/>
      <c r="I786" s="93"/>
      <c r="J786" s="93"/>
      <c r="K786" s="93"/>
    </row>
    <row r="787" spans="4:11" x14ac:dyDescent="0.25">
      <c r="D787" s="93"/>
      <c r="E787" s="93"/>
      <c r="F787" s="93"/>
      <c r="G787" s="93"/>
      <c r="H787" s="93"/>
      <c r="I787" s="93"/>
      <c r="J787" s="93"/>
      <c r="K787" s="93"/>
    </row>
    <row r="788" spans="4:11" x14ac:dyDescent="0.25">
      <c r="D788" s="93"/>
      <c r="E788" s="93"/>
      <c r="F788" s="93"/>
      <c r="G788" s="93"/>
      <c r="H788" s="93"/>
      <c r="I788" s="93"/>
      <c r="J788" s="93"/>
      <c r="K788" s="93"/>
    </row>
    <row r="789" spans="4:11" x14ac:dyDescent="0.25">
      <c r="D789" s="93"/>
      <c r="E789" s="93"/>
      <c r="F789" s="93"/>
      <c r="G789" s="93"/>
      <c r="H789" s="93"/>
      <c r="I789" s="93"/>
      <c r="J789" s="93"/>
      <c r="K789" s="93"/>
    </row>
    <row r="790" spans="4:11" x14ac:dyDescent="0.25">
      <c r="D790" s="93"/>
      <c r="E790" s="93"/>
      <c r="F790" s="93"/>
      <c r="G790" s="93"/>
      <c r="H790" s="93"/>
      <c r="I790" s="93"/>
      <c r="J790" s="93"/>
      <c r="K790" s="93"/>
    </row>
    <row r="791" spans="4:11" x14ac:dyDescent="0.25">
      <c r="D791" s="93"/>
      <c r="E791" s="93"/>
      <c r="F791" s="93"/>
      <c r="G791" s="93"/>
      <c r="H791" s="93"/>
      <c r="I791" s="93"/>
      <c r="J791" s="93"/>
      <c r="K791" s="93"/>
    </row>
    <row r="792" spans="4:11" x14ac:dyDescent="0.25">
      <c r="D792" s="93"/>
      <c r="E792" s="93"/>
      <c r="F792" s="93"/>
      <c r="G792" s="93"/>
      <c r="H792" s="93"/>
      <c r="I792" s="93"/>
      <c r="J792" s="93"/>
      <c r="K792" s="93"/>
    </row>
    <row r="793" spans="4:11" x14ac:dyDescent="0.25">
      <c r="D793" s="93"/>
      <c r="E793" s="93"/>
      <c r="F793" s="93"/>
      <c r="G793" s="93"/>
      <c r="H793" s="93"/>
      <c r="I793" s="93"/>
      <c r="J793" s="93"/>
      <c r="K793" s="93"/>
    </row>
    <row r="794" spans="4:11" x14ac:dyDescent="0.25">
      <c r="D794" s="93"/>
      <c r="E794" s="93"/>
      <c r="F794" s="93"/>
      <c r="G794" s="93"/>
      <c r="H794" s="93"/>
      <c r="I794" s="93"/>
      <c r="J794" s="93"/>
      <c r="K794" s="93"/>
    </row>
    <row r="795" spans="4:11" x14ac:dyDescent="0.25">
      <c r="D795" s="93"/>
      <c r="E795" s="93"/>
      <c r="F795" s="93"/>
      <c r="G795" s="93"/>
      <c r="H795" s="93"/>
      <c r="I795" s="93"/>
      <c r="J795" s="93"/>
      <c r="K795" s="93"/>
    </row>
    <row r="796" spans="4:11" x14ac:dyDescent="0.25">
      <c r="D796" s="93"/>
      <c r="E796" s="93"/>
      <c r="F796" s="93"/>
      <c r="G796" s="93"/>
      <c r="H796" s="93"/>
      <c r="I796" s="93"/>
      <c r="J796" s="93"/>
      <c r="K796" s="93"/>
    </row>
    <row r="797" spans="4:11" x14ac:dyDescent="0.25">
      <c r="D797" s="93"/>
      <c r="E797" s="93"/>
      <c r="F797" s="93"/>
      <c r="G797" s="93"/>
      <c r="H797" s="93"/>
      <c r="I797" s="93"/>
      <c r="J797" s="93"/>
      <c r="K797" s="93"/>
    </row>
    <row r="798" spans="4:11" x14ac:dyDescent="0.25">
      <c r="D798" s="93"/>
      <c r="E798" s="93"/>
      <c r="F798" s="93"/>
      <c r="G798" s="93"/>
      <c r="H798" s="93"/>
      <c r="I798" s="93"/>
      <c r="J798" s="93"/>
      <c r="K798" s="93"/>
    </row>
    <row r="799" spans="4:11" x14ac:dyDescent="0.25">
      <c r="D799" s="93"/>
      <c r="E799" s="93"/>
      <c r="F799" s="93"/>
      <c r="G799" s="93"/>
      <c r="H799" s="93"/>
      <c r="I799" s="93"/>
      <c r="J799" s="93"/>
      <c r="K799" s="93"/>
    </row>
    <row r="800" spans="4:11" x14ac:dyDescent="0.25">
      <c r="D800" s="93"/>
      <c r="E800" s="93"/>
      <c r="F800" s="93"/>
      <c r="G800" s="93"/>
      <c r="H800" s="93"/>
      <c r="I800" s="93"/>
      <c r="J800" s="93"/>
      <c r="K800" s="93"/>
    </row>
    <row r="801" spans="4:11" x14ac:dyDescent="0.25">
      <c r="D801" s="93"/>
      <c r="E801" s="93"/>
      <c r="F801" s="93"/>
      <c r="G801" s="93"/>
      <c r="H801" s="93"/>
      <c r="I801" s="93"/>
      <c r="J801" s="93"/>
      <c r="K801" s="93"/>
    </row>
    <row r="802" spans="4:11" x14ac:dyDescent="0.25">
      <c r="D802" s="93"/>
      <c r="E802" s="93"/>
      <c r="F802" s="93"/>
      <c r="G802" s="93"/>
      <c r="H802" s="93"/>
      <c r="I802" s="93"/>
      <c r="J802" s="93"/>
      <c r="K802" s="93"/>
    </row>
    <row r="803" spans="4:11" x14ac:dyDescent="0.25">
      <c r="D803" s="93"/>
      <c r="E803" s="93"/>
      <c r="F803" s="93"/>
      <c r="G803" s="93"/>
      <c r="H803" s="93"/>
      <c r="I803" s="93"/>
      <c r="J803" s="93"/>
      <c r="K803" s="93"/>
    </row>
    <row r="804" spans="4:11" x14ac:dyDescent="0.25">
      <c r="D804" s="93"/>
      <c r="E804" s="93"/>
      <c r="F804" s="93"/>
      <c r="G804" s="93"/>
      <c r="H804" s="93"/>
      <c r="I804" s="93"/>
      <c r="J804" s="93"/>
      <c r="K804" s="93"/>
    </row>
    <row r="805" spans="4:11" x14ac:dyDescent="0.25">
      <c r="D805" s="93"/>
      <c r="E805" s="93"/>
      <c r="F805" s="93"/>
      <c r="G805" s="93"/>
      <c r="H805" s="93"/>
      <c r="I805" s="93"/>
      <c r="J805" s="93"/>
      <c r="K805" s="93"/>
    </row>
    <row r="806" spans="4:11" x14ac:dyDescent="0.25">
      <c r="D806" s="93"/>
      <c r="E806" s="93"/>
      <c r="F806" s="93"/>
      <c r="G806" s="93"/>
      <c r="H806" s="93"/>
      <c r="I806" s="93"/>
      <c r="J806" s="93"/>
      <c r="K806" s="93"/>
    </row>
    <row r="807" spans="4:11" x14ac:dyDescent="0.25">
      <c r="D807" s="93"/>
      <c r="E807" s="93"/>
      <c r="F807" s="93"/>
      <c r="G807" s="93"/>
      <c r="H807" s="93"/>
      <c r="I807" s="93"/>
      <c r="J807" s="93"/>
      <c r="K807" s="93"/>
    </row>
    <row r="808" spans="4:11" x14ac:dyDescent="0.25">
      <c r="D808" s="93"/>
      <c r="E808" s="93"/>
      <c r="F808" s="93"/>
      <c r="G808" s="93"/>
      <c r="H808" s="93"/>
      <c r="I808" s="93"/>
      <c r="J808" s="93"/>
      <c r="K808" s="93"/>
    </row>
    <row r="809" spans="4:11" x14ac:dyDescent="0.25">
      <c r="D809" s="93"/>
      <c r="E809" s="93"/>
      <c r="F809" s="93"/>
      <c r="G809" s="93"/>
      <c r="H809" s="93"/>
      <c r="I809" s="93"/>
      <c r="J809" s="93"/>
      <c r="K809" s="93"/>
    </row>
    <row r="810" spans="4:11" x14ac:dyDescent="0.25">
      <c r="D810" s="93"/>
      <c r="E810" s="93"/>
      <c r="F810" s="93"/>
      <c r="G810" s="93"/>
      <c r="H810" s="93"/>
      <c r="I810" s="93"/>
      <c r="J810" s="93"/>
      <c r="K810" s="93"/>
    </row>
    <row r="811" spans="4:11" x14ac:dyDescent="0.25">
      <c r="D811" s="93"/>
      <c r="E811" s="93"/>
      <c r="F811" s="93"/>
      <c r="G811" s="93"/>
      <c r="H811" s="93"/>
      <c r="I811" s="93"/>
      <c r="J811" s="93"/>
      <c r="K811" s="93"/>
    </row>
    <row r="812" spans="4:11" x14ac:dyDescent="0.25">
      <c r="D812" s="93"/>
      <c r="E812" s="93"/>
      <c r="F812" s="93"/>
      <c r="G812" s="93"/>
      <c r="H812" s="93"/>
      <c r="I812" s="93"/>
      <c r="J812" s="93"/>
      <c r="K812" s="93"/>
    </row>
    <row r="813" spans="4:11" x14ac:dyDescent="0.25">
      <c r="D813" s="93"/>
      <c r="E813" s="93"/>
      <c r="F813" s="93"/>
      <c r="G813" s="93"/>
      <c r="H813" s="93"/>
      <c r="I813" s="93"/>
      <c r="J813" s="93"/>
      <c r="K813" s="93"/>
    </row>
    <row r="814" spans="4:11" x14ac:dyDescent="0.25">
      <c r="D814" s="93"/>
      <c r="E814" s="93"/>
      <c r="F814" s="93"/>
      <c r="G814" s="93"/>
      <c r="H814" s="93"/>
      <c r="I814" s="93"/>
      <c r="J814" s="93"/>
      <c r="K814" s="93"/>
    </row>
    <row r="815" spans="4:11" x14ac:dyDescent="0.25">
      <c r="D815" s="93"/>
      <c r="E815" s="93"/>
      <c r="F815" s="93"/>
      <c r="G815" s="93"/>
      <c r="H815" s="93"/>
      <c r="I815" s="93"/>
      <c r="J815" s="93"/>
      <c r="K815" s="93"/>
    </row>
    <row r="816" spans="4:11" x14ac:dyDescent="0.25">
      <c r="D816" s="93"/>
      <c r="E816" s="93"/>
      <c r="F816" s="93"/>
      <c r="G816" s="93"/>
      <c r="H816" s="93"/>
      <c r="I816" s="93"/>
      <c r="J816" s="93"/>
      <c r="K816" s="93"/>
    </row>
    <row r="817" spans="4:11" x14ac:dyDescent="0.25">
      <c r="D817" s="93"/>
      <c r="E817" s="93"/>
      <c r="F817" s="93"/>
      <c r="G817" s="93"/>
      <c r="H817" s="93"/>
      <c r="I817" s="93"/>
      <c r="J817" s="93"/>
      <c r="K817" s="93"/>
    </row>
    <row r="818" spans="4:11" x14ac:dyDescent="0.25">
      <c r="D818" s="93"/>
      <c r="E818" s="93"/>
      <c r="F818" s="93"/>
      <c r="G818" s="93"/>
      <c r="H818" s="93"/>
      <c r="I818" s="93"/>
      <c r="J818" s="93"/>
      <c r="K818" s="93"/>
    </row>
    <row r="819" spans="4:11" x14ac:dyDescent="0.25">
      <c r="D819" s="93"/>
      <c r="E819" s="93"/>
      <c r="F819" s="93"/>
      <c r="G819" s="93"/>
      <c r="H819" s="93"/>
      <c r="I819" s="93"/>
      <c r="J819" s="93"/>
      <c r="K819" s="93"/>
    </row>
    <row r="820" spans="4:11" x14ac:dyDescent="0.25">
      <c r="D820" s="93"/>
      <c r="E820" s="93"/>
      <c r="F820" s="93"/>
      <c r="G820" s="93"/>
      <c r="H820" s="93"/>
      <c r="I820" s="93"/>
      <c r="J820" s="93"/>
      <c r="K820" s="93"/>
    </row>
    <row r="821" spans="4:11" x14ac:dyDescent="0.25">
      <c r="D821" s="93"/>
      <c r="E821" s="93"/>
      <c r="F821" s="93"/>
      <c r="G821" s="93"/>
      <c r="H821" s="93"/>
      <c r="I821" s="93"/>
      <c r="J821" s="93"/>
      <c r="K821" s="93"/>
    </row>
    <row r="822" spans="4:11" x14ac:dyDescent="0.25">
      <c r="D822" s="93"/>
      <c r="E822" s="93"/>
      <c r="F822" s="93"/>
      <c r="G822" s="93"/>
      <c r="H822" s="93"/>
      <c r="I822" s="93"/>
      <c r="J822" s="93"/>
      <c r="K822" s="93"/>
    </row>
    <row r="823" spans="4:11" x14ac:dyDescent="0.25">
      <c r="D823" s="93"/>
      <c r="E823" s="93"/>
      <c r="F823" s="93"/>
      <c r="G823" s="93"/>
      <c r="H823" s="93"/>
      <c r="I823" s="93"/>
      <c r="J823" s="93"/>
      <c r="K823" s="93"/>
    </row>
    <row r="824" spans="4:11" x14ac:dyDescent="0.25">
      <c r="D824" s="93"/>
      <c r="E824" s="93"/>
      <c r="F824" s="93"/>
      <c r="G824" s="93"/>
      <c r="H824" s="93"/>
      <c r="I824" s="93"/>
      <c r="J824" s="93"/>
      <c r="K824" s="93"/>
    </row>
    <row r="825" spans="4:11" x14ac:dyDescent="0.25">
      <c r="D825" s="93"/>
      <c r="E825" s="93"/>
      <c r="F825" s="93"/>
      <c r="G825" s="93"/>
      <c r="H825" s="93"/>
      <c r="I825" s="93"/>
      <c r="J825" s="93"/>
      <c r="K825" s="93"/>
    </row>
    <row r="826" spans="4:11" x14ac:dyDescent="0.25">
      <c r="D826" s="93"/>
      <c r="E826" s="93"/>
      <c r="F826" s="93"/>
      <c r="G826" s="93"/>
      <c r="H826" s="93"/>
      <c r="I826" s="93"/>
      <c r="J826" s="93"/>
      <c r="K826" s="93"/>
    </row>
    <row r="827" spans="4:11" x14ac:dyDescent="0.25">
      <c r="D827" s="93"/>
      <c r="E827" s="93"/>
      <c r="F827" s="93"/>
      <c r="G827" s="93"/>
      <c r="H827" s="93"/>
      <c r="I827" s="93"/>
      <c r="J827" s="93"/>
      <c r="K827" s="93"/>
    </row>
    <row r="828" spans="4:11" x14ac:dyDescent="0.25">
      <c r="D828" s="93"/>
      <c r="E828" s="93"/>
      <c r="F828" s="93"/>
      <c r="G828" s="93"/>
      <c r="H828" s="93"/>
      <c r="I828" s="93"/>
      <c r="J828" s="93"/>
      <c r="K828" s="93"/>
    </row>
    <row r="829" spans="4:11" x14ac:dyDescent="0.25">
      <c r="D829" s="93"/>
      <c r="E829" s="93"/>
      <c r="F829" s="93"/>
      <c r="G829" s="93"/>
      <c r="H829" s="93"/>
      <c r="I829" s="93"/>
      <c r="J829" s="93"/>
      <c r="K829" s="93"/>
    </row>
    <row r="830" spans="4:11" x14ac:dyDescent="0.25">
      <c r="D830" s="93"/>
      <c r="E830" s="93"/>
      <c r="F830" s="93"/>
      <c r="G830" s="93"/>
      <c r="H830" s="93"/>
      <c r="I830" s="93"/>
      <c r="J830" s="93"/>
      <c r="K830" s="93"/>
    </row>
    <row r="831" spans="4:11" x14ac:dyDescent="0.25">
      <c r="D831" s="93"/>
      <c r="E831" s="93"/>
      <c r="F831" s="93"/>
      <c r="G831" s="93"/>
      <c r="H831" s="93"/>
      <c r="I831" s="93"/>
      <c r="J831" s="93"/>
      <c r="K831" s="93"/>
    </row>
    <row r="832" spans="4:11" x14ac:dyDescent="0.25">
      <c r="D832" s="93"/>
      <c r="E832" s="93"/>
      <c r="F832" s="93"/>
      <c r="G832" s="93"/>
      <c r="H832" s="93"/>
      <c r="I832" s="93"/>
      <c r="J832" s="93"/>
      <c r="K832" s="93"/>
    </row>
    <row r="833" spans="4:11" x14ac:dyDescent="0.25">
      <c r="D833" s="93"/>
      <c r="E833" s="93"/>
      <c r="F833" s="93"/>
      <c r="G833" s="93"/>
      <c r="H833" s="93"/>
      <c r="I833" s="93"/>
      <c r="J833" s="93"/>
      <c r="K833" s="93"/>
    </row>
    <row r="834" spans="4:11" x14ac:dyDescent="0.25">
      <c r="D834" s="93"/>
      <c r="E834" s="93"/>
      <c r="F834" s="93"/>
      <c r="G834" s="93"/>
      <c r="H834" s="93"/>
      <c r="I834" s="93"/>
      <c r="J834" s="93"/>
      <c r="K834" s="93"/>
    </row>
    <row r="835" spans="4:11" x14ac:dyDescent="0.25">
      <c r="D835" s="93"/>
      <c r="E835" s="93"/>
      <c r="F835" s="93"/>
      <c r="G835" s="93"/>
      <c r="H835" s="93"/>
      <c r="I835" s="93"/>
      <c r="J835" s="93"/>
      <c r="K835" s="93"/>
    </row>
    <row r="836" spans="4:11" x14ac:dyDescent="0.25">
      <c r="D836" s="93"/>
      <c r="E836" s="93"/>
      <c r="F836" s="93"/>
      <c r="G836" s="93"/>
      <c r="H836" s="93"/>
      <c r="I836" s="93"/>
      <c r="J836" s="93"/>
      <c r="K836" s="93"/>
    </row>
    <row r="837" spans="4:11" x14ac:dyDescent="0.25">
      <c r="D837" s="93"/>
      <c r="E837" s="93"/>
      <c r="F837" s="93"/>
      <c r="G837" s="93"/>
      <c r="H837" s="93"/>
      <c r="I837" s="93"/>
      <c r="J837" s="93"/>
      <c r="K837" s="93"/>
    </row>
    <row r="838" spans="4:11" x14ac:dyDescent="0.25">
      <c r="D838" s="93"/>
      <c r="E838" s="93"/>
      <c r="F838" s="93"/>
      <c r="G838" s="93"/>
      <c r="H838" s="93"/>
      <c r="I838" s="93"/>
      <c r="J838" s="93"/>
      <c r="K838" s="93"/>
    </row>
    <row r="839" spans="4:11" x14ac:dyDescent="0.25">
      <c r="D839" s="93"/>
      <c r="E839" s="93"/>
      <c r="F839" s="93"/>
      <c r="G839" s="93"/>
      <c r="H839" s="93"/>
      <c r="I839" s="93"/>
      <c r="J839" s="93"/>
      <c r="K839" s="93"/>
    </row>
    <row r="840" spans="4:11" x14ac:dyDescent="0.25">
      <c r="D840" s="93"/>
      <c r="E840" s="93"/>
      <c r="F840" s="93"/>
      <c r="G840" s="93"/>
      <c r="H840" s="93"/>
      <c r="I840" s="93"/>
      <c r="J840" s="93"/>
      <c r="K840" s="93"/>
    </row>
    <row r="841" spans="4:11" x14ac:dyDescent="0.25">
      <c r="D841" s="93"/>
      <c r="E841" s="93"/>
      <c r="F841" s="93"/>
      <c r="G841" s="93"/>
      <c r="H841" s="93"/>
      <c r="I841" s="93"/>
      <c r="J841" s="93"/>
      <c r="K841" s="93"/>
    </row>
    <row r="842" spans="4:11" x14ac:dyDescent="0.25">
      <c r="D842" s="93"/>
      <c r="E842" s="93"/>
      <c r="F842" s="93"/>
      <c r="G842" s="93"/>
      <c r="H842" s="93"/>
      <c r="I842" s="93"/>
      <c r="J842" s="93"/>
      <c r="K842" s="93"/>
    </row>
    <row r="843" spans="4:11" x14ac:dyDescent="0.25">
      <c r="D843" s="93"/>
      <c r="E843" s="93"/>
      <c r="F843" s="93"/>
      <c r="G843" s="93"/>
      <c r="H843" s="93"/>
      <c r="I843" s="93"/>
      <c r="J843" s="93"/>
      <c r="K843" s="93"/>
    </row>
    <row r="844" spans="4:11" x14ac:dyDescent="0.25">
      <c r="D844" s="93"/>
      <c r="E844" s="93"/>
      <c r="F844" s="93"/>
      <c r="G844" s="93"/>
      <c r="H844" s="93"/>
      <c r="I844" s="93"/>
      <c r="J844" s="93"/>
      <c r="K844" s="93"/>
    </row>
    <row r="845" spans="4:11" x14ac:dyDescent="0.25">
      <c r="D845" s="93"/>
      <c r="E845" s="93"/>
      <c r="F845" s="93"/>
      <c r="G845" s="93"/>
      <c r="H845" s="93"/>
      <c r="I845" s="93"/>
      <c r="J845" s="93"/>
      <c r="K845" s="93"/>
    </row>
    <row r="846" spans="4:11" x14ac:dyDescent="0.25">
      <c r="D846" s="93"/>
      <c r="E846" s="93"/>
      <c r="F846" s="93"/>
      <c r="G846" s="93"/>
      <c r="H846" s="93"/>
      <c r="I846" s="93"/>
      <c r="J846" s="93"/>
      <c r="K846" s="93"/>
    </row>
    <row r="847" spans="4:11" x14ac:dyDescent="0.25">
      <c r="D847" s="93"/>
      <c r="E847" s="93"/>
      <c r="F847" s="93"/>
      <c r="G847" s="93"/>
      <c r="H847" s="93"/>
      <c r="I847" s="93"/>
      <c r="J847" s="93"/>
      <c r="K847" s="93"/>
    </row>
    <row r="848" spans="4:11" x14ac:dyDescent="0.25">
      <c r="D848" s="93"/>
      <c r="E848" s="93"/>
      <c r="F848" s="93"/>
      <c r="G848" s="93"/>
      <c r="H848" s="93"/>
      <c r="I848" s="93"/>
      <c r="J848" s="93"/>
      <c r="K848" s="93"/>
    </row>
    <row r="849" spans="4:11" x14ac:dyDescent="0.25">
      <c r="D849" s="93"/>
      <c r="E849" s="93"/>
      <c r="F849" s="93"/>
      <c r="G849" s="93"/>
      <c r="H849" s="93"/>
      <c r="I849" s="93"/>
      <c r="J849" s="93"/>
      <c r="K849" s="93"/>
    </row>
    <row r="850" spans="4:11" x14ac:dyDescent="0.25">
      <c r="D850" s="93"/>
      <c r="E850" s="93"/>
      <c r="F850" s="93"/>
      <c r="G850" s="93"/>
      <c r="H850" s="93"/>
      <c r="I850" s="93"/>
      <c r="J850" s="93"/>
      <c r="K850" s="93"/>
    </row>
    <row r="851" spans="4:11" x14ac:dyDescent="0.25">
      <c r="D851" s="93"/>
      <c r="E851" s="93"/>
      <c r="F851" s="93"/>
      <c r="G851" s="93"/>
      <c r="H851" s="93"/>
      <c r="I851" s="93"/>
      <c r="J851" s="93"/>
      <c r="K851" s="93"/>
    </row>
    <row r="852" spans="4:11" x14ac:dyDescent="0.25">
      <c r="D852" s="93"/>
      <c r="E852" s="93"/>
      <c r="F852" s="93"/>
      <c r="G852" s="93"/>
      <c r="H852" s="93"/>
      <c r="I852" s="93"/>
      <c r="J852" s="93"/>
      <c r="K852" s="93"/>
    </row>
    <row r="853" spans="4:11" x14ac:dyDescent="0.25">
      <c r="D853" s="93"/>
      <c r="E853" s="93"/>
      <c r="F853" s="93"/>
      <c r="G853" s="93"/>
      <c r="H853" s="93"/>
      <c r="I853" s="93"/>
      <c r="J853" s="93"/>
      <c r="K853" s="93"/>
    </row>
    <row r="854" spans="4:11" x14ac:dyDescent="0.25">
      <c r="D854" s="93"/>
      <c r="E854" s="93"/>
      <c r="F854" s="93"/>
      <c r="G854" s="93"/>
      <c r="H854" s="93"/>
      <c r="I854" s="93"/>
      <c r="J854" s="93"/>
      <c r="K854" s="93"/>
    </row>
    <row r="855" spans="4:11" x14ac:dyDescent="0.25">
      <c r="D855" s="93"/>
      <c r="E855" s="93"/>
      <c r="F855" s="93"/>
      <c r="G855" s="93"/>
      <c r="H855" s="93"/>
      <c r="I855" s="93"/>
      <c r="J855" s="93"/>
      <c r="K855" s="93"/>
    </row>
    <row r="856" spans="4:11" x14ac:dyDescent="0.25">
      <c r="D856" s="93"/>
      <c r="E856" s="93"/>
      <c r="F856" s="93"/>
      <c r="G856" s="93"/>
      <c r="H856" s="93"/>
      <c r="I856" s="93"/>
      <c r="J856" s="93"/>
      <c r="K856" s="93"/>
    </row>
    <row r="857" spans="4:11" x14ac:dyDescent="0.25">
      <c r="D857" s="93"/>
      <c r="E857" s="93"/>
      <c r="F857" s="93"/>
      <c r="G857" s="93"/>
      <c r="H857" s="93"/>
      <c r="I857" s="93"/>
      <c r="J857" s="93"/>
      <c r="K857" s="93"/>
    </row>
    <row r="858" spans="4:11" x14ac:dyDescent="0.25">
      <c r="D858" s="93"/>
      <c r="E858" s="93"/>
      <c r="F858" s="93"/>
      <c r="G858" s="93"/>
      <c r="H858" s="93"/>
      <c r="I858" s="93"/>
      <c r="J858" s="93"/>
      <c r="K858" s="93"/>
    </row>
    <row r="859" spans="4:11" x14ac:dyDescent="0.25">
      <c r="D859" s="93"/>
      <c r="E859" s="93"/>
      <c r="F859" s="93"/>
      <c r="G859" s="93"/>
      <c r="H859" s="93"/>
      <c r="I859" s="93"/>
      <c r="J859" s="93"/>
      <c r="K859" s="93"/>
    </row>
    <row r="860" spans="4:11" x14ac:dyDescent="0.25">
      <c r="D860" s="93"/>
      <c r="E860" s="93"/>
      <c r="F860" s="93"/>
      <c r="G860" s="93"/>
      <c r="H860" s="93"/>
      <c r="I860" s="93"/>
      <c r="J860" s="93"/>
      <c r="K860" s="93"/>
    </row>
    <row r="861" spans="4:11" x14ac:dyDescent="0.25">
      <c r="D861" s="93"/>
      <c r="E861" s="93"/>
      <c r="F861" s="93"/>
      <c r="G861" s="93"/>
      <c r="H861" s="93"/>
      <c r="I861" s="93"/>
      <c r="J861" s="93"/>
      <c r="K861" s="93"/>
    </row>
    <row r="862" spans="4:11" x14ac:dyDescent="0.25">
      <c r="D862" s="93"/>
      <c r="E862" s="93"/>
      <c r="F862" s="93"/>
      <c r="G862" s="93"/>
      <c r="H862" s="93"/>
      <c r="I862" s="93"/>
      <c r="J862" s="93"/>
      <c r="K862" s="93"/>
    </row>
    <row r="863" spans="4:11" x14ac:dyDescent="0.25">
      <c r="D863" s="93"/>
      <c r="E863" s="93"/>
      <c r="F863" s="93"/>
      <c r="G863" s="93"/>
      <c r="H863" s="93"/>
      <c r="I863" s="93"/>
      <c r="J863" s="93"/>
      <c r="K863" s="93"/>
    </row>
    <row r="864" spans="4:11" x14ac:dyDescent="0.25">
      <c r="D864" s="93"/>
      <c r="E864" s="93"/>
      <c r="F864" s="93"/>
      <c r="G864" s="93"/>
      <c r="H864" s="93"/>
      <c r="I864" s="93"/>
      <c r="J864" s="93"/>
      <c r="K864" s="93"/>
    </row>
    <row r="865" spans="4:11" x14ac:dyDescent="0.25">
      <c r="D865" s="93"/>
      <c r="E865" s="93"/>
      <c r="F865" s="93"/>
      <c r="G865" s="93"/>
      <c r="H865" s="93"/>
      <c r="I865" s="93"/>
      <c r="J865" s="93"/>
      <c r="K865" s="93"/>
    </row>
    <row r="866" spans="4:11" x14ac:dyDescent="0.25">
      <c r="D866" s="93"/>
      <c r="E866" s="93"/>
      <c r="F866" s="93"/>
      <c r="G866" s="93"/>
      <c r="H866" s="93"/>
      <c r="I866" s="93"/>
      <c r="J866" s="93"/>
      <c r="K866" s="93"/>
    </row>
    <row r="867" spans="4:11" x14ac:dyDescent="0.25">
      <c r="D867" s="93"/>
      <c r="E867" s="93"/>
      <c r="F867" s="93"/>
      <c r="G867" s="93"/>
      <c r="H867" s="93"/>
      <c r="I867" s="93"/>
      <c r="J867" s="93"/>
      <c r="K867" s="93"/>
    </row>
    <row r="868" spans="4:11" x14ac:dyDescent="0.25">
      <c r="D868" s="93"/>
      <c r="E868" s="93"/>
      <c r="F868" s="93"/>
      <c r="G868" s="93"/>
      <c r="H868" s="93"/>
      <c r="I868" s="93"/>
      <c r="J868" s="93"/>
      <c r="K868" s="93"/>
    </row>
    <row r="869" spans="4:11" x14ac:dyDescent="0.25">
      <c r="D869" s="93"/>
      <c r="E869" s="93"/>
      <c r="F869" s="93"/>
      <c r="G869" s="93"/>
      <c r="H869" s="93"/>
      <c r="I869" s="93"/>
      <c r="J869" s="93"/>
      <c r="K869" s="93"/>
    </row>
    <row r="870" spans="4:11" x14ac:dyDescent="0.25">
      <c r="D870" s="93"/>
      <c r="E870" s="93"/>
      <c r="F870" s="93"/>
      <c r="G870" s="93"/>
      <c r="H870" s="93"/>
      <c r="I870" s="93"/>
      <c r="J870" s="93"/>
      <c r="K870" s="93"/>
    </row>
    <row r="871" spans="4:11" x14ac:dyDescent="0.25">
      <c r="D871" s="93"/>
      <c r="E871" s="93"/>
      <c r="F871" s="93"/>
      <c r="G871" s="93"/>
      <c r="H871" s="93"/>
      <c r="I871" s="93"/>
      <c r="J871" s="93"/>
      <c r="K871" s="93"/>
    </row>
    <row r="872" spans="4:11" x14ac:dyDescent="0.25">
      <c r="D872" s="93"/>
      <c r="E872" s="93"/>
      <c r="F872" s="93"/>
      <c r="G872" s="93"/>
      <c r="H872" s="93"/>
      <c r="I872" s="93"/>
      <c r="J872" s="93"/>
      <c r="K872" s="93"/>
    </row>
    <row r="873" spans="4:11" x14ac:dyDescent="0.25">
      <c r="D873" s="93"/>
      <c r="E873" s="93"/>
      <c r="F873" s="93"/>
      <c r="G873" s="93"/>
      <c r="H873" s="93"/>
      <c r="I873" s="93"/>
      <c r="J873" s="93"/>
      <c r="K873" s="93"/>
    </row>
    <row r="874" spans="4:11" x14ac:dyDescent="0.25">
      <c r="D874" s="93"/>
      <c r="E874" s="93"/>
      <c r="F874" s="93"/>
      <c r="G874" s="93"/>
      <c r="H874" s="93"/>
      <c r="I874" s="93"/>
      <c r="J874" s="93"/>
      <c r="K874" s="93"/>
    </row>
    <row r="875" spans="4:11" x14ac:dyDescent="0.25">
      <c r="D875" s="93"/>
      <c r="E875" s="93"/>
      <c r="F875" s="93"/>
      <c r="G875" s="93"/>
      <c r="H875" s="93"/>
      <c r="I875" s="93"/>
      <c r="J875" s="93"/>
      <c r="K875" s="93"/>
    </row>
    <row r="876" spans="4:11" x14ac:dyDescent="0.25">
      <c r="D876" s="93"/>
      <c r="E876" s="93"/>
      <c r="F876" s="93"/>
      <c r="G876" s="93"/>
      <c r="H876" s="93"/>
      <c r="I876" s="93"/>
      <c r="J876" s="93"/>
      <c r="K876" s="93"/>
    </row>
    <row r="877" spans="4:11" x14ac:dyDescent="0.25">
      <c r="D877" s="93"/>
      <c r="E877" s="93"/>
      <c r="F877" s="93"/>
      <c r="G877" s="93"/>
      <c r="H877" s="93"/>
      <c r="I877" s="93"/>
      <c r="J877" s="93"/>
      <c r="K877" s="93"/>
    </row>
    <row r="878" spans="4:11" x14ac:dyDescent="0.25">
      <c r="D878" s="93"/>
      <c r="E878" s="93"/>
      <c r="F878" s="93"/>
      <c r="G878" s="93"/>
      <c r="H878" s="93"/>
      <c r="I878" s="93"/>
      <c r="J878" s="93"/>
      <c r="K878" s="93"/>
    </row>
    <row r="879" spans="4:11" x14ac:dyDescent="0.25">
      <c r="D879" s="93"/>
      <c r="E879" s="93"/>
      <c r="F879" s="93"/>
      <c r="G879" s="93"/>
      <c r="H879" s="93"/>
      <c r="I879" s="93"/>
      <c r="J879" s="93"/>
      <c r="K879" s="93"/>
    </row>
    <row r="880" spans="4:11" x14ac:dyDescent="0.25">
      <c r="D880" s="93"/>
      <c r="E880" s="93"/>
      <c r="F880" s="93"/>
      <c r="G880" s="93"/>
      <c r="H880" s="93"/>
      <c r="I880" s="93"/>
      <c r="J880" s="93"/>
      <c r="K880" s="93"/>
    </row>
    <row r="881" spans="4:11" x14ac:dyDescent="0.25">
      <c r="D881" s="93"/>
      <c r="E881" s="93"/>
      <c r="F881" s="93"/>
      <c r="G881" s="93"/>
      <c r="H881" s="93"/>
      <c r="I881" s="93"/>
      <c r="J881" s="93"/>
      <c r="K881" s="93"/>
    </row>
    <row r="882" spans="4:11" x14ac:dyDescent="0.25">
      <c r="D882" s="93"/>
      <c r="E882" s="93"/>
      <c r="F882" s="93"/>
      <c r="G882" s="93"/>
      <c r="H882" s="93"/>
      <c r="I882" s="93"/>
      <c r="J882" s="93"/>
      <c r="K882" s="93"/>
    </row>
    <row r="883" spans="4:11" x14ac:dyDescent="0.25">
      <c r="D883" s="93"/>
      <c r="E883" s="93"/>
      <c r="F883" s="93"/>
      <c r="G883" s="93"/>
      <c r="H883" s="93"/>
      <c r="I883" s="93"/>
      <c r="J883" s="93"/>
      <c r="K883" s="93"/>
    </row>
    <row r="884" spans="4:11" x14ac:dyDescent="0.25">
      <c r="D884" s="93"/>
      <c r="E884" s="93"/>
      <c r="F884" s="93"/>
      <c r="G884" s="93"/>
      <c r="H884" s="93"/>
      <c r="I884" s="93"/>
      <c r="J884" s="93"/>
      <c r="K884" s="93"/>
    </row>
    <row r="885" spans="4:11" x14ac:dyDescent="0.25">
      <c r="D885" s="93"/>
      <c r="E885" s="93"/>
      <c r="F885" s="93"/>
      <c r="G885" s="93"/>
      <c r="H885" s="93"/>
      <c r="I885" s="93"/>
      <c r="J885" s="93"/>
      <c r="K885" s="93"/>
    </row>
    <row r="886" spans="4:11" x14ac:dyDescent="0.25">
      <c r="D886" s="93"/>
      <c r="E886" s="93"/>
      <c r="F886" s="93"/>
      <c r="G886" s="93"/>
      <c r="H886" s="93"/>
      <c r="I886" s="93"/>
      <c r="J886" s="93"/>
      <c r="K886" s="93"/>
    </row>
    <row r="887" spans="4:11" x14ac:dyDescent="0.25">
      <c r="D887" s="93"/>
      <c r="E887" s="93"/>
      <c r="F887" s="93"/>
      <c r="G887" s="93"/>
      <c r="H887" s="93"/>
      <c r="I887" s="93"/>
      <c r="J887" s="93"/>
      <c r="K887" s="93"/>
    </row>
    <row r="888" spans="4:11" x14ac:dyDescent="0.25">
      <c r="D888" s="93"/>
      <c r="E888" s="93"/>
      <c r="F888" s="93"/>
      <c r="G888" s="93"/>
      <c r="H888" s="93"/>
      <c r="I888" s="93"/>
      <c r="J888" s="93"/>
      <c r="K888" s="93"/>
    </row>
    <row r="889" spans="4:11" x14ac:dyDescent="0.25">
      <c r="D889" s="93"/>
      <c r="E889" s="93"/>
      <c r="F889" s="93"/>
      <c r="G889" s="93"/>
      <c r="H889" s="93"/>
      <c r="I889" s="93"/>
      <c r="J889" s="93"/>
      <c r="K889" s="93"/>
    </row>
    <row r="890" spans="4:11" x14ac:dyDescent="0.25">
      <c r="D890" s="93"/>
      <c r="E890" s="93"/>
      <c r="F890" s="93"/>
      <c r="G890" s="93"/>
      <c r="H890" s="93"/>
      <c r="I890" s="93"/>
      <c r="J890" s="93"/>
      <c r="K890" s="93"/>
    </row>
    <row r="891" spans="4:11" x14ac:dyDescent="0.25">
      <c r="D891" s="93"/>
      <c r="E891" s="93"/>
      <c r="F891" s="93"/>
      <c r="G891" s="93"/>
      <c r="H891" s="93"/>
      <c r="I891" s="93"/>
      <c r="J891" s="93"/>
      <c r="K891" s="93"/>
    </row>
    <row r="892" spans="4:11" x14ac:dyDescent="0.25">
      <c r="D892" s="93"/>
      <c r="E892" s="93"/>
      <c r="F892" s="93"/>
      <c r="G892" s="93"/>
      <c r="H892" s="93"/>
      <c r="I892" s="93"/>
      <c r="J892" s="93"/>
      <c r="K892" s="93"/>
    </row>
    <row r="893" spans="4:11" x14ac:dyDescent="0.25">
      <c r="D893" s="93"/>
      <c r="E893" s="93"/>
      <c r="F893" s="93"/>
      <c r="G893" s="93"/>
      <c r="H893" s="93"/>
      <c r="I893" s="93"/>
      <c r="J893" s="93"/>
      <c r="K893" s="93"/>
    </row>
    <row r="894" spans="4:11" x14ac:dyDescent="0.25">
      <c r="D894" s="93"/>
      <c r="E894" s="93"/>
      <c r="F894" s="93"/>
      <c r="G894" s="93"/>
      <c r="H894" s="93"/>
      <c r="I894" s="93"/>
      <c r="J894" s="93"/>
      <c r="K894" s="93"/>
    </row>
    <row r="895" spans="4:11" x14ac:dyDescent="0.25">
      <c r="D895" s="93"/>
      <c r="E895" s="93"/>
      <c r="F895" s="93"/>
      <c r="G895" s="93"/>
      <c r="H895" s="93"/>
      <c r="I895" s="93"/>
      <c r="J895" s="93"/>
      <c r="K895" s="93"/>
    </row>
    <row r="896" spans="4:11" x14ac:dyDescent="0.25">
      <c r="D896" s="93"/>
      <c r="E896" s="93"/>
      <c r="F896" s="93"/>
      <c r="G896" s="93"/>
      <c r="H896" s="93"/>
      <c r="I896" s="93"/>
      <c r="J896" s="93"/>
      <c r="K896" s="93"/>
    </row>
    <row r="897" spans="4:11" x14ac:dyDescent="0.25">
      <c r="D897" s="93"/>
      <c r="E897" s="93"/>
      <c r="F897" s="93"/>
      <c r="G897" s="93"/>
      <c r="H897" s="93"/>
      <c r="I897" s="93"/>
      <c r="J897" s="93"/>
      <c r="K897" s="93"/>
    </row>
    <row r="898" spans="4:11" x14ac:dyDescent="0.25">
      <c r="D898" s="93"/>
      <c r="E898" s="93"/>
      <c r="F898" s="93"/>
      <c r="G898" s="93"/>
      <c r="H898" s="93"/>
      <c r="I898" s="93"/>
      <c r="J898" s="93"/>
      <c r="K898" s="93"/>
    </row>
    <row r="899" spans="4:11" x14ac:dyDescent="0.25">
      <c r="D899" s="93"/>
      <c r="E899" s="93"/>
      <c r="F899" s="93"/>
      <c r="G899" s="93"/>
      <c r="H899" s="93"/>
      <c r="I899" s="93"/>
      <c r="J899" s="93"/>
      <c r="K899" s="93"/>
    </row>
    <row r="900" spans="4:11" x14ac:dyDescent="0.25">
      <c r="D900" s="93"/>
      <c r="E900" s="93"/>
      <c r="F900" s="93"/>
      <c r="G900" s="93"/>
      <c r="H900" s="93"/>
      <c r="I900" s="93"/>
      <c r="J900" s="93"/>
      <c r="K900" s="93"/>
    </row>
    <row r="901" spans="4:11" x14ac:dyDescent="0.25">
      <c r="D901" s="93"/>
      <c r="E901" s="93"/>
      <c r="F901" s="93"/>
      <c r="G901" s="93"/>
      <c r="H901" s="93"/>
      <c r="I901" s="93"/>
      <c r="J901" s="93"/>
      <c r="K901" s="93"/>
    </row>
    <row r="902" spans="4:11" x14ac:dyDescent="0.25">
      <c r="D902" s="93"/>
      <c r="E902" s="93"/>
      <c r="F902" s="93"/>
      <c r="G902" s="93"/>
      <c r="H902" s="93"/>
      <c r="I902" s="93"/>
      <c r="J902" s="93"/>
      <c r="K902" s="93"/>
    </row>
    <row r="903" spans="4:11" x14ac:dyDescent="0.25">
      <c r="D903" s="93"/>
      <c r="E903" s="93"/>
      <c r="F903" s="93"/>
      <c r="G903" s="93"/>
      <c r="H903" s="93"/>
      <c r="I903" s="93"/>
      <c r="J903" s="93"/>
      <c r="K903" s="93"/>
    </row>
    <row r="904" spans="4:11" x14ac:dyDescent="0.25">
      <c r="D904" s="93"/>
      <c r="E904" s="93"/>
      <c r="F904" s="93"/>
      <c r="G904" s="93"/>
      <c r="H904" s="93"/>
      <c r="I904" s="93"/>
      <c r="J904" s="93"/>
      <c r="K904" s="93"/>
    </row>
    <row r="905" spans="4:11" x14ac:dyDescent="0.25">
      <c r="D905" s="93"/>
      <c r="E905" s="93"/>
      <c r="F905" s="93"/>
      <c r="G905" s="93"/>
      <c r="H905" s="93"/>
      <c r="I905" s="93"/>
      <c r="J905" s="93"/>
      <c r="K905" s="93"/>
    </row>
    <row r="906" spans="4:11" x14ac:dyDescent="0.25">
      <c r="D906" s="93"/>
      <c r="E906" s="93"/>
      <c r="F906" s="93"/>
      <c r="G906" s="93"/>
      <c r="H906" s="93"/>
      <c r="I906" s="93"/>
      <c r="J906" s="93"/>
      <c r="K906" s="93"/>
    </row>
    <row r="907" spans="4:11" x14ac:dyDescent="0.25">
      <c r="D907" s="93"/>
      <c r="E907" s="93"/>
      <c r="F907" s="93"/>
      <c r="G907" s="93"/>
      <c r="H907" s="93"/>
      <c r="I907" s="93"/>
      <c r="J907" s="93"/>
      <c r="K907" s="93"/>
    </row>
    <row r="908" spans="4:11" x14ac:dyDescent="0.25">
      <c r="D908" s="93"/>
      <c r="E908" s="93"/>
      <c r="F908" s="93"/>
      <c r="G908" s="93"/>
      <c r="H908" s="93"/>
      <c r="I908" s="93"/>
      <c r="J908" s="93"/>
      <c r="K908" s="93"/>
    </row>
    <row r="909" spans="4:11" x14ac:dyDescent="0.25">
      <c r="D909" s="93"/>
      <c r="E909" s="93"/>
      <c r="F909" s="93"/>
      <c r="G909" s="93"/>
      <c r="H909" s="93"/>
      <c r="I909" s="93"/>
      <c r="J909" s="93"/>
      <c r="K909" s="93"/>
    </row>
    <row r="910" spans="4:11" x14ac:dyDescent="0.25">
      <c r="D910" s="93"/>
      <c r="E910" s="93"/>
      <c r="F910" s="93"/>
      <c r="G910" s="93"/>
      <c r="H910" s="93"/>
      <c r="I910" s="93"/>
      <c r="J910" s="93"/>
      <c r="K910" s="93"/>
    </row>
    <row r="911" spans="4:11" x14ac:dyDescent="0.25">
      <c r="D911" s="93"/>
      <c r="E911" s="93"/>
      <c r="F911" s="93"/>
      <c r="G911" s="93"/>
      <c r="H911" s="93"/>
      <c r="I911" s="93"/>
      <c r="J911" s="93"/>
      <c r="K911" s="93"/>
    </row>
    <row r="912" spans="4:11" x14ac:dyDescent="0.25">
      <c r="D912" s="93"/>
      <c r="E912" s="93"/>
      <c r="F912" s="93"/>
      <c r="G912" s="93"/>
      <c r="H912" s="93"/>
      <c r="I912" s="93"/>
      <c r="J912" s="93"/>
      <c r="K912" s="93"/>
    </row>
    <row r="913" spans="4:11" x14ac:dyDescent="0.25">
      <c r="D913" s="93"/>
      <c r="E913" s="93"/>
      <c r="F913" s="93"/>
      <c r="G913" s="93"/>
      <c r="H913" s="93"/>
      <c r="I913" s="93"/>
      <c r="J913" s="93"/>
      <c r="K913" s="93"/>
    </row>
    <row r="914" spans="4:11" x14ac:dyDescent="0.25">
      <c r="D914" s="93"/>
      <c r="E914" s="93"/>
      <c r="F914" s="93"/>
      <c r="G914" s="93"/>
      <c r="H914" s="93"/>
      <c r="I914" s="93"/>
      <c r="J914" s="93"/>
      <c r="K914" s="93"/>
    </row>
    <row r="915" spans="4:11" x14ac:dyDescent="0.25">
      <c r="D915" s="93"/>
      <c r="E915" s="93"/>
      <c r="F915" s="93"/>
      <c r="G915" s="93"/>
      <c r="H915" s="93"/>
      <c r="I915" s="93"/>
      <c r="J915" s="93"/>
      <c r="K915" s="93"/>
    </row>
    <row r="916" spans="4:11" x14ac:dyDescent="0.25">
      <c r="D916" s="93"/>
      <c r="E916" s="93"/>
      <c r="F916" s="93"/>
      <c r="G916" s="93"/>
      <c r="H916" s="93"/>
      <c r="I916" s="93"/>
      <c r="J916" s="93"/>
      <c r="K916" s="93"/>
    </row>
    <row r="917" spans="4:11" x14ac:dyDescent="0.25">
      <c r="D917" s="93"/>
      <c r="E917" s="93"/>
      <c r="F917" s="93"/>
      <c r="G917" s="93"/>
      <c r="H917" s="93"/>
      <c r="I917" s="93"/>
      <c r="J917" s="93"/>
      <c r="K917" s="93"/>
    </row>
    <row r="918" spans="4:11" x14ac:dyDescent="0.25">
      <c r="D918" s="93"/>
      <c r="E918" s="93"/>
      <c r="F918" s="93"/>
      <c r="G918" s="93"/>
      <c r="H918" s="93"/>
      <c r="I918" s="93"/>
      <c r="J918" s="93"/>
      <c r="K918" s="93"/>
    </row>
    <row r="919" spans="4:11" x14ac:dyDescent="0.25">
      <c r="D919" s="93"/>
      <c r="E919" s="93"/>
      <c r="F919" s="93"/>
      <c r="G919" s="93"/>
      <c r="H919" s="93"/>
      <c r="I919" s="93"/>
      <c r="J919" s="93"/>
      <c r="K919" s="93"/>
    </row>
    <row r="920" spans="4:11" x14ac:dyDescent="0.25">
      <c r="D920" s="93"/>
      <c r="E920" s="93"/>
      <c r="F920" s="93"/>
      <c r="G920" s="93"/>
      <c r="H920" s="93"/>
      <c r="I920" s="93"/>
      <c r="J920" s="93"/>
      <c r="K920" s="93"/>
    </row>
    <row r="921" spans="4:11" x14ac:dyDescent="0.25">
      <c r="D921" s="93"/>
      <c r="E921" s="93"/>
      <c r="F921" s="93"/>
      <c r="G921" s="93"/>
      <c r="H921" s="93"/>
      <c r="I921" s="93"/>
      <c r="J921" s="93"/>
      <c r="K921" s="93"/>
    </row>
    <row r="922" spans="4:11" x14ac:dyDescent="0.25">
      <c r="D922" s="93"/>
      <c r="E922" s="93"/>
      <c r="F922" s="93"/>
      <c r="G922" s="93"/>
      <c r="H922" s="93"/>
      <c r="I922" s="93"/>
      <c r="J922" s="93"/>
      <c r="K922" s="93"/>
    </row>
    <row r="923" spans="4:11" x14ac:dyDescent="0.25">
      <c r="D923" s="93"/>
      <c r="E923" s="93"/>
      <c r="F923" s="93"/>
      <c r="G923" s="93"/>
      <c r="H923" s="93"/>
      <c r="I923" s="93"/>
      <c r="J923" s="93"/>
      <c r="K923" s="93"/>
    </row>
    <row r="924" spans="4:11" x14ac:dyDescent="0.25">
      <c r="D924" s="93"/>
      <c r="E924" s="93"/>
      <c r="F924" s="93"/>
      <c r="G924" s="93"/>
      <c r="H924" s="93"/>
      <c r="I924" s="93"/>
      <c r="J924" s="93"/>
      <c r="K924" s="93"/>
    </row>
    <row r="925" spans="4:11" x14ac:dyDescent="0.25">
      <c r="D925" s="93"/>
      <c r="E925" s="93"/>
      <c r="F925" s="93"/>
      <c r="G925" s="93"/>
      <c r="H925" s="93"/>
      <c r="I925" s="93"/>
      <c r="J925" s="93"/>
      <c r="K925" s="93"/>
    </row>
    <row r="926" spans="4:11" x14ac:dyDescent="0.25">
      <c r="D926" s="93"/>
      <c r="E926" s="93"/>
      <c r="F926" s="93"/>
      <c r="G926" s="93"/>
      <c r="H926" s="93"/>
      <c r="I926" s="93"/>
      <c r="J926" s="93"/>
      <c r="K926" s="93"/>
    </row>
    <row r="927" spans="4:11" x14ac:dyDescent="0.25">
      <c r="D927" s="93"/>
      <c r="E927" s="93"/>
      <c r="F927" s="93"/>
      <c r="G927" s="93"/>
      <c r="H927" s="93"/>
      <c r="I927" s="93"/>
      <c r="J927" s="93"/>
      <c r="K927" s="93"/>
    </row>
    <row r="928" spans="4:11" x14ac:dyDescent="0.25">
      <c r="D928" s="93"/>
      <c r="E928" s="93"/>
      <c r="F928" s="93"/>
      <c r="G928" s="93"/>
      <c r="H928" s="93"/>
      <c r="I928" s="93"/>
      <c r="J928" s="93"/>
      <c r="K928" s="93"/>
    </row>
    <row r="929" spans="4:11" x14ac:dyDescent="0.25">
      <c r="D929" s="93"/>
      <c r="E929" s="93"/>
      <c r="F929" s="93"/>
      <c r="G929" s="93"/>
      <c r="H929" s="93"/>
      <c r="I929" s="93"/>
      <c r="J929" s="93"/>
      <c r="K929" s="93"/>
    </row>
    <row r="930" spans="4:11" x14ac:dyDescent="0.25">
      <c r="D930" s="93"/>
      <c r="E930" s="93"/>
      <c r="F930" s="93"/>
      <c r="G930" s="93"/>
      <c r="H930" s="93"/>
      <c r="I930" s="93"/>
      <c r="J930" s="93"/>
      <c r="K930" s="93"/>
    </row>
    <row r="931" spans="4:11" x14ac:dyDescent="0.25">
      <c r="D931" s="93"/>
      <c r="E931" s="93"/>
      <c r="F931" s="93"/>
      <c r="G931" s="93"/>
      <c r="H931" s="93"/>
      <c r="I931" s="93"/>
      <c r="J931" s="93"/>
      <c r="K931" s="93"/>
    </row>
    <row r="932" spans="4:11" x14ac:dyDescent="0.25">
      <c r="D932" s="93"/>
      <c r="E932" s="93"/>
      <c r="F932" s="93"/>
      <c r="G932" s="93"/>
      <c r="H932" s="93"/>
      <c r="I932" s="93"/>
      <c r="J932" s="93"/>
      <c r="K932" s="93"/>
    </row>
    <row r="933" spans="4:11" x14ac:dyDescent="0.25">
      <c r="D933" s="93"/>
      <c r="E933" s="93"/>
      <c r="F933" s="93"/>
      <c r="G933" s="93"/>
      <c r="H933" s="93"/>
      <c r="I933" s="93"/>
      <c r="J933" s="93"/>
      <c r="K933" s="93"/>
    </row>
    <row r="934" spans="4:11" x14ac:dyDescent="0.25">
      <c r="D934" s="93"/>
      <c r="E934" s="93"/>
      <c r="F934" s="93"/>
      <c r="G934" s="93"/>
      <c r="H934" s="93"/>
      <c r="I934" s="93"/>
      <c r="J934" s="93"/>
      <c r="K934" s="93"/>
    </row>
    <row r="935" spans="4:11" x14ac:dyDescent="0.25">
      <c r="D935" s="93"/>
      <c r="E935" s="93"/>
      <c r="F935" s="93"/>
      <c r="G935" s="93"/>
      <c r="H935" s="93"/>
      <c r="I935" s="93"/>
      <c r="J935" s="93"/>
      <c r="K935" s="93"/>
    </row>
    <row r="936" spans="4:11" x14ac:dyDescent="0.25">
      <c r="D936" s="93"/>
      <c r="E936" s="93"/>
      <c r="F936" s="93"/>
      <c r="G936" s="93"/>
      <c r="H936" s="93"/>
      <c r="I936" s="93"/>
      <c r="J936" s="93"/>
      <c r="K936" s="93"/>
    </row>
    <row r="937" spans="4:11" x14ac:dyDescent="0.25">
      <c r="D937" s="93"/>
      <c r="E937" s="93"/>
      <c r="F937" s="93"/>
      <c r="G937" s="93"/>
      <c r="H937" s="93"/>
      <c r="I937" s="93"/>
      <c r="J937" s="93"/>
      <c r="K937" s="93"/>
    </row>
    <row r="938" spans="4:11" x14ac:dyDescent="0.25">
      <c r="D938" s="93"/>
      <c r="E938" s="93"/>
      <c r="F938" s="93"/>
      <c r="G938" s="93"/>
      <c r="H938" s="93"/>
      <c r="I938" s="93"/>
      <c r="J938" s="93"/>
      <c r="K938" s="93"/>
    </row>
    <row r="939" spans="4:11" x14ac:dyDescent="0.25">
      <c r="D939" s="93"/>
      <c r="E939" s="93"/>
      <c r="F939" s="93"/>
      <c r="G939" s="93"/>
      <c r="H939" s="93"/>
      <c r="I939" s="93"/>
      <c r="J939" s="93"/>
      <c r="K939" s="93"/>
    </row>
    <row r="940" spans="4:11" x14ac:dyDescent="0.25">
      <c r="D940" s="93"/>
      <c r="E940" s="93"/>
      <c r="F940" s="93"/>
      <c r="G940" s="93"/>
      <c r="H940" s="93"/>
      <c r="I940" s="93"/>
      <c r="J940" s="93"/>
      <c r="K940" s="93"/>
    </row>
    <row r="941" spans="4:11" x14ac:dyDescent="0.25">
      <c r="D941" s="93"/>
      <c r="E941" s="93"/>
      <c r="F941" s="93"/>
      <c r="G941" s="93"/>
      <c r="H941" s="93"/>
      <c r="I941" s="93"/>
      <c r="J941" s="93"/>
      <c r="K941" s="93"/>
    </row>
    <row r="942" spans="4:11" x14ac:dyDescent="0.25">
      <c r="D942" s="93"/>
      <c r="E942" s="93"/>
      <c r="F942" s="93"/>
      <c r="G942" s="93"/>
      <c r="H942" s="93"/>
      <c r="I942" s="93"/>
      <c r="J942" s="93"/>
      <c r="K942" s="93"/>
    </row>
    <row r="943" spans="4:11" x14ac:dyDescent="0.25">
      <c r="D943" s="93"/>
      <c r="E943" s="93"/>
      <c r="F943" s="93"/>
      <c r="G943" s="93"/>
      <c r="H943" s="93"/>
      <c r="I943" s="93"/>
      <c r="J943" s="93"/>
      <c r="K943" s="93"/>
    </row>
    <row r="944" spans="4:11" x14ac:dyDescent="0.25">
      <c r="D944" s="93"/>
      <c r="E944" s="93"/>
      <c r="F944" s="93"/>
      <c r="G944" s="93"/>
      <c r="H944" s="93"/>
      <c r="I944" s="93"/>
      <c r="J944" s="93"/>
      <c r="K944" s="93"/>
    </row>
    <row r="945" spans="4:11" x14ac:dyDescent="0.25">
      <c r="D945" s="93"/>
      <c r="E945" s="93"/>
      <c r="F945" s="93"/>
      <c r="G945" s="93"/>
      <c r="H945" s="93"/>
      <c r="I945" s="93"/>
      <c r="J945" s="93"/>
      <c r="K945" s="93"/>
    </row>
    <row r="946" spans="4:11" x14ac:dyDescent="0.25">
      <c r="D946" s="93"/>
      <c r="E946" s="93"/>
      <c r="F946" s="93"/>
      <c r="G946" s="93"/>
      <c r="H946" s="93"/>
      <c r="I946" s="93"/>
      <c r="J946" s="93"/>
      <c r="K946" s="93"/>
    </row>
    <row r="947" spans="4:11" x14ac:dyDescent="0.25">
      <c r="D947" s="93"/>
      <c r="E947" s="93"/>
      <c r="F947" s="93"/>
      <c r="G947" s="93"/>
      <c r="H947" s="93"/>
      <c r="I947" s="93"/>
      <c r="J947" s="93"/>
      <c r="K947" s="93"/>
    </row>
    <row r="948" spans="4:11" x14ac:dyDescent="0.25">
      <c r="D948" s="93"/>
      <c r="E948" s="93"/>
      <c r="F948" s="93"/>
      <c r="G948" s="93"/>
      <c r="H948" s="93"/>
      <c r="I948" s="93"/>
      <c r="J948" s="93"/>
      <c r="K948" s="93"/>
    </row>
    <row r="949" spans="4:11" x14ac:dyDescent="0.25">
      <c r="D949" s="93"/>
      <c r="E949" s="93"/>
      <c r="F949" s="93"/>
      <c r="G949" s="93"/>
      <c r="H949" s="93"/>
      <c r="I949" s="93"/>
      <c r="J949" s="93"/>
      <c r="K949" s="93"/>
    </row>
    <row r="950" spans="4:11" x14ac:dyDescent="0.25">
      <c r="D950" s="93"/>
      <c r="E950" s="93"/>
      <c r="F950" s="93"/>
      <c r="G950" s="93"/>
      <c r="H950" s="93"/>
      <c r="I950" s="93"/>
      <c r="J950" s="93"/>
      <c r="K950" s="93"/>
    </row>
    <row r="951" spans="4:11" x14ac:dyDescent="0.25">
      <c r="D951" s="93"/>
      <c r="E951" s="93"/>
      <c r="F951" s="93"/>
      <c r="G951" s="93"/>
      <c r="H951" s="93"/>
      <c r="I951" s="93"/>
      <c r="J951" s="93"/>
      <c r="K951" s="93"/>
    </row>
    <row r="952" spans="4:11" x14ac:dyDescent="0.25">
      <c r="D952" s="93"/>
      <c r="E952" s="93"/>
      <c r="F952" s="93"/>
      <c r="G952" s="93"/>
      <c r="H952" s="93"/>
      <c r="I952" s="93"/>
      <c r="J952" s="93"/>
      <c r="K952" s="93"/>
    </row>
    <row r="953" spans="4:11" x14ac:dyDescent="0.25">
      <c r="D953" s="93"/>
      <c r="E953" s="93"/>
      <c r="F953" s="93"/>
      <c r="G953" s="93"/>
      <c r="H953" s="93"/>
      <c r="I953" s="93"/>
      <c r="J953" s="93"/>
      <c r="K953" s="93"/>
    </row>
    <row r="954" spans="4:11" x14ac:dyDescent="0.25">
      <c r="D954" s="93"/>
      <c r="E954" s="93"/>
      <c r="F954" s="93"/>
      <c r="G954" s="93"/>
      <c r="H954" s="93"/>
      <c r="I954" s="93"/>
      <c r="J954" s="93"/>
      <c r="K954" s="93"/>
    </row>
    <row r="955" spans="4:11" x14ac:dyDescent="0.25">
      <c r="D955" s="93"/>
      <c r="E955" s="93"/>
      <c r="F955" s="93"/>
      <c r="G955" s="93"/>
      <c r="H955" s="93"/>
      <c r="I955" s="93"/>
      <c r="J955" s="93"/>
      <c r="K955" s="93"/>
    </row>
    <row r="956" spans="4:11" x14ac:dyDescent="0.25">
      <c r="D956" s="93"/>
      <c r="E956" s="93"/>
      <c r="F956" s="93"/>
      <c r="G956" s="93"/>
      <c r="H956" s="93"/>
      <c r="I956" s="93"/>
      <c r="J956" s="93"/>
      <c r="K956" s="93"/>
    </row>
    <row r="957" spans="4:11" x14ac:dyDescent="0.25">
      <c r="D957" s="93"/>
      <c r="E957" s="93"/>
      <c r="F957" s="93"/>
      <c r="G957" s="93"/>
      <c r="H957" s="93"/>
      <c r="I957" s="93"/>
      <c r="J957" s="93"/>
      <c r="K957" s="93"/>
    </row>
    <row r="958" spans="4:11" x14ac:dyDescent="0.25">
      <c r="D958" s="93"/>
      <c r="E958" s="93"/>
      <c r="F958" s="93"/>
      <c r="G958" s="93"/>
      <c r="H958" s="93"/>
      <c r="I958" s="93"/>
      <c r="J958" s="93"/>
      <c r="K958" s="93"/>
    </row>
    <row r="959" spans="4:11" x14ac:dyDescent="0.25">
      <c r="D959" s="93"/>
      <c r="E959" s="93"/>
      <c r="F959" s="93"/>
      <c r="G959" s="93"/>
      <c r="H959" s="93"/>
      <c r="I959" s="93"/>
      <c r="J959" s="93"/>
      <c r="K959" s="93"/>
    </row>
    <row r="960" spans="4:11" x14ac:dyDescent="0.25">
      <c r="D960" s="93"/>
      <c r="E960" s="93"/>
      <c r="F960" s="93"/>
      <c r="G960" s="93"/>
      <c r="H960" s="93"/>
      <c r="I960" s="93"/>
      <c r="J960" s="93"/>
      <c r="K960" s="93"/>
    </row>
    <row r="961" spans="4:11" x14ac:dyDescent="0.25">
      <c r="D961" s="93"/>
      <c r="E961" s="93"/>
      <c r="F961" s="93"/>
      <c r="G961" s="93"/>
      <c r="H961" s="93"/>
      <c r="I961" s="93"/>
      <c r="J961" s="93"/>
      <c r="K961" s="93"/>
    </row>
    <row r="962" spans="4:11" x14ac:dyDescent="0.25">
      <c r="D962" s="93"/>
      <c r="E962" s="93"/>
      <c r="F962" s="93"/>
      <c r="G962" s="93"/>
      <c r="H962" s="93"/>
      <c r="I962" s="93"/>
      <c r="J962" s="93"/>
      <c r="K962" s="93"/>
    </row>
    <row r="963" spans="4:11" x14ac:dyDescent="0.25">
      <c r="D963" s="93"/>
      <c r="E963" s="93"/>
      <c r="F963" s="93"/>
      <c r="G963" s="93"/>
      <c r="H963" s="93"/>
      <c r="I963" s="93"/>
      <c r="J963" s="93"/>
      <c r="K963" s="93"/>
    </row>
    <row r="964" spans="4:11" x14ac:dyDescent="0.25">
      <c r="D964" s="93"/>
      <c r="E964" s="93"/>
      <c r="F964" s="93"/>
      <c r="G964" s="93"/>
      <c r="H964" s="93"/>
      <c r="I964" s="93"/>
      <c r="J964" s="93"/>
      <c r="K964" s="93"/>
    </row>
    <row r="965" spans="4:11" x14ac:dyDescent="0.25">
      <c r="D965" s="93"/>
      <c r="E965" s="93"/>
      <c r="F965" s="93"/>
      <c r="G965" s="93"/>
      <c r="H965" s="93"/>
      <c r="I965" s="93"/>
      <c r="J965" s="93"/>
      <c r="K965" s="93"/>
    </row>
    <row r="966" spans="4:11" x14ac:dyDescent="0.25">
      <c r="D966" s="93"/>
      <c r="E966" s="93"/>
      <c r="F966" s="93"/>
      <c r="G966" s="93"/>
      <c r="H966" s="93"/>
      <c r="I966" s="93"/>
      <c r="J966" s="93"/>
      <c r="K966" s="93"/>
    </row>
    <row r="967" spans="4:11" x14ac:dyDescent="0.25">
      <c r="D967" s="93"/>
      <c r="E967" s="93"/>
      <c r="F967" s="93"/>
      <c r="G967" s="93"/>
      <c r="H967" s="93"/>
      <c r="I967" s="93"/>
      <c r="J967" s="93"/>
      <c r="K967" s="93"/>
    </row>
    <row r="968" spans="4:11" x14ac:dyDescent="0.25">
      <c r="D968" s="93"/>
      <c r="E968" s="93"/>
      <c r="F968" s="93"/>
      <c r="G968" s="93"/>
      <c r="H968" s="93"/>
      <c r="I968" s="93"/>
      <c r="J968" s="93"/>
      <c r="K968" s="93"/>
    </row>
    <row r="969" spans="4:11" x14ac:dyDescent="0.25">
      <c r="D969" s="93"/>
      <c r="E969" s="93"/>
      <c r="F969" s="93"/>
      <c r="G969" s="93"/>
      <c r="H969" s="93"/>
      <c r="I969" s="93"/>
      <c r="J969" s="93"/>
      <c r="K969" s="93"/>
    </row>
    <row r="970" spans="4:11" x14ac:dyDescent="0.25">
      <c r="D970" s="93"/>
      <c r="E970" s="93"/>
      <c r="F970" s="93"/>
      <c r="G970" s="93"/>
      <c r="H970" s="93"/>
      <c r="I970" s="93"/>
      <c r="J970" s="93"/>
      <c r="K970" s="93"/>
    </row>
    <row r="971" spans="4:11" x14ac:dyDescent="0.25">
      <c r="D971" s="93"/>
      <c r="E971" s="93"/>
      <c r="F971" s="93"/>
      <c r="G971" s="93"/>
      <c r="H971" s="93"/>
      <c r="I971" s="93"/>
      <c r="J971" s="93"/>
      <c r="K971" s="93"/>
    </row>
    <row r="972" spans="4:11" x14ac:dyDescent="0.25">
      <c r="D972" s="93"/>
      <c r="E972" s="93"/>
      <c r="F972" s="93"/>
      <c r="G972" s="93"/>
      <c r="H972" s="93"/>
      <c r="I972" s="93"/>
      <c r="J972" s="93"/>
      <c r="K972" s="93"/>
    </row>
    <row r="973" spans="4:11" x14ac:dyDescent="0.25">
      <c r="D973" s="93"/>
      <c r="E973" s="93"/>
      <c r="F973" s="93"/>
      <c r="G973" s="93"/>
      <c r="H973" s="93"/>
      <c r="I973" s="93"/>
      <c r="J973" s="93"/>
      <c r="K973" s="93"/>
    </row>
    <row r="974" spans="4:11" x14ac:dyDescent="0.25">
      <c r="D974" s="93"/>
      <c r="E974" s="93"/>
      <c r="F974" s="93"/>
      <c r="G974" s="93"/>
      <c r="H974" s="93"/>
      <c r="I974" s="93"/>
      <c r="J974" s="93"/>
      <c r="K974" s="93"/>
    </row>
    <row r="975" spans="4:11" x14ac:dyDescent="0.25">
      <c r="D975" s="93"/>
      <c r="E975" s="93"/>
      <c r="F975" s="93"/>
      <c r="G975" s="93"/>
      <c r="H975" s="93"/>
      <c r="I975" s="93"/>
      <c r="J975" s="93"/>
      <c r="K975" s="93"/>
    </row>
    <row r="976" spans="4:11" x14ac:dyDescent="0.25">
      <c r="D976" s="93"/>
      <c r="E976" s="93"/>
      <c r="F976" s="93"/>
      <c r="G976" s="93"/>
      <c r="H976" s="93"/>
      <c r="I976" s="93"/>
      <c r="J976" s="93"/>
      <c r="K976" s="93"/>
    </row>
    <row r="977" spans="4:11" x14ac:dyDescent="0.25">
      <c r="D977" s="93"/>
      <c r="E977" s="93"/>
      <c r="F977" s="93"/>
      <c r="G977" s="93"/>
      <c r="H977" s="93"/>
      <c r="I977" s="93"/>
      <c r="J977" s="93"/>
      <c r="K977" s="93"/>
    </row>
    <row r="978" spans="4:11" x14ac:dyDescent="0.25">
      <c r="D978" s="93"/>
      <c r="E978" s="93"/>
      <c r="F978" s="93"/>
      <c r="G978" s="93"/>
      <c r="H978" s="93"/>
      <c r="I978" s="93"/>
      <c r="J978" s="93"/>
      <c r="K978" s="93"/>
    </row>
    <row r="979" spans="4:11" x14ac:dyDescent="0.25">
      <c r="D979" s="93"/>
      <c r="E979" s="93"/>
      <c r="F979" s="93"/>
      <c r="G979" s="93"/>
      <c r="H979" s="93"/>
      <c r="I979" s="93"/>
      <c r="J979" s="93"/>
      <c r="K979" s="93"/>
    </row>
    <row r="980" spans="4:11" x14ac:dyDescent="0.25">
      <c r="D980" s="93"/>
      <c r="E980" s="93"/>
      <c r="F980" s="93"/>
      <c r="G980" s="93"/>
      <c r="H980" s="93"/>
      <c r="I980" s="93"/>
      <c r="J980" s="93"/>
      <c r="K980" s="93"/>
    </row>
    <row r="981" spans="4:11" x14ac:dyDescent="0.25">
      <c r="D981" s="93"/>
      <c r="E981" s="93"/>
      <c r="F981" s="93"/>
      <c r="G981" s="93"/>
      <c r="H981" s="93"/>
      <c r="I981" s="93"/>
      <c r="J981" s="93"/>
      <c r="K981" s="93"/>
    </row>
    <row r="982" spans="4:11" x14ac:dyDescent="0.25">
      <c r="D982" s="93"/>
      <c r="E982" s="93"/>
      <c r="F982" s="93"/>
      <c r="G982" s="93"/>
      <c r="H982" s="93"/>
      <c r="I982" s="93"/>
      <c r="J982" s="93"/>
      <c r="K982" s="93"/>
    </row>
    <row r="983" spans="4:11" x14ac:dyDescent="0.25">
      <c r="D983" s="93"/>
      <c r="E983" s="93"/>
      <c r="F983" s="93"/>
      <c r="G983" s="93"/>
      <c r="H983" s="93"/>
      <c r="I983" s="93"/>
      <c r="J983" s="93"/>
      <c r="K983" s="93"/>
    </row>
    <row r="984" spans="4:11" x14ac:dyDescent="0.25">
      <c r="D984" s="93"/>
      <c r="E984" s="93"/>
      <c r="F984" s="93"/>
      <c r="G984" s="93"/>
      <c r="H984" s="93"/>
      <c r="I984" s="93"/>
      <c r="J984" s="93"/>
      <c r="K984" s="93"/>
    </row>
    <row r="985" spans="4:11" x14ac:dyDescent="0.25">
      <c r="D985" s="93"/>
      <c r="E985" s="93"/>
      <c r="F985" s="93"/>
      <c r="G985" s="93"/>
      <c r="H985" s="93"/>
      <c r="I985" s="93"/>
      <c r="J985" s="93"/>
      <c r="K985" s="93"/>
    </row>
    <row r="986" spans="4:11" x14ac:dyDescent="0.25">
      <c r="D986" s="93"/>
      <c r="E986" s="93"/>
      <c r="F986" s="93"/>
      <c r="G986" s="93"/>
      <c r="H986" s="93"/>
      <c r="I986" s="93"/>
      <c r="J986" s="93"/>
      <c r="K986" s="93"/>
    </row>
    <row r="987" spans="4:11" x14ac:dyDescent="0.25">
      <c r="D987" s="93"/>
      <c r="E987" s="93"/>
      <c r="F987" s="93"/>
      <c r="G987" s="93"/>
      <c r="H987" s="93"/>
      <c r="I987" s="93"/>
      <c r="J987" s="93"/>
      <c r="K987" s="93"/>
    </row>
    <row r="988" spans="4:11" x14ac:dyDescent="0.25">
      <c r="D988" s="93"/>
      <c r="E988" s="93"/>
      <c r="F988" s="93"/>
      <c r="G988" s="93"/>
      <c r="H988" s="93"/>
      <c r="I988" s="93"/>
      <c r="J988" s="93"/>
      <c r="K988" s="93"/>
    </row>
    <row r="989" spans="4:11" x14ac:dyDescent="0.25">
      <c r="D989" s="93"/>
      <c r="E989" s="93"/>
      <c r="F989" s="93"/>
      <c r="G989" s="93"/>
      <c r="H989" s="93"/>
      <c r="I989" s="93"/>
      <c r="J989" s="93"/>
      <c r="K989" s="93"/>
    </row>
    <row r="990" spans="4:11" x14ac:dyDescent="0.25">
      <c r="D990" s="93"/>
      <c r="E990" s="93"/>
      <c r="F990" s="93"/>
      <c r="G990" s="93"/>
      <c r="H990" s="93"/>
      <c r="I990" s="93"/>
      <c r="J990" s="93"/>
      <c r="K990" s="93"/>
    </row>
    <row r="991" spans="4:11" x14ac:dyDescent="0.25">
      <c r="D991" s="93"/>
      <c r="E991" s="93"/>
      <c r="F991" s="93"/>
      <c r="G991" s="93"/>
      <c r="H991" s="93"/>
      <c r="I991" s="93"/>
      <c r="J991" s="93"/>
      <c r="K991" s="93"/>
    </row>
    <row r="992" spans="4:11" x14ac:dyDescent="0.25">
      <c r="D992" s="93"/>
      <c r="E992" s="93"/>
      <c r="F992" s="93"/>
      <c r="G992" s="93"/>
      <c r="H992" s="93"/>
      <c r="I992" s="93"/>
      <c r="J992" s="93"/>
      <c r="K992" s="93"/>
    </row>
    <row r="993" spans="4:11" x14ac:dyDescent="0.25">
      <c r="D993" s="93"/>
      <c r="E993" s="93"/>
      <c r="F993" s="93"/>
      <c r="G993" s="93"/>
      <c r="H993" s="93"/>
      <c r="I993" s="93"/>
      <c r="J993" s="93"/>
      <c r="K993" s="93"/>
    </row>
    <row r="994" spans="4:11" x14ac:dyDescent="0.25">
      <c r="D994" s="93"/>
      <c r="E994" s="93"/>
      <c r="F994" s="93"/>
      <c r="G994" s="93"/>
      <c r="H994" s="93"/>
      <c r="I994" s="93"/>
      <c r="J994" s="93"/>
      <c r="K994" s="93"/>
    </row>
    <row r="995" spans="4:11" x14ac:dyDescent="0.25">
      <c r="D995" s="93"/>
      <c r="E995" s="93"/>
      <c r="F995" s="93"/>
      <c r="G995" s="93"/>
      <c r="H995" s="93"/>
      <c r="I995" s="93"/>
      <c r="J995" s="93"/>
      <c r="K995" s="93"/>
    </row>
    <row r="996" spans="4:11" x14ac:dyDescent="0.25">
      <c r="D996" s="93"/>
      <c r="E996" s="93"/>
      <c r="F996" s="93"/>
      <c r="G996" s="93"/>
      <c r="H996" s="93"/>
      <c r="I996" s="93"/>
      <c r="J996" s="93"/>
      <c r="K996" s="93"/>
    </row>
    <row r="997" spans="4:11" x14ac:dyDescent="0.25">
      <c r="D997" s="93"/>
      <c r="E997" s="93"/>
      <c r="F997" s="93"/>
      <c r="G997" s="93"/>
      <c r="H997" s="93"/>
      <c r="I997" s="93"/>
      <c r="J997" s="93"/>
      <c r="K997" s="93"/>
    </row>
    <row r="998" spans="4:11" x14ac:dyDescent="0.25">
      <c r="D998" s="93"/>
      <c r="E998" s="93"/>
      <c r="F998" s="93"/>
      <c r="G998" s="93"/>
      <c r="H998" s="93"/>
      <c r="I998" s="93"/>
      <c r="J998" s="93"/>
      <c r="K998" s="93"/>
    </row>
    <row r="999" spans="4:11" x14ac:dyDescent="0.25">
      <c r="D999" s="93"/>
      <c r="E999" s="93"/>
      <c r="F999" s="93"/>
      <c r="G999" s="93"/>
      <c r="H999" s="93"/>
      <c r="I999" s="93"/>
      <c r="J999" s="93"/>
      <c r="K999" s="93"/>
    </row>
    <row r="1000" spans="4:11" x14ac:dyDescent="0.25">
      <c r="D1000" s="93"/>
      <c r="E1000" s="93"/>
      <c r="F1000" s="93"/>
      <c r="G1000" s="93"/>
      <c r="H1000" s="93"/>
      <c r="I1000" s="93"/>
      <c r="J1000" s="93"/>
      <c r="K1000" s="93"/>
    </row>
    <row r="1001" spans="4:11" x14ac:dyDescent="0.25">
      <c r="D1001" s="93"/>
      <c r="E1001" s="93"/>
      <c r="F1001" s="93"/>
      <c r="G1001" s="93"/>
      <c r="H1001" s="93"/>
      <c r="I1001" s="93"/>
      <c r="J1001" s="93"/>
      <c r="K1001" s="93"/>
    </row>
    <row r="1002" spans="4:11" x14ac:dyDescent="0.25">
      <c r="D1002" s="93"/>
      <c r="E1002" s="93"/>
      <c r="F1002" s="93"/>
      <c r="G1002" s="93"/>
      <c r="H1002" s="93"/>
      <c r="I1002" s="93"/>
      <c r="J1002" s="93"/>
      <c r="K1002" s="93"/>
    </row>
    <row r="1003" spans="4:11" x14ac:dyDescent="0.25">
      <c r="D1003" s="93"/>
      <c r="E1003" s="93"/>
      <c r="F1003" s="93"/>
      <c r="G1003" s="93"/>
      <c r="H1003" s="93"/>
      <c r="I1003" s="93"/>
      <c r="J1003" s="93"/>
      <c r="K1003" s="93"/>
    </row>
    <row r="1004" spans="4:11" x14ac:dyDescent="0.25">
      <c r="D1004" s="93"/>
      <c r="E1004" s="93"/>
      <c r="F1004" s="93"/>
      <c r="G1004" s="93"/>
      <c r="H1004" s="93"/>
      <c r="I1004" s="93"/>
      <c r="J1004" s="93"/>
      <c r="K1004" s="93"/>
    </row>
    <row r="1005" spans="4:11" x14ac:dyDescent="0.25">
      <c r="D1005" s="93"/>
      <c r="E1005" s="93"/>
      <c r="F1005" s="93"/>
      <c r="G1005" s="93"/>
      <c r="H1005" s="93"/>
      <c r="I1005" s="93"/>
      <c r="J1005" s="93"/>
      <c r="K1005" s="93"/>
    </row>
    <row r="1006" spans="4:11" x14ac:dyDescent="0.25">
      <c r="D1006" s="93"/>
      <c r="E1006" s="93"/>
      <c r="F1006" s="93"/>
      <c r="G1006" s="93"/>
      <c r="H1006" s="93"/>
      <c r="I1006" s="93"/>
      <c r="J1006" s="93"/>
      <c r="K1006" s="93"/>
    </row>
    <row r="1007" spans="4:11" x14ac:dyDescent="0.25">
      <c r="D1007" s="93"/>
      <c r="E1007" s="93"/>
      <c r="F1007" s="93"/>
      <c r="G1007" s="93"/>
      <c r="H1007" s="93"/>
      <c r="I1007" s="93"/>
      <c r="J1007" s="93"/>
      <c r="K1007" s="93"/>
    </row>
    <row r="1008" spans="4:11" x14ac:dyDescent="0.25">
      <c r="D1008" s="93"/>
      <c r="E1008" s="93"/>
      <c r="F1008" s="93"/>
      <c r="G1008" s="93"/>
      <c r="H1008" s="93"/>
      <c r="I1008" s="93"/>
      <c r="J1008" s="93"/>
      <c r="K1008" s="93"/>
    </row>
    <row r="1009" spans="4:11" x14ac:dyDescent="0.25">
      <c r="D1009" s="93"/>
      <c r="E1009" s="93"/>
      <c r="F1009" s="93"/>
      <c r="G1009" s="93"/>
      <c r="H1009" s="93"/>
      <c r="I1009" s="93"/>
      <c r="J1009" s="93"/>
      <c r="K1009" s="93"/>
    </row>
    <row r="1010" spans="4:11" x14ac:dyDescent="0.25">
      <c r="D1010" s="93"/>
      <c r="E1010" s="93"/>
      <c r="F1010" s="93"/>
      <c r="G1010" s="93"/>
      <c r="H1010" s="93"/>
      <c r="I1010" s="93"/>
      <c r="J1010" s="93"/>
      <c r="K1010" s="93"/>
    </row>
    <row r="1011" spans="4:11" x14ac:dyDescent="0.25">
      <c r="D1011" s="93"/>
      <c r="E1011" s="93"/>
      <c r="F1011" s="93"/>
      <c r="G1011" s="93"/>
      <c r="H1011" s="93"/>
      <c r="I1011" s="93"/>
      <c r="J1011" s="93"/>
      <c r="K1011" s="93"/>
    </row>
    <row r="1012" spans="4:11" x14ac:dyDescent="0.25">
      <c r="D1012" s="93"/>
      <c r="E1012" s="93"/>
      <c r="F1012" s="93"/>
      <c r="G1012" s="93"/>
      <c r="H1012" s="93"/>
      <c r="I1012" s="93"/>
      <c r="J1012" s="93"/>
      <c r="K1012" s="93"/>
    </row>
    <row r="1013" spans="4:11" x14ac:dyDescent="0.25">
      <c r="D1013" s="93"/>
      <c r="E1013" s="93"/>
      <c r="F1013" s="93"/>
      <c r="G1013" s="93"/>
      <c r="H1013" s="93"/>
      <c r="I1013" s="93"/>
      <c r="J1013" s="93"/>
      <c r="K1013" s="93"/>
    </row>
    <row r="1014" spans="4:11" x14ac:dyDescent="0.25">
      <c r="D1014" s="93"/>
      <c r="E1014" s="93"/>
      <c r="F1014" s="93"/>
      <c r="G1014" s="93"/>
      <c r="H1014" s="93"/>
      <c r="I1014" s="93"/>
      <c r="J1014" s="93"/>
      <c r="K1014" s="93"/>
    </row>
    <row r="1015" spans="4:11" x14ac:dyDescent="0.25">
      <c r="D1015" s="93"/>
      <c r="E1015" s="93"/>
      <c r="F1015" s="93"/>
      <c r="G1015" s="93"/>
      <c r="H1015" s="93"/>
      <c r="I1015" s="93"/>
      <c r="J1015" s="93"/>
      <c r="K1015" s="93"/>
    </row>
    <row r="1016" spans="4:11" x14ac:dyDescent="0.25">
      <c r="D1016" s="93"/>
      <c r="E1016" s="93"/>
      <c r="F1016" s="93"/>
      <c r="G1016" s="93"/>
      <c r="H1016" s="93"/>
      <c r="I1016" s="93"/>
      <c r="J1016" s="93"/>
      <c r="K1016" s="93"/>
    </row>
    <row r="1017" spans="4:11" x14ac:dyDescent="0.25">
      <c r="D1017" s="93"/>
      <c r="E1017" s="93"/>
      <c r="F1017" s="93"/>
      <c r="G1017" s="93"/>
      <c r="H1017" s="93"/>
      <c r="I1017" s="93"/>
      <c r="J1017" s="93"/>
      <c r="K1017" s="93"/>
    </row>
    <row r="1018" spans="4:11" x14ac:dyDescent="0.25">
      <c r="D1018" s="93"/>
      <c r="E1018" s="93"/>
      <c r="F1018" s="93"/>
      <c r="G1018" s="93"/>
      <c r="H1018" s="93"/>
      <c r="I1018" s="93"/>
      <c r="J1018" s="93"/>
      <c r="K1018" s="93"/>
    </row>
    <row r="1019" spans="4:11" x14ac:dyDescent="0.25">
      <c r="D1019" s="93"/>
      <c r="E1019" s="93"/>
      <c r="F1019" s="93"/>
      <c r="G1019" s="93"/>
      <c r="H1019" s="93"/>
      <c r="I1019" s="93"/>
      <c r="J1019" s="93"/>
      <c r="K1019" s="93"/>
    </row>
    <row r="1020" spans="4:11" x14ac:dyDescent="0.25">
      <c r="D1020" s="93"/>
      <c r="E1020" s="93"/>
      <c r="F1020" s="93"/>
      <c r="G1020" s="93"/>
      <c r="H1020" s="93"/>
      <c r="I1020" s="93"/>
      <c r="J1020" s="93"/>
      <c r="K1020" s="93"/>
    </row>
    <row r="1021" spans="4:11" x14ac:dyDescent="0.25">
      <c r="D1021" s="93"/>
      <c r="E1021" s="93"/>
      <c r="F1021" s="93"/>
      <c r="G1021" s="93"/>
      <c r="H1021" s="93"/>
      <c r="I1021" s="93"/>
      <c r="J1021" s="93"/>
      <c r="K1021" s="93"/>
    </row>
    <row r="1022" spans="4:11" x14ac:dyDescent="0.25">
      <c r="D1022" s="93"/>
      <c r="E1022" s="93"/>
      <c r="F1022" s="93"/>
      <c r="G1022" s="93"/>
      <c r="H1022" s="93"/>
      <c r="I1022" s="93"/>
      <c r="J1022" s="93"/>
      <c r="K1022" s="93"/>
    </row>
    <row r="1023" spans="4:11" x14ac:dyDescent="0.25">
      <c r="D1023" s="93"/>
      <c r="E1023" s="93"/>
      <c r="F1023" s="93"/>
      <c r="G1023" s="93"/>
      <c r="H1023" s="93"/>
      <c r="I1023" s="93"/>
      <c r="J1023" s="93"/>
      <c r="K1023" s="93"/>
    </row>
    <row r="1024" spans="4:11" x14ac:dyDescent="0.25">
      <c r="D1024" s="93"/>
      <c r="E1024" s="93"/>
      <c r="F1024" s="93"/>
      <c r="G1024" s="93"/>
      <c r="H1024" s="93"/>
      <c r="I1024" s="93"/>
      <c r="J1024" s="93"/>
      <c r="K1024" s="93"/>
    </row>
    <row r="1025" spans="4:11" x14ac:dyDescent="0.25">
      <c r="D1025" s="93"/>
      <c r="E1025" s="93"/>
      <c r="F1025" s="93"/>
      <c r="G1025" s="93"/>
      <c r="H1025" s="93"/>
      <c r="I1025" s="93"/>
      <c r="J1025" s="93"/>
      <c r="K1025" s="93"/>
    </row>
    <row r="1026" spans="4:11" x14ac:dyDescent="0.25">
      <c r="D1026" s="93"/>
      <c r="E1026" s="93"/>
      <c r="F1026" s="93"/>
      <c r="G1026" s="93"/>
      <c r="H1026" s="93"/>
      <c r="I1026" s="93"/>
      <c r="J1026" s="93"/>
      <c r="K1026" s="93"/>
    </row>
    <row r="1027" spans="4:11" x14ac:dyDescent="0.25">
      <c r="D1027" s="93"/>
      <c r="E1027" s="93"/>
      <c r="F1027" s="93"/>
      <c r="G1027" s="93"/>
      <c r="H1027" s="93"/>
      <c r="I1027" s="93"/>
      <c r="J1027" s="93"/>
      <c r="K1027" s="93"/>
    </row>
    <row r="1028" spans="4:11" x14ac:dyDescent="0.25">
      <c r="D1028" s="93"/>
      <c r="E1028" s="93"/>
      <c r="F1028" s="93"/>
      <c r="G1028" s="93"/>
      <c r="H1028" s="93"/>
      <c r="I1028" s="93"/>
      <c r="J1028" s="93"/>
      <c r="K1028" s="93"/>
    </row>
    <row r="1029" spans="4:11" x14ac:dyDescent="0.25">
      <c r="D1029" s="93"/>
      <c r="E1029" s="93"/>
      <c r="F1029" s="93"/>
      <c r="G1029" s="93"/>
      <c r="H1029" s="93"/>
      <c r="I1029" s="93"/>
      <c r="J1029" s="93"/>
      <c r="K1029" s="93"/>
    </row>
    <row r="1030" spans="4:11" x14ac:dyDescent="0.25">
      <c r="D1030" s="93"/>
      <c r="E1030" s="93"/>
      <c r="F1030" s="93"/>
      <c r="G1030" s="93"/>
      <c r="H1030" s="93"/>
      <c r="I1030" s="93"/>
      <c r="J1030" s="93"/>
      <c r="K1030" s="93"/>
    </row>
    <row r="1031" spans="4:11" x14ac:dyDescent="0.25">
      <c r="D1031" s="93"/>
      <c r="E1031" s="93"/>
      <c r="F1031" s="93"/>
      <c r="G1031" s="93"/>
      <c r="H1031" s="93"/>
      <c r="I1031" s="93"/>
      <c r="J1031" s="93"/>
      <c r="K1031" s="93"/>
    </row>
    <row r="1032" spans="4:11" x14ac:dyDescent="0.25">
      <c r="D1032" s="93"/>
      <c r="E1032" s="93"/>
      <c r="F1032" s="93"/>
      <c r="G1032" s="93"/>
      <c r="H1032" s="93"/>
      <c r="I1032" s="93"/>
      <c r="J1032" s="93"/>
      <c r="K1032" s="93"/>
    </row>
    <row r="1033" spans="4:11" x14ac:dyDescent="0.25">
      <c r="D1033" s="93"/>
      <c r="E1033" s="93"/>
      <c r="F1033" s="93"/>
      <c r="G1033" s="93"/>
      <c r="H1033" s="93"/>
      <c r="I1033" s="93"/>
      <c r="J1033" s="93"/>
      <c r="K1033" s="93"/>
    </row>
    <row r="1034" spans="4:11" x14ac:dyDescent="0.25">
      <c r="D1034" s="93"/>
      <c r="E1034" s="93"/>
      <c r="F1034" s="93"/>
      <c r="G1034" s="93"/>
      <c r="H1034" s="93"/>
      <c r="I1034" s="93"/>
      <c r="J1034" s="93"/>
      <c r="K1034" s="93"/>
    </row>
    <row r="1035" spans="4:11" x14ac:dyDescent="0.25">
      <c r="D1035" s="93"/>
      <c r="E1035" s="93"/>
      <c r="F1035" s="93"/>
      <c r="G1035" s="93"/>
      <c r="H1035" s="93"/>
      <c r="I1035" s="93"/>
      <c r="J1035" s="93"/>
      <c r="K1035" s="93"/>
    </row>
    <row r="1036" spans="4:11" x14ac:dyDescent="0.25">
      <c r="D1036" s="93"/>
      <c r="E1036" s="93"/>
      <c r="F1036" s="93"/>
      <c r="G1036" s="93"/>
      <c r="H1036" s="93"/>
      <c r="I1036" s="93"/>
      <c r="J1036" s="93"/>
      <c r="K1036" s="93"/>
    </row>
    <row r="1037" spans="4:11" x14ac:dyDescent="0.25">
      <c r="D1037" s="93"/>
      <c r="E1037" s="93"/>
      <c r="F1037" s="93"/>
      <c r="G1037" s="93"/>
      <c r="H1037" s="93"/>
      <c r="I1037" s="93"/>
      <c r="J1037" s="93"/>
      <c r="K1037" s="93"/>
    </row>
    <row r="1038" spans="4:11" x14ac:dyDescent="0.25">
      <c r="D1038" s="93"/>
      <c r="E1038" s="93"/>
      <c r="F1038" s="93"/>
      <c r="G1038" s="93"/>
      <c r="H1038" s="93"/>
      <c r="I1038" s="93"/>
      <c r="J1038" s="93"/>
      <c r="K1038" s="93"/>
    </row>
    <row r="1039" spans="4:11" x14ac:dyDescent="0.25">
      <c r="D1039" s="93"/>
      <c r="E1039" s="93"/>
      <c r="F1039" s="93"/>
      <c r="G1039" s="93"/>
      <c r="H1039" s="93"/>
      <c r="I1039" s="93"/>
      <c r="J1039" s="93"/>
      <c r="K1039" s="93"/>
    </row>
    <row r="1040" spans="4:11" x14ac:dyDescent="0.25">
      <c r="D1040" s="93"/>
      <c r="E1040" s="93"/>
      <c r="F1040" s="93"/>
      <c r="G1040" s="93"/>
      <c r="H1040" s="93"/>
      <c r="I1040" s="93"/>
      <c r="J1040" s="93"/>
      <c r="K1040" s="93"/>
    </row>
    <row r="1041" spans="4:11" x14ac:dyDescent="0.25">
      <c r="D1041" s="93"/>
      <c r="E1041" s="93"/>
      <c r="F1041" s="93"/>
      <c r="G1041" s="93"/>
      <c r="H1041" s="93"/>
      <c r="I1041" s="93"/>
      <c r="J1041" s="93"/>
      <c r="K1041" s="93"/>
    </row>
    <row r="1042" spans="4:11" x14ac:dyDescent="0.25">
      <c r="D1042" s="93"/>
      <c r="E1042" s="93"/>
      <c r="F1042" s="93"/>
      <c r="G1042" s="93"/>
      <c r="H1042" s="93"/>
      <c r="I1042" s="93"/>
      <c r="J1042" s="93"/>
      <c r="K1042" s="93"/>
    </row>
    <row r="1043" spans="4:11" x14ac:dyDescent="0.25">
      <c r="D1043" s="93"/>
      <c r="E1043" s="93"/>
      <c r="F1043" s="93"/>
      <c r="G1043" s="93"/>
      <c r="H1043" s="93"/>
      <c r="I1043" s="93"/>
      <c r="J1043" s="93"/>
      <c r="K1043" s="93"/>
    </row>
    <row r="1044" spans="4:11" x14ac:dyDescent="0.25">
      <c r="D1044" s="93"/>
      <c r="E1044" s="93"/>
      <c r="F1044" s="93"/>
      <c r="G1044" s="93"/>
      <c r="H1044" s="93"/>
      <c r="I1044" s="93"/>
      <c r="J1044" s="93"/>
      <c r="K1044" s="93"/>
    </row>
    <row r="1045" spans="4:11" x14ac:dyDescent="0.25">
      <c r="D1045" s="93"/>
      <c r="E1045" s="93"/>
      <c r="F1045" s="93"/>
      <c r="G1045" s="93"/>
      <c r="H1045" s="93"/>
      <c r="I1045" s="93"/>
      <c r="J1045" s="93"/>
      <c r="K1045" s="93"/>
    </row>
    <row r="1046" spans="4:11" x14ac:dyDescent="0.25">
      <c r="D1046" s="93"/>
      <c r="E1046" s="93"/>
      <c r="F1046" s="93"/>
      <c r="G1046" s="93"/>
      <c r="H1046" s="93"/>
      <c r="I1046" s="93"/>
      <c r="J1046" s="93"/>
      <c r="K1046" s="93"/>
    </row>
    <row r="1047" spans="4:11" x14ac:dyDescent="0.25">
      <c r="D1047" s="93"/>
      <c r="E1047" s="93"/>
      <c r="F1047" s="93"/>
      <c r="G1047" s="93"/>
      <c r="H1047" s="93"/>
      <c r="I1047" s="93"/>
      <c r="J1047" s="93"/>
      <c r="K1047" s="93"/>
    </row>
    <row r="1048" spans="4:11" x14ac:dyDescent="0.25">
      <c r="D1048" s="93"/>
      <c r="E1048" s="93"/>
      <c r="F1048" s="93"/>
      <c r="G1048" s="93"/>
      <c r="H1048" s="93"/>
      <c r="I1048" s="93"/>
      <c r="J1048" s="93"/>
      <c r="K1048" s="93"/>
    </row>
    <row r="1049" spans="4:11" x14ac:dyDescent="0.25">
      <c r="D1049" s="93"/>
      <c r="E1049" s="93"/>
      <c r="F1049" s="93"/>
      <c r="G1049" s="93"/>
      <c r="H1049" s="93"/>
      <c r="I1049" s="93"/>
      <c r="J1049" s="93"/>
      <c r="K1049" s="93"/>
    </row>
    <row r="1050" spans="4:11" x14ac:dyDescent="0.25">
      <c r="D1050" s="93"/>
      <c r="E1050" s="93"/>
      <c r="F1050" s="93"/>
      <c r="G1050" s="93"/>
      <c r="H1050" s="93"/>
      <c r="I1050" s="93"/>
      <c r="J1050" s="93"/>
      <c r="K1050" s="93"/>
    </row>
    <row r="1051" spans="4:11" x14ac:dyDescent="0.25">
      <c r="D1051" s="93"/>
      <c r="E1051" s="93"/>
      <c r="F1051" s="93"/>
      <c r="G1051" s="93"/>
      <c r="H1051" s="93"/>
      <c r="I1051" s="93"/>
      <c r="J1051" s="93"/>
      <c r="K1051" s="93"/>
    </row>
    <row r="1052" spans="4:11" x14ac:dyDescent="0.25">
      <c r="D1052" s="93"/>
      <c r="E1052" s="93"/>
      <c r="F1052" s="93"/>
      <c r="G1052" s="93"/>
      <c r="H1052" s="93"/>
      <c r="I1052" s="93"/>
      <c r="J1052" s="93"/>
      <c r="K1052" s="93"/>
    </row>
    <row r="1053" spans="4:11" x14ac:dyDescent="0.25">
      <c r="D1053" s="93"/>
      <c r="E1053" s="93"/>
      <c r="F1053" s="93"/>
      <c r="G1053" s="93"/>
      <c r="H1053" s="93"/>
      <c r="I1053" s="93"/>
      <c r="J1053" s="93"/>
      <c r="K1053" s="93"/>
    </row>
    <row r="1054" spans="4:11" x14ac:dyDescent="0.25">
      <c r="D1054" s="93"/>
      <c r="E1054" s="93"/>
      <c r="F1054" s="93"/>
      <c r="G1054" s="93"/>
      <c r="H1054" s="93"/>
      <c r="I1054" s="93"/>
      <c r="J1054" s="93"/>
      <c r="K1054" s="93"/>
    </row>
    <row r="1055" spans="4:11" x14ac:dyDescent="0.25">
      <c r="D1055" s="93"/>
      <c r="E1055" s="93"/>
      <c r="F1055" s="93"/>
      <c r="G1055" s="93"/>
      <c r="H1055" s="93"/>
      <c r="I1055" s="93"/>
      <c r="J1055" s="93"/>
      <c r="K1055" s="93"/>
    </row>
    <row r="1056" spans="4:11" x14ac:dyDescent="0.25">
      <c r="D1056" s="93"/>
      <c r="E1056" s="93"/>
      <c r="F1056" s="93"/>
      <c r="G1056" s="93"/>
      <c r="H1056" s="93"/>
      <c r="I1056" s="93"/>
      <c r="J1056" s="93"/>
      <c r="K1056" s="93"/>
    </row>
    <row r="1057" spans="4:11" x14ac:dyDescent="0.25">
      <c r="D1057" s="93"/>
      <c r="E1057" s="93"/>
      <c r="F1057" s="93"/>
      <c r="G1057" s="93"/>
      <c r="H1057" s="93"/>
      <c r="I1057" s="93"/>
      <c r="J1057" s="93"/>
      <c r="K1057" s="93"/>
    </row>
    <row r="1058" spans="4:11" x14ac:dyDescent="0.25">
      <c r="D1058" s="93"/>
      <c r="E1058" s="93"/>
      <c r="F1058" s="93"/>
      <c r="G1058" s="93"/>
      <c r="H1058" s="93"/>
      <c r="I1058" s="93"/>
      <c r="J1058" s="93"/>
      <c r="K1058" s="93"/>
    </row>
    <row r="1059" spans="4:11" x14ac:dyDescent="0.25">
      <c r="D1059" s="93"/>
      <c r="E1059" s="93"/>
      <c r="F1059" s="93"/>
      <c r="G1059" s="93"/>
      <c r="H1059" s="93"/>
      <c r="I1059" s="93"/>
      <c r="J1059" s="93"/>
      <c r="K1059" s="93"/>
    </row>
    <row r="1060" spans="4:11" x14ac:dyDescent="0.25">
      <c r="D1060" s="93"/>
      <c r="E1060" s="93"/>
      <c r="F1060" s="93"/>
      <c r="G1060" s="93"/>
      <c r="H1060" s="93"/>
      <c r="I1060" s="93"/>
      <c r="J1060" s="93"/>
      <c r="K1060" s="93"/>
    </row>
    <row r="1061" spans="4:11" x14ac:dyDescent="0.25">
      <c r="D1061" s="93"/>
      <c r="E1061" s="93"/>
      <c r="F1061" s="93"/>
      <c r="G1061" s="93"/>
      <c r="H1061" s="93"/>
      <c r="I1061" s="93"/>
      <c r="J1061" s="93"/>
      <c r="K1061" s="93"/>
    </row>
    <row r="1062" spans="4:11" x14ac:dyDescent="0.25">
      <c r="D1062" s="93"/>
      <c r="E1062" s="93"/>
      <c r="F1062" s="93"/>
      <c r="G1062" s="93"/>
      <c r="H1062" s="93"/>
      <c r="I1062" s="93"/>
      <c r="J1062" s="93"/>
      <c r="K1062" s="93"/>
    </row>
    <row r="1063" spans="4:11" x14ac:dyDescent="0.25">
      <c r="D1063" s="93"/>
      <c r="E1063" s="93"/>
      <c r="F1063" s="93"/>
      <c r="G1063" s="93"/>
      <c r="H1063" s="93"/>
      <c r="I1063" s="93"/>
      <c r="J1063" s="93"/>
      <c r="K1063" s="93"/>
    </row>
    <row r="1064" spans="4:11" x14ac:dyDescent="0.25">
      <c r="D1064" s="93"/>
      <c r="E1064" s="93"/>
      <c r="F1064" s="93"/>
      <c r="G1064" s="93"/>
      <c r="H1064" s="93"/>
      <c r="I1064" s="93"/>
      <c r="J1064" s="93"/>
      <c r="K1064" s="93"/>
    </row>
    <row r="1065" spans="4:11" x14ac:dyDescent="0.25">
      <c r="D1065" s="93"/>
      <c r="E1065" s="93"/>
      <c r="F1065" s="93"/>
      <c r="G1065" s="93"/>
      <c r="H1065" s="93"/>
      <c r="I1065" s="93"/>
      <c r="J1065" s="93"/>
      <c r="K1065" s="93"/>
    </row>
    <row r="1066" spans="4:11" x14ac:dyDescent="0.25">
      <c r="D1066" s="93"/>
      <c r="E1066" s="93"/>
      <c r="F1066" s="93"/>
      <c r="G1066" s="93"/>
      <c r="H1066" s="93"/>
      <c r="I1066" s="93"/>
      <c r="J1066" s="93"/>
      <c r="K1066" s="93"/>
    </row>
    <row r="1067" spans="4:11" x14ac:dyDescent="0.25">
      <c r="D1067" s="93"/>
      <c r="E1067" s="93"/>
      <c r="F1067" s="93"/>
      <c r="G1067" s="93"/>
      <c r="H1067" s="93"/>
      <c r="I1067" s="93"/>
      <c r="J1067" s="93"/>
      <c r="K1067" s="93"/>
    </row>
    <row r="1068" spans="4:11" x14ac:dyDescent="0.25">
      <c r="D1068" s="93"/>
      <c r="E1068" s="93"/>
      <c r="F1068" s="93"/>
      <c r="G1068" s="93"/>
      <c r="H1068" s="93"/>
      <c r="I1068" s="93"/>
      <c r="J1068" s="93"/>
      <c r="K1068" s="93"/>
    </row>
    <row r="1069" spans="4:11" x14ac:dyDescent="0.25">
      <c r="D1069" s="93"/>
      <c r="E1069" s="93"/>
      <c r="F1069" s="93"/>
      <c r="G1069" s="93"/>
      <c r="H1069" s="93"/>
      <c r="I1069" s="93"/>
      <c r="J1069" s="93"/>
      <c r="K1069" s="93"/>
    </row>
    <row r="1070" spans="4:11" x14ac:dyDescent="0.25">
      <c r="D1070" s="93"/>
      <c r="E1070" s="93"/>
      <c r="F1070" s="93"/>
      <c r="G1070" s="93"/>
      <c r="H1070" s="93"/>
      <c r="I1070" s="93"/>
      <c r="J1070" s="93"/>
      <c r="K1070" s="93"/>
    </row>
    <row r="1071" spans="4:11" x14ac:dyDescent="0.25">
      <c r="D1071" s="93"/>
      <c r="E1071" s="93"/>
      <c r="F1071" s="93"/>
      <c r="G1071" s="93"/>
      <c r="H1071" s="93"/>
      <c r="I1071" s="93"/>
      <c r="J1071" s="93"/>
      <c r="K1071" s="93"/>
    </row>
    <row r="1072" spans="4:11" x14ac:dyDescent="0.25">
      <c r="D1072" s="93"/>
      <c r="E1072" s="93"/>
      <c r="F1072" s="93"/>
      <c r="G1072" s="93"/>
      <c r="H1072" s="93"/>
      <c r="I1072" s="93"/>
      <c r="J1072" s="93"/>
      <c r="K1072" s="93"/>
    </row>
    <row r="1073" spans="4:11" x14ac:dyDescent="0.25">
      <c r="D1073" s="93"/>
      <c r="E1073" s="93"/>
      <c r="F1073" s="93"/>
      <c r="G1073" s="93"/>
      <c r="H1073" s="93"/>
      <c r="I1073" s="93"/>
      <c r="J1073" s="93"/>
      <c r="K1073" s="93"/>
    </row>
    <row r="1074" spans="4:11" x14ac:dyDescent="0.25">
      <c r="D1074" s="93"/>
      <c r="E1074" s="93"/>
      <c r="F1074" s="93"/>
      <c r="G1074" s="93"/>
      <c r="H1074" s="93"/>
      <c r="I1074" s="93"/>
      <c r="J1074" s="93"/>
      <c r="K1074" s="93"/>
    </row>
    <row r="1075" spans="4:11" x14ac:dyDescent="0.25">
      <c r="D1075" s="93"/>
      <c r="E1075" s="93"/>
      <c r="F1075" s="93"/>
      <c r="G1075" s="93"/>
      <c r="H1075" s="93"/>
      <c r="I1075" s="93"/>
      <c r="J1075" s="93"/>
      <c r="K1075" s="93"/>
    </row>
    <row r="1076" spans="4:11" x14ac:dyDescent="0.25">
      <c r="D1076" s="93"/>
      <c r="E1076" s="93"/>
      <c r="F1076" s="93"/>
      <c r="G1076" s="93"/>
      <c r="H1076" s="93"/>
      <c r="I1076" s="93"/>
      <c r="J1076" s="93"/>
      <c r="K1076" s="93"/>
    </row>
    <row r="1077" spans="4:11" x14ac:dyDescent="0.25">
      <c r="D1077" s="93"/>
      <c r="E1077" s="93"/>
      <c r="F1077" s="93"/>
      <c r="G1077" s="93"/>
      <c r="H1077" s="93"/>
      <c r="I1077" s="93"/>
      <c r="J1077" s="93"/>
      <c r="K1077" s="93"/>
    </row>
    <row r="1078" spans="4:11" x14ac:dyDescent="0.25">
      <c r="D1078" s="93"/>
      <c r="E1078" s="93"/>
      <c r="F1078" s="93"/>
      <c r="G1078" s="93"/>
      <c r="H1078" s="93"/>
      <c r="I1078" s="93"/>
      <c r="J1078" s="93"/>
      <c r="K1078" s="93"/>
    </row>
    <row r="1079" spans="4:11" x14ac:dyDescent="0.25">
      <c r="D1079" s="93"/>
      <c r="E1079" s="93"/>
      <c r="F1079" s="93"/>
      <c r="G1079" s="93"/>
      <c r="H1079" s="93"/>
      <c r="I1079" s="93"/>
      <c r="J1079" s="93"/>
      <c r="K1079" s="93"/>
    </row>
    <row r="1080" spans="4:11" x14ac:dyDescent="0.25">
      <c r="D1080" s="93"/>
      <c r="E1080" s="93"/>
      <c r="F1080" s="93"/>
      <c r="G1080" s="93"/>
      <c r="H1080" s="93"/>
      <c r="I1080" s="93"/>
      <c r="J1080" s="93"/>
      <c r="K1080" s="93"/>
    </row>
    <row r="1081" spans="4:11" x14ac:dyDescent="0.25">
      <c r="D1081" s="93"/>
      <c r="E1081" s="93"/>
      <c r="F1081" s="93"/>
      <c r="G1081" s="93"/>
      <c r="H1081" s="93"/>
      <c r="I1081" s="93"/>
      <c r="J1081" s="93"/>
      <c r="K1081" s="93"/>
    </row>
    <row r="1082" spans="4:11" x14ac:dyDescent="0.25">
      <c r="D1082" s="93"/>
      <c r="E1082" s="93"/>
      <c r="F1082" s="93"/>
      <c r="G1082" s="93"/>
      <c r="H1082" s="93"/>
      <c r="I1082" s="93"/>
      <c r="J1082" s="93"/>
      <c r="K1082" s="93"/>
    </row>
    <row r="1083" spans="4:11" x14ac:dyDescent="0.25">
      <c r="D1083" s="93"/>
      <c r="E1083" s="93"/>
      <c r="F1083" s="93"/>
      <c r="G1083" s="93"/>
      <c r="H1083" s="93"/>
      <c r="I1083" s="93"/>
      <c r="J1083" s="93"/>
      <c r="K1083" s="93"/>
    </row>
    <row r="1084" spans="4:11" x14ac:dyDescent="0.25">
      <c r="D1084" s="93"/>
      <c r="E1084" s="93"/>
      <c r="F1084" s="93"/>
      <c r="G1084" s="93"/>
      <c r="H1084" s="93"/>
      <c r="I1084" s="93"/>
      <c r="J1084" s="93"/>
      <c r="K1084" s="93"/>
    </row>
    <row r="1085" spans="4:11" x14ac:dyDescent="0.25">
      <c r="D1085" s="93"/>
      <c r="E1085" s="93"/>
      <c r="F1085" s="93"/>
      <c r="G1085" s="93"/>
      <c r="H1085" s="93"/>
      <c r="I1085" s="93"/>
      <c r="J1085" s="93"/>
      <c r="K1085" s="93"/>
    </row>
    <row r="1086" spans="4:11" x14ac:dyDescent="0.25">
      <c r="D1086" s="93"/>
      <c r="E1086" s="93"/>
      <c r="F1086" s="93"/>
      <c r="G1086" s="93"/>
      <c r="H1086" s="93"/>
      <c r="I1086" s="93"/>
      <c r="J1086" s="93"/>
      <c r="K1086" s="93"/>
    </row>
    <row r="1087" spans="4:11" x14ac:dyDescent="0.25">
      <c r="D1087" s="93"/>
      <c r="E1087" s="93"/>
      <c r="F1087" s="93"/>
      <c r="G1087" s="93"/>
      <c r="H1087" s="93"/>
      <c r="I1087" s="93"/>
      <c r="J1087" s="93"/>
      <c r="K1087" s="93"/>
    </row>
    <row r="1088" spans="4:11" x14ac:dyDescent="0.25">
      <c r="D1088" s="93"/>
      <c r="E1088" s="93"/>
      <c r="F1088" s="93"/>
      <c r="G1088" s="93"/>
      <c r="H1088" s="93"/>
      <c r="I1088" s="93"/>
      <c r="J1088" s="93"/>
      <c r="K1088" s="93"/>
    </row>
    <row r="1089" spans="4:11" x14ac:dyDescent="0.25">
      <c r="D1089" s="93"/>
      <c r="E1089" s="93"/>
      <c r="F1089" s="93"/>
      <c r="G1089" s="93"/>
      <c r="H1089" s="93"/>
      <c r="I1089" s="93"/>
      <c r="J1089" s="93"/>
      <c r="K1089" s="93"/>
    </row>
    <row r="1090" spans="4:11" x14ac:dyDescent="0.25">
      <c r="D1090" s="93"/>
      <c r="E1090" s="93"/>
      <c r="F1090" s="93"/>
      <c r="G1090" s="93"/>
      <c r="H1090" s="93"/>
      <c r="I1090" s="93"/>
      <c r="J1090" s="93"/>
      <c r="K1090" s="93"/>
    </row>
    <row r="1091" spans="4:11" x14ac:dyDescent="0.25">
      <c r="D1091" s="93"/>
      <c r="E1091" s="93"/>
      <c r="F1091" s="93"/>
      <c r="G1091" s="93"/>
      <c r="H1091" s="93"/>
      <c r="I1091" s="93"/>
      <c r="J1091" s="93"/>
      <c r="K1091" s="93"/>
    </row>
    <row r="1092" spans="4:11" x14ac:dyDescent="0.25">
      <c r="D1092" s="93"/>
      <c r="E1092" s="93"/>
      <c r="F1092" s="93"/>
      <c r="G1092" s="93"/>
      <c r="H1092" s="93"/>
      <c r="I1092" s="93"/>
      <c r="J1092" s="93"/>
      <c r="K1092" s="93"/>
    </row>
    <row r="1093" spans="4:11" x14ac:dyDescent="0.25">
      <c r="D1093" s="93"/>
      <c r="E1093" s="93"/>
      <c r="F1093" s="93"/>
      <c r="G1093" s="93"/>
      <c r="H1093" s="93"/>
      <c r="I1093" s="93"/>
      <c r="J1093" s="93"/>
      <c r="K1093" s="93"/>
    </row>
    <row r="1094" spans="4:11" x14ac:dyDescent="0.25">
      <c r="D1094" s="93"/>
      <c r="E1094" s="93"/>
      <c r="F1094" s="93"/>
      <c r="G1094" s="93"/>
      <c r="H1094" s="93"/>
      <c r="I1094" s="93"/>
      <c r="J1094" s="93"/>
      <c r="K1094" s="93"/>
    </row>
    <row r="1095" spans="4:11" x14ac:dyDescent="0.25">
      <c r="D1095" s="93"/>
      <c r="E1095" s="93"/>
      <c r="F1095" s="93"/>
      <c r="G1095" s="93"/>
      <c r="H1095" s="93"/>
      <c r="I1095" s="93"/>
      <c r="J1095" s="93"/>
      <c r="K1095" s="93"/>
    </row>
    <row r="1096" spans="4:11" x14ac:dyDescent="0.25">
      <c r="D1096" s="93"/>
      <c r="E1096" s="93"/>
      <c r="F1096" s="93"/>
      <c r="G1096" s="93"/>
      <c r="H1096" s="93"/>
      <c r="I1096" s="93"/>
      <c r="J1096" s="93"/>
      <c r="K1096" s="93"/>
    </row>
    <row r="1097" spans="4:11" x14ac:dyDescent="0.25">
      <c r="D1097" s="93"/>
      <c r="E1097" s="93"/>
      <c r="F1097" s="93"/>
      <c r="G1097" s="93"/>
      <c r="H1097" s="93"/>
      <c r="I1097" s="93"/>
      <c r="J1097" s="93"/>
      <c r="K1097" s="93"/>
    </row>
    <row r="1098" spans="4:11" x14ac:dyDescent="0.25">
      <c r="D1098" s="93"/>
      <c r="E1098" s="93"/>
      <c r="F1098" s="93"/>
      <c r="G1098" s="93"/>
      <c r="H1098" s="93"/>
      <c r="I1098" s="93"/>
      <c r="J1098" s="93"/>
      <c r="K1098" s="93"/>
    </row>
    <row r="1099" spans="4:11" x14ac:dyDescent="0.25">
      <c r="D1099" s="93"/>
      <c r="E1099" s="93"/>
      <c r="F1099" s="93"/>
      <c r="G1099" s="93"/>
      <c r="H1099" s="93"/>
      <c r="I1099" s="93"/>
      <c r="J1099" s="93"/>
      <c r="K1099" s="93"/>
    </row>
    <row r="1100" spans="4:11" x14ac:dyDescent="0.25">
      <c r="D1100" s="93"/>
      <c r="E1100" s="93"/>
      <c r="F1100" s="93"/>
      <c r="G1100" s="93"/>
      <c r="H1100" s="93"/>
      <c r="I1100" s="93"/>
      <c r="J1100" s="93"/>
      <c r="K1100" s="93"/>
    </row>
    <row r="1101" spans="4:11" x14ac:dyDescent="0.25">
      <c r="D1101" s="93"/>
      <c r="E1101" s="93"/>
      <c r="F1101" s="93"/>
      <c r="G1101" s="93"/>
      <c r="H1101" s="93"/>
      <c r="I1101" s="93"/>
      <c r="J1101" s="93"/>
      <c r="K1101" s="93"/>
    </row>
    <row r="1102" spans="4:11" x14ac:dyDescent="0.25">
      <c r="D1102" s="93"/>
      <c r="E1102" s="93"/>
      <c r="F1102" s="93"/>
      <c r="G1102" s="93"/>
      <c r="H1102" s="93"/>
      <c r="I1102" s="93"/>
      <c r="J1102" s="93"/>
      <c r="K1102" s="93"/>
    </row>
    <row r="1103" spans="4:11" x14ac:dyDescent="0.25">
      <c r="D1103" s="93"/>
      <c r="E1103" s="93"/>
      <c r="F1103" s="93"/>
      <c r="G1103" s="93"/>
      <c r="H1103" s="93"/>
      <c r="I1103" s="93"/>
      <c r="J1103" s="93"/>
      <c r="K1103" s="93"/>
    </row>
    <row r="1104" spans="4:11" x14ac:dyDescent="0.25">
      <c r="D1104" s="93"/>
      <c r="E1104" s="93"/>
      <c r="F1104" s="93"/>
      <c r="G1104" s="93"/>
      <c r="H1104" s="93"/>
      <c r="I1104" s="93"/>
      <c r="J1104" s="93"/>
      <c r="K1104" s="93"/>
    </row>
    <row r="1105" spans="4:11" x14ac:dyDescent="0.25">
      <c r="D1105" s="93"/>
      <c r="E1105" s="93"/>
      <c r="F1105" s="93"/>
      <c r="G1105" s="93"/>
      <c r="H1105" s="93"/>
      <c r="I1105" s="93"/>
      <c r="J1105" s="93"/>
      <c r="K1105" s="93"/>
    </row>
    <row r="1106" spans="4:11" x14ac:dyDescent="0.25">
      <c r="D1106" s="93"/>
      <c r="E1106" s="93"/>
      <c r="F1106" s="93"/>
      <c r="G1106" s="93"/>
      <c r="H1106" s="93"/>
      <c r="I1106" s="93"/>
      <c r="J1106" s="93"/>
      <c r="K1106" s="93"/>
    </row>
    <row r="1107" spans="4:11" x14ac:dyDescent="0.25">
      <c r="D1107" s="93"/>
      <c r="E1107" s="93"/>
      <c r="F1107" s="93"/>
      <c r="G1107" s="93"/>
      <c r="H1107" s="93"/>
      <c r="I1107" s="93"/>
      <c r="J1107" s="93"/>
      <c r="K1107" s="93"/>
    </row>
    <row r="1108" spans="4:11" x14ac:dyDescent="0.25">
      <c r="D1108" s="93"/>
      <c r="E1108" s="93"/>
      <c r="F1108" s="93"/>
      <c r="G1108" s="93"/>
      <c r="H1108" s="93"/>
      <c r="I1108" s="93"/>
      <c r="J1108" s="93"/>
      <c r="K1108" s="93"/>
    </row>
    <row r="1109" spans="4:11" x14ac:dyDescent="0.25">
      <c r="D1109" s="93"/>
      <c r="E1109" s="93"/>
      <c r="F1109" s="93"/>
      <c r="G1109" s="93"/>
      <c r="H1109" s="93"/>
      <c r="I1109" s="93"/>
      <c r="J1109" s="93"/>
      <c r="K1109" s="93"/>
    </row>
    <row r="1110" spans="4:11" x14ac:dyDescent="0.25">
      <c r="D1110" s="93"/>
      <c r="E1110" s="93"/>
      <c r="F1110" s="93"/>
      <c r="G1110" s="93"/>
      <c r="H1110" s="93"/>
      <c r="I1110" s="93"/>
      <c r="J1110" s="93"/>
      <c r="K1110" s="93"/>
    </row>
    <row r="1111" spans="4:11" x14ac:dyDescent="0.25">
      <c r="D1111" s="93"/>
      <c r="E1111" s="93"/>
      <c r="F1111" s="93"/>
      <c r="G1111" s="93"/>
      <c r="H1111" s="93"/>
      <c r="I1111" s="93"/>
      <c r="J1111" s="93"/>
      <c r="K1111" s="93"/>
    </row>
    <row r="1112" spans="4:11" x14ac:dyDescent="0.25">
      <c r="D1112" s="93"/>
      <c r="E1112" s="93"/>
      <c r="F1112" s="93"/>
      <c r="G1112" s="93"/>
      <c r="H1112" s="93"/>
      <c r="I1112" s="93"/>
      <c r="J1112" s="93"/>
      <c r="K1112" s="93"/>
    </row>
    <row r="1113" spans="4:11" x14ac:dyDescent="0.25">
      <c r="D1113" s="93"/>
      <c r="E1113" s="93"/>
      <c r="F1113" s="93"/>
      <c r="G1113" s="93"/>
      <c r="H1113" s="93"/>
      <c r="I1113" s="93"/>
      <c r="J1113" s="93"/>
      <c r="K1113" s="93"/>
    </row>
    <row r="1114" spans="4:11" x14ac:dyDescent="0.25">
      <c r="D1114" s="93"/>
      <c r="E1114" s="93"/>
      <c r="F1114" s="93"/>
      <c r="G1114" s="93"/>
      <c r="H1114" s="93"/>
      <c r="I1114" s="93"/>
      <c r="J1114" s="93"/>
      <c r="K1114" s="93"/>
    </row>
    <row r="1115" spans="4:11" x14ac:dyDescent="0.25">
      <c r="D1115" s="93"/>
      <c r="E1115" s="93"/>
      <c r="F1115" s="93"/>
      <c r="G1115" s="93"/>
      <c r="H1115" s="93"/>
      <c r="I1115" s="93"/>
      <c r="J1115" s="93"/>
      <c r="K1115" s="93"/>
    </row>
    <row r="1116" spans="4:11" x14ac:dyDescent="0.25">
      <c r="D1116" s="93"/>
      <c r="E1116" s="93"/>
      <c r="F1116" s="93"/>
      <c r="G1116" s="93"/>
      <c r="H1116" s="93"/>
      <c r="I1116" s="93"/>
      <c r="J1116" s="93"/>
      <c r="K1116" s="93"/>
    </row>
    <row r="1117" spans="4:11" x14ac:dyDescent="0.25">
      <c r="D1117" s="93"/>
      <c r="E1117" s="93"/>
      <c r="F1117" s="93"/>
      <c r="G1117" s="93"/>
      <c r="H1117" s="93"/>
      <c r="I1117" s="93"/>
      <c r="J1117" s="93"/>
      <c r="K1117" s="93"/>
    </row>
    <row r="1118" spans="4:11" x14ac:dyDescent="0.25">
      <c r="D1118" s="93"/>
      <c r="E1118" s="93"/>
      <c r="F1118" s="93"/>
      <c r="G1118" s="93"/>
      <c r="H1118" s="93"/>
      <c r="I1118" s="93"/>
      <c r="J1118" s="93"/>
      <c r="K1118" s="93"/>
    </row>
    <row r="1119" spans="4:11" x14ac:dyDescent="0.25">
      <c r="D1119" s="93"/>
      <c r="E1119" s="93"/>
      <c r="F1119" s="93"/>
      <c r="G1119" s="93"/>
      <c r="H1119" s="93"/>
      <c r="I1119" s="93"/>
      <c r="J1119" s="93"/>
      <c r="K1119" s="93"/>
    </row>
    <row r="1120" spans="4:11" x14ac:dyDescent="0.25">
      <c r="D1120" s="93"/>
      <c r="E1120" s="93"/>
      <c r="F1120" s="93"/>
      <c r="G1120" s="93"/>
      <c r="H1120" s="93"/>
      <c r="I1120" s="93"/>
      <c r="J1120" s="93"/>
      <c r="K1120" s="93"/>
    </row>
    <row r="1121" spans="4:11" x14ac:dyDescent="0.25">
      <c r="D1121" s="93"/>
      <c r="E1121" s="93"/>
      <c r="F1121" s="93"/>
      <c r="G1121" s="93"/>
      <c r="H1121" s="93"/>
      <c r="I1121" s="93"/>
      <c r="J1121" s="93"/>
      <c r="K1121" s="93"/>
    </row>
    <row r="1122" spans="4:11" x14ac:dyDescent="0.25">
      <c r="D1122" s="93"/>
      <c r="E1122" s="93"/>
      <c r="F1122" s="93"/>
      <c r="G1122" s="93"/>
      <c r="H1122" s="93"/>
      <c r="I1122" s="93"/>
      <c r="J1122" s="93"/>
      <c r="K1122" s="93"/>
    </row>
    <row r="1123" spans="4:11" x14ac:dyDescent="0.25">
      <c r="D1123" s="93"/>
      <c r="E1123" s="93"/>
      <c r="F1123" s="93"/>
      <c r="G1123" s="93"/>
      <c r="H1123" s="93"/>
      <c r="I1123" s="93"/>
      <c r="J1123" s="93"/>
      <c r="K1123" s="93"/>
    </row>
    <row r="1124" spans="4:11" x14ac:dyDescent="0.25">
      <c r="D1124" s="93"/>
      <c r="E1124" s="93"/>
      <c r="F1124" s="93"/>
      <c r="G1124" s="93"/>
      <c r="H1124" s="93"/>
      <c r="I1124" s="93"/>
      <c r="J1124" s="93"/>
      <c r="K1124" s="93"/>
    </row>
    <row r="1125" spans="4:11" x14ac:dyDescent="0.25">
      <c r="D1125" s="93"/>
      <c r="E1125" s="93"/>
      <c r="F1125" s="93"/>
      <c r="G1125" s="93"/>
      <c r="H1125" s="93"/>
      <c r="I1125" s="93"/>
      <c r="J1125" s="93"/>
      <c r="K1125" s="93"/>
    </row>
    <row r="1126" spans="4:11" x14ac:dyDescent="0.25">
      <c r="D1126" s="93"/>
      <c r="E1126" s="93"/>
      <c r="F1126" s="93"/>
      <c r="G1126" s="93"/>
      <c r="H1126" s="93"/>
      <c r="I1126" s="93"/>
      <c r="J1126" s="93"/>
      <c r="K1126" s="93"/>
    </row>
    <row r="1127" spans="4:11" x14ac:dyDescent="0.25">
      <c r="D1127" s="93"/>
      <c r="E1127" s="93"/>
      <c r="F1127" s="93"/>
      <c r="G1127" s="93"/>
      <c r="H1127" s="93"/>
      <c r="I1127" s="93"/>
      <c r="J1127" s="93"/>
      <c r="K1127" s="93"/>
    </row>
    <row r="1128" spans="4:11" x14ac:dyDescent="0.25">
      <c r="D1128" s="93"/>
      <c r="E1128" s="93"/>
      <c r="F1128" s="93"/>
      <c r="G1128" s="93"/>
      <c r="H1128" s="93"/>
      <c r="I1128" s="93"/>
      <c r="J1128" s="93"/>
      <c r="K1128" s="93"/>
    </row>
    <row r="1129" spans="4:11" x14ac:dyDescent="0.25">
      <c r="D1129" s="93"/>
      <c r="E1129" s="93"/>
      <c r="F1129" s="93"/>
      <c r="G1129" s="93"/>
      <c r="H1129" s="93"/>
      <c r="I1129" s="93"/>
      <c r="J1129" s="93"/>
      <c r="K1129" s="93"/>
    </row>
    <row r="1130" spans="4:11" x14ac:dyDescent="0.25">
      <c r="D1130" s="93"/>
      <c r="E1130" s="93"/>
      <c r="F1130" s="93"/>
      <c r="G1130" s="93"/>
      <c r="H1130" s="93"/>
      <c r="I1130" s="93"/>
      <c r="J1130" s="93"/>
      <c r="K1130" s="93"/>
    </row>
    <row r="1131" spans="4:11" x14ac:dyDescent="0.25">
      <c r="D1131" s="93"/>
      <c r="E1131" s="93"/>
      <c r="F1131" s="93"/>
      <c r="G1131" s="93"/>
      <c r="H1131" s="93"/>
      <c r="I1131" s="93"/>
      <c r="J1131" s="93"/>
      <c r="K1131" s="93"/>
    </row>
    <row r="1132" spans="4:11" x14ac:dyDescent="0.25">
      <c r="D1132" s="93"/>
      <c r="E1132" s="93"/>
      <c r="F1132" s="93"/>
      <c r="G1132" s="93"/>
      <c r="H1132" s="93"/>
      <c r="I1132" s="93"/>
      <c r="J1132" s="93"/>
      <c r="K1132" s="93"/>
    </row>
    <row r="1133" spans="4:11" x14ac:dyDescent="0.25">
      <c r="D1133" s="93"/>
      <c r="E1133" s="93"/>
      <c r="F1133" s="93"/>
      <c r="G1133" s="93"/>
      <c r="H1133" s="93"/>
      <c r="I1133" s="93"/>
      <c r="J1133" s="93"/>
      <c r="K1133" s="93"/>
    </row>
    <row r="1134" spans="4:11" x14ac:dyDescent="0.25">
      <c r="D1134" s="93"/>
      <c r="E1134" s="93"/>
      <c r="F1134" s="93"/>
      <c r="G1134" s="93"/>
      <c r="H1134" s="93"/>
      <c r="I1134" s="93"/>
      <c r="J1134" s="93"/>
      <c r="K1134" s="93"/>
    </row>
    <row r="1135" spans="4:11" x14ac:dyDescent="0.25">
      <c r="D1135" s="93"/>
      <c r="E1135" s="93"/>
      <c r="F1135" s="93"/>
      <c r="G1135" s="93"/>
      <c r="H1135" s="93"/>
      <c r="I1135" s="93"/>
      <c r="J1135" s="93"/>
      <c r="K1135" s="93"/>
    </row>
    <row r="1136" spans="4:11" x14ac:dyDescent="0.25">
      <c r="D1136" s="93"/>
      <c r="E1136" s="93"/>
      <c r="F1136" s="93"/>
      <c r="G1136" s="93"/>
      <c r="H1136" s="93"/>
      <c r="I1136" s="93"/>
      <c r="J1136" s="93"/>
      <c r="K1136" s="93"/>
    </row>
    <row r="1137" spans="4:11" x14ac:dyDescent="0.25">
      <c r="D1137" s="93"/>
      <c r="E1137" s="93"/>
      <c r="F1137" s="93"/>
      <c r="G1137" s="93"/>
      <c r="H1137" s="93"/>
      <c r="I1137" s="93"/>
      <c r="J1137" s="93"/>
      <c r="K1137" s="93"/>
    </row>
    <row r="1138" spans="4:11" x14ac:dyDescent="0.25">
      <c r="D1138" s="93"/>
      <c r="E1138" s="93"/>
      <c r="F1138" s="93"/>
      <c r="G1138" s="93"/>
      <c r="H1138" s="93"/>
      <c r="I1138" s="93"/>
      <c r="J1138" s="93"/>
      <c r="K1138" s="93"/>
    </row>
    <row r="1139" spans="4:11" x14ac:dyDescent="0.25">
      <c r="D1139" s="93"/>
      <c r="E1139" s="93"/>
      <c r="F1139" s="93"/>
      <c r="G1139" s="93"/>
      <c r="H1139" s="93"/>
      <c r="I1139" s="93"/>
      <c r="J1139" s="93"/>
      <c r="K1139" s="93"/>
    </row>
    <row r="1140" spans="4:11" x14ac:dyDescent="0.25">
      <c r="D1140" s="93"/>
      <c r="E1140" s="93"/>
      <c r="F1140" s="93"/>
      <c r="G1140" s="93"/>
      <c r="H1140" s="93"/>
      <c r="I1140" s="93"/>
      <c r="J1140" s="93"/>
      <c r="K1140" s="93"/>
    </row>
    <row r="1141" spans="4:11" x14ac:dyDescent="0.25">
      <c r="D1141" s="93"/>
      <c r="E1141" s="93"/>
      <c r="F1141" s="93"/>
      <c r="G1141" s="93"/>
      <c r="H1141" s="93"/>
      <c r="I1141" s="93"/>
      <c r="J1141" s="93"/>
      <c r="K1141" s="93"/>
    </row>
    <row r="1142" spans="4:11" x14ac:dyDescent="0.25">
      <c r="D1142" s="93"/>
      <c r="E1142" s="93"/>
      <c r="F1142" s="93"/>
      <c r="G1142" s="93"/>
      <c r="H1142" s="93"/>
      <c r="I1142" s="93"/>
      <c r="J1142" s="93"/>
      <c r="K1142" s="93"/>
    </row>
    <row r="1143" spans="4:11" x14ac:dyDescent="0.25">
      <c r="D1143" s="93"/>
      <c r="E1143" s="93"/>
      <c r="F1143" s="93"/>
      <c r="G1143" s="93"/>
      <c r="H1143" s="93"/>
      <c r="I1143" s="93"/>
      <c r="J1143" s="93"/>
      <c r="K1143" s="93"/>
    </row>
    <row r="1144" spans="4:11" x14ac:dyDescent="0.25">
      <c r="D1144" s="93"/>
      <c r="E1144" s="93"/>
      <c r="F1144" s="93"/>
      <c r="G1144" s="93"/>
      <c r="H1144" s="93"/>
      <c r="I1144" s="93"/>
      <c r="J1144" s="93"/>
      <c r="K1144" s="93"/>
    </row>
    <row r="1145" spans="4:11" x14ac:dyDescent="0.25">
      <c r="D1145" s="93"/>
      <c r="E1145" s="93"/>
      <c r="F1145" s="93"/>
      <c r="G1145" s="93"/>
      <c r="H1145" s="93"/>
      <c r="I1145" s="93"/>
      <c r="J1145" s="93"/>
      <c r="K1145" s="93"/>
    </row>
    <row r="1146" spans="4:11" x14ac:dyDescent="0.25">
      <c r="D1146" s="93"/>
      <c r="E1146" s="93"/>
      <c r="F1146" s="93"/>
      <c r="G1146" s="93"/>
      <c r="H1146" s="93"/>
      <c r="I1146" s="93"/>
      <c r="J1146" s="93"/>
      <c r="K1146" s="93"/>
    </row>
    <row r="1147" spans="4:11" x14ac:dyDescent="0.25">
      <c r="D1147" s="93"/>
      <c r="E1147" s="93"/>
      <c r="F1147" s="93"/>
      <c r="G1147" s="93"/>
      <c r="H1147" s="93"/>
      <c r="I1147" s="93"/>
      <c r="J1147" s="93"/>
      <c r="K1147" s="93"/>
    </row>
    <row r="1148" spans="4:11" x14ac:dyDescent="0.25">
      <c r="D1148" s="93"/>
      <c r="E1148" s="93"/>
      <c r="F1148" s="93"/>
      <c r="G1148" s="93"/>
      <c r="H1148" s="93"/>
      <c r="I1148" s="93"/>
      <c r="J1148" s="93"/>
      <c r="K1148" s="93"/>
    </row>
    <row r="1149" spans="4:11" x14ac:dyDescent="0.25">
      <c r="D1149" s="93"/>
      <c r="E1149" s="93"/>
      <c r="F1149" s="93"/>
      <c r="G1149" s="93"/>
      <c r="H1149" s="93"/>
      <c r="I1149" s="93"/>
      <c r="J1149" s="93"/>
      <c r="K1149" s="93"/>
    </row>
    <row r="1150" spans="4:11" x14ac:dyDescent="0.25">
      <c r="D1150" s="93"/>
      <c r="E1150" s="93"/>
      <c r="F1150" s="93"/>
      <c r="G1150" s="93"/>
      <c r="H1150" s="93"/>
      <c r="I1150" s="93"/>
      <c r="J1150" s="93"/>
      <c r="K1150" s="93"/>
    </row>
    <row r="1151" spans="4:11" x14ac:dyDescent="0.25">
      <c r="D1151" s="93"/>
      <c r="E1151" s="93"/>
      <c r="F1151" s="93"/>
      <c r="G1151" s="93"/>
      <c r="H1151" s="93"/>
      <c r="I1151" s="93"/>
      <c r="J1151" s="93"/>
      <c r="K1151" s="93"/>
    </row>
    <row r="1152" spans="4:11" x14ac:dyDescent="0.25">
      <c r="D1152" s="93"/>
      <c r="E1152" s="93"/>
      <c r="F1152" s="93"/>
      <c r="G1152" s="93"/>
      <c r="H1152" s="93"/>
      <c r="I1152" s="93"/>
      <c r="J1152" s="93"/>
      <c r="K1152" s="93"/>
    </row>
    <row r="1153" spans="4:11" x14ac:dyDescent="0.25">
      <c r="D1153" s="93"/>
      <c r="E1153" s="93"/>
      <c r="F1153" s="93"/>
      <c r="G1153" s="93"/>
      <c r="H1153" s="93"/>
      <c r="I1153" s="93"/>
      <c r="J1153" s="93"/>
      <c r="K1153" s="93"/>
    </row>
    <row r="1154" spans="4:11" x14ac:dyDescent="0.25">
      <c r="D1154" s="93"/>
      <c r="E1154" s="93"/>
      <c r="F1154" s="93"/>
      <c r="G1154" s="93"/>
      <c r="H1154" s="93"/>
      <c r="I1154" s="93"/>
      <c r="J1154" s="93"/>
      <c r="K1154" s="93"/>
    </row>
    <row r="1155" spans="4:11" x14ac:dyDescent="0.25">
      <c r="D1155" s="93"/>
      <c r="E1155" s="93"/>
      <c r="F1155" s="93"/>
      <c r="G1155" s="93"/>
      <c r="H1155" s="93"/>
      <c r="I1155" s="93"/>
      <c r="J1155" s="93"/>
      <c r="K1155" s="93"/>
    </row>
    <row r="1156" spans="4:11" x14ac:dyDescent="0.25">
      <c r="D1156" s="93"/>
      <c r="E1156" s="93"/>
      <c r="F1156" s="93"/>
      <c r="G1156" s="93"/>
      <c r="H1156" s="93"/>
      <c r="I1156" s="93"/>
      <c r="J1156" s="93"/>
      <c r="K1156" s="93"/>
    </row>
    <row r="1157" spans="4:11" x14ac:dyDescent="0.25">
      <c r="D1157" s="93"/>
      <c r="E1157" s="93"/>
      <c r="F1157" s="93"/>
      <c r="G1157" s="93"/>
      <c r="H1157" s="93"/>
      <c r="I1157" s="93"/>
      <c r="J1157" s="93"/>
      <c r="K1157" s="93"/>
    </row>
    <row r="1158" spans="4:11" x14ac:dyDescent="0.25">
      <c r="D1158" s="93"/>
      <c r="E1158" s="93"/>
      <c r="F1158" s="93"/>
      <c r="G1158" s="93"/>
      <c r="H1158" s="93"/>
      <c r="I1158" s="93"/>
      <c r="J1158" s="93"/>
      <c r="K1158" s="93"/>
    </row>
    <row r="1159" spans="4:11" x14ac:dyDescent="0.25">
      <c r="D1159" s="93"/>
      <c r="E1159" s="93"/>
      <c r="F1159" s="93"/>
      <c r="G1159" s="93"/>
      <c r="H1159" s="93"/>
      <c r="I1159" s="93"/>
      <c r="J1159" s="93"/>
      <c r="K1159" s="93"/>
    </row>
    <row r="1160" spans="4:11" x14ac:dyDescent="0.25">
      <c r="D1160" s="93"/>
      <c r="E1160" s="93"/>
      <c r="F1160" s="93"/>
      <c r="G1160" s="93"/>
      <c r="H1160" s="93"/>
      <c r="I1160" s="93"/>
      <c r="J1160" s="93"/>
      <c r="K1160" s="93"/>
    </row>
    <row r="1161" spans="4:11" x14ac:dyDescent="0.25">
      <c r="D1161" s="93"/>
      <c r="E1161" s="93"/>
      <c r="F1161" s="93"/>
      <c r="G1161" s="93"/>
      <c r="H1161" s="93"/>
      <c r="I1161" s="93"/>
      <c r="J1161" s="93"/>
      <c r="K1161" s="93"/>
    </row>
    <row r="1162" spans="4:11" x14ac:dyDescent="0.25">
      <c r="D1162" s="93"/>
      <c r="E1162" s="93"/>
      <c r="F1162" s="93"/>
      <c r="G1162" s="93"/>
      <c r="H1162" s="93"/>
      <c r="I1162" s="93"/>
      <c r="J1162" s="93"/>
      <c r="K1162" s="93"/>
    </row>
    <row r="1163" spans="4:11" x14ac:dyDescent="0.25">
      <c r="D1163" s="93"/>
      <c r="E1163" s="93"/>
      <c r="F1163" s="93"/>
      <c r="G1163" s="93"/>
      <c r="H1163" s="93"/>
      <c r="I1163" s="93"/>
      <c r="J1163" s="93"/>
      <c r="K1163" s="93"/>
    </row>
    <row r="1164" spans="4:11" x14ac:dyDescent="0.25">
      <c r="D1164" s="93"/>
      <c r="E1164" s="93"/>
      <c r="F1164" s="93"/>
      <c r="G1164" s="93"/>
      <c r="H1164" s="93"/>
      <c r="I1164" s="93"/>
      <c r="J1164" s="93"/>
      <c r="K1164" s="93"/>
    </row>
    <row r="1165" spans="4:11" x14ac:dyDescent="0.25">
      <c r="D1165" s="93"/>
      <c r="E1165" s="93"/>
      <c r="F1165" s="93"/>
      <c r="G1165" s="93"/>
      <c r="H1165" s="93"/>
      <c r="I1165" s="93"/>
      <c r="J1165" s="93"/>
      <c r="K1165" s="93"/>
    </row>
    <row r="1166" spans="4:11" x14ac:dyDescent="0.25">
      <c r="D1166" s="93"/>
      <c r="E1166" s="93"/>
      <c r="F1166" s="93"/>
      <c r="G1166" s="93"/>
      <c r="H1166" s="93"/>
      <c r="I1166" s="93"/>
      <c r="J1166" s="93"/>
      <c r="K1166" s="93"/>
    </row>
    <row r="1167" spans="4:11" x14ac:dyDescent="0.25">
      <c r="D1167" s="93"/>
      <c r="E1167" s="93"/>
      <c r="F1167" s="93"/>
      <c r="G1167" s="93"/>
      <c r="H1167" s="93"/>
      <c r="I1167" s="93"/>
      <c r="J1167" s="93"/>
      <c r="K1167" s="93"/>
    </row>
    <row r="1168" spans="4:11" x14ac:dyDescent="0.25">
      <c r="D1168" s="93"/>
      <c r="E1168" s="93"/>
      <c r="F1168" s="93"/>
      <c r="G1168" s="93"/>
      <c r="H1168" s="93"/>
      <c r="I1168" s="93"/>
      <c r="J1168" s="93"/>
      <c r="K1168" s="93"/>
    </row>
    <row r="1169" spans="4:11" x14ac:dyDescent="0.25">
      <c r="D1169" s="93"/>
      <c r="E1169" s="93"/>
      <c r="F1169" s="93"/>
      <c r="G1169" s="93"/>
      <c r="H1169" s="93"/>
      <c r="I1169" s="93"/>
      <c r="J1169" s="93"/>
      <c r="K1169" s="93"/>
    </row>
    <row r="1170" spans="4:11" x14ac:dyDescent="0.25">
      <c r="D1170" s="93"/>
      <c r="E1170" s="93"/>
      <c r="F1170" s="93"/>
      <c r="G1170" s="93"/>
      <c r="H1170" s="93"/>
      <c r="I1170" s="93"/>
      <c r="J1170" s="93"/>
      <c r="K1170" s="93"/>
    </row>
    <row r="1171" spans="4:11" x14ac:dyDescent="0.25">
      <c r="D1171" s="93"/>
      <c r="E1171" s="93"/>
      <c r="F1171" s="93"/>
      <c r="G1171" s="93"/>
      <c r="H1171" s="93"/>
      <c r="I1171" s="93"/>
      <c r="J1171" s="93"/>
      <c r="K1171" s="93"/>
    </row>
    <row r="1172" spans="4:11" x14ac:dyDescent="0.25">
      <c r="D1172" s="93"/>
      <c r="E1172" s="93"/>
      <c r="F1172" s="93"/>
      <c r="G1172" s="93"/>
      <c r="H1172" s="93"/>
      <c r="I1172" s="93"/>
      <c r="J1172" s="93"/>
      <c r="K1172" s="93"/>
    </row>
    <row r="1173" spans="4:11" x14ac:dyDescent="0.25">
      <c r="D1173" s="93"/>
      <c r="E1173" s="93"/>
      <c r="F1173" s="93"/>
      <c r="G1173" s="93"/>
      <c r="H1173" s="93"/>
      <c r="I1173" s="93"/>
      <c r="J1173" s="93"/>
      <c r="K1173" s="93"/>
    </row>
    <row r="1174" spans="4:11" x14ac:dyDescent="0.25">
      <c r="D1174" s="93"/>
      <c r="E1174" s="93"/>
      <c r="F1174" s="93"/>
      <c r="G1174" s="93"/>
      <c r="H1174" s="93"/>
      <c r="I1174" s="93"/>
      <c r="J1174" s="93"/>
      <c r="K1174" s="93"/>
    </row>
    <row r="1175" spans="4:11" x14ac:dyDescent="0.25">
      <c r="D1175" s="93"/>
      <c r="E1175" s="93"/>
      <c r="F1175" s="93"/>
      <c r="G1175" s="93"/>
      <c r="H1175" s="93"/>
      <c r="I1175" s="93"/>
      <c r="J1175" s="93"/>
      <c r="K1175" s="93"/>
    </row>
    <row r="1176" spans="4:11" x14ac:dyDescent="0.25">
      <c r="D1176" s="93"/>
      <c r="E1176" s="93"/>
      <c r="F1176" s="93"/>
      <c r="G1176" s="93"/>
      <c r="H1176" s="93"/>
      <c r="I1176" s="93"/>
      <c r="J1176" s="93"/>
      <c r="K1176" s="93"/>
    </row>
    <row r="1177" spans="4:11" x14ac:dyDescent="0.25">
      <c r="D1177" s="93"/>
      <c r="E1177" s="93"/>
      <c r="F1177" s="93"/>
      <c r="G1177" s="93"/>
      <c r="H1177" s="93"/>
      <c r="I1177" s="93"/>
      <c r="J1177" s="93"/>
      <c r="K1177" s="93"/>
    </row>
    <row r="1178" spans="4:11" x14ac:dyDescent="0.25">
      <c r="D1178" s="93"/>
      <c r="E1178" s="93"/>
      <c r="F1178" s="93"/>
      <c r="G1178" s="93"/>
      <c r="H1178" s="93"/>
      <c r="I1178" s="93"/>
      <c r="J1178" s="93"/>
      <c r="K1178" s="93"/>
    </row>
    <row r="1179" spans="4:11" x14ac:dyDescent="0.25">
      <c r="D1179" s="93"/>
      <c r="E1179" s="93"/>
      <c r="F1179" s="93"/>
      <c r="G1179" s="93"/>
      <c r="H1179" s="93"/>
      <c r="I1179" s="93"/>
      <c r="J1179" s="93"/>
      <c r="K1179" s="93"/>
    </row>
    <row r="1180" spans="4:11" x14ac:dyDescent="0.25">
      <c r="D1180" s="93"/>
      <c r="E1180" s="93"/>
      <c r="F1180" s="93"/>
      <c r="G1180" s="93"/>
      <c r="H1180" s="93"/>
      <c r="I1180" s="93"/>
      <c r="J1180" s="93"/>
      <c r="K1180" s="93"/>
    </row>
    <row r="1181" spans="4:11" x14ac:dyDescent="0.25">
      <c r="D1181" s="93"/>
      <c r="E1181" s="93"/>
      <c r="F1181" s="93"/>
      <c r="G1181" s="93"/>
      <c r="H1181" s="93"/>
      <c r="I1181" s="93"/>
      <c r="J1181" s="93"/>
      <c r="K1181" s="93"/>
    </row>
    <row r="1182" spans="4:11" x14ac:dyDescent="0.25">
      <c r="D1182" s="93"/>
      <c r="E1182" s="93"/>
      <c r="F1182" s="93"/>
      <c r="G1182" s="93"/>
      <c r="H1182" s="93"/>
      <c r="I1182" s="93"/>
      <c r="J1182" s="93"/>
      <c r="K1182" s="93"/>
    </row>
    <row r="1183" spans="4:11" x14ac:dyDescent="0.25">
      <c r="D1183" s="93"/>
      <c r="E1183" s="93"/>
      <c r="F1183" s="93"/>
      <c r="G1183" s="93"/>
      <c r="H1183" s="93"/>
      <c r="I1183" s="93"/>
      <c r="J1183" s="93"/>
      <c r="K1183" s="93"/>
    </row>
    <row r="1184" spans="4:11" x14ac:dyDescent="0.25">
      <c r="D1184" s="93"/>
      <c r="E1184" s="93"/>
      <c r="F1184" s="93"/>
      <c r="G1184" s="93"/>
      <c r="H1184" s="93"/>
      <c r="I1184" s="93"/>
      <c r="J1184" s="93"/>
      <c r="K1184" s="93"/>
    </row>
    <row r="1185" spans="4:11" x14ac:dyDescent="0.25">
      <c r="D1185" s="93"/>
      <c r="E1185" s="93"/>
      <c r="F1185" s="93"/>
      <c r="G1185" s="93"/>
      <c r="H1185" s="93"/>
      <c r="I1185" s="93"/>
      <c r="J1185" s="93"/>
      <c r="K1185" s="93"/>
    </row>
    <row r="1186" spans="4:11" x14ac:dyDescent="0.25">
      <c r="D1186" s="93"/>
      <c r="E1186" s="93"/>
      <c r="F1186" s="93"/>
      <c r="G1186" s="93"/>
      <c r="H1186" s="93"/>
      <c r="I1186" s="93"/>
      <c r="J1186" s="93"/>
      <c r="K1186" s="93"/>
    </row>
    <row r="1187" spans="4:11" x14ac:dyDescent="0.25">
      <c r="D1187" s="93"/>
      <c r="E1187" s="93"/>
      <c r="F1187" s="93"/>
      <c r="G1187" s="93"/>
      <c r="H1187" s="93"/>
      <c r="I1187" s="93"/>
      <c r="J1187" s="93"/>
      <c r="K1187" s="93"/>
    </row>
    <row r="1188" spans="4:11" x14ac:dyDescent="0.25">
      <c r="D1188" s="93"/>
      <c r="E1188" s="93"/>
      <c r="F1188" s="93"/>
      <c r="G1188" s="93"/>
      <c r="H1188" s="93"/>
      <c r="I1188" s="93"/>
      <c r="J1188" s="93"/>
      <c r="K1188" s="93"/>
    </row>
    <row r="1189" spans="4:11" x14ac:dyDescent="0.25">
      <c r="D1189" s="93"/>
      <c r="E1189" s="93"/>
      <c r="F1189" s="93"/>
      <c r="G1189" s="93"/>
      <c r="H1189" s="93"/>
      <c r="I1189" s="93"/>
      <c r="J1189" s="93"/>
      <c r="K1189" s="93"/>
    </row>
    <row r="1190" spans="4:11" x14ac:dyDescent="0.25">
      <c r="D1190" s="93"/>
      <c r="E1190" s="93"/>
      <c r="F1190" s="93"/>
      <c r="G1190" s="93"/>
      <c r="H1190" s="93"/>
      <c r="I1190" s="93"/>
      <c r="J1190" s="93"/>
      <c r="K1190" s="93"/>
    </row>
    <row r="1191" spans="4:11" x14ac:dyDescent="0.25">
      <c r="D1191" s="93"/>
      <c r="E1191" s="93"/>
      <c r="F1191" s="93"/>
      <c r="G1191" s="93"/>
      <c r="H1191" s="93"/>
      <c r="I1191" s="93"/>
      <c r="J1191" s="93"/>
      <c r="K1191" s="93"/>
    </row>
    <row r="1192" spans="4:11" x14ac:dyDescent="0.25">
      <c r="D1192" s="93"/>
      <c r="E1192" s="93"/>
      <c r="F1192" s="93"/>
      <c r="G1192" s="93"/>
      <c r="H1192" s="93"/>
      <c r="I1192" s="93"/>
      <c r="J1192" s="93"/>
      <c r="K1192" s="93"/>
    </row>
    <row r="1193" spans="4:11" x14ac:dyDescent="0.25">
      <c r="D1193" s="93"/>
      <c r="E1193" s="93"/>
      <c r="F1193" s="93"/>
      <c r="G1193" s="93"/>
      <c r="H1193" s="93"/>
      <c r="I1193" s="93"/>
      <c r="J1193" s="93"/>
      <c r="K1193" s="93"/>
    </row>
    <row r="1194" spans="4:11" x14ac:dyDescent="0.25">
      <c r="D1194" s="93"/>
      <c r="E1194" s="93"/>
      <c r="F1194" s="93"/>
      <c r="G1194" s="93"/>
      <c r="H1194" s="93"/>
      <c r="I1194" s="93"/>
      <c r="J1194" s="93"/>
      <c r="K1194" s="93"/>
    </row>
    <row r="1195" spans="4:11" x14ac:dyDescent="0.25">
      <c r="D1195" s="93"/>
      <c r="E1195" s="93"/>
      <c r="F1195" s="93"/>
      <c r="G1195" s="93"/>
      <c r="H1195" s="93"/>
      <c r="I1195" s="93"/>
      <c r="J1195" s="93"/>
      <c r="K1195" s="93"/>
    </row>
    <row r="1196" spans="4:11" x14ac:dyDescent="0.25">
      <c r="D1196" s="93"/>
      <c r="E1196" s="93"/>
      <c r="F1196" s="93"/>
      <c r="G1196" s="93"/>
      <c r="H1196" s="93"/>
      <c r="I1196" s="93"/>
      <c r="J1196" s="93"/>
      <c r="K1196" s="93"/>
    </row>
    <row r="1197" spans="4:11" x14ac:dyDescent="0.25">
      <c r="D1197" s="93"/>
      <c r="E1197" s="93"/>
      <c r="F1197" s="93"/>
      <c r="G1197" s="93"/>
      <c r="H1197" s="93"/>
      <c r="I1197" s="93"/>
      <c r="J1197" s="93"/>
      <c r="K1197" s="93"/>
    </row>
    <row r="1198" spans="4:11" x14ac:dyDescent="0.25">
      <c r="D1198" s="93"/>
      <c r="E1198" s="93"/>
      <c r="F1198" s="93"/>
      <c r="G1198" s="93"/>
      <c r="H1198" s="93"/>
      <c r="I1198" s="93"/>
      <c r="J1198" s="93"/>
      <c r="K1198" s="93"/>
    </row>
    <row r="1199" spans="4:11" x14ac:dyDescent="0.25">
      <c r="D1199" s="93"/>
      <c r="E1199" s="93"/>
      <c r="F1199" s="93"/>
      <c r="G1199" s="93"/>
      <c r="H1199" s="93"/>
      <c r="I1199" s="93"/>
      <c r="J1199" s="93"/>
      <c r="K1199" s="93"/>
    </row>
    <row r="1200" spans="4:11" x14ac:dyDescent="0.25">
      <c r="D1200" s="93"/>
      <c r="E1200" s="93"/>
      <c r="F1200" s="93"/>
      <c r="G1200" s="93"/>
      <c r="H1200" s="93"/>
      <c r="I1200" s="93"/>
      <c r="J1200" s="93"/>
      <c r="K1200" s="93"/>
    </row>
    <row r="1201" spans="4:11" x14ac:dyDescent="0.25">
      <c r="D1201" s="93"/>
      <c r="E1201" s="93"/>
      <c r="F1201" s="93"/>
      <c r="G1201" s="93"/>
      <c r="H1201" s="93"/>
      <c r="I1201" s="93"/>
      <c r="J1201" s="93"/>
      <c r="K1201" s="93"/>
    </row>
    <row r="1202" spans="4:11" x14ac:dyDescent="0.25">
      <c r="D1202" s="93"/>
      <c r="E1202" s="93"/>
      <c r="F1202" s="93"/>
      <c r="G1202" s="93"/>
      <c r="H1202" s="93"/>
      <c r="I1202" s="93"/>
      <c r="J1202" s="93"/>
      <c r="K1202" s="93"/>
    </row>
    <row r="1203" spans="4:11" x14ac:dyDescent="0.25">
      <c r="D1203" s="93"/>
      <c r="E1203" s="93"/>
      <c r="F1203" s="93"/>
      <c r="G1203" s="93"/>
      <c r="H1203" s="93"/>
      <c r="I1203" s="93"/>
      <c r="J1203" s="93"/>
      <c r="K1203" s="93"/>
    </row>
    <row r="1204" spans="4:11" x14ac:dyDescent="0.25">
      <c r="D1204" s="93"/>
      <c r="E1204" s="93"/>
      <c r="F1204" s="93"/>
      <c r="G1204" s="93"/>
      <c r="H1204" s="93"/>
      <c r="I1204" s="93"/>
      <c r="J1204" s="93"/>
      <c r="K1204" s="93"/>
    </row>
    <row r="1205" spans="4:11" x14ac:dyDescent="0.25">
      <c r="D1205" s="93"/>
      <c r="E1205" s="93"/>
      <c r="F1205" s="93"/>
      <c r="G1205" s="93"/>
      <c r="H1205" s="93"/>
      <c r="I1205" s="93"/>
      <c r="J1205" s="93"/>
      <c r="K1205" s="93"/>
    </row>
    <row r="1206" spans="4:11" x14ac:dyDescent="0.25">
      <c r="D1206" s="93"/>
      <c r="E1206" s="93"/>
      <c r="F1206" s="93"/>
      <c r="G1206" s="93"/>
      <c r="H1206" s="93"/>
      <c r="I1206" s="93"/>
      <c r="J1206" s="93"/>
      <c r="K1206" s="93"/>
    </row>
    <row r="1207" spans="4:11" x14ac:dyDescent="0.25">
      <c r="D1207" s="93"/>
      <c r="E1207" s="93"/>
      <c r="F1207" s="93"/>
      <c r="G1207" s="93"/>
      <c r="H1207" s="93"/>
      <c r="I1207" s="93"/>
      <c r="J1207" s="93"/>
      <c r="K1207" s="93"/>
    </row>
    <row r="1208" spans="4:11" x14ac:dyDescent="0.25">
      <c r="D1208" s="93"/>
      <c r="E1208" s="93"/>
      <c r="F1208" s="93"/>
      <c r="G1208" s="93"/>
      <c r="H1208" s="93"/>
      <c r="I1208" s="93"/>
      <c r="J1208" s="93"/>
      <c r="K1208" s="93"/>
    </row>
    <row r="1209" spans="4:11" x14ac:dyDescent="0.25">
      <c r="D1209" s="93"/>
      <c r="E1209" s="93"/>
      <c r="F1209" s="93"/>
      <c r="G1209" s="93"/>
      <c r="H1209" s="93"/>
      <c r="I1209" s="93"/>
      <c r="J1209" s="93"/>
      <c r="K1209" s="93"/>
    </row>
    <row r="1210" spans="4:11" x14ac:dyDescent="0.25">
      <c r="D1210" s="93"/>
      <c r="E1210" s="93"/>
      <c r="F1210" s="93"/>
      <c r="G1210" s="93"/>
      <c r="H1210" s="93"/>
      <c r="I1210" s="93"/>
      <c r="J1210" s="93"/>
      <c r="K1210" s="93"/>
    </row>
    <row r="1211" spans="4:11" x14ac:dyDescent="0.25">
      <c r="D1211" s="93"/>
      <c r="E1211" s="93"/>
      <c r="F1211" s="93"/>
      <c r="G1211" s="93"/>
      <c r="H1211" s="93"/>
      <c r="I1211" s="93"/>
      <c r="J1211" s="93"/>
      <c r="K1211" s="93"/>
    </row>
    <row r="1212" spans="4:11" x14ac:dyDescent="0.25">
      <c r="D1212" s="93"/>
      <c r="E1212" s="93"/>
      <c r="F1212" s="93"/>
      <c r="G1212" s="93"/>
      <c r="H1212" s="93"/>
      <c r="I1212" s="93"/>
      <c r="J1212" s="93"/>
      <c r="K1212" s="93"/>
    </row>
    <row r="1213" spans="4:11" x14ac:dyDescent="0.25">
      <c r="D1213" s="93"/>
      <c r="E1213" s="93"/>
      <c r="F1213" s="93"/>
      <c r="G1213" s="93"/>
      <c r="H1213" s="93"/>
      <c r="I1213" s="93"/>
      <c r="J1213" s="93"/>
      <c r="K1213" s="93"/>
    </row>
    <row r="1214" spans="4:11" x14ac:dyDescent="0.25">
      <c r="D1214" s="93"/>
      <c r="E1214" s="93"/>
      <c r="F1214" s="93"/>
      <c r="G1214" s="93"/>
      <c r="H1214" s="93"/>
      <c r="I1214" s="93"/>
      <c r="J1214" s="93"/>
      <c r="K1214" s="93"/>
    </row>
    <row r="1215" spans="4:11" x14ac:dyDescent="0.25">
      <c r="D1215" s="93"/>
      <c r="E1215" s="93"/>
      <c r="F1215" s="93"/>
      <c r="G1215" s="93"/>
      <c r="H1215" s="93"/>
      <c r="I1215" s="93"/>
      <c r="J1215" s="93"/>
      <c r="K1215" s="93"/>
    </row>
    <row r="1216" spans="4:11" x14ac:dyDescent="0.25">
      <c r="D1216" s="93"/>
      <c r="E1216" s="93"/>
      <c r="F1216" s="93"/>
      <c r="G1216" s="93"/>
      <c r="H1216" s="93"/>
      <c r="I1216" s="93"/>
      <c r="J1216" s="93"/>
      <c r="K1216" s="93"/>
    </row>
    <row r="1217" spans="4:11" x14ac:dyDescent="0.25">
      <c r="D1217" s="93"/>
      <c r="E1217" s="93"/>
      <c r="F1217" s="93"/>
      <c r="G1217" s="93"/>
      <c r="H1217" s="93"/>
      <c r="I1217" s="93"/>
      <c r="J1217" s="93"/>
      <c r="K1217" s="93"/>
    </row>
    <row r="1218" spans="4:11" x14ac:dyDescent="0.25">
      <c r="D1218" s="93"/>
      <c r="E1218" s="93"/>
      <c r="F1218" s="93"/>
      <c r="G1218" s="93"/>
      <c r="H1218" s="93"/>
      <c r="I1218" s="93"/>
      <c r="J1218" s="93"/>
      <c r="K1218" s="93"/>
    </row>
    <row r="1219" spans="4:11" x14ac:dyDescent="0.25">
      <c r="D1219" s="93"/>
      <c r="E1219" s="93"/>
      <c r="F1219" s="93"/>
      <c r="G1219" s="93"/>
      <c r="H1219" s="93"/>
      <c r="I1219" s="93"/>
      <c r="J1219" s="93"/>
      <c r="K1219" s="93"/>
    </row>
    <row r="1220" spans="4:11" x14ac:dyDescent="0.25">
      <c r="D1220" s="93"/>
      <c r="E1220" s="93"/>
      <c r="F1220" s="93"/>
      <c r="G1220" s="93"/>
      <c r="H1220" s="93"/>
      <c r="I1220" s="93"/>
      <c r="J1220" s="93"/>
      <c r="K1220" s="93"/>
    </row>
    <row r="1221" spans="4:11" x14ac:dyDescent="0.25">
      <c r="D1221" s="93"/>
      <c r="E1221" s="93"/>
      <c r="F1221" s="93"/>
      <c r="G1221" s="93"/>
      <c r="H1221" s="93"/>
      <c r="I1221" s="93"/>
      <c r="J1221" s="93"/>
      <c r="K1221" s="93"/>
    </row>
    <row r="1222" spans="4:11" x14ac:dyDescent="0.25">
      <c r="D1222" s="93"/>
      <c r="E1222" s="93"/>
      <c r="F1222" s="93"/>
      <c r="G1222" s="93"/>
      <c r="H1222" s="93"/>
      <c r="I1222" s="93"/>
      <c r="J1222" s="93"/>
      <c r="K1222" s="93"/>
    </row>
    <row r="1223" spans="4:11" x14ac:dyDescent="0.25">
      <c r="D1223" s="93"/>
      <c r="E1223" s="93"/>
      <c r="F1223" s="93"/>
      <c r="G1223" s="93"/>
      <c r="H1223" s="93"/>
      <c r="I1223" s="93"/>
      <c r="J1223" s="93"/>
      <c r="K1223" s="93"/>
    </row>
    <row r="1224" spans="4:11" x14ac:dyDescent="0.25">
      <c r="D1224" s="93"/>
      <c r="E1224" s="93"/>
      <c r="F1224" s="93"/>
      <c r="G1224" s="93"/>
      <c r="H1224" s="93"/>
      <c r="I1224" s="93"/>
      <c r="J1224" s="93"/>
      <c r="K1224" s="93"/>
    </row>
    <row r="1225" spans="4:11" x14ac:dyDescent="0.25">
      <c r="D1225" s="93"/>
      <c r="E1225" s="93"/>
      <c r="F1225" s="93"/>
      <c r="G1225" s="93"/>
      <c r="H1225" s="93"/>
      <c r="I1225" s="93"/>
      <c r="J1225" s="93"/>
      <c r="K1225" s="93"/>
    </row>
    <row r="1226" spans="4:11" x14ac:dyDescent="0.25">
      <c r="D1226" s="93"/>
      <c r="E1226" s="93"/>
      <c r="F1226" s="93"/>
      <c r="G1226" s="93"/>
      <c r="H1226" s="93"/>
      <c r="I1226" s="93"/>
      <c r="J1226" s="93"/>
      <c r="K1226" s="93"/>
    </row>
    <row r="1227" spans="4:11" x14ac:dyDescent="0.25">
      <c r="D1227" s="93"/>
      <c r="E1227" s="93"/>
      <c r="F1227" s="93"/>
      <c r="G1227" s="93"/>
      <c r="H1227" s="93"/>
      <c r="I1227" s="93"/>
      <c r="J1227" s="93"/>
      <c r="K1227" s="93"/>
    </row>
    <row r="1228" spans="4:11" x14ac:dyDescent="0.25">
      <c r="D1228" s="93"/>
      <c r="E1228" s="93"/>
      <c r="F1228" s="93"/>
      <c r="G1228" s="93"/>
      <c r="H1228" s="93"/>
      <c r="I1228" s="93"/>
      <c r="J1228" s="93"/>
      <c r="K1228" s="93"/>
    </row>
    <row r="1229" spans="4:11" x14ac:dyDescent="0.25">
      <c r="D1229" s="93"/>
      <c r="E1229" s="93"/>
      <c r="F1229" s="93"/>
      <c r="G1229" s="93"/>
      <c r="H1229" s="93"/>
      <c r="I1229" s="93"/>
      <c r="J1229" s="93"/>
      <c r="K1229" s="93"/>
    </row>
    <row r="1230" spans="4:11" x14ac:dyDescent="0.25">
      <c r="D1230" s="93"/>
      <c r="E1230" s="93"/>
      <c r="F1230" s="93"/>
      <c r="G1230" s="93"/>
      <c r="H1230" s="93"/>
      <c r="I1230" s="93"/>
      <c r="J1230" s="93"/>
      <c r="K1230" s="93"/>
    </row>
    <row r="1231" spans="4:11" x14ac:dyDescent="0.25">
      <c r="D1231" s="93"/>
      <c r="E1231" s="93"/>
      <c r="F1231" s="93"/>
      <c r="G1231" s="93"/>
      <c r="H1231" s="93"/>
      <c r="I1231" s="93"/>
      <c r="J1231" s="93"/>
      <c r="K1231" s="93"/>
    </row>
    <row r="1232" spans="4:11" x14ac:dyDescent="0.25">
      <c r="D1232" s="93"/>
      <c r="E1232" s="93"/>
      <c r="F1232" s="93"/>
      <c r="G1232" s="93"/>
      <c r="H1232" s="93"/>
      <c r="I1232" s="93"/>
      <c r="J1232" s="93"/>
      <c r="K1232" s="93"/>
    </row>
    <row r="1233" spans="4:11" x14ac:dyDescent="0.25">
      <c r="D1233" s="93"/>
      <c r="E1233" s="93"/>
      <c r="F1233" s="93"/>
      <c r="G1233" s="93"/>
      <c r="H1233" s="93"/>
      <c r="I1233" s="93"/>
      <c r="J1233" s="93"/>
      <c r="K1233" s="93"/>
    </row>
    <row r="1234" spans="4:11" x14ac:dyDescent="0.25">
      <c r="D1234" s="93"/>
      <c r="E1234" s="93"/>
      <c r="F1234" s="93"/>
      <c r="G1234" s="93"/>
      <c r="H1234" s="93"/>
      <c r="I1234" s="93"/>
      <c r="J1234" s="93"/>
      <c r="K1234" s="93"/>
    </row>
    <row r="1235" spans="4:11" x14ac:dyDescent="0.25">
      <c r="D1235" s="93"/>
      <c r="E1235" s="93"/>
      <c r="F1235" s="93"/>
      <c r="G1235" s="93"/>
      <c r="H1235" s="93"/>
      <c r="I1235" s="93"/>
      <c r="J1235" s="93"/>
      <c r="K1235" s="93"/>
    </row>
    <row r="1236" spans="4:11" x14ac:dyDescent="0.25">
      <c r="D1236" s="93"/>
      <c r="E1236" s="93"/>
      <c r="F1236" s="93"/>
      <c r="G1236" s="93"/>
      <c r="H1236" s="93"/>
      <c r="I1236" s="93"/>
      <c r="J1236" s="93"/>
      <c r="K1236" s="93"/>
    </row>
    <row r="1237" spans="4:11" x14ac:dyDescent="0.25">
      <c r="D1237" s="93"/>
      <c r="E1237" s="93"/>
      <c r="F1237" s="93"/>
      <c r="G1237" s="93"/>
      <c r="H1237" s="93"/>
      <c r="I1237" s="93"/>
      <c r="J1237" s="93"/>
      <c r="K1237" s="93"/>
    </row>
    <row r="1238" spans="4:11" x14ac:dyDescent="0.25">
      <c r="D1238" s="93"/>
      <c r="E1238" s="93"/>
      <c r="F1238" s="93"/>
      <c r="G1238" s="93"/>
      <c r="H1238" s="93"/>
      <c r="I1238" s="93"/>
      <c r="J1238" s="93"/>
      <c r="K1238" s="93"/>
    </row>
    <row r="1239" spans="4:11" x14ac:dyDescent="0.25">
      <c r="D1239" s="93"/>
      <c r="E1239" s="93"/>
      <c r="F1239" s="93"/>
      <c r="G1239" s="93"/>
      <c r="H1239" s="93"/>
      <c r="I1239" s="93"/>
      <c r="J1239" s="93"/>
      <c r="K1239" s="93"/>
    </row>
    <row r="1240" spans="4:11" x14ac:dyDescent="0.25">
      <c r="D1240" s="93"/>
      <c r="E1240" s="93"/>
      <c r="F1240" s="93"/>
      <c r="G1240" s="93"/>
      <c r="H1240" s="93"/>
      <c r="I1240" s="93"/>
      <c r="J1240" s="93"/>
      <c r="K1240" s="93"/>
    </row>
    <row r="1241" spans="4:11" x14ac:dyDescent="0.25">
      <c r="D1241" s="93"/>
      <c r="E1241" s="93"/>
      <c r="F1241" s="93"/>
      <c r="G1241" s="93"/>
      <c r="H1241" s="93"/>
      <c r="I1241" s="93"/>
      <c r="J1241" s="93"/>
      <c r="K1241" s="93"/>
    </row>
    <row r="1242" spans="4:11" x14ac:dyDescent="0.25">
      <c r="D1242" s="93"/>
      <c r="E1242" s="93"/>
      <c r="F1242" s="93"/>
      <c r="G1242" s="93"/>
      <c r="H1242" s="93"/>
      <c r="I1242" s="93"/>
      <c r="J1242" s="93"/>
      <c r="K1242" s="93"/>
    </row>
    <row r="1243" spans="4:11" x14ac:dyDescent="0.25">
      <c r="D1243" s="93"/>
      <c r="E1243" s="93"/>
      <c r="F1243" s="93"/>
      <c r="G1243" s="93"/>
      <c r="H1243" s="93"/>
      <c r="I1243" s="93"/>
      <c r="J1243" s="93"/>
      <c r="K1243" s="93"/>
    </row>
    <row r="1244" spans="4:11" x14ac:dyDescent="0.25">
      <c r="D1244" s="93"/>
      <c r="E1244" s="93"/>
      <c r="F1244" s="93"/>
      <c r="G1244" s="93"/>
      <c r="H1244" s="93"/>
      <c r="I1244" s="93"/>
      <c r="J1244" s="93"/>
      <c r="K1244" s="93"/>
    </row>
    <row r="1245" spans="4:11" x14ac:dyDescent="0.25">
      <c r="D1245" s="93"/>
      <c r="E1245" s="93"/>
      <c r="F1245" s="93"/>
      <c r="G1245" s="93"/>
      <c r="H1245" s="93"/>
      <c r="I1245" s="93"/>
      <c r="J1245" s="93"/>
      <c r="K1245" s="93"/>
    </row>
    <row r="1246" spans="4:11" x14ac:dyDescent="0.25">
      <c r="D1246" s="93"/>
      <c r="E1246" s="93"/>
      <c r="F1246" s="93"/>
      <c r="G1246" s="93"/>
      <c r="H1246" s="93"/>
      <c r="I1246" s="93"/>
      <c r="J1246" s="93"/>
      <c r="K1246" s="93"/>
    </row>
    <row r="1247" spans="4:11" x14ac:dyDescent="0.25">
      <c r="D1247" s="93"/>
      <c r="E1247" s="93"/>
      <c r="F1247" s="93"/>
      <c r="G1247" s="93"/>
      <c r="H1247" s="93"/>
      <c r="I1247" s="93"/>
      <c r="J1247" s="93"/>
      <c r="K1247" s="93"/>
    </row>
    <row r="1248" spans="4:11" x14ac:dyDescent="0.25">
      <c r="D1248" s="93"/>
      <c r="E1248" s="93"/>
      <c r="F1248" s="93"/>
      <c r="G1248" s="93"/>
      <c r="H1248" s="93"/>
      <c r="I1248" s="93"/>
      <c r="J1248" s="93"/>
      <c r="K1248" s="93"/>
    </row>
    <row r="1249" spans="4:11" x14ac:dyDescent="0.25">
      <c r="D1249" s="93"/>
      <c r="E1249" s="93"/>
      <c r="F1249" s="93"/>
      <c r="G1249" s="93"/>
      <c r="H1249" s="93"/>
      <c r="I1249" s="93"/>
      <c r="J1249" s="93"/>
      <c r="K1249" s="93"/>
    </row>
    <row r="1250" spans="4:11" x14ac:dyDescent="0.25">
      <c r="D1250" s="93"/>
      <c r="E1250" s="93"/>
      <c r="F1250" s="93"/>
      <c r="G1250" s="93"/>
      <c r="H1250" s="93"/>
      <c r="I1250" s="93"/>
      <c r="J1250" s="93"/>
      <c r="K1250" s="93"/>
    </row>
    <row r="1251" spans="4:11" x14ac:dyDescent="0.25">
      <c r="D1251" s="93"/>
      <c r="E1251" s="93"/>
      <c r="F1251" s="93"/>
      <c r="G1251" s="93"/>
      <c r="H1251" s="93"/>
      <c r="I1251" s="93"/>
      <c r="J1251" s="93"/>
      <c r="K1251" s="93"/>
    </row>
    <row r="1252" spans="4:11" x14ac:dyDescent="0.25">
      <c r="D1252" s="93"/>
      <c r="E1252" s="93"/>
      <c r="F1252" s="93"/>
      <c r="G1252" s="93"/>
      <c r="H1252" s="93"/>
      <c r="I1252" s="93"/>
      <c r="J1252" s="93"/>
      <c r="K1252" s="93"/>
    </row>
    <row r="1253" spans="4:11" x14ac:dyDescent="0.25">
      <c r="D1253" s="93"/>
      <c r="E1253" s="93"/>
      <c r="F1253" s="93"/>
      <c r="G1253" s="93"/>
      <c r="H1253" s="93"/>
      <c r="I1253" s="93"/>
      <c r="J1253" s="93"/>
      <c r="K1253" s="93"/>
    </row>
    <row r="1254" spans="4:11" x14ac:dyDescent="0.25">
      <c r="D1254" s="93"/>
      <c r="E1254" s="93"/>
      <c r="F1254" s="93"/>
      <c r="G1254" s="93"/>
      <c r="H1254" s="93"/>
      <c r="I1254" s="93"/>
      <c r="J1254" s="93"/>
      <c r="K1254" s="93"/>
    </row>
    <row r="1255" spans="4:11" x14ac:dyDescent="0.25">
      <c r="D1255" s="93"/>
      <c r="E1255" s="93"/>
      <c r="F1255" s="93"/>
      <c r="G1255" s="93"/>
      <c r="H1255" s="93"/>
      <c r="I1255" s="93"/>
      <c r="J1255" s="93"/>
      <c r="K1255" s="93"/>
    </row>
    <row r="1256" spans="4:11" x14ac:dyDescent="0.25">
      <c r="D1256" s="93"/>
      <c r="E1256" s="93"/>
      <c r="F1256" s="93"/>
      <c r="G1256" s="93"/>
      <c r="H1256" s="93"/>
      <c r="I1256" s="93"/>
      <c r="J1256" s="93"/>
      <c r="K1256" s="93"/>
    </row>
    <row r="1257" spans="4:11" x14ac:dyDescent="0.25">
      <c r="D1257" s="93"/>
      <c r="E1257" s="93"/>
      <c r="F1257" s="93"/>
      <c r="G1257" s="93"/>
      <c r="H1257" s="93"/>
      <c r="I1257" s="93"/>
      <c r="J1257" s="93"/>
      <c r="K1257" s="93"/>
    </row>
    <row r="1258" spans="4:11" x14ac:dyDescent="0.25">
      <c r="D1258" s="93"/>
      <c r="E1258" s="93"/>
      <c r="F1258" s="93"/>
      <c r="G1258" s="93"/>
      <c r="H1258" s="93"/>
      <c r="I1258" s="93"/>
      <c r="J1258" s="93"/>
      <c r="K1258" s="93"/>
    </row>
    <row r="1259" spans="4:11" x14ac:dyDescent="0.25">
      <c r="D1259" s="93"/>
      <c r="E1259" s="93"/>
      <c r="F1259" s="93"/>
      <c r="G1259" s="93"/>
      <c r="H1259" s="93"/>
      <c r="I1259" s="93"/>
      <c r="J1259" s="93"/>
      <c r="K1259" s="93"/>
    </row>
    <row r="1260" spans="4:11" x14ac:dyDescent="0.25">
      <c r="D1260" s="93"/>
      <c r="E1260" s="93"/>
      <c r="F1260" s="93"/>
      <c r="G1260" s="93"/>
      <c r="H1260" s="93"/>
      <c r="I1260" s="93"/>
      <c r="J1260" s="93"/>
      <c r="K1260" s="93"/>
    </row>
    <row r="1261" spans="4:11" x14ac:dyDescent="0.25">
      <c r="D1261" s="93"/>
      <c r="E1261" s="93"/>
      <c r="F1261" s="93"/>
      <c r="G1261" s="93"/>
      <c r="H1261" s="93"/>
      <c r="I1261" s="93"/>
      <c r="J1261" s="93"/>
      <c r="K1261" s="93"/>
    </row>
    <row r="1262" spans="4:11" x14ac:dyDescent="0.25">
      <c r="D1262" s="93"/>
      <c r="E1262" s="93"/>
      <c r="F1262" s="93"/>
      <c r="G1262" s="93"/>
      <c r="H1262" s="93"/>
      <c r="I1262" s="93"/>
      <c r="J1262" s="93"/>
      <c r="K1262" s="93"/>
    </row>
    <row r="1263" spans="4:11" x14ac:dyDescent="0.25">
      <c r="D1263" s="93"/>
      <c r="E1263" s="93"/>
      <c r="F1263" s="93"/>
      <c r="G1263" s="93"/>
      <c r="H1263" s="93"/>
      <c r="I1263" s="93"/>
      <c r="J1263" s="93"/>
      <c r="K1263" s="93"/>
    </row>
    <row r="1264" spans="4:11" x14ac:dyDescent="0.25">
      <c r="D1264" s="93"/>
      <c r="E1264" s="93"/>
      <c r="F1264" s="93"/>
      <c r="G1264" s="93"/>
      <c r="H1264" s="93"/>
      <c r="I1264" s="93"/>
      <c r="J1264" s="93"/>
      <c r="K1264" s="93"/>
    </row>
    <row r="1265" spans="4:11" x14ac:dyDescent="0.25">
      <c r="D1265" s="93"/>
      <c r="E1265" s="93"/>
      <c r="F1265" s="93"/>
      <c r="G1265" s="93"/>
      <c r="H1265" s="93"/>
      <c r="I1265" s="93"/>
      <c r="J1265" s="93"/>
      <c r="K1265" s="93"/>
    </row>
    <row r="1266" spans="4:11" x14ac:dyDescent="0.25">
      <c r="D1266" s="93"/>
      <c r="E1266" s="93"/>
      <c r="F1266" s="93"/>
      <c r="G1266" s="93"/>
      <c r="H1266" s="93"/>
      <c r="I1266" s="93"/>
      <c r="J1266" s="93"/>
      <c r="K1266" s="93"/>
    </row>
    <row r="1267" spans="4:11" x14ac:dyDescent="0.25">
      <c r="D1267" s="93"/>
      <c r="E1267" s="93"/>
      <c r="F1267" s="93"/>
      <c r="G1267" s="93"/>
      <c r="H1267" s="93"/>
      <c r="I1267" s="93"/>
      <c r="J1267" s="93"/>
      <c r="K1267" s="93"/>
    </row>
    <row r="1268" spans="4:11" x14ac:dyDescent="0.25">
      <c r="D1268" s="93"/>
      <c r="E1268" s="93"/>
      <c r="F1268" s="93"/>
      <c r="G1268" s="93"/>
      <c r="H1268" s="93"/>
      <c r="I1268" s="93"/>
      <c r="J1268" s="93"/>
      <c r="K1268" s="93"/>
    </row>
    <row r="1269" spans="4:11" x14ac:dyDescent="0.25">
      <c r="D1269" s="93"/>
      <c r="E1269" s="93"/>
      <c r="F1269" s="93"/>
      <c r="G1269" s="93"/>
      <c r="H1269" s="93"/>
      <c r="I1269" s="93"/>
      <c r="J1269" s="93"/>
      <c r="K1269" s="93"/>
    </row>
    <row r="1270" spans="4:11" x14ac:dyDescent="0.25">
      <c r="D1270" s="93"/>
      <c r="E1270" s="93"/>
      <c r="F1270" s="93"/>
      <c r="G1270" s="93"/>
      <c r="H1270" s="93"/>
      <c r="I1270" s="93"/>
      <c r="J1270" s="93"/>
      <c r="K1270" s="93"/>
    </row>
    <row r="1271" spans="4:11" x14ac:dyDescent="0.25">
      <c r="D1271" s="93"/>
      <c r="E1271" s="93"/>
      <c r="F1271" s="93"/>
      <c r="G1271" s="93"/>
      <c r="H1271" s="93"/>
      <c r="I1271" s="93"/>
      <c r="J1271" s="93"/>
      <c r="K1271" s="93"/>
    </row>
    <row r="1272" spans="4:11" x14ac:dyDescent="0.25">
      <c r="D1272" s="93"/>
      <c r="E1272" s="93"/>
      <c r="F1272" s="93"/>
      <c r="G1272" s="93"/>
      <c r="H1272" s="93"/>
      <c r="I1272" s="93"/>
      <c r="J1272" s="93"/>
      <c r="K1272" s="93"/>
    </row>
    <row r="1273" spans="4:11" x14ac:dyDescent="0.25">
      <c r="D1273" s="93"/>
      <c r="E1273" s="93"/>
      <c r="F1273" s="93"/>
      <c r="G1273" s="93"/>
      <c r="H1273" s="93"/>
      <c r="I1273" s="93"/>
      <c r="J1273" s="93"/>
      <c r="K1273" s="93"/>
    </row>
    <row r="1274" spans="4:11" x14ac:dyDescent="0.25">
      <c r="D1274" s="93"/>
      <c r="E1274" s="93"/>
      <c r="F1274" s="93"/>
      <c r="G1274" s="93"/>
      <c r="H1274" s="93"/>
      <c r="I1274" s="93"/>
      <c r="J1274" s="93"/>
      <c r="K1274" s="93"/>
    </row>
    <row r="1275" spans="4:11" x14ac:dyDescent="0.25">
      <c r="D1275" s="93"/>
      <c r="E1275" s="93"/>
      <c r="F1275" s="93"/>
      <c r="G1275" s="93"/>
      <c r="H1275" s="93"/>
      <c r="I1275" s="93"/>
      <c r="J1275" s="93"/>
      <c r="K1275" s="93"/>
    </row>
    <row r="1276" spans="4:11" x14ac:dyDescent="0.25">
      <c r="D1276" s="93"/>
      <c r="E1276" s="93"/>
      <c r="F1276" s="93"/>
      <c r="G1276" s="93"/>
      <c r="H1276" s="93"/>
      <c r="I1276" s="93"/>
      <c r="J1276" s="93"/>
      <c r="K1276" s="93"/>
    </row>
    <row r="1277" spans="4:11" x14ac:dyDescent="0.25">
      <c r="D1277" s="93"/>
      <c r="E1277" s="93"/>
      <c r="F1277" s="93"/>
      <c r="G1277" s="93"/>
      <c r="H1277" s="93"/>
      <c r="I1277" s="93"/>
      <c r="J1277" s="93"/>
      <c r="K1277" s="93"/>
    </row>
    <row r="1278" spans="4:11" x14ac:dyDescent="0.25">
      <c r="D1278" s="93"/>
      <c r="E1278" s="93"/>
      <c r="F1278" s="93"/>
      <c r="G1278" s="93"/>
      <c r="H1278" s="93"/>
      <c r="I1278" s="93"/>
      <c r="J1278" s="93"/>
      <c r="K1278" s="93"/>
    </row>
    <row r="1279" spans="4:11" x14ac:dyDescent="0.25">
      <c r="D1279" s="93"/>
      <c r="E1279" s="93"/>
      <c r="F1279" s="93"/>
      <c r="G1279" s="93"/>
      <c r="H1279" s="93"/>
      <c r="I1279" s="93"/>
      <c r="J1279" s="93"/>
      <c r="K1279" s="93"/>
    </row>
    <row r="1280" spans="4:11" x14ac:dyDescent="0.25">
      <c r="D1280" s="93"/>
      <c r="E1280" s="93"/>
      <c r="F1280" s="93"/>
      <c r="G1280" s="93"/>
      <c r="H1280" s="93"/>
      <c r="I1280" s="93"/>
      <c r="J1280" s="93"/>
      <c r="K1280" s="93"/>
    </row>
    <row r="1281" spans="4:11" x14ac:dyDescent="0.25">
      <c r="D1281" s="93"/>
      <c r="E1281" s="93"/>
      <c r="F1281" s="93"/>
      <c r="G1281" s="93"/>
      <c r="H1281" s="93"/>
      <c r="I1281" s="93"/>
      <c r="J1281" s="93"/>
      <c r="K1281" s="93"/>
    </row>
    <row r="1282" spans="4:11" x14ac:dyDescent="0.25">
      <c r="D1282" s="93"/>
      <c r="E1282" s="93"/>
      <c r="F1282" s="93"/>
      <c r="G1282" s="93"/>
      <c r="H1282" s="93"/>
      <c r="I1282" s="93"/>
      <c r="J1282" s="93"/>
      <c r="K1282" s="93"/>
    </row>
    <row r="1283" spans="4:11" x14ac:dyDescent="0.25">
      <c r="D1283" s="93"/>
      <c r="E1283" s="93"/>
      <c r="F1283" s="93"/>
      <c r="G1283" s="93"/>
      <c r="H1283" s="93"/>
      <c r="I1283" s="93"/>
      <c r="J1283" s="93"/>
      <c r="K1283" s="93"/>
    </row>
    <row r="1284" spans="4:11" x14ac:dyDescent="0.25">
      <c r="D1284" s="93"/>
      <c r="E1284" s="93"/>
      <c r="F1284" s="93"/>
      <c r="G1284" s="93"/>
      <c r="H1284" s="93"/>
      <c r="I1284" s="93"/>
      <c r="J1284" s="93"/>
      <c r="K1284" s="93"/>
    </row>
    <row r="1285" spans="4:11" x14ac:dyDescent="0.25">
      <c r="D1285" s="93"/>
      <c r="E1285" s="93"/>
      <c r="F1285" s="93"/>
      <c r="G1285" s="93"/>
      <c r="H1285" s="93"/>
      <c r="I1285" s="93"/>
      <c r="J1285" s="93"/>
      <c r="K1285" s="93"/>
    </row>
    <row r="1286" spans="4:11" x14ac:dyDescent="0.25">
      <c r="D1286" s="93"/>
      <c r="E1286" s="93"/>
      <c r="F1286" s="93"/>
      <c r="G1286" s="93"/>
      <c r="H1286" s="93"/>
      <c r="I1286" s="93"/>
      <c r="J1286" s="93"/>
      <c r="K1286" s="93"/>
    </row>
    <row r="1287" spans="4:11" x14ac:dyDescent="0.25">
      <c r="D1287" s="93"/>
      <c r="E1287" s="93"/>
      <c r="F1287" s="93"/>
      <c r="G1287" s="93"/>
      <c r="H1287" s="93"/>
      <c r="I1287" s="93"/>
      <c r="J1287" s="93"/>
      <c r="K1287" s="93"/>
    </row>
    <row r="1288" spans="4:11" x14ac:dyDescent="0.25">
      <c r="D1288" s="93"/>
      <c r="E1288" s="93"/>
      <c r="F1288" s="93"/>
      <c r="G1288" s="93"/>
      <c r="H1288" s="93"/>
      <c r="I1288" s="93"/>
      <c r="J1288" s="93"/>
      <c r="K1288" s="93"/>
    </row>
    <row r="1289" spans="4:11" x14ac:dyDescent="0.25">
      <c r="D1289" s="93"/>
      <c r="E1289" s="93"/>
      <c r="F1289" s="93"/>
      <c r="G1289" s="93"/>
      <c r="H1289" s="93"/>
      <c r="I1289" s="93"/>
      <c r="J1289" s="93"/>
      <c r="K1289" s="93"/>
    </row>
    <row r="1290" spans="4:11" x14ac:dyDescent="0.25">
      <c r="D1290" s="93"/>
      <c r="E1290" s="93"/>
      <c r="F1290" s="93"/>
      <c r="G1290" s="93"/>
      <c r="H1290" s="93"/>
      <c r="I1290" s="93"/>
      <c r="J1290" s="93"/>
      <c r="K1290" s="93"/>
    </row>
    <row r="1291" spans="4:11" x14ac:dyDescent="0.25">
      <c r="D1291" s="93"/>
      <c r="E1291" s="93"/>
      <c r="F1291" s="93"/>
      <c r="G1291" s="93"/>
      <c r="H1291" s="93"/>
      <c r="I1291" s="93"/>
      <c r="J1291" s="93"/>
      <c r="K1291" s="93"/>
    </row>
    <row r="1292" spans="4:11" x14ac:dyDescent="0.25">
      <c r="D1292" s="93"/>
      <c r="E1292" s="93"/>
      <c r="F1292" s="93"/>
      <c r="G1292" s="93"/>
      <c r="H1292" s="93"/>
      <c r="I1292" s="93"/>
      <c r="J1292" s="93"/>
      <c r="K1292" s="93"/>
    </row>
    <row r="1293" spans="4:11" x14ac:dyDescent="0.25">
      <c r="D1293" s="93"/>
      <c r="E1293" s="93"/>
      <c r="F1293" s="93"/>
      <c r="G1293" s="93"/>
      <c r="H1293" s="93"/>
      <c r="I1293" s="93"/>
      <c r="J1293" s="93"/>
      <c r="K1293" s="93"/>
    </row>
    <row r="1294" spans="4:11" x14ac:dyDescent="0.25">
      <c r="D1294" s="93"/>
      <c r="E1294" s="93"/>
      <c r="F1294" s="93"/>
      <c r="G1294" s="93"/>
      <c r="H1294" s="93"/>
      <c r="I1294" s="93"/>
      <c r="J1294" s="93"/>
      <c r="K1294" s="93"/>
    </row>
    <row r="1295" spans="4:11" x14ac:dyDescent="0.25">
      <c r="D1295" s="93"/>
      <c r="E1295" s="93"/>
      <c r="F1295" s="93"/>
      <c r="G1295" s="93"/>
      <c r="H1295" s="93"/>
      <c r="I1295" s="93"/>
      <c r="J1295" s="93"/>
      <c r="K1295" s="93"/>
    </row>
    <row r="1296" spans="4:11" x14ac:dyDescent="0.25">
      <c r="D1296" s="93"/>
      <c r="E1296" s="93"/>
      <c r="F1296" s="93"/>
      <c r="G1296" s="93"/>
      <c r="H1296" s="93"/>
      <c r="I1296" s="93"/>
      <c r="J1296" s="93"/>
      <c r="K1296" s="93"/>
    </row>
    <row r="1297" spans="4:11" x14ac:dyDescent="0.25">
      <c r="D1297" s="93"/>
      <c r="E1297" s="93"/>
      <c r="F1297" s="93"/>
      <c r="G1297" s="93"/>
      <c r="H1297" s="93"/>
      <c r="I1297" s="93"/>
      <c r="J1297" s="93"/>
      <c r="K1297" s="93"/>
    </row>
    <row r="1298" spans="4:11" x14ac:dyDescent="0.25">
      <c r="D1298" s="93"/>
      <c r="E1298" s="93"/>
      <c r="F1298" s="93"/>
      <c r="G1298" s="93"/>
      <c r="H1298" s="93"/>
      <c r="I1298" s="93"/>
      <c r="J1298" s="93"/>
      <c r="K1298" s="93"/>
    </row>
    <row r="1299" spans="4:11" x14ac:dyDescent="0.25">
      <c r="D1299" s="93"/>
      <c r="E1299" s="93"/>
      <c r="F1299" s="93"/>
      <c r="G1299" s="93"/>
      <c r="H1299" s="93"/>
      <c r="I1299" s="93"/>
      <c r="J1299" s="93"/>
      <c r="K1299" s="93"/>
    </row>
    <row r="1300" spans="4:11" x14ac:dyDescent="0.25">
      <c r="D1300" s="93"/>
      <c r="E1300" s="93"/>
      <c r="F1300" s="93"/>
      <c r="G1300" s="93"/>
      <c r="H1300" s="93"/>
      <c r="I1300" s="93"/>
      <c r="J1300" s="93"/>
      <c r="K1300" s="93"/>
    </row>
    <row r="1301" spans="4:11" x14ac:dyDescent="0.25">
      <c r="D1301" s="93"/>
      <c r="E1301" s="93"/>
      <c r="F1301" s="93"/>
      <c r="G1301" s="93"/>
      <c r="H1301" s="93"/>
      <c r="I1301" s="93"/>
      <c r="J1301" s="93"/>
      <c r="K1301" s="93"/>
    </row>
    <row r="1302" spans="4:11" x14ac:dyDescent="0.25">
      <c r="D1302" s="93"/>
      <c r="E1302" s="93"/>
      <c r="F1302" s="93"/>
      <c r="G1302" s="93"/>
      <c r="H1302" s="93"/>
      <c r="I1302" s="93"/>
      <c r="J1302" s="93"/>
      <c r="K1302" s="93"/>
    </row>
    <row r="1303" spans="4:11" x14ac:dyDescent="0.25">
      <c r="D1303" s="93"/>
      <c r="E1303" s="93"/>
      <c r="F1303" s="93"/>
      <c r="G1303" s="93"/>
      <c r="H1303" s="93"/>
      <c r="I1303" s="93"/>
      <c r="J1303" s="93"/>
      <c r="K1303" s="93"/>
    </row>
    <row r="1304" spans="4:11" x14ac:dyDescent="0.25">
      <c r="D1304" s="93"/>
      <c r="E1304" s="93"/>
      <c r="F1304" s="93"/>
      <c r="G1304" s="93"/>
      <c r="H1304" s="93"/>
      <c r="I1304" s="93"/>
      <c r="J1304" s="93"/>
      <c r="K1304" s="93"/>
    </row>
    <row r="1305" spans="4:11" x14ac:dyDescent="0.25">
      <c r="D1305" s="93"/>
      <c r="E1305" s="93"/>
      <c r="F1305" s="93"/>
      <c r="G1305" s="93"/>
      <c r="H1305" s="93"/>
      <c r="I1305" s="93"/>
      <c r="J1305" s="93"/>
      <c r="K1305" s="93"/>
    </row>
    <row r="1306" spans="4:11" x14ac:dyDescent="0.25">
      <c r="D1306" s="93"/>
      <c r="E1306" s="93"/>
      <c r="F1306" s="93"/>
      <c r="G1306" s="93"/>
      <c r="H1306" s="93"/>
      <c r="I1306" s="93"/>
      <c r="J1306" s="93"/>
      <c r="K1306" s="93"/>
    </row>
    <row r="1307" spans="4:11" x14ac:dyDescent="0.25">
      <c r="D1307" s="93"/>
      <c r="E1307" s="93"/>
      <c r="F1307" s="93"/>
      <c r="G1307" s="93"/>
      <c r="H1307" s="93"/>
      <c r="I1307" s="93"/>
      <c r="J1307" s="93"/>
      <c r="K1307" s="93"/>
    </row>
    <row r="1308" spans="4:11" x14ac:dyDescent="0.25">
      <c r="D1308" s="93"/>
      <c r="E1308" s="93"/>
      <c r="F1308" s="93"/>
      <c r="G1308" s="93"/>
      <c r="H1308" s="93"/>
      <c r="I1308" s="93"/>
      <c r="J1308" s="93"/>
      <c r="K1308" s="93"/>
    </row>
    <row r="1309" spans="4:11" x14ac:dyDescent="0.25">
      <c r="D1309" s="93"/>
      <c r="E1309" s="93"/>
      <c r="F1309" s="93"/>
      <c r="G1309" s="93"/>
      <c r="H1309" s="93"/>
      <c r="I1309" s="93"/>
      <c r="J1309" s="93"/>
      <c r="K1309" s="93"/>
    </row>
    <row r="1310" spans="4:11" x14ac:dyDescent="0.25">
      <c r="D1310" s="93"/>
      <c r="E1310" s="93"/>
      <c r="F1310" s="93"/>
      <c r="G1310" s="93"/>
      <c r="H1310" s="93"/>
      <c r="I1310" s="93"/>
      <c r="J1310" s="93"/>
      <c r="K1310" s="93"/>
    </row>
    <row r="1311" spans="4:11" x14ac:dyDescent="0.25">
      <c r="D1311" s="93"/>
      <c r="E1311" s="93"/>
      <c r="F1311" s="93"/>
      <c r="G1311" s="93"/>
      <c r="H1311" s="93"/>
      <c r="I1311" s="93"/>
      <c r="J1311" s="93"/>
      <c r="K1311" s="93"/>
    </row>
    <row r="1312" spans="4:11" x14ac:dyDescent="0.25">
      <c r="D1312" s="93"/>
      <c r="E1312" s="93"/>
      <c r="F1312" s="93"/>
      <c r="G1312" s="93"/>
      <c r="H1312" s="93"/>
      <c r="I1312" s="93"/>
      <c r="J1312" s="93"/>
      <c r="K1312" s="93"/>
    </row>
    <row r="1313" spans="4:11" x14ac:dyDescent="0.25">
      <c r="D1313" s="93"/>
      <c r="E1313" s="93"/>
      <c r="F1313" s="93"/>
      <c r="G1313" s="93"/>
      <c r="H1313" s="93"/>
      <c r="I1313" s="93"/>
      <c r="J1313" s="93"/>
      <c r="K1313" s="93"/>
    </row>
    <row r="1314" spans="4:11" x14ac:dyDescent="0.25">
      <c r="D1314" s="93"/>
      <c r="E1314" s="93"/>
      <c r="F1314" s="93"/>
      <c r="G1314" s="93"/>
      <c r="H1314" s="93"/>
      <c r="I1314" s="93"/>
      <c r="J1314" s="93"/>
      <c r="K1314" s="93"/>
    </row>
    <row r="1315" spans="4:11" x14ac:dyDescent="0.25">
      <c r="D1315" s="93"/>
      <c r="E1315" s="93"/>
      <c r="F1315" s="93"/>
      <c r="G1315" s="93"/>
      <c r="H1315" s="93"/>
      <c r="I1315" s="93"/>
      <c r="J1315" s="93"/>
      <c r="K1315" s="93"/>
    </row>
    <row r="1316" spans="4:11" x14ac:dyDescent="0.25">
      <c r="D1316" s="93"/>
      <c r="E1316" s="93"/>
      <c r="F1316" s="93"/>
      <c r="G1316" s="93"/>
      <c r="H1316" s="93"/>
      <c r="I1316" s="93"/>
      <c r="J1316" s="93"/>
      <c r="K1316" s="93"/>
    </row>
    <row r="1317" spans="4:11" x14ac:dyDescent="0.25">
      <c r="D1317" s="93"/>
      <c r="E1317" s="93"/>
      <c r="F1317" s="93"/>
      <c r="G1317" s="93"/>
      <c r="H1317" s="93"/>
      <c r="I1317" s="93"/>
      <c r="J1317" s="93"/>
      <c r="K1317" s="93"/>
    </row>
    <row r="1318" spans="4:11" x14ac:dyDescent="0.25">
      <c r="D1318" s="93"/>
      <c r="E1318" s="93"/>
      <c r="F1318" s="93"/>
      <c r="G1318" s="93"/>
      <c r="H1318" s="93"/>
      <c r="I1318" s="93"/>
      <c r="J1318" s="93"/>
      <c r="K1318" s="93"/>
    </row>
    <row r="1319" spans="4:11" x14ac:dyDescent="0.25">
      <c r="D1319" s="93"/>
      <c r="E1319" s="93"/>
      <c r="F1319" s="93"/>
      <c r="G1319" s="93"/>
      <c r="H1319" s="93"/>
      <c r="I1319" s="93"/>
      <c r="J1319" s="93"/>
      <c r="K1319" s="93"/>
    </row>
    <row r="1320" spans="4:11" x14ac:dyDescent="0.25">
      <c r="D1320" s="93"/>
      <c r="E1320" s="93"/>
      <c r="F1320" s="93"/>
      <c r="G1320" s="93"/>
      <c r="H1320" s="93"/>
      <c r="I1320" s="93"/>
      <c r="J1320" s="93"/>
      <c r="K1320" s="93"/>
    </row>
    <row r="1321" spans="4:11" x14ac:dyDescent="0.25">
      <c r="D1321" s="93"/>
      <c r="E1321" s="93"/>
      <c r="F1321" s="93"/>
      <c r="G1321" s="93"/>
      <c r="H1321" s="93"/>
      <c r="I1321" s="93"/>
      <c r="J1321" s="93"/>
      <c r="K1321" s="93"/>
    </row>
    <row r="1322" spans="4:11" x14ac:dyDescent="0.25">
      <c r="D1322" s="93"/>
      <c r="E1322" s="93"/>
      <c r="F1322" s="93"/>
      <c r="G1322" s="93"/>
      <c r="H1322" s="93"/>
      <c r="I1322" s="93"/>
      <c r="J1322" s="93"/>
      <c r="K1322" s="93"/>
    </row>
    <row r="1323" spans="4:11" x14ac:dyDescent="0.25">
      <c r="D1323" s="93"/>
      <c r="E1323" s="93"/>
      <c r="F1323" s="93"/>
      <c r="G1323" s="93"/>
      <c r="H1323" s="93"/>
      <c r="I1323" s="93"/>
      <c r="J1323" s="93"/>
      <c r="K1323" s="93"/>
    </row>
    <row r="1324" spans="4:11" x14ac:dyDescent="0.25">
      <c r="D1324" s="93"/>
      <c r="E1324" s="93"/>
      <c r="F1324" s="93"/>
      <c r="G1324" s="93"/>
      <c r="H1324" s="93"/>
      <c r="I1324" s="93"/>
      <c r="J1324" s="93"/>
      <c r="K1324" s="93"/>
    </row>
    <row r="1325" spans="4:11" x14ac:dyDescent="0.25">
      <c r="D1325" s="93"/>
      <c r="E1325" s="93"/>
      <c r="F1325" s="93"/>
      <c r="G1325" s="93"/>
      <c r="H1325" s="93"/>
      <c r="I1325" s="93"/>
      <c r="J1325" s="93"/>
      <c r="K1325" s="93"/>
    </row>
    <row r="1326" spans="4:11" x14ac:dyDescent="0.25">
      <c r="D1326" s="93"/>
      <c r="E1326" s="93"/>
      <c r="F1326" s="93"/>
      <c r="G1326" s="93"/>
      <c r="H1326" s="93"/>
      <c r="I1326" s="93"/>
      <c r="J1326" s="93"/>
      <c r="K1326" s="93"/>
    </row>
    <row r="1327" spans="4:11" x14ac:dyDescent="0.25">
      <c r="D1327" s="93"/>
      <c r="E1327" s="93"/>
      <c r="F1327" s="93"/>
      <c r="G1327" s="93"/>
      <c r="H1327" s="93"/>
      <c r="I1327" s="93"/>
      <c r="J1327" s="93"/>
      <c r="K1327" s="93"/>
    </row>
    <row r="1328" spans="4:11" x14ac:dyDescent="0.25">
      <c r="D1328" s="93"/>
      <c r="E1328" s="93"/>
      <c r="F1328" s="93"/>
      <c r="G1328" s="93"/>
      <c r="H1328" s="93"/>
      <c r="I1328" s="93"/>
      <c r="J1328" s="93"/>
      <c r="K1328" s="93"/>
    </row>
    <row r="1329" spans="4:11" x14ac:dyDescent="0.25">
      <c r="D1329" s="93"/>
      <c r="E1329" s="93"/>
      <c r="F1329" s="93"/>
      <c r="G1329" s="93"/>
      <c r="H1329" s="93"/>
      <c r="I1329" s="93"/>
      <c r="J1329" s="93"/>
      <c r="K1329" s="93"/>
    </row>
    <row r="1330" spans="4:11" x14ac:dyDescent="0.25">
      <c r="D1330" s="93"/>
      <c r="E1330" s="93"/>
      <c r="F1330" s="93"/>
      <c r="G1330" s="93"/>
      <c r="H1330" s="93"/>
      <c r="I1330" s="93"/>
      <c r="J1330" s="93"/>
      <c r="K1330" s="93"/>
    </row>
    <row r="1331" spans="4:11" x14ac:dyDescent="0.25">
      <c r="D1331" s="93"/>
      <c r="E1331" s="93"/>
      <c r="F1331" s="93"/>
      <c r="G1331" s="93"/>
      <c r="H1331" s="93"/>
      <c r="I1331" s="93"/>
      <c r="J1331" s="93"/>
      <c r="K1331" s="93"/>
    </row>
    <row r="1332" spans="4:11" x14ac:dyDescent="0.25">
      <c r="D1332" s="93"/>
      <c r="E1332" s="93"/>
      <c r="F1332" s="93"/>
      <c r="G1332" s="93"/>
      <c r="H1332" s="93"/>
      <c r="I1332" s="93"/>
      <c r="J1332" s="93"/>
      <c r="K1332" s="93"/>
    </row>
    <row r="1333" spans="4:11" x14ac:dyDescent="0.25">
      <c r="D1333" s="93"/>
      <c r="E1333" s="93"/>
      <c r="F1333" s="93"/>
      <c r="G1333" s="93"/>
      <c r="H1333" s="93"/>
      <c r="I1333" s="93"/>
      <c r="J1333" s="93"/>
      <c r="K1333" s="93"/>
    </row>
    <row r="1334" spans="4:11" x14ac:dyDescent="0.25">
      <c r="D1334" s="93"/>
      <c r="E1334" s="93"/>
      <c r="F1334" s="93"/>
      <c r="G1334" s="93"/>
      <c r="H1334" s="93"/>
      <c r="I1334" s="93"/>
      <c r="J1334" s="93"/>
      <c r="K1334" s="93"/>
    </row>
    <row r="1335" spans="4:11" x14ac:dyDescent="0.25">
      <c r="D1335" s="93"/>
      <c r="E1335" s="93"/>
      <c r="F1335" s="93"/>
      <c r="G1335" s="93"/>
      <c r="H1335" s="93"/>
      <c r="I1335" s="93"/>
      <c r="J1335" s="93"/>
      <c r="K1335" s="93"/>
    </row>
    <row r="1336" spans="4:11" x14ac:dyDescent="0.25">
      <c r="D1336" s="93"/>
      <c r="E1336" s="93"/>
      <c r="F1336" s="93"/>
      <c r="G1336" s="93"/>
      <c r="H1336" s="93"/>
      <c r="I1336" s="93"/>
      <c r="J1336" s="93"/>
      <c r="K1336" s="93"/>
    </row>
    <row r="1337" spans="4:11" x14ac:dyDescent="0.25">
      <c r="D1337" s="93"/>
      <c r="E1337" s="93"/>
      <c r="F1337" s="93"/>
      <c r="G1337" s="93"/>
      <c r="H1337" s="93"/>
      <c r="I1337" s="93"/>
      <c r="J1337" s="93"/>
      <c r="K1337" s="93"/>
    </row>
    <row r="1338" spans="4:11" x14ac:dyDescent="0.25">
      <c r="D1338" s="93"/>
      <c r="E1338" s="93"/>
      <c r="F1338" s="93"/>
      <c r="G1338" s="93"/>
      <c r="H1338" s="93"/>
      <c r="I1338" s="93"/>
      <c r="J1338" s="93"/>
      <c r="K1338" s="93"/>
    </row>
    <row r="1339" spans="4:11" x14ac:dyDescent="0.25">
      <c r="D1339" s="93"/>
      <c r="E1339" s="93"/>
      <c r="F1339" s="93"/>
      <c r="G1339" s="93"/>
      <c r="H1339" s="93"/>
      <c r="I1339" s="93"/>
      <c r="J1339" s="93"/>
      <c r="K1339" s="93"/>
    </row>
    <row r="1340" spans="4:11" x14ac:dyDescent="0.25">
      <c r="D1340" s="93"/>
      <c r="E1340" s="93"/>
      <c r="F1340" s="93"/>
      <c r="G1340" s="93"/>
      <c r="H1340" s="93"/>
      <c r="I1340" s="93"/>
      <c r="J1340" s="93"/>
      <c r="K1340" s="93"/>
    </row>
    <row r="1341" spans="4:11" x14ac:dyDescent="0.25">
      <c r="D1341" s="93"/>
      <c r="E1341" s="93"/>
      <c r="F1341" s="93"/>
      <c r="G1341" s="93"/>
      <c r="H1341" s="93"/>
      <c r="I1341" s="93"/>
      <c r="J1341" s="93"/>
      <c r="K1341" s="93"/>
    </row>
    <row r="1342" spans="4:11" x14ac:dyDescent="0.25">
      <c r="D1342" s="93"/>
      <c r="E1342" s="93"/>
      <c r="F1342" s="93"/>
      <c r="G1342" s="93"/>
      <c r="H1342" s="93"/>
      <c r="I1342" s="93"/>
      <c r="J1342" s="93"/>
      <c r="K1342" s="93"/>
    </row>
    <row r="1343" spans="4:11" x14ac:dyDescent="0.25">
      <c r="D1343" s="93"/>
      <c r="E1343" s="93"/>
      <c r="F1343" s="93"/>
      <c r="G1343" s="93"/>
      <c r="H1343" s="93"/>
      <c r="I1343" s="93"/>
      <c r="J1343" s="93"/>
      <c r="K1343" s="93"/>
    </row>
    <row r="1344" spans="4:11" x14ac:dyDescent="0.25">
      <c r="D1344" s="93"/>
      <c r="E1344" s="93"/>
      <c r="F1344" s="93"/>
      <c r="G1344" s="93"/>
      <c r="H1344" s="93"/>
      <c r="I1344" s="93"/>
      <c r="J1344" s="93"/>
      <c r="K1344" s="93"/>
    </row>
    <row r="1345" spans="4:11" x14ac:dyDescent="0.25">
      <c r="D1345" s="93"/>
      <c r="E1345" s="93"/>
      <c r="F1345" s="93"/>
      <c r="G1345" s="93"/>
      <c r="H1345" s="93"/>
      <c r="I1345" s="93"/>
      <c r="J1345" s="93"/>
      <c r="K1345" s="93"/>
    </row>
    <row r="1346" spans="4:11" x14ac:dyDescent="0.25">
      <c r="D1346" s="93"/>
      <c r="E1346" s="93"/>
      <c r="F1346" s="93"/>
      <c r="G1346" s="93"/>
      <c r="H1346" s="93"/>
      <c r="I1346" s="93"/>
      <c r="J1346" s="93"/>
      <c r="K1346" s="93"/>
    </row>
    <row r="1347" spans="4:11" x14ac:dyDescent="0.25">
      <c r="D1347" s="93"/>
      <c r="E1347" s="93"/>
      <c r="F1347" s="93"/>
      <c r="G1347" s="93"/>
      <c r="H1347" s="93"/>
      <c r="I1347" s="93"/>
      <c r="J1347" s="93"/>
      <c r="K1347" s="93"/>
    </row>
    <row r="1348" spans="4:11" x14ac:dyDescent="0.25">
      <c r="D1348" s="93"/>
      <c r="E1348" s="93"/>
      <c r="F1348" s="93"/>
      <c r="G1348" s="93"/>
      <c r="H1348" s="93"/>
      <c r="I1348" s="93"/>
      <c r="J1348" s="93"/>
      <c r="K1348" s="93"/>
    </row>
    <row r="1349" spans="4:11" x14ac:dyDescent="0.25">
      <c r="D1349" s="93"/>
      <c r="E1349" s="93"/>
      <c r="F1349" s="93"/>
      <c r="G1349" s="93"/>
      <c r="H1349" s="93"/>
      <c r="I1349" s="93"/>
      <c r="J1349" s="93"/>
      <c r="K1349" s="93"/>
    </row>
    <row r="1350" spans="4:11" x14ac:dyDescent="0.25">
      <c r="D1350" s="93"/>
      <c r="E1350" s="93"/>
      <c r="F1350" s="93"/>
      <c r="G1350" s="93"/>
      <c r="H1350" s="93"/>
      <c r="I1350" s="93"/>
      <c r="J1350" s="93"/>
      <c r="K1350" s="93"/>
    </row>
    <row r="1351" spans="4:11" x14ac:dyDescent="0.25">
      <c r="D1351" s="93"/>
      <c r="E1351" s="93"/>
      <c r="F1351" s="93"/>
      <c r="G1351" s="93"/>
      <c r="H1351" s="93"/>
      <c r="I1351" s="93"/>
      <c r="J1351" s="93"/>
      <c r="K1351" s="93"/>
    </row>
    <row r="1352" spans="4:11" x14ac:dyDescent="0.25">
      <c r="D1352" s="93"/>
      <c r="E1352" s="93"/>
      <c r="F1352" s="93"/>
      <c r="G1352" s="93"/>
      <c r="H1352" s="93"/>
      <c r="I1352" s="93"/>
      <c r="J1352" s="93"/>
      <c r="K1352" s="93"/>
    </row>
    <row r="1353" spans="4:11" x14ac:dyDescent="0.25">
      <c r="D1353" s="93"/>
      <c r="E1353" s="93"/>
      <c r="F1353" s="93"/>
      <c r="G1353" s="93"/>
      <c r="H1353" s="93"/>
      <c r="I1353" s="93"/>
      <c r="J1353" s="93"/>
      <c r="K1353" s="93"/>
    </row>
    <row r="1354" spans="4:11" x14ac:dyDescent="0.25">
      <c r="D1354" s="93"/>
      <c r="E1354" s="93"/>
      <c r="F1354" s="93"/>
      <c r="G1354" s="93"/>
      <c r="H1354" s="93"/>
      <c r="I1354" s="93"/>
      <c r="J1354" s="93"/>
      <c r="K1354" s="93"/>
    </row>
    <row r="1355" spans="4:11" x14ac:dyDescent="0.25">
      <c r="D1355" s="93"/>
      <c r="E1355" s="93"/>
      <c r="F1355" s="93"/>
      <c r="G1355" s="93"/>
      <c r="H1355" s="93"/>
      <c r="I1355" s="93"/>
      <c r="J1355" s="93"/>
      <c r="K1355" s="93"/>
    </row>
    <row r="1356" spans="4:11" x14ac:dyDescent="0.25">
      <c r="D1356" s="93"/>
      <c r="E1356" s="93"/>
      <c r="F1356" s="93"/>
      <c r="G1356" s="93"/>
      <c r="H1356" s="93"/>
      <c r="I1356" s="93"/>
      <c r="J1356" s="93"/>
      <c r="K1356" s="93"/>
    </row>
    <row r="1357" spans="4:11" x14ac:dyDescent="0.25">
      <c r="D1357" s="93"/>
      <c r="E1357" s="93"/>
      <c r="F1357" s="93"/>
      <c r="G1357" s="93"/>
      <c r="H1357" s="93"/>
      <c r="I1357" s="93"/>
      <c r="J1357" s="93"/>
      <c r="K1357" s="93"/>
    </row>
    <row r="1358" spans="4:11" x14ac:dyDescent="0.25">
      <c r="D1358" s="93"/>
      <c r="E1358" s="93"/>
      <c r="F1358" s="93"/>
      <c r="G1358" s="93"/>
      <c r="H1358" s="93"/>
      <c r="I1358" s="93"/>
      <c r="J1358" s="93"/>
      <c r="K1358" s="93"/>
    </row>
    <row r="1359" spans="4:11" x14ac:dyDescent="0.25">
      <c r="D1359" s="93"/>
      <c r="E1359" s="93"/>
      <c r="F1359" s="93"/>
      <c r="G1359" s="93"/>
      <c r="H1359" s="93"/>
      <c r="I1359" s="93"/>
      <c r="J1359" s="93"/>
      <c r="K1359" s="93"/>
    </row>
    <row r="1360" spans="4:11" x14ac:dyDescent="0.25">
      <c r="D1360" s="93"/>
      <c r="E1360" s="93"/>
      <c r="F1360" s="93"/>
      <c r="G1360" s="93"/>
      <c r="H1360" s="93"/>
      <c r="I1360" s="93"/>
      <c r="J1360" s="93"/>
      <c r="K1360" s="93"/>
    </row>
    <row r="1361" spans="4:11" x14ac:dyDescent="0.25">
      <c r="D1361" s="93"/>
      <c r="E1361" s="93"/>
      <c r="F1361" s="93"/>
      <c r="G1361" s="93"/>
      <c r="H1361" s="93"/>
      <c r="I1361" s="93"/>
      <c r="J1361" s="93"/>
      <c r="K1361" s="93"/>
    </row>
    <row r="1362" spans="4:11" x14ac:dyDescent="0.25">
      <c r="D1362" s="93"/>
      <c r="E1362" s="93"/>
      <c r="F1362" s="93"/>
      <c r="G1362" s="93"/>
      <c r="H1362" s="93"/>
      <c r="I1362" s="93"/>
      <c r="J1362" s="93"/>
      <c r="K1362" s="93"/>
    </row>
    <row r="1363" spans="4:11" x14ac:dyDescent="0.25">
      <c r="D1363" s="93"/>
      <c r="E1363" s="93"/>
      <c r="F1363" s="93"/>
      <c r="G1363" s="93"/>
      <c r="H1363" s="93"/>
      <c r="I1363" s="93"/>
      <c r="J1363" s="93"/>
      <c r="K1363" s="93"/>
    </row>
    <row r="1364" spans="4:11" x14ac:dyDescent="0.25">
      <c r="D1364" s="93"/>
      <c r="E1364" s="93"/>
      <c r="F1364" s="93"/>
      <c r="G1364" s="93"/>
      <c r="H1364" s="93"/>
      <c r="I1364" s="93"/>
      <c r="J1364" s="93"/>
      <c r="K1364" s="93"/>
    </row>
    <row r="1365" spans="4:11" x14ac:dyDescent="0.25">
      <c r="D1365" s="93"/>
      <c r="E1365" s="93"/>
      <c r="F1365" s="93"/>
      <c r="G1365" s="93"/>
      <c r="H1365" s="93"/>
      <c r="I1365" s="93"/>
      <c r="J1365" s="93"/>
      <c r="K1365" s="93"/>
    </row>
    <row r="1366" spans="4:11" x14ac:dyDescent="0.25">
      <c r="D1366" s="93"/>
      <c r="E1366" s="93"/>
      <c r="F1366" s="93"/>
      <c r="G1366" s="93"/>
      <c r="H1366" s="93"/>
      <c r="I1366" s="93"/>
      <c r="J1366" s="93"/>
      <c r="K1366" s="93"/>
    </row>
    <row r="1367" spans="4:11" x14ac:dyDescent="0.25">
      <c r="D1367" s="93"/>
      <c r="E1367" s="93"/>
      <c r="F1367" s="93"/>
      <c r="G1367" s="93"/>
      <c r="H1367" s="93"/>
      <c r="I1367" s="93"/>
      <c r="J1367" s="93"/>
      <c r="K1367" s="93"/>
    </row>
    <row r="1368" spans="4:11" x14ac:dyDescent="0.25">
      <c r="D1368" s="93"/>
      <c r="E1368" s="93"/>
      <c r="F1368" s="93"/>
      <c r="G1368" s="93"/>
      <c r="H1368" s="93"/>
      <c r="I1368" s="93"/>
      <c r="J1368" s="93"/>
      <c r="K1368" s="93"/>
    </row>
    <row r="1369" spans="4:11" x14ac:dyDescent="0.25">
      <c r="D1369" s="93"/>
      <c r="E1369" s="93"/>
      <c r="F1369" s="93"/>
      <c r="G1369" s="93"/>
      <c r="H1369" s="93"/>
      <c r="I1369" s="93"/>
      <c r="J1369" s="93"/>
      <c r="K1369" s="93"/>
    </row>
    <row r="1370" spans="4:11" x14ac:dyDescent="0.25">
      <c r="D1370" s="93"/>
      <c r="E1370" s="93"/>
      <c r="F1370" s="93"/>
      <c r="G1370" s="93"/>
      <c r="H1370" s="93"/>
      <c r="I1370" s="93"/>
      <c r="J1370" s="93"/>
      <c r="K1370" s="93"/>
    </row>
    <row r="1371" spans="4:11" x14ac:dyDescent="0.25">
      <c r="D1371" s="93"/>
      <c r="E1371" s="93"/>
      <c r="F1371" s="93"/>
      <c r="G1371" s="93"/>
      <c r="H1371" s="93"/>
      <c r="I1371" s="93"/>
      <c r="J1371" s="93"/>
      <c r="K1371" s="93"/>
    </row>
    <row r="1372" spans="4:11" x14ac:dyDescent="0.25">
      <c r="D1372" s="93"/>
      <c r="E1372" s="93"/>
      <c r="F1372" s="93"/>
      <c r="G1372" s="93"/>
      <c r="H1372" s="93"/>
      <c r="I1372" s="93"/>
      <c r="J1372" s="93"/>
      <c r="K1372" s="93"/>
    </row>
    <row r="1373" spans="4:11" x14ac:dyDescent="0.25">
      <c r="D1373" s="93"/>
      <c r="E1373" s="93"/>
      <c r="F1373" s="93"/>
      <c r="G1373" s="93"/>
      <c r="H1373" s="93"/>
      <c r="I1373" s="93"/>
      <c r="J1373" s="93"/>
      <c r="K1373" s="93"/>
    </row>
    <row r="1374" spans="4:11" x14ac:dyDescent="0.25">
      <c r="D1374" s="93"/>
      <c r="E1374" s="93"/>
      <c r="F1374" s="93"/>
      <c r="G1374" s="93"/>
      <c r="H1374" s="93"/>
      <c r="I1374" s="93"/>
      <c r="J1374" s="93"/>
      <c r="K1374" s="93"/>
    </row>
    <row r="1375" spans="4:11" x14ac:dyDescent="0.25">
      <c r="D1375" s="93"/>
      <c r="E1375" s="93"/>
      <c r="F1375" s="93"/>
      <c r="G1375" s="93"/>
      <c r="H1375" s="93"/>
      <c r="I1375" s="93"/>
      <c r="J1375" s="93"/>
      <c r="K1375" s="93"/>
    </row>
    <row r="1376" spans="4:11" x14ac:dyDescent="0.25">
      <c r="D1376" s="93"/>
      <c r="E1376" s="93"/>
      <c r="F1376" s="93"/>
      <c r="G1376" s="93"/>
      <c r="H1376" s="93"/>
      <c r="I1376" s="93"/>
      <c r="J1376" s="93"/>
      <c r="K1376" s="93"/>
    </row>
    <row r="1377" spans="4:11" x14ac:dyDescent="0.25">
      <c r="D1377" s="93"/>
      <c r="E1377" s="93"/>
      <c r="F1377" s="93"/>
      <c r="G1377" s="93"/>
      <c r="H1377" s="93"/>
      <c r="I1377" s="93"/>
      <c r="J1377" s="93"/>
      <c r="K1377" s="93"/>
    </row>
    <row r="1378" spans="4:11" x14ac:dyDescent="0.25">
      <c r="D1378" s="93"/>
      <c r="E1378" s="93"/>
      <c r="F1378" s="93"/>
      <c r="G1378" s="93"/>
      <c r="H1378" s="93"/>
      <c r="I1378" s="93"/>
      <c r="J1378" s="93"/>
      <c r="K1378" s="93"/>
    </row>
    <row r="1379" spans="4:11" x14ac:dyDescent="0.25">
      <c r="D1379" s="93"/>
      <c r="E1379" s="93"/>
      <c r="F1379" s="93"/>
      <c r="G1379" s="93"/>
      <c r="H1379" s="93"/>
      <c r="I1379" s="93"/>
      <c r="J1379" s="93"/>
      <c r="K1379" s="93"/>
    </row>
    <row r="1380" spans="4:11" x14ac:dyDescent="0.25">
      <c r="D1380" s="93"/>
      <c r="E1380" s="93"/>
      <c r="F1380" s="93"/>
      <c r="G1380" s="93"/>
      <c r="H1380" s="93"/>
      <c r="I1380" s="93"/>
      <c r="J1380" s="93"/>
      <c r="K1380" s="93"/>
    </row>
    <row r="1381" spans="4:11" x14ac:dyDescent="0.25">
      <c r="D1381" s="93"/>
      <c r="E1381" s="93"/>
      <c r="F1381" s="93"/>
      <c r="G1381" s="93"/>
      <c r="H1381" s="93"/>
      <c r="I1381" s="93"/>
      <c r="J1381" s="93"/>
      <c r="K1381" s="93"/>
    </row>
    <row r="1382" spans="4:11" x14ac:dyDescent="0.25">
      <c r="D1382" s="93"/>
      <c r="E1382" s="93"/>
      <c r="F1382" s="93"/>
      <c r="G1382" s="93"/>
      <c r="H1382" s="93"/>
      <c r="I1382" s="93"/>
      <c r="J1382" s="93"/>
      <c r="K1382" s="93"/>
    </row>
    <row r="1383" spans="4:11" x14ac:dyDescent="0.25">
      <c r="D1383" s="93"/>
      <c r="E1383" s="93"/>
      <c r="F1383" s="93"/>
      <c r="G1383" s="93"/>
      <c r="H1383" s="93"/>
      <c r="I1383" s="93"/>
      <c r="J1383" s="93"/>
      <c r="K1383" s="93"/>
    </row>
    <row r="1384" spans="4:11" x14ac:dyDescent="0.25">
      <c r="D1384" s="93"/>
      <c r="E1384" s="93"/>
      <c r="F1384" s="93"/>
      <c r="G1384" s="93"/>
      <c r="H1384" s="93"/>
      <c r="I1384" s="93"/>
      <c r="J1384" s="93"/>
      <c r="K1384" s="93"/>
    </row>
    <row r="1385" spans="4:11" x14ac:dyDescent="0.25">
      <c r="D1385" s="93"/>
      <c r="E1385" s="93"/>
      <c r="F1385" s="93"/>
      <c r="G1385" s="93"/>
      <c r="H1385" s="93"/>
      <c r="I1385" s="93"/>
      <c r="J1385" s="93"/>
      <c r="K1385" s="93"/>
    </row>
    <row r="1386" spans="4:11" x14ac:dyDescent="0.25">
      <c r="D1386" s="93"/>
      <c r="E1386" s="93"/>
      <c r="F1386" s="93"/>
      <c r="G1386" s="93"/>
      <c r="H1386" s="93"/>
      <c r="I1386" s="93"/>
      <c r="J1386" s="93"/>
      <c r="K1386" s="93"/>
    </row>
    <row r="1387" spans="4:11" x14ac:dyDescent="0.25">
      <c r="D1387" s="93"/>
      <c r="E1387" s="93"/>
      <c r="F1387" s="93"/>
      <c r="G1387" s="93"/>
      <c r="H1387" s="93"/>
      <c r="I1387" s="93"/>
      <c r="J1387" s="93"/>
      <c r="K1387" s="93"/>
    </row>
    <row r="1388" spans="4:11" x14ac:dyDescent="0.25">
      <c r="D1388" s="93"/>
      <c r="E1388" s="93"/>
      <c r="F1388" s="93"/>
      <c r="G1388" s="93"/>
      <c r="H1388" s="93"/>
      <c r="I1388" s="93"/>
      <c r="J1388" s="93"/>
      <c r="K1388" s="93"/>
    </row>
    <row r="1389" spans="4:11" x14ac:dyDescent="0.25">
      <c r="D1389" s="93"/>
      <c r="E1389" s="93"/>
      <c r="F1389" s="93"/>
      <c r="G1389" s="93"/>
      <c r="H1389" s="93"/>
      <c r="I1389" s="93"/>
      <c r="J1389" s="93"/>
      <c r="K1389" s="93"/>
    </row>
    <row r="1390" spans="4:11" x14ac:dyDescent="0.25">
      <c r="D1390" s="93"/>
      <c r="E1390" s="93"/>
      <c r="F1390" s="93"/>
      <c r="G1390" s="93"/>
      <c r="H1390" s="93"/>
      <c r="I1390" s="93"/>
      <c r="J1390" s="93"/>
      <c r="K1390" s="93"/>
    </row>
    <row r="1391" spans="4:11" x14ac:dyDescent="0.25">
      <c r="D1391" s="93"/>
      <c r="E1391" s="93"/>
      <c r="F1391" s="93"/>
      <c r="G1391" s="93"/>
      <c r="H1391" s="93"/>
      <c r="I1391" s="93"/>
      <c r="J1391" s="93"/>
      <c r="K1391" s="93"/>
    </row>
    <row r="1392" spans="4:11" x14ac:dyDescent="0.25">
      <c r="D1392" s="93"/>
      <c r="E1392" s="93"/>
      <c r="F1392" s="93"/>
      <c r="G1392" s="93"/>
      <c r="H1392" s="93"/>
      <c r="I1392" s="93"/>
      <c r="J1392" s="93"/>
      <c r="K1392" s="93"/>
    </row>
    <row r="1393" spans="4:11" x14ac:dyDescent="0.25">
      <c r="D1393" s="93"/>
      <c r="E1393" s="93"/>
      <c r="F1393" s="93"/>
      <c r="G1393" s="93"/>
      <c r="H1393" s="93"/>
      <c r="I1393" s="93"/>
      <c r="J1393" s="93"/>
      <c r="K1393" s="93"/>
    </row>
    <row r="1394" spans="4:11" x14ac:dyDescent="0.25">
      <c r="D1394" s="93"/>
      <c r="E1394" s="93"/>
      <c r="F1394" s="93"/>
      <c r="G1394" s="93"/>
      <c r="H1394" s="93"/>
      <c r="I1394" s="93"/>
      <c r="J1394" s="93"/>
      <c r="K1394" s="93"/>
    </row>
    <row r="1395" spans="4:11" x14ac:dyDescent="0.25">
      <c r="D1395" s="93"/>
      <c r="E1395" s="93"/>
      <c r="F1395" s="93"/>
      <c r="G1395" s="93"/>
      <c r="H1395" s="93"/>
      <c r="I1395" s="93"/>
      <c r="J1395" s="93"/>
      <c r="K1395" s="93"/>
    </row>
    <row r="1396" spans="4:11" x14ac:dyDescent="0.25">
      <c r="D1396" s="93"/>
      <c r="E1396" s="93"/>
      <c r="F1396" s="93"/>
      <c r="G1396" s="93"/>
      <c r="H1396" s="93"/>
      <c r="I1396" s="93"/>
      <c r="J1396" s="93"/>
      <c r="K1396" s="93"/>
    </row>
    <row r="1397" spans="4:11" x14ac:dyDescent="0.25">
      <c r="D1397" s="93"/>
      <c r="E1397" s="93"/>
      <c r="F1397" s="93"/>
      <c r="G1397" s="93"/>
      <c r="H1397" s="93"/>
      <c r="I1397" s="93"/>
      <c r="J1397" s="93"/>
      <c r="K1397" s="93"/>
    </row>
    <row r="1398" spans="4:11" x14ac:dyDescent="0.25">
      <c r="D1398" s="93"/>
      <c r="E1398" s="93"/>
      <c r="F1398" s="93"/>
      <c r="G1398" s="93"/>
      <c r="H1398" s="93"/>
      <c r="I1398" s="93"/>
      <c r="J1398" s="93"/>
      <c r="K1398" s="93"/>
    </row>
    <row r="1399" spans="4:11" x14ac:dyDescent="0.25">
      <c r="D1399" s="93"/>
      <c r="E1399" s="93"/>
      <c r="F1399" s="93"/>
      <c r="G1399" s="93"/>
      <c r="H1399" s="93"/>
      <c r="I1399" s="93"/>
      <c r="J1399" s="93"/>
      <c r="K1399" s="93"/>
    </row>
    <row r="1400" spans="4:11" x14ac:dyDescent="0.25">
      <c r="D1400" s="93"/>
      <c r="E1400" s="93"/>
      <c r="F1400" s="93"/>
      <c r="G1400" s="93"/>
      <c r="H1400" s="93"/>
      <c r="I1400" s="93"/>
      <c r="J1400" s="93"/>
      <c r="K1400" s="93"/>
    </row>
    <row r="1401" spans="4:11" x14ac:dyDescent="0.25">
      <c r="D1401" s="93"/>
      <c r="E1401" s="93"/>
      <c r="F1401" s="93"/>
      <c r="G1401" s="93"/>
      <c r="H1401" s="93"/>
      <c r="I1401" s="93"/>
      <c r="J1401" s="93"/>
      <c r="K1401" s="93"/>
    </row>
    <row r="1402" spans="4:11" x14ac:dyDescent="0.25">
      <c r="D1402" s="93"/>
      <c r="E1402" s="93"/>
      <c r="F1402" s="93"/>
      <c r="G1402" s="93"/>
      <c r="H1402" s="93"/>
      <c r="I1402" s="93"/>
      <c r="J1402" s="93"/>
      <c r="K1402" s="93"/>
    </row>
    <row r="1403" spans="4:11" x14ac:dyDescent="0.25">
      <c r="D1403" s="93"/>
      <c r="E1403" s="93"/>
      <c r="F1403" s="93"/>
      <c r="G1403" s="93"/>
      <c r="H1403" s="93"/>
      <c r="I1403" s="93"/>
      <c r="J1403" s="93"/>
      <c r="K1403" s="93"/>
    </row>
    <row r="1404" spans="4:11" x14ac:dyDescent="0.25">
      <c r="D1404" s="93"/>
      <c r="E1404" s="93"/>
      <c r="F1404" s="93"/>
      <c r="G1404" s="93"/>
      <c r="H1404" s="93"/>
      <c r="I1404" s="93"/>
      <c r="J1404" s="93"/>
      <c r="K1404" s="93"/>
    </row>
    <row r="1405" spans="4:11" x14ac:dyDescent="0.25">
      <c r="D1405" s="93"/>
      <c r="E1405" s="93"/>
      <c r="F1405" s="93"/>
      <c r="G1405" s="93"/>
      <c r="H1405" s="93"/>
      <c r="I1405" s="93"/>
      <c r="J1405" s="93"/>
      <c r="K1405" s="93"/>
    </row>
    <row r="1406" spans="4:11" x14ac:dyDescent="0.25">
      <c r="D1406" s="93"/>
      <c r="E1406" s="93"/>
      <c r="F1406" s="93"/>
      <c r="G1406" s="93"/>
      <c r="H1406" s="93"/>
      <c r="I1406" s="93"/>
      <c r="J1406" s="93"/>
      <c r="K1406" s="93"/>
    </row>
    <row r="1407" spans="4:11" x14ac:dyDescent="0.25">
      <c r="D1407" s="93"/>
      <c r="E1407" s="93"/>
      <c r="F1407" s="93"/>
      <c r="G1407" s="93"/>
      <c r="H1407" s="93"/>
      <c r="I1407" s="93"/>
      <c r="J1407" s="93"/>
      <c r="K1407" s="93"/>
    </row>
    <row r="1408" spans="4:11" x14ac:dyDescent="0.25">
      <c r="D1408" s="93"/>
      <c r="E1408" s="93"/>
      <c r="F1408" s="93"/>
      <c r="G1408" s="93"/>
      <c r="H1408" s="93"/>
      <c r="I1408" s="93"/>
      <c r="J1408" s="93"/>
      <c r="K1408" s="93"/>
    </row>
    <row r="1409" spans="4:11" x14ac:dyDescent="0.25">
      <c r="D1409" s="93"/>
      <c r="E1409" s="93"/>
      <c r="F1409" s="93"/>
      <c r="G1409" s="93"/>
      <c r="H1409" s="93"/>
      <c r="I1409" s="93"/>
      <c r="J1409" s="93"/>
      <c r="K1409" s="93"/>
    </row>
    <row r="1410" spans="4:11" x14ac:dyDescent="0.25">
      <c r="D1410" s="93"/>
      <c r="E1410" s="93"/>
      <c r="F1410" s="93"/>
      <c r="G1410" s="93"/>
      <c r="H1410" s="93"/>
      <c r="I1410" s="93"/>
      <c r="J1410" s="93"/>
      <c r="K1410" s="93"/>
    </row>
    <row r="1411" spans="4:11" x14ac:dyDescent="0.25">
      <c r="D1411" s="93"/>
      <c r="E1411" s="93"/>
      <c r="F1411" s="93"/>
      <c r="G1411" s="93"/>
      <c r="H1411" s="93"/>
      <c r="I1411" s="93"/>
      <c r="J1411" s="93"/>
      <c r="K1411" s="93"/>
    </row>
    <row r="1412" spans="4:11" x14ac:dyDescent="0.25">
      <c r="D1412" s="93"/>
      <c r="E1412" s="93"/>
      <c r="F1412" s="93"/>
      <c r="G1412" s="93"/>
      <c r="H1412" s="93"/>
      <c r="I1412" s="93"/>
      <c r="J1412" s="93"/>
      <c r="K1412" s="93"/>
    </row>
    <row r="1413" spans="4:11" x14ac:dyDescent="0.25">
      <c r="D1413" s="93"/>
      <c r="E1413" s="93"/>
      <c r="F1413" s="93"/>
      <c r="G1413" s="93"/>
      <c r="H1413" s="93"/>
      <c r="I1413" s="93"/>
      <c r="J1413" s="93"/>
      <c r="K1413" s="93"/>
    </row>
    <row r="1414" spans="4:11" x14ac:dyDescent="0.25">
      <c r="D1414" s="93"/>
      <c r="E1414" s="93"/>
      <c r="F1414" s="93"/>
      <c r="G1414" s="93"/>
      <c r="H1414" s="93"/>
      <c r="I1414" s="93"/>
      <c r="J1414" s="93"/>
      <c r="K1414" s="93"/>
    </row>
    <row r="1415" spans="4:11" x14ac:dyDescent="0.25">
      <c r="D1415" s="93"/>
      <c r="E1415" s="93"/>
      <c r="F1415" s="93"/>
      <c r="G1415" s="93"/>
      <c r="H1415" s="93"/>
      <c r="I1415" s="93"/>
      <c r="J1415" s="93"/>
      <c r="K1415" s="93"/>
    </row>
    <row r="1416" spans="4:11" x14ac:dyDescent="0.25">
      <c r="D1416" s="93"/>
      <c r="E1416" s="93"/>
      <c r="F1416" s="93"/>
      <c r="G1416" s="93"/>
      <c r="H1416" s="93"/>
      <c r="I1416" s="93"/>
      <c r="J1416" s="93"/>
      <c r="K1416" s="93"/>
    </row>
    <row r="1417" spans="4:11" x14ac:dyDescent="0.25">
      <c r="D1417" s="93"/>
      <c r="E1417" s="93"/>
      <c r="F1417" s="93"/>
      <c r="G1417" s="93"/>
      <c r="H1417" s="93"/>
      <c r="I1417" s="93"/>
      <c r="J1417" s="93"/>
      <c r="K1417" s="93"/>
    </row>
    <row r="1418" spans="4:11" x14ac:dyDescent="0.25">
      <c r="D1418" s="93"/>
      <c r="E1418" s="93"/>
      <c r="F1418" s="93"/>
      <c r="G1418" s="93"/>
      <c r="H1418" s="93"/>
      <c r="I1418" s="93"/>
      <c r="J1418" s="93"/>
      <c r="K1418" s="93"/>
    </row>
    <row r="1419" spans="4:11" x14ac:dyDescent="0.25">
      <c r="D1419" s="93"/>
      <c r="E1419" s="93"/>
      <c r="F1419" s="93"/>
      <c r="G1419" s="93"/>
      <c r="H1419" s="93"/>
      <c r="I1419" s="93"/>
      <c r="J1419" s="93"/>
      <c r="K1419" s="93"/>
    </row>
    <row r="1420" spans="4:11" x14ac:dyDescent="0.25">
      <c r="D1420" s="93"/>
      <c r="E1420" s="93"/>
      <c r="F1420" s="93"/>
      <c r="G1420" s="93"/>
      <c r="H1420" s="93"/>
      <c r="I1420" s="93"/>
      <c r="J1420" s="93"/>
      <c r="K1420" s="93"/>
    </row>
    <row r="1421" spans="4:11" x14ac:dyDescent="0.25">
      <c r="D1421" s="93"/>
      <c r="E1421" s="93"/>
      <c r="F1421" s="93"/>
      <c r="G1421" s="93"/>
      <c r="H1421" s="93"/>
      <c r="I1421" s="93"/>
      <c r="J1421" s="93"/>
      <c r="K1421" s="93"/>
    </row>
    <row r="1422" spans="4:11" x14ac:dyDescent="0.25">
      <c r="D1422" s="93"/>
      <c r="E1422" s="93"/>
      <c r="F1422" s="93"/>
      <c r="G1422" s="93"/>
      <c r="H1422" s="93"/>
      <c r="I1422" s="93"/>
      <c r="J1422" s="93"/>
      <c r="K1422" s="93"/>
    </row>
    <row r="1423" spans="4:11" x14ac:dyDescent="0.25">
      <c r="D1423" s="93"/>
      <c r="E1423" s="93"/>
      <c r="F1423" s="93"/>
      <c r="G1423" s="93"/>
      <c r="H1423" s="93"/>
      <c r="I1423" s="93"/>
      <c r="J1423" s="93"/>
      <c r="K1423" s="93"/>
    </row>
    <row r="1424" spans="4:11" x14ac:dyDescent="0.25">
      <c r="D1424" s="93"/>
      <c r="E1424" s="93"/>
      <c r="F1424" s="93"/>
      <c r="G1424" s="93"/>
      <c r="H1424" s="93"/>
      <c r="I1424" s="93"/>
      <c r="J1424" s="93"/>
      <c r="K1424" s="93"/>
    </row>
    <row r="1425" spans="4:11" x14ac:dyDescent="0.25">
      <c r="D1425" s="93"/>
      <c r="E1425" s="93"/>
      <c r="F1425" s="93"/>
      <c r="G1425" s="93"/>
      <c r="H1425" s="93"/>
      <c r="I1425" s="93"/>
      <c r="J1425" s="93"/>
      <c r="K1425" s="93"/>
    </row>
    <row r="1426" spans="4:11" x14ac:dyDescent="0.25">
      <c r="D1426" s="93"/>
      <c r="E1426" s="93"/>
      <c r="F1426" s="93"/>
      <c r="G1426" s="93"/>
      <c r="H1426" s="93"/>
      <c r="I1426" s="93"/>
      <c r="J1426" s="93"/>
      <c r="K1426" s="93"/>
    </row>
    <row r="1427" spans="4:11" x14ac:dyDescent="0.25">
      <c r="D1427" s="93"/>
      <c r="E1427" s="93"/>
      <c r="F1427" s="93"/>
      <c r="G1427" s="93"/>
      <c r="H1427" s="93"/>
      <c r="I1427" s="93"/>
      <c r="J1427" s="93"/>
      <c r="K1427" s="93"/>
    </row>
    <row r="1428" spans="4:11" x14ac:dyDescent="0.25">
      <c r="D1428" s="93"/>
      <c r="E1428" s="93"/>
      <c r="F1428" s="93"/>
      <c r="G1428" s="93"/>
      <c r="H1428" s="93"/>
      <c r="I1428" s="93"/>
      <c r="J1428" s="93"/>
      <c r="K1428" s="93"/>
    </row>
    <row r="1429" spans="4:11" x14ac:dyDescent="0.25">
      <c r="D1429" s="93"/>
      <c r="E1429" s="93"/>
      <c r="F1429" s="93"/>
      <c r="G1429" s="93"/>
      <c r="H1429" s="93"/>
      <c r="I1429" s="93"/>
      <c r="J1429" s="93"/>
      <c r="K1429" s="93"/>
    </row>
    <row r="1430" spans="4:11" x14ac:dyDescent="0.25">
      <c r="D1430" s="93"/>
      <c r="E1430" s="93"/>
      <c r="F1430" s="93"/>
      <c r="G1430" s="93"/>
      <c r="H1430" s="93"/>
      <c r="I1430" s="93"/>
      <c r="J1430" s="93"/>
      <c r="K1430" s="93"/>
    </row>
    <row r="1431" spans="4:11" x14ac:dyDescent="0.25">
      <c r="D1431" s="93"/>
      <c r="E1431" s="93"/>
      <c r="F1431" s="93"/>
      <c r="G1431" s="93"/>
      <c r="H1431" s="93"/>
      <c r="I1431" s="93"/>
      <c r="J1431" s="93"/>
      <c r="K1431" s="93"/>
    </row>
    <row r="1432" spans="4:11" x14ac:dyDescent="0.25">
      <c r="D1432" s="93"/>
      <c r="E1432" s="93"/>
      <c r="F1432" s="93"/>
      <c r="G1432" s="93"/>
      <c r="H1432" s="93"/>
      <c r="I1432" s="93"/>
      <c r="J1432" s="93"/>
      <c r="K1432" s="93"/>
    </row>
    <row r="1433" spans="4:11" x14ac:dyDescent="0.25">
      <c r="D1433" s="93"/>
      <c r="E1433" s="93"/>
      <c r="F1433" s="93"/>
      <c r="G1433" s="93"/>
      <c r="H1433" s="93"/>
      <c r="I1433" s="93"/>
      <c r="J1433" s="93"/>
      <c r="K1433" s="93"/>
    </row>
    <row r="1434" spans="4:11" x14ac:dyDescent="0.25">
      <c r="D1434" s="93"/>
      <c r="E1434" s="93"/>
      <c r="F1434" s="93"/>
      <c r="G1434" s="93"/>
      <c r="H1434" s="93"/>
      <c r="I1434" s="93"/>
      <c r="J1434" s="93"/>
      <c r="K1434" s="93"/>
    </row>
    <row r="1435" spans="4:11" x14ac:dyDescent="0.25">
      <c r="D1435" s="93"/>
      <c r="E1435" s="93"/>
      <c r="F1435" s="93"/>
      <c r="G1435" s="93"/>
      <c r="H1435" s="93"/>
      <c r="I1435" s="93"/>
      <c r="J1435" s="93"/>
      <c r="K1435" s="93"/>
    </row>
    <row r="1436" spans="4:11" x14ac:dyDescent="0.25">
      <c r="D1436" s="93"/>
      <c r="E1436" s="93"/>
      <c r="F1436" s="93"/>
      <c r="G1436" s="93"/>
      <c r="H1436" s="93"/>
      <c r="I1436" s="93"/>
      <c r="J1436" s="93"/>
      <c r="K1436" s="93"/>
    </row>
    <row r="1437" spans="4:11" x14ac:dyDescent="0.25">
      <c r="D1437" s="93"/>
      <c r="E1437" s="93"/>
      <c r="F1437" s="93"/>
      <c r="G1437" s="93"/>
      <c r="H1437" s="93"/>
      <c r="I1437" s="93"/>
      <c r="J1437" s="93"/>
      <c r="K1437" s="93"/>
    </row>
    <row r="1438" spans="4:11" x14ac:dyDescent="0.25">
      <c r="D1438" s="93"/>
      <c r="E1438" s="93"/>
      <c r="F1438" s="93"/>
      <c r="G1438" s="93"/>
      <c r="H1438" s="93"/>
      <c r="I1438" s="93"/>
      <c r="J1438" s="93"/>
      <c r="K1438" s="93"/>
    </row>
    <row r="1439" spans="4:11" x14ac:dyDescent="0.25">
      <c r="D1439" s="93"/>
      <c r="E1439" s="93"/>
      <c r="F1439" s="93"/>
      <c r="G1439" s="93"/>
      <c r="H1439" s="93"/>
      <c r="I1439" s="93"/>
      <c r="J1439" s="93"/>
      <c r="K1439" s="93"/>
    </row>
    <row r="1440" spans="4:11" x14ac:dyDescent="0.25">
      <c r="D1440" s="93"/>
      <c r="E1440" s="93"/>
      <c r="F1440" s="93"/>
      <c r="G1440" s="93"/>
      <c r="H1440" s="93"/>
      <c r="I1440" s="93"/>
      <c r="J1440" s="93"/>
      <c r="K1440" s="93"/>
    </row>
    <row r="1441" spans="4:11" x14ac:dyDescent="0.25">
      <c r="D1441" s="93"/>
      <c r="E1441" s="93"/>
      <c r="F1441" s="93"/>
      <c r="G1441" s="93"/>
      <c r="H1441" s="93"/>
      <c r="I1441" s="93"/>
      <c r="J1441" s="93"/>
      <c r="K1441" s="93"/>
    </row>
    <row r="1442" spans="4:11" x14ac:dyDescent="0.25">
      <c r="D1442" s="93"/>
      <c r="E1442" s="93"/>
      <c r="F1442" s="93"/>
      <c r="G1442" s="93"/>
      <c r="H1442" s="93"/>
      <c r="I1442" s="93"/>
      <c r="J1442" s="93"/>
      <c r="K1442" s="93"/>
    </row>
    <row r="1443" spans="4:11" x14ac:dyDescent="0.25">
      <c r="D1443" s="93"/>
      <c r="E1443" s="93"/>
      <c r="F1443" s="93"/>
      <c r="G1443" s="93"/>
      <c r="H1443" s="93"/>
      <c r="I1443" s="93"/>
      <c r="J1443" s="93"/>
      <c r="K1443" s="93"/>
    </row>
    <row r="1444" spans="4:11" x14ac:dyDescent="0.25">
      <c r="D1444" s="93"/>
      <c r="E1444" s="93"/>
      <c r="F1444" s="93"/>
      <c r="G1444" s="93"/>
      <c r="H1444" s="93"/>
      <c r="I1444" s="93"/>
      <c r="J1444" s="93"/>
      <c r="K1444" s="93"/>
    </row>
    <row r="1445" spans="4:11" x14ac:dyDescent="0.25">
      <c r="D1445" s="93"/>
      <c r="E1445" s="93"/>
      <c r="F1445" s="93"/>
      <c r="G1445" s="93"/>
      <c r="H1445" s="93"/>
      <c r="I1445" s="93"/>
      <c r="J1445" s="93"/>
      <c r="K1445" s="93"/>
    </row>
    <row r="1446" spans="4:11" x14ac:dyDescent="0.25">
      <c r="D1446" s="93"/>
      <c r="E1446" s="93"/>
      <c r="F1446" s="93"/>
      <c r="G1446" s="93"/>
      <c r="H1446" s="93"/>
      <c r="I1446" s="93"/>
      <c r="J1446" s="93"/>
      <c r="K1446" s="93"/>
    </row>
    <row r="1447" spans="4:11" x14ac:dyDescent="0.25">
      <c r="D1447" s="93"/>
      <c r="E1447" s="93"/>
      <c r="F1447" s="93"/>
      <c r="G1447" s="93"/>
      <c r="H1447" s="93"/>
      <c r="I1447" s="93"/>
      <c r="J1447" s="93"/>
      <c r="K1447" s="93"/>
    </row>
    <row r="1448" spans="4:11" x14ac:dyDescent="0.25">
      <c r="D1448" s="93"/>
      <c r="E1448" s="93"/>
      <c r="F1448" s="93"/>
      <c r="G1448" s="93"/>
      <c r="H1448" s="93"/>
      <c r="I1448" s="93"/>
      <c r="J1448" s="93"/>
      <c r="K1448" s="93"/>
    </row>
    <row r="1449" spans="4:11" x14ac:dyDescent="0.25">
      <c r="D1449" s="93"/>
      <c r="E1449" s="93"/>
      <c r="F1449" s="93"/>
      <c r="G1449" s="93"/>
      <c r="H1449" s="93"/>
      <c r="I1449" s="93"/>
      <c r="J1449" s="93"/>
      <c r="K1449" s="93"/>
    </row>
    <row r="1450" spans="4:11" x14ac:dyDescent="0.25">
      <c r="D1450" s="93"/>
      <c r="E1450" s="93"/>
      <c r="F1450" s="93"/>
      <c r="G1450" s="93"/>
      <c r="H1450" s="93"/>
      <c r="I1450" s="93"/>
      <c r="J1450" s="93"/>
      <c r="K1450" s="93"/>
    </row>
    <row r="1451" spans="4:11" x14ac:dyDescent="0.25">
      <c r="D1451" s="93"/>
      <c r="E1451" s="93"/>
      <c r="F1451" s="93"/>
      <c r="G1451" s="93"/>
      <c r="H1451" s="93"/>
      <c r="I1451" s="93"/>
      <c r="J1451" s="93"/>
      <c r="K1451" s="93"/>
    </row>
    <row r="1452" spans="4:11" x14ac:dyDescent="0.25">
      <c r="D1452" s="93"/>
      <c r="E1452" s="93"/>
      <c r="F1452" s="93"/>
      <c r="G1452" s="93"/>
      <c r="H1452" s="93"/>
      <c r="I1452" s="93"/>
      <c r="J1452" s="93"/>
      <c r="K1452" s="93"/>
    </row>
    <row r="1453" spans="4:11" x14ac:dyDescent="0.25">
      <c r="D1453" s="93"/>
      <c r="E1453" s="93"/>
      <c r="F1453" s="93"/>
      <c r="G1453" s="93"/>
      <c r="H1453" s="93"/>
      <c r="I1453" s="93"/>
      <c r="J1453" s="93"/>
      <c r="K1453" s="93"/>
    </row>
    <row r="1454" spans="4:11" x14ac:dyDescent="0.25">
      <c r="D1454" s="93"/>
      <c r="E1454" s="93"/>
      <c r="F1454" s="93"/>
      <c r="G1454" s="93"/>
      <c r="H1454" s="93"/>
      <c r="I1454" s="93"/>
      <c r="J1454" s="93"/>
      <c r="K1454" s="93"/>
    </row>
    <row r="1455" spans="4:11" x14ac:dyDescent="0.25">
      <c r="D1455" s="93"/>
      <c r="E1455" s="93"/>
      <c r="F1455" s="93"/>
      <c r="G1455" s="93"/>
      <c r="H1455" s="93"/>
      <c r="I1455" s="93"/>
      <c r="J1455" s="93"/>
      <c r="K1455" s="93"/>
    </row>
    <row r="1456" spans="4:11" x14ac:dyDescent="0.25">
      <c r="D1456" s="93"/>
      <c r="E1456" s="93"/>
      <c r="F1456" s="93"/>
      <c r="G1456" s="93"/>
      <c r="H1456" s="93"/>
      <c r="I1456" s="93"/>
      <c r="J1456" s="93"/>
      <c r="K1456" s="93"/>
    </row>
    <row r="1457" spans="4:11" x14ac:dyDescent="0.25">
      <c r="D1457" s="93"/>
      <c r="E1457" s="93"/>
      <c r="F1457" s="93"/>
      <c r="G1457" s="93"/>
      <c r="H1457" s="93"/>
      <c r="I1457" s="93"/>
      <c r="J1457" s="93"/>
      <c r="K1457" s="93"/>
    </row>
    <row r="1458" spans="4:11" x14ac:dyDescent="0.25">
      <c r="D1458" s="93"/>
      <c r="E1458" s="93"/>
      <c r="F1458" s="93"/>
      <c r="G1458" s="93"/>
      <c r="H1458" s="93"/>
      <c r="I1458" s="93"/>
      <c r="J1458" s="93"/>
      <c r="K1458" s="93"/>
    </row>
    <row r="1459" spans="4:11" x14ac:dyDescent="0.25">
      <c r="D1459" s="93"/>
      <c r="E1459" s="93"/>
      <c r="F1459" s="93"/>
      <c r="G1459" s="93"/>
      <c r="H1459" s="93"/>
      <c r="I1459" s="93"/>
      <c r="J1459" s="93"/>
      <c r="K1459" s="93"/>
    </row>
    <row r="1460" spans="4:11" x14ac:dyDescent="0.25">
      <c r="D1460" s="93"/>
      <c r="E1460" s="93"/>
      <c r="F1460" s="93"/>
      <c r="G1460" s="93"/>
      <c r="H1460" s="93"/>
      <c r="I1460" s="93"/>
      <c r="J1460" s="93"/>
      <c r="K1460" s="93"/>
    </row>
    <row r="1461" spans="4:11" x14ac:dyDescent="0.25">
      <c r="D1461" s="93"/>
      <c r="E1461" s="93"/>
      <c r="F1461" s="93"/>
      <c r="G1461" s="93"/>
      <c r="H1461" s="93"/>
      <c r="I1461" s="93"/>
      <c r="J1461" s="93"/>
      <c r="K1461" s="93"/>
    </row>
    <row r="1462" spans="4:11" x14ac:dyDescent="0.25">
      <c r="D1462" s="93"/>
      <c r="E1462" s="93"/>
      <c r="F1462" s="93"/>
      <c r="G1462" s="93"/>
      <c r="H1462" s="93"/>
      <c r="I1462" s="93"/>
      <c r="J1462" s="93"/>
      <c r="K1462" s="93"/>
    </row>
    <row r="1463" spans="4:11" x14ac:dyDescent="0.25">
      <c r="D1463" s="93"/>
      <c r="E1463" s="93"/>
      <c r="F1463" s="93"/>
      <c r="G1463" s="93"/>
      <c r="H1463" s="93"/>
      <c r="I1463" s="93"/>
      <c r="J1463" s="93"/>
      <c r="K1463" s="93"/>
    </row>
    <row r="1464" spans="4:11" x14ac:dyDescent="0.25">
      <c r="D1464" s="93"/>
      <c r="E1464" s="93"/>
      <c r="F1464" s="93"/>
      <c r="G1464" s="93"/>
      <c r="H1464" s="93"/>
      <c r="I1464" s="93"/>
      <c r="J1464" s="93"/>
      <c r="K1464" s="93"/>
    </row>
    <row r="1465" spans="4:11" x14ac:dyDescent="0.25">
      <c r="D1465" s="93"/>
      <c r="E1465" s="93"/>
      <c r="F1465" s="93"/>
      <c r="G1465" s="93"/>
      <c r="H1465" s="93"/>
      <c r="I1465" s="93"/>
      <c r="J1465" s="93"/>
      <c r="K1465" s="93"/>
    </row>
    <row r="1466" spans="4:11" x14ac:dyDescent="0.25">
      <c r="D1466" s="93"/>
      <c r="E1466" s="93"/>
      <c r="F1466" s="93"/>
      <c r="G1466" s="93"/>
      <c r="H1466" s="93"/>
      <c r="I1466" s="93"/>
      <c r="J1466" s="93"/>
      <c r="K1466" s="93"/>
    </row>
    <row r="1467" spans="4:11" x14ac:dyDescent="0.25">
      <c r="D1467" s="93"/>
      <c r="E1467" s="93"/>
      <c r="F1467" s="93"/>
      <c r="G1467" s="93"/>
      <c r="H1467" s="93"/>
      <c r="I1467" s="93"/>
      <c r="J1467" s="93"/>
      <c r="K1467" s="93"/>
    </row>
    <row r="1468" spans="4:11" x14ac:dyDescent="0.25">
      <c r="D1468" s="93"/>
      <c r="E1468" s="93"/>
      <c r="F1468" s="93"/>
      <c r="G1468" s="93"/>
      <c r="H1468" s="93"/>
      <c r="I1468" s="93"/>
      <c r="J1468" s="93"/>
      <c r="K1468" s="93"/>
    </row>
    <row r="1469" spans="4:11" x14ac:dyDescent="0.25">
      <c r="D1469" s="93"/>
      <c r="E1469" s="93"/>
      <c r="F1469" s="93"/>
      <c r="G1469" s="93"/>
      <c r="H1469" s="93"/>
      <c r="I1469" s="93"/>
      <c r="J1469" s="93"/>
      <c r="K1469" s="93"/>
    </row>
    <row r="1470" spans="4:11" x14ac:dyDescent="0.25">
      <c r="D1470" s="93"/>
      <c r="E1470" s="93"/>
      <c r="F1470" s="93"/>
      <c r="G1470" s="93"/>
      <c r="H1470" s="93"/>
      <c r="I1470" s="93"/>
      <c r="J1470" s="93"/>
      <c r="K1470" s="93"/>
    </row>
    <row r="1471" spans="4:11" x14ac:dyDescent="0.25">
      <c r="D1471" s="93"/>
      <c r="E1471" s="93"/>
      <c r="F1471" s="93"/>
      <c r="G1471" s="93"/>
      <c r="H1471" s="93"/>
      <c r="I1471" s="93"/>
      <c r="J1471" s="93"/>
      <c r="K1471" s="93"/>
    </row>
    <row r="1472" spans="4:11" x14ac:dyDescent="0.25">
      <c r="D1472" s="93"/>
      <c r="E1472" s="93"/>
      <c r="F1472" s="93"/>
      <c r="G1472" s="93"/>
      <c r="H1472" s="93"/>
      <c r="I1472" s="93"/>
      <c r="J1472" s="93"/>
      <c r="K1472" s="93"/>
    </row>
    <row r="1473" spans="4:11" x14ac:dyDescent="0.25">
      <c r="D1473" s="93"/>
      <c r="E1473" s="93"/>
      <c r="F1473" s="93"/>
      <c r="G1473" s="93"/>
      <c r="H1473" s="93"/>
      <c r="I1473" s="93"/>
      <c r="J1473" s="93"/>
      <c r="K1473" s="93"/>
    </row>
    <row r="1474" spans="4:11" x14ac:dyDescent="0.25">
      <c r="D1474" s="93"/>
      <c r="E1474" s="93"/>
      <c r="F1474" s="93"/>
      <c r="G1474" s="93"/>
      <c r="H1474" s="93"/>
      <c r="I1474" s="93"/>
      <c r="J1474" s="93"/>
      <c r="K1474" s="93"/>
    </row>
    <row r="1475" spans="4:11" x14ac:dyDescent="0.25">
      <c r="D1475" s="93"/>
      <c r="E1475" s="93"/>
      <c r="F1475" s="93"/>
      <c r="G1475" s="93"/>
      <c r="H1475" s="93"/>
      <c r="I1475" s="93"/>
      <c r="J1475" s="93"/>
      <c r="K1475" s="93"/>
    </row>
    <row r="1476" spans="4:11" x14ac:dyDescent="0.25">
      <c r="D1476" s="93"/>
      <c r="E1476" s="93"/>
      <c r="F1476" s="93"/>
      <c r="G1476" s="93"/>
      <c r="H1476" s="93"/>
      <c r="I1476" s="93"/>
      <c r="J1476" s="93"/>
      <c r="K1476" s="93"/>
    </row>
    <row r="1477" spans="4:11" x14ac:dyDescent="0.25">
      <c r="D1477" s="93"/>
      <c r="E1477" s="93"/>
      <c r="F1477" s="93"/>
      <c r="G1477" s="93"/>
      <c r="H1477" s="93"/>
      <c r="I1477" s="93"/>
      <c r="J1477" s="93"/>
      <c r="K1477" s="93"/>
    </row>
    <row r="1478" spans="4:11" x14ac:dyDescent="0.25">
      <c r="D1478" s="93"/>
      <c r="E1478" s="93"/>
      <c r="F1478" s="93"/>
      <c r="G1478" s="93"/>
      <c r="H1478" s="93"/>
      <c r="I1478" s="93"/>
      <c r="J1478" s="93"/>
      <c r="K1478" s="93"/>
    </row>
    <row r="1479" spans="4:11" x14ac:dyDescent="0.25">
      <c r="D1479" s="93"/>
      <c r="E1479" s="93"/>
      <c r="F1479" s="93"/>
      <c r="G1479" s="93"/>
      <c r="H1479" s="93"/>
      <c r="I1479" s="93"/>
      <c r="J1479" s="93"/>
      <c r="K1479" s="93"/>
    </row>
    <row r="1480" spans="4:11" x14ac:dyDescent="0.25">
      <c r="D1480" s="93"/>
      <c r="E1480" s="93"/>
      <c r="F1480" s="93"/>
      <c r="G1480" s="93"/>
      <c r="H1480" s="93"/>
      <c r="I1480" s="93"/>
      <c r="J1480" s="93"/>
      <c r="K1480" s="93"/>
    </row>
    <row r="1481" spans="4:11" x14ac:dyDescent="0.25">
      <c r="D1481" s="93"/>
      <c r="E1481" s="93"/>
      <c r="F1481" s="93"/>
      <c r="G1481" s="93"/>
      <c r="H1481" s="93"/>
      <c r="I1481" s="93"/>
      <c r="J1481" s="93"/>
      <c r="K1481" s="93"/>
    </row>
    <row r="1482" spans="4:11" x14ac:dyDescent="0.25">
      <c r="D1482" s="93"/>
      <c r="E1482" s="93"/>
      <c r="F1482" s="93"/>
      <c r="G1482" s="93"/>
      <c r="H1482" s="93"/>
      <c r="I1482" s="93"/>
      <c r="J1482" s="93"/>
      <c r="K1482" s="93"/>
    </row>
    <row r="1483" spans="4:11" x14ac:dyDescent="0.25">
      <c r="D1483" s="93"/>
      <c r="E1483" s="93"/>
      <c r="F1483" s="93"/>
      <c r="G1483" s="93"/>
      <c r="H1483" s="93"/>
      <c r="I1483" s="93"/>
      <c r="J1483" s="93"/>
      <c r="K1483" s="93"/>
    </row>
    <row r="1484" spans="4:11" x14ac:dyDescent="0.25">
      <c r="D1484" s="93"/>
      <c r="E1484" s="93"/>
      <c r="F1484" s="93"/>
      <c r="G1484" s="93"/>
      <c r="H1484" s="93"/>
      <c r="I1484" s="93"/>
      <c r="J1484" s="93"/>
      <c r="K1484" s="93"/>
    </row>
    <row r="1485" spans="4:11" x14ac:dyDescent="0.25">
      <c r="D1485" s="93"/>
      <c r="E1485" s="93"/>
      <c r="F1485" s="93"/>
      <c r="G1485" s="93"/>
      <c r="H1485" s="93"/>
      <c r="I1485" s="93"/>
      <c r="J1485" s="93"/>
      <c r="K1485" s="93"/>
    </row>
    <row r="1486" spans="4:11" x14ac:dyDescent="0.25">
      <c r="D1486" s="93"/>
      <c r="E1486" s="93"/>
      <c r="F1486" s="93"/>
      <c r="G1486" s="93"/>
      <c r="H1486" s="93"/>
      <c r="I1486" s="93"/>
      <c r="J1486" s="93"/>
      <c r="K1486" s="93"/>
    </row>
    <row r="1487" spans="4:11" x14ac:dyDescent="0.25">
      <c r="D1487" s="93"/>
      <c r="E1487" s="93"/>
      <c r="F1487" s="93"/>
      <c r="G1487" s="93"/>
      <c r="H1487" s="93"/>
      <c r="I1487" s="93"/>
      <c r="J1487" s="93"/>
      <c r="K1487" s="93"/>
    </row>
    <row r="1488" spans="4:11" x14ac:dyDescent="0.25">
      <c r="D1488" s="93"/>
      <c r="E1488" s="93"/>
      <c r="F1488" s="93"/>
      <c r="G1488" s="93"/>
      <c r="H1488" s="93"/>
      <c r="I1488" s="93"/>
      <c r="J1488" s="93"/>
      <c r="K1488" s="93"/>
    </row>
    <row r="1489" spans="4:11" x14ac:dyDescent="0.25">
      <c r="D1489" s="93"/>
      <c r="E1489" s="93"/>
      <c r="F1489" s="93"/>
      <c r="G1489" s="93"/>
      <c r="H1489" s="93"/>
      <c r="I1489" s="93"/>
      <c r="J1489" s="93"/>
      <c r="K1489" s="93"/>
    </row>
    <row r="1490" spans="4:11" x14ac:dyDescent="0.25">
      <c r="D1490" s="93"/>
      <c r="E1490" s="93"/>
      <c r="F1490" s="93"/>
      <c r="G1490" s="93"/>
      <c r="H1490" s="93"/>
      <c r="I1490" s="93"/>
      <c r="J1490" s="93"/>
      <c r="K1490" s="93"/>
    </row>
    <row r="1491" spans="4:11" x14ac:dyDescent="0.25">
      <c r="D1491" s="93"/>
      <c r="E1491" s="93"/>
      <c r="F1491" s="93"/>
      <c r="G1491" s="93"/>
      <c r="H1491" s="93"/>
      <c r="I1491" s="93"/>
      <c r="J1491" s="93"/>
      <c r="K1491" s="93"/>
    </row>
    <row r="1492" spans="4:11" x14ac:dyDescent="0.25">
      <c r="D1492" s="93"/>
      <c r="E1492" s="93"/>
      <c r="F1492" s="93"/>
      <c r="G1492" s="93"/>
      <c r="H1492" s="93"/>
      <c r="I1492" s="93"/>
      <c r="J1492" s="93"/>
      <c r="K1492" s="93"/>
    </row>
    <row r="1493" spans="4:11" x14ac:dyDescent="0.25">
      <c r="D1493" s="93"/>
      <c r="E1493" s="93"/>
      <c r="F1493" s="93"/>
      <c r="G1493" s="93"/>
      <c r="H1493" s="93"/>
      <c r="I1493" s="93"/>
      <c r="J1493" s="93"/>
      <c r="K1493" s="93"/>
    </row>
    <row r="1494" spans="4:11" x14ac:dyDescent="0.25">
      <c r="D1494" s="93"/>
      <c r="E1494" s="93"/>
      <c r="F1494" s="93"/>
      <c r="G1494" s="93"/>
      <c r="H1494" s="93"/>
      <c r="I1494" s="93"/>
      <c r="J1494" s="93"/>
      <c r="K1494" s="93"/>
    </row>
    <row r="1495" spans="4:11" x14ac:dyDescent="0.25">
      <c r="D1495" s="93"/>
      <c r="E1495" s="93"/>
      <c r="F1495" s="93"/>
      <c r="G1495" s="93"/>
      <c r="H1495" s="93"/>
      <c r="I1495" s="93"/>
      <c r="J1495" s="93"/>
      <c r="K1495" s="93"/>
    </row>
    <row r="1496" spans="4:11" x14ac:dyDescent="0.25">
      <c r="D1496" s="93"/>
      <c r="E1496" s="93"/>
      <c r="F1496" s="93"/>
      <c r="G1496" s="93"/>
      <c r="H1496" s="93"/>
      <c r="I1496" s="93"/>
      <c r="J1496" s="93"/>
      <c r="K1496" s="93"/>
    </row>
    <row r="1497" spans="4:11" x14ac:dyDescent="0.25">
      <c r="D1497" s="93"/>
      <c r="E1497" s="93"/>
      <c r="F1497" s="93"/>
      <c r="G1497" s="93"/>
      <c r="H1497" s="93"/>
      <c r="I1497" s="93"/>
      <c r="J1497" s="93"/>
      <c r="K1497" s="93"/>
    </row>
    <row r="1498" spans="4:11" x14ac:dyDescent="0.25">
      <c r="D1498" s="93"/>
      <c r="E1498" s="93"/>
      <c r="F1498" s="93"/>
      <c r="G1498" s="93"/>
      <c r="H1498" s="93"/>
      <c r="I1498" s="93"/>
      <c r="J1498" s="93"/>
      <c r="K1498" s="93"/>
    </row>
    <row r="1499" spans="4:11" x14ac:dyDescent="0.25">
      <c r="D1499" s="93"/>
      <c r="E1499" s="93"/>
      <c r="F1499" s="93"/>
      <c r="G1499" s="93"/>
      <c r="H1499" s="93"/>
      <c r="I1499" s="93"/>
      <c r="J1499" s="93"/>
      <c r="K1499" s="93"/>
    </row>
    <row r="1500" spans="4:11" x14ac:dyDescent="0.25">
      <c r="D1500" s="93"/>
      <c r="E1500" s="93"/>
      <c r="F1500" s="93"/>
      <c r="G1500" s="93"/>
      <c r="H1500" s="93"/>
      <c r="I1500" s="93"/>
      <c r="J1500" s="93"/>
      <c r="K1500" s="93"/>
    </row>
    <row r="1501" spans="4:11" x14ac:dyDescent="0.25">
      <c r="D1501" s="93"/>
      <c r="E1501" s="93"/>
      <c r="F1501" s="93"/>
      <c r="G1501" s="93"/>
      <c r="H1501" s="93"/>
      <c r="I1501" s="93"/>
      <c r="J1501" s="93"/>
      <c r="K1501" s="93"/>
    </row>
    <row r="1502" spans="4:11" x14ac:dyDescent="0.25">
      <c r="D1502" s="93"/>
      <c r="E1502" s="93"/>
      <c r="F1502" s="93"/>
      <c r="G1502" s="93"/>
      <c r="H1502" s="93"/>
      <c r="I1502" s="93"/>
      <c r="J1502" s="93"/>
      <c r="K1502" s="93"/>
    </row>
    <row r="1503" spans="4:11" x14ac:dyDescent="0.25">
      <c r="D1503" s="93"/>
      <c r="E1503" s="93"/>
      <c r="F1503" s="93"/>
      <c r="G1503" s="93"/>
      <c r="H1503" s="93"/>
      <c r="I1503" s="93"/>
      <c r="J1503" s="93"/>
      <c r="K1503" s="93"/>
    </row>
    <row r="1504" spans="4:11" x14ac:dyDescent="0.25">
      <c r="D1504" s="93"/>
      <c r="E1504" s="93"/>
      <c r="F1504" s="93"/>
      <c r="G1504" s="93"/>
      <c r="H1504" s="93"/>
      <c r="I1504" s="93"/>
      <c r="J1504" s="93"/>
      <c r="K1504" s="93"/>
    </row>
    <row r="1505" spans="4:11" x14ac:dyDescent="0.25">
      <c r="D1505" s="93"/>
      <c r="E1505" s="93"/>
      <c r="F1505" s="93"/>
      <c r="G1505" s="93"/>
      <c r="H1505" s="93"/>
      <c r="I1505" s="93"/>
      <c r="J1505" s="93"/>
      <c r="K1505" s="93"/>
    </row>
    <row r="1506" spans="4:11" x14ac:dyDescent="0.25">
      <c r="D1506" s="93"/>
      <c r="E1506" s="93"/>
      <c r="F1506" s="93"/>
      <c r="G1506" s="93"/>
      <c r="H1506" s="93"/>
      <c r="I1506" s="93"/>
      <c r="J1506" s="93"/>
      <c r="K1506" s="93"/>
    </row>
    <row r="1507" spans="4:11" x14ac:dyDescent="0.25">
      <c r="D1507" s="93"/>
      <c r="E1507" s="93"/>
      <c r="F1507" s="93"/>
      <c r="G1507" s="93"/>
      <c r="H1507" s="93"/>
      <c r="I1507" s="93"/>
      <c r="J1507" s="93"/>
      <c r="K1507" s="93"/>
    </row>
    <row r="1508" spans="4:11" x14ac:dyDescent="0.25">
      <c r="D1508" s="93"/>
      <c r="E1508" s="93"/>
      <c r="F1508" s="93"/>
      <c r="G1508" s="93"/>
      <c r="H1508" s="93"/>
      <c r="I1508" s="93"/>
      <c r="J1508" s="93"/>
      <c r="K1508" s="93"/>
    </row>
    <row r="1509" spans="4:11" x14ac:dyDescent="0.25">
      <c r="D1509" s="93"/>
      <c r="E1509" s="93"/>
      <c r="F1509" s="93"/>
      <c r="G1509" s="93"/>
      <c r="H1509" s="93"/>
      <c r="I1509" s="93"/>
      <c r="J1509" s="93"/>
      <c r="K1509" s="93"/>
    </row>
    <row r="1510" spans="4:11" x14ac:dyDescent="0.25">
      <c r="D1510" s="93"/>
      <c r="E1510" s="93"/>
      <c r="F1510" s="93"/>
      <c r="G1510" s="93"/>
      <c r="H1510" s="93"/>
      <c r="I1510" s="93"/>
      <c r="J1510" s="93"/>
      <c r="K1510" s="93"/>
    </row>
    <row r="1511" spans="4:11" x14ac:dyDescent="0.25">
      <c r="D1511" s="93"/>
      <c r="E1511" s="93"/>
      <c r="F1511" s="93"/>
      <c r="G1511" s="93"/>
      <c r="H1511" s="93"/>
      <c r="I1511" s="93"/>
      <c r="J1511" s="93"/>
      <c r="K1511" s="93"/>
    </row>
    <row r="1512" spans="4:11" x14ac:dyDescent="0.25">
      <c r="D1512" s="93"/>
      <c r="E1512" s="93"/>
      <c r="F1512" s="93"/>
      <c r="G1512" s="93"/>
      <c r="H1512" s="93"/>
      <c r="I1512" s="93"/>
      <c r="J1512" s="93"/>
      <c r="K1512" s="93"/>
    </row>
    <row r="1513" spans="4:11" x14ac:dyDescent="0.25">
      <c r="D1513" s="93"/>
      <c r="E1513" s="93"/>
      <c r="F1513" s="93"/>
      <c r="G1513" s="93"/>
      <c r="H1513" s="93"/>
      <c r="I1513" s="93"/>
      <c r="J1513" s="93"/>
      <c r="K1513" s="93"/>
    </row>
    <row r="1514" spans="4:11" x14ac:dyDescent="0.25">
      <c r="D1514" s="93"/>
      <c r="E1514" s="93"/>
      <c r="F1514" s="93"/>
      <c r="G1514" s="93"/>
      <c r="H1514" s="93"/>
      <c r="I1514" s="93"/>
      <c r="J1514" s="93"/>
      <c r="K1514" s="93"/>
    </row>
    <row r="1515" spans="4:11" x14ac:dyDescent="0.25">
      <c r="D1515" s="93"/>
      <c r="E1515" s="93"/>
      <c r="F1515" s="93"/>
      <c r="G1515" s="93"/>
      <c r="H1515" s="93"/>
      <c r="I1515" s="93"/>
      <c r="J1515" s="93"/>
      <c r="K1515" s="93"/>
    </row>
    <row r="1516" spans="4:11" x14ac:dyDescent="0.25">
      <c r="D1516" s="93"/>
      <c r="E1516" s="93"/>
      <c r="F1516" s="93"/>
      <c r="G1516" s="93"/>
      <c r="H1516" s="93"/>
      <c r="I1516" s="93"/>
      <c r="J1516" s="93"/>
      <c r="K1516" s="93"/>
    </row>
    <row r="1517" spans="4:11" x14ac:dyDescent="0.25">
      <c r="D1517" s="93"/>
      <c r="E1517" s="93"/>
      <c r="F1517" s="93"/>
      <c r="G1517" s="93"/>
      <c r="H1517" s="93"/>
      <c r="I1517" s="93"/>
      <c r="J1517" s="93"/>
      <c r="K1517" s="93"/>
    </row>
    <row r="1518" spans="4:11" x14ac:dyDescent="0.25">
      <c r="D1518" s="93"/>
      <c r="E1518" s="93"/>
      <c r="F1518" s="93"/>
      <c r="G1518" s="93"/>
      <c r="H1518" s="93"/>
      <c r="I1518" s="93"/>
      <c r="J1518" s="93"/>
      <c r="K1518" s="93"/>
    </row>
    <row r="1519" spans="4:11" x14ac:dyDescent="0.25">
      <c r="D1519" s="93"/>
      <c r="E1519" s="93"/>
      <c r="F1519" s="93"/>
      <c r="G1519" s="93"/>
      <c r="H1519" s="93"/>
      <c r="I1519" s="93"/>
      <c r="J1519" s="93"/>
      <c r="K1519" s="93"/>
    </row>
    <row r="1520" spans="4:11" x14ac:dyDescent="0.25">
      <c r="D1520" s="93"/>
      <c r="E1520" s="93"/>
      <c r="F1520" s="93"/>
      <c r="G1520" s="93"/>
      <c r="H1520" s="93"/>
      <c r="I1520" s="93"/>
      <c r="J1520" s="93"/>
      <c r="K1520" s="93"/>
    </row>
    <row r="1521" spans="4:11" x14ac:dyDescent="0.25">
      <c r="D1521" s="93"/>
      <c r="E1521" s="93"/>
      <c r="F1521" s="93"/>
      <c r="G1521" s="93"/>
      <c r="H1521" s="93"/>
      <c r="I1521" s="93"/>
      <c r="J1521" s="93"/>
      <c r="K1521" s="93"/>
    </row>
    <row r="1522" spans="4:11" x14ac:dyDescent="0.25">
      <c r="D1522" s="93"/>
      <c r="E1522" s="93"/>
      <c r="F1522" s="93"/>
      <c r="G1522" s="93"/>
      <c r="H1522" s="93"/>
      <c r="I1522" s="93"/>
      <c r="J1522" s="93"/>
      <c r="K1522" s="93"/>
    </row>
    <row r="1523" spans="4:11" x14ac:dyDescent="0.25">
      <c r="D1523" s="93"/>
      <c r="E1523" s="93"/>
      <c r="F1523" s="93"/>
      <c r="G1523" s="93"/>
      <c r="H1523" s="93"/>
      <c r="I1523" s="93"/>
      <c r="J1523" s="93"/>
      <c r="K1523" s="93"/>
    </row>
    <row r="1524" spans="4:11" x14ac:dyDescent="0.25">
      <c r="D1524" s="93"/>
      <c r="E1524" s="93"/>
      <c r="F1524" s="93"/>
      <c r="G1524" s="93"/>
      <c r="H1524" s="93"/>
      <c r="I1524" s="93"/>
      <c r="J1524" s="93"/>
      <c r="K1524" s="93"/>
    </row>
    <row r="1525" spans="4:11" x14ac:dyDescent="0.25">
      <c r="D1525" s="93"/>
      <c r="E1525" s="93"/>
      <c r="F1525" s="93"/>
      <c r="G1525" s="93"/>
      <c r="H1525" s="93"/>
      <c r="I1525" s="93"/>
      <c r="J1525" s="93"/>
      <c r="K1525" s="93"/>
    </row>
    <row r="1526" spans="4:11" x14ac:dyDescent="0.25">
      <c r="D1526" s="93"/>
      <c r="E1526" s="93"/>
      <c r="F1526" s="93"/>
      <c r="G1526" s="93"/>
      <c r="H1526" s="93"/>
      <c r="I1526" s="93"/>
      <c r="J1526" s="93"/>
      <c r="K1526" s="93"/>
    </row>
    <row r="1527" spans="4:11" x14ac:dyDescent="0.25">
      <c r="D1527" s="93"/>
      <c r="E1527" s="93"/>
      <c r="F1527" s="93"/>
      <c r="G1527" s="93"/>
      <c r="H1527" s="93"/>
      <c r="I1527" s="93"/>
      <c r="J1527" s="93"/>
      <c r="K1527" s="93"/>
    </row>
    <row r="1528" spans="4:11" x14ac:dyDescent="0.25">
      <c r="D1528" s="93"/>
      <c r="E1528" s="93"/>
      <c r="F1528" s="93"/>
      <c r="G1528" s="93"/>
      <c r="H1528" s="93"/>
      <c r="I1528" s="93"/>
      <c r="J1528" s="93"/>
      <c r="K1528" s="93"/>
    </row>
    <row r="1529" spans="4:11" x14ac:dyDescent="0.25">
      <c r="D1529" s="93"/>
      <c r="E1529" s="93"/>
      <c r="F1529" s="93"/>
      <c r="G1529" s="93"/>
      <c r="H1529" s="93"/>
      <c r="I1529" s="93"/>
      <c r="J1529" s="93"/>
      <c r="K1529" s="93"/>
    </row>
    <row r="1530" spans="4:11" x14ac:dyDescent="0.25">
      <c r="D1530" s="93"/>
      <c r="E1530" s="93"/>
      <c r="F1530" s="93"/>
      <c r="G1530" s="93"/>
      <c r="H1530" s="93"/>
      <c r="I1530" s="93"/>
      <c r="J1530" s="93"/>
      <c r="K1530" s="93"/>
    </row>
    <row r="1531" spans="4:11" x14ac:dyDescent="0.25">
      <c r="D1531" s="93"/>
      <c r="E1531" s="93"/>
      <c r="F1531" s="93"/>
      <c r="G1531" s="93"/>
      <c r="H1531" s="93"/>
      <c r="I1531" s="93"/>
      <c r="J1531" s="93"/>
      <c r="K1531" s="93"/>
    </row>
    <row r="1532" spans="4:11" x14ac:dyDescent="0.25">
      <c r="D1532" s="93"/>
      <c r="E1532" s="93"/>
      <c r="F1532" s="93"/>
      <c r="G1532" s="93"/>
      <c r="H1532" s="93"/>
      <c r="I1532" s="93"/>
      <c r="J1532" s="93"/>
      <c r="K1532" s="93"/>
    </row>
    <row r="1533" spans="4:11" x14ac:dyDescent="0.25">
      <c r="D1533" s="93"/>
      <c r="E1533" s="93"/>
      <c r="F1533" s="93"/>
      <c r="G1533" s="93"/>
      <c r="H1533" s="93"/>
      <c r="I1533" s="93"/>
      <c r="J1533" s="93"/>
      <c r="K1533" s="93"/>
    </row>
    <row r="1534" spans="4:11" x14ac:dyDescent="0.25">
      <c r="D1534" s="93"/>
      <c r="E1534" s="93"/>
      <c r="F1534" s="93"/>
      <c r="G1534" s="93"/>
      <c r="H1534" s="93"/>
      <c r="I1534" s="93"/>
      <c r="J1534" s="93"/>
      <c r="K1534" s="93"/>
    </row>
    <row r="1535" spans="4:11" x14ac:dyDescent="0.25">
      <c r="D1535" s="93"/>
      <c r="E1535" s="93"/>
      <c r="F1535" s="93"/>
      <c r="G1535" s="93"/>
      <c r="H1535" s="93"/>
      <c r="I1535" s="93"/>
      <c r="J1535" s="93"/>
      <c r="K1535" s="93"/>
    </row>
    <row r="1536" spans="4:11" x14ac:dyDescent="0.25">
      <c r="D1536" s="93"/>
      <c r="E1536" s="93"/>
      <c r="F1536" s="93"/>
      <c r="G1536" s="93"/>
      <c r="H1536" s="93"/>
      <c r="I1536" s="93"/>
      <c r="J1536" s="93"/>
      <c r="K1536" s="93"/>
    </row>
    <row r="1537" spans="4:11" x14ac:dyDescent="0.25">
      <c r="D1537" s="93"/>
      <c r="E1537" s="93"/>
      <c r="F1537" s="93"/>
      <c r="G1537" s="93"/>
      <c r="H1537" s="93"/>
      <c r="I1537" s="93"/>
      <c r="J1537" s="93"/>
      <c r="K1537" s="93"/>
    </row>
    <row r="1538" spans="4:11" x14ac:dyDescent="0.25">
      <c r="D1538" s="93"/>
      <c r="E1538" s="93"/>
      <c r="F1538" s="93"/>
      <c r="G1538" s="93"/>
      <c r="H1538" s="93"/>
      <c r="I1538" s="93"/>
      <c r="J1538" s="93"/>
      <c r="K1538" s="93"/>
    </row>
    <row r="1539" spans="4:11" x14ac:dyDescent="0.25">
      <c r="D1539" s="93"/>
      <c r="E1539" s="93"/>
      <c r="F1539" s="93"/>
      <c r="G1539" s="93"/>
      <c r="H1539" s="93"/>
      <c r="I1539" s="93"/>
      <c r="J1539" s="93"/>
      <c r="K1539" s="93"/>
    </row>
    <row r="1540" spans="4:11" x14ac:dyDescent="0.25">
      <c r="D1540" s="93"/>
      <c r="E1540" s="93"/>
      <c r="F1540" s="93"/>
      <c r="G1540" s="93"/>
      <c r="H1540" s="93"/>
      <c r="I1540" s="93"/>
      <c r="J1540" s="93"/>
      <c r="K1540" s="93"/>
    </row>
    <row r="1541" spans="4:11" x14ac:dyDescent="0.25">
      <c r="D1541" s="93"/>
      <c r="E1541" s="93"/>
      <c r="F1541" s="93"/>
      <c r="G1541" s="93"/>
      <c r="H1541" s="93"/>
      <c r="I1541" s="93"/>
      <c r="J1541" s="93"/>
      <c r="K1541" s="93"/>
    </row>
    <row r="1542" spans="4:11" x14ac:dyDescent="0.25">
      <c r="D1542" s="93"/>
      <c r="E1542" s="93"/>
      <c r="F1542" s="93"/>
      <c r="G1542" s="93"/>
      <c r="H1542" s="93"/>
      <c r="I1542" s="93"/>
      <c r="J1542" s="93"/>
      <c r="K1542" s="93"/>
    </row>
    <row r="1543" spans="4:11" x14ac:dyDescent="0.25">
      <c r="D1543" s="93"/>
      <c r="E1543" s="93"/>
      <c r="F1543" s="93"/>
      <c r="G1543" s="93"/>
      <c r="H1543" s="93"/>
      <c r="I1543" s="93"/>
      <c r="J1543" s="93"/>
      <c r="K1543" s="93"/>
    </row>
    <row r="1544" spans="4:11" x14ac:dyDescent="0.25">
      <c r="D1544" s="93"/>
      <c r="E1544" s="93"/>
      <c r="F1544" s="93"/>
      <c r="G1544" s="93"/>
      <c r="H1544" s="93"/>
      <c r="I1544" s="93"/>
      <c r="J1544" s="93"/>
      <c r="K1544" s="93"/>
    </row>
    <row r="1545" spans="4:11" x14ac:dyDescent="0.25">
      <c r="D1545" s="93"/>
      <c r="E1545" s="93"/>
      <c r="F1545" s="93"/>
      <c r="G1545" s="93"/>
      <c r="H1545" s="93"/>
      <c r="I1545" s="93"/>
      <c r="J1545" s="93"/>
      <c r="K1545" s="93"/>
    </row>
    <row r="1546" spans="4:11" x14ac:dyDescent="0.25">
      <c r="D1546" s="93"/>
      <c r="E1546" s="93"/>
      <c r="F1546" s="93"/>
      <c r="G1546" s="93"/>
      <c r="H1546" s="93"/>
      <c r="I1546" s="93"/>
      <c r="J1546" s="93"/>
      <c r="K1546" s="93"/>
    </row>
    <row r="1547" spans="4:11" x14ac:dyDescent="0.25">
      <c r="D1547" s="93"/>
      <c r="E1547" s="93"/>
      <c r="F1547" s="93"/>
      <c r="G1547" s="93"/>
      <c r="H1547" s="93"/>
      <c r="I1547" s="93"/>
      <c r="J1547" s="93"/>
      <c r="K1547" s="93"/>
    </row>
    <row r="1548" spans="4:11" x14ac:dyDescent="0.25">
      <c r="D1548" s="93"/>
      <c r="E1548" s="93"/>
      <c r="F1548" s="93"/>
      <c r="G1548" s="93"/>
      <c r="H1548" s="93"/>
      <c r="I1548" s="93"/>
      <c r="J1548" s="93"/>
      <c r="K1548" s="93"/>
    </row>
    <row r="1549" spans="4:11" x14ac:dyDescent="0.25">
      <c r="D1549" s="93"/>
      <c r="E1549" s="93"/>
      <c r="F1549" s="93"/>
      <c r="G1549" s="93"/>
      <c r="H1549" s="93"/>
      <c r="I1549" s="93"/>
      <c r="J1549" s="93"/>
      <c r="K1549" s="93"/>
    </row>
    <row r="1550" spans="4:11" x14ac:dyDescent="0.25">
      <c r="D1550" s="93"/>
      <c r="E1550" s="93"/>
      <c r="F1550" s="93"/>
      <c r="G1550" s="93"/>
      <c r="H1550" s="93"/>
      <c r="I1550" s="93"/>
      <c r="J1550" s="93"/>
      <c r="K1550" s="93"/>
    </row>
    <row r="1551" spans="4:11" x14ac:dyDescent="0.25">
      <c r="D1551" s="93"/>
      <c r="E1551" s="93"/>
      <c r="F1551" s="93"/>
      <c r="G1551" s="93"/>
      <c r="H1551" s="93"/>
      <c r="I1551" s="93"/>
      <c r="J1551" s="93"/>
      <c r="K1551" s="93"/>
    </row>
    <row r="1552" spans="4:11" x14ac:dyDescent="0.25">
      <c r="D1552" s="93"/>
      <c r="E1552" s="93"/>
      <c r="F1552" s="93"/>
      <c r="G1552" s="93"/>
      <c r="H1552" s="93"/>
      <c r="I1552" s="93"/>
      <c r="J1552" s="93"/>
      <c r="K1552" s="93"/>
    </row>
    <row r="1553" spans="4:11" x14ac:dyDescent="0.25">
      <c r="D1553" s="93"/>
      <c r="E1553" s="93"/>
      <c r="F1553" s="93"/>
      <c r="G1553" s="93"/>
      <c r="H1553" s="93"/>
      <c r="I1553" s="93"/>
      <c r="J1553" s="93"/>
      <c r="K1553" s="93"/>
    </row>
    <row r="1554" spans="4:11" x14ac:dyDescent="0.25">
      <c r="D1554" s="93"/>
      <c r="E1554" s="93"/>
      <c r="F1554" s="93"/>
      <c r="G1554" s="93"/>
      <c r="H1554" s="93"/>
      <c r="I1554" s="93"/>
      <c r="J1554" s="93"/>
      <c r="K1554" s="93"/>
    </row>
    <row r="1555" spans="4:11" x14ac:dyDescent="0.25">
      <c r="D1555" s="93"/>
      <c r="E1555" s="93"/>
      <c r="F1555" s="93"/>
      <c r="G1555" s="93"/>
      <c r="H1555" s="93"/>
      <c r="I1555" s="93"/>
      <c r="J1555" s="93"/>
      <c r="K1555" s="93"/>
    </row>
    <row r="1556" spans="4:11" x14ac:dyDescent="0.25">
      <c r="D1556" s="93"/>
      <c r="E1556" s="93"/>
      <c r="F1556" s="93"/>
      <c r="G1556" s="93"/>
      <c r="H1556" s="93"/>
      <c r="I1556" s="93"/>
      <c r="J1556" s="93"/>
      <c r="K1556" s="93"/>
    </row>
    <row r="1557" spans="4:11" x14ac:dyDescent="0.25">
      <c r="D1557" s="93"/>
      <c r="E1557" s="93"/>
      <c r="F1557" s="93"/>
      <c r="G1557" s="93"/>
      <c r="H1557" s="93"/>
      <c r="I1557" s="93"/>
      <c r="J1557" s="93"/>
      <c r="K1557" s="93"/>
    </row>
    <row r="1558" spans="4:11" x14ac:dyDescent="0.25">
      <c r="D1558" s="93"/>
      <c r="E1558" s="93"/>
      <c r="F1558" s="93"/>
      <c r="G1558" s="93"/>
      <c r="H1558" s="93"/>
      <c r="I1558" s="93"/>
      <c r="J1558" s="93"/>
      <c r="K1558" s="93"/>
    </row>
    <row r="1559" spans="4:11" x14ac:dyDescent="0.25">
      <c r="D1559" s="93"/>
      <c r="E1559" s="93"/>
      <c r="F1559" s="93"/>
      <c r="G1559" s="93"/>
      <c r="H1559" s="93"/>
      <c r="I1559" s="93"/>
      <c r="J1559" s="93"/>
      <c r="K1559" s="93"/>
    </row>
    <row r="1560" spans="4:11" x14ac:dyDescent="0.25">
      <c r="D1560" s="93"/>
      <c r="E1560" s="93"/>
      <c r="F1560" s="93"/>
      <c r="G1560" s="93"/>
      <c r="H1560" s="93"/>
      <c r="I1560" s="93"/>
      <c r="J1560" s="93"/>
      <c r="K1560" s="93"/>
    </row>
    <row r="1561" spans="4:11" x14ac:dyDescent="0.25">
      <c r="D1561" s="93"/>
      <c r="E1561" s="93"/>
      <c r="F1561" s="93"/>
      <c r="G1561" s="93"/>
      <c r="H1561" s="93"/>
      <c r="I1561" s="93"/>
      <c r="J1561" s="93"/>
      <c r="K1561" s="93"/>
    </row>
    <row r="1562" spans="4:11" x14ac:dyDescent="0.25">
      <c r="D1562" s="93"/>
      <c r="E1562" s="93"/>
      <c r="F1562" s="93"/>
      <c r="G1562" s="93"/>
      <c r="H1562" s="93"/>
      <c r="I1562" s="93"/>
      <c r="J1562" s="93"/>
      <c r="K1562" s="93"/>
    </row>
    <row r="1563" spans="4:11" x14ac:dyDescent="0.25">
      <c r="D1563" s="93"/>
      <c r="E1563" s="93"/>
      <c r="F1563" s="93"/>
      <c r="G1563" s="93"/>
      <c r="H1563" s="93"/>
      <c r="I1563" s="93"/>
      <c r="J1563" s="93"/>
      <c r="K1563" s="93"/>
    </row>
    <row r="1564" spans="4:11" x14ac:dyDescent="0.25">
      <c r="D1564" s="93"/>
      <c r="E1564" s="93"/>
      <c r="F1564" s="93"/>
      <c r="G1564" s="93"/>
      <c r="H1564" s="93"/>
      <c r="I1564" s="93"/>
      <c r="J1564" s="93"/>
      <c r="K1564" s="93"/>
    </row>
    <row r="1565" spans="4:11" x14ac:dyDescent="0.25">
      <c r="D1565" s="93"/>
      <c r="E1565" s="93"/>
      <c r="F1565" s="93"/>
      <c r="G1565" s="93"/>
      <c r="H1565" s="93"/>
      <c r="I1565" s="93"/>
      <c r="J1565" s="93"/>
      <c r="K1565" s="93"/>
    </row>
    <row r="1566" spans="4:11" x14ac:dyDescent="0.25">
      <c r="D1566" s="93"/>
      <c r="E1566" s="93"/>
      <c r="F1566" s="93"/>
      <c r="G1566" s="93"/>
      <c r="H1566" s="93"/>
      <c r="I1566" s="93"/>
      <c r="J1566" s="93"/>
      <c r="K1566" s="93"/>
    </row>
    <row r="1567" spans="4:11" x14ac:dyDescent="0.25">
      <c r="D1567" s="93"/>
      <c r="E1567" s="93"/>
      <c r="F1567" s="93"/>
      <c r="G1567" s="93"/>
      <c r="H1567" s="93"/>
      <c r="I1567" s="93"/>
      <c r="J1567" s="93"/>
      <c r="K1567" s="93"/>
    </row>
    <row r="1568" spans="4:11" x14ac:dyDescent="0.25">
      <c r="D1568" s="93"/>
      <c r="E1568" s="93"/>
      <c r="F1568" s="93"/>
      <c r="G1568" s="93"/>
      <c r="H1568" s="93"/>
      <c r="I1568" s="93"/>
      <c r="J1568" s="93"/>
      <c r="K1568" s="93"/>
    </row>
    <row r="1569" spans="4:11" x14ac:dyDescent="0.25">
      <c r="D1569" s="93"/>
      <c r="E1569" s="93"/>
      <c r="F1569" s="93"/>
      <c r="G1569" s="93"/>
      <c r="H1569" s="93"/>
      <c r="I1569" s="93"/>
      <c r="J1569" s="93"/>
      <c r="K1569" s="93"/>
    </row>
    <row r="1570" spans="4:11" x14ac:dyDescent="0.25">
      <c r="D1570" s="93"/>
      <c r="E1570" s="93"/>
      <c r="F1570" s="93"/>
      <c r="G1570" s="93"/>
      <c r="H1570" s="93"/>
      <c r="I1570" s="93"/>
      <c r="J1570" s="93"/>
      <c r="K1570" s="93"/>
    </row>
    <row r="1571" spans="4:11" x14ac:dyDescent="0.25">
      <c r="D1571" s="93"/>
      <c r="E1571" s="93"/>
      <c r="F1571" s="93"/>
      <c r="G1571" s="93"/>
      <c r="H1571" s="93"/>
      <c r="I1571" s="93"/>
      <c r="J1571" s="93"/>
      <c r="K1571" s="93"/>
    </row>
    <row r="1572" spans="4:11" x14ac:dyDescent="0.25">
      <c r="D1572" s="93"/>
      <c r="E1572" s="93"/>
      <c r="F1572" s="93"/>
      <c r="G1572" s="93"/>
      <c r="H1572" s="93"/>
      <c r="I1572" s="93"/>
      <c r="J1572" s="93"/>
      <c r="K1572" s="93"/>
    </row>
    <row r="1573" spans="4:11" x14ac:dyDescent="0.25">
      <c r="D1573" s="93"/>
      <c r="E1573" s="93"/>
      <c r="F1573" s="93"/>
      <c r="G1573" s="93"/>
      <c r="H1573" s="93"/>
      <c r="I1573" s="93"/>
      <c r="J1573" s="93"/>
      <c r="K1573" s="93"/>
    </row>
    <row r="1574" spans="4:11" x14ac:dyDescent="0.25">
      <c r="D1574" s="93"/>
      <c r="E1574" s="93"/>
      <c r="F1574" s="93"/>
      <c r="G1574" s="93"/>
      <c r="H1574" s="93"/>
      <c r="I1574" s="93"/>
      <c r="J1574" s="93"/>
      <c r="K1574" s="93"/>
    </row>
    <row r="1575" spans="4:11" x14ac:dyDescent="0.25">
      <c r="D1575" s="93"/>
      <c r="E1575" s="93"/>
      <c r="F1575" s="93"/>
      <c r="G1575" s="93"/>
      <c r="H1575" s="93"/>
      <c r="I1575" s="93"/>
      <c r="J1575" s="93"/>
      <c r="K1575" s="93"/>
    </row>
    <row r="1576" spans="4:11" x14ac:dyDescent="0.25">
      <c r="D1576" s="93"/>
      <c r="E1576" s="93"/>
      <c r="F1576" s="93"/>
      <c r="G1576" s="93"/>
      <c r="H1576" s="93"/>
      <c r="I1576" s="93"/>
      <c r="J1576" s="93"/>
      <c r="K1576" s="93"/>
    </row>
    <row r="1577" spans="4:11" x14ac:dyDescent="0.25">
      <c r="D1577" s="93"/>
      <c r="E1577" s="93"/>
      <c r="F1577" s="93"/>
      <c r="G1577" s="93"/>
      <c r="H1577" s="93"/>
      <c r="I1577" s="93"/>
      <c r="J1577" s="93"/>
      <c r="K1577" s="93"/>
    </row>
    <row r="1578" spans="4:11" x14ac:dyDescent="0.25">
      <c r="D1578" s="93"/>
      <c r="E1578" s="93"/>
      <c r="F1578" s="93"/>
      <c r="G1578" s="93"/>
      <c r="H1578" s="93"/>
      <c r="I1578" s="93"/>
      <c r="J1578" s="93"/>
      <c r="K1578" s="93"/>
    </row>
    <row r="1579" spans="4:11" x14ac:dyDescent="0.25">
      <c r="D1579" s="93"/>
      <c r="E1579" s="93"/>
      <c r="F1579" s="93"/>
      <c r="G1579" s="93"/>
      <c r="H1579" s="93"/>
      <c r="I1579" s="93"/>
      <c r="J1579" s="93"/>
      <c r="K1579" s="93"/>
    </row>
    <row r="1580" spans="4:11" x14ac:dyDescent="0.25">
      <c r="D1580" s="93"/>
      <c r="E1580" s="93"/>
      <c r="F1580" s="93"/>
      <c r="G1580" s="93"/>
      <c r="H1580" s="93"/>
      <c r="I1580" s="93"/>
      <c r="J1580" s="93"/>
      <c r="K1580" s="93"/>
    </row>
    <row r="1581" spans="4:11" x14ac:dyDescent="0.25">
      <c r="D1581" s="93"/>
      <c r="E1581" s="93"/>
      <c r="F1581" s="93"/>
      <c r="G1581" s="93"/>
      <c r="H1581" s="93"/>
      <c r="I1581" s="93"/>
      <c r="J1581" s="93"/>
      <c r="K1581" s="93"/>
    </row>
    <row r="1582" spans="4:11" x14ac:dyDescent="0.25">
      <c r="D1582" s="93"/>
      <c r="E1582" s="93"/>
      <c r="F1582" s="93"/>
      <c r="G1582" s="93"/>
      <c r="H1582" s="93"/>
      <c r="I1582" s="93"/>
      <c r="J1582" s="93"/>
      <c r="K1582" s="93"/>
    </row>
    <row r="1583" spans="4:11" x14ac:dyDescent="0.25">
      <c r="D1583" s="93"/>
      <c r="E1583" s="93"/>
      <c r="F1583" s="93"/>
      <c r="G1583" s="93"/>
      <c r="H1583" s="93"/>
      <c r="I1583" s="93"/>
      <c r="J1583" s="93"/>
      <c r="K1583" s="93"/>
    </row>
    <row r="1584" spans="4:11" x14ac:dyDescent="0.25">
      <c r="D1584" s="93"/>
      <c r="E1584" s="93"/>
      <c r="F1584" s="93"/>
      <c r="G1584" s="93"/>
      <c r="H1584" s="93"/>
      <c r="I1584" s="93"/>
      <c r="J1584" s="93"/>
      <c r="K1584" s="93"/>
    </row>
    <row r="1585" spans="4:11" x14ac:dyDescent="0.25">
      <c r="D1585" s="93"/>
      <c r="E1585" s="93"/>
      <c r="F1585" s="93"/>
      <c r="G1585" s="93"/>
      <c r="H1585" s="93"/>
      <c r="I1585" s="93"/>
      <c r="J1585" s="93"/>
      <c r="K1585" s="93"/>
    </row>
    <row r="1586" spans="4:11" x14ac:dyDescent="0.25">
      <c r="D1586" s="93"/>
      <c r="E1586" s="93"/>
      <c r="F1586" s="93"/>
      <c r="G1586" s="93"/>
      <c r="H1586" s="93"/>
      <c r="I1586" s="93"/>
      <c r="J1586" s="93"/>
      <c r="K1586" s="93"/>
    </row>
    <row r="1587" spans="4:11" x14ac:dyDescent="0.25">
      <c r="D1587" s="93"/>
      <c r="E1587" s="93"/>
      <c r="F1587" s="93"/>
      <c r="G1587" s="93"/>
      <c r="H1587" s="93"/>
      <c r="I1587" s="93"/>
      <c r="J1587" s="93"/>
      <c r="K1587" s="93"/>
    </row>
    <row r="1588" spans="4:11" x14ac:dyDescent="0.25">
      <c r="D1588" s="93"/>
      <c r="E1588" s="93"/>
      <c r="F1588" s="93"/>
      <c r="G1588" s="93"/>
      <c r="H1588" s="93"/>
      <c r="I1588" s="93"/>
      <c r="J1588" s="93"/>
      <c r="K1588" s="93"/>
    </row>
    <row r="1589" spans="4:11" x14ac:dyDescent="0.25">
      <c r="D1589" s="93"/>
      <c r="E1589" s="93"/>
      <c r="F1589" s="93"/>
      <c r="G1589" s="93"/>
      <c r="H1589" s="93"/>
      <c r="I1589" s="93"/>
      <c r="J1589" s="93"/>
      <c r="K1589" s="93"/>
    </row>
    <row r="1590" spans="4:11" x14ac:dyDescent="0.25">
      <c r="D1590" s="93"/>
      <c r="E1590" s="93"/>
      <c r="F1590" s="93"/>
      <c r="G1590" s="93"/>
      <c r="H1590" s="93"/>
      <c r="I1590" s="93"/>
      <c r="J1590" s="93"/>
      <c r="K1590" s="93"/>
    </row>
    <row r="1591" spans="4:11" x14ac:dyDescent="0.25">
      <c r="D1591" s="93"/>
      <c r="E1591" s="93"/>
      <c r="F1591" s="93"/>
      <c r="G1591" s="93"/>
      <c r="H1591" s="93"/>
      <c r="I1591" s="93"/>
      <c r="J1591" s="93"/>
      <c r="K1591" s="93"/>
    </row>
    <row r="1592" spans="4:11" x14ac:dyDescent="0.25">
      <c r="D1592" s="93"/>
      <c r="E1592" s="93"/>
      <c r="F1592" s="93"/>
      <c r="G1592" s="93"/>
      <c r="H1592" s="93"/>
      <c r="I1592" s="93"/>
      <c r="J1592" s="93"/>
      <c r="K1592" s="93"/>
    </row>
    <row r="1593" spans="4:11" x14ac:dyDescent="0.25">
      <c r="D1593" s="93"/>
      <c r="E1593" s="93"/>
      <c r="F1593" s="93"/>
      <c r="G1593" s="93"/>
      <c r="H1593" s="93"/>
      <c r="I1593" s="93"/>
      <c r="J1593" s="93"/>
      <c r="K1593" s="93"/>
    </row>
    <row r="1594" spans="4:11" x14ac:dyDescent="0.25">
      <c r="D1594" s="93"/>
      <c r="E1594" s="93"/>
      <c r="F1594" s="93"/>
      <c r="G1594" s="93"/>
      <c r="H1594" s="93"/>
      <c r="I1594" s="93"/>
      <c r="J1594" s="93"/>
      <c r="K1594" s="93"/>
    </row>
    <row r="1595" spans="4:11" x14ac:dyDescent="0.25">
      <c r="D1595" s="93"/>
      <c r="E1595" s="93"/>
      <c r="F1595" s="93"/>
      <c r="G1595" s="93"/>
      <c r="H1595" s="93"/>
      <c r="I1595" s="93"/>
      <c r="J1595" s="93"/>
      <c r="K1595" s="93"/>
    </row>
    <row r="1596" spans="4:11" x14ac:dyDescent="0.25">
      <c r="D1596" s="93"/>
      <c r="E1596" s="93"/>
      <c r="F1596" s="93"/>
      <c r="G1596" s="93"/>
      <c r="H1596" s="93"/>
      <c r="I1596" s="93"/>
      <c r="J1596" s="93"/>
      <c r="K1596" s="93"/>
    </row>
    <row r="1597" spans="4:11" x14ac:dyDescent="0.25">
      <c r="D1597" s="93"/>
      <c r="E1597" s="93"/>
      <c r="F1597" s="93"/>
      <c r="G1597" s="93"/>
      <c r="H1597" s="93"/>
      <c r="I1597" s="93"/>
      <c r="J1597" s="93"/>
      <c r="K1597" s="93"/>
    </row>
    <row r="1598" spans="4:11" x14ac:dyDescent="0.25">
      <c r="D1598" s="93"/>
      <c r="E1598" s="93"/>
      <c r="F1598" s="93"/>
      <c r="G1598" s="93"/>
      <c r="H1598" s="93"/>
      <c r="I1598" s="93"/>
      <c r="J1598" s="93"/>
      <c r="K1598" s="93"/>
    </row>
    <row r="1599" spans="4:11" x14ac:dyDescent="0.25">
      <c r="D1599" s="93"/>
      <c r="E1599" s="93"/>
      <c r="F1599" s="93"/>
      <c r="G1599" s="93"/>
      <c r="H1599" s="93"/>
      <c r="I1599" s="93"/>
      <c r="J1599" s="93"/>
      <c r="K1599" s="93"/>
    </row>
    <row r="1600" spans="4:11" x14ac:dyDescent="0.25">
      <c r="D1600" s="93"/>
      <c r="E1600" s="93"/>
      <c r="F1600" s="93"/>
      <c r="G1600" s="93"/>
      <c r="H1600" s="93"/>
      <c r="I1600" s="93"/>
      <c r="J1600" s="93"/>
      <c r="K1600" s="93"/>
    </row>
    <row r="1601" spans="4:11" x14ac:dyDescent="0.25">
      <c r="D1601" s="93"/>
      <c r="E1601" s="93"/>
      <c r="F1601" s="93"/>
      <c r="G1601" s="93"/>
      <c r="H1601" s="93"/>
      <c r="I1601" s="93"/>
      <c r="J1601" s="93"/>
      <c r="K1601" s="93"/>
    </row>
    <row r="1602" spans="4:11" x14ac:dyDescent="0.25">
      <c r="D1602" s="93"/>
      <c r="E1602" s="93"/>
      <c r="F1602" s="93"/>
      <c r="G1602" s="93"/>
      <c r="H1602" s="93"/>
      <c r="I1602" s="93"/>
      <c r="J1602" s="93"/>
      <c r="K1602" s="93"/>
    </row>
    <row r="1603" spans="4:11" x14ac:dyDescent="0.25">
      <c r="D1603" s="93"/>
      <c r="E1603" s="93"/>
      <c r="F1603" s="93"/>
      <c r="G1603" s="93"/>
      <c r="H1603" s="93"/>
      <c r="I1603" s="93"/>
      <c r="J1603" s="93"/>
      <c r="K1603" s="93"/>
    </row>
    <row r="1604" spans="4:11" x14ac:dyDescent="0.25">
      <c r="D1604" s="93"/>
      <c r="E1604" s="93"/>
      <c r="F1604" s="93"/>
      <c r="G1604" s="93"/>
      <c r="H1604" s="93"/>
      <c r="I1604" s="93"/>
      <c r="J1604" s="93"/>
      <c r="K1604" s="93"/>
    </row>
    <row r="1605" spans="4:11" x14ac:dyDescent="0.25">
      <c r="D1605" s="93"/>
      <c r="E1605" s="93"/>
      <c r="F1605" s="93"/>
      <c r="G1605" s="93"/>
      <c r="H1605" s="93"/>
      <c r="I1605" s="93"/>
      <c r="J1605" s="93"/>
      <c r="K1605" s="93"/>
    </row>
    <row r="1606" spans="4:11" x14ac:dyDescent="0.25">
      <c r="D1606" s="93"/>
      <c r="E1606" s="93"/>
      <c r="F1606" s="93"/>
      <c r="G1606" s="93"/>
      <c r="H1606" s="93"/>
      <c r="I1606" s="93"/>
      <c r="J1606" s="93"/>
      <c r="K1606" s="93"/>
    </row>
    <row r="1607" spans="4:11" x14ac:dyDescent="0.25">
      <c r="D1607" s="93"/>
      <c r="E1607" s="93"/>
      <c r="F1607" s="93"/>
      <c r="G1607" s="93"/>
      <c r="H1607" s="93"/>
      <c r="I1607" s="93"/>
      <c r="J1607" s="93"/>
      <c r="K1607" s="93"/>
    </row>
    <row r="1608" spans="4:11" x14ac:dyDescent="0.25">
      <c r="D1608" s="93"/>
      <c r="E1608" s="93"/>
      <c r="F1608" s="93"/>
      <c r="G1608" s="93"/>
      <c r="H1608" s="93"/>
      <c r="I1608" s="93"/>
      <c r="J1608" s="93"/>
      <c r="K1608" s="93"/>
    </row>
    <row r="1609" spans="4:11" x14ac:dyDescent="0.25">
      <c r="D1609" s="93"/>
      <c r="E1609" s="93"/>
      <c r="F1609" s="93"/>
      <c r="G1609" s="93"/>
      <c r="H1609" s="93"/>
      <c r="I1609" s="93"/>
      <c r="J1609" s="93"/>
      <c r="K1609" s="93"/>
    </row>
    <row r="1610" spans="4:11" x14ac:dyDescent="0.25">
      <c r="D1610" s="93"/>
      <c r="E1610" s="93"/>
      <c r="F1610" s="93"/>
      <c r="G1610" s="93"/>
      <c r="H1610" s="93"/>
      <c r="I1610" s="93"/>
      <c r="J1610" s="93"/>
      <c r="K1610" s="93"/>
    </row>
    <row r="1611" spans="4:11" x14ac:dyDescent="0.25">
      <c r="D1611" s="93"/>
      <c r="E1611" s="93"/>
      <c r="F1611" s="93"/>
      <c r="G1611" s="93"/>
      <c r="H1611" s="93"/>
      <c r="I1611" s="93"/>
      <c r="J1611" s="93"/>
      <c r="K1611" s="93"/>
    </row>
    <row r="1612" spans="4:11" x14ac:dyDescent="0.25">
      <c r="D1612" s="93"/>
      <c r="E1612" s="93"/>
      <c r="F1612" s="93"/>
      <c r="G1612" s="93"/>
      <c r="H1612" s="93"/>
      <c r="I1612" s="93"/>
      <c r="J1612" s="93"/>
      <c r="K1612" s="93"/>
    </row>
    <row r="1613" spans="4:11" x14ac:dyDescent="0.25">
      <c r="D1613" s="93"/>
      <c r="E1613" s="93"/>
      <c r="F1613" s="93"/>
      <c r="G1613" s="93"/>
      <c r="H1613" s="93"/>
      <c r="I1613" s="93"/>
      <c r="J1613" s="93"/>
      <c r="K1613" s="93"/>
    </row>
    <row r="1614" spans="4:11" x14ac:dyDescent="0.25">
      <c r="D1614" s="93"/>
      <c r="E1614" s="93"/>
      <c r="F1614" s="93"/>
      <c r="G1614" s="93"/>
      <c r="H1614" s="93"/>
      <c r="I1614" s="93"/>
      <c r="J1614" s="93"/>
      <c r="K1614" s="93"/>
    </row>
    <row r="1615" spans="4:11" x14ac:dyDescent="0.25">
      <c r="D1615" s="93"/>
      <c r="E1615" s="93"/>
      <c r="F1615" s="93"/>
      <c r="G1615" s="93"/>
      <c r="H1615" s="93"/>
      <c r="I1615" s="93"/>
      <c r="J1615" s="93"/>
      <c r="K1615" s="93"/>
    </row>
    <row r="1616" spans="4:11" x14ac:dyDescent="0.25">
      <c r="D1616" s="93"/>
      <c r="E1616" s="93"/>
      <c r="F1616" s="93"/>
      <c r="G1616" s="93"/>
      <c r="H1616" s="93"/>
      <c r="I1616" s="93"/>
      <c r="J1616" s="93"/>
      <c r="K1616" s="93"/>
    </row>
    <row r="1617" spans="4:11" x14ac:dyDescent="0.25">
      <c r="D1617" s="93"/>
      <c r="E1617" s="93"/>
      <c r="F1617" s="93"/>
      <c r="G1617" s="93"/>
      <c r="H1617" s="93"/>
      <c r="I1617" s="93"/>
      <c r="J1617" s="93"/>
      <c r="K1617" s="93"/>
    </row>
    <row r="1618" spans="4:11" x14ac:dyDescent="0.25">
      <c r="D1618" s="93"/>
      <c r="E1618" s="93"/>
      <c r="F1618" s="93"/>
      <c r="G1618" s="93"/>
      <c r="H1618" s="93"/>
      <c r="I1618" s="93"/>
      <c r="J1618" s="93"/>
      <c r="K1618" s="93"/>
    </row>
    <row r="1619" spans="4:11" x14ac:dyDescent="0.25">
      <c r="D1619" s="93"/>
      <c r="E1619" s="93"/>
      <c r="F1619" s="93"/>
      <c r="G1619" s="93"/>
      <c r="H1619" s="93"/>
      <c r="I1619" s="93"/>
      <c r="J1619" s="93"/>
      <c r="K1619" s="93"/>
    </row>
    <row r="1620" spans="4:11" x14ac:dyDescent="0.25">
      <c r="D1620" s="93"/>
      <c r="E1620" s="93"/>
      <c r="F1620" s="93"/>
      <c r="G1620" s="93"/>
      <c r="H1620" s="93"/>
      <c r="I1620" s="93"/>
      <c r="J1620" s="93"/>
      <c r="K1620" s="93"/>
    </row>
    <row r="1621" spans="4:11" x14ac:dyDescent="0.25">
      <c r="D1621" s="93"/>
      <c r="E1621" s="93"/>
      <c r="F1621" s="93"/>
      <c r="G1621" s="93"/>
      <c r="H1621" s="93"/>
      <c r="I1621" s="93"/>
      <c r="J1621" s="93"/>
      <c r="K1621" s="93"/>
    </row>
    <row r="1622" spans="4:11" x14ac:dyDescent="0.25">
      <c r="D1622" s="93"/>
      <c r="E1622" s="93"/>
      <c r="F1622" s="93"/>
      <c r="G1622" s="93"/>
      <c r="H1622" s="93"/>
      <c r="I1622" s="93"/>
      <c r="J1622" s="93"/>
      <c r="K1622" s="93"/>
    </row>
    <row r="1623" spans="4:11" x14ac:dyDescent="0.25">
      <c r="D1623" s="93"/>
      <c r="E1623" s="93"/>
      <c r="F1623" s="93"/>
      <c r="G1623" s="93"/>
      <c r="H1623" s="93"/>
      <c r="I1623" s="93"/>
      <c r="J1623" s="93"/>
      <c r="K1623" s="93"/>
    </row>
    <row r="1624" spans="4:11" x14ac:dyDescent="0.25">
      <c r="D1624" s="93"/>
      <c r="E1624" s="93"/>
      <c r="F1624" s="93"/>
      <c r="G1624" s="93"/>
      <c r="H1624" s="93"/>
      <c r="I1624" s="93"/>
      <c r="J1624" s="93"/>
      <c r="K1624" s="93"/>
    </row>
    <row r="1625" spans="4:11" x14ac:dyDescent="0.25">
      <c r="D1625" s="93"/>
      <c r="E1625" s="93"/>
      <c r="F1625" s="93"/>
      <c r="G1625" s="93"/>
      <c r="H1625" s="93"/>
      <c r="I1625" s="93"/>
      <c r="J1625" s="93"/>
      <c r="K1625" s="93"/>
    </row>
    <row r="1626" spans="4:11" x14ac:dyDescent="0.25">
      <c r="D1626" s="93"/>
      <c r="E1626" s="93"/>
      <c r="F1626" s="93"/>
      <c r="G1626" s="93"/>
      <c r="H1626" s="93"/>
      <c r="I1626" s="93"/>
      <c r="J1626" s="93"/>
      <c r="K1626" s="93"/>
    </row>
    <row r="1627" spans="4:11" x14ac:dyDescent="0.25">
      <c r="D1627" s="93"/>
      <c r="E1627" s="93"/>
      <c r="F1627" s="93"/>
      <c r="G1627" s="93"/>
      <c r="H1627" s="93"/>
      <c r="I1627" s="93"/>
      <c r="J1627" s="93"/>
      <c r="K1627" s="93"/>
    </row>
    <row r="1628" spans="4:11" x14ac:dyDescent="0.25">
      <c r="D1628" s="93"/>
      <c r="E1628" s="93"/>
      <c r="F1628" s="93"/>
      <c r="G1628" s="93"/>
      <c r="H1628" s="93"/>
      <c r="I1628" s="93"/>
      <c r="J1628" s="93"/>
      <c r="K1628" s="93"/>
    </row>
    <row r="1629" spans="4:11" x14ac:dyDescent="0.25">
      <c r="D1629" s="93"/>
      <c r="E1629" s="93"/>
      <c r="F1629" s="93"/>
      <c r="G1629" s="93"/>
      <c r="H1629" s="93"/>
      <c r="I1629" s="93"/>
      <c r="J1629" s="93"/>
      <c r="K1629" s="93"/>
    </row>
    <row r="1630" spans="4:11" x14ac:dyDescent="0.25">
      <c r="D1630" s="93"/>
      <c r="E1630" s="93"/>
      <c r="F1630" s="93"/>
      <c r="G1630" s="93"/>
      <c r="H1630" s="93"/>
      <c r="I1630" s="93"/>
      <c r="J1630" s="93"/>
      <c r="K1630" s="93"/>
    </row>
    <row r="1631" spans="4:11" x14ac:dyDescent="0.25">
      <c r="D1631" s="93"/>
      <c r="E1631" s="93"/>
      <c r="F1631" s="93"/>
      <c r="G1631" s="93"/>
      <c r="H1631" s="93"/>
      <c r="I1631" s="93"/>
      <c r="J1631" s="93"/>
      <c r="K1631" s="93"/>
    </row>
    <row r="1632" spans="4:11" x14ac:dyDescent="0.25">
      <c r="D1632" s="93"/>
      <c r="E1632" s="93"/>
      <c r="F1632" s="93"/>
      <c r="G1632" s="93"/>
      <c r="H1632" s="93"/>
      <c r="I1632" s="93"/>
      <c r="J1632" s="93"/>
      <c r="K1632" s="93"/>
    </row>
    <row r="1633" spans="4:11" x14ac:dyDescent="0.25">
      <c r="D1633" s="93"/>
      <c r="E1633" s="93"/>
      <c r="F1633" s="93"/>
      <c r="G1633" s="93"/>
      <c r="H1633" s="93"/>
      <c r="I1633" s="93"/>
      <c r="J1633" s="93"/>
      <c r="K1633" s="93"/>
    </row>
    <row r="1634" spans="4:11" x14ac:dyDescent="0.25">
      <c r="D1634" s="93"/>
      <c r="E1634" s="93"/>
      <c r="F1634" s="93"/>
      <c r="G1634" s="93"/>
      <c r="H1634" s="93"/>
      <c r="I1634" s="93"/>
      <c r="J1634" s="93"/>
      <c r="K1634" s="93"/>
    </row>
    <row r="1635" spans="4:11" x14ac:dyDescent="0.25">
      <c r="D1635" s="93"/>
      <c r="E1635" s="93"/>
      <c r="F1635" s="93"/>
      <c r="G1635" s="93"/>
      <c r="H1635" s="93"/>
      <c r="I1635" s="93"/>
      <c r="J1635" s="93"/>
      <c r="K1635" s="93"/>
    </row>
    <row r="1636" spans="4:11" x14ac:dyDescent="0.25">
      <c r="D1636" s="93"/>
      <c r="E1636" s="93"/>
      <c r="F1636" s="93"/>
      <c r="G1636" s="93"/>
      <c r="H1636" s="93"/>
      <c r="I1636" s="93"/>
      <c r="J1636" s="93"/>
      <c r="K1636" s="93"/>
    </row>
    <row r="1637" spans="4:11" x14ac:dyDescent="0.25">
      <c r="D1637" s="93"/>
      <c r="E1637" s="93"/>
      <c r="F1637" s="93"/>
      <c r="G1637" s="93"/>
      <c r="H1637" s="93"/>
      <c r="I1637" s="93"/>
      <c r="J1637" s="93"/>
      <c r="K1637" s="93"/>
    </row>
    <row r="1638" spans="4:11" x14ac:dyDescent="0.25">
      <c r="D1638" s="93"/>
      <c r="E1638" s="93"/>
      <c r="F1638" s="93"/>
      <c r="G1638" s="93"/>
      <c r="H1638" s="93"/>
      <c r="I1638" s="93"/>
      <c r="J1638" s="93"/>
      <c r="K1638" s="93"/>
    </row>
    <row r="1639" spans="4:11" x14ac:dyDescent="0.25">
      <c r="D1639" s="93"/>
      <c r="E1639" s="93"/>
      <c r="F1639" s="93"/>
      <c r="G1639" s="93"/>
      <c r="H1639" s="93"/>
      <c r="I1639" s="93"/>
      <c r="J1639" s="93"/>
      <c r="K1639" s="93"/>
    </row>
    <row r="1640" spans="4:11" x14ac:dyDescent="0.25">
      <c r="D1640" s="93"/>
      <c r="E1640" s="93"/>
      <c r="F1640" s="93"/>
      <c r="G1640" s="93"/>
      <c r="H1640" s="93"/>
      <c r="I1640" s="93"/>
      <c r="J1640" s="93"/>
      <c r="K1640" s="93"/>
    </row>
    <row r="1641" spans="4:11" x14ac:dyDescent="0.25">
      <c r="D1641" s="93"/>
      <c r="E1641" s="93"/>
      <c r="F1641" s="93"/>
      <c r="G1641" s="93"/>
      <c r="H1641" s="93"/>
      <c r="I1641" s="93"/>
      <c r="J1641" s="93"/>
      <c r="K1641" s="93"/>
    </row>
    <row r="1642" spans="4:11" x14ac:dyDescent="0.25">
      <c r="D1642" s="93"/>
      <c r="E1642" s="93"/>
      <c r="F1642" s="93"/>
      <c r="G1642" s="93"/>
      <c r="H1642" s="93"/>
      <c r="I1642" s="93"/>
      <c r="J1642" s="93"/>
      <c r="K1642" s="93"/>
    </row>
    <row r="1643" spans="4:11" x14ac:dyDescent="0.25">
      <c r="D1643" s="93"/>
      <c r="E1643" s="93"/>
      <c r="F1643" s="93"/>
      <c r="G1643" s="93"/>
      <c r="H1643" s="93"/>
      <c r="I1643" s="93"/>
      <c r="J1643" s="93"/>
      <c r="K1643" s="93"/>
    </row>
    <row r="1644" spans="4:11" x14ac:dyDescent="0.25">
      <c r="D1644" s="93"/>
      <c r="E1644" s="93"/>
      <c r="F1644" s="93"/>
      <c r="G1644" s="93"/>
      <c r="H1644" s="93"/>
      <c r="I1644" s="93"/>
      <c r="J1644" s="93"/>
      <c r="K1644" s="93"/>
    </row>
    <row r="1645" spans="4:11" x14ac:dyDescent="0.25">
      <c r="D1645" s="93"/>
      <c r="E1645" s="93"/>
      <c r="F1645" s="93"/>
      <c r="G1645" s="93"/>
      <c r="H1645" s="93"/>
      <c r="I1645" s="93"/>
      <c r="J1645" s="93"/>
      <c r="K1645" s="93"/>
    </row>
    <row r="1646" spans="4:11" x14ac:dyDescent="0.25">
      <c r="D1646" s="93"/>
      <c r="E1646" s="93"/>
      <c r="F1646" s="93"/>
      <c r="G1646" s="93"/>
      <c r="H1646" s="93"/>
      <c r="I1646" s="93"/>
      <c r="J1646" s="93"/>
      <c r="K1646" s="93"/>
    </row>
    <row r="1647" spans="4:11" x14ac:dyDescent="0.25">
      <c r="D1647" s="93"/>
      <c r="E1647" s="93"/>
      <c r="F1647" s="93"/>
      <c r="G1647" s="93"/>
      <c r="H1647" s="93"/>
      <c r="I1647" s="93"/>
      <c r="J1647" s="93"/>
      <c r="K1647" s="93"/>
    </row>
    <row r="1648" spans="4:11" x14ac:dyDescent="0.25">
      <c r="D1648" s="93"/>
      <c r="E1648" s="93"/>
      <c r="F1648" s="93"/>
      <c r="G1648" s="93"/>
      <c r="H1648" s="93"/>
      <c r="I1648" s="93"/>
      <c r="J1648" s="93"/>
      <c r="K1648" s="93"/>
    </row>
    <row r="1649" spans="4:11" x14ac:dyDescent="0.25">
      <c r="D1649" s="93"/>
      <c r="E1649" s="93"/>
      <c r="F1649" s="93"/>
      <c r="G1649" s="93"/>
      <c r="H1649" s="93"/>
      <c r="I1649" s="93"/>
      <c r="J1649" s="93"/>
      <c r="K1649" s="93"/>
    </row>
    <row r="1650" spans="4:11" x14ac:dyDescent="0.25">
      <c r="D1650" s="93"/>
      <c r="E1650" s="93"/>
      <c r="F1650" s="93"/>
      <c r="G1650" s="93"/>
      <c r="H1650" s="93"/>
      <c r="I1650" s="93"/>
      <c r="J1650" s="93"/>
      <c r="K1650" s="93"/>
    </row>
    <row r="1651" spans="4:11" x14ac:dyDescent="0.25">
      <c r="D1651" s="93"/>
      <c r="E1651" s="93"/>
      <c r="F1651" s="93"/>
      <c r="G1651" s="93"/>
      <c r="H1651" s="93"/>
      <c r="I1651" s="93"/>
      <c r="J1651" s="93"/>
      <c r="K1651" s="93"/>
    </row>
    <row r="1652" spans="4:11" x14ac:dyDescent="0.25">
      <c r="D1652" s="93"/>
      <c r="E1652" s="93"/>
      <c r="F1652" s="93"/>
      <c r="G1652" s="93"/>
      <c r="H1652" s="93"/>
      <c r="I1652" s="93"/>
      <c r="J1652" s="93"/>
      <c r="K1652" s="93"/>
    </row>
    <row r="1653" spans="4:11" x14ac:dyDescent="0.25">
      <c r="D1653" s="93"/>
      <c r="E1653" s="93"/>
      <c r="F1653" s="93"/>
      <c r="G1653" s="93"/>
      <c r="H1653" s="93"/>
      <c r="I1653" s="93"/>
      <c r="J1653" s="93"/>
      <c r="K1653" s="93"/>
    </row>
    <row r="1654" spans="4:11" x14ac:dyDescent="0.25">
      <c r="D1654" s="93"/>
      <c r="E1654" s="93"/>
      <c r="F1654" s="93"/>
      <c r="G1654" s="93"/>
      <c r="H1654" s="93"/>
      <c r="I1654" s="93"/>
      <c r="J1654" s="93"/>
      <c r="K1654" s="93"/>
    </row>
    <row r="1655" spans="4:11" x14ac:dyDescent="0.25">
      <c r="D1655" s="93"/>
      <c r="E1655" s="93"/>
      <c r="F1655" s="93"/>
      <c r="G1655" s="93"/>
      <c r="H1655" s="93"/>
      <c r="I1655" s="93"/>
      <c r="J1655" s="93"/>
      <c r="K1655" s="93"/>
    </row>
    <row r="1656" spans="4:11" x14ac:dyDescent="0.25">
      <c r="D1656" s="93"/>
      <c r="E1656" s="93"/>
      <c r="F1656" s="93"/>
      <c r="G1656" s="93"/>
      <c r="H1656" s="93"/>
      <c r="I1656" s="93"/>
      <c r="J1656" s="93"/>
      <c r="K1656" s="93"/>
    </row>
    <row r="1657" spans="4:11" x14ac:dyDescent="0.25">
      <c r="D1657" s="93"/>
      <c r="E1657" s="93"/>
      <c r="F1657" s="93"/>
      <c r="G1657" s="93"/>
      <c r="H1657" s="93"/>
      <c r="I1657" s="93"/>
      <c r="J1657" s="93"/>
      <c r="K1657" s="93"/>
    </row>
    <row r="1658" spans="4:11" x14ac:dyDescent="0.25">
      <c r="D1658" s="93"/>
      <c r="E1658" s="93"/>
      <c r="F1658" s="93"/>
      <c r="G1658" s="93"/>
      <c r="H1658" s="93"/>
      <c r="I1658" s="93"/>
      <c r="J1658" s="93"/>
      <c r="K1658" s="93"/>
    </row>
    <row r="1659" spans="4:11" x14ac:dyDescent="0.25">
      <c r="D1659" s="93"/>
      <c r="E1659" s="93"/>
      <c r="F1659" s="93"/>
      <c r="G1659" s="93"/>
      <c r="H1659" s="93"/>
      <c r="I1659" s="93"/>
      <c r="J1659" s="93"/>
      <c r="K1659" s="93"/>
    </row>
    <row r="1660" spans="4:11" x14ac:dyDescent="0.25">
      <c r="D1660" s="93"/>
      <c r="E1660" s="93"/>
      <c r="F1660" s="93"/>
      <c r="G1660" s="93"/>
      <c r="H1660" s="93"/>
      <c r="I1660" s="93"/>
      <c r="J1660" s="93"/>
      <c r="K1660" s="93"/>
    </row>
    <row r="1661" spans="4:11" x14ac:dyDescent="0.25">
      <c r="D1661" s="93"/>
      <c r="E1661" s="93"/>
      <c r="F1661" s="93"/>
      <c r="G1661" s="93"/>
      <c r="H1661" s="93"/>
      <c r="I1661" s="93"/>
      <c r="J1661" s="93"/>
      <c r="K1661" s="93"/>
    </row>
    <row r="1662" spans="4:11" x14ac:dyDescent="0.25">
      <c r="D1662" s="93"/>
      <c r="E1662" s="93"/>
      <c r="F1662" s="93"/>
      <c r="G1662" s="93"/>
      <c r="H1662" s="93"/>
      <c r="I1662" s="93"/>
      <c r="J1662" s="93"/>
      <c r="K1662" s="93"/>
    </row>
    <row r="1663" spans="4:11" x14ac:dyDescent="0.25">
      <c r="D1663" s="93"/>
      <c r="E1663" s="93"/>
      <c r="F1663" s="93"/>
      <c r="G1663" s="93"/>
      <c r="H1663" s="93"/>
      <c r="I1663" s="93"/>
      <c r="J1663" s="93"/>
      <c r="K1663" s="93"/>
    </row>
    <row r="1664" spans="4:11" x14ac:dyDescent="0.25">
      <c r="D1664" s="93"/>
      <c r="E1664" s="93"/>
      <c r="F1664" s="93"/>
      <c r="G1664" s="93"/>
      <c r="H1664" s="93"/>
      <c r="I1664" s="93"/>
      <c r="J1664" s="93"/>
      <c r="K1664" s="93"/>
    </row>
    <row r="1665" spans="4:11" x14ac:dyDescent="0.25">
      <c r="D1665" s="93"/>
      <c r="E1665" s="93"/>
      <c r="F1665" s="93"/>
      <c r="G1665" s="93"/>
      <c r="H1665" s="93"/>
      <c r="I1665" s="93"/>
      <c r="J1665" s="93"/>
      <c r="K1665" s="93"/>
    </row>
    <row r="1666" spans="4:11" x14ac:dyDescent="0.25">
      <c r="D1666" s="93"/>
      <c r="E1666" s="93"/>
      <c r="F1666" s="93"/>
      <c r="G1666" s="93"/>
      <c r="H1666" s="93"/>
      <c r="I1666" s="93"/>
      <c r="J1666" s="93"/>
      <c r="K1666" s="93"/>
    </row>
    <row r="1667" spans="4:11" x14ac:dyDescent="0.25">
      <c r="D1667" s="93"/>
      <c r="E1667" s="93"/>
      <c r="F1667" s="93"/>
      <c r="G1667" s="93"/>
      <c r="H1667" s="93"/>
      <c r="I1667" s="93"/>
      <c r="J1667" s="93"/>
      <c r="K1667" s="93"/>
    </row>
    <row r="1668" spans="4:11" x14ac:dyDescent="0.25">
      <c r="D1668" s="93"/>
      <c r="E1668" s="93"/>
      <c r="F1668" s="93"/>
      <c r="G1668" s="93"/>
      <c r="H1668" s="93"/>
      <c r="I1668" s="93"/>
      <c r="J1668" s="93"/>
      <c r="K1668" s="93"/>
    </row>
    <row r="1669" spans="4:11" x14ac:dyDescent="0.25">
      <c r="D1669" s="93"/>
      <c r="E1669" s="93"/>
      <c r="F1669" s="93"/>
      <c r="G1669" s="93"/>
      <c r="H1669" s="93"/>
      <c r="I1669" s="93"/>
      <c r="J1669" s="93"/>
      <c r="K1669" s="93"/>
    </row>
    <row r="1670" spans="4:11" x14ac:dyDescent="0.25">
      <c r="D1670" s="93"/>
      <c r="E1670" s="93"/>
      <c r="F1670" s="93"/>
      <c r="G1670" s="93"/>
      <c r="H1670" s="93"/>
      <c r="I1670" s="93"/>
      <c r="J1670" s="93"/>
      <c r="K1670" s="93"/>
    </row>
    <row r="1671" spans="4:11" x14ac:dyDescent="0.25">
      <c r="D1671" s="93"/>
      <c r="E1671" s="93"/>
      <c r="F1671" s="93"/>
      <c r="G1671" s="93"/>
      <c r="H1671" s="93"/>
      <c r="I1671" s="93"/>
      <c r="J1671" s="93"/>
      <c r="K1671" s="93"/>
    </row>
    <row r="1672" spans="4:11" x14ac:dyDescent="0.25">
      <c r="D1672" s="93"/>
      <c r="E1672" s="93"/>
      <c r="F1672" s="93"/>
      <c r="G1672" s="93"/>
      <c r="H1672" s="93"/>
      <c r="I1672" s="93"/>
      <c r="J1672" s="93"/>
      <c r="K1672" s="93"/>
    </row>
    <row r="1673" spans="4:11" x14ac:dyDescent="0.25">
      <c r="D1673" s="93"/>
      <c r="E1673" s="93"/>
      <c r="F1673" s="93"/>
      <c r="G1673" s="93"/>
      <c r="H1673" s="93"/>
      <c r="I1673" s="93"/>
      <c r="J1673" s="93"/>
      <c r="K1673" s="93"/>
    </row>
    <row r="1674" spans="4:11" x14ac:dyDescent="0.25">
      <c r="D1674" s="93"/>
      <c r="E1674" s="93"/>
      <c r="F1674" s="93"/>
      <c r="G1674" s="93"/>
      <c r="H1674" s="93"/>
      <c r="I1674" s="93"/>
      <c r="J1674" s="93"/>
      <c r="K1674" s="93"/>
    </row>
    <row r="1675" spans="4:11" x14ac:dyDescent="0.25">
      <c r="D1675" s="93"/>
      <c r="E1675" s="93"/>
      <c r="F1675" s="93"/>
      <c r="G1675" s="93"/>
      <c r="H1675" s="93"/>
      <c r="I1675" s="93"/>
      <c r="J1675" s="93"/>
      <c r="K1675" s="93"/>
    </row>
    <row r="1676" spans="4:11" x14ac:dyDescent="0.25">
      <c r="D1676" s="93"/>
      <c r="E1676" s="93"/>
      <c r="F1676" s="93"/>
      <c r="G1676" s="93"/>
      <c r="H1676" s="93"/>
      <c r="I1676" s="93"/>
      <c r="J1676" s="93"/>
      <c r="K1676" s="93"/>
    </row>
    <row r="1677" spans="4:11" x14ac:dyDescent="0.25">
      <c r="D1677" s="93"/>
      <c r="E1677" s="93"/>
      <c r="F1677" s="93"/>
      <c r="G1677" s="93"/>
      <c r="H1677" s="93"/>
      <c r="I1677" s="93"/>
      <c r="J1677" s="93"/>
      <c r="K1677" s="93"/>
    </row>
    <row r="1678" spans="4:11" x14ac:dyDescent="0.25">
      <c r="D1678" s="93"/>
      <c r="E1678" s="93"/>
      <c r="F1678" s="93"/>
      <c r="G1678" s="93"/>
      <c r="H1678" s="93"/>
      <c r="I1678" s="93"/>
      <c r="J1678" s="93"/>
      <c r="K1678" s="93"/>
    </row>
    <row r="1679" spans="4:11" x14ac:dyDescent="0.25">
      <c r="D1679" s="93"/>
      <c r="E1679" s="93"/>
      <c r="F1679" s="93"/>
      <c r="G1679" s="93"/>
      <c r="H1679" s="93"/>
      <c r="I1679" s="93"/>
      <c r="J1679" s="93"/>
      <c r="K1679" s="93"/>
    </row>
    <row r="1680" spans="4:11" x14ac:dyDescent="0.25">
      <c r="D1680" s="93"/>
      <c r="E1680" s="93"/>
      <c r="F1680" s="93"/>
      <c r="G1680" s="93"/>
      <c r="H1680" s="93"/>
      <c r="I1680" s="93"/>
      <c r="J1680" s="93"/>
      <c r="K1680" s="93"/>
    </row>
    <row r="1681" spans="4:11" x14ac:dyDescent="0.25">
      <c r="D1681" s="93"/>
      <c r="E1681" s="93"/>
      <c r="F1681" s="93"/>
      <c r="G1681" s="93"/>
      <c r="H1681" s="93"/>
      <c r="I1681" s="93"/>
      <c r="J1681" s="93"/>
      <c r="K1681" s="93"/>
    </row>
    <row r="1682" spans="4:11" x14ac:dyDescent="0.25">
      <c r="D1682" s="93"/>
      <c r="E1682" s="93"/>
      <c r="F1682" s="93"/>
      <c r="G1682" s="93"/>
      <c r="H1682" s="93"/>
      <c r="I1682" s="93"/>
      <c r="J1682" s="93"/>
      <c r="K1682" s="93"/>
    </row>
    <row r="1683" spans="4:11" x14ac:dyDescent="0.25">
      <c r="D1683" s="93"/>
      <c r="E1683" s="93"/>
      <c r="F1683" s="93"/>
      <c r="G1683" s="93"/>
      <c r="H1683" s="93"/>
      <c r="I1683" s="93"/>
      <c r="J1683" s="93"/>
      <c r="K1683" s="93"/>
    </row>
    <row r="1684" spans="4:11" x14ac:dyDescent="0.25">
      <c r="D1684" s="93"/>
      <c r="E1684" s="93"/>
      <c r="F1684" s="93"/>
      <c r="G1684" s="93"/>
      <c r="H1684" s="93"/>
      <c r="I1684" s="93"/>
      <c r="J1684" s="93"/>
      <c r="K1684" s="93"/>
    </row>
    <row r="1685" spans="4:11" x14ac:dyDescent="0.25">
      <c r="D1685" s="93"/>
      <c r="E1685" s="93"/>
      <c r="F1685" s="93"/>
      <c r="G1685" s="93"/>
      <c r="H1685" s="93"/>
      <c r="I1685" s="93"/>
      <c r="J1685" s="93"/>
      <c r="K1685" s="93"/>
    </row>
    <row r="1686" spans="4:11" x14ac:dyDescent="0.25">
      <c r="D1686" s="93"/>
      <c r="E1686" s="93"/>
      <c r="F1686" s="93"/>
      <c r="G1686" s="93"/>
      <c r="H1686" s="93"/>
      <c r="I1686" s="93"/>
      <c r="J1686" s="93"/>
      <c r="K1686" s="93"/>
    </row>
    <row r="1687" spans="4:11" x14ac:dyDescent="0.25">
      <c r="D1687" s="93"/>
      <c r="E1687" s="93"/>
      <c r="F1687" s="93"/>
      <c r="G1687" s="93"/>
      <c r="H1687" s="93"/>
      <c r="I1687" s="93"/>
      <c r="J1687" s="93"/>
      <c r="K1687" s="93"/>
    </row>
    <row r="1688" spans="4:11" x14ac:dyDescent="0.25">
      <c r="D1688" s="93"/>
      <c r="E1688" s="93"/>
      <c r="F1688" s="93"/>
      <c r="G1688" s="93"/>
      <c r="H1688" s="93"/>
      <c r="I1688" s="93"/>
      <c r="J1688" s="93"/>
      <c r="K1688" s="93"/>
    </row>
    <row r="1689" spans="4:11" x14ac:dyDescent="0.25">
      <c r="D1689" s="93"/>
      <c r="E1689" s="93"/>
      <c r="F1689" s="93"/>
      <c r="G1689" s="93"/>
      <c r="H1689" s="93"/>
      <c r="I1689" s="93"/>
      <c r="J1689" s="93"/>
      <c r="K1689" s="93"/>
    </row>
    <row r="1690" spans="4:11" x14ac:dyDescent="0.25">
      <c r="D1690" s="93"/>
      <c r="E1690" s="93"/>
      <c r="F1690" s="93"/>
      <c r="G1690" s="93"/>
      <c r="H1690" s="93"/>
      <c r="I1690" s="93"/>
      <c r="J1690" s="93"/>
      <c r="K1690" s="93"/>
    </row>
    <row r="1691" spans="4:11" x14ac:dyDescent="0.25">
      <c r="D1691" s="93"/>
      <c r="E1691" s="93"/>
      <c r="F1691" s="93"/>
      <c r="G1691" s="93"/>
      <c r="H1691" s="93"/>
      <c r="I1691" s="93"/>
      <c r="J1691" s="93"/>
      <c r="K1691" s="93"/>
    </row>
    <row r="1692" spans="4:11" x14ac:dyDescent="0.25">
      <c r="D1692" s="93"/>
      <c r="E1692" s="93"/>
      <c r="F1692" s="93"/>
      <c r="G1692" s="93"/>
      <c r="H1692" s="93"/>
      <c r="I1692" s="93"/>
      <c r="J1692" s="93"/>
      <c r="K1692" s="93"/>
    </row>
    <row r="1693" spans="4:11" x14ac:dyDescent="0.25">
      <c r="D1693" s="93"/>
      <c r="E1693" s="93"/>
      <c r="F1693" s="93"/>
      <c r="G1693" s="93"/>
      <c r="H1693" s="93"/>
      <c r="I1693" s="93"/>
      <c r="J1693" s="93"/>
      <c r="K1693" s="93"/>
    </row>
    <row r="1694" spans="4:11" x14ac:dyDescent="0.25">
      <c r="D1694" s="93"/>
      <c r="E1694" s="93"/>
      <c r="F1694" s="93"/>
      <c r="G1694" s="93"/>
      <c r="H1694" s="93"/>
      <c r="I1694" s="93"/>
      <c r="J1694" s="93"/>
      <c r="K1694" s="93"/>
    </row>
    <row r="1695" spans="4:11" x14ac:dyDescent="0.25">
      <c r="D1695" s="93"/>
      <c r="E1695" s="93"/>
      <c r="F1695" s="93"/>
      <c r="G1695" s="93"/>
      <c r="H1695" s="93"/>
      <c r="I1695" s="93"/>
      <c r="J1695" s="93"/>
      <c r="K1695" s="93"/>
    </row>
    <row r="1696" spans="4:11" x14ac:dyDescent="0.25">
      <c r="D1696" s="93"/>
      <c r="E1696" s="93"/>
      <c r="F1696" s="93"/>
      <c r="G1696" s="93"/>
      <c r="H1696" s="93"/>
      <c r="I1696" s="93"/>
      <c r="J1696" s="93"/>
      <c r="K1696" s="93"/>
    </row>
    <row r="1697" spans="4:11" x14ac:dyDescent="0.25">
      <c r="D1697" s="93"/>
      <c r="E1697" s="93"/>
      <c r="F1697" s="93"/>
      <c r="G1697" s="93"/>
      <c r="H1697" s="93"/>
      <c r="I1697" s="93"/>
      <c r="J1697" s="93"/>
      <c r="K1697" s="93"/>
    </row>
    <row r="1698" spans="4:11" x14ac:dyDescent="0.25">
      <c r="D1698" s="93"/>
      <c r="E1698" s="93"/>
      <c r="F1698" s="93"/>
      <c r="G1698" s="93"/>
      <c r="H1698" s="93"/>
      <c r="I1698" s="93"/>
      <c r="J1698" s="93"/>
      <c r="K1698" s="93"/>
    </row>
    <row r="1699" spans="4:11" x14ac:dyDescent="0.25">
      <c r="D1699" s="93"/>
      <c r="E1699" s="93"/>
      <c r="F1699" s="93"/>
      <c r="G1699" s="93"/>
      <c r="H1699" s="93"/>
      <c r="I1699" s="93"/>
      <c r="J1699" s="93"/>
      <c r="K1699" s="93"/>
    </row>
    <row r="1700" spans="4:11" x14ac:dyDescent="0.25">
      <c r="D1700" s="93"/>
      <c r="E1700" s="93"/>
      <c r="F1700" s="93"/>
      <c r="G1700" s="93"/>
      <c r="H1700" s="93"/>
      <c r="I1700" s="93"/>
      <c r="J1700" s="93"/>
      <c r="K1700" s="93"/>
    </row>
    <row r="1701" spans="4:11" x14ac:dyDescent="0.25">
      <c r="D1701" s="93"/>
      <c r="E1701" s="93"/>
      <c r="F1701" s="93"/>
      <c r="G1701" s="93"/>
      <c r="H1701" s="93"/>
      <c r="I1701" s="93"/>
      <c r="J1701" s="93"/>
      <c r="K1701" s="93"/>
    </row>
    <row r="1702" spans="4:11" x14ac:dyDescent="0.25">
      <c r="D1702" s="93"/>
      <c r="E1702" s="93"/>
      <c r="F1702" s="93"/>
      <c r="G1702" s="93"/>
      <c r="H1702" s="93"/>
      <c r="I1702" s="93"/>
      <c r="J1702" s="93"/>
      <c r="K1702" s="93"/>
    </row>
    <row r="1703" spans="4:11" x14ac:dyDescent="0.25">
      <c r="D1703" s="93"/>
      <c r="E1703" s="93"/>
      <c r="F1703" s="93"/>
      <c r="G1703" s="93"/>
      <c r="H1703" s="93"/>
      <c r="I1703" s="93"/>
      <c r="J1703" s="93"/>
      <c r="K1703" s="93"/>
    </row>
    <row r="1704" spans="4:11" x14ac:dyDescent="0.25">
      <c r="D1704" s="93"/>
      <c r="E1704" s="93"/>
      <c r="F1704" s="93"/>
      <c r="G1704" s="93"/>
      <c r="H1704" s="93"/>
      <c r="I1704" s="93"/>
      <c r="J1704" s="93"/>
      <c r="K1704" s="93"/>
    </row>
    <row r="1705" spans="4:11" x14ac:dyDescent="0.25">
      <c r="D1705" s="93"/>
      <c r="E1705" s="93"/>
      <c r="F1705" s="93"/>
      <c r="G1705" s="93"/>
      <c r="H1705" s="93"/>
      <c r="I1705" s="93"/>
      <c r="J1705" s="93"/>
      <c r="K1705" s="93"/>
    </row>
    <row r="1706" spans="4:11" x14ac:dyDescent="0.25">
      <c r="D1706" s="93"/>
      <c r="E1706" s="93"/>
      <c r="F1706" s="93"/>
      <c r="G1706" s="93"/>
      <c r="H1706" s="93"/>
      <c r="I1706" s="93"/>
      <c r="J1706" s="93"/>
      <c r="K1706" s="93"/>
    </row>
    <row r="1707" spans="4:11" x14ac:dyDescent="0.25">
      <c r="D1707" s="93"/>
      <c r="E1707" s="93"/>
      <c r="F1707" s="93"/>
      <c r="G1707" s="93"/>
      <c r="H1707" s="93"/>
      <c r="I1707" s="93"/>
      <c r="J1707" s="93"/>
      <c r="K1707" s="93"/>
    </row>
    <row r="1708" spans="4:11" x14ac:dyDescent="0.25">
      <c r="D1708" s="93"/>
      <c r="E1708" s="93"/>
      <c r="F1708" s="93"/>
      <c r="G1708" s="93"/>
      <c r="H1708" s="93"/>
      <c r="I1708" s="93"/>
      <c r="J1708" s="93"/>
      <c r="K1708" s="93"/>
    </row>
    <row r="1709" spans="4:11" x14ac:dyDescent="0.25">
      <c r="D1709" s="93"/>
      <c r="E1709" s="93"/>
      <c r="F1709" s="93"/>
      <c r="G1709" s="93"/>
      <c r="H1709" s="93"/>
      <c r="I1709" s="93"/>
      <c r="J1709" s="93"/>
      <c r="K1709" s="93"/>
    </row>
    <row r="1710" spans="4:11" x14ac:dyDescent="0.25">
      <c r="D1710" s="93"/>
      <c r="E1710" s="93"/>
      <c r="F1710" s="93"/>
      <c r="G1710" s="93"/>
      <c r="H1710" s="93"/>
      <c r="I1710" s="93"/>
      <c r="J1710" s="93"/>
      <c r="K1710" s="93"/>
    </row>
    <row r="1711" spans="4:11" x14ac:dyDescent="0.25">
      <c r="D1711" s="93"/>
      <c r="E1711" s="93"/>
      <c r="F1711" s="93"/>
      <c r="G1711" s="93"/>
      <c r="H1711" s="93"/>
      <c r="I1711" s="93"/>
      <c r="J1711" s="93"/>
      <c r="K1711" s="93"/>
    </row>
    <row r="1712" spans="4:11" x14ac:dyDescent="0.25">
      <c r="D1712" s="93"/>
      <c r="E1712" s="93"/>
      <c r="F1712" s="93"/>
      <c r="G1712" s="93"/>
      <c r="H1712" s="93"/>
      <c r="I1712" s="93"/>
      <c r="J1712" s="93"/>
      <c r="K1712" s="93"/>
    </row>
    <row r="1713" spans="4:11" x14ac:dyDescent="0.25">
      <c r="D1713" s="93"/>
      <c r="E1713" s="93"/>
      <c r="F1713" s="93"/>
      <c r="G1713" s="93"/>
      <c r="H1713" s="93"/>
      <c r="I1713" s="93"/>
      <c r="J1713" s="93"/>
      <c r="K1713" s="93"/>
    </row>
    <row r="1714" spans="4:11" x14ac:dyDescent="0.25">
      <c r="D1714" s="93"/>
      <c r="E1714" s="93"/>
      <c r="F1714" s="93"/>
      <c r="G1714" s="93"/>
      <c r="H1714" s="93"/>
      <c r="I1714" s="93"/>
      <c r="J1714" s="93"/>
      <c r="K1714" s="93"/>
    </row>
    <row r="1715" spans="4:11" x14ac:dyDescent="0.25">
      <c r="D1715" s="93"/>
      <c r="E1715" s="93"/>
      <c r="F1715" s="93"/>
      <c r="G1715" s="93"/>
      <c r="H1715" s="93"/>
      <c r="I1715" s="93"/>
      <c r="J1715" s="93"/>
      <c r="K1715" s="93"/>
    </row>
    <row r="1716" spans="4:11" x14ac:dyDescent="0.25">
      <c r="D1716" s="93"/>
      <c r="E1716" s="93"/>
      <c r="F1716" s="93"/>
      <c r="G1716" s="93"/>
      <c r="H1716" s="93"/>
      <c r="I1716" s="93"/>
      <c r="J1716" s="93"/>
      <c r="K1716" s="93"/>
    </row>
    <row r="1717" spans="4:11" x14ac:dyDescent="0.25">
      <c r="D1717" s="93"/>
      <c r="E1717" s="93"/>
      <c r="F1717" s="93"/>
      <c r="G1717" s="93"/>
      <c r="H1717" s="93"/>
      <c r="I1717" s="93"/>
      <c r="J1717" s="93"/>
      <c r="K1717" s="93"/>
    </row>
    <row r="1718" spans="4:11" x14ac:dyDescent="0.25">
      <c r="D1718" s="93"/>
      <c r="E1718" s="93"/>
      <c r="F1718" s="93"/>
      <c r="G1718" s="93"/>
      <c r="H1718" s="93"/>
      <c r="I1718" s="93"/>
      <c r="J1718" s="93"/>
      <c r="K1718" s="93"/>
    </row>
    <row r="1719" spans="4:11" x14ac:dyDescent="0.25">
      <c r="D1719" s="93"/>
      <c r="E1719" s="93"/>
      <c r="F1719" s="93"/>
      <c r="G1719" s="93"/>
      <c r="H1719" s="93"/>
      <c r="I1719" s="93"/>
      <c r="J1719" s="93"/>
      <c r="K1719" s="93"/>
    </row>
    <row r="1720" spans="4:11" x14ac:dyDescent="0.25">
      <c r="D1720" s="93"/>
      <c r="E1720" s="93"/>
      <c r="F1720" s="93"/>
      <c r="G1720" s="93"/>
      <c r="H1720" s="93"/>
      <c r="I1720" s="93"/>
      <c r="J1720" s="93"/>
      <c r="K1720" s="93"/>
    </row>
    <row r="1721" spans="4:11" x14ac:dyDescent="0.25">
      <c r="D1721" s="93"/>
      <c r="E1721" s="93"/>
      <c r="F1721" s="93"/>
      <c r="G1721" s="93"/>
      <c r="H1721" s="93"/>
      <c r="I1721" s="93"/>
      <c r="J1721" s="93"/>
      <c r="K1721" s="93"/>
    </row>
    <row r="1722" spans="4:11" x14ac:dyDescent="0.25">
      <c r="D1722" s="93"/>
      <c r="E1722" s="93"/>
      <c r="F1722" s="93"/>
      <c r="G1722" s="93"/>
      <c r="H1722" s="93"/>
      <c r="I1722" s="93"/>
      <c r="J1722" s="93"/>
      <c r="K1722" s="93"/>
    </row>
    <row r="1723" spans="4:11" x14ac:dyDescent="0.25">
      <c r="D1723" s="93"/>
      <c r="E1723" s="93"/>
      <c r="F1723" s="93"/>
      <c r="G1723" s="93"/>
      <c r="H1723" s="93"/>
      <c r="I1723" s="93"/>
      <c r="J1723" s="93"/>
      <c r="K1723" s="93"/>
    </row>
    <row r="1724" spans="4:11" x14ac:dyDescent="0.25">
      <c r="D1724" s="93"/>
      <c r="E1724" s="93"/>
      <c r="F1724" s="93"/>
      <c r="G1724" s="93"/>
      <c r="H1724" s="93"/>
      <c r="I1724" s="93"/>
      <c r="J1724" s="93"/>
      <c r="K1724" s="93"/>
    </row>
    <row r="1725" spans="4:11" x14ac:dyDescent="0.25">
      <c r="D1725" s="93"/>
      <c r="E1725" s="93"/>
      <c r="F1725" s="93"/>
      <c r="G1725" s="93"/>
      <c r="H1725" s="93"/>
      <c r="I1725" s="93"/>
      <c r="J1725" s="93"/>
      <c r="K1725" s="93"/>
    </row>
    <row r="1726" spans="4:11" x14ac:dyDescent="0.25">
      <c r="D1726" s="93"/>
      <c r="E1726" s="93"/>
      <c r="F1726" s="93"/>
      <c r="G1726" s="93"/>
      <c r="H1726" s="93"/>
      <c r="I1726" s="93"/>
      <c r="J1726" s="93"/>
      <c r="K1726" s="93"/>
    </row>
    <row r="1727" spans="4:11" x14ac:dyDescent="0.25">
      <c r="D1727" s="93"/>
      <c r="E1727" s="93"/>
      <c r="F1727" s="93"/>
      <c r="G1727" s="93"/>
      <c r="H1727" s="93"/>
      <c r="I1727" s="93"/>
      <c r="J1727" s="93"/>
      <c r="K1727" s="93"/>
    </row>
    <row r="1728" spans="4:11" x14ac:dyDescent="0.25">
      <c r="D1728" s="93"/>
      <c r="E1728" s="93"/>
      <c r="F1728" s="93"/>
      <c r="G1728" s="93"/>
      <c r="H1728" s="93"/>
      <c r="I1728" s="93"/>
      <c r="J1728" s="93"/>
      <c r="K1728" s="93"/>
    </row>
    <row r="1729" spans="4:11" x14ac:dyDescent="0.25">
      <c r="D1729" s="93"/>
      <c r="E1729" s="93"/>
      <c r="F1729" s="93"/>
      <c r="G1729" s="93"/>
      <c r="H1729" s="93"/>
      <c r="I1729" s="93"/>
      <c r="J1729" s="93"/>
      <c r="K1729" s="93"/>
    </row>
    <row r="1730" spans="4:11" x14ac:dyDescent="0.25">
      <c r="D1730" s="93"/>
      <c r="E1730" s="93"/>
      <c r="F1730" s="93"/>
      <c r="G1730" s="93"/>
      <c r="H1730" s="93"/>
      <c r="I1730" s="93"/>
      <c r="J1730" s="93"/>
      <c r="K1730" s="93"/>
    </row>
    <row r="1731" spans="4:11" x14ac:dyDescent="0.25">
      <c r="D1731" s="93"/>
      <c r="E1731" s="93"/>
      <c r="F1731" s="93"/>
      <c r="G1731" s="93"/>
      <c r="H1731" s="93"/>
      <c r="I1731" s="93"/>
      <c r="J1731" s="93"/>
      <c r="K1731" s="93"/>
    </row>
    <row r="1732" spans="4:11" x14ac:dyDescent="0.25">
      <c r="D1732" s="93"/>
      <c r="E1732" s="93"/>
      <c r="F1732" s="93"/>
      <c r="G1732" s="93"/>
      <c r="H1732" s="93"/>
      <c r="I1732" s="93"/>
      <c r="J1732" s="93"/>
      <c r="K1732" s="93"/>
    </row>
    <row r="1733" spans="4:11" x14ac:dyDescent="0.25">
      <c r="D1733" s="93"/>
      <c r="E1733" s="93"/>
      <c r="F1733" s="93"/>
      <c r="G1733" s="93"/>
      <c r="H1733" s="93"/>
      <c r="I1733" s="93"/>
      <c r="J1733" s="93"/>
      <c r="K1733" s="93"/>
    </row>
    <row r="1734" spans="4:11" x14ac:dyDescent="0.25">
      <c r="D1734" s="93"/>
      <c r="E1734" s="93"/>
      <c r="F1734" s="93"/>
      <c r="G1734" s="93"/>
      <c r="H1734" s="93"/>
      <c r="I1734" s="93"/>
      <c r="J1734" s="93"/>
      <c r="K1734" s="93"/>
    </row>
    <row r="1735" spans="4:11" x14ac:dyDescent="0.25">
      <c r="D1735" s="93"/>
      <c r="E1735" s="93"/>
      <c r="F1735" s="93"/>
      <c r="G1735" s="93"/>
      <c r="H1735" s="93"/>
      <c r="I1735" s="93"/>
      <c r="J1735" s="93"/>
      <c r="K1735" s="93"/>
    </row>
    <row r="1736" spans="4:11" x14ac:dyDescent="0.25">
      <c r="D1736" s="93"/>
      <c r="E1736" s="93"/>
      <c r="F1736" s="93"/>
      <c r="G1736" s="93"/>
      <c r="H1736" s="93"/>
      <c r="I1736" s="93"/>
      <c r="J1736" s="93"/>
      <c r="K1736" s="93"/>
    </row>
    <row r="1737" spans="4:11" x14ac:dyDescent="0.25">
      <c r="D1737" s="93"/>
      <c r="E1737" s="93"/>
      <c r="F1737" s="93"/>
      <c r="G1737" s="93"/>
      <c r="H1737" s="93"/>
      <c r="I1737" s="93"/>
      <c r="J1737" s="93"/>
      <c r="K1737" s="93"/>
    </row>
    <row r="1738" spans="4:11" x14ac:dyDescent="0.25">
      <c r="D1738" s="93"/>
      <c r="E1738" s="93"/>
      <c r="F1738" s="93"/>
      <c r="G1738" s="93"/>
      <c r="H1738" s="93"/>
      <c r="I1738" s="93"/>
      <c r="J1738" s="93"/>
      <c r="K1738" s="93"/>
    </row>
    <row r="1739" spans="4:11" x14ac:dyDescent="0.25">
      <c r="D1739" s="93"/>
      <c r="E1739" s="93"/>
      <c r="F1739" s="93"/>
      <c r="G1739" s="93"/>
      <c r="H1739" s="93"/>
      <c r="I1739" s="93"/>
      <c r="J1739" s="93"/>
      <c r="K1739" s="93"/>
    </row>
    <row r="1740" spans="4:11" x14ac:dyDescent="0.25">
      <c r="D1740" s="93"/>
      <c r="E1740" s="93"/>
      <c r="F1740" s="93"/>
      <c r="G1740" s="93"/>
      <c r="H1740" s="93"/>
      <c r="I1740" s="93"/>
      <c r="J1740" s="93"/>
      <c r="K1740" s="93"/>
    </row>
    <row r="1741" spans="4:11" x14ac:dyDescent="0.25">
      <c r="D1741" s="93"/>
      <c r="E1741" s="93"/>
      <c r="F1741" s="93"/>
      <c r="G1741" s="93"/>
      <c r="H1741" s="93"/>
      <c r="I1741" s="93"/>
      <c r="J1741" s="93"/>
      <c r="K1741" s="93"/>
    </row>
    <row r="1742" spans="4:11" x14ac:dyDescent="0.25">
      <c r="D1742" s="93"/>
      <c r="E1742" s="93"/>
      <c r="F1742" s="93"/>
      <c r="G1742" s="93"/>
      <c r="H1742" s="93"/>
      <c r="I1742" s="93"/>
      <c r="J1742" s="93"/>
      <c r="K1742" s="93"/>
    </row>
    <row r="1743" spans="4:11" x14ac:dyDescent="0.25">
      <c r="D1743" s="93"/>
      <c r="E1743" s="93"/>
      <c r="F1743" s="93"/>
      <c r="G1743" s="93"/>
      <c r="H1743" s="93"/>
      <c r="I1743" s="93"/>
      <c r="J1743" s="93"/>
      <c r="K1743" s="93"/>
    </row>
    <row r="1744" spans="4:11" x14ac:dyDescent="0.25">
      <c r="D1744" s="93"/>
      <c r="E1744" s="93"/>
      <c r="F1744" s="93"/>
      <c r="G1744" s="93"/>
      <c r="H1744" s="93"/>
      <c r="I1744" s="93"/>
      <c r="J1744" s="93"/>
      <c r="K1744" s="93"/>
    </row>
    <row r="1745" spans="4:11" x14ac:dyDescent="0.25">
      <c r="D1745" s="93"/>
      <c r="E1745" s="93"/>
      <c r="F1745" s="93"/>
      <c r="G1745" s="93"/>
      <c r="H1745" s="93"/>
      <c r="I1745" s="93"/>
      <c r="J1745" s="93"/>
      <c r="K1745" s="93"/>
    </row>
    <row r="1746" spans="4:11" x14ac:dyDescent="0.25">
      <c r="D1746" s="93"/>
      <c r="E1746" s="93"/>
      <c r="F1746" s="93"/>
      <c r="G1746" s="93"/>
      <c r="H1746" s="93"/>
      <c r="I1746" s="93"/>
      <c r="J1746" s="93"/>
      <c r="K1746" s="93"/>
    </row>
    <row r="1747" spans="4:11" x14ac:dyDescent="0.25">
      <c r="D1747" s="93"/>
      <c r="E1747" s="93"/>
      <c r="F1747" s="93"/>
      <c r="G1747" s="93"/>
      <c r="H1747" s="93"/>
      <c r="I1747" s="93"/>
      <c r="J1747" s="93"/>
      <c r="K1747" s="93"/>
    </row>
    <row r="1748" spans="4:11" x14ac:dyDescent="0.25">
      <c r="D1748" s="93"/>
      <c r="E1748" s="93"/>
      <c r="F1748" s="93"/>
      <c r="G1748" s="93"/>
      <c r="H1748" s="93"/>
      <c r="I1748" s="93"/>
      <c r="J1748" s="93"/>
      <c r="K1748" s="93"/>
    </row>
    <row r="1749" spans="4:11" x14ac:dyDescent="0.25">
      <c r="D1749" s="93"/>
      <c r="E1749" s="93"/>
      <c r="F1749" s="93"/>
      <c r="G1749" s="93"/>
      <c r="H1749" s="93"/>
      <c r="I1749" s="93"/>
      <c r="J1749" s="93"/>
      <c r="K1749" s="93"/>
    </row>
    <row r="1750" spans="4:11" x14ac:dyDescent="0.25">
      <c r="D1750" s="93"/>
      <c r="E1750" s="93"/>
      <c r="F1750" s="93"/>
      <c r="G1750" s="93"/>
      <c r="H1750" s="93"/>
      <c r="I1750" s="93"/>
      <c r="J1750" s="93"/>
      <c r="K1750" s="93"/>
    </row>
    <row r="1751" spans="4:11" x14ac:dyDescent="0.25">
      <c r="D1751" s="93"/>
      <c r="E1751" s="93"/>
      <c r="F1751" s="93"/>
      <c r="G1751" s="93"/>
      <c r="H1751" s="93"/>
      <c r="I1751" s="93"/>
      <c r="J1751" s="93"/>
      <c r="K1751" s="93"/>
    </row>
    <row r="1752" spans="4:11" x14ac:dyDescent="0.25">
      <c r="D1752" s="93"/>
      <c r="E1752" s="93"/>
      <c r="F1752" s="93"/>
      <c r="G1752" s="93"/>
      <c r="H1752" s="93"/>
      <c r="I1752" s="93"/>
      <c r="J1752" s="93"/>
      <c r="K1752" s="93"/>
    </row>
    <row r="1753" spans="4:11" x14ac:dyDescent="0.25">
      <c r="D1753" s="93"/>
      <c r="E1753" s="93"/>
      <c r="F1753" s="93"/>
      <c r="G1753" s="93"/>
      <c r="H1753" s="93"/>
      <c r="I1753" s="93"/>
      <c r="J1753" s="93"/>
      <c r="K1753" s="93"/>
    </row>
    <row r="1754" spans="4:11" x14ac:dyDescent="0.25">
      <c r="D1754" s="93"/>
      <c r="E1754" s="93"/>
      <c r="F1754" s="93"/>
      <c r="G1754" s="93"/>
      <c r="H1754" s="93"/>
      <c r="I1754" s="93"/>
      <c r="J1754" s="93"/>
      <c r="K1754" s="93"/>
    </row>
    <row r="1755" spans="4:11" x14ac:dyDescent="0.25">
      <c r="D1755" s="93"/>
      <c r="E1755" s="93"/>
      <c r="F1755" s="93"/>
      <c r="G1755" s="93"/>
      <c r="H1755" s="93"/>
      <c r="I1755" s="93"/>
      <c r="J1755" s="93"/>
      <c r="K1755" s="93"/>
    </row>
    <row r="1756" spans="4:11" x14ac:dyDescent="0.25">
      <c r="D1756" s="93"/>
      <c r="E1756" s="93"/>
      <c r="F1756" s="93"/>
      <c r="G1756" s="93"/>
      <c r="H1756" s="93"/>
      <c r="I1756" s="93"/>
      <c r="J1756" s="93"/>
      <c r="K1756" s="93"/>
    </row>
    <row r="1757" spans="4:11" x14ac:dyDescent="0.25">
      <c r="D1757" s="93"/>
      <c r="E1757" s="93"/>
      <c r="F1757" s="93"/>
      <c r="G1757" s="93"/>
      <c r="H1757" s="93"/>
      <c r="I1757" s="93"/>
      <c r="J1757" s="93"/>
      <c r="K1757" s="93"/>
    </row>
    <row r="1758" spans="4:11" x14ac:dyDescent="0.25">
      <c r="D1758" s="93"/>
      <c r="E1758" s="93"/>
      <c r="F1758" s="93"/>
      <c r="G1758" s="93"/>
      <c r="H1758" s="93"/>
      <c r="I1758" s="93"/>
      <c r="J1758" s="93"/>
      <c r="K1758" s="93"/>
    </row>
    <row r="1759" spans="4:11" x14ac:dyDescent="0.25">
      <c r="D1759" s="93"/>
      <c r="E1759" s="93"/>
      <c r="F1759" s="93"/>
      <c r="G1759" s="93"/>
      <c r="H1759" s="93"/>
      <c r="I1759" s="93"/>
      <c r="J1759" s="93"/>
      <c r="K1759" s="93"/>
    </row>
    <row r="1760" spans="4:11" x14ac:dyDescent="0.25">
      <c r="D1760" s="93"/>
      <c r="E1760" s="93"/>
      <c r="F1760" s="93"/>
      <c r="G1760" s="93"/>
      <c r="H1760" s="93"/>
      <c r="I1760" s="93"/>
      <c r="J1760" s="93"/>
      <c r="K1760" s="93"/>
    </row>
    <row r="1761" spans="4:11" x14ac:dyDescent="0.25">
      <c r="D1761" s="93"/>
      <c r="E1761" s="93"/>
      <c r="F1761" s="93"/>
      <c r="G1761" s="93"/>
      <c r="H1761" s="93"/>
      <c r="I1761" s="93"/>
      <c r="J1761" s="93"/>
      <c r="K1761" s="93"/>
    </row>
    <row r="1762" spans="4:11" x14ac:dyDescent="0.25">
      <c r="D1762" s="93"/>
      <c r="E1762" s="93"/>
      <c r="F1762" s="93"/>
      <c r="G1762" s="93"/>
      <c r="H1762" s="93"/>
      <c r="I1762" s="93"/>
      <c r="J1762" s="93"/>
      <c r="K1762" s="93"/>
    </row>
    <row r="1763" spans="4:11" x14ac:dyDescent="0.25">
      <c r="D1763" s="93"/>
      <c r="E1763" s="93"/>
      <c r="F1763" s="93"/>
      <c r="G1763" s="93"/>
      <c r="H1763" s="93"/>
      <c r="I1763" s="93"/>
      <c r="J1763" s="93"/>
      <c r="K1763" s="93"/>
    </row>
    <row r="1764" spans="4:11" x14ac:dyDescent="0.25">
      <c r="D1764" s="93"/>
      <c r="E1764" s="93"/>
      <c r="F1764" s="93"/>
      <c r="G1764" s="93"/>
      <c r="H1764" s="93"/>
      <c r="I1764" s="93"/>
      <c r="J1764" s="93"/>
      <c r="K1764" s="93"/>
    </row>
    <row r="1765" spans="4:11" x14ac:dyDescent="0.25">
      <c r="D1765" s="93"/>
      <c r="E1765" s="93"/>
      <c r="F1765" s="93"/>
      <c r="G1765" s="93"/>
      <c r="H1765" s="93"/>
      <c r="I1765" s="93"/>
      <c r="J1765" s="93"/>
      <c r="K1765" s="93"/>
    </row>
    <row r="1766" spans="4:11" x14ac:dyDescent="0.25">
      <c r="D1766" s="93"/>
      <c r="E1766" s="93"/>
      <c r="F1766" s="93"/>
      <c r="G1766" s="93"/>
      <c r="H1766" s="93"/>
      <c r="I1766" s="93"/>
      <c r="J1766" s="93"/>
      <c r="K1766" s="93"/>
    </row>
    <row r="1767" spans="4:11" x14ac:dyDescent="0.25">
      <c r="D1767" s="93"/>
      <c r="E1767" s="93"/>
      <c r="F1767" s="93"/>
      <c r="G1767" s="93"/>
      <c r="H1767" s="93"/>
      <c r="I1767" s="93"/>
      <c r="J1767" s="93"/>
      <c r="K1767" s="93"/>
    </row>
    <row r="1768" spans="4:11" x14ac:dyDescent="0.25">
      <c r="D1768" s="93"/>
      <c r="E1768" s="93"/>
      <c r="F1768" s="93"/>
      <c r="G1768" s="93"/>
      <c r="H1768" s="93"/>
      <c r="I1768" s="93"/>
      <c r="J1768" s="93"/>
      <c r="K1768" s="93"/>
    </row>
    <row r="1769" spans="4:11" x14ac:dyDescent="0.25">
      <c r="D1769" s="93"/>
      <c r="E1769" s="93"/>
      <c r="F1769" s="93"/>
      <c r="G1769" s="93"/>
      <c r="H1769" s="93"/>
      <c r="I1769" s="93"/>
      <c r="J1769" s="93"/>
      <c r="K1769" s="93"/>
    </row>
    <row r="1770" spans="4:11" x14ac:dyDescent="0.25">
      <c r="D1770" s="93"/>
      <c r="E1770" s="93"/>
      <c r="F1770" s="93"/>
      <c r="G1770" s="93"/>
      <c r="H1770" s="93"/>
      <c r="I1770" s="93"/>
      <c r="J1770" s="93"/>
      <c r="K1770" s="93"/>
    </row>
    <row r="1771" spans="4:11" x14ac:dyDescent="0.25">
      <c r="D1771" s="93"/>
      <c r="E1771" s="93"/>
      <c r="F1771" s="93"/>
      <c r="G1771" s="93"/>
      <c r="H1771" s="93"/>
      <c r="I1771" s="93"/>
      <c r="J1771" s="93"/>
      <c r="K1771" s="93"/>
    </row>
    <row r="1772" spans="4:11" x14ac:dyDescent="0.25">
      <c r="D1772" s="93"/>
      <c r="E1772" s="93"/>
      <c r="F1772" s="93"/>
      <c r="G1772" s="93"/>
      <c r="H1772" s="93"/>
      <c r="I1772" s="93"/>
      <c r="J1772" s="93"/>
      <c r="K1772" s="93"/>
    </row>
    <row r="1773" spans="4:11" x14ac:dyDescent="0.25">
      <c r="D1773" s="93"/>
      <c r="E1773" s="93"/>
      <c r="F1773" s="93"/>
      <c r="G1773" s="93"/>
      <c r="H1773" s="93"/>
      <c r="I1773" s="93"/>
      <c r="J1773" s="93"/>
      <c r="K1773" s="93"/>
    </row>
    <row r="1774" spans="4:11" x14ac:dyDescent="0.25">
      <c r="D1774" s="93"/>
      <c r="E1774" s="93"/>
      <c r="F1774" s="93"/>
      <c r="G1774" s="93"/>
      <c r="H1774" s="93"/>
      <c r="I1774" s="93"/>
      <c r="J1774" s="93"/>
      <c r="K1774" s="93"/>
    </row>
    <row r="1775" spans="4:11" x14ac:dyDescent="0.25">
      <c r="D1775" s="93"/>
      <c r="E1775" s="93"/>
      <c r="F1775" s="93"/>
      <c r="G1775" s="93"/>
      <c r="H1775" s="93"/>
      <c r="I1775" s="93"/>
      <c r="J1775" s="93"/>
      <c r="K1775" s="93"/>
    </row>
    <row r="1776" spans="4:11" x14ac:dyDescent="0.25">
      <c r="D1776" s="93"/>
      <c r="E1776" s="93"/>
      <c r="F1776" s="93"/>
      <c r="G1776" s="93"/>
      <c r="H1776" s="93"/>
      <c r="I1776" s="93"/>
      <c r="J1776" s="93"/>
      <c r="K1776" s="93"/>
    </row>
    <row r="1777" spans="4:11" x14ac:dyDescent="0.25">
      <c r="D1777" s="93"/>
      <c r="E1777" s="93"/>
      <c r="F1777" s="93"/>
      <c r="G1777" s="93"/>
      <c r="H1777" s="93"/>
      <c r="I1777" s="93"/>
      <c r="J1777" s="93"/>
      <c r="K1777" s="93"/>
    </row>
    <row r="1778" spans="4:11" x14ac:dyDescent="0.25">
      <c r="D1778" s="93"/>
      <c r="E1778" s="93"/>
      <c r="F1778" s="93"/>
      <c r="G1778" s="93"/>
      <c r="H1778" s="93"/>
      <c r="I1778" s="93"/>
      <c r="J1778" s="93"/>
      <c r="K1778" s="93"/>
    </row>
    <row r="1779" spans="4:11" x14ac:dyDescent="0.25">
      <c r="D1779" s="93"/>
      <c r="E1779" s="93"/>
      <c r="F1779" s="93"/>
      <c r="G1779" s="93"/>
      <c r="H1779" s="93"/>
      <c r="I1779" s="93"/>
      <c r="J1779" s="93"/>
      <c r="K1779" s="93"/>
    </row>
    <row r="1780" spans="4:11" x14ac:dyDescent="0.25">
      <c r="D1780" s="93"/>
      <c r="E1780" s="93"/>
      <c r="F1780" s="93"/>
      <c r="G1780" s="93"/>
      <c r="H1780" s="93"/>
      <c r="I1780" s="93"/>
      <c r="J1780" s="93"/>
      <c r="K1780" s="93"/>
    </row>
    <row r="1781" spans="4:11" x14ac:dyDescent="0.25">
      <c r="D1781" s="93"/>
      <c r="E1781" s="93"/>
      <c r="F1781" s="93"/>
      <c r="G1781" s="93"/>
      <c r="H1781" s="93"/>
      <c r="I1781" s="93"/>
      <c r="J1781" s="93"/>
      <c r="K1781" s="93"/>
    </row>
    <row r="1782" spans="4:11" x14ac:dyDescent="0.25">
      <c r="D1782" s="93"/>
      <c r="E1782" s="93"/>
      <c r="F1782" s="93"/>
      <c r="G1782" s="93"/>
      <c r="H1782" s="93"/>
      <c r="I1782" s="93"/>
      <c r="J1782" s="93"/>
      <c r="K1782" s="93"/>
    </row>
    <row r="1783" spans="4:11" x14ac:dyDescent="0.25">
      <c r="D1783" s="93"/>
      <c r="E1783" s="93"/>
      <c r="F1783" s="93"/>
      <c r="G1783" s="93"/>
      <c r="H1783" s="93"/>
      <c r="I1783" s="93"/>
      <c r="J1783" s="93"/>
      <c r="K1783" s="93"/>
    </row>
    <row r="1784" spans="4:11" x14ac:dyDescent="0.25">
      <c r="D1784" s="93"/>
      <c r="E1784" s="93"/>
      <c r="F1784" s="93"/>
      <c r="G1784" s="93"/>
      <c r="H1784" s="93"/>
      <c r="I1784" s="93"/>
      <c r="J1784" s="93"/>
      <c r="K1784" s="93"/>
    </row>
    <row r="1785" spans="4:11" x14ac:dyDescent="0.25">
      <c r="D1785" s="93"/>
      <c r="E1785" s="93"/>
      <c r="F1785" s="93"/>
      <c r="G1785" s="93"/>
      <c r="H1785" s="93"/>
      <c r="I1785" s="93"/>
      <c r="J1785" s="93"/>
      <c r="K1785" s="93"/>
    </row>
    <row r="1786" spans="4:11" x14ac:dyDescent="0.25">
      <c r="D1786" s="93"/>
      <c r="E1786" s="93"/>
      <c r="F1786" s="93"/>
      <c r="G1786" s="93"/>
      <c r="H1786" s="93"/>
      <c r="I1786" s="93"/>
      <c r="J1786" s="93"/>
      <c r="K1786" s="93"/>
    </row>
    <row r="1787" spans="4:11" x14ac:dyDescent="0.25">
      <c r="D1787" s="93"/>
      <c r="E1787" s="93"/>
      <c r="F1787" s="93"/>
      <c r="G1787" s="93"/>
      <c r="H1787" s="93"/>
      <c r="I1787" s="93"/>
      <c r="J1787" s="93"/>
      <c r="K1787" s="93"/>
    </row>
    <row r="1788" spans="4:11" x14ac:dyDescent="0.25">
      <c r="D1788" s="93"/>
      <c r="E1788" s="93"/>
      <c r="F1788" s="93"/>
      <c r="G1788" s="93"/>
      <c r="H1788" s="93"/>
      <c r="I1788" s="93"/>
      <c r="J1788" s="93"/>
      <c r="K1788" s="93"/>
    </row>
    <row r="1789" spans="4:11" x14ac:dyDescent="0.25">
      <c r="D1789" s="93"/>
      <c r="E1789" s="93"/>
      <c r="F1789" s="93"/>
      <c r="G1789" s="93"/>
      <c r="H1789" s="93"/>
      <c r="I1789" s="93"/>
      <c r="J1789" s="93"/>
      <c r="K1789" s="93"/>
    </row>
    <row r="1790" spans="4:11" x14ac:dyDescent="0.25">
      <c r="D1790" s="93"/>
      <c r="E1790" s="93"/>
      <c r="F1790" s="93"/>
      <c r="G1790" s="93"/>
      <c r="H1790" s="93"/>
      <c r="I1790" s="93"/>
      <c r="J1790" s="93"/>
      <c r="K1790" s="93"/>
    </row>
    <row r="1791" spans="4:11" x14ac:dyDescent="0.25">
      <c r="D1791" s="93"/>
      <c r="E1791" s="93"/>
      <c r="F1791" s="93"/>
      <c r="G1791" s="93"/>
      <c r="H1791" s="93"/>
      <c r="I1791" s="93"/>
      <c r="J1791" s="93"/>
      <c r="K1791" s="93"/>
    </row>
    <row r="1792" spans="4:11" x14ac:dyDescent="0.25">
      <c r="D1792" s="93"/>
      <c r="E1792" s="93"/>
      <c r="F1792" s="93"/>
      <c r="G1792" s="93"/>
      <c r="H1792" s="93"/>
      <c r="I1792" s="93"/>
      <c r="J1792" s="93"/>
      <c r="K1792" s="93"/>
    </row>
    <row r="1793" spans="4:11" x14ac:dyDescent="0.25">
      <c r="D1793" s="93"/>
      <c r="E1793" s="93"/>
      <c r="F1793" s="93"/>
      <c r="G1793" s="93"/>
      <c r="H1793" s="93"/>
      <c r="I1793" s="93"/>
      <c r="J1793" s="93"/>
      <c r="K1793" s="93"/>
    </row>
    <row r="1794" spans="4:11" x14ac:dyDescent="0.25">
      <c r="D1794" s="93"/>
      <c r="E1794" s="93"/>
      <c r="F1794" s="93"/>
      <c r="G1794" s="93"/>
      <c r="H1794" s="93"/>
      <c r="I1794" s="93"/>
      <c r="J1794" s="93"/>
      <c r="K1794" s="93"/>
    </row>
    <row r="1795" spans="4:11" x14ac:dyDescent="0.25">
      <c r="D1795" s="93"/>
      <c r="E1795" s="93"/>
      <c r="F1795" s="93"/>
      <c r="G1795" s="93"/>
      <c r="H1795" s="93"/>
      <c r="I1795" s="93"/>
      <c r="J1795" s="93"/>
      <c r="K1795" s="93"/>
    </row>
    <row r="1796" spans="4:11" x14ac:dyDescent="0.25">
      <c r="D1796" s="93"/>
      <c r="E1796" s="93"/>
      <c r="F1796" s="93"/>
      <c r="G1796" s="93"/>
      <c r="H1796" s="93"/>
      <c r="I1796" s="93"/>
      <c r="J1796" s="93"/>
      <c r="K1796" s="93"/>
    </row>
    <row r="1797" spans="4:11" x14ac:dyDescent="0.25">
      <c r="D1797" s="93"/>
      <c r="E1797" s="93"/>
      <c r="F1797" s="93"/>
      <c r="G1797" s="93"/>
      <c r="H1797" s="93"/>
      <c r="I1797" s="93"/>
      <c r="J1797" s="93"/>
      <c r="K1797" s="93"/>
    </row>
    <row r="1798" spans="4:11" x14ac:dyDescent="0.25">
      <c r="D1798" s="93"/>
      <c r="E1798" s="93"/>
      <c r="F1798" s="93"/>
      <c r="G1798" s="93"/>
      <c r="H1798" s="93"/>
      <c r="I1798" s="93"/>
      <c r="J1798" s="93"/>
      <c r="K1798" s="93"/>
    </row>
    <row r="1799" spans="4:11" x14ac:dyDescent="0.25">
      <c r="D1799" s="93"/>
      <c r="E1799" s="93"/>
      <c r="F1799" s="93"/>
      <c r="G1799" s="93"/>
      <c r="H1799" s="93"/>
      <c r="I1799" s="93"/>
      <c r="J1799" s="93"/>
      <c r="K1799" s="93"/>
    </row>
    <row r="1800" spans="4:11" x14ac:dyDescent="0.25">
      <c r="D1800" s="93"/>
      <c r="E1800" s="93"/>
      <c r="F1800" s="93"/>
      <c r="G1800" s="93"/>
      <c r="H1800" s="93"/>
      <c r="I1800" s="93"/>
      <c r="J1800" s="93"/>
      <c r="K1800" s="93"/>
    </row>
    <row r="1801" spans="4:11" x14ac:dyDescent="0.25">
      <c r="D1801" s="93"/>
      <c r="E1801" s="93"/>
      <c r="F1801" s="93"/>
      <c r="G1801" s="93"/>
      <c r="H1801" s="93"/>
      <c r="I1801" s="93"/>
      <c r="J1801" s="93"/>
      <c r="K1801" s="93"/>
    </row>
    <row r="1802" spans="4:11" x14ac:dyDescent="0.25">
      <c r="D1802" s="93"/>
      <c r="E1802" s="93"/>
      <c r="F1802" s="93"/>
      <c r="G1802" s="93"/>
      <c r="H1802" s="93"/>
      <c r="I1802" s="93"/>
      <c r="J1802" s="93"/>
      <c r="K1802" s="93"/>
    </row>
    <row r="1803" spans="4:11" x14ac:dyDescent="0.25">
      <c r="D1803" s="93"/>
      <c r="E1803" s="93"/>
      <c r="F1803" s="93"/>
      <c r="G1803" s="93"/>
      <c r="H1803" s="93"/>
      <c r="I1803" s="93"/>
      <c r="J1803" s="93"/>
      <c r="K1803" s="93"/>
    </row>
    <row r="1804" spans="4:11" x14ac:dyDescent="0.25">
      <c r="D1804" s="93"/>
      <c r="E1804" s="93"/>
      <c r="F1804" s="93"/>
      <c r="G1804" s="93"/>
      <c r="H1804" s="93"/>
      <c r="I1804" s="93"/>
      <c r="J1804" s="93"/>
      <c r="K1804" s="93"/>
    </row>
    <row r="1805" spans="4:11" x14ac:dyDescent="0.25">
      <c r="D1805" s="93"/>
      <c r="E1805" s="93"/>
      <c r="F1805" s="93"/>
      <c r="G1805" s="93"/>
      <c r="H1805" s="93"/>
      <c r="I1805" s="93"/>
      <c r="J1805" s="93"/>
      <c r="K1805" s="93"/>
    </row>
    <row r="1806" spans="4:11" x14ac:dyDescent="0.25">
      <c r="D1806" s="93"/>
      <c r="E1806" s="93"/>
      <c r="F1806" s="93"/>
      <c r="G1806" s="93"/>
      <c r="H1806" s="93"/>
      <c r="I1806" s="93"/>
      <c r="J1806" s="93"/>
      <c r="K1806" s="93"/>
    </row>
    <row r="1807" spans="4:11" x14ac:dyDescent="0.25">
      <c r="D1807" s="93"/>
      <c r="E1807" s="93"/>
      <c r="F1807" s="93"/>
      <c r="G1807" s="93"/>
      <c r="H1807" s="93"/>
      <c r="I1807" s="93"/>
      <c r="J1807" s="93"/>
      <c r="K1807" s="93"/>
    </row>
    <row r="1808" spans="4:11" x14ac:dyDescent="0.25">
      <c r="D1808" s="93"/>
      <c r="E1808" s="93"/>
      <c r="F1808" s="93"/>
      <c r="G1808" s="93"/>
      <c r="H1808" s="93"/>
      <c r="I1808" s="93"/>
      <c r="J1808" s="93"/>
      <c r="K1808" s="93"/>
    </row>
    <row r="1809" spans="4:11" x14ac:dyDescent="0.25">
      <c r="D1809" s="93"/>
      <c r="E1809" s="93"/>
      <c r="F1809" s="93"/>
      <c r="G1809" s="93"/>
      <c r="H1809" s="93"/>
      <c r="I1809" s="93"/>
      <c r="J1809" s="93"/>
      <c r="K1809" s="93"/>
    </row>
    <row r="1810" spans="4:11" x14ac:dyDescent="0.25">
      <c r="D1810" s="93"/>
      <c r="E1810" s="93"/>
      <c r="F1810" s="93"/>
      <c r="G1810" s="93"/>
      <c r="H1810" s="93"/>
      <c r="I1810" s="93"/>
      <c r="J1810" s="93"/>
      <c r="K1810" s="93"/>
    </row>
    <row r="1811" spans="4:11" x14ac:dyDescent="0.25">
      <c r="D1811" s="93"/>
      <c r="E1811" s="93"/>
      <c r="F1811" s="93"/>
      <c r="G1811" s="93"/>
      <c r="H1811" s="93"/>
      <c r="I1811" s="93"/>
      <c r="J1811" s="93"/>
      <c r="K1811" s="93"/>
    </row>
    <row r="1812" spans="4:11" x14ac:dyDescent="0.25">
      <c r="D1812" s="93"/>
      <c r="E1812" s="93"/>
      <c r="F1812" s="93"/>
      <c r="G1812" s="93"/>
      <c r="H1812" s="93"/>
      <c r="I1812" s="93"/>
      <c r="J1812" s="93"/>
      <c r="K1812" s="93"/>
    </row>
    <row r="1813" spans="4:11" x14ac:dyDescent="0.25">
      <c r="D1813" s="93"/>
      <c r="E1813" s="93"/>
      <c r="F1813" s="93"/>
      <c r="G1813" s="93"/>
      <c r="H1813" s="93"/>
      <c r="I1813" s="93"/>
      <c r="J1813" s="93"/>
      <c r="K1813" s="93"/>
    </row>
    <row r="1814" spans="4:11" x14ac:dyDescent="0.25">
      <c r="D1814" s="93"/>
      <c r="E1814" s="93"/>
      <c r="F1814" s="93"/>
      <c r="G1814" s="93"/>
      <c r="H1814" s="93"/>
      <c r="I1814" s="93"/>
      <c r="J1814" s="93"/>
      <c r="K1814" s="93"/>
    </row>
    <row r="1815" spans="4:11" x14ac:dyDescent="0.25">
      <c r="D1815" s="93"/>
      <c r="E1815" s="93"/>
      <c r="F1815" s="93"/>
      <c r="G1815" s="93"/>
      <c r="H1815" s="93"/>
      <c r="I1815" s="93"/>
      <c r="J1815" s="93"/>
      <c r="K1815" s="93"/>
    </row>
    <row r="1816" spans="4:11" x14ac:dyDescent="0.25">
      <c r="D1816" s="93"/>
      <c r="E1816" s="93"/>
      <c r="F1816" s="93"/>
      <c r="G1816" s="93"/>
      <c r="H1816" s="93"/>
      <c r="I1816" s="93"/>
      <c r="J1816" s="93"/>
      <c r="K1816" s="93"/>
    </row>
    <row r="1817" spans="4:11" x14ac:dyDescent="0.25">
      <c r="D1817" s="93"/>
      <c r="E1817" s="93"/>
      <c r="F1817" s="93"/>
      <c r="G1817" s="93"/>
      <c r="H1817" s="93"/>
      <c r="I1817" s="93"/>
      <c r="J1817" s="93"/>
      <c r="K1817" s="93"/>
    </row>
    <row r="1818" spans="4:11" x14ac:dyDescent="0.25">
      <c r="D1818" s="93"/>
      <c r="E1818" s="93"/>
      <c r="F1818" s="93"/>
      <c r="G1818" s="93"/>
      <c r="H1818" s="93"/>
      <c r="I1818" s="93"/>
      <c r="J1818" s="93"/>
      <c r="K1818" s="93"/>
    </row>
    <row r="1819" spans="4:11" x14ac:dyDescent="0.25">
      <c r="D1819" s="93"/>
      <c r="E1819" s="93"/>
      <c r="F1819" s="93"/>
      <c r="G1819" s="93"/>
      <c r="H1819" s="93"/>
      <c r="I1819" s="93"/>
      <c r="J1819" s="93"/>
      <c r="K1819" s="93"/>
    </row>
    <row r="1820" spans="4:11" x14ac:dyDescent="0.25">
      <c r="D1820" s="93"/>
      <c r="E1820" s="93"/>
      <c r="F1820" s="93"/>
      <c r="G1820" s="93"/>
      <c r="H1820" s="93"/>
      <c r="I1820" s="93"/>
      <c r="J1820" s="93"/>
      <c r="K1820" s="93"/>
    </row>
    <row r="1821" spans="4:11" x14ac:dyDescent="0.25">
      <c r="D1821" s="93"/>
      <c r="E1821" s="93"/>
      <c r="F1821" s="93"/>
      <c r="G1821" s="93"/>
      <c r="H1821" s="93"/>
      <c r="I1821" s="93"/>
      <c r="J1821" s="93"/>
      <c r="K1821" s="93"/>
    </row>
    <row r="1822" spans="4:11" x14ac:dyDescent="0.25">
      <c r="D1822" s="93"/>
      <c r="E1822" s="93"/>
      <c r="F1822" s="93"/>
      <c r="G1822" s="93"/>
      <c r="H1822" s="93"/>
      <c r="I1822" s="93"/>
      <c r="J1822" s="93"/>
      <c r="K1822" s="93"/>
    </row>
    <row r="1823" spans="4:11" x14ac:dyDescent="0.25">
      <c r="D1823" s="93"/>
      <c r="E1823" s="93"/>
      <c r="F1823" s="93"/>
      <c r="G1823" s="93"/>
      <c r="H1823" s="93"/>
      <c r="I1823" s="93"/>
      <c r="J1823" s="93"/>
      <c r="K1823" s="93"/>
    </row>
    <row r="1824" spans="4:11" x14ac:dyDescent="0.25">
      <c r="D1824" s="93"/>
      <c r="E1824" s="93"/>
      <c r="F1824" s="93"/>
      <c r="G1824" s="93"/>
      <c r="H1824" s="93"/>
      <c r="I1824" s="93"/>
      <c r="J1824" s="93"/>
      <c r="K1824" s="93"/>
    </row>
    <row r="1825" spans="4:11" x14ac:dyDescent="0.25">
      <c r="D1825" s="93"/>
      <c r="E1825" s="93"/>
      <c r="F1825" s="93"/>
      <c r="G1825" s="93"/>
      <c r="H1825" s="93"/>
      <c r="I1825" s="93"/>
      <c r="J1825" s="93"/>
      <c r="K1825" s="93"/>
    </row>
    <row r="1826" spans="4:11" x14ac:dyDescent="0.25">
      <c r="D1826" s="93"/>
      <c r="E1826" s="93"/>
      <c r="F1826" s="93"/>
      <c r="G1826" s="93"/>
      <c r="H1826" s="93"/>
      <c r="I1826" s="93"/>
      <c r="J1826" s="93"/>
      <c r="K1826" s="93"/>
    </row>
    <row r="1827" spans="4:11" x14ac:dyDescent="0.25">
      <c r="D1827" s="93"/>
      <c r="E1827" s="93"/>
      <c r="F1827" s="93"/>
      <c r="G1827" s="93"/>
      <c r="H1827" s="93"/>
      <c r="I1827" s="93"/>
      <c r="J1827" s="93"/>
      <c r="K1827" s="93"/>
    </row>
    <row r="1828" spans="4:11" x14ac:dyDescent="0.25">
      <c r="D1828" s="93"/>
      <c r="E1828" s="93"/>
      <c r="F1828" s="93"/>
      <c r="G1828" s="93"/>
      <c r="H1828" s="93"/>
      <c r="I1828" s="93"/>
      <c r="J1828" s="93"/>
      <c r="K1828" s="93"/>
    </row>
    <row r="1829" spans="4:11" x14ac:dyDescent="0.25">
      <c r="D1829" s="93"/>
      <c r="E1829" s="93"/>
      <c r="F1829" s="93"/>
      <c r="G1829" s="93"/>
      <c r="H1829" s="93"/>
      <c r="I1829" s="93"/>
      <c r="J1829" s="93"/>
      <c r="K1829" s="93"/>
    </row>
    <row r="1830" spans="4:11" x14ac:dyDescent="0.25">
      <c r="D1830" s="93"/>
      <c r="E1830" s="93"/>
      <c r="F1830" s="93"/>
      <c r="G1830" s="93"/>
      <c r="H1830" s="93"/>
      <c r="I1830" s="93"/>
      <c r="J1830" s="93"/>
      <c r="K1830" s="93"/>
    </row>
    <row r="1831" spans="4:11" x14ac:dyDescent="0.25">
      <c r="D1831" s="93"/>
      <c r="E1831" s="93"/>
      <c r="F1831" s="93"/>
      <c r="G1831" s="93"/>
      <c r="H1831" s="93"/>
      <c r="I1831" s="93"/>
      <c r="J1831" s="93"/>
      <c r="K1831" s="93"/>
    </row>
    <row r="1832" spans="4:11" x14ac:dyDescent="0.25">
      <c r="D1832" s="93"/>
      <c r="E1832" s="93"/>
      <c r="F1832" s="93"/>
      <c r="G1832" s="93"/>
      <c r="H1832" s="93"/>
      <c r="I1832" s="93"/>
      <c r="J1832" s="93"/>
      <c r="K1832" s="93"/>
    </row>
    <row r="1833" spans="4:11" x14ac:dyDescent="0.25">
      <c r="D1833" s="93"/>
      <c r="E1833" s="93"/>
      <c r="F1833" s="93"/>
      <c r="G1833" s="93"/>
      <c r="H1833" s="93"/>
      <c r="I1833" s="93"/>
      <c r="J1833" s="93"/>
      <c r="K1833" s="93"/>
    </row>
    <row r="1834" spans="4:11" x14ac:dyDescent="0.25">
      <c r="D1834" s="93"/>
      <c r="E1834" s="93"/>
      <c r="F1834" s="93"/>
      <c r="G1834" s="93"/>
      <c r="H1834" s="93"/>
      <c r="I1834" s="93"/>
      <c r="J1834" s="93"/>
      <c r="K1834" s="93"/>
    </row>
    <row r="1835" spans="4:11" x14ac:dyDescent="0.25">
      <c r="D1835" s="93"/>
      <c r="E1835" s="93"/>
      <c r="F1835" s="93"/>
      <c r="G1835" s="93"/>
      <c r="H1835" s="93"/>
      <c r="I1835" s="93"/>
      <c r="J1835" s="93"/>
      <c r="K1835" s="93"/>
    </row>
    <row r="1836" spans="4:11" x14ac:dyDescent="0.25">
      <c r="D1836" s="93"/>
      <c r="E1836" s="93"/>
      <c r="F1836" s="93"/>
      <c r="G1836" s="93"/>
      <c r="H1836" s="93"/>
      <c r="I1836" s="93"/>
      <c r="J1836" s="93"/>
      <c r="K1836" s="93"/>
    </row>
    <row r="1837" spans="4:11" x14ac:dyDescent="0.25">
      <c r="D1837" s="93"/>
      <c r="E1837" s="93"/>
      <c r="F1837" s="93"/>
      <c r="G1837" s="93"/>
      <c r="H1837" s="93"/>
      <c r="I1837" s="93"/>
      <c r="J1837" s="93"/>
      <c r="K1837" s="93"/>
    </row>
    <row r="1838" spans="4:11" x14ac:dyDescent="0.25">
      <c r="D1838" s="93"/>
      <c r="E1838" s="93"/>
      <c r="F1838" s="93"/>
      <c r="G1838" s="93"/>
      <c r="H1838" s="93"/>
      <c r="I1838" s="93"/>
      <c r="J1838" s="93"/>
      <c r="K1838" s="93"/>
    </row>
    <row r="1839" spans="4:11" x14ac:dyDescent="0.25">
      <c r="D1839" s="93"/>
      <c r="E1839" s="93"/>
      <c r="F1839" s="93"/>
      <c r="G1839" s="93"/>
      <c r="H1839" s="93"/>
      <c r="I1839" s="93"/>
      <c r="J1839" s="93"/>
      <c r="K1839" s="93"/>
    </row>
    <row r="1840" spans="4:11" x14ac:dyDescent="0.25">
      <c r="D1840" s="93"/>
      <c r="E1840" s="93"/>
      <c r="F1840" s="93"/>
      <c r="G1840" s="93"/>
      <c r="H1840" s="93"/>
      <c r="I1840" s="93"/>
      <c r="J1840" s="93"/>
      <c r="K1840" s="93"/>
    </row>
    <row r="1841" spans="4:11" x14ac:dyDescent="0.25">
      <c r="D1841" s="93"/>
      <c r="E1841" s="93"/>
      <c r="F1841" s="93"/>
      <c r="G1841" s="93"/>
      <c r="H1841" s="93"/>
      <c r="I1841" s="93"/>
      <c r="J1841" s="93"/>
      <c r="K1841" s="93"/>
    </row>
    <row r="1842" spans="4:11" x14ac:dyDescent="0.25">
      <c r="D1842" s="93"/>
      <c r="E1842" s="93"/>
      <c r="F1842" s="93"/>
      <c r="G1842" s="93"/>
      <c r="H1842" s="93"/>
      <c r="I1842" s="93"/>
      <c r="J1842" s="93"/>
      <c r="K1842" s="93"/>
    </row>
    <row r="1843" spans="4:11" x14ac:dyDescent="0.25">
      <c r="D1843" s="93"/>
      <c r="E1843" s="93"/>
      <c r="F1843" s="93"/>
      <c r="G1843" s="93"/>
      <c r="H1843" s="93"/>
      <c r="I1843" s="93"/>
      <c r="J1843" s="93"/>
      <c r="K1843" s="93"/>
    </row>
    <row r="1844" spans="4:11" x14ac:dyDescent="0.25">
      <c r="D1844" s="93"/>
      <c r="E1844" s="93"/>
      <c r="F1844" s="93"/>
      <c r="G1844" s="93"/>
      <c r="H1844" s="93"/>
      <c r="I1844" s="93"/>
      <c r="J1844" s="93"/>
      <c r="K1844" s="93"/>
    </row>
    <row r="1845" spans="4:11" x14ac:dyDescent="0.25">
      <c r="D1845" s="93"/>
      <c r="E1845" s="93"/>
      <c r="F1845" s="93"/>
      <c r="G1845" s="93"/>
      <c r="H1845" s="93"/>
      <c r="I1845" s="93"/>
      <c r="J1845" s="93"/>
      <c r="K1845" s="93"/>
    </row>
    <row r="1846" spans="4:11" x14ac:dyDescent="0.25">
      <c r="D1846" s="93"/>
      <c r="E1846" s="93"/>
      <c r="F1846" s="93"/>
      <c r="G1846" s="93"/>
      <c r="H1846" s="93"/>
      <c r="I1846" s="93"/>
      <c r="J1846" s="93"/>
      <c r="K1846" s="93"/>
    </row>
    <row r="1847" spans="4:11" x14ac:dyDescent="0.25">
      <c r="D1847" s="93"/>
      <c r="E1847" s="93"/>
      <c r="F1847" s="93"/>
      <c r="G1847" s="93"/>
      <c r="H1847" s="93"/>
      <c r="I1847" s="93"/>
      <c r="J1847" s="93"/>
      <c r="K1847" s="93"/>
    </row>
    <row r="1848" spans="4:11" x14ac:dyDescent="0.25">
      <c r="D1848" s="93"/>
      <c r="E1848" s="93"/>
      <c r="F1848" s="93"/>
      <c r="G1848" s="93"/>
      <c r="H1848" s="93"/>
      <c r="I1848" s="93"/>
      <c r="J1848" s="93"/>
      <c r="K1848" s="93"/>
    </row>
    <row r="1849" spans="4:11" x14ac:dyDescent="0.25">
      <c r="D1849" s="93"/>
      <c r="E1849" s="93"/>
      <c r="F1849" s="93"/>
      <c r="G1849" s="93"/>
      <c r="H1849" s="93"/>
      <c r="I1849" s="93"/>
      <c r="J1849" s="93"/>
      <c r="K1849" s="93"/>
    </row>
    <row r="1850" spans="4:11" x14ac:dyDescent="0.25">
      <c r="D1850" s="93"/>
      <c r="E1850" s="93"/>
      <c r="F1850" s="93"/>
      <c r="G1850" s="93"/>
      <c r="H1850" s="93"/>
      <c r="I1850" s="93"/>
      <c r="J1850" s="93"/>
      <c r="K1850" s="93"/>
    </row>
    <row r="1851" spans="4:11" x14ac:dyDescent="0.25">
      <c r="D1851" s="93"/>
      <c r="E1851" s="93"/>
      <c r="F1851" s="93"/>
      <c r="G1851" s="93"/>
      <c r="H1851" s="93"/>
      <c r="I1851" s="93"/>
      <c r="J1851" s="93"/>
      <c r="K1851" s="93"/>
    </row>
    <row r="1852" spans="4:11" x14ac:dyDescent="0.25">
      <c r="D1852" s="93"/>
      <c r="E1852" s="93"/>
      <c r="F1852" s="93"/>
      <c r="G1852" s="93"/>
      <c r="H1852" s="93"/>
      <c r="I1852" s="93"/>
      <c r="J1852" s="93"/>
      <c r="K1852" s="93"/>
    </row>
    <row r="1853" spans="4:11" x14ac:dyDescent="0.25">
      <c r="D1853" s="93"/>
      <c r="E1853" s="93"/>
      <c r="F1853" s="93"/>
      <c r="G1853" s="93"/>
      <c r="H1853" s="93"/>
      <c r="I1853" s="93"/>
      <c r="J1853" s="93"/>
      <c r="K1853" s="93"/>
    </row>
    <row r="1854" spans="4:11" x14ac:dyDescent="0.25">
      <c r="D1854" s="93"/>
      <c r="E1854" s="93"/>
      <c r="F1854" s="93"/>
      <c r="G1854" s="93"/>
      <c r="H1854" s="93"/>
      <c r="I1854" s="93"/>
      <c r="J1854" s="93"/>
      <c r="K1854" s="93"/>
    </row>
    <row r="1855" spans="4:11" x14ac:dyDescent="0.25">
      <c r="D1855" s="93"/>
      <c r="E1855" s="93"/>
      <c r="F1855" s="93"/>
      <c r="G1855" s="93"/>
      <c r="H1855" s="93"/>
      <c r="I1855" s="93"/>
      <c r="J1855" s="93"/>
      <c r="K1855" s="93"/>
    </row>
    <row r="1856" spans="4:11" x14ac:dyDescent="0.25">
      <c r="D1856" s="93"/>
      <c r="E1856" s="93"/>
      <c r="F1856" s="93"/>
      <c r="G1856" s="93"/>
      <c r="H1856" s="93"/>
      <c r="I1856" s="93"/>
      <c r="J1856" s="93"/>
      <c r="K1856" s="93"/>
    </row>
    <row r="1857" spans="4:11" x14ac:dyDescent="0.25">
      <c r="D1857" s="93"/>
      <c r="E1857" s="93"/>
      <c r="F1857" s="93"/>
      <c r="G1857" s="93"/>
      <c r="H1857" s="93"/>
      <c r="I1857" s="93"/>
      <c r="J1857" s="93"/>
      <c r="K1857" s="93"/>
    </row>
    <row r="1858" spans="4:11" x14ac:dyDescent="0.25">
      <c r="D1858" s="93"/>
      <c r="E1858" s="93"/>
      <c r="F1858" s="93"/>
      <c r="G1858" s="93"/>
      <c r="H1858" s="93"/>
      <c r="I1858" s="93"/>
      <c r="J1858" s="93"/>
      <c r="K1858" s="93"/>
    </row>
    <row r="1859" spans="4:11" x14ac:dyDescent="0.25">
      <c r="D1859" s="93"/>
      <c r="E1859" s="93"/>
      <c r="F1859" s="93"/>
      <c r="G1859" s="93"/>
      <c r="H1859" s="93"/>
      <c r="I1859" s="93"/>
      <c r="J1859" s="93"/>
      <c r="K1859" s="93"/>
    </row>
    <row r="1860" spans="4:11" x14ac:dyDescent="0.25">
      <c r="D1860" s="93"/>
      <c r="E1860" s="93"/>
      <c r="F1860" s="93"/>
      <c r="G1860" s="93"/>
      <c r="H1860" s="93"/>
      <c r="I1860" s="93"/>
      <c r="J1860" s="93"/>
      <c r="K1860" s="93"/>
    </row>
    <row r="1861" spans="4:11" x14ac:dyDescent="0.25">
      <c r="D1861" s="93"/>
      <c r="E1861" s="93"/>
      <c r="F1861" s="93"/>
      <c r="G1861" s="93"/>
      <c r="H1861" s="93"/>
      <c r="I1861" s="93"/>
      <c r="J1861" s="93"/>
      <c r="K1861" s="93"/>
    </row>
    <row r="1862" spans="4:11" x14ac:dyDescent="0.25">
      <c r="D1862" s="93"/>
      <c r="E1862" s="93"/>
      <c r="F1862" s="93"/>
      <c r="G1862" s="93"/>
      <c r="H1862" s="93"/>
      <c r="I1862" s="93"/>
      <c r="J1862" s="93"/>
      <c r="K1862" s="93"/>
    </row>
    <row r="1863" spans="4:11" x14ac:dyDescent="0.25">
      <c r="D1863" s="93"/>
      <c r="E1863" s="93"/>
      <c r="F1863" s="93"/>
      <c r="G1863" s="93"/>
      <c r="H1863" s="93"/>
      <c r="I1863" s="93"/>
      <c r="J1863" s="93"/>
      <c r="K1863" s="93"/>
    </row>
    <row r="1864" spans="4:11" x14ac:dyDescent="0.25">
      <c r="D1864" s="93"/>
      <c r="E1864" s="93"/>
      <c r="F1864" s="93"/>
      <c r="G1864" s="93"/>
      <c r="H1864" s="93"/>
      <c r="I1864" s="93"/>
      <c r="J1864" s="93"/>
      <c r="K1864" s="93"/>
    </row>
    <row r="1865" spans="4:11" x14ac:dyDescent="0.25">
      <c r="D1865" s="93"/>
      <c r="E1865" s="93"/>
      <c r="F1865" s="93"/>
      <c r="G1865" s="93"/>
      <c r="H1865" s="93"/>
      <c r="I1865" s="93"/>
      <c r="J1865" s="93"/>
      <c r="K1865" s="93"/>
    </row>
    <row r="1866" spans="4:11" x14ac:dyDescent="0.25">
      <c r="D1866" s="93"/>
      <c r="E1866" s="93"/>
      <c r="F1866" s="93"/>
      <c r="G1866" s="93"/>
      <c r="H1866" s="93"/>
      <c r="I1866" s="93"/>
      <c r="J1866" s="93"/>
      <c r="K1866" s="93"/>
    </row>
    <row r="1867" spans="4:11" x14ac:dyDescent="0.25">
      <c r="D1867" s="93"/>
      <c r="E1867" s="93"/>
      <c r="F1867" s="93"/>
      <c r="G1867" s="93"/>
      <c r="H1867" s="93"/>
      <c r="I1867" s="93"/>
      <c r="J1867" s="93"/>
      <c r="K1867" s="93"/>
    </row>
    <row r="1868" spans="4:11" x14ac:dyDescent="0.25">
      <c r="D1868" s="93"/>
      <c r="E1868" s="93"/>
      <c r="F1868" s="93"/>
      <c r="G1868" s="93"/>
      <c r="H1868" s="93"/>
      <c r="I1868" s="93"/>
      <c r="J1868" s="93"/>
      <c r="K1868" s="93"/>
    </row>
    <row r="1869" spans="4:11" x14ac:dyDescent="0.25">
      <c r="D1869" s="93"/>
      <c r="E1869" s="93"/>
      <c r="F1869" s="93"/>
      <c r="G1869" s="93"/>
      <c r="H1869" s="93"/>
      <c r="I1869" s="93"/>
      <c r="J1869" s="93"/>
      <c r="K1869" s="93"/>
    </row>
    <row r="1870" spans="4:11" x14ac:dyDescent="0.25">
      <c r="D1870" s="93"/>
      <c r="E1870" s="93"/>
      <c r="F1870" s="93"/>
      <c r="G1870" s="93"/>
      <c r="H1870" s="93"/>
      <c r="I1870" s="93"/>
      <c r="J1870" s="93"/>
      <c r="K1870" s="93"/>
    </row>
    <row r="1871" spans="4:11" x14ac:dyDescent="0.25">
      <c r="D1871" s="93"/>
      <c r="E1871" s="93"/>
      <c r="F1871" s="93"/>
      <c r="G1871" s="93"/>
      <c r="H1871" s="93"/>
      <c r="I1871" s="93"/>
      <c r="J1871" s="93"/>
      <c r="K1871" s="93"/>
    </row>
    <row r="1872" spans="4:11" x14ac:dyDescent="0.25">
      <c r="D1872" s="93"/>
      <c r="E1872" s="93"/>
      <c r="F1872" s="93"/>
      <c r="G1872" s="93"/>
      <c r="H1872" s="93"/>
      <c r="I1872" s="93"/>
      <c r="J1872" s="93"/>
      <c r="K1872" s="93"/>
    </row>
    <row r="1873" spans="4:11" x14ac:dyDescent="0.25">
      <c r="D1873" s="93"/>
      <c r="E1873" s="93"/>
      <c r="F1873" s="93"/>
      <c r="G1873" s="93"/>
      <c r="H1873" s="93"/>
      <c r="I1873" s="93"/>
      <c r="J1873" s="93"/>
      <c r="K1873" s="93"/>
    </row>
    <row r="1874" spans="4:11" x14ac:dyDescent="0.25">
      <c r="D1874" s="93"/>
      <c r="E1874" s="93"/>
      <c r="F1874" s="93"/>
      <c r="G1874" s="93"/>
      <c r="H1874" s="93"/>
      <c r="I1874" s="93"/>
      <c r="J1874" s="93"/>
      <c r="K1874" s="93"/>
    </row>
    <row r="1875" spans="4:11" x14ac:dyDescent="0.25">
      <c r="D1875" s="93"/>
      <c r="E1875" s="93"/>
      <c r="F1875" s="93"/>
      <c r="G1875" s="93"/>
      <c r="H1875" s="93"/>
      <c r="I1875" s="93"/>
      <c r="J1875" s="93"/>
      <c r="K1875" s="93"/>
    </row>
    <row r="1876" spans="4:11" x14ac:dyDescent="0.25">
      <c r="D1876" s="93"/>
      <c r="E1876" s="93"/>
      <c r="F1876" s="93"/>
      <c r="G1876" s="93"/>
      <c r="H1876" s="93"/>
      <c r="I1876" s="93"/>
      <c r="J1876" s="93"/>
      <c r="K1876" s="93"/>
    </row>
    <row r="1877" spans="4:11" x14ac:dyDescent="0.25">
      <c r="D1877" s="93"/>
      <c r="E1877" s="93"/>
      <c r="F1877" s="93"/>
      <c r="G1877" s="93"/>
      <c r="H1877" s="93"/>
      <c r="I1877" s="93"/>
      <c r="J1877" s="93"/>
      <c r="K1877" s="93"/>
    </row>
    <row r="1878" spans="4:11" x14ac:dyDescent="0.25">
      <c r="D1878" s="93"/>
      <c r="E1878" s="93"/>
      <c r="F1878" s="93"/>
      <c r="G1878" s="93"/>
      <c r="H1878" s="93"/>
      <c r="I1878" s="93"/>
      <c r="J1878" s="93"/>
      <c r="K1878" s="93"/>
    </row>
    <row r="1879" spans="4:11" x14ac:dyDescent="0.25">
      <c r="D1879" s="93"/>
      <c r="E1879" s="93"/>
      <c r="F1879" s="93"/>
      <c r="G1879" s="93"/>
      <c r="H1879" s="93"/>
      <c r="I1879" s="93"/>
      <c r="J1879" s="93"/>
      <c r="K1879" s="93"/>
    </row>
    <row r="1880" spans="4:11" x14ac:dyDescent="0.25">
      <c r="D1880" s="93"/>
      <c r="E1880" s="93"/>
      <c r="F1880" s="93"/>
      <c r="G1880" s="93"/>
      <c r="H1880" s="93"/>
      <c r="I1880" s="93"/>
      <c r="J1880" s="93"/>
      <c r="K1880" s="93"/>
    </row>
    <row r="1881" spans="4:11" x14ac:dyDescent="0.25">
      <c r="D1881" s="93"/>
      <c r="E1881" s="93"/>
      <c r="F1881" s="93"/>
      <c r="G1881" s="93"/>
      <c r="H1881" s="93"/>
      <c r="I1881" s="93"/>
      <c r="J1881" s="93"/>
      <c r="K1881" s="93"/>
    </row>
    <row r="1882" spans="4:11" x14ac:dyDescent="0.25">
      <c r="D1882" s="93"/>
      <c r="E1882" s="93"/>
      <c r="F1882" s="93"/>
      <c r="G1882" s="93"/>
      <c r="H1882" s="93"/>
      <c r="I1882" s="93"/>
      <c r="J1882" s="93"/>
      <c r="K1882" s="93"/>
    </row>
    <row r="1883" spans="4:11" x14ac:dyDescent="0.25">
      <c r="D1883" s="93"/>
      <c r="E1883" s="93"/>
      <c r="F1883" s="93"/>
      <c r="G1883" s="93"/>
      <c r="H1883" s="93"/>
      <c r="I1883" s="93"/>
      <c r="J1883" s="93"/>
      <c r="K1883" s="93"/>
    </row>
    <row r="1884" spans="4:11" x14ac:dyDescent="0.25">
      <c r="D1884" s="93"/>
      <c r="E1884" s="93"/>
      <c r="F1884" s="93"/>
      <c r="G1884" s="93"/>
      <c r="H1884" s="93"/>
      <c r="I1884" s="93"/>
      <c r="J1884" s="93"/>
      <c r="K1884" s="93"/>
    </row>
    <row r="1885" spans="4:11" x14ac:dyDescent="0.25">
      <c r="D1885" s="93"/>
      <c r="E1885" s="93"/>
      <c r="F1885" s="93"/>
      <c r="G1885" s="93"/>
      <c r="H1885" s="93"/>
      <c r="I1885" s="93"/>
      <c r="J1885" s="93"/>
      <c r="K1885" s="93"/>
    </row>
    <row r="1886" spans="4:11" x14ac:dyDescent="0.25">
      <c r="D1886" s="93"/>
      <c r="E1886" s="93"/>
      <c r="F1886" s="93"/>
      <c r="G1886" s="93"/>
      <c r="H1886" s="93"/>
      <c r="I1886" s="93"/>
      <c r="J1886" s="93"/>
      <c r="K1886" s="93"/>
    </row>
    <row r="1887" spans="4:11" x14ac:dyDescent="0.25">
      <c r="D1887" s="93"/>
      <c r="E1887" s="93"/>
      <c r="F1887" s="93"/>
      <c r="G1887" s="93"/>
      <c r="H1887" s="93"/>
      <c r="I1887" s="93"/>
      <c r="J1887" s="93"/>
      <c r="K1887" s="93"/>
    </row>
    <row r="1888" spans="4:11" x14ac:dyDescent="0.25">
      <c r="D1888" s="93"/>
      <c r="E1888" s="93"/>
      <c r="F1888" s="93"/>
      <c r="G1888" s="93"/>
      <c r="H1888" s="93"/>
      <c r="I1888" s="93"/>
      <c r="J1888" s="93"/>
      <c r="K1888" s="93"/>
    </row>
    <row r="1889" spans="4:11" x14ac:dyDescent="0.25">
      <c r="D1889" s="93"/>
      <c r="E1889" s="93"/>
      <c r="F1889" s="93"/>
      <c r="G1889" s="93"/>
      <c r="H1889" s="93"/>
      <c r="I1889" s="93"/>
      <c r="J1889" s="93"/>
      <c r="K1889" s="93"/>
    </row>
    <row r="1890" spans="4:11" x14ac:dyDescent="0.25">
      <c r="D1890" s="93"/>
      <c r="E1890" s="93"/>
      <c r="F1890" s="93"/>
      <c r="G1890" s="93"/>
      <c r="H1890" s="93"/>
      <c r="I1890" s="93"/>
      <c r="J1890" s="93"/>
      <c r="K1890" s="93"/>
    </row>
    <row r="1891" spans="4:11" x14ac:dyDescent="0.25">
      <c r="D1891" s="93"/>
      <c r="E1891" s="93"/>
      <c r="F1891" s="93"/>
      <c r="G1891" s="93"/>
      <c r="H1891" s="93"/>
      <c r="I1891" s="93"/>
      <c r="J1891" s="93"/>
      <c r="K1891" s="93"/>
    </row>
    <row r="1892" spans="4:11" x14ac:dyDescent="0.25">
      <c r="D1892" s="93"/>
      <c r="E1892" s="93"/>
      <c r="F1892" s="93"/>
      <c r="G1892" s="93"/>
      <c r="H1892" s="93"/>
      <c r="I1892" s="93"/>
      <c r="J1892" s="93"/>
      <c r="K1892" s="93"/>
    </row>
    <row r="1893" spans="4:11" x14ac:dyDescent="0.25">
      <c r="D1893" s="93"/>
      <c r="E1893" s="93"/>
      <c r="F1893" s="93"/>
      <c r="G1893" s="93"/>
      <c r="H1893" s="93"/>
      <c r="I1893" s="93"/>
      <c r="J1893" s="93"/>
      <c r="K1893" s="93"/>
    </row>
    <row r="1894" spans="4:11" x14ac:dyDescent="0.25">
      <c r="D1894" s="93"/>
      <c r="E1894" s="93"/>
      <c r="F1894" s="93"/>
      <c r="G1894" s="93"/>
      <c r="H1894" s="93"/>
      <c r="I1894" s="93"/>
      <c r="J1894" s="93"/>
      <c r="K1894" s="93"/>
    </row>
    <row r="1895" spans="4:11" x14ac:dyDescent="0.25">
      <c r="D1895" s="93"/>
      <c r="E1895" s="93"/>
      <c r="F1895" s="93"/>
      <c r="G1895" s="93"/>
      <c r="H1895" s="93"/>
      <c r="I1895" s="93"/>
      <c r="J1895" s="93"/>
      <c r="K1895" s="93"/>
    </row>
    <row r="1896" spans="4:11" x14ac:dyDescent="0.25">
      <c r="D1896" s="93"/>
      <c r="E1896" s="93"/>
      <c r="F1896" s="93"/>
      <c r="G1896" s="93"/>
      <c r="H1896" s="93"/>
      <c r="I1896" s="93"/>
      <c r="J1896" s="93"/>
      <c r="K1896" s="93"/>
    </row>
    <row r="1897" spans="4:11" x14ac:dyDescent="0.25">
      <c r="D1897" s="93"/>
      <c r="E1897" s="93"/>
      <c r="F1897" s="93"/>
      <c r="G1897" s="93"/>
      <c r="H1897" s="93"/>
      <c r="I1897" s="93"/>
      <c r="J1897" s="93"/>
      <c r="K1897" s="93"/>
    </row>
    <row r="1898" spans="4:11" x14ac:dyDescent="0.25">
      <c r="D1898" s="93"/>
      <c r="E1898" s="93"/>
      <c r="F1898" s="93"/>
      <c r="G1898" s="93"/>
      <c r="H1898" s="93"/>
      <c r="I1898" s="93"/>
      <c r="J1898" s="93"/>
      <c r="K1898" s="93"/>
    </row>
    <row r="1899" spans="4:11" x14ac:dyDescent="0.25">
      <c r="D1899" s="93"/>
      <c r="E1899" s="93"/>
      <c r="F1899" s="93"/>
      <c r="G1899" s="93"/>
      <c r="H1899" s="93"/>
      <c r="I1899" s="93"/>
      <c r="J1899" s="93"/>
      <c r="K1899" s="93"/>
    </row>
    <row r="1900" spans="4:11" x14ac:dyDescent="0.25">
      <c r="D1900" s="93"/>
      <c r="E1900" s="93"/>
      <c r="F1900" s="93"/>
      <c r="G1900" s="93"/>
      <c r="H1900" s="93"/>
      <c r="I1900" s="93"/>
      <c r="J1900" s="93"/>
      <c r="K1900" s="93"/>
    </row>
    <row r="1901" spans="4:11" x14ac:dyDescent="0.25">
      <c r="D1901" s="93"/>
      <c r="E1901" s="93"/>
      <c r="F1901" s="93"/>
      <c r="G1901" s="93"/>
      <c r="H1901" s="93"/>
      <c r="I1901" s="93"/>
      <c r="J1901" s="93"/>
      <c r="K1901" s="93"/>
    </row>
    <row r="1902" spans="4:11" x14ac:dyDescent="0.25">
      <c r="D1902" s="93"/>
      <c r="E1902" s="93"/>
      <c r="F1902" s="93"/>
      <c r="G1902" s="93"/>
      <c r="H1902" s="93"/>
      <c r="I1902" s="93"/>
      <c r="J1902" s="93"/>
      <c r="K1902" s="93"/>
    </row>
    <row r="1903" spans="4:11" x14ac:dyDescent="0.25">
      <c r="D1903" s="93"/>
      <c r="E1903" s="93"/>
      <c r="F1903" s="93"/>
      <c r="G1903" s="93"/>
      <c r="H1903" s="93"/>
      <c r="I1903" s="93"/>
      <c r="J1903" s="93"/>
      <c r="K1903" s="93"/>
    </row>
    <row r="1904" spans="4:11" x14ac:dyDescent="0.25">
      <c r="D1904" s="93"/>
      <c r="E1904" s="93"/>
      <c r="F1904" s="93"/>
      <c r="G1904" s="93"/>
      <c r="H1904" s="93"/>
      <c r="I1904" s="93"/>
      <c r="J1904" s="93"/>
      <c r="K1904" s="93"/>
    </row>
    <row r="1905" spans="4:11" x14ac:dyDescent="0.25">
      <c r="D1905" s="93"/>
      <c r="E1905" s="93"/>
      <c r="F1905" s="93"/>
      <c r="G1905" s="93"/>
      <c r="H1905" s="93"/>
      <c r="I1905" s="93"/>
      <c r="J1905" s="93"/>
      <c r="K1905" s="93"/>
    </row>
    <row r="1906" spans="4:11" x14ac:dyDescent="0.25">
      <c r="D1906" s="93"/>
      <c r="E1906" s="93"/>
      <c r="F1906" s="93"/>
      <c r="G1906" s="93"/>
      <c r="H1906" s="93"/>
      <c r="I1906" s="93"/>
      <c r="J1906" s="93"/>
      <c r="K1906" s="93"/>
    </row>
    <row r="1907" spans="4:11" x14ac:dyDescent="0.25">
      <c r="D1907" s="93"/>
      <c r="E1907" s="93"/>
      <c r="F1907" s="93"/>
      <c r="G1907" s="93"/>
      <c r="H1907" s="93"/>
      <c r="I1907" s="93"/>
      <c r="J1907" s="93"/>
      <c r="K1907" s="93"/>
    </row>
    <row r="1908" spans="4:11" x14ac:dyDescent="0.25">
      <c r="D1908" s="93"/>
      <c r="E1908" s="93"/>
      <c r="F1908" s="93"/>
      <c r="G1908" s="93"/>
      <c r="H1908" s="93"/>
      <c r="I1908" s="93"/>
      <c r="J1908" s="93"/>
      <c r="K1908" s="93"/>
    </row>
    <row r="1909" spans="4:11" x14ac:dyDescent="0.25">
      <c r="D1909" s="93"/>
      <c r="E1909" s="93"/>
      <c r="F1909" s="93"/>
      <c r="G1909" s="93"/>
      <c r="H1909" s="93"/>
      <c r="I1909" s="93"/>
      <c r="J1909" s="93"/>
      <c r="K1909" s="93"/>
    </row>
    <row r="1910" spans="4:11" x14ac:dyDescent="0.25">
      <c r="D1910" s="93"/>
      <c r="E1910" s="93"/>
      <c r="F1910" s="93"/>
      <c r="G1910" s="93"/>
      <c r="H1910" s="93"/>
      <c r="I1910" s="93"/>
      <c r="J1910" s="93"/>
      <c r="K1910" s="93"/>
    </row>
    <row r="1911" spans="4:11" x14ac:dyDescent="0.25">
      <c r="D1911" s="93"/>
      <c r="E1911" s="93"/>
      <c r="F1911" s="93"/>
      <c r="G1911" s="93"/>
      <c r="H1911" s="93"/>
      <c r="I1911" s="93"/>
      <c r="J1911" s="93"/>
      <c r="K1911" s="93"/>
    </row>
    <row r="1912" spans="4:11" x14ac:dyDescent="0.25">
      <c r="D1912" s="93"/>
      <c r="E1912" s="93"/>
      <c r="F1912" s="93"/>
      <c r="G1912" s="93"/>
      <c r="H1912" s="93"/>
      <c r="I1912" s="93"/>
      <c r="J1912" s="93"/>
      <c r="K1912" s="93"/>
    </row>
    <row r="1913" spans="4:11" x14ac:dyDescent="0.25">
      <c r="D1913" s="93"/>
      <c r="E1913" s="93"/>
      <c r="F1913" s="93"/>
      <c r="G1913" s="93"/>
      <c r="H1913" s="93"/>
      <c r="I1913" s="93"/>
      <c r="J1913" s="93"/>
      <c r="K1913" s="93"/>
    </row>
    <row r="1914" spans="4:11" x14ac:dyDescent="0.25">
      <c r="D1914" s="93"/>
      <c r="E1914" s="93"/>
      <c r="F1914" s="93"/>
      <c r="G1914" s="93"/>
      <c r="H1914" s="93"/>
      <c r="I1914" s="93"/>
      <c r="J1914" s="93"/>
      <c r="K1914" s="93"/>
    </row>
    <row r="1915" spans="4:11" x14ac:dyDescent="0.25">
      <c r="D1915" s="93"/>
      <c r="E1915" s="93"/>
      <c r="F1915" s="93"/>
      <c r="G1915" s="93"/>
      <c r="H1915" s="93"/>
      <c r="I1915" s="93"/>
      <c r="J1915" s="93"/>
      <c r="K1915" s="93"/>
    </row>
    <row r="1916" spans="4:11" x14ac:dyDescent="0.25">
      <c r="D1916" s="93"/>
      <c r="E1916" s="93"/>
      <c r="F1916" s="93"/>
      <c r="G1916" s="93"/>
      <c r="H1916" s="93"/>
      <c r="I1916" s="93"/>
      <c r="J1916" s="93"/>
      <c r="K1916" s="93"/>
    </row>
    <row r="1917" spans="4:11" x14ac:dyDescent="0.25">
      <c r="D1917" s="93"/>
      <c r="E1917" s="93"/>
      <c r="F1917" s="93"/>
      <c r="G1917" s="93"/>
      <c r="H1917" s="93"/>
      <c r="I1917" s="93"/>
      <c r="J1917" s="93"/>
      <c r="K1917" s="93"/>
    </row>
    <row r="1918" spans="4:11" x14ac:dyDescent="0.25">
      <c r="D1918" s="93"/>
      <c r="E1918" s="93"/>
      <c r="F1918" s="93"/>
      <c r="G1918" s="93"/>
      <c r="H1918" s="93"/>
      <c r="I1918" s="93"/>
      <c r="J1918" s="93"/>
      <c r="K1918" s="93"/>
    </row>
    <row r="1919" spans="4:11" x14ac:dyDescent="0.25">
      <c r="D1919" s="93"/>
      <c r="E1919" s="93"/>
      <c r="F1919" s="93"/>
      <c r="G1919" s="93"/>
      <c r="H1919" s="93"/>
      <c r="I1919" s="93"/>
      <c r="J1919" s="93"/>
      <c r="K1919" s="93"/>
    </row>
    <row r="1920" spans="4:11" x14ac:dyDescent="0.25">
      <c r="D1920" s="93"/>
      <c r="E1920" s="93"/>
      <c r="F1920" s="93"/>
      <c r="G1920" s="93"/>
      <c r="H1920" s="93"/>
      <c r="I1920" s="93"/>
      <c r="J1920" s="93"/>
      <c r="K1920" s="93"/>
    </row>
    <row r="1921" spans="4:11" x14ac:dyDescent="0.25">
      <c r="D1921" s="93"/>
      <c r="E1921" s="93"/>
      <c r="F1921" s="93"/>
      <c r="G1921" s="93"/>
      <c r="H1921" s="93"/>
      <c r="I1921" s="93"/>
      <c r="J1921" s="93"/>
      <c r="K1921" s="93"/>
    </row>
    <row r="1922" spans="4:11" x14ac:dyDescent="0.25">
      <c r="D1922" s="93"/>
      <c r="E1922" s="93"/>
      <c r="F1922" s="93"/>
      <c r="G1922" s="93"/>
      <c r="H1922" s="93"/>
      <c r="I1922" s="93"/>
      <c r="J1922" s="93"/>
      <c r="K1922" s="93"/>
    </row>
    <row r="1923" spans="4:11" x14ac:dyDescent="0.25">
      <c r="D1923" s="93"/>
      <c r="E1923" s="93"/>
      <c r="F1923" s="93"/>
      <c r="G1923" s="93"/>
      <c r="H1923" s="93"/>
      <c r="I1923" s="93"/>
      <c r="J1923" s="93"/>
      <c r="K1923" s="93"/>
    </row>
    <row r="1924" spans="4:11" x14ac:dyDescent="0.25">
      <c r="D1924" s="93"/>
      <c r="E1924" s="93"/>
      <c r="F1924" s="93"/>
      <c r="G1924" s="93"/>
      <c r="H1924" s="93"/>
      <c r="I1924" s="93"/>
      <c r="J1924" s="93"/>
      <c r="K1924" s="93"/>
    </row>
    <row r="1925" spans="4:11" x14ac:dyDescent="0.25">
      <c r="D1925" s="93"/>
      <c r="E1925" s="93"/>
      <c r="F1925" s="93"/>
      <c r="G1925" s="93"/>
      <c r="H1925" s="93"/>
      <c r="I1925" s="93"/>
      <c r="J1925" s="93"/>
      <c r="K1925" s="93"/>
    </row>
    <row r="1926" spans="4:11" x14ac:dyDescent="0.25">
      <c r="D1926" s="93"/>
      <c r="E1926" s="93"/>
      <c r="F1926" s="93"/>
      <c r="G1926" s="93"/>
      <c r="H1926" s="93"/>
      <c r="I1926" s="93"/>
      <c r="J1926" s="93"/>
      <c r="K1926" s="93"/>
    </row>
    <row r="1927" spans="4:11" x14ac:dyDescent="0.25">
      <c r="D1927" s="93"/>
      <c r="E1927" s="93"/>
      <c r="F1927" s="93"/>
      <c r="G1927" s="93"/>
      <c r="H1927" s="93"/>
      <c r="I1927" s="93"/>
      <c r="J1927" s="93"/>
      <c r="K1927" s="93"/>
    </row>
    <row r="1928" spans="4:11" x14ac:dyDescent="0.25">
      <c r="D1928" s="93"/>
      <c r="E1928" s="93"/>
      <c r="F1928" s="93"/>
      <c r="G1928" s="93"/>
      <c r="H1928" s="93"/>
      <c r="I1928" s="93"/>
      <c r="J1928" s="93"/>
      <c r="K1928" s="93"/>
    </row>
    <row r="1929" spans="4:11" x14ac:dyDescent="0.25">
      <c r="D1929" s="93"/>
      <c r="E1929" s="93"/>
      <c r="F1929" s="93"/>
      <c r="G1929" s="93"/>
      <c r="H1929" s="93"/>
      <c r="I1929" s="93"/>
      <c r="J1929" s="93"/>
      <c r="K1929" s="93"/>
    </row>
    <row r="1930" spans="4:11" x14ac:dyDescent="0.25">
      <c r="D1930" s="93"/>
      <c r="E1930" s="93"/>
      <c r="F1930" s="93"/>
      <c r="G1930" s="93"/>
      <c r="H1930" s="93"/>
      <c r="I1930" s="93"/>
      <c r="J1930" s="93"/>
      <c r="K1930" s="93"/>
    </row>
    <row r="1931" spans="4:11" x14ac:dyDescent="0.25">
      <c r="D1931" s="93"/>
      <c r="E1931" s="93"/>
      <c r="F1931" s="93"/>
      <c r="G1931" s="93"/>
      <c r="H1931" s="93"/>
      <c r="I1931" s="93"/>
      <c r="J1931" s="93"/>
      <c r="K1931" s="93"/>
    </row>
    <row r="1932" spans="4:11" x14ac:dyDescent="0.25">
      <c r="D1932" s="93"/>
      <c r="E1932" s="93"/>
      <c r="F1932" s="93"/>
      <c r="G1932" s="93"/>
      <c r="H1932" s="93"/>
      <c r="I1932" s="93"/>
      <c r="J1932" s="93"/>
      <c r="K1932" s="93"/>
    </row>
    <row r="1933" spans="4:11" x14ac:dyDescent="0.25">
      <c r="D1933" s="93"/>
      <c r="E1933" s="93"/>
      <c r="F1933" s="93"/>
      <c r="G1933" s="93"/>
      <c r="H1933" s="93"/>
      <c r="I1933" s="93"/>
      <c r="J1933" s="93"/>
      <c r="K1933" s="93"/>
    </row>
    <row r="1934" spans="4:11" x14ac:dyDescent="0.25">
      <c r="D1934" s="93"/>
      <c r="E1934" s="93"/>
      <c r="F1934" s="93"/>
      <c r="G1934" s="93"/>
      <c r="H1934" s="93"/>
      <c r="I1934" s="93"/>
      <c r="J1934" s="93"/>
      <c r="K1934" s="93"/>
    </row>
    <row r="1935" spans="4:11" x14ac:dyDescent="0.25">
      <c r="D1935" s="93"/>
      <c r="E1935" s="93"/>
      <c r="F1935" s="93"/>
      <c r="G1935" s="93"/>
      <c r="H1935" s="93"/>
      <c r="I1935" s="93"/>
      <c r="J1935" s="93"/>
      <c r="K1935" s="93"/>
    </row>
    <row r="1936" spans="4:11" x14ac:dyDescent="0.25">
      <c r="D1936" s="93"/>
      <c r="E1936" s="93"/>
      <c r="F1936" s="93"/>
      <c r="G1936" s="93"/>
      <c r="H1936" s="93"/>
      <c r="I1936" s="93"/>
      <c r="J1936" s="93"/>
      <c r="K1936" s="93"/>
    </row>
    <row r="1937" spans="4:11" x14ac:dyDescent="0.25">
      <c r="D1937" s="93"/>
      <c r="E1937" s="93"/>
      <c r="F1937" s="93"/>
      <c r="G1937" s="93"/>
      <c r="H1937" s="93"/>
      <c r="I1937" s="93"/>
      <c r="J1937" s="93"/>
      <c r="K1937" s="93"/>
    </row>
    <row r="1938" spans="4:11" x14ac:dyDescent="0.25">
      <c r="D1938" s="93"/>
      <c r="E1938" s="93"/>
      <c r="F1938" s="93"/>
      <c r="G1938" s="93"/>
      <c r="H1938" s="93"/>
      <c r="I1938" s="93"/>
      <c r="J1938" s="93"/>
      <c r="K1938" s="93"/>
    </row>
    <row r="1939" spans="4:11" x14ac:dyDescent="0.25">
      <c r="D1939" s="93"/>
      <c r="E1939" s="93"/>
      <c r="F1939" s="93"/>
      <c r="G1939" s="93"/>
      <c r="H1939" s="93"/>
      <c r="I1939" s="93"/>
      <c r="J1939" s="93"/>
      <c r="K1939" s="93"/>
    </row>
    <row r="1940" spans="4:11" x14ac:dyDescent="0.25">
      <c r="D1940" s="93"/>
      <c r="E1940" s="93"/>
      <c r="F1940" s="93"/>
      <c r="G1940" s="93"/>
      <c r="H1940" s="93"/>
      <c r="I1940" s="93"/>
      <c r="J1940" s="93"/>
      <c r="K1940" s="93"/>
    </row>
    <row r="1941" spans="4:11" x14ac:dyDescent="0.25">
      <c r="D1941" s="93"/>
      <c r="E1941" s="93"/>
      <c r="F1941" s="93"/>
      <c r="G1941" s="93"/>
      <c r="H1941" s="93"/>
      <c r="I1941" s="93"/>
      <c r="J1941" s="93"/>
      <c r="K1941" s="93"/>
    </row>
    <row r="1942" spans="4:11" x14ac:dyDescent="0.25">
      <c r="D1942" s="93"/>
      <c r="E1942" s="93"/>
      <c r="F1942" s="93"/>
      <c r="G1942" s="93"/>
      <c r="H1942" s="93"/>
      <c r="I1942" s="93"/>
      <c r="J1942" s="93"/>
      <c r="K1942" s="93"/>
    </row>
    <row r="1943" spans="4:11" x14ac:dyDescent="0.25">
      <c r="D1943" s="93"/>
      <c r="E1943" s="93"/>
      <c r="F1943" s="93"/>
      <c r="G1943" s="93"/>
      <c r="H1943" s="93"/>
      <c r="I1943" s="93"/>
      <c r="J1943" s="93"/>
      <c r="K1943" s="93"/>
    </row>
    <row r="1944" spans="4:11" x14ac:dyDescent="0.25">
      <c r="D1944" s="93"/>
      <c r="E1944" s="93"/>
      <c r="F1944" s="93"/>
      <c r="G1944" s="93"/>
      <c r="H1944" s="93"/>
      <c r="I1944" s="93"/>
      <c r="J1944" s="93"/>
      <c r="K1944" s="93"/>
    </row>
    <row r="1945" spans="4:11" x14ac:dyDescent="0.25">
      <c r="D1945" s="93"/>
      <c r="E1945" s="93"/>
      <c r="F1945" s="93"/>
      <c r="G1945" s="93"/>
      <c r="H1945" s="93"/>
      <c r="I1945" s="93"/>
      <c r="J1945" s="93"/>
      <c r="K1945" s="93"/>
    </row>
    <row r="1946" spans="4:11" x14ac:dyDescent="0.25">
      <c r="D1946" s="93"/>
      <c r="E1946" s="93"/>
      <c r="F1946" s="93"/>
      <c r="G1946" s="93"/>
      <c r="H1946" s="93"/>
      <c r="I1946" s="93"/>
      <c r="J1946" s="93"/>
      <c r="K1946" s="93"/>
    </row>
    <row r="1947" spans="4:11" x14ac:dyDescent="0.25">
      <c r="D1947" s="93"/>
      <c r="E1947" s="93"/>
      <c r="F1947" s="93"/>
      <c r="G1947" s="93"/>
      <c r="H1947" s="93"/>
      <c r="I1947" s="93"/>
      <c r="J1947" s="93"/>
      <c r="K1947" s="93"/>
    </row>
    <row r="1948" spans="4:11" x14ac:dyDescent="0.25">
      <c r="D1948" s="93"/>
      <c r="E1948" s="93"/>
      <c r="F1948" s="93"/>
      <c r="G1948" s="93"/>
      <c r="H1948" s="93"/>
      <c r="I1948" s="93"/>
      <c r="J1948" s="93"/>
      <c r="K1948" s="93"/>
    </row>
    <row r="1949" spans="4:11" x14ac:dyDescent="0.25">
      <c r="D1949" s="93"/>
      <c r="E1949" s="93"/>
      <c r="F1949" s="93"/>
      <c r="G1949" s="93"/>
      <c r="H1949" s="93"/>
      <c r="I1949" s="93"/>
      <c r="J1949" s="93"/>
      <c r="K1949" s="93"/>
    </row>
    <row r="1950" spans="4:11" x14ac:dyDescent="0.25">
      <c r="D1950" s="93"/>
      <c r="E1950" s="93"/>
      <c r="F1950" s="93"/>
      <c r="G1950" s="93"/>
      <c r="H1950" s="93"/>
      <c r="I1950" s="93"/>
      <c r="J1950" s="93"/>
      <c r="K1950" s="93"/>
    </row>
    <row r="1951" spans="4:11" x14ac:dyDescent="0.25">
      <c r="D1951" s="93"/>
      <c r="E1951" s="93"/>
      <c r="F1951" s="93"/>
      <c r="G1951" s="93"/>
      <c r="H1951" s="93"/>
      <c r="I1951" s="93"/>
      <c r="J1951" s="93"/>
      <c r="K1951" s="93"/>
    </row>
    <row r="1952" spans="4:11" x14ac:dyDescent="0.25">
      <c r="D1952" s="93"/>
      <c r="E1952" s="93"/>
      <c r="F1952" s="93"/>
      <c r="G1952" s="93"/>
      <c r="H1952" s="93"/>
      <c r="I1952" s="93"/>
      <c r="J1952" s="93"/>
      <c r="K1952" s="93"/>
    </row>
    <row r="1953" spans="4:11" x14ac:dyDescent="0.25">
      <c r="D1953" s="93"/>
      <c r="E1953" s="93"/>
      <c r="F1953" s="93"/>
      <c r="G1953" s="93"/>
      <c r="H1953" s="93"/>
      <c r="I1953" s="93"/>
      <c r="J1953" s="93"/>
      <c r="K1953" s="93"/>
    </row>
    <row r="1954" spans="4:11" x14ac:dyDescent="0.25">
      <c r="D1954" s="93"/>
      <c r="E1954" s="93"/>
      <c r="F1954" s="93"/>
      <c r="G1954" s="93"/>
      <c r="H1954" s="93"/>
      <c r="I1954" s="93"/>
      <c r="J1954" s="93"/>
      <c r="K1954" s="93"/>
    </row>
    <row r="1955" spans="4:11" x14ac:dyDescent="0.25">
      <c r="D1955" s="93"/>
      <c r="E1955" s="93"/>
      <c r="F1955" s="93"/>
      <c r="G1955" s="93"/>
      <c r="H1955" s="93"/>
      <c r="I1955" s="93"/>
      <c r="J1955" s="93"/>
      <c r="K1955" s="93"/>
    </row>
    <row r="1956" spans="4:11" x14ac:dyDescent="0.25">
      <c r="D1956" s="93"/>
      <c r="E1956" s="93"/>
      <c r="F1956" s="93"/>
      <c r="G1956" s="93"/>
      <c r="H1956" s="93"/>
      <c r="I1956" s="93"/>
      <c r="J1956" s="93"/>
      <c r="K1956" s="93"/>
    </row>
    <row r="1957" spans="4:11" x14ac:dyDescent="0.25">
      <c r="D1957" s="93"/>
      <c r="E1957" s="93"/>
      <c r="F1957" s="93"/>
      <c r="G1957" s="93"/>
      <c r="H1957" s="93"/>
      <c r="I1957" s="93"/>
      <c r="J1957" s="93"/>
      <c r="K1957" s="93"/>
    </row>
    <row r="1958" spans="4:11" x14ac:dyDescent="0.25">
      <c r="D1958" s="93"/>
      <c r="E1958" s="93"/>
      <c r="F1958" s="93"/>
      <c r="G1958" s="93"/>
      <c r="H1958" s="93"/>
      <c r="I1958" s="93"/>
      <c r="J1958" s="93"/>
      <c r="K1958" s="93"/>
    </row>
    <row r="1959" spans="4:11" x14ac:dyDescent="0.25">
      <c r="D1959" s="93"/>
      <c r="E1959" s="93"/>
      <c r="F1959" s="93"/>
      <c r="G1959" s="93"/>
      <c r="H1959" s="93"/>
      <c r="I1959" s="93"/>
      <c r="J1959" s="93"/>
      <c r="K1959" s="93"/>
    </row>
    <row r="1960" spans="4:11" x14ac:dyDescent="0.25">
      <c r="D1960" s="93"/>
      <c r="E1960" s="93"/>
      <c r="F1960" s="93"/>
      <c r="G1960" s="93"/>
      <c r="H1960" s="93"/>
      <c r="I1960" s="93"/>
      <c r="J1960" s="93"/>
      <c r="K1960" s="93"/>
    </row>
    <row r="1961" spans="4:11" x14ac:dyDescent="0.25">
      <c r="D1961" s="93"/>
      <c r="E1961" s="93"/>
      <c r="F1961" s="93"/>
      <c r="G1961" s="93"/>
      <c r="H1961" s="93"/>
      <c r="I1961" s="93"/>
      <c r="J1961" s="93"/>
      <c r="K1961" s="93"/>
    </row>
    <row r="1962" spans="4:11" x14ac:dyDescent="0.25">
      <c r="D1962" s="93"/>
      <c r="E1962" s="93"/>
      <c r="F1962" s="93"/>
      <c r="G1962" s="93"/>
      <c r="H1962" s="93"/>
      <c r="I1962" s="93"/>
      <c r="J1962" s="93"/>
      <c r="K1962" s="93"/>
    </row>
    <row r="1963" spans="4:11" x14ac:dyDescent="0.25">
      <c r="D1963" s="93"/>
      <c r="E1963" s="93"/>
      <c r="F1963" s="93"/>
      <c r="G1963" s="93"/>
      <c r="H1963" s="93"/>
      <c r="I1963" s="93"/>
      <c r="J1963" s="93"/>
      <c r="K1963" s="93"/>
    </row>
    <row r="1964" spans="4:11" x14ac:dyDescent="0.25">
      <c r="D1964" s="93"/>
      <c r="E1964" s="93"/>
      <c r="F1964" s="93"/>
      <c r="G1964" s="93"/>
      <c r="H1964" s="93"/>
      <c r="I1964" s="93"/>
      <c r="J1964" s="93"/>
      <c r="K1964" s="93"/>
    </row>
    <row r="1965" spans="4:11" x14ac:dyDescent="0.25">
      <c r="D1965" s="93"/>
      <c r="E1965" s="93"/>
      <c r="F1965" s="93"/>
      <c r="G1965" s="93"/>
      <c r="H1965" s="93"/>
      <c r="I1965" s="93"/>
      <c r="J1965" s="93"/>
      <c r="K1965" s="93"/>
    </row>
    <row r="1966" spans="4:11" x14ac:dyDescent="0.25">
      <c r="D1966" s="93"/>
      <c r="E1966" s="93"/>
      <c r="F1966" s="93"/>
      <c r="G1966" s="93"/>
      <c r="H1966" s="93"/>
      <c r="I1966" s="93"/>
      <c r="J1966" s="93"/>
      <c r="K1966" s="93"/>
    </row>
    <row r="1967" spans="4:11" x14ac:dyDescent="0.25">
      <c r="D1967" s="93"/>
      <c r="E1967" s="93"/>
      <c r="F1967" s="93"/>
      <c r="G1967" s="93"/>
      <c r="H1967" s="93"/>
      <c r="I1967" s="93"/>
      <c r="J1967" s="93"/>
      <c r="K1967" s="93"/>
    </row>
    <row r="1968" spans="4:11" x14ac:dyDescent="0.25">
      <c r="D1968" s="93"/>
      <c r="E1968" s="93"/>
      <c r="F1968" s="93"/>
      <c r="G1968" s="93"/>
      <c r="H1968" s="93"/>
      <c r="I1968" s="93"/>
      <c r="J1968" s="93"/>
      <c r="K1968" s="93"/>
    </row>
    <row r="1969" spans="4:11" x14ac:dyDescent="0.25">
      <c r="D1969" s="93"/>
      <c r="E1969" s="93"/>
      <c r="F1969" s="93"/>
      <c r="G1969" s="93"/>
      <c r="H1969" s="93"/>
      <c r="I1969" s="93"/>
      <c r="J1969" s="93"/>
      <c r="K1969" s="93"/>
    </row>
    <row r="1970" spans="4:11" x14ac:dyDescent="0.25">
      <c r="D1970" s="93"/>
      <c r="E1970" s="93"/>
      <c r="F1970" s="93"/>
      <c r="G1970" s="93"/>
      <c r="H1970" s="93"/>
      <c r="I1970" s="93"/>
      <c r="J1970" s="93"/>
      <c r="K1970" s="93"/>
    </row>
    <row r="1971" spans="4:11" x14ac:dyDescent="0.25">
      <c r="D1971" s="93"/>
      <c r="E1971" s="93"/>
      <c r="F1971" s="93"/>
      <c r="G1971" s="93"/>
      <c r="H1971" s="93"/>
      <c r="I1971" s="93"/>
      <c r="J1971" s="93"/>
      <c r="K1971" s="93"/>
    </row>
    <row r="1972" spans="4:11" x14ac:dyDescent="0.25">
      <c r="D1972" s="93"/>
      <c r="E1972" s="93"/>
      <c r="F1972" s="93"/>
      <c r="G1972" s="93"/>
      <c r="H1972" s="93"/>
      <c r="I1972" s="93"/>
      <c r="J1972" s="93"/>
      <c r="K1972" s="93"/>
    </row>
    <row r="1973" spans="4:11" x14ac:dyDescent="0.25">
      <c r="D1973" s="93"/>
      <c r="E1973" s="93"/>
      <c r="F1973" s="93"/>
      <c r="G1973" s="93"/>
      <c r="H1973" s="93"/>
      <c r="I1973" s="93"/>
      <c r="J1973" s="93"/>
      <c r="K1973" s="93"/>
    </row>
    <row r="1974" spans="4:11" x14ac:dyDescent="0.25">
      <c r="D1974" s="93"/>
      <c r="E1974" s="93"/>
      <c r="F1974" s="93"/>
      <c r="G1974" s="93"/>
      <c r="H1974" s="93"/>
      <c r="I1974" s="93"/>
      <c r="J1974" s="93"/>
      <c r="K1974" s="93"/>
    </row>
    <row r="1975" spans="4:11" x14ac:dyDescent="0.25">
      <c r="D1975" s="93"/>
      <c r="E1975" s="93"/>
      <c r="F1975" s="93"/>
      <c r="G1975" s="93"/>
      <c r="H1975" s="93"/>
      <c r="I1975" s="93"/>
      <c r="J1975" s="93"/>
      <c r="K1975" s="93"/>
    </row>
    <row r="1976" spans="4:11" x14ac:dyDescent="0.25">
      <c r="D1976" s="93"/>
      <c r="E1976" s="93"/>
      <c r="F1976" s="93"/>
      <c r="G1976" s="93"/>
      <c r="H1976" s="93"/>
      <c r="I1976" s="93"/>
      <c r="J1976" s="93"/>
      <c r="K1976" s="93"/>
    </row>
    <row r="1977" spans="4:11" x14ac:dyDescent="0.25">
      <c r="D1977" s="93"/>
      <c r="E1977" s="93"/>
      <c r="F1977" s="93"/>
      <c r="G1977" s="93"/>
      <c r="H1977" s="93"/>
      <c r="I1977" s="93"/>
      <c r="J1977" s="93"/>
      <c r="K1977" s="93"/>
    </row>
    <row r="1978" spans="4:11" x14ac:dyDescent="0.25">
      <c r="D1978" s="93"/>
      <c r="E1978" s="93"/>
      <c r="F1978" s="93"/>
      <c r="G1978" s="93"/>
      <c r="H1978" s="93"/>
      <c r="I1978" s="93"/>
      <c r="J1978" s="93"/>
      <c r="K1978" s="93"/>
    </row>
    <row r="1979" spans="4:11" x14ac:dyDescent="0.25">
      <c r="D1979" s="93"/>
      <c r="E1979" s="93"/>
      <c r="F1979" s="93"/>
      <c r="G1979" s="93"/>
      <c r="H1979" s="93"/>
      <c r="I1979" s="93"/>
      <c r="J1979" s="93"/>
      <c r="K1979" s="93"/>
    </row>
    <row r="1980" spans="4:11" x14ac:dyDescent="0.25">
      <c r="D1980" s="93"/>
      <c r="E1980" s="93"/>
      <c r="F1980" s="93"/>
      <c r="G1980" s="93"/>
      <c r="H1980" s="93"/>
      <c r="I1980" s="93"/>
      <c r="J1980" s="93"/>
      <c r="K1980" s="93"/>
    </row>
    <row r="1981" spans="4:11" x14ac:dyDescent="0.25">
      <c r="D1981" s="93"/>
      <c r="E1981" s="93"/>
      <c r="F1981" s="93"/>
      <c r="G1981" s="93"/>
      <c r="H1981" s="93"/>
      <c r="I1981" s="93"/>
      <c r="J1981" s="93"/>
      <c r="K1981" s="93"/>
    </row>
    <row r="1982" spans="4:11" x14ac:dyDescent="0.25">
      <c r="D1982" s="93"/>
      <c r="E1982" s="93"/>
      <c r="F1982" s="93"/>
      <c r="G1982" s="93"/>
      <c r="H1982" s="93"/>
      <c r="I1982" s="93"/>
      <c r="J1982" s="93"/>
      <c r="K1982" s="93"/>
    </row>
    <row r="1983" spans="4:11" x14ac:dyDescent="0.25">
      <c r="D1983" s="93"/>
      <c r="E1983" s="93"/>
      <c r="F1983" s="93"/>
      <c r="G1983" s="93"/>
      <c r="H1983" s="93"/>
      <c r="I1983" s="93"/>
      <c r="J1983" s="93"/>
      <c r="K1983" s="93"/>
    </row>
    <row r="1984" spans="4:11" x14ac:dyDescent="0.25">
      <c r="D1984" s="93"/>
      <c r="E1984" s="93"/>
      <c r="F1984" s="93"/>
      <c r="G1984" s="93"/>
      <c r="H1984" s="93"/>
      <c r="I1984" s="93"/>
      <c r="J1984" s="93"/>
      <c r="K1984" s="93"/>
    </row>
    <row r="1985" spans="4:11" x14ac:dyDescent="0.25">
      <c r="D1985" s="93"/>
      <c r="E1985" s="93"/>
      <c r="F1985" s="93"/>
      <c r="G1985" s="93"/>
      <c r="H1985" s="93"/>
      <c r="I1985" s="93"/>
      <c r="J1985" s="93"/>
      <c r="K1985" s="93"/>
    </row>
    <row r="1986" spans="4:11" x14ac:dyDescent="0.25">
      <c r="D1986" s="93"/>
      <c r="E1986" s="93"/>
      <c r="F1986" s="93"/>
      <c r="G1986" s="93"/>
      <c r="H1986" s="93"/>
      <c r="I1986" s="93"/>
      <c r="J1986" s="93"/>
      <c r="K1986" s="93"/>
    </row>
    <row r="1987" spans="4:11" x14ac:dyDescent="0.25">
      <c r="D1987" s="93"/>
      <c r="E1987" s="93"/>
      <c r="F1987" s="93"/>
      <c r="G1987" s="93"/>
      <c r="H1987" s="93"/>
      <c r="I1987" s="93"/>
      <c r="J1987" s="93"/>
      <c r="K1987" s="93"/>
    </row>
    <row r="1988" spans="4:11" x14ac:dyDescent="0.25">
      <c r="D1988" s="93"/>
      <c r="E1988" s="93"/>
      <c r="F1988" s="93"/>
      <c r="G1988" s="93"/>
      <c r="H1988" s="93"/>
      <c r="I1988" s="93"/>
      <c r="J1988" s="93"/>
      <c r="K1988" s="93"/>
    </row>
    <row r="1989" spans="4:11" x14ac:dyDescent="0.25">
      <c r="D1989" s="93"/>
      <c r="E1989" s="93"/>
      <c r="F1989" s="93"/>
      <c r="G1989" s="93"/>
      <c r="H1989" s="93"/>
      <c r="I1989" s="93"/>
      <c r="J1989" s="93"/>
      <c r="K1989" s="93"/>
    </row>
    <row r="1990" spans="4:11" x14ac:dyDescent="0.25">
      <c r="D1990" s="93"/>
      <c r="E1990" s="93"/>
      <c r="F1990" s="93"/>
      <c r="G1990" s="93"/>
      <c r="H1990" s="93"/>
      <c r="I1990" s="93"/>
      <c r="J1990" s="93"/>
      <c r="K1990" s="93"/>
    </row>
    <row r="1991" spans="4:11" x14ac:dyDescent="0.25">
      <c r="D1991" s="93"/>
      <c r="E1991" s="93"/>
      <c r="F1991" s="93"/>
      <c r="G1991" s="93"/>
      <c r="H1991" s="93"/>
      <c r="I1991" s="93"/>
      <c r="J1991" s="93"/>
      <c r="K1991" s="93"/>
    </row>
    <row r="1992" spans="4:11" x14ac:dyDescent="0.25">
      <c r="D1992" s="93"/>
      <c r="E1992" s="93"/>
      <c r="F1992" s="93"/>
      <c r="G1992" s="93"/>
      <c r="H1992" s="93"/>
      <c r="I1992" s="93"/>
      <c r="J1992" s="93"/>
      <c r="K1992" s="93"/>
    </row>
    <row r="1993" spans="4:11" x14ac:dyDescent="0.25">
      <c r="D1993" s="93"/>
      <c r="E1993" s="93"/>
      <c r="F1993" s="93"/>
      <c r="G1993" s="93"/>
      <c r="H1993" s="93"/>
      <c r="I1993" s="93"/>
      <c r="J1993" s="93"/>
      <c r="K1993" s="93"/>
    </row>
    <row r="1994" spans="4:11" x14ac:dyDescent="0.25">
      <c r="D1994" s="93"/>
      <c r="E1994" s="93"/>
      <c r="F1994" s="93"/>
      <c r="G1994" s="93"/>
      <c r="H1994" s="93"/>
      <c r="I1994" s="93"/>
      <c r="J1994" s="93"/>
      <c r="K1994" s="93"/>
    </row>
    <row r="1995" spans="4:11" x14ac:dyDescent="0.25">
      <c r="D1995" s="93"/>
      <c r="E1995" s="93"/>
      <c r="F1995" s="93"/>
      <c r="G1995" s="93"/>
      <c r="H1995" s="93"/>
      <c r="I1995" s="93"/>
      <c r="J1995" s="93"/>
      <c r="K1995" s="93"/>
    </row>
    <row r="1996" spans="4:11" x14ac:dyDescent="0.25">
      <c r="D1996" s="93"/>
      <c r="E1996" s="93"/>
      <c r="F1996" s="93"/>
      <c r="G1996" s="93"/>
      <c r="H1996" s="93"/>
      <c r="I1996" s="93"/>
      <c r="J1996" s="93"/>
      <c r="K1996" s="93"/>
    </row>
    <row r="1997" spans="4:11" x14ac:dyDescent="0.25">
      <c r="D1997" s="93"/>
      <c r="E1997" s="93"/>
      <c r="F1997" s="93"/>
      <c r="G1997" s="93"/>
      <c r="H1997" s="93"/>
      <c r="I1997" s="93"/>
      <c r="J1997" s="93"/>
      <c r="K1997" s="93"/>
    </row>
    <row r="1998" spans="4:11" x14ac:dyDescent="0.25">
      <c r="D1998" s="93"/>
      <c r="E1998" s="93"/>
      <c r="F1998" s="93"/>
      <c r="G1998" s="93"/>
      <c r="H1998" s="93"/>
      <c r="I1998" s="93"/>
      <c r="J1998" s="93"/>
      <c r="K1998" s="93"/>
    </row>
    <row r="1999" spans="4:11" x14ac:dyDescent="0.25">
      <c r="D1999" s="93"/>
      <c r="E1999" s="93"/>
      <c r="F1999" s="93"/>
      <c r="G1999" s="93"/>
      <c r="H1999" s="93"/>
      <c r="I1999" s="93"/>
      <c r="J1999" s="93"/>
      <c r="K1999" s="93"/>
    </row>
    <row r="2000" spans="4:11" x14ac:dyDescent="0.25">
      <c r="D2000" s="93"/>
      <c r="E2000" s="93"/>
      <c r="F2000" s="93"/>
      <c r="G2000" s="93"/>
      <c r="H2000" s="93"/>
      <c r="I2000" s="93"/>
      <c r="J2000" s="93"/>
      <c r="K2000" s="93"/>
    </row>
    <row r="2001" spans="4:11" x14ac:dyDescent="0.25">
      <c r="D2001" s="93"/>
      <c r="E2001" s="93"/>
      <c r="F2001" s="93"/>
      <c r="G2001" s="93"/>
      <c r="H2001" s="93"/>
      <c r="I2001" s="93"/>
      <c r="J2001" s="93"/>
      <c r="K2001" s="93"/>
    </row>
    <row r="2002" spans="4:11" x14ac:dyDescent="0.25">
      <c r="D2002" s="93"/>
      <c r="E2002" s="93"/>
      <c r="F2002" s="93"/>
      <c r="G2002" s="93"/>
      <c r="H2002" s="93"/>
      <c r="I2002" s="93"/>
      <c r="J2002" s="93"/>
      <c r="K2002" s="93"/>
    </row>
    <row r="2003" spans="4:11" x14ac:dyDescent="0.25">
      <c r="D2003" s="93"/>
      <c r="E2003" s="93"/>
      <c r="F2003" s="93"/>
      <c r="G2003" s="93"/>
      <c r="H2003" s="93"/>
      <c r="I2003" s="93"/>
      <c r="J2003" s="93"/>
      <c r="K2003" s="93"/>
    </row>
    <row r="2004" spans="4:11" x14ac:dyDescent="0.25">
      <c r="D2004" s="93"/>
      <c r="E2004" s="93"/>
      <c r="F2004" s="93"/>
      <c r="G2004" s="93"/>
      <c r="H2004" s="93"/>
      <c r="I2004" s="93"/>
      <c r="J2004" s="93"/>
      <c r="K2004" s="93"/>
    </row>
    <row r="2005" spans="4:11" x14ac:dyDescent="0.25">
      <c r="D2005" s="93"/>
      <c r="E2005" s="93"/>
      <c r="F2005" s="93"/>
      <c r="G2005" s="93"/>
      <c r="H2005" s="93"/>
      <c r="I2005" s="93"/>
      <c r="J2005" s="93"/>
      <c r="K2005" s="93"/>
    </row>
    <row r="2006" spans="4:11" x14ac:dyDescent="0.25">
      <c r="D2006" s="93"/>
      <c r="E2006" s="93"/>
      <c r="F2006" s="93"/>
      <c r="G2006" s="93"/>
      <c r="H2006" s="93"/>
      <c r="I2006" s="93"/>
      <c r="J2006" s="93"/>
      <c r="K2006" s="93"/>
    </row>
    <row r="2007" spans="4:11" x14ac:dyDescent="0.25">
      <c r="D2007" s="93"/>
      <c r="E2007" s="93"/>
      <c r="F2007" s="93"/>
      <c r="G2007" s="93"/>
      <c r="H2007" s="93"/>
      <c r="I2007" s="93"/>
      <c r="J2007" s="93"/>
      <c r="K2007" s="93"/>
    </row>
    <row r="2008" spans="4:11" x14ac:dyDescent="0.25">
      <c r="D2008" s="93"/>
      <c r="E2008" s="93"/>
      <c r="F2008" s="93"/>
      <c r="G2008" s="93"/>
      <c r="H2008" s="93"/>
      <c r="I2008" s="93"/>
      <c r="J2008" s="93"/>
      <c r="K2008" s="93"/>
    </row>
    <row r="2009" spans="4:11" x14ac:dyDescent="0.25">
      <c r="D2009" s="93"/>
      <c r="E2009" s="93"/>
      <c r="F2009" s="93"/>
      <c r="G2009" s="93"/>
      <c r="H2009" s="93"/>
      <c r="I2009" s="93"/>
      <c r="J2009" s="93"/>
      <c r="K2009" s="93"/>
    </row>
    <row r="2010" spans="4:11" x14ac:dyDescent="0.25">
      <c r="D2010" s="93"/>
      <c r="E2010" s="93"/>
      <c r="F2010" s="93"/>
      <c r="G2010" s="93"/>
      <c r="H2010" s="93"/>
      <c r="I2010" s="93"/>
      <c r="J2010" s="93"/>
      <c r="K2010" s="93"/>
    </row>
    <row r="2011" spans="4:11" x14ac:dyDescent="0.25">
      <c r="D2011" s="93"/>
      <c r="E2011" s="93"/>
      <c r="F2011" s="93"/>
      <c r="G2011" s="93"/>
      <c r="H2011" s="93"/>
      <c r="I2011" s="93"/>
      <c r="J2011" s="93"/>
      <c r="K2011" s="93"/>
    </row>
    <row r="2012" spans="4:11" x14ac:dyDescent="0.25">
      <c r="D2012" s="93"/>
      <c r="E2012" s="93"/>
      <c r="F2012" s="93"/>
      <c r="G2012" s="93"/>
      <c r="H2012" s="93"/>
      <c r="I2012" s="93"/>
      <c r="J2012" s="93"/>
      <c r="K2012" s="93"/>
    </row>
    <row r="2013" spans="4:11" x14ac:dyDescent="0.25">
      <c r="D2013" s="93"/>
      <c r="E2013" s="93"/>
      <c r="F2013" s="93"/>
      <c r="G2013" s="93"/>
      <c r="H2013" s="93"/>
      <c r="I2013" s="93"/>
      <c r="J2013" s="93"/>
      <c r="K2013" s="93"/>
    </row>
    <row r="2014" spans="4:11" x14ac:dyDescent="0.25">
      <c r="D2014" s="93"/>
      <c r="E2014" s="93"/>
      <c r="F2014" s="93"/>
      <c r="G2014" s="93"/>
      <c r="H2014" s="93"/>
      <c r="I2014" s="93"/>
      <c r="J2014" s="93"/>
      <c r="K2014" s="93"/>
    </row>
    <row r="2015" spans="4:11" x14ac:dyDescent="0.25">
      <c r="D2015" s="93"/>
      <c r="E2015" s="93"/>
      <c r="F2015" s="93"/>
      <c r="G2015" s="93"/>
      <c r="H2015" s="93"/>
      <c r="I2015" s="93"/>
      <c r="J2015" s="93"/>
      <c r="K2015" s="93"/>
    </row>
    <row r="2016" spans="4:11" x14ac:dyDescent="0.25">
      <c r="D2016" s="93"/>
      <c r="E2016" s="93"/>
      <c r="F2016" s="93"/>
      <c r="G2016" s="93"/>
      <c r="H2016" s="93"/>
      <c r="I2016" s="93"/>
      <c r="J2016" s="93"/>
      <c r="K2016" s="93"/>
    </row>
    <row r="2017" spans="4:11" x14ac:dyDescent="0.25">
      <c r="D2017" s="93"/>
      <c r="E2017" s="93"/>
      <c r="F2017" s="93"/>
      <c r="G2017" s="93"/>
      <c r="H2017" s="93"/>
      <c r="I2017" s="93"/>
      <c r="J2017" s="93"/>
      <c r="K2017" s="93"/>
    </row>
    <row r="2018" spans="4:11" x14ac:dyDescent="0.25">
      <c r="D2018" s="93"/>
      <c r="E2018" s="93"/>
      <c r="F2018" s="93"/>
      <c r="G2018" s="93"/>
      <c r="H2018" s="93"/>
      <c r="I2018" s="93"/>
      <c r="J2018" s="93"/>
      <c r="K2018" s="93"/>
    </row>
    <row r="2019" spans="4:11" x14ac:dyDescent="0.25">
      <c r="D2019" s="93"/>
      <c r="E2019" s="93"/>
      <c r="F2019" s="93"/>
      <c r="G2019" s="93"/>
      <c r="H2019" s="93"/>
      <c r="I2019" s="93"/>
      <c r="J2019" s="93"/>
      <c r="K2019" s="93"/>
    </row>
    <row r="2020" spans="4:11" x14ac:dyDescent="0.25">
      <c r="D2020" s="93"/>
      <c r="E2020" s="93"/>
      <c r="F2020" s="93"/>
      <c r="G2020" s="93"/>
      <c r="H2020" s="93"/>
      <c r="I2020" s="93"/>
      <c r="J2020" s="93"/>
      <c r="K2020" s="93"/>
    </row>
    <row r="2021" spans="4:11" x14ac:dyDescent="0.25">
      <c r="D2021" s="93"/>
      <c r="E2021" s="93"/>
      <c r="F2021" s="93"/>
      <c r="G2021" s="93"/>
      <c r="H2021" s="93"/>
      <c r="I2021" s="93"/>
      <c r="J2021" s="93"/>
      <c r="K2021" s="93"/>
    </row>
    <row r="2022" spans="4:11" x14ac:dyDescent="0.25">
      <c r="D2022" s="93"/>
      <c r="E2022" s="93"/>
      <c r="F2022" s="93"/>
      <c r="G2022" s="93"/>
      <c r="H2022" s="93"/>
      <c r="I2022" s="93"/>
      <c r="J2022" s="93"/>
      <c r="K2022" s="93"/>
    </row>
    <row r="2023" spans="4:11" x14ac:dyDescent="0.25">
      <c r="D2023" s="93"/>
      <c r="E2023" s="93"/>
      <c r="F2023" s="93"/>
      <c r="G2023" s="93"/>
      <c r="H2023" s="93"/>
      <c r="I2023" s="93"/>
      <c r="J2023" s="93"/>
      <c r="K2023" s="93"/>
    </row>
    <row r="2024" spans="4:11" x14ac:dyDescent="0.25">
      <c r="D2024" s="93"/>
      <c r="E2024" s="93"/>
      <c r="F2024" s="93"/>
      <c r="G2024" s="93"/>
      <c r="H2024" s="93"/>
      <c r="I2024" s="93"/>
      <c r="J2024" s="93"/>
      <c r="K2024" s="93"/>
    </row>
    <row r="2025" spans="4:11" x14ac:dyDescent="0.25">
      <c r="D2025" s="93"/>
      <c r="E2025" s="93"/>
      <c r="F2025" s="93"/>
      <c r="G2025" s="93"/>
      <c r="H2025" s="93"/>
      <c r="I2025" s="93"/>
      <c r="J2025" s="93"/>
      <c r="K2025" s="93"/>
    </row>
    <row r="2026" spans="4:11" x14ac:dyDescent="0.25">
      <c r="D2026" s="93"/>
      <c r="E2026" s="93"/>
      <c r="F2026" s="93"/>
      <c r="G2026" s="93"/>
      <c r="H2026" s="93"/>
      <c r="I2026" s="93"/>
      <c r="J2026" s="93"/>
      <c r="K2026" s="93"/>
    </row>
    <row r="2027" spans="4:11" x14ac:dyDescent="0.25">
      <c r="D2027" s="93"/>
      <c r="E2027" s="93"/>
      <c r="F2027" s="93"/>
      <c r="G2027" s="93"/>
      <c r="H2027" s="93"/>
      <c r="I2027" s="93"/>
      <c r="J2027" s="93"/>
      <c r="K2027" s="93"/>
    </row>
    <row r="2028" spans="4:11" x14ac:dyDescent="0.25">
      <c r="D2028" s="93"/>
      <c r="E2028" s="93"/>
      <c r="F2028" s="93"/>
      <c r="G2028" s="93"/>
      <c r="H2028" s="93"/>
      <c r="I2028" s="93"/>
      <c r="J2028" s="93"/>
      <c r="K2028" s="93"/>
    </row>
    <row r="2029" spans="4:11" x14ac:dyDescent="0.25">
      <c r="D2029" s="93"/>
      <c r="E2029" s="93"/>
      <c r="F2029" s="93"/>
      <c r="G2029" s="93"/>
      <c r="H2029" s="93"/>
      <c r="I2029" s="93"/>
      <c r="J2029" s="93"/>
      <c r="K2029" s="93"/>
    </row>
    <row r="2030" spans="4:11" x14ac:dyDescent="0.25">
      <c r="D2030" s="93"/>
      <c r="E2030" s="93"/>
      <c r="F2030" s="93"/>
      <c r="G2030" s="93"/>
      <c r="H2030" s="93"/>
      <c r="I2030" s="93"/>
      <c r="J2030" s="93"/>
      <c r="K2030" s="93"/>
    </row>
    <row r="2031" spans="4:11" x14ac:dyDescent="0.25">
      <c r="D2031" s="93"/>
      <c r="E2031" s="93"/>
      <c r="F2031" s="93"/>
      <c r="G2031" s="93"/>
      <c r="H2031" s="93"/>
      <c r="I2031" s="93"/>
      <c r="J2031" s="93"/>
      <c r="K2031" s="93"/>
    </row>
    <row r="2032" spans="4:11" x14ac:dyDescent="0.25">
      <c r="D2032" s="93"/>
      <c r="E2032" s="93"/>
      <c r="F2032" s="93"/>
      <c r="G2032" s="93"/>
      <c r="H2032" s="93"/>
      <c r="I2032" s="93"/>
      <c r="J2032" s="93"/>
      <c r="K2032" s="93"/>
    </row>
    <row r="2033" spans="4:11" x14ac:dyDescent="0.25">
      <c r="D2033" s="93"/>
      <c r="E2033" s="93"/>
      <c r="F2033" s="93"/>
      <c r="G2033" s="93"/>
      <c r="H2033" s="93"/>
      <c r="I2033" s="93"/>
      <c r="J2033" s="93"/>
      <c r="K2033" s="93"/>
    </row>
    <row r="2034" spans="4:11" x14ac:dyDescent="0.25">
      <c r="D2034" s="93"/>
      <c r="E2034" s="93"/>
      <c r="F2034" s="93"/>
      <c r="G2034" s="93"/>
      <c r="H2034" s="93"/>
      <c r="I2034" s="93"/>
      <c r="J2034" s="93"/>
      <c r="K2034" s="93"/>
    </row>
    <row r="2035" spans="4:11" x14ac:dyDescent="0.25">
      <c r="D2035" s="93"/>
      <c r="E2035" s="93"/>
      <c r="F2035" s="93"/>
      <c r="G2035" s="93"/>
      <c r="H2035" s="93"/>
      <c r="I2035" s="93"/>
      <c r="J2035" s="93"/>
      <c r="K2035" s="93"/>
    </row>
    <row r="2036" spans="4:11" x14ac:dyDescent="0.25">
      <c r="D2036" s="93"/>
      <c r="E2036" s="93"/>
      <c r="F2036" s="93"/>
      <c r="G2036" s="93"/>
      <c r="H2036" s="93"/>
      <c r="I2036" s="93"/>
      <c r="J2036" s="93"/>
      <c r="K2036" s="93"/>
    </row>
    <row r="2037" spans="4:11" x14ac:dyDescent="0.25">
      <c r="D2037" s="93"/>
      <c r="E2037" s="93"/>
      <c r="F2037" s="93"/>
      <c r="G2037" s="93"/>
      <c r="H2037" s="93"/>
      <c r="I2037" s="93"/>
      <c r="J2037" s="93"/>
      <c r="K2037" s="93"/>
    </row>
    <row r="2038" spans="4:11" x14ac:dyDescent="0.25">
      <c r="D2038" s="93"/>
      <c r="E2038" s="93"/>
      <c r="F2038" s="93"/>
      <c r="G2038" s="93"/>
      <c r="H2038" s="93"/>
      <c r="I2038" s="93"/>
      <c r="J2038" s="93"/>
      <c r="K2038" s="93"/>
    </row>
    <row r="2039" spans="4:11" x14ac:dyDescent="0.25">
      <c r="D2039" s="93"/>
      <c r="E2039" s="93"/>
      <c r="F2039" s="93"/>
      <c r="G2039" s="93"/>
      <c r="H2039" s="93"/>
      <c r="I2039" s="93"/>
      <c r="J2039" s="93"/>
      <c r="K2039" s="93"/>
    </row>
    <row r="2040" spans="4:11" x14ac:dyDescent="0.25">
      <c r="D2040" s="93"/>
      <c r="E2040" s="93"/>
      <c r="F2040" s="93"/>
      <c r="G2040" s="93"/>
      <c r="H2040" s="93"/>
      <c r="I2040" s="93"/>
      <c r="J2040" s="93"/>
      <c r="K2040" s="93"/>
    </row>
    <row r="2041" spans="4:11" x14ac:dyDescent="0.25">
      <c r="D2041" s="93"/>
      <c r="E2041" s="93"/>
      <c r="F2041" s="93"/>
      <c r="G2041" s="93"/>
      <c r="H2041" s="93"/>
      <c r="I2041" s="93"/>
      <c r="J2041" s="93"/>
      <c r="K2041" s="93"/>
    </row>
    <row r="2042" spans="4:11" x14ac:dyDescent="0.25">
      <c r="D2042" s="93"/>
      <c r="E2042" s="93"/>
      <c r="F2042" s="93"/>
      <c r="G2042" s="93"/>
      <c r="H2042" s="93"/>
      <c r="I2042" s="93"/>
      <c r="J2042" s="93"/>
      <c r="K2042" s="93"/>
    </row>
    <row r="2043" spans="4:11" x14ac:dyDescent="0.25">
      <c r="D2043" s="93"/>
      <c r="E2043" s="93"/>
      <c r="F2043" s="93"/>
      <c r="G2043" s="93"/>
      <c r="H2043" s="93"/>
      <c r="I2043" s="93"/>
      <c r="J2043" s="93"/>
      <c r="K2043" s="93"/>
    </row>
    <row r="2044" spans="4:11" x14ac:dyDescent="0.25">
      <c r="D2044" s="93"/>
      <c r="E2044" s="93"/>
      <c r="F2044" s="93"/>
      <c r="G2044" s="93"/>
      <c r="H2044" s="93"/>
      <c r="I2044" s="93"/>
      <c r="J2044" s="93"/>
      <c r="K2044" s="93"/>
    </row>
    <row r="2045" spans="4:11" x14ac:dyDescent="0.25">
      <c r="D2045" s="93"/>
      <c r="E2045" s="93"/>
      <c r="F2045" s="93"/>
      <c r="G2045" s="93"/>
      <c r="H2045" s="93"/>
      <c r="I2045" s="93"/>
      <c r="J2045" s="93"/>
      <c r="K2045" s="93"/>
    </row>
    <row r="2046" spans="4:11" x14ac:dyDescent="0.25">
      <c r="D2046" s="93"/>
      <c r="E2046" s="93"/>
      <c r="F2046" s="93"/>
      <c r="G2046" s="93"/>
      <c r="H2046" s="93"/>
      <c r="I2046" s="93"/>
      <c r="J2046" s="93"/>
      <c r="K2046" s="93"/>
    </row>
    <row r="2047" spans="4:11" x14ac:dyDescent="0.25">
      <c r="D2047" s="93"/>
      <c r="E2047" s="93"/>
      <c r="F2047" s="93"/>
      <c r="G2047" s="93"/>
      <c r="H2047" s="93"/>
      <c r="I2047" s="93"/>
      <c r="J2047" s="93"/>
      <c r="K2047" s="93"/>
    </row>
    <row r="2048" spans="4:11" x14ac:dyDescent="0.25">
      <c r="D2048" s="93"/>
      <c r="E2048" s="93"/>
      <c r="F2048" s="93"/>
      <c r="G2048" s="93"/>
      <c r="H2048" s="93"/>
      <c r="I2048" s="93"/>
      <c r="J2048" s="93"/>
      <c r="K2048" s="93"/>
    </row>
    <row r="2049" spans="4:11" x14ac:dyDescent="0.25">
      <c r="D2049" s="93"/>
      <c r="E2049" s="93"/>
      <c r="F2049" s="93"/>
      <c r="G2049" s="93"/>
      <c r="H2049" s="93"/>
      <c r="I2049" s="93"/>
      <c r="J2049" s="93"/>
      <c r="K2049" s="93"/>
    </row>
    <row r="2050" spans="4:11" x14ac:dyDescent="0.25">
      <c r="D2050" s="93"/>
      <c r="E2050" s="93"/>
      <c r="F2050" s="93"/>
      <c r="G2050" s="93"/>
      <c r="H2050" s="93"/>
      <c r="I2050" s="93"/>
      <c r="J2050" s="93"/>
      <c r="K2050" s="93"/>
    </row>
    <row r="2051" spans="4:11" x14ac:dyDescent="0.25">
      <c r="D2051" s="93"/>
      <c r="E2051" s="93"/>
      <c r="F2051" s="93"/>
      <c r="G2051" s="93"/>
      <c r="H2051" s="93"/>
      <c r="I2051" s="93"/>
      <c r="J2051" s="93"/>
      <c r="K2051" s="93"/>
    </row>
    <row r="2052" spans="4:11" x14ac:dyDescent="0.25">
      <c r="D2052" s="93"/>
      <c r="E2052" s="93"/>
      <c r="F2052" s="93"/>
      <c r="G2052" s="93"/>
      <c r="H2052" s="93"/>
      <c r="I2052" s="93"/>
      <c r="J2052" s="93"/>
      <c r="K2052" s="93"/>
    </row>
    <row r="2053" spans="4:11" x14ac:dyDescent="0.25">
      <c r="D2053" s="93"/>
      <c r="E2053" s="93"/>
      <c r="F2053" s="93"/>
      <c r="G2053" s="93"/>
      <c r="H2053" s="93"/>
      <c r="I2053" s="93"/>
      <c r="J2053" s="93"/>
      <c r="K2053" s="93"/>
    </row>
    <row r="2054" spans="4:11" x14ac:dyDescent="0.25">
      <c r="D2054" s="93"/>
      <c r="E2054" s="93"/>
      <c r="F2054" s="93"/>
      <c r="G2054" s="93"/>
      <c r="H2054" s="93"/>
      <c r="I2054" s="93"/>
      <c r="J2054" s="93"/>
      <c r="K2054" s="93"/>
    </row>
    <row r="2055" spans="4:11" x14ac:dyDescent="0.25">
      <c r="D2055" s="93"/>
      <c r="E2055" s="93"/>
      <c r="F2055" s="93"/>
      <c r="G2055" s="93"/>
      <c r="H2055" s="93"/>
      <c r="I2055" s="93"/>
      <c r="J2055" s="93"/>
      <c r="K2055" s="93"/>
    </row>
    <row r="2056" spans="4:11" x14ac:dyDescent="0.25">
      <c r="D2056" s="93"/>
      <c r="E2056" s="93"/>
      <c r="F2056" s="93"/>
      <c r="G2056" s="93"/>
      <c r="H2056" s="93"/>
      <c r="I2056" s="93"/>
      <c r="J2056" s="93"/>
      <c r="K2056" s="93"/>
    </row>
    <row r="2057" spans="4:11" x14ac:dyDescent="0.25">
      <c r="D2057" s="93"/>
      <c r="E2057" s="93"/>
      <c r="F2057" s="93"/>
      <c r="G2057" s="93"/>
      <c r="H2057" s="93"/>
      <c r="I2057" s="93"/>
      <c r="J2057" s="93"/>
      <c r="K2057" s="93"/>
    </row>
    <row r="2058" spans="4:11" x14ac:dyDescent="0.25">
      <c r="D2058" s="93"/>
      <c r="E2058" s="93"/>
      <c r="F2058" s="93"/>
      <c r="G2058" s="93"/>
      <c r="H2058" s="93"/>
      <c r="I2058" s="93"/>
      <c r="J2058" s="93"/>
      <c r="K2058" s="93"/>
    </row>
    <row r="2059" spans="4:11" x14ac:dyDescent="0.25">
      <c r="D2059" s="93"/>
      <c r="E2059" s="93"/>
      <c r="F2059" s="93"/>
      <c r="G2059" s="93"/>
      <c r="H2059" s="93"/>
      <c r="I2059" s="93"/>
      <c r="J2059" s="93"/>
      <c r="K2059" s="93"/>
    </row>
    <row r="2060" spans="4:11" x14ac:dyDescent="0.25">
      <c r="D2060" s="93"/>
      <c r="E2060" s="93"/>
      <c r="F2060" s="93"/>
      <c r="G2060" s="93"/>
      <c r="H2060" s="93"/>
      <c r="I2060" s="93"/>
      <c r="J2060" s="93"/>
      <c r="K2060" s="93"/>
    </row>
    <row r="2061" spans="4:11" x14ac:dyDescent="0.25">
      <c r="D2061" s="93"/>
      <c r="E2061" s="93"/>
      <c r="F2061" s="93"/>
      <c r="G2061" s="93"/>
      <c r="H2061" s="93"/>
      <c r="I2061" s="93"/>
      <c r="J2061" s="93"/>
      <c r="K2061" s="93"/>
    </row>
    <row r="2062" spans="4:11" x14ac:dyDescent="0.25">
      <c r="D2062" s="93"/>
      <c r="E2062" s="93"/>
      <c r="F2062" s="93"/>
      <c r="G2062" s="93"/>
      <c r="H2062" s="93"/>
      <c r="I2062" s="93"/>
      <c r="J2062" s="93"/>
      <c r="K2062" s="93"/>
    </row>
    <row r="2063" spans="4:11" x14ac:dyDescent="0.25">
      <c r="D2063" s="93"/>
      <c r="E2063" s="93"/>
      <c r="F2063" s="93"/>
      <c r="G2063" s="93"/>
      <c r="H2063" s="93"/>
      <c r="I2063" s="93"/>
      <c r="J2063" s="93"/>
      <c r="K2063" s="93"/>
    </row>
    <row r="2064" spans="4:11" x14ac:dyDescent="0.25">
      <c r="D2064" s="93"/>
      <c r="E2064" s="93"/>
      <c r="F2064" s="93"/>
      <c r="G2064" s="93"/>
      <c r="H2064" s="93"/>
      <c r="I2064" s="93"/>
      <c r="J2064" s="93"/>
      <c r="K2064" s="93"/>
    </row>
    <row r="2065" spans="4:11" x14ac:dyDescent="0.25">
      <c r="D2065" s="93"/>
      <c r="E2065" s="93"/>
      <c r="F2065" s="93"/>
      <c r="G2065" s="93"/>
      <c r="H2065" s="93"/>
      <c r="I2065" s="93"/>
      <c r="J2065" s="93"/>
      <c r="K2065" s="93"/>
    </row>
    <row r="2066" spans="4:11" x14ac:dyDescent="0.25">
      <c r="D2066" s="93"/>
      <c r="E2066" s="93"/>
      <c r="F2066" s="93"/>
      <c r="G2066" s="93"/>
      <c r="H2066" s="93"/>
      <c r="I2066" s="93"/>
      <c r="J2066" s="93"/>
      <c r="K2066" s="93"/>
    </row>
    <row r="2067" spans="4:11" x14ac:dyDescent="0.25">
      <c r="D2067" s="93"/>
      <c r="E2067" s="93"/>
      <c r="F2067" s="93"/>
      <c r="G2067" s="93"/>
      <c r="H2067" s="93"/>
      <c r="I2067" s="93"/>
      <c r="J2067" s="93"/>
      <c r="K2067" s="93"/>
    </row>
    <row r="2068" spans="4:11" x14ac:dyDescent="0.25">
      <c r="D2068" s="93"/>
      <c r="E2068" s="93"/>
      <c r="F2068" s="93"/>
      <c r="G2068" s="93"/>
      <c r="H2068" s="93"/>
      <c r="I2068" s="93"/>
      <c r="J2068" s="93"/>
      <c r="K2068" s="93"/>
    </row>
    <row r="2069" spans="4:11" x14ac:dyDescent="0.25">
      <c r="D2069" s="93"/>
      <c r="E2069" s="93"/>
      <c r="F2069" s="93"/>
      <c r="G2069" s="93"/>
      <c r="H2069" s="93"/>
      <c r="I2069" s="93"/>
      <c r="J2069" s="93"/>
      <c r="K2069" s="93"/>
    </row>
    <row r="2070" spans="4:11" x14ac:dyDescent="0.25">
      <c r="D2070" s="93"/>
      <c r="E2070" s="93"/>
      <c r="F2070" s="93"/>
      <c r="G2070" s="93"/>
      <c r="H2070" s="93"/>
      <c r="I2070" s="93"/>
      <c r="J2070" s="93"/>
      <c r="K2070" s="93"/>
    </row>
    <row r="2071" spans="4:11" x14ac:dyDescent="0.25">
      <c r="D2071" s="93"/>
      <c r="E2071" s="93"/>
      <c r="F2071" s="93"/>
      <c r="G2071" s="93"/>
      <c r="H2071" s="93"/>
      <c r="I2071" s="93"/>
      <c r="J2071" s="93"/>
      <c r="K2071" s="93"/>
    </row>
    <row r="2072" spans="4:11" x14ac:dyDescent="0.25">
      <c r="D2072" s="93"/>
      <c r="E2072" s="93"/>
      <c r="F2072" s="93"/>
      <c r="G2072" s="93"/>
      <c r="H2072" s="93"/>
      <c r="I2072" s="93"/>
      <c r="J2072" s="93"/>
      <c r="K2072" s="93"/>
    </row>
    <row r="2073" spans="4:11" x14ac:dyDescent="0.25">
      <c r="D2073" s="93"/>
      <c r="E2073" s="93"/>
      <c r="F2073" s="93"/>
      <c r="G2073" s="93"/>
      <c r="H2073" s="93"/>
      <c r="I2073" s="93"/>
      <c r="J2073" s="93"/>
      <c r="K2073" s="93"/>
    </row>
    <row r="2074" spans="4:11" x14ac:dyDescent="0.25">
      <c r="D2074" s="93"/>
      <c r="E2074" s="93"/>
      <c r="F2074" s="93"/>
      <c r="G2074" s="93"/>
      <c r="H2074" s="93"/>
      <c r="I2074" s="93"/>
      <c r="J2074" s="93"/>
      <c r="K2074" s="93"/>
    </row>
    <row r="2075" spans="4:11" x14ac:dyDescent="0.25">
      <c r="D2075" s="93"/>
      <c r="E2075" s="93"/>
      <c r="F2075" s="93"/>
      <c r="G2075" s="93"/>
      <c r="H2075" s="93"/>
      <c r="I2075" s="93"/>
      <c r="J2075" s="93"/>
      <c r="K2075" s="93"/>
    </row>
    <row r="2076" spans="4:11" x14ac:dyDescent="0.25">
      <c r="D2076" s="93"/>
      <c r="E2076" s="93"/>
      <c r="F2076" s="93"/>
      <c r="G2076" s="93"/>
      <c r="H2076" s="93"/>
      <c r="I2076" s="93"/>
      <c r="J2076" s="93"/>
      <c r="K2076" s="93"/>
    </row>
    <row r="2077" spans="4:11" x14ac:dyDescent="0.25">
      <c r="D2077" s="93"/>
      <c r="E2077" s="93"/>
      <c r="F2077" s="93"/>
      <c r="G2077" s="93"/>
      <c r="H2077" s="93"/>
      <c r="I2077" s="93"/>
      <c r="J2077" s="93"/>
      <c r="K2077" s="93"/>
    </row>
    <row r="2078" spans="4:11" x14ac:dyDescent="0.25">
      <c r="D2078" s="93"/>
      <c r="E2078" s="93"/>
      <c r="F2078" s="93"/>
      <c r="G2078" s="93"/>
      <c r="H2078" s="93"/>
      <c r="I2078" s="93"/>
      <c r="J2078" s="93"/>
      <c r="K2078" s="93"/>
    </row>
    <row r="2079" spans="4:11" x14ac:dyDescent="0.25">
      <c r="D2079" s="93"/>
      <c r="E2079" s="93"/>
      <c r="F2079" s="93"/>
      <c r="G2079" s="93"/>
      <c r="H2079" s="93"/>
      <c r="I2079" s="93"/>
      <c r="J2079" s="93"/>
      <c r="K2079" s="93"/>
    </row>
    <row r="2080" spans="4:11" x14ac:dyDescent="0.25">
      <c r="D2080" s="93"/>
      <c r="E2080" s="93"/>
      <c r="F2080" s="93"/>
      <c r="G2080" s="93"/>
      <c r="H2080" s="93"/>
      <c r="I2080" s="93"/>
      <c r="J2080" s="93"/>
      <c r="K2080" s="93"/>
    </row>
    <row r="2081" spans="4:11" x14ac:dyDescent="0.25">
      <c r="D2081" s="93"/>
      <c r="E2081" s="93"/>
      <c r="F2081" s="93"/>
      <c r="G2081" s="93"/>
      <c r="H2081" s="93"/>
      <c r="I2081" s="93"/>
      <c r="J2081" s="93"/>
      <c r="K2081" s="93"/>
    </row>
    <row r="2082" spans="4:11" x14ac:dyDescent="0.25">
      <c r="D2082" s="93"/>
      <c r="E2082" s="93"/>
      <c r="F2082" s="93"/>
      <c r="G2082" s="93"/>
      <c r="H2082" s="93"/>
      <c r="I2082" s="93"/>
      <c r="J2082" s="93"/>
      <c r="K2082" s="93"/>
    </row>
    <row r="2083" spans="4:11" x14ac:dyDescent="0.25">
      <c r="D2083" s="93"/>
      <c r="E2083" s="93"/>
      <c r="F2083" s="93"/>
      <c r="G2083" s="93"/>
      <c r="H2083" s="93"/>
      <c r="I2083" s="93"/>
      <c r="J2083" s="93"/>
      <c r="K2083" s="93"/>
    </row>
    <row r="2084" spans="4:11" x14ac:dyDescent="0.25">
      <c r="D2084" s="93"/>
      <c r="E2084" s="93"/>
      <c r="F2084" s="93"/>
      <c r="G2084" s="93"/>
      <c r="H2084" s="93"/>
      <c r="I2084" s="93"/>
      <c r="J2084" s="93"/>
      <c r="K2084" s="93"/>
    </row>
    <row r="2085" spans="4:11" x14ac:dyDescent="0.25">
      <c r="D2085" s="93"/>
      <c r="E2085" s="93"/>
      <c r="F2085" s="93"/>
      <c r="G2085" s="93"/>
      <c r="H2085" s="93"/>
      <c r="I2085" s="93"/>
      <c r="J2085" s="93"/>
      <c r="K2085" s="93"/>
    </row>
    <row r="2086" spans="4:11" x14ac:dyDescent="0.25">
      <c r="D2086" s="93"/>
      <c r="E2086" s="93"/>
      <c r="F2086" s="93"/>
      <c r="G2086" s="93"/>
      <c r="H2086" s="93"/>
      <c r="I2086" s="93"/>
      <c r="J2086" s="93"/>
      <c r="K2086" s="93"/>
    </row>
    <row r="2087" spans="4:11" x14ac:dyDescent="0.25">
      <c r="D2087" s="93"/>
      <c r="E2087" s="93"/>
      <c r="F2087" s="93"/>
      <c r="G2087" s="93"/>
      <c r="H2087" s="93"/>
      <c r="I2087" s="93"/>
      <c r="J2087" s="93"/>
      <c r="K2087" s="93"/>
    </row>
    <row r="2088" spans="4:11" x14ac:dyDescent="0.25">
      <c r="D2088" s="93"/>
      <c r="E2088" s="93"/>
      <c r="F2088" s="93"/>
      <c r="G2088" s="93"/>
      <c r="H2088" s="93"/>
      <c r="I2088" s="93"/>
      <c r="J2088" s="93"/>
      <c r="K2088" s="93"/>
    </row>
    <row r="2089" spans="4:11" x14ac:dyDescent="0.25">
      <c r="D2089" s="93"/>
      <c r="E2089" s="93"/>
      <c r="F2089" s="93"/>
      <c r="G2089" s="93"/>
      <c r="H2089" s="93"/>
      <c r="I2089" s="93"/>
      <c r="J2089" s="93"/>
      <c r="K2089" s="93"/>
    </row>
    <row r="2090" spans="4:11" x14ac:dyDescent="0.25">
      <c r="D2090" s="93"/>
      <c r="E2090" s="93"/>
      <c r="F2090" s="93"/>
      <c r="G2090" s="93"/>
      <c r="H2090" s="93"/>
      <c r="I2090" s="93"/>
      <c r="J2090" s="93"/>
      <c r="K2090" s="93"/>
    </row>
    <row r="2091" spans="4:11" x14ac:dyDescent="0.25">
      <c r="D2091" s="93"/>
      <c r="E2091" s="93"/>
      <c r="F2091" s="93"/>
      <c r="G2091" s="93"/>
      <c r="H2091" s="93"/>
      <c r="I2091" s="93"/>
      <c r="J2091" s="93"/>
      <c r="K2091" s="93"/>
    </row>
    <row r="2092" spans="4:11" x14ac:dyDescent="0.25">
      <c r="D2092" s="93"/>
      <c r="E2092" s="93"/>
      <c r="F2092" s="93"/>
      <c r="G2092" s="93"/>
      <c r="H2092" s="93"/>
      <c r="I2092" s="93"/>
      <c r="J2092" s="93"/>
      <c r="K2092" s="93"/>
    </row>
    <row r="2093" spans="4:11" x14ac:dyDescent="0.25">
      <c r="D2093" s="93"/>
      <c r="E2093" s="93"/>
      <c r="F2093" s="93"/>
      <c r="G2093" s="93"/>
      <c r="H2093" s="93"/>
      <c r="I2093" s="93"/>
      <c r="J2093" s="93"/>
      <c r="K2093" s="93"/>
    </row>
    <row r="2094" spans="4:11" x14ac:dyDescent="0.25">
      <c r="D2094" s="93"/>
      <c r="E2094" s="93"/>
      <c r="F2094" s="93"/>
      <c r="G2094" s="93"/>
      <c r="H2094" s="93"/>
      <c r="I2094" s="93"/>
      <c r="J2094" s="93"/>
      <c r="K2094" s="93"/>
    </row>
    <row r="2095" spans="4:11" x14ac:dyDescent="0.25">
      <c r="D2095" s="93"/>
      <c r="E2095" s="93"/>
      <c r="F2095" s="93"/>
      <c r="G2095" s="93"/>
      <c r="H2095" s="93"/>
      <c r="I2095" s="93"/>
      <c r="J2095" s="93"/>
      <c r="K2095" s="93"/>
    </row>
    <row r="2096" spans="4:11" x14ac:dyDescent="0.25">
      <c r="D2096" s="93"/>
      <c r="E2096" s="93"/>
      <c r="F2096" s="93"/>
      <c r="G2096" s="93"/>
      <c r="H2096" s="93"/>
      <c r="I2096" s="93"/>
      <c r="J2096" s="93"/>
      <c r="K2096" s="93"/>
    </row>
    <row r="2097" spans="4:11" x14ac:dyDescent="0.25">
      <c r="D2097" s="93"/>
      <c r="E2097" s="93"/>
      <c r="F2097" s="93"/>
      <c r="G2097" s="93"/>
      <c r="H2097" s="93"/>
      <c r="I2097" s="93"/>
      <c r="J2097" s="93"/>
      <c r="K2097" s="93"/>
    </row>
    <row r="2098" spans="4:11" x14ac:dyDescent="0.25">
      <c r="D2098" s="93"/>
      <c r="E2098" s="93"/>
      <c r="F2098" s="93"/>
      <c r="G2098" s="93"/>
      <c r="H2098" s="93"/>
      <c r="I2098" s="93"/>
      <c r="J2098" s="93"/>
      <c r="K2098" s="93"/>
    </row>
    <row r="2099" spans="4:11" x14ac:dyDescent="0.25">
      <c r="D2099" s="93"/>
      <c r="E2099" s="93"/>
      <c r="F2099" s="93"/>
      <c r="G2099" s="93"/>
      <c r="H2099" s="93"/>
      <c r="I2099" s="93"/>
      <c r="J2099" s="93"/>
      <c r="K2099" s="93"/>
    </row>
    <row r="2100" spans="4:11" x14ac:dyDescent="0.25">
      <c r="D2100" s="93"/>
      <c r="E2100" s="93"/>
      <c r="F2100" s="93"/>
      <c r="G2100" s="93"/>
      <c r="H2100" s="93"/>
      <c r="I2100" s="93"/>
      <c r="J2100" s="93"/>
      <c r="K2100" s="93"/>
    </row>
    <row r="2101" spans="4:11" x14ac:dyDescent="0.25">
      <c r="D2101" s="93"/>
      <c r="E2101" s="93"/>
      <c r="F2101" s="93"/>
      <c r="G2101" s="93"/>
      <c r="H2101" s="93"/>
      <c r="I2101" s="93"/>
      <c r="J2101" s="93"/>
      <c r="K2101" s="93"/>
    </row>
    <row r="2102" spans="4:11" x14ac:dyDescent="0.25">
      <c r="D2102" s="93"/>
      <c r="E2102" s="93"/>
      <c r="F2102" s="93"/>
      <c r="G2102" s="93"/>
      <c r="H2102" s="93"/>
      <c r="I2102" s="93"/>
      <c r="J2102" s="93"/>
      <c r="K2102" s="93"/>
    </row>
    <row r="2103" spans="4:11" x14ac:dyDescent="0.25">
      <c r="D2103" s="93"/>
      <c r="E2103" s="93"/>
      <c r="F2103" s="93"/>
      <c r="G2103" s="93"/>
      <c r="H2103" s="93"/>
      <c r="I2103" s="93"/>
      <c r="J2103" s="93"/>
      <c r="K2103" s="93"/>
    </row>
    <row r="2104" spans="4:11" x14ac:dyDescent="0.25">
      <c r="D2104" s="93"/>
      <c r="E2104" s="93"/>
      <c r="F2104" s="93"/>
      <c r="G2104" s="93"/>
      <c r="H2104" s="93"/>
      <c r="I2104" s="93"/>
      <c r="J2104" s="93"/>
      <c r="K2104" s="93"/>
    </row>
    <row r="2105" spans="4:11" x14ac:dyDescent="0.25">
      <c r="D2105" s="93"/>
      <c r="E2105" s="93"/>
      <c r="F2105" s="93"/>
      <c r="G2105" s="93"/>
      <c r="H2105" s="93"/>
      <c r="I2105" s="93"/>
      <c r="J2105" s="93"/>
      <c r="K2105" s="93"/>
    </row>
    <row r="2106" spans="4:11" x14ac:dyDescent="0.25">
      <c r="D2106" s="93"/>
      <c r="E2106" s="93"/>
      <c r="F2106" s="93"/>
      <c r="G2106" s="93"/>
      <c r="H2106" s="93"/>
      <c r="I2106" s="93"/>
      <c r="J2106" s="93"/>
      <c r="K2106" s="93"/>
    </row>
    <row r="2107" spans="4:11" x14ac:dyDescent="0.25">
      <c r="D2107" s="93"/>
      <c r="E2107" s="93"/>
      <c r="F2107" s="93"/>
      <c r="G2107" s="93"/>
      <c r="H2107" s="93"/>
      <c r="I2107" s="93"/>
      <c r="J2107" s="93"/>
      <c r="K2107" s="93"/>
    </row>
    <row r="2108" spans="4:11" x14ac:dyDescent="0.25">
      <c r="D2108" s="93"/>
      <c r="E2108" s="93"/>
      <c r="F2108" s="93"/>
      <c r="G2108" s="93"/>
      <c r="H2108" s="93"/>
      <c r="I2108" s="93"/>
      <c r="J2108" s="93"/>
      <c r="K2108" s="93"/>
    </row>
    <row r="2109" spans="4:11" x14ac:dyDescent="0.25">
      <c r="D2109" s="93"/>
      <c r="E2109" s="93"/>
      <c r="F2109" s="93"/>
      <c r="G2109" s="93"/>
      <c r="H2109" s="93"/>
      <c r="I2109" s="93"/>
      <c r="J2109" s="93"/>
      <c r="K2109" s="93"/>
    </row>
    <row r="2110" spans="4:11" x14ac:dyDescent="0.25">
      <c r="D2110" s="93"/>
      <c r="E2110" s="93"/>
      <c r="F2110" s="93"/>
      <c r="G2110" s="93"/>
      <c r="H2110" s="93"/>
      <c r="I2110" s="93"/>
      <c r="J2110" s="93"/>
      <c r="K2110" s="93"/>
    </row>
    <row r="2111" spans="4:11" x14ac:dyDescent="0.25">
      <c r="D2111" s="93"/>
      <c r="E2111" s="93"/>
      <c r="F2111" s="93"/>
      <c r="G2111" s="93"/>
      <c r="H2111" s="93"/>
      <c r="I2111" s="93"/>
      <c r="J2111" s="93"/>
      <c r="K2111" s="93"/>
    </row>
    <row r="2112" spans="4:11" x14ac:dyDescent="0.25">
      <c r="D2112" s="93"/>
      <c r="E2112" s="93"/>
      <c r="F2112" s="93"/>
      <c r="G2112" s="93"/>
      <c r="H2112" s="93"/>
      <c r="I2112" s="93"/>
      <c r="J2112" s="93"/>
      <c r="K2112" s="93"/>
    </row>
    <row r="2113" spans="4:11" x14ac:dyDescent="0.25">
      <c r="D2113" s="93"/>
      <c r="E2113" s="93"/>
      <c r="F2113" s="93"/>
      <c r="G2113" s="93"/>
      <c r="H2113" s="93"/>
      <c r="I2113" s="93"/>
      <c r="J2113" s="93"/>
      <c r="K2113" s="93"/>
    </row>
    <row r="2114" spans="4:11" x14ac:dyDescent="0.25">
      <c r="D2114" s="93"/>
      <c r="E2114" s="93"/>
      <c r="F2114" s="93"/>
      <c r="G2114" s="93"/>
      <c r="H2114" s="93"/>
      <c r="I2114" s="93"/>
      <c r="J2114" s="93"/>
      <c r="K2114" s="93"/>
    </row>
    <row r="2115" spans="4:11" x14ac:dyDescent="0.25">
      <c r="D2115" s="93"/>
      <c r="E2115" s="93"/>
      <c r="F2115" s="93"/>
      <c r="G2115" s="93"/>
      <c r="H2115" s="93"/>
      <c r="I2115" s="93"/>
      <c r="J2115" s="93"/>
      <c r="K2115" s="93"/>
    </row>
    <row r="2116" spans="4:11" x14ac:dyDescent="0.25">
      <c r="D2116" s="93"/>
      <c r="E2116" s="93"/>
      <c r="F2116" s="93"/>
      <c r="G2116" s="93"/>
      <c r="H2116" s="93"/>
      <c r="I2116" s="93"/>
      <c r="J2116" s="93"/>
      <c r="K2116" s="93"/>
    </row>
    <row r="2117" spans="4:11" x14ac:dyDescent="0.25">
      <c r="D2117" s="93"/>
      <c r="E2117" s="93"/>
      <c r="F2117" s="93"/>
      <c r="G2117" s="93"/>
      <c r="H2117" s="93"/>
      <c r="I2117" s="93"/>
      <c r="J2117" s="93"/>
      <c r="K2117" s="93"/>
    </row>
    <row r="2118" spans="4:11" x14ac:dyDescent="0.25">
      <c r="D2118" s="93"/>
      <c r="E2118" s="93"/>
      <c r="F2118" s="93"/>
      <c r="G2118" s="93"/>
      <c r="H2118" s="93"/>
      <c r="I2118" s="93"/>
      <c r="J2118" s="93"/>
      <c r="K2118" s="93"/>
    </row>
    <row r="2119" spans="4:11" x14ac:dyDescent="0.25">
      <c r="D2119" s="93"/>
      <c r="E2119" s="93"/>
      <c r="F2119" s="93"/>
      <c r="G2119" s="93"/>
      <c r="H2119" s="93"/>
      <c r="I2119" s="93"/>
      <c r="J2119" s="93"/>
      <c r="K2119" s="93"/>
    </row>
    <row r="2120" spans="4:11" x14ac:dyDescent="0.25">
      <c r="D2120" s="93"/>
      <c r="E2120" s="93"/>
      <c r="F2120" s="93"/>
      <c r="G2120" s="93"/>
      <c r="H2120" s="93"/>
      <c r="I2120" s="93"/>
      <c r="J2120" s="93"/>
      <c r="K2120" s="93"/>
    </row>
    <row r="2121" spans="4:11" x14ac:dyDescent="0.25">
      <c r="D2121" s="93"/>
      <c r="E2121" s="93"/>
      <c r="F2121" s="93"/>
      <c r="G2121" s="93"/>
      <c r="H2121" s="93"/>
      <c r="I2121" s="93"/>
      <c r="J2121" s="93"/>
      <c r="K2121" s="93"/>
    </row>
    <row r="2122" spans="4:11" x14ac:dyDescent="0.25">
      <c r="D2122" s="93"/>
      <c r="E2122" s="93"/>
      <c r="F2122" s="93"/>
      <c r="G2122" s="93"/>
      <c r="H2122" s="93"/>
      <c r="I2122" s="93"/>
      <c r="J2122" s="93"/>
      <c r="K2122" s="93"/>
    </row>
    <row r="2123" spans="4:11" x14ac:dyDescent="0.25">
      <c r="D2123" s="93"/>
      <c r="E2123" s="93"/>
      <c r="F2123" s="93"/>
      <c r="G2123" s="93"/>
      <c r="H2123" s="93"/>
      <c r="I2123" s="93"/>
      <c r="J2123" s="93"/>
      <c r="K2123" s="93"/>
    </row>
    <row r="2124" spans="4:11" x14ac:dyDescent="0.25">
      <c r="D2124" s="93"/>
      <c r="E2124" s="93"/>
      <c r="F2124" s="93"/>
      <c r="G2124" s="93"/>
      <c r="H2124" s="93"/>
      <c r="I2124" s="93"/>
      <c r="J2124" s="93"/>
      <c r="K2124" s="93"/>
    </row>
    <row r="2125" spans="4:11" x14ac:dyDescent="0.25">
      <c r="D2125" s="93"/>
      <c r="E2125" s="93"/>
      <c r="F2125" s="93"/>
      <c r="G2125" s="93"/>
      <c r="H2125" s="93"/>
      <c r="I2125" s="93"/>
      <c r="J2125" s="93"/>
      <c r="K2125" s="93"/>
    </row>
    <row r="2126" spans="4:11" x14ac:dyDescent="0.25">
      <c r="D2126" s="93"/>
      <c r="E2126" s="93"/>
      <c r="F2126" s="93"/>
      <c r="G2126" s="93"/>
      <c r="H2126" s="93"/>
      <c r="I2126" s="93"/>
      <c r="J2126" s="93"/>
      <c r="K2126" s="93"/>
    </row>
    <row r="2127" spans="4:11" x14ac:dyDescent="0.25">
      <c r="D2127" s="93"/>
      <c r="E2127" s="93"/>
      <c r="F2127" s="93"/>
      <c r="G2127" s="93"/>
      <c r="H2127" s="93"/>
      <c r="I2127" s="93"/>
      <c r="J2127" s="93"/>
      <c r="K2127" s="93"/>
    </row>
    <row r="2128" spans="4:11" x14ac:dyDescent="0.25">
      <c r="D2128" s="93"/>
      <c r="E2128" s="93"/>
      <c r="F2128" s="93"/>
      <c r="G2128" s="93"/>
      <c r="H2128" s="93"/>
      <c r="I2128" s="93"/>
      <c r="J2128" s="93"/>
      <c r="K2128" s="93"/>
    </row>
    <row r="2129" spans="4:11" x14ac:dyDescent="0.25">
      <c r="D2129" s="93"/>
      <c r="E2129" s="93"/>
      <c r="F2129" s="93"/>
      <c r="G2129" s="93"/>
      <c r="H2129" s="93"/>
      <c r="I2129" s="93"/>
      <c r="J2129" s="93"/>
      <c r="K2129" s="93"/>
    </row>
    <row r="2130" spans="4:11" x14ac:dyDescent="0.25">
      <c r="D2130" s="93"/>
      <c r="E2130" s="93"/>
      <c r="F2130" s="93"/>
      <c r="G2130" s="93"/>
      <c r="H2130" s="93"/>
      <c r="I2130" s="93"/>
      <c r="J2130" s="93"/>
      <c r="K2130" s="93"/>
    </row>
    <row r="2131" spans="4:11" x14ac:dyDescent="0.25">
      <c r="D2131" s="93"/>
      <c r="E2131" s="93"/>
      <c r="F2131" s="93"/>
      <c r="G2131" s="93"/>
      <c r="H2131" s="93"/>
      <c r="I2131" s="93"/>
      <c r="J2131" s="93"/>
      <c r="K2131" s="93"/>
    </row>
    <row r="2132" spans="4:11" x14ac:dyDescent="0.25">
      <c r="D2132" s="93"/>
      <c r="E2132" s="93"/>
      <c r="F2132" s="93"/>
      <c r="G2132" s="93"/>
      <c r="H2132" s="93"/>
      <c r="I2132" s="93"/>
      <c r="J2132" s="93"/>
      <c r="K2132" s="93"/>
    </row>
    <row r="2133" spans="4:11" x14ac:dyDescent="0.25">
      <c r="D2133" s="93"/>
      <c r="E2133" s="93"/>
      <c r="F2133" s="93"/>
      <c r="G2133" s="93"/>
      <c r="H2133" s="93"/>
      <c r="I2133" s="93"/>
      <c r="J2133" s="93"/>
      <c r="K2133" s="93"/>
    </row>
    <row r="2134" spans="4:11" x14ac:dyDescent="0.25">
      <c r="D2134" s="93"/>
      <c r="E2134" s="93"/>
      <c r="F2134" s="93"/>
      <c r="G2134" s="93"/>
      <c r="H2134" s="93"/>
      <c r="I2134" s="93"/>
      <c r="J2134" s="93"/>
      <c r="K2134" s="93"/>
    </row>
    <row r="2135" spans="4:11" x14ac:dyDescent="0.25">
      <c r="D2135" s="93"/>
      <c r="E2135" s="93"/>
      <c r="F2135" s="93"/>
      <c r="G2135" s="93"/>
      <c r="H2135" s="93"/>
      <c r="I2135" s="93"/>
      <c r="J2135" s="93"/>
      <c r="K2135" s="93"/>
    </row>
    <row r="2136" spans="4:11" x14ac:dyDescent="0.25">
      <c r="D2136" s="93"/>
      <c r="E2136" s="93"/>
      <c r="F2136" s="93"/>
      <c r="G2136" s="93"/>
      <c r="H2136" s="93"/>
      <c r="I2136" s="93"/>
      <c r="J2136" s="93"/>
      <c r="K2136" s="93"/>
    </row>
    <row r="2137" spans="4:11" x14ac:dyDescent="0.25">
      <c r="D2137" s="93"/>
      <c r="E2137" s="93"/>
      <c r="F2137" s="93"/>
      <c r="G2137" s="93"/>
      <c r="H2137" s="93"/>
      <c r="I2137" s="93"/>
      <c r="J2137" s="93"/>
      <c r="K2137" s="93"/>
    </row>
    <row r="2138" spans="4:11" x14ac:dyDescent="0.25">
      <c r="D2138" s="93"/>
      <c r="E2138" s="93"/>
      <c r="F2138" s="93"/>
      <c r="G2138" s="93"/>
      <c r="H2138" s="93"/>
      <c r="I2138" s="93"/>
      <c r="J2138" s="93"/>
      <c r="K2138" s="93"/>
    </row>
    <row r="2139" spans="4:11" x14ac:dyDescent="0.25">
      <c r="D2139" s="93"/>
      <c r="E2139" s="93"/>
      <c r="F2139" s="93"/>
      <c r="G2139" s="93"/>
      <c r="H2139" s="93"/>
      <c r="I2139" s="93"/>
      <c r="J2139" s="93"/>
      <c r="K2139" s="93"/>
    </row>
    <row r="2140" spans="4:11" x14ac:dyDescent="0.25">
      <c r="D2140" s="93"/>
      <c r="E2140" s="93"/>
      <c r="F2140" s="93"/>
      <c r="G2140" s="93"/>
      <c r="H2140" s="93"/>
      <c r="I2140" s="93"/>
      <c r="J2140" s="93"/>
      <c r="K2140" s="93"/>
    </row>
    <row r="2141" spans="4:11" x14ac:dyDescent="0.25">
      <c r="D2141" s="93"/>
      <c r="E2141" s="93"/>
      <c r="F2141" s="93"/>
      <c r="G2141" s="93"/>
      <c r="H2141" s="93"/>
      <c r="I2141" s="93"/>
      <c r="J2141" s="93"/>
      <c r="K2141" s="93"/>
    </row>
    <row r="2142" spans="4:11" x14ac:dyDescent="0.25">
      <c r="D2142" s="93"/>
      <c r="E2142" s="93"/>
      <c r="F2142" s="93"/>
      <c r="G2142" s="93"/>
      <c r="H2142" s="93"/>
      <c r="I2142" s="93"/>
      <c r="J2142" s="93"/>
      <c r="K2142" s="93"/>
    </row>
    <row r="2143" spans="4:11" x14ac:dyDescent="0.25">
      <c r="D2143" s="93"/>
      <c r="E2143" s="93"/>
      <c r="F2143" s="93"/>
      <c r="G2143" s="93"/>
      <c r="H2143" s="93"/>
      <c r="I2143" s="93"/>
      <c r="J2143" s="93"/>
      <c r="K2143" s="93"/>
    </row>
    <row r="2144" spans="4:11" x14ac:dyDescent="0.25">
      <c r="D2144" s="93"/>
      <c r="E2144" s="93"/>
      <c r="F2144" s="93"/>
      <c r="G2144" s="93"/>
      <c r="H2144" s="93"/>
      <c r="I2144" s="93"/>
      <c r="J2144" s="93"/>
      <c r="K2144" s="93"/>
    </row>
    <row r="2145" spans="4:11" x14ac:dyDescent="0.25">
      <c r="D2145" s="93"/>
      <c r="E2145" s="93"/>
      <c r="F2145" s="93"/>
      <c r="G2145" s="93"/>
      <c r="H2145" s="93"/>
      <c r="I2145" s="93"/>
      <c r="J2145" s="93"/>
      <c r="K2145" s="93"/>
    </row>
    <row r="2146" spans="4:11" x14ac:dyDescent="0.25">
      <c r="D2146" s="93"/>
      <c r="E2146" s="93"/>
      <c r="F2146" s="93"/>
      <c r="G2146" s="93"/>
      <c r="H2146" s="93"/>
      <c r="I2146" s="93"/>
      <c r="J2146" s="93"/>
      <c r="K2146" s="93"/>
    </row>
    <row r="2147" spans="4:11" x14ac:dyDescent="0.25">
      <c r="D2147" s="93"/>
      <c r="E2147" s="93"/>
      <c r="F2147" s="93"/>
      <c r="G2147" s="93"/>
      <c r="H2147" s="93"/>
      <c r="I2147" s="93"/>
      <c r="J2147" s="93"/>
      <c r="K2147" s="93"/>
    </row>
    <row r="2148" spans="4:11" x14ac:dyDescent="0.25">
      <c r="D2148" s="93"/>
      <c r="E2148" s="93"/>
      <c r="F2148" s="93"/>
      <c r="G2148" s="93"/>
      <c r="H2148" s="93"/>
      <c r="I2148" s="93"/>
      <c r="J2148" s="93"/>
      <c r="K2148" s="93"/>
    </row>
    <row r="2149" spans="4:11" x14ac:dyDescent="0.25">
      <c r="D2149" s="93"/>
      <c r="E2149" s="93"/>
      <c r="F2149" s="93"/>
      <c r="G2149" s="93"/>
      <c r="H2149" s="93"/>
      <c r="I2149" s="93"/>
      <c r="J2149" s="93"/>
      <c r="K2149" s="93"/>
    </row>
    <row r="2150" spans="4:11" x14ac:dyDescent="0.25">
      <c r="D2150" s="93"/>
      <c r="E2150" s="93"/>
      <c r="F2150" s="93"/>
      <c r="G2150" s="93"/>
      <c r="H2150" s="93"/>
      <c r="I2150" s="93"/>
      <c r="J2150" s="93"/>
      <c r="K2150" s="93"/>
    </row>
    <row r="2151" spans="4:11" x14ac:dyDescent="0.25">
      <c r="D2151" s="93"/>
      <c r="E2151" s="93"/>
      <c r="F2151" s="93"/>
      <c r="G2151" s="93"/>
      <c r="H2151" s="93"/>
      <c r="I2151" s="93"/>
      <c r="J2151" s="93"/>
      <c r="K2151" s="93"/>
    </row>
    <row r="2152" spans="4:11" x14ac:dyDescent="0.25">
      <c r="D2152" s="93"/>
      <c r="E2152" s="93"/>
      <c r="F2152" s="93"/>
      <c r="G2152" s="93"/>
      <c r="H2152" s="93"/>
      <c r="I2152" s="93"/>
      <c r="J2152" s="93"/>
      <c r="K2152" s="93"/>
    </row>
    <row r="2153" spans="4:11" x14ac:dyDescent="0.25">
      <c r="D2153" s="93"/>
      <c r="E2153" s="93"/>
      <c r="F2153" s="93"/>
      <c r="G2153" s="93"/>
      <c r="H2153" s="93"/>
      <c r="I2153" s="93"/>
      <c r="J2153" s="93"/>
      <c r="K2153" s="93"/>
    </row>
    <row r="2154" spans="4:11" x14ac:dyDescent="0.25">
      <c r="D2154" s="93"/>
      <c r="E2154" s="93"/>
      <c r="F2154" s="93"/>
      <c r="G2154" s="93"/>
      <c r="H2154" s="93"/>
      <c r="I2154" s="93"/>
      <c r="J2154" s="93"/>
      <c r="K2154" s="93"/>
    </row>
    <row r="2155" spans="4:11" x14ac:dyDescent="0.25">
      <c r="D2155" s="93"/>
      <c r="E2155" s="93"/>
      <c r="F2155" s="93"/>
      <c r="G2155" s="93"/>
      <c r="H2155" s="93"/>
      <c r="I2155" s="93"/>
      <c r="J2155" s="93"/>
      <c r="K2155" s="93"/>
    </row>
    <row r="2156" spans="4:11" x14ac:dyDescent="0.25">
      <c r="D2156" s="93"/>
      <c r="E2156" s="93"/>
      <c r="F2156" s="93"/>
      <c r="G2156" s="93"/>
      <c r="H2156" s="93"/>
      <c r="I2156" s="93"/>
      <c r="J2156" s="93"/>
      <c r="K2156" s="93"/>
    </row>
    <row r="2157" spans="4:11" x14ac:dyDescent="0.25">
      <c r="D2157" s="93"/>
      <c r="E2157" s="93"/>
      <c r="F2157" s="93"/>
      <c r="G2157" s="93"/>
      <c r="H2157" s="93"/>
      <c r="I2157" s="93"/>
      <c r="J2157" s="93"/>
      <c r="K2157" s="93"/>
    </row>
    <row r="2158" spans="4:11" x14ac:dyDescent="0.25">
      <c r="D2158" s="93"/>
      <c r="E2158" s="93"/>
      <c r="F2158" s="93"/>
      <c r="G2158" s="93"/>
      <c r="H2158" s="93"/>
      <c r="I2158" s="93"/>
      <c r="J2158" s="93"/>
      <c r="K2158" s="93"/>
    </row>
    <row r="2159" spans="4:11" x14ac:dyDescent="0.25">
      <c r="D2159" s="93"/>
      <c r="E2159" s="93"/>
      <c r="F2159" s="93"/>
      <c r="G2159" s="93"/>
      <c r="H2159" s="93"/>
      <c r="I2159" s="93"/>
      <c r="J2159" s="93"/>
      <c r="K2159" s="93"/>
    </row>
    <row r="2160" spans="4:11" x14ac:dyDescent="0.25">
      <c r="D2160" s="93"/>
      <c r="E2160" s="93"/>
      <c r="F2160" s="93"/>
      <c r="G2160" s="93"/>
      <c r="H2160" s="93"/>
      <c r="I2160" s="93"/>
      <c r="J2160" s="93"/>
      <c r="K2160" s="93"/>
    </row>
    <row r="2161" spans="4:11" x14ac:dyDescent="0.25">
      <c r="D2161" s="93"/>
      <c r="E2161" s="93"/>
      <c r="F2161" s="93"/>
      <c r="G2161" s="93"/>
      <c r="H2161" s="93"/>
      <c r="I2161" s="93"/>
      <c r="J2161" s="93"/>
      <c r="K2161" s="93"/>
    </row>
    <row r="2162" spans="4:11" x14ac:dyDescent="0.25">
      <c r="D2162" s="93"/>
      <c r="E2162" s="93"/>
      <c r="F2162" s="93"/>
      <c r="G2162" s="93"/>
      <c r="H2162" s="93"/>
      <c r="I2162" s="93"/>
      <c r="J2162" s="93"/>
      <c r="K2162" s="93"/>
    </row>
    <row r="2163" spans="4:11" x14ac:dyDescent="0.25">
      <c r="D2163" s="93"/>
      <c r="E2163" s="93"/>
      <c r="F2163" s="93"/>
      <c r="G2163" s="93"/>
      <c r="H2163" s="93"/>
      <c r="I2163" s="93"/>
      <c r="J2163" s="93"/>
      <c r="K2163" s="93"/>
    </row>
    <row r="2164" spans="4:11" x14ac:dyDescent="0.25">
      <c r="D2164" s="93"/>
      <c r="E2164" s="93"/>
      <c r="F2164" s="93"/>
      <c r="G2164" s="93"/>
      <c r="H2164" s="93"/>
      <c r="I2164" s="93"/>
      <c r="J2164" s="93"/>
      <c r="K2164" s="93"/>
    </row>
    <row r="2165" spans="4:11" x14ac:dyDescent="0.25">
      <c r="D2165" s="93"/>
      <c r="E2165" s="93"/>
      <c r="F2165" s="93"/>
      <c r="G2165" s="93"/>
      <c r="H2165" s="93"/>
      <c r="I2165" s="93"/>
      <c r="J2165" s="93"/>
      <c r="K2165" s="93"/>
    </row>
    <row r="2166" spans="4:11" x14ac:dyDescent="0.25">
      <c r="D2166" s="93"/>
      <c r="E2166" s="93"/>
      <c r="F2166" s="93"/>
      <c r="G2166" s="93"/>
      <c r="H2166" s="93"/>
      <c r="I2166" s="93"/>
      <c r="J2166" s="93"/>
      <c r="K2166" s="93"/>
    </row>
    <row r="2167" spans="4:11" x14ac:dyDescent="0.25">
      <c r="D2167" s="93"/>
      <c r="E2167" s="93"/>
      <c r="F2167" s="93"/>
      <c r="G2167" s="93"/>
      <c r="H2167" s="93"/>
      <c r="I2167" s="93"/>
      <c r="J2167" s="93"/>
      <c r="K2167" s="93"/>
    </row>
    <row r="2168" spans="4:11" x14ac:dyDescent="0.25">
      <c r="D2168" s="93"/>
      <c r="E2168" s="93"/>
      <c r="F2168" s="93"/>
      <c r="G2168" s="93"/>
      <c r="H2168" s="93"/>
      <c r="I2168" s="93"/>
      <c r="J2168" s="93"/>
      <c r="K2168" s="93"/>
    </row>
    <row r="2169" spans="4:11" x14ac:dyDescent="0.25">
      <c r="D2169" s="93"/>
      <c r="E2169" s="93"/>
      <c r="F2169" s="93"/>
      <c r="G2169" s="93"/>
      <c r="H2169" s="93"/>
      <c r="I2169" s="93"/>
      <c r="J2169" s="93"/>
      <c r="K2169" s="93"/>
    </row>
    <row r="2170" spans="4:11" x14ac:dyDescent="0.25">
      <c r="D2170" s="93"/>
      <c r="E2170" s="93"/>
      <c r="F2170" s="93"/>
      <c r="G2170" s="93"/>
      <c r="H2170" s="93"/>
      <c r="I2170" s="93"/>
      <c r="J2170" s="93"/>
      <c r="K2170" s="93"/>
    </row>
    <row r="2171" spans="4:11" x14ac:dyDescent="0.25">
      <c r="D2171" s="93"/>
      <c r="E2171" s="93"/>
      <c r="F2171" s="93"/>
      <c r="G2171" s="93"/>
      <c r="H2171" s="93"/>
      <c r="I2171" s="93"/>
      <c r="J2171" s="93"/>
      <c r="K2171" s="93"/>
    </row>
    <row r="2172" spans="4:11" x14ac:dyDescent="0.25">
      <c r="D2172" s="93"/>
      <c r="E2172" s="93"/>
      <c r="F2172" s="93"/>
      <c r="G2172" s="93"/>
      <c r="H2172" s="93"/>
      <c r="I2172" s="93"/>
      <c r="J2172" s="93"/>
      <c r="K2172" s="93"/>
    </row>
    <row r="2173" spans="4:11" x14ac:dyDescent="0.25">
      <c r="D2173" s="93"/>
      <c r="E2173" s="93"/>
      <c r="F2173" s="93"/>
      <c r="G2173" s="93"/>
      <c r="H2173" s="93"/>
      <c r="I2173" s="93"/>
      <c r="J2173" s="93"/>
      <c r="K2173" s="93"/>
    </row>
    <row r="2174" spans="4:11" x14ac:dyDescent="0.25">
      <c r="D2174" s="93"/>
      <c r="E2174" s="93"/>
      <c r="F2174" s="93"/>
      <c r="G2174" s="93"/>
      <c r="H2174" s="93"/>
      <c r="I2174" s="93"/>
      <c r="J2174" s="93"/>
      <c r="K2174" s="93"/>
    </row>
    <row r="2175" spans="4:11" x14ac:dyDescent="0.25">
      <c r="D2175" s="93"/>
      <c r="E2175" s="93"/>
      <c r="F2175" s="93"/>
      <c r="G2175" s="93"/>
      <c r="H2175" s="93"/>
      <c r="I2175" s="93"/>
      <c r="J2175" s="93"/>
      <c r="K2175" s="93"/>
    </row>
    <row r="2176" spans="4:11" x14ac:dyDescent="0.25">
      <c r="D2176" s="93"/>
      <c r="E2176" s="93"/>
      <c r="F2176" s="93"/>
      <c r="G2176" s="93"/>
      <c r="H2176" s="93"/>
      <c r="I2176" s="93"/>
      <c r="J2176" s="93"/>
      <c r="K2176" s="93"/>
    </row>
    <row r="2177" spans="4:11" x14ac:dyDescent="0.25">
      <c r="D2177" s="93"/>
      <c r="E2177" s="93"/>
      <c r="F2177" s="93"/>
      <c r="G2177" s="93"/>
      <c r="H2177" s="93"/>
      <c r="I2177" s="93"/>
      <c r="J2177" s="93"/>
      <c r="K2177" s="93"/>
    </row>
    <row r="2178" spans="4:11" x14ac:dyDescent="0.25">
      <c r="D2178" s="93"/>
      <c r="E2178" s="93"/>
      <c r="F2178" s="93"/>
      <c r="G2178" s="93"/>
      <c r="H2178" s="93"/>
      <c r="I2178" s="93"/>
      <c r="J2178" s="93"/>
      <c r="K2178" s="93"/>
    </row>
    <row r="2179" spans="4:11" x14ac:dyDescent="0.25">
      <c r="D2179" s="93"/>
      <c r="E2179" s="93"/>
      <c r="F2179" s="93"/>
      <c r="G2179" s="93"/>
      <c r="H2179" s="93"/>
      <c r="I2179" s="93"/>
      <c r="J2179" s="93"/>
      <c r="K2179" s="93"/>
    </row>
    <row r="2180" spans="4:11" x14ac:dyDescent="0.25">
      <c r="D2180" s="93"/>
      <c r="E2180" s="93"/>
      <c r="F2180" s="93"/>
      <c r="G2180" s="93"/>
      <c r="H2180" s="93"/>
      <c r="I2180" s="93"/>
      <c r="J2180" s="93"/>
      <c r="K2180" s="93"/>
    </row>
    <row r="2181" spans="4:11" x14ac:dyDescent="0.25">
      <c r="D2181" s="93"/>
      <c r="E2181" s="93"/>
      <c r="F2181" s="93"/>
      <c r="G2181" s="93"/>
      <c r="H2181" s="93"/>
      <c r="I2181" s="93"/>
      <c r="J2181" s="93"/>
      <c r="K2181" s="93"/>
    </row>
    <row r="2182" spans="4:11" x14ac:dyDescent="0.25">
      <c r="D2182" s="93"/>
      <c r="E2182" s="93"/>
      <c r="F2182" s="93"/>
      <c r="G2182" s="93"/>
      <c r="H2182" s="93"/>
      <c r="I2182" s="93"/>
      <c r="J2182" s="93"/>
      <c r="K2182" s="93"/>
    </row>
    <row r="2183" spans="4:11" x14ac:dyDescent="0.25">
      <c r="D2183" s="93"/>
      <c r="E2183" s="93"/>
      <c r="F2183" s="93"/>
      <c r="G2183" s="93"/>
      <c r="H2183" s="93"/>
      <c r="I2183" s="93"/>
      <c r="J2183" s="93"/>
      <c r="K2183" s="93"/>
    </row>
    <row r="2184" spans="4:11" x14ac:dyDescent="0.25">
      <c r="D2184" s="93"/>
      <c r="E2184" s="93"/>
      <c r="F2184" s="93"/>
      <c r="G2184" s="93"/>
      <c r="H2184" s="93"/>
      <c r="I2184" s="93"/>
      <c r="J2184" s="93"/>
      <c r="K2184" s="93"/>
    </row>
    <row r="2185" spans="4:11" x14ac:dyDescent="0.25">
      <c r="D2185" s="93"/>
      <c r="E2185" s="93"/>
      <c r="F2185" s="93"/>
      <c r="G2185" s="93"/>
      <c r="H2185" s="93"/>
      <c r="I2185" s="93"/>
      <c r="J2185" s="93"/>
      <c r="K2185" s="93"/>
    </row>
    <row r="2186" spans="4:11" x14ac:dyDescent="0.25">
      <c r="D2186" s="93"/>
      <c r="E2186" s="93"/>
      <c r="F2186" s="93"/>
      <c r="G2186" s="93"/>
      <c r="H2186" s="93"/>
      <c r="I2186" s="93"/>
      <c r="J2186" s="93"/>
      <c r="K2186" s="93"/>
    </row>
    <row r="2187" spans="4:11" x14ac:dyDescent="0.25">
      <c r="D2187" s="93"/>
      <c r="E2187" s="93"/>
      <c r="F2187" s="93"/>
      <c r="G2187" s="93"/>
      <c r="H2187" s="93"/>
      <c r="I2187" s="93"/>
      <c r="J2187" s="93"/>
      <c r="K2187" s="93"/>
    </row>
    <row r="2188" spans="4:11" x14ac:dyDescent="0.25">
      <c r="D2188" s="93"/>
      <c r="E2188" s="93"/>
      <c r="F2188" s="93"/>
      <c r="G2188" s="93"/>
      <c r="H2188" s="93"/>
      <c r="I2188" s="93"/>
      <c r="J2188" s="93"/>
      <c r="K2188" s="93"/>
    </row>
    <row r="2189" spans="4:11" x14ac:dyDescent="0.25">
      <c r="D2189" s="93"/>
      <c r="E2189" s="93"/>
      <c r="F2189" s="93"/>
      <c r="G2189" s="93"/>
      <c r="H2189" s="93"/>
      <c r="I2189" s="93"/>
      <c r="J2189" s="93"/>
      <c r="K2189" s="93"/>
    </row>
    <row r="2190" spans="4:11" x14ac:dyDescent="0.25">
      <c r="D2190" s="93"/>
      <c r="E2190" s="93"/>
      <c r="F2190" s="93"/>
      <c r="G2190" s="93"/>
      <c r="H2190" s="93"/>
      <c r="I2190" s="93"/>
      <c r="J2190" s="93"/>
      <c r="K2190" s="93"/>
    </row>
    <row r="2191" spans="4:11" x14ac:dyDescent="0.25">
      <c r="D2191" s="93"/>
      <c r="E2191" s="93"/>
      <c r="F2191" s="93"/>
      <c r="G2191" s="93"/>
      <c r="H2191" s="93"/>
      <c r="I2191" s="93"/>
      <c r="J2191" s="93"/>
      <c r="K2191" s="93"/>
    </row>
    <row r="2192" spans="4:11" x14ac:dyDescent="0.25">
      <c r="D2192" s="93"/>
      <c r="E2192" s="93"/>
      <c r="F2192" s="93"/>
      <c r="G2192" s="93"/>
      <c r="H2192" s="93"/>
      <c r="I2192" s="93"/>
      <c r="J2192" s="93"/>
      <c r="K2192" s="93"/>
    </row>
    <row r="2193" spans="4:11" x14ac:dyDescent="0.25">
      <c r="D2193" s="93"/>
      <c r="E2193" s="93"/>
      <c r="F2193" s="93"/>
      <c r="G2193" s="93"/>
      <c r="H2193" s="93"/>
      <c r="I2193" s="93"/>
      <c r="J2193" s="93"/>
      <c r="K2193" s="93"/>
    </row>
    <row r="2194" spans="4:11" x14ac:dyDescent="0.25">
      <c r="D2194" s="93"/>
      <c r="E2194" s="93"/>
      <c r="F2194" s="93"/>
      <c r="G2194" s="93"/>
      <c r="H2194" s="93"/>
      <c r="I2194" s="93"/>
      <c r="J2194" s="93"/>
      <c r="K2194" s="93"/>
    </row>
    <row r="2195" spans="4:11" x14ac:dyDescent="0.25">
      <c r="D2195" s="93"/>
      <c r="E2195" s="93"/>
      <c r="F2195" s="93"/>
      <c r="G2195" s="93"/>
      <c r="H2195" s="93"/>
      <c r="I2195" s="93"/>
      <c r="J2195" s="93"/>
      <c r="K2195" s="93"/>
    </row>
    <row r="2196" spans="4:11" x14ac:dyDescent="0.25">
      <c r="D2196" s="93"/>
      <c r="E2196" s="93"/>
      <c r="F2196" s="93"/>
      <c r="G2196" s="93"/>
      <c r="H2196" s="93"/>
      <c r="I2196" s="93"/>
      <c r="J2196" s="93"/>
      <c r="K2196" s="93"/>
    </row>
    <row r="2197" spans="4:11" x14ac:dyDescent="0.25">
      <c r="D2197" s="93"/>
      <c r="E2197" s="93"/>
      <c r="F2197" s="93"/>
      <c r="G2197" s="93"/>
      <c r="H2197" s="93"/>
      <c r="I2197" s="93"/>
      <c r="J2197" s="93"/>
      <c r="K2197" s="93"/>
    </row>
    <row r="2198" spans="4:11" x14ac:dyDescent="0.25">
      <c r="D2198" s="93"/>
      <c r="E2198" s="93"/>
      <c r="F2198" s="93"/>
      <c r="G2198" s="93"/>
      <c r="H2198" s="93"/>
      <c r="I2198" s="93"/>
      <c r="J2198" s="93"/>
      <c r="K2198" s="93"/>
    </row>
    <row r="2199" spans="4:11" x14ac:dyDescent="0.25">
      <c r="D2199" s="93"/>
      <c r="E2199" s="93"/>
      <c r="F2199" s="93"/>
      <c r="G2199" s="93"/>
      <c r="H2199" s="93"/>
      <c r="I2199" s="93"/>
      <c r="J2199" s="93"/>
      <c r="K2199" s="93"/>
    </row>
    <row r="2200" spans="4:11" x14ac:dyDescent="0.25">
      <c r="D2200" s="93"/>
      <c r="E2200" s="93"/>
      <c r="F2200" s="93"/>
      <c r="G2200" s="93"/>
      <c r="H2200" s="93"/>
      <c r="I2200" s="93"/>
      <c r="J2200" s="93"/>
      <c r="K2200" s="93"/>
    </row>
    <row r="2201" spans="4:11" x14ac:dyDescent="0.25">
      <c r="D2201" s="93"/>
      <c r="E2201" s="93"/>
      <c r="F2201" s="93"/>
      <c r="G2201" s="93"/>
      <c r="H2201" s="93"/>
      <c r="I2201" s="93"/>
      <c r="J2201" s="93"/>
      <c r="K2201" s="93"/>
    </row>
    <row r="2202" spans="4:11" x14ac:dyDescent="0.25">
      <c r="D2202" s="93"/>
      <c r="E2202" s="93"/>
      <c r="F2202" s="93"/>
      <c r="G2202" s="93"/>
      <c r="H2202" s="93"/>
      <c r="I2202" s="93"/>
      <c r="J2202" s="93"/>
      <c r="K2202" s="93"/>
    </row>
    <row r="2203" spans="4:11" x14ac:dyDescent="0.25">
      <c r="D2203" s="93"/>
      <c r="E2203" s="93"/>
      <c r="F2203" s="93"/>
      <c r="G2203" s="93"/>
      <c r="H2203" s="93"/>
      <c r="I2203" s="93"/>
      <c r="J2203" s="93"/>
      <c r="K2203" s="93"/>
    </row>
    <row r="2204" spans="4:11" x14ac:dyDescent="0.25">
      <c r="D2204" s="93"/>
      <c r="E2204" s="93"/>
      <c r="F2204" s="93"/>
      <c r="G2204" s="93"/>
      <c r="H2204" s="93"/>
      <c r="I2204" s="93"/>
      <c r="J2204" s="93"/>
      <c r="K2204" s="93"/>
    </row>
    <row r="2205" spans="4:11" x14ac:dyDescent="0.25">
      <c r="D2205" s="93"/>
      <c r="E2205" s="93"/>
      <c r="F2205" s="93"/>
      <c r="G2205" s="93"/>
      <c r="H2205" s="93"/>
      <c r="I2205" s="93"/>
      <c r="J2205" s="93"/>
      <c r="K2205" s="93"/>
    </row>
  </sheetData>
  <autoFilter ref="D6:K505" xr:uid="{00000000-0001-0000-0600-000000000000}">
    <filterColumn colId="1">
      <filters>
        <filter val="Adaptador USB-C a Jack 3.5mm"/>
        <filter val="Adaptador YYY 67"/>
        <filter val="Audífonos In-Ear con Micrófono"/>
        <filter val="Cable Micro USB 2m Nylon"/>
        <filter val="Cable USB-C Trenzado 1m"/>
        <filter val="Cargador Inalámbrico 15W Qi"/>
        <filter val="Case Transparente TPU iPhone 15"/>
        <filter val="Case Wallet Cuero PU Samsung S24"/>
        <filter val="Protector Pantalla Vidrio Templado"/>
        <filter val="Soporte Anillo Pop Socket Metálico"/>
      </filters>
    </filterColumn>
  </autoFilter>
  <mergeCells count="7">
    <mergeCell ref="D5:F5"/>
    <mergeCell ref="D2:K2"/>
    <mergeCell ref="D3:K3"/>
    <mergeCell ref="I4:K4"/>
    <mergeCell ref="G5:K5"/>
    <mergeCell ref="D4:F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theme="6" tint="-0.499984740745262"/>
  </sheetPr>
  <dimension ref="A1:BP520"/>
  <sheetViews>
    <sheetView showGridLines="0" zoomScale="85" zoomScaleNormal="85" workbookViewId="0">
      <selection activeCell="AE13" sqref="AE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3.28515625" style="93" customWidth="1"/>
    <col min="2" max="2" width="8.7109375" style="93" customWidth="1"/>
    <col min="3" max="3" width="4" style="93" customWidth="1"/>
    <col min="4" max="4" width="5.85546875" customWidth="1"/>
    <col min="5" max="5" width="39" customWidth="1"/>
    <col min="6" max="6" width="11.7109375" bestFit="1" customWidth="1"/>
    <col min="7" max="7" width="9.85546875" bestFit="1" customWidth="1"/>
    <col min="8" max="9" width="23.140625" customWidth="1"/>
    <col min="10" max="10" width="12.85546875" bestFit="1" customWidth="1"/>
    <col min="11" max="11" width="12.42578125" bestFit="1" customWidth="1"/>
    <col min="12" max="68" width="8.7109375" style="93"/>
  </cols>
  <sheetData>
    <row r="1" spans="4:11" s="93" customFormat="1" x14ac:dyDescent="0.25"/>
    <row r="2" spans="4:11" ht="39.75" customHeight="1" x14ac:dyDescent="0.25">
      <c r="D2" s="440" t="s">
        <v>255</v>
      </c>
      <c r="E2" s="440"/>
      <c r="F2" s="440"/>
      <c r="G2" s="440"/>
      <c r="H2" s="440"/>
      <c r="I2" s="440"/>
      <c r="J2" s="440"/>
      <c r="K2" s="440"/>
    </row>
    <row r="3" spans="4:11" ht="15.75" customHeight="1" x14ac:dyDescent="0.25">
      <c r="D3" s="441" t="s">
        <v>256</v>
      </c>
      <c r="E3" s="441"/>
      <c r="F3" s="441"/>
      <c r="G3" s="441"/>
      <c r="H3" s="441"/>
      <c r="I3" s="441"/>
      <c r="J3" s="441"/>
      <c r="K3" s="441"/>
    </row>
    <row r="4" spans="4:11" ht="30.75" customHeight="1" x14ac:dyDescent="0.25">
      <c r="D4" s="451" t="s">
        <v>348</v>
      </c>
      <c r="E4" s="452"/>
      <c r="F4" s="452"/>
      <c r="G4" s="453"/>
      <c r="H4" s="454">
        <v>0.4</v>
      </c>
      <c r="I4" s="455"/>
      <c r="J4" s="455"/>
      <c r="K4" s="456"/>
    </row>
    <row r="5" spans="4:11" ht="30" customHeight="1" x14ac:dyDescent="0.25">
      <c r="D5" s="463" t="s">
        <v>429</v>
      </c>
      <c r="E5" s="452"/>
      <c r="F5" s="452"/>
      <c r="G5" s="453"/>
      <c r="H5" s="464">
        <f>'📦 Gastos Importación'!E28*H4</f>
        <v>19912.916000000001</v>
      </c>
      <c r="I5" s="465"/>
      <c r="J5" s="465"/>
      <c r="K5" s="466"/>
    </row>
    <row r="6" spans="4:11" ht="25.5" customHeight="1" x14ac:dyDescent="0.25">
      <c r="D6" s="460" t="s">
        <v>428</v>
      </c>
      <c r="E6" s="461"/>
      <c r="F6" s="461"/>
      <c r="G6" s="462"/>
      <c r="H6" s="457">
        <f>('📦 Gastos Importación'!E28+H5)/'🧾 Factura Comercial'!I507</f>
        <v>1.5970018752887174</v>
      </c>
      <c r="I6" s="458"/>
      <c r="J6" s="458"/>
      <c r="K6" s="459"/>
    </row>
    <row r="7" spans="4:11" ht="34.5" customHeight="1" thickBot="1" x14ac:dyDescent="0.3">
      <c r="D7" s="109" t="s">
        <v>133</v>
      </c>
      <c r="E7" s="109" t="s">
        <v>251</v>
      </c>
      <c r="F7" s="109" t="s">
        <v>254</v>
      </c>
      <c r="G7" s="109" t="s">
        <v>257</v>
      </c>
      <c r="H7" s="109" t="s">
        <v>258</v>
      </c>
      <c r="I7" s="109" t="s">
        <v>259</v>
      </c>
      <c r="J7" s="109" t="s">
        <v>260</v>
      </c>
      <c r="K7" s="109" t="s">
        <v>261</v>
      </c>
    </row>
    <row r="8" spans="4:11" ht="19.5" customHeight="1" thickBot="1" x14ac:dyDescent="0.3">
      <c r="D8" s="108">
        <v>1</v>
      </c>
      <c r="E8" s="256" t="str">
        <f>'🧾 Factura Comercial'!E7</f>
        <v>Case Transparente TPU iPhone 15</v>
      </c>
      <c r="F8" s="266">
        <f>'🧮 Costos x Producto'!K7</f>
        <v>5.1345891721782673</v>
      </c>
      <c r="G8" s="350">
        <f>$H$4</f>
        <v>0.4</v>
      </c>
      <c r="H8" s="267">
        <f>IF(F8=0,0,F8/(1-G8))</f>
        <v>8.5576486202971118</v>
      </c>
      <c r="I8" s="110">
        <f>IF(H8=0,0,H8*(1+'📋 Datos Generales'!$E$28))</f>
        <v>10.098025371950591</v>
      </c>
      <c r="J8" s="268">
        <f>IF(H8=0,0,H8-F8)</f>
        <v>3.4230594481188445</v>
      </c>
      <c r="K8" s="269">
        <f>IF(OR(I8=0,'🧾 Factura Comercial'!G7=0),0,CEILING('🧮 Costos x Producto'!J7*'🧾 Factura Comercial'!G7/I8,1))</f>
        <v>66</v>
      </c>
    </row>
    <row r="9" spans="4:11" ht="19.5" customHeight="1" thickBot="1" x14ac:dyDescent="0.3">
      <c r="D9" s="28">
        <v>2</v>
      </c>
      <c r="E9" s="262" t="str">
        <f>'🧾 Factura Comercial'!E8</f>
        <v>Cable USB-C Trenzado 1m</v>
      </c>
      <c r="F9" s="270">
        <f>'🧮 Costos x Producto'!K8</f>
        <v>2.8855542455216714</v>
      </c>
      <c r="G9" s="351">
        <f>$H$4</f>
        <v>0.4</v>
      </c>
      <c r="H9" s="267">
        <f t="shared" ref="H9:H37" si="0">IF(F9=0,0,F9/(1-G9))</f>
        <v>4.8092570758694526</v>
      </c>
      <c r="I9" s="110">
        <f>IF(H9=0,0,H9*(1+'📋 Datos Generales'!$E$28))</f>
        <v>5.6749233495259537</v>
      </c>
      <c r="J9" s="268">
        <f t="shared" ref="J9:J37" si="1">IF(H9=0,0,H9-F9)</f>
        <v>1.9237028303477812</v>
      </c>
      <c r="K9" s="269">
        <f>IF(OR(I9=0,'🧾 Factura Comercial'!G8=0),0,CEILING('🧮 Costos x Producto'!J8*'🧾 Factura Comercial'!G8/I9,1))</f>
        <v>394</v>
      </c>
    </row>
    <row r="10" spans="4:11" ht="19.5" customHeight="1" thickBot="1" x14ac:dyDescent="0.3">
      <c r="D10" s="28">
        <v>3</v>
      </c>
      <c r="E10" s="262" t="str">
        <f>'🧾 Factura Comercial'!E9</f>
        <v>Protector Pantalla Vidrio Templado</v>
      </c>
      <c r="F10" s="270">
        <f>'🧮 Costos x Producto'!K9</f>
        <v>1.6973848503068654</v>
      </c>
      <c r="G10" s="351">
        <v>0.4</v>
      </c>
      <c r="H10" s="267">
        <f t="shared" si="0"/>
        <v>2.8289747505114424</v>
      </c>
      <c r="I10" s="110">
        <f>IF(H10=0,0,H10*(1+'📋 Datos Generales'!$E$28))</f>
        <v>3.3381902056035018</v>
      </c>
      <c r="J10" s="268">
        <f t="shared" si="1"/>
        <v>1.1315899002045771</v>
      </c>
      <c r="K10" s="269">
        <f>IF(OR(I10=0,'🧾 Factura Comercial'!G9=0),0,CEILING('🧮 Costos x Producto'!J9*'🧾 Factura Comercial'!G9/I10,1))</f>
        <v>394</v>
      </c>
    </row>
    <row r="11" spans="4:11" ht="19.5" customHeight="1" thickBot="1" x14ac:dyDescent="0.3">
      <c r="D11" s="28">
        <v>4</v>
      </c>
      <c r="E11" s="262" t="str">
        <f>'🧾 Factura Comercial'!E10</f>
        <v>Audífonos In-Ear con Micrófono</v>
      </c>
      <c r="F11" s="270">
        <f>'🧮 Costos x Producto'!K10</f>
        <v>1.4427771227608357</v>
      </c>
      <c r="G11" s="351">
        <f t="shared" ref="G11:G74" si="2">$H$4</f>
        <v>0.4</v>
      </c>
      <c r="H11" s="267">
        <f t="shared" si="0"/>
        <v>2.4046285379347263</v>
      </c>
      <c r="I11" s="110">
        <f>IF(H11=0,0,H11*(1+'📋 Datos Generales'!$E$28))</f>
        <v>2.8374616747629768</v>
      </c>
      <c r="J11" s="268">
        <f t="shared" si="1"/>
        <v>0.96185141517389061</v>
      </c>
      <c r="K11" s="269">
        <f>IF(OR(I11=0,'🧾 Factura Comercial'!G10=0),0,CEILING('🧮 Costos x Producto'!J10*'🧾 Factura Comercial'!G10/I11,1))</f>
        <v>1398</v>
      </c>
    </row>
    <row r="12" spans="4:11" ht="19.5" customHeight="1" thickBot="1" x14ac:dyDescent="0.3">
      <c r="D12" s="28">
        <v>5</v>
      </c>
      <c r="E12" s="262" t="str">
        <f>'🧾 Factura Comercial'!E11</f>
        <v>Cable Micro USB 2m Nylon</v>
      </c>
      <c r="F12" s="270">
        <f>'🧮 Costos x Producto'!K11</f>
        <v>1.1033001526994626</v>
      </c>
      <c r="G12" s="351">
        <f t="shared" si="2"/>
        <v>0.4</v>
      </c>
      <c r="H12" s="267">
        <f t="shared" si="0"/>
        <v>1.8388335878324378</v>
      </c>
      <c r="I12" s="110">
        <f>IF(H12=0,0,H12*(1+'📋 Datos Generales'!$E$28))</f>
        <v>2.1698236336422765</v>
      </c>
      <c r="J12" s="268">
        <f t="shared" si="1"/>
        <v>0.7355334351329752</v>
      </c>
      <c r="K12" s="269">
        <f>IF(OR(I12=0,'🧾 Factura Comercial'!G11=0),0,CEILING('🧮 Costos x Producto'!J11*'🧾 Factura Comercial'!G11/I12,1))</f>
        <v>1181</v>
      </c>
    </row>
    <row r="13" spans="4:11" ht="19.5" customHeight="1" thickBot="1" x14ac:dyDescent="0.3">
      <c r="D13" s="28">
        <v>6</v>
      </c>
      <c r="E13" s="262" t="str">
        <f>'🧾 Factura Comercial'!E12</f>
        <v>Soporte Anillo Pop Socket Metálico</v>
      </c>
      <c r="F13" s="270">
        <f>'🧮 Costos x Producto'!K12</f>
        <v>1.2306040164724774</v>
      </c>
      <c r="G13" s="351">
        <f t="shared" si="2"/>
        <v>0.4</v>
      </c>
      <c r="H13" s="267">
        <f t="shared" si="0"/>
        <v>2.0510066941207956</v>
      </c>
      <c r="I13" s="110">
        <f>IF(H13=0,0,H13*(1+'📋 Datos Generales'!$E$28))</f>
        <v>2.4201878990625385</v>
      </c>
      <c r="J13" s="268">
        <f t="shared" si="1"/>
        <v>0.8204026776483182</v>
      </c>
      <c r="K13" s="269">
        <f>IF(OR(I13=0,'🧾 Factura Comercial'!G12=0),0,CEILING('🧮 Costos x Producto'!J12*'🧾 Factura Comercial'!G12/I13,1))</f>
        <v>296</v>
      </c>
    </row>
    <row r="14" spans="4:11" ht="19.5" customHeight="1" thickBot="1" x14ac:dyDescent="0.3">
      <c r="D14" s="28">
        <v>7</v>
      </c>
      <c r="E14" s="262" t="str">
        <f>'🧾 Factura Comercial'!E13</f>
        <v>Cargador Inalámbrico 15W Qi</v>
      </c>
      <c r="F14" s="270">
        <f>'🧮 Costos x Producto'!K13</f>
        <v>24.230168738130505</v>
      </c>
      <c r="G14" s="351">
        <f t="shared" si="2"/>
        <v>0.4</v>
      </c>
      <c r="H14" s="267">
        <f t="shared" si="0"/>
        <v>40.383614563550843</v>
      </c>
      <c r="I14" s="110">
        <f>IF(H14=0,0,H14*(1+'📋 Datos Generales'!$E$28))</f>
        <v>47.652665184989992</v>
      </c>
      <c r="J14" s="268">
        <f t="shared" si="1"/>
        <v>16.153445825420338</v>
      </c>
      <c r="K14" s="269">
        <f>IF(OR(I14=0,'🧾 Factura Comercial'!G13=0),0,CEILING('🧮 Costos x Producto'!J13*'🧾 Factura Comercial'!G13/I14,1))</f>
        <v>33</v>
      </c>
    </row>
    <row r="15" spans="4:11" ht="19.5" customHeight="1" thickBot="1" x14ac:dyDescent="0.3">
      <c r="D15" s="28">
        <v>8</v>
      </c>
      <c r="E15" s="262" t="str">
        <f>'🧾 Factura Comercial'!E14</f>
        <v>Case Wallet Cuero PU Samsung S24</v>
      </c>
      <c r="F15" s="270">
        <f>'🧮 Costos x Producto'!K14</f>
        <v>3.2250312155830443</v>
      </c>
      <c r="G15" s="351">
        <f t="shared" si="2"/>
        <v>0.4</v>
      </c>
      <c r="H15" s="267">
        <f t="shared" si="0"/>
        <v>5.3750520259717405</v>
      </c>
      <c r="I15" s="110">
        <f>IF(H15=0,0,H15*(1+'📋 Datos Generales'!$E$28))</f>
        <v>6.3425613906466536</v>
      </c>
      <c r="J15" s="268">
        <f t="shared" si="1"/>
        <v>2.1500208103886962</v>
      </c>
      <c r="K15" s="269">
        <f>IF(OR(I15=0,'🧾 Factura Comercial'!G14=0),0,CEILING('🧮 Costos x Producto'!J14*'🧾 Factura Comercial'!G14/I15,1))</f>
        <v>263</v>
      </c>
    </row>
    <row r="16" spans="4:11" ht="19.5" customHeight="1" thickBot="1" x14ac:dyDescent="0.3">
      <c r="D16" s="28">
        <v>9</v>
      </c>
      <c r="E16" s="262" t="str">
        <f>'🧾 Factura Comercial'!E15</f>
        <v>Adaptador USB-C a Jack 3.5mm</v>
      </c>
      <c r="F16" s="270">
        <f>'🧮 Costos x Producto'!K15</f>
        <v>1.1881693952148058</v>
      </c>
      <c r="G16" s="351">
        <f t="shared" si="2"/>
        <v>0.4</v>
      </c>
      <c r="H16" s="267">
        <f t="shared" si="0"/>
        <v>1.9802823253580097</v>
      </c>
      <c r="I16" s="110">
        <f>IF(H16=0,0,H16*(1+'📋 Datos Generales'!$E$28))</f>
        <v>2.3367331439224515</v>
      </c>
      <c r="J16" s="268">
        <f t="shared" si="1"/>
        <v>0.79211293014320394</v>
      </c>
      <c r="K16" s="269">
        <f>IF(OR(I16=0,'🧾 Factura Comercial'!G15=0),0,CEILING('🧮 Costos x Producto'!J15*'🧾 Factura Comercial'!G15/I16,1))</f>
        <v>657</v>
      </c>
    </row>
    <row r="17" spans="4:11" ht="19.5" customHeight="1" thickBot="1" x14ac:dyDescent="0.3">
      <c r="D17" s="28">
        <v>10</v>
      </c>
      <c r="E17" s="262" t="str">
        <f>'🧾 Factura Comercial'!E16</f>
        <v>Adaptador YYY 67</v>
      </c>
      <c r="F17" s="270">
        <f>'🧮 Costos x Producto'!K16</f>
        <v>2.1217310628835819</v>
      </c>
      <c r="G17" s="351">
        <f t="shared" si="2"/>
        <v>0.4</v>
      </c>
      <c r="H17" s="267">
        <f t="shared" ref="H17:H80" si="3">IF(F17=0,0,F17/(1-G17))</f>
        <v>3.5362184381393034</v>
      </c>
      <c r="I17" s="110">
        <f>IF(H17=0,0,H17*(1+'📋 Datos Generales'!$E$28))</f>
        <v>4.172737757004378</v>
      </c>
      <c r="J17" s="268">
        <f t="shared" ref="J17:J80" si="4">IF(H17=0,0,H17-F17)</f>
        <v>1.4144873752557214</v>
      </c>
      <c r="K17" s="269">
        <f>IF(OR(I17=0,'🧾 Factura Comercial'!G16=0),0,CEILING('🧮 Costos x Producto'!J16*'🧾 Factura Comercial'!G16/I17,1))</f>
        <v>274</v>
      </c>
    </row>
    <row r="18" spans="4:11" ht="19.5" customHeight="1" thickBot="1" x14ac:dyDescent="0.3">
      <c r="D18" s="28">
        <v>11</v>
      </c>
      <c r="E18" s="262" t="str">
        <f>'🧾 Factura Comercial'!E17</f>
        <v>Case Transparente TPU iPhone 15</v>
      </c>
      <c r="F18" s="270">
        <f>'🧮 Costos x Producto'!K17</f>
        <v>5.1345891721782673</v>
      </c>
      <c r="G18" s="351">
        <f t="shared" si="2"/>
        <v>0.4</v>
      </c>
      <c r="H18" s="267">
        <f t="shared" si="3"/>
        <v>8.5576486202971118</v>
      </c>
      <c r="I18" s="110">
        <f>IF(H18=0,0,H18*(1+'📋 Datos Generales'!$E$28))</f>
        <v>10.098025371950591</v>
      </c>
      <c r="J18" s="268">
        <f t="shared" si="4"/>
        <v>3.4230594481188445</v>
      </c>
      <c r="K18" s="269">
        <f>IF(OR(I18=0,'🧾 Factura Comercial'!G17=0),0,CEILING('🧮 Costos x Producto'!J17*'🧾 Factura Comercial'!G17/I18,1))</f>
        <v>66</v>
      </c>
    </row>
    <row r="19" spans="4:11" ht="19.5" customHeight="1" thickBot="1" x14ac:dyDescent="0.3">
      <c r="D19" s="28">
        <v>12</v>
      </c>
      <c r="E19" s="262" t="str">
        <f>'🧾 Factura Comercial'!E18</f>
        <v>Cable USB-C Trenzado 1m</v>
      </c>
      <c r="F19" s="270">
        <f>'🧮 Costos x Producto'!K18</f>
        <v>2.8855542455216714</v>
      </c>
      <c r="G19" s="351">
        <f t="shared" si="2"/>
        <v>0.4</v>
      </c>
      <c r="H19" s="267">
        <f t="shared" si="3"/>
        <v>4.8092570758694526</v>
      </c>
      <c r="I19" s="110">
        <f>IF(H19=0,0,H19*(1+'📋 Datos Generales'!$E$28))</f>
        <v>5.6749233495259537</v>
      </c>
      <c r="J19" s="268">
        <f t="shared" si="4"/>
        <v>1.9237028303477812</v>
      </c>
      <c r="K19" s="269">
        <f>IF(OR(I19=0,'🧾 Factura Comercial'!G18=0),0,CEILING('🧮 Costos x Producto'!J18*'🧾 Factura Comercial'!G18/I19,1))</f>
        <v>394</v>
      </c>
    </row>
    <row r="20" spans="4:11" ht="19.5" customHeight="1" thickBot="1" x14ac:dyDescent="0.3">
      <c r="D20" s="28">
        <v>13</v>
      </c>
      <c r="E20" s="262" t="str">
        <f>'🧾 Factura Comercial'!E19</f>
        <v>Protector Pantalla Vidrio Templado</v>
      </c>
      <c r="F20" s="270">
        <f>'🧮 Costos x Producto'!K19</f>
        <v>1.6973848503068654</v>
      </c>
      <c r="G20" s="351">
        <f t="shared" si="2"/>
        <v>0.4</v>
      </c>
      <c r="H20" s="267">
        <f t="shared" si="3"/>
        <v>2.8289747505114424</v>
      </c>
      <c r="I20" s="110">
        <f>IF(H20=0,0,H20*(1+'📋 Datos Generales'!$E$28))</f>
        <v>3.3381902056035018</v>
      </c>
      <c r="J20" s="268">
        <f t="shared" si="4"/>
        <v>1.1315899002045771</v>
      </c>
      <c r="K20" s="269">
        <f>IF(OR(I20=0,'🧾 Factura Comercial'!G19=0),0,CEILING('🧮 Costos x Producto'!J19*'🧾 Factura Comercial'!G19/I20,1))</f>
        <v>394</v>
      </c>
    </row>
    <row r="21" spans="4:11" ht="19.5" customHeight="1" thickBot="1" x14ac:dyDescent="0.3">
      <c r="D21" s="28">
        <v>14</v>
      </c>
      <c r="E21" s="262" t="str">
        <f>'🧾 Factura Comercial'!E20</f>
        <v>Audífonos In-Ear con Micrófono</v>
      </c>
      <c r="F21" s="270">
        <f>'🧮 Costos x Producto'!K20</f>
        <v>1.4427771227608357</v>
      </c>
      <c r="G21" s="351">
        <f t="shared" si="2"/>
        <v>0.4</v>
      </c>
      <c r="H21" s="267">
        <f t="shared" si="3"/>
        <v>2.4046285379347263</v>
      </c>
      <c r="I21" s="110">
        <f>IF(H21=0,0,H21*(1+'📋 Datos Generales'!$E$28))</f>
        <v>2.8374616747629768</v>
      </c>
      <c r="J21" s="268">
        <f t="shared" si="4"/>
        <v>0.96185141517389061</v>
      </c>
      <c r="K21" s="269">
        <f>IF(OR(I21=0,'🧾 Factura Comercial'!G20=0),0,CEILING('🧮 Costos x Producto'!J20*'🧾 Factura Comercial'!G20/I21,1))</f>
        <v>1398</v>
      </c>
    </row>
    <row r="22" spans="4:11" ht="19.5" customHeight="1" thickBot="1" x14ac:dyDescent="0.3">
      <c r="D22" s="28">
        <v>15</v>
      </c>
      <c r="E22" s="262" t="str">
        <f>'🧾 Factura Comercial'!E21</f>
        <v>Cable Micro USB 2m Nylon</v>
      </c>
      <c r="F22" s="270">
        <f>'🧮 Costos x Producto'!K21</f>
        <v>1.1033001526994626</v>
      </c>
      <c r="G22" s="351">
        <f t="shared" si="2"/>
        <v>0.4</v>
      </c>
      <c r="H22" s="267">
        <f t="shared" si="3"/>
        <v>1.8388335878324378</v>
      </c>
      <c r="I22" s="110">
        <f>IF(H22=0,0,H22*(1+'📋 Datos Generales'!$E$28))</f>
        <v>2.1698236336422765</v>
      </c>
      <c r="J22" s="268">
        <f t="shared" si="4"/>
        <v>0.7355334351329752</v>
      </c>
      <c r="K22" s="269">
        <f>IF(OR(I22=0,'🧾 Factura Comercial'!G21=0),0,CEILING('🧮 Costos x Producto'!J21*'🧾 Factura Comercial'!G21/I22,1))</f>
        <v>1181</v>
      </c>
    </row>
    <row r="23" spans="4:11" ht="19.5" customHeight="1" thickBot="1" x14ac:dyDescent="0.3">
      <c r="D23" s="28">
        <v>16</v>
      </c>
      <c r="E23" s="262" t="str">
        <f>'🧾 Factura Comercial'!E22</f>
        <v>Soporte Anillo Pop Socket Metálico</v>
      </c>
      <c r="F23" s="270">
        <f>'🧮 Costos x Producto'!K22</f>
        <v>1.2306040164724774</v>
      </c>
      <c r="G23" s="351">
        <f t="shared" si="2"/>
        <v>0.4</v>
      </c>
      <c r="H23" s="267">
        <f t="shared" si="3"/>
        <v>2.0510066941207956</v>
      </c>
      <c r="I23" s="110">
        <f>IF(H23=0,0,H23*(1+'📋 Datos Generales'!$E$28))</f>
        <v>2.4201878990625385</v>
      </c>
      <c r="J23" s="268">
        <f t="shared" si="4"/>
        <v>0.8204026776483182</v>
      </c>
      <c r="K23" s="269">
        <f>IF(OR(I23=0,'🧾 Factura Comercial'!G22=0),0,CEILING('🧮 Costos x Producto'!J22*'🧾 Factura Comercial'!G22/I23,1))</f>
        <v>296</v>
      </c>
    </row>
    <row r="24" spans="4:11" ht="19.5" customHeight="1" thickBot="1" x14ac:dyDescent="0.3">
      <c r="D24" s="28">
        <v>17</v>
      </c>
      <c r="E24" s="262" t="str">
        <f>'🧾 Factura Comercial'!E23</f>
        <v>Cargador Inalámbrico 15W Qi</v>
      </c>
      <c r="F24" s="270">
        <f>'🧮 Costos x Producto'!K23</f>
        <v>24.230168738130505</v>
      </c>
      <c r="G24" s="351">
        <f t="shared" si="2"/>
        <v>0.4</v>
      </c>
      <c r="H24" s="267">
        <f t="shared" si="3"/>
        <v>40.383614563550843</v>
      </c>
      <c r="I24" s="110">
        <f>IF(H24=0,0,H24*(1+'📋 Datos Generales'!$E$28))</f>
        <v>47.652665184989992</v>
      </c>
      <c r="J24" s="268">
        <f t="shared" si="4"/>
        <v>16.153445825420338</v>
      </c>
      <c r="K24" s="269">
        <f>IF(OR(I24=0,'🧾 Factura Comercial'!G23=0),0,CEILING('🧮 Costos x Producto'!J23*'🧾 Factura Comercial'!G23/I24,1))</f>
        <v>33</v>
      </c>
    </row>
    <row r="25" spans="4:11" ht="19.5" customHeight="1" thickBot="1" x14ac:dyDescent="0.3">
      <c r="D25" s="28">
        <v>18</v>
      </c>
      <c r="E25" s="262" t="str">
        <f>'🧾 Factura Comercial'!E24</f>
        <v>Case Wallet Cuero PU Samsung S24</v>
      </c>
      <c r="F25" s="270">
        <f>'🧮 Costos x Producto'!K24</f>
        <v>3.2250312155830443</v>
      </c>
      <c r="G25" s="351">
        <f t="shared" si="2"/>
        <v>0.4</v>
      </c>
      <c r="H25" s="267">
        <f t="shared" si="3"/>
        <v>5.3750520259717405</v>
      </c>
      <c r="I25" s="110">
        <f>IF(H25=0,0,H25*(1+'📋 Datos Generales'!$E$28))</f>
        <v>6.3425613906466536</v>
      </c>
      <c r="J25" s="268">
        <f t="shared" si="4"/>
        <v>2.1500208103886962</v>
      </c>
      <c r="K25" s="269">
        <f>IF(OR(I25=0,'🧾 Factura Comercial'!G24=0),0,CEILING('🧮 Costos x Producto'!J24*'🧾 Factura Comercial'!G24/I25,1))</f>
        <v>263</v>
      </c>
    </row>
    <row r="26" spans="4:11" ht="19.5" customHeight="1" thickBot="1" x14ac:dyDescent="0.3">
      <c r="D26" s="28">
        <v>19</v>
      </c>
      <c r="E26" s="262" t="str">
        <f>'🧾 Factura Comercial'!E25</f>
        <v>Adaptador USB-C a Jack 3.5mm</v>
      </c>
      <c r="F26" s="270">
        <f>'🧮 Costos x Producto'!K25</f>
        <v>1.1881693952148058</v>
      </c>
      <c r="G26" s="351">
        <f t="shared" si="2"/>
        <v>0.4</v>
      </c>
      <c r="H26" s="267">
        <f t="shared" si="3"/>
        <v>1.9802823253580097</v>
      </c>
      <c r="I26" s="110">
        <f>IF(H26=0,0,H26*(1+'📋 Datos Generales'!$E$28))</f>
        <v>2.3367331439224515</v>
      </c>
      <c r="J26" s="268">
        <f t="shared" si="4"/>
        <v>0.79211293014320394</v>
      </c>
      <c r="K26" s="269">
        <f>IF(OR(I26=0,'🧾 Factura Comercial'!G25=0),0,CEILING('🧮 Costos x Producto'!J25*'🧾 Factura Comercial'!G25/I26,1))</f>
        <v>657</v>
      </c>
    </row>
    <row r="27" spans="4:11" ht="19.5" customHeight="1" thickBot="1" x14ac:dyDescent="0.3">
      <c r="D27" s="28">
        <v>20</v>
      </c>
      <c r="E27" s="262" t="str">
        <f>'🧾 Factura Comercial'!E26</f>
        <v>Case Transparente TPU iPhone 15</v>
      </c>
      <c r="F27" s="270">
        <f>'🧮 Costos x Producto'!K26</f>
        <v>5.1345891721782673</v>
      </c>
      <c r="G27" s="351">
        <f t="shared" si="2"/>
        <v>0.4</v>
      </c>
      <c r="H27" s="267">
        <f t="shared" si="3"/>
        <v>8.5576486202971118</v>
      </c>
      <c r="I27" s="110">
        <f>IF(H27=0,0,H27*(1+'📋 Datos Generales'!$E$28))</f>
        <v>10.098025371950591</v>
      </c>
      <c r="J27" s="268">
        <f t="shared" si="4"/>
        <v>3.4230594481188445</v>
      </c>
      <c r="K27" s="269">
        <f>IF(OR(I27=0,'🧾 Factura Comercial'!G26=0),0,CEILING('🧮 Costos x Producto'!J26*'🧾 Factura Comercial'!G26/I27,1))</f>
        <v>66</v>
      </c>
    </row>
    <row r="28" spans="4:11" ht="19.5" customHeight="1" thickBot="1" x14ac:dyDescent="0.3">
      <c r="D28" s="28">
        <v>21</v>
      </c>
      <c r="E28" s="262" t="str">
        <f>'🧾 Factura Comercial'!E27</f>
        <v>Cable USB-C Trenzado 1m</v>
      </c>
      <c r="F28" s="270">
        <f>'🧮 Costos x Producto'!K27</f>
        <v>2.8855542455216714</v>
      </c>
      <c r="G28" s="351">
        <f t="shared" si="2"/>
        <v>0.4</v>
      </c>
      <c r="H28" s="267">
        <f t="shared" si="3"/>
        <v>4.8092570758694526</v>
      </c>
      <c r="I28" s="110">
        <f>IF(H28=0,0,H28*(1+'📋 Datos Generales'!$E$28))</f>
        <v>5.6749233495259537</v>
      </c>
      <c r="J28" s="268">
        <f t="shared" si="4"/>
        <v>1.9237028303477812</v>
      </c>
      <c r="K28" s="269">
        <f>IF(OR(I28=0,'🧾 Factura Comercial'!G27=0),0,CEILING('🧮 Costos x Producto'!J27*'🧾 Factura Comercial'!G27/I28,1))</f>
        <v>394</v>
      </c>
    </row>
    <row r="29" spans="4:11" ht="19.5" customHeight="1" thickBot="1" x14ac:dyDescent="0.3">
      <c r="D29" s="28">
        <v>22</v>
      </c>
      <c r="E29" s="262" t="str">
        <f>'🧾 Factura Comercial'!E28</f>
        <v>Protector Pantalla Vidrio Templado</v>
      </c>
      <c r="F29" s="270">
        <f>'🧮 Costos x Producto'!K28</f>
        <v>1.6973848503068654</v>
      </c>
      <c r="G29" s="351">
        <f t="shared" si="2"/>
        <v>0.4</v>
      </c>
      <c r="H29" s="267">
        <f t="shared" si="3"/>
        <v>2.8289747505114424</v>
      </c>
      <c r="I29" s="110">
        <f>IF(H29=0,0,H29*(1+'📋 Datos Generales'!$E$28))</f>
        <v>3.3381902056035018</v>
      </c>
      <c r="J29" s="268">
        <f t="shared" si="4"/>
        <v>1.1315899002045771</v>
      </c>
      <c r="K29" s="269">
        <f>IF(OR(I29=0,'🧾 Factura Comercial'!G28=0),0,CEILING('🧮 Costos x Producto'!J28*'🧾 Factura Comercial'!G28/I29,1))</f>
        <v>394</v>
      </c>
    </row>
    <row r="30" spans="4:11" ht="19.5" customHeight="1" thickBot="1" x14ac:dyDescent="0.3">
      <c r="D30" s="28">
        <v>23</v>
      </c>
      <c r="E30" s="262" t="str">
        <f>'🧾 Factura Comercial'!E29</f>
        <v>Audífonos In-Ear con Micrófono</v>
      </c>
      <c r="F30" s="270">
        <f>'🧮 Costos x Producto'!K29</f>
        <v>1.4427771227608357</v>
      </c>
      <c r="G30" s="351">
        <f t="shared" si="2"/>
        <v>0.4</v>
      </c>
      <c r="H30" s="267">
        <f t="shared" si="3"/>
        <v>2.4046285379347263</v>
      </c>
      <c r="I30" s="110">
        <f>IF(H30=0,0,H30*(1+'📋 Datos Generales'!$E$28))</f>
        <v>2.8374616747629768</v>
      </c>
      <c r="J30" s="268">
        <f t="shared" si="4"/>
        <v>0.96185141517389061</v>
      </c>
      <c r="K30" s="269">
        <f>IF(OR(I30=0,'🧾 Factura Comercial'!G29=0),0,CEILING('🧮 Costos x Producto'!J29*'🧾 Factura Comercial'!G29/I30,1))</f>
        <v>1398</v>
      </c>
    </row>
    <row r="31" spans="4:11" ht="19.5" customHeight="1" thickBot="1" x14ac:dyDescent="0.3">
      <c r="D31" s="28">
        <v>24</v>
      </c>
      <c r="E31" s="262" t="str">
        <f>'🧾 Factura Comercial'!E30</f>
        <v>Cable Micro USB 2m Nylon</v>
      </c>
      <c r="F31" s="270">
        <f>'🧮 Costos x Producto'!K30</f>
        <v>1.1033001526994626</v>
      </c>
      <c r="G31" s="351">
        <f t="shared" si="2"/>
        <v>0.4</v>
      </c>
      <c r="H31" s="267">
        <f t="shared" si="3"/>
        <v>1.8388335878324378</v>
      </c>
      <c r="I31" s="110">
        <f>IF(H31=0,0,H31*(1+'📋 Datos Generales'!$E$28))</f>
        <v>2.1698236336422765</v>
      </c>
      <c r="J31" s="268">
        <f t="shared" si="4"/>
        <v>0.7355334351329752</v>
      </c>
      <c r="K31" s="269">
        <f>IF(OR(I31=0,'🧾 Factura Comercial'!G30=0),0,CEILING('🧮 Costos x Producto'!J30*'🧾 Factura Comercial'!G30/I31,1))</f>
        <v>1181</v>
      </c>
    </row>
    <row r="32" spans="4:11" ht="19.5" customHeight="1" thickBot="1" x14ac:dyDescent="0.3">
      <c r="D32" s="28">
        <v>25</v>
      </c>
      <c r="E32" s="262" t="str">
        <f>'🧾 Factura Comercial'!E31</f>
        <v>Soporte Anillo Pop Socket Metálico</v>
      </c>
      <c r="F32" s="270">
        <f>'🧮 Costos x Producto'!K31</f>
        <v>1.2306040164724774</v>
      </c>
      <c r="G32" s="351">
        <f t="shared" si="2"/>
        <v>0.4</v>
      </c>
      <c r="H32" s="267">
        <f t="shared" si="3"/>
        <v>2.0510066941207956</v>
      </c>
      <c r="I32" s="110">
        <f>IF(H32=0,0,H32*(1+'📋 Datos Generales'!$E$28))</f>
        <v>2.4201878990625385</v>
      </c>
      <c r="J32" s="268">
        <f t="shared" si="4"/>
        <v>0.8204026776483182</v>
      </c>
      <c r="K32" s="269">
        <f>IF(OR(I32=0,'🧾 Factura Comercial'!G31=0),0,CEILING('🧮 Costos x Producto'!J31*'🧾 Factura Comercial'!G31/I32,1))</f>
        <v>296</v>
      </c>
    </row>
    <row r="33" spans="4:11" ht="19.5" customHeight="1" thickBot="1" x14ac:dyDescent="0.3">
      <c r="D33" s="28">
        <v>26</v>
      </c>
      <c r="E33" s="262" t="str">
        <f>'🧾 Factura Comercial'!E32</f>
        <v>Cargador Inalámbrico 15W Qi</v>
      </c>
      <c r="F33" s="270">
        <f>'🧮 Costos x Producto'!K32</f>
        <v>24.230168738130505</v>
      </c>
      <c r="G33" s="351">
        <f t="shared" si="2"/>
        <v>0.4</v>
      </c>
      <c r="H33" s="267">
        <f t="shared" si="3"/>
        <v>40.383614563550843</v>
      </c>
      <c r="I33" s="110">
        <f>IF(H33=0,0,H33*(1+'📋 Datos Generales'!$E$28))</f>
        <v>47.652665184989992</v>
      </c>
      <c r="J33" s="268">
        <f t="shared" si="4"/>
        <v>16.153445825420338</v>
      </c>
      <c r="K33" s="269">
        <f>IF(OR(I33=0,'🧾 Factura Comercial'!G32=0),0,CEILING('🧮 Costos x Producto'!J32*'🧾 Factura Comercial'!G32/I33,1))</f>
        <v>33</v>
      </c>
    </row>
    <row r="34" spans="4:11" ht="19.5" customHeight="1" thickBot="1" x14ac:dyDescent="0.3">
      <c r="D34" s="28">
        <v>27</v>
      </c>
      <c r="E34" s="262" t="str">
        <f>'🧾 Factura Comercial'!E33</f>
        <v>Case Wallet Cuero PU Samsung S24</v>
      </c>
      <c r="F34" s="270">
        <f>'🧮 Costos x Producto'!K33</f>
        <v>3.2250312155830443</v>
      </c>
      <c r="G34" s="351">
        <f t="shared" si="2"/>
        <v>0.4</v>
      </c>
      <c r="H34" s="267">
        <f t="shared" si="3"/>
        <v>5.3750520259717405</v>
      </c>
      <c r="I34" s="110">
        <f>IF(H34=0,0,H34*(1+'📋 Datos Generales'!$E$28))</f>
        <v>6.3425613906466536</v>
      </c>
      <c r="J34" s="268">
        <f t="shared" si="4"/>
        <v>2.1500208103886962</v>
      </c>
      <c r="K34" s="269">
        <f>IF(OR(I34=0,'🧾 Factura Comercial'!G33=0),0,CEILING('🧮 Costos x Producto'!J33*'🧾 Factura Comercial'!G33/I34,1))</f>
        <v>263</v>
      </c>
    </row>
    <row r="35" spans="4:11" ht="19.5" customHeight="1" thickBot="1" x14ac:dyDescent="0.3">
      <c r="D35" s="28">
        <v>28</v>
      </c>
      <c r="E35" s="262" t="str">
        <f>'🧾 Factura Comercial'!E34</f>
        <v>Adaptador USB-C a Jack 3.5mm</v>
      </c>
      <c r="F35" s="270">
        <f>'🧮 Costos x Producto'!K34</f>
        <v>1.1881693952148058</v>
      </c>
      <c r="G35" s="351">
        <f t="shared" si="2"/>
        <v>0.4</v>
      </c>
      <c r="H35" s="267">
        <f t="shared" si="3"/>
        <v>1.9802823253580097</v>
      </c>
      <c r="I35" s="110">
        <f>IF(H35=0,0,H35*(1+'📋 Datos Generales'!$E$28))</f>
        <v>2.3367331439224515</v>
      </c>
      <c r="J35" s="268">
        <f t="shared" si="4"/>
        <v>0.79211293014320394</v>
      </c>
      <c r="K35" s="269">
        <f>IF(OR(I35=0,'🧾 Factura Comercial'!G34=0),0,CEILING('🧮 Costos x Producto'!J34*'🧾 Factura Comercial'!G34/I35,1))</f>
        <v>657</v>
      </c>
    </row>
    <row r="36" spans="4:11" ht="19.5" hidden="1" customHeight="1" thickBot="1" x14ac:dyDescent="0.3">
      <c r="D36" s="28">
        <v>29</v>
      </c>
      <c r="E36" s="262">
        <f>'🧾 Factura Comercial'!E35</f>
        <v>0</v>
      </c>
      <c r="F36" s="270">
        <f>'🧮 Costos x Producto'!K35</f>
        <v>0</v>
      </c>
      <c r="G36" s="351">
        <f t="shared" si="2"/>
        <v>0.4</v>
      </c>
      <c r="H36" s="267">
        <f t="shared" si="3"/>
        <v>0</v>
      </c>
      <c r="I36" s="110">
        <f>IF(H36=0,0,H36*(1+'📋 Datos Generales'!$E$28))</f>
        <v>0</v>
      </c>
      <c r="J36" s="268">
        <f t="shared" si="4"/>
        <v>0</v>
      </c>
      <c r="K36" s="269">
        <f>IF(OR(I36=0,'🧾 Factura Comercial'!G35=0),0,CEILING('🧮 Costos x Producto'!J35*'🧾 Factura Comercial'!G35/I36,1))</f>
        <v>0</v>
      </c>
    </row>
    <row r="37" spans="4:11" ht="19.5" hidden="1" customHeight="1" thickBot="1" x14ac:dyDescent="0.3">
      <c r="D37" s="28">
        <v>30</v>
      </c>
      <c r="E37" s="262">
        <f>'🧾 Factura Comercial'!E36</f>
        <v>0</v>
      </c>
      <c r="F37" s="270">
        <f>'🧮 Costos x Producto'!K36</f>
        <v>0</v>
      </c>
      <c r="G37" s="351">
        <f t="shared" si="2"/>
        <v>0.4</v>
      </c>
      <c r="H37" s="267">
        <f t="shared" si="3"/>
        <v>0</v>
      </c>
      <c r="I37" s="110">
        <f>IF(H37=0,0,H37*(1+'📋 Datos Generales'!$E$28))</f>
        <v>0</v>
      </c>
      <c r="J37" s="268">
        <f t="shared" si="4"/>
        <v>0</v>
      </c>
      <c r="K37" s="269">
        <f>IF(OR(I37=0,'🧾 Factura Comercial'!G36=0),0,CEILING('🧮 Costos x Producto'!J36*'🧾 Factura Comercial'!G36/I37,1))</f>
        <v>0</v>
      </c>
    </row>
    <row r="38" spans="4:11" ht="19.5" hidden="1" customHeight="1" thickBot="1" x14ac:dyDescent="0.3">
      <c r="D38" s="28">
        <v>31</v>
      </c>
      <c r="E38" s="262">
        <f>'🧾 Factura Comercial'!E37</f>
        <v>0</v>
      </c>
      <c r="F38" s="270">
        <f>'🧮 Costos x Producto'!K37</f>
        <v>0</v>
      </c>
      <c r="G38" s="351">
        <f t="shared" si="2"/>
        <v>0.4</v>
      </c>
      <c r="H38" s="267">
        <f t="shared" si="3"/>
        <v>0</v>
      </c>
      <c r="I38" s="110">
        <f>IF(H38=0,0,H38*(1+'📋 Datos Generales'!$E$28))</f>
        <v>0</v>
      </c>
      <c r="J38" s="268">
        <f t="shared" si="4"/>
        <v>0</v>
      </c>
      <c r="K38" s="269">
        <f>IF(OR(I38=0,'🧾 Factura Comercial'!G37=0),0,CEILING('🧮 Costos x Producto'!J37*'🧾 Factura Comercial'!G37/I38,1))</f>
        <v>0</v>
      </c>
    </row>
    <row r="39" spans="4:11" ht="19.5" hidden="1" customHeight="1" thickBot="1" x14ac:dyDescent="0.3">
      <c r="D39" s="28">
        <v>32</v>
      </c>
      <c r="E39" s="262">
        <f>'🧾 Factura Comercial'!E38</f>
        <v>0</v>
      </c>
      <c r="F39" s="270">
        <f>'🧮 Costos x Producto'!K38</f>
        <v>0</v>
      </c>
      <c r="G39" s="351">
        <f t="shared" si="2"/>
        <v>0.4</v>
      </c>
      <c r="H39" s="267">
        <f t="shared" si="3"/>
        <v>0</v>
      </c>
      <c r="I39" s="110">
        <f>IF(H39=0,0,H39*(1+'📋 Datos Generales'!$E$28))</f>
        <v>0</v>
      </c>
      <c r="J39" s="268">
        <f t="shared" si="4"/>
        <v>0</v>
      </c>
      <c r="K39" s="269">
        <f>IF(OR(I39=0,'🧾 Factura Comercial'!G38=0),0,CEILING('🧮 Costos x Producto'!J38*'🧾 Factura Comercial'!G38/I39,1))</f>
        <v>0</v>
      </c>
    </row>
    <row r="40" spans="4:11" ht="19.5" hidden="1" customHeight="1" thickBot="1" x14ac:dyDescent="0.3">
      <c r="D40" s="28">
        <v>33</v>
      </c>
      <c r="E40" s="262">
        <f>'🧾 Factura Comercial'!E39</f>
        <v>0</v>
      </c>
      <c r="F40" s="270">
        <f>'🧮 Costos x Producto'!K39</f>
        <v>0</v>
      </c>
      <c r="G40" s="351">
        <f t="shared" si="2"/>
        <v>0.4</v>
      </c>
      <c r="H40" s="267">
        <f t="shared" si="3"/>
        <v>0</v>
      </c>
      <c r="I40" s="110">
        <f>IF(H40=0,0,H40*(1+'📋 Datos Generales'!$E$28))</f>
        <v>0</v>
      </c>
      <c r="J40" s="268">
        <f t="shared" si="4"/>
        <v>0</v>
      </c>
      <c r="K40" s="269">
        <f>IF(OR(I40=0,'🧾 Factura Comercial'!G39=0),0,CEILING('🧮 Costos x Producto'!J39*'🧾 Factura Comercial'!G39/I40,1))</f>
        <v>0</v>
      </c>
    </row>
    <row r="41" spans="4:11" ht="19.5" hidden="1" customHeight="1" thickBot="1" x14ac:dyDescent="0.3">
      <c r="D41" s="28">
        <v>34</v>
      </c>
      <c r="E41" s="262">
        <f>'🧾 Factura Comercial'!E40</f>
        <v>0</v>
      </c>
      <c r="F41" s="270">
        <f>'🧮 Costos x Producto'!K40</f>
        <v>0</v>
      </c>
      <c r="G41" s="351">
        <f t="shared" si="2"/>
        <v>0.4</v>
      </c>
      <c r="H41" s="267">
        <f t="shared" si="3"/>
        <v>0</v>
      </c>
      <c r="I41" s="110">
        <f>IF(H41=0,0,H41*(1+'📋 Datos Generales'!$E$28))</f>
        <v>0</v>
      </c>
      <c r="J41" s="268">
        <f t="shared" si="4"/>
        <v>0</v>
      </c>
      <c r="K41" s="269">
        <f>IF(OR(I41=0,'🧾 Factura Comercial'!G40=0),0,CEILING('🧮 Costos x Producto'!J40*'🧾 Factura Comercial'!G40/I41,1))</f>
        <v>0</v>
      </c>
    </row>
    <row r="42" spans="4:11" ht="19.5" hidden="1" customHeight="1" thickBot="1" x14ac:dyDescent="0.3">
      <c r="D42" s="28">
        <v>35</v>
      </c>
      <c r="E42" s="262">
        <f>'🧾 Factura Comercial'!E41</f>
        <v>0</v>
      </c>
      <c r="F42" s="270">
        <f>'🧮 Costos x Producto'!K41</f>
        <v>0</v>
      </c>
      <c r="G42" s="351">
        <f t="shared" si="2"/>
        <v>0.4</v>
      </c>
      <c r="H42" s="267">
        <f t="shared" si="3"/>
        <v>0</v>
      </c>
      <c r="I42" s="110">
        <f>IF(H42=0,0,H42*(1+'📋 Datos Generales'!$E$28))</f>
        <v>0</v>
      </c>
      <c r="J42" s="268">
        <f t="shared" si="4"/>
        <v>0</v>
      </c>
      <c r="K42" s="269">
        <f>IF(OR(I42=0,'🧾 Factura Comercial'!G41=0),0,CEILING('🧮 Costos x Producto'!J41*'🧾 Factura Comercial'!G41/I42,1))</f>
        <v>0</v>
      </c>
    </row>
    <row r="43" spans="4:11" ht="19.5" hidden="1" customHeight="1" thickBot="1" x14ac:dyDescent="0.3">
      <c r="D43" s="28">
        <v>36</v>
      </c>
      <c r="E43" s="262">
        <f>'🧾 Factura Comercial'!E42</f>
        <v>0</v>
      </c>
      <c r="F43" s="270">
        <f>'🧮 Costos x Producto'!K42</f>
        <v>0</v>
      </c>
      <c r="G43" s="351">
        <f t="shared" si="2"/>
        <v>0.4</v>
      </c>
      <c r="H43" s="267">
        <f t="shared" si="3"/>
        <v>0</v>
      </c>
      <c r="I43" s="110">
        <f>IF(H43=0,0,H43*(1+'📋 Datos Generales'!$E$28))</f>
        <v>0</v>
      </c>
      <c r="J43" s="268">
        <f t="shared" si="4"/>
        <v>0</v>
      </c>
      <c r="K43" s="269">
        <f>IF(OR(I43=0,'🧾 Factura Comercial'!G42=0),0,CEILING('🧮 Costos x Producto'!J42*'🧾 Factura Comercial'!G42/I43,1))</f>
        <v>0</v>
      </c>
    </row>
    <row r="44" spans="4:11" ht="19.5" hidden="1" customHeight="1" thickBot="1" x14ac:dyDescent="0.3">
      <c r="D44" s="28">
        <v>37</v>
      </c>
      <c r="E44" s="262">
        <f>'🧾 Factura Comercial'!E43</f>
        <v>0</v>
      </c>
      <c r="F44" s="270">
        <f>'🧮 Costos x Producto'!K43</f>
        <v>0</v>
      </c>
      <c r="G44" s="351">
        <f t="shared" si="2"/>
        <v>0.4</v>
      </c>
      <c r="H44" s="267">
        <f t="shared" si="3"/>
        <v>0</v>
      </c>
      <c r="I44" s="110">
        <f>IF(H44=0,0,H44*(1+'📋 Datos Generales'!$E$28))</f>
        <v>0</v>
      </c>
      <c r="J44" s="268">
        <f t="shared" si="4"/>
        <v>0</v>
      </c>
      <c r="K44" s="269">
        <f>IF(OR(I44=0,'🧾 Factura Comercial'!G43=0),0,CEILING('🧮 Costos x Producto'!J43*'🧾 Factura Comercial'!G43/I44,1))</f>
        <v>0</v>
      </c>
    </row>
    <row r="45" spans="4:11" ht="19.5" hidden="1" customHeight="1" thickBot="1" x14ac:dyDescent="0.3">
      <c r="D45" s="28">
        <v>38</v>
      </c>
      <c r="E45" s="262">
        <f>'🧾 Factura Comercial'!E44</f>
        <v>0</v>
      </c>
      <c r="F45" s="270">
        <f>'🧮 Costos x Producto'!K44</f>
        <v>0</v>
      </c>
      <c r="G45" s="351">
        <f t="shared" si="2"/>
        <v>0.4</v>
      </c>
      <c r="H45" s="267">
        <f t="shared" si="3"/>
        <v>0</v>
      </c>
      <c r="I45" s="110">
        <f>IF(H45=0,0,H45*(1+'📋 Datos Generales'!$E$28))</f>
        <v>0</v>
      </c>
      <c r="J45" s="268">
        <f t="shared" si="4"/>
        <v>0</v>
      </c>
      <c r="K45" s="269">
        <f>IF(OR(I45=0,'🧾 Factura Comercial'!G44=0),0,CEILING('🧮 Costos x Producto'!J44*'🧾 Factura Comercial'!G44/I45,1))</f>
        <v>0</v>
      </c>
    </row>
    <row r="46" spans="4:11" ht="19.5" hidden="1" customHeight="1" thickBot="1" x14ac:dyDescent="0.3">
      <c r="D46" s="28">
        <v>39</v>
      </c>
      <c r="E46" s="262">
        <f>'🧾 Factura Comercial'!E45</f>
        <v>0</v>
      </c>
      <c r="F46" s="270">
        <f>'🧮 Costos x Producto'!K45</f>
        <v>0</v>
      </c>
      <c r="G46" s="351">
        <f t="shared" si="2"/>
        <v>0.4</v>
      </c>
      <c r="H46" s="267">
        <f t="shared" si="3"/>
        <v>0</v>
      </c>
      <c r="I46" s="110">
        <f>IF(H46=0,0,H46*(1+'📋 Datos Generales'!$E$28))</f>
        <v>0</v>
      </c>
      <c r="J46" s="268">
        <f t="shared" si="4"/>
        <v>0</v>
      </c>
      <c r="K46" s="269">
        <f>IF(OR(I46=0,'🧾 Factura Comercial'!G45=0),0,CEILING('🧮 Costos x Producto'!J45*'🧾 Factura Comercial'!G45/I46,1))</f>
        <v>0</v>
      </c>
    </row>
    <row r="47" spans="4:11" ht="19.5" hidden="1" customHeight="1" thickBot="1" x14ac:dyDescent="0.3">
      <c r="D47" s="28">
        <v>40</v>
      </c>
      <c r="E47" s="262">
        <f>'🧾 Factura Comercial'!E46</f>
        <v>0</v>
      </c>
      <c r="F47" s="270">
        <f>'🧮 Costos x Producto'!K46</f>
        <v>0</v>
      </c>
      <c r="G47" s="351">
        <f t="shared" si="2"/>
        <v>0.4</v>
      </c>
      <c r="H47" s="267">
        <f t="shared" si="3"/>
        <v>0</v>
      </c>
      <c r="I47" s="110">
        <f>IF(H47=0,0,H47*(1+'📋 Datos Generales'!$E$28))</f>
        <v>0</v>
      </c>
      <c r="J47" s="268">
        <f t="shared" si="4"/>
        <v>0</v>
      </c>
      <c r="K47" s="269">
        <f>IF(OR(I47=0,'🧾 Factura Comercial'!G46=0),0,CEILING('🧮 Costos x Producto'!J46*'🧾 Factura Comercial'!G46/I47,1))</f>
        <v>0</v>
      </c>
    </row>
    <row r="48" spans="4:11" ht="19.5" hidden="1" customHeight="1" thickBot="1" x14ac:dyDescent="0.3">
      <c r="D48" s="28">
        <v>41</v>
      </c>
      <c r="E48" s="262">
        <f>'🧾 Factura Comercial'!E47</f>
        <v>0</v>
      </c>
      <c r="F48" s="270">
        <f>'🧮 Costos x Producto'!K47</f>
        <v>0</v>
      </c>
      <c r="G48" s="351">
        <f t="shared" si="2"/>
        <v>0.4</v>
      </c>
      <c r="H48" s="267">
        <f t="shared" si="3"/>
        <v>0</v>
      </c>
      <c r="I48" s="110">
        <f>IF(H48=0,0,H48*(1+'📋 Datos Generales'!$E$28))</f>
        <v>0</v>
      </c>
      <c r="J48" s="268">
        <f t="shared" si="4"/>
        <v>0</v>
      </c>
      <c r="K48" s="269">
        <f>IF(OR(I48=0,'🧾 Factura Comercial'!G47=0),0,CEILING('🧮 Costos x Producto'!J47*'🧾 Factura Comercial'!G47/I48,1))</f>
        <v>0</v>
      </c>
    </row>
    <row r="49" spans="4:11" ht="19.5" hidden="1" customHeight="1" thickBot="1" x14ac:dyDescent="0.3">
      <c r="D49" s="28">
        <v>42</v>
      </c>
      <c r="E49" s="262">
        <f>'🧾 Factura Comercial'!E48</f>
        <v>0</v>
      </c>
      <c r="F49" s="270">
        <f>'🧮 Costos x Producto'!K48</f>
        <v>0</v>
      </c>
      <c r="G49" s="351">
        <f t="shared" si="2"/>
        <v>0.4</v>
      </c>
      <c r="H49" s="267">
        <f t="shared" si="3"/>
        <v>0</v>
      </c>
      <c r="I49" s="110">
        <f>IF(H49=0,0,H49*(1+'📋 Datos Generales'!$E$28))</f>
        <v>0</v>
      </c>
      <c r="J49" s="268">
        <f t="shared" si="4"/>
        <v>0</v>
      </c>
      <c r="K49" s="269">
        <f>IF(OR(I49=0,'🧾 Factura Comercial'!G48=0),0,CEILING('🧮 Costos x Producto'!J48*'🧾 Factura Comercial'!G48/I49,1))</f>
        <v>0</v>
      </c>
    </row>
    <row r="50" spans="4:11" ht="19.5" hidden="1" customHeight="1" thickBot="1" x14ac:dyDescent="0.3">
      <c r="D50" s="28">
        <v>43</v>
      </c>
      <c r="E50" s="262">
        <f>'🧾 Factura Comercial'!E49</f>
        <v>0</v>
      </c>
      <c r="F50" s="270">
        <f>'🧮 Costos x Producto'!K49</f>
        <v>0</v>
      </c>
      <c r="G50" s="351">
        <f t="shared" si="2"/>
        <v>0.4</v>
      </c>
      <c r="H50" s="267">
        <f t="shared" si="3"/>
        <v>0</v>
      </c>
      <c r="I50" s="110">
        <f>IF(H50=0,0,H50*(1+'📋 Datos Generales'!$E$28))</f>
        <v>0</v>
      </c>
      <c r="J50" s="268">
        <f t="shared" si="4"/>
        <v>0</v>
      </c>
      <c r="K50" s="269">
        <f>IF(OR(I50=0,'🧾 Factura Comercial'!G49=0),0,CEILING('🧮 Costos x Producto'!J49*'🧾 Factura Comercial'!G49/I50,1))</f>
        <v>0</v>
      </c>
    </row>
    <row r="51" spans="4:11" ht="19.5" hidden="1" customHeight="1" thickBot="1" x14ac:dyDescent="0.3">
      <c r="D51" s="28">
        <v>44</v>
      </c>
      <c r="E51" s="262">
        <f>'🧾 Factura Comercial'!E50</f>
        <v>0</v>
      </c>
      <c r="F51" s="270">
        <f>'🧮 Costos x Producto'!K50</f>
        <v>0</v>
      </c>
      <c r="G51" s="351">
        <f t="shared" si="2"/>
        <v>0.4</v>
      </c>
      <c r="H51" s="267">
        <f t="shared" si="3"/>
        <v>0</v>
      </c>
      <c r="I51" s="110">
        <f>IF(H51=0,0,H51*(1+'📋 Datos Generales'!$E$28))</f>
        <v>0</v>
      </c>
      <c r="J51" s="268">
        <f t="shared" si="4"/>
        <v>0</v>
      </c>
      <c r="K51" s="269">
        <f>IF(OR(I51=0,'🧾 Factura Comercial'!G50=0),0,CEILING('🧮 Costos x Producto'!J50*'🧾 Factura Comercial'!G50/I51,1))</f>
        <v>0</v>
      </c>
    </row>
    <row r="52" spans="4:11" ht="19.5" hidden="1" customHeight="1" thickBot="1" x14ac:dyDescent="0.3">
      <c r="D52" s="28">
        <v>45</v>
      </c>
      <c r="E52" s="262">
        <f>'🧾 Factura Comercial'!E51</f>
        <v>0</v>
      </c>
      <c r="F52" s="270">
        <f>'🧮 Costos x Producto'!K51</f>
        <v>0</v>
      </c>
      <c r="G52" s="351">
        <f t="shared" si="2"/>
        <v>0.4</v>
      </c>
      <c r="H52" s="267">
        <f t="shared" si="3"/>
        <v>0</v>
      </c>
      <c r="I52" s="110">
        <f>IF(H52=0,0,H52*(1+'📋 Datos Generales'!$E$28))</f>
        <v>0</v>
      </c>
      <c r="J52" s="268">
        <f t="shared" si="4"/>
        <v>0</v>
      </c>
      <c r="K52" s="269">
        <f>IF(OR(I52=0,'🧾 Factura Comercial'!G51=0),0,CEILING('🧮 Costos x Producto'!J51*'🧾 Factura Comercial'!G51/I52,1))</f>
        <v>0</v>
      </c>
    </row>
    <row r="53" spans="4:11" ht="19.5" hidden="1" customHeight="1" thickBot="1" x14ac:dyDescent="0.3">
      <c r="D53" s="28">
        <v>46</v>
      </c>
      <c r="E53" s="262">
        <f>'🧾 Factura Comercial'!E52</f>
        <v>0</v>
      </c>
      <c r="F53" s="270">
        <f>'🧮 Costos x Producto'!K52</f>
        <v>0</v>
      </c>
      <c r="G53" s="351">
        <f t="shared" si="2"/>
        <v>0.4</v>
      </c>
      <c r="H53" s="267">
        <f t="shared" si="3"/>
        <v>0</v>
      </c>
      <c r="I53" s="110">
        <f>IF(H53=0,0,H53*(1+'📋 Datos Generales'!$E$28))</f>
        <v>0</v>
      </c>
      <c r="J53" s="268">
        <f t="shared" si="4"/>
        <v>0</v>
      </c>
      <c r="K53" s="269">
        <f>IF(OR(I53=0,'🧾 Factura Comercial'!G52=0),0,CEILING('🧮 Costos x Producto'!J52*'🧾 Factura Comercial'!G52/I53,1))</f>
        <v>0</v>
      </c>
    </row>
    <row r="54" spans="4:11" ht="19.5" hidden="1" customHeight="1" thickBot="1" x14ac:dyDescent="0.3">
      <c r="D54" s="28">
        <v>47</v>
      </c>
      <c r="E54" s="262">
        <f>'🧾 Factura Comercial'!E53</f>
        <v>0</v>
      </c>
      <c r="F54" s="270">
        <f>'🧮 Costos x Producto'!K53</f>
        <v>0</v>
      </c>
      <c r="G54" s="351">
        <f t="shared" si="2"/>
        <v>0.4</v>
      </c>
      <c r="H54" s="267">
        <f t="shared" si="3"/>
        <v>0</v>
      </c>
      <c r="I54" s="110">
        <f>IF(H54=0,0,H54*(1+'📋 Datos Generales'!$E$28))</f>
        <v>0</v>
      </c>
      <c r="J54" s="268">
        <f t="shared" si="4"/>
        <v>0</v>
      </c>
      <c r="K54" s="269">
        <f>IF(OR(I54=0,'🧾 Factura Comercial'!G53=0),0,CEILING('🧮 Costos x Producto'!J53*'🧾 Factura Comercial'!G53/I54,1))</f>
        <v>0</v>
      </c>
    </row>
    <row r="55" spans="4:11" ht="19.5" hidden="1" customHeight="1" thickBot="1" x14ac:dyDescent="0.3">
      <c r="D55" s="28">
        <v>48</v>
      </c>
      <c r="E55" s="262">
        <f>'🧾 Factura Comercial'!E54</f>
        <v>0</v>
      </c>
      <c r="F55" s="270">
        <f>'🧮 Costos x Producto'!K54</f>
        <v>0</v>
      </c>
      <c r="G55" s="351">
        <f t="shared" si="2"/>
        <v>0.4</v>
      </c>
      <c r="H55" s="267">
        <f t="shared" si="3"/>
        <v>0</v>
      </c>
      <c r="I55" s="110">
        <f>IF(H55=0,0,H55*(1+'📋 Datos Generales'!$E$28))</f>
        <v>0</v>
      </c>
      <c r="J55" s="268">
        <f t="shared" si="4"/>
        <v>0</v>
      </c>
      <c r="K55" s="269">
        <f>IF(OR(I55=0,'🧾 Factura Comercial'!G54=0),0,CEILING('🧮 Costos x Producto'!J54*'🧾 Factura Comercial'!G54/I55,1))</f>
        <v>0</v>
      </c>
    </row>
    <row r="56" spans="4:11" ht="19.5" hidden="1" customHeight="1" thickBot="1" x14ac:dyDescent="0.3">
      <c r="D56" s="28">
        <v>49</v>
      </c>
      <c r="E56" s="262">
        <f>'🧾 Factura Comercial'!E55</f>
        <v>0</v>
      </c>
      <c r="F56" s="270">
        <f>'🧮 Costos x Producto'!K55</f>
        <v>0</v>
      </c>
      <c r="G56" s="351">
        <f t="shared" si="2"/>
        <v>0.4</v>
      </c>
      <c r="H56" s="267">
        <f t="shared" si="3"/>
        <v>0</v>
      </c>
      <c r="I56" s="110">
        <f>IF(H56=0,0,H56*(1+'📋 Datos Generales'!$E$28))</f>
        <v>0</v>
      </c>
      <c r="J56" s="268">
        <f t="shared" si="4"/>
        <v>0</v>
      </c>
      <c r="K56" s="269">
        <f>IF(OR(I56=0,'🧾 Factura Comercial'!G55=0),0,CEILING('🧮 Costos x Producto'!J55*'🧾 Factura Comercial'!G55/I56,1))</f>
        <v>0</v>
      </c>
    </row>
    <row r="57" spans="4:11" ht="19.5" hidden="1" customHeight="1" thickBot="1" x14ac:dyDescent="0.3">
      <c r="D57" s="28">
        <v>50</v>
      </c>
      <c r="E57" s="262">
        <f>'🧾 Factura Comercial'!E56</f>
        <v>0</v>
      </c>
      <c r="F57" s="270">
        <f>'🧮 Costos x Producto'!K56</f>
        <v>0</v>
      </c>
      <c r="G57" s="351">
        <f t="shared" si="2"/>
        <v>0.4</v>
      </c>
      <c r="H57" s="267">
        <f t="shared" si="3"/>
        <v>0</v>
      </c>
      <c r="I57" s="110">
        <f>IF(H57=0,0,H57*(1+'📋 Datos Generales'!$E$28))</f>
        <v>0</v>
      </c>
      <c r="J57" s="268">
        <f t="shared" si="4"/>
        <v>0</v>
      </c>
      <c r="K57" s="269">
        <f>IF(OR(I57=0,'🧾 Factura Comercial'!G56=0),0,CEILING('🧮 Costos x Producto'!J56*'🧾 Factura Comercial'!G56/I57,1))</f>
        <v>0</v>
      </c>
    </row>
    <row r="58" spans="4:11" ht="19.5" hidden="1" customHeight="1" thickBot="1" x14ac:dyDescent="0.3">
      <c r="D58" s="28">
        <v>51</v>
      </c>
      <c r="E58" s="262">
        <f>'🧾 Factura Comercial'!E57</f>
        <v>0</v>
      </c>
      <c r="F58" s="270">
        <f>'🧮 Costos x Producto'!K57</f>
        <v>0</v>
      </c>
      <c r="G58" s="351">
        <f t="shared" si="2"/>
        <v>0.4</v>
      </c>
      <c r="H58" s="267">
        <f t="shared" si="3"/>
        <v>0</v>
      </c>
      <c r="I58" s="110">
        <f>IF(H58=0,0,H58*(1+'📋 Datos Generales'!$E$28))</f>
        <v>0</v>
      </c>
      <c r="J58" s="268">
        <f t="shared" si="4"/>
        <v>0</v>
      </c>
      <c r="K58" s="269">
        <f>IF(OR(I58=0,'🧾 Factura Comercial'!G57=0),0,CEILING('🧮 Costos x Producto'!J57*'🧾 Factura Comercial'!G57/I58,1))</f>
        <v>0</v>
      </c>
    </row>
    <row r="59" spans="4:11" ht="19.5" hidden="1" customHeight="1" thickBot="1" x14ac:dyDescent="0.3">
      <c r="D59" s="28">
        <v>52</v>
      </c>
      <c r="E59" s="262">
        <f>'🧾 Factura Comercial'!E58</f>
        <v>0</v>
      </c>
      <c r="F59" s="270">
        <f>'🧮 Costos x Producto'!K58</f>
        <v>0</v>
      </c>
      <c r="G59" s="351">
        <f t="shared" si="2"/>
        <v>0.4</v>
      </c>
      <c r="H59" s="267">
        <f t="shared" si="3"/>
        <v>0</v>
      </c>
      <c r="I59" s="110">
        <f>IF(H59=0,0,H59*(1+'📋 Datos Generales'!$E$28))</f>
        <v>0</v>
      </c>
      <c r="J59" s="268">
        <f t="shared" si="4"/>
        <v>0</v>
      </c>
      <c r="K59" s="269">
        <f>IF(OR(I59=0,'🧾 Factura Comercial'!G58=0),0,CEILING('🧮 Costos x Producto'!J58*'🧾 Factura Comercial'!G58/I59,1))</f>
        <v>0</v>
      </c>
    </row>
    <row r="60" spans="4:11" ht="19.5" hidden="1" customHeight="1" thickBot="1" x14ac:dyDescent="0.3">
      <c r="D60" s="28">
        <v>53</v>
      </c>
      <c r="E60" s="262">
        <f>'🧾 Factura Comercial'!E59</f>
        <v>0</v>
      </c>
      <c r="F60" s="270">
        <f>'🧮 Costos x Producto'!K59</f>
        <v>0</v>
      </c>
      <c r="G60" s="351">
        <f t="shared" si="2"/>
        <v>0.4</v>
      </c>
      <c r="H60" s="267">
        <f t="shared" si="3"/>
        <v>0</v>
      </c>
      <c r="I60" s="110">
        <f>IF(H60=0,0,H60*(1+'📋 Datos Generales'!$E$28))</f>
        <v>0</v>
      </c>
      <c r="J60" s="268">
        <f t="shared" si="4"/>
        <v>0</v>
      </c>
      <c r="K60" s="269">
        <f>IF(OR(I60=0,'🧾 Factura Comercial'!G59=0),0,CEILING('🧮 Costos x Producto'!J59*'🧾 Factura Comercial'!G59/I60,1))</f>
        <v>0</v>
      </c>
    </row>
    <row r="61" spans="4:11" ht="19.5" hidden="1" customHeight="1" thickBot="1" x14ac:dyDescent="0.3">
      <c r="D61" s="28">
        <v>54</v>
      </c>
      <c r="E61" s="262">
        <f>'🧾 Factura Comercial'!E60</f>
        <v>0</v>
      </c>
      <c r="F61" s="270">
        <f>'🧮 Costos x Producto'!K60</f>
        <v>0</v>
      </c>
      <c r="G61" s="351">
        <f t="shared" si="2"/>
        <v>0.4</v>
      </c>
      <c r="H61" s="267">
        <f t="shared" si="3"/>
        <v>0</v>
      </c>
      <c r="I61" s="110">
        <f>IF(H61=0,0,H61*(1+'📋 Datos Generales'!$E$28))</f>
        <v>0</v>
      </c>
      <c r="J61" s="268">
        <f t="shared" si="4"/>
        <v>0</v>
      </c>
      <c r="K61" s="269">
        <f>IF(OR(I61=0,'🧾 Factura Comercial'!G60=0),0,CEILING('🧮 Costos x Producto'!J60*'🧾 Factura Comercial'!G60/I61,1))</f>
        <v>0</v>
      </c>
    </row>
    <row r="62" spans="4:11" ht="19.5" hidden="1" customHeight="1" thickBot="1" x14ac:dyDescent="0.3">
      <c r="D62" s="28">
        <v>55</v>
      </c>
      <c r="E62" s="262">
        <f>'🧾 Factura Comercial'!E61</f>
        <v>0</v>
      </c>
      <c r="F62" s="270">
        <f>'🧮 Costos x Producto'!K61</f>
        <v>0</v>
      </c>
      <c r="G62" s="351">
        <f t="shared" si="2"/>
        <v>0.4</v>
      </c>
      <c r="H62" s="267">
        <f t="shared" si="3"/>
        <v>0</v>
      </c>
      <c r="I62" s="110">
        <f>IF(H62=0,0,H62*(1+'📋 Datos Generales'!$E$28))</f>
        <v>0</v>
      </c>
      <c r="J62" s="268">
        <f t="shared" si="4"/>
        <v>0</v>
      </c>
      <c r="K62" s="269">
        <f>IF(OR(I62=0,'🧾 Factura Comercial'!G61=0),0,CEILING('🧮 Costos x Producto'!J61*'🧾 Factura Comercial'!G61/I62,1))</f>
        <v>0</v>
      </c>
    </row>
    <row r="63" spans="4:11" ht="19.5" hidden="1" customHeight="1" thickBot="1" x14ac:dyDescent="0.3">
      <c r="D63" s="28">
        <v>56</v>
      </c>
      <c r="E63" s="262">
        <f>'🧾 Factura Comercial'!E62</f>
        <v>0</v>
      </c>
      <c r="F63" s="270">
        <f>'🧮 Costos x Producto'!K62</f>
        <v>0</v>
      </c>
      <c r="G63" s="351">
        <f t="shared" si="2"/>
        <v>0.4</v>
      </c>
      <c r="H63" s="267">
        <f t="shared" si="3"/>
        <v>0</v>
      </c>
      <c r="I63" s="110">
        <f>IF(H63=0,0,H63*(1+'📋 Datos Generales'!$E$28))</f>
        <v>0</v>
      </c>
      <c r="J63" s="268">
        <f t="shared" si="4"/>
        <v>0</v>
      </c>
      <c r="K63" s="269">
        <f>IF(OR(I63=0,'🧾 Factura Comercial'!G62=0),0,CEILING('🧮 Costos x Producto'!J62*'🧾 Factura Comercial'!G62/I63,1))</f>
        <v>0</v>
      </c>
    </row>
    <row r="64" spans="4:11" ht="19.5" hidden="1" customHeight="1" thickBot="1" x14ac:dyDescent="0.3">
      <c r="D64" s="28">
        <v>57</v>
      </c>
      <c r="E64" s="262">
        <f>'🧾 Factura Comercial'!E63</f>
        <v>0</v>
      </c>
      <c r="F64" s="270">
        <f>'🧮 Costos x Producto'!K63</f>
        <v>0</v>
      </c>
      <c r="G64" s="351">
        <f t="shared" si="2"/>
        <v>0.4</v>
      </c>
      <c r="H64" s="267">
        <f t="shared" si="3"/>
        <v>0</v>
      </c>
      <c r="I64" s="110">
        <f>IF(H64=0,0,H64*(1+'📋 Datos Generales'!$E$28))</f>
        <v>0</v>
      </c>
      <c r="J64" s="268">
        <f t="shared" si="4"/>
        <v>0</v>
      </c>
      <c r="K64" s="269">
        <f>IF(OR(I64=0,'🧾 Factura Comercial'!G63=0),0,CEILING('🧮 Costos x Producto'!J63*'🧾 Factura Comercial'!G63/I64,1))</f>
        <v>0</v>
      </c>
    </row>
    <row r="65" spans="4:11" ht="19.5" hidden="1" customHeight="1" thickBot="1" x14ac:dyDescent="0.3">
      <c r="D65" s="28">
        <v>58</v>
      </c>
      <c r="E65" s="262">
        <f>'🧾 Factura Comercial'!E64</f>
        <v>0</v>
      </c>
      <c r="F65" s="270">
        <f>'🧮 Costos x Producto'!K64</f>
        <v>0</v>
      </c>
      <c r="G65" s="351">
        <f t="shared" si="2"/>
        <v>0.4</v>
      </c>
      <c r="H65" s="267">
        <f t="shared" si="3"/>
        <v>0</v>
      </c>
      <c r="I65" s="110">
        <f>IF(H65=0,0,H65*(1+'📋 Datos Generales'!$E$28))</f>
        <v>0</v>
      </c>
      <c r="J65" s="268">
        <f t="shared" si="4"/>
        <v>0</v>
      </c>
      <c r="K65" s="269">
        <f>IF(OR(I65=0,'🧾 Factura Comercial'!G64=0),0,CEILING('🧮 Costos x Producto'!J64*'🧾 Factura Comercial'!G64/I65,1))</f>
        <v>0</v>
      </c>
    </row>
    <row r="66" spans="4:11" ht="19.5" hidden="1" customHeight="1" thickBot="1" x14ac:dyDescent="0.3">
      <c r="D66" s="28">
        <v>59</v>
      </c>
      <c r="E66" s="262">
        <f>'🧾 Factura Comercial'!E65</f>
        <v>0</v>
      </c>
      <c r="F66" s="270">
        <f>'🧮 Costos x Producto'!K65</f>
        <v>0</v>
      </c>
      <c r="G66" s="351">
        <f t="shared" si="2"/>
        <v>0.4</v>
      </c>
      <c r="H66" s="267">
        <f t="shared" si="3"/>
        <v>0</v>
      </c>
      <c r="I66" s="110">
        <f>IF(H66=0,0,H66*(1+'📋 Datos Generales'!$E$28))</f>
        <v>0</v>
      </c>
      <c r="J66" s="268">
        <f t="shared" si="4"/>
        <v>0</v>
      </c>
      <c r="K66" s="269">
        <f>IF(OR(I66=0,'🧾 Factura Comercial'!G65=0),0,CEILING('🧮 Costos x Producto'!J65*'🧾 Factura Comercial'!G65/I66,1))</f>
        <v>0</v>
      </c>
    </row>
    <row r="67" spans="4:11" ht="19.5" hidden="1" customHeight="1" thickBot="1" x14ac:dyDescent="0.3">
      <c r="D67" s="28">
        <v>60</v>
      </c>
      <c r="E67" s="262">
        <f>'🧾 Factura Comercial'!E66</f>
        <v>0</v>
      </c>
      <c r="F67" s="270">
        <f>'🧮 Costos x Producto'!K66</f>
        <v>0</v>
      </c>
      <c r="G67" s="351">
        <f t="shared" si="2"/>
        <v>0.4</v>
      </c>
      <c r="H67" s="267">
        <f t="shared" si="3"/>
        <v>0</v>
      </c>
      <c r="I67" s="110">
        <f>IF(H67=0,0,H67*(1+'📋 Datos Generales'!$E$28))</f>
        <v>0</v>
      </c>
      <c r="J67" s="268">
        <f t="shared" si="4"/>
        <v>0</v>
      </c>
      <c r="K67" s="269">
        <f>IF(OR(I67=0,'🧾 Factura Comercial'!G66=0),0,CEILING('🧮 Costos x Producto'!J66*'🧾 Factura Comercial'!G66/I67,1))</f>
        <v>0</v>
      </c>
    </row>
    <row r="68" spans="4:11" ht="19.5" hidden="1" customHeight="1" thickBot="1" x14ac:dyDescent="0.3">
      <c r="D68" s="28">
        <v>61</v>
      </c>
      <c r="E68" s="262">
        <f>'🧾 Factura Comercial'!E67</f>
        <v>0</v>
      </c>
      <c r="F68" s="270">
        <f>'🧮 Costos x Producto'!K67</f>
        <v>0</v>
      </c>
      <c r="G68" s="351">
        <f t="shared" si="2"/>
        <v>0.4</v>
      </c>
      <c r="H68" s="267">
        <f t="shared" si="3"/>
        <v>0</v>
      </c>
      <c r="I68" s="110">
        <f>IF(H68=0,0,H68*(1+'📋 Datos Generales'!$E$28))</f>
        <v>0</v>
      </c>
      <c r="J68" s="268">
        <f t="shared" si="4"/>
        <v>0</v>
      </c>
      <c r="K68" s="269">
        <f>IF(OR(I68=0,'🧾 Factura Comercial'!G67=0),0,CEILING('🧮 Costos x Producto'!J67*'🧾 Factura Comercial'!G67/I68,1))</f>
        <v>0</v>
      </c>
    </row>
    <row r="69" spans="4:11" ht="19.5" hidden="1" customHeight="1" thickBot="1" x14ac:dyDescent="0.3">
      <c r="D69" s="28">
        <v>62</v>
      </c>
      <c r="E69" s="262">
        <f>'🧾 Factura Comercial'!E68</f>
        <v>0</v>
      </c>
      <c r="F69" s="270">
        <f>'🧮 Costos x Producto'!K68</f>
        <v>0</v>
      </c>
      <c r="G69" s="351">
        <f t="shared" si="2"/>
        <v>0.4</v>
      </c>
      <c r="H69" s="267">
        <f t="shared" si="3"/>
        <v>0</v>
      </c>
      <c r="I69" s="110">
        <f>IF(H69=0,0,H69*(1+'📋 Datos Generales'!$E$28))</f>
        <v>0</v>
      </c>
      <c r="J69" s="268">
        <f t="shared" si="4"/>
        <v>0</v>
      </c>
      <c r="K69" s="269">
        <f>IF(OR(I69=0,'🧾 Factura Comercial'!G68=0),0,CEILING('🧮 Costos x Producto'!J68*'🧾 Factura Comercial'!G68/I69,1))</f>
        <v>0</v>
      </c>
    </row>
    <row r="70" spans="4:11" ht="19.5" hidden="1" customHeight="1" thickBot="1" x14ac:dyDescent="0.3">
      <c r="D70" s="28">
        <v>63</v>
      </c>
      <c r="E70" s="262">
        <f>'🧾 Factura Comercial'!E69</f>
        <v>0</v>
      </c>
      <c r="F70" s="270">
        <f>'🧮 Costos x Producto'!K69</f>
        <v>0</v>
      </c>
      <c r="G70" s="351">
        <f t="shared" si="2"/>
        <v>0.4</v>
      </c>
      <c r="H70" s="267">
        <f t="shared" si="3"/>
        <v>0</v>
      </c>
      <c r="I70" s="110">
        <f>IF(H70=0,0,H70*(1+'📋 Datos Generales'!$E$28))</f>
        <v>0</v>
      </c>
      <c r="J70" s="268">
        <f t="shared" si="4"/>
        <v>0</v>
      </c>
      <c r="K70" s="269">
        <f>IF(OR(I70=0,'🧾 Factura Comercial'!G69=0),0,CEILING('🧮 Costos x Producto'!J69*'🧾 Factura Comercial'!G69/I70,1))</f>
        <v>0</v>
      </c>
    </row>
    <row r="71" spans="4:11" ht="19.5" hidden="1" customHeight="1" thickBot="1" x14ac:dyDescent="0.3">
      <c r="D71" s="28">
        <v>64</v>
      </c>
      <c r="E71" s="262">
        <f>'🧾 Factura Comercial'!E70</f>
        <v>0</v>
      </c>
      <c r="F71" s="270">
        <f>'🧮 Costos x Producto'!K70</f>
        <v>0</v>
      </c>
      <c r="G71" s="351">
        <f t="shared" si="2"/>
        <v>0.4</v>
      </c>
      <c r="H71" s="267">
        <f t="shared" si="3"/>
        <v>0</v>
      </c>
      <c r="I71" s="110">
        <f>IF(H71=0,0,H71*(1+'📋 Datos Generales'!$E$28))</f>
        <v>0</v>
      </c>
      <c r="J71" s="268">
        <f t="shared" si="4"/>
        <v>0</v>
      </c>
      <c r="K71" s="269">
        <f>IF(OR(I71=0,'🧾 Factura Comercial'!G70=0),0,CEILING('🧮 Costos x Producto'!J70*'🧾 Factura Comercial'!G70/I71,1))</f>
        <v>0</v>
      </c>
    </row>
    <row r="72" spans="4:11" ht="19.5" hidden="1" customHeight="1" thickBot="1" x14ac:dyDescent="0.3">
      <c r="D72" s="28">
        <v>65</v>
      </c>
      <c r="E72" s="262">
        <f>'🧾 Factura Comercial'!E71</f>
        <v>0</v>
      </c>
      <c r="F72" s="270">
        <f>'🧮 Costos x Producto'!K71</f>
        <v>0</v>
      </c>
      <c r="G72" s="351">
        <f t="shared" si="2"/>
        <v>0.4</v>
      </c>
      <c r="H72" s="267">
        <f t="shared" si="3"/>
        <v>0</v>
      </c>
      <c r="I72" s="110">
        <f>IF(H72=0,0,H72*(1+'📋 Datos Generales'!$E$28))</f>
        <v>0</v>
      </c>
      <c r="J72" s="268">
        <f t="shared" si="4"/>
        <v>0</v>
      </c>
      <c r="K72" s="269">
        <f>IF(OR(I72=0,'🧾 Factura Comercial'!G71=0),0,CEILING('🧮 Costos x Producto'!J71*'🧾 Factura Comercial'!G71/I72,1))</f>
        <v>0</v>
      </c>
    </row>
    <row r="73" spans="4:11" ht="19.5" hidden="1" customHeight="1" thickBot="1" x14ac:dyDescent="0.3">
      <c r="D73" s="28">
        <v>66</v>
      </c>
      <c r="E73" s="262">
        <f>'🧾 Factura Comercial'!E72</f>
        <v>0</v>
      </c>
      <c r="F73" s="270">
        <f>'🧮 Costos x Producto'!K72</f>
        <v>0</v>
      </c>
      <c r="G73" s="351">
        <f t="shared" si="2"/>
        <v>0.4</v>
      </c>
      <c r="H73" s="267">
        <f t="shared" si="3"/>
        <v>0</v>
      </c>
      <c r="I73" s="110">
        <f>IF(H73=0,0,H73*(1+'📋 Datos Generales'!$E$28))</f>
        <v>0</v>
      </c>
      <c r="J73" s="268">
        <f t="shared" si="4"/>
        <v>0</v>
      </c>
      <c r="K73" s="269">
        <f>IF(OR(I73=0,'🧾 Factura Comercial'!G72=0),0,CEILING('🧮 Costos x Producto'!J72*'🧾 Factura Comercial'!G72/I73,1))</f>
        <v>0</v>
      </c>
    </row>
    <row r="74" spans="4:11" ht="19.5" hidden="1" customHeight="1" thickBot="1" x14ac:dyDescent="0.3">
      <c r="D74" s="28">
        <v>67</v>
      </c>
      <c r="E74" s="262">
        <f>'🧾 Factura Comercial'!E73</f>
        <v>0</v>
      </c>
      <c r="F74" s="270">
        <f>'🧮 Costos x Producto'!K73</f>
        <v>0</v>
      </c>
      <c r="G74" s="351">
        <f t="shared" si="2"/>
        <v>0.4</v>
      </c>
      <c r="H74" s="267">
        <f t="shared" si="3"/>
        <v>0</v>
      </c>
      <c r="I74" s="110">
        <f>IF(H74=0,0,H74*(1+'📋 Datos Generales'!$E$28))</f>
        <v>0</v>
      </c>
      <c r="J74" s="268">
        <f t="shared" si="4"/>
        <v>0</v>
      </c>
      <c r="K74" s="269">
        <f>IF(OR(I74=0,'🧾 Factura Comercial'!G73=0),0,CEILING('🧮 Costos x Producto'!J73*'🧾 Factura Comercial'!G73/I74,1))</f>
        <v>0</v>
      </c>
    </row>
    <row r="75" spans="4:11" ht="19.5" hidden="1" customHeight="1" thickBot="1" x14ac:dyDescent="0.3">
      <c r="D75" s="28">
        <v>68</v>
      </c>
      <c r="E75" s="262">
        <f>'🧾 Factura Comercial'!E74</f>
        <v>0</v>
      </c>
      <c r="F75" s="270">
        <f>'🧮 Costos x Producto'!K74</f>
        <v>0</v>
      </c>
      <c r="G75" s="351">
        <f t="shared" ref="G75:G138" si="5">$H$4</f>
        <v>0.4</v>
      </c>
      <c r="H75" s="267">
        <f t="shared" si="3"/>
        <v>0</v>
      </c>
      <c r="I75" s="110">
        <f>IF(H75=0,0,H75*(1+'📋 Datos Generales'!$E$28))</f>
        <v>0</v>
      </c>
      <c r="J75" s="268">
        <f t="shared" si="4"/>
        <v>0</v>
      </c>
      <c r="K75" s="269">
        <f>IF(OR(I75=0,'🧾 Factura Comercial'!G74=0),0,CEILING('🧮 Costos x Producto'!J74*'🧾 Factura Comercial'!G74/I75,1))</f>
        <v>0</v>
      </c>
    </row>
    <row r="76" spans="4:11" ht="19.5" hidden="1" customHeight="1" thickBot="1" x14ac:dyDescent="0.3">
      <c r="D76" s="28">
        <v>69</v>
      </c>
      <c r="E76" s="262">
        <f>'🧾 Factura Comercial'!E75</f>
        <v>0</v>
      </c>
      <c r="F76" s="270">
        <f>'🧮 Costos x Producto'!K75</f>
        <v>0</v>
      </c>
      <c r="G76" s="351">
        <f t="shared" si="5"/>
        <v>0.4</v>
      </c>
      <c r="H76" s="267">
        <f t="shared" si="3"/>
        <v>0</v>
      </c>
      <c r="I76" s="110">
        <f>IF(H76=0,0,H76*(1+'📋 Datos Generales'!$E$28))</f>
        <v>0</v>
      </c>
      <c r="J76" s="268">
        <f t="shared" si="4"/>
        <v>0</v>
      </c>
      <c r="K76" s="269">
        <f>IF(OR(I76=0,'🧾 Factura Comercial'!G75=0),0,CEILING('🧮 Costos x Producto'!J75*'🧾 Factura Comercial'!G75/I76,1))</f>
        <v>0</v>
      </c>
    </row>
    <row r="77" spans="4:11" ht="19.5" hidden="1" customHeight="1" thickBot="1" x14ac:dyDescent="0.3">
      <c r="D77" s="28">
        <v>70</v>
      </c>
      <c r="E77" s="262">
        <f>'🧾 Factura Comercial'!E76</f>
        <v>0</v>
      </c>
      <c r="F77" s="270">
        <f>'🧮 Costos x Producto'!K76</f>
        <v>0</v>
      </c>
      <c r="G77" s="351">
        <f t="shared" si="5"/>
        <v>0.4</v>
      </c>
      <c r="H77" s="267">
        <f t="shared" si="3"/>
        <v>0</v>
      </c>
      <c r="I77" s="110">
        <f>IF(H77=0,0,H77*(1+'📋 Datos Generales'!$E$28))</f>
        <v>0</v>
      </c>
      <c r="J77" s="268">
        <f t="shared" si="4"/>
        <v>0</v>
      </c>
      <c r="K77" s="269">
        <f>IF(OR(I77=0,'🧾 Factura Comercial'!G76=0),0,CEILING('🧮 Costos x Producto'!J76*'🧾 Factura Comercial'!G76/I77,1))</f>
        <v>0</v>
      </c>
    </row>
    <row r="78" spans="4:11" ht="19.5" hidden="1" customHeight="1" thickBot="1" x14ac:dyDescent="0.3">
      <c r="D78" s="28">
        <v>71</v>
      </c>
      <c r="E78" s="262">
        <f>'🧾 Factura Comercial'!E77</f>
        <v>0</v>
      </c>
      <c r="F78" s="270">
        <f>'🧮 Costos x Producto'!K77</f>
        <v>0</v>
      </c>
      <c r="G78" s="351">
        <f t="shared" si="5"/>
        <v>0.4</v>
      </c>
      <c r="H78" s="267">
        <f t="shared" si="3"/>
        <v>0</v>
      </c>
      <c r="I78" s="110">
        <f>IF(H78=0,0,H78*(1+'📋 Datos Generales'!$E$28))</f>
        <v>0</v>
      </c>
      <c r="J78" s="268">
        <f t="shared" si="4"/>
        <v>0</v>
      </c>
      <c r="K78" s="269">
        <f>IF(OR(I78=0,'🧾 Factura Comercial'!G77=0),0,CEILING('🧮 Costos x Producto'!J77*'🧾 Factura Comercial'!G77/I78,1))</f>
        <v>0</v>
      </c>
    </row>
    <row r="79" spans="4:11" ht="19.5" hidden="1" customHeight="1" thickBot="1" x14ac:dyDescent="0.3">
      <c r="D79" s="28">
        <v>72</v>
      </c>
      <c r="E79" s="262">
        <f>'🧾 Factura Comercial'!E78</f>
        <v>0</v>
      </c>
      <c r="F79" s="270">
        <f>'🧮 Costos x Producto'!K78</f>
        <v>0</v>
      </c>
      <c r="G79" s="351">
        <f t="shared" si="5"/>
        <v>0.4</v>
      </c>
      <c r="H79" s="267">
        <f t="shared" si="3"/>
        <v>0</v>
      </c>
      <c r="I79" s="110">
        <f>IF(H79=0,0,H79*(1+'📋 Datos Generales'!$E$28))</f>
        <v>0</v>
      </c>
      <c r="J79" s="268">
        <f t="shared" si="4"/>
        <v>0</v>
      </c>
      <c r="K79" s="269">
        <f>IF(OR(I79=0,'🧾 Factura Comercial'!G78=0),0,CEILING('🧮 Costos x Producto'!J78*'🧾 Factura Comercial'!G78/I79,1))</f>
        <v>0</v>
      </c>
    </row>
    <row r="80" spans="4:11" ht="19.5" hidden="1" customHeight="1" thickBot="1" x14ac:dyDescent="0.3">
      <c r="D80" s="28">
        <v>73</v>
      </c>
      <c r="E80" s="262">
        <f>'🧾 Factura Comercial'!E79</f>
        <v>0</v>
      </c>
      <c r="F80" s="270">
        <f>'🧮 Costos x Producto'!K79</f>
        <v>0</v>
      </c>
      <c r="G80" s="351">
        <f t="shared" si="5"/>
        <v>0.4</v>
      </c>
      <c r="H80" s="267">
        <f t="shared" si="3"/>
        <v>0</v>
      </c>
      <c r="I80" s="110">
        <f>IF(H80=0,0,H80*(1+'📋 Datos Generales'!$E$28))</f>
        <v>0</v>
      </c>
      <c r="J80" s="268">
        <f t="shared" si="4"/>
        <v>0</v>
      </c>
      <c r="K80" s="269">
        <f>IF(OR(I80=0,'🧾 Factura Comercial'!G79=0),0,CEILING('🧮 Costos x Producto'!J79*'🧾 Factura Comercial'!G79/I80,1))</f>
        <v>0</v>
      </c>
    </row>
    <row r="81" spans="4:11" ht="19.5" hidden="1" customHeight="1" thickBot="1" x14ac:dyDescent="0.3">
      <c r="D81" s="28">
        <v>74</v>
      </c>
      <c r="E81" s="262">
        <f>'🧾 Factura Comercial'!E80</f>
        <v>0</v>
      </c>
      <c r="F81" s="270">
        <f>'🧮 Costos x Producto'!K80</f>
        <v>0</v>
      </c>
      <c r="G81" s="351">
        <f t="shared" si="5"/>
        <v>0.4</v>
      </c>
      <c r="H81" s="267">
        <f t="shared" ref="H81:H144" si="6">IF(F81=0,0,F81/(1-G81))</f>
        <v>0</v>
      </c>
      <c r="I81" s="110">
        <f>IF(H81=0,0,H81*(1+'📋 Datos Generales'!$E$28))</f>
        <v>0</v>
      </c>
      <c r="J81" s="268">
        <f t="shared" ref="J81:J144" si="7">IF(H81=0,0,H81-F81)</f>
        <v>0</v>
      </c>
      <c r="K81" s="269">
        <f>IF(OR(I81=0,'🧾 Factura Comercial'!G80=0),0,CEILING('🧮 Costos x Producto'!J80*'🧾 Factura Comercial'!G80/I81,1))</f>
        <v>0</v>
      </c>
    </row>
    <row r="82" spans="4:11" ht="19.5" hidden="1" customHeight="1" thickBot="1" x14ac:dyDescent="0.3">
      <c r="D82" s="28">
        <v>75</v>
      </c>
      <c r="E82" s="262">
        <f>'🧾 Factura Comercial'!E81</f>
        <v>0</v>
      </c>
      <c r="F82" s="270">
        <f>'🧮 Costos x Producto'!K81</f>
        <v>0</v>
      </c>
      <c r="G82" s="351">
        <f t="shared" si="5"/>
        <v>0.4</v>
      </c>
      <c r="H82" s="267">
        <f t="shared" si="6"/>
        <v>0</v>
      </c>
      <c r="I82" s="110">
        <f>IF(H82=0,0,H82*(1+'📋 Datos Generales'!$E$28))</f>
        <v>0</v>
      </c>
      <c r="J82" s="268">
        <f t="shared" si="7"/>
        <v>0</v>
      </c>
      <c r="K82" s="269">
        <f>IF(OR(I82=0,'🧾 Factura Comercial'!G81=0),0,CEILING('🧮 Costos x Producto'!J81*'🧾 Factura Comercial'!G81/I82,1))</f>
        <v>0</v>
      </c>
    </row>
    <row r="83" spans="4:11" ht="19.5" hidden="1" customHeight="1" thickBot="1" x14ac:dyDescent="0.3">
      <c r="D83" s="28">
        <v>76</v>
      </c>
      <c r="E83" s="262">
        <f>'🧾 Factura Comercial'!E82</f>
        <v>0</v>
      </c>
      <c r="F83" s="270">
        <f>'🧮 Costos x Producto'!K82</f>
        <v>0</v>
      </c>
      <c r="G83" s="351">
        <f t="shared" si="5"/>
        <v>0.4</v>
      </c>
      <c r="H83" s="267">
        <f t="shared" si="6"/>
        <v>0</v>
      </c>
      <c r="I83" s="110">
        <f>IF(H83=0,0,H83*(1+'📋 Datos Generales'!$E$28))</f>
        <v>0</v>
      </c>
      <c r="J83" s="268">
        <f t="shared" si="7"/>
        <v>0</v>
      </c>
      <c r="K83" s="269">
        <f>IF(OR(I83=0,'🧾 Factura Comercial'!G82=0),0,CEILING('🧮 Costos x Producto'!J82*'🧾 Factura Comercial'!G82/I83,1))</f>
        <v>0</v>
      </c>
    </row>
    <row r="84" spans="4:11" ht="19.5" hidden="1" customHeight="1" thickBot="1" x14ac:dyDescent="0.3">
      <c r="D84" s="28">
        <v>77</v>
      </c>
      <c r="E84" s="262">
        <f>'🧾 Factura Comercial'!E83</f>
        <v>0</v>
      </c>
      <c r="F84" s="270">
        <f>'🧮 Costos x Producto'!K83</f>
        <v>0</v>
      </c>
      <c r="G84" s="351">
        <f t="shared" si="5"/>
        <v>0.4</v>
      </c>
      <c r="H84" s="267">
        <f t="shared" si="6"/>
        <v>0</v>
      </c>
      <c r="I84" s="110">
        <f>IF(H84=0,0,H84*(1+'📋 Datos Generales'!$E$28))</f>
        <v>0</v>
      </c>
      <c r="J84" s="268">
        <f t="shared" si="7"/>
        <v>0</v>
      </c>
      <c r="K84" s="269">
        <f>IF(OR(I84=0,'🧾 Factura Comercial'!G83=0),0,CEILING('🧮 Costos x Producto'!J83*'🧾 Factura Comercial'!G83/I84,1))</f>
        <v>0</v>
      </c>
    </row>
    <row r="85" spans="4:11" ht="19.5" hidden="1" customHeight="1" thickBot="1" x14ac:dyDescent="0.3">
      <c r="D85" s="28">
        <v>78</v>
      </c>
      <c r="E85" s="262">
        <f>'🧾 Factura Comercial'!E84</f>
        <v>0</v>
      </c>
      <c r="F85" s="270">
        <f>'🧮 Costos x Producto'!K84</f>
        <v>0</v>
      </c>
      <c r="G85" s="351">
        <f t="shared" si="5"/>
        <v>0.4</v>
      </c>
      <c r="H85" s="267">
        <f t="shared" si="6"/>
        <v>0</v>
      </c>
      <c r="I85" s="110">
        <f>IF(H85=0,0,H85*(1+'📋 Datos Generales'!$E$28))</f>
        <v>0</v>
      </c>
      <c r="J85" s="268">
        <f t="shared" si="7"/>
        <v>0</v>
      </c>
      <c r="K85" s="269">
        <f>IF(OR(I85=0,'🧾 Factura Comercial'!G84=0),0,CEILING('🧮 Costos x Producto'!J84*'🧾 Factura Comercial'!G84/I85,1))</f>
        <v>0</v>
      </c>
    </row>
    <row r="86" spans="4:11" ht="19.5" hidden="1" customHeight="1" thickBot="1" x14ac:dyDescent="0.3">
      <c r="D86" s="28">
        <v>79</v>
      </c>
      <c r="E86" s="262">
        <f>'🧾 Factura Comercial'!E85</f>
        <v>0</v>
      </c>
      <c r="F86" s="270">
        <f>'🧮 Costos x Producto'!K85</f>
        <v>0</v>
      </c>
      <c r="G86" s="351">
        <f t="shared" si="5"/>
        <v>0.4</v>
      </c>
      <c r="H86" s="267">
        <f t="shared" si="6"/>
        <v>0</v>
      </c>
      <c r="I86" s="110">
        <f>IF(H86=0,0,H86*(1+'📋 Datos Generales'!$E$28))</f>
        <v>0</v>
      </c>
      <c r="J86" s="268">
        <f t="shared" si="7"/>
        <v>0</v>
      </c>
      <c r="K86" s="269">
        <f>IF(OR(I86=0,'🧾 Factura Comercial'!G85=0),0,CEILING('🧮 Costos x Producto'!J85*'🧾 Factura Comercial'!G85/I86,1))</f>
        <v>0</v>
      </c>
    </row>
    <row r="87" spans="4:11" ht="19.5" hidden="1" customHeight="1" thickBot="1" x14ac:dyDescent="0.3">
      <c r="D87" s="28">
        <v>80</v>
      </c>
      <c r="E87" s="262">
        <f>'🧾 Factura Comercial'!E86</f>
        <v>0</v>
      </c>
      <c r="F87" s="270">
        <f>'🧮 Costos x Producto'!K86</f>
        <v>0</v>
      </c>
      <c r="G87" s="351">
        <f t="shared" si="5"/>
        <v>0.4</v>
      </c>
      <c r="H87" s="267">
        <f t="shared" si="6"/>
        <v>0</v>
      </c>
      <c r="I87" s="110">
        <f>IF(H87=0,0,H87*(1+'📋 Datos Generales'!$E$28))</f>
        <v>0</v>
      </c>
      <c r="J87" s="268">
        <f t="shared" si="7"/>
        <v>0</v>
      </c>
      <c r="K87" s="269">
        <f>IF(OR(I87=0,'🧾 Factura Comercial'!G86=0),0,CEILING('🧮 Costos x Producto'!J86*'🧾 Factura Comercial'!G86/I87,1))</f>
        <v>0</v>
      </c>
    </row>
    <row r="88" spans="4:11" ht="19.5" hidden="1" customHeight="1" thickBot="1" x14ac:dyDescent="0.3">
      <c r="D88" s="28">
        <v>81</v>
      </c>
      <c r="E88" s="262">
        <f>'🧾 Factura Comercial'!E87</f>
        <v>0</v>
      </c>
      <c r="F88" s="270">
        <f>'🧮 Costos x Producto'!K87</f>
        <v>0</v>
      </c>
      <c r="G88" s="351">
        <f t="shared" si="5"/>
        <v>0.4</v>
      </c>
      <c r="H88" s="267">
        <f t="shared" si="6"/>
        <v>0</v>
      </c>
      <c r="I88" s="110">
        <f>IF(H88=0,0,H88*(1+'📋 Datos Generales'!$E$28))</f>
        <v>0</v>
      </c>
      <c r="J88" s="268">
        <f t="shared" si="7"/>
        <v>0</v>
      </c>
      <c r="K88" s="269">
        <f>IF(OR(I88=0,'🧾 Factura Comercial'!G87=0),0,CEILING('🧮 Costos x Producto'!J87*'🧾 Factura Comercial'!G87/I88,1))</f>
        <v>0</v>
      </c>
    </row>
    <row r="89" spans="4:11" ht="19.5" hidden="1" customHeight="1" thickBot="1" x14ac:dyDescent="0.3">
      <c r="D89" s="28">
        <v>82</v>
      </c>
      <c r="E89" s="262">
        <f>'🧾 Factura Comercial'!E88</f>
        <v>0</v>
      </c>
      <c r="F89" s="270">
        <f>'🧮 Costos x Producto'!K88</f>
        <v>0</v>
      </c>
      <c r="G89" s="351">
        <f t="shared" si="5"/>
        <v>0.4</v>
      </c>
      <c r="H89" s="267">
        <f t="shared" si="6"/>
        <v>0</v>
      </c>
      <c r="I89" s="110">
        <f>IF(H89=0,0,H89*(1+'📋 Datos Generales'!$E$28))</f>
        <v>0</v>
      </c>
      <c r="J89" s="268">
        <f t="shared" si="7"/>
        <v>0</v>
      </c>
      <c r="K89" s="269">
        <f>IF(OR(I89=0,'🧾 Factura Comercial'!G88=0),0,CEILING('🧮 Costos x Producto'!J88*'🧾 Factura Comercial'!G88/I89,1))</f>
        <v>0</v>
      </c>
    </row>
    <row r="90" spans="4:11" ht="19.5" hidden="1" customHeight="1" thickBot="1" x14ac:dyDescent="0.3">
      <c r="D90" s="28">
        <v>83</v>
      </c>
      <c r="E90" s="262">
        <f>'🧾 Factura Comercial'!E89</f>
        <v>0</v>
      </c>
      <c r="F90" s="270">
        <f>'🧮 Costos x Producto'!K89</f>
        <v>0</v>
      </c>
      <c r="G90" s="351">
        <f t="shared" si="5"/>
        <v>0.4</v>
      </c>
      <c r="H90" s="267">
        <f t="shared" si="6"/>
        <v>0</v>
      </c>
      <c r="I90" s="110">
        <f>IF(H90=0,0,H90*(1+'📋 Datos Generales'!$E$28))</f>
        <v>0</v>
      </c>
      <c r="J90" s="268">
        <f t="shared" si="7"/>
        <v>0</v>
      </c>
      <c r="K90" s="269">
        <f>IF(OR(I90=0,'🧾 Factura Comercial'!G89=0),0,CEILING('🧮 Costos x Producto'!J89*'🧾 Factura Comercial'!G89/I90,1))</f>
        <v>0</v>
      </c>
    </row>
    <row r="91" spans="4:11" ht="19.5" hidden="1" customHeight="1" thickBot="1" x14ac:dyDescent="0.3">
      <c r="D91" s="28">
        <v>84</v>
      </c>
      <c r="E91" s="262">
        <f>'🧾 Factura Comercial'!E90</f>
        <v>0</v>
      </c>
      <c r="F91" s="270">
        <f>'🧮 Costos x Producto'!K90</f>
        <v>0</v>
      </c>
      <c r="G91" s="351">
        <f t="shared" si="5"/>
        <v>0.4</v>
      </c>
      <c r="H91" s="267">
        <f t="shared" si="6"/>
        <v>0</v>
      </c>
      <c r="I91" s="110">
        <f>IF(H91=0,0,H91*(1+'📋 Datos Generales'!$E$28))</f>
        <v>0</v>
      </c>
      <c r="J91" s="268">
        <f t="shared" si="7"/>
        <v>0</v>
      </c>
      <c r="K91" s="269">
        <f>IF(OR(I91=0,'🧾 Factura Comercial'!G90=0),0,CEILING('🧮 Costos x Producto'!J90*'🧾 Factura Comercial'!G90/I91,1))</f>
        <v>0</v>
      </c>
    </row>
    <row r="92" spans="4:11" ht="19.5" hidden="1" customHeight="1" thickBot="1" x14ac:dyDescent="0.3">
      <c r="D92" s="28">
        <v>85</v>
      </c>
      <c r="E92" s="262">
        <f>'🧾 Factura Comercial'!E91</f>
        <v>0</v>
      </c>
      <c r="F92" s="270">
        <f>'🧮 Costos x Producto'!K91</f>
        <v>0</v>
      </c>
      <c r="G92" s="351">
        <f t="shared" si="5"/>
        <v>0.4</v>
      </c>
      <c r="H92" s="267">
        <f t="shared" si="6"/>
        <v>0</v>
      </c>
      <c r="I92" s="110">
        <f>IF(H92=0,0,H92*(1+'📋 Datos Generales'!$E$28))</f>
        <v>0</v>
      </c>
      <c r="J92" s="268">
        <f t="shared" si="7"/>
        <v>0</v>
      </c>
      <c r="K92" s="269">
        <f>IF(OR(I92=0,'🧾 Factura Comercial'!G91=0),0,CEILING('🧮 Costos x Producto'!J91*'🧾 Factura Comercial'!G91/I92,1))</f>
        <v>0</v>
      </c>
    </row>
    <row r="93" spans="4:11" ht="19.5" hidden="1" customHeight="1" thickBot="1" x14ac:dyDescent="0.3">
      <c r="D93" s="28">
        <v>86</v>
      </c>
      <c r="E93" s="262">
        <f>'🧾 Factura Comercial'!E92</f>
        <v>0</v>
      </c>
      <c r="F93" s="270">
        <f>'🧮 Costos x Producto'!K92</f>
        <v>0</v>
      </c>
      <c r="G93" s="351">
        <f t="shared" si="5"/>
        <v>0.4</v>
      </c>
      <c r="H93" s="267">
        <f t="shared" si="6"/>
        <v>0</v>
      </c>
      <c r="I93" s="110">
        <f>IF(H93=0,0,H93*(1+'📋 Datos Generales'!$E$28))</f>
        <v>0</v>
      </c>
      <c r="J93" s="268">
        <f t="shared" si="7"/>
        <v>0</v>
      </c>
      <c r="K93" s="269">
        <f>IF(OR(I93=0,'🧾 Factura Comercial'!G92=0),0,CEILING('🧮 Costos x Producto'!J92*'🧾 Factura Comercial'!G92/I93,1))</f>
        <v>0</v>
      </c>
    </row>
    <row r="94" spans="4:11" ht="19.5" hidden="1" customHeight="1" thickBot="1" x14ac:dyDescent="0.3">
      <c r="D94" s="28">
        <v>87</v>
      </c>
      <c r="E94" s="262">
        <f>'🧾 Factura Comercial'!E93</f>
        <v>0</v>
      </c>
      <c r="F94" s="270">
        <f>'🧮 Costos x Producto'!K93</f>
        <v>0</v>
      </c>
      <c r="G94" s="351">
        <f t="shared" si="5"/>
        <v>0.4</v>
      </c>
      <c r="H94" s="267">
        <f t="shared" si="6"/>
        <v>0</v>
      </c>
      <c r="I94" s="110">
        <f>IF(H94=0,0,H94*(1+'📋 Datos Generales'!$E$28))</f>
        <v>0</v>
      </c>
      <c r="J94" s="268">
        <f t="shared" si="7"/>
        <v>0</v>
      </c>
      <c r="K94" s="269">
        <f>IF(OR(I94=0,'🧾 Factura Comercial'!G93=0),0,CEILING('🧮 Costos x Producto'!J93*'🧾 Factura Comercial'!G93/I94,1))</f>
        <v>0</v>
      </c>
    </row>
    <row r="95" spans="4:11" ht="19.5" hidden="1" customHeight="1" thickBot="1" x14ac:dyDescent="0.3">
      <c r="D95" s="28">
        <v>88</v>
      </c>
      <c r="E95" s="262">
        <f>'🧾 Factura Comercial'!E94</f>
        <v>0</v>
      </c>
      <c r="F95" s="270">
        <f>'🧮 Costos x Producto'!K94</f>
        <v>0</v>
      </c>
      <c r="G95" s="351">
        <f t="shared" si="5"/>
        <v>0.4</v>
      </c>
      <c r="H95" s="267">
        <f t="shared" si="6"/>
        <v>0</v>
      </c>
      <c r="I95" s="110">
        <f>IF(H95=0,0,H95*(1+'📋 Datos Generales'!$E$28))</f>
        <v>0</v>
      </c>
      <c r="J95" s="268">
        <f t="shared" si="7"/>
        <v>0</v>
      </c>
      <c r="K95" s="269">
        <f>IF(OR(I95=0,'🧾 Factura Comercial'!G94=0),0,CEILING('🧮 Costos x Producto'!J94*'🧾 Factura Comercial'!G94/I95,1))</f>
        <v>0</v>
      </c>
    </row>
    <row r="96" spans="4:11" ht="19.5" hidden="1" customHeight="1" thickBot="1" x14ac:dyDescent="0.3">
      <c r="D96" s="28">
        <v>89</v>
      </c>
      <c r="E96" s="262">
        <f>'🧾 Factura Comercial'!E95</f>
        <v>0</v>
      </c>
      <c r="F96" s="270">
        <f>'🧮 Costos x Producto'!K95</f>
        <v>0</v>
      </c>
      <c r="G96" s="351">
        <f t="shared" si="5"/>
        <v>0.4</v>
      </c>
      <c r="H96" s="267">
        <f t="shared" si="6"/>
        <v>0</v>
      </c>
      <c r="I96" s="110">
        <f>IF(H96=0,0,H96*(1+'📋 Datos Generales'!$E$28))</f>
        <v>0</v>
      </c>
      <c r="J96" s="268">
        <f t="shared" si="7"/>
        <v>0</v>
      </c>
      <c r="K96" s="269">
        <f>IF(OR(I96=0,'🧾 Factura Comercial'!G95=0),0,CEILING('🧮 Costos x Producto'!J95*'🧾 Factura Comercial'!G95/I96,1))</f>
        <v>0</v>
      </c>
    </row>
    <row r="97" spans="4:11" ht="19.5" hidden="1" customHeight="1" thickBot="1" x14ac:dyDescent="0.3">
      <c r="D97" s="28">
        <v>90</v>
      </c>
      <c r="E97" s="262">
        <f>'🧾 Factura Comercial'!E96</f>
        <v>0</v>
      </c>
      <c r="F97" s="270">
        <f>'🧮 Costos x Producto'!K96</f>
        <v>0</v>
      </c>
      <c r="G97" s="351">
        <f t="shared" si="5"/>
        <v>0.4</v>
      </c>
      <c r="H97" s="267">
        <f t="shared" si="6"/>
        <v>0</v>
      </c>
      <c r="I97" s="110">
        <f>IF(H97=0,0,H97*(1+'📋 Datos Generales'!$E$28))</f>
        <v>0</v>
      </c>
      <c r="J97" s="268">
        <f t="shared" si="7"/>
        <v>0</v>
      </c>
      <c r="K97" s="269">
        <f>IF(OR(I97=0,'🧾 Factura Comercial'!G96=0),0,CEILING('🧮 Costos x Producto'!J96*'🧾 Factura Comercial'!G96/I97,1))</f>
        <v>0</v>
      </c>
    </row>
    <row r="98" spans="4:11" ht="19.5" hidden="1" customHeight="1" thickBot="1" x14ac:dyDescent="0.3">
      <c r="D98" s="28">
        <v>91</v>
      </c>
      <c r="E98" s="262">
        <f>'🧾 Factura Comercial'!E97</f>
        <v>0</v>
      </c>
      <c r="F98" s="270">
        <f>'🧮 Costos x Producto'!K97</f>
        <v>0</v>
      </c>
      <c r="G98" s="351">
        <f t="shared" si="5"/>
        <v>0.4</v>
      </c>
      <c r="H98" s="267">
        <f t="shared" si="6"/>
        <v>0</v>
      </c>
      <c r="I98" s="110">
        <f>IF(H98=0,0,H98*(1+'📋 Datos Generales'!$E$28))</f>
        <v>0</v>
      </c>
      <c r="J98" s="268">
        <f t="shared" si="7"/>
        <v>0</v>
      </c>
      <c r="K98" s="269">
        <f>IF(OR(I98=0,'🧾 Factura Comercial'!G97=0),0,CEILING('🧮 Costos x Producto'!J97*'🧾 Factura Comercial'!G97/I98,1))</f>
        <v>0</v>
      </c>
    </row>
    <row r="99" spans="4:11" ht="19.5" hidden="1" customHeight="1" thickBot="1" x14ac:dyDescent="0.3">
      <c r="D99" s="28">
        <v>92</v>
      </c>
      <c r="E99" s="262">
        <f>'🧾 Factura Comercial'!E98</f>
        <v>0</v>
      </c>
      <c r="F99" s="270">
        <f>'🧮 Costos x Producto'!K98</f>
        <v>0</v>
      </c>
      <c r="G99" s="351">
        <f t="shared" si="5"/>
        <v>0.4</v>
      </c>
      <c r="H99" s="267">
        <f t="shared" si="6"/>
        <v>0</v>
      </c>
      <c r="I99" s="110">
        <f>IF(H99=0,0,H99*(1+'📋 Datos Generales'!$E$28))</f>
        <v>0</v>
      </c>
      <c r="J99" s="268">
        <f t="shared" si="7"/>
        <v>0</v>
      </c>
      <c r="K99" s="269">
        <f>IF(OR(I99=0,'🧾 Factura Comercial'!G98=0),0,CEILING('🧮 Costos x Producto'!J98*'🧾 Factura Comercial'!G98/I99,1))</f>
        <v>0</v>
      </c>
    </row>
    <row r="100" spans="4:11" ht="19.5" hidden="1" customHeight="1" thickBot="1" x14ac:dyDescent="0.3">
      <c r="D100" s="28">
        <v>93</v>
      </c>
      <c r="E100" s="262">
        <f>'🧾 Factura Comercial'!E99</f>
        <v>0</v>
      </c>
      <c r="F100" s="270">
        <f>'🧮 Costos x Producto'!K99</f>
        <v>0</v>
      </c>
      <c r="G100" s="351">
        <f t="shared" si="5"/>
        <v>0.4</v>
      </c>
      <c r="H100" s="267">
        <f t="shared" si="6"/>
        <v>0</v>
      </c>
      <c r="I100" s="110">
        <f>IF(H100=0,0,H100*(1+'📋 Datos Generales'!$E$28))</f>
        <v>0</v>
      </c>
      <c r="J100" s="268">
        <f t="shared" si="7"/>
        <v>0</v>
      </c>
      <c r="K100" s="269">
        <f>IF(OR(I100=0,'🧾 Factura Comercial'!G99=0),0,CEILING('🧮 Costos x Producto'!J99*'🧾 Factura Comercial'!G99/I100,1))</f>
        <v>0</v>
      </c>
    </row>
    <row r="101" spans="4:11" ht="19.5" hidden="1" customHeight="1" thickBot="1" x14ac:dyDescent="0.3">
      <c r="D101" s="28">
        <v>94</v>
      </c>
      <c r="E101" s="262">
        <f>'🧾 Factura Comercial'!E100</f>
        <v>0</v>
      </c>
      <c r="F101" s="270">
        <f>'🧮 Costos x Producto'!K100</f>
        <v>0</v>
      </c>
      <c r="G101" s="351">
        <f t="shared" si="5"/>
        <v>0.4</v>
      </c>
      <c r="H101" s="267">
        <f t="shared" si="6"/>
        <v>0</v>
      </c>
      <c r="I101" s="110">
        <f>IF(H101=0,0,H101*(1+'📋 Datos Generales'!$E$28))</f>
        <v>0</v>
      </c>
      <c r="J101" s="268">
        <f t="shared" si="7"/>
        <v>0</v>
      </c>
      <c r="K101" s="269">
        <f>IF(OR(I101=0,'🧾 Factura Comercial'!G100=0),0,CEILING('🧮 Costos x Producto'!J100*'🧾 Factura Comercial'!G100/I101,1))</f>
        <v>0</v>
      </c>
    </row>
    <row r="102" spans="4:11" ht="19.5" hidden="1" customHeight="1" thickBot="1" x14ac:dyDescent="0.3">
      <c r="D102" s="28">
        <v>95</v>
      </c>
      <c r="E102" s="262">
        <f>'🧾 Factura Comercial'!E101</f>
        <v>0</v>
      </c>
      <c r="F102" s="270">
        <f>'🧮 Costos x Producto'!K101</f>
        <v>0</v>
      </c>
      <c r="G102" s="351">
        <f t="shared" si="5"/>
        <v>0.4</v>
      </c>
      <c r="H102" s="267">
        <f t="shared" si="6"/>
        <v>0</v>
      </c>
      <c r="I102" s="110">
        <f>IF(H102=0,0,H102*(1+'📋 Datos Generales'!$E$28))</f>
        <v>0</v>
      </c>
      <c r="J102" s="268">
        <f t="shared" si="7"/>
        <v>0</v>
      </c>
      <c r="K102" s="269">
        <f>IF(OR(I102=0,'🧾 Factura Comercial'!G101=0),0,CEILING('🧮 Costos x Producto'!J101*'🧾 Factura Comercial'!G101/I102,1))</f>
        <v>0</v>
      </c>
    </row>
    <row r="103" spans="4:11" ht="19.5" hidden="1" customHeight="1" thickBot="1" x14ac:dyDescent="0.3">
      <c r="D103" s="28">
        <v>96</v>
      </c>
      <c r="E103" s="262">
        <f>'🧾 Factura Comercial'!E102</f>
        <v>0</v>
      </c>
      <c r="F103" s="270">
        <f>'🧮 Costos x Producto'!K102</f>
        <v>0</v>
      </c>
      <c r="G103" s="351">
        <f t="shared" si="5"/>
        <v>0.4</v>
      </c>
      <c r="H103" s="267">
        <f t="shared" si="6"/>
        <v>0</v>
      </c>
      <c r="I103" s="110">
        <f>IF(H103=0,0,H103*(1+'📋 Datos Generales'!$E$28))</f>
        <v>0</v>
      </c>
      <c r="J103" s="268">
        <f t="shared" si="7"/>
        <v>0</v>
      </c>
      <c r="K103" s="269">
        <f>IF(OR(I103=0,'🧾 Factura Comercial'!G102=0),0,CEILING('🧮 Costos x Producto'!J102*'🧾 Factura Comercial'!G102/I103,1))</f>
        <v>0</v>
      </c>
    </row>
    <row r="104" spans="4:11" ht="19.5" hidden="1" customHeight="1" thickBot="1" x14ac:dyDescent="0.3">
      <c r="D104" s="28">
        <v>97</v>
      </c>
      <c r="E104" s="262">
        <f>'🧾 Factura Comercial'!E103</f>
        <v>0</v>
      </c>
      <c r="F104" s="270">
        <f>'🧮 Costos x Producto'!K103</f>
        <v>0</v>
      </c>
      <c r="G104" s="351">
        <f t="shared" si="5"/>
        <v>0.4</v>
      </c>
      <c r="H104" s="267">
        <f t="shared" si="6"/>
        <v>0</v>
      </c>
      <c r="I104" s="110">
        <f>IF(H104=0,0,H104*(1+'📋 Datos Generales'!$E$28))</f>
        <v>0</v>
      </c>
      <c r="J104" s="268">
        <f t="shared" si="7"/>
        <v>0</v>
      </c>
      <c r="K104" s="269">
        <f>IF(OR(I104=0,'🧾 Factura Comercial'!G103=0),0,CEILING('🧮 Costos x Producto'!J103*'🧾 Factura Comercial'!G103/I104,1))</f>
        <v>0</v>
      </c>
    </row>
    <row r="105" spans="4:11" ht="19.5" hidden="1" customHeight="1" thickBot="1" x14ac:dyDescent="0.3">
      <c r="D105" s="28">
        <v>98</v>
      </c>
      <c r="E105" s="262">
        <f>'🧾 Factura Comercial'!E104</f>
        <v>0</v>
      </c>
      <c r="F105" s="270">
        <f>'🧮 Costos x Producto'!K104</f>
        <v>0</v>
      </c>
      <c r="G105" s="351">
        <f t="shared" si="5"/>
        <v>0.4</v>
      </c>
      <c r="H105" s="267">
        <f t="shared" si="6"/>
        <v>0</v>
      </c>
      <c r="I105" s="110">
        <f>IF(H105=0,0,H105*(1+'📋 Datos Generales'!$E$28))</f>
        <v>0</v>
      </c>
      <c r="J105" s="268">
        <f t="shared" si="7"/>
        <v>0</v>
      </c>
      <c r="K105" s="269">
        <f>IF(OR(I105=0,'🧾 Factura Comercial'!G104=0),0,CEILING('🧮 Costos x Producto'!J104*'🧾 Factura Comercial'!G104/I105,1))</f>
        <v>0</v>
      </c>
    </row>
    <row r="106" spans="4:11" ht="19.5" hidden="1" customHeight="1" thickBot="1" x14ac:dyDescent="0.3">
      <c r="D106" s="28">
        <v>99</v>
      </c>
      <c r="E106" s="262">
        <f>'🧾 Factura Comercial'!E105</f>
        <v>0</v>
      </c>
      <c r="F106" s="270">
        <f>'🧮 Costos x Producto'!K105</f>
        <v>0</v>
      </c>
      <c r="G106" s="351">
        <f t="shared" si="5"/>
        <v>0.4</v>
      </c>
      <c r="H106" s="267">
        <f t="shared" si="6"/>
        <v>0</v>
      </c>
      <c r="I106" s="110">
        <f>IF(H106=0,0,H106*(1+'📋 Datos Generales'!$E$28))</f>
        <v>0</v>
      </c>
      <c r="J106" s="268">
        <f t="shared" si="7"/>
        <v>0</v>
      </c>
      <c r="K106" s="269">
        <f>IF(OR(I106=0,'🧾 Factura Comercial'!G105=0),0,CEILING('🧮 Costos x Producto'!J105*'🧾 Factura Comercial'!G105/I106,1))</f>
        <v>0</v>
      </c>
    </row>
    <row r="107" spans="4:11" ht="19.5" hidden="1" customHeight="1" thickBot="1" x14ac:dyDescent="0.3">
      <c r="D107" s="28">
        <v>100</v>
      </c>
      <c r="E107" s="262">
        <f>'🧾 Factura Comercial'!E106</f>
        <v>0</v>
      </c>
      <c r="F107" s="270">
        <f>'🧮 Costos x Producto'!K106</f>
        <v>0</v>
      </c>
      <c r="G107" s="351">
        <f t="shared" si="5"/>
        <v>0.4</v>
      </c>
      <c r="H107" s="267">
        <f t="shared" si="6"/>
        <v>0</v>
      </c>
      <c r="I107" s="110">
        <f>IF(H107=0,0,H107*(1+'📋 Datos Generales'!$E$28))</f>
        <v>0</v>
      </c>
      <c r="J107" s="268">
        <f t="shared" si="7"/>
        <v>0</v>
      </c>
      <c r="K107" s="269">
        <f>IF(OR(I107=0,'🧾 Factura Comercial'!G106=0),0,CEILING('🧮 Costos x Producto'!J106*'🧾 Factura Comercial'!G106/I107,1))</f>
        <v>0</v>
      </c>
    </row>
    <row r="108" spans="4:11" ht="19.5" hidden="1" customHeight="1" thickBot="1" x14ac:dyDescent="0.3">
      <c r="D108" s="28">
        <v>101</v>
      </c>
      <c r="E108" s="262">
        <f>'🧾 Factura Comercial'!E107</f>
        <v>0</v>
      </c>
      <c r="F108" s="270">
        <f>'🧮 Costos x Producto'!K107</f>
        <v>0</v>
      </c>
      <c r="G108" s="351">
        <f t="shared" si="5"/>
        <v>0.4</v>
      </c>
      <c r="H108" s="267">
        <f t="shared" si="6"/>
        <v>0</v>
      </c>
      <c r="I108" s="110">
        <f>IF(H108=0,0,H108*(1+'📋 Datos Generales'!$E$28))</f>
        <v>0</v>
      </c>
      <c r="J108" s="268">
        <f t="shared" si="7"/>
        <v>0</v>
      </c>
      <c r="K108" s="269">
        <f>IF(OR(I108=0,'🧾 Factura Comercial'!G107=0),0,CEILING('🧮 Costos x Producto'!J107*'🧾 Factura Comercial'!G107/I108,1))</f>
        <v>0</v>
      </c>
    </row>
    <row r="109" spans="4:11" ht="19.5" hidden="1" customHeight="1" thickBot="1" x14ac:dyDescent="0.3">
      <c r="D109" s="28">
        <v>102</v>
      </c>
      <c r="E109" s="262">
        <f>'🧾 Factura Comercial'!E108</f>
        <v>0</v>
      </c>
      <c r="F109" s="270">
        <f>'🧮 Costos x Producto'!K108</f>
        <v>0</v>
      </c>
      <c r="G109" s="351">
        <f t="shared" si="5"/>
        <v>0.4</v>
      </c>
      <c r="H109" s="267">
        <f t="shared" si="6"/>
        <v>0</v>
      </c>
      <c r="I109" s="110">
        <f>IF(H109=0,0,H109*(1+'📋 Datos Generales'!$E$28))</f>
        <v>0</v>
      </c>
      <c r="J109" s="268">
        <f t="shared" si="7"/>
        <v>0</v>
      </c>
      <c r="K109" s="269">
        <f>IF(OR(I109=0,'🧾 Factura Comercial'!G108=0),0,CEILING('🧮 Costos x Producto'!J108*'🧾 Factura Comercial'!G108/I109,1))</f>
        <v>0</v>
      </c>
    </row>
    <row r="110" spans="4:11" ht="19.5" hidden="1" customHeight="1" thickBot="1" x14ac:dyDescent="0.3">
      <c r="D110" s="28">
        <v>103</v>
      </c>
      <c r="E110" s="262">
        <f>'🧾 Factura Comercial'!E109</f>
        <v>0</v>
      </c>
      <c r="F110" s="270">
        <f>'🧮 Costos x Producto'!K109</f>
        <v>0</v>
      </c>
      <c r="G110" s="351">
        <f t="shared" si="5"/>
        <v>0.4</v>
      </c>
      <c r="H110" s="267">
        <f t="shared" si="6"/>
        <v>0</v>
      </c>
      <c r="I110" s="110">
        <f>IF(H110=0,0,H110*(1+'📋 Datos Generales'!$E$28))</f>
        <v>0</v>
      </c>
      <c r="J110" s="268">
        <f t="shared" si="7"/>
        <v>0</v>
      </c>
      <c r="K110" s="269">
        <f>IF(OR(I110=0,'🧾 Factura Comercial'!G109=0),0,CEILING('🧮 Costos x Producto'!J109*'🧾 Factura Comercial'!G109/I110,1))</f>
        <v>0</v>
      </c>
    </row>
    <row r="111" spans="4:11" ht="19.5" hidden="1" customHeight="1" thickBot="1" x14ac:dyDescent="0.3">
      <c r="D111" s="28">
        <v>104</v>
      </c>
      <c r="E111" s="262">
        <f>'🧾 Factura Comercial'!E110</f>
        <v>0</v>
      </c>
      <c r="F111" s="270">
        <f>'🧮 Costos x Producto'!K110</f>
        <v>0</v>
      </c>
      <c r="G111" s="351">
        <f t="shared" si="5"/>
        <v>0.4</v>
      </c>
      <c r="H111" s="267">
        <f t="shared" si="6"/>
        <v>0</v>
      </c>
      <c r="I111" s="110">
        <f>IF(H111=0,0,H111*(1+'📋 Datos Generales'!$E$28))</f>
        <v>0</v>
      </c>
      <c r="J111" s="268">
        <f t="shared" si="7"/>
        <v>0</v>
      </c>
      <c r="K111" s="269">
        <f>IF(OR(I111=0,'🧾 Factura Comercial'!G110=0),0,CEILING('🧮 Costos x Producto'!J110*'🧾 Factura Comercial'!G110/I111,1))</f>
        <v>0</v>
      </c>
    </row>
    <row r="112" spans="4:11" ht="19.5" hidden="1" customHeight="1" thickBot="1" x14ac:dyDescent="0.3">
      <c r="D112" s="28">
        <v>105</v>
      </c>
      <c r="E112" s="262">
        <f>'🧾 Factura Comercial'!E111</f>
        <v>0</v>
      </c>
      <c r="F112" s="270">
        <f>'🧮 Costos x Producto'!K111</f>
        <v>0</v>
      </c>
      <c r="G112" s="351">
        <f t="shared" si="5"/>
        <v>0.4</v>
      </c>
      <c r="H112" s="267">
        <f t="shared" si="6"/>
        <v>0</v>
      </c>
      <c r="I112" s="110">
        <f>IF(H112=0,0,H112*(1+'📋 Datos Generales'!$E$28))</f>
        <v>0</v>
      </c>
      <c r="J112" s="268">
        <f t="shared" si="7"/>
        <v>0</v>
      </c>
      <c r="K112" s="269">
        <f>IF(OR(I112=0,'🧾 Factura Comercial'!G111=0),0,CEILING('🧮 Costos x Producto'!J111*'🧾 Factura Comercial'!G111/I112,1))</f>
        <v>0</v>
      </c>
    </row>
    <row r="113" spans="4:11" ht="19.5" hidden="1" customHeight="1" thickBot="1" x14ac:dyDescent="0.3">
      <c r="D113" s="28">
        <v>106</v>
      </c>
      <c r="E113" s="262">
        <f>'🧾 Factura Comercial'!E112</f>
        <v>0</v>
      </c>
      <c r="F113" s="270">
        <f>'🧮 Costos x Producto'!K112</f>
        <v>0</v>
      </c>
      <c r="G113" s="351">
        <f t="shared" si="5"/>
        <v>0.4</v>
      </c>
      <c r="H113" s="267">
        <f t="shared" si="6"/>
        <v>0</v>
      </c>
      <c r="I113" s="110">
        <f>IF(H113=0,0,H113*(1+'📋 Datos Generales'!$E$28))</f>
        <v>0</v>
      </c>
      <c r="J113" s="268">
        <f t="shared" si="7"/>
        <v>0</v>
      </c>
      <c r="K113" s="269">
        <f>IF(OR(I113=0,'🧾 Factura Comercial'!G112=0),0,CEILING('🧮 Costos x Producto'!J112*'🧾 Factura Comercial'!G112/I113,1))</f>
        <v>0</v>
      </c>
    </row>
    <row r="114" spans="4:11" ht="19.5" hidden="1" customHeight="1" thickBot="1" x14ac:dyDescent="0.3">
      <c r="D114" s="28">
        <v>107</v>
      </c>
      <c r="E114" s="262">
        <f>'🧾 Factura Comercial'!E113</f>
        <v>0</v>
      </c>
      <c r="F114" s="270">
        <f>'🧮 Costos x Producto'!K113</f>
        <v>0</v>
      </c>
      <c r="G114" s="351">
        <f t="shared" si="5"/>
        <v>0.4</v>
      </c>
      <c r="H114" s="267">
        <f t="shared" si="6"/>
        <v>0</v>
      </c>
      <c r="I114" s="110">
        <f>IF(H114=0,0,H114*(1+'📋 Datos Generales'!$E$28))</f>
        <v>0</v>
      </c>
      <c r="J114" s="268">
        <f t="shared" si="7"/>
        <v>0</v>
      </c>
      <c r="K114" s="269">
        <f>IF(OR(I114=0,'🧾 Factura Comercial'!G113=0),0,CEILING('🧮 Costos x Producto'!J113*'🧾 Factura Comercial'!G113/I114,1))</f>
        <v>0</v>
      </c>
    </row>
    <row r="115" spans="4:11" ht="19.5" hidden="1" customHeight="1" thickBot="1" x14ac:dyDescent="0.3">
      <c r="D115" s="28">
        <v>108</v>
      </c>
      <c r="E115" s="262">
        <f>'🧾 Factura Comercial'!E114</f>
        <v>0</v>
      </c>
      <c r="F115" s="270">
        <f>'🧮 Costos x Producto'!K114</f>
        <v>0</v>
      </c>
      <c r="G115" s="351">
        <f t="shared" si="5"/>
        <v>0.4</v>
      </c>
      <c r="H115" s="267">
        <f t="shared" si="6"/>
        <v>0</v>
      </c>
      <c r="I115" s="110">
        <f>IF(H115=0,0,H115*(1+'📋 Datos Generales'!$E$28))</f>
        <v>0</v>
      </c>
      <c r="J115" s="268">
        <f t="shared" si="7"/>
        <v>0</v>
      </c>
      <c r="K115" s="269">
        <f>IF(OR(I115=0,'🧾 Factura Comercial'!G114=0),0,CEILING('🧮 Costos x Producto'!J114*'🧾 Factura Comercial'!G114/I115,1))</f>
        <v>0</v>
      </c>
    </row>
    <row r="116" spans="4:11" ht="19.5" hidden="1" customHeight="1" thickBot="1" x14ac:dyDescent="0.3">
      <c r="D116" s="28">
        <v>109</v>
      </c>
      <c r="E116" s="262">
        <f>'🧾 Factura Comercial'!E115</f>
        <v>0</v>
      </c>
      <c r="F116" s="270">
        <f>'🧮 Costos x Producto'!K115</f>
        <v>0</v>
      </c>
      <c r="G116" s="351">
        <f t="shared" si="5"/>
        <v>0.4</v>
      </c>
      <c r="H116" s="267">
        <f t="shared" si="6"/>
        <v>0</v>
      </c>
      <c r="I116" s="110">
        <f>IF(H116=0,0,H116*(1+'📋 Datos Generales'!$E$28))</f>
        <v>0</v>
      </c>
      <c r="J116" s="268">
        <f t="shared" si="7"/>
        <v>0</v>
      </c>
      <c r="K116" s="269">
        <f>IF(OR(I116=0,'🧾 Factura Comercial'!G115=0),0,CEILING('🧮 Costos x Producto'!J115*'🧾 Factura Comercial'!G115/I116,1))</f>
        <v>0</v>
      </c>
    </row>
    <row r="117" spans="4:11" ht="19.5" hidden="1" customHeight="1" thickBot="1" x14ac:dyDescent="0.3">
      <c r="D117" s="28">
        <v>110</v>
      </c>
      <c r="E117" s="262">
        <f>'🧾 Factura Comercial'!E116</f>
        <v>0</v>
      </c>
      <c r="F117" s="270">
        <f>'🧮 Costos x Producto'!K116</f>
        <v>0</v>
      </c>
      <c r="G117" s="351">
        <f t="shared" si="5"/>
        <v>0.4</v>
      </c>
      <c r="H117" s="267">
        <f t="shared" si="6"/>
        <v>0</v>
      </c>
      <c r="I117" s="110">
        <f>IF(H117=0,0,H117*(1+'📋 Datos Generales'!$E$28))</f>
        <v>0</v>
      </c>
      <c r="J117" s="268">
        <f t="shared" si="7"/>
        <v>0</v>
      </c>
      <c r="K117" s="269">
        <f>IF(OR(I117=0,'🧾 Factura Comercial'!G116=0),0,CEILING('🧮 Costos x Producto'!J116*'🧾 Factura Comercial'!G116/I117,1))</f>
        <v>0</v>
      </c>
    </row>
    <row r="118" spans="4:11" ht="19.5" hidden="1" customHeight="1" thickBot="1" x14ac:dyDescent="0.3">
      <c r="D118" s="28">
        <v>111</v>
      </c>
      <c r="E118" s="262">
        <f>'🧾 Factura Comercial'!E117</f>
        <v>0</v>
      </c>
      <c r="F118" s="270">
        <f>'🧮 Costos x Producto'!K117</f>
        <v>0</v>
      </c>
      <c r="G118" s="351">
        <f t="shared" si="5"/>
        <v>0.4</v>
      </c>
      <c r="H118" s="267">
        <f t="shared" si="6"/>
        <v>0</v>
      </c>
      <c r="I118" s="110">
        <f>IF(H118=0,0,H118*(1+'📋 Datos Generales'!$E$28))</f>
        <v>0</v>
      </c>
      <c r="J118" s="268">
        <f t="shared" si="7"/>
        <v>0</v>
      </c>
      <c r="K118" s="269">
        <f>IF(OR(I118=0,'🧾 Factura Comercial'!G117=0),0,CEILING('🧮 Costos x Producto'!J117*'🧾 Factura Comercial'!G117/I118,1))</f>
        <v>0</v>
      </c>
    </row>
    <row r="119" spans="4:11" ht="19.5" hidden="1" customHeight="1" thickBot="1" x14ac:dyDescent="0.3">
      <c r="D119" s="28">
        <v>112</v>
      </c>
      <c r="E119" s="262">
        <f>'🧾 Factura Comercial'!E118</f>
        <v>0</v>
      </c>
      <c r="F119" s="270">
        <f>'🧮 Costos x Producto'!K118</f>
        <v>0</v>
      </c>
      <c r="G119" s="351">
        <f t="shared" si="5"/>
        <v>0.4</v>
      </c>
      <c r="H119" s="267">
        <f t="shared" si="6"/>
        <v>0</v>
      </c>
      <c r="I119" s="110">
        <f>IF(H119=0,0,H119*(1+'📋 Datos Generales'!$E$28))</f>
        <v>0</v>
      </c>
      <c r="J119" s="268">
        <f t="shared" si="7"/>
        <v>0</v>
      </c>
      <c r="K119" s="269">
        <f>IF(OR(I119=0,'🧾 Factura Comercial'!G118=0),0,CEILING('🧮 Costos x Producto'!J118*'🧾 Factura Comercial'!G118/I119,1))</f>
        <v>0</v>
      </c>
    </row>
    <row r="120" spans="4:11" ht="19.5" hidden="1" customHeight="1" thickBot="1" x14ac:dyDescent="0.3">
      <c r="D120" s="28">
        <v>113</v>
      </c>
      <c r="E120" s="262">
        <f>'🧾 Factura Comercial'!E119</f>
        <v>0</v>
      </c>
      <c r="F120" s="270">
        <f>'🧮 Costos x Producto'!K119</f>
        <v>0</v>
      </c>
      <c r="G120" s="351">
        <f t="shared" si="5"/>
        <v>0.4</v>
      </c>
      <c r="H120" s="267">
        <f t="shared" si="6"/>
        <v>0</v>
      </c>
      <c r="I120" s="110">
        <f>IF(H120=0,0,H120*(1+'📋 Datos Generales'!$E$28))</f>
        <v>0</v>
      </c>
      <c r="J120" s="268">
        <f t="shared" si="7"/>
        <v>0</v>
      </c>
      <c r="K120" s="269">
        <f>IF(OR(I120=0,'🧾 Factura Comercial'!G119=0),0,CEILING('🧮 Costos x Producto'!J119*'🧾 Factura Comercial'!G119/I120,1))</f>
        <v>0</v>
      </c>
    </row>
    <row r="121" spans="4:11" ht="19.5" hidden="1" customHeight="1" thickBot="1" x14ac:dyDescent="0.3">
      <c r="D121" s="28">
        <v>114</v>
      </c>
      <c r="E121" s="262">
        <f>'🧾 Factura Comercial'!E120</f>
        <v>0</v>
      </c>
      <c r="F121" s="270">
        <f>'🧮 Costos x Producto'!K120</f>
        <v>0</v>
      </c>
      <c r="G121" s="351">
        <f t="shared" si="5"/>
        <v>0.4</v>
      </c>
      <c r="H121" s="267">
        <f t="shared" si="6"/>
        <v>0</v>
      </c>
      <c r="I121" s="110">
        <f>IF(H121=0,0,H121*(1+'📋 Datos Generales'!$E$28))</f>
        <v>0</v>
      </c>
      <c r="J121" s="268">
        <f t="shared" si="7"/>
        <v>0</v>
      </c>
      <c r="K121" s="269">
        <f>IF(OR(I121=0,'🧾 Factura Comercial'!G120=0),0,CEILING('🧮 Costos x Producto'!J120*'🧾 Factura Comercial'!G120/I121,1))</f>
        <v>0</v>
      </c>
    </row>
    <row r="122" spans="4:11" ht="19.5" hidden="1" customHeight="1" thickBot="1" x14ac:dyDescent="0.3">
      <c r="D122" s="28">
        <v>115</v>
      </c>
      <c r="E122" s="262">
        <f>'🧾 Factura Comercial'!E121</f>
        <v>0</v>
      </c>
      <c r="F122" s="270">
        <f>'🧮 Costos x Producto'!K121</f>
        <v>0</v>
      </c>
      <c r="G122" s="351">
        <f t="shared" si="5"/>
        <v>0.4</v>
      </c>
      <c r="H122" s="267">
        <f t="shared" si="6"/>
        <v>0</v>
      </c>
      <c r="I122" s="110">
        <f>IF(H122=0,0,H122*(1+'📋 Datos Generales'!$E$28))</f>
        <v>0</v>
      </c>
      <c r="J122" s="268">
        <f t="shared" si="7"/>
        <v>0</v>
      </c>
      <c r="K122" s="269">
        <f>IF(OR(I122=0,'🧾 Factura Comercial'!G121=0),0,CEILING('🧮 Costos x Producto'!J121*'🧾 Factura Comercial'!G121/I122,1))</f>
        <v>0</v>
      </c>
    </row>
    <row r="123" spans="4:11" ht="19.5" hidden="1" customHeight="1" thickBot="1" x14ac:dyDescent="0.3">
      <c r="D123" s="28">
        <v>116</v>
      </c>
      <c r="E123" s="262">
        <f>'🧾 Factura Comercial'!E122</f>
        <v>0</v>
      </c>
      <c r="F123" s="270">
        <f>'🧮 Costos x Producto'!K122</f>
        <v>0</v>
      </c>
      <c r="G123" s="351">
        <f t="shared" si="5"/>
        <v>0.4</v>
      </c>
      <c r="H123" s="267">
        <f t="shared" si="6"/>
        <v>0</v>
      </c>
      <c r="I123" s="110">
        <f>IF(H123=0,0,H123*(1+'📋 Datos Generales'!$E$28))</f>
        <v>0</v>
      </c>
      <c r="J123" s="268">
        <f t="shared" si="7"/>
        <v>0</v>
      </c>
      <c r="K123" s="269">
        <f>IF(OR(I123=0,'🧾 Factura Comercial'!G122=0),0,CEILING('🧮 Costos x Producto'!J122*'🧾 Factura Comercial'!G122/I123,1))</f>
        <v>0</v>
      </c>
    </row>
    <row r="124" spans="4:11" ht="19.5" hidden="1" customHeight="1" thickBot="1" x14ac:dyDescent="0.3">
      <c r="D124" s="28">
        <v>117</v>
      </c>
      <c r="E124" s="262">
        <f>'🧾 Factura Comercial'!E123</f>
        <v>0</v>
      </c>
      <c r="F124" s="270">
        <f>'🧮 Costos x Producto'!K123</f>
        <v>0</v>
      </c>
      <c r="G124" s="351">
        <f t="shared" si="5"/>
        <v>0.4</v>
      </c>
      <c r="H124" s="267">
        <f t="shared" si="6"/>
        <v>0</v>
      </c>
      <c r="I124" s="110">
        <f>IF(H124=0,0,H124*(1+'📋 Datos Generales'!$E$28))</f>
        <v>0</v>
      </c>
      <c r="J124" s="268">
        <f t="shared" si="7"/>
        <v>0</v>
      </c>
      <c r="K124" s="269">
        <f>IF(OR(I124=0,'🧾 Factura Comercial'!G123=0),0,CEILING('🧮 Costos x Producto'!J123*'🧾 Factura Comercial'!G123/I124,1))</f>
        <v>0</v>
      </c>
    </row>
    <row r="125" spans="4:11" ht="19.5" hidden="1" customHeight="1" thickBot="1" x14ac:dyDescent="0.3">
      <c r="D125" s="28">
        <v>118</v>
      </c>
      <c r="E125" s="262">
        <f>'🧾 Factura Comercial'!E124</f>
        <v>0</v>
      </c>
      <c r="F125" s="270">
        <f>'🧮 Costos x Producto'!K124</f>
        <v>0</v>
      </c>
      <c r="G125" s="351">
        <f t="shared" si="5"/>
        <v>0.4</v>
      </c>
      <c r="H125" s="267">
        <f t="shared" si="6"/>
        <v>0</v>
      </c>
      <c r="I125" s="110">
        <f>IF(H125=0,0,H125*(1+'📋 Datos Generales'!$E$28))</f>
        <v>0</v>
      </c>
      <c r="J125" s="268">
        <f t="shared" si="7"/>
        <v>0</v>
      </c>
      <c r="K125" s="269">
        <f>IF(OR(I125=0,'🧾 Factura Comercial'!G124=0),0,CEILING('🧮 Costos x Producto'!J124*'🧾 Factura Comercial'!G124/I125,1))</f>
        <v>0</v>
      </c>
    </row>
    <row r="126" spans="4:11" ht="19.5" hidden="1" customHeight="1" thickBot="1" x14ac:dyDescent="0.3">
      <c r="D126" s="28">
        <v>119</v>
      </c>
      <c r="E126" s="262">
        <f>'🧾 Factura Comercial'!E125</f>
        <v>0</v>
      </c>
      <c r="F126" s="270">
        <f>'🧮 Costos x Producto'!K125</f>
        <v>0</v>
      </c>
      <c r="G126" s="351">
        <f t="shared" si="5"/>
        <v>0.4</v>
      </c>
      <c r="H126" s="267">
        <f t="shared" si="6"/>
        <v>0</v>
      </c>
      <c r="I126" s="110">
        <f>IF(H126=0,0,H126*(1+'📋 Datos Generales'!$E$28))</f>
        <v>0</v>
      </c>
      <c r="J126" s="268">
        <f t="shared" si="7"/>
        <v>0</v>
      </c>
      <c r="K126" s="269">
        <f>IF(OR(I126=0,'🧾 Factura Comercial'!G125=0),0,CEILING('🧮 Costos x Producto'!J125*'🧾 Factura Comercial'!G125/I126,1))</f>
        <v>0</v>
      </c>
    </row>
    <row r="127" spans="4:11" ht="19.5" hidden="1" customHeight="1" thickBot="1" x14ac:dyDescent="0.3">
      <c r="D127" s="28">
        <v>120</v>
      </c>
      <c r="E127" s="262">
        <f>'🧾 Factura Comercial'!E126</f>
        <v>0</v>
      </c>
      <c r="F127" s="270">
        <f>'🧮 Costos x Producto'!K126</f>
        <v>0</v>
      </c>
      <c r="G127" s="351">
        <f t="shared" si="5"/>
        <v>0.4</v>
      </c>
      <c r="H127" s="267">
        <f t="shared" si="6"/>
        <v>0</v>
      </c>
      <c r="I127" s="110">
        <f>IF(H127=0,0,H127*(1+'📋 Datos Generales'!$E$28))</f>
        <v>0</v>
      </c>
      <c r="J127" s="268">
        <f t="shared" si="7"/>
        <v>0</v>
      </c>
      <c r="K127" s="269">
        <f>IF(OR(I127=0,'🧾 Factura Comercial'!G126=0),0,CEILING('🧮 Costos x Producto'!J126*'🧾 Factura Comercial'!G126/I127,1))</f>
        <v>0</v>
      </c>
    </row>
    <row r="128" spans="4:11" ht="19.5" hidden="1" customHeight="1" thickBot="1" x14ac:dyDescent="0.3">
      <c r="D128" s="28">
        <v>121</v>
      </c>
      <c r="E128" s="262">
        <f>'🧾 Factura Comercial'!E127</f>
        <v>0</v>
      </c>
      <c r="F128" s="270">
        <f>'🧮 Costos x Producto'!K127</f>
        <v>0</v>
      </c>
      <c r="G128" s="351">
        <f t="shared" si="5"/>
        <v>0.4</v>
      </c>
      <c r="H128" s="267">
        <f t="shared" si="6"/>
        <v>0</v>
      </c>
      <c r="I128" s="110">
        <f>IF(H128=0,0,H128*(1+'📋 Datos Generales'!$E$28))</f>
        <v>0</v>
      </c>
      <c r="J128" s="268">
        <f t="shared" si="7"/>
        <v>0</v>
      </c>
      <c r="K128" s="269">
        <f>IF(OR(I128=0,'🧾 Factura Comercial'!G127=0),0,CEILING('🧮 Costos x Producto'!J127*'🧾 Factura Comercial'!G127/I128,1))</f>
        <v>0</v>
      </c>
    </row>
    <row r="129" spans="4:11" ht="19.5" hidden="1" customHeight="1" thickBot="1" x14ac:dyDescent="0.3">
      <c r="D129" s="28">
        <v>122</v>
      </c>
      <c r="E129" s="262">
        <f>'🧾 Factura Comercial'!E128</f>
        <v>0</v>
      </c>
      <c r="F129" s="270">
        <f>'🧮 Costos x Producto'!K128</f>
        <v>0</v>
      </c>
      <c r="G129" s="351">
        <f t="shared" si="5"/>
        <v>0.4</v>
      </c>
      <c r="H129" s="267">
        <f t="shared" si="6"/>
        <v>0</v>
      </c>
      <c r="I129" s="110">
        <f>IF(H129=0,0,H129*(1+'📋 Datos Generales'!$E$28))</f>
        <v>0</v>
      </c>
      <c r="J129" s="268">
        <f t="shared" si="7"/>
        <v>0</v>
      </c>
      <c r="K129" s="269">
        <f>IF(OR(I129=0,'🧾 Factura Comercial'!G128=0),0,CEILING('🧮 Costos x Producto'!J128*'🧾 Factura Comercial'!G128/I129,1))</f>
        <v>0</v>
      </c>
    </row>
    <row r="130" spans="4:11" ht="19.5" hidden="1" customHeight="1" thickBot="1" x14ac:dyDescent="0.3">
      <c r="D130" s="28">
        <v>123</v>
      </c>
      <c r="E130" s="262">
        <f>'🧾 Factura Comercial'!E129</f>
        <v>0</v>
      </c>
      <c r="F130" s="270">
        <f>'🧮 Costos x Producto'!K129</f>
        <v>0</v>
      </c>
      <c r="G130" s="351">
        <f t="shared" si="5"/>
        <v>0.4</v>
      </c>
      <c r="H130" s="267">
        <f t="shared" si="6"/>
        <v>0</v>
      </c>
      <c r="I130" s="110">
        <f>IF(H130=0,0,H130*(1+'📋 Datos Generales'!$E$28))</f>
        <v>0</v>
      </c>
      <c r="J130" s="268">
        <f t="shared" si="7"/>
        <v>0</v>
      </c>
      <c r="K130" s="269">
        <f>IF(OR(I130=0,'🧾 Factura Comercial'!G129=0),0,CEILING('🧮 Costos x Producto'!J129*'🧾 Factura Comercial'!G129/I130,1))</f>
        <v>0</v>
      </c>
    </row>
    <row r="131" spans="4:11" ht="19.5" hidden="1" customHeight="1" thickBot="1" x14ac:dyDescent="0.3">
      <c r="D131" s="28">
        <v>124</v>
      </c>
      <c r="E131" s="262">
        <f>'🧾 Factura Comercial'!E130</f>
        <v>0</v>
      </c>
      <c r="F131" s="270">
        <f>'🧮 Costos x Producto'!K130</f>
        <v>0</v>
      </c>
      <c r="G131" s="351">
        <f t="shared" si="5"/>
        <v>0.4</v>
      </c>
      <c r="H131" s="267">
        <f t="shared" si="6"/>
        <v>0</v>
      </c>
      <c r="I131" s="110">
        <f>IF(H131=0,0,H131*(1+'📋 Datos Generales'!$E$28))</f>
        <v>0</v>
      </c>
      <c r="J131" s="268">
        <f t="shared" si="7"/>
        <v>0</v>
      </c>
      <c r="K131" s="269">
        <f>IF(OR(I131=0,'🧾 Factura Comercial'!G130=0),0,CEILING('🧮 Costos x Producto'!J130*'🧾 Factura Comercial'!G130/I131,1))</f>
        <v>0</v>
      </c>
    </row>
    <row r="132" spans="4:11" ht="19.5" hidden="1" customHeight="1" thickBot="1" x14ac:dyDescent="0.3">
      <c r="D132" s="28">
        <v>125</v>
      </c>
      <c r="E132" s="262">
        <f>'🧾 Factura Comercial'!E131</f>
        <v>0</v>
      </c>
      <c r="F132" s="270">
        <f>'🧮 Costos x Producto'!K131</f>
        <v>0</v>
      </c>
      <c r="G132" s="351">
        <f t="shared" si="5"/>
        <v>0.4</v>
      </c>
      <c r="H132" s="267">
        <f t="shared" si="6"/>
        <v>0</v>
      </c>
      <c r="I132" s="110">
        <f>IF(H132=0,0,H132*(1+'📋 Datos Generales'!$E$28))</f>
        <v>0</v>
      </c>
      <c r="J132" s="268">
        <f t="shared" si="7"/>
        <v>0</v>
      </c>
      <c r="K132" s="269">
        <f>IF(OR(I132=0,'🧾 Factura Comercial'!G131=0),0,CEILING('🧮 Costos x Producto'!J131*'🧾 Factura Comercial'!G131/I132,1))</f>
        <v>0</v>
      </c>
    </row>
    <row r="133" spans="4:11" ht="19.5" hidden="1" customHeight="1" thickBot="1" x14ac:dyDescent="0.3">
      <c r="D133" s="28">
        <v>126</v>
      </c>
      <c r="E133" s="262">
        <f>'🧾 Factura Comercial'!E132</f>
        <v>0</v>
      </c>
      <c r="F133" s="270">
        <f>'🧮 Costos x Producto'!K132</f>
        <v>0</v>
      </c>
      <c r="G133" s="351">
        <f t="shared" si="5"/>
        <v>0.4</v>
      </c>
      <c r="H133" s="267">
        <f t="shared" si="6"/>
        <v>0</v>
      </c>
      <c r="I133" s="110">
        <f>IF(H133=0,0,H133*(1+'📋 Datos Generales'!$E$28))</f>
        <v>0</v>
      </c>
      <c r="J133" s="268">
        <f t="shared" si="7"/>
        <v>0</v>
      </c>
      <c r="K133" s="269">
        <f>IF(OR(I133=0,'🧾 Factura Comercial'!G132=0),0,CEILING('🧮 Costos x Producto'!J132*'🧾 Factura Comercial'!G132/I133,1))</f>
        <v>0</v>
      </c>
    </row>
    <row r="134" spans="4:11" ht="19.5" hidden="1" customHeight="1" thickBot="1" x14ac:dyDescent="0.3">
      <c r="D134" s="28">
        <v>127</v>
      </c>
      <c r="E134" s="262">
        <f>'🧾 Factura Comercial'!E133</f>
        <v>0</v>
      </c>
      <c r="F134" s="270">
        <f>'🧮 Costos x Producto'!K133</f>
        <v>0</v>
      </c>
      <c r="G134" s="351">
        <f t="shared" si="5"/>
        <v>0.4</v>
      </c>
      <c r="H134" s="267">
        <f t="shared" si="6"/>
        <v>0</v>
      </c>
      <c r="I134" s="110">
        <f>IF(H134=0,0,H134*(1+'📋 Datos Generales'!$E$28))</f>
        <v>0</v>
      </c>
      <c r="J134" s="268">
        <f t="shared" si="7"/>
        <v>0</v>
      </c>
      <c r="K134" s="269">
        <f>IF(OR(I134=0,'🧾 Factura Comercial'!G133=0),0,CEILING('🧮 Costos x Producto'!J133*'🧾 Factura Comercial'!G133/I134,1))</f>
        <v>0</v>
      </c>
    </row>
    <row r="135" spans="4:11" ht="19.5" hidden="1" customHeight="1" thickBot="1" x14ac:dyDescent="0.3">
      <c r="D135" s="28">
        <v>128</v>
      </c>
      <c r="E135" s="262">
        <f>'🧾 Factura Comercial'!E134</f>
        <v>0</v>
      </c>
      <c r="F135" s="270">
        <f>'🧮 Costos x Producto'!K134</f>
        <v>0</v>
      </c>
      <c r="G135" s="351">
        <f t="shared" si="5"/>
        <v>0.4</v>
      </c>
      <c r="H135" s="267">
        <f t="shared" si="6"/>
        <v>0</v>
      </c>
      <c r="I135" s="110">
        <f>IF(H135=0,0,H135*(1+'📋 Datos Generales'!$E$28))</f>
        <v>0</v>
      </c>
      <c r="J135" s="268">
        <f t="shared" si="7"/>
        <v>0</v>
      </c>
      <c r="K135" s="269">
        <f>IF(OR(I135=0,'🧾 Factura Comercial'!G134=0),0,CEILING('🧮 Costos x Producto'!J134*'🧾 Factura Comercial'!G134/I135,1))</f>
        <v>0</v>
      </c>
    </row>
    <row r="136" spans="4:11" ht="19.5" hidden="1" customHeight="1" thickBot="1" x14ac:dyDescent="0.3">
      <c r="D136" s="28">
        <v>129</v>
      </c>
      <c r="E136" s="262">
        <f>'🧾 Factura Comercial'!E135</f>
        <v>0</v>
      </c>
      <c r="F136" s="270">
        <f>'🧮 Costos x Producto'!K135</f>
        <v>0</v>
      </c>
      <c r="G136" s="351">
        <f t="shared" si="5"/>
        <v>0.4</v>
      </c>
      <c r="H136" s="267">
        <f t="shared" si="6"/>
        <v>0</v>
      </c>
      <c r="I136" s="110">
        <f>IF(H136=0,0,H136*(1+'📋 Datos Generales'!$E$28))</f>
        <v>0</v>
      </c>
      <c r="J136" s="268">
        <f t="shared" si="7"/>
        <v>0</v>
      </c>
      <c r="K136" s="269">
        <f>IF(OR(I136=0,'🧾 Factura Comercial'!G135=0),0,CEILING('🧮 Costos x Producto'!J135*'🧾 Factura Comercial'!G135/I136,1))</f>
        <v>0</v>
      </c>
    </row>
    <row r="137" spans="4:11" ht="19.5" hidden="1" customHeight="1" thickBot="1" x14ac:dyDescent="0.3">
      <c r="D137" s="28">
        <v>130</v>
      </c>
      <c r="E137" s="262">
        <f>'🧾 Factura Comercial'!E136</f>
        <v>0</v>
      </c>
      <c r="F137" s="270">
        <f>'🧮 Costos x Producto'!K136</f>
        <v>0</v>
      </c>
      <c r="G137" s="351">
        <f t="shared" si="5"/>
        <v>0.4</v>
      </c>
      <c r="H137" s="267">
        <f t="shared" si="6"/>
        <v>0</v>
      </c>
      <c r="I137" s="110">
        <f>IF(H137=0,0,H137*(1+'📋 Datos Generales'!$E$28))</f>
        <v>0</v>
      </c>
      <c r="J137" s="268">
        <f t="shared" si="7"/>
        <v>0</v>
      </c>
      <c r="K137" s="269">
        <f>IF(OR(I137=0,'🧾 Factura Comercial'!G136=0),0,CEILING('🧮 Costos x Producto'!J136*'🧾 Factura Comercial'!G136/I137,1))</f>
        <v>0</v>
      </c>
    </row>
    <row r="138" spans="4:11" ht="19.5" hidden="1" customHeight="1" thickBot="1" x14ac:dyDescent="0.3">
      <c r="D138" s="28">
        <v>131</v>
      </c>
      <c r="E138" s="262">
        <f>'🧾 Factura Comercial'!E137</f>
        <v>0</v>
      </c>
      <c r="F138" s="270">
        <f>'🧮 Costos x Producto'!K137</f>
        <v>0</v>
      </c>
      <c r="G138" s="351">
        <f t="shared" si="5"/>
        <v>0.4</v>
      </c>
      <c r="H138" s="267">
        <f t="shared" si="6"/>
        <v>0</v>
      </c>
      <c r="I138" s="110">
        <f>IF(H138=0,0,H138*(1+'📋 Datos Generales'!$E$28))</f>
        <v>0</v>
      </c>
      <c r="J138" s="268">
        <f t="shared" si="7"/>
        <v>0</v>
      </c>
      <c r="K138" s="269">
        <f>IF(OR(I138=0,'🧾 Factura Comercial'!G137=0),0,CEILING('🧮 Costos x Producto'!J137*'🧾 Factura Comercial'!G137/I138,1))</f>
        <v>0</v>
      </c>
    </row>
    <row r="139" spans="4:11" ht="19.5" hidden="1" customHeight="1" thickBot="1" x14ac:dyDescent="0.3">
      <c r="D139" s="28">
        <v>132</v>
      </c>
      <c r="E139" s="262">
        <f>'🧾 Factura Comercial'!E138</f>
        <v>0</v>
      </c>
      <c r="F139" s="270">
        <f>'🧮 Costos x Producto'!K138</f>
        <v>0</v>
      </c>
      <c r="G139" s="351">
        <f t="shared" ref="G139:G202" si="8">$H$4</f>
        <v>0.4</v>
      </c>
      <c r="H139" s="267">
        <f t="shared" si="6"/>
        <v>0</v>
      </c>
      <c r="I139" s="110">
        <f>IF(H139=0,0,H139*(1+'📋 Datos Generales'!$E$28))</f>
        <v>0</v>
      </c>
      <c r="J139" s="268">
        <f t="shared" si="7"/>
        <v>0</v>
      </c>
      <c r="K139" s="269">
        <f>IF(OR(I139=0,'🧾 Factura Comercial'!G138=0),0,CEILING('🧮 Costos x Producto'!J138*'🧾 Factura Comercial'!G138/I139,1))</f>
        <v>0</v>
      </c>
    </row>
    <row r="140" spans="4:11" ht="19.5" hidden="1" customHeight="1" thickBot="1" x14ac:dyDescent="0.3">
      <c r="D140" s="28">
        <v>133</v>
      </c>
      <c r="E140" s="262">
        <f>'🧾 Factura Comercial'!E139</f>
        <v>0</v>
      </c>
      <c r="F140" s="270">
        <f>'🧮 Costos x Producto'!K139</f>
        <v>0</v>
      </c>
      <c r="G140" s="351">
        <f t="shared" si="8"/>
        <v>0.4</v>
      </c>
      <c r="H140" s="267">
        <f t="shared" si="6"/>
        <v>0</v>
      </c>
      <c r="I140" s="110">
        <f>IF(H140=0,0,H140*(1+'📋 Datos Generales'!$E$28))</f>
        <v>0</v>
      </c>
      <c r="J140" s="268">
        <f t="shared" si="7"/>
        <v>0</v>
      </c>
      <c r="K140" s="269">
        <f>IF(OR(I140=0,'🧾 Factura Comercial'!G139=0),0,CEILING('🧮 Costos x Producto'!J139*'🧾 Factura Comercial'!G139/I140,1))</f>
        <v>0</v>
      </c>
    </row>
    <row r="141" spans="4:11" ht="19.5" hidden="1" customHeight="1" thickBot="1" x14ac:dyDescent="0.3">
      <c r="D141" s="28">
        <v>134</v>
      </c>
      <c r="E141" s="262">
        <f>'🧾 Factura Comercial'!E140</f>
        <v>0</v>
      </c>
      <c r="F141" s="270">
        <f>'🧮 Costos x Producto'!K140</f>
        <v>0</v>
      </c>
      <c r="G141" s="351">
        <f t="shared" si="8"/>
        <v>0.4</v>
      </c>
      <c r="H141" s="267">
        <f t="shared" si="6"/>
        <v>0</v>
      </c>
      <c r="I141" s="110">
        <f>IF(H141=0,0,H141*(1+'📋 Datos Generales'!$E$28))</f>
        <v>0</v>
      </c>
      <c r="J141" s="268">
        <f t="shared" si="7"/>
        <v>0</v>
      </c>
      <c r="K141" s="269">
        <f>IF(OR(I141=0,'🧾 Factura Comercial'!G140=0),0,CEILING('🧮 Costos x Producto'!J140*'🧾 Factura Comercial'!G140/I141,1))</f>
        <v>0</v>
      </c>
    </row>
    <row r="142" spans="4:11" ht="19.5" hidden="1" customHeight="1" thickBot="1" x14ac:dyDescent="0.3">
      <c r="D142" s="28">
        <v>135</v>
      </c>
      <c r="E142" s="262">
        <f>'🧾 Factura Comercial'!E141</f>
        <v>0</v>
      </c>
      <c r="F142" s="270">
        <f>'🧮 Costos x Producto'!K141</f>
        <v>0</v>
      </c>
      <c r="G142" s="351">
        <f t="shared" si="8"/>
        <v>0.4</v>
      </c>
      <c r="H142" s="267">
        <f t="shared" si="6"/>
        <v>0</v>
      </c>
      <c r="I142" s="110">
        <f>IF(H142=0,0,H142*(1+'📋 Datos Generales'!$E$28))</f>
        <v>0</v>
      </c>
      <c r="J142" s="268">
        <f t="shared" si="7"/>
        <v>0</v>
      </c>
      <c r="K142" s="269">
        <f>IF(OR(I142=0,'🧾 Factura Comercial'!G141=0),0,CEILING('🧮 Costos x Producto'!J141*'🧾 Factura Comercial'!G141/I142,1))</f>
        <v>0</v>
      </c>
    </row>
    <row r="143" spans="4:11" ht="19.5" hidden="1" customHeight="1" thickBot="1" x14ac:dyDescent="0.3">
      <c r="D143" s="28">
        <v>136</v>
      </c>
      <c r="E143" s="262">
        <f>'🧾 Factura Comercial'!E142</f>
        <v>0</v>
      </c>
      <c r="F143" s="270">
        <f>'🧮 Costos x Producto'!K142</f>
        <v>0</v>
      </c>
      <c r="G143" s="351">
        <f t="shared" si="8"/>
        <v>0.4</v>
      </c>
      <c r="H143" s="267">
        <f t="shared" si="6"/>
        <v>0</v>
      </c>
      <c r="I143" s="110">
        <f>IF(H143=0,0,H143*(1+'📋 Datos Generales'!$E$28))</f>
        <v>0</v>
      </c>
      <c r="J143" s="268">
        <f t="shared" si="7"/>
        <v>0</v>
      </c>
      <c r="K143" s="269">
        <f>IF(OR(I143=0,'🧾 Factura Comercial'!G142=0),0,CEILING('🧮 Costos x Producto'!J142*'🧾 Factura Comercial'!G142/I143,1))</f>
        <v>0</v>
      </c>
    </row>
    <row r="144" spans="4:11" ht="19.5" hidden="1" customHeight="1" thickBot="1" x14ac:dyDescent="0.3">
      <c r="D144" s="28">
        <v>137</v>
      </c>
      <c r="E144" s="262">
        <f>'🧾 Factura Comercial'!E143</f>
        <v>0</v>
      </c>
      <c r="F144" s="270">
        <f>'🧮 Costos x Producto'!K143</f>
        <v>0</v>
      </c>
      <c r="G144" s="351">
        <f t="shared" si="8"/>
        <v>0.4</v>
      </c>
      <c r="H144" s="267">
        <f t="shared" si="6"/>
        <v>0</v>
      </c>
      <c r="I144" s="110">
        <f>IF(H144=0,0,H144*(1+'📋 Datos Generales'!$E$28))</f>
        <v>0</v>
      </c>
      <c r="J144" s="268">
        <f t="shared" si="7"/>
        <v>0</v>
      </c>
      <c r="K144" s="269">
        <f>IF(OR(I144=0,'🧾 Factura Comercial'!G143=0),0,CEILING('🧮 Costos x Producto'!J143*'🧾 Factura Comercial'!G143/I144,1))</f>
        <v>0</v>
      </c>
    </row>
    <row r="145" spans="4:11" ht="19.5" hidden="1" customHeight="1" thickBot="1" x14ac:dyDescent="0.3">
      <c r="D145" s="28">
        <v>138</v>
      </c>
      <c r="E145" s="262">
        <f>'🧾 Factura Comercial'!E144</f>
        <v>0</v>
      </c>
      <c r="F145" s="270">
        <f>'🧮 Costos x Producto'!K144</f>
        <v>0</v>
      </c>
      <c r="G145" s="351">
        <f t="shared" si="8"/>
        <v>0.4</v>
      </c>
      <c r="H145" s="267">
        <f t="shared" ref="H145:H208" si="9">IF(F145=0,0,F145/(1-G145))</f>
        <v>0</v>
      </c>
      <c r="I145" s="110">
        <f>IF(H145=0,0,H145*(1+'📋 Datos Generales'!$E$28))</f>
        <v>0</v>
      </c>
      <c r="J145" s="268">
        <f t="shared" ref="J145:J208" si="10">IF(H145=0,0,H145-F145)</f>
        <v>0</v>
      </c>
      <c r="K145" s="269">
        <f>IF(OR(I145=0,'🧾 Factura Comercial'!G144=0),0,CEILING('🧮 Costos x Producto'!J144*'🧾 Factura Comercial'!G144/I145,1))</f>
        <v>0</v>
      </c>
    </row>
    <row r="146" spans="4:11" ht="19.5" hidden="1" customHeight="1" thickBot="1" x14ac:dyDescent="0.3">
      <c r="D146" s="28">
        <v>139</v>
      </c>
      <c r="E146" s="262">
        <f>'🧾 Factura Comercial'!E145</f>
        <v>0</v>
      </c>
      <c r="F146" s="270">
        <f>'🧮 Costos x Producto'!K145</f>
        <v>0</v>
      </c>
      <c r="G146" s="351">
        <f t="shared" si="8"/>
        <v>0.4</v>
      </c>
      <c r="H146" s="267">
        <f t="shared" si="9"/>
        <v>0</v>
      </c>
      <c r="I146" s="110">
        <f>IF(H146=0,0,H146*(1+'📋 Datos Generales'!$E$28))</f>
        <v>0</v>
      </c>
      <c r="J146" s="268">
        <f t="shared" si="10"/>
        <v>0</v>
      </c>
      <c r="K146" s="269">
        <f>IF(OR(I146=0,'🧾 Factura Comercial'!G145=0),0,CEILING('🧮 Costos x Producto'!J145*'🧾 Factura Comercial'!G145/I146,1))</f>
        <v>0</v>
      </c>
    </row>
    <row r="147" spans="4:11" ht="19.5" hidden="1" customHeight="1" thickBot="1" x14ac:dyDescent="0.3">
      <c r="D147" s="28">
        <v>140</v>
      </c>
      <c r="E147" s="262">
        <f>'🧾 Factura Comercial'!E146</f>
        <v>0</v>
      </c>
      <c r="F147" s="270">
        <f>'🧮 Costos x Producto'!K146</f>
        <v>0</v>
      </c>
      <c r="G147" s="351">
        <f t="shared" si="8"/>
        <v>0.4</v>
      </c>
      <c r="H147" s="267">
        <f t="shared" si="9"/>
        <v>0</v>
      </c>
      <c r="I147" s="110">
        <f>IF(H147=0,0,H147*(1+'📋 Datos Generales'!$E$28))</f>
        <v>0</v>
      </c>
      <c r="J147" s="268">
        <f t="shared" si="10"/>
        <v>0</v>
      </c>
      <c r="K147" s="269">
        <f>IF(OR(I147=0,'🧾 Factura Comercial'!G146=0),0,CEILING('🧮 Costos x Producto'!J146*'🧾 Factura Comercial'!G146/I147,1))</f>
        <v>0</v>
      </c>
    </row>
    <row r="148" spans="4:11" ht="19.5" hidden="1" customHeight="1" thickBot="1" x14ac:dyDescent="0.3">
      <c r="D148" s="28">
        <v>141</v>
      </c>
      <c r="E148" s="262">
        <f>'🧾 Factura Comercial'!E147</f>
        <v>0</v>
      </c>
      <c r="F148" s="270">
        <f>'🧮 Costos x Producto'!K147</f>
        <v>0</v>
      </c>
      <c r="G148" s="351">
        <f t="shared" si="8"/>
        <v>0.4</v>
      </c>
      <c r="H148" s="267">
        <f t="shared" si="9"/>
        <v>0</v>
      </c>
      <c r="I148" s="110">
        <f>IF(H148=0,0,H148*(1+'📋 Datos Generales'!$E$28))</f>
        <v>0</v>
      </c>
      <c r="J148" s="268">
        <f t="shared" si="10"/>
        <v>0</v>
      </c>
      <c r="K148" s="269">
        <f>IF(OR(I148=0,'🧾 Factura Comercial'!G147=0),0,CEILING('🧮 Costos x Producto'!J147*'🧾 Factura Comercial'!G147/I148,1))</f>
        <v>0</v>
      </c>
    </row>
    <row r="149" spans="4:11" ht="19.5" hidden="1" customHeight="1" thickBot="1" x14ac:dyDescent="0.3">
      <c r="D149" s="28">
        <v>142</v>
      </c>
      <c r="E149" s="262">
        <f>'🧾 Factura Comercial'!E148</f>
        <v>0</v>
      </c>
      <c r="F149" s="270">
        <f>'🧮 Costos x Producto'!K148</f>
        <v>0</v>
      </c>
      <c r="G149" s="351">
        <f t="shared" si="8"/>
        <v>0.4</v>
      </c>
      <c r="H149" s="267">
        <f t="shared" si="9"/>
        <v>0</v>
      </c>
      <c r="I149" s="110">
        <f>IF(H149=0,0,H149*(1+'📋 Datos Generales'!$E$28))</f>
        <v>0</v>
      </c>
      <c r="J149" s="268">
        <f t="shared" si="10"/>
        <v>0</v>
      </c>
      <c r="K149" s="269">
        <f>IF(OR(I149=0,'🧾 Factura Comercial'!G148=0),0,CEILING('🧮 Costos x Producto'!J148*'🧾 Factura Comercial'!G148/I149,1))</f>
        <v>0</v>
      </c>
    </row>
    <row r="150" spans="4:11" ht="19.5" hidden="1" customHeight="1" thickBot="1" x14ac:dyDescent="0.3">
      <c r="D150" s="28">
        <v>143</v>
      </c>
      <c r="E150" s="262">
        <f>'🧾 Factura Comercial'!E149</f>
        <v>0</v>
      </c>
      <c r="F150" s="270">
        <f>'🧮 Costos x Producto'!K149</f>
        <v>0</v>
      </c>
      <c r="G150" s="351">
        <f t="shared" si="8"/>
        <v>0.4</v>
      </c>
      <c r="H150" s="267">
        <f t="shared" si="9"/>
        <v>0</v>
      </c>
      <c r="I150" s="110">
        <f>IF(H150=0,0,H150*(1+'📋 Datos Generales'!$E$28))</f>
        <v>0</v>
      </c>
      <c r="J150" s="268">
        <f t="shared" si="10"/>
        <v>0</v>
      </c>
      <c r="K150" s="269">
        <f>IF(OR(I150=0,'🧾 Factura Comercial'!G149=0),0,CEILING('🧮 Costos x Producto'!J149*'🧾 Factura Comercial'!G149/I150,1))</f>
        <v>0</v>
      </c>
    </row>
    <row r="151" spans="4:11" ht="19.5" hidden="1" customHeight="1" thickBot="1" x14ac:dyDescent="0.3">
      <c r="D151" s="28">
        <v>144</v>
      </c>
      <c r="E151" s="262">
        <f>'🧾 Factura Comercial'!E150</f>
        <v>0</v>
      </c>
      <c r="F151" s="270">
        <f>'🧮 Costos x Producto'!K150</f>
        <v>0</v>
      </c>
      <c r="G151" s="351">
        <f t="shared" si="8"/>
        <v>0.4</v>
      </c>
      <c r="H151" s="267">
        <f t="shared" si="9"/>
        <v>0</v>
      </c>
      <c r="I151" s="110">
        <f>IF(H151=0,0,H151*(1+'📋 Datos Generales'!$E$28))</f>
        <v>0</v>
      </c>
      <c r="J151" s="268">
        <f t="shared" si="10"/>
        <v>0</v>
      </c>
      <c r="K151" s="269">
        <f>IF(OR(I151=0,'🧾 Factura Comercial'!G150=0),0,CEILING('🧮 Costos x Producto'!J150*'🧾 Factura Comercial'!G150/I151,1))</f>
        <v>0</v>
      </c>
    </row>
    <row r="152" spans="4:11" ht="19.5" hidden="1" customHeight="1" thickBot="1" x14ac:dyDescent="0.3">
      <c r="D152" s="28">
        <v>145</v>
      </c>
      <c r="E152" s="262">
        <f>'🧾 Factura Comercial'!E151</f>
        <v>0</v>
      </c>
      <c r="F152" s="270">
        <f>'🧮 Costos x Producto'!K151</f>
        <v>0</v>
      </c>
      <c r="G152" s="351">
        <f t="shared" si="8"/>
        <v>0.4</v>
      </c>
      <c r="H152" s="267">
        <f t="shared" si="9"/>
        <v>0</v>
      </c>
      <c r="I152" s="110">
        <f>IF(H152=0,0,H152*(1+'📋 Datos Generales'!$E$28))</f>
        <v>0</v>
      </c>
      <c r="J152" s="268">
        <f t="shared" si="10"/>
        <v>0</v>
      </c>
      <c r="K152" s="269">
        <f>IF(OR(I152=0,'🧾 Factura Comercial'!G151=0),0,CEILING('🧮 Costos x Producto'!J151*'🧾 Factura Comercial'!G151/I152,1))</f>
        <v>0</v>
      </c>
    </row>
    <row r="153" spans="4:11" ht="19.5" hidden="1" customHeight="1" thickBot="1" x14ac:dyDescent="0.3">
      <c r="D153" s="28">
        <v>146</v>
      </c>
      <c r="E153" s="262">
        <f>'🧾 Factura Comercial'!E152</f>
        <v>0</v>
      </c>
      <c r="F153" s="270">
        <f>'🧮 Costos x Producto'!K152</f>
        <v>0</v>
      </c>
      <c r="G153" s="351">
        <f t="shared" si="8"/>
        <v>0.4</v>
      </c>
      <c r="H153" s="267">
        <f t="shared" si="9"/>
        <v>0</v>
      </c>
      <c r="I153" s="110">
        <f>IF(H153=0,0,H153*(1+'📋 Datos Generales'!$E$28))</f>
        <v>0</v>
      </c>
      <c r="J153" s="268">
        <f t="shared" si="10"/>
        <v>0</v>
      </c>
      <c r="K153" s="269">
        <f>IF(OR(I153=0,'🧾 Factura Comercial'!G152=0),0,CEILING('🧮 Costos x Producto'!J152*'🧾 Factura Comercial'!G152/I153,1))</f>
        <v>0</v>
      </c>
    </row>
    <row r="154" spans="4:11" ht="19.5" hidden="1" customHeight="1" thickBot="1" x14ac:dyDescent="0.3">
      <c r="D154" s="28">
        <v>147</v>
      </c>
      <c r="E154" s="262">
        <f>'🧾 Factura Comercial'!E153</f>
        <v>0</v>
      </c>
      <c r="F154" s="270">
        <f>'🧮 Costos x Producto'!K153</f>
        <v>0</v>
      </c>
      <c r="G154" s="351">
        <f t="shared" si="8"/>
        <v>0.4</v>
      </c>
      <c r="H154" s="267">
        <f t="shared" si="9"/>
        <v>0</v>
      </c>
      <c r="I154" s="110">
        <f>IF(H154=0,0,H154*(1+'📋 Datos Generales'!$E$28))</f>
        <v>0</v>
      </c>
      <c r="J154" s="268">
        <f t="shared" si="10"/>
        <v>0</v>
      </c>
      <c r="K154" s="269">
        <f>IF(OR(I154=0,'🧾 Factura Comercial'!G153=0),0,CEILING('🧮 Costos x Producto'!J153*'🧾 Factura Comercial'!G153/I154,1))</f>
        <v>0</v>
      </c>
    </row>
    <row r="155" spans="4:11" ht="19.5" hidden="1" customHeight="1" thickBot="1" x14ac:dyDescent="0.3">
      <c r="D155" s="28">
        <v>148</v>
      </c>
      <c r="E155" s="262">
        <f>'🧾 Factura Comercial'!E154</f>
        <v>0</v>
      </c>
      <c r="F155" s="270">
        <f>'🧮 Costos x Producto'!K154</f>
        <v>0</v>
      </c>
      <c r="G155" s="351">
        <f t="shared" si="8"/>
        <v>0.4</v>
      </c>
      <c r="H155" s="267">
        <f t="shared" si="9"/>
        <v>0</v>
      </c>
      <c r="I155" s="110">
        <f>IF(H155=0,0,H155*(1+'📋 Datos Generales'!$E$28))</f>
        <v>0</v>
      </c>
      <c r="J155" s="268">
        <f t="shared" si="10"/>
        <v>0</v>
      </c>
      <c r="K155" s="269">
        <f>IF(OR(I155=0,'🧾 Factura Comercial'!G154=0),0,CEILING('🧮 Costos x Producto'!J154*'🧾 Factura Comercial'!G154/I155,1))</f>
        <v>0</v>
      </c>
    </row>
    <row r="156" spans="4:11" ht="19.5" hidden="1" customHeight="1" thickBot="1" x14ac:dyDescent="0.3">
      <c r="D156" s="28">
        <v>149</v>
      </c>
      <c r="E156" s="262">
        <f>'🧾 Factura Comercial'!E155</f>
        <v>0</v>
      </c>
      <c r="F156" s="270">
        <f>'🧮 Costos x Producto'!K155</f>
        <v>0</v>
      </c>
      <c r="G156" s="351">
        <f t="shared" si="8"/>
        <v>0.4</v>
      </c>
      <c r="H156" s="267">
        <f t="shared" si="9"/>
        <v>0</v>
      </c>
      <c r="I156" s="110">
        <f>IF(H156=0,0,H156*(1+'📋 Datos Generales'!$E$28))</f>
        <v>0</v>
      </c>
      <c r="J156" s="268">
        <f t="shared" si="10"/>
        <v>0</v>
      </c>
      <c r="K156" s="269">
        <f>IF(OR(I156=0,'🧾 Factura Comercial'!G155=0),0,CEILING('🧮 Costos x Producto'!J155*'🧾 Factura Comercial'!G155/I156,1))</f>
        <v>0</v>
      </c>
    </row>
    <row r="157" spans="4:11" ht="19.5" hidden="1" customHeight="1" thickBot="1" x14ac:dyDescent="0.3">
      <c r="D157" s="28">
        <v>150</v>
      </c>
      <c r="E157" s="262">
        <f>'🧾 Factura Comercial'!E156</f>
        <v>0</v>
      </c>
      <c r="F157" s="270">
        <f>'🧮 Costos x Producto'!K156</f>
        <v>0</v>
      </c>
      <c r="G157" s="351">
        <f t="shared" si="8"/>
        <v>0.4</v>
      </c>
      <c r="H157" s="267">
        <f t="shared" si="9"/>
        <v>0</v>
      </c>
      <c r="I157" s="110">
        <f>IF(H157=0,0,H157*(1+'📋 Datos Generales'!$E$28))</f>
        <v>0</v>
      </c>
      <c r="J157" s="268">
        <f t="shared" si="10"/>
        <v>0</v>
      </c>
      <c r="K157" s="269">
        <f>IF(OR(I157=0,'🧾 Factura Comercial'!G156=0),0,CEILING('🧮 Costos x Producto'!J156*'🧾 Factura Comercial'!G156/I157,1))</f>
        <v>0</v>
      </c>
    </row>
    <row r="158" spans="4:11" ht="19.5" hidden="1" customHeight="1" thickBot="1" x14ac:dyDescent="0.3">
      <c r="D158" s="28">
        <v>151</v>
      </c>
      <c r="E158" s="262">
        <f>'🧾 Factura Comercial'!E157</f>
        <v>0</v>
      </c>
      <c r="F158" s="270">
        <f>'🧮 Costos x Producto'!K157</f>
        <v>0</v>
      </c>
      <c r="G158" s="351">
        <f t="shared" si="8"/>
        <v>0.4</v>
      </c>
      <c r="H158" s="267">
        <f t="shared" si="9"/>
        <v>0</v>
      </c>
      <c r="I158" s="110">
        <f>IF(H158=0,0,H158*(1+'📋 Datos Generales'!$E$28))</f>
        <v>0</v>
      </c>
      <c r="J158" s="268">
        <f t="shared" si="10"/>
        <v>0</v>
      </c>
      <c r="K158" s="269">
        <f>IF(OR(I158=0,'🧾 Factura Comercial'!G157=0),0,CEILING('🧮 Costos x Producto'!J157*'🧾 Factura Comercial'!G157/I158,1))</f>
        <v>0</v>
      </c>
    </row>
    <row r="159" spans="4:11" ht="19.5" hidden="1" customHeight="1" thickBot="1" x14ac:dyDescent="0.3">
      <c r="D159" s="28">
        <v>152</v>
      </c>
      <c r="E159" s="262">
        <f>'🧾 Factura Comercial'!E158</f>
        <v>0</v>
      </c>
      <c r="F159" s="270">
        <f>'🧮 Costos x Producto'!K158</f>
        <v>0</v>
      </c>
      <c r="G159" s="351">
        <f t="shared" si="8"/>
        <v>0.4</v>
      </c>
      <c r="H159" s="267">
        <f t="shared" si="9"/>
        <v>0</v>
      </c>
      <c r="I159" s="110">
        <f>IF(H159=0,0,H159*(1+'📋 Datos Generales'!$E$28))</f>
        <v>0</v>
      </c>
      <c r="J159" s="268">
        <f t="shared" si="10"/>
        <v>0</v>
      </c>
      <c r="K159" s="269">
        <f>IF(OR(I159=0,'🧾 Factura Comercial'!G158=0),0,CEILING('🧮 Costos x Producto'!J158*'🧾 Factura Comercial'!G158/I159,1))</f>
        <v>0</v>
      </c>
    </row>
    <row r="160" spans="4:11" ht="19.5" hidden="1" customHeight="1" thickBot="1" x14ac:dyDescent="0.3">
      <c r="D160" s="28">
        <v>153</v>
      </c>
      <c r="E160" s="262">
        <f>'🧾 Factura Comercial'!E159</f>
        <v>0</v>
      </c>
      <c r="F160" s="270">
        <f>'🧮 Costos x Producto'!K159</f>
        <v>0</v>
      </c>
      <c r="G160" s="351">
        <f t="shared" si="8"/>
        <v>0.4</v>
      </c>
      <c r="H160" s="267">
        <f t="shared" si="9"/>
        <v>0</v>
      </c>
      <c r="I160" s="110">
        <f>IF(H160=0,0,H160*(1+'📋 Datos Generales'!$E$28))</f>
        <v>0</v>
      </c>
      <c r="J160" s="268">
        <f t="shared" si="10"/>
        <v>0</v>
      </c>
      <c r="K160" s="269">
        <f>IF(OR(I160=0,'🧾 Factura Comercial'!G159=0),0,CEILING('🧮 Costos x Producto'!J159*'🧾 Factura Comercial'!G159/I160,1))</f>
        <v>0</v>
      </c>
    </row>
    <row r="161" spans="4:11" ht="19.5" hidden="1" customHeight="1" thickBot="1" x14ac:dyDescent="0.3">
      <c r="D161" s="28">
        <v>154</v>
      </c>
      <c r="E161" s="262">
        <f>'🧾 Factura Comercial'!E160</f>
        <v>0</v>
      </c>
      <c r="F161" s="270">
        <f>'🧮 Costos x Producto'!K160</f>
        <v>0</v>
      </c>
      <c r="G161" s="351">
        <f t="shared" si="8"/>
        <v>0.4</v>
      </c>
      <c r="H161" s="267">
        <f t="shared" si="9"/>
        <v>0</v>
      </c>
      <c r="I161" s="110">
        <f>IF(H161=0,0,H161*(1+'📋 Datos Generales'!$E$28))</f>
        <v>0</v>
      </c>
      <c r="J161" s="268">
        <f t="shared" si="10"/>
        <v>0</v>
      </c>
      <c r="K161" s="269">
        <f>IF(OR(I161=0,'🧾 Factura Comercial'!G160=0),0,CEILING('🧮 Costos x Producto'!J160*'🧾 Factura Comercial'!G160/I161,1))</f>
        <v>0</v>
      </c>
    </row>
    <row r="162" spans="4:11" ht="19.5" hidden="1" customHeight="1" thickBot="1" x14ac:dyDescent="0.3">
      <c r="D162" s="28">
        <v>155</v>
      </c>
      <c r="E162" s="262">
        <f>'🧾 Factura Comercial'!E161</f>
        <v>0</v>
      </c>
      <c r="F162" s="270">
        <f>'🧮 Costos x Producto'!K161</f>
        <v>0</v>
      </c>
      <c r="G162" s="351">
        <f t="shared" si="8"/>
        <v>0.4</v>
      </c>
      <c r="H162" s="267">
        <f t="shared" si="9"/>
        <v>0</v>
      </c>
      <c r="I162" s="110">
        <f>IF(H162=0,0,H162*(1+'📋 Datos Generales'!$E$28))</f>
        <v>0</v>
      </c>
      <c r="J162" s="268">
        <f t="shared" si="10"/>
        <v>0</v>
      </c>
      <c r="K162" s="269">
        <f>IF(OR(I162=0,'🧾 Factura Comercial'!G161=0),0,CEILING('🧮 Costos x Producto'!J161*'🧾 Factura Comercial'!G161/I162,1))</f>
        <v>0</v>
      </c>
    </row>
    <row r="163" spans="4:11" ht="19.5" hidden="1" customHeight="1" thickBot="1" x14ac:dyDescent="0.3">
      <c r="D163" s="28">
        <v>156</v>
      </c>
      <c r="E163" s="262">
        <f>'🧾 Factura Comercial'!E162</f>
        <v>0</v>
      </c>
      <c r="F163" s="270">
        <f>'🧮 Costos x Producto'!K162</f>
        <v>0</v>
      </c>
      <c r="G163" s="351">
        <f t="shared" si="8"/>
        <v>0.4</v>
      </c>
      <c r="H163" s="267">
        <f t="shared" si="9"/>
        <v>0</v>
      </c>
      <c r="I163" s="110">
        <f>IF(H163=0,0,H163*(1+'📋 Datos Generales'!$E$28))</f>
        <v>0</v>
      </c>
      <c r="J163" s="268">
        <f t="shared" si="10"/>
        <v>0</v>
      </c>
      <c r="K163" s="269">
        <f>IF(OR(I163=0,'🧾 Factura Comercial'!G162=0),0,CEILING('🧮 Costos x Producto'!J162*'🧾 Factura Comercial'!G162/I163,1))</f>
        <v>0</v>
      </c>
    </row>
    <row r="164" spans="4:11" ht="19.5" hidden="1" customHeight="1" thickBot="1" x14ac:dyDescent="0.3">
      <c r="D164" s="28">
        <v>157</v>
      </c>
      <c r="E164" s="262">
        <f>'🧾 Factura Comercial'!E163</f>
        <v>0</v>
      </c>
      <c r="F164" s="270">
        <f>'🧮 Costos x Producto'!K163</f>
        <v>0</v>
      </c>
      <c r="G164" s="351">
        <f t="shared" si="8"/>
        <v>0.4</v>
      </c>
      <c r="H164" s="267">
        <f t="shared" si="9"/>
        <v>0</v>
      </c>
      <c r="I164" s="110">
        <f>IF(H164=0,0,H164*(1+'📋 Datos Generales'!$E$28))</f>
        <v>0</v>
      </c>
      <c r="J164" s="268">
        <f t="shared" si="10"/>
        <v>0</v>
      </c>
      <c r="K164" s="269">
        <f>IF(OR(I164=0,'🧾 Factura Comercial'!G163=0),0,CEILING('🧮 Costos x Producto'!J163*'🧾 Factura Comercial'!G163/I164,1))</f>
        <v>0</v>
      </c>
    </row>
    <row r="165" spans="4:11" ht="19.5" hidden="1" customHeight="1" thickBot="1" x14ac:dyDescent="0.3">
      <c r="D165" s="28">
        <v>158</v>
      </c>
      <c r="E165" s="262">
        <f>'🧾 Factura Comercial'!E164</f>
        <v>0</v>
      </c>
      <c r="F165" s="270">
        <f>'🧮 Costos x Producto'!K164</f>
        <v>0</v>
      </c>
      <c r="G165" s="351">
        <f t="shared" si="8"/>
        <v>0.4</v>
      </c>
      <c r="H165" s="267">
        <f t="shared" si="9"/>
        <v>0</v>
      </c>
      <c r="I165" s="110">
        <f>IF(H165=0,0,H165*(1+'📋 Datos Generales'!$E$28))</f>
        <v>0</v>
      </c>
      <c r="J165" s="268">
        <f t="shared" si="10"/>
        <v>0</v>
      </c>
      <c r="K165" s="269">
        <f>IF(OR(I165=0,'🧾 Factura Comercial'!G164=0),0,CEILING('🧮 Costos x Producto'!J164*'🧾 Factura Comercial'!G164/I165,1))</f>
        <v>0</v>
      </c>
    </row>
    <row r="166" spans="4:11" ht="19.5" hidden="1" customHeight="1" thickBot="1" x14ac:dyDescent="0.3">
      <c r="D166" s="28">
        <v>159</v>
      </c>
      <c r="E166" s="262">
        <f>'🧾 Factura Comercial'!E165</f>
        <v>0</v>
      </c>
      <c r="F166" s="270">
        <f>'🧮 Costos x Producto'!K165</f>
        <v>0</v>
      </c>
      <c r="G166" s="351">
        <f t="shared" si="8"/>
        <v>0.4</v>
      </c>
      <c r="H166" s="267">
        <f t="shared" si="9"/>
        <v>0</v>
      </c>
      <c r="I166" s="110">
        <f>IF(H166=0,0,H166*(1+'📋 Datos Generales'!$E$28))</f>
        <v>0</v>
      </c>
      <c r="J166" s="268">
        <f t="shared" si="10"/>
        <v>0</v>
      </c>
      <c r="K166" s="269">
        <f>IF(OR(I166=0,'🧾 Factura Comercial'!G165=0),0,CEILING('🧮 Costos x Producto'!J165*'🧾 Factura Comercial'!G165/I166,1))</f>
        <v>0</v>
      </c>
    </row>
    <row r="167" spans="4:11" ht="19.5" hidden="1" customHeight="1" thickBot="1" x14ac:dyDescent="0.3">
      <c r="D167" s="28">
        <v>160</v>
      </c>
      <c r="E167" s="262">
        <f>'🧾 Factura Comercial'!E166</f>
        <v>0</v>
      </c>
      <c r="F167" s="270">
        <f>'🧮 Costos x Producto'!K166</f>
        <v>0</v>
      </c>
      <c r="G167" s="351">
        <f t="shared" si="8"/>
        <v>0.4</v>
      </c>
      <c r="H167" s="267">
        <f t="shared" si="9"/>
        <v>0</v>
      </c>
      <c r="I167" s="110">
        <f>IF(H167=0,0,H167*(1+'📋 Datos Generales'!$E$28))</f>
        <v>0</v>
      </c>
      <c r="J167" s="268">
        <f t="shared" si="10"/>
        <v>0</v>
      </c>
      <c r="K167" s="269">
        <f>IF(OR(I167=0,'🧾 Factura Comercial'!G166=0),0,CEILING('🧮 Costos x Producto'!J166*'🧾 Factura Comercial'!G166/I167,1))</f>
        <v>0</v>
      </c>
    </row>
    <row r="168" spans="4:11" ht="19.5" hidden="1" customHeight="1" thickBot="1" x14ac:dyDescent="0.3">
      <c r="D168" s="28">
        <v>161</v>
      </c>
      <c r="E168" s="262">
        <f>'🧾 Factura Comercial'!E167</f>
        <v>0</v>
      </c>
      <c r="F168" s="270">
        <f>'🧮 Costos x Producto'!K167</f>
        <v>0</v>
      </c>
      <c r="G168" s="351">
        <f t="shared" si="8"/>
        <v>0.4</v>
      </c>
      <c r="H168" s="267">
        <f t="shared" si="9"/>
        <v>0</v>
      </c>
      <c r="I168" s="110">
        <f>IF(H168=0,0,H168*(1+'📋 Datos Generales'!$E$28))</f>
        <v>0</v>
      </c>
      <c r="J168" s="268">
        <f t="shared" si="10"/>
        <v>0</v>
      </c>
      <c r="K168" s="269">
        <f>IF(OR(I168=0,'🧾 Factura Comercial'!G167=0),0,CEILING('🧮 Costos x Producto'!J167*'🧾 Factura Comercial'!G167/I168,1))</f>
        <v>0</v>
      </c>
    </row>
    <row r="169" spans="4:11" ht="19.5" hidden="1" customHeight="1" thickBot="1" x14ac:dyDescent="0.3">
      <c r="D169" s="28">
        <v>162</v>
      </c>
      <c r="E169" s="262">
        <f>'🧾 Factura Comercial'!E168</f>
        <v>0</v>
      </c>
      <c r="F169" s="270">
        <f>'🧮 Costos x Producto'!K168</f>
        <v>0</v>
      </c>
      <c r="G169" s="351">
        <f t="shared" si="8"/>
        <v>0.4</v>
      </c>
      <c r="H169" s="267">
        <f t="shared" si="9"/>
        <v>0</v>
      </c>
      <c r="I169" s="110">
        <f>IF(H169=0,0,H169*(1+'📋 Datos Generales'!$E$28))</f>
        <v>0</v>
      </c>
      <c r="J169" s="268">
        <f t="shared" si="10"/>
        <v>0</v>
      </c>
      <c r="K169" s="269">
        <f>IF(OR(I169=0,'🧾 Factura Comercial'!G168=0),0,CEILING('🧮 Costos x Producto'!J168*'🧾 Factura Comercial'!G168/I169,1))</f>
        <v>0</v>
      </c>
    </row>
    <row r="170" spans="4:11" ht="19.5" hidden="1" customHeight="1" thickBot="1" x14ac:dyDescent="0.3">
      <c r="D170" s="28">
        <v>163</v>
      </c>
      <c r="E170" s="262">
        <f>'🧾 Factura Comercial'!E169</f>
        <v>0</v>
      </c>
      <c r="F170" s="270">
        <f>'🧮 Costos x Producto'!K169</f>
        <v>0</v>
      </c>
      <c r="G170" s="351">
        <f t="shared" si="8"/>
        <v>0.4</v>
      </c>
      <c r="H170" s="267">
        <f t="shared" si="9"/>
        <v>0</v>
      </c>
      <c r="I170" s="110">
        <f>IF(H170=0,0,H170*(1+'📋 Datos Generales'!$E$28))</f>
        <v>0</v>
      </c>
      <c r="J170" s="268">
        <f t="shared" si="10"/>
        <v>0</v>
      </c>
      <c r="K170" s="269">
        <f>IF(OR(I170=0,'🧾 Factura Comercial'!G169=0),0,CEILING('🧮 Costos x Producto'!J169*'🧾 Factura Comercial'!G169/I170,1))</f>
        <v>0</v>
      </c>
    </row>
    <row r="171" spans="4:11" ht="19.5" hidden="1" customHeight="1" thickBot="1" x14ac:dyDescent="0.3">
      <c r="D171" s="28">
        <v>164</v>
      </c>
      <c r="E171" s="262">
        <f>'🧾 Factura Comercial'!E170</f>
        <v>0</v>
      </c>
      <c r="F171" s="270">
        <f>'🧮 Costos x Producto'!K170</f>
        <v>0</v>
      </c>
      <c r="G171" s="351">
        <f t="shared" si="8"/>
        <v>0.4</v>
      </c>
      <c r="H171" s="267">
        <f t="shared" si="9"/>
        <v>0</v>
      </c>
      <c r="I171" s="110">
        <f>IF(H171=0,0,H171*(1+'📋 Datos Generales'!$E$28))</f>
        <v>0</v>
      </c>
      <c r="J171" s="268">
        <f t="shared" si="10"/>
        <v>0</v>
      </c>
      <c r="K171" s="269">
        <f>IF(OR(I171=0,'🧾 Factura Comercial'!G170=0),0,CEILING('🧮 Costos x Producto'!J170*'🧾 Factura Comercial'!G170/I171,1))</f>
        <v>0</v>
      </c>
    </row>
    <row r="172" spans="4:11" ht="19.5" hidden="1" customHeight="1" thickBot="1" x14ac:dyDescent="0.3">
      <c r="D172" s="28">
        <v>165</v>
      </c>
      <c r="E172" s="262">
        <f>'🧾 Factura Comercial'!E171</f>
        <v>0</v>
      </c>
      <c r="F172" s="270">
        <f>'🧮 Costos x Producto'!K171</f>
        <v>0</v>
      </c>
      <c r="G172" s="351">
        <f t="shared" si="8"/>
        <v>0.4</v>
      </c>
      <c r="H172" s="267">
        <f t="shared" si="9"/>
        <v>0</v>
      </c>
      <c r="I172" s="110">
        <f>IF(H172=0,0,H172*(1+'📋 Datos Generales'!$E$28))</f>
        <v>0</v>
      </c>
      <c r="J172" s="268">
        <f t="shared" si="10"/>
        <v>0</v>
      </c>
      <c r="K172" s="269">
        <f>IF(OR(I172=0,'🧾 Factura Comercial'!G171=0),0,CEILING('🧮 Costos x Producto'!J171*'🧾 Factura Comercial'!G171/I172,1))</f>
        <v>0</v>
      </c>
    </row>
    <row r="173" spans="4:11" ht="19.5" hidden="1" customHeight="1" thickBot="1" x14ac:dyDescent="0.3">
      <c r="D173" s="28">
        <v>166</v>
      </c>
      <c r="E173" s="262">
        <f>'🧾 Factura Comercial'!E172</f>
        <v>0</v>
      </c>
      <c r="F173" s="270">
        <f>'🧮 Costos x Producto'!K172</f>
        <v>0</v>
      </c>
      <c r="G173" s="351">
        <f t="shared" si="8"/>
        <v>0.4</v>
      </c>
      <c r="H173" s="267">
        <f t="shared" si="9"/>
        <v>0</v>
      </c>
      <c r="I173" s="110">
        <f>IF(H173=0,0,H173*(1+'📋 Datos Generales'!$E$28))</f>
        <v>0</v>
      </c>
      <c r="J173" s="268">
        <f t="shared" si="10"/>
        <v>0</v>
      </c>
      <c r="K173" s="269">
        <f>IF(OR(I173=0,'🧾 Factura Comercial'!G172=0),0,CEILING('🧮 Costos x Producto'!J172*'🧾 Factura Comercial'!G172/I173,1))</f>
        <v>0</v>
      </c>
    </row>
    <row r="174" spans="4:11" ht="19.5" hidden="1" customHeight="1" thickBot="1" x14ac:dyDescent="0.3">
      <c r="D174" s="28">
        <v>167</v>
      </c>
      <c r="E174" s="262">
        <f>'🧾 Factura Comercial'!E173</f>
        <v>0</v>
      </c>
      <c r="F174" s="270">
        <f>'🧮 Costos x Producto'!K173</f>
        <v>0</v>
      </c>
      <c r="G174" s="351">
        <f t="shared" si="8"/>
        <v>0.4</v>
      </c>
      <c r="H174" s="267">
        <f t="shared" si="9"/>
        <v>0</v>
      </c>
      <c r="I174" s="110">
        <f>IF(H174=0,0,H174*(1+'📋 Datos Generales'!$E$28))</f>
        <v>0</v>
      </c>
      <c r="J174" s="268">
        <f t="shared" si="10"/>
        <v>0</v>
      </c>
      <c r="K174" s="269">
        <f>IF(OR(I174=0,'🧾 Factura Comercial'!G173=0),0,CEILING('🧮 Costos x Producto'!J173*'🧾 Factura Comercial'!G173/I174,1))</f>
        <v>0</v>
      </c>
    </row>
    <row r="175" spans="4:11" ht="19.5" hidden="1" customHeight="1" thickBot="1" x14ac:dyDescent="0.3">
      <c r="D175" s="28">
        <v>168</v>
      </c>
      <c r="E175" s="262">
        <f>'🧾 Factura Comercial'!E174</f>
        <v>0</v>
      </c>
      <c r="F175" s="270">
        <f>'🧮 Costos x Producto'!K174</f>
        <v>0</v>
      </c>
      <c r="G175" s="351">
        <f t="shared" si="8"/>
        <v>0.4</v>
      </c>
      <c r="H175" s="267">
        <f t="shared" si="9"/>
        <v>0</v>
      </c>
      <c r="I175" s="110">
        <f>IF(H175=0,0,H175*(1+'📋 Datos Generales'!$E$28))</f>
        <v>0</v>
      </c>
      <c r="J175" s="268">
        <f t="shared" si="10"/>
        <v>0</v>
      </c>
      <c r="K175" s="269">
        <f>IF(OR(I175=0,'🧾 Factura Comercial'!G174=0),0,CEILING('🧮 Costos x Producto'!J174*'🧾 Factura Comercial'!G174/I175,1))</f>
        <v>0</v>
      </c>
    </row>
    <row r="176" spans="4:11" ht="19.5" hidden="1" customHeight="1" thickBot="1" x14ac:dyDescent="0.3">
      <c r="D176" s="28">
        <v>169</v>
      </c>
      <c r="E176" s="262">
        <f>'🧾 Factura Comercial'!E175</f>
        <v>0</v>
      </c>
      <c r="F176" s="270">
        <f>'🧮 Costos x Producto'!K175</f>
        <v>0</v>
      </c>
      <c r="G176" s="351">
        <f t="shared" si="8"/>
        <v>0.4</v>
      </c>
      <c r="H176" s="267">
        <f t="shared" si="9"/>
        <v>0</v>
      </c>
      <c r="I176" s="110">
        <f>IF(H176=0,0,H176*(1+'📋 Datos Generales'!$E$28))</f>
        <v>0</v>
      </c>
      <c r="J176" s="268">
        <f t="shared" si="10"/>
        <v>0</v>
      </c>
      <c r="K176" s="269">
        <f>IF(OR(I176=0,'🧾 Factura Comercial'!G175=0),0,CEILING('🧮 Costos x Producto'!J175*'🧾 Factura Comercial'!G175/I176,1))</f>
        <v>0</v>
      </c>
    </row>
    <row r="177" spans="4:11" ht="19.5" hidden="1" customHeight="1" thickBot="1" x14ac:dyDescent="0.3">
      <c r="D177" s="28">
        <v>170</v>
      </c>
      <c r="E177" s="262">
        <f>'🧾 Factura Comercial'!E176</f>
        <v>0</v>
      </c>
      <c r="F177" s="270">
        <f>'🧮 Costos x Producto'!K176</f>
        <v>0</v>
      </c>
      <c r="G177" s="351">
        <f t="shared" si="8"/>
        <v>0.4</v>
      </c>
      <c r="H177" s="267">
        <f t="shared" si="9"/>
        <v>0</v>
      </c>
      <c r="I177" s="110">
        <f>IF(H177=0,0,H177*(1+'📋 Datos Generales'!$E$28))</f>
        <v>0</v>
      </c>
      <c r="J177" s="268">
        <f t="shared" si="10"/>
        <v>0</v>
      </c>
      <c r="K177" s="269">
        <f>IF(OR(I177=0,'🧾 Factura Comercial'!G176=0),0,CEILING('🧮 Costos x Producto'!J176*'🧾 Factura Comercial'!G176/I177,1))</f>
        <v>0</v>
      </c>
    </row>
    <row r="178" spans="4:11" ht="19.5" hidden="1" customHeight="1" thickBot="1" x14ac:dyDescent="0.3">
      <c r="D178" s="28">
        <v>171</v>
      </c>
      <c r="E178" s="262">
        <f>'🧾 Factura Comercial'!E177</f>
        <v>0</v>
      </c>
      <c r="F178" s="270">
        <f>'🧮 Costos x Producto'!K177</f>
        <v>0</v>
      </c>
      <c r="G178" s="351">
        <f t="shared" si="8"/>
        <v>0.4</v>
      </c>
      <c r="H178" s="267">
        <f t="shared" si="9"/>
        <v>0</v>
      </c>
      <c r="I178" s="110">
        <f>IF(H178=0,0,H178*(1+'📋 Datos Generales'!$E$28))</f>
        <v>0</v>
      </c>
      <c r="J178" s="268">
        <f t="shared" si="10"/>
        <v>0</v>
      </c>
      <c r="K178" s="269">
        <f>IF(OR(I178=0,'🧾 Factura Comercial'!G177=0),0,CEILING('🧮 Costos x Producto'!J177*'🧾 Factura Comercial'!G177/I178,1))</f>
        <v>0</v>
      </c>
    </row>
    <row r="179" spans="4:11" ht="19.5" hidden="1" customHeight="1" thickBot="1" x14ac:dyDescent="0.3">
      <c r="D179" s="28">
        <v>172</v>
      </c>
      <c r="E179" s="262">
        <f>'🧾 Factura Comercial'!E178</f>
        <v>0</v>
      </c>
      <c r="F179" s="270">
        <f>'🧮 Costos x Producto'!K178</f>
        <v>0</v>
      </c>
      <c r="G179" s="351">
        <f t="shared" si="8"/>
        <v>0.4</v>
      </c>
      <c r="H179" s="267">
        <f t="shared" si="9"/>
        <v>0</v>
      </c>
      <c r="I179" s="110">
        <f>IF(H179=0,0,H179*(1+'📋 Datos Generales'!$E$28))</f>
        <v>0</v>
      </c>
      <c r="J179" s="268">
        <f t="shared" si="10"/>
        <v>0</v>
      </c>
      <c r="K179" s="269">
        <f>IF(OR(I179=0,'🧾 Factura Comercial'!G178=0),0,CEILING('🧮 Costos x Producto'!J178*'🧾 Factura Comercial'!G178/I179,1))</f>
        <v>0</v>
      </c>
    </row>
    <row r="180" spans="4:11" ht="19.5" hidden="1" customHeight="1" thickBot="1" x14ac:dyDescent="0.3">
      <c r="D180" s="28">
        <v>173</v>
      </c>
      <c r="E180" s="262">
        <f>'🧾 Factura Comercial'!E179</f>
        <v>0</v>
      </c>
      <c r="F180" s="270">
        <f>'🧮 Costos x Producto'!K179</f>
        <v>0</v>
      </c>
      <c r="G180" s="351">
        <f t="shared" si="8"/>
        <v>0.4</v>
      </c>
      <c r="H180" s="267">
        <f t="shared" si="9"/>
        <v>0</v>
      </c>
      <c r="I180" s="110">
        <f>IF(H180=0,0,H180*(1+'📋 Datos Generales'!$E$28))</f>
        <v>0</v>
      </c>
      <c r="J180" s="268">
        <f t="shared" si="10"/>
        <v>0</v>
      </c>
      <c r="K180" s="269">
        <f>IF(OR(I180=0,'🧾 Factura Comercial'!G179=0),0,CEILING('🧮 Costos x Producto'!J179*'🧾 Factura Comercial'!G179/I180,1))</f>
        <v>0</v>
      </c>
    </row>
    <row r="181" spans="4:11" ht="19.5" hidden="1" customHeight="1" thickBot="1" x14ac:dyDescent="0.3">
      <c r="D181" s="28">
        <v>174</v>
      </c>
      <c r="E181" s="262">
        <f>'🧾 Factura Comercial'!E180</f>
        <v>0</v>
      </c>
      <c r="F181" s="270">
        <f>'🧮 Costos x Producto'!K180</f>
        <v>0</v>
      </c>
      <c r="G181" s="351">
        <f t="shared" si="8"/>
        <v>0.4</v>
      </c>
      <c r="H181" s="267">
        <f t="shared" si="9"/>
        <v>0</v>
      </c>
      <c r="I181" s="110">
        <f>IF(H181=0,0,H181*(1+'📋 Datos Generales'!$E$28))</f>
        <v>0</v>
      </c>
      <c r="J181" s="268">
        <f t="shared" si="10"/>
        <v>0</v>
      </c>
      <c r="K181" s="269">
        <f>IF(OR(I181=0,'🧾 Factura Comercial'!G180=0),0,CEILING('🧮 Costos x Producto'!J180*'🧾 Factura Comercial'!G180/I181,1))</f>
        <v>0</v>
      </c>
    </row>
    <row r="182" spans="4:11" ht="19.5" hidden="1" customHeight="1" thickBot="1" x14ac:dyDescent="0.3">
      <c r="D182" s="28">
        <v>175</v>
      </c>
      <c r="E182" s="262">
        <f>'🧾 Factura Comercial'!E181</f>
        <v>0</v>
      </c>
      <c r="F182" s="270">
        <f>'🧮 Costos x Producto'!K181</f>
        <v>0</v>
      </c>
      <c r="G182" s="351">
        <f t="shared" si="8"/>
        <v>0.4</v>
      </c>
      <c r="H182" s="267">
        <f t="shared" si="9"/>
        <v>0</v>
      </c>
      <c r="I182" s="110">
        <f>IF(H182=0,0,H182*(1+'📋 Datos Generales'!$E$28))</f>
        <v>0</v>
      </c>
      <c r="J182" s="268">
        <f t="shared" si="10"/>
        <v>0</v>
      </c>
      <c r="K182" s="269">
        <f>IF(OR(I182=0,'🧾 Factura Comercial'!G181=0),0,CEILING('🧮 Costos x Producto'!J181*'🧾 Factura Comercial'!G181/I182,1))</f>
        <v>0</v>
      </c>
    </row>
    <row r="183" spans="4:11" ht="19.5" hidden="1" customHeight="1" thickBot="1" x14ac:dyDescent="0.3">
      <c r="D183" s="28">
        <v>176</v>
      </c>
      <c r="E183" s="262">
        <f>'🧾 Factura Comercial'!E182</f>
        <v>0</v>
      </c>
      <c r="F183" s="270">
        <f>'🧮 Costos x Producto'!K182</f>
        <v>0</v>
      </c>
      <c r="G183" s="351">
        <f t="shared" si="8"/>
        <v>0.4</v>
      </c>
      <c r="H183" s="267">
        <f t="shared" si="9"/>
        <v>0</v>
      </c>
      <c r="I183" s="110">
        <f>IF(H183=0,0,H183*(1+'📋 Datos Generales'!$E$28))</f>
        <v>0</v>
      </c>
      <c r="J183" s="268">
        <f t="shared" si="10"/>
        <v>0</v>
      </c>
      <c r="K183" s="269">
        <f>IF(OR(I183=0,'🧾 Factura Comercial'!G182=0),0,CEILING('🧮 Costos x Producto'!J182*'🧾 Factura Comercial'!G182/I183,1))</f>
        <v>0</v>
      </c>
    </row>
    <row r="184" spans="4:11" ht="19.5" hidden="1" customHeight="1" thickBot="1" x14ac:dyDescent="0.3">
      <c r="D184" s="28">
        <v>177</v>
      </c>
      <c r="E184" s="262">
        <f>'🧾 Factura Comercial'!E183</f>
        <v>0</v>
      </c>
      <c r="F184" s="270">
        <f>'🧮 Costos x Producto'!K183</f>
        <v>0</v>
      </c>
      <c r="G184" s="351">
        <f t="shared" si="8"/>
        <v>0.4</v>
      </c>
      <c r="H184" s="267">
        <f t="shared" si="9"/>
        <v>0</v>
      </c>
      <c r="I184" s="110">
        <f>IF(H184=0,0,H184*(1+'📋 Datos Generales'!$E$28))</f>
        <v>0</v>
      </c>
      <c r="J184" s="268">
        <f t="shared" si="10"/>
        <v>0</v>
      </c>
      <c r="K184" s="269">
        <f>IF(OR(I184=0,'🧾 Factura Comercial'!G183=0),0,CEILING('🧮 Costos x Producto'!J183*'🧾 Factura Comercial'!G183/I184,1))</f>
        <v>0</v>
      </c>
    </row>
    <row r="185" spans="4:11" ht="19.5" hidden="1" customHeight="1" thickBot="1" x14ac:dyDescent="0.3">
      <c r="D185" s="28">
        <v>178</v>
      </c>
      <c r="E185" s="262">
        <f>'🧾 Factura Comercial'!E184</f>
        <v>0</v>
      </c>
      <c r="F185" s="270">
        <f>'🧮 Costos x Producto'!K184</f>
        <v>0</v>
      </c>
      <c r="G185" s="351">
        <f t="shared" si="8"/>
        <v>0.4</v>
      </c>
      <c r="H185" s="267">
        <f t="shared" si="9"/>
        <v>0</v>
      </c>
      <c r="I185" s="110">
        <f>IF(H185=0,0,H185*(1+'📋 Datos Generales'!$E$28))</f>
        <v>0</v>
      </c>
      <c r="J185" s="268">
        <f t="shared" si="10"/>
        <v>0</v>
      </c>
      <c r="K185" s="269">
        <f>IF(OR(I185=0,'🧾 Factura Comercial'!G184=0),0,CEILING('🧮 Costos x Producto'!J184*'🧾 Factura Comercial'!G184/I185,1))</f>
        <v>0</v>
      </c>
    </row>
    <row r="186" spans="4:11" ht="19.5" hidden="1" customHeight="1" thickBot="1" x14ac:dyDescent="0.3">
      <c r="D186" s="28">
        <v>179</v>
      </c>
      <c r="E186" s="262">
        <f>'🧾 Factura Comercial'!E185</f>
        <v>0</v>
      </c>
      <c r="F186" s="270">
        <f>'🧮 Costos x Producto'!K185</f>
        <v>0</v>
      </c>
      <c r="G186" s="351">
        <f t="shared" si="8"/>
        <v>0.4</v>
      </c>
      <c r="H186" s="267">
        <f t="shared" si="9"/>
        <v>0</v>
      </c>
      <c r="I186" s="110">
        <f>IF(H186=0,0,H186*(1+'📋 Datos Generales'!$E$28))</f>
        <v>0</v>
      </c>
      <c r="J186" s="268">
        <f t="shared" si="10"/>
        <v>0</v>
      </c>
      <c r="K186" s="269">
        <f>IF(OR(I186=0,'🧾 Factura Comercial'!G185=0),0,CEILING('🧮 Costos x Producto'!J185*'🧾 Factura Comercial'!G185/I186,1))</f>
        <v>0</v>
      </c>
    </row>
    <row r="187" spans="4:11" ht="19.5" hidden="1" customHeight="1" thickBot="1" x14ac:dyDescent="0.3">
      <c r="D187" s="28">
        <v>180</v>
      </c>
      <c r="E187" s="262">
        <f>'🧾 Factura Comercial'!E186</f>
        <v>0</v>
      </c>
      <c r="F187" s="270">
        <f>'🧮 Costos x Producto'!K186</f>
        <v>0</v>
      </c>
      <c r="G187" s="351">
        <f t="shared" si="8"/>
        <v>0.4</v>
      </c>
      <c r="H187" s="267">
        <f t="shared" si="9"/>
        <v>0</v>
      </c>
      <c r="I187" s="110">
        <f>IF(H187=0,0,H187*(1+'📋 Datos Generales'!$E$28))</f>
        <v>0</v>
      </c>
      <c r="J187" s="268">
        <f t="shared" si="10"/>
        <v>0</v>
      </c>
      <c r="K187" s="269">
        <f>IF(OR(I187=0,'🧾 Factura Comercial'!G186=0),0,CEILING('🧮 Costos x Producto'!J186*'🧾 Factura Comercial'!G186/I187,1))</f>
        <v>0</v>
      </c>
    </row>
    <row r="188" spans="4:11" ht="19.5" hidden="1" customHeight="1" thickBot="1" x14ac:dyDescent="0.3">
      <c r="D188" s="28">
        <v>181</v>
      </c>
      <c r="E188" s="262">
        <f>'🧾 Factura Comercial'!E187</f>
        <v>0</v>
      </c>
      <c r="F188" s="270">
        <f>'🧮 Costos x Producto'!K187</f>
        <v>0</v>
      </c>
      <c r="G188" s="351">
        <f t="shared" si="8"/>
        <v>0.4</v>
      </c>
      <c r="H188" s="267">
        <f t="shared" si="9"/>
        <v>0</v>
      </c>
      <c r="I188" s="110">
        <f>IF(H188=0,0,H188*(1+'📋 Datos Generales'!$E$28))</f>
        <v>0</v>
      </c>
      <c r="J188" s="268">
        <f t="shared" si="10"/>
        <v>0</v>
      </c>
      <c r="K188" s="269">
        <f>IF(OR(I188=0,'🧾 Factura Comercial'!G187=0),0,CEILING('🧮 Costos x Producto'!J187*'🧾 Factura Comercial'!G187/I188,1))</f>
        <v>0</v>
      </c>
    </row>
    <row r="189" spans="4:11" ht="19.5" hidden="1" customHeight="1" thickBot="1" x14ac:dyDescent="0.3">
      <c r="D189" s="28">
        <v>182</v>
      </c>
      <c r="E189" s="262">
        <f>'🧾 Factura Comercial'!E188</f>
        <v>0</v>
      </c>
      <c r="F189" s="270">
        <f>'🧮 Costos x Producto'!K188</f>
        <v>0</v>
      </c>
      <c r="G189" s="351">
        <f t="shared" si="8"/>
        <v>0.4</v>
      </c>
      <c r="H189" s="267">
        <f t="shared" si="9"/>
        <v>0</v>
      </c>
      <c r="I189" s="110">
        <f>IF(H189=0,0,H189*(1+'📋 Datos Generales'!$E$28))</f>
        <v>0</v>
      </c>
      <c r="J189" s="268">
        <f t="shared" si="10"/>
        <v>0</v>
      </c>
      <c r="K189" s="269">
        <f>IF(OR(I189=0,'🧾 Factura Comercial'!G188=0),0,CEILING('🧮 Costos x Producto'!J188*'🧾 Factura Comercial'!G188/I189,1))</f>
        <v>0</v>
      </c>
    </row>
    <row r="190" spans="4:11" ht="19.5" hidden="1" customHeight="1" thickBot="1" x14ac:dyDescent="0.3">
      <c r="D190" s="28">
        <v>183</v>
      </c>
      <c r="E190" s="262">
        <f>'🧾 Factura Comercial'!E189</f>
        <v>0</v>
      </c>
      <c r="F190" s="270">
        <f>'🧮 Costos x Producto'!K189</f>
        <v>0</v>
      </c>
      <c r="G190" s="351">
        <f t="shared" si="8"/>
        <v>0.4</v>
      </c>
      <c r="H190" s="267">
        <f t="shared" si="9"/>
        <v>0</v>
      </c>
      <c r="I190" s="110">
        <f>IF(H190=0,0,H190*(1+'📋 Datos Generales'!$E$28))</f>
        <v>0</v>
      </c>
      <c r="J190" s="268">
        <f t="shared" si="10"/>
        <v>0</v>
      </c>
      <c r="K190" s="269">
        <f>IF(OR(I190=0,'🧾 Factura Comercial'!G189=0),0,CEILING('🧮 Costos x Producto'!J189*'🧾 Factura Comercial'!G189/I190,1))</f>
        <v>0</v>
      </c>
    </row>
    <row r="191" spans="4:11" ht="19.5" hidden="1" customHeight="1" thickBot="1" x14ac:dyDescent="0.3">
      <c r="D191" s="28">
        <v>184</v>
      </c>
      <c r="E191" s="262">
        <f>'🧾 Factura Comercial'!E190</f>
        <v>0</v>
      </c>
      <c r="F191" s="270">
        <f>'🧮 Costos x Producto'!K190</f>
        <v>0</v>
      </c>
      <c r="G191" s="351">
        <f t="shared" si="8"/>
        <v>0.4</v>
      </c>
      <c r="H191" s="267">
        <f t="shared" si="9"/>
        <v>0</v>
      </c>
      <c r="I191" s="110">
        <f>IF(H191=0,0,H191*(1+'📋 Datos Generales'!$E$28))</f>
        <v>0</v>
      </c>
      <c r="J191" s="268">
        <f t="shared" si="10"/>
        <v>0</v>
      </c>
      <c r="K191" s="269">
        <f>IF(OR(I191=0,'🧾 Factura Comercial'!G190=0),0,CEILING('🧮 Costos x Producto'!J190*'🧾 Factura Comercial'!G190/I191,1))</f>
        <v>0</v>
      </c>
    </row>
    <row r="192" spans="4:11" ht="19.5" hidden="1" customHeight="1" thickBot="1" x14ac:dyDescent="0.3">
      <c r="D192" s="28">
        <v>185</v>
      </c>
      <c r="E192" s="262">
        <f>'🧾 Factura Comercial'!E191</f>
        <v>0</v>
      </c>
      <c r="F192" s="270">
        <f>'🧮 Costos x Producto'!K191</f>
        <v>0</v>
      </c>
      <c r="G192" s="351">
        <f t="shared" si="8"/>
        <v>0.4</v>
      </c>
      <c r="H192" s="267">
        <f t="shared" si="9"/>
        <v>0</v>
      </c>
      <c r="I192" s="110">
        <f>IF(H192=0,0,H192*(1+'📋 Datos Generales'!$E$28))</f>
        <v>0</v>
      </c>
      <c r="J192" s="268">
        <f t="shared" si="10"/>
        <v>0</v>
      </c>
      <c r="K192" s="269">
        <f>IF(OR(I192=0,'🧾 Factura Comercial'!G191=0),0,CEILING('🧮 Costos x Producto'!J191*'🧾 Factura Comercial'!G191/I192,1))</f>
        <v>0</v>
      </c>
    </row>
    <row r="193" spans="4:11" ht="19.5" hidden="1" customHeight="1" thickBot="1" x14ac:dyDescent="0.3">
      <c r="D193" s="28">
        <v>186</v>
      </c>
      <c r="E193" s="262">
        <f>'🧾 Factura Comercial'!E192</f>
        <v>0</v>
      </c>
      <c r="F193" s="270">
        <f>'🧮 Costos x Producto'!K192</f>
        <v>0</v>
      </c>
      <c r="G193" s="351">
        <f t="shared" si="8"/>
        <v>0.4</v>
      </c>
      <c r="H193" s="267">
        <f t="shared" si="9"/>
        <v>0</v>
      </c>
      <c r="I193" s="110">
        <f>IF(H193=0,0,H193*(1+'📋 Datos Generales'!$E$28))</f>
        <v>0</v>
      </c>
      <c r="J193" s="268">
        <f t="shared" si="10"/>
        <v>0</v>
      </c>
      <c r="K193" s="269">
        <f>IF(OR(I193=0,'🧾 Factura Comercial'!G192=0),0,CEILING('🧮 Costos x Producto'!J192*'🧾 Factura Comercial'!G192/I193,1))</f>
        <v>0</v>
      </c>
    </row>
    <row r="194" spans="4:11" ht="19.5" hidden="1" customHeight="1" thickBot="1" x14ac:dyDescent="0.3">
      <c r="D194" s="28">
        <v>187</v>
      </c>
      <c r="E194" s="262">
        <f>'🧾 Factura Comercial'!E193</f>
        <v>0</v>
      </c>
      <c r="F194" s="270">
        <f>'🧮 Costos x Producto'!K193</f>
        <v>0</v>
      </c>
      <c r="G194" s="351">
        <f t="shared" si="8"/>
        <v>0.4</v>
      </c>
      <c r="H194" s="267">
        <f t="shared" si="9"/>
        <v>0</v>
      </c>
      <c r="I194" s="110">
        <f>IF(H194=0,0,H194*(1+'📋 Datos Generales'!$E$28))</f>
        <v>0</v>
      </c>
      <c r="J194" s="268">
        <f t="shared" si="10"/>
        <v>0</v>
      </c>
      <c r="K194" s="269">
        <f>IF(OR(I194=0,'🧾 Factura Comercial'!G193=0),0,CEILING('🧮 Costos x Producto'!J193*'🧾 Factura Comercial'!G193/I194,1))</f>
        <v>0</v>
      </c>
    </row>
    <row r="195" spans="4:11" ht="19.5" hidden="1" customHeight="1" thickBot="1" x14ac:dyDescent="0.3">
      <c r="D195" s="28">
        <v>188</v>
      </c>
      <c r="E195" s="262">
        <f>'🧾 Factura Comercial'!E194</f>
        <v>0</v>
      </c>
      <c r="F195" s="270">
        <f>'🧮 Costos x Producto'!K194</f>
        <v>0</v>
      </c>
      <c r="G195" s="351">
        <f t="shared" si="8"/>
        <v>0.4</v>
      </c>
      <c r="H195" s="267">
        <f t="shared" si="9"/>
        <v>0</v>
      </c>
      <c r="I195" s="110">
        <f>IF(H195=0,0,H195*(1+'📋 Datos Generales'!$E$28))</f>
        <v>0</v>
      </c>
      <c r="J195" s="268">
        <f t="shared" si="10"/>
        <v>0</v>
      </c>
      <c r="K195" s="269">
        <f>IF(OR(I195=0,'🧾 Factura Comercial'!G194=0),0,CEILING('🧮 Costos x Producto'!J194*'🧾 Factura Comercial'!G194/I195,1))</f>
        <v>0</v>
      </c>
    </row>
    <row r="196" spans="4:11" ht="19.5" hidden="1" customHeight="1" thickBot="1" x14ac:dyDescent="0.3">
      <c r="D196" s="28">
        <v>189</v>
      </c>
      <c r="E196" s="262">
        <f>'🧾 Factura Comercial'!E195</f>
        <v>0</v>
      </c>
      <c r="F196" s="270">
        <f>'🧮 Costos x Producto'!K195</f>
        <v>0</v>
      </c>
      <c r="G196" s="351">
        <f t="shared" si="8"/>
        <v>0.4</v>
      </c>
      <c r="H196" s="267">
        <f t="shared" si="9"/>
        <v>0</v>
      </c>
      <c r="I196" s="110">
        <f>IF(H196=0,0,H196*(1+'📋 Datos Generales'!$E$28))</f>
        <v>0</v>
      </c>
      <c r="J196" s="268">
        <f t="shared" si="10"/>
        <v>0</v>
      </c>
      <c r="K196" s="269">
        <f>IF(OR(I196=0,'🧾 Factura Comercial'!G195=0),0,CEILING('🧮 Costos x Producto'!J195*'🧾 Factura Comercial'!G195/I196,1))</f>
        <v>0</v>
      </c>
    </row>
    <row r="197" spans="4:11" ht="19.5" hidden="1" customHeight="1" thickBot="1" x14ac:dyDescent="0.3">
      <c r="D197" s="28">
        <v>190</v>
      </c>
      <c r="E197" s="262">
        <f>'🧾 Factura Comercial'!E196</f>
        <v>0</v>
      </c>
      <c r="F197" s="270">
        <f>'🧮 Costos x Producto'!K196</f>
        <v>0</v>
      </c>
      <c r="G197" s="351">
        <f t="shared" si="8"/>
        <v>0.4</v>
      </c>
      <c r="H197" s="267">
        <f t="shared" si="9"/>
        <v>0</v>
      </c>
      <c r="I197" s="110">
        <f>IF(H197=0,0,H197*(1+'📋 Datos Generales'!$E$28))</f>
        <v>0</v>
      </c>
      <c r="J197" s="268">
        <f t="shared" si="10"/>
        <v>0</v>
      </c>
      <c r="K197" s="269">
        <f>IF(OR(I197=0,'🧾 Factura Comercial'!G196=0),0,CEILING('🧮 Costos x Producto'!J196*'🧾 Factura Comercial'!G196/I197,1))</f>
        <v>0</v>
      </c>
    </row>
    <row r="198" spans="4:11" ht="19.5" hidden="1" customHeight="1" thickBot="1" x14ac:dyDescent="0.3">
      <c r="D198" s="28">
        <v>191</v>
      </c>
      <c r="E198" s="262">
        <f>'🧾 Factura Comercial'!E197</f>
        <v>0</v>
      </c>
      <c r="F198" s="270">
        <f>'🧮 Costos x Producto'!K197</f>
        <v>0</v>
      </c>
      <c r="G198" s="351">
        <f t="shared" si="8"/>
        <v>0.4</v>
      </c>
      <c r="H198" s="267">
        <f t="shared" si="9"/>
        <v>0</v>
      </c>
      <c r="I198" s="110">
        <f>IF(H198=0,0,H198*(1+'📋 Datos Generales'!$E$28))</f>
        <v>0</v>
      </c>
      <c r="J198" s="268">
        <f t="shared" si="10"/>
        <v>0</v>
      </c>
      <c r="K198" s="269">
        <f>IF(OR(I198=0,'🧾 Factura Comercial'!G197=0),0,CEILING('🧮 Costos x Producto'!J197*'🧾 Factura Comercial'!G197/I198,1))</f>
        <v>0</v>
      </c>
    </row>
    <row r="199" spans="4:11" ht="19.5" hidden="1" customHeight="1" thickBot="1" x14ac:dyDescent="0.3">
      <c r="D199" s="28">
        <v>192</v>
      </c>
      <c r="E199" s="262">
        <f>'🧾 Factura Comercial'!E198</f>
        <v>0</v>
      </c>
      <c r="F199" s="270">
        <f>'🧮 Costos x Producto'!K198</f>
        <v>0</v>
      </c>
      <c r="G199" s="351">
        <f t="shared" si="8"/>
        <v>0.4</v>
      </c>
      <c r="H199" s="267">
        <f t="shared" si="9"/>
        <v>0</v>
      </c>
      <c r="I199" s="110">
        <f>IF(H199=0,0,H199*(1+'📋 Datos Generales'!$E$28))</f>
        <v>0</v>
      </c>
      <c r="J199" s="268">
        <f t="shared" si="10"/>
        <v>0</v>
      </c>
      <c r="K199" s="269">
        <f>IF(OR(I199=0,'🧾 Factura Comercial'!G198=0),0,CEILING('🧮 Costos x Producto'!J198*'🧾 Factura Comercial'!G198/I199,1))</f>
        <v>0</v>
      </c>
    </row>
    <row r="200" spans="4:11" ht="19.5" hidden="1" customHeight="1" thickBot="1" x14ac:dyDescent="0.3">
      <c r="D200" s="28">
        <v>193</v>
      </c>
      <c r="E200" s="262">
        <f>'🧾 Factura Comercial'!E199</f>
        <v>0</v>
      </c>
      <c r="F200" s="270">
        <f>'🧮 Costos x Producto'!K199</f>
        <v>0</v>
      </c>
      <c r="G200" s="351">
        <f t="shared" si="8"/>
        <v>0.4</v>
      </c>
      <c r="H200" s="267">
        <f t="shared" si="9"/>
        <v>0</v>
      </c>
      <c r="I200" s="110">
        <f>IF(H200=0,0,H200*(1+'📋 Datos Generales'!$E$28))</f>
        <v>0</v>
      </c>
      <c r="J200" s="268">
        <f t="shared" si="10"/>
        <v>0</v>
      </c>
      <c r="K200" s="269">
        <f>IF(OR(I200=0,'🧾 Factura Comercial'!G199=0),0,CEILING('🧮 Costos x Producto'!J199*'🧾 Factura Comercial'!G199/I200,1))</f>
        <v>0</v>
      </c>
    </row>
    <row r="201" spans="4:11" ht="19.5" hidden="1" customHeight="1" thickBot="1" x14ac:dyDescent="0.3">
      <c r="D201" s="28">
        <v>194</v>
      </c>
      <c r="E201" s="262">
        <f>'🧾 Factura Comercial'!E200</f>
        <v>0</v>
      </c>
      <c r="F201" s="270">
        <f>'🧮 Costos x Producto'!K200</f>
        <v>0</v>
      </c>
      <c r="G201" s="351">
        <f t="shared" si="8"/>
        <v>0.4</v>
      </c>
      <c r="H201" s="267">
        <f t="shared" si="9"/>
        <v>0</v>
      </c>
      <c r="I201" s="110">
        <f>IF(H201=0,0,H201*(1+'📋 Datos Generales'!$E$28))</f>
        <v>0</v>
      </c>
      <c r="J201" s="268">
        <f t="shared" si="10"/>
        <v>0</v>
      </c>
      <c r="K201" s="269">
        <f>IF(OR(I201=0,'🧾 Factura Comercial'!G200=0),0,CEILING('🧮 Costos x Producto'!J200*'🧾 Factura Comercial'!G200/I201,1))</f>
        <v>0</v>
      </c>
    </row>
    <row r="202" spans="4:11" ht="19.5" hidden="1" customHeight="1" thickBot="1" x14ac:dyDescent="0.3">
      <c r="D202" s="28">
        <v>195</v>
      </c>
      <c r="E202" s="262">
        <f>'🧾 Factura Comercial'!E201</f>
        <v>0</v>
      </c>
      <c r="F202" s="270">
        <f>'🧮 Costos x Producto'!K201</f>
        <v>0</v>
      </c>
      <c r="G202" s="351">
        <f t="shared" si="8"/>
        <v>0.4</v>
      </c>
      <c r="H202" s="267">
        <f t="shared" si="9"/>
        <v>0</v>
      </c>
      <c r="I202" s="110">
        <f>IF(H202=0,0,H202*(1+'📋 Datos Generales'!$E$28))</f>
        <v>0</v>
      </c>
      <c r="J202" s="268">
        <f t="shared" si="10"/>
        <v>0</v>
      </c>
      <c r="K202" s="269">
        <f>IF(OR(I202=0,'🧾 Factura Comercial'!G201=0),0,CEILING('🧮 Costos x Producto'!J201*'🧾 Factura Comercial'!G201/I202,1))</f>
        <v>0</v>
      </c>
    </row>
    <row r="203" spans="4:11" ht="19.5" hidden="1" customHeight="1" thickBot="1" x14ac:dyDescent="0.3">
      <c r="D203" s="28">
        <v>196</v>
      </c>
      <c r="E203" s="262">
        <f>'🧾 Factura Comercial'!E202</f>
        <v>0</v>
      </c>
      <c r="F203" s="270">
        <f>'🧮 Costos x Producto'!K202</f>
        <v>0</v>
      </c>
      <c r="G203" s="351">
        <f t="shared" ref="G203:G266" si="11">$H$4</f>
        <v>0.4</v>
      </c>
      <c r="H203" s="267">
        <f t="shared" si="9"/>
        <v>0</v>
      </c>
      <c r="I203" s="110">
        <f>IF(H203=0,0,H203*(1+'📋 Datos Generales'!$E$28))</f>
        <v>0</v>
      </c>
      <c r="J203" s="268">
        <f t="shared" si="10"/>
        <v>0</v>
      </c>
      <c r="K203" s="269">
        <f>IF(OR(I203=0,'🧾 Factura Comercial'!G202=0),0,CEILING('🧮 Costos x Producto'!J202*'🧾 Factura Comercial'!G202/I203,1))</f>
        <v>0</v>
      </c>
    </row>
    <row r="204" spans="4:11" ht="19.5" hidden="1" customHeight="1" thickBot="1" x14ac:dyDescent="0.3">
      <c r="D204" s="28">
        <v>197</v>
      </c>
      <c r="E204" s="262">
        <f>'🧾 Factura Comercial'!E203</f>
        <v>0</v>
      </c>
      <c r="F204" s="270">
        <f>'🧮 Costos x Producto'!K203</f>
        <v>0</v>
      </c>
      <c r="G204" s="351">
        <f t="shared" si="11"/>
        <v>0.4</v>
      </c>
      <c r="H204" s="267">
        <f t="shared" si="9"/>
        <v>0</v>
      </c>
      <c r="I204" s="110">
        <f>IF(H204=0,0,H204*(1+'📋 Datos Generales'!$E$28))</f>
        <v>0</v>
      </c>
      <c r="J204" s="268">
        <f t="shared" si="10"/>
        <v>0</v>
      </c>
      <c r="K204" s="269">
        <f>IF(OR(I204=0,'🧾 Factura Comercial'!G203=0),0,CEILING('🧮 Costos x Producto'!J203*'🧾 Factura Comercial'!G203/I204,1))</f>
        <v>0</v>
      </c>
    </row>
    <row r="205" spans="4:11" ht="19.5" hidden="1" customHeight="1" thickBot="1" x14ac:dyDescent="0.3">
      <c r="D205" s="28">
        <v>198</v>
      </c>
      <c r="E205" s="262">
        <f>'🧾 Factura Comercial'!E204</f>
        <v>0</v>
      </c>
      <c r="F205" s="270">
        <f>'🧮 Costos x Producto'!K204</f>
        <v>0</v>
      </c>
      <c r="G205" s="351">
        <f t="shared" si="11"/>
        <v>0.4</v>
      </c>
      <c r="H205" s="267">
        <f t="shared" si="9"/>
        <v>0</v>
      </c>
      <c r="I205" s="110">
        <f>IF(H205=0,0,H205*(1+'📋 Datos Generales'!$E$28))</f>
        <v>0</v>
      </c>
      <c r="J205" s="268">
        <f t="shared" si="10"/>
        <v>0</v>
      </c>
      <c r="K205" s="269">
        <f>IF(OR(I205=0,'🧾 Factura Comercial'!G204=0),0,CEILING('🧮 Costos x Producto'!J204*'🧾 Factura Comercial'!G204/I205,1))</f>
        <v>0</v>
      </c>
    </row>
    <row r="206" spans="4:11" ht="19.5" hidden="1" customHeight="1" thickBot="1" x14ac:dyDescent="0.3">
      <c r="D206" s="28">
        <v>199</v>
      </c>
      <c r="E206" s="262">
        <f>'🧾 Factura Comercial'!E205</f>
        <v>0</v>
      </c>
      <c r="F206" s="270">
        <f>'🧮 Costos x Producto'!K205</f>
        <v>0</v>
      </c>
      <c r="G206" s="351">
        <f t="shared" si="11"/>
        <v>0.4</v>
      </c>
      <c r="H206" s="267">
        <f t="shared" si="9"/>
        <v>0</v>
      </c>
      <c r="I206" s="110">
        <f>IF(H206=0,0,H206*(1+'📋 Datos Generales'!$E$28))</f>
        <v>0</v>
      </c>
      <c r="J206" s="268">
        <f t="shared" si="10"/>
        <v>0</v>
      </c>
      <c r="K206" s="269">
        <f>IF(OR(I206=0,'🧾 Factura Comercial'!G205=0),0,CEILING('🧮 Costos x Producto'!J205*'🧾 Factura Comercial'!G205/I206,1))</f>
        <v>0</v>
      </c>
    </row>
    <row r="207" spans="4:11" ht="19.5" hidden="1" customHeight="1" thickBot="1" x14ac:dyDescent="0.3">
      <c r="D207" s="28">
        <v>200</v>
      </c>
      <c r="E207" s="262">
        <f>'🧾 Factura Comercial'!E206</f>
        <v>0</v>
      </c>
      <c r="F207" s="270">
        <f>'🧮 Costos x Producto'!K206</f>
        <v>0</v>
      </c>
      <c r="G207" s="351">
        <f t="shared" si="11"/>
        <v>0.4</v>
      </c>
      <c r="H207" s="267">
        <f t="shared" si="9"/>
        <v>0</v>
      </c>
      <c r="I207" s="110">
        <f>IF(H207=0,0,H207*(1+'📋 Datos Generales'!$E$28))</f>
        <v>0</v>
      </c>
      <c r="J207" s="268">
        <f t="shared" si="10"/>
        <v>0</v>
      </c>
      <c r="K207" s="269">
        <f>IF(OR(I207=0,'🧾 Factura Comercial'!G206=0),0,CEILING('🧮 Costos x Producto'!J206*'🧾 Factura Comercial'!G206/I207,1))</f>
        <v>0</v>
      </c>
    </row>
    <row r="208" spans="4:11" ht="19.5" hidden="1" customHeight="1" thickBot="1" x14ac:dyDescent="0.3">
      <c r="D208" s="28">
        <v>201</v>
      </c>
      <c r="E208" s="262">
        <f>'🧾 Factura Comercial'!E207</f>
        <v>0</v>
      </c>
      <c r="F208" s="270">
        <f>'🧮 Costos x Producto'!K207</f>
        <v>0</v>
      </c>
      <c r="G208" s="351">
        <f t="shared" si="11"/>
        <v>0.4</v>
      </c>
      <c r="H208" s="267">
        <f t="shared" si="9"/>
        <v>0</v>
      </c>
      <c r="I208" s="110">
        <f>IF(H208=0,0,H208*(1+'📋 Datos Generales'!$E$28))</f>
        <v>0</v>
      </c>
      <c r="J208" s="268">
        <f t="shared" si="10"/>
        <v>0</v>
      </c>
      <c r="K208" s="269">
        <f>IF(OR(I208=0,'🧾 Factura Comercial'!G207=0),0,CEILING('🧮 Costos x Producto'!J207*'🧾 Factura Comercial'!G207/I208,1))</f>
        <v>0</v>
      </c>
    </row>
    <row r="209" spans="4:11" ht="19.5" hidden="1" customHeight="1" thickBot="1" x14ac:dyDescent="0.3">
      <c r="D209" s="28">
        <v>202</v>
      </c>
      <c r="E209" s="262">
        <f>'🧾 Factura Comercial'!E208</f>
        <v>0</v>
      </c>
      <c r="F209" s="270">
        <f>'🧮 Costos x Producto'!K208</f>
        <v>0</v>
      </c>
      <c r="G209" s="351">
        <f t="shared" si="11"/>
        <v>0.4</v>
      </c>
      <c r="H209" s="267">
        <f t="shared" ref="H209:H272" si="12">IF(F209=0,0,F209/(1-G209))</f>
        <v>0</v>
      </c>
      <c r="I209" s="110">
        <f>IF(H209=0,0,H209*(1+'📋 Datos Generales'!$E$28))</f>
        <v>0</v>
      </c>
      <c r="J209" s="268">
        <f t="shared" ref="J209:J272" si="13">IF(H209=0,0,H209-F209)</f>
        <v>0</v>
      </c>
      <c r="K209" s="269">
        <f>IF(OR(I209=0,'🧾 Factura Comercial'!G208=0),0,CEILING('🧮 Costos x Producto'!J208*'🧾 Factura Comercial'!G208/I209,1))</f>
        <v>0</v>
      </c>
    </row>
    <row r="210" spans="4:11" ht="19.5" hidden="1" customHeight="1" thickBot="1" x14ac:dyDescent="0.3">
      <c r="D210" s="28">
        <v>203</v>
      </c>
      <c r="E210" s="262">
        <f>'🧾 Factura Comercial'!E209</f>
        <v>0</v>
      </c>
      <c r="F210" s="270">
        <f>'🧮 Costos x Producto'!K209</f>
        <v>0</v>
      </c>
      <c r="G210" s="351">
        <f t="shared" si="11"/>
        <v>0.4</v>
      </c>
      <c r="H210" s="267">
        <f t="shared" si="12"/>
        <v>0</v>
      </c>
      <c r="I210" s="110">
        <f>IF(H210=0,0,H210*(1+'📋 Datos Generales'!$E$28))</f>
        <v>0</v>
      </c>
      <c r="J210" s="268">
        <f t="shared" si="13"/>
        <v>0</v>
      </c>
      <c r="K210" s="269">
        <f>IF(OR(I210=0,'🧾 Factura Comercial'!G209=0),0,CEILING('🧮 Costos x Producto'!J209*'🧾 Factura Comercial'!G209/I210,1))</f>
        <v>0</v>
      </c>
    </row>
    <row r="211" spans="4:11" ht="19.5" hidden="1" customHeight="1" thickBot="1" x14ac:dyDescent="0.3">
      <c r="D211" s="28">
        <v>204</v>
      </c>
      <c r="E211" s="262">
        <f>'🧾 Factura Comercial'!E210</f>
        <v>0</v>
      </c>
      <c r="F211" s="270">
        <f>'🧮 Costos x Producto'!K210</f>
        <v>0</v>
      </c>
      <c r="G211" s="351">
        <f t="shared" si="11"/>
        <v>0.4</v>
      </c>
      <c r="H211" s="267">
        <f t="shared" si="12"/>
        <v>0</v>
      </c>
      <c r="I211" s="110">
        <f>IF(H211=0,0,H211*(1+'📋 Datos Generales'!$E$28))</f>
        <v>0</v>
      </c>
      <c r="J211" s="268">
        <f t="shared" si="13"/>
        <v>0</v>
      </c>
      <c r="K211" s="269">
        <f>IF(OR(I211=0,'🧾 Factura Comercial'!G210=0),0,CEILING('🧮 Costos x Producto'!J210*'🧾 Factura Comercial'!G210/I211,1))</f>
        <v>0</v>
      </c>
    </row>
    <row r="212" spans="4:11" ht="19.5" hidden="1" customHeight="1" thickBot="1" x14ac:dyDescent="0.3">
      <c r="D212" s="28">
        <v>205</v>
      </c>
      <c r="E212" s="262">
        <f>'🧾 Factura Comercial'!E211</f>
        <v>0</v>
      </c>
      <c r="F212" s="270">
        <f>'🧮 Costos x Producto'!K211</f>
        <v>0</v>
      </c>
      <c r="G212" s="351">
        <f t="shared" si="11"/>
        <v>0.4</v>
      </c>
      <c r="H212" s="267">
        <f t="shared" si="12"/>
        <v>0</v>
      </c>
      <c r="I212" s="110">
        <f>IF(H212=0,0,H212*(1+'📋 Datos Generales'!$E$28))</f>
        <v>0</v>
      </c>
      <c r="J212" s="268">
        <f t="shared" si="13"/>
        <v>0</v>
      </c>
      <c r="K212" s="269">
        <f>IF(OR(I212=0,'🧾 Factura Comercial'!G211=0),0,CEILING('🧮 Costos x Producto'!J211*'🧾 Factura Comercial'!G211/I212,1))</f>
        <v>0</v>
      </c>
    </row>
    <row r="213" spans="4:11" ht="19.5" hidden="1" customHeight="1" thickBot="1" x14ac:dyDescent="0.3">
      <c r="D213" s="28">
        <v>206</v>
      </c>
      <c r="E213" s="262">
        <f>'🧾 Factura Comercial'!E212</f>
        <v>0</v>
      </c>
      <c r="F213" s="270">
        <f>'🧮 Costos x Producto'!K212</f>
        <v>0</v>
      </c>
      <c r="G213" s="351">
        <f t="shared" si="11"/>
        <v>0.4</v>
      </c>
      <c r="H213" s="267">
        <f t="shared" si="12"/>
        <v>0</v>
      </c>
      <c r="I213" s="110">
        <f>IF(H213=0,0,H213*(1+'📋 Datos Generales'!$E$28))</f>
        <v>0</v>
      </c>
      <c r="J213" s="268">
        <f t="shared" si="13"/>
        <v>0</v>
      </c>
      <c r="K213" s="269">
        <f>IF(OR(I213=0,'🧾 Factura Comercial'!G212=0),0,CEILING('🧮 Costos x Producto'!J212*'🧾 Factura Comercial'!G212/I213,1))</f>
        <v>0</v>
      </c>
    </row>
    <row r="214" spans="4:11" ht="19.5" hidden="1" customHeight="1" thickBot="1" x14ac:dyDescent="0.3">
      <c r="D214" s="28">
        <v>207</v>
      </c>
      <c r="E214" s="262">
        <f>'🧾 Factura Comercial'!E213</f>
        <v>0</v>
      </c>
      <c r="F214" s="270">
        <f>'🧮 Costos x Producto'!K213</f>
        <v>0</v>
      </c>
      <c r="G214" s="351">
        <f t="shared" si="11"/>
        <v>0.4</v>
      </c>
      <c r="H214" s="267">
        <f t="shared" si="12"/>
        <v>0</v>
      </c>
      <c r="I214" s="110">
        <f>IF(H214=0,0,H214*(1+'📋 Datos Generales'!$E$28))</f>
        <v>0</v>
      </c>
      <c r="J214" s="268">
        <f t="shared" si="13"/>
        <v>0</v>
      </c>
      <c r="K214" s="269">
        <f>IF(OR(I214=0,'🧾 Factura Comercial'!G213=0),0,CEILING('🧮 Costos x Producto'!J213*'🧾 Factura Comercial'!G213/I214,1))</f>
        <v>0</v>
      </c>
    </row>
    <row r="215" spans="4:11" ht="19.5" hidden="1" customHeight="1" thickBot="1" x14ac:dyDescent="0.3">
      <c r="D215" s="28">
        <v>208</v>
      </c>
      <c r="E215" s="262">
        <f>'🧾 Factura Comercial'!E214</f>
        <v>0</v>
      </c>
      <c r="F215" s="270">
        <f>'🧮 Costos x Producto'!K214</f>
        <v>0</v>
      </c>
      <c r="G215" s="351">
        <f t="shared" si="11"/>
        <v>0.4</v>
      </c>
      <c r="H215" s="267">
        <f t="shared" si="12"/>
        <v>0</v>
      </c>
      <c r="I215" s="110">
        <f>IF(H215=0,0,H215*(1+'📋 Datos Generales'!$E$28))</f>
        <v>0</v>
      </c>
      <c r="J215" s="268">
        <f t="shared" si="13"/>
        <v>0</v>
      </c>
      <c r="K215" s="269">
        <f>IF(OR(I215=0,'🧾 Factura Comercial'!G214=0),0,CEILING('🧮 Costos x Producto'!J214*'🧾 Factura Comercial'!G214/I215,1))</f>
        <v>0</v>
      </c>
    </row>
    <row r="216" spans="4:11" ht="19.5" hidden="1" customHeight="1" thickBot="1" x14ac:dyDescent="0.3">
      <c r="D216" s="28">
        <v>209</v>
      </c>
      <c r="E216" s="262">
        <f>'🧾 Factura Comercial'!E215</f>
        <v>0</v>
      </c>
      <c r="F216" s="270">
        <f>'🧮 Costos x Producto'!K215</f>
        <v>0</v>
      </c>
      <c r="G216" s="351">
        <f t="shared" si="11"/>
        <v>0.4</v>
      </c>
      <c r="H216" s="267">
        <f t="shared" si="12"/>
        <v>0</v>
      </c>
      <c r="I216" s="110">
        <f>IF(H216=0,0,H216*(1+'📋 Datos Generales'!$E$28))</f>
        <v>0</v>
      </c>
      <c r="J216" s="268">
        <f t="shared" si="13"/>
        <v>0</v>
      </c>
      <c r="K216" s="269">
        <f>IF(OR(I216=0,'🧾 Factura Comercial'!G215=0),0,CEILING('🧮 Costos x Producto'!J215*'🧾 Factura Comercial'!G215/I216,1))</f>
        <v>0</v>
      </c>
    </row>
    <row r="217" spans="4:11" ht="19.5" hidden="1" customHeight="1" thickBot="1" x14ac:dyDescent="0.3">
      <c r="D217" s="28">
        <v>210</v>
      </c>
      <c r="E217" s="262">
        <f>'🧾 Factura Comercial'!E216</f>
        <v>0</v>
      </c>
      <c r="F217" s="270">
        <f>'🧮 Costos x Producto'!K216</f>
        <v>0</v>
      </c>
      <c r="G217" s="351">
        <f t="shared" si="11"/>
        <v>0.4</v>
      </c>
      <c r="H217" s="267">
        <f t="shared" si="12"/>
        <v>0</v>
      </c>
      <c r="I217" s="110">
        <f>IF(H217=0,0,H217*(1+'📋 Datos Generales'!$E$28))</f>
        <v>0</v>
      </c>
      <c r="J217" s="268">
        <f t="shared" si="13"/>
        <v>0</v>
      </c>
      <c r="K217" s="269">
        <f>IF(OR(I217=0,'🧾 Factura Comercial'!G216=0),0,CEILING('🧮 Costos x Producto'!J216*'🧾 Factura Comercial'!G216/I217,1))</f>
        <v>0</v>
      </c>
    </row>
    <row r="218" spans="4:11" ht="19.5" hidden="1" customHeight="1" thickBot="1" x14ac:dyDescent="0.3">
      <c r="D218" s="28">
        <v>211</v>
      </c>
      <c r="E218" s="262">
        <f>'🧾 Factura Comercial'!E217</f>
        <v>0</v>
      </c>
      <c r="F218" s="270">
        <f>'🧮 Costos x Producto'!K217</f>
        <v>0</v>
      </c>
      <c r="G218" s="351">
        <f t="shared" si="11"/>
        <v>0.4</v>
      </c>
      <c r="H218" s="267">
        <f t="shared" si="12"/>
        <v>0</v>
      </c>
      <c r="I218" s="110">
        <f>IF(H218=0,0,H218*(1+'📋 Datos Generales'!$E$28))</f>
        <v>0</v>
      </c>
      <c r="J218" s="268">
        <f t="shared" si="13"/>
        <v>0</v>
      </c>
      <c r="K218" s="269">
        <f>IF(OR(I218=0,'🧾 Factura Comercial'!G217=0),0,CEILING('🧮 Costos x Producto'!J217*'🧾 Factura Comercial'!G217/I218,1))</f>
        <v>0</v>
      </c>
    </row>
    <row r="219" spans="4:11" ht="19.5" hidden="1" customHeight="1" thickBot="1" x14ac:dyDescent="0.3">
      <c r="D219" s="28">
        <v>212</v>
      </c>
      <c r="E219" s="262">
        <f>'🧾 Factura Comercial'!E218</f>
        <v>0</v>
      </c>
      <c r="F219" s="270">
        <f>'🧮 Costos x Producto'!K218</f>
        <v>0</v>
      </c>
      <c r="G219" s="351">
        <f t="shared" si="11"/>
        <v>0.4</v>
      </c>
      <c r="H219" s="267">
        <f t="shared" si="12"/>
        <v>0</v>
      </c>
      <c r="I219" s="110">
        <f>IF(H219=0,0,H219*(1+'📋 Datos Generales'!$E$28))</f>
        <v>0</v>
      </c>
      <c r="J219" s="268">
        <f t="shared" si="13"/>
        <v>0</v>
      </c>
      <c r="K219" s="269">
        <f>IF(OR(I219=0,'🧾 Factura Comercial'!G218=0),0,CEILING('🧮 Costos x Producto'!J218*'🧾 Factura Comercial'!G218/I219,1))</f>
        <v>0</v>
      </c>
    </row>
    <row r="220" spans="4:11" ht="19.5" hidden="1" customHeight="1" thickBot="1" x14ac:dyDescent="0.3">
      <c r="D220" s="28">
        <v>213</v>
      </c>
      <c r="E220" s="262">
        <f>'🧾 Factura Comercial'!E219</f>
        <v>0</v>
      </c>
      <c r="F220" s="270">
        <f>'🧮 Costos x Producto'!K219</f>
        <v>0</v>
      </c>
      <c r="G220" s="351">
        <f t="shared" si="11"/>
        <v>0.4</v>
      </c>
      <c r="H220" s="267">
        <f t="shared" si="12"/>
        <v>0</v>
      </c>
      <c r="I220" s="110">
        <f>IF(H220=0,0,H220*(1+'📋 Datos Generales'!$E$28))</f>
        <v>0</v>
      </c>
      <c r="J220" s="268">
        <f t="shared" si="13"/>
        <v>0</v>
      </c>
      <c r="K220" s="269">
        <f>IF(OR(I220=0,'🧾 Factura Comercial'!G219=0),0,CEILING('🧮 Costos x Producto'!J219*'🧾 Factura Comercial'!G219/I220,1))</f>
        <v>0</v>
      </c>
    </row>
    <row r="221" spans="4:11" ht="19.5" hidden="1" customHeight="1" thickBot="1" x14ac:dyDescent="0.3">
      <c r="D221" s="28">
        <v>214</v>
      </c>
      <c r="E221" s="262">
        <f>'🧾 Factura Comercial'!E220</f>
        <v>0</v>
      </c>
      <c r="F221" s="270">
        <f>'🧮 Costos x Producto'!K220</f>
        <v>0</v>
      </c>
      <c r="G221" s="351">
        <f t="shared" si="11"/>
        <v>0.4</v>
      </c>
      <c r="H221" s="267">
        <f t="shared" si="12"/>
        <v>0</v>
      </c>
      <c r="I221" s="110">
        <f>IF(H221=0,0,H221*(1+'📋 Datos Generales'!$E$28))</f>
        <v>0</v>
      </c>
      <c r="J221" s="268">
        <f t="shared" si="13"/>
        <v>0</v>
      </c>
      <c r="K221" s="269">
        <f>IF(OR(I221=0,'🧾 Factura Comercial'!G220=0),0,CEILING('🧮 Costos x Producto'!J220*'🧾 Factura Comercial'!G220/I221,1))</f>
        <v>0</v>
      </c>
    </row>
    <row r="222" spans="4:11" ht="19.5" hidden="1" customHeight="1" thickBot="1" x14ac:dyDescent="0.3">
      <c r="D222" s="28">
        <v>215</v>
      </c>
      <c r="E222" s="262">
        <f>'🧾 Factura Comercial'!E221</f>
        <v>0</v>
      </c>
      <c r="F222" s="270">
        <f>'🧮 Costos x Producto'!K221</f>
        <v>0</v>
      </c>
      <c r="G222" s="351">
        <f t="shared" si="11"/>
        <v>0.4</v>
      </c>
      <c r="H222" s="267">
        <f t="shared" si="12"/>
        <v>0</v>
      </c>
      <c r="I222" s="110">
        <f>IF(H222=0,0,H222*(1+'📋 Datos Generales'!$E$28))</f>
        <v>0</v>
      </c>
      <c r="J222" s="268">
        <f t="shared" si="13"/>
        <v>0</v>
      </c>
      <c r="K222" s="269">
        <f>IF(OR(I222=0,'🧾 Factura Comercial'!G221=0),0,CEILING('🧮 Costos x Producto'!J221*'🧾 Factura Comercial'!G221/I222,1))</f>
        <v>0</v>
      </c>
    </row>
    <row r="223" spans="4:11" ht="19.5" hidden="1" customHeight="1" thickBot="1" x14ac:dyDescent="0.3">
      <c r="D223" s="28">
        <v>216</v>
      </c>
      <c r="E223" s="262">
        <f>'🧾 Factura Comercial'!E222</f>
        <v>0</v>
      </c>
      <c r="F223" s="270">
        <f>'🧮 Costos x Producto'!K222</f>
        <v>0</v>
      </c>
      <c r="G223" s="351">
        <f t="shared" si="11"/>
        <v>0.4</v>
      </c>
      <c r="H223" s="267">
        <f t="shared" si="12"/>
        <v>0</v>
      </c>
      <c r="I223" s="110">
        <f>IF(H223=0,0,H223*(1+'📋 Datos Generales'!$E$28))</f>
        <v>0</v>
      </c>
      <c r="J223" s="268">
        <f t="shared" si="13"/>
        <v>0</v>
      </c>
      <c r="K223" s="269">
        <f>IF(OR(I223=0,'🧾 Factura Comercial'!G222=0),0,CEILING('🧮 Costos x Producto'!J222*'🧾 Factura Comercial'!G222/I223,1))</f>
        <v>0</v>
      </c>
    </row>
    <row r="224" spans="4:11" ht="19.5" hidden="1" customHeight="1" thickBot="1" x14ac:dyDescent="0.3">
      <c r="D224" s="28">
        <v>217</v>
      </c>
      <c r="E224" s="262">
        <f>'🧾 Factura Comercial'!E223</f>
        <v>0</v>
      </c>
      <c r="F224" s="270">
        <f>'🧮 Costos x Producto'!K223</f>
        <v>0</v>
      </c>
      <c r="G224" s="351">
        <f t="shared" si="11"/>
        <v>0.4</v>
      </c>
      <c r="H224" s="267">
        <f t="shared" si="12"/>
        <v>0</v>
      </c>
      <c r="I224" s="110">
        <f>IF(H224=0,0,H224*(1+'📋 Datos Generales'!$E$28))</f>
        <v>0</v>
      </c>
      <c r="J224" s="268">
        <f t="shared" si="13"/>
        <v>0</v>
      </c>
      <c r="K224" s="269">
        <f>IF(OR(I224=0,'🧾 Factura Comercial'!G223=0),0,CEILING('🧮 Costos x Producto'!J223*'🧾 Factura Comercial'!G223/I224,1))</f>
        <v>0</v>
      </c>
    </row>
    <row r="225" spans="4:11" ht="19.5" hidden="1" customHeight="1" thickBot="1" x14ac:dyDescent="0.3">
      <c r="D225" s="28">
        <v>218</v>
      </c>
      <c r="E225" s="262">
        <f>'🧾 Factura Comercial'!E224</f>
        <v>0</v>
      </c>
      <c r="F225" s="270">
        <f>'🧮 Costos x Producto'!K224</f>
        <v>0</v>
      </c>
      <c r="G225" s="351">
        <f t="shared" si="11"/>
        <v>0.4</v>
      </c>
      <c r="H225" s="267">
        <f t="shared" si="12"/>
        <v>0</v>
      </c>
      <c r="I225" s="110">
        <f>IF(H225=0,0,H225*(1+'📋 Datos Generales'!$E$28))</f>
        <v>0</v>
      </c>
      <c r="J225" s="268">
        <f t="shared" si="13"/>
        <v>0</v>
      </c>
      <c r="K225" s="269">
        <f>IF(OR(I225=0,'🧾 Factura Comercial'!G224=0),0,CEILING('🧮 Costos x Producto'!J224*'🧾 Factura Comercial'!G224/I225,1))</f>
        <v>0</v>
      </c>
    </row>
    <row r="226" spans="4:11" ht="19.5" hidden="1" customHeight="1" thickBot="1" x14ac:dyDescent="0.3">
      <c r="D226" s="28">
        <v>219</v>
      </c>
      <c r="E226" s="262">
        <f>'🧾 Factura Comercial'!E225</f>
        <v>0</v>
      </c>
      <c r="F226" s="270">
        <f>'🧮 Costos x Producto'!K225</f>
        <v>0</v>
      </c>
      <c r="G226" s="351">
        <f t="shared" si="11"/>
        <v>0.4</v>
      </c>
      <c r="H226" s="267">
        <f t="shared" si="12"/>
        <v>0</v>
      </c>
      <c r="I226" s="110">
        <f>IF(H226=0,0,H226*(1+'📋 Datos Generales'!$E$28))</f>
        <v>0</v>
      </c>
      <c r="J226" s="268">
        <f t="shared" si="13"/>
        <v>0</v>
      </c>
      <c r="K226" s="269">
        <f>IF(OR(I226=0,'🧾 Factura Comercial'!G225=0),0,CEILING('🧮 Costos x Producto'!J225*'🧾 Factura Comercial'!G225/I226,1))</f>
        <v>0</v>
      </c>
    </row>
    <row r="227" spans="4:11" ht="19.5" hidden="1" customHeight="1" thickBot="1" x14ac:dyDescent="0.3">
      <c r="D227" s="28">
        <v>220</v>
      </c>
      <c r="E227" s="262">
        <f>'🧾 Factura Comercial'!E226</f>
        <v>0</v>
      </c>
      <c r="F227" s="270">
        <f>'🧮 Costos x Producto'!K226</f>
        <v>0</v>
      </c>
      <c r="G227" s="351">
        <f t="shared" si="11"/>
        <v>0.4</v>
      </c>
      <c r="H227" s="267">
        <f t="shared" si="12"/>
        <v>0</v>
      </c>
      <c r="I227" s="110">
        <f>IF(H227=0,0,H227*(1+'📋 Datos Generales'!$E$28))</f>
        <v>0</v>
      </c>
      <c r="J227" s="268">
        <f t="shared" si="13"/>
        <v>0</v>
      </c>
      <c r="K227" s="269">
        <f>IF(OR(I227=0,'🧾 Factura Comercial'!G226=0),0,CEILING('🧮 Costos x Producto'!J226*'🧾 Factura Comercial'!G226/I227,1))</f>
        <v>0</v>
      </c>
    </row>
    <row r="228" spans="4:11" ht="19.5" hidden="1" customHeight="1" thickBot="1" x14ac:dyDescent="0.3">
      <c r="D228" s="28">
        <v>221</v>
      </c>
      <c r="E228" s="262">
        <f>'🧾 Factura Comercial'!E227</f>
        <v>0</v>
      </c>
      <c r="F228" s="270">
        <f>'🧮 Costos x Producto'!K227</f>
        <v>0</v>
      </c>
      <c r="G228" s="351">
        <f t="shared" si="11"/>
        <v>0.4</v>
      </c>
      <c r="H228" s="267">
        <f t="shared" si="12"/>
        <v>0</v>
      </c>
      <c r="I228" s="110">
        <f>IF(H228=0,0,H228*(1+'📋 Datos Generales'!$E$28))</f>
        <v>0</v>
      </c>
      <c r="J228" s="268">
        <f t="shared" si="13"/>
        <v>0</v>
      </c>
      <c r="K228" s="269">
        <f>IF(OR(I228=0,'🧾 Factura Comercial'!G227=0),0,CEILING('🧮 Costos x Producto'!J227*'🧾 Factura Comercial'!G227/I228,1))</f>
        <v>0</v>
      </c>
    </row>
    <row r="229" spans="4:11" ht="19.5" hidden="1" customHeight="1" thickBot="1" x14ac:dyDescent="0.3">
      <c r="D229" s="28">
        <v>222</v>
      </c>
      <c r="E229" s="262">
        <f>'🧾 Factura Comercial'!E228</f>
        <v>0</v>
      </c>
      <c r="F229" s="270">
        <f>'🧮 Costos x Producto'!K228</f>
        <v>0</v>
      </c>
      <c r="G229" s="351">
        <f t="shared" si="11"/>
        <v>0.4</v>
      </c>
      <c r="H229" s="267">
        <f t="shared" si="12"/>
        <v>0</v>
      </c>
      <c r="I229" s="110">
        <f>IF(H229=0,0,H229*(1+'📋 Datos Generales'!$E$28))</f>
        <v>0</v>
      </c>
      <c r="J229" s="268">
        <f t="shared" si="13"/>
        <v>0</v>
      </c>
      <c r="K229" s="269">
        <f>IF(OR(I229=0,'🧾 Factura Comercial'!G228=0),0,CEILING('🧮 Costos x Producto'!J228*'🧾 Factura Comercial'!G228/I229,1))</f>
        <v>0</v>
      </c>
    </row>
    <row r="230" spans="4:11" ht="19.5" hidden="1" customHeight="1" thickBot="1" x14ac:dyDescent="0.3">
      <c r="D230" s="28">
        <v>223</v>
      </c>
      <c r="E230" s="262">
        <f>'🧾 Factura Comercial'!E229</f>
        <v>0</v>
      </c>
      <c r="F230" s="270">
        <f>'🧮 Costos x Producto'!K229</f>
        <v>0</v>
      </c>
      <c r="G230" s="351">
        <f t="shared" si="11"/>
        <v>0.4</v>
      </c>
      <c r="H230" s="267">
        <f t="shared" si="12"/>
        <v>0</v>
      </c>
      <c r="I230" s="110">
        <f>IF(H230=0,0,H230*(1+'📋 Datos Generales'!$E$28))</f>
        <v>0</v>
      </c>
      <c r="J230" s="268">
        <f t="shared" si="13"/>
        <v>0</v>
      </c>
      <c r="K230" s="269">
        <f>IF(OR(I230=0,'🧾 Factura Comercial'!G229=0),0,CEILING('🧮 Costos x Producto'!J229*'🧾 Factura Comercial'!G229/I230,1))</f>
        <v>0</v>
      </c>
    </row>
    <row r="231" spans="4:11" ht="19.5" hidden="1" customHeight="1" thickBot="1" x14ac:dyDescent="0.3">
      <c r="D231" s="28">
        <v>224</v>
      </c>
      <c r="E231" s="262">
        <f>'🧾 Factura Comercial'!E230</f>
        <v>0</v>
      </c>
      <c r="F231" s="270">
        <f>'🧮 Costos x Producto'!K230</f>
        <v>0</v>
      </c>
      <c r="G231" s="351">
        <f t="shared" si="11"/>
        <v>0.4</v>
      </c>
      <c r="H231" s="267">
        <f t="shared" si="12"/>
        <v>0</v>
      </c>
      <c r="I231" s="110">
        <f>IF(H231=0,0,H231*(1+'📋 Datos Generales'!$E$28))</f>
        <v>0</v>
      </c>
      <c r="J231" s="268">
        <f t="shared" si="13"/>
        <v>0</v>
      </c>
      <c r="K231" s="269">
        <f>IF(OR(I231=0,'🧾 Factura Comercial'!G230=0),0,CEILING('🧮 Costos x Producto'!J230*'🧾 Factura Comercial'!G230/I231,1))</f>
        <v>0</v>
      </c>
    </row>
    <row r="232" spans="4:11" ht="19.5" hidden="1" customHeight="1" thickBot="1" x14ac:dyDescent="0.3">
      <c r="D232" s="28">
        <v>225</v>
      </c>
      <c r="E232" s="262">
        <f>'🧾 Factura Comercial'!E231</f>
        <v>0</v>
      </c>
      <c r="F232" s="270">
        <f>'🧮 Costos x Producto'!K231</f>
        <v>0</v>
      </c>
      <c r="G232" s="351">
        <f t="shared" si="11"/>
        <v>0.4</v>
      </c>
      <c r="H232" s="267">
        <f t="shared" si="12"/>
        <v>0</v>
      </c>
      <c r="I232" s="110">
        <f>IF(H232=0,0,H232*(1+'📋 Datos Generales'!$E$28))</f>
        <v>0</v>
      </c>
      <c r="J232" s="268">
        <f t="shared" si="13"/>
        <v>0</v>
      </c>
      <c r="K232" s="269">
        <f>IF(OR(I232=0,'🧾 Factura Comercial'!G231=0),0,CEILING('🧮 Costos x Producto'!J231*'🧾 Factura Comercial'!G231/I232,1))</f>
        <v>0</v>
      </c>
    </row>
    <row r="233" spans="4:11" ht="19.5" hidden="1" customHeight="1" thickBot="1" x14ac:dyDescent="0.3">
      <c r="D233" s="28">
        <v>226</v>
      </c>
      <c r="E233" s="262">
        <f>'🧾 Factura Comercial'!E232</f>
        <v>0</v>
      </c>
      <c r="F233" s="270">
        <f>'🧮 Costos x Producto'!K232</f>
        <v>0</v>
      </c>
      <c r="G233" s="351">
        <f t="shared" si="11"/>
        <v>0.4</v>
      </c>
      <c r="H233" s="267">
        <f t="shared" si="12"/>
        <v>0</v>
      </c>
      <c r="I233" s="110">
        <f>IF(H233=0,0,H233*(1+'📋 Datos Generales'!$E$28))</f>
        <v>0</v>
      </c>
      <c r="J233" s="268">
        <f t="shared" si="13"/>
        <v>0</v>
      </c>
      <c r="K233" s="269">
        <f>IF(OR(I233=0,'🧾 Factura Comercial'!G232=0),0,CEILING('🧮 Costos x Producto'!J232*'🧾 Factura Comercial'!G232/I233,1))</f>
        <v>0</v>
      </c>
    </row>
    <row r="234" spans="4:11" ht="19.5" hidden="1" customHeight="1" thickBot="1" x14ac:dyDescent="0.3">
      <c r="D234" s="28">
        <v>227</v>
      </c>
      <c r="E234" s="262">
        <f>'🧾 Factura Comercial'!E233</f>
        <v>0</v>
      </c>
      <c r="F234" s="270">
        <f>'🧮 Costos x Producto'!K233</f>
        <v>0</v>
      </c>
      <c r="G234" s="351">
        <f t="shared" si="11"/>
        <v>0.4</v>
      </c>
      <c r="H234" s="267">
        <f t="shared" si="12"/>
        <v>0</v>
      </c>
      <c r="I234" s="110">
        <f>IF(H234=0,0,H234*(1+'📋 Datos Generales'!$E$28))</f>
        <v>0</v>
      </c>
      <c r="J234" s="268">
        <f t="shared" si="13"/>
        <v>0</v>
      </c>
      <c r="K234" s="269">
        <f>IF(OR(I234=0,'🧾 Factura Comercial'!G233=0),0,CEILING('🧮 Costos x Producto'!J233*'🧾 Factura Comercial'!G233/I234,1))</f>
        <v>0</v>
      </c>
    </row>
    <row r="235" spans="4:11" ht="19.5" hidden="1" customHeight="1" thickBot="1" x14ac:dyDescent="0.3">
      <c r="D235" s="28">
        <v>228</v>
      </c>
      <c r="E235" s="262">
        <f>'🧾 Factura Comercial'!E234</f>
        <v>0</v>
      </c>
      <c r="F235" s="270">
        <f>'🧮 Costos x Producto'!K234</f>
        <v>0</v>
      </c>
      <c r="G235" s="351">
        <f t="shared" si="11"/>
        <v>0.4</v>
      </c>
      <c r="H235" s="267">
        <f t="shared" si="12"/>
        <v>0</v>
      </c>
      <c r="I235" s="110">
        <f>IF(H235=0,0,H235*(1+'📋 Datos Generales'!$E$28))</f>
        <v>0</v>
      </c>
      <c r="J235" s="268">
        <f t="shared" si="13"/>
        <v>0</v>
      </c>
      <c r="K235" s="269">
        <f>IF(OR(I235=0,'🧾 Factura Comercial'!G234=0),0,CEILING('🧮 Costos x Producto'!J234*'🧾 Factura Comercial'!G234/I235,1))</f>
        <v>0</v>
      </c>
    </row>
    <row r="236" spans="4:11" ht="19.5" hidden="1" customHeight="1" thickBot="1" x14ac:dyDescent="0.3">
      <c r="D236" s="28">
        <v>229</v>
      </c>
      <c r="E236" s="262">
        <f>'🧾 Factura Comercial'!E235</f>
        <v>0</v>
      </c>
      <c r="F236" s="270">
        <f>'🧮 Costos x Producto'!K235</f>
        <v>0</v>
      </c>
      <c r="G236" s="351">
        <f t="shared" si="11"/>
        <v>0.4</v>
      </c>
      <c r="H236" s="267">
        <f t="shared" si="12"/>
        <v>0</v>
      </c>
      <c r="I236" s="110">
        <f>IF(H236=0,0,H236*(1+'📋 Datos Generales'!$E$28))</f>
        <v>0</v>
      </c>
      <c r="J236" s="268">
        <f t="shared" si="13"/>
        <v>0</v>
      </c>
      <c r="K236" s="269">
        <f>IF(OR(I236=0,'🧾 Factura Comercial'!G235=0),0,CEILING('🧮 Costos x Producto'!J235*'🧾 Factura Comercial'!G235/I236,1))</f>
        <v>0</v>
      </c>
    </row>
    <row r="237" spans="4:11" ht="19.5" hidden="1" customHeight="1" thickBot="1" x14ac:dyDescent="0.3">
      <c r="D237" s="28">
        <v>230</v>
      </c>
      <c r="E237" s="262">
        <f>'🧾 Factura Comercial'!E236</f>
        <v>0</v>
      </c>
      <c r="F237" s="270">
        <f>'🧮 Costos x Producto'!K236</f>
        <v>0</v>
      </c>
      <c r="G237" s="351">
        <f t="shared" si="11"/>
        <v>0.4</v>
      </c>
      <c r="H237" s="267">
        <f t="shared" si="12"/>
        <v>0</v>
      </c>
      <c r="I237" s="110">
        <f>IF(H237=0,0,H237*(1+'📋 Datos Generales'!$E$28))</f>
        <v>0</v>
      </c>
      <c r="J237" s="268">
        <f t="shared" si="13"/>
        <v>0</v>
      </c>
      <c r="K237" s="269">
        <f>IF(OR(I237=0,'🧾 Factura Comercial'!G236=0),0,CEILING('🧮 Costos x Producto'!J236*'🧾 Factura Comercial'!G236/I237,1))</f>
        <v>0</v>
      </c>
    </row>
    <row r="238" spans="4:11" ht="19.5" hidden="1" customHeight="1" thickBot="1" x14ac:dyDescent="0.3">
      <c r="D238" s="28">
        <v>231</v>
      </c>
      <c r="E238" s="262">
        <f>'🧾 Factura Comercial'!E237</f>
        <v>0</v>
      </c>
      <c r="F238" s="270">
        <f>'🧮 Costos x Producto'!K237</f>
        <v>0</v>
      </c>
      <c r="G238" s="351">
        <f t="shared" si="11"/>
        <v>0.4</v>
      </c>
      <c r="H238" s="267">
        <f t="shared" si="12"/>
        <v>0</v>
      </c>
      <c r="I238" s="110">
        <f>IF(H238=0,0,H238*(1+'📋 Datos Generales'!$E$28))</f>
        <v>0</v>
      </c>
      <c r="J238" s="268">
        <f t="shared" si="13"/>
        <v>0</v>
      </c>
      <c r="K238" s="269">
        <f>IF(OR(I238=0,'🧾 Factura Comercial'!G237=0),0,CEILING('🧮 Costos x Producto'!J237*'🧾 Factura Comercial'!G237/I238,1))</f>
        <v>0</v>
      </c>
    </row>
    <row r="239" spans="4:11" ht="19.5" hidden="1" customHeight="1" thickBot="1" x14ac:dyDescent="0.3">
      <c r="D239" s="28">
        <v>232</v>
      </c>
      <c r="E239" s="262">
        <f>'🧾 Factura Comercial'!E238</f>
        <v>0</v>
      </c>
      <c r="F239" s="270">
        <f>'🧮 Costos x Producto'!K238</f>
        <v>0</v>
      </c>
      <c r="G239" s="351">
        <f t="shared" si="11"/>
        <v>0.4</v>
      </c>
      <c r="H239" s="267">
        <f t="shared" si="12"/>
        <v>0</v>
      </c>
      <c r="I239" s="110">
        <f>IF(H239=0,0,H239*(1+'📋 Datos Generales'!$E$28))</f>
        <v>0</v>
      </c>
      <c r="J239" s="268">
        <f t="shared" si="13"/>
        <v>0</v>
      </c>
      <c r="K239" s="269">
        <f>IF(OR(I239=0,'🧾 Factura Comercial'!G238=0),0,CEILING('🧮 Costos x Producto'!J238*'🧾 Factura Comercial'!G238/I239,1))</f>
        <v>0</v>
      </c>
    </row>
    <row r="240" spans="4:11" ht="19.5" hidden="1" customHeight="1" thickBot="1" x14ac:dyDescent="0.3">
      <c r="D240" s="28">
        <v>233</v>
      </c>
      <c r="E240" s="262">
        <f>'🧾 Factura Comercial'!E239</f>
        <v>0</v>
      </c>
      <c r="F240" s="270">
        <f>'🧮 Costos x Producto'!K239</f>
        <v>0</v>
      </c>
      <c r="G240" s="351">
        <f t="shared" si="11"/>
        <v>0.4</v>
      </c>
      <c r="H240" s="267">
        <f t="shared" si="12"/>
        <v>0</v>
      </c>
      <c r="I240" s="110">
        <f>IF(H240=0,0,H240*(1+'📋 Datos Generales'!$E$28))</f>
        <v>0</v>
      </c>
      <c r="J240" s="268">
        <f t="shared" si="13"/>
        <v>0</v>
      </c>
      <c r="K240" s="269">
        <f>IF(OR(I240=0,'🧾 Factura Comercial'!G239=0),0,CEILING('🧮 Costos x Producto'!J239*'🧾 Factura Comercial'!G239/I240,1))</f>
        <v>0</v>
      </c>
    </row>
    <row r="241" spans="4:11" ht="19.5" hidden="1" customHeight="1" thickBot="1" x14ac:dyDescent="0.3">
      <c r="D241" s="28">
        <v>234</v>
      </c>
      <c r="E241" s="262">
        <f>'🧾 Factura Comercial'!E240</f>
        <v>0</v>
      </c>
      <c r="F241" s="270">
        <f>'🧮 Costos x Producto'!K240</f>
        <v>0</v>
      </c>
      <c r="G241" s="351">
        <f t="shared" si="11"/>
        <v>0.4</v>
      </c>
      <c r="H241" s="267">
        <f t="shared" si="12"/>
        <v>0</v>
      </c>
      <c r="I241" s="110">
        <f>IF(H241=0,0,H241*(1+'📋 Datos Generales'!$E$28))</f>
        <v>0</v>
      </c>
      <c r="J241" s="268">
        <f t="shared" si="13"/>
        <v>0</v>
      </c>
      <c r="K241" s="269">
        <f>IF(OR(I241=0,'🧾 Factura Comercial'!G240=0),0,CEILING('🧮 Costos x Producto'!J240*'🧾 Factura Comercial'!G240/I241,1))</f>
        <v>0</v>
      </c>
    </row>
    <row r="242" spans="4:11" ht="19.5" hidden="1" customHeight="1" thickBot="1" x14ac:dyDescent="0.3">
      <c r="D242" s="28">
        <v>235</v>
      </c>
      <c r="E242" s="262">
        <f>'🧾 Factura Comercial'!E241</f>
        <v>0</v>
      </c>
      <c r="F242" s="270">
        <f>'🧮 Costos x Producto'!K241</f>
        <v>0</v>
      </c>
      <c r="G242" s="351">
        <f t="shared" si="11"/>
        <v>0.4</v>
      </c>
      <c r="H242" s="267">
        <f t="shared" si="12"/>
        <v>0</v>
      </c>
      <c r="I242" s="110">
        <f>IF(H242=0,0,H242*(1+'📋 Datos Generales'!$E$28))</f>
        <v>0</v>
      </c>
      <c r="J242" s="268">
        <f t="shared" si="13"/>
        <v>0</v>
      </c>
      <c r="K242" s="269">
        <f>IF(OR(I242=0,'🧾 Factura Comercial'!G241=0),0,CEILING('🧮 Costos x Producto'!J241*'🧾 Factura Comercial'!G241/I242,1))</f>
        <v>0</v>
      </c>
    </row>
    <row r="243" spans="4:11" ht="19.5" hidden="1" customHeight="1" thickBot="1" x14ac:dyDescent="0.3">
      <c r="D243" s="28">
        <v>236</v>
      </c>
      <c r="E243" s="262">
        <f>'🧾 Factura Comercial'!E242</f>
        <v>0</v>
      </c>
      <c r="F243" s="270">
        <f>'🧮 Costos x Producto'!K242</f>
        <v>0</v>
      </c>
      <c r="G243" s="351">
        <f t="shared" si="11"/>
        <v>0.4</v>
      </c>
      <c r="H243" s="267">
        <f t="shared" si="12"/>
        <v>0</v>
      </c>
      <c r="I243" s="110">
        <f>IF(H243=0,0,H243*(1+'📋 Datos Generales'!$E$28))</f>
        <v>0</v>
      </c>
      <c r="J243" s="268">
        <f t="shared" si="13"/>
        <v>0</v>
      </c>
      <c r="K243" s="269">
        <f>IF(OR(I243=0,'🧾 Factura Comercial'!G242=0),0,CEILING('🧮 Costos x Producto'!J242*'🧾 Factura Comercial'!G242/I243,1))</f>
        <v>0</v>
      </c>
    </row>
    <row r="244" spans="4:11" ht="19.5" hidden="1" customHeight="1" thickBot="1" x14ac:dyDescent="0.3">
      <c r="D244" s="28">
        <v>237</v>
      </c>
      <c r="E244" s="262">
        <f>'🧾 Factura Comercial'!E243</f>
        <v>0</v>
      </c>
      <c r="F244" s="270">
        <f>'🧮 Costos x Producto'!K243</f>
        <v>0</v>
      </c>
      <c r="G244" s="351">
        <f t="shared" si="11"/>
        <v>0.4</v>
      </c>
      <c r="H244" s="267">
        <f t="shared" si="12"/>
        <v>0</v>
      </c>
      <c r="I244" s="110">
        <f>IF(H244=0,0,H244*(1+'📋 Datos Generales'!$E$28))</f>
        <v>0</v>
      </c>
      <c r="J244" s="268">
        <f t="shared" si="13"/>
        <v>0</v>
      </c>
      <c r="K244" s="269">
        <f>IF(OR(I244=0,'🧾 Factura Comercial'!G243=0),0,CEILING('🧮 Costos x Producto'!J243*'🧾 Factura Comercial'!G243/I244,1))</f>
        <v>0</v>
      </c>
    </row>
    <row r="245" spans="4:11" ht="19.5" hidden="1" customHeight="1" thickBot="1" x14ac:dyDescent="0.3">
      <c r="D245" s="28">
        <v>238</v>
      </c>
      <c r="E245" s="262">
        <f>'🧾 Factura Comercial'!E244</f>
        <v>0</v>
      </c>
      <c r="F245" s="270">
        <f>'🧮 Costos x Producto'!K244</f>
        <v>0</v>
      </c>
      <c r="G245" s="351">
        <f t="shared" si="11"/>
        <v>0.4</v>
      </c>
      <c r="H245" s="267">
        <f t="shared" si="12"/>
        <v>0</v>
      </c>
      <c r="I245" s="110">
        <f>IF(H245=0,0,H245*(1+'📋 Datos Generales'!$E$28))</f>
        <v>0</v>
      </c>
      <c r="J245" s="268">
        <f t="shared" si="13"/>
        <v>0</v>
      </c>
      <c r="K245" s="269">
        <f>IF(OR(I245=0,'🧾 Factura Comercial'!G244=0),0,CEILING('🧮 Costos x Producto'!J244*'🧾 Factura Comercial'!G244/I245,1))</f>
        <v>0</v>
      </c>
    </row>
    <row r="246" spans="4:11" ht="19.5" hidden="1" customHeight="1" thickBot="1" x14ac:dyDescent="0.3">
      <c r="D246" s="28">
        <v>239</v>
      </c>
      <c r="E246" s="262">
        <f>'🧾 Factura Comercial'!E245</f>
        <v>0</v>
      </c>
      <c r="F246" s="270">
        <f>'🧮 Costos x Producto'!K245</f>
        <v>0</v>
      </c>
      <c r="G246" s="351">
        <f t="shared" si="11"/>
        <v>0.4</v>
      </c>
      <c r="H246" s="267">
        <f t="shared" si="12"/>
        <v>0</v>
      </c>
      <c r="I246" s="110">
        <f>IF(H246=0,0,H246*(1+'📋 Datos Generales'!$E$28))</f>
        <v>0</v>
      </c>
      <c r="J246" s="268">
        <f t="shared" si="13"/>
        <v>0</v>
      </c>
      <c r="K246" s="269">
        <f>IF(OR(I246=0,'🧾 Factura Comercial'!G245=0),0,CEILING('🧮 Costos x Producto'!J245*'🧾 Factura Comercial'!G245/I246,1))</f>
        <v>0</v>
      </c>
    </row>
    <row r="247" spans="4:11" ht="19.5" hidden="1" customHeight="1" thickBot="1" x14ac:dyDescent="0.3">
      <c r="D247" s="28">
        <v>240</v>
      </c>
      <c r="E247" s="262">
        <f>'🧾 Factura Comercial'!E246</f>
        <v>0</v>
      </c>
      <c r="F247" s="270">
        <f>'🧮 Costos x Producto'!K246</f>
        <v>0</v>
      </c>
      <c r="G247" s="351">
        <f t="shared" si="11"/>
        <v>0.4</v>
      </c>
      <c r="H247" s="267">
        <f t="shared" si="12"/>
        <v>0</v>
      </c>
      <c r="I247" s="110">
        <f>IF(H247=0,0,H247*(1+'📋 Datos Generales'!$E$28))</f>
        <v>0</v>
      </c>
      <c r="J247" s="268">
        <f t="shared" si="13"/>
        <v>0</v>
      </c>
      <c r="K247" s="269">
        <f>IF(OR(I247=0,'🧾 Factura Comercial'!G246=0),0,CEILING('🧮 Costos x Producto'!J246*'🧾 Factura Comercial'!G246/I247,1))</f>
        <v>0</v>
      </c>
    </row>
    <row r="248" spans="4:11" ht="19.5" hidden="1" customHeight="1" thickBot="1" x14ac:dyDescent="0.3">
      <c r="D248" s="28">
        <v>241</v>
      </c>
      <c r="E248" s="262">
        <f>'🧾 Factura Comercial'!E247</f>
        <v>0</v>
      </c>
      <c r="F248" s="270">
        <f>'🧮 Costos x Producto'!K247</f>
        <v>0</v>
      </c>
      <c r="G248" s="351">
        <f t="shared" si="11"/>
        <v>0.4</v>
      </c>
      <c r="H248" s="267">
        <f t="shared" si="12"/>
        <v>0</v>
      </c>
      <c r="I248" s="110">
        <f>IF(H248=0,0,H248*(1+'📋 Datos Generales'!$E$28))</f>
        <v>0</v>
      </c>
      <c r="J248" s="268">
        <f t="shared" si="13"/>
        <v>0</v>
      </c>
      <c r="K248" s="269">
        <f>IF(OR(I248=0,'🧾 Factura Comercial'!G247=0),0,CEILING('🧮 Costos x Producto'!J247*'🧾 Factura Comercial'!G247/I248,1))</f>
        <v>0</v>
      </c>
    </row>
    <row r="249" spans="4:11" ht="19.5" hidden="1" customHeight="1" thickBot="1" x14ac:dyDescent="0.3">
      <c r="D249" s="28">
        <v>242</v>
      </c>
      <c r="E249" s="262">
        <f>'🧾 Factura Comercial'!E248</f>
        <v>0</v>
      </c>
      <c r="F249" s="270">
        <f>'🧮 Costos x Producto'!K248</f>
        <v>0</v>
      </c>
      <c r="G249" s="351">
        <f t="shared" si="11"/>
        <v>0.4</v>
      </c>
      <c r="H249" s="267">
        <f t="shared" si="12"/>
        <v>0</v>
      </c>
      <c r="I249" s="110">
        <f>IF(H249=0,0,H249*(1+'📋 Datos Generales'!$E$28))</f>
        <v>0</v>
      </c>
      <c r="J249" s="268">
        <f t="shared" si="13"/>
        <v>0</v>
      </c>
      <c r="K249" s="269">
        <f>IF(OR(I249=0,'🧾 Factura Comercial'!G248=0),0,CEILING('🧮 Costos x Producto'!J248*'🧾 Factura Comercial'!G248/I249,1))</f>
        <v>0</v>
      </c>
    </row>
    <row r="250" spans="4:11" ht="19.5" hidden="1" customHeight="1" thickBot="1" x14ac:dyDescent="0.3">
      <c r="D250" s="28">
        <v>243</v>
      </c>
      <c r="E250" s="262">
        <f>'🧾 Factura Comercial'!E249</f>
        <v>0</v>
      </c>
      <c r="F250" s="270">
        <f>'🧮 Costos x Producto'!K249</f>
        <v>0</v>
      </c>
      <c r="G250" s="351">
        <f t="shared" si="11"/>
        <v>0.4</v>
      </c>
      <c r="H250" s="267">
        <f t="shared" si="12"/>
        <v>0</v>
      </c>
      <c r="I250" s="110">
        <f>IF(H250=0,0,H250*(1+'📋 Datos Generales'!$E$28))</f>
        <v>0</v>
      </c>
      <c r="J250" s="268">
        <f t="shared" si="13"/>
        <v>0</v>
      </c>
      <c r="K250" s="269">
        <f>IF(OR(I250=0,'🧾 Factura Comercial'!G249=0),0,CEILING('🧮 Costos x Producto'!J249*'🧾 Factura Comercial'!G249/I250,1))</f>
        <v>0</v>
      </c>
    </row>
    <row r="251" spans="4:11" ht="19.5" hidden="1" customHeight="1" thickBot="1" x14ac:dyDescent="0.3">
      <c r="D251" s="28">
        <v>244</v>
      </c>
      <c r="E251" s="262">
        <f>'🧾 Factura Comercial'!E250</f>
        <v>0</v>
      </c>
      <c r="F251" s="270">
        <f>'🧮 Costos x Producto'!K250</f>
        <v>0</v>
      </c>
      <c r="G251" s="351">
        <f t="shared" si="11"/>
        <v>0.4</v>
      </c>
      <c r="H251" s="267">
        <f t="shared" si="12"/>
        <v>0</v>
      </c>
      <c r="I251" s="110">
        <f>IF(H251=0,0,H251*(1+'📋 Datos Generales'!$E$28))</f>
        <v>0</v>
      </c>
      <c r="J251" s="268">
        <f t="shared" si="13"/>
        <v>0</v>
      </c>
      <c r="K251" s="269">
        <f>IF(OR(I251=0,'🧾 Factura Comercial'!G250=0),0,CEILING('🧮 Costos x Producto'!J250*'🧾 Factura Comercial'!G250/I251,1))</f>
        <v>0</v>
      </c>
    </row>
    <row r="252" spans="4:11" ht="19.5" hidden="1" customHeight="1" thickBot="1" x14ac:dyDescent="0.3">
      <c r="D252" s="28">
        <v>245</v>
      </c>
      <c r="E252" s="262">
        <f>'🧾 Factura Comercial'!E251</f>
        <v>0</v>
      </c>
      <c r="F252" s="270">
        <f>'🧮 Costos x Producto'!K251</f>
        <v>0</v>
      </c>
      <c r="G252" s="351">
        <f t="shared" si="11"/>
        <v>0.4</v>
      </c>
      <c r="H252" s="267">
        <f t="shared" si="12"/>
        <v>0</v>
      </c>
      <c r="I252" s="110">
        <f>IF(H252=0,0,H252*(1+'📋 Datos Generales'!$E$28))</f>
        <v>0</v>
      </c>
      <c r="J252" s="268">
        <f t="shared" si="13"/>
        <v>0</v>
      </c>
      <c r="K252" s="269">
        <f>IF(OR(I252=0,'🧾 Factura Comercial'!G251=0),0,CEILING('🧮 Costos x Producto'!J251*'🧾 Factura Comercial'!G251/I252,1))</f>
        <v>0</v>
      </c>
    </row>
    <row r="253" spans="4:11" ht="19.5" hidden="1" customHeight="1" thickBot="1" x14ac:dyDescent="0.3">
      <c r="D253" s="28">
        <v>246</v>
      </c>
      <c r="E253" s="262">
        <f>'🧾 Factura Comercial'!E252</f>
        <v>0</v>
      </c>
      <c r="F253" s="270">
        <f>'🧮 Costos x Producto'!K252</f>
        <v>0</v>
      </c>
      <c r="G253" s="351">
        <f t="shared" si="11"/>
        <v>0.4</v>
      </c>
      <c r="H253" s="267">
        <f t="shared" si="12"/>
        <v>0</v>
      </c>
      <c r="I253" s="110">
        <f>IF(H253=0,0,H253*(1+'📋 Datos Generales'!$E$28))</f>
        <v>0</v>
      </c>
      <c r="J253" s="268">
        <f t="shared" si="13"/>
        <v>0</v>
      </c>
      <c r="K253" s="269">
        <f>IF(OR(I253=0,'🧾 Factura Comercial'!G252=0),0,CEILING('🧮 Costos x Producto'!J252*'🧾 Factura Comercial'!G252/I253,1))</f>
        <v>0</v>
      </c>
    </row>
    <row r="254" spans="4:11" ht="19.5" hidden="1" customHeight="1" thickBot="1" x14ac:dyDescent="0.3">
      <c r="D254" s="28">
        <v>247</v>
      </c>
      <c r="E254" s="262">
        <f>'🧾 Factura Comercial'!E253</f>
        <v>0</v>
      </c>
      <c r="F254" s="270">
        <f>'🧮 Costos x Producto'!K253</f>
        <v>0</v>
      </c>
      <c r="G254" s="351">
        <f t="shared" si="11"/>
        <v>0.4</v>
      </c>
      <c r="H254" s="267">
        <f t="shared" si="12"/>
        <v>0</v>
      </c>
      <c r="I254" s="110">
        <f>IF(H254=0,0,H254*(1+'📋 Datos Generales'!$E$28))</f>
        <v>0</v>
      </c>
      <c r="J254" s="268">
        <f t="shared" si="13"/>
        <v>0</v>
      </c>
      <c r="K254" s="269">
        <f>IF(OR(I254=0,'🧾 Factura Comercial'!G253=0),0,CEILING('🧮 Costos x Producto'!J253*'🧾 Factura Comercial'!G253/I254,1))</f>
        <v>0</v>
      </c>
    </row>
    <row r="255" spans="4:11" ht="19.5" hidden="1" customHeight="1" thickBot="1" x14ac:dyDescent="0.3">
      <c r="D255" s="28">
        <v>248</v>
      </c>
      <c r="E255" s="262">
        <f>'🧾 Factura Comercial'!E254</f>
        <v>0</v>
      </c>
      <c r="F255" s="270">
        <f>'🧮 Costos x Producto'!K254</f>
        <v>0</v>
      </c>
      <c r="G255" s="351">
        <f t="shared" si="11"/>
        <v>0.4</v>
      </c>
      <c r="H255" s="267">
        <f t="shared" si="12"/>
        <v>0</v>
      </c>
      <c r="I255" s="110">
        <f>IF(H255=0,0,H255*(1+'📋 Datos Generales'!$E$28))</f>
        <v>0</v>
      </c>
      <c r="J255" s="268">
        <f t="shared" si="13"/>
        <v>0</v>
      </c>
      <c r="K255" s="269">
        <f>IF(OR(I255=0,'🧾 Factura Comercial'!G254=0),0,CEILING('🧮 Costos x Producto'!J254*'🧾 Factura Comercial'!G254/I255,1))</f>
        <v>0</v>
      </c>
    </row>
    <row r="256" spans="4:11" ht="19.5" hidden="1" customHeight="1" thickBot="1" x14ac:dyDescent="0.3">
      <c r="D256" s="28">
        <v>249</v>
      </c>
      <c r="E256" s="262">
        <f>'🧾 Factura Comercial'!E255</f>
        <v>0</v>
      </c>
      <c r="F256" s="270">
        <f>'🧮 Costos x Producto'!K255</f>
        <v>0</v>
      </c>
      <c r="G256" s="351">
        <f t="shared" si="11"/>
        <v>0.4</v>
      </c>
      <c r="H256" s="267">
        <f t="shared" si="12"/>
        <v>0</v>
      </c>
      <c r="I256" s="110">
        <f>IF(H256=0,0,H256*(1+'📋 Datos Generales'!$E$28))</f>
        <v>0</v>
      </c>
      <c r="J256" s="268">
        <f t="shared" si="13"/>
        <v>0</v>
      </c>
      <c r="K256" s="269">
        <f>IF(OR(I256=0,'🧾 Factura Comercial'!G255=0),0,CEILING('🧮 Costos x Producto'!J255*'🧾 Factura Comercial'!G255/I256,1))</f>
        <v>0</v>
      </c>
    </row>
    <row r="257" spans="4:11" ht="19.5" hidden="1" customHeight="1" thickBot="1" x14ac:dyDescent="0.3">
      <c r="D257" s="28">
        <v>250</v>
      </c>
      <c r="E257" s="262">
        <f>'🧾 Factura Comercial'!E256</f>
        <v>0</v>
      </c>
      <c r="F257" s="270">
        <f>'🧮 Costos x Producto'!K256</f>
        <v>0</v>
      </c>
      <c r="G257" s="351">
        <f t="shared" si="11"/>
        <v>0.4</v>
      </c>
      <c r="H257" s="267">
        <f t="shared" si="12"/>
        <v>0</v>
      </c>
      <c r="I257" s="110">
        <f>IF(H257=0,0,H257*(1+'📋 Datos Generales'!$E$28))</f>
        <v>0</v>
      </c>
      <c r="J257" s="268">
        <f t="shared" si="13"/>
        <v>0</v>
      </c>
      <c r="K257" s="269">
        <f>IF(OR(I257=0,'🧾 Factura Comercial'!G256=0),0,CEILING('🧮 Costos x Producto'!J256*'🧾 Factura Comercial'!G256/I257,1))</f>
        <v>0</v>
      </c>
    </row>
    <row r="258" spans="4:11" ht="19.5" hidden="1" customHeight="1" thickBot="1" x14ac:dyDescent="0.3">
      <c r="D258" s="28">
        <v>251</v>
      </c>
      <c r="E258" s="262">
        <f>'🧾 Factura Comercial'!E257</f>
        <v>0</v>
      </c>
      <c r="F258" s="270">
        <f>'🧮 Costos x Producto'!K257</f>
        <v>0</v>
      </c>
      <c r="G258" s="351">
        <f t="shared" si="11"/>
        <v>0.4</v>
      </c>
      <c r="H258" s="267">
        <f t="shared" si="12"/>
        <v>0</v>
      </c>
      <c r="I258" s="110">
        <f>IF(H258=0,0,H258*(1+'📋 Datos Generales'!$E$28))</f>
        <v>0</v>
      </c>
      <c r="J258" s="268">
        <f t="shared" si="13"/>
        <v>0</v>
      </c>
      <c r="K258" s="269">
        <f>IF(OR(I258=0,'🧾 Factura Comercial'!G257=0),0,CEILING('🧮 Costos x Producto'!J257*'🧾 Factura Comercial'!G257/I258,1))</f>
        <v>0</v>
      </c>
    </row>
    <row r="259" spans="4:11" ht="19.5" hidden="1" customHeight="1" thickBot="1" x14ac:dyDescent="0.3">
      <c r="D259" s="28">
        <v>252</v>
      </c>
      <c r="E259" s="262">
        <f>'🧾 Factura Comercial'!E258</f>
        <v>0</v>
      </c>
      <c r="F259" s="270">
        <f>'🧮 Costos x Producto'!K258</f>
        <v>0</v>
      </c>
      <c r="G259" s="351">
        <f t="shared" si="11"/>
        <v>0.4</v>
      </c>
      <c r="H259" s="267">
        <f t="shared" si="12"/>
        <v>0</v>
      </c>
      <c r="I259" s="110">
        <f>IF(H259=0,0,H259*(1+'📋 Datos Generales'!$E$28))</f>
        <v>0</v>
      </c>
      <c r="J259" s="268">
        <f t="shared" si="13"/>
        <v>0</v>
      </c>
      <c r="K259" s="269">
        <f>IF(OR(I259=0,'🧾 Factura Comercial'!G258=0),0,CEILING('🧮 Costos x Producto'!J258*'🧾 Factura Comercial'!G258/I259,1))</f>
        <v>0</v>
      </c>
    </row>
    <row r="260" spans="4:11" ht="19.5" hidden="1" customHeight="1" thickBot="1" x14ac:dyDescent="0.3">
      <c r="D260" s="28">
        <v>253</v>
      </c>
      <c r="E260" s="262">
        <f>'🧾 Factura Comercial'!E259</f>
        <v>0</v>
      </c>
      <c r="F260" s="270">
        <f>'🧮 Costos x Producto'!K259</f>
        <v>0</v>
      </c>
      <c r="G260" s="351">
        <f t="shared" si="11"/>
        <v>0.4</v>
      </c>
      <c r="H260" s="267">
        <f t="shared" si="12"/>
        <v>0</v>
      </c>
      <c r="I260" s="110">
        <f>IF(H260=0,0,H260*(1+'📋 Datos Generales'!$E$28))</f>
        <v>0</v>
      </c>
      <c r="J260" s="268">
        <f t="shared" si="13"/>
        <v>0</v>
      </c>
      <c r="K260" s="269">
        <f>IF(OR(I260=0,'🧾 Factura Comercial'!G259=0),0,CEILING('🧮 Costos x Producto'!J259*'🧾 Factura Comercial'!G259/I260,1))</f>
        <v>0</v>
      </c>
    </row>
    <row r="261" spans="4:11" ht="19.5" hidden="1" customHeight="1" thickBot="1" x14ac:dyDescent="0.3">
      <c r="D261" s="28">
        <v>254</v>
      </c>
      <c r="E261" s="262">
        <f>'🧾 Factura Comercial'!E260</f>
        <v>0</v>
      </c>
      <c r="F261" s="270">
        <f>'🧮 Costos x Producto'!K260</f>
        <v>0</v>
      </c>
      <c r="G261" s="351">
        <f t="shared" si="11"/>
        <v>0.4</v>
      </c>
      <c r="H261" s="267">
        <f t="shared" si="12"/>
        <v>0</v>
      </c>
      <c r="I261" s="110">
        <f>IF(H261=0,0,H261*(1+'📋 Datos Generales'!$E$28))</f>
        <v>0</v>
      </c>
      <c r="J261" s="268">
        <f t="shared" si="13"/>
        <v>0</v>
      </c>
      <c r="K261" s="269">
        <f>IF(OR(I261=0,'🧾 Factura Comercial'!G260=0),0,CEILING('🧮 Costos x Producto'!J260*'🧾 Factura Comercial'!G260/I261,1))</f>
        <v>0</v>
      </c>
    </row>
    <row r="262" spans="4:11" ht="19.5" hidden="1" customHeight="1" thickBot="1" x14ac:dyDescent="0.3">
      <c r="D262" s="28">
        <v>255</v>
      </c>
      <c r="E262" s="262">
        <f>'🧾 Factura Comercial'!E261</f>
        <v>0</v>
      </c>
      <c r="F262" s="270">
        <f>'🧮 Costos x Producto'!K261</f>
        <v>0</v>
      </c>
      <c r="G262" s="351">
        <f t="shared" si="11"/>
        <v>0.4</v>
      </c>
      <c r="H262" s="267">
        <f t="shared" si="12"/>
        <v>0</v>
      </c>
      <c r="I262" s="110">
        <f>IF(H262=0,0,H262*(1+'📋 Datos Generales'!$E$28))</f>
        <v>0</v>
      </c>
      <c r="J262" s="268">
        <f t="shared" si="13"/>
        <v>0</v>
      </c>
      <c r="K262" s="269">
        <f>IF(OR(I262=0,'🧾 Factura Comercial'!G261=0),0,CEILING('🧮 Costos x Producto'!J261*'🧾 Factura Comercial'!G261/I262,1))</f>
        <v>0</v>
      </c>
    </row>
    <row r="263" spans="4:11" ht="19.5" hidden="1" customHeight="1" thickBot="1" x14ac:dyDescent="0.3">
      <c r="D263" s="28">
        <v>256</v>
      </c>
      <c r="E263" s="262">
        <f>'🧾 Factura Comercial'!E262</f>
        <v>0</v>
      </c>
      <c r="F263" s="270">
        <f>'🧮 Costos x Producto'!K262</f>
        <v>0</v>
      </c>
      <c r="G263" s="351">
        <f t="shared" si="11"/>
        <v>0.4</v>
      </c>
      <c r="H263" s="267">
        <f t="shared" si="12"/>
        <v>0</v>
      </c>
      <c r="I263" s="110">
        <f>IF(H263=0,0,H263*(1+'📋 Datos Generales'!$E$28))</f>
        <v>0</v>
      </c>
      <c r="J263" s="268">
        <f t="shared" si="13"/>
        <v>0</v>
      </c>
      <c r="K263" s="269">
        <f>IF(OR(I263=0,'🧾 Factura Comercial'!G262=0),0,CEILING('🧮 Costos x Producto'!J262*'🧾 Factura Comercial'!G262/I263,1))</f>
        <v>0</v>
      </c>
    </row>
    <row r="264" spans="4:11" ht="19.5" hidden="1" customHeight="1" thickBot="1" x14ac:dyDescent="0.3">
      <c r="D264" s="28">
        <v>257</v>
      </c>
      <c r="E264" s="262">
        <f>'🧾 Factura Comercial'!E263</f>
        <v>0</v>
      </c>
      <c r="F264" s="270">
        <f>'🧮 Costos x Producto'!K263</f>
        <v>0</v>
      </c>
      <c r="G264" s="351">
        <f t="shared" si="11"/>
        <v>0.4</v>
      </c>
      <c r="H264" s="267">
        <f t="shared" si="12"/>
        <v>0</v>
      </c>
      <c r="I264" s="110">
        <f>IF(H264=0,0,H264*(1+'📋 Datos Generales'!$E$28))</f>
        <v>0</v>
      </c>
      <c r="J264" s="268">
        <f t="shared" si="13"/>
        <v>0</v>
      </c>
      <c r="K264" s="269">
        <f>IF(OR(I264=0,'🧾 Factura Comercial'!G263=0),0,CEILING('🧮 Costos x Producto'!J263*'🧾 Factura Comercial'!G263/I264,1))</f>
        <v>0</v>
      </c>
    </row>
    <row r="265" spans="4:11" ht="19.5" hidden="1" customHeight="1" thickBot="1" x14ac:dyDescent="0.3">
      <c r="D265" s="28">
        <v>258</v>
      </c>
      <c r="E265" s="262">
        <f>'🧾 Factura Comercial'!E264</f>
        <v>0</v>
      </c>
      <c r="F265" s="270">
        <f>'🧮 Costos x Producto'!K264</f>
        <v>0</v>
      </c>
      <c r="G265" s="351">
        <f t="shared" si="11"/>
        <v>0.4</v>
      </c>
      <c r="H265" s="267">
        <f t="shared" si="12"/>
        <v>0</v>
      </c>
      <c r="I265" s="110">
        <f>IF(H265=0,0,H265*(1+'📋 Datos Generales'!$E$28))</f>
        <v>0</v>
      </c>
      <c r="J265" s="268">
        <f t="shared" si="13"/>
        <v>0</v>
      </c>
      <c r="K265" s="269">
        <f>IF(OR(I265=0,'🧾 Factura Comercial'!G264=0),0,CEILING('🧮 Costos x Producto'!J264*'🧾 Factura Comercial'!G264/I265,1))</f>
        <v>0</v>
      </c>
    </row>
    <row r="266" spans="4:11" ht="19.5" hidden="1" customHeight="1" thickBot="1" x14ac:dyDescent="0.3">
      <c r="D266" s="28">
        <v>259</v>
      </c>
      <c r="E266" s="262">
        <f>'🧾 Factura Comercial'!E265</f>
        <v>0</v>
      </c>
      <c r="F266" s="270">
        <f>'🧮 Costos x Producto'!K265</f>
        <v>0</v>
      </c>
      <c r="G266" s="351">
        <f t="shared" si="11"/>
        <v>0.4</v>
      </c>
      <c r="H266" s="267">
        <f t="shared" si="12"/>
        <v>0</v>
      </c>
      <c r="I266" s="110">
        <f>IF(H266=0,0,H266*(1+'📋 Datos Generales'!$E$28))</f>
        <v>0</v>
      </c>
      <c r="J266" s="268">
        <f t="shared" si="13"/>
        <v>0</v>
      </c>
      <c r="K266" s="269">
        <f>IF(OR(I266=0,'🧾 Factura Comercial'!G265=0),0,CEILING('🧮 Costos x Producto'!J265*'🧾 Factura Comercial'!G265/I266,1))</f>
        <v>0</v>
      </c>
    </row>
    <row r="267" spans="4:11" ht="19.5" hidden="1" customHeight="1" thickBot="1" x14ac:dyDescent="0.3">
      <c r="D267" s="28">
        <v>260</v>
      </c>
      <c r="E267" s="262">
        <f>'🧾 Factura Comercial'!E266</f>
        <v>0</v>
      </c>
      <c r="F267" s="270">
        <f>'🧮 Costos x Producto'!K266</f>
        <v>0</v>
      </c>
      <c r="G267" s="351">
        <f t="shared" ref="G267:G330" si="14">$H$4</f>
        <v>0.4</v>
      </c>
      <c r="H267" s="267">
        <f t="shared" si="12"/>
        <v>0</v>
      </c>
      <c r="I267" s="110">
        <f>IF(H267=0,0,H267*(1+'📋 Datos Generales'!$E$28))</f>
        <v>0</v>
      </c>
      <c r="J267" s="268">
        <f t="shared" si="13"/>
        <v>0</v>
      </c>
      <c r="K267" s="269">
        <f>IF(OR(I267=0,'🧾 Factura Comercial'!G266=0),0,CEILING('🧮 Costos x Producto'!J266*'🧾 Factura Comercial'!G266/I267,1))</f>
        <v>0</v>
      </c>
    </row>
    <row r="268" spans="4:11" ht="19.5" hidden="1" customHeight="1" thickBot="1" x14ac:dyDescent="0.3">
      <c r="D268" s="28">
        <v>261</v>
      </c>
      <c r="E268" s="262">
        <f>'🧾 Factura Comercial'!E267</f>
        <v>0</v>
      </c>
      <c r="F268" s="270">
        <f>'🧮 Costos x Producto'!K267</f>
        <v>0</v>
      </c>
      <c r="G268" s="351">
        <f t="shared" si="14"/>
        <v>0.4</v>
      </c>
      <c r="H268" s="267">
        <f t="shared" si="12"/>
        <v>0</v>
      </c>
      <c r="I268" s="110">
        <f>IF(H268=0,0,H268*(1+'📋 Datos Generales'!$E$28))</f>
        <v>0</v>
      </c>
      <c r="J268" s="268">
        <f t="shared" si="13"/>
        <v>0</v>
      </c>
      <c r="K268" s="269">
        <f>IF(OR(I268=0,'🧾 Factura Comercial'!G267=0),0,CEILING('🧮 Costos x Producto'!J267*'🧾 Factura Comercial'!G267/I268,1))</f>
        <v>0</v>
      </c>
    </row>
    <row r="269" spans="4:11" ht="19.5" hidden="1" customHeight="1" thickBot="1" x14ac:dyDescent="0.3">
      <c r="D269" s="28">
        <v>262</v>
      </c>
      <c r="E269" s="262">
        <f>'🧾 Factura Comercial'!E268</f>
        <v>0</v>
      </c>
      <c r="F269" s="270">
        <f>'🧮 Costos x Producto'!K268</f>
        <v>0</v>
      </c>
      <c r="G269" s="351">
        <f t="shared" si="14"/>
        <v>0.4</v>
      </c>
      <c r="H269" s="267">
        <f t="shared" si="12"/>
        <v>0</v>
      </c>
      <c r="I269" s="110">
        <f>IF(H269=0,0,H269*(1+'📋 Datos Generales'!$E$28))</f>
        <v>0</v>
      </c>
      <c r="J269" s="268">
        <f t="shared" si="13"/>
        <v>0</v>
      </c>
      <c r="K269" s="269">
        <f>IF(OR(I269=0,'🧾 Factura Comercial'!G268=0),0,CEILING('🧮 Costos x Producto'!J268*'🧾 Factura Comercial'!G268/I269,1))</f>
        <v>0</v>
      </c>
    </row>
    <row r="270" spans="4:11" ht="19.5" hidden="1" customHeight="1" thickBot="1" x14ac:dyDescent="0.3">
      <c r="D270" s="28">
        <v>263</v>
      </c>
      <c r="E270" s="262">
        <f>'🧾 Factura Comercial'!E269</f>
        <v>0</v>
      </c>
      <c r="F270" s="270">
        <f>'🧮 Costos x Producto'!K269</f>
        <v>0</v>
      </c>
      <c r="G270" s="351">
        <f t="shared" si="14"/>
        <v>0.4</v>
      </c>
      <c r="H270" s="267">
        <f t="shared" si="12"/>
        <v>0</v>
      </c>
      <c r="I270" s="110">
        <f>IF(H270=0,0,H270*(1+'📋 Datos Generales'!$E$28))</f>
        <v>0</v>
      </c>
      <c r="J270" s="268">
        <f t="shared" si="13"/>
        <v>0</v>
      </c>
      <c r="K270" s="269">
        <f>IF(OR(I270=0,'🧾 Factura Comercial'!G269=0),0,CEILING('🧮 Costos x Producto'!J269*'🧾 Factura Comercial'!G269/I270,1))</f>
        <v>0</v>
      </c>
    </row>
    <row r="271" spans="4:11" ht="19.5" hidden="1" customHeight="1" thickBot="1" x14ac:dyDescent="0.3">
      <c r="D271" s="28">
        <v>264</v>
      </c>
      <c r="E271" s="262">
        <f>'🧾 Factura Comercial'!E270</f>
        <v>0</v>
      </c>
      <c r="F271" s="270">
        <f>'🧮 Costos x Producto'!K270</f>
        <v>0</v>
      </c>
      <c r="G271" s="351">
        <f t="shared" si="14"/>
        <v>0.4</v>
      </c>
      <c r="H271" s="267">
        <f t="shared" si="12"/>
        <v>0</v>
      </c>
      <c r="I271" s="110">
        <f>IF(H271=0,0,H271*(1+'📋 Datos Generales'!$E$28))</f>
        <v>0</v>
      </c>
      <c r="J271" s="268">
        <f t="shared" si="13"/>
        <v>0</v>
      </c>
      <c r="K271" s="269">
        <f>IF(OR(I271=0,'🧾 Factura Comercial'!G270=0),0,CEILING('🧮 Costos x Producto'!J270*'🧾 Factura Comercial'!G270/I271,1))</f>
        <v>0</v>
      </c>
    </row>
    <row r="272" spans="4:11" ht="19.5" hidden="1" customHeight="1" thickBot="1" x14ac:dyDescent="0.3">
      <c r="D272" s="28">
        <v>265</v>
      </c>
      <c r="E272" s="262">
        <f>'🧾 Factura Comercial'!E271</f>
        <v>0</v>
      </c>
      <c r="F272" s="270">
        <f>'🧮 Costos x Producto'!K271</f>
        <v>0</v>
      </c>
      <c r="G272" s="351">
        <f t="shared" si="14"/>
        <v>0.4</v>
      </c>
      <c r="H272" s="267">
        <f t="shared" si="12"/>
        <v>0</v>
      </c>
      <c r="I272" s="110">
        <f>IF(H272=0,0,H272*(1+'📋 Datos Generales'!$E$28))</f>
        <v>0</v>
      </c>
      <c r="J272" s="268">
        <f t="shared" si="13"/>
        <v>0</v>
      </c>
      <c r="K272" s="269">
        <f>IF(OR(I272=0,'🧾 Factura Comercial'!G271=0),0,CEILING('🧮 Costos x Producto'!J271*'🧾 Factura Comercial'!G271/I272,1))</f>
        <v>0</v>
      </c>
    </row>
    <row r="273" spans="4:11" ht="19.5" hidden="1" customHeight="1" thickBot="1" x14ac:dyDescent="0.3">
      <c r="D273" s="28">
        <v>266</v>
      </c>
      <c r="E273" s="262">
        <f>'🧾 Factura Comercial'!E272</f>
        <v>0</v>
      </c>
      <c r="F273" s="270">
        <f>'🧮 Costos x Producto'!K272</f>
        <v>0</v>
      </c>
      <c r="G273" s="351">
        <f t="shared" si="14"/>
        <v>0.4</v>
      </c>
      <c r="H273" s="267">
        <f t="shared" ref="H273:H336" si="15">IF(F273=0,0,F273/(1-G273))</f>
        <v>0</v>
      </c>
      <c r="I273" s="110">
        <f>IF(H273=0,0,H273*(1+'📋 Datos Generales'!$E$28))</f>
        <v>0</v>
      </c>
      <c r="J273" s="268">
        <f t="shared" ref="J273:J336" si="16">IF(H273=0,0,H273-F273)</f>
        <v>0</v>
      </c>
      <c r="K273" s="269">
        <f>IF(OR(I273=0,'🧾 Factura Comercial'!G272=0),0,CEILING('🧮 Costos x Producto'!J272*'🧾 Factura Comercial'!G272/I273,1))</f>
        <v>0</v>
      </c>
    </row>
    <row r="274" spans="4:11" ht="19.5" hidden="1" customHeight="1" thickBot="1" x14ac:dyDescent="0.3">
      <c r="D274" s="28">
        <v>267</v>
      </c>
      <c r="E274" s="262">
        <f>'🧾 Factura Comercial'!E273</f>
        <v>0</v>
      </c>
      <c r="F274" s="270">
        <f>'🧮 Costos x Producto'!K273</f>
        <v>0</v>
      </c>
      <c r="G274" s="351">
        <f t="shared" si="14"/>
        <v>0.4</v>
      </c>
      <c r="H274" s="267">
        <f t="shared" si="15"/>
        <v>0</v>
      </c>
      <c r="I274" s="110">
        <f>IF(H274=0,0,H274*(1+'📋 Datos Generales'!$E$28))</f>
        <v>0</v>
      </c>
      <c r="J274" s="268">
        <f t="shared" si="16"/>
        <v>0</v>
      </c>
      <c r="K274" s="269">
        <f>IF(OR(I274=0,'🧾 Factura Comercial'!G273=0),0,CEILING('🧮 Costos x Producto'!J273*'🧾 Factura Comercial'!G273/I274,1))</f>
        <v>0</v>
      </c>
    </row>
    <row r="275" spans="4:11" ht="19.5" hidden="1" customHeight="1" thickBot="1" x14ac:dyDescent="0.3">
      <c r="D275" s="28">
        <v>268</v>
      </c>
      <c r="E275" s="262">
        <f>'🧾 Factura Comercial'!E274</f>
        <v>0</v>
      </c>
      <c r="F275" s="270">
        <f>'🧮 Costos x Producto'!K274</f>
        <v>0</v>
      </c>
      <c r="G275" s="351">
        <f t="shared" si="14"/>
        <v>0.4</v>
      </c>
      <c r="H275" s="267">
        <f t="shared" si="15"/>
        <v>0</v>
      </c>
      <c r="I275" s="110">
        <f>IF(H275=0,0,H275*(1+'📋 Datos Generales'!$E$28))</f>
        <v>0</v>
      </c>
      <c r="J275" s="268">
        <f t="shared" si="16"/>
        <v>0</v>
      </c>
      <c r="K275" s="269">
        <f>IF(OR(I275=0,'🧾 Factura Comercial'!G274=0),0,CEILING('🧮 Costos x Producto'!J274*'🧾 Factura Comercial'!G274/I275,1))</f>
        <v>0</v>
      </c>
    </row>
    <row r="276" spans="4:11" ht="19.5" hidden="1" customHeight="1" thickBot="1" x14ac:dyDescent="0.3">
      <c r="D276" s="28">
        <v>269</v>
      </c>
      <c r="E276" s="262">
        <f>'🧾 Factura Comercial'!E275</f>
        <v>0</v>
      </c>
      <c r="F276" s="270">
        <f>'🧮 Costos x Producto'!K275</f>
        <v>0</v>
      </c>
      <c r="G276" s="351">
        <f t="shared" si="14"/>
        <v>0.4</v>
      </c>
      <c r="H276" s="267">
        <f t="shared" si="15"/>
        <v>0</v>
      </c>
      <c r="I276" s="110">
        <f>IF(H276=0,0,H276*(1+'📋 Datos Generales'!$E$28))</f>
        <v>0</v>
      </c>
      <c r="J276" s="268">
        <f t="shared" si="16"/>
        <v>0</v>
      </c>
      <c r="K276" s="269">
        <f>IF(OR(I276=0,'🧾 Factura Comercial'!G275=0),0,CEILING('🧮 Costos x Producto'!J275*'🧾 Factura Comercial'!G275/I276,1))</f>
        <v>0</v>
      </c>
    </row>
    <row r="277" spans="4:11" ht="19.5" hidden="1" customHeight="1" thickBot="1" x14ac:dyDescent="0.3">
      <c r="D277" s="28">
        <v>270</v>
      </c>
      <c r="E277" s="262">
        <f>'🧾 Factura Comercial'!E276</f>
        <v>0</v>
      </c>
      <c r="F277" s="270">
        <f>'🧮 Costos x Producto'!K276</f>
        <v>0</v>
      </c>
      <c r="G277" s="351">
        <f t="shared" si="14"/>
        <v>0.4</v>
      </c>
      <c r="H277" s="267">
        <f t="shared" si="15"/>
        <v>0</v>
      </c>
      <c r="I277" s="110">
        <f>IF(H277=0,0,H277*(1+'📋 Datos Generales'!$E$28))</f>
        <v>0</v>
      </c>
      <c r="J277" s="268">
        <f t="shared" si="16"/>
        <v>0</v>
      </c>
      <c r="K277" s="269">
        <f>IF(OR(I277=0,'🧾 Factura Comercial'!G276=0),0,CEILING('🧮 Costos x Producto'!J276*'🧾 Factura Comercial'!G276/I277,1))</f>
        <v>0</v>
      </c>
    </row>
    <row r="278" spans="4:11" ht="19.5" hidden="1" customHeight="1" thickBot="1" x14ac:dyDescent="0.3">
      <c r="D278" s="28">
        <v>271</v>
      </c>
      <c r="E278" s="262">
        <f>'🧾 Factura Comercial'!E277</f>
        <v>0</v>
      </c>
      <c r="F278" s="270">
        <f>'🧮 Costos x Producto'!K277</f>
        <v>0</v>
      </c>
      <c r="G278" s="351">
        <f t="shared" si="14"/>
        <v>0.4</v>
      </c>
      <c r="H278" s="267">
        <f t="shared" si="15"/>
        <v>0</v>
      </c>
      <c r="I278" s="110">
        <f>IF(H278=0,0,H278*(1+'📋 Datos Generales'!$E$28))</f>
        <v>0</v>
      </c>
      <c r="J278" s="268">
        <f t="shared" si="16"/>
        <v>0</v>
      </c>
      <c r="K278" s="269">
        <f>IF(OR(I278=0,'🧾 Factura Comercial'!G277=0),0,CEILING('🧮 Costos x Producto'!J277*'🧾 Factura Comercial'!G277/I278,1))</f>
        <v>0</v>
      </c>
    </row>
    <row r="279" spans="4:11" ht="19.5" hidden="1" customHeight="1" thickBot="1" x14ac:dyDescent="0.3">
      <c r="D279" s="28">
        <v>272</v>
      </c>
      <c r="E279" s="262">
        <f>'🧾 Factura Comercial'!E278</f>
        <v>0</v>
      </c>
      <c r="F279" s="270">
        <f>'🧮 Costos x Producto'!K278</f>
        <v>0</v>
      </c>
      <c r="G279" s="351">
        <f t="shared" si="14"/>
        <v>0.4</v>
      </c>
      <c r="H279" s="267">
        <f t="shared" si="15"/>
        <v>0</v>
      </c>
      <c r="I279" s="110">
        <f>IF(H279=0,0,H279*(1+'📋 Datos Generales'!$E$28))</f>
        <v>0</v>
      </c>
      <c r="J279" s="268">
        <f t="shared" si="16"/>
        <v>0</v>
      </c>
      <c r="K279" s="269">
        <f>IF(OR(I279=0,'🧾 Factura Comercial'!G278=0),0,CEILING('🧮 Costos x Producto'!J278*'🧾 Factura Comercial'!G278/I279,1))</f>
        <v>0</v>
      </c>
    </row>
    <row r="280" spans="4:11" ht="19.5" hidden="1" customHeight="1" thickBot="1" x14ac:dyDescent="0.3">
      <c r="D280" s="28">
        <v>273</v>
      </c>
      <c r="E280" s="262">
        <f>'🧾 Factura Comercial'!E279</f>
        <v>0</v>
      </c>
      <c r="F280" s="270">
        <f>'🧮 Costos x Producto'!K279</f>
        <v>0</v>
      </c>
      <c r="G280" s="351">
        <f t="shared" si="14"/>
        <v>0.4</v>
      </c>
      <c r="H280" s="267">
        <f t="shared" si="15"/>
        <v>0</v>
      </c>
      <c r="I280" s="110">
        <f>IF(H280=0,0,H280*(1+'📋 Datos Generales'!$E$28))</f>
        <v>0</v>
      </c>
      <c r="J280" s="268">
        <f t="shared" si="16"/>
        <v>0</v>
      </c>
      <c r="K280" s="269">
        <f>IF(OR(I280=0,'🧾 Factura Comercial'!G279=0),0,CEILING('🧮 Costos x Producto'!J279*'🧾 Factura Comercial'!G279/I280,1))</f>
        <v>0</v>
      </c>
    </row>
    <row r="281" spans="4:11" ht="19.5" hidden="1" customHeight="1" thickBot="1" x14ac:dyDescent="0.3">
      <c r="D281" s="28">
        <v>274</v>
      </c>
      <c r="E281" s="262">
        <f>'🧾 Factura Comercial'!E280</f>
        <v>0</v>
      </c>
      <c r="F281" s="270">
        <f>'🧮 Costos x Producto'!K280</f>
        <v>0</v>
      </c>
      <c r="G281" s="351">
        <f t="shared" si="14"/>
        <v>0.4</v>
      </c>
      <c r="H281" s="267">
        <f t="shared" si="15"/>
        <v>0</v>
      </c>
      <c r="I281" s="110">
        <f>IF(H281=0,0,H281*(1+'📋 Datos Generales'!$E$28))</f>
        <v>0</v>
      </c>
      <c r="J281" s="268">
        <f t="shared" si="16"/>
        <v>0</v>
      </c>
      <c r="K281" s="269">
        <f>IF(OR(I281=0,'🧾 Factura Comercial'!G280=0),0,CEILING('🧮 Costos x Producto'!J280*'🧾 Factura Comercial'!G280/I281,1))</f>
        <v>0</v>
      </c>
    </row>
    <row r="282" spans="4:11" ht="19.5" hidden="1" customHeight="1" thickBot="1" x14ac:dyDescent="0.3">
      <c r="D282" s="28">
        <v>275</v>
      </c>
      <c r="E282" s="262">
        <f>'🧾 Factura Comercial'!E281</f>
        <v>0</v>
      </c>
      <c r="F282" s="270">
        <f>'🧮 Costos x Producto'!K281</f>
        <v>0</v>
      </c>
      <c r="G282" s="351">
        <f t="shared" si="14"/>
        <v>0.4</v>
      </c>
      <c r="H282" s="267">
        <f t="shared" si="15"/>
        <v>0</v>
      </c>
      <c r="I282" s="110">
        <f>IF(H282=0,0,H282*(1+'📋 Datos Generales'!$E$28))</f>
        <v>0</v>
      </c>
      <c r="J282" s="268">
        <f t="shared" si="16"/>
        <v>0</v>
      </c>
      <c r="K282" s="269">
        <f>IF(OR(I282=0,'🧾 Factura Comercial'!G281=0),0,CEILING('🧮 Costos x Producto'!J281*'🧾 Factura Comercial'!G281/I282,1))</f>
        <v>0</v>
      </c>
    </row>
    <row r="283" spans="4:11" ht="19.5" hidden="1" customHeight="1" thickBot="1" x14ac:dyDescent="0.3">
      <c r="D283" s="28">
        <v>276</v>
      </c>
      <c r="E283" s="262">
        <f>'🧾 Factura Comercial'!E282</f>
        <v>0</v>
      </c>
      <c r="F283" s="270">
        <f>'🧮 Costos x Producto'!K282</f>
        <v>0</v>
      </c>
      <c r="G283" s="351">
        <f t="shared" si="14"/>
        <v>0.4</v>
      </c>
      <c r="H283" s="267">
        <f t="shared" si="15"/>
        <v>0</v>
      </c>
      <c r="I283" s="110">
        <f>IF(H283=0,0,H283*(1+'📋 Datos Generales'!$E$28))</f>
        <v>0</v>
      </c>
      <c r="J283" s="268">
        <f t="shared" si="16"/>
        <v>0</v>
      </c>
      <c r="K283" s="269">
        <f>IF(OR(I283=0,'🧾 Factura Comercial'!G282=0),0,CEILING('🧮 Costos x Producto'!J282*'🧾 Factura Comercial'!G282/I283,1))</f>
        <v>0</v>
      </c>
    </row>
    <row r="284" spans="4:11" ht="19.5" hidden="1" customHeight="1" thickBot="1" x14ac:dyDescent="0.3">
      <c r="D284" s="28">
        <v>277</v>
      </c>
      <c r="E284" s="262">
        <f>'🧾 Factura Comercial'!E283</f>
        <v>0</v>
      </c>
      <c r="F284" s="270">
        <f>'🧮 Costos x Producto'!K283</f>
        <v>0</v>
      </c>
      <c r="G284" s="351">
        <f t="shared" si="14"/>
        <v>0.4</v>
      </c>
      <c r="H284" s="267">
        <f t="shared" si="15"/>
        <v>0</v>
      </c>
      <c r="I284" s="110">
        <f>IF(H284=0,0,H284*(1+'📋 Datos Generales'!$E$28))</f>
        <v>0</v>
      </c>
      <c r="J284" s="268">
        <f t="shared" si="16"/>
        <v>0</v>
      </c>
      <c r="K284" s="269">
        <f>IF(OR(I284=0,'🧾 Factura Comercial'!G283=0),0,CEILING('🧮 Costos x Producto'!J283*'🧾 Factura Comercial'!G283/I284,1))</f>
        <v>0</v>
      </c>
    </row>
    <row r="285" spans="4:11" ht="19.5" hidden="1" customHeight="1" thickBot="1" x14ac:dyDescent="0.3">
      <c r="D285" s="28">
        <v>278</v>
      </c>
      <c r="E285" s="262">
        <f>'🧾 Factura Comercial'!E284</f>
        <v>0</v>
      </c>
      <c r="F285" s="270">
        <f>'🧮 Costos x Producto'!K284</f>
        <v>0</v>
      </c>
      <c r="G285" s="351">
        <f t="shared" si="14"/>
        <v>0.4</v>
      </c>
      <c r="H285" s="267">
        <f t="shared" si="15"/>
        <v>0</v>
      </c>
      <c r="I285" s="110">
        <f>IF(H285=0,0,H285*(1+'📋 Datos Generales'!$E$28))</f>
        <v>0</v>
      </c>
      <c r="J285" s="268">
        <f t="shared" si="16"/>
        <v>0</v>
      </c>
      <c r="K285" s="269">
        <f>IF(OR(I285=0,'🧾 Factura Comercial'!G284=0),0,CEILING('🧮 Costos x Producto'!J284*'🧾 Factura Comercial'!G284/I285,1))</f>
        <v>0</v>
      </c>
    </row>
    <row r="286" spans="4:11" ht="19.5" hidden="1" customHeight="1" thickBot="1" x14ac:dyDescent="0.3">
      <c r="D286" s="28">
        <v>279</v>
      </c>
      <c r="E286" s="262">
        <f>'🧾 Factura Comercial'!E285</f>
        <v>0</v>
      </c>
      <c r="F286" s="270">
        <f>'🧮 Costos x Producto'!K285</f>
        <v>0</v>
      </c>
      <c r="G286" s="351">
        <f t="shared" si="14"/>
        <v>0.4</v>
      </c>
      <c r="H286" s="267">
        <f t="shared" si="15"/>
        <v>0</v>
      </c>
      <c r="I286" s="110">
        <f>IF(H286=0,0,H286*(1+'📋 Datos Generales'!$E$28))</f>
        <v>0</v>
      </c>
      <c r="J286" s="268">
        <f t="shared" si="16"/>
        <v>0</v>
      </c>
      <c r="K286" s="269">
        <f>IF(OR(I286=0,'🧾 Factura Comercial'!G285=0),0,CEILING('🧮 Costos x Producto'!J285*'🧾 Factura Comercial'!G285/I286,1))</f>
        <v>0</v>
      </c>
    </row>
    <row r="287" spans="4:11" ht="19.5" hidden="1" customHeight="1" thickBot="1" x14ac:dyDescent="0.3">
      <c r="D287" s="28">
        <v>280</v>
      </c>
      <c r="E287" s="262">
        <f>'🧾 Factura Comercial'!E286</f>
        <v>0</v>
      </c>
      <c r="F287" s="270">
        <f>'🧮 Costos x Producto'!K286</f>
        <v>0</v>
      </c>
      <c r="G287" s="351">
        <f t="shared" si="14"/>
        <v>0.4</v>
      </c>
      <c r="H287" s="267">
        <f t="shared" si="15"/>
        <v>0</v>
      </c>
      <c r="I287" s="110">
        <f>IF(H287=0,0,H287*(1+'📋 Datos Generales'!$E$28))</f>
        <v>0</v>
      </c>
      <c r="J287" s="268">
        <f t="shared" si="16"/>
        <v>0</v>
      </c>
      <c r="K287" s="269">
        <f>IF(OR(I287=0,'🧾 Factura Comercial'!G286=0),0,CEILING('🧮 Costos x Producto'!J286*'🧾 Factura Comercial'!G286/I287,1))</f>
        <v>0</v>
      </c>
    </row>
    <row r="288" spans="4:11" ht="19.5" hidden="1" customHeight="1" thickBot="1" x14ac:dyDescent="0.3">
      <c r="D288" s="28">
        <v>281</v>
      </c>
      <c r="E288" s="262">
        <f>'🧾 Factura Comercial'!E287</f>
        <v>0</v>
      </c>
      <c r="F288" s="270">
        <f>'🧮 Costos x Producto'!K287</f>
        <v>0</v>
      </c>
      <c r="G288" s="351">
        <f t="shared" si="14"/>
        <v>0.4</v>
      </c>
      <c r="H288" s="267">
        <f t="shared" si="15"/>
        <v>0</v>
      </c>
      <c r="I288" s="110">
        <f>IF(H288=0,0,H288*(1+'📋 Datos Generales'!$E$28))</f>
        <v>0</v>
      </c>
      <c r="J288" s="268">
        <f t="shared" si="16"/>
        <v>0</v>
      </c>
      <c r="K288" s="269">
        <f>IF(OR(I288=0,'🧾 Factura Comercial'!G287=0),0,CEILING('🧮 Costos x Producto'!J287*'🧾 Factura Comercial'!G287/I288,1))</f>
        <v>0</v>
      </c>
    </row>
    <row r="289" spans="4:11" ht="19.5" hidden="1" customHeight="1" thickBot="1" x14ac:dyDescent="0.3">
      <c r="D289" s="28">
        <v>282</v>
      </c>
      <c r="E289" s="262">
        <f>'🧾 Factura Comercial'!E288</f>
        <v>0</v>
      </c>
      <c r="F289" s="270">
        <f>'🧮 Costos x Producto'!K288</f>
        <v>0</v>
      </c>
      <c r="G289" s="351">
        <f t="shared" si="14"/>
        <v>0.4</v>
      </c>
      <c r="H289" s="267">
        <f t="shared" si="15"/>
        <v>0</v>
      </c>
      <c r="I289" s="110">
        <f>IF(H289=0,0,H289*(1+'📋 Datos Generales'!$E$28))</f>
        <v>0</v>
      </c>
      <c r="J289" s="268">
        <f t="shared" si="16"/>
        <v>0</v>
      </c>
      <c r="K289" s="269">
        <f>IF(OR(I289=0,'🧾 Factura Comercial'!G288=0),0,CEILING('🧮 Costos x Producto'!J288*'🧾 Factura Comercial'!G288/I289,1))</f>
        <v>0</v>
      </c>
    </row>
    <row r="290" spans="4:11" ht="19.5" hidden="1" customHeight="1" thickBot="1" x14ac:dyDescent="0.3">
      <c r="D290" s="28">
        <v>283</v>
      </c>
      <c r="E290" s="262">
        <f>'🧾 Factura Comercial'!E289</f>
        <v>0</v>
      </c>
      <c r="F290" s="270">
        <f>'🧮 Costos x Producto'!K289</f>
        <v>0</v>
      </c>
      <c r="G290" s="351">
        <f t="shared" si="14"/>
        <v>0.4</v>
      </c>
      <c r="H290" s="267">
        <f t="shared" si="15"/>
        <v>0</v>
      </c>
      <c r="I290" s="110">
        <f>IF(H290=0,0,H290*(1+'📋 Datos Generales'!$E$28))</f>
        <v>0</v>
      </c>
      <c r="J290" s="268">
        <f t="shared" si="16"/>
        <v>0</v>
      </c>
      <c r="K290" s="269">
        <f>IF(OR(I290=0,'🧾 Factura Comercial'!G289=0),0,CEILING('🧮 Costos x Producto'!J289*'🧾 Factura Comercial'!G289/I290,1))</f>
        <v>0</v>
      </c>
    </row>
    <row r="291" spans="4:11" ht="19.5" hidden="1" customHeight="1" thickBot="1" x14ac:dyDescent="0.3">
      <c r="D291" s="28">
        <v>284</v>
      </c>
      <c r="E291" s="262">
        <f>'🧾 Factura Comercial'!E290</f>
        <v>0</v>
      </c>
      <c r="F291" s="270">
        <f>'🧮 Costos x Producto'!K290</f>
        <v>0</v>
      </c>
      <c r="G291" s="351">
        <f t="shared" si="14"/>
        <v>0.4</v>
      </c>
      <c r="H291" s="267">
        <f t="shared" si="15"/>
        <v>0</v>
      </c>
      <c r="I291" s="110">
        <f>IF(H291=0,0,H291*(1+'📋 Datos Generales'!$E$28))</f>
        <v>0</v>
      </c>
      <c r="J291" s="268">
        <f t="shared" si="16"/>
        <v>0</v>
      </c>
      <c r="K291" s="269">
        <f>IF(OR(I291=0,'🧾 Factura Comercial'!G290=0),0,CEILING('🧮 Costos x Producto'!J290*'🧾 Factura Comercial'!G290/I291,1))</f>
        <v>0</v>
      </c>
    </row>
    <row r="292" spans="4:11" ht="19.5" hidden="1" customHeight="1" thickBot="1" x14ac:dyDescent="0.3">
      <c r="D292" s="28">
        <v>285</v>
      </c>
      <c r="E292" s="262">
        <f>'🧾 Factura Comercial'!E291</f>
        <v>0</v>
      </c>
      <c r="F292" s="270">
        <f>'🧮 Costos x Producto'!K291</f>
        <v>0</v>
      </c>
      <c r="G292" s="351">
        <f t="shared" si="14"/>
        <v>0.4</v>
      </c>
      <c r="H292" s="267">
        <f t="shared" si="15"/>
        <v>0</v>
      </c>
      <c r="I292" s="110">
        <f>IF(H292=0,0,H292*(1+'📋 Datos Generales'!$E$28))</f>
        <v>0</v>
      </c>
      <c r="J292" s="268">
        <f t="shared" si="16"/>
        <v>0</v>
      </c>
      <c r="K292" s="269">
        <f>IF(OR(I292=0,'🧾 Factura Comercial'!G291=0),0,CEILING('🧮 Costos x Producto'!J291*'🧾 Factura Comercial'!G291/I292,1))</f>
        <v>0</v>
      </c>
    </row>
    <row r="293" spans="4:11" ht="19.5" hidden="1" customHeight="1" thickBot="1" x14ac:dyDescent="0.3">
      <c r="D293" s="28">
        <v>286</v>
      </c>
      <c r="E293" s="262">
        <f>'🧾 Factura Comercial'!E292</f>
        <v>0</v>
      </c>
      <c r="F293" s="270">
        <f>'🧮 Costos x Producto'!K292</f>
        <v>0</v>
      </c>
      <c r="G293" s="351">
        <f t="shared" si="14"/>
        <v>0.4</v>
      </c>
      <c r="H293" s="267">
        <f t="shared" si="15"/>
        <v>0</v>
      </c>
      <c r="I293" s="110">
        <f>IF(H293=0,0,H293*(1+'📋 Datos Generales'!$E$28))</f>
        <v>0</v>
      </c>
      <c r="J293" s="268">
        <f t="shared" si="16"/>
        <v>0</v>
      </c>
      <c r="K293" s="269">
        <f>IF(OR(I293=0,'🧾 Factura Comercial'!G292=0),0,CEILING('🧮 Costos x Producto'!J292*'🧾 Factura Comercial'!G292/I293,1))</f>
        <v>0</v>
      </c>
    </row>
    <row r="294" spans="4:11" ht="19.5" hidden="1" customHeight="1" thickBot="1" x14ac:dyDescent="0.3">
      <c r="D294" s="28">
        <v>287</v>
      </c>
      <c r="E294" s="262">
        <f>'🧾 Factura Comercial'!E293</f>
        <v>0</v>
      </c>
      <c r="F294" s="270">
        <f>'🧮 Costos x Producto'!K293</f>
        <v>0</v>
      </c>
      <c r="G294" s="351">
        <f t="shared" si="14"/>
        <v>0.4</v>
      </c>
      <c r="H294" s="267">
        <f t="shared" si="15"/>
        <v>0</v>
      </c>
      <c r="I294" s="110">
        <f>IF(H294=0,0,H294*(1+'📋 Datos Generales'!$E$28))</f>
        <v>0</v>
      </c>
      <c r="J294" s="268">
        <f t="shared" si="16"/>
        <v>0</v>
      </c>
      <c r="K294" s="269">
        <f>IF(OR(I294=0,'🧾 Factura Comercial'!G293=0),0,CEILING('🧮 Costos x Producto'!J293*'🧾 Factura Comercial'!G293/I294,1))</f>
        <v>0</v>
      </c>
    </row>
    <row r="295" spans="4:11" ht="19.5" hidden="1" customHeight="1" thickBot="1" x14ac:dyDescent="0.3">
      <c r="D295" s="28">
        <v>288</v>
      </c>
      <c r="E295" s="262">
        <f>'🧾 Factura Comercial'!E294</f>
        <v>0</v>
      </c>
      <c r="F295" s="270">
        <f>'🧮 Costos x Producto'!K294</f>
        <v>0</v>
      </c>
      <c r="G295" s="351">
        <f t="shared" si="14"/>
        <v>0.4</v>
      </c>
      <c r="H295" s="267">
        <f t="shared" si="15"/>
        <v>0</v>
      </c>
      <c r="I295" s="110">
        <f>IF(H295=0,0,H295*(1+'📋 Datos Generales'!$E$28))</f>
        <v>0</v>
      </c>
      <c r="J295" s="268">
        <f t="shared" si="16"/>
        <v>0</v>
      </c>
      <c r="K295" s="269">
        <f>IF(OR(I295=0,'🧾 Factura Comercial'!G294=0),0,CEILING('🧮 Costos x Producto'!J294*'🧾 Factura Comercial'!G294/I295,1))</f>
        <v>0</v>
      </c>
    </row>
    <row r="296" spans="4:11" ht="19.5" hidden="1" customHeight="1" thickBot="1" x14ac:dyDescent="0.3">
      <c r="D296" s="28">
        <v>289</v>
      </c>
      <c r="E296" s="262">
        <f>'🧾 Factura Comercial'!E295</f>
        <v>0</v>
      </c>
      <c r="F296" s="270">
        <f>'🧮 Costos x Producto'!K295</f>
        <v>0</v>
      </c>
      <c r="G296" s="351">
        <f t="shared" si="14"/>
        <v>0.4</v>
      </c>
      <c r="H296" s="267">
        <f t="shared" si="15"/>
        <v>0</v>
      </c>
      <c r="I296" s="110">
        <f>IF(H296=0,0,H296*(1+'📋 Datos Generales'!$E$28))</f>
        <v>0</v>
      </c>
      <c r="J296" s="268">
        <f t="shared" si="16"/>
        <v>0</v>
      </c>
      <c r="K296" s="269">
        <f>IF(OR(I296=0,'🧾 Factura Comercial'!G295=0),0,CEILING('🧮 Costos x Producto'!J295*'🧾 Factura Comercial'!G295/I296,1))</f>
        <v>0</v>
      </c>
    </row>
    <row r="297" spans="4:11" ht="19.5" hidden="1" customHeight="1" thickBot="1" x14ac:dyDescent="0.3">
      <c r="D297" s="28">
        <v>290</v>
      </c>
      <c r="E297" s="262">
        <f>'🧾 Factura Comercial'!E296</f>
        <v>0</v>
      </c>
      <c r="F297" s="270">
        <f>'🧮 Costos x Producto'!K296</f>
        <v>0</v>
      </c>
      <c r="G297" s="351">
        <f t="shared" si="14"/>
        <v>0.4</v>
      </c>
      <c r="H297" s="267">
        <f t="shared" si="15"/>
        <v>0</v>
      </c>
      <c r="I297" s="110">
        <f>IF(H297=0,0,H297*(1+'📋 Datos Generales'!$E$28))</f>
        <v>0</v>
      </c>
      <c r="J297" s="268">
        <f t="shared" si="16"/>
        <v>0</v>
      </c>
      <c r="K297" s="269">
        <f>IF(OR(I297=0,'🧾 Factura Comercial'!G296=0),0,CEILING('🧮 Costos x Producto'!J296*'🧾 Factura Comercial'!G296/I297,1))</f>
        <v>0</v>
      </c>
    </row>
    <row r="298" spans="4:11" ht="19.5" hidden="1" customHeight="1" thickBot="1" x14ac:dyDescent="0.3">
      <c r="D298" s="28">
        <v>291</v>
      </c>
      <c r="E298" s="262">
        <f>'🧾 Factura Comercial'!E297</f>
        <v>0</v>
      </c>
      <c r="F298" s="270">
        <f>'🧮 Costos x Producto'!K297</f>
        <v>0</v>
      </c>
      <c r="G298" s="351">
        <f t="shared" si="14"/>
        <v>0.4</v>
      </c>
      <c r="H298" s="267">
        <f t="shared" si="15"/>
        <v>0</v>
      </c>
      <c r="I298" s="110">
        <f>IF(H298=0,0,H298*(1+'📋 Datos Generales'!$E$28))</f>
        <v>0</v>
      </c>
      <c r="J298" s="268">
        <f t="shared" si="16"/>
        <v>0</v>
      </c>
      <c r="K298" s="269">
        <f>IF(OR(I298=0,'🧾 Factura Comercial'!G297=0),0,CEILING('🧮 Costos x Producto'!J297*'🧾 Factura Comercial'!G297/I298,1))</f>
        <v>0</v>
      </c>
    </row>
    <row r="299" spans="4:11" ht="19.5" hidden="1" customHeight="1" thickBot="1" x14ac:dyDescent="0.3">
      <c r="D299" s="28">
        <v>292</v>
      </c>
      <c r="E299" s="262">
        <f>'🧾 Factura Comercial'!E298</f>
        <v>0</v>
      </c>
      <c r="F299" s="270">
        <f>'🧮 Costos x Producto'!K298</f>
        <v>0</v>
      </c>
      <c r="G299" s="351">
        <f t="shared" si="14"/>
        <v>0.4</v>
      </c>
      <c r="H299" s="267">
        <f t="shared" si="15"/>
        <v>0</v>
      </c>
      <c r="I299" s="110">
        <f>IF(H299=0,0,H299*(1+'📋 Datos Generales'!$E$28))</f>
        <v>0</v>
      </c>
      <c r="J299" s="268">
        <f t="shared" si="16"/>
        <v>0</v>
      </c>
      <c r="K299" s="269">
        <f>IF(OR(I299=0,'🧾 Factura Comercial'!G298=0),0,CEILING('🧮 Costos x Producto'!J298*'🧾 Factura Comercial'!G298/I299,1))</f>
        <v>0</v>
      </c>
    </row>
    <row r="300" spans="4:11" ht="19.5" hidden="1" customHeight="1" thickBot="1" x14ac:dyDescent="0.3">
      <c r="D300" s="28">
        <v>293</v>
      </c>
      <c r="E300" s="262">
        <f>'🧾 Factura Comercial'!E299</f>
        <v>0</v>
      </c>
      <c r="F300" s="270">
        <f>'🧮 Costos x Producto'!K299</f>
        <v>0</v>
      </c>
      <c r="G300" s="351">
        <f t="shared" si="14"/>
        <v>0.4</v>
      </c>
      <c r="H300" s="267">
        <f t="shared" si="15"/>
        <v>0</v>
      </c>
      <c r="I300" s="110">
        <f>IF(H300=0,0,H300*(1+'📋 Datos Generales'!$E$28))</f>
        <v>0</v>
      </c>
      <c r="J300" s="268">
        <f t="shared" si="16"/>
        <v>0</v>
      </c>
      <c r="K300" s="269">
        <f>IF(OR(I300=0,'🧾 Factura Comercial'!G299=0),0,CEILING('🧮 Costos x Producto'!J299*'🧾 Factura Comercial'!G299/I300,1))</f>
        <v>0</v>
      </c>
    </row>
    <row r="301" spans="4:11" ht="19.5" hidden="1" customHeight="1" thickBot="1" x14ac:dyDescent="0.3">
      <c r="D301" s="28">
        <v>294</v>
      </c>
      <c r="E301" s="262">
        <f>'🧾 Factura Comercial'!E300</f>
        <v>0</v>
      </c>
      <c r="F301" s="270">
        <f>'🧮 Costos x Producto'!K300</f>
        <v>0</v>
      </c>
      <c r="G301" s="351">
        <f t="shared" si="14"/>
        <v>0.4</v>
      </c>
      <c r="H301" s="267">
        <f t="shared" si="15"/>
        <v>0</v>
      </c>
      <c r="I301" s="110">
        <f>IF(H301=0,0,H301*(1+'📋 Datos Generales'!$E$28))</f>
        <v>0</v>
      </c>
      <c r="J301" s="268">
        <f t="shared" si="16"/>
        <v>0</v>
      </c>
      <c r="K301" s="269">
        <f>IF(OR(I301=0,'🧾 Factura Comercial'!G300=0),0,CEILING('🧮 Costos x Producto'!J300*'🧾 Factura Comercial'!G300/I301,1))</f>
        <v>0</v>
      </c>
    </row>
    <row r="302" spans="4:11" ht="19.5" hidden="1" customHeight="1" thickBot="1" x14ac:dyDescent="0.3">
      <c r="D302" s="28">
        <v>295</v>
      </c>
      <c r="E302" s="262">
        <f>'🧾 Factura Comercial'!E301</f>
        <v>0</v>
      </c>
      <c r="F302" s="270">
        <f>'🧮 Costos x Producto'!K301</f>
        <v>0</v>
      </c>
      <c r="G302" s="351">
        <f t="shared" si="14"/>
        <v>0.4</v>
      </c>
      <c r="H302" s="267">
        <f t="shared" si="15"/>
        <v>0</v>
      </c>
      <c r="I302" s="110">
        <f>IF(H302=0,0,H302*(1+'📋 Datos Generales'!$E$28))</f>
        <v>0</v>
      </c>
      <c r="J302" s="268">
        <f t="shared" si="16"/>
        <v>0</v>
      </c>
      <c r="K302" s="269">
        <f>IF(OR(I302=0,'🧾 Factura Comercial'!G301=0),0,CEILING('🧮 Costos x Producto'!J301*'🧾 Factura Comercial'!G301/I302,1))</f>
        <v>0</v>
      </c>
    </row>
    <row r="303" spans="4:11" ht="19.5" hidden="1" customHeight="1" thickBot="1" x14ac:dyDescent="0.3">
      <c r="D303" s="28">
        <v>296</v>
      </c>
      <c r="E303" s="262">
        <f>'🧾 Factura Comercial'!E302</f>
        <v>0</v>
      </c>
      <c r="F303" s="270">
        <f>'🧮 Costos x Producto'!K302</f>
        <v>0</v>
      </c>
      <c r="G303" s="351">
        <f t="shared" si="14"/>
        <v>0.4</v>
      </c>
      <c r="H303" s="267">
        <f t="shared" si="15"/>
        <v>0</v>
      </c>
      <c r="I303" s="110">
        <f>IF(H303=0,0,H303*(1+'📋 Datos Generales'!$E$28))</f>
        <v>0</v>
      </c>
      <c r="J303" s="268">
        <f t="shared" si="16"/>
        <v>0</v>
      </c>
      <c r="K303" s="269">
        <f>IF(OR(I303=0,'🧾 Factura Comercial'!G302=0),0,CEILING('🧮 Costos x Producto'!J302*'🧾 Factura Comercial'!G302/I303,1))</f>
        <v>0</v>
      </c>
    </row>
    <row r="304" spans="4:11" ht="19.5" hidden="1" customHeight="1" thickBot="1" x14ac:dyDescent="0.3">
      <c r="D304" s="28">
        <v>297</v>
      </c>
      <c r="E304" s="262">
        <f>'🧾 Factura Comercial'!E303</f>
        <v>0</v>
      </c>
      <c r="F304" s="270">
        <f>'🧮 Costos x Producto'!K303</f>
        <v>0</v>
      </c>
      <c r="G304" s="351">
        <f t="shared" si="14"/>
        <v>0.4</v>
      </c>
      <c r="H304" s="267">
        <f t="shared" si="15"/>
        <v>0</v>
      </c>
      <c r="I304" s="110">
        <f>IF(H304=0,0,H304*(1+'📋 Datos Generales'!$E$28))</f>
        <v>0</v>
      </c>
      <c r="J304" s="268">
        <f t="shared" si="16"/>
        <v>0</v>
      </c>
      <c r="K304" s="269">
        <f>IF(OR(I304=0,'🧾 Factura Comercial'!G303=0),0,CEILING('🧮 Costos x Producto'!J303*'🧾 Factura Comercial'!G303/I304,1))</f>
        <v>0</v>
      </c>
    </row>
    <row r="305" spans="4:11" ht="19.5" hidden="1" customHeight="1" thickBot="1" x14ac:dyDescent="0.3">
      <c r="D305" s="28">
        <v>298</v>
      </c>
      <c r="E305" s="262">
        <f>'🧾 Factura Comercial'!E304</f>
        <v>0</v>
      </c>
      <c r="F305" s="270">
        <f>'🧮 Costos x Producto'!K304</f>
        <v>0</v>
      </c>
      <c r="G305" s="351">
        <f t="shared" si="14"/>
        <v>0.4</v>
      </c>
      <c r="H305" s="267">
        <f t="shared" si="15"/>
        <v>0</v>
      </c>
      <c r="I305" s="110">
        <f>IF(H305=0,0,H305*(1+'📋 Datos Generales'!$E$28))</f>
        <v>0</v>
      </c>
      <c r="J305" s="268">
        <f t="shared" si="16"/>
        <v>0</v>
      </c>
      <c r="K305" s="269">
        <f>IF(OR(I305=0,'🧾 Factura Comercial'!G304=0),0,CEILING('🧮 Costos x Producto'!J304*'🧾 Factura Comercial'!G304/I305,1))</f>
        <v>0</v>
      </c>
    </row>
    <row r="306" spans="4:11" ht="19.5" hidden="1" customHeight="1" thickBot="1" x14ac:dyDescent="0.3">
      <c r="D306" s="28">
        <v>299</v>
      </c>
      <c r="E306" s="262">
        <f>'🧾 Factura Comercial'!E305</f>
        <v>0</v>
      </c>
      <c r="F306" s="270">
        <f>'🧮 Costos x Producto'!K305</f>
        <v>0</v>
      </c>
      <c r="G306" s="351">
        <f t="shared" si="14"/>
        <v>0.4</v>
      </c>
      <c r="H306" s="267">
        <f t="shared" si="15"/>
        <v>0</v>
      </c>
      <c r="I306" s="110">
        <f>IF(H306=0,0,H306*(1+'📋 Datos Generales'!$E$28))</f>
        <v>0</v>
      </c>
      <c r="J306" s="268">
        <f t="shared" si="16"/>
        <v>0</v>
      </c>
      <c r="K306" s="269">
        <f>IF(OR(I306=0,'🧾 Factura Comercial'!G305=0),0,CEILING('🧮 Costos x Producto'!J305*'🧾 Factura Comercial'!G305/I306,1))</f>
        <v>0</v>
      </c>
    </row>
    <row r="307" spans="4:11" ht="19.5" hidden="1" customHeight="1" thickBot="1" x14ac:dyDescent="0.3">
      <c r="D307" s="28">
        <v>300</v>
      </c>
      <c r="E307" s="262">
        <f>'🧾 Factura Comercial'!E306</f>
        <v>0</v>
      </c>
      <c r="F307" s="270">
        <f>'🧮 Costos x Producto'!K306</f>
        <v>0</v>
      </c>
      <c r="G307" s="351">
        <f t="shared" si="14"/>
        <v>0.4</v>
      </c>
      <c r="H307" s="267">
        <f t="shared" si="15"/>
        <v>0</v>
      </c>
      <c r="I307" s="110">
        <f>IF(H307=0,0,H307*(1+'📋 Datos Generales'!$E$28))</f>
        <v>0</v>
      </c>
      <c r="J307" s="268">
        <f t="shared" si="16"/>
        <v>0</v>
      </c>
      <c r="K307" s="269">
        <f>IF(OR(I307=0,'🧾 Factura Comercial'!G306=0),0,CEILING('🧮 Costos x Producto'!J306*'🧾 Factura Comercial'!G306/I307,1))</f>
        <v>0</v>
      </c>
    </row>
    <row r="308" spans="4:11" ht="19.5" hidden="1" customHeight="1" thickBot="1" x14ac:dyDescent="0.3">
      <c r="D308" s="28">
        <v>301</v>
      </c>
      <c r="E308" s="262">
        <f>'🧾 Factura Comercial'!E307</f>
        <v>0</v>
      </c>
      <c r="F308" s="270">
        <f>'🧮 Costos x Producto'!K307</f>
        <v>0</v>
      </c>
      <c r="G308" s="351">
        <f t="shared" si="14"/>
        <v>0.4</v>
      </c>
      <c r="H308" s="267">
        <f t="shared" si="15"/>
        <v>0</v>
      </c>
      <c r="I308" s="110">
        <f>IF(H308=0,0,H308*(1+'📋 Datos Generales'!$E$28))</f>
        <v>0</v>
      </c>
      <c r="J308" s="268">
        <f t="shared" si="16"/>
        <v>0</v>
      </c>
      <c r="K308" s="269">
        <f>IF(OR(I308=0,'🧾 Factura Comercial'!G307=0),0,CEILING('🧮 Costos x Producto'!J307*'🧾 Factura Comercial'!G307/I308,1))</f>
        <v>0</v>
      </c>
    </row>
    <row r="309" spans="4:11" ht="19.5" hidden="1" customHeight="1" thickBot="1" x14ac:dyDescent="0.3">
      <c r="D309" s="28">
        <v>302</v>
      </c>
      <c r="E309" s="262">
        <f>'🧾 Factura Comercial'!E308</f>
        <v>0</v>
      </c>
      <c r="F309" s="270">
        <f>'🧮 Costos x Producto'!K308</f>
        <v>0</v>
      </c>
      <c r="G309" s="351">
        <f t="shared" si="14"/>
        <v>0.4</v>
      </c>
      <c r="H309" s="267">
        <f t="shared" si="15"/>
        <v>0</v>
      </c>
      <c r="I309" s="110">
        <f>IF(H309=0,0,H309*(1+'📋 Datos Generales'!$E$28))</f>
        <v>0</v>
      </c>
      <c r="J309" s="268">
        <f t="shared" si="16"/>
        <v>0</v>
      </c>
      <c r="K309" s="269">
        <f>IF(OR(I309=0,'🧾 Factura Comercial'!G308=0),0,CEILING('🧮 Costos x Producto'!J308*'🧾 Factura Comercial'!G308/I309,1))</f>
        <v>0</v>
      </c>
    </row>
    <row r="310" spans="4:11" ht="19.5" hidden="1" customHeight="1" thickBot="1" x14ac:dyDescent="0.3">
      <c r="D310" s="28">
        <v>303</v>
      </c>
      <c r="E310" s="262">
        <f>'🧾 Factura Comercial'!E309</f>
        <v>0</v>
      </c>
      <c r="F310" s="270">
        <f>'🧮 Costos x Producto'!K309</f>
        <v>0</v>
      </c>
      <c r="G310" s="351">
        <f t="shared" si="14"/>
        <v>0.4</v>
      </c>
      <c r="H310" s="267">
        <f t="shared" si="15"/>
        <v>0</v>
      </c>
      <c r="I310" s="110">
        <f>IF(H310=0,0,H310*(1+'📋 Datos Generales'!$E$28))</f>
        <v>0</v>
      </c>
      <c r="J310" s="268">
        <f t="shared" si="16"/>
        <v>0</v>
      </c>
      <c r="K310" s="269">
        <f>IF(OR(I310=0,'🧾 Factura Comercial'!G309=0),0,CEILING('🧮 Costos x Producto'!J309*'🧾 Factura Comercial'!G309/I310,1))</f>
        <v>0</v>
      </c>
    </row>
    <row r="311" spans="4:11" ht="19.5" hidden="1" customHeight="1" thickBot="1" x14ac:dyDescent="0.3">
      <c r="D311" s="28">
        <v>304</v>
      </c>
      <c r="E311" s="262">
        <f>'🧾 Factura Comercial'!E310</f>
        <v>0</v>
      </c>
      <c r="F311" s="270">
        <f>'🧮 Costos x Producto'!K310</f>
        <v>0</v>
      </c>
      <c r="G311" s="351">
        <f t="shared" si="14"/>
        <v>0.4</v>
      </c>
      <c r="H311" s="267">
        <f t="shared" si="15"/>
        <v>0</v>
      </c>
      <c r="I311" s="110">
        <f>IF(H311=0,0,H311*(1+'📋 Datos Generales'!$E$28))</f>
        <v>0</v>
      </c>
      <c r="J311" s="268">
        <f t="shared" si="16"/>
        <v>0</v>
      </c>
      <c r="K311" s="269">
        <f>IF(OR(I311=0,'🧾 Factura Comercial'!G310=0),0,CEILING('🧮 Costos x Producto'!J310*'🧾 Factura Comercial'!G310/I311,1))</f>
        <v>0</v>
      </c>
    </row>
    <row r="312" spans="4:11" ht="19.5" hidden="1" customHeight="1" thickBot="1" x14ac:dyDescent="0.3">
      <c r="D312" s="28">
        <v>305</v>
      </c>
      <c r="E312" s="262">
        <f>'🧾 Factura Comercial'!E311</f>
        <v>0</v>
      </c>
      <c r="F312" s="270">
        <f>'🧮 Costos x Producto'!K311</f>
        <v>0</v>
      </c>
      <c r="G312" s="351">
        <f t="shared" si="14"/>
        <v>0.4</v>
      </c>
      <c r="H312" s="267">
        <f t="shared" si="15"/>
        <v>0</v>
      </c>
      <c r="I312" s="110">
        <f>IF(H312=0,0,H312*(1+'📋 Datos Generales'!$E$28))</f>
        <v>0</v>
      </c>
      <c r="J312" s="268">
        <f t="shared" si="16"/>
        <v>0</v>
      </c>
      <c r="K312" s="269">
        <f>IF(OR(I312=0,'🧾 Factura Comercial'!G311=0),0,CEILING('🧮 Costos x Producto'!J311*'🧾 Factura Comercial'!G311/I312,1))</f>
        <v>0</v>
      </c>
    </row>
    <row r="313" spans="4:11" ht="19.5" hidden="1" customHeight="1" thickBot="1" x14ac:dyDescent="0.3">
      <c r="D313" s="28">
        <v>306</v>
      </c>
      <c r="E313" s="262">
        <f>'🧾 Factura Comercial'!E312</f>
        <v>0</v>
      </c>
      <c r="F313" s="270">
        <f>'🧮 Costos x Producto'!K312</f>
        <v>0</v>
      </c>
      <c r="G313" s="351">
        <f t="shared" si="14"/>
        <v>0.4</v>
      </c>
      <c r="H313" s="267">
        <f t="shared" si="15"/>
        <v>0</v>
      </c>
      <c r="I313" s="110">
        <f>IF(H313=0,0,H313*(1+'📋 Datos Generales'!$E$28))</f>
        <v>0</v>
      </c>
      <c r="J313" s="268">
        <f t="shared" si="16"/>
        <v>0</v>
      </c>
      <c r="K313" s="269">
        <f>IF(OR(I313=0,'🧾 Factura Comercial'!G312=0),0,CEILING('🧮 Costos x Producto'!J312*'🧾 Factura Comercial'!G312/I313,1))</f>
        <v>0</v>
      </c>
    </row>
    <row r="314" spans="4:11" ht="19.5" hidden="1" customHeight="1" thickBot="1" x14ac:dyDescent="0.3">
      <c r="D314" s="28">
        <v>307</v>
      </c>
      <c r="E314" s="262">
        <f>'🧾 Factura Comercial'!E313</f>
        <v>0</v>
      </c>
      <c r="F314" s="270">
        <f>'🧮 Costos x Producto'!K313</f>
        <v>0</v>
      </c>
      <c r="G314" s="351">
        <f t="shared" si="14"/>
        <v>0.4</v>
      </c>
      <c r="H314" s="267">
        <f t="shared" si="15"/>
        <v>0</v>
      </c>
      <c r="I314" s="110">
        <f>IF(H314=0,0,H314*(1+'📋 Datos Generales'!$E$28))</f>
        <v>0</v>
      </c>
      <c r="J314" s="268">
        <f t="shared" si="16"/>
        <v>0</v>
      </c>
      <c r="K314" s="269">
        <f>IF(OR(I314=0,'🧾 Factura Comercial'!G313=0),0,CEILING('🧮 Costos x Producto'!J313*'🧾 Factura Comercial'!G313/I314,1))</f>
        <v>0</v>
      </c>
    </row>
    <row r="315" spans="4:11" ht="19.5" hidden="1" customHeight="1" thickBot="1" x14ac:dyDescent="0.3">
      <c r="D315" s="28">
        <v>308</v>
      </c>
      <c r="E315" s="262">
        <f>'🧾 Factura Comercial'!E314</f>
        <v>0</v>
      </c>
      <c r="F315" s="270">
        <f>'🧮 Costos x Producto'!K314</f>
        <v>0</v>
      </c>
      <c r="G315" s="351">
        <f t="shared" si="14"/>
        <v>0.4</v>
      </c>
      <c r="H315" s="267">
        <f t="shared" si="15"/>
        <v>0</v>
      </c>
      <c r="I315" s="110">
        <f>IF(H315=0,0,H315*(1+'📋 Datos Generales'!$E$28))</f>
        <v>0</v>
      </c>
      <c r="J315" s="268">
        <f t="shared" si="16"/>
        <v>0</v>
      </c>
      <c r="K315" s="269">
        <f>IF(OR(I315=0,'🧾 Factura Comercial'!G314=0),0,CEILING('🧮 Costos x Producto'!J314*'🧾 Factura Comercial'!G314/I315,1))</f>
        <v>0</v>
      </c>
    </row>
    <row r="316" spans="4:11" ht="19.5" hidden="1" customHeight="1" thickBot="1" x14ac:dyDescent="0.3">
      <c r="D316" s="28">
        <v>309</v>
      </c>
      <c r="E316" s="262">
        <f>'🧾 Factura Comercial'!E315</f>
        <v>0</v>
      </c>
      <c r="F316" s="270">
        <f>'🧮 Costos x Producto'!K315</f>
        <v>0</v>
      </c>
      <c r="G316" s="351">
        <f t="shared" si="14"/>
        <v>0.4</v>
      </c>
      <c r="H316" s="267">
        <f t="shared" si="15"/>
        <v>0</v>
      </c>
      <c r="I316" s="110">
        <f>IF(H316=0,0,H316*(1+'📋 Datos Generales'!$E$28))</f>
        <v>0</v>
      </c>
      <c r="J316" s="268">
        <f t="shared" si="16"/>
        <v>0</v>
      </c>
      <c r="K316" s="269">
        <f>IF(OR(I316=0,'🧾 Factura Comercial'!G315=0),0,CEILING('🧮 Costos x Producto'!J315*'🧾 Factura Comercial'!G315/I316,1))</f>
        <v>0</v>
      </c>
    </row>
    <row r="317" spans="4:11" ht="19.5" hidden="1" customHeight="1" thickBot="1" x14ac:dyDescent="0.3">
      <c r="D317" s="28">
        <v>310</v>
      </c>
      <c r="E317" s="262">
        <f>'🧾 Factura Comercial'!E316</f>
        <v>0</v>
      </c>
      <c r="F317" s="270">
        <f>'🧮 Costos x Producto'!K316</f>
        <v>0</v>
      </c>
      <c r="G317" s="351">
        <f t="shared" si="14"/>
        <v>0.4</v>
      </c>
      <c r="H317" s="267">
        <f t="shared" si="15"/>
        <v>0</v>
      </c>
      <c r="I317" s="110">
        <f>IF(H317=0,0,H317*(1+'📋 Datos Generales'!$E$28))</f>
        <v>0</v>
      </c>
      <c r="J317" s="268">
        <f t="shared" si="16"/>
        <v>0</v>
      </c>
      <c r="K317" s="269">
        <f>IF(OR(I317=0,'🧾 Factura Comercial'!G316=0),0,CEILING('🧮 Costos x Producto'!J316*'🧾 Factura Comercial'!G316/I317,1))</f>
        <v>0</v>
      </c>
    </row>
    <row r="318" spans="4:11" ht="19.5" hidden="1" customHeight="1" thickBot="1" x14ac:dyDescent="0.3">
      <c r="D318" s="28">
        <v>311</v>
      </c>
      <c r="E318" s="262">
        <f>'🧾 Factura Comercial'!E317</f>
        <v>0</v>
      </c>
      <c r="F318" s="270">
        <f>'🧮 Costos x Producto'!K317</f>
        <v>0</v>
      </c>
      <c r="G318" s="351">
        <f t="shared" si="14"/>
        <v>0.4</v>
      </c>
      <c r="H318" s="267">
        <f t="shared" si="15"/>
        <v>0</v>
      </c>
      <c r="I318" s="110">
        <f>IF(H318=0,0,H318*(1+'📋 Datos Generales'!$E$28))</f>
        <v>0</v>
      </c>
      <c r="J318" s="268">
        <f t="shared" si="16"/>
        <v>0</v>
      </c>
      <c r="K318" s="269">
        <f>IF(OR(I318=0,'🧾 Factura Comercial'!G317=0),0,CEILING('🧮 Costos x Producto'!J317*'🧾 Factura Comercial'!G317/I318,1))</f>
        <v>0</v>
      </c>
    </row>
    <row r="319" spans="4:11" ht="19.5" hidden="1" customHeight="1" thickBot="1" x14ac:dyDescent="0.3">
      <c r="D319" s="28">
        <v>312</v>
      </c>
      <c r="E319" s="262">
        <f>'🧾 Factura Comercial'!E318</f>
        <v>0</v>
      </c>
      <c r="F319" s="270">
        <f>'🧮 Costos x Producto'!K318</f>
        <v>0</v>
      </c>
      <c r="G319" s="351">
        <f t="shared" si="14"/>
        <v>0.4</v>
      </c>
      <c r="H319" s="267">
        <f t="shared" si="15"/>
        <v>0</v>
      </c>
      <c r="I319" s="110">
        <f>IF(H319=0,0,H319*(1+'📋 Datos Generales'!$E$28))</f>
        <v>0</v>
      </c>
      <c r="J319" s="268">
        <f t="shared" si="16"/>
        <v>0</v>
      </c>
      <c r="K319" s="269">
        <f>IF(OR(I319=0,'🧾 Factura Comercial'!G318=0),0,CEILING('🧮 Costos x Producto'!J318*'🧾 Factura Comercial'!G318/I319,1))</f>
        <v>0</v>
      </c>
    </row>
    <row r="320" spans="4:11" ht="19.5" hidden="1" customHeight="1" thickBot="1" x14ac:dyDescent="0.3">
      <c r="D320" s="28">
        <v>313</v>
      </c>
      <c r="E320" s="262">
        <f>'🧾 Factura Comercial'!E319</f>
        <v>0</v>
      </c>
      <c r="F320" s="270">
        <f>'🧮 Costos x Producto'!K319</f>
        <v>0</v>
      </c>
      <c r="G320" s="351">
        <f t="shared" si="14"/>
        <v>0.4</v>
      </c>
      <c r="H320" s="267">
        <f t="shared" si="15"/>
        <v>0</v>
      </c>
      <c r="I320" s="110">
        <f>IF(H320=0,0,H320*(1+'📋 Datos Generales'!$E$28))</f>
        <v>0</v>
      </c>
      <c r="J320" s="268">
        <f t="shared" si="16"/>
        <v>0</v>
      </c>
      <c r="K320" s="269">
        <f>IF(OR(I320=0,'🧾 Factura Comercial'!G319=0),0,CEILING('🧮 Costos x Producto'!J319*'🧾 Factura Comercial'!G319/I320,1))</f>
        <v>0</v>
      </c>
    </row>
    <row r="321" spans="4:11" ht="19.5" hidden="1" customHeight="1" thickBot="1" x14ac:dyDescent="0.3">
      <c r="D321" s="28">
        <v>314</v>
      </c>
      <c r="E321" s="262">
        <f>'🧾 Factura Comercial'!E320</f>
        <v>0</v>
      </c>
      <c r="F321" s="270">
        <f>'🧮 Costos x Producto'!K320</f>
        <v>0</v>
      </c>
      <c r="G321" s="351">
        <f t="shared" si="14"/>
        <v>0.4</v>
      </c>
      <c r="H321" s="267">
        <f t="shared" si="15"/>
        <v>0</v>
      </c>
      <c r="I321" s="110">
        <f>IF(H321=0,0,H321*(1+'📋 Datos Generales'!$E$28))</f>
        <v>0</v>
      </c>
      <c r="J321" s="268">
        <f t="shared" si="16"/>
        <v>0</v>
      </c>
      <c r="K321" s="269">
        <f>IF(OR(I321=0,'🧾 Factura Comercial'!G320=0),0,CEILING('🧮 Costos x Producto'!J320*'🧾 Factura Comercial'!G320/I321,1))</f>
        <v>0</v>
      </c>
    </row>
    <row r="322" spans="4:11" ht="19.5" hidden="1" customHeight="1" thickBot="1" x14ac:dyDescent="0.3">
      <c r="D322" s="28">
        <v>315</v>
      </c>
      <c r="E322" s="262">
        <f>'🧾 Factura Comercial'!E321</f>
        <v>0</v>
      </c>
      <c r="F322" s="270">
        <f>'🧮 Costos x Producto'!K321</f>
        <v>0</v>
      </c>
      <c r="G322" s="351">
        <f t="shared" si="14"/>
        <v>0.4</v>
      </c>
      <c r="H322" s="267">
        <f t="shared" si="15"/>
        <v>0</v>
      </c>
      <c r="I322" s="110">
        <f>IF(H322=0,0,H322*(1+'📋 Datos Generales'!$E$28))</f>
        <v>0</v>
      </c>
      <c r="J322" s="268">
        <f t="shared" si="16"/>
        <v>0</v>
      </c>
      <c r="K322" s="269">
        <f>IF(OR(I322=0,'🧾 Factura Comercial'!G321=0),0,CEILING('🧮 Costos x Producto'!J321*'🧾 Factura Comercial'!G321/I322,1))</f>
        <v>0</v>
      </c>
    </row>
    <row r="323" spans="4:11" ht="19.5" hidden="1" customHeight="1" thickBot="1" x14ac:dyDescent="0.3">
      <c r="D323" s="28">
        <v>316</v>
      </c>
      <c r="E323" s="262">
        <f>'🧾 Factura Comercial'!E322</f>
        <v>0</v>
      </c>
      <c r="F323" s="270">
        <f>'🧮 Costos x Producto'!K322</f>
        <v>0</v>
      </c>
      <c r="G323" s="351">
        <f t="shared" si="14"/>
        <v>0.4</v>
      </c>
      <c r="H323" s="267">
        <f t="shared" si="15"/>
        <v>0</v>
      </c>
      <c r="I323" s="110">
        <f>IF(H323=0,0,H323*(1+'📋 Datos Generales'!$E$28))</f>
        <v>0</v>
      </c>
      <c r="J323" s="268">
        <f t="shared" si="16"/>
        <v>0</v>
      </c>
      <c r="K323" s="269">
        <f>IF(OR(I323=0,'🧾 Factura Comercial'!G322=0),0,CEILING('🧮 Costos x Producto'!J322*'🧾 Factura Comercial'!G322/I323,1))</f>
        <v>0</v>
      </c>
    </row>
    <row r="324" spans="4:11" ht="19.5" hidden="1" customHeight="1" thickBot="1" x14ac:dyDescent="0.3">
      <c r="D324" s="28">
        <v>317</v>
      </c>
      <c r="E324" s="262">
        <f>'🧾 Factura Comercial'!E323</f>
        <v>0</v>
      </c>
      <c r="F324" s="270">
        <f>'🧮 Costos x Producto'!K323</f>
        <v>0</v>
      </c>
      <c r="G324" s="351">
        <f t="shared" si="14"/>
        <v>0.4</v>
      </c>
      <c r="H324" s="267">
        <f t="shared" si="15"/>
        <v>0</v>
      </c>
      <c r="I324" s="110">
        <f>IF(H324=0,0,H324*(1+'📋 Datos Generales'!$E$28))</f>
        <v>0</v>
      </c>
      <c r="J324" s="268">
        <f t="shared" si="16"/>
        <v>0</v>
      </c>
      <c r="K324" s="269">
        <f>IF(OR(I324=0,'🧾 Factura Comercial'!G323=0),0,CEILING('🧮 Costos x Producto'!J323*'🧾 Factura Comercial'!G323/I324,1))</f>
        <v>0</v>
      </c>
    </row>
    <row r="325" spans="4:11" ht="19.5" hidden="1" customHeight="1" thickBot="1" x14ac:dyDescent="0.3">
      <c r="D325" s="28">
        <v>318</v>
      </c>
      <c r="E325" s="262">
        <f>'🧾 Factura Comercial'!E324</f>
        <v>0</v>
      </c>
      <c r="F325" s="270">
        <f>'🧮 Costos x Producto'!K324</f>
        <v>0</v>
      </c>
      <c r="G325" s="351">
        <f t="shared" si="14"/>
        <v>0.4</v>
      </c>
      <c r="H325" s="267">
        <f t="shared" si="15"/>
        <v>0</v>
      </c>
      <c r="I325" s="110">
        <f>IF(H325=0,0,H325*(1+'📋 Datos Generales'!$E$28))</f>
        <v>0</v>
      </c>
      <c r="J325" s="268">
        <f t="shared" si="16"/>
        <v>0</v>
      </c>
      <c r="K325" s="269">
        <f>IF(OR(I325=0,'🧾 Factura Comercial'!G324=0),0,CEILING('🧮 Costos x Producto'!J324*'🧾 Factura Comercial'!G324/I325,1))</f>
        <v>0</v>
      </c>
    </row>
    <row r="326" spans="4:11" ht="19.5" hidden="1" customHeight="1" thickBot="1" x14ac:dyDescent="0.3">
      <c r="D326" s="28">
        <v>319</v>
      </c>
      <c r="E326" s="262">
        <f>'🧾 Factura Comercial'!E325</f>
        <v>0</v>
      </c>
      <c r="F326" s="270">
        <f>'🧮 Costos x Producto'!K325</f>
        <v>0</v>
      </c>
      <c r="G326" s="351">
        <f t="shared" si="14"/>
        <v>0.4</v>
      </c>
      <c r="H326" s="267">
        <f t="shared" si="15"/>
        <v>0</v>
      </c>
      <c r="I326" s="110">
        <f>IF(H326=0,0,H326*(1+'📋 Datos Generales'!$E$28))</f>
        <v>0</v>
      </c>
      <c r="J326" s="268">
        <f t="shared" si="16"/>
        <v>0</v>
      </c>
      <c r="K326" s="269">
        <f>IF(OR(I326=0,'🧾 Factura Comercial'!G325=0),0,CEILING('🧮 Costos x Producto'!J325*'🧾 Factura Comercial'!G325/I326,1))</f>
        <v>0</v>
      </c>
    </row>
    <row r="327" spans="4:11" ht="19.5" hidden="1" customHeight="1" thickBot="1" x14ac:dyDescent="0.3">
      <c r="D327" s="28">
        <v>320</v>
      </c>
      <c r="E327" s="262">
        <f>'🧾 Factura Comercial'!E326</f>
        <v>0</v>
      </c>
      <c r="F327" s="270">
        <f>'🧮 Costos x Producto'!K326</f>
        <v>0</v>
      </c>
      <c r="G327" s="351">
        <f t="shared" si="14"/>
        <v>0.4</v>
      </c>
      <c r="H327" s="267">
        <f t="shared" si="15"/>
        <v>0</v>
      </c>
      <c r="I327" s="110">
        <f>IF(H327=0,0,H327*(1+'📋 Datos Generales'!$E$28))</f>
        <v>0</v>
      </c>
      <c r="J327" s="268">
        <f t="shared" si="16"/>
        <v>0</v>
      </c>
      <c r="K327" s="269">
        <f>IF(OR(I327=0,'🧾 Factura Comercial'!G326=0),0,CEILING('🧮 Costos x Producto'!J326*'🧾 Factura Comercial'!G326/I327,1))</f>
        <v>0</v>
      </c>
    </row>
    <row r="328" spans="4:11" ht="19.5" hidden="1" customHeight="1" thickBot="1" x14ac:dyDescent="0.3">
      <c r="D328" s="28">
        <v>321</v>
      </c>
      <c r="E328" s="262">
        <f>'🧾 Factura Comercial'!E327</f>
        <v>0</v>
      </c>
      <c r="F328" s="270">
        <f>'🧮 Costos x Producto'!K327</f>
        <v>0</v>
      </c>
      <c r="G328" s="351">
        <f t="shared" si="14"/>
        <v>0.4</v>
      </c>
      <c r="H328" s="267">
        <f t="shared" si="15"/>
        <v>0</v>
      </c>
      <c r="I328" s="110">
        <f>IF(H328=0,0,H328*(1+'📋 Datos Generales'!$E$28))</f>
        <v>0</v>
      </c>
      <c r="J328" s="268">
        <f t="shared" si="16"/>
        <v>0</v>
      </c>
      <c r="K328" s="269">
        <f>IF(OR(I328=0,'🧾 Factura Comercial'!G327=0),0,CEILING('🧮 Costos x Producto'!J327*'🧾 Factura Comercial'!G327/I328,1))</f>
        <v>0</v>
      </c>
    </row>
    <row r="329" spans="4:11" ht="19.5" hidden="1" customHeight="1" thickBot="1" x14ac:dyDescent="0.3">
      <c r="D329" s="28">
        <v>322</v>
      </c>
      <c r="E329" s="262">
        <f>'🧾 Factura Comercial'!E328</f>
        <v>0</v>
      </c>
      <c r="F329" s="270">
        <f>'🧮 Costos x Producto'!K328</f>
        <v>0</v>
      </c>
      <c r="G329" s="351">
        <f t="shared" si="14"/>
        <v>0.4</v>
      </c>
      <c r="H329" s="267">
        <f t="shared" si="15"/>
        <v>0</v>
      </c>
      <c r="I329" s="110">
        <f>IF(H329=0,0,H329*(1+'📋 Datos Generales'!$E$28))</f>
        <v>0</v>
      </c>
      <c r="J329" s="268">
        <f t="shared" si="16"/>
        <v>0</v>
      </c>
      <c r="K329" s="269">
        <f>IF(OR(I329=0,'🧾 Factura Comercial'!G328=0),0,CEILING('🧮 Costos x Producto'!J328*'🧾 Factura Comercial'!G328/I329,1))</f>
        <v>0</v>
      </c>
    </row>
    <row r="330" spans="4:11" ht="19.5" hidden="1" customHeight="1" thickBot="1" x14ac:dyDescent="0.3">
      <c r="D330" s="28">
        <v>323</v>
      </c>
      <c r="E330" s="262">
        <f>'🧾 Factura Comercial'!E329</f>
        <v>0</v>
      </c>
      <c r="F330" s="270">
        <f>'🧮 Costos x Producto'!K329</f>
        <v>0</v>
      </c>
      <c r="G330" s="351">
        <f t="shared" si="14"/>
        <v>0.4</v>
      </c>
      <c r="H330" s="267">
        <f t="shared" si="15"/>
        <v>0</v>
      </c>
      <c r="I330" s="110">
        <f>IF(H330=0,0,H330*(1+'📋 Datos Generales'!$E$28))</f>
        <v>0</v>
      </c>
      <c r="J330" s="268">
        <f t="shared" si="16"/>
        <v>0</v>
      </c>
      <c r="K330" s="269">
        <f>IF(OR(I330=0,'🧾 Factura Comercial'!G329=0),0,CEILING('🧮 Costos x Producto'!J329*'🧾 Factura Comercial'!G329/I330,1))</f>
        <v>0</v>
      </c>
    </row>
    <row r="331" spans="4:11" ht="19.5" hidden="1" customHeight="1" thickBot="1" x14ac:dyDescent="0.3">
      <c r="D331" s="28">
        <v>324</v>
      </c>
      <c r="E331" s="262">
        <f>'🧾 Factura Comercial'!E330</f>
        <v>0</v>
      </c>
      <c r="F331" s="270">
        <f>'🧮 Costos x Producto'!K330</f>
        <v>0</v>
      </c>
      <c r="G331" s="351">
        <f t="shared" ref="G331:G394" si="17">$H$4</f>
        <v>0.4</v>
      </c>
      <c r="H331" s="267">
        <f t="shared" si="15"/>
        <v>0</v>
      </c>
      <c r="I331" s="110">
        <f>IF(H331=0,0,H331*(1+'📋 Datos Generales'!$E$28))</f>
        <v>0</v>
      </c>
      <c r="J331" s="268">
        <f t="shared" si="16"/>
        <v>0</v>
      </c>
      <c r="K331" s="269">
        <f>IF(OR(I331=0,'🧾 Factura Comercial'!G330=0),0,CEILING('🧮 Costos x Producto'!J330*'🧾 Factura Comercial'!G330/I331,1))</f>
        <v>0</v>
      </c>
    </row>
    <row r="332" spans="4:11" ht="19.5" hidden="1" customHeight="1" thickBot="1" x14ac:dyDescent="0.3">
      <c r="D332" s="28">
        <v>325</v>
      </c>
      <c r="E332" s="262">
        <f>'🧾 Factura Comercial'!E331</f>
        <v>0</v>
      </c>
      <c r="F332" s="270">
        <f>'🧮 Costos x Producto'!K331</f>
        <v>0</v>
      </c>
      <c r="G332" s="351">
        <f t="shared" si="17"/>
        <v>0.4</v>
      </c>
      <c r="H332" s="267">
        <f t="shared" si="15"/>
        <v>0</v>
      </c>
      <c r="I332" s="110">
        <f>IF(H332=0,0,H332*(1+'📋 Datos Generales'!$E$28))</f>
        <v>0</v>
      </c>
      <c r="J332" s="268">
        <f t="shared" si="16"/>
        <v>0</v>
      </c>
      <c r="K332" s="269">
        <f>IF(OR(I332=0,'🧾 Factura Comercial'!G331=0),0,CEILING('🧮 Costos x Producto'!J331*'🧾 Factura Comercial'!G331/I332,1))</f>
        <v>0</v>
      </c>
    </row>
    <row r="333" spans="4:11" ht="19.5" hidden="1" customHeight="1" thickBot="1" x14ac:dyDescent="0.3">
      <c r="D333" s="28">
        <v>326</v>
      </c>
      <c r="E333" s="262">
        <f>'🧾 Factura Comercial'!E332</f>
        <v>0</v>
      </c>
      <c r="F333" s="270">
        <f>'🧮 Costos x Producto'!K332</f>
        <v>0</v>
      </c>
      <c r="G333" s="351">
        <f t="shared" si="17"/>
        <v>0.4</v>
      </c>
      <c r="H333" s="267">
        <f t="shared" si="15"/>
        <v>0</v>
      </c>
      <c r="I333" s="110">
        <f>IF(H333=0,0,H333*(1+'📋 Datos Generales'!$E$28))</f>
        <v>0</v>
      </c>
      <c r="J333" s="268">
        <f t="shared" si="16"/>
        <v>0</v>
      </c>
      <c r="K333" s="269">
        <f>IF(OR(I333=0,'🧾 Factura Comercial'!G332=0),0,CEILING('🧮 Costos x Producto'!J332*'🧾 Factura Comercial'!G332/I333,1))</f>
        <v>0</v>
      </c>
    </row>
    <row r="334" spans="4:11" ht="19.5" hidden="1" customHeight="1" thickBot="1" x14ac:dyDescent="0.3">
      <c r="D334" s="28">
        <v>327</v>
      </c>
      <c r="E334" s="262">
        <f>'🧾 Factura Comercial'!E333</f>
        <v>0</v>
      </c>
      <c r="F334" s="270">
        <f>'🧮 Costos x Producto'!K333</f>
        <v>0</v>
      </c>
      <c r="G334" s="351">
        <f t="shared" si="17"/>
        <v>0.4</v>
      </c>
      <c r="H334" s="267">
        <f t="shared" si="15"/>
        <v>0</v>
      </c>
      <c r="I334" s="110">
        <f>IF(H334=0,0,H334*(1+'📋 Datos Generales'!$E$28))</f>
        <v>0</v>
      </c>
      <c r="J334" s="268">
        <f t="shared" si="16"/>
        <v>0</v>
      </c>
      <c r="K334" s="269">
        <f>IF(OR(I334=0,'🧾 Factura Comercial'!G333=0),0,CEILING('🧮 Costos x Producto'!J333*'🧾 Factura Comercial'!G333/I334,1))</f>
        <v>0</v>
      </c>
    </row>
    <row r="335" spans="4:11" ht="19.5" hidden="1" customHeight="1" thickBot="1" x14ac:dyDescent="0.3">
      <c r="D335" s="28">
        <v>328</v>
      </c>
      <c r="E335" s="262">
        <f>'🧾 Factura Comercial'!E334</f>
        <v>0</v>
      </c>
      <c r="F335" s="270">
        <f>'🧮 Costos x Producto'!K334</f>
        <v>0</v>
      </c>
      <c r="G335" s="351">
        <f t="shared" si="17"/>
        <v>0.4</v>
      </c>
      <c r="H335" s="267">
        <f t="shared" si="15"/>
        <v>0</v>
      </c>
      <c r="I335" s="110">
        <f>IF(H335=0,0,H335*(1+'📋 Datos Generales'!$E$28))</f>
        <v>0</v>
      </c>
      <c r="J335" s="268">
        <f t="shared" si="16"/>
        <v>0</v>
      </c>
      <c r="K335" s="269">
        <f>IF(OR(I335=0,'🧾 Factura Comercial'!G334=0),0,CEILING('🧮 Costos x Producto'!J334*'🧾 Factura Comercial'!G334/I335,1))</f>
        <v>0</v>
      </c>
    </row>
    <row r="336" spans="4:11" ht="19.5" hidden="1" customHeight="1" thickBot="1" x14ac:dyDescent="0.3">
      <c r="D336" s="28">
        <v>329</v>
      </c>
      <c r="E336" s="262">
        <f>'🧾 Factura Comercial'!E335</f>
        <v>0</v>
      </c>
      <c r="F336" s="270">
        <f>'🧮 Costos x Producto'!K335</f>
        <v>0</v>
      </c>
      <c r="G336" s="351">
        <f t="shared" si="17"/>
        <v>0.4</v>
      </c>
      <c r="H336" s="267">
        <f t="shared" si="15"/>
        <v>0</v>
      </c>
      <c r="I336" s="110">
        <f>IF(H336=0,0,H336*(1+'📋 Datos Generales'!$E$28))</f>
        <v>0</v>
      </c>
      <c r="J336" s="268">
        <f t="shared" si="16"/>
        <v>0</v>
      </c>
      <c r="K336" s="269">
        <f>IF(OR(I336=0,'🧾 Factura Comercial'!G335=0),0,CEILING('🧮 Costos x Producto'!J335*'🧾 Factura Comercial'!G335/I336,1))</f>
        <v>0</v>
      </c>
    </row>
    <row r="337" spans="4:11" ht="19.5" hidden="1" customHeight="1" thickBot="1" x14ac:dyDescent="0.3">
      <c r="D337" s="28">
        <v>330</v>
      </c>
      <c r="E337" s="262">
        <f>'🧾 Factura Comercial'!E336</f>
        <v>0</v>
      </c>
      <c r="F337" s="270">
        <f>'🧮 Costos x Producto'!K336</f>
        <v>0</v>
      </c>
      <c r="G337" s="351">
        <f t="shared" si="17"/>
        <v>0.4</v>
      </c>
      <c r="H337" s="267">
        <f t="shared" ref="H337:H400" si="18">IF(F337=0,0,F337/(1-G337))</f>
        <v>0</v>
      </c>
      <c r="I337" s="110">
        <f>IF(H337=0,0,H337*(1+'📋 Datos Generales'!$E$28))</f>
        <v>0</v>
      </c>
      <c r="J337" s="268">
        <f t="shared" ref="J337:J400" si="19">IF(H337=0,0,H337-F337)</f>
        <v>0</v>
      </c>
      <c r="K337" s="269">
        <f>IF(OR(I337=0,'🧾 Factura Comercial'!G336=0),0,CEILING('🧮 Costos x Producto'!J336*'🧾 Factura Comercial'!G336/I337,1))</f>
        <v>0</v>
      </c>
    </row>
    <row r="338" spans="4:11" ht="19.5" hidden="1" customHeight="1" thickBot="1" x14ac:dyDescent="0.3">
      <c r="D338" s="28">
        <v>331</v>
      </c>
      <c r="E338" s="262">
        <f>'🧾 Factura Comercial'!E337</f>
        <v>0</v>
      </c>
      <c r="F338" s="270">
        <f>'🧮 Costos x Producto'!K337</f>
        <v>0</v>
      </c>
      <c r="G338" s="351">
        <f t="shared" si="17"/>
        <v>0.4</v>
      </c>
      <c r="H338" s="267">
        <f t="shared" si="18"/>
        <v>0</v>
      </c>
      <c r="I338" s="110">
        <f>IF(H338=0,0,H338*(1+'📋 Datos Generales'!$E$28))</f>
        <v>0</v>
      </c>
      <c r="J338" s="268">
        <f t="shared" si="19"/>
        <v>0</v>
      </c>
      <c r="K338" s="269">
        <f>IF(OR(I338=0,'🧾 Factura Comercial'!G337=0),0,CEILING('🧮 Costos x Producto'!J337*'🧾 Factura Comercial'!G337/I338,1))</f>
        <v>0</v>
      </c>
    </row>
    <row r="339" spans="4:11" ht="19.5" hidden="1" customHeight="1" thickBot="1" x14ac:dyDescent="0.3">
      <c r="D339" s="28">
        <v>332</v>
      </c>
      <c r="E339" s="262">
        <f>'🧾 Factura Comercial'!E338</f>
        <v>0</v>
      </c>
      <c r="F339" s="270">
        <f>'🧮 Costos x Producto'!K338</f>
        <v>0</v>
      </c>
      <c r="G339" s="351">
        <f t="shared" si="17"/>
        <v>0.4</v>
      </c>
      <c r="H339" s="267">
        <f t="shared" si="18"/>
        <v>0</v>
      </c>
      <c r="I339" s="110">
        <f>IF(H339=0,0,H339*(1+'📋 Datos Generales'!$E$28))</f>
        <v>0</v>
      </c>
      <c r="J339" s="268">
        <f t="shared" si="19"/>
        <v>0</v>
      </c>
      <c r="K339" s="269">
        <f>IF(OR(I339=0,'🧾 Factura Comercial'!G338=0),0,CEILING('🧮 Costos x Producto'!J338*'🧾 Factura Comercial'!G338/I339,1))</f>
        <v>0</v>
      </c>
    </row>
    <row r="340" spans="4:11" ht="19.5" hidden="1" customHeight="1" thickBot="1" x14ac:dyDescent="0.3">
      <c r="D340" s="28">
        <v>333</v>
      </c>
      <c r="E340" s="262">
        <f>'🧾 Factura Comercial'!E339</f>
        <v>0</v>
      </c>
      <c r="F340" s="270">
        <f>'🧮 Costos x Producto'!K339</f>
        <v>0</v>
      </c>
      <c r="G340" s="351">
        <f t="shared" si="17"/>
        <v>0.4</v>
      </c>
      <c r="H340" s="267">
        <f t="shared" si="18"/>
        <v>0</v>
      </c>
      <c r="I340" s="110">
        <f>IF(H340=0,0,H340*(1+'📋 Datos Generales'!$E$28))</f>
        <v>0</v>
      </c>
      <c r="J340" s="268">
        <f t="shared" si="19"/>
        <v>0</v>
      </c>
      <c r="K340" s="269">
        <f>IF(OR(I340=0,'🧾 Factura Comercial'!G339=0),0,CEILING('🧮 Costos x Producto'!J339*'🧾 Factura Comercial'!G339/I340,1))</f>
        <v>0</v>
      </c>
    </row>
    <row r="341" spans="4:11" ht="19.5" hidden="1" customHeight="1" thickBot="1" x14ac:dyDescent="0.3">
      <c r="D341" s="28">
        <v>334</v>
      </c>
      <c r="E341" s="262">
        <f>'🧾 Factura Comercial'!E340</f>
        <v>0</v>
      </c>
      <c r="F341" s="270">
        <f>'🧮 Costos x Producto'!K340</f>
        <v>0</v>
      </c>
      <c r="G341" s="351">
        <f t="shared" si="17"/>
        <v>0.4</v>
      </c>
      <c r="H341" s="267">
        <f t="shared" si="18"/>
        <v>0</v>
      </c>
      <c r="I341" s="110">
        <f>IF(H341=0,0,H341*(1+'📋 Datos Generales'!$E$28))</f>
        <v>0</v>
      </c>
      <c r="J341" s="268">
        <f t="shared" si="19"/>
        <v>0</v>
      </c>
      <c r="K341" s="269">
        <f>IF(OR(I341=0,'🧾 Factura Comercial'!G340=0),0,CEILING('🧮 Costos x Producto'!J340*'🧾 Factura Comercial'!G340/I341,1))</f>
        <v>0</v>
      </c>
    </row>
    <row r="342" spans="4:11" ht="19.5" hidden="1" customHeight="1" thickBot="1" x14ac:dyDescent="0.3">
      <c r="D342" s="28">
        <v>335</v>
      </c>
      <c r="E342" s="262">
        <f>'🧾 Factura Comercial'!E341</f>
        <v>0</v>
      </c>
      <c r="F342" s="270">
        <f>'🧮 Costos x Producto'!K341</f>
        <v>0</v>
      </c>
      <c r="G342" s="351">
        <f t="shared" si="17"/>
        <v>0.4</v>
      </c>
      <c r="H342" s="267">
        <f t="shared" si="18"/>
        <v>0</v>
      </c>
      <c r="I342" s="110">
        <f>IF(H342=0,0,H342*(1+'📋 Datos Generales'!$E$28))</f>
        <v>0</v>
      </c>
      <c r="J342" s="268">
        <f t="shared" si="19"/>
        <v>0</v>
      </c>
      <c r="K342" s="269">
        <f>IF(OR(I342=0,'🧾 Factura Comercial'!G341=0),0,CEILING('🧮 Costos x Producto'!J341*'🧾 Factura Comercial'!G341/I342,1))</f>
        <v>0</v>
      </c>
    </row>
    <row r="343" spans="4:11" ht="19.5" hidden="1" customHeight="1" thickBot="1" x14ac:dyDescent="0.3">
      <c r="D343" s="28">
        <v>336</v>
      </c>
      <c r="E343" s="262">
        <f>'🧾 Factura Comercial'!E342</f>
        <v>0</v>
      </c>
      <c r="F343" s="270">
        <f>'🧮 Costos x Producto'!K342</f>
        <v>0</v>
      </c>
      <c r="G343" s="351">
        <f t="shared" si="17"/>
        <v>0.4</v>
      </c>
      <c r="H343" s="267">
        <f t="shared" si="18"/>
        <v>0</v>
      </c>
      <c r="I343" s="110">
        <f>IF(H343=0,0,H343*(1+'📋 Datos Generales'!$E$28))</f>
        <v>0</v>
      </c>
      <c r="J343" s="268">
        <f t="shared" si="19"/>
        <v>0</v>
      </c>
      <c r="K343" s="269">
        <f>IF(OR(I343=0,'🧾 Factura Comercial'!G342=0),0,CEILING('🧮 Costos x Producto'!J342*'🧾 Factura Comercial'!G342/I343,1))</f>
        <v>0</v>
      </c>
    </row>
    <row r="344" spans="4:11" ht="19.5" hidden="1" customHeight="1" thickBot="1" x14ac:dyDescent="0.3">
      <c r="D344" s="28">
        <v>337</v>
      </c>
      <c r="E344" s="262">
        <f>'🧾 Factura Comercial'!E343</f>
        <v>0</v>
      </c>
      <c r="F344" s="270">
        <f>'🧮 Costos x Producto'!K343</f>
        <v>0</v>
      </c>
      <c r="G344" s="351">
        <f t="shared" si="17"/>
        <v>0.4</v>
      </c>
      <c r="H344" s="267">
        <f t="shared" si="18"/>
        <v>0</v>
      </c>
      <c r="I344" s="110">
        <f>IF(H344=0,0,H344*(1+'📋 Datos Generales'!$E$28))</f>
        <v>0</v>
      </c>
      <c r="J344" s="268">
        <f t="shared" si="19"/>
        <v>0</v>
      </c>
      <c r="K344" s="269">
        <f>IF(OR(I344=0,'🧾 Factura Comercial'!G343=0),0,CEILING('🧮 Costos x Producto'!J343*'🧾 Factura Comercial'!G343/I344,1))</f>
        <v>0</v>
      </c>
    </row>
    <row r="345" spans="4:11" ht="19.5" hidden="1" customHeight="1" thickBot="1" x14ac:dyDescent="0.3">
      <c r="D345" s="28">
        <v>338</v>
      </c>
      <c r="E345" s="262">
        <f>'🧾 Factura Comercial'!E344</f>
        <v>0</v>
      </c>
      <c r="F345" s="270">
        <f>'🧮 Costos x Producto'!K344</f>
        <v>0</v>
      </c>
      <c r="G345" s="351">
        <f t="shared" si="17"/>
        <v>0.4</v>
      </c>
      <c r="H345" s="267">
        <f t="shared" si="18"/>
        <v>0</v>
      </c>
      <c r="I345" s="110">
        <f>IF(H345=0,0,H345*(1+'📋 Datos Generales'!$E$28))</f>
        <v>0</v>
      </c>
      <c r="J345" s="268">
        <f t="shared" si="19"/>
        <v>0</v>
      </c>
      <c r="K345" s="269">
        <f>IF(OR(I345=0,'🧾 Factura Comercial'!G344=0),0,CEILING('🧮 Costos x Producto'!J344*'🧾 Factura Comercial'!G344/I345,1))</f>
        <v>0</v>
      </c>
    </row>
    <row r="346" spans="4:11" ht="19.5" hidden="1" customHeight="1" thickBot="1" x14ac:dyDescent="0.3">
      <c r="D346" s="28">
        <v>339</v>
      </c>
      <c r="E346" s="262">
        <f>'🧾 Factura Comercial'!E345</f>
        <v>0</v>
      </c>
      <c r="F346" s="270">
        <f>'🧮 Costos x Producto'!K345</f>
        <v>0</v>
      </c>
      <c r="G346" s="351">
        <f t="shared" si="17"/>
        <v>0.4</v>
      </c>
      <c r="H346" s="267">
        <f t="shared" si="18"/>
        <v>0</v>
      </c>
      <c r="I346" s="110">
        <f>IF(H346=0,0,H346*(1+'📋 Datos Generales'!$E$28))</f>
        <v>0</v>
      </c>
      <c r="J346" s="268">
        <f t="shared" si="19"/>
        <v>0</v>
      </c>
      <c r="K346" s="269">
        <f>IF(OR(I346=0,'🧾 Factura Comercial'!G345=0),0,CEILING('🧮 Costos x Producto'!J345*'🧾 Factura Comercial'!G345/I346,1))</f>
        <v>0</v>
      </c>
    </row>
    <row r="347" spans="4:11" ht="19.5" hidden="1" customHeight="1" thickBot="1" x14ac:dyDescent="0.3">
      <c r="D347" s="28">
        <v>340</v>
      </c>
      <c r="E347" s="262">
        <f>'🧾 Factura Comercial'!E346</f>
        <v>0</v>
      </c>
      <c r="F347" s="270">
        <f>'🧮 Costos x Producto'!K346</f>
        <v>0</v>
      </c>
      <c r="G347" s="351">
        <f t="shared" si="17"/>
        <v>0.4</v>
      </c>
      <c r="H347" s="267">
        <f t="shared" si="18"/>
        <v>0</v>
      </c>
      <c r="I347" s="110">
        <f>IF(H347=0,0,H347*(1+'📋 Datos Generales'!$E$28))</f>
        <v>0</v>
      </c>
      <c r="J347" s="268">
        <f t="shared" si="19"/>
        <v>0</v>
      </c>
      <c r="K347" s="269">
        <f>IF(OR(I347=0,'🧾 Factura Comercial'!G346=0),0,CEILING('🧮 Costos x Producto'!J346*'🧾 Factura Comercial'!G346/I347,1))</f>
        <v>0</v>
      </c>
    </row>
    <row r="348" spans="4:11" ht="19.5" hidden="1" customHeight="1" thickBot="1" x14ac:dyDescent="0.3">
      <c r="D348" s="28">
        <v>341</v>
      </c>
      <c r="E348" s="262">
        <f>'🧾 Factura Comercial'!E347</f>
        <v>0</v>
      </c>
      <c r="F348" s="270">
        <f>'🧮 Costos x Producto'!K347</f>
        <v>0</v>
      </c>
      <c r="G348" s="351">
        <f t="shared" si="17"/>
        <v>0.4</v>
      </c>
      <c r="H348" s="267">
        <f t="shared" si="18"/>
        <v>0</v>
      </c>
      <c r="I348" s="110">
        <f>IF(H348=0,0,H348*(1+'📋 Datos Generales'!$E$28))</f>
        <v>0</v>
      </c>
      <c r="J348" s="268">
        <f t="shared" si="19"/>
        <v>0</v>
      </c>
      <c r="K348" s="269">
        <f>IF(OR(I348=0,'🧾 Factura Comercial'!G347=0),0,CEILING('🧮 Costos x Producto'!J347*'🧾 Factura Comercial'!G347/I348,1))</f>
        <v>0</v>
      </c>
    </row>
    <row r="349" spans="4:11" ht="19.5" hidden="1" customHeight="1" thickBot="1" x14ac:dyDescent="0.3">
      <c r="D349" s="28">
        <v>342</v>
      </c>
      <c r="E349" s="262">
        <f>'🧾 Factura Comercial'!E348</f>
        <v>0</v>
      </c>
      <c r="F349" s="270">
        <f>'🧮 Costos x Producto'!K348</f>
        <v>0</v>
      </c>
      <c r="G349" s="351">
        <f t="shared" si="17"/>
        <v>0.4</v>
      </c>
      <c r="H349" s="267">
        <f t="shared" si="18"/>
        <v>0</v>
      </c>
      <c r="I349" s="110">
        <f>IF(H349=0,0,H349*(1+'📋 Datos Generales'!$E$28))</f>
        <v>0</v>
      </c>
      <c r="J349" s="268">
        <f t="shared" si="19"/>
        <v>0</v>
      </c>
      <c r="K349" s="269">
        <f>IF(OR(I349=0,'🧾 Factura Comercial'!G348=0),0,CEILING('🧮 Costos x Producto'!J348*'🧾 Factura Comercial'!G348/I349,1))</f>
        <v>0</v>
      </c>
    </row>
    <row r="350" spans="4:11" ht="19.5" hidden="1" customHeight="1" thickBot="1" x14ac:dyDescent="0.3">
      <c r="D350" s="28">
        <v>343</v>
      </c>
      <c r="E350" s="262">
        <f>'🧾 Factura Comercial'!E349</f>
        <v>0</v>
      </c>
      <c r="F350" s="270">
        <f>'🧮 Costos x Producto'!K349</f>
        <v>0</v>
      </c>
      <c r="G350" s="351">
        <f t="shared" si="17"/>
        <v>0.4</v>
      </c>
      <c r="H350" s="267">
        <f t="shared" si="18"/>
        <v>0</v>
      </c>
      <c r="I350" s="110">
        <f>IF(H350=0,0,H350*(1+'📋 Datos Generales'!$E$28))</f>
        <v>0</v>
      </c>
      <c r="J350" s="268">
        <f t="shared" si="19"/>
        <v>0</v>
      </c>
      <c r="K350" s="269">
        <f>IF(OR(I350=0,'🧾 Factura Comercial'!G349=0),0,CEILING('🧮 Costos x Producto'!J349*'🧾 Factura Comercial'!G349/I350,1))</f>
        <v>0</v>
      </c>
    </row>
    <row r="351" spans="4:11" ht="19.5" hidden="1" customHeight="1" thickBot="1" x14ac:dyDescent="0.3">
      <c r="D351" s="28">
        <v>344</v>
      </c>
      <c r="E351" s="262">
        <f>'🧾 Factura Comercial'!E350</f>
        <v>0</v>
      </c>
      <c r="F351" s="270">
        <f>'🧮 Costos x Producto'!K350</f>
        <v>0</v>
      </c>
      <c r="G351" s="351">
        <f t="shared" si="17"/>
        <v>0.4</v>
      </c>
      <c r="H351" s="267">
        <f t="shared" si="18"/>
        <v>0</v>
      </c>
      <c r="I351" s="110">
        <f>IF(H351=0,0,H351*(1+'📋 Datos Generales'!$E$28))</f>
        <v>0</v>
      </c>
      <c r="J351" s="268">
        <f t="shared" si="19"/>
        <v>0</v>
      </c>
      <c r="K351" s="269">
        <f>IF(OR(I351=0,'🧾 Factura Comercial'!G350=0),0,CEILING('🧮 Costos x Producto'!J350*'🧾 Factura Comercial'!G350/I351,1))</f>
        <v>0</v>
      </c>
    </row>
    <row r="352" spans="4:11" ht="19.5" hidden="1" customHeight="1" thickBot="1" x14ac:dyDescent="0.3">
      <c r="D352" s="28">
        <v>345</v>
      </c>
      <c r="E352" s="262">
        <f>'🧾 Factura Comercial'!E351</f>
        <v>0</v>
      </c>
      <c r="F352" s="270">
        <f>'🧮 Costos x Producto'!K351</f>
        <v>0</v>
      </c>
      <c r="G352" s="351">
        <f t="shared" si="17"/>
        <v>0.4</v>
      </c>
      <c r="H352" s="267">
        <f t="shared" si="18"/>
        <v>0</v>
      </c>
      <c r="I352" s="110">
        <f>IF(H352=0,0,H352*(1+'📋 Datos Generales'!$E$28))</f>
        <v>0</v>
      </c>
      <c r="J352" s="268">
        <f t="shared" si="19"/>
        <v>0</v>
      </c>
      <c r="K352" s="269">
        <f>IF(OR(I352=0,'🧾 Factura Comercial'!G351=0),0,CEILING('🧮 Costos x Producto'!J351*'🧾 Factura Comercial'!G351/I352,1))</f>
        <v>0</v>
      </c>
    </row>
    <row r="353" spans="4:11" ht="19.5" hidden="1" customHeight="1" thickBot="1" x14ac:dyDescent="0.3">
      <c r="D353" s="28">
        <v>346</v>
      </c>
      <c r="E353" s="262">
        <f>'🧾 Factura Comercial'!E352</f>
        <v>0</v>
      </c>
      <c r="F353" s="270">
        <f>'🧮 Costos x Producto'!K352</f>
        <v>0</v>
      </c>
      <c r="G353" s="351">
        <f t="shared" si="17"/>
        <v>0.4</v>
      </c>
      <c r="H353" s="267">
        <f t="shared" si="18"/>
        <v>0</v>
      </c>
      <c r="I353" s="110">
        <f>IF(H353=0,0,H353*(1+'📋 Datos Generales'!$E$28))</f>
        <v>0</v>
      </c>
      <c r="J353" s="268">
        <f t="shared" si="19"/>
        <v>0</v>
      </c>
      <c r="K353" s="269">
        <f>IF(OR(I353=0,'🧾 Factura Comercial'!G352=0),0,CEILING('🧮 Costos x Producto'!J352*'🧾 Factura Comercial'!G352/I353,1))</f>
        <v>0</v>
      </c>
    </row>
    <row r="354" spans="4:11" ht="19.5" hidden="1" customHeight="1" thickBot="1" x14ac:dyDescent="0.3">
      <c r="D354" s="28">
        <v>347</v>
      </c>
      <c r="E354" s="262">
        <f>'🧾 Factura Comercial'!E353</f>
        <v>0</v>
      </c>
      <c r="F354" s="270">
        <f>'🧮 Costos x Producto'!K353</f>
        <v>0</v>
      </c>
      <c r="G354" s="351">
        <f t="shared" si="17"/>
        <v>0.4</v>
      </c>
      <c r="H354" s="267">
        <f t="shared" si="18"/>
        <v>0</v>
      </c>
      <c r="I354" s="110">
        <f>IF(H354=0,0,H354*(1+'📋 Datos Generales'!$E$28))</f>
        <v>0</v>
      </c>
      <c r="J354" s="268">
        <f t="shared" si="19"/>
        <v>0</v>
      </c>
      <c r="K354" s="269">
        <f>IF(OR(I354=0,'🧾 Factura Comercial'!G353=0),0,CEILING('🧮 Costos x Producto'!J353*'🧾 Factura Comercial'!G353/I354,1))</f>
        <v>0</v>
      </c>
    </row>
    <row r="355" spans="4:11" ht="19.5" hidden="1" customHeight="1" thickBot="1" x14ac:dyDescent="0.3">
      <c r="D355" s="28">
        <v>348</v>
      </c>
      <c r="E355" s="262">
        <f>'🧾 Factura Comercial'!E354</f>
        <v>0</v>
      </c>
      <c r="F355" s="270">
        <f>'🧮 Costos x Producto'!K354</f>
        <v>0</v>
      </c>
      <c r="G355" s="351">
        <f t="shared" si="17"/>
        <v>0.4</v>
      </c>
      <c r="H355" s="267">
        <f t="shared" si="18"/>
        <v>0</v>
      </c>
      <c r="I355" s="110">
        <f>IF(H355=0,0,H355*(1+'📋 Datos Generales'!$E$28))</f>
        <v>0</v>
      </c>
      <c r="J355" s="268">
        <f t="shared" si="19"/>
        <v>0</v>
      </c>
      <c r="K355" s="269">
        <f>IF(OR(I355=0,'🧾 Factura Comercial'!G354=0),0,CEILING('🧮 Costos x Producto'!J354*'🧾 Factura Comercial'!G354/I355,1))</f>
        <v>0</v>
      </c>
    </row>
    <row r="356" spans="4:11" ht="19.5" hidden="1" customHeight="1" thickBot="1" x14ac:dyDescent="0.3">
      <c r="D356" s="28">
        <v>349</v>
      </c>
      <c r="E356" s="262">
        <f>'🧾 Factura Comercial'!E355</f>
        <v>0</v>
      </c>
      <c r="F356" s="270">
        <f>'🧮 Costos x Producto'!K355</f>
        <v>0</v>
      </c>
      <c r="G356" s="351">
        <f t="shared" si="17"/>
        <v>0.4</v>
      </c>
      <c r="H356" s="267">
        <f t="shared" si="18"/>
        <v>0</v>
      </c>
      <c r="I356" s="110">
        <f>IF(H356=0,0,H356*(1+'📋 Datos Generales'!$E$28))</f>
        <v>0</v>
      </c>
      <c r="J356" s="268">
        <f t="shared" si="19"/>
        <v>0</v>
      </c>
      <c r="K356" s="269">
        <f>IF(OR(I356=0,'🧾 Factura Comercial'!G355=0),0,CEILING('🧮 Costos x Producto'!J355*'🧾 Factura Comercial'!G355/I356,1))</f>
        <v>0</v>
      </c>
    </row>
    <row r="357" spans="4:11" ht="19.5" hidden="1" customHeight="1" thickBot="1" x14ac:dyDescent="0.3">
      <c r="D357" s="28">
        <v>350</v>
      </c>
      <c r="E357" s="262">
        <f>'🧾 Factura Comercial'!E356</f>
        <v>0</v>
      </c>
      <c r="F357" s="270">
        <f>'🧮 Costos x Producto'!K356</f>
        <v>0</v>
      </c>
      <c r="G357" s="351">
        <f t="shared" si="17"/>
        <v>0.4</v>
      </c>
      <c r="H357" s="267">
        <f t="shared" si="18"/>
        <v>0</v>
      </c>
      <c r="I357" s="110">
        <f>IF(H357=0,0,H357*(1+'📋 Datos Generales'!$E$28))</f>
        <v>0</v>
      </c>
      <c r="J357" s="268">
        <f t="shared" si="19"/>
        <v>0</v>
      </c>
      <c r="K357" s="269">
        <f>IF(OR(I357=0,'🧾 Factura Comercial'!G356=0),0,CEILING('🧮 Costos x Producto'!J356*'🧾 Factura Comercial'!G356/I357,1))</f>
        <v>0</v>
      </c>
    </row>
    <row r="358" spans="4:11" ht="19.5" hidden="1" customHeight="1" thickBot="1" x14ac:dyDescent="0.3">
      <c r="D358" s="28">
        <v>351</v>
      </c>
      <c r="E358" s="262">
        <f>'🧾 Factura Comercial'!E357</f>
        <v>0</v>
      </c>
      <c r="F358" s="270">
        <f>'🧮 Costos x Producto'!K357</f>
        <v>0</v>
      </c>
      <c r="G358" s="351">
        <f t="shared" si="17"/>
        <v>0.4</v>
      </c>
      <c r="H358" s="267">
        <f t="shared" si="18"/>
        <v>0</v>
      </c>
      <c r="I358" s="110">
        <f>IF(H358=0,0,H358*(1+'📋 Datos Generales'!$E$28))</f>
        <v>0</v>
      </c>
      <c r="J358" s="268">
        <f t="shared" si="19"/>
        <v>0</v>
      </c>
      <c r="K358" s="269">
        <f>IF(OR(I358=0,'🧾 Factura Comercial'!G357=0),0,CEILING('🧮 Costos x Producto'!J357*'🧾 Factura Comercial'!G357/I358,1))</f>
        <v>0</v>
      </c>
    </row>
    <row r="359" spans="4:11" ht="19.5" hidden="1" customHeight="1" thickBot="1" x14ac:dyDescent="0.3">
      <c r="D359" s="28">
        <v>352</v>
      </c>
      <c r="E359" s="262">
        <f>'🧾 Factura Comercial'!E358</f>
        <v>0</v>
      </c>
      <c r="F359" s="270">
        <f>'🧮 Costos x Producto'!K358</f>
        <v>0</v>
      </c>
      <c r="G359" s="351">
        <f t="shared" si="17"/>
        <v>0.4</v>
      </c>
      <c r="H359" s="267">
        <f t="shared" si="18"/>
        <v>0</v>
      </c>
      <c r="I359" s="110">
        <f>IF(H359=0,0,H359*(1+'📋 Datos Generales'!$E$28))</f>
        <v>0</v>
      </c>
      <c r="J359" s="268">
        <f t="shared" si="19"/>
        <v>0</v>
      </c>
      <c r="K359" s="269">
        <f>IF(OR(I359=0,'🧾 Factura Comercial'!G358=0),0,CEILING('🧮 Costos x Producto'!J358*'🧾 Factura Comercial'!G358/I359,1))</f>
        <v>0</v>
      </c>
    </row>
    <row r="360" spans="4:11" ht="19.5" hidden="1" customHeight="1" thickBot="1" x14ac:dyDescent="0.3">
      <c r="D360" s="28">
        <v>353</v>
      </c>
      <c r="E360" s="262">
        <f>'🧾 Factura Comercial'!E359</f>
        <v>0</v>
      </c>
      <c r="F360" s="270">
        <f>'🧮 Costos x Producto'!K359</f>
        <v>0</v>
      </c>
      <c r="G360" s="351">
        <f t="shared" si="17"/>
        <v>0.4</v>
      </c>
      <c r="H360" s="267">
        <f t="shared" si="18"/>
        <v>0</v>
      </c>
      <c r="I360" s="110">
        <f>IF(H360=0,0,H360*(1+'📋 Datos Generales'!$E$28))</f>
        <v>0</v>
      </c>
      <c r="J360" s="268">
        <f t="shared" si="19"/>
        <v>0</v>
      </c>
      <c r="K360" s="269">
        <f>IF(OR(I360=0,'🧾 Factura Comercial'!G359=0),0,CEILING('🧮 Costos x Producto'!J359*'🧾 Factura Comercial'!G359/I360,1))</f>
        <v>0</v>
      </c>
    </row>
    <row r="361" spans="4:11" ht="19.5" hidden="1" customHeight="1" thickBot="1" x14ac:dyDescent="0.3">
      <c r="D361" s="28">
        <v>354</v>
      </c>
      <c r="E361" s="262">
        <f>'🧾 Factura Comercial'!E360</f>
        <v>0</v>
      </c>
      <c r="F361" s="270">
        <f>'🧮 Costos x Producto'!K360</f>
        <v>0</v>
      </c>
      <c r="G361" s="351">
        <f t="shared" si="17"/>
        <v>0.4</v>
      </c>
      <c r="H361" s="267">
        <f t="shared" si="18"/>
        <v>0</v>
      </c>
      <c r="I361" s="110">
        <f>IF(H361=0,0,H361*(1+'📋 Datos Generales'!$E$28))</f>
        <v>0</v>
      </c>
      <c r="J361" s="268">
        <f t="shared" si="19"/>
        <v>0</v>
      </c>
      <c r="K361" s="269">
        <f>IF(OR(I361=0,'🧾 Factura Comercial'!G360=0),0,CEILING('🧮 Costos x Producto'!J360*'🧾 Factura Comercial'!G360/I361,1))</f>
        <v>0</v>
      </c>
    </row>
    <row r="362" spans="4:11" ht="19.5" hidden="1" customHeight="1" thickBot="1" x14ac:dyDescent="0.3">
      <c r="D362" s="28">
        <v>355</v>
      </c>
      <c r="E362" s="262">
        <f>'🧾 Factura Comercial'!E361</f>
        <v>0</v>
      </c>
      <c r="F362" s="270">
        <f>'🧮 Costos x Producto'!K361</f>
        <v>0</v>
      </c>
      <c r="G362" s="351">
        <f t="shared" si="17"/>
        <v>0.4</v>
      </c>
      <c r="H362" s="267">
        <f t="shared" si="18"/>
        <v>0</v>
      </c>
      <c r="I362" s="110">
        <f>IF(H362=0,0,H362*(1+'📋 Datos Generales'!$E$28))</f>
        <v>0</v>
      </c>
      <c r="J362" s="268">
        <f t="shared" si="19"/>
        <v>0</v>
      </c>
      <c r="K362" s="269">
        <f>IF(OR(I362=0,'🧾 Factura Comercial'!G361=0),0,CEILING('🧮 Costos x Producto'!J361*'🧾 Factura Comercial'!G361/I362,1))</f>
        <v>0</v>
      </c>
    </row>
    <row r="363" spans="4:11" ht="19.5" hidden="1" customHeight="1" thickBot="1" x14ac:dyDescent="0.3">
      <c r="D363" s="28">
        <v>356</v>
      </c>
      <c r="E363" s="262">
        <f>'🧾 Factura Comercial'!E362</f>
        <v>0</v>
      </c>
      <c r="F363" s="270">
        <f>'🧮 Costos x Producto'!K362</f>
        <v>0</v>
      </c>
      <c r="G363" s="351">
        <f t="shared" si="17"/>
        <v>0.4</v>
      </c>
      <c r="H363" s="267">
        <f t="shared" si="18"/>
        <v>0</v>
      </c>
      <c r="I363" s="110">
        <f>IF(H363=0,0,H363*(1+'📋 Datos Generales'!$E$28))</f>
        <v>0</v>
      </c>
      <c r="J363" s="268">
        <f t="shared" si="19"/>
        <v>0</v>
      </c>
      <c r="K363" s="269">
        <f>IF(OR(I363=0,'🧾 Factura Comercial'!G362=0),0,CEILING('🧮 Costos x Producto'!J362*'🧾 Factura Comercial'!G362/I363,1))</f>
        <v>0</v>
      </c>
    </row>
    <row r="364" spans="4:11" ht="19.5" hidden="1" customHeight="1" thickBot="1" x14ac:dyDescent="0.3">
      <c r="D364" s="28">
        <v>357</v>
      </c>
      <c r="E364" s="262">
        <f>'🧾 Factura Comercial'!E363</f>
        <v>0</v>
      </c>
      <c r="F364" s="270">
        <f>'🧮 Costos x Producto'!K363</f>
        <v>0</v>
      </c>
      <c r="G364" s="351">
        <f t="shared" si="17"/>
        <v>0.4</v>
      </c>
      <c r="H364" s="267">
        <f t="shared" si="18"/>
        <v>0</v>
      </c>
      <c r="I364" s="110">
        <f>IF(H364=0,0,H364*(1+'📋 Datos Generales'!$E$28))</f>
        <v>0</v>
      </c>
      <c r="J364" s="268">
        <f t="shared" si="19"/>
        <v>0</v>
      </c>
      <c r="K364" s="269">
        <f>IF(OR(I364=0,'🧾 Factura Comercial'!G363=0),0,CEILING('🧮 Costos x Producto'!J363*'🧾 Factura Comercial'!G363/I364,1))</f>
        <v>0</v>
      </c>
    </row>
    <row r="365" spans="4:11" ht="19.5" hidden="1" customHeight="1" thickBot="1" x14ac:dyDescent="0.3">
      <c r="D365" s="28">
        <v>358</v>
      </c>
      <c r="E365" s="262">
        <f>'🧾 Factura Comercial'!E364</f>
        <v>0</v>
      </c>
      <c r="F365" s="270">
        <f>'🧮 Costos x Producto'!K364</f>
        <v>0</v>
      </c>
      <c r="G365" s="351">
        <f t="shared" si="17"/>
        <v>0.4</v>
      </c>
      <c r="H365" s="267">
        <f t="shared" si="18"/>
        <v>0</v>
      </c>
      <c r="I365" s="110">
        <f>IF(H365=0,0,H365*(1+'📋 Datos Generales'!$E$28))</f>
        <v>0</v>
      </c>
      <c r="J365" s="268">
        <f t="shared" si="19"/>
        <v>0</v>
      </c>
      <c r="K365" s="269">
        <f>IF(OR(I365=0,'🧾 Factura Comercial'!G364=0),0,CEILING('🧮 Costos x Producto'!J364*'🧾 Factura Comercial'!G364/I365,1))</f>
        <v>0</v>
      </c>
    </row>
    <row r="366" spans="4:11" ht="19.5" hidden="1" customHeight="1" thickBot="1" x14ac:dyDescent="0.3">
      <c r="D366" s="28">
        <v>359</v>
      </c>
      <c r="E366" s="262">
        <f>'🧾 Factura Comercial'!E365</f>
        <v>0</v>
      </c>
      <c r="F366" s="270">
        <f>'🧮 Costos x Producto'!K365</f>
        <v>0</v>
      </c>
      <c r="G366" s="351">
        <f t="shared" si="17"/>
        <v>0.4</v>
      </c>
      <c r="H366" s="267">
        <f t="shared" si="18"/>
        <v>0</v>
      </c>
      <c r="I366" s="110">
        <f>IF(H366=0,0,H366*(1+'📋 Datos Generales'!$E$28))</f>
        <v>0</v>
      </c>
      <c r="J366" s="268">
        <f t="shared" si="19"/>
        <v>0</v>
      </c>
      <c r="K366" s="269">
        <f>IF(OR(I366=0,'🧾 Factura Comercial'!G365=0),0,CEILING('🧮 Costos x Producto'!J365*'🧾 Factura Comercial'!G365/I366,1))</f>
        <v>0</v>
      </c>
    </row>
    <row r="367" spans="4:11" ht="19.5" hidden="1" customHeight="1" thickBot="1" x14ac:dyDescent="0.3">
      <c r="D367" s="28">
        <v>360</v>
      </c>
      <c r="E367" s="262">
        <f>'🧾 Factura Comercial'!E366</f>
        <v>0</v>
      </c>
      <c r="F367" s="270">
        <f>'🧮 Costos x Producto'!K366</f>
        <v>0</v>
      </c>
      <c r="G367" s="351">
        <f t="shared" si="17"/>
        <v>0.4</v>
      </c>
      <c r="H367" s="267">
        <f t="shared" si="18"/>
        <v>0</v>
      </c>
      <c r="I367" s="110">
        <f>IF(H367=0,0,H367*(1+'📋 Datos Generales'!$E$28))</f>
        <v>0</v>
      </c>
      <c r="J367" s="268">
        <f t="shared" si="19"/>
        <v>0</v>
      </c>
      <c r="K367" s="269">
        <f>IF(OR(I367=0,'🧾 Factura Comercial'!G366=0),0,CEILING('🧮 Costos x Producto'!J366*'🧾 Factura Comercial'!G366/I367,1))</f>
        <v>0</v>
      </c>
    </row>
    <row r="368" spans="4:11" ht="19.5" hidden="1" customHeight="1" thickBot="1" x14ac:dyDescent="0.3">
      <c r="D368" s="28">
        <v>361</v>
      </c>
      <c r="E368" s="262">
        <f>'🧾 Factura Comercial'!E367</f>
        <v>0</v>
      </c>
      <c r="F368" s="270">
        <f>'🧮 Costos x Producto'!K367</f>
        <v>0</v>
      </c>
      <c r="G368" s="351">
        <f t="shared" si="17"/>
        <v>0.4</v>
      </c>
      <c r="H368" s="267">
        <f t="shared" si="18"/>
        <v>0</v>
      </c>
      <c r="I368" s="110">
        <f>IF(H368=0,0,H368*(1+'📋 Datos Generales'!$E$28))</f>
        <v>0</v>
      </c>
      <c r="J368" s="268">
        <f t="shared" si="19"/>
        <v>0</v>
      </c>
      <c r="K368" s="269">
        <f>IF(OR(I368=0,'🧾 Factura Comercial'!G367=0),0,CEILING('🧮 Costos x Producto'!J367*'🧾 Factura Comercial'!G367/I368,1))</f>
        <v>0</v>
      </c>
    </row>
    <row r="369" spans="4:11" ht="19.5" hidden="1" customHeight="1" thickBot="1" x14ac:dyDescent="0.3">
      <c r="D369" s="28">
        <v>362</v>
      </c>
      <c r="E369" s="262">
        <f>'🧾 Factura Comercial'!E368</f>
        <v>0</v>
      </c>
      <c r="F369" s="270">
        <f>'🧮 Costos x Producto'!K368</f>
        <v>0</v>
      </c>
      <c r="G369" s="351">
        <f t="shared" si="17"/>
        <v>0.4</v>
      </c>
      <c r="H369" s="267">
        <f t="shared" si="18"/>
        <v>0</v>
      </c>
      <c r="I369" s="110">
        <f>IF(H369=0,0,H369*(1+'📋 Datos Generales'!$E$28))</f>
        <v>0</v>
      </c>
      <c r="J369" s="268">
        <f t="shared" si="19"/>
        <v>0</v>
      </c>
      <c r="K369" s="269">
        <f>IF(OR(I369=0,'🧾 Factura Comercial'!G368=0),0,CEILING('🧮 Costos x Producto'!J368*'🧾 Factura Comercial'!G368/I369,1))</f>
        <v>0</v>
      </c>
    </row>
    <row r="370" spans="4:11" ht="19.5" hidden="1" customHeight="1" thickBot="1" x14ac:dyDescent="0.3">
      <c r="D370" s="28">
        <v>363</v>
      </c>
      <c r="E370" s="262">
        <f>'🧾 Factura Comercial'!E369</f>
        <v>0</v>
      </c>
      <c r="F370" s="270">
        <f>'🧮 Costos x Producto'!K369</f>
        <v>0</v>
      </c>
      <c r="G370" s="351">
        <f t="shared" si="17"/>
        <v>0.4</v>
      </c>
      <c r="H370" s="267">
        <f t="shared" si="18"/>
        <v>0</v>
      </c>
      <c r="I370" s="110">
        <f>IF(H370=0,0,H370*(1+'📋 Datos Generales'!$E$28))</f>
        <v>0</v>
      </c>
      <c r="J370" s="268">
        <f t="shared" si="19"/>
        <v>0</v>
      </c>
      <c r="K370" s="269">
        <f>IF(OR(I370=0,'🧾 Factura Comercial'!G369=0),0,CEILING('🧮 Costos x Producto'!J369*'🧾 Factura Comercial'!G369/I370,1))</f>
        <v>0</v>
      </c>
    </row>
    <row r="371" spans="4:11" ht="19.5" hidden="1" customHeight="1" thickBot="1" x14ac:dyDescent="0.3">
      <c r="D371" s="28">
        <v>364</v>
      </c>
      <c r="E371" s="262">
        <f>'🧾 Factura Comercial'!E370</f>
        <v>0</v>
      </c>
      <c r="F371" s="270">
        <f>'🧮 Costos x Producto'!K370</f>
        <v>0</v>
      </c>
      <c r="G371" s="351">
        <f t="shared" si="17"/>
        <v>0.4</v>
      </c>
      <c r="H371" s="267">
        <f t="shared" si="18"/>
        <v>0</v>
      </c>
      <c r="I371" s="110">
        <f>IF(H371=0,0,H371*(1+'📋 Datos Generales'!$E$28))</f>
        <v>0</v>
      </c>
      <c r="J371" s="268">
        <f t="shared" si="19"/>
        <v>0</v>
      </c>
      <c r="K371" s="269">
        <f>IF(OR(I371=0,'🧾 Factura Comercial'!G370=0),0,CEILING('🧮 Costos x Producto'!J370*'🧾 Factura Comercial'!G370/I371,1))</f>
        <v>0</v>
      </c>
    </row>
    <row r="372" spans="4:11" ht="19.5" hidden="1" customHeight="1" thickBot="1" x14ac:dyDescent="0.3">
      <c r="D372" s="28">
        <v>365</v>
      </c>
      <c r="E372" s="262">
        <f>'🧾 Factura Comercial'!E371</f>
        <v>0</v>
      </c>
      <c r="F372" s="270">
        <f>'🧮 Costos x Producto'!K371</f>
        <v>0</v>
      </c>
      <c r="G372" s="351">
        <f t="shared" si="17"/>
        <v>0.4</v>
      </c>
      <c r="H372" s="267">
        <f t="shared" si="18"/>
        <v>0</v>
      </c>
      <c r="I372" s="110">
        <f>IF(H372=0,0,H372*(1+'📋 Datos Generales'!$E$28))</f>
        <v>0</v>
      </c>
      <c r="J372" s="268">
        <f t="shared" si="19"/>
        <v>0</v>
      </c>
      <c r="K372" s="269">
        <f>IF(OR(I372=0,'🧾 Factura Comercial'!G371=0),0,CEILING('🧮 Costos x Producto'!J371*'🧾 Factura Comercial'!G371/I372,1))</f>
        <v>0</v>
      </c>
    </row>
    <row r="373" spans="4:11" ht="19.5" hidden="1" customHeight="1" thickBot="1" x14ac:dyDescent="0.3">
      <c r="D373" s="28">
        <v>366</v>
      </c>
      <c r="E373" s="262">
        <f>'🧾 Factura Comercial'!E372</f>
        <v>0</v>
      </c>
      <c r="F373" s="270">
        <f>'🧮 Costos x Producto'!K372</f>
        <v>0</v>
      </c>
      <c r="G373" s="351">
        <f t="shared" si="17"/>
        <v>0.4</v>
      </c>
      <c r="H373" s="267">
        <f t="shared" si="18"/>
        <v>0</v>
      </c>
      <c r="I373" s="110">
        <f>IF(H373=0,0,H373*(1+'📋 Datos Generales'!$E$28))</f>
        <v>0</v>
      </c>
      <c r="J373" s="268">
        <f t="shared" si="19"/>
        <v>0</v>
      </c>
      <c r="K373" s="269">
        <f>IF(OR(I373=0,'🧾 Factura Comercial'!G372=0),0,CEILING('🧮 Costos x Producto'!J372*'🧾 Factura Comercial'!G372/I373,1))</f>
        <v>0</v>
      </c>
    </row>
    <row r="374" spans="4:11" ht="19.5" hidden="1" customHeight="1" thickBot="1" x14ac:dyDescent="0.3">
      <c r="D374" s="28">
        <v>367</v>
      </c>
      <c r="E374" s="262">
        <f>'🧾 Factura Comercial'!E373</f>
        <v>0</v>
      </c>
      <c r="F374" s="270">
        <f>'🧮 Costos x Producto'!K373</f>
        <v>0</v>
      </c>
      <c r="G374" s="351">
        <f t="shared" si="17"/>
        <v>0.4</v>
      </c>
      <c r="H374" s="267">
        <f t="shared" si="18"/>
        <v>0</v>
      </c>
      <c r="I374" s="110">
        <f>IF(H374=0,0,H374*(1+'📋 Datos Generales'!$E$28))</f>
        <v>0</v>
      </c>
      <c r="J374" s="268">
        <f t="shared" si="19"/>
        <v>0</v>
      </c>
      <c r="K374" s="269">
        <f>IF(OR(I374=0,'🧾 Factura Comercial'!G373=0),0,CEILING('🧮 Costos x Producto'!J373*'🧾 Factura Comercial'!G373/I374,1))</f>
        <v>0</v>
      </c>
    </row>
    <row r="375" spans="4:11" ht="19.5" hidden="1" customHeight="1" thickBot="1" x14ac:dyDescent="0.3">
      <c r="D375" s="28">
        <v>368</v>
      </c>
      <c r="E375" s="262">
        <f>'🧾 Factura Comercial'!E374</f>
        <v>0</v>
      </c>
      <c r="F375" s="270">
        <f>'🧮 Costos x Producto'!K374</f>
        <v>0</v>
      </c>
      <c r="G375" s="351">
        <f t="shared" si="17"/>
        <v>0.4</v>
      </c>
      <c r="H375" s="267">
        <f t="shared" si="18"/>
        <v>0</v>
      </c>
      <c r="I375" s="110">
        <f>IF(H375=0,0,H375*(1+'📋 Datos Generales'!$E$28))</f>
        <v>0</v>
      </c>
      <c r="J375" s="268">
        <f t="shared" si="19"/>
        <v>0</v>
      </c>
      <c r="K375" s="269">
        <f>IF(OR(I375=0,'🧾 Factura Comercial'!G374=0),0,CEILING('🧮 Costos x Producto'!J374*'🧾 Factura Comercial'!G374/I375,1))</f>
        <v>0</v>
      </c>
    </row>
    <row r="376" spans="4:11" ht="19.5" hidden="1" customHeight="1" thickBot="1" x14ac:dyDescent="0.3">
      <c r="D376" s="28">
        <v>369</v>
      </c>
      <c r="E376" s="262">
        <f>'🧾 Factura Comercial'!E375</f>
        <v>0</v>
      </c>
      <c r="F376" s="270">
        <f>'🧮 Costos x Producto'!K375</f>
        <v>0</v>
      </c>
      <c r="G376" s="351">
        <f t="shared" si="17"/>
        <v>0.4</v>
      </c>
      <c r="H376" s="267">
        <f t="shared" si="18"/>
        <v>0</v>
      </c>
      <c r="I376" s="110">
        <f>IF(H376=0,0,H376*(1+'📋 Datos Generales'!$E$28))</f>
        <v>0</v>
      </c>
      <c r="J376" s="268">
        <f t="shared" si="19"/>
        <v>0</v>
      </c>
      <c r="K376" s="269">
        <f>IF(OR(I376=0,'🧾 Factura Comercial'!G375=0),0,CEILING('🧮 Costos x Producto'!J375*'🧾 Factura Comercial'!G375/I376,1))</f>
        <v>0</v>
      </c>
    </row>
    <row r="377" spans="4:11" ht="19.5" hidden="1" customHeight="1" thickBot="1" x14ac:dyDescent="0.3">
      <c r="D377" s="28">
        <v>370</v>
      </c>
      <c r="E377" s="262">
        <f>'🧾 Factura Comercial'!E376</f>
        <v>0</v>
      </c>
      <c r="F377" s="270">
        <f>'🧮 Costos x Producto'!K376</f>
        <v>0</v>
      </c>
      <c r="G377" s="351">
        <f t="shared" si="17"/>
        <v>0.4</v>
      </c>
      <c r="H377" s="267">
        <f t="shared" si="18"/>
        <v>0</v>
      </c>
      <c r="I377" s="110">
        <f>IF(H377=0,0,H377*(1+'📋 Datos Generales'!$E$28))</f>
        <v>0</v>
      </c>
      <c r="J377" s="268">
        <f t="shared" si="19"/>
        <v>0</v>
      </c>
      <c r="K377" s="269">
        <f>IF(OR(I377=0,'🧾 Factura Comercial'!G376=0),0,CEILING('🧮 Costos x Producto'!J376*'🧾 Factura Comercial'!G376/I377,1))</f>
        <v>0</v>
      </c>
    </row>
    <row r="378" spans="4:11" ht="19.5" hidden="1" customHeight="1" thickBot="1" x14ac:dyDescent="0.3">
      <c r="D378" s="28">
        <v>371</v>
      </c>
      <c r="E378" s="262">
        <f>'🧾 Factura Comercial'!E377</f>
        <v>0</v>
      </c>
      <c r="F378" s="270">
        <f>'🧮 Costos x Producto'!K377</f>
        <v>0</v>
      </c>
      <c r="G378" s="351">
        <f t="shared" si="17"/>
        <v>0.4</v>
      </c>
      <c r="H378" s="267">
        <f t="shared" si="18"/>
        <v>0</v>
      </c>
      <c r="I378" s="110">
        <f>IF(H378=0,0,H378*(1+'📋 Datos Generales'!$E$28))</f>
        <v>0</v>
      </c>
      <c r="J378" s="268">
        <f t="shared" si="19"/>
        <v>0</v>
      </c>
      <c r="K378" s="269">
        <f>IF(OR(I378=0,'🧾 Factura Comercial'!G377=0),0,CEILING('🧮 Costos x Producto'!J377*'🧾 Factura Comercial'!G377/I378,1))</f>
        <v>0</v>
      </c>
    </row>
    <row r="379" spans="4:11" ht="19.5" hidden="1" customHeight="1" thickBot="1" x14ac:dyDescent="0.3">
      <c r="D379" s="28">
        <v>372</v>
      </c>
      <c r="E379" s="262">
        <f>'🧾 Factura Comercial'!E378</f>
        <v>0</v>
      </c>
      <c r="F379" s="270">
        <f>'🧮 Costos x Producto'!K378</f>
        <v>0</v>
      </c>
      <c r="G379" s="351">
        <f t="shared" si="17"/>
        <v>0.4</v>
      </c>
      <c r="H379" s="267">
        <f t="shared" si="18"/>
        <v>0</v>
      </c>
      <c r="I379" s="110">
        <f>IF(H379=0,0,H379*(1+'📋 Datos Generales'!$E$28))</f>
        <v>0</v>
      </c>
      <c r="J379" s="268">
        <f t="shared" si="19"/>
        <v>0</v>
      </c>
      <c r="K379" s="269">
        <f>IF(OR(I379=0,'🧾 Factura Comercial'!G378=0),0,CEILING('🧮 Costos x Producto'!J378*'🧾 Factura Comercial'!G378/I379,1))</f>
        <v>0</v>
      </c>
    </row>
    <row r="380" spans="4:11" ht="19.5" hidden="1" customHeight="1" thickBot="1" x14ac:dyDescent="0.3">
      <c r="D380" s="28">
        <v>373</v>
      </c>
      <c r="E380" s="262">
        <f>'🧾 Factura Comercial'!E379</f>
        <v>0</v>
      </c>
      <c r="F380" s="270">
        <f>'🧮 Costos x Producto'!K379</f>
        <v>0</v>
      </c>
      <c r="G380" s="351">
        <f t="shared" si="17"/>
        <v>0.4</v>
      </c>
      <c r="H380" s="267">
        <f t="shared" si="18"/>
        <v>0</v>
      </c>
      <c r="I380" s="110">
        <f>IF(H380=0,0,H380*(1+'📋 Datos Generales'!$E$28))</f>
        <v>0</v>
      </c>
      <c r="J380" s="268">
        <f t="shared" si="19"/>
        <v>0</v>
      </c>
      <c r="K380" s="269">
        <f>IF(OR(I380=0,'🧾 Factura Comercial'!G379=0),0,CEILING('🧮 Costos x Producto'!J379*'🧾 Factura Comercial'!G379/I380,1))</f>
        <v>0</v>
      </c>
    </row>
    <row r="381" spans="4:11" ht="19.5" hidden="1" customHeight="1" thickBot="1" x14ac:dyDescent="0.3">
      <c r="D381" s="28">
        <v>374</v>
      </c>
      <c r="E381" s="262">
        <f>'🧾 Factura Comercial'!E380</f>
        <v>0</v>
      </c>
      <c r="F381" s="270">
        <f>'🧮 Costos x Producto'!K380</f>
        <v>0</v>
      </c>
      <c r="G381" s="351">
        <f t="shared" si="17"/>
        <v>0.4</v>
      </c>
      <c r="H381" s="267">
        <f t="shared" si="18"/>
        <v>0</v>
      </c>
      <c r="I381" s="110">
        <f>IF(H381=0,0,H381*(1+'📋 Datos Generales'!$E$28))</f>
        <v>0</v>
      </c>
      <c r="J381" s="268">
        <f t="shared" si="19"/>
        <v>0</v>
      </c>
      <c r="K381" s="269">
        <f>IF(OR(I381=0,'🧾 Factura Comercial'!G380=0),0,CEILING('🧮 Costos x Producto'!J380*'🧾 Factura Comercial'!G380/I381,1))</f>
        <v>0</v>
      </c>
    </row>
    <row r="382" spans="4:11" ht="19.5" hidden="1" customHeight="1" thickBot="1" x14ac:dyDescent="0.3">
      <c r="D382" s="28">
        <v>375</v>
      </c>
      <c r="E382" s="262">
        <f>'🧾 Factura Comercial'!E381</f>
        <v>0</v>
      </c>
      <c r="F382" s="270">
        <f>'🧮 Costos x Producto'!K381</f>
        <v>0</v>
      </c>
      <c r="G382" s="351">
        <f t="shared" si="17"/>
        <v>0.4</v>
      </c>
      <c r="H382" s="267">
        <f t="shared" si="18"/>
        <v>0</v>
      </c>
      <c r="I382" s="110">
        <f>IF(H382=0,0,H382*(1+'📋 Datos Generales'!$E$28))</f>
        <v>0</v>
      </c>
      <c r="J382" s="268">
        <f t="shared" si="19"/>
        <v>0</v>
      </c>
      <c r="K382" s="269">
        <f>IF(OR(I382=0,'🧾 Factura Comercial'!G381=0),0,CEILING('🧮 Costos x Producto'!J381*'🧾 Factura Comercial'!G381/I382,1))</f>
        <v>0</v>
      </c>
    </row>
    <row r="383" spans="4:11" ht="19.5" hidden="1" customHeight="1" thickBot="1" x14ac:dyDescent="0.3">
      <c r="D383" s="28">
        <v>376</v>
      </c>
      <c r="E383" s="262">
        <f>'🧾 Factura Comercial'!E382</f>
        <v>0</v>
      </c>
      <c r="F383" s="270">
        <f>'🧮 Costos x Producto'!K382</f>
        <v>0</v>
      </c>
      <c r="G383" s="351">
        <f t="shared" si="17"/>
        <v>0.4</v>
      </c>
      <c r="H383" s="267">
        <f t="shared" si="18"/>
        <v>0</v>
      </c>
      <c r="I383" s="110">
        <f>IF(H383=0,0,H383*(1+'📋 Datos Generales'!$E$28))</f>
        <v>0</v>
      </c>
      <c r="J383" s="268">
        <f t="shared" si="19"/>
        <v>0</v>
      </c>
      <c r="K383" s="269">
        <f>IF(OR(I383=0,'🧾 Factura Comercial'!G382=0),0,CEILING('🧮 Costos x Producto'!J382*'🧾 Factura Comercial'!G382/I383,1))</f>
        <v>0</v>
      </c>
    </row>
    <row r="384" spans="4:11" ht="19.5" hidden="1" customHeight="1" thickBot="1" x14ac:dyDescent="0.3">
      <c r="D384" s="28">
        <v>377</v>
      </c>
      <c r="E384" s="262">
        <f>'🧾 Factura Comercial'!E383</f>
        <v>0</v>
      </c>
      <c r="F384" s="270">
        <f>'🧮 Costos x Producto'!K383</f>
        <v>0</v>
      </c>
      <c r="G384" s="351">
        <f t="shared" si="17"/>
        <v>0.4</v>
      </c>
      <c r="H384" s="267">
        <f t="shared" si="18"/>
        <v>0</v>
      </c>
      <c r="I384" s="110">
        <f>IF(H384=0,0,H384*(1+'📋 Datos Generales'!$E$28))</f>
        <v>0</v>
      </c>
      <c r="J384" s="268">
        <f t="shared" si="19"/>
        <v>0</v>
      </c>
      <c r="K384" s="269">
        <f>IF(OR(I384=0,'🧾 Factura Comercial'!G383=0),0,CEILING('🧮 Costos x Producto'!J383*'🧾 Factura Comercial'!G383/I384,1))</f>
        <v>0</v>
      </c>
    </row>
    <row r="385" spans="4:11" ht="19.5" hidden="1" customHeight="1" thickBot="1" x14ac:dyDescent="0.3">
      <c r="D385" s="28">
        <v>378</v>
      </c>
      <c r="E385" s="262">
        <f>'🧾 Factura Comercial'!E384</f>
        <v>0</v>
      </c>
      <c r="F385" s="270">
        <f>'🧮 Costos x Producto'!K384</f>
        <v>0</v>
      </c>
      <c r="G385" s="351">
        <f t="shared" si="17"/>
        <v>0.4</v>
      </c>
      <c r="H385" s="267">
        <f t="shared" si="18"/>
        <v>0</v>
      </c>
      <c r="I385" s="110">
        <f>IF(H385=0,0,H385*(1+'📋 Datos Generales'!$E$28))</f>
        <v>0</v>
      </c>
      <c r="J385" s="268">
        <f t="shared" si="19"/>
        <v>0</v>
      </c>
      <c r="K385" s="269">
        <f>IF(OR(I385=0,'🧾 Factura Comercial'!G384=0),0,CEILING('🧮 Costos x Producto'!J384*'🧾 Factura Comercial'!G384/I385,1))</f>
        <v>0</v>
      </c>
    </row>
    <row r="386" spans="4:11" ht="19.5" hidden="1" customHeight="1" thickBot="1" x14ac:dyDescent="0.3">
      <c r="D386" s="28">
        <v>379</v>
      </c>
      <c r="E386" s="262">
        <f>'🧾 Factura Comercial'!E385</f>
        <v>0</v>
      </c>
      <c r="F386" s="270">
        <f>'🧮 Costos x Producto'!K385</f>
        <v>0</v>
      </c>
      <c r="G386" s="351">
        <f t="shared" si="17"/>
        <v>0.4</v>
      </c>
      <c r="H386" s="267">
        <f t="shared" si="18"/>
        <v>0</v>
      </c>
      <c r="I386" s="110">
        <f>IF(H386=0,0,H386*(1+'📋 Datos Generales'!$E$28))</f>
        <v>0</v>
      </c>
      <c r="J386" s="268">
        <f t="shared" si="19"/>
        <v>0</v>
      </c>
      <c r="K386" s="269">
        <f>IF(OR(I386=0,'🧾 Factura Comercial'!G385=0),0,CEILING('🧮 Costos x Producto'!J385*'🧾 Factura Comercial'!G385/I386,1))</f>
        <v>0</v>
      </c>
    </row>
    <row r="387" spans="4:11" ht="19.5" hidden="1" customHeight="1" thickBot="1" x14ac:dyDescent="0.3">
      <c r="D387" s="28">
        <v>380</v>
      </c>
      <c r="E387" s="262">
        <f>'🧾 Factura Comercial'!E386</f>
        <v>0</v>
      </c>
      <c r="F387" s="270">
        <f>'🧮 Costos x Producto'!K386</f>
        <v>0</v>
      </c>
      <c r="G387" s="351">
        <f t="shared" si="17"/>
        <v>0.4</v>
      </c>
      <c r="H387" s="267">
        <f t="shared" si="18"/>
        <v>0</v>
      </c>
      <c r="I387" s="110">
        <f>IF(H387=0,0,H387*(1+'📋 Datos Generales'!$E$28))</f>
        <v>0</v>
      </c>
      <c r="J387" s="268">
        <f t="shared" si="19"/>
        <v>0</v>
      </c>
      <c r="K387" s="269">
        <f>IF(OR(I387=0,'🧾 Factura Comercial'!G386=0),0,CEILING('🧮 Costos x Producto'!J386*'🧾 Factura Comercial'!G386/I387,1))</f>
        <v>0</v>
      </c>
    </row>
    <row r="388" spans="4:11" ht="19.5" hidden="1" customHeight="1" thickBot="1" x14ac:dyDescent="0.3">
      <c r="D388" s="28">
        <v>381</v>
      </c>
      <c r="E388" s="262">
        <f>'🧾 Factura Comercial'!E387</f>
        <v>0</v>
      </c>
      <c r="F388" s="270">
        <f>'🧮 Costos x Producto'!K387</f>
        <v>0</v>
      </c>
      <c r="G388" s="351">
        <f t="shared" si="17"/>
        <v>0.4</v>
      </c>
      <c r="H388" s="267">
        <f t="shared" si="18"/>
        <v>0</v>
      </c>
      <c r="I388" s="110">
        <f>IF(H388=0,0,H388*(1+'📋 Datos Generales'!$E$28))</f>
        <v>0</v>
      </c>
      <c r="J388" s="268">
        <f t="shared" si="19"/>
        <v>0</v>
      </c>
      <c r="K388" s="269">
        <f>IF(OR(I388=0,'🧾 Factura Comercial'!G387=0),0,CEILING('🧮 Costos x Producto'!J387*'🧾 Factura Comercial'!G387/I388,1))</f>
        <v>0</v>
      </c>
    </row>
    <row r="389" spans="4:11" ht="19.5" hidden="1" customHeight="1" thickBot="1" x14ac:dyDescent="0.3">
      <c r="D389" s="28">
        <v>382</v>
      </c>
      <c r="E389" s="262">
        <f>'🧾 Factura Comercial'!E388</f>
        <v>0</v>
      </c>
      <c r="F389" s="270">
        <f>'🧮 Costos x Producto'!K388</f>
        <v>0</v>
      </c>
      <c r="G389" s="351">
        <f t="shared" si="17"/>
        <v>0.4</v>
      </c>
      <c r="H389" s="267">
        <f t="shared" si="18"/>
        <v>0</v>
      </c>
      <c r="I389" s="110">
        <f>IF(H389=0,0,H389*(1+'📋 Datos Generales'!$E$28))</f>
        <v>0</v>
      </c>
      <c r="J389" s="268">
        <f t="shared" si="19"/>
        <v>0</v>
      </c>
      <c r="K389" s="269">
        <f>IF(OR(I389=0,'🧾 Factura Comercial'!G388=0),0,CEILING('🧮 Costos x Producto'!J388*'🧾 Factura Comercial'!G388/I389,1))</f>
        <v>0</v>
      </c>
    </row>
    <row r="390" spans="4:11" ht="19.5" hidden="1" customHeight="1" thickBot="1" x14ac:dyDescent="0.3">
      <c r="D390" s="28">
        <v>383</v>
      </c>
      <c r="E390" s="262">
        <f>'🧾 Factura Comercial'!E389</f>
        <v>0</v>
      </c>
      <c r="F390" s="270">
        <f>'🧮 Costos x Producto'!K389</f>
        <v>0</v>
      </c>
      <c r="G390" s="351">
        <f t="shared" si="17"/>
        <v>0.4</v>
      </c>
      <c r="H390" s="267">
        <f t="shared" si="18"/>
        <v>0</v>
      </c>
      <c r="I390" s="110">
        <f>IF(H390=0,0,H390*(1+'📋 Datos Generales'!$E$28))</f>
        <v>0</v>
      </c>
      <c r="J390" s="268">
        <f t="shared" si="19"/>
        <v>0</v>
      </c>
      <c r="K390" s="269">
        <f>IF(OR(I390=0,'🧾 Factura Comercial'!G389=0),0,CEILING('🧮 Costos x Producto'!J389*'🧾 Factura Comercial'!G389/I390,1))</f>
        <v>0</v>
      </c>
    </row>
    <row r="391" spans="4:11" ht="19.5" hidden="1" customHeight="1" thickBot="1" x14ac:dyDescent="0.3">
      <c r="D391" s="28">
        <v>384</v>
      </c>
      <c r="E391" s="262">
        <f>'🧾 Factura Comercial'!E390</f>
        <v>0</v>
      </c>
      <c r="F391" s="270">
        <f>'🧮 Costos x Producto'!K390</f>
        <v>0</v>
      </c>
      <c r="G391" s="351">
        <f t="shared" si="17"/>
        <v>0.4</v>
      </c>
      <c r="H391" s="267">
        <f t="shared" si="18"/>
        <v>0</v>
      </c>
      <c r="I391" s="110">
        <f>IF(H391=0,0,H391*(1+'📋 Datos Generales'!$E$28))</f>
        <v>0</v>
      </c>
      <c r="J391" s="268">
        <f t="shared" si="19"/>
        <v>0</v>
      </c>
      <c r="K391" s="269">
        <f>IF(OR(I391=0,'🧾 Factura Comercial'!G390=0),0,CEILING('🧮 Costos x Producto'!J390*'🧾 Factura Comercial'!G390/I391,1))</f>
        <v>0</v>
      </c>
    </row>
    <row r="392" spans="4:11" ht="19.5" hidden="1" customHeight="1" thickBot="1" x14ac:dyDescent="0.3">
      <c r="D392" s="28">
        <v>385</v>
      </c>
      <c r="E392" s="262">
        <f>'🧾 Factura Comercial'!E391</f>
        <v>0</v>
      </c>
      <c r="F392" s="270">
        <f>'🧮 Costos x Producto'!K391</f>
        <v>0</v>
      </c>
      <c r="G392" s="351">
        <f t="shared" si="17"/>
        <v>0.4</v>
      </c>
      <c r="H392" s="267">
        <f t="shared" si="18"/>
        <v>0</v>
      </c>
      <c r="I392" s="110">
        <f>IF(H392=0,0,H392*(1+'📋 Datos Generales'!$E$28))</f>
        <v>0</v>
      </c>
      <c r="J392" s="268">
        <f t="shared" si="19"/>
        <v>0</v>
      </c>
      <c r="K392" s="269">
        <f>IF(OR(I392=0,'🧾 Factura Comercial'!G391=0),0,CEILING('🧮 Costos x Producto'!J391*'🧾 Factura Comercial'!G391/I392,1))</f>
        <v>0</v>
      </c>
    </row>
    <row r="393" spans="4:11" ht="19.5" hidden="1" customHeight="1" thickBot="1" x14ac:dyDescent="0.3">
      <c r="D393" s="28">
        <v>386</v>
      </c>
      <c r="E393" s="262">
        <f>'🧾 Factura Comercial'!E392</f>
        <v>0</v>
      </c>
      <c r="F393" s="270">
        <f>'🧮 Costos x Producto'!K392</f>
        <v>0</v>
      </c>
      <c r="G393" s="351">
        <f t="shared" si="17"/>
        <v>0.4</v>
      </c>
      <c r="H393" s="267">
        <f t="shared" si="18"/>
        <v>0</v>
      </c>
      <c r="I393" s="110">
        <f>IF(H393=0,0,H393*(1+'📋 Datos Generales'!$E$28))</f>
        <v>0</v>
      </c>
      <c r="J393" s="268">
        <f t="shared" si="19"/>
        <v>0</v>
      </c>
      <c r="K393" s="269">
        <f>IF(OR(I393=0,'🧾 Factura Comercial'!G392=0),0,CEILING('🧮 Costos x Producto'!J392*'🧾 Factura Comercial'!G392/I393,1))</f>
        <v>0</v>
      </c>
    </row>
    <row r="394" spans="4:11" ht="19.5" hidden="1" customHeight="1" thickBot="1" x14ac:dyDescent="0.3">
      <c r="D394" s="28">
        <v>387</v>
      </c>
      <c r="E394" s="262">
        <f>'🧾 Factura Comercial'!E393</f>
        <v>0</v>
      </c>
      <c r="F394" s="270">
        <f>'🧮 Costos x Producto'!K393</f>
        <v>0</v>
      </c>
      <c r="G394" s="351">
        <f t="shared" si="17"/>
        <v>0.4</v>
      </c>
      <c r="H394" s="267">
        <f t="shared" si="18"/>
        <v>0</v>
      </c>
      <c r="I394" s="110">
        <f>IF(H394=0,0,H394*(1+'📋 Datos Generales'!$E$28))</f>
        <v>0</v>
      </c>
      <c r="J394" s="268">
        <f t="shared" si="19"/>
        <v>0</v>
      </c>
      <c r="K394" s="269">
        <f>IF(OR(I394=0,'🧾 Factura Comercial'!G393=0),0,CEILING('🧮 Costos x Producto'!J393*'🧾 Factura Comercial'!G393/I394,1))</f>
        <v>0</v>
      </c>
    </row>
    <row r="395" spans="4:11" ht="19.5" hidden="1" customHeight="1" thickBot="1" x14ac:dyDescent="0.3">
      <c r="D395" s="28">
        <v>388</v>
      </c>
      <c r="E395" s="262">
        <f>'🧾 Factura Comercial'!E394</f>
        <v>0</v>
      </c>
      <c r="F395" s="270">
        <f>'🧮 Costos x Producto'!K394</f>
        <v>0</v>
      </c>
      <c r="G395" s="351">
        <f t="shared" ref="G395:G458" si="20">$H$4</f>
        <v>0.4</v>
      </c>
      <c r="H395" s="267">
        <f t="shared" si="18"/>
        <v>0</v>
      </c>
      <c r="I395" s="110">
        <f>IF(H395=0,0,H395*(1+'📋 Datos Generales'!$E$28))</f>
        <v>0</v>
      </c>
      <c r="J395" s="268">
        <f t="shared" si="19"/>
        <v>0</v>
      </c>
      <c r="K395" s="269">
        <f>IF(OR(I395=0,'🧾 Factura Comercial'!G394=0),0,CEILING('🧮 Costos x Producto'!J394*'🧾 Factura Comercial'!G394/I395,1))</f>
        <v>0</v>
      </c>
    </row>
    <row r="396" spans="4:11" ht="19.5" hidden="1" customHeight="1" thickBot="1" x14ac:dyDescent="0.3">
      <c r="D396" s="28">
        <v>389</v>
      </c>
      <c r="E396" s="262">
        <f>'🧾 Factura Comercial'!E395</f>
        <v>0</v>
      </c>
      <c r="F396" s="270">
        <f>'🧮 Costos x Producto'!K395</f>
        <v>0</v>
      </c>
      <c r="G396" s="351">
        <f t="shared" si="20"/>
        <v>0.4</v>
      </c>
      <c r="H396" s="267">
        <f t="shared" si="18"/>
        <v>0</v>
      </c>
      <c r="I396" s="110">
        <f>IF(H396=0,0,H396*(1+'📋 Datos Generales'!$E$28))</f>
        <v>0</v>
      </c>
      <c r="J396" s="268">
        <f t="shared" si="19"/>
        <v>0</v>
      </c>
      <c r="K396" s="269">
        <f>IF(OR(I396=0,'🧾 Factura Comercial'!G395=0),0,CEILING('🧮 Costos x Producto'!J395*'🧾 Factura Comercial'!G395/I396,1))</f>
        <v>0</v>
      </c>
    </row>
    <row r="397" spans="4:11" ht="19.5" hidden="1" customHeight="1" thickBot="1" x14ac:dyDescent="0.3">
      <c r="D397" s="28">
        <v>390</v>
      </c>
      <c r="E397" s="262">
        <f>'🧾 Factura Comercial'!E396</f>
        <v>0</v>
      </c>
      <c r="F397" s="270">
        <f>'🧮 Costos x Producto'!K396</f>
        <v>0</v>
      </c>
      <c r="G397" s="351">
        <f t="shared" si="20"/>
        <v>0.4</v>
      </c>
      <c r="H397" s="267">
        <f t="shared" si="18"/>
        <v>0</v>
      </c>
      <c r="I397" s="110">
        <f>IF(H397=0,0,H397*(1+'📋 Datos Generales'!$E$28))</f>
        <v>0</v>
      </c>
      <c r="J397" s="268">
        <f t="shared" si="19"/>
        <v>0</v>
      </c>
      <c r="K397" s="269">
        <f>IF(OR(I397=0,'🧾 Factura Comercial'!G396=0),0,CEILING('🧮 Costos x Producto'!J396*'🧾 Factura Comercial'!G396/I397,1))</f>
        <v>0</v>
      </c>
    </row>
    <row r="398" spans="4:11" ht="19.5" hidden="1" customHeight="1" thickBot="1" x14ac:dyDescent="0.3">
      <c r="D398" s="28">
        <v>391</v>
      </c>
      <c r="E398" s="262">
        <f>'🧾 Factura Comercial'!E397</f>
        <v>0</v>
      </c>
      <c r="F398" s="270">
        <f>'🧮 Costos x Producto'!K397</f>
        <v>0</v>
      </c>
      <c r="G398" s="351">
        <f t="shared" si="20"/>
        <v>0.4</v>
      </c>
      <c r="H398" s="267">
        <f t="shared" si="18"/>
        <v>0</v>
      </c>
      <c r="I398" s="110">
        <f>IF(H398=0,0,H398*(1+'📋 Datos Generales'!$E$28))</f>
        <v>0</v>
      </c>
      <c r="J398" s="268">
        <f t="shared" si="19"/>
        <v>0</v>
      </c>
      <c r="K398" s="269">
        <f>IF(OR(I398=0,'🧾 Factura Comercial'!G397=0),0,CEILING('🧮 Costos x Producto'!J397*'🧾 Factura Comercial'!G397/I398,1))</f>
        <v>0</v>
      </c>
    </row>
    <row r="399" spans="4:11" ht="19.5" hidden="1" customHeight="1" thickBot="1" x14ac:dyDescent="0.3">
      <c r="D399" s="28">
        <v>392</v>
      </c>
      <c r="E399" s="262">
        <f>'🧾 Factura Comercial'!E398</f>
        <v>0</v>
      </c>
      <c r="F399" s="270">
        <f>'🧮 Costos x Producto'!K398</f>
        <v>0</v>
      </c>
      <c r="G399" s="351">
        <f t="shared" si="20"/>
        <v>0.4</v>
      </c>
      <c r="H399" s="267">
        <f t="shared" si="18"/>
        <v>0</v>
      </c>
      <c r="I399" s="110">
        <f>IF(H399=0,0,H399*(1+'📋 Datos Generales'!$E$28))</f>
        <v>0</v>
      </c>
      <c r="J399" s="268">
        <f t="shared" si="19"/>
        <v>0</v>
      </c>
      <c r="K399" s="269">
        <f>IF(OR(I399=0,'🧾 Factura Comercial'!G398=0),0,CEILING('🧮 Costos x Producto'!J398*'🧾 Factura Comercial'!G398/I399,1))</f>
        <v>0</v>
      </c>
    </row>
    <row r="400" spans="4:11" ht="19.5" hidden="1" customHeight="1" thickBot="1" x14ac:dyDescent="0.3">
      <c r="D400" s="28">
        <v>393</v>
      </c>
      <c r="E400" s="262">
        <f>'🧾 Factura Comercial'!E399</f>
        <v>0</v>
      </c>
      <c r="F400" s="270">
        <f>'🧮 Costos x Producto'!K399</f>
        <v>0</v>
      </c>
      <c r="G400" s="351">
        <f t="shared" si="20"/>
        <v>0.4</v>
      </c>
      <c r="H400" s="267">
        <f t="shared" si="18"/>
        <v>0</v>
      </c>
      <c r="I400" s="110">
        <f>IF(H400=0,0,H400*(1+'📋 Datos Generales'!$E$28))</f>
        <v>0</v>
      </c>
      <c r="J400" s="268">
        <f t="shared" si="19"/>
        <v>0</v>
      </c>
      <c r="K400" s="269">
        <f>IF(OR(I400=0,'🧾 Factura Comercial'!G399=0),0,CEILING('🧮 Costos x Producto'!J399*'🧾 Factura Comercial'!G399/I400,1))</f>
        <v>0</v>
      </c>
    </row>
    <row r="401" spans="4:11" ht="19.5" hidden="1" customHeight="1" thickBot="1" x14ac:dyDescent="0.3">
      <c r="D401" s="28">
        <v>394</v>
      </c>
      <c r="E401" s="262">
        <f>'🧾 Factura Comercial'!E400</f>
        <v>0</v>
      </c>
      <c r="F401" s="270">
        <f>'🧮 Costos x Producto'!K400</f>
        <v>0</v>
      </c>
      <c r="G401" s="351">
        <f t="shared" si="20"/>
        <v>0.4</v>
      </c>
      <c r="H401" s="267">
        <f t="shared" ref="H401:H464" si="21">IF(F401=0,0,F401/(1-G401))</f>
        <v>0</v>
      </c>
      <c r="I401" s="110">
        <f>IF(H401=0,0,H401*(1+'📋 Datos Generales'!$E$28))</f>
        <v>0</v>
      </c>
      <c r="J401" s="268">
        <f t="shared" ref="J401:J464" si="22">IF(H401=0,0,H401-F401)</f>
        <v>0</v>
      </c>
      <c r="K401" s="269">
        <f>IF(OR(I401=0,'🧾 Factura Comercial'!G400=0),0,CEILING('🧮 Costos x Producto'!J400*'🧾 Factura Comercial'!G400/I401,1))</f>
        <v>0</v>
      </c>
    </row>
    <row r="402" spans="4:11" ht="19.5" hidden="1" customHeight="1" thickBot="1" x14ac:dyDescent="0.3">
      <c r="D402" s="28">
        <v>395</v>
      </c>
      <c r="E402" s="262">
        <f>'🧾 Factura Comercial'!E401</f>
        <v>0</v>
      </c>
      <c r="F402" s="270">
        <f>'🧮 Costos x Producto'!K401</f>
        <v>0</v>
      </c>
      <c r="G402" s="351">
        <f t="shared" si="20"/>
        <v>0.4</v>
      </c>
      <c r="H402" s="267">
        <f t="shared" si="21"/>
        <v>0</v>
      </c>
      <c r="I402" s="110">
        <f>IF(H402=0,0,H402*(1+'📋 Datos Generales'!$E$28))</f>
        <v>0</v>
      </c>
      <c r="J402" s="268">
        <f t="shared" si="22"/>
        <v>0</v>
      </c>
      <c r="K402" s="269">
        <f>IF(OR(I402=0,'🧾 Factura Comercial'!G401=0),0,CEILING('🧮 Costos x Producto'!J401*'🧾 Factura Comercial'!G401/I402,1))</f>
        <v>0</v>
      </c>
    </row>
    <row r="403" spans="4:11" ht="19.5" hidden="1" customHeight="1" thickBot="1" x14ac:dyDescent="0.3">
      <c r="D403" s="28">
        <v>396</v>
      </c>
      <c r="E403" s="262">
        <f>'🧾 Factura Comercial'!E402</f>
        <v>0</v>
      </c>
      <c r="F403" s="270">
        <f>'🧮 Costos x Producto'!K402</f>
        <v>0</v>
      </c>
      <c r="G403" s="351">
        <f t="shared" si="20"/>
        <v>0.4</v>
      </c>
      <c r="H403" s="267">
        <f t="shared" si="21"/>
        <v>0</v>
      </c>
      <c r="I403" s="110">
        <f>IF(H403=0,0,H403*(1+'📋 Datos Generales'!$E$28))</f>
        <v>0</v>
      </c>
      <c r="J403" s="268">
        <f t="shared" si="22"/>
        <v>0</v>
      </c>
      <c r="K403" s="269">
        <f>IF(OR(I403=0,'🧾 Factura Comercial'!G402=0),0,CEILING('🧮 Costos x Producto'!J402*'🧾 Factura Comercial'!G402/I403,1))</f>
        <v>0</v>
      </c>
    </row>
    <row r="404" spans="4:11" ht="19.5" hidden="1" customHeight="1" thickBot="1" x14ac:dyDescent="0.3">
      <c r="D404" s="28">
        <v>397</v>
      </c>
      <c r="E404" s="262">
        <f>'🧾 Factura Comercial'!E403</f>
        <v>0</v>
      </c>
      <c r="F404" s="270">
        <f>'🧮 Costos x Producto'!K403</f>
        <v>0</v>
      </c>
      <c r="G404" s="351">
        <f t="shared" si="20"/>
        <v>0.4</v>
      </c>
      <c r="H404" s="267">
        <f t="shared" si="21"/>
        <v>0</v>
      </c>
      <c r="I404" s="110">
        <f>IF(H404=0,0,H404*(1+'📋 Datos Generales'!$E$28))</f>
        <v>0</v>
      </c>
      <c r="J404" s="268">
        <f t="shared" si="22"/>
        <v>0</v>
      </c>
      <c r="K404" s="269">
        <f>IF(OR(I404=0,'🧾 Factura Comercial'!G403=0),0,CEILING('🧮 Costos x Producto'!J403*'🧾 Factura Comercial'!G403/I404,1))</f>
        <v>0</v>
      </c>
    </row>
    <row r="405" spans="4:11" ht="19.5" hidden="1" customHeight="1" thickBot="1" x14ac:dyDescent="0.3">
      <c r="D405" s="28">
        <v>398</v>
      </c>
      <c r="E405" s="262">
        <f>'🧾 Factura Comercial'!E404</f>
        <v>0</v>
      </c>
      <c r="F405" s="270">
        <f>'🧮 Costos x Producto'!K404</f>
        <v>0</v>
      </c>
      <c r="G405" s="351">
        <f t="shared" si="20"/>
        <v>0.4</v>
      </c>
      <c r="H405" s="267">
        <f t="shared" si="21"/>
        <v>0</v>
      </c>
      <c r="I405" s="110">
        <f>IF(H405=0,0,H405*(1+'📋 Datos Generales'!$E$28))</f>
        <v>0</v>
      </c>
      <c r="J405" s="268">
        <f t="shared" si="22"/>
        <v>0</v>
      </c>
      <c r="K405" s="269">
        <f>IF(OR(I405=0,'🧾 Factura Comercial'!G404=0),0,CEILING('🧮 Costos x Producto'!J404*'🧾 Factura Comercial'!G404/I405,1))</f>
        <v>0</v>
      </c>
    </row>
    <row r="406" spans="4:11" ht="19.5" hidden="1" customHeight="1" thickBot="1" x14ac:dyDescent="0.3">
      <c r="D406" s="28">
        <v>399</v>
      </c>
      <c r="E406" s="262">
        <f>'🧾 Factura Comercial'!E405</f>
        <v>0</v>
      </c>
      <c r="F406" s="270">
        <f>'🧮 Costos x Producto'!K405</f>
        <v>0</v>
      </c>
      <c r="G406" s="351">
        <f t="shared" si="20"/>
        <v>0.4</v>
      </c>
      <c r="H406" s="267">
        <f t="shared" si="21"/>
        <v>0</v>
      </c>
      <c r="I406" s="110">
        <f>IF(H406=0,0,H406*(1+'📋 Datos Generales'!$E$28))</f>
        <v>0</v>
      </c>
      <c r="J406" s="268">
        <f t="shared" si="22"/>
        <v>0</v>
      </c>
      <c r="K406" s="269">
        <f>IF(OR(I406=0,'🧾 Factura Comercial'!G405=0),0,CEILING('🧮 Costos x Producto'!J405*'🧾 Factura Comercial'!G405/I406,1))</f>
        <v>0</v>
      </c>
    </row>
    <row r="407" spans="4:11" ht="19.5" hidden="1" customHeight="1" thickBot="1" x14ac:dyDescent="0.3">
      <c r="D407" s="28">
        <v>400</v>
      </c>
      <c r="E407" s="262">
        <f>'🧾 Factura Comercial'!E406</f>
        <v>0</v>
      </c>
      <c r="F407" s="270">
        <f>'🧮 Costos x Producto'!K406</f>
        <v>0</v>
      </c>
      <c r="G407" s="351">
        <f t="shared" si="20"/>
        <v>0.4</v>
      </c>
      <c r="H407" s="267">
        <f t="shared" si="21"/>
        <v>0</v>
      </c>
      <c r="I407" s="110">
        <f>IF(H407=0,0,H407*(1+'📋 Datos Generales'!$E$28))</f>
        <v>0</v>
      </c>
      <c r="J407" s="268">
        <f t="shared" si="22"/>
        <v>0</v>
      </c>
      <c r="K407" s="269">
        <f>IF(OR(I407=0,'🧾 Factura Comercial'!G406=0),0,CEILING('🧮 Costos x Producto'!J406*'🧾 Factura Comercial'!G406/I407,1))</f>
        <v>0</v>
      </c>
    </row>
    <row r="408" spans="4:11" ht="19.5" hidden="1" customHeight="1" thickBot="1" x14ac:dyDescent="0.3">
      <c r="D408" s="28">
        <v>401</v>
      </c>
      <c r="E408" s="262">
        <f>'🧾 Factura Comercial'!E407</f>
        <v>0</v>
      </c>
      <c r="F408" s="270">
        <f>'🧮 Costos x Producto'!K407</f>
        <v>0</v>
      </c>
      <c r="G408" s="351">
        <f t="shared" si="20"/>
        <v>0.4</v>
      </c>
      <c r="H408" s="267">
        <f t="shared" si="21"/>
        <v>0</v>
      </c>
      <c r="I408" s="110">
        <f>IF(H408=0,0,H408*(1+'📋 Datos Generales'!$E$28))</f>
        <v>0</v>
      </c>
      <c r="J408" s="268">
        <f t="shared" si="22"/>
        <v>0</v>
      </c>
      <c r="K408" s="269">
        <f>IF(OR(I408=0,'🧾 Factura Comercial'!G407=0),0,CEILING('🧮 Costos x Producto'!J407*'🧾 Factura Comercial'!G407/I408,1))</f>
        <v>0</v>
      </c>
    </row>
    <row r="409" spans="4:11" ht="19.5" hidden="1" customHeight="1" thickBot="1" x14ac:dyDescent="0.3">
      <c r="D409" s="28">
        <v>402</v>
      </c>
      <c r="E409" s="262">
        <f>'🧾 Factura Comercial'!E408</f>
        <v>0</v>
      </c>
      <c r="F409" s="270">
        <f>'🧮 Costos x Producto'!K408</f>
        <v>0</v>
      </c>
      <c r="G409" s="351">
        <f t="shared" si="20"/>
        <v>0.4</v>
      </c>
      <c r="H409" s="267">
        <f t="shared" si="21"/>
        <v>0</v>
      </c>
      <c r="I409" s="110">
        <f>IF(H409=0,0,H409*(1+'📋 Datos Generales'!$E$28))</f>
        <v>0</v>
      </c>
      <c r="J409" s="268">
        <f t="shared" si="22"/>
        <v>0</v>
      </c>
      <c r="K409" s="269">
        <f>IF(OR(I409=0,'🧾 Factura Comercial'!G408=0),0,CEILING('🧮 Costos x Producto'!J408*'🧾 Factura Comercial'!G408/I409,1))</f>
        <v>0</v>
      </c>
    </row>
    <row r="410" spans="4:11" ht="19.5" hidden="1" customHeight="1" thickBot="1" x14ac:dyDescent="0.3">
      <c r="D410" s="28">
        <v>403</v>
      </c>
      <c r="E410" s="262">
        <f>'🧾 Factura Comercial'!E409</f>
        <v>0</v>
      </c>
      <c r="F410" s="270">
        <f>'🧮 Costos x Producto'!K409</f>
        <v>0</v>
      </c>
      <c r="G410" s="351">
        <f t="shared" si="20"/>
        <v>0.4</v>
      </c>
      <c r="H410" s="267">
        <f t="shared" si="21"/>
        <v>0</v>
      </c>
      <c r="I410" s="110">
        <f>IF(H410=0,0,H410*(1+'📋 Datos Generales'!$E$28))</f>
        <v>0</v>
      </c>
      <c r="J410" s="268">
        <f t="shared" si="22"/>
        <v>0</v>
      </c>
      <c r="K410" s="269">
        <f>IF(OR(I410=0,'🧾 Factura Comercial'!G409=0),0,CEILING('🧮 Costos x Producto'!J409*'🧾 Factura Comercial'!G409/I410,1))</f>
        <v>0</v>
      </c>
    </row>
    <row r="411" spans="4:11" ht="19.5" hidden="1" customHeight="1" thickBot="1" x14ac:dyDescent="0.3">
      <c r="D411" s="28">
        <v>404</v>
      </c>
      <c r="E411" s="262">
        <f>'🧾 Factura Comercial'!E410</f>
        <v>0</v>
      </c>
      <c r="F411" s="270">
        <f>'🧮 Costos x Producto'!K410</f>
        <v>0</v>
      </c>
      <c r="G411" s="351">
        <f t="shared" si="20"/>
        <v>0.4</v>
      </c>
      <c r="H411" s="267">
        <f t="shared" si="21"/>
        <v>0</v>
      </c>
      <c r="I411" s="110">
        <f>IF(H411=0,0,H411*(1+'📋 Datos Generales'!$E$28))</f>
        <v>0</v>
      </c>
      <c r="J411" s="268">
        <f t="shared" si="22"/>
        <v>0</v>
      </c>
      <c r="K411" s="269">
        <f>IF(OR(I411=0,'🧾 Factura Comercial'!G410=0),0,CEILING('🧮 Costos x Producto'!J410*'🧾 Factura Comercial'!G410/I411,1))</f>
        <v>0</v>
      </c>
    </row>
    <row r="412" spans="4:11" ht="19.5" hidden="1" customHeight="1" thickBot="1" x14ac:dyDescent="0.3">
      <c r="D412" s="28">
        <v>405</v>
      </c>
      <c r="E412" s="262">
        <f>'🧾 Factura Comercial'!E411</f>
        <v>0</v>
      </c>
      <c r="F412" s="270">
        <f>'🧮 Costos x Producto'!K411</f>
        <v>0</v>
      </c>
      <c r="G412" s="351">
        <f t="shared" si="20"/>
        <v>0.4</v>
      </c>
      <c r="H412" s="267">
        <f t="shared" si="21"/>
        <v>0</v>
      </c>
      <c r="I412" s="110">
        <f>IF(H412=0,0,H412*(1+'📋 Datos Generales'!$E$28))</f>
        <v>0</v>
      </c>
      <c r="J412" s="268">
        <f t="shared" si="22"/>
        <v>0</v>
      </c>
      <c r="K412" s="269">
        <f>IF(OR(I412=0,'🧾 Factura Comercial'!G411=0),0,CEILING('🧮 Costos x Producto'!J411*'🧾 Factura Comercial'!G411/I412,1))</f>
        <v>0</v>
      </c>
    </row>
    <row r="413" spans="4:11" ht="19.5" hidden="1" customHeight="1" thickBot="1" x14ac:dyDescent="0.3">
      <c r="D413" s="28">
        <v>406</v>
      </c>
      <c r="E413" s="262">
        <f>'🧾 Factura Comercial'!E412</f>
        <v>0</v>
      </c>
      <c r="F413" s="270">
        <f>'🧮 Costos x Producto'!K412</f>
        <v>0</v>
      </c>
      <c r="G413" s="351">
        <f t="shared" si="20"/>
        <v>0.4</v>
      </c>
      <c r="H413" s="267">
        <f t="shared" si="21"/>
        <v>0</v>
      </c>
      <c r="I413" s="110">
        <f>IF(H413=0,0,H413*(1+'📋 Datos Generales'!$E$28))</f>
        <v>0</v>
      </c>
      <c r="J413" s="268">
        <f t="shared" si="22"/>
        <v>0</v>
      </c>
      <c r="K413" s="269">
        <f>IF(OR(I413=0,'🧾 Factura Comercial'!G412=0),0,CEILING('🧮 Costos x Producto'!J412*'🧾 Factura Comercial'!G412/I413,1))</f>
        <v>0</v>
      </c>
    </row>
    <row r="414" spans="4:11" ht="19.5" hidden="1" customHeight="1" thickBot="1" x14ac:dyDescent="0.3">
      <c r="D414" s="28">
        <v>407</v>
      </c>
      <c r="E414" s="262">
        <f>'🧾 Factura Comercial'!E413</f>
        <v>0</v>
      </c>
      <c r="F414" s="270">
        <f>'🧮 Costos x Producto'!K413</f>
        <v>0</v>
      </c>
      <c r="G414" s="351">
        <f t="shared" si="20"/>
        <v>0.4</v>
      </c>
      <c r="H414" s="267">
        <f t="shared" si="21"/>
        <v>0</v>
      </c>
      <c r="I414" s="110">
        <f>IF(H414=0,0,H414*(1+'📋 Datos Generales'!$E$28))</f>
        <v>0</v>
      </c>
      <c r="J414" s="268">
        <f t="shared" si="22"/>
        <v>0</v>
      </c>
      <c r="K414" s="269">
        <f>IF(OR(I414=0,'🧾 Factura Comercial'!G413=0),0,CEILING('🧮 Costos x Producto'!J413*'🧾 Factura Comercial'!G413/I414,1))</f>
        <v>0</v>
      </c>
    </row>
    <row r="415" spans="4:11" ht="19.5" hidden="1" customHeight="1" thickBot="1" x14ac:dyDescent="0.3">
      <c r="D415" s="28">
        <v>408</v>
      </c>
      <c r="E415" s="262">
        <f>'🧾 Factura Comercial'!E414</f>
        <v>0</v>
      </c>
      <c r="F415" s="270">
        <f>'🧮 Costos x Producto'!K414</f>
        <v>0</v>
      </c>
      <c r="G415" s="351">
        <f t="shared" si="20"/>
        <v>0.4</v>
      </c>
      <c r="H415" s="267">
        <f t="shared" si="21"/>
        <v>0</v>
      </c>
      <c r="I415" s="110">
        <f>IF(H415=0,0,H415*(1+'📋 Datos Generales'!$E$28))</f>
        <v>0</v>
      </c>
      <c r="J415" s="268">
        <f t="shared" si="22"/>
        <v>0</v>
      </c>
      <c r="K415" s="269">
        <f>IF(OR(I415=0,'🧾 Factura Comercial'!G414=0),0,CEILING('🧮 Costos x Producto'!J414*'🧾 Factura Comercial'!G414/I415,1))</f>
        <v>0</v>
      </c>
    </row>
    <row r="416" spans="4:11" ht="19.5" hidden="1" customHeight="1" thickBot="1" x14ac:dyDescent="0.3">
      <c r="D416" s="28">
        <v>409</v>
      </c>
      <c r="E416" s="262">
        <f>'🧾 Factura Comercial'!E415</f>
        <v>0</v>
      </c>
      <c r="F416" s="270">
        <f>'🧮 Costos x Producto'!K415</f>
        <v>0</v>
      </c>
      <c r="G416" s="351">
        <f t="shared" si="20"/>
        <v>0.4</v>
      </c>
      <c r="H416" s="267">
        <f t="shared" si="21"/>
        <v>0</v>
      </c>
      <c r="I416" s="110">
        <f>IF(H416=0,0,H416*(1+'📋 Datos Generales'!$E$28))</f>
        <v>0</v>
      </c>
      <c r="J416" s="268">
        <f t="shared" si="22"/>
        <v>0</v>
      </c>
      <c r="K416" s="269">
        <f>IF(OR(I416=0,'🧾 Factura Comercial'!G415=0),0,CEILING('🧮 Costos x Producto'!J415*'🧾 Factura Comercial'!G415/I416,1))</f>
        <v>0</v>
      </c>
    </row>
    <row r="417" spans="4:11" ht="19.5" hidden="1" customHeight="1" thickBot="1" x14ac:dyDescent="0.3">
      <c r="D417" s="28">
        <v>410</v>
      </c>
      <c r="E417" s="262">
        <f>'🧾 Factura Comercial'!E416</f>
        <v>0</v>
      </c>
      <c r="F417" s="270">
        <f>'🧮 Costos x Producto'!K416</f>
        <v>0</v>
      </c>
      <c r="G417" s="351">
        <f t="shared" si="20"/>
        <v>0.4</v>
      </c>
      <c r="H417" s="267">
        <f t="shared" si="21"/>
        <v>0</v>
      </c>
      <c r="I417" s="110">
        <f>IF(H417=0,0,H417*(1+'📋 Datos Generales'!$E$28))</f>
        <v>0</v>
      </c>
      <c r="J417" s="268">
        <f t="shared" si="22"/>
        <v>0</v>
      </c>
      <c r="K417" s="269">
        <f>IF(OR(I417=0,'🧾 Factura Comercial'!G416=0),0,CEILING('🧮 Costos x Producto'!J416*'🧾 Factura Comercial'!G416/I417,1))</f>
        <v>0</v>
      </c>
    </row>
    <row r="418" spans="4:11" ht="19.5" hidden="1" customHeight="1" thickBot="1" x14ac:dyDescent="0.3">
      <c r="D418" s="28">
        <v>411</v>
      </c>
      <c r="E418" s="262">
        <f>'🧾 Factura Comercial'!E417</f>
        <v>0</v>
      </c>
      <c r="F418" s="270">
        <f>'🧮 Costos x Producto'!K417</f>
        <v>0</v>
      </c>
      <c r="G418" s="351">
        <f t="shared" si="20"/>
        <v>0.4</v>
      </c>
      <c r="H418" s="267">
        <f t="shared" si="21"/>
        <v>0</v>
      </c>
      <c r="I418" s="110">
        <f>IF(H418=0,0,H418*(1+'📋 Datos Generales'!$E$28))</f>
        <v>0</v>
      </c>
      <c r="J418" s="268">
        <f t="shared" si="22"/>
        <v>0</v>
      </c>
      <c r="K418" s="269">
        <f>IF(OR(I418=0,'🧾 Factura Comercial'!G417=0),0,CEILING('🧮 Costos x Producto'!J417*'🧾 Factura Comercial'!G417/I418,1))</f>
        <v>0</v>
      </c>
    </row>
    <row r="419" spans="4:11" ht="19.5" hidden="1" customHeight="1" thickBot="1" x14ac:dyDescent="0.3">
      <c r="D419" s="28">
        <v>412</v>
      </c>
      <c r="E419" s="262">
        <f>'🧾 Factura Comercial'!E418</f>
        <v>0</v>
      </c>
      <c r="F419" s="270">
        <f>'🧮 Costos x Producto'!K418</f>
        <v>0</v>
      </c>
      <c r="G419" s="351">
        <f t="shared" si="20"/>
        <v>0.4</v>
      </c>
      <c r="H419" s="267">
        <f t="shared" si="21"/>
        <v>0</v>
      </c>
      <c r="I419" s="110">
        <f>IF(H419=0,0,H419*(1+'📋 Datos Generales'!$E$28))</f>
        <v>0</v>
      </c>
      <c r="J419" s="268">
        <f t="shared" si="22"/>
        <v>0</v>
      </c>
      <c r="K419" s="269">
        <f>IF(OR(I419=0,'🧾 Factura Comercial'!G418=0),0,CEILING('🧮 Costos x Producto'!J418*'🧾 Factura Comercial'!G418/I419,1))</f>
        <v>0</v>
      </c>
    </row>
    <row r="420" spans="4:11" ht="19.5" hidden="1" customHeight="1" thickBot="1" x14ac:dyDescent="0.3">
      <c r="D420" s="28">
        <v>413</v>
      </c>
      <c r="E420" s="262">
        <f>'🧾 Factura Comercial'!E419</f>
        <v>0</v>
      </c>
      <c r="F420" s="270">
        <f>'🧮 Costos x Producto'!K419</f>
        <v>0</v>
      </c>
      <c r="G420" s="351">
        <f t="shared" si="20"/>
        <v>0.4</v>
      </c>
      <c r="H420" s="267">
        <f t="shared" si="21"/>
        <v>0</v>
      </c>
      <c r="I420" s="110">
        <f>IF(H420=0,0,H420*(1+'📋 Datos Generales'!$E$28))</f>
        <v>0</v>
      </c>
      <c r="J420" s="268">
        <f t="shared" si="22"/>
        <v>0</v>
      </c>
      <c r="K420" s="269">
        <f>IF(OR(I420=0,'🧾 Factura Comercial'!G419=0),0,CEILING('🧮 Costos x Producto'!J419*'🧾 Factura Comercial'!G419/I420,1))</f>
        <v>0</v>
      </c>
    </row>
    <row r="421" spans="4:11" ht="19.5" hidden="1" customHeight="1" thickBot="1" x14ac:dyDescent="0.3">
      <c r="D421" s="28">
        <v>414</v>
      </c>
      <c r="E421" s="262">
        <f>'🧾 Factura Comercial'!E420</f>
        <v>0</v>
      </c>
      <c r="F421" s="270">
        <f>'🧮 Costos x Producto'!K420</f>
        <v>0</v>
      </c>
      <c r="G421" s="351">
        <f t="shared" si="20"/>
        <v>0.4</v>
      </c>
      <c r="H421" s="267">
        <f t="shared" si="21"/>
        <v>0</v>
      </c>
      <c r="I421" s="110">
        <f>IF(H421=0,0,H421*(1+'📋 Datos Generales'!$E$28))</f>
        <v>0</v>
      </c>
      <c r="J421" s="268">
        <f t="shared" si="22"/>
        <v>0</v>
      </c>
      <c r="K421" s="269">
        <f>IF(OR(I421=0,'🧾 Factura Comercial'!G420=0),0,CEILING('🧮 Costos x Producto'!J420*'🧾 Factura Comercial'!G420/I421,1))</f>
        <v>0</v>
      </c>
    </row>
    <row r="422" spans="4:11" ht="19.5" hidden="1" customHeight="1" thickBot="1" x14ac:dyDescent="0.3">
      <c r="D422" s="28">
        <v>415</v>
      </c>
      <c r="E422" s="262">
        <f>'🧾 Factura Comercial'!E421</f>
        <v>0</v>
      </c>
      <c r="F422" s="270">
        <f>'🧮 Costos x Producto'!K421</f>
        <v>0</v>
      </c>
      <c r="G422" s="351">
        <f t="shared" si="20"/>
        <v>0.4</v>
      </c>
      <c r="H422" s="267">
        <f t="shared" si="21"/>
        <v>0</v>
      </c>
      <c r="I422" s="110">
        <f>IF(H422=0,0,H422*(1+'📋 Datos Generales'!$E$28))</f>
        <v>0</v>
      </c>
      <c r="J422" s="268">
        <f t="shared" si="22"/>
        <v>0</v>
      </c>
      <c r="K422" s="269">
        <f>IF(OR(I422=0,'🧾 Factura Comercial'!G421=0),0,CEILING('🧮 Costos x Producto'!J421*'🧾 Factura Comercial'!G421/I422,1))</f>
        <v>0</v>
      </c>
    </row>
    <row r="423" spans="4:11" ht="19.5" hidden="1" customHeight="1" thickBot="1" x14ac:dyDescent="0.3">
      <c r="D423" s="28">
        <v>416</v>
      </c>
      <c r="E423" s="262">
        <f>'🧾 Factura Comercial'!E422</f>
        <v>0</v>
      </c>
      <c r="F423" s="270">
        <f>'🧮 Costos x Producto'!K422</f>
        <v>0</v>
      </c>
      <c r="G423" s="351">
        <f t="shared" si="20"/>
        <v>0.4</v>
      </c>
      <c r="H423" s="267">
        <f t="shared" si="21"/>
        <v>0</v>
      </c>
      <c r="I423" s="110">
        <f>IF(H423=0,0,H423*(1+'📋 Datos Generales'!$E$28))</f>
        <v>0</v>
      </c>
      <c r="J423" s="268">
        <f t="shared" si="22"/>
        <v>0</v>
      </c>
      <c r="K423" s="269">
        <f>IF(OR(I423=0,'🧾 Factura Comercial'!G422=0),0,CEILING('🧮 Costos x Producto'!J422*'🧾 Factura Comercial'!G422/I423,1))</f>
        <v>0</v>
      </c>
    </row>
    <row r="424" spans="4:11" ht="19.5" hidden="1" customHeight="1" thickBot="1" x14ac:dyDescent="0.3">
      <c r="D424" s="28">
        <v>417</v>
      </c>
      <c r="E424" s="262">
        <f>'🧾 Factura Comercial'!E423</f>
        <v>0</v>
      </c>
      <c r="F424" s="270">
        <f>'🧮 Costos x Producto'!K423</f>
        <v>0</v>
      </c>
      <c r="G424" s="351">
        <f t="shared" si="20"/>
        <v>0.4</v>
      </c>
      <c r="H424" s="267">
        <f t="shared" si="21"/>
        <v>0</v>
      </c>
      <c r="I424" s="110">
        <f>IF(H424=0,0,H424*(1+'📋 Datos Generales'!$E$28))</f>
        <v>0</v>
      </c>
      <c r="J424" s="268">
        <f t="shared" si="22"/>
        <v>0</v>
      </c>
      <c r="K424" s="269">
        <f>IF(OR(I424=0,'🧾 Factura Comercial'!G423=0),0,CEILING('🧮 Costos x Producto'!J423*'🧾 Factura Comercial'!G423/I424,1))</f>
        <v>0</v>
      </c>
    </row>
    <row r="425" spans="4:11" ht="19.5" hidden="1" customHeight="1" thickBot="1" x14ac:dyDescent="0.3">
      <c r="D425" s="28">
        <v>418</v>
      </c>
      <c r="E425" s="262">
        <f>'🧾 Factura Comercial'!E424</f>
        <v>0</v>
      </c>
      <c r="F425" s="270">
        <f>'🧮 Costos x Producto'!K424</f>
        <v>0</v>
      </c>
      <c r="G425" s="351">
        <f t="shared" si="20"/>
        <v>0.4</v>
      </c>
      <c r="H425" s="267">
        <f t="shared" si="21"/>
        <v>0</v>
      </c>
      <c r="I425" s="110">
        <f>IF(H425=0,0,H425*(1+'📋 Datos Generales'!$E$28))</f>
        <v>0</v>
      </c>
      <c r="J425" s="268">
        <f t="shared" si="22"/>
        <v>0</v>
      </c>
      <c r="K425" s="269">
        <f>IF(OR(I425=0,'🧾 Factura Comercial'!G424=0),0,CEILING('🧮 Costos x Producto'!J424*'🧾 Factura Comercial'!G424/I425,1))</f>
        <v>0</v>
      </c>
    </row>
    <row r="426" spans="4:11" ht="19.5" hidden="1" customHeight="1" thickBot="1" x14ac:dyDescent="0.3">
      <c r="D426" s="28">
        <v>419</v>
      </c>
      <c r="E426" s="262">
        <f>'🧾 Factura Comercial'!E425</f>
        <v>0</v>
      </c>
      <c r="F426" s="270">
        <f>'🧮 Costos x Producto'!K425</f>
        <v>0</v>
      </c>
      <c r="G426" s="351">
        <f t="shared" si="20"/>
        <v>0.4</v>
      </c>
      <c r="H426" s="267">
        <f t="shared" si="21"/>
        <v>0</v>
      </c>
      <c r="I426" s="110">
        <f>IF(H426=0,0,H426*(1+'📋 Datos Generales'!$E$28))</f>
        <v>0</v>
      </c>
      <c r="J426" s="268">
        <f t="shared" si="22"/>
        <v>0</v>
      </c>
      <c r="K426" s="269">
        <f>IF(OR(I426=0,'🧾 Factura Comercial'!G425=0),0,CEILING('🧮 Costos x Producto'!J425*'🧾 Factura Comercial'!G425/I426,1))</f>
        <v>0</v>
      </c>
    </row>
    <row r="427" spans="4:11" ht="19.5" hidden="1" customHeight="1" thickBot="1" x14ac:dyDescent="0.3">
      <c r="D427" s="28">
        <v>420</v>
      </c>
      <c r="E427" s="262">
        <f>'🧾 Factura Comercial'!E426</f>
        <v>0</v>
      </c>
      <c r="F427" s="270">
        <f>'🧮 Costos x Producto'!K426</f>
        <v>0</v>
      </c>
      <c r="G427" s="351">
        <f t="shared" si="20"/>
        <v>0.4</v>
      </c>
      <c r="H427" s="267">
        <f t="shared" si="21"/>
        <v>0</v>
      </c>
      <c r="I427" s="110">
        <f>IF(H427=0,0,H427*(1+'📋 Datos Generales'!$E$28))</f>
        <v>0</v>
      </c>
      <c r="J427" s="268">
        <f t="shared" si="22"/>
        <v>0</v>
      </c>
      <c r="K427" s="269">
        <f>IF(OR(I427=0,'🧾 Factura Comercial'!G426=0),0,CEILING('🧮 Costos x Producto'!J426*'🧾 Factura Comercial'!G426/I427,1))</f>
        <v>0</v>
      </c>
    </row>
    <row r="428" spans="4:11" ht="19.5" hidden="1" customHeight="1" thickBot="1" x14ac:dyDescent="0.3">
      <c r="D428" s="28">
        <v>421</v>
      </c>
      <c r="E428" s="262">
        <f>'🧾 Factura Comercial'!E427</f>
        <v>0</v>
      </c>
      <c r="F428" s="270">
        <f>'🧮 Costos x Producto'!K427</f>
        <v>0</v>
      </c>
      <c r="G428" s="351">
        <f t="shared" si="20"/>
        <v>0.4</v>
      </c>
      <c r="H428" s="267">
        <f t="shared" si="21"/>
        <v>0</v>
      </c>
      <c r="I428" s="110">
        <f>IF(H428=0,0,H428*(1+'📋 Datos Generales'!$E$28))</f>
        <v>0</v>
      </c>
      <c r="J428" s="268">
        <f t="shared" si="22"/>
        <v>0</v>
      </c>
      <c r="K428" s="269">
        <f>IF(OR(I428=0,'🧾 Factura Comercial'!G427=0),0,CEILING('🧮 Costos x Producto'!J427*'🧾 Factura Comercial'!G427/I428,1))</f>
        <v>0</v>
      </c>
    </row>
    <row r="429" spans="4:11" ht="19.5" hidden="1" customHeight="1" thickBot="1" x14ac:dyDescent="0.3">
      <c r="D429" s="28">
        <v>422</v>
      </c>
      <c r="E429" s="262">
        <f>'🧾 Factura Comercial'!E428</f>
        <v>0</v>
      </c>
      <c r="F429" s="270">
        <f>'🧮 Costos x Producto'!K428</f>
        <v>0</v>
      </c>
      <c r="G429" s="351">
        <f t="shared" si="20"/>
        <v>0.4</v>
      </c>
      <c r="H429" s="267">
        <f t="shared" si="21"/>
        <v>0</v>
      </c>
      <c r="I429" s="110">
        <f>IF(H429=0,0,H429*(1+'📋 Datos Generales'!$E$28))</f>
        <v>0</v>
      </c>
      <c r="J429" s="268">
        <f t="shared" si="22"/>
        <v>0</v>
      </c>
      <c r="K429" s="269">
        <f>IF(OR(I429=0,'🧾 Factura Comercial'!G428=0),0,CEILING('🧮 Costos x Producto'!J428*'🧾 Factura Comercial'!G428/I429,1))</f>
        <v>0</v>
      </c>
    </row>
    <row r="430" spans="4:11" ht="19.5" hidden="1" customHeight="1" thickBot="1" x14ac:dyDescent="0.3">
      <c r="D430" s="28">
        <v>423</v>
      </c>
      <c r="E430" s="262">
        <f>'🧾 Factura Comercial'!E429</f>
        <v>0</v>
      </c>
      <c r="F430" s="270">
        <f>'🧮 Costos x Producto'!K429</f>
        <v>0</v>
      </c>
      <c r="G430" s="351">
        <f t="shared" si="20"/>
        <v>0.4</v>
      </c>
      <c r="H430" s="267">
        <f t="shared" si="21"/>
        <v>0</v>
      </c>
      <c r="I430" s="110">
        <f>IF(H430=0,0,H430*(1+'📋 Datos Generales'!$E$28))</f>
        <v>0</v>
      </c>
      <c r="J430" s="268">
        <f t="shared" si="22"/>
        <v>0</v>
      </c>
      <c r="K430" s="269">
        <f>IF(OR(I430=0,'🧾 Factura Comercial'!G429=0),0,CEILING('🧮 Costos x Producto'!J429*'🧾 Factura Comercial'!G429/I430,1))</f>
        <v>0</v>
      </c>
    </row>
    <row r="431" spans="4:11" ht="19.5" hidden="1" customHeight="1" thickBot="1" x14ac:dyDescent="0.3">
      <c r="D431" s="28">
        <v>424</v>
      </c>
      <c r="E431" s="262">
        <f>'🧾 Factura Comercial'!E430</f>
        <v>0</v>
      </c>
      <c r="F431" s="270">
        <f>'🧮 Costos x Producto'!K430</f>
        <v>0</v>
      </c>
      <c r="G431" s="351">
        <f t="shared" si="20"/>
        <v>0.4</v>
      </c>
      <c r="H431" s="267">
        <f t="shared" si="21"/>
        <v>0</v>
      </c>
      <c r="I431" s="110">
        <f>IF(H431=0,0,H431*(1+'📋 Datos Generales'!$E$28))</f>
        <v>0</v>
      </c>
      <c r="J431" s="268">
        <f t="shared" si="22"/>
        <v>0</v>
      </c>
      <c r="K431" s="269">
        <f>IF(OR(I431=0,'🧾 Factura Comercial'!G430=0),0,CEILING('🧮 Costos x Producto'!J430*'🧾 Factura Comercial'!G430/I431,1))</f>
        <v>0</v>
      </c>
    </row>
    <row r="432" spans="4:11" ht="19.5" hidden="1" customHeight="1" thickBot="1" x14ac:dyDescent="0.3">
      <c r="D432" s="28">
        <v>425</v>
      </c>
      <c r="E432" s="262">
        <f>'🧾 Factura Comercial'!E431</f>
        <v>0</v>
      </c>
      <c r="F432" s="270">
        <f>'🧮 Costos x Producto'!K431</f>
        <v>0</v>
      </c>
      <c r="G432" s="351">
        <f t="shared" si="20"/>
        <v>0.4</v>
      </c>
      <c r="H432" s="267">
        <f t="shared" si="21"/>
        <v>0</v>
      </c>
      <c r="I432" s="110">
        <f>IF(H432=0,0,H432*(1+'📋 Datos Generales'!$E$28))</f>
        <v>0</v>
      </c>
      <c r="J432" s="268">
        <f t="shared" si="22"/>
        <v>0</v>
      </c>
      <c r="K432" s="269">
        <f>IF(OR(I432=0,'🧾 Factura Comercial'!G431=0),0,CEILING('🧮 Costos x Producto'!J431*'🧾 Factura Comercial'!G431/I432,1))</f>
        <v>0</v>
      </c>
    </row>
    <row r="433" spans="4:11" ht="19.5" hidden="1" customHeight="1" thickBot="1" x14ac:dyDescent="0.3">
      <c r="D433" s="28">
        <v>426</v>
      </c>
      <c r="E433" s="262">
        <f>'🧾 Factura Comercial'!E432</f>
        <v>0</v>
      </c>
      <c r="F433" s="270">
        <f>'🧮 Costos x Producto'!K432</f>
        <v>0</v>
      </c>
      <c r="G433" s="351">
        <f t="shared" si="20"/>
        <v>0.4</v>
      </c>
      <c r="H433" s="267">
        <f t="shared" si="21"/>
        <v>0</v>
      </c>
      <c r="I433" s="110">
        <f>IF(H433=0,0,H433*(1+'📋 Datos Generales'!$E$28))</f>
        <v>0</v>
      </c>
      <c r="J433" s="268">
        <f t="shared" si="22"/>
        <v>0</v>
      </c>
      <c r="K433" s="269">
        <f>IF(OR(I433=0,'🧾 Factura Comercial'!G432=0),0,CEILING('🧮 Costos x Producto'!J432*'🧾 Factura Comercial'!G432/I433,1))</f>
        <v>0</v>
      </c>
    </row>
    <row r="434" spans="4:11" ht="19.5" hidden="1" customHeight="1" thickBot="1" x14ac:dyDescent="0.3">
      <c r="D434" s="28">
        <v>427</v>
      </c>
      <c r="E434" s="262">
        <f>'🧾 Factura Comercial'!E433</f>
        <v>0</v>
      </c>
      <c r="F434" s="270">
        <f>'🧮 Costos x Producto'!K433</f>
        <v>0</v>
      </c>
      <c r="G434" s="351">
        <f t="shared" si="20"/>
        <v>0.4</v>
      </c>
      <c r="H434" s="267">
        <f t="shared" si="21"/>
        <v>0</v>
      </c>
      <c r="I434" s="110">
        <f>IF(H434=0,0,H434*(1+'📋 Datos Generales'!$E$28))</f>
        <v>0</v>
      </c>
      <c r="J434" s="268">
        <f t="shared" si="22"/>
        <v>0</v>
      </c>
      <c r="K434" s="269">
        <f>IF(OR(I434=0,'🧾 Factura Comercial'!G433=0),0,CEILING('🧮 Costos x Producto'!J433*'🧾 Factura Comercial'!G433/I434,1))</f>
        <v>0</v>
      </c>
    </row>
    <row r="435" spans="4:11" ht="19.5" hidden="1" customHeight="1" thickBot="1" x14ac:dyDescent="0.3">
      <c r="D435" s="28">
        <v>428</v>
      </c>
      <c r="E435" s="262">
        <f>'🧾 Factura Comercial'!E434</f>
        <v>0</v>
      </c>
      <c r="F435" s="270">
        <f>'🧮 Costos x Producto'!K434</f>
        <v>0</v>
      </c>
      <c r="G435" s="351">
        <f t="shared" si="20"/>
        <v>0.4</v>
      </c>
      <c r="H435" s="267">
        <f t="shared" si="21"/>
        <v>0</v>
      </c>
      <c r="I435" s="110">
        <f>IF(H435=0,0,H435*(1+'📋 Datos Generales'!$E$28))</f>
        <v>0</v>
      </c>
      <c r="J435" s="268">
        <f t="shared" si="22"/>
        <v>0</v>
      </c>
      <c r="K435" s="269">
        <f>IF(OR(I435=0,'🧾 Factura Comercial'!G434=0),0,CEILING('🧮 Costos x Producto'!J434*'🧾 Factura Comercial'!G434/I435,1))</f>
        <v>0</v>
      </c>
    </row>
    <row r="436" spans="4:11" ht="19.5" hidden="1" customHeight="1" thickBot="1" x14ac:dyDescent="0.3">
      <c r="D436" s="28">
        <v>429</v>
      </c>
      <c r="E436" s="262">
        <f>'🧾 Factura Comercial'!E435</f>
        <v>0</v>
      </c>
      <c r="F436" s="270">
        <f>'🧮 Costos x Producto'!K435</f>
        <v>0</v>
      </c>
      <c r="G436" s="351">
        <f t="shared" si="20"/>
        <v>0.4</v>
      </c>
      <c r="H436" s="267">
        <f t="shared" si="21"/>
        <v>0</v>
      </c>
      <c r="I436" s="110">
        <f>IF(H436=0,0,H436*(1+'📋 Datos Generales'!$E$28))</f>
        <v>0</v>
      </c>
      <c r="J436" s="268">
        <f t="shared" si="22"/>
        <v>0</v>
      </c>
      <c r="K436" s="269">
        <f>IF(OR(I436=0,'🧾 Factura Comercial'!G435=0),0,CEILING('🧮 Costos x Producto'!J435*'🧾 Factura Comercial'!G435/I436,1))</f>
        <v>0</v>
      </c>
    </row>
    <row r="437" spans="4:11" ht="19.5" hidden="1" customHeight="1" thickBot="1" x14ac:dyDescent="0.3">
      <c r="D437" s="28">
        <v>430</v>
      </c>
      <c r="E437" s="262">
        <f>'🧾 Factura Comercial'!E436</f>
        <v>0</v>
      </c>
      <c r="F437" s="270">
        <f>'🧮 Costos x Producto'!K436</f>
        <v>0</v>
      </c>
      <c r="G437" s="351">
        <f t="shared" si="20"/>
        <v>0.4</v>
      </c>
      <c r="H437" s="267">
        <f t="shared" si="21"/>
        <v>0</v>
      </c>
      <c r="I437" s="110">
        <f>IF(H437=0,0,H437*(1+'📋 Datos Generales'!$E$28))</f>
        <v>0</v>
      </c>
      <c r="J437" s="268">
        <f t="shared" si="22"/>
        <v>0</v>
      </c>
      <c r="K437" s="269">
        <f>IF(OR(I437=0,'🧾 Factura Comercial'!G436=0),0,CEILING('🧮 Costos x Producto'!J436*'🧾 Factura Comercial'!G436/I437,1))</f>
        <v>0</v>
      </c>
    </row>
    <row r="438" spans="4:11" ht="19.5" hidden="1" customHeight="1" thickBot="1" x14ac:dyDescent="0.3">
      <c r="D438" s="28">
        <v>431</v>
      </c>
      <c r="E438" s="262">
        <f>'🧾 Factura Comercial'!E437</f>
        <v>0</v>
      </c>
      <c r="F438" s="270">
        <f>'🧮 Costos x Producto'!K437</f>
        <v>0</v>
      </c>
      <c r="G438" s="351">
        <f t="shared" si="20"/>
        <v>0.4</v>
      </c>
      <c r="H438" s="267">
        <f t="shared" si="21"/>
        <v>0</v>
      </c>
      <c r="I438" s="110">
        <f>IF(H438=0,0,H438*(1+'📋 Datos Generales'!$E$28))</f>
        <v>0</v>
      </c>
      <c r="J438" s="268">
        <f t="shared" si="22"/>
        <v>0</v>
      </c>
      <c r="K438" s="269">
        <f>IF(OR(I438=0,'🧾 Factura Comercial'!G437=0),0,CEILING('🧮 Costos x Producto'!J437*'🧾 Factura Comercial'!G437/I438,1))</f>
        <v>0</v>
      </c>
    </row>
    <row r="439" spans="4:11" ht="19.5" hidden="1" customHeight="1" thickBot="1" x14ac:dyDescent="0.3">
      <c r="D439" s="28">
        <v>432</v>
      </c>
      <c r="E439" s="262">
        <f>'🧾 Factura Comercial'!E438</f>
        <v>0</v>
      </c>
      <c r="F439" s="270">
        <f>'🧮 Costos x Producto'!K438</f>
        <v>0</v>
      </c>
      <c r="G439" s="351">
        <f t="shared" si="20"/>
        <v>0.4</v>
      </c>
      <c r="H439" s="267">
        <f t="shared" si="21"/>
        <v>0</v>
      </c>
      <c r="I439" s="110">
        <f>IF(H439=0,0,H439*(1+'📋 Datos Generales'!$E$28))</f>
        <v>0</v>
      </c>
      <c r="J439" s="268">
        <f t="shared" si="22"/>
        <v>0</v>
      </c>
      <c r="K439" s="269">
        <f>IF(OR(I439=0,'🧾 Factura Comercial'!G438=0),0,CEILING('🧮 Costos x Producto'!J438*'🧾 Factura Comercial'!G438/I439,1))</f>
        <v>0</v>
      </c>
    </row>
    <row r="440" spans="4:11" ht="19.5" hidden="1" customHeight="1" thickBot="1" x14ac:dyDescent="0.3">
      <c r="D440" s="28">
        <v>433</v>
      </c>
      <c r="E440" s="262">
        <f>'🧾 Factura Comercial'!E439</f>
        <v>0</v>
      </c>
      <c r="F440" s="270">
        <f>'🧮 Costos x Producto'!K439</f>
        <v>0</v>
      </c>
      <c r="G440" s="351">
        <f t="shared" si="20"/>
        <v>0.4</v>
      </c>
      <c r="H440" s="267">
        <f t="shared" si="21"/>
        <v>0</v>
      </c>
      <c r="I440" s="110">
        <f>IF(H440=0,0,H440*(1+'📋 Datos Generales'!$E$28))</f>
        <v>0</v>
      </c>
      <c r="J440" s="268">
        <f t="shared" si="22"/>
        <v>0</v>
      </c>
      <c r="K440" s="269">
        <f>IF(OR(I440=0,'🧾 Factura Comercial'!G439=0),0,CEILING('🧮 Costos x Producto'!J439*'🧾 Factura Comercial'!G439/I440,1))</f>
        <v>0</v>
      </c>
    </row>
    <row r="441" spans="4:11" ht="19.5" hidden="1" customHeight="1" thickBot="1" x14ac:dyDescent="0.3">
      <c r="D441" s="28">
        <v>434</v>
      </c>
      <c r="E441" s="262">
        <f>'🧾 Factura Comercial'!E440</f>
        <v>0</v>
      </c>
      <c r="F441" s="270">
        <f>'🧮 Costos x Producto'!K440</f>
        <v>0</v>
      </c>
      <c r="G441" s="351">
        <f t="shared" si="20"/>
        <v>0.4</v>
      </c>
      <c r="H441" s="267">
        <f t="shared" si="21"/>
        <v>0</v>
      </c>
      <c r="I441" s="110">
        <f>IF(H441=0,0,H441*(1+'📋 Datos Generales'!$E$28))</f>
        <v>0</v>
      </c>
      <c r="J441" s="268">
        <f t="shared" si="22"/>
        <v>0</v>
      </c>
      <c r="K441" s="269">
        <f>IF(OR(I441=0,'🧾 Factura Comercial'!G440=0),0,CEILING('🧮 Costos x Producto'!J440*'🧾 Factura Comercial'!G440/I441,1))</f>
        <v>0</v>
      </c>
    </row>
    <row r="442" spans="4:11" ht="19.5" hidden="1" customHeight="1" thickBot="1" x14ac:dyDescent="0.3">
      <c r="D442" s="28">
        <v>435</v>
      </c>
      <c r="E442" s="262">
        <f>'🧾 Factura Comercial'!E441</f>
        <v>0</v>
      </c>
      <c r="F442" s="270">
        <f>'🧮 Costos x Producto'!K441</f>
        <v>0</v>
      </c>
      <c r="G442" s="351">
        <f t="shared" si="20"/>
        <v>0.4</v>
      </c>
      <c r="H442" s="267">
        <f t="shared" si="21"/>
        <v>0</v>
      </c>
      <c r="I442" s="110">
        <f>IF(H442=0,0,H442*(1+'📋 Datos Generales'!$E$28))</f>
        <v>0</v>
      </c>
      <c r="J442" s="268">
        <f t="shared" si="22"/>
        <v>0</v>
      </c>
      <c r="K442" s="269">
        <f>IF(OR(I442=0,'🧾 Factura Comercial'!G441=0),0,CEILING('🧮 Costos x Producto'!J441*'🧾 Factura Comercial'!G441/I442,1))</f>
        <v>0</v>
      </c>
    </row>
    <row r="443" spans="4:11" ht="19.5" hidden="1" customHeight="1" thickBot="1" x14ac:dyDescent="0.3">
      <c r="D443" s="28">
        <v>436</v>
      </c>
      <c r="E443" s="262">
        <f>'🧾 Factura Comercial'!E442</f>
        <v>0</v>
      </c>
      <c r="F443" s="270">
        <f>'🧮 Costos x Producto'!K442</f>
        <v>0</v>
      </c>
      <c r="G443" s="351">
        <f t="shared" si="20"/>
        <v>0.4</v>
      </c>
      <c r="H443" s="267">
        <f t="shared" si="21"/>
        <v>0</v>
      </c>
      <c r="I443" s="110">
        <f>IF(H443=0,0,H443*(1+'📋 Datos Generales'!$E$28))</f>
        <v>0</v>
      </c>
      <c r="J443" s="268">
        <f t="shared" si="22"/>
        <v>0</v>
      </c>
      <c r="K443" s="269">
        <f>IF(OR(I443=0,'🧾 Factura Comercial'!G442=0),0,CEILING('🧮 Costos x Producto'!J442*'🧾 Factura Comercial'!G442/I443,1))</f>
        <v>0</v>
      </c>
    </row>
    <row r="444" spans="4:11" ht="19.5" hidden="1" customHeight="1" thickBot="1" x14ac:dyDescent="0.3">
      <c r="D444" s="28">
        <v>437</v>
      </c>
      <c r="E444" s="262">
        <f>'🧾 Factura Comercial'!E443</f>
        <v>0</v>
      </c>
      <c r="F444" s="270">
        <f>'🧮 Costos x Producto'!K443</f>
        <v>0</v>
      </c>
      <c r="G444" s="351">
        <f t="shared" si="20"/>
        <v>0.4</v>
      </c>
      <c r="H444" s="267">
        <f t="shared" si="21"/>
        <v>0</v>
      </c>
      <c r="I444" s="110">
        <f>IF(H444=0,0,H444*(1+'📋 Datos Generales'!$E$28))</f>
        <v>0</v>
      </c>
      <c r="J444" s="268">
        <f t="shared" si="22"/>
        <v>0</v>
      </c>
      <c r="K444" s="269">
        <f>IF(OR(I444=0,'🧾 Factura Comercial'!G443=0),0,CEILING('🧮 Costos x Producto'!J443*'🧾 Factura Comercial'!G443/I444,1))</f>
        <v>0</v>
      </c>
    </row>
    <row r="445" spans="4:11" ht="19.5" hidden="1" customHeight="1" thickBot="1" x14ac:dyDescent="0.3">
      <c r="D445" s="28">
        <v>438</v>
      </c>
      <c r="E445" s="262">
        <f>'🧾 Factura Comercial'!E444</f>
        <v>0</v>
      </c>
      <c r="F445" s="270">
        <f>'🧮 Costos x Producto'!K444</f>
        <v>0</v>
      </c>
      <c r="G445" s="351">
        <f t="shared" si="20"/>
        <v>0.4</v>
      </c>
      <c r="H445" s="267">
        <f t="shared" si="21"/>
        <v>0</v>
      </c>
      <c r="I445" s="110">
        <f>IF(H445=0,0,H445*(1+'📋 Datos Generales'!$E$28))</f>
        <v>0</v>
      </c>
      <c r="J445" s="268">
        <f t="shared" si="22"/>
        <v>0</v>
      </c>
      <c r="K445" s="269">
        <f>IF(OR(I445=0,'🧾 Factura Comercial'!G444=0),0,CEILING('🧮 Costos x Producto'!J444*'🧾 Factura Comercial'!G444/I445,1))</f>
        <v>0</v>
      </c>
    </row>
    <row r="446" spans="4:11" ht="19.5" hidden="1" customHeight="1" thickBot="1" x14ac:dyDescent="0.3">
      <c r="D446" s="28">
        <v>439</v>
      </c>
      <c r="E446" s="262">
        <f>'🧾 Factura Comercial'!E445</f>
        <v>0</v>
      </c>
      <c r="F446" s="270">
        <f>'🧮 Costos x Producto'!K445</f>
        <v>0</v>
      </c>
      <c r="G446" s="351">
        <f t="shared" si="20"/>
        <v>0.4</v>
      </c>
      <c r="H446" s="267">
        <f t="shared" si="21"/>
        <v>0</v>
      </c>
      <c r="I446" s="110">
        <f>IF(H446=0,0,H446*(1+'📋 Datos Generales'!$E$28))</f>
        <v>0</v>
      </c>
      <c r="J446" s="268">
        <f t="shared" si="22"/>
        <v>0</v>
      </c>
      <c r="K446" s="269">
        <f>IF(OR(I446=0,'🧾 Factura Comercial'!G445=0),0,CEILING('🧮 Costos x Producto'!J445*'🧾 Factura Comercial'!G445/I446,1))</f>
        <v>0</v>
      </c>
    </row>
    <row r="447" spans="4:11" ht="19.5" hidden="1" customHeight="1" thickBot="1" x14ac:dyDescent="0.3">
      <c r="D447" s="28">
        <v>440</v>
      </c>
      <c r="E447" s="262">
        <f>'🧾 Factura Comercial'!E446</f>
        <v>0</v>
      </c>
      <c r="F447" s="270">
        <f>'🧮 Costos x Producto'!K446</f>
        <v>0</v>
      </c>
      <c r="G447" s="351">
        <f t="shared" si="20"/>
        <v>0.4</v>
      </c>
      <c r="H447" s="267">
        <f t="shared" si="21"/>
        <v>0</v>
      </c>
      <c r="I447" s="110">
        <f>IF(H447=0,0,H447*(1+'📋 Datos Generales'!$E$28))</f>
        <v>0</v>
      </c>
      <c r="J447" s="268">
        <f t="shared" si="22"/>
        <v>0</v>
      </c>
      <c r="K447" s="269">
        <f>IF(OR(I447=0,'🧾 Factura Comercial'!G446=0),0,CEILING('🧮 Costos x Producto'!J446*'🧾 Factura Comercial'!G446/I447,1))</f>
        <v>0</v>
      </c>
    </row>
    <row r="448" spans="4:11" ht="19.5" hidden="1" customHeight="1" thickBot="1" x14ac:dyDescent="0.3">
      <c r="D448" s="28">
        <v>441</v>
      </c>
      <c r="E448" s="262">
        <f>'🧾 Factura Comercial'!E447</f>
        <v>0</v>
      </c>
      <c r="F448" s="270">
        <f>'🧮 Costos x Producto'!K447</f>
        <v>0</v>
      </c>
      <c r="G448" s="351">
        <f t="shared" si="20"/>
        <v>0.4</v>
      </c>
      <c r="H448" s="267">
        <f t="shared" si="21"/>
        <v>0</v>
      </c>
      <c r="I448" s="110">
        <f>IF(H448=0,0,H448*(1+'📋 Datos Generales'!$E$28))</f>
        <v>0</v>
      </c>
      <c r="J448" s="268">
        <f t="shared" si="22"/>
        <v>0</v>
      </c>
      <c r="K448" s="269">
        <f>IF(OR(I448=0,'🧾 Factura Comercial'!G447=0),0,CEILING('🧮 Costos x Producto'!J447*'🧾 Factura Comercial'!G447/I448,1))</f>
        <v>0</v>
      </c>
    </row>
    <row r="449" spans="4:11" ht="19.5" hidden="1" customHeight="1" thickBot="1" x14ac:dyDescent="0.3">
      <c r="D449" s="28">
        <v>442</v>
      </c>
      <c r="E449" s="262">
        <f>'🧾 Factura Comercial'!E448</f>
        <v>0</v>
      </c>
      <c r="F449" s="270">
        <f>'🧮 Costos x Producto'!K448</f>
        <v>0</v>
      </c>
      <c r="G449" s="351">
        <f t="shared" si="20"/>
        <v>0.4</v>
      </c>
      <c r="H449" s="267">
        <f t="shared" si="21"/>
        <v>0</v>
      </c>
      <c r="I449" s="110">
        <f>IF(H449=0,0,H449*(1+'📋 Datos Generales'!$E$28))</f>
        <v>0</v>
      </c>
      <c r="J449" s="268">
        <f t="shared" si="22"/>
        <v>0</v>
      </c>
      <c r="K449" s="269">
        <f>IF(OR(I449=0,'🧾 Factura Comercial'!G448=0),0,CEILING('🧮 Costos x Producto'!J448*'🧾 Factura Comercial'!G448/I449,1))</f>
        <v>0</v>
      </c>
    </row>
    <row r="450" spans="4:11" ht="19.5" hidden="1" customHeight="1" thickBot="1" x14ac:dyDescent="0.3">
      <c r="D450" s="28">
        <v>443</v>
      </c>
      <c r="E450" s="262">
        <f>'🧾 Factura Comercial'!E449</f>
        <v>0</v>
      </c>
      <c r="F450" s="270">
        <f>'🧮 Costos x Producto'!K449</f>
        <v>0</v>
      </c>
      <c r="G450" s="351">
        <f t="shared" si="20"/>
        <v>0.4</v>
      </c>
      <c r="H450" s="267">
        <f t="shared" si="21"/>
        <v>0</v>
      </c>
      <c r="I450" s="110">
        <f>IF(H450=0,0,H450*(1+'📋 Datos Generales'!$E$28))</f>
        <v>0</v>
      </c>
      <c r="J450" s="268">
        <f t="shared" si="22"/>
        <v>0</v>
      </c>
      <c r="K450" s="269">
        <f>IF(OR(I450=0,'🧾 Factura Comercial'!G449=0),0,CEILING('🧮 Costos x Producto'!J449*'🧾 Factura Comercial'!G449/I450,1))</f>
        <v>0</v>
      </c>
    </row>
    <row r="451" spans="4:11" ht="19.5" hidden="1" customHeight="1" thickBot="1" x14ac:dyDescent="0.3">
      <c r="D451" s="28">
        <v>444</v>
      </c>
      <c r="E451" s="262">
        <f>'🧾 Factura Comercial'!E450</f>
        <v>0</v>
      </c>
      <c r="F451" s="270">
        <f>'🧮 Costos x Producto'!K450</f>
        <v>0</v>
      </c>
      <c r="G451" s="351">
        <f t="shared" si="20"/>
        <v>0.4</v>
      </c>
      <c r="H451" s="267">
        <f t="shared" si="21"/>
        <v>0</v>
      </c>
      <c r="I451" s="110">
        <f>IF(H451=0,0,H451*(1+'📋 Datos Generales'!$E$28))</f>
        <v>0</v>
      </c>
      <c r="J451" s="268">
        <f t="shared" si="22"/>
        <v>0</v>
      </c>
      <c r="K451" s="269">
        <f>IF(OR(I451=0,'🧾 Factura Comercial'!G450=0),0,CEILING('🧮 Costos x Producto'!J450*'🧾 Factura Comercial'!G450/I451,1))</f>
        <v>0</v>
      </c>
    </row>
    <row r="452" spans="4:11" ht="19.5" hidden="1" customHeight="1" thickBot="1" x14ac:dyDescent="0.3">
      <c r="D452" s="28">
        <v>445</v>
      </c>
      <c r="E452" s="262">
        <f>'🧾 Factura Comercial'!E451</f>
        <v>0</v>
      </c>
      <c r="F452" s="270">
        <f>'🧮 Costos x Producto'!K451</f>
        <v>0</v>
      </c>
      <c r="G452" s="351">
        <f t="shared" si="20"/>
        <v>0.4</v>
      </c>
      <c r="H452" s="267">
        <f t="shared" si="21"/>
        <v>0</v>
      </c>
      <c r="I452" s="110">
        <f>IF(H452=0,0,H452*(1+'📋 Datos Generales'!$E$28))</f>
        <v>0</v>
      </c>
      <c r="J452" s="268">
        <f t="shared" si="22"/>
        <v>0</v>
      </c>
      <c r="K452" s="269">
        <f>IF(OR(I452=0,'🧾 Factura Comercial'!G451=0),0,CEILING('🧮 Costos x Producto'!J451*'🧾 Factura Comercial'!G451/I452,1))</f>
        <v>0</v>
      </c>
    </row>
    <row r="453" spans="4:11" ht="19.5" hidden="1" customHeight="1" thickBot="1" x14ac:dyDescent="0.3">
      <c r="D453" s="28">
        <v>446</v>
      </c>
      <c r="E453" s="262">
        <f>'🧾 Factura Comercial'!E452</f>
        <v>0</v>
      </c>
      <c r="F453" s="270">
        <f>'🧮 Costos x Producto'!K452</f>
        <v>0</v>
      </c>
      <c r="G453" s="351">
        <f t="shared" si="20"/>
        <v>0.4</v>
      </c>
      <c r="H453" s="267">
        <f t="shared" si="21"/>
        <v>0</v>
      </c>
      <c r="I453" s="110">
        <f>IF(H453=0,0,H453*(1+'📋 Datos Generales'!$E$28))</f>
        <v>0</v>
      </c>
      <c r="J453" s="268">
        <f t="shared" si="22"/>
        <v>0</v>
      </c>
      <c r="K453" s="269">
        <f>IF(OR(I453=0,'🧾 Factura Comercial'!G452=0),0,CEILING('🧮 Costos x Producto'!J452*'🧾 Factura Comercial'!G452/I453,1))</f>
        <v>0</v>
      </c>
    </row>
    <row r="454" spans="4:11" ht="19.5" hidden="1" customHeight="1" thickBot="1" x14ac:dyDescent="0.3">
      <c r="D454" s="28">
        <v>447</v>
      </c>
      <c r="E454" s="262">
        <f>'🧾 Factura Comercial'!E453</f>
        <v>0</v>
      </c>
      <c r="F454" s="270">
        <f>'🧮 Costos x Producto'!K453</f>
        <v>0</v>
      </c>
      <c r="G454" s="351">
        <f t="shared" si="20"/>
        <v>0.4</v>
      </c>
      <c r="H454" s="267">
        <f t="shared" si="21"/>
        <v>0</v>
      </c>
      <c r="I454" s="110">
        <f>IF(H454=0,0,H454*(1+'📋 Datos Generales'!$E$28))</f>
        <v>0</v>
      </c>
      <c r="J454" s="268">
        <f t="shared" si="22"/>
        <v>0</v>
      </c>
      <c r="K454" s="269">
        <f>IF(OR(I454=0,'🧾 Factura Comercial'!G453=0),0,CEILING('🧮 Costos x Producto'!J453*'🧾 Factura Comercial'!G453/I454,1))</f>
        <v>0</v>
      </c>
    </row>
    <row r="455" spans="4:11" ht="19.5" hidden="1" customHeight="1" thickBot="1" x14ac:dyDescent="0.3">
      <c r="D455" s="28">
        <v>448</v>
      </c>
      <c r="E455" s="262">
        <f>'🧾 Factura Comercial'!E454</f>
        <v>0</v>
      </c>
      <c r="F455" s="270">
        <f>'🧮 Costos x Producto'!K454</f>
        <v>0</v>
      </c>
      <c r="G455" s="351">
        <f t="shared" si="20"/>
        <v>0.4</v>
      </c>
      <c r="H455" s="267">
        <f t="shared" si="21"/>
        <v>0</v>
      </c>
      <c r="I455" s="110">
        <f>IF(H455=0,0,H455*(1+'📋 Datos Generales'!$E$28))</f>
        <v>0</v>
      </c>
      <c r="J455" s="268">
        <f t="shared" si="22"/>
        <v>0</v>
      </c>
      <c r="K455" s="269">
        <f>IF(OR(I455=0,'🧾 Factura Comercial'!G454=0),0,CEILING('🧮 Costos x Producto'!J454*'🧾 Factura Comercial'!G454/I455,1))</f>
        <v>0</v>
      </c>
    </row>
    <row r="456" spans="4:11" ht="19.5" hidden="1" customHeight="1" thickBot="1" x14ac:dyDescent="0.3">
      <c r="D456" s="28">
        <v>449</v>
      </c>
      <c r="E456" s="262">
        <f>'🧾 Factura Comercial'!E455</f>
        <v>0</v>
      </c>
      <c r="F456" s="270">
        <f>'🧮 Costos x Producto'!K455</f>
        <v>0</v>
      </c>
      <c r="G456" s="351">
        <f t="shared" si="20"/>
        <v>0.4</v>
      </c>
      <c r="H456" s="267">
        <f t="shared" si="21"/>
        <v>0</v>
      </c>
      <c r="I456" s="110">
        <f>IF(H456=0,0,H456*(1+'📋 Datos Generales'!$E$28))</f>
        <v>0</v>
      </c>
      <c r="J456" s="268">
        <f t="shared" si="22"/>
        <v>0</v>
      </c>
      <c r="K456" s="269">
        <f>IF(OR(I456=0,'🧾 Factura Comercial'!G455=0),0,CEILING('🧮 Costos x Producto'!J455*'🧾 Factura Comercial'!G455/I456,1))</f>
        <v>0</v>
      </c>
    </row>
    <row r="457" spans="4:11" ht="19.5" hidden="1" customHeight="1" thickBot="1" x14ac:dyDescent="0.3">
      <c r="D457" s="28">
        <v>450</v>
      </c>
      <c r="E457" s="262">
        <f>'🧾 Factura Comercial'!E456</f>
        <v>0</v>
      </c>
      <c r="F457" s="270">
        <f>'🧮 Costos x Producto'!K456</f>
        <v>0</v>
      </c>
      <c r="G457" s="351">
        <f t="shared" si="20"/>
        <v>0.4</v>
      </c>
      <c r="H457" s="267">
        <f t="shared" si="21"/>
        <v>0</v>
      </c>
      <c r="I457" s="110">
        <f>IF(H457=0,0,H457*(1+'📋 Datos Generales'!$E$28))</f>
        <v>0</v>
      </c>
      <c r="J457" s="268">
        <f t="shared" si="22"/>
        <v>0</v>
      </c>
      <c r="K457" s="269">
        <f>IF(OR(I457=0,'🧾 Factura Comercial'!G456=0),0,CEILING('🧮 Costos x Producto'!J456*'🧾 Factura Comercial'!G456/I457,1))</f>
        <v>0</v>
      </c>
    </row>
    <row r="458" spans="4:11" ht="19.5" hidden="1" customHeight="1" thickBot="1" x14ac:dyDescent="0.3">
      <c r="D458" s="28">
        <v>451</v>
      </c>
      <c r="E458" s="262">
        <f>'🧾 Factura Comercial'!E457</f>
        <v>0</v>
      </c>
      <c r="F458" s="270">
        <f>'🧮 Costos x Producto'!K457</f>
        <v>0</v>
      </c>
      <c r="G458" s="351">
        <f t="shared" si="20"/>
        <v>0.4</v>
      </c>
      <c r="H458" s="267">
        <f t="shared" si="21"/>
        <v>0</v>
      </c>
      <c r="I458" s="110">
        <f>IF(H458=0,0,H458*(1+'📋 Datos Generales'!$E$28))</f>
        <v>0</v>
      </c>
      <c r="J458" s="268">
        <f t="shared" si="22"/>
        <v>0</v>
      </c>
      <c r="K458" s="269">
        <f>IF(OR(I458=0,'🧾 Factura Comercial'!G457=0),0,CEILING('🧮 Costos x Producto'!J457*'🧾 Factura Comercial'!G457/I458,1))</f>
        <v>0</v>
      </c>
    </row>
    <row r="459" spans="4:11" ht="19.5" hidden="1" customHeight="1" thickBot="1" x14ac:dyDescent="0.3">
      <c r="D459" s="28">
        <v>452</v>
      </c>
      <c r="E459" s="262">
        <f>'🧾 Factura Comercial'!E458</f>
        <v>0</v>
      </c>
      <c r="F459" s="270">
        <f>'🧮 Costos x Producto'!K458</f>
        <v>0</v>
      </c>
      <c r="G459" s="351">
        <f t="shared" ref="G459:G520" si="23">$H$4</f>
        <v>0.4</v>
      </c>
      <c r="H459" s="267">
        <f t="shared" si="21"/>
        <v>0</v>
      </c>
      <c r="I459" s="110">
        <f>IF(H459=0,0,H459*(1+'📋 Datos Generales'!$E$28))</f>
        <v>0</v>
      </c>
      <c r="J459" s="268">
        <f t="shared" si="22"/>
        <v>0</v>
      </c>
      <c r="K459" s="269">
        <f>IF(OR(I459=0,'🧾 Factura Comercial'!G458=0),0,CEILING('🧮 Costos x Producto'!J458*'🧾 Factura Comercial'!G458/I459,1))</f>
        <v>0</v>
      </c>
    </row>
    <row r="460" spans="4:11" ht="19.5" hidden="1" customHeight="1" thickBot="1" x14ac:dyDescent="0.3">
      <c r="D460" s="28">
        <v>453</v>
      </c>
      <c r="E460" s="262">
        <f>'🧾 Factura Comercial'!E459</f>
        <v>0</v>
      </c>
      <c r="F460" s="270">
        <f>'🧮 Costos x Producto'!K459</f>
        <v>0</v>
      </c>
      <c r="G460" s="351">
        <f t="shared" si="23"/>
        <v>0.4</v>
      </c>
      <c r="H460" s="267">
        <f t="shared" si="21"/>
        <v>0</v>
      </c>
      <c r="I460" s="110">
        <f>IF(H460=0,0,H460*(1+'📋 Datos Generales'!$E$28))</f>
        <v>0</v>
      </c>
      <c r="J460" s="268">
        <f t="shared" si="22"/>
        <v>0</v>
      </c>
      <c r="K460" s="269">
        <f>IF(OR(I460=0,'🧾 Factura Comercial'!G459=0),0,CEILING('🧮 Costos x Producto'!J459*'🧾 Factura Comercial'!G459/I460,1))</f>
        <v>0</v>
      </c>
    </row>
    <row r="461" spans="4:11" ht="19.5" hidden="1" customHeight="1" thickBot="1" x14ac:dyDescent="0.3">
      <c r="D461" s="28">
        <v>454</v>
      </c>
      <c r="E461" s="262">
        <f>'🧾 Factura Comercial'!E460</f>
        <v>0</v>
      </c>
      <c r="F461" s="270">
        <f>'🧮 Costos x Producto'!K460</f>
        <v>0</v>
      </c>
      <c r="G461" s="351">
        <f t="shared" si="23"/>
        <v>0.4</v>
      </c>
      <c r="H461" s="267">
        <f t="shared" si="21"/>
        <v>0</v>
      </c>
      <c r="I461" s="110">
        <f>IF(H461=0,0,H461*(1+'📋 Datos Generales'!$E$28))</f>
        <v>0</v>
      </c>
      <c r="J461" s="268">
        <f t="shared" si="22"/>
        <v>0</v>
      </c>
      <c r="K461" s="269">
        <f>IF(OR(I461=0,'🧾 Factura Comercial'!G460=0),0,CEILING('🧮 Costos x Producto'!J460*'🧾 Factura Comercial'!G460/I461,1))</f>
        <v>0</v>
      </c>
    </row>
    <row r="462" spans="4:11" ht="19.5" hidden="1" customHeight="1" thickBot="1" x14ac:dyDescent="0.3">
      <c r="D462" s="28">
        <v>455</v>
      </c>
      <c r="E462" s="262">
        <f>'🧾 Factura Comercial'!E461</f>
        <v>0</v>
      </c>
      <c r="F462" s="270">
        <f>'🧮 Costos x Producto'!K461</f>
        <v>0</v>
      </c>
      <c r="G462" s="351">
        <f t="shared" si="23"/>
        <v>0.4</v>
      </c>
      <c r="H462" s="267">
        <f t="shared" si="21"/>
        <v>0</v>
      </c>
      <c r="I462" s="110">
        <f>IF(H462=0,0,H462*(1+'📋 Datos Generales'!$E$28))</f>
        <v>0</v>
      </c>
      <c r="J462" s="268">
        <f t="shared" si="22"/>
        <v>0</v>
      </c>
      <c r="K462" s="269">
        <f>IF(OR(I462=0,'🧾 Factura Comercial'!G461=0),0,CEILING('🧮 Costos x Producto'!J461*'🧾 Factura Comercial'!G461/I462,1))</f>
        <v>0</v>
      </c>
    </row>
    <row r="463" spans="4:11" ht="19.5" hidden="1" customHeight="1" thickBot="1" x14ac:dyDescent="0.3">
      <c r="D463" s="28">
        <v>456</v>
      </c>
      <c r="E463" s="262">
        <f>'🧾 Factura Comercial'!E462</f>
        <v>0</v>
      </c>
      <c r="F463" s="270">
        <f>'🧮 Costos x Producto'!K462</f>
        <v>0</v>
      </c>
      <c r="G463" s="351">
        <f t="shared" si="23"/>
        <v>0.4</v>
      </c>
      <c r="H463" s="267">
        <f t="shared" si="21"/>
        <v>0</v>
      </c>
      <c r="I463" s="110">
        <f>IF(H463=0,0,H463*(1+'📋 Datos Generales'!$E$28))</f>
        <v>0</v>
      </c>
      <c r="J463" s="268">
        <f t="shared" si="22"/>
        <v>0</v>
      </c>
      <c r="K463" s="269">
        <f>IF(OR(I463=0,'🧾 Factura Comercial'!G462=0),0,CEILING('🧮 Costos x Producto'!J462*'🧾 Factura Comercial'!G462/I463,1))</f>
        <v>0</v>
      </c>
    </row>
    <row r="464" spans="4:11" ht="19.5" hidden="1" customHeight="1" thickBot="1" x14ac:dyDescent="0.3">
      <c r="D464" s="28">
        <v>457</v>
      </c>
      <c r="E464" s="262">
        <f>'🧾 Factura Comercial'!E463</f>
        <v>0</v>
      </c>
      <c r="F464" s="270">
        <f>'🧮 Costos x Producto'!K463</f>
        <v>0</v>
      </c>
      <c r="G464" s="351">
        <f t="shared" si="23"/>
        <v>0.4</v>
      </c>
      <c r="H464" s="267">
        <f t="shared" si="21"/>
        <v>0</v>
      </c>
      <c r="I464" s="110">
        <f>IF(H464=0,0,H464*(1+'📋 Datos Generales'!$E$28))</f>
        <v>0</v>
      </c>
      <c r="J464" s="268">
        <f t="shared" si="22"/>
        <v>0</v>
      </c>
      <c r="K464" s="269">
        <f>IF(OR(I464=0,'🧾 Factura Comercial'!G463=0),0,CEILING('🧮 Costos x Producto'!J463*'🧾 Factura Comercial'!G463/I464,1))</f>
        <v>0</v>
      </c>
    </row>
    <row r="465" spans="4:11" ht="19.5" hidden="1" customHeight="1" thickBot="1" x14ac:dyDescent="0.3">
      <c r="D465" s="28">
        <v>458</v>
      </c>
      <c r="E465" s="262">
        <f>'🧾 Factura Comercial'!E464</f>
        <v>0</v>
      </c>
      <c r="F465" s="270">
        <f>'🧮 Costos x Producto'!K464</f>
        <v>0</v>
      </c>
      <c r="G465" s="351">
        <f t="shared" si="23"/>
        <v>0.4</v>
      </c>
      <c r="H465" s="267">
        <f t="shared" ref="H465:H520" si="24">IF(F465=0,0,F465/(1-G465))</f>
        <v>0</v>
      </c>
      <c r="I465" s="110">
        <f>IF(H465=0,0,H465*(1+'📋 Datos Generales'!$E$28))</f>
        <v>0</v>
      </c>
      <c r="J465" s="268">
        <f t="shared" ref="J465:J520" si="25">IF(H465=0,0,H465-F465)</f>
        <v>0</v>
      </c>
      <c r="K465" s="269">
        <f>IF(OR(I465=0,'🧾 Factura Comercial'!G464=0),0,CEILING('🧮 Costos x Producto'!J464*'🧾 Factura Comercial'!G464/I465,1))</f>
        <v>0</v>
      </c>
    </row>
    <row r="466" spans="4:11" ht="19.5" hidden="1" customHeight="1" thickBot="1" x14ac:dyDescent="0.3">
      <c r="D466" s="28">
        <v>459</v>
      </c>
      <c r="E466" s="262">
        <f>'🧾 Factura Comercial'!E465</f>
        <v>0</v>
      </c>
      <c r="F466" s="270">
        <f>'🧮 Costos x Producto'!K465</f>
        <v>0</v>
      </c>
      <c r="G466" s="351">
        <f t="shared" si="23"/>
        <v>0.4</v>
      </c>
      <c r="H466" s="267">
        <f t="shared" si="24"/>
        <v>0</v>
      </c>
      <c r="I466" s="110">
        <f>IF(H466=0,0,H466*(1+'📋 Datos Generales'!$E$28))</f>
        <v>0</v>
      </c>
      <c r="J466" s="268">
        <f t="shared" si="25"/>
        <v>0</v>
      </c>
      <c r="K466" s="269">
        <f>IF(OR(I466=0,'🧾 Factura Comercial'!G465=0),0,CEILING('🧮 Costos x Producto'!J465*'🧾 Factura Comercial'!G465/I466,1))</f>
        <v>0</v>
      </c>
    </row>
    <row r="467" spans="4:11" ht="19.5" hidden="1" customHeight="1" thickBot="1" x14ac:dyDescent="0.3">
      <c r="D467" s="28">
        <v>460</v>
      </c>
      <c r="E467" s="262">
        <f>'🧾 Factura Comercial'!E466</f>
        <v>0</v>
      </c>
      <c r="F467" s="270">
        <f>'🧮 Costos x Producto'!K466</f>
        <v>0</v>
      </c>
      <c r="G467" s="351">
        <f t="shared" si="23"/>
        <v>0.4</v>
      </c>
      <c r="H467" s="267">
        <f t="shared" si="24"/>
        <v>0</v>
      </c>
      <c r="I467" s="110">
        <f>IF(H467=0,0,H467*(1+'📋 Datos Generales'!$E$28))</f>
        <v>0</v>
      </c>
      <c r="J467" s="268">
        <f t="shared" si="25"/>
        <v>0</v>
      </c>
      <c r="K467" s="269">
        <f>IF(OR(I467=0,'🧾 Factura Comercial'!G466=0),0,CEILING('🧮 Costos x Producto'!J466*'🧾 Factura Comercial'!G466/I467,1))</f>
        <v>0</v>
      </c>
    </row>
    <row r="468" spans="4:11" ht="19.5" hidden="1" customHeight="1" thickBot="1" x14ac:dyDescent="0.3">
      <c r="D468" s="28">
        <v>461</v>
      </c>
      <c r="E468" s="262">
        <f>'🧾 Factura Comercial'!E467</f>
        <v>0</v>
      </c>
      <c r="F468" s="270">
        <f>'🧮 Costos x Producto'!K467</f>
        <v>0</v>
      </c>
      <c r="G468" s="351">
        <f t="shared" si="23"/>
        <v>0.4</v>
      </c>
      <c r="H468" s="267">
        <f t="shared" si="24"/>
        <v>0</v>
      </c>
      <c r="I468" s="110">
        <f>IF(H468=0,0,H468*(1+'📋 Datos Generales'!$E$28))</f>
        <v>0</v>
      </c>
      <c r="J468" s="268">
        <f t="shared" si="25"/>
        <v>0</v>
      </c>
      <c r="K468" s="269">
        <f>IF(OR(I468=0,'🧾 Factura Comercial'!G467=0),0,CEILING('🧮 Costos x Producto'!J467*'🧾 Factura Comercial'!G467/I468,1))</f>
        <v>0</v>
      </c>
    </row>
    <row r="469" spans="4:11" ht="19.5" hidden="1" customHeight="1" thickBot="1" x14ac:dyDescent="0.3">
      <c r="D469" s="28">
        <v>462</v>
      </c>
      <c r="E469" s="262">
        <f>'🧾 Factura Comercial'!E468</f>
        <v>0</v>
      </c>
      <c r="F469" s="270">
        <f>'🧮 Costos x Producto'!K468</f>
        <v>0</v>
      </c>
      <c r="G469" s="351">
        <f t="shared" si="23"/>
        <v>0.4</v>
      </c>
      <c r="H469" s="267">
        <f t="shared" si="24"/>
        <v>0</v>
      </c>
      <c r="I469" s="110">
        <f>IF(H469=0,0,H469*(1+'📋 Datos Generales'!$E$28))</f>
        <v>0</v>
      </c>
      <c r="J469" s="268">
        <f t="shared" si="25"/>
        <v>0</v>
      </c>
      <c r="K469" s="269">
        <f>IF(OR(I469=0,'🧾 Factura Comercial'!G468=0),0,CEILING('🧮 Costos x Producto'!J468*'🧾 Factura Comercial'!G468/I469,1))</f>
        <v>0</v>
      </c>
    </row>
    <row r="470" spans="4:11" ht="19.5" hidden="1" customHeight="1" thickBot="1" x14ac:dyDescent="0.3">
      <c r="D470" s="28">
        <v>463</v>
      </c>
      <c r="E470" s="262">
        <f>'🧾 Factura Comercial'!E469</f>
        <v>0</v>
      </c>
      <c r="F470" s="270">
        <f>'🧮 Costos x Producto'!K469</f>
        <v>0</v>
      </c>
      <c r="G470" s="351">
        <f t="shared" si="23"/>
        <v>0.4</v>
      </c>
      <c r="H470" s="267">
        <f t="shared" si="24"/>
        <v>0</v>
      </c>
      <c r="I470" s="110">
        <f>IF(H470=0,0,H470*(1+'📋 Datos Generales'!$E$28))</f>
        <v>0</v>
      </c>
      <c r="J470" s="268">
        <f t="shared" si="25"/>
        <v>0</v>
      </c>
      <c r="K470" s="269">
        <f>IF(OR(I470=0,'🧾 Factura Comercial'!G469=0),0,CEILING('🧮 Costos x Producto'!J469*'🧾 Factura Comercial'!G469/I470,1))</f>
        <v>0</v>
      </c>
    </row>
    <row r="471" spans="4:11" ht="19.5" hidden="1" customHeight="1" thickBot="1" x14ac:dyDescent="0.3">
      <c r="D471" s="28">
        <v>464</v>
      </c>
      <c r="E471" s="262">
        <f>'🧾 Factura Comercial'!E470</f>
        <v>0</v>
      </c>
      <c r="F471" s="270">
        <f>'🧮 Costos x Producto'!K470</f>
        <v>0</v>
      </c>
      <c r="G471" s="351">
        <f t="shared" si="23"/>
        <v>0.4</v>
      </c>
      <c r="H471" s="267">
        <f t="shared" si="24"/>
        <v>0</v>
      </c>
      <c r="I471" s="110">
        <f>IF(H471=0,0,H471*(1+'📋 Datos Generales'!$E$28))</f>
        <v>0</v>
      </c>
      <c r="J471" s="268">
        <f t="shared" si="25"/>
        <v>0</v>
      </c>
      <c r="K471" s="269">
        <f>IF(OR(I471=0,'🧾 Factura Comercial'!G470=0),0,CEILING('🧮 Costos x Producto'!J470*'🧾 Factura Comercial'!G470/I471,1))</f>
        <v>0</v>
      </c>
    </row>
    <row r="472" spans="4:11" ht="19.5" hidden="1" customHeight="1" thickBot="1" x14ac:dyDescent="0.3">
      <c r="D472" s="28">
        <v>465</v>
      </c>
      <c r="E472" s="262">
        <f>'🧾 Factura Comercial'!E471</f>
        <v>0</v>
      </c>
      <c r="F472" s="270">
        <f>'🧮 Costos x Producto'!K471</f>
        <v>0</v>
      </c>
      <c r="G472" s="351">
        <f t="shared" si="23"/>
        <v>0.4</v>
      </c>
      <c r="H472" s="267">
        <f t="shared" si="24"/>
        <v>0</v>
      </c>
      <c r="I472" s="110">
        <f>IF(H472=0,0,H472*(1+'📋 Datos Generales'!$E$28))</f>
        <v>0</v>
      </c>
      <c r="J472" s="268">
        <f t="shared" si="25"/>
        <v>0</v>
      </c>
      <c r="K472" s="269">
        <f>IF(OR(I472=0,'🧾 Factura Comercial'!G471=0),0,CEILING('🧮 Costos x Producto'!J471*'🧾 Factura Comercial'!G471/I472,1))</f>
        <v>0</v>
      </c>
    </row>
    <row r="473" spans="4:11" ht="19.5" hidden="1" customHeight="1" thickBot="1" x14ac:dyDescent="0.3">
      <c r="D473" s="28">
        <v>466</v>
      </c>
      <c r="E473" s="262">
        <f>'🧾 Factura Comercial'!E472</f>
        <v>0</v>
      </c>
      <c r="F473" s="270">
        <f>'🧮 Costos x Producto'!K472</f>
        <v>0</v>
      </c>
      <c r="G473" s="351">
        <f t="shared" si="23"/>
        <v>0.4</v>
      </c>
      <c r="H473" s="267">
        <f t="shared" si="24"/>
        <v>0</v>
      </c>
      <c r="I473" s="110">
        <f>IF(H473=0,0,H473*(1+'📋 Datos Generales'!$E$28))</f>
        <v>0</v>
      </c>
      <c r="J473" s="268">
        <f t="shared" si="25"/>
        <v>0</v>
      </c>
      <c r="K473" s="269">
        <f>IF(OR(I473=0,'🧾 Factura Comercial'!G472=0),0,CEILING('🧮 Costos x Producto'!J472*'🧾 Factura Comercial'!G472/I473,1))</f>
        <v>0</v>
      </c>
    </row>
    <row r="474" spans="4:11" ht="19.5" hidden="1" customHeight="1" thickBot="1" x14ac:dyDescent="0.3">
      <c r="D474" s="28">
        <v>467</v>
      </c>
      <c r="E474" s="262">
        <f>'🧾 Factura Comercial'!E473</f>
        <v>0</v>
      </c>
      <c r="F474" s="270">
        <f>'🧮 Costos x Producto'!K473</f>
        <v>0</v>
      </c>
      <c r="G474" s="351">
        <f t="shared" si="23"/>
        <v>0.4</v>
      </c>
      <c r="H474" s="267">
        <f t="shared" si="24"/>
        <v>0</v>
      </c>
      <c r="I474" s="110">
        <f>IF(H474=0,0,H474*(1+'📋 Datos Generales'!$E$28))</f>
        <v>0</v>
      </c>
      <c r="J474" s="268">
        <f t="shared" si="25"/>
        <v>0</v>
      </c>
      <c r="K474" s="269">
        <f>IF(OR(I474=0,'🧾 Factura Comercial'!G473=0),0,CEILING('🧮 Costos x Producto'!J473*'🧾 Factura Comercial'!G473/I474,1))</f>
        <v>0</v>
      </c>
    </row>
    <row r="475" spans="4:11" ht="19.5" hidden="1" customHeight="1" thickBot="1" x14ac:dyDescent="0.3">
      <c r="D475" s="28">
        <v>468</v>
      </c>
      <c r="E475" s="262">
        <f>'🧾 Factura Comercial'!E474</f>
        <v>0</v>
      </c>
      <c r="F475" s="270">
        <f>'🧮 Costos x Producto'!K474</f>
        <v>0</v>
      </c>
      <c r="G475" s="351">
        <f t="shared" si="23"/>
        <v>0.4</v>
      </c>
      <c r="H475" s="267">
        <f t="shared" si="24"/>
        <v>0</v>
      </c>
      <c r="I475" s="110">
        <f>IF(H475=0,0,H475*(1+'📋 Datos Generales'!$E$28))</f>
        <v>0</v>
      </c>
      <c r="J475" s="268">
        <f t="shared" si="25"/>
        <v>0</v>
      </c>
      <c r="K475" s="269">
        <f>IF(OR(I475=0,'🧾 Factura Comercial'!G474=0),0,CEILING('🧮 Costos x Producto'!J474*'🧾 Factura Comercial'!G474/I475,1))</f>
        <v>0</v>
      </c>
    </row>
    <row r="476" spans="4:11" ht="19.5" hidden="1" customHeight="1" thickBot="1" x14ac:dyDescent="0.3">
      <c r="D476" s="28">
        <v>469</v>
      </c>
      <c r="E476" s="262">
        <f>'🧾 Factura Comercial'!E475</f>
        <v>0</v>
      </c>
      <c r="F476" s="270">
        <f>'🧮 Costos x Producto'!K475</f>
        <v>0</v>
      </c>
      <c r="G476" s="351">
        <f t="shared" si="23"/>
        <v>0.4</v>
      </c>
      <c r="H476" s="267">
        <f t="shared" si="24"/>
        <v>0</v>
      </c>
      <c r="I476" s="110">
        <f>IF(H476=0,0,H476*(1+'📋 Datos Generales'!$E$28))</f>
        <v>0</v>
      </c>
      <c r="J476" s="268">
        <f t="shared" si="25"/>
        <v>0</v>
      </c>
      <c r="K476" s="269">
        <f>IF(OR(I476=0,'🧾 Factura Comercial'!G475=0),0,CEILING('🧮 Costos x Producto'!J475*'🧾 Factura Comercial'!G475/I476,1))</f>
        <v>0</v>
      </c>
    </row>
    <row r="477" spans="4:11" ht="19.5" hidden="1" customHeight="1" thickBot="1" x14ac:dyDescent="0.3">
      <c r="D477" s="28">
        <v>470</v>
      </c>
      <c r="E477" s="262">
        <f>'🧾 Factura Comercial'!E476</f>
        <v>0</v>
      </c>
      <c r="F477" s="270">
        <f>'🧮 Costos x Producto'!K476</f>
        <v>0</v>
      </c>
      <c r="G477" s="351">
        <f t="shared" si="23"/>
        <v>0.4</v>
      </c>
      <c r="H477" s="267">
        <f t="shared" si="24"/>
        <v>0</v>
      </c>
      <c r="I477" s="110">
        <f>IF(H477=0,0,H477*(1+'📋 Datos Generales'!$E$28))</f>
        <v>0</v>
      </c>
      <c r="J477" s="268">
        <f t="shared" si="25"/>
        <v>0</v>
      </c>
      <c r="K477" s="269">
        <f>IF(OR(I477=0,'🧾 Factura Comercial'!G476=0),0,CEILING('🧮 Costos x Producto'!J476*'🧾 Factura Comercial'!G476/I477,1))</f>
        <v>0</v>
      </c>
    </row>
    <row r="478" spans="4:11" ht="19.5" hidden="1" customHeight="1" thickBot="1" x14ac:dyDescent="0.3">
      <c r="D478" s="28">
        <v>471</v>
      </c>
      <c r="E478" s="262">
        <f>'🧾 Factura Comercial'!E477</f>
        <v>0</v>
      </c>
      <c r="F478" s="270">
        <f>'🧮 Costos x Producto'!K477</f>
        <v>0</v>
      </c>
      <c r="G478" s="351">
        <f t="shared" si="23"/>
        <v>0.4</v>
      </c>
      <c r="H478" s="267">
        <f t="shared" si="24"/>
        <v>0</v>
      </c>
      <c r="I478" s="110">
        <f>IF(H478=0,0,H478*(1+'📋 Datos Generales'!$E$28))</f>
        <v>0</v>
      </c>
      <c r="J478" s="268">
        <f t="shared" si="25"/>
        <v>0</v>
      </c>
      <c r="K478" s="269">
        <f>IF(OR(I478=0,'🧾 Factura Comercial'!G477=0),0,CEILING('🧮 Costos x Producto'!J477*'🧾 Factura Comercial'!G477/I478,1))</f>
        <v>0</v>
      </c>
    </row>
    <row r="479" spans="4:11" ht="19.5" hidden="1" customHeight="1" thickBot="1" x14ac:dyDescent="0.3">
      <c r="D479" s="28">
        <v>472</v>
      </c>
      <c r="E479" s="262">
        <f>'🧾 Factura Comercial'!E478</f>
        <v>0</v>
      </c>
      <c r="F479" s="270">
        <f>'🧮 Costos x Producto'!K478</f>
        <v>0</v>
      </c>
      <c r="G479" s="351">
        <f t="shared" si="23"/>
        <v>0.4</v>
      </c>
      <c r="H479" s="267">
        <f t="shared" si="24"/>
        <v>0</v>
      </c>
      <c r="I479" s="110">
        <f>IF(H479=0,0,H479*(1+'📋 Datos Generales'!$E$28))</f>
        <v>0</v>
      </c>
      <c r="J479" s="268">
        <f t="shared" si="25"/>
        <v>0</v>
      </c>
      <c r="K479" s="269">
        <f>IF(OR(I479=0,'🧾 Factura Comercial'!G478=0),0,CEILING('🧮 Costos x Producto'!J478*'🧾 Factura Comercial'!G478/I479,1))</f>
        <v>0</v>
      </c>
    </row>
    <row r="480" spans="4:11" ht="19.5" hidden="1" customHeight="1" thickBot="1" x14ac:dyDescent="0.3">
      <c r="D480" s="28">
        <v>473</v>
      </c>
      <c r="E480" s="262">
        <f>'🧾 Factura Comercial'!E479</f>
        <v>0</v>
      </c>
      <c r="F480" s="270">
        <f>'🧮 Costos x Producto'!K479</f>
        <v>0</v>
      </c>
      <c r="G480" s="351">
        <f t="shared" si="23"/>
        <v>0.4</v>
      </c>
      <c r="H480" s="267">
        <f t="shared" si="24"/>
        <v>0</v>
      </c>
      <c r="I480" s="110">
        <f>IF(H480=0,0,H480*(1+'📋 Datos Generales'!$E$28))</f>
        <v>0</v>
      </c>
      <c r="J480" s="268">
        <f t="shared" si="25"/>
        <v>0</v>
      </c>
      <c r="K480" s="269">
        <f>IF(OR(I480=0,'🧾 Factura Comercial'!G479=0),0,CEILING('🧮 Costos x Producto'!J479*'🧾 Factura Comercial'!G479/I480,1))</f>
        <v>0</v>
      </c>
    </row>
    <row r="481" spans="4:11" ht="19.5" hidden="1" customHeight="1" thickBot="1" x14ac:dyDescent="0.3">
      <c r="D481" s="28">
        <v>474</v>
      </c>
      <c r="E481" s="262">
        <f>'🧾 Factura Comercial'!E480</f>
        <v>0</v>
      </c>
      <c r="F481" s="270">
        <f>'🧮 Costos x Producto'!K480</f>
        <v>0</v>
      </c>
      <c r="G481" s="351">
        <f t="shared" si="23"/>
        <v>0.4</v>
      </c>
      <c r="H481" s="267">
        <f t="shared" si="24"/>
        <v>0</v>
      </c>
      <c r="I481" s="110">
        <f>IF(H481=0,0,H481*(1+'📋 Datos Generales'!$E$28))</f>
        <v>0</v>
      </c>
      <c r="J481" s="268">
        <f t="shared" si="25"/>
        <v>0</v>
      </c>
      <c r="K481" s="269">
        <f>IF(OR(I481=0,'🧾 Factura Comercial'!G480=0),0,CEILING('🧮 Costos x Producto'!J480*'🧾 Factura Comercial'!G480/I481,1))</f>
        <v>0</v>
      </c>
    </row>
    <row r="482" spans="4:11" ht="19.5" hidden="1" customHeight="1" thickBot="1" x14ac:dyDescent="0.3">
      <c r="D482" s="28">
        <v>475</v>
      </c>
      <c r="E482" s="262">
        <f>'🧾 Factura Comercial'!E481</f>
        <v>0</v>
      </c>
      <c r="F482" s="270">
        <f>'🧮 Costos x Producto'!K481</f>
        <v>0</v>
      </c>
      <c r="G482" s="351">
        <f t="shared" si="23"/>
        <v>0.4</v>
      </c>
      <c r="H482" s="267">
        <f t="shared" si="24"/>
        <v>0</v>
      </c>
      <c r="I482" s="110">
        <f>IF(H482=0,0,H482*(1+'📋 Datos Generales'!$E$28))</f>
        <v>0</v>
      </c>
      <c r="J482" s="268">
        <f t="shared" si="25"/>
        <v>0</v>
      </c>
      <c r="K482" s="269">
        <f>IF(OR(I482=0,'🧾 Factura Comercial'!G481=0),0,CEILING('🧮 Costos x Producto'!J481*'🧾 Factura Comercial'!G481/I482,1))</f>
        <v>0</v>
      </c>
    </row>
    <row r="483" spans="4:11" ht="19.5" hidden="1" customHeight="1" thickBot="1" x14ac:dyDescent="0.3">
      <c r="D483" s="28">
        <v>476</v>
      </c>
      <c r="E483" s="262">
        <f>'🧾 Factura Comercial'!E482</f>
        <v>0</v>
      </c>
      <c r="F483" s="270">
        <f>'🧮 Costos x Producto'!K482</f>
        <v>0</v>
      </c>
      <c r="G483" s="351">
        <f t="shared" si="23"/>
        <v>0.4</v>
      </c>
      <c r="H483" s="267">
        <f t="shared" si="24"/>
        <v>0</v>
      </c>
      <c r="I483" s="110">
        <f>IF(H483=0,0,H483*(1+'📋 Datos Generales'!$E$28))</f>
        <v>0</v>
      </c>
      <c r="J483" s="268">
        <f t="shared" si="25"/>
        <v>0</v>
      </c>
      <c r="K483" s="269">
        <f>IF(OR(I483=0,'🧾 Factura Comercial'!G482=0),0,CEILING('🧮 Costos x Producto'!J482*'🧾 Factura Comercial'!G482/I483,1))</f>
        <v>0</v>
      </c>
    </row>
    <row r="484" spans="4:11" ht="19.5" hidden="1" customHeight="1" thickBot="1" x14ac:dyDescent="0.3">
      <c r="D484" s="28">
        <v>477</v>
      </c>
      <c r="E484" s="262">
        <f>'🧾 Factura Comercial'!E483</f>
        <v>0</v>
      </c>
      <c r="F484" s="270">
        <f>'🧮 Costos x Producto'!K483</f>
        <v>0</v>
      </c>
      <c r="G484" s="351">
        <f t="shared" si="23"/>
        <v>0.4</v>
      </c>
      <c r="H484" s="267">
        <f t="shared" si="24"/>
        <v>0</v>
      </c>
      <c r="I484" s="110">
        <f>IF(H484=0,0,H484*(1+'📋 Datos Generales'!$E$28))</f>
        <v>0</v>
      </c>
      <c r="J484" s="268">
        <f t="shared" si="25"/>
        <v>0</v>
      </c>
      <c r="K484" s="269">
        <f>IF(OR(I484=0,'🧾 Factura Comercial'!G483=0),0,CEILING('🧮 Costos x Producto'!J483*'🧾 Factura Comercial'!G483/I484,1))</f>
        <v>0</v>
      </c>
    </row>
    <row r="485" spans="4:11" ht="19.5" hidden="1" customHeight="1" thickBot="1" x14ac:dyDescent="0.3">
      <c r="D485" s="28">
        <v>478</v>
      </c>
      <c r="E485" s="262">
        <f>'🧾 Factura Comercial'!E484</f>
        <v>0</v>
      </c>
      <c r="F485" s="270">
        <f>'🧮 Costos x Producto'!K484</f>
        <v>0</v>
      </c>
      <c r="G485" s="351">
        <f t="shared" si="23"/>
        <v>0.4</v>
      </c>
      <c r="H485" s="267">
        <f t="shared" si="24"/>
        <v>0</v>
      </c>
      <c r="I485" s="110">
        <f>IF(H485=0,0,H485*(1+'📋 Datos Generales'!$E$28))</f>
        <v>0</v>
      </c>
      <c r="J485" s="268">
        <f t="shared" si="25"/>
        <v>0</v>
      </c>
      <c r="K485" s="269">
        <f>IF(OR(I485=0,'🧾 Factura Comercial'!G484=0),0,CEILING('🧮 Costos x Producto'!J484*'🧾 Factura Comercial'!G484/I485,1))</f>
        <v>0</v>
      </c>
    </row>
    <row r="486" spans="4:11" ht="19.5" hidden="1" customHeight="1" thickBot="1" x14ac:dyDescent="0.3">
      <c r="D486" s="28">
        <v>479</v>
      </c>
      <c r="E486" s="262">
        <f>'🧾 Factura Comercial'!E485</f>
        <v>0</v>
      </c>
      <c r="F486" s="270">
        <f>'🧮 Costos x Producto'!K485</f>
        <v>0</v>
      </c>
      <c r="G486" s="351">
        <f t="shared" si="23"/>
        <v>0.4</v>
      </c>
      <c r="H486" s="267">
        <f t="shared" si="24"/>
        <v>0</v>
      </c>
      <c r="I486" s="110">
        <f>IF(H486=0,0,H486*(1+'📋 Datos Generales'!$E$28))</f>
        <v>0</v>
      </c>
      <c r="J486" s="268">
        <f t="shared" si="25"/>
        <v>0</v>
      </c>
      <c r="K486" s="269">
        <f>IF(OR(I486=0,'🧾 Factura Comercial'!G485=0),0,CEILING('🧮 Costos x Producto'!J485*'🧾 Factura Comercial'!G485/I486,1))</f>
        <v>0</v>
      </c>
    </row>
    <row r="487" spans="4:11" ht="19.5" hidden="1" customHeight="1" thickBot="1" x14ac:dyDescent="0.3">
      <c r="D487" s="28">
        <v>480</v>
      </c>
      <c r="E487" s="262">
        <f>'🧾 Factura Comercial'!E486</f>
        <v>0</v>
      </c>
      <c r="F487" s="270">
        <f>'🧮 Costos x Producto'!K486</f>
        <v>0</v>
      </c>
      <c r="G487" s="351">
        <f t="shared" si="23"/>
        <v>0.4</v>
      </c>
      <c r="H487" s="267">
        <f t="shared" si="24"/>
        <v>0</v>
      </c>
      <c r="I487" s="110">
        <f>IF(H487=0,0,H487*(1+'📋 Datos Generales'!$E$28))</f>
        <v>0</v>
      </c>
      <c r="J487" s="268">
        <f t="shared" si="25"/>
        <v>0</v>
      </c>
      <c r="K487" s="269">
        <f>IF(OR(I487=0,'🧾 Factura Comercial'!G486=0),0,CEILING('🧮 Costos x Producto'!J486*'🧾 Factura Comercial'!G486/I487,1))</f>
        <v>0</v>
      </c>
    </row>
    <row r="488" spans="4:11" ht="19.5" hidden="1" customHeight="1" thickBot="1" x14ac:dyDescent="0.3">
      <c r="D488" s="28">
        <v>481</v>
      </c>
      <c r="E488" s="262">
        <f>'🧾 Factura Comercial'!E487</f>
        <v>0</v>
      </c>
      <c r="F488" s="270">
        <f>'🧮 Costos x Producto'!K487</f>
        <v>0</v>
      </c>
      <c r="G488" s="351">
        <f t="shared" si="23"/>
        <v>0.4</v>
      </c>
      <c r="H488" s="267">
        <f t="shared" si="24"/>
        <v>0</v>
      </c>
      <c r="I488" s="110">
        <f>IF(H488=0,0,H488*(1+'📋 Datos Generales'!$E$28))</f>
        <v>0</v>
      </c>
      <c r="J488" s="268">
        <f t="shared" si="25"/>
        <v>0</v>
      </c>
      <c r="K488" s="269">
        <f>IF(OR(I488=0,'🧾 Factura Comercial'!G487=0),0,CEILING('🧮 Costos x Producto'!J487*'🧾 Factura Comercial'!G487/I488,1))</f>
        <v>0</v>
      </c>
    </row>
    <row r="489" spans="4:11" ht="19.5" hidden="1" customHeight="1" thickBot="1" x14ac:dyDescent="0.3">
      <c r="D489" s="28">
        <v>482</v>
      </c>
      <c r="E489" s="262">
        <f>'🧾 Factura Comercial'!E488</f>
        <v>0</v>
      </c>
      <c r="F489" s="270">
        <f>'🧮 Costos x Producto'!K488</f>
        <v>0</v>
      </c>
      <c r="G489" s="351">
        <f t="shared" si="23"/>
        <v>0.4</v>
      </c>
      <c r="H489" s="267">
        <f t="shared" si="24"/>
        <v>0</v>
      </c>
      <c r="I489" s="110">
        <f>IF(H489=0,0,H489*(1+'📋 Datos Generales'!$E$28))</f>
        <v>0</v>
      </c>
      <c r="J489" s="268">
        <f t="shared" si="25"/>
        <v>0</v>
      </c>
      <c r="K489" s="269">
        <f>IF(OR(I489=0,'🧾 Factura Comercial'!G488=0),0,CEILING('🧮 Costos x Producto'!J488*'🧾 Factura Comercial'!G488/I489,1))</f>
        <v>0</v>
      </c>
    </row>
    <row r="490" spans="4:11" ht="19.5" hidden="1" customHeight="1" thickBot="1" x14ac:dyDescent="0.3">
      <c r="D490" s="28">
        <v>483</v>
      </c>
      <c r="E490" s="262">
        <f>'🧾 Factura Comercial'!E489</f>
        <v>0</v>
      </c>
      <c r="F490" s="270">
        <f>'🧮 Costos x Producto'!K489</f>
        <v>0</v>
      </c>
      <c r="G490" s="351">
        <f t="shared" si="23"/>
        <v>0.4</v>
      </c>
      <c r="H490" s="267">
        <f t="shared" si="24"/>
        <v>0</v>
      </c>
      <c r="I490" s="110">
        <f>IF(H490=0,0,H490*(1+'📋 Datos Generales'!$E$28))</f>
        <v>0</v>
      </c>
      <c r="J490" s="268">
        <f t="shared" si="25"/>
        <v>0</v>
      </c>
      <c r="K490" s="269">
        <f>IF(OR(I490=0,'🧾 Factura Comercial'!G489=0),0,CEILING('🧮 Costos x Producto'!J489*'🧾 Factura Comercial'!G489/I490,1))</f>
        <v>0</v>
      </c>
    </row>
    <row r="491" spans="4:11" ht="19.5" hidden="1" customHeight="1" thickBot="1" x14ac:dyDescent="0.3">
      <c r="D491" s="28">
        <v>484</v>
      </c>
      <c r="E491" s="262">
        <f>'🧾 Factura Comercial'!E490</f>
        <v>0</v>
      </c>
      <c r="F491" s="270">
        <f>'🧮 Costos x Producto'!K490</f>
        <v>0</v>
      </c>
      <c r="G491" s="351">
        <f t="shared" si="23"/>
        <v>0.4</v>
      </c>
      <c r="H491" s="267">
        <f t="shared" si="24"/>
        <v>0</v>
      </c>
      <c r="I491" s="110">
        <f>IF(H491=0,0,H491*(1+'📋 Datos Generales'!$E$28))</f>
        <v>0</v>
      </c>
      <c r="J491" s="268">
        <f t="shared" si="25"/>
        <v>0</v>
      </c>
      <c r="K491" s="269">
        <f>IF(OR(I491=0,'🧾 Factura Comercial'!G490=0),0,CEILING('🧮 Costos x Producto'!J490*'🧾 Factura Comercial'!G490/I491,1))</f>
        <v>0</v>
      </c>
    </row>
    <row r="492" spans="4:11" ht="19.5" hidden="1" customHeight="1" thickBot="1" x14ac:dyDescent="0.3">
      <c r="D492" s="28">
        <v>485</v>
      </c>
      <c r="E492" s="262">
        <f>'🧾 Factura Comercial'!E491</f>
        <v>0</v>
      </c>
      <c r="F492" s="270">
        <f>'🧮 Costos x Producto'!K491</f>
        <v>0</v>
      </c>
      <c r="G492" s="351">
        <f t="shared" si="23"/>
        <v>0.4</v>
      </c>
      <c r="H492" s="267">
        <f t="shared" si="24"/>
        <v>0</v>
      </c>
      <c r="I492" s="110">
        <f>IF(H492=0,0,H492*(1+'📋 Datos Generales'!$E$28))</f>
        <v>0</v>
      </c>
      <c r="J492" s="268">
        <f t="shared" si="25"/>
        <v>0</v>
      </c>
      <c r="K492" s="269">
        <f>IF(OR(I492=0,'🧾 Factura Comercial'!G491=0),0,CEILING('🧮 Costos x Producto'!J491*'🧾 Factura Comercial'!G491/I492,1))</f>
        <v>0</v>
      </c>
    </row>
    <row r="493" spans="4:11" ht="19.5" hidden="1" customHeight="1" thickBot="1" x14ac:dyDescent="0.3">
      <c r="D493" s="28">
        <v>486</v>
      </c>
      <c r="E493" s="262">
        <f>'🧾 Factura Comercial'!E492</f>
        <v>0</v>
      </c>
      <c r="F493" s="270">
        <f>'🧮 Costos x Producto'!K492</f>
        <v>0</v>
      </c>
      <c r="G493" s="351">
        <f t="shared" si="23"/>
        <v>0.4</v>
      </c>
      <c r="H493" s="267">
        <f t="shared" si="24"/>
        <v>0</v>
      </c>
      <c r="I493" s="110">
        <f>IF(H493=0,0,H493*(1+'📋 Datos Generales'!$E$28))</f>
        <v>0</v>
      </c>
      <c r="J493" s="268">
        <f t="shared" si="25"/>
        <v>0</v>
      </c>
      <c r="K493" s="269">
        <f>IF(OR(I493=0,'🧾 Factura Comercial'!G492=0),0,CEILING('🧮 Costos x Producto'!J492*'🧾 Factura Comercial'!G492/I493,1))</f>
        <v>0</v>
      </c>
    </row>
    <row r="494" spans="4:11" ht="19.5" hidden="1" customHeight="1" thickBot="1" x14ac:dyDescent="0.3">
      <c r="D494" s="28">
        <v>487</v>
      </c>
      <c r="E494" s="262">
        <f>'🧾 Factura Comercial'!E493</f>
        <v>0</v>
      </c>
      <c r="F494" s="270">
        <f>'🧮 Costos x Producto'!K493</f>
        <v>0</v>
      </c>
      <c r="G494" s="351">
        <f t="shared" si="23"/>
        <v>0.4</v>
      </c>
      <c r="H494" s="267">
        <f t="shared" si="24"/>
        <v>0</v>
      </c>
      <c r="I494" s="110">
        <f>IF(H494=0,0,H494*(1+'📋 Datos Generales'!$E$28))</f>
        <v>0</v>
      </c>
      <c r="J494" s="268">
        <f t="shared" si="25"/>
        <v>0</v>
      </c>
      <c r="K494" s="269">
        <f>IF(OR(I494=0,'🧾 Factura Comercial'!G493=0),0,CEILING('🧮 Costos x Producto'!J493*'🧾 Factura Comercial'!G493/I494,1))</f>
        <v>0</v>
      </c>
    </row>
    <row r="495" spans="4:11" ht="19.5" hidden="1" customHeight="1" thickBot="1" x14ac:dyDescent="0.3">
      <c r="D495" s="28">
        <v>488</v>
      </c>
      <c r="E495" s="262">
        <f>'🧾 Factura Comercial'!E494</f>
        <v>0</v>
      </c>
      <c r="F495" s="270">
        <f>'🧮 Costos x Producto'!K494</f>
        <v>0</v>
      </c>
      <c r="G495" s="351">
        <f t="shared" si="23"/>
        <v>0.4</v>
      </c>
      <c r="H495" s="267">
        <f t="shared" si="24"/>
        <v>0</v>
      </c>
      <c r="I495" s="110">
        <f>IF(H495=0,0,H495*(1+'📋 Datos Generales'!$E$28))</f>
        <v>0</v>
      </c>
      <c r="J495" s="268">
        <f t="shared" si="25"/>
        <v>0</v>
      </c>
      <c r="K495" s="269">
        <f>IF(OR(I495=0,'🧾 Factura Comercial'!G494=0),0,CEILING('🧮 Costos x Producto'!J494*'🧾 Factura Comercial'!G494/I495,1))</f>
        <v>0</v>
      </c>
    </row>
    <row r="496" spans="4:11" ht="19.5" hidden="1" customHeight="1" thickBot="1" x14ac:dyDescent="0.3">
      <c r="D496" s="28">
        <v>489</v>
      </c>
      <c r="E496" s="262">
        <f>'🧾 Factura Comercial'!E495</f>
        <v>0</v>
      </c>
      <c r="F496" s="270">
        <f>'🧮 Costos x Producto'!K495</f>
        <v>0</v>
      </c>
      <c r="G496" s="351">
        <f t="shared" si="23"/>
        <v>0.4</v>
      </c>
      <c r="H496" s="267">
        <f t="shared" si="24"/>
        <v>0</v>
      </c>
      <c r="I496" s="110">
        <f>IF(H496=0,0,H496*(1+'📋 Datos Generales'!$E$28))</f>
        <v>0</v>
      </c>
      <c r="J496" s="268">
        <f t="shared" si="25"/>
        <v>0</v>
      </c>
      <c r="K496" s="269">
        <f>IF(OR(I496=0,'🧾 Factura Comercial'!G495=0),0,CEILING('🧮 Costos x Producto'!J495*'🧾 Factura Comercial'!G495/I496,1))</f>
        <v>0</v>
      </c>
    </row>
    <row r="497" spans="4:11" ht="19.5" hidden="1" customHeight="1" thickBot="1" x14ac:dyDescent="0.3">
      <c r="D497" s="28">
        <v>490</v>
      </c>
      <c r="E497" s="262">
        <f>'🧾 Factura Comercial'!E496</f>
        <v>0</v>
      </c>
      <c r="F497" s="270">
        <f>'🧮 Costos x Producto'!K496</f>
        <v>0</v>
      </c>
      <c r="G497" s="351">
        <f t="shared" si="23"/>
        <v>0.4</v>
      </c>
      <c r="H497" s="267">
        <f t="shared" si="24"/>
        <v>0</v>
      </c>
      <c r="I497" s="110">
        <f>IF(H497=0,0,H497*(1+'📋 Datos Generales'!$E$28))</f>
        <v>0</v>
      </c>
      <c r="J497" s="268">
        <f t="shared" si="25"/>
        <v>0</v>
      </c>
      <c r="K497" s="269">
        <f>IF(OR(I497=0,'🧾 Factura Comercial'!G496=0),0,CEILING('🧮 Costos x Producto'!J496*'🧾 Factura Comercial'!G496/I497,1))</f>
        <v>0</v>
      </c>
    </row>
    <row r="498" spans="4:11" ht="19.5" hidden="1" customHeight="1" thickBot="1" x14ac:dyDescent="0.3">
      <c r="D498" s="28">
        <v>491</v>
      </c>
      <c r="E498" s="262">
        <f>'🧾 Factura Comercial'!E497</f>
        <v>0</v>
      </c>
      <c r="F498" s="270">
        <f>'🧮 Costos x Producto'!K497</f>
        <v>0</v>
      </c>
      <c r="G498" s="351">
        <f t="shared" si="23"/>
        <v>0.4</v>
      </c>
      <c r="H498" s="267">
        <f t="shared" si="24"/>
        <v>0</v>
      </c>
      <c r="I498" s="110">
        <f>IF(H498=0,0,H498*(1+'📋 Datos Generales'!$E$28))</f>
        <v>0</v>
      </c>
      <c r="J498" s="268">
        <f t="shared" si="25"/>
        <v>0</v>
      </c>
      <c r="K498" s="269">
        <f>IF(OR(I498=0,'🧾 Factura Comercial'!G497=0),0,CEILING('🧮 Costos x Producto'!J497*'🧾 Factura Comercial'!G497/I498,1))</f>
        <v>0</v>
      </c>
    </row>
    <row r="499" spans="4:11" ht="19.5" hidden="1" customHeight="1" thickBot="1" x14ac:dyDescent="0.3">
      <c r="D499" s="28">
        <v>492</v>
      </c>
      <c r="E499" s="262">
        <f>'🧾 Factura Comercial'!E498</f>
        <v>0</v>
      </c>
      <c r="F499" s="270">
        <f>'🧮 Costos x Producto'!K498</f>
        <v>0</v>
      </c>
      <c r="G499" s="351">
        <f t="shared" si="23"/>
        <v>0.4</v>
      </c>
      <c r="H499" s="267">
        <f t="shared" si="24"/>
        <v>0</v>
      </c>
      <c r="I499" s="110">
        <f>IF(H499=0,0,H499*(1+'📋 Datos Generales'!$E$28))</f>
        <v>0</v>
      </c>
      <c r="J499" s="268">
        <f t="shared" si="25"/>
        <v>0</v>
      </c>
      <c r="K499" s="269">
        <f>IF(OR(I499=0,'🧾 Factura Comercial'!G498=0),0,CEILING('🧮 Costos x Producto'!J498*'🧾 Factura Comercial'!G498/I499,1))</f>
        <v>0</v>
      </c>
    </row>
    <row r="500" spans="4:11" ht="19.5" hidden="1" customHeight="1" thickBot="1" x14ac:dyDescent="0.3">
      <c r="D500" s="28">
        <v>493</v>
      </c>
      <c r="E500" s="262">
        <f>'🧾 Factura Comercial'!E499</f>
        <v>0</v>
      </c>
      <c r="F500" s="270">
        <f>'🧮 Costos x Producto'!K499</f>
        <v>0</v>
      </c>
      <c r="G500" s="351">
        <f t="shared" si="23"/>
        <v>0.4</v>
      </c>
      <c r="H500" s="267">
        <f t="shared" si="24"/>
        <v>0</v>
      </c>
      <c r="I500" s="110">
        <f>IF(H500=0,0,H500*(1+'📋 Datos Generales'!$E$28))</f>
        <v>0</v>
      </c>
      <c r="J500" s="268">
        <f t="shared" si="25"/>
        <v>0</v>
      </c>
      <c r="K500" s="269">
        <f>IF(OR(I500=0,'🧾 Factura Comercial'!G499=0),0,CEILING('🧮 Costos x Producto'!J499*'🧾 Factura Comercial'!G499/I500,1))</f>
        <v>0</v>
      </c>
    </row>
    <row r="501" spans="4:11" ht="19.5" hidden="1" customHeight="1" thickBot="1" x14ac:dyDescent="0.3">
      <c r="D501" s="28">
        <v>494</v>
      </c>
      <c r="E501" s="262">
        <f>'🧾 Factura Comercial'!E500</f>
        <v>0</v>
      </c>
      <c r="F501" s="270">
        <f>'🧮 Costos x Producto'!K500</f>
        <v>0</v>
      </c>
      <c r="G501" s="351">
        <f t="shared" si="23"/>
        <v>0.4</v>
      </c>
      <c r="H501" s="267">
        <f t="shared" si="24"/>
        <v>0</v>
      </c>
      <c r="I501" s="110">
        <f>IF(H501=0,0,H501*(1+'📋 Datos Generales'!$E$28))</f>
        <v>0</v>
      </c>
      <c r="J501" s="268">
        <f t="shared" si="25"/>
        <v>0</v>
      </c>
      <c r="K501" s="269">
        <f>IF(OR(I501=0,'🧾 Factura Comercial'!G500=0),0,CEILING('🧮 Costos x Producto'!J500*'🧾 Factura Comercial'!G500/I501,1))</f>
        <v>0</v>
      </c>
    </row>
    <row r="502" spans="4:11" ht="19.5" hidden="1" customHeight="1" thickBot="1" x14ac:dyDescent="0.3">
      <c r="D502" s="28">
        <v>495</v>
      </c>
      <c r="E502" s="262">
        <f>'🧾 Factura Comercial'!E501</f>
        <v>0</v>
      </c>
      <c r="F502" s="270">
        <f>'🧮 Costos x Producto'!K501</f>
        <v>0</v>
      </c>
      <c r="G502" s="351">
        <f t="shared" si="23"/>
        <v>0.4</v>
      </c>
      <c r="H502" s="267">
        <f t="shared" si="24"/>
        <v>0</v>
      </c>
      <c r="I502" s="110">
        <f>IF(H502=0,0,H502*(1+'📋 Datos Generales'!$E$28))</f>
        <v>0</v>
      </c>
      <c r="J502" s="268">
        <f t="shared" si="25"/>
        <v>0</v>
      </c>
      <c r="K502" s="269">
        <f>IF(OR(I502=0,'🧾 Factura Comercial'!G501=0),0,CEILING('🧮 Costos x Producto'!J501*'🧾 Factura Comercial'!G501/I502,1))</f>
        <v>0</v>
      </c>
    </row>
    <row r="503" spans="4:11" ht="19.5" hidden="1" customHeight="1" thickBot="1" x14ac:dyDescent="0.3">
      <c r="D503" s="28">
        <v>496</v>
      </c>
      <c r="E503" s="262">
        <f>'🧾 Factura Comercial'!E502</f>
        <v>0</v>
      </c>
      <c r="F503" s="270">
        <f>'🧮 Costos x Producto'!K502</f>
        <v>0</v>
      </c>
      <c r="G503" s="351">
        <f t="shared" si="23"/>
        <v>0.4</v>
      </c>
      <c r="H503" s="267">
        <f t="shared" si="24"/>
        <v>0</v>
      </c>
      <c r="I503" s="110">
        <f>IF(H503=0,0,H503*(1+'📋 Datos Generales'!$E$28))</f>
        <v>0</v>
      </c>
      <c r="J503" s="268">
        <f t="shared" si="25"/>
        <v>0</v>
      </c>
      <c r="K503" s="269">
        <f>IF(OR(I503=0,'🧾 Factura Comercial'!G502=0),0,CEILING('🧮 Costos x Producto'!J502*'🧾 Factura Comercial'!G502/I503,1))</f>
        <v>0</v>
      </c>
    </row>
    <row r="504" spans="4:11" ht="19.5" hidden="1" customHeight="1" thickBot="1" x14ac:dyDescent="0.3">
      <c r="D504" s="28">
        <v>497</v>
      </c>
      <c r="E504" s="262">
        <f>'🧾 Factura Comercial'!E503</f>
        <v>0</v>
      </c>
      <c r="F504" s="270">
        <f>'🧮 Costos x Producto'!K503</f>
        <v>0</v>
      </c>
      <c r="G504" s="351">
        <f t="shared" si="23"/>
        <v>0.4</v>
      </c>
      <c r="H504" s="267">
        <f t="shared" si="24"/>
        <v>0</v>
      </c>
      <c r="I504" s="110">
        <f>IF(H504=0,0,H504*(1+'📋 Datos Generales'!$E$28))</f>
        <v>0</v>
      </c>
      <c r="J504" s="268">
        <f t="shared" si="25"/>
        <v>0</v>
      </c>
      <c r="K504" s="269">
        <f>IF(OR(I504=0,'🧾 Factura Comercial'!G503=0),0,CEILING('🧮 Costos x Producto'!J503*'🧾 Factura Comercial'!G503/I504,1))</f>
        <v>0</v>
      </c>
    </row>
    <row r="505" spans="4:11" ht="19.5" hidden="1" customHeight="1" thickBot="1" x14ac:dyDescent="0.3">
      <c r="D505" s="28">
        <v>498</v>
      </c>
      <c r="E505" s="262">
        <f>'🧾 Factura Comercial'!E504</f>
        <v>0</v>
      </c>
      <c r="F505" s="270">
        <f>'🧮 Costos x Producto'!K504</f>
        <v>0</v>
      </c>
      <c r="G505" s="351">
        <f t="shared" si="23"/>
        <v>0.4</v>
      </c>
      <c r="H505" s="267">
        <f t="shared" si="24"/>
        <v>0</v>
      </c>
      <c r="I505" s="110">
        <f>IF(H505=0,0,H505*(1+'📋 Datos Generales'!$E$28))</f>
        <v>0</v>
      </c>
      <c r="J505" s="268">
        <f t="shared" si="25"/>
        <v>0</v>
      </c>
      <c r="K505" s="269">
        <f>IF(OR(I505=0,'🧾 Factura Comercial'!G504=0),0,CEILING('🧮 Costos x Producto'!J504*'🧾 Factura Comercial'!G504/I505,1))</f>
        <v>0</v>
      </c>
    </row>
    <row r="506" spans="4:11" ht="19.5" hidden="1" customHeight="1" thickBot="1" x14ac:dyDescent="0.3">
      <c r="D506" s="28">
        <v>499</v>
      </c>
      <c r="E506" s="262">
        <f>'🧾 Factura Comercial'!E505</f>
        <v>0</v>
      </c>
      <c r="F506" s="270">
        <f>'🧮 Costos x Producto'!K505</f>
        <v>0</v>
      </c>
      <c r="G506" s="351">
        <f t="shared" si="23"/>
        <v>0.4</v>
      </c>
      <c r="H506" s="267">
        <f t="shared" si="24"/>
        <v>0</v>
      </c>
      <c r="I506" s="110">
        <f>IF(H506=0,0,H506*(1+'📋 Datos Generales'!$E$28))</f>
        <v>0</v>
      </c>
      <c r="J506" s="268">
        <f t="shared" si="25"/>
        <v>0</v>
      </c>
      <c r="K506" s="269">
        <f>IF(OR(I506=0,'🧾 Factura Comercial'!G505=0),0,CEILING('🧮 Costos x Producto'!J505*'🧾 Factura Comercial'!G505/I506,1))</f>
        <v>0</v>
      </c>
    </row>
    <row r="507" spans="4:11" ht="19.5" hidden="1" customHeight="1" thickBot="1" x14ac:dyDescent="0.3">
      <c r="D507" s="28">
        <v>500</v>
      </c>
      <c r="E507" s="262">
        <f>'🧾 Factura Comercial'!E506</f>
        <v>0</v>
      </c>
      <c r="F507" s="270">
        <f>'🧮 Costos x Producto'!K506</f>
        <v>0</v>
      </c>
      <c r="G507" s="351">
        <f t="shared" si="23"/>
        <v>0.4</v>
      </c>
      <c r="H507" s="267">
        <f t="shared" si="24"/>
        <v>0</v>
      </c>
      <c r="I507" s="110">
        <f>IF(H507=0,0,H507*(1+'📋 Datos Generales'!$E$28))</f>
        <v>0</v>
      </c>
      <c r="J507" s="268">
        <f t="shared" si="25"/>
        <v>0</v>
      </c>
      <c r="K507" s="269">
        <f>IF(OR(I507=0,'🧾 Factura Comercial'!G506=0),0,CEILING('🧮 Costos x Producto'!J506*'🧾 Factura Comercial'!G506/I507,1))</f>
        <v>0</v>
      </c>
    </row>
    <row r="508" spans="4:11" ht="19.5" hidden="1" customHeight="1" thickBot="1" x14ac:dyDescent="0.3">
      <c r="D508" s="28">
        <v>501</v>
      </c>
      <c r="E508" s="262">
        <f>'🧾 Factura Comercial'!E507</f>
        <v>0</v>
      </c>
      <c r="F508" s="270">
        <f>'🧮 Costos x Producto'!K507</f>
        <v>0</v>
      </c>
      <c r="G508" s="351">
        <f t="shared" si="23"/>
        <v>0.4</v>
      </c>
      <c r="H508" s="267">
        <f t="shared" si="24"/>
        <v>0</v>
      </c>
      <c r="I508" s="110">
        <f>IF(H508=0,0,H508*(1+'📋 Datos Generales'!$E$28))</f>
        <v>0</v>
      </c>
      <c r="J508" s="268">
        <f t="shared" si="25"/>
        <v>0</v>
      </c>
      <c r="K508" s="269">
        <f>IF(OR(I508=0,'🧾 Factura Comercial'!G507=0),0,CEILING('🧮 Costos x Producto'!J507*'🧾 Factura Comercial'!G507/I508,1))</f>
        <v>0</v>
      </c>
    </row>
    <row r="509" spans="4:11" ht="19.5" hidden="1" customHeight="1" thickBot="1" x14ac:dyDescent="0.3">
      <c r="D509" s="28">
        <v>502</v>
      </c>
      <c r="E509" s="262">
        <f>'🧾 Factura Comercial'!E508</f>
        <v>0</v>
      </c>
      <c r="F509" s="270">
        <f>'🧮 Costos x Producto'!K508</f>
        <v>0</v>
      </c>
      <c r="G509" s="351">
        <f t="shared" si="23"/>
        <v>0.4</v>
      </c>
      <c r="H509" s="267">
        <f t="shared" si="24"/>
        <v>0</v>
      </c>
      <c r="I509" s="110">
        <f>IF(H509=0,0,H509*(1+'📋 Datos Generales'!$E$28))</f>
        <v>0</v>
      </c>
      <c r="J509" s="268">
        <f t="shared" si="25"/>
        <v>0</v>
      </c>
      <c r="K509" s="269">
        <f>IF(OR(I509=0,'🧾 Factura Comercial'!G508=0),0,CEILING('🧮 Costos x Producto'!J508*'🧾 Factura Comercial'!G508/I509,1))</f>
        <v>0</v>
      </c>
    </row>
    <row r="510" spans="4:11" ht="19.5" hidden="1" customHeight="1" thickBot="1" x14ac:dyDescent="0.3">
      <c r="D510" s="28">
        <v>503</v>
      </c>
      <c r="E510" s="262">
        <f>'🧾 Factura Comercial'!E509</f>
        <v>0</v>
      </c>
      <c r="F510" s="270">
        <f>'🧮 Costos x Producto'!K509</f>
        <v>0</v>
      </c>
      <c r="G510" s="351">
        <f t="shared" si="23"/>
        <v>0.4</v>
      </c>
      <c r="H510" s="267">
        <f t="shared" si="24"/>
        <v>0</v>
      </c>
      <c r="I510" s="110">
        <f>IF(H510=0,0,H510*(1+'📋 Datos Generales'!$E$28))</f>
        <v>0</v>
      </c>
      <c r="J510" s="268">
        <f t="shared" si="25"/>
        <v>0</v>
      </c>
      <c r="K510" s="269">
        <f>IF(OR(I510=0,'🧾 Factura Comercial'!G509=0),0,CEILING('🧮 Costos x Producto'!J509*'🧾 Factura Comercial'!G509/I510,1))</f>
        <v>0</v>
      </c>
    </row>
    <row r="511" spans="4:11" ht="19.5" hidden="1" customHeight="1" thickBot="1" x14ac:dyDescent="0.3">
      <c r="D511" s="28">
        <v>504</v>
      </c>
      <c r="E511" s="262">
        <f>'🧾 Factura Comercial'!E510</f>
        <v>0</v>
      </c>
      <c r="F511" s="270">
        <f>'🧮 Costos x Producto'!K510</f>
        <v>0</v>
      </c>
      <c r="G511" s="351">
        <f t="shared" si="23"/>
        <v>0.4</v>
      </c>
      <c r="H511" s="267">
        <f t="shared" si="24"/>
        <v>0</v>
      </c>
      <c r="I511" s="110">
        <f>IF(H511=0,0,H511*(1+'📋 Datos Generales'!$E$28))</f>
        <v>0</v>
      </c>
      <c r="J511" s="268">
        <f t="shared" si="25"/>
        <v>0</v>
      </c>
      <c r="K511" s="269">
        <f>IF(OR(I511=0,'🧾 Factura Comercial'!G510=0),0,CEILING('🧮 Costos x Producto'!J510*'🧾 Factura Comercial'!G510/I511,1))</f>
        <v>0</v>
      </c>
    </row>
    <row r="512" spans="4:11" ht="19.5" hidden="1" customHeight="1" thickBot="1" x14ac:dyDescent="0.3">
      <c r="D512" s="28">
        <v>505</v>
      </c>
      <c r="E512" s="262">
        <f>'🧾 Factura Comercial'!E511</f>
        <v>0</v>
      </c>
      <c r="F512" s="270">
        <f>'🧮 Costos x Producto'!K511</f>
        <v>0</v>
      </c>
      <c r="G512" s="351">
        <f t="shared" si="23"/>
        <v>0.4</v>
      </c>
      <c r="H512" s="267">
        <f t="shared" si="24"/>
        <v>0</v>
      </c>
      <c r="I512" s="110">
        <f>IF(H512=0,0,H512*(1+'📋 Datos Generales'!$E$28))</f>
        <v>0</v>
      </c>
      <c r="J512" s="268">
        <f t="shared" si="25"/>
        <v>0</v>
      </c>
      <c r="K512" s="269">
        <f>IF(OR(I512=0,'🧾 Factura Comercial'!G511=0),0,CEILING('🧮 Costos x Producto'!J511*'🧾 Factura Comercial'!G511/I512,1))</f>
        <v>0</v>
      </c>
    </row>
    <row r="513" spans="4:11" ht="19.5" hidden="1" customHeight="1" thickBot="1" x14ac:dyDescent="0.3">
      <c r="D513" s="28">
        <v>506</v>
      </c>
      <c r="E513" s="262">
        <f>'🧾 Factura Comercial'!E512</f>
        <v>0</v>
      </c>
      <c r="F513" s="270">
        <f>'🧮 Costos x Producto'!K512</f>
        <v>0</v>
      </c>
      <c r="G513" s="351">
        <f t="shared" si="23"/>
        <v>0.4</v>
      </c>
      <c r="H513" s="267">
        <f t="shared" si="24"/>
        <v>0</v>
      </c>
      <c r="I513" s="110">
        <f>IF(H513=0,0,H513*(1+'📋 Datos Generales'!$E$28))</f>
        <v>0</v>
      </c>
      <c r="J513" s="268">
        <f t="shared" si="25"/>
        <v>0</v>
      </c>
      <c r="K513" s="269">
        <f>IF(OR(I513=0,'🧾 Factura Comercial'!G512=0),0,CEILING('🧮 Costos x Producto'!J512*'🧾 Factura Comercial'!G512/I513,1))</f>
        <v>0</v>
      </c>
    </row>
    <row r="514" spans="4:11" ht="19.5" hidden="1" customHeight="1" thickBot="1" x14ac:dyDescent="0.3">
      <c r="D514" s="28">
        <v>507</v>
      </c>
      <c r="E514" s="262">
        <f>'🧾 Factura Comercial'!E513</f>
        <v>0</v>
      </c>
      <c r="F514" s="270">
        <f>'🧮 Costos x Producto'!K513</f>
        <v>0</v>
      </c>
      <c r="G514" s="351">
        <f t="shared" si="23"/>
        <v>0.4</v>
      </c>
      <c r="H514" s="267">
        <f t="shared" si="24"/>
        <v>0</v>
      </c>
      <c r="I514" s="110">
        <f>IF(H514=0,0,H514*(1+'📋 Datos Generales'!$E$28))</f>
        <v>0</v>
      </c>
      <c r="J514" s="268">
        <f t="shared" si="25"/>
        <v>0</v>
      </c>
      <c r="K514" s="269">
        <f>IF(OR(I514=0,'🧾 Factura Comercial'!G513=0),0,CEILING('🧮 Costos x Producto'!J513*'🧾 Factura Comercial'!G513/I514,1))</f>
        <v>0</v>
      </c>
    </row>
    <row r="515" spans="4:11" ht="19.5" hidden="1" customHeight="1" thickBot="1" x14ac:dyDescent="0.3">
      <c r="D515" s="28">
        <v>508</v>
      </c>
      <c r="E515" s="262">
        <f>'🧾 Factura Comercial'!E514</f>
        <v>0</v>
      </c>
      <c r="F515" s="270">
        <f>'🧮 Costos x Producto'!K514</f>
        <v>0</v>
      </c>
      <c r="G515" s="351">
        <f t="shared" si="23"/>
        <v>0.4</v>
      </c>
      <c r="H515" s="267">
        <f t="shared" si="24"/>
        <v>0</v>
      </c>
      <c r="I515" s="110">
        <f>IF(H515=0,0,H515*(1+'📋 Datos Generales'!$E$28))</f>
        <v>0</v>
      </c>
      <c r="J515" s="268">
        <f t="shared" si="25"/>
        <v>0</v>
      </c>
      <c r="K515" s="269">
        <f>IF(OR(I515=0,'🧾 Factura Comercial'!G514=0),0,CEILING('🧮 Costos x Producto'!J514*'🧾 Factura Comercial'!G514/I515,1))</f>
        <v>0</v>
      </c>
    </row>
    <row r="516" spans="4:11" ht="19.5" hidden="1" customHeight="1" thickBot="1" x14ac:dyDescent="0.3">
      <c r="D516" s="28">
        <v>509</v>
      </c>
      <c r="E516" s="262">
        <f>'🧾 Factura Comercial'!E515</f>
        <v>0</v>
      </c>
      <c r="F516" s="270">
        <f>'🧮 Costos x Producto'!K515</f>
        <v>0</v>
      </c>
      <c r="G516" s="351">
        <f t="shared" si="23"/>
        <v>0.4</v>
      </c>
      <c r="H516" s="267">
        <f t="shared" si="24"/>
        <v>0</v>
      </c>
      <c r="I516" s="110">
        <f>IF(H516=0,0,H516*(1+'📋 Datos Generales'!$E$28))</f>
        <v>0</v>
      </c>
      <c r="J516" s="268">
        <f t="shared" si="25"/>
        <v>0</v>
      </c>
      <c r="K516" s="269">
        <f>IF(OR(I516=0,'🧾 Factura Comercial'!G515=0),0,CEILING('🧮 Costos x Producto'!J515*'🧾 Factura Comercial'!G515/I516,1))</f>
        <v>0</v>
      </c>
    </row>
    <row r="517" spans="4:11" ht="19.5" hidden="1" customHeight="1" thickBot="1" x14ac:dyDescent="0.3">
      <c r="D517" s="28">
        <v>510</v>
      </c>
      <c r="E517" s="262">
        <f>'🧾 Factura Comercial'!E516</f>
        <v>0</v>
      </c>
      <c r="F517" s="270">
        <f>'🧮 Costos x Producto'!K516</f>
        <v>0</v>
      </c>
      <c r="G517" s="351">
        <f t="shared" si="23"/>
        <v>0.4</v>
      </c>
      <c r="H517" s="267">
        <f t="shared" si="24"/>
        <v>0</v>
      </c>
      <c r="I517" s="110">
        <f>IF(H517=0,0,H517*(1+'📋 Datos Generales'!$E$28))</f>
        <v>0</v>
      </c>
      <c r="J517" s="268">
        <f t="shared" si="25"/>
        <v>0</v>
      </c>
      <c r="K517" s="269">
        <f>IF(OR(I517=0,'🧾 Factura Comercial'!G516=0),0,CEILING('🧮 Costos x Producto'!J516*'🧾 Factura Comercial'!G516/I517,1))</f>
        <v>0</v>
      </c>
    </row>
    <row r="518" spans="4:11" ht="19.5" hidden="1" customHeight="1" thickBot="1" x14ac:dyDescent="0.3">
      <c r="D518" s="28">
        <v>511</v>
      </c>
      <c r="E518" s="262">
        <f>'🧾 Factura Comercial'!E517</f>
        <v>0</v>
      </c>
      <c r="F518" s="270">
        <f>'🧮 Costos x Producto'!K517</f>
        <v>0</v>
      </c>
      <c r="G518" s="351">
        <f t="shared" si="23"/>
        <v>0.4</v>
      </c>
      <c r="H518" s="267">
        <f t="shared" si="24"/>
        <v>0</v>
      </c>
      <c r="I518" s="110">
        <f>IF(H518=0,0,H518*(1+'📋 Datos Generales'!$E$28))</f>
        <v>0</v>
      </c>
      <c r="J518" s="268">
        <f t="shared" si="25"/>
        <v>0</v>
      </c>
      <c r="K518" s="269">
        <f>IF(OR(I518=0,'🧾 Factura Comercial'!G517=0),0,CEILING('🧮 Costos x Producto'!J517*'🧾 Factura Comercial'!G517/I518,1))</f>
        <v>0</v>
      </c>
    </row>
    <row r="519" spans="4:11" ht="19.5" hidden="1" customHeight="1" thickBot="1" x14ac:dyDescent="0.3">
      <c r="D519" s="28">
        <v>512</v>
      </c>
      <c r="E519" s="262">
        <f>'🧾 Factura Comercial'!E518</f>
        <v>0</v>
      </c>
      <c r="F519" s="270">
        <f>'🧮 Costos x Producto'!K518</f>
        <v>0</v>
      </c>
      <c r="G519" s="351">
        <f t="shared" si="23"/>
        <v>0.4</v>
      </c>
      <c r="H519" s="267">
        <f t="shared" si="24"/>
        <v>0</v>
      </c>
      <c r="I519" s="110">
        <f>IF(H519=0,0,H519*(1+'📋 Datos Generales'!$E$28))</f>
        <v>0</v>
      </c>
      <c r="J519" s="268">
        <f t="shared" si="25"/>
        <v>0</v>
      </c>
      <c r="K519" s="269">
        <f>IF(OR(I519=0,'🧾 Factura Comercial'!G518=0),0,CEILING('🧮 Costos x Producto'!J518*'🧾 Factura Comercial'!G518/I519,1))</f>
        <v>0</v>
      </c>
    </row>
    <row r="520" spans="4:11" ht="19.5" hidden="1" customHeight="1" thickBot="1" x14ac:dyDescent="0.3">
      <c r="D520" s="28">
        <v>513</v>
      </c>
      <c r="E520" s="262">
        <f>'🧾 Factura Comercial'!E519</f>
        <v>0</v>
      </c>
      <c r="F520" s="270">
        <f>'🧮 Costos x Producto'!K519</f>
        <v>0</v>
      </c>
      <c r="G520" s="351">
        <f t="shared" si="23"/>
        <v>0.4</v>
      </c>
      <c r="H520" s="267">
        <f t="shared" si="24"/>
        <v>0</v>
      </c>
      <c r="I520" s="110">
        <f>IF(H520=0,0,H520*(1+'📋 Datos Generales'!$E$28))</f>
        <v>0</v>
      </c>
      <c r="J520" s="268">
        <f t="shared" si="25"/>
        <v>0</v>
      </c>
      <c r="K520" s="269">
        <f>IF(OR(I520=0,'🧾 Factura Comercial'!G519=0),0,CEILING('🧮 Costos x Producto'!J519*'🧾 Factura Comercial'!G519/I520,1))</f>
        <v>0</v>
      </c>
    </row>
  </sheetData>
  <autoFilter ref="D7:K520" xr:uid="{00000000-0001-0000-0700-000000000000}">
    <filterColumn colId="1">
      <filters>
        <filter val="Adaptador USB-C a Jack 3.5mm"/>
        <filter val="Adaptador YYY 67"/>
        <filter val="Audífonos In-Ear con Micrófono"/>
        <filter val="Cable Micro USB 2m Nylon"/>
        <filter val="Cable USB-C Trenzado 1m"/>
        <filter val="Cargador Inalámbrico 15W Qi"/>
        <filter val="Case Transparente TPU iPhone 15"/>
        <filter val="Case Wallet Cuero PU Samsung S24"/>
        <filter val="Protector Pantalla Vidrio Templado"/>
        <filter val="Soporte Anillo Pop Socket Metálico"/>
      </filters>
    </filterColumn>
  </autoFilter>
  <mergeCells count="8">
    <mergeCell ref="D4:G4"/>
    <mergeCell ref="D2:K2"/>
    <mergeCell ref="D3:K3"/>
    <mergeCell ref="H4:K4"/>
    <mergeCell ref="H6:K6"/>
    <mergeCell ref="D6:G6"/>
    <mergeCell ref="D5:G5"/>
    <mergeCell ref="H5:K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A4174"/>
  </sheetPr>
  <dimension ref="A1:AW433"/>
  <sheetViews>
    <sheetView showGridLines="0" showRowColHeaders="0" zoomScaleNormal="10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4.28515625" style="93" customWidth="1"/>
    <col min="2" max="2" width="43.5703125" bestFit="1" customWidth="1"/>
    <col min="3" max="3" width="22" customWidth="1"/>
    <col min="4" max="4" width="28" customWidth="1"/>
    <col min="5" max="5" width="3" style="93" customWidth="1"/>
    <col min="6" max="49" width="8.7109375" style="93"/>
  </cols>
  <sheetData>
    <row r="1" spans="2:4" s="93" customFormat="1" ht="6.75" customHeight="1" x14ac:dyDescent="0.25"/>
    <row r="2" spans="2:4" s="93" customFormat="1" x14ac:dyDescent="0.25"/>
    <row r="3" spans="2:4" s="93" customFormat="1" x14ac:dyDescent="0.25"/>
    <row r="4" spans="2:4" s="93" customFormat="1" x14ac:dyDescent="0.25"/>
    <row r="5" spans="2:4" s="93" customFormat="1" x14ac:dyDescent="0.25"/>
    <row r="6" spans="2:4" s="93" customFormat="1" x14ac:dyDescent="0.25"/>
    <row r="7" spans="2:4" ht="39.75" customHeight="1" x14ac:dyDescent="0.25">
      <c r="B7" s="440" t="s">
        <v>262</v>
      </c>
      <c r="C7" s="440"/>
      <c r="D7" s="440"/>
    </row>
    <row r="8" spans="2:4" ht="15.75" customHeight="1" x14ac:dyDescent="0.25">
      <c r="B8" s="435" t="s">
        <v>263</v>
      </c>
      <c r="C8" s="435"/>
      <c r="D8" s="435"/>
    </row>
    <row r="9" spans="2:4" s="93" customFormat="1" x14ac:dyDescent="0.25"/>
    <row r="10" spans="2:4" ht="19.5" customHeight="1" x14ac:dyDescent="0.25">
      <c r="B10" s="442" t="s">
        <v>264</v>
      </c>
      <c r="C10" s="467"/>
      <c r="D10" s="442"/>
    </row>
    <row r="11" spans="2:4" ht="21.75" customHeight="1" thickBot="1" x14ac:dyDescent="0.3">
      <c r="B11" s="111" t="s">
        <v>265</v>
      </c>
      <c r="C11" s="116">
        <f>'🧾 Tributos Aduana'!F12</f>
        <v>24.168600000000001</v>
      </c>
      <c r="D11" s="113" t="s">
        <v>266</v>
      </c>
    </row>
    <row r="12" spans="2:4" ht="21.75" customHeight="1" thickBot="1" x14ac:dyDescent="0.3">
      <c r="B12" s="112" t="s">
        <v>267</v>
      </c>
      <c r="C12" s="115">
        <f>'🧾 Tributos Aduana'!F18</f>
        <v>972</v>
      </c>
      <c r="D12" s="114" t="s">
        <v>268</v>
      </c>
    </row>
    <row r="13" spans="2:4" ht="21.75" customHeight="1" thickBot="1" x14ac:dyDescent="0.3">
      <c r="B13" s="111" t="s">
        <v>269</v>
      </c>
      <c r="C13" s="115">
        <f>'🧾 Tributos Aduana'!F19</f>
        <v>7779</v>
      </c>
      <c r="D13" s="113" t="s">
        <v>270</v>
      </c>
    </row>
    <row r="14" spans="2:4" ht="21.75" customHeight="1" thickBot="1" x14ac:dyDescent="0.3">
      <c r="B14" s="112" t="s">
        <v>271</v>
      </c>
      <c r="C14" s="115">
        <f>'🧾 Tributos Aduana'!F23</f>
        <v>2007.9</v>
      </c>
      <c r="D14" s="114" t="s">
        <v>272</v>
      </c>
    </row>
    <row r="15" spans="2:4" ht="21.75" customHeight="1" thickBot="1" x14ac:dyDescent="0.3">
      <c r="B15" s="111" t="s">
        <v>273</v>
      </c>
      <c r="C15" s="117">
        <f>'📦 Gastos Importación'!F26</f>
        <v>179.50319999999996</v>
      </c>
      <c r="D15" s="113" t="s">
        <v>274</v>
      </c>
    </row>
    <row r="16" spans="2:4" ht="27.75" customHeight="1" x14ac:dyDescent="0.25">
      <c r="B16" s="118" t="s">
        <v>275</v>
      </c>
      <c r="C16" s="119">
        <f>C11+C12+C13+C14+C15</f>
        <v>10962.5718</v>
      </c>
      <c r="D16" s="93"/>
    </row>
    <row r="17" spans="2:4" ht="27.75" customHeight="1" x14ac:dyDescent="0.25">
      <c r="B17" s="120" t="s">
        <v>276</v>
      </c>
      <c r="C17" s="121">
        <f>C16*'📋 Datos Generales'!E19</f>
        <v>40780.767096000003</v>
      </c>
      <c r="D17" s="93"/>
    </row>
    <row r="18" spans="2:4" s="93" customFormat="1" ht="15.75" thickBot="1" x14ac:dyDescent="0.3"/>
    <row r="19" spans="2:4" ht="90" customHeight="1" thickBot="1" x14ac:dyDescent="0.3">
      <c r="B19" s="468" t="s">
        <v>277</v>
      </c>
      <c r="C19" s="468"/>
      <c r="D19" s="468"/>
    </row>
    <row r="20" spans="2:4" ht="15" customHeight="1" thickBot="1" x14ac:dyDescent="0.3">
      <c r="B20" s="468"/>
      <c r="C20" s="468"/>
      <c r="D20" s="468"/>
    </row>
    <row r="21" spans="2:4" ht="15" customHeight="1" thickBot="1" x14ac:dyDescent="0.3">
      <c r="B21" s="468"/>
      <c r="C21" s="468"/>
      <c r="D21" s="468"/>
    </row>
    <row r="22" spans="2:4" ht="15" customHeight="1" thickBot="1" x14ac:dyDescent="0.3">
      <c r="B22" s="468"/>
      <c r="C22" s="468"/>
      <c r="D22" s="468"/>
    </row>
    <row r="23" spans="2:4" ht="15" customHeight="1" x14ac:dyDescent="0.25">
      <c r="B23" s="468"/>
      <c r="C23" s="468"/>
      <c r="D23" s="468"/>
    </row>
    <row r="24" spans="2:4" s="93" customFormat="1" x14ac:dyDescent="0.25"/>
    <row r="25" spans="2:4" s="93" customFormat="1" x14ac:dyDescent="0.25"/>
    <row r="26" spans="2:4" s="93" customFormat="1" x14ac:dyDescent="0.25"/>
    <row r="27" spans="2:4" s="93" customFormat="1" x14ac:dyDescent="0.25"/>
    <row r="28" spans="2:4" s="93" customFormat="1" x14ac:dyDescent="0.25"/>
    <row r="29" spans="2:4" s="93" customFormat="1" x14ac:dyDescent="0.25"/>
    <row r="30" spans="2:4" s="93" customFormat="1" x14ac:dyDescent="0.25"/>
    <row r="31" spans="2:4" s="93" customFormat="1" x14ac:dyDescent="0.25"/>
    <row r="32" spans="2:4" s="93" customFormat="1" x14ac:dyDescent="0.25"/>
    <row r="33" s="93" customFormat="1" x14ac:dyDescent="0.25"/>
    <row r="34" s="93" customFormat="1" x14ac:dyDescent="0.25"/>
    <row r="35" s="93" customFormat="1" x14ac:dyDescent="0.25"/>
    <row r="36" s="93" customFormat="1" x14ac:dyDescent="0.25"/>
    <row r="37" s="93" customFormat="1" x14ac:dyDescent="0.25"/>
    <row r="38" s="93" customFormat="1" x14ac:dyDescent="0.25"/>
    <row r="39" s="93" customFormat="1" x14ac:dyDescent="0.25"/>
    <row r="40" s="93" customFormat="1" x14ac:dyDescent="0.25"/>
    <row r="41" s="93" customFormat="1" x14ac:dyDescent="0.25"/>
    <row r="42" s="93" customFormat="1" x14ac:dyDescent="0.25"/>
    <row r="43" s="93" customFormat="1" x14ac:dyDescent="0.25"/>
    <row r="44" s="93" customFormat="1" x14ac:dyDescent="0.25"/>
    <row r="45" s="93" customFormat="1" x14ac:dyDescent="0.25"/>
    <row r="46" s="93" customFormat="1" x14ac:dyDescent="0.25"/>
    <row r="47" s="93" customFormat="1" x14ac:dyDescent="0.25"/>
    <row r="48" s="93" customFormat="1" x14ac:dyDescent="0.25"/>
    <row r="49" s="93" customFormat="1" x14ac:dyDescent="0.25"/>
    <row r="50" s="93" customFormat="1" x14ac:dyDescent="0.25"/>
    <row r="51" s="93" customFormat="1" x14ac:dyDescent="0.25"/>
    <row r="52" s="93" customFormat="1" x14ac:dyDescent="0.25"/>
    <row r="53" s="93" customFormat="1" x14ac:dyDescent="0.25"/>
    <row r="54" s="93" customFormat="1" x14ac:dyDescent="0.25"/>
    <row r="55" s="93" customFormat="1" x14ac:dyDescent="0.25"/>
    <row r="56" s="93" customFormat="1" x14ac:dyDescent="0.25"/>
    <row r="57" s="93" customFormat="1" x14ac:dyDescent="0.25"/>
    <row r="58" s="93" customFormat="1" x14ac:dyDescent="0.25"/>
    <row r="59" s="93" customFormat="1" x14ac:dyDescent="0.25"/>
    <row r="60" s="93" customFormat="1" x14ac:dyDescent="0.25"/>
    <row r="61" s="93" customFormat="1" x14ac:dyDescent="0.25"/>
    <row r="62" s="93" customFormat="1" x14ac:dyDescent="0.25"/>
    <row r="63" s="93" customFormat="1" x14ac:dyDescent="0.25"/>
    <row r="64" s="93" customFormat="1" x14ac:dyDescent="0.25"/>
    <row r="65" s="93" customFormat="1" x14ac:dyDescent="0.25"/>
    <row r="66" s="93" customFormat="1" x14ac:dyDescent="0.25"/>
    <row r="67" s="93" customFormat="1" x14ac:dyDescent="0.25"/>
    <row r="68" s="93" customFormat="1" x14ac:dyDescent="0.25"/>
    <row r="69" s="93" customFormat="1" x14ac:dyDescent="0.25"/>
    <row r="70" s="93" customFormat="1" x14ac:dyDescent="0.25"/>
    <row r="71" s="93" customFormat="1" x14ac:dyDescent="0.25"/>
    <row r="72" s="93" customFormat="1" x14ac:dyDescent="0.25"/>
    <row r="73" s="93" customFormat="1" x14ac:dyDescent="0.25"/>
    <row r="74" s="93" customFormat="1" x14ac:dyDescent="0.25"/>
    <row r="75" s="93" customFormat="1" x14ac:dyDescent="0.25"/>
    <row r="76" s="93" customFormat="1" x14ac:dyDescent="0.25"/>
    <row r="77" s="93" customFormat="1" x14ac:dyDescent="0.25"/>
    <row r="78" s="93" customFormat="1" x14ac:dyDescent="0.25"/>
    <row r="79" s="93" customFormat="1" x14ac:dyDescent="0.25"/>
    <row r="80" s="93" customFormat="1" x14ac:dyDescent="0.25"/>
    <row r="81" s="93" customFormat="1" x14ac:dyDescent="0.25"/>
    <row r="82" s="93" customFormat="1" x14ac:dyDescent="0.25"/>
    <row r="83" s="93" customFormat="1" x14ac:dyDescent="0.25"/>
    <row r="84" s="93" customFormat="1" x14ac:dyDescent="0.25"/>
    <row r="85" s="93" customFormat="1" x14ac:dyDescent="0.25"/>
    <row r="86" s="93" customFormat="1" x14ac:dyDescent="0.25"/>
    <row r="87" s="93" customFormat="1" x14ac:dyDescent="0.25"/>
    <row r="88" s="93" customFormat="1" x14ac:dyDescent="0.25"/>
    <row r="89" s="93" customFormat="1" x14ac:dyDescent="0.25"/>
    <row r="90" s="93" customFormat="1" x14ac:dyDescent="0.25"/>
    <row r="91" s="93" customFormat="1" x14ac:dyDescent="0.25"/>
    <row r="92" s="93" customFormat="1" x14ac:dyDescent="0.25"/>
    <row r="93" s="93" customFormat="1" x14ac:dyDescent="0.25"/>
    <row r="94" s="93" customFormat="1" x14ac:dyDescent="0.25"/>
    <row r="95" s="93" customFormat="1" x14ac:dyDescent="0.25"/>
    <row r="96" s="93" customFormat="1" x14ac:dyDescent="0.25"/>
    <row r="97" s="93" customFormat="1" x14ac:dyDescent="0.25"/>
    <row r="98" s="93" customFormat="1" x14ac:dyDescent="0.25"/>
    <row r="99" s="93" customFormat="1" x14ac:dyDescent="0.25"/>
    <row r="100" s="93" customFormat="1" x14ac:dyDescent="0.25"/>
    <row r="101" s="93" customFormat="1" x14ac:dyDescent="0.25"/>
    <row r="102" s="93" customFormat="1" x14ac:dyDescent="0.25"/>
    <row r="103" s="93" customFormat="1" x14ac:dyDescent="0.25"/>
    <row r="104" s="93" customFormat="1" x14ac:dyDescent="0.25"/>
    <row r="105" s="93" customFormat="1" x14ac:dyDescent="0.25"/>
    <row r="106" s="93" customFormat="1" x14ac:dyDescent="0.25"/>
    <row r="107" s="93" customFormat="1" x14ac:dyDescent="0.25"/>
    <row r="108" s="93" customFormat="1" x14ac:dyDescent="0.25"/>
    <row r="109" s="93" customFormat="1" x14ac:dyDescent="0.25"/>
    <row r="110" s="93" customFormat="1" x14ac:dyDescent="0.25"/>
    <row r="111" s="93" customFormat="1" x14ac:dyDescent="0.25"/>
    <row r="112" s="93" customFormat="1" x14ac:dyDescent="0.25"/>
    <row r="113" s="93" customFormat="1" x14ac:dyDescent="0.25"/>
    <row r="114" s="93" customFormat="1" x14ac:dyDescent="0.25"/>
    <row r="115" s="93" customFormat="1" x14ac:dyDescent="0.25"/>
    <row r="116" s="93" customFormat="1" x14ac:dyDescent="0.25"/>
    <row r="117" s="93" customFormat="1" x14ac:dyDescent="0.25"/>
    <row r="118" s="93" customFormat="1" x14ac:dyDescent="0.25"/>
    <row r="119" s="93" customFormat="1" x14ac:dyDescent="0.25"/>
    <row r="120" s="93" customFormat="1" x14ac:dyDescent="0.25"/>
    <row r="121" s="93" customFormat="1" x14ac:dyDescent="0.25"/>
    <row r="122" s="93" customFormat="1" x14ac:dyDescent="0.25"/>
    <row r="123" s="93" customFormat="1" x14ac:dyDescent="0.25"/>
    <row r="124" s="93" customFormat="1" x14ac:dyDescent="0.25"/>
    <row r="125" s="93" customFormat="1" x14ac:dyDescent="0.25"/>
    <row r="126" s="93" customFormat="1" x14ac:dyDescent="0.25"/>
    <row r="127" s="93" customFormat="1" x14ac:dyDescent="0.25"/>
    <row r="128" s="93" customFormat="1" x14ac:dyDescent="0.25"/>
    <row r="129" s="93" customFormat="1" x14ac:dyDescent="0.25"/>
    <row r="130" s="93" customFormat="1" x14ac:dyDescent="0.25"/>
    <row r="131" s="93" customFormat="1" x14ac:dyDescent="0.25"/>
    <row r="132" s="93" customFormat="1" x14ac:dyDescent="0.25"/>
    <row r="133" s="93" customFormat="1" x14ac:dyDescent="0.25"/>
    <row r="134" s="93" customFormat="1" x14ac:dyDescent="0.25"/>
    <row r="135" s="93" customFormat="1" x14ac:dyDescent="0.25"/>
    <row r="136" s="93" customFormat="1" x14ac:dyDescent="0.25"/>
    <row r="137" s="93" customFormat="1" x14ac:dyDescent="0.25"/>
    <row r="138" s="93" customFormat="1" x14ac:dyDescent="0.25"/>
    <row r="139" s="93" customFormat="1" x14ac:dyDescent="0.25"/>
    <row r="140" s="93" customFormat="1" x14ac:dyDescent="0.25"/>
    <row r="141" s="93" customFormat="1" x14ac:dyDescent="0.25"/>
    <row r="142" s="93" customFormat="1" x14ac:dyDescent="0.25"/>
    <row r="143" s="93" customFormat="1" x14ac:dyDescent="0.25"/>
    <row r="144" s="93" customFormat="1" x14ac:dyDescent="0.25"/>
    <row r="145" s="93" customFormat="1" x14ac:dyDescent="0.25"/>
    <row r="146" s="93" customFormat="1" x14ac:dyDescent="0.25"/>
    <row r="147" s="93" customFormat="1" x14ac:dyDescent="0.25"/>
    <row r="148" s="93" customFormat="1" x14ac:dyDescent="0.25"/>
    <row r="149" s="93" customFormat="1" x14ac:dyDescent="0.25"/>
    <row r="150" s="93" customFormat="1" x14ac:dyDescent="0.25"/>
    <row r="151" s="93" customFormat="1" x14ac:dyDescent="0.25"/>
    <row r="152" s="93" customFormat="1" x14ac:dyDescent="0.25"/>
    <row r="153" s="93" customFormat="1" x14ac:dyDescent="0.25"/>
    <row r="154" s="93" customFormat="1" x14ac:dyDescent="0.25"/>
    <row r="155" s="93" customFormat="1" x14ac:dyDescent="0.25"/>
    <row r="156" s="93" customFormat="1" x14ac:dyDescent="0.25"/>
    <row r="157" s="93" customFormat="1" x14ac:dyDescent="0.25"/>
    <row r="158" s="93" customFormat="1" x14ac:dyDescent="0.25"/>
    <row r="159" s="93" customFormat="1" x14ac:dyDescent="0.25"/>
    <row r="160" s="93" customFormat="1" x14ac:dyDescent="0.25"/>
    <row r="161" s="93" customFormat="1" x14ac:dyDescent="0.25"/>
    <row r="162" s="93" customFormat="1" x14ac:dyDescent="0.25"/>
    <row r="163" s="93" customFormat="1" x14ac:dyDescent="0.25"/>
    <row r="164" s="93" customFormat="1" x14ac:dyDescent="0.25"/>
    <row r="165" s="93" customFormat="1" x14ac:dyDescent="0.25"/>
    <row r="166" s="93" customFormat="1" x14ac:dyDescent="0.25"/>
    <row r="167" s="93" customFormat="1" x14ac:dyDescent="0.25"/>
    <row r="168" s="93" customFormat="1" x14ac:dyDescent="0.25"/>
    <row r="169" s="93" customFormat="1" x14ac:dyDescent="0.25"/>
    <row r="170" s="93" customFormat="1" x14ac:dyDescent="0.25"/>
    <row r="171" s="93" customFormat="1" x14ac:dyDescent="0.25"/>
    <row r="172" s="93" customFormat="1" x14ac:dyDescent="0.25"/>
    <row r="173" s="93" customFormat="1" x14ac:dyDescent="0.25"/>
    <row r="174" s="93" customFormat="1" x14ac:dyDescent="0.25"/>
    <row r="175" s="93" customFormat="1" x14ac:dyDescent="0.25"/>
    <row r="176" s="93" customFormat="1" x14ac:dyDescent="0.25"/>
    <row r="177" s="93" customFormat="1" x14ac:dyDescent="0.25"/>
    <row r="178" s="93" customFormat="1" x14ac:dyDescent="0.25"/>
    <row r="179" s="93" customFormat="1" x14ac:dyDescent="0.25"/>
    <row r="180" s="93" customFormat="1" x14ac:dyDescent="0.25"/>
    <row r="181" s="93" customFormat="1" x14ac:dyDescent="0.25"/>
    <row r="182" s="93" customFormat="1" x14ac:dyDescent="0.25"/>
    <row r="183" s="93" customFormat="1" x14ac:dyDescent="0.25"/>
    <row r="184" s="93" customFormat="1" x14ac:dyDescent="0.25"/>
    <row r="185" s="93" customFormat="1" x14ac:dyDescent="0.25"/>
    <row r="186" s="93" customFormat="1" x14ac:dyDescent="0.25"/>
    <row r="187" s="93" customFormat="1" x14ac:dyDescent="0.25"/>
    <row r="188" s="93" customFormat="1" x14ac:dyDescent="0.25"/>
    <row r="189" s="93" customFormat="1" x14ac:dyDescent="0.25"/>
    <row r="190" s="93" customFormat="1" x14ac:dyDescent="0.25"/>
    <row r="191" s="93" customFormat="1" x14ac:dyDescent="0.25"/>
    <row r="192" s="93" customFormat="1" x14ac:dyDescent="0.25"/>
    <row r="193" s="93" customFormat="1" x14ac:dyDescent="0.25"/>
    <row r="194" s="93" customFormat="1" x14ac:dyDescent="0.25"/>
    <row r="195" s="93" customFormat="1" x14ac:dyDescent="0.25"/>
    <row r="196" s="93" customFormat="1" x14ac:dyDescent="0.25"/>
    <row r="197" s="93" customFormat="1" x14ac:dyDescent="0.25"/>
    <row r="198" s="93" customFormat="1" x14ac:dyDescent="0.25"/>
    <row r="199" s="93" customFormat="1" x14ac:dyDescent="0.25"/>
    <row r="200" s="93" customFormat="1" x14ac:dyDescent="0.25"/>
    <row r="201" s="93" customFormat="1" x14ac:dyDescent="0.25"/>
    <row r="202" s="93" customFormat="1" x14ac:dyDescent="0.25"/>
    <row r="203" s="93" customFormat="1" x14ac:dyDescent="0.25"/>
    <row r="204" s="93" customFormat="1" x14ac:dyDescent="0.25"/>
    <row r="205" s="93" customFormat="1" x14ac:dyDescent="0.25"/>
    <row r="206" s="93" customFormat="1" x14ac:dyDescent="0.25"/>
    <row r="207" s="93" customFormat="1" x14ac:dyDescent="0.25"/>
    <row r="208" s="93" customFormat="1" x14ac:dyDescent="0.25"/>
    <row r="209" s="93" customFormat="1" x14ac:dyDescent="0.25"/>
    <row r="210" s="93" customFormat="1" x14ac:dyDescent="0.25"/>
    <row r="211" s="93" customFormat="1" x14ac:dyDescent="0.25"/>
    <row r="212" s="93" customFormat="1" x14ac:dyDescent="0.25"/>
    <row r="213" s="93" customFormat="1" x14ac:dyDescent="0.25"/>
    <row r="214" s="93" customFormat="1" x14ac:dyDescent="0.25"/>
    <row r="215" s="93" customFormat="1" x14ac:dyDescent="0.25"/>
    <row r="216" s="93" customFormat="1" x14ac:dyDescent="0.25"/>
    <row r="217" s="93" customFormat="1" x14ac:dyDescent="0.25"/>
    <row r="218" s="93" customFormat="1" x14ac:dyDescent="0.25"/>
    <row r="219" s="93" customFormat="1" x14ac:dyDescent="0.25"/>
    <row r="220" s="93" customFormat="1" x14ac:dyDescent="0.25"/>
    <row r="221" s="93" customFormat="1" x14ac:dyDescent="0.25"/>
    <row r="222" s="93" customFormat="1" x14ac:dyDescent="0.25"/>
    <row r="223" s="93" customFormat="1" x14ac:dyDescent="0.25"/>
    <row r="224" s="93" customFormat="1" x14ac:dyDescent="0.25"/>
    <row r="225" s="93" customFormat="1" x14ac:dyDescent="0.25"/>
    <row r="226" s="93" customFormat="1" x14ac:dyDescent="0.25"/>
    <row r="227" s="93" customFormat="1" x14ac:dyDescent="0.25"/>
    <row r="228" s="93" customFormat="1" x14ac:dyDescent="0.25"/>
    <row r="229" s="93" customFormat="1" x14ac:dyDescent="0.25"/>
    <row r="230" s="93" customFormat="1" x14ac:dyDescent="0.25"/>
    <row r="231" s="93" customFormat="1" x14ac:dyDescent="0.25"/>
    <row r="232" s="93" customFormat="1" x14ac:dyDescent="0.25"/>
    <row r="233" s="93" customFormat="1" x14ac:dyDescent="0.25"/>
    <row r="234" s="93" customFormat="1" x14ac:dyDescent="0.25"/>
    <row r="235" s="93" customFormat="1" x14ac:dyDescent="0.25"/>
    <row r="236" s="93" customFormat="1" x14ac:dyDescent="0.25"/>
    <row r="237" s="93" customFormat="1" x14ac:dyDescent="0.25"/>
    <row r="238" s="93" customFormat="1" x14ac:dyDescent="0.25"/>
    <row r="239" s="93" customFormat="1" x14ac:dyDescent="0.25"/>
    <row r="240" s="93" customFormat="1" x14ac:dyDescent="0.25"/>
    <row r="241" s="93" customFormat="1" x14ac:dyDescent="0.25"/>
    <row r="242" s="93" customFormat="1" x14ac:dyDescent="0.25"/>
    <row r="243" s="93" customFormat="1" x14ac:dyDescent="0.25"/>
    <row r="244" s="93" customFormat="1" x14ac:dyDescent="0.25"/>
    <row r="245" s="93" customFormat="1" x14ac:dyDescent="0.25"/>
    <row r="246" s="93" customFormat="1" x14ac:dyDescent="0.25"/>
    <row r="247" s="93" customFormat="1" x14ac:dyDescent="0.25"/>
    <row r="248" s="93" customFormat="1" x14ac:dyDescent="0.25"/>
    <row r="249" s="93" customFormat="1" x14ac:dyDescent="0.25"/>
    <row r="250" s="93" customFormat="1" x14ac:dyDescent="0.25"/>
    <row r="251" s="93" customFormat="1" x14ac:dyDescent="0.25"/>
    <row r="252" s="93" customFormat="1" x14ac:dyDescent="0.25"/>
    <row r="253" s="93" customFormat="1" x14ac:dyDescent="0.25"/>
    <row r="254" s="93" customFormat="1" x14ac:dyDescent="0.25"/>
    <row r="255" s="93" customFormat="1" x14ac:dyDescent="0.25"/>
    <row r="256" s="93" customFormat="1" x14ac:dyDescent="0.25"/>
    <row r="257" s="93" customFormat="1" x14ac:dyDescent="0.25"/>
    <row r="258" s="93" customFormat="1" x14ac:dyDescent="0.25"/>
    <row r="259" s="93" customFormat="1" x14ac:dyDescent="0.25"/>
    <row r="260" s="93" customFormat="1" x14ac:dyDescent="0.25"/>
    <row r="261" s="93" customFormat="1" x14ac:dyDescent="0.25"/>
    <row r="262" s="93" customFormat="1" x14ac:dyDescent="0.25"/>
    <row r="263" s="93" customFormat="1" x14ac:dyDescent="0.25"/>
    <row r="264" s="93" customFormat="1" x14ac:dyDescent="0.25"/>
    <row r="265" s="93" customFormat="1" x14ac:dyDescent="0.25"/>
    <row r="266" s="93" customFormat="1" x14ac:dyDescent="0.25"/>
    <row r="267" s="93" customFormat="1" x14ac:dyDescent="0.25"/>
    <row r="268" s="93" customFormat="1" x14ac:dyDescent="0.25"/>
    <row r="269" s="93" customFormat="1" x14ac:dyDescent="0.25"/>
    <row r="270" s="93" customFormat="1" x14ac:dyDescent="0.25"/>
    <row r="271" s="93" customFormat="1" x14ac:dyDescent="0.25"/>
    <row r="272" s="93" customFormat="1" x14ac:dyDescent="0.25"/>
    <row r="273" s="93" customFormat="1" x14ac:dyDescent="0.25"/>
    <row r="274" s="93" customFormat="1" x14ac:dyDescent="0.25"/>
    <row r="275" s="93" customFormat="1" x14ac:dyDescent="0.25"/>
    <row r="276" s="93" customFormat="1" x14ac:dyDescent="0.25"/>
    <row r="277" s="93" customFormat="1" x14ac:dyDescent="0.25"/>
    <row r="278" s="93" customFormat="1" x14ac:dyDescent="0.25"/>
    <row r="279" s="93" customFormat="1" x14ac:dyDescent="0.25"/>
    <row r="280" s="93" customFormat="1" x14ac:dyDescent="0.25"/>
    <row r="281" s="93" customFormat="1" x14ac:dyDescent="0.25"/>
    <row r="282" s="93" customFormat="1" x14ac:dyDescent="0.25"/>
    <row r="283" s="93" customFormat="1" x14ac:dyDescent="0.25"/>
    <row r="284" s="93" customFormat="1" x14ac:dyDescent="0.25"/>
    <row r="285" s="93" customFormat="1" x14ac:dyDescent="0.25"/>
    <row r="286" s="93" customFormat="1" x14ac:dyDescent="0.25"/>
    <row r="287" s="93" customFormat="1" x14ac:dyDescent="0.25"/>
    <row r="288" s="93" customFormat="1" x14ac:dyDescent="0.25"/>
    <row r="289" s="93" customFormat="1" x14ac:dyDescent="0.25"/>
    <row r="290" s="93" customFormat="1" x14ac:dyDescent="0.25"/>
    <row r="291" s="93" customFormat="1" x14ac:dyDescent="0.25"/>
    <row r="292" s="93" customFormat="1" x14ac:dyDescent="0.25"/>
    <row r="293" s="93" customFormat="1" x14ac:dyDescent="0.25"/>
    <row r="294" s="93" customFormat="1" x14ac:dyDescent="0.25"/>
    <row r="295" s="93" customFormat="1" x14ac:dyDescent="0.25"/>
    <row r="296" s="93" customFormat="1" x14ac:dyDescent="0.25"/>
    <row r="297" s="93" customFormat="1" x14ac:dyDescent="0.25"/>
    <row r="298" s="93" customFormat="1" x14ac:dyDescent="0.25"/>
    <row r="299" s="93" customFormat="1" x14ac:dyDescent="0.25"/>
    <row r="300" s="93" customFormat="1" x14ac:dyDescent="0.25"/>
    <row r="301" s="93" customFormat="1" x14ac:dyDescent="0.25"/>
    <row r="302" s="93" customFormat="1" x14ac:dyDescent="0.25"/>
    <row r="303" s="93" customFormat="1" x14ac:dyDescent="0.25"/>
    <row r="304" s="93" customFormat="1" x14ac:dyDescent="0.25"/>
    <row r="305" s="93" customFormat="1" x14ac:dyDescent="0.25"/>
    <row r="306" s="93" customFormat="1" x14ac:dyDescent="0.25"/>
    <row r="307" s="93" customFormat="1" x14ac:dyDescent="0.25"/>
    <row r="308" s="93" customFormat="1" x14ac:dyDescent="0.25"/>
    <row r="309" s="93" customFormat="1" x14ac:dyDescent="0.25"/>
    <row r="310" s="93" customFormat="1" x14ac:dyDescent="0.25"/>
    <row r="311" s="93" customFormat="1" x14ac:dyDescent="0.25"/>
    <row r="312" s="93" customFormat="1" x14ac:dyDescent="0.25"/>
    <row r="313" s="93" customFormat="1" x14ac:dyDescent="0.25"/>
    <row r="314" s="93" customFormat="1" x14ac:dyDescent="0.25"/>
    <row r="315" s="93" customFormat="1" x14ac:dyDescent="0.25"/>
    <row r="316" s="93" customFormat="1" x14ac:dyDescent="0.25"/>
    <row r="317" s="93" customFormat="1" x14ac:dyDescent="0.25"/>
    <row r="318" s="93" customFormat="1" x14ac:dyDescent="0.25"/>
    <row r="319" s="93" customFormat="1" x14ac:dyDescent="0.25"/>
    <row r="320" s="93" customFormat="1" x14ac:dyDescent="0.25"/>
    <row r="321" s="93" customFormat="1" x14ac:dyDescent="0.25"/>
    <row r="322" s="93" customFormat="1" x14ac:dyDescent="0.25"/>
    <row r="323" s="93" customFormat="1" x14ac:dyDescent="0.25"/>
    <row r="324" s="93" customFormat="1" x14ac:dyDescent="0.25"/>
    <row r="325" s="93" customFormat="1" x14ac:dyDescent="0.25"/>
    <row r="326" s="93" customFormat="1" x14ac:dyDescent="0.25"/>
    <row r="327" s="93" customFormat="1" x14ac:dyDescent="0.25"/>
    <row r="328" s="93" customFormat="1" x14ac:dyDescent="0.25"/>
    <row r="329" s="93" customFormat="1" x14ac:dyDescent="0.25"/>
    <row r="330" s="93" customFormat="1" x14ac:dyDescent="0.25"/>
    <row r="331" s="93" customFormat="1" x14ac:dyDescent="0.25"/>
    <row r="332" s="93" customFormat="1" x14ac:dyDescent="0.25"/>
    <row r="333" s="93" customFormat="1" x14ac:dyDescent="0.25"/>
    <row r="334" s="93" customFormat="1" x14ac:dyDescent="0.25"/>
    <row r="335" s="93" customFormat="1" x14ac:dyDescent="0.25"/>
    <row r="336" s="93" customFormat="1" x14ac:dyDescent="0.25"/>
    <row r="337" s="93" customFormat="1" x14ac:dyDescent="0.25"/>
    <row r="338" s="93" customFormat="1" x14ac:dyDescent="0.25"/>
    <row r="339" s="93" customFormat="1" x14ac:dyDescent="0.25"/>
    <row r="340" s="93" customFormat="1" x14ac:dyDescent="0.25"/>
    <row r="341" s="93" customFormat="1" x14ac:dyDescent="0.25"/>
    <row r="342" s="93" customFormat="1" x14ac:dyDescent="0.25"/>
    <row r="343" s="93" customFormat="1" x14ac:dyDescent="0.25"/>
    <row r="344" s="93" customFormat="1" x14ac:dyDescent="0.25"/>
    <row r="345" s="93" customFormat="1" x14ac:dyDescent="0.25"/>
    <row r="346" s="93" customFormat="1" x14ac:dyDescent="0.25"/>
    <row r="347" s="93" customFormat="1" x14ac:dyDescent="0.25"/>
    <row r="348" s="93" customFormat="1" x14ac:dyDescent="0.25"/>
    <row r="349" s="93" customFormat="1" x14ac:dyDescent="0.25"/>
    <row r="350" s="93" customFormat="1" x14ac:dyDescent="0.25"/>
    <row r="351" s="93" customFormat="1" x14ac:dyDescent="0.25"/>
    <row r="352" s="93" customFormat="1" x14ac:dyDescent="0.25"/>
    <row r="353" s="93" customFormat="1" x14ac:dyDescent="0.25"/>
    <row r="354" s="93" customFormat="1" x14ac:dyDescent="0.25"/>
    <row r="355" s="93" customFormat="1" x14ac:dyDescent="0.25"/>
    <row r="356" s="93" customFormat="1" x14ac:dyDescent="0.25"/>
    <row r="357" s="93" customFormat="1" x14ac:dyDescent="0.25"/>
    <row r="358" s="93" customFormat="1" x14ac:dyDescent="0.25"/>
    <row r="359" s="93" customFormat="1" x14ac:dyDescent="0.25"/>
    <row r="360" s="93" customFormat="1" x14ac:dyDescent="0.25"/>
    <row r="361" s="93" customFormat="1" x14ac:dyDescent="0.25"/>
    <row r="362" s="93" customFormat="1" x14ac:dyDescent="0.25"/>
    <row r="363" s="93" customFormat="1" x14ac:dyDescent="0.25"/>
    <row r="364" s="93" customFormat="1" x14ac:dyDescent="0.25"/>
    <row r="365" s="93" customFormat="1" x14ac:dyDescent="0.25"/>
    <row r="366" s="93" customFormat="1" x14ac:dyDescent="0.25"/>
    <row r="367" s="93" customFormat="1" x14ac:dyDescent="0.25"/>
    <row r="368" s="93" customFormat="1" x14ac:dyDescent="0.25"/>
    <row r="369" s="93" customFormat="1" x14ac:dyDescent="0.25"/>
    <row r="370" s="93" customFormat="1" x14ac:dyDescent="0.25"/>
    <row r="371" s="93" customFormat="1" x14ac:dyDescent="0.25"/>
    <row r="372" s="93" customFormat="1" x14ac:dyDescent="0.25"/>
    <row r="373" s="93" customFormat="1" x14ac:dyDescent="0.25"/>
    <row r="374" s="93" customFormat="1" x14ac:dyDescent="0.25"/>
    <row r="375" s="93" customFormat="1" x14ac:dyDescent="0.25"/>
    <row r="376" s="93" customFormat="1" x14ac:dyDescent="0.25"/>
    <row r="377" s="93" customFormat="1" x14ac:dyDescent="0.25"/>
    <row r="378" s="93" customFormat="1" x14ac:dyDescent="0.25"/>
    <row r="379" s="93" customFormat="1" x14ac:dyDescent="0.25"/>
    <row r="380" s="93" customFormat="1" x14ac:dyDescent="0.25"/>
    <row r="381" s="93" customFormat="1" x14ac:dyDescent="0.25"/>
    <row r="382" s="93" customFormat="1" x14ac:dyDescent="0.25"/>
    <row r="383" s="93" customFormat="1" x14ac:dyDescent="0.25"/>
    <row r="384" s="93" customFormat="1" x14ac:dyDescent="0.25"/>
    <row r="385" s="93" customFormat="1" x14ac:dyDescent="0.25"/>
    <row r="386" s="93" customFormat="1" x14ac:dyDescent="0.25"/>
    <row r="387" s="93" customFormat="1" x14ac:dyDescent="0.25"/>
    <row r="388" s="93" customFormat="1" x14ac:dyDescent="0.25"/>
    <row r="389" s="93" customFormat="1" x14ac:dyDescent="0.25"/>
    <row r="390" s="93" customFormat="1" x14ac:dyDescent="0.25"/>
    <row r="391" s="93" customFormat="1" x14ac:dyDescent="0.25"/>
    <row r="392" s="93" customFormat="1" x14ac:dyDescent="0.25"/>
    <row r="393" s="93" customFormat="1" x14ac:dyDescent="0.25"/>
    <row r="394" s="93" customFormat="1" x14ac:dyDescent="0.25"/>
    <row r="395" s="93" customFormat="1" x14ac:dyDescent="0.25"/>
    <row r="396" s="93" customFormat="1" x14ac:dyDescent="0.25"/>
    <row r="397" s="93" customFormat="1" x14ac:dyDescent="0.25"/>
    <row r="398" s="93" customFormat="1" x14ac:dyDescent="0.25"/>
    <row r="399" s="93" customFormat="1" x14ac:dyDescent="0.25"/>
    <row r="400" s="93" customFormat="1" x14ac:dyDescent="0.25"/>
    <row r="401" s="93" customFormat="1" x14ac:dyDescent="0.25"/>
    <row r="402" s="93" customFormat="1" x14ac:dyDescent="0.25"/>
    <row r="403" s="93" customFormat="1" x14ac:dyDescent="0.25"/>
    <row r="404" s="93" customFormat="1" x14ac:dyDescent="0.25"/>
    <row r="405" s="93" customFormat="1" x14ac:dyDescent="0.25"/>
    <row r="406" s="93" customFormat="1" x14ac:dyDescent="0.25"/>
    <row r="407" s="93" customFormat="1" x14ac:dyDescent="0.25"/>
    <row r="408" s="93" customFormat="1" x14ac:dyDescent="0.25"/>
    <row r="409" s="93" customFormat="1" x14ac:dyDescent="0.25"/>
    <row r="410" s="93" customFormat="1" x14ac:dyDescent="0.25"/>
    <row r="411" s="93" customFormat="1" x14ac:dyDescent="0.25"/>
    <row r="412" s="93" customFormat="1" x14ac:dyDescent="0.25"/>
    <row r="413" s="93" customFormat="1" x14ac:dyDescent="0.25"/>
    <row r="414" s="93" customFormat="1" x14ac:dyDescent="0.25"/>
    <row r="415" s="93" customFormat="1" x14ac:dyDescent="0.25"/>
    <row r="416" s="93" customFormat="1" x14ac:dyDescent="0.25"/>
    <row r="417" s="93" customFormat="1" x14ac:dyDescent="0.25"/>
    <row r="418" s="93" customFormat="1" x14ac:dyDescent="0.25"/>
    <row r="419" s="93" customFormat="1" x14ac:dyDescent="0.25"/>
    <row r="420" s="93" customFormat="1" x14ac:dyDescent="0.25"/>
    <row r="421" s="93" customFormat="1" x14ac:dyDescent="0.25"/>
    <row r="422" s="93" customFormat="1" x14ac:dyDescent="0.25"/>
    <row r="423" s="93" customFormat="1" x14ac:dyDescent="0.25"/>
    <row r="424" s="93" customFormat="1" x14ac:dyDescent="0.25"/>
    <row r="425" s="93" customFormat="1" x14ac:dyDescent="0.25"/>
    <row r="426" s="93" customFormat="1" x14ac:dyDescent="0.25"/>
    <row r="427" s="93" customFormat="1" x14ac:dyDescent="0.25"/>
    <row r="428" s="93" customFormat="1" x14ac:dyDescent="0.25"/>
    <row r="429" s="93" customFormat="1" x14ac:dyDescent="0.25"/>
    <row r="430" s="93" customFormat="1" x14ac:dyDescent="0.25"/>
    <row r="431" s="93" customFormat="1" x14ac:dyDescent="0.25"/>
    <row r="432" s="93" customFormat="1" x14ac:dyDescent="0.25"/>
    <row r="433" s="93" customFormat="1" x14ac:dyDescent="0.25"/>
  </sheetData>
  <mergeCells count="4">
    <mergeCell ref="B7:D7"/>
    <mergeCell ref="B8:D8"/>
    <mergeCell ref="B10:D10"/>
    <mergeCell ref="B19:D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7D07-AF09-413D-9C60-444C1E566F91}">
  <sheetPr>
    <tabColor theme="1"/>
  </sheetPr>
  <dimension ref="A1:BB503"/>
  <sheetViews>
    <sheetView showGridLines="0" topLeftCell="O1" zoomScaleNormal="100" workbookViewId="0">
      <selection activeCell="R507" sqref="R50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31.85546875" bestFit="1" customWidth="1"/>
    <col min="2" max="2" width="10.42578125" customWidth="1"/>
    <col min="3" max="3" width="14.85546875" bestFit="1" customWidth="1"/>
    <col min="4" max="4" width="15" bestFit="1" customWidth="1"/>
    <col min="5" max="5" width="15.140625" bestFit="1" customWidth="1"/>
    <col min="6" max="6" width="12.7109375" bestFit="1" customWidth="1"/>
    <col min="7" max="7" width="17.140625" customWidth="1"/>
    <col min="8" max="8" width="17.7109375" customWidth="1"/>
    <col min="9" max="9" width="14.85546875" bestFit="1" customWidth="1"/>
    <col min="10" max="10" width="14.85546875" customWidth="1"/>
    <col min="11" max="11" width="14.5703125" bestFit="1" customWidth="1"/>
    <col min="12" max="12" width="14.5703125" customWidth="1"/>
    <col min="13" max="13" width="14.28515625" bestFit="1" customWidth="1"/>
    <col min="14" max="14" width="14.28515625" customWidth="1"/>
    <col min="15" max="15" width="15.42578125" bestFit="1" customWidth="1"/>
    <col min="16" max="16" width="15.42578125" customWidth="1"/>
    <col min="17" max="17" width="15.7109375" bestFit="1" customWidth="1"/>
    <col min="18" max="20" width="15.7109375" customWidth="1"/>
    <col min="21" max="22" width="15" customWidth="1"/>
    <col min="23" max="23" width="14.5703125" bestFit="1" customWidth="1"/>
    <col min="24" max="24" width="14.5703125" customWidth="1"/>
    <col min="25" max="25" width="14.28515625" bestFit="1" customWidth="1"/>
    <col min="26" max="26" width="20.7109375" bestFit="1" customWidth="1"/>
    <col min="27" max="27" width="14.42578125" bestFit="1" customWidth="1"/>
    <col min="28" max="28" width="14.42578125" customWidth="1"/>
    <col min="29" max="29" width="16.85546875" bestFit="1" customWidth="1"/>
    <col min="30" max="30" width="16.85546875" customWidth="1"/>
    <col min="31" max="31" width="16" bestFit="1" customWidth="1"/>
    <col min="32" max="32" width="16" customWidth="1"/>
    <col min="33" max="33" width="17.28515625" bestFit="1" customWidth="1"/>
    <col min="34" max="34" width="17.28515625" customWidth="1"/>
    <col min="35" max="35" width="17.28515625" bestFit="1" customWidth="1"/>
    <col min="36" max="36" width="17.28515625" customWidth="1"/>
    <col min="37" max="38" width="14.85546875" bestFit="1" customWidth="1"/>
    <col min="39" max="39" width="14.85546875" customWidth="1"/>
    <col min="40" max="40" width="14.85546875" bestFit="1" customWidth="1"/>
    <col min="41" max="41" width="15.140625" bestFit="1" customWidth="1"/>
    <col min="42" max="42" width="19" bestFit="1" customWidth="1"/>
    <col min="43" max="43" width="19" customWidth="1"/>
    <col min="44" max="44" width="13.7109375" bestFit="1" customWidth="1"/>
    <col min="45" max="45" width="16.140625" bestFit="1" customWidth="1"/>
    <col min="46" max="46" width="16.140625" customWidth="1"/>
    <col min="47" max="47" width="16.5703125" bestFit="1" customWidth="1"/>
    <col min="48" max="48" width="15.42578125" bestFit="1" customWidth="1"/>
    <col min="49" max="49" width="15.42578125" customWidth="1"/>
    <col min="50" max="50" width="15.7109375" bestFit="1" customWidth="1"/>
    <col min="51" max="51" width="15.42578125" bestFit="1" customWidth="1"/>
    <col min="52" max="52" width="15.85546875" bestFit="1" customWidth="1"/>
    <col min="53" max="53" width="10.5703125" bestFit="1" customWidth="1"/>
    <col min="54" max="54" width="13.7109375" bestFit="1" customWidth="1"/>
  </cols>
  <sheetData>
    <row r="1" spans="1:54" s="273" customFormat="1" ht="21" customHeight="1" x14ac:dyDescent="0.25">
      <c r="B1" s="469" t="s">
        <v>356</v>
      </c>
      <c r="C1" s="470"/>
      <c r="D1" s="470"/>
      <c r="E1" s="470"/>
      <c r="F1" s="470"/>
      <c r="G1" s="470"/>
      <c r="H1" s="471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6"/>
      <c r="AG1" s="472" t="s">
        <v>437</v>
      </c>
      <c r="AH1" s="473"/>
      <c r="AI1" s="473"/>
      <c r="AJ1" s="473"/>
      <c r="AK1" s="473"/>
      <c r="AL1" s="473"/>
      <c r="AM1" s="473"/>
      <c r="AN1" s="473"/>
      <c r="AO1" s="473"/>
      <c r="AP1" s="473"/>
      <c r="AQ1" s="473"/>
      <c r="AR1" s="473"/>
      <c r="AS1" s="473"/>
      <c r="AT1" s="473"/>
      <c r="AU1" s="473"/>
      <c r="AV1" s="473"/>
      <c r="AW1" s="473"/>
      <c r="AX1" s="473"/>
      <c r="AY1" s="473"/>
      <c r="AZ1" s="473"/>
      <c r="BA1" s="473"/>
      <c r="BB1" s="474"/>
    </row>
    <row r="2" spans="1:54" s="272" customFormat="1" ht="45" x14ac:dyDescent="0.25">
      <c r="A2" s="271" t="s">
        <v>134</v>
      </c>
      <c r="B2" s="271" t="s">
        <v>357</v>
      </c>
      <c r="C2" s="271" t="s">
        <v>136</v>
      </c>
      <c r="D2" s="271" t="s">
        <v>423</v>
      </c>
      <c r="E2" s="271" t="s">
        <v>359</v>
      </c>
      <c r="F2" s="271" t="s">
        <v>360</v>
      </c>
      <c r="G2" s="271" t="s">
        <v>361</v>
      </c>
      <c r="H2" s="271" t="s">
        <v>362</v>
      </c>
      <c r="I2" s="271" t="s">
        <v>365</v>
      </c>
      <c r="J2" s="271" t="s">
        <v>440</v>
      </c>
      <c r="K2" s="271" t="s">
        <v>366</v>
      </c>
      <c r="L2" s="271" t="s">
        <v>441</v>
      </c>
      <c r="M2" s="271" t="s">
        <v>367</v>
      </c>
      <c r="N2" s="271" t="s">
        <v>442</v>
      </c>
      <c r="O2" s="271" t="s">
        <v>368</v>
      </c>
      <c r="P2" s="271" t="s">
        <v>443</v>
      </c>
      <c r="Q2" s="271" t="s">
        <v>369</v>
      </c>
      <c r="R2" s="271" t="s">
        <v>431</v>
      </c>
      <c r="S2" s="271" t="s">
        <v>462</v>
      </c>
      <c r="T2" s="271" t="s">
        <v>461</v>
      </c>
      <c r="U2" s="271" t="s">
        <v>370</v>
      </c>
      <c r="V2" s="271" t="s">
        <v>444</v>
      </c>
      <c r="W2" s="271" t="s">
        <v>371</v>
      </c>
      <c r="X2" s="271" t="s">
        <v>432</v>
      </c>
      <c r="Y2" s="271" t="s">
        <v>372</v>
      </c>
      <c r="Z2" s="271" t="s">
        <v>433</v>
      </c>
      <c r="AA2" s="271" t="s">
        <v>373</v>
      </c>
      <c r="AB2" s="271" t="s">
        <v>434</v>
      </c>
      <c r="AC2" s="271" t="s">
        <v>424</v>
      </c>
      <c r="AD2" s="271" t="s">
        <v>435</v>
      </c>
      <c r="AE2" s="271" t="s">
        <v>375</v>
      </c>
      <c r="AF2" s="271" t="s">
        <v>436</v>
      </c>
      <c r="AG2" s="271" t="s">
        <v>377</v>
      </c>
      <c r="AH2" s="271" t="s">
        <v>438</v>
      </c>
      <c r="AI2" s="271" t="s">
        <v>378</v>
      </c>
      <c r="AJ2" s="271" t="s">
        <v>439</v>
      </c>
      <c r="AK2" s="271" t="s">
        <v>379</v>
      </c>
      <c r="AL2" s="271" t="s">
        <v>380</v>
      </c>
      <c r="AM2" s="271" t="s">
        <v>458</v>
      </c>
      <c r="AN2" s="271" t="s">
        <v>425</v>
      </c>
      <c r="AO2" s="271" t="s">
        <v>426</v>
      </c>
      <c r="AP2" s="271" t="s">
        <v>383</v>
      </c>
      <c r="AQ2" s="271" t="s">
        <v>463</v>
      </c>
      <c r="AR2" s="271" t="s">
        <v>257</v>
      </c>
      <c r="AS2" s="271" t="s">
        <v>384</v>
      </c>
      <c r="AT2" s="271" t="s">
        <v>459</v>
      </c>
      <c r="AU2" s="271" t="s">
        <v>385</v>
      </c>
      <c r="AV2" s="271" t="s">
        <v>386</v>
      </c>
      <c r="AW2" s="271" t="s">
        <v>460</v>
      </c>
      <c r="AX2" s="271" t="s">
        <v>261</v>
      </c>
      <c r="AY2" s="271" t="s">
        <v>387</v>
      </c>
      <c r="AZ2" s="271" t="s">
        <v>388</v>
      </c>
      <c r="BA2" s="271" t="s">
        <v>389</v>
      </c>
      <c r="BB2" s="271" t="s">
        <v>390</v>
      </c>
    </row>
    <row r="3" spans="1:54" ht="16.5" hidden="1" thickTop="1" thickBot="1" x14ac:dyDescent="0.3">
      <c r="A3" s="274" t="str">
        <f>'🧾 Factura Comercial'!E7</f>
        <v>Case Transparente TPU iPhone 15</v>
      </c>
      <c r="B3" s="274" t="str">
        <f>'🧾 Factura Comercial'!F7</f>
        <v>Unid.</v>
      </c>
      <c r="C3" s="275">
        <f>'🧾 Factura Comercial'!G7</f>
        <v>480</v>
      </c>
      <c r="D3" s="276">
        <f>'🧾 Factura Comercial'!H7</f>
        <v>1.21</v>
      </c>
      <c r="E3" s="276">
        <f>'🧾 Factura Comercial'!I7</f>
        <v>580.79999999999995</v>
      </c>
      <c r="F3" s="277">
        <f>IF('🧾 Tributos Aduana'!$F$6=0,0,'🧾 Factura Comercial'!I7/'🧾 Tributos Aduana'!$F$6)</f>
        <v>1.3308500575601812E-2</v>
      </c>
      <c r="G3" s="278">
        <f>'🧾 Factura Comercial'!H7*'📋 Datos Generales'!$E$19</f>
        <v>4.5011999999999999</v>
      </c>
      <c r="H3" s="278">
        <f>TABLA_BASE[[#This Row],[FOB UNIT.
(S/.)]]*TABLA_BASE[[#This Row],[CANTIDAD
(unid.)]]</f>
        <v>2160.576</v>
      </c>
      <c r="I3" s="280">
        <f>IF('🧾 Tributos Aduana'!$F$6=0,0,'🧾 Tributos Aduana'!$F$17*('🧾 Factura Comercial'!H7/'🧾 Tributos Aduana'!$F$6))</f>
        <v>7.6302069966783737E-2</v>
      </c>
      <c r="J3" s="280">
        <f>TABLA_BASE[[#This Row],[ADV UNIT.
(US$)
⚠️COSTO]]*TABLA_BASE[[#This Row],[CANTIDAD
(unid.)]]</f>
        <v>36.624993584056192</v>
      </c>
      <c r="K3" s="279">
        <f>IF('🧾 Tributos Aduana'!$F$6=0,0,'🧾 Tributos Aduana'!$F$18*('🧾 Factura Comercial'!H7/'🧾 Tributos Aduana'!$F$6))</f>
        <v>2.6949713665593674E-2</v>
      </c>
      <c r="L3" s="280">
        <f>TABLA_BASE[[#This Row],[IPM UNIT.
(US$)
✅CF]]*TABLA_BASE[[#This Row],[CANTIDAD
(unid.)]]</f>
        <v>12.935862559484963</v>
      </c>
      <c r="M3" s="279">
        <f>IF('🧾 Tributos Aduana'!$F$6=0,0,'🧾 Tributos Aduana'!$F$19*('🧾 Factura Comercial'!H7/'🧾 Tributos Aduana'!$F$6))</f>
        <v>0.2156808874533469</v>
      </c>
      <c r="N3" s="280">
        <f>TABLA_BASE[[#This Row],[IGV UNIT.
(US$)
✅CF]]*TABLA_BASE[[#This Row],[CANTIDAD
(unid.)]]</f>
        <v>103.52682597760651</v>
      </c>
      <c r="O3" s="280">
        <f>IF('🧾 Tributos Aduana'!$F$6=0,0,'🧾 Tributos Aduana'!$F$23*('🧾 Factura Comercial'!H7/'🧾 Tributos Aduana'!$F$6))</f>
        <v>5.567112147031434E-2</v>
      </c>
      <c r="P3" s="280">
        <f>TABLA_BASE[[#This Row],[PERCEP.
UNIT.(US$)
✅CF]]*TABLA_BASE[[#This Row],[CANTIDAD
(unid.)]]</f>
        <v>26.722138305750882</v>
      </c>
      <c r="Q3" s="279">
        <f>TABLA_BASE[[#This Row],[ADV UNIT.
(US$)
⚠️COSTO]]+TABLA_BASE[[#This Row],[IPM UNIT.
(US$)
✅CF]]+TABLA_BASE[[#This Row],[IGV UNIT.
(US$)
✅CF]]</f>
        <v>0.31893267108572432</v>
      </c>
      <c r="R3" s="280">
        <f>TABLA_BASE[[#This Row],[DEUDA
ADUANERA
UNIT.]]*TABLA_BASE[[#This Row],[CANTIDAD
(unid.)]]</f>
        <v>153.08768212114768</v>
      </c>
      <c r="S3" s="278">
        <f>TABLA_BASE[[#This Row],[DEUDA
ADUANERA
UNIT.]]*'📋 Datos Generales'!$E$19</f>
        <v>1.1864295364388946</v>
      </c>
      <c r="T3" s="278">
        <f>TABLA_BASE[[#This Row],[DEUDA
ADUANERA
TOTAL]]*'📋 Datos Generales'!$E$19</f>
        <v>569.48617749066943</v>
      </c>
      <c r="U3" s="281">
        <f>TABLA_BASE[[#This Row],[ADV UNIT.
(US$)
⚠️COSTO]]*'📋 Datos Generales'!$E$19</f>
        <v>0.28384370027643552</v>
      </c>
      <c r="V3" s="281">
        <f>TABLA_BASE[[#This Row],[ADV UNIT.
(S/.)]]*TABLA_BASE[[#This Row],[CANTIDAD
(unid.)]]</f>
        <v>136.24497613268906</v>
      </c>
      <c r="W3" s="281">
        <f>TABLA_BASE[[#This Row],[IPM UNIT.
(US$)
✅CF]]*'📋 Datos Generales'!$E$19</f>
        <v>0.10025293483600847</v>
      </c>
      <c r="X3" s="281">
        <f>TABLA_BASE[[#This Row],[IPM UNIT.
(S/.)]]*TABLA_BASE[[#This Row],[CANTIDAD
(unid.)]]</f>
        <v>48.12140872128407</v>
      </c>
      <c r="Y3" s="281">
        <f>TABLA_BASE[[#This Row],[IGV UNIT.
(US$)
✅CF]]*'📋 Datos Generales'!$E$19</f>
        <v>0.80233290132645052</v>
      </c>
      <c r="Z3" s="281">
        <f>TABLA_BASE[[#This Row],[IGV UNIT.
(S/.)]]*TABLA_BASE[[#This Row],[CANTIDAD
(unid.)]]</f>
        <v>385.11979263669627</v>
      </c>
      <c r="AA3" s="281">
        <f>TABLA_BASE[[#This Row],[PERCEP.
UNIT.(US$)
✅CF]]*'📋 Datos Generales'!$E$19</f>
        <v>0.20709657186956937</v>
      </c>
      <c r="AB3" s="281">
        <f>TABLA_BASE[[#This Row],[PERCEP.
UNIT.(S/.)]]*TABLA_BASE[[#This Row],[CANTIDAD
(unid.)]]</f>
        <v>99.406354497393295</v>
      </c>
      <c r="AC3" s="279">
        <f>TABLA_BASE[[#This Row],[ADV UNIT.
(US$)
⚠️COSTO]]+TABLA_BASE[[#This Row],[IPM UNIT.
(US$)
✅CF]]+TABLA_BASE[[#This Row],[IGV UNIT.
(US$)
✅CF]]+TABLA_BASE[[#This Row],[PERCEP.
UNIT.(US$)
✅CF]]</f>
        <v>0.37460379255603865</v>
      </c>
      <c r="AD3" s="279">
        <f>TABLA_BASE[[#This Row],[TOTAL PAGO
SUNAT
UNIT.(US$)]]*TABLA_BASE[[#This Row],[CANTIDAD
(unid.)]]</f>
        <v>179.80982042689854</v>
      </c>
      <c r="AE3" s="281">
        <f>TABLA_BASE[[#This Row],[TOTAL PAGO
SUNAT
UNIT.(US$)]]*'📋 Datos Generales'!$E$19</f>
        <v>1.3935261083084638</v>
      </c>
      <c r="AF3" s="281">
        <f>TABLA_BASE[[#This Row],[TOTAL TRIB.
UNIT.(S/.)]]*TABLA_BASE[[#This Row],[CANTIDAD
(unid.)]]</f>
        <v>668.89253198806261</v>
      </c>
      <c r="AG3" s="279">
        <f>IF('🧾 Factura Comercial'!G7=0,0,'📦 Gastos Importación'!$E$28*(IF('🧾 Tributos Aduana'!$F$6=0,0,'🧾 Factura Comercial'!I7/'🧾 Tributos Aduana'!$F$6))/'🧾 Factura Comercial'!G7)</f>
        <v>1.3802659064995342</v>
      </c>
      <c r="AH3" s="279">
        <f>TABLA_BASE[[#This Row],[GASTOS IMP.
UNIT.(US$)]]*TABLA_BASE[[#This Row],[CANTIDAD
(unid.)]]</f>
        <v>662.52763511977639</v>
      </c>
      <c r="AI3" s="281">
        <f>TABLA_BASE[[#This Row],[GASTOS IMP.
UNIT.(US$)]]*'📋 Datos Generales'!$E$19</f>
        <v>5.1345891721782673</v>
      </c>
      <c r="AJ3" s="281">
        <f>TABLA_BASE[[#This Row],[GASTOS IMP.
UNIT.(S/.)]]*TABLA_BASE[[#This Row],[CANTIDAD
(unid.)]]</f>
        <v>2464.6028026455683</v>
      </c>
      <c r="AK3" s="280">
        <f>'🧮 Costos x Producto'!J7</f>
        <v>1.3802659064995342</v>
      </c>
      <c r="AL3" s="278">
        <f>'🧮 Costos x Producto'!K7</f>
        <v>5.1345891721782673</v>
      </c>
      <c r="AM3" s="278">
        <f>TABLA_BASE[[#This Row],[C/M UNIT.
(S/.)]]*TABLA_BASE[[#This Row],[CANTIDAD
(unid.)]]</f>
        <v>2464.6028026455683</v>
      </c>
      <c r="AN3" s="279">
        <f>IF('🧾 Factura Comercial'!G7=0,0,'🧾 Tributos Aduana'!$F$17*(IF('🧾 Tributos Aduana'!$F$6=0,0,'🧾 Factura Comercial'!I7/'🧾 Tributos Aduana'!$F$6))/'🧾 Factura Comercial'!G7)</f>
        <v>7.6302069966783723E-2</v>
      </c>
      <c r="AO3" s="280">
        <f>IF('🧾 Factura Comercial'!G7=0,0,'🏦 Crédito Fiscal'!$C$16*(IF('🧾 Tributos Aduana'!$F$6=0,0,'🧾 Factura Comercial'!I7/'🧾 Tributos Aduana'!$F$6))/'🧾 Factura Comercial'!G7)</f>
        <v>0.30394873564661701</v>
      </c>
      <c r="AP3" s="278">
        <f>TABLA_BASE[[#This Row],[CF UNIT.
✅RECUP.
(US$)]]*'📋 Datos Generales'!$E$19</f>
        <v>1.1306892966054154</v>
      </c>
      <c r="AQ3" s="278">
        <f>TABLA_BASE[[#This Row],[CF UNIT.
✅RECUP.(S/.)]]*TABLA_BASE[[#This Row],[CANTIDAD
(unid.)]]</f>
        <v>542.73086237059943</v>
      </c>
      <c r="AR3" s="288">
        <f>'💰 Precio de Venta'!G8</f>
        <v>0.4</v>
      </c>
      <c r="AS3" s="278">
        <f>'💰 Precio de Venta'!H8</f>
        <v>8.5576486202971118</v>
      </c>
      <c r="AT3" s="278">
        <f>TABLA_BASE[[#This Row],[VALOR VTA.
UNIT.(S/.)]]*TABLA_BASE[[#This Row],[CANTIDAD
(unid.)]]</f>
        <v>4107.671337742614</v>
      </c>
      <c r="AU3" s="281">
        <f>'💰 Precio de Venta'!I8</f>
        <v>10.098025371950591</v>
      </c>
      <c r="AV3" s="278">
        <f>'💰 Precio de Venta'!J8</f>
        <v>3.4230594481188445</v>
      </c>
      <c r="AW3" s="278">
        <f>TABLA_BASE[[#This Row],[GANANCIA
UNIT.(S/.)]]*TABLA_BASE[[#This Row],[CANTIDAD
(unid.)]]</f>
        <v>1643.0685350970455</v>
      </c>
      <c r="AX3" s="289">
        <f>'💰 Precio de Venta'!K8</f>
        <v>66</v>
      </c>
      <c r="AY3" s="278">
        <f>TABLA_BASE[[#This Row],[GANANCIA
UNIT.(S/.)]]*'🧾 Factura Comercial'!G7</f>
        <v>1643.0685350970455</v>
      </c>
      <c r="AZ3" s="277">
        <f>IF(TABLA_BASE[[#This Row],[PRECIO VTA.
c/IGV(S/.)]]=0,0,TABLA_BASE[[#This Row],[GANANCIA
UNIT.(S/.)]]/TABLA_BASE[[#This Row],[PRECIO VTA.
c/IGV(S/.)]])</f>
        <v>0.33898305084745767</v>
      </c>
      <c r="BA3" s="277">
        <f>IF(TABLA_BASE[[#This Row],[C/M UNIT.
(S/.)]]=0,0,TABLA_BASE[[#This Row],[GANANCIA
UNIT.(S/.)]]/TABLA_BASE[[#This Row],[C/M UNIT.
(S/.)]])</f>
        <v>0.66666666666666663</v>
      </c>
      <c r="BB3" s="274" t="str">
        <f>IF(TABLA_BASE[[#This Row],[MARGEN
%]]&gt;=0.5,"🟢 ALTO",IF(TABLA_BASE[[#This Row],[MARGEN
%]]&gt;=0.3,"🟡 MEDIO","🔴 BAJO"))</f>
        <v>🟡 MEDIO</v>
      </c>
    </row>
    <row r="4" spans="1:54" ht="16.5" hidden="1" thickTop="1" thickBot="1" x14ac:dyDescent="0.3">
      <c r="A4" s="274" t="str">
        <f>'🧾 Factura Comercial'!E8</f>
        <v>Cable USB-C Trenzado 1m</v>
      </c>
      <c r="B4" s="274" t="str">
        <f>'🧾 Factura Comercial'!F8</f>
        <v>Unid.</v>
      </c>
      <c r="C4" s="275">
        <f>'🧾 Factura Comercial'!G8</f>
        <v>2880</v>
      </c>
      <c r="D4" s="276">
        <f>'🧾 Factura Comercial'!H8</f>
        <v>0.68</v>
      </c>
      <c r="E4" s="276">
        <f>'🧾 Factura Comercial'!I8</f>
        <v>1958.4</v>
      </c>
      <c r="F4" s="277">
        <f>IF('🧾 Tributos Aduana'!$F$6=0,0,'🧾 Factura Comercial'!I8/'🧾 Tributos Aduana'!$F$6)</f>
        <v>4.4874944089632565E-2</v>
      </c>
      <c r="G4" s="278">
        <f>'🧾 Factura Comercial'!H8*'📋 Datos Generales'!$E$19</f>
        <v>2.5296000000000003</v>
      </c>
      <c r="H4" s="278">
        <f>TABLA_BASE[[#This Row],[FOB UNIT.
(S/.)]]*TABLA_BASE[[#This Row],[CANTIDAD
(unid.)]]</f>
        <v>7285.2480000000005</v>
      </c>
      <c r="I4" s="280">
        <f>IF('🧾 Tributos Aduana'!$F$6=0,0,'🧾 Tributos Aduana'!$F$17*('🧾 Factura Comercial'!H8/'🧾 Tributos Aduana'!$F$6))</f>
        <v>4.288050213009334E-2</v>
      </c>
      <c r="J4" s="280">
        <f>TABLA_BASE[[#This Row],[ADV UNIT.
(US$)
⚠️COSTO]]*TABLA_BASE[[#This Row],[CANTIDAD
(unid.)]]</f>
        <v>123.49584613466882</v>
      </c>
      <c r="K4" s="279">
        <f>IF('🧾 Tributos Aduana'!$F$6=0,0,'🧾 Tributos Aduana'!$F$18*('🧾 Factura Comercial'!H8/'🧾 Tributos Aduana'!$F$6))</f>
        <v>1.5145293630250989E-2</v>
      </c>
      <c r="L4" s="280">
        <f>TABLA_BASE[[#This Row],[IPM UNIT.
(US$)
✅CF]]*TABLA_BASE[[#This Row],[CANTIDAD
(unid.)]]</f>
        <v>43.618445655122848</v>
      </c>
      <c r="M4" s="279">
        <f>IF('🧾 Tributos Aduana'!$F$6=0,0,'🧾 Tributos Aduana'!$F$19*('🧾 Factura Comercial'!H8/'🧾 Tributos Aduana'!$F$6))</f>
        <v>0.12120909377543462</v>
      </c>
      <c r="N4" s="280">
        <f>TABLA_BASE[[#This Row],[IGV UNIT.
(US$)
✅CF]]*TABLA_BASE[[#This Row],[CANTIDAD
(unid.)]]</f>
        <v>349.0821900732517</v>
      </c>
      <c r="O4" s="280">
        <f>IF('🧾 Tributos Aduana'!$F$6=0,0,'🧾 Tributos Aduana'!$F$23*('🧾 Factura Comercial'!H8/'🧾 Tributos Aduana'!$F$6))</f>
        <v>3.1286250082490703E-2</v>
      </c>
      <c r="P4" s="280">
        <f>TABLA_BASE[[#This Row],[PERCEP.
UNIT.(US$)
✅CF]]*TABLA_BASE[[#This Row],[CANTIDAD
(unid.)]]</f>
        <v>90.10440023757323</v>
      </c>
      <c r="Q4" s="279">
        <f>TABLA_BASE[[#This Row],[ADV UNIT.
(US$)
⚠️COSTO]]+TABLA_BASE[[#This Row],[IPM UNIT.
(US$)
✅CF]]+TABLA_BASE[[#This Row],[IGV UNIT.
(US$)
✅CF]]</f>
        <v>0.17923488953577896</v>
      </c>
      <c r="R4" s="280">
        <f>TABLA_BASE[[#This Row],[DEUDA
ADUANERA
UNIT.]]*TABLA_BASE[[#This Row],[CANTIDAD
(unid.)]]</f>
        <v>516.19648186304335</v>
      </c>
      <c r="S4" s="278">
        <f>TABLA_BASE[[#This Row],[DEUDA
ADUANERA
UNIT.]]*'📋 Datos Generales'!$E$19</f>
        <v>0.66675378907309779</v>
      </c>
      <c r="T4" s="278">
        <f>TABLA_BASE[[#This Row],[DEUDA
ADUANERA
TOTAL]]*'📋 Datos Generales'!$E$19</f>
        <v>1920.2509125305214</v>
      </c>
      <c r="U4" s="281">
        <f>TABLA_BASE[[#This Row],[ADV UNIT.
(US$)
⚠️COSTO]]*'📋 Datos Generales'!$E$19</f>
        <v>0.15951546792394725</v>
      </c>
      <c r="V4" s="281">
        <f>TABLA_BASE[[#This Row],[ADV UNIT.
(S/.)]]*TABLA_BASE[[#This Row],[CANTIDAD
(unid.)]]</f>
        <v>459.40454762096806</v>
      </c>
      <c r="W4" s="281">
        <f>TABLA_BASE[[#This Row],[IPM UNIT.
(US$)
✅CF]]*'📋 Datos Generales'!$E$19</f>
        <v>5.6340492304533682E-2</v>
      </c>
      <c r="X4" s="281">
        <f>TABLA_BASE[[#This Row],[IPM UNIT.
(S/.)]]*TABLA_BASE[[#This Row],[CANTIDAD
(unid.)]]</f>
        <v>162.260617837057</v>
      </c>
      <c r="Y4" s="281">
        <f>TABLA_BASE[[#This Row],[IGV UNIT.
(US$)
✅CF]]*'📋 Datos Generales'!$E$19</f>
        <v>0.45089782884461682</v>
      </c>
      <c r="Z4" s="281">
        <f>TABLA_BASE[[#This Row],[IGV UNIT.
(S/.)]]*TABLA_BASE[[#This Row],[CANTIDAD
(unid.)]]</f>
        <v>1298.5857470724964</v>
      </c>
      <c r="AA4" s="281">
        <f>TABLA_BASE[[#This Row],[PERCEP.
UNIT.(US$)
✅CF]]*'📋 Datos Generales'!$E$19</f>
        <v>0.11638485030686542</v>
      </c>
      <c r="AB4" s="281">
        <f>TABLA_BASE[[#This Row],[PERCEP.
UNIT.(S/.)]]*TABLA_BASE[[#This Row],[CANTIDAD
(unid.)]]</f>
        <v>335.1883688837724</v>
      </c>
      <c r="AC4" s="279">
        <f>TABLA_BASE[[#This Row],[ADV UNIT.
(US$)
⚠️COSTO]]+TABLA_BASE[[#This Row],[IPM UNIT.
(US$)
✅CF]]+TABLA_BASE[[#This Row],[IGV UNIT.
(US$)
✅CF]]+TABLA_BASE[[#This Row],[PERCEP.
UNIT.(US$)
✅CF]]</f>
        <v>0.21052113961826965</v>
      </c>
      <c r="AD4" s="279">
        <f>TABLA_BASE[[#This Row],[TOTAL PAGO
SUNAT
UNIT.(US$)]]*TABLA_BASE[[#This Row],[CANTIDAD
(unid.)]]</f>
        <v>606.3008821006166</v>
      </c>
      <c r="AE4" s="281">
        <f>TABLA_BASE[[#This Row],[TOTAL PAGO
SUNAT
UNIT.(US$)]]*'📋 Datos Generales'!$E$19</f>
        <v>0.7831386393799632</v>
      </c>
      <c r="AF4" s="281">
        <f>TABLA_BASE[[#This Row],[TOTAL TRIB.
UNIT.(S/.)]]*TABLA_BASE[[#This Row],[CANTIDAD
(unid.)]]</f>
        <v>2255.4392814142939</v>
      </c>
      <c r="AG4" s="279">
        <f>IF('🧾 Factura Comercial'!G8=0,0,'📦 Gastos Importación'!$E$28*(IF('🧾 Tributos Aduana'!$F$6=0,0,'🧾 Factura Comercial'!I8/'🧾 Tributos Aduana'!$F$6))/'🧾 Factura Comercial'!G8)</f>
        <v>0.77568662514023412</v>
      </c>
      <c r="AH4" s="279">
        <f>TABLA_BASE[[#This Row],[GASTOS IMP.
UNIT.(US$)]]*TABLA_BASE[[#This Row],[CANTIDAD
(unid.)]]</f>
        <v>2233.9774804038743</v>
      </c>
      <c r="AI4" s="281">
        <f>TABLA_BASE[[#This Row],[GASTOS IMP.
UNIT.(US$)]]*'📋 Datos Generales'!$E$19</f>
        <v>2.8855542455216709</v>
      </c>
      <c r="AJ4" s="281">
        <f>TABLA_BASE[[#This Row],[GASTOS IMP.
UNIT.(S/.)]]*TABLA_BASE[[#This Row],[CANTIDAD
(unid.)]]</f>
        <v>8310.396227102412</v>
      </c>
      <c r="AK4" s="280">
        <f>'🧮 Costos x Producto'!J8</f>
        <v>0.77568662514023423</v>
      </c>
      <c r="AL4" s="278">
        <f>'🧮 Costos x Producto'!K8</f>
        <v>2.8855542455216714</v>
      </c>
      <c r="AM4" s="278">
        <f>TABLA_BASE[[#This Row],[C/M UNIT.
(S/.)]]*TABLA_BASE[[#This Row],[CANTIDAD
(unid.)]]</f>
        <v>8310.3962271024138</v>
      </c>
      <c r="AN4" s="279">
        <f>IF('🧾 Factura Comercial'!G8=0,0,'🧾 Tributos Aduana'!$F$17*(IF('🧾 Tributos Aduana'!$F$6=0,0,'🧾 Factura Comercial'!I8/'🧾 Tributos Aduana'!$F$6))/'🧾 Factura Comercial'!G8)</f>
        <v>4.288050213009334E-2</v>
      </c>
      <c r="AO4" s="280">
        <f>IF('🧾 Factura Comercial'!G8=0,0,'🏦 Crédito Fiscal'!$C$16*(IF('🧾 Tributos Aduana'!$F$6=0,0,'🧾 Factura Comercial'!I8/'🧾 Tributos Aduana'!$F$6))/'🧾 Factura Comercial'!G8)</f>
        <v>0.17081416548735509</v>
      </c>
      <c r="AP4" s="278">
        <f>TABLA_BASE[[#This Row],[CF UNIT.
✅RECUP.
(US$)]]*'📋 Datos Generales'!$E$19</f>
        <v>0.635428695612961</v>
      </c>
      <c r="AQ4" s="278">
        <f>TABLA_BASE[[#This Row],[CF UNIT.
✅RECUP.(S/.)]]*TABLA_BASE[[#This Row],[CANTIDAD
(unid.)]]</f>
        <v>1830.0346433653276</v>
      </c>
      <c r="AR4" s="288">
        <f>'💰 Precio de Venta'!G9</f>
        <v>0.4</v>
      </c>
      <c r="AS4" s="278">
        <f>'💰 Precio de Venta'!H9</f>
        <v>4.8092570758694526</v>
      </c>
      <c r="AT4" s="278">
        <f>TABLA_BASE[[#This Row],[VALOR VTA.
UNIT.(S/.)]]*TABLA_BASE[[#This Row],[CANTIDAD
(unid.)]]</f>
        <v>13850.660378504024</v>
      </c>
      <c r="AU4" s="281">
        <f>'💰 Precio de Venta'!I9</f>
        <v>5.6749233495259537</v>
      </c>
      <c r="AV4" s="278">
        <f>'💰 Precio de Venta'!J9</f>
        <v>1.9237028303477812</v>
      </c>
      <c r="AW4" s="278">
        <f>TABLA_BASE[[#This Row],[GANANCIA
UNIT.(S/.)]]*TABLA_BASE[[#This Row],[CANTIDAD
(unid.)]]</f>
        <v>5540.2641514016095</v>
      </c>
      <c r="AX4" s="289">
        <f>'💰 Precio de Venta'!K9</f>
        <v>394</v>
      </c>
      <c r="AY4" s="278">
        <f>TABLA_BASE[[#This Row],[GANANCIA
UNIT.(S/.)]]*'🧾 Factura Comercial'!G8</f>
        <v>5540.2641514016095</v>
      </c>
      <c r="AZ4" s="277">
        <f>IF(TABLA_BASE[[#This Row],[PRECIO VTA.
c/IGV(S/.)]]=0,0,TABLA_BASE[[#This Row],[GANANCIA
UNIT.(S/.)]]/TABLA_BASE[[#This Row],[PRECIO VTA.
c/IGV(S/.)]])</f>
        <v>0.33898305084745767</v>
      </c>
      <c r="BA4" s="277">
        <f>IF(TABLA_BASE[[#This Row],[C/M UNIT.
(S/.)]]=0,0,TABLA_BASE[[#This Row],[GANANCIA
UNIT.(S/.)]]/TABLA_BASE[[#This Row],[C/M UNIT.
(S/.)]])</f>
        <v>0.66666666666666674</v>
      </c>
      <c r="BB4" s="274" t="str">
        <f>IF(TABLA_BASE[[#This Row],[MARGEN
%]]&gt;=0.5,"🟢 ALTO",IF(TABLA_BASE[[#This Row],[MARGEN
%]]&gt;=0.3,"🟡 MEDIO","🔴 BAJO"))</f>
        <v>🟡 MEDIO</v>
      </c>
    </row>
    <row r="5" spans="1:54" ht="16.5" hidden="1" thickTop="1" thickBot="1" x14ac:dyDescent="0.3">
      <c r="A5" s="274" t="str">
        <f>'🧾 Factura Comercial'!E9</f>
        <v>Protector Pantalla Vidrio Templado</v>
      </c>
      <c r="B5" s="274" t="str">
        <f>'🧾 Factura Comercial'!F9</f>
        <v>Unid.</v>
      </c>
      <c r="C5" s="275">
        <f>'🧾 Factura Comercial'!G9</f>
        <v>2880</v>
      </c>
      <c r="D5" s="276">
        <f>'🧾 Factura Comercial'!H9</f>
        <v>0.4</v>
      </c>
      <c r="E5" s="276">
        <f>'🧾 Factura Comercial'!I9</f>
        <v>1152</v>
      </c>
      <c r="F5" s="277">
        <f>IF('🧾 Tributos Aduana'!$F$6=0,0,'🧾 Factura Comercial'!I9/'🧾 Tributos Aduana'!$F$6)</f>
        <v>2.6397025935077978E-2</v>
      </c>
      <c r="G5" s="278">
        <f>'🧾 Factura Comercial'!H9*'📋 Datos Generales'!$E$19</f>
        <v>1.4880000000000002</v>
      </c>
      <c r="H5" s="278">
        <f>TABLA_BASE[[#This Row],[FOB UNIT.
(S/.)]]*TABLA_BASE[[#This Row],[CANTIDAD
(unid.)]]</f>
        <v>4285.4400000000005</v>
      </c>
      <c r="I5" s="280">
        <f>IF('🧾 Tributos Aduana'!$F$6=0,0,'🧾 Tributos Aduana'!$F$17*('🧾 Factura Comercial'!H9/'🧾 Tributos Aduana'!$F$6))</f>
        <v>2.5223824782407846E-2</v>
      </c>
      <c r="J5" s="280">
        <f>TABLA_BASE[[#This Row],[ADV UNIT.
(US$)
⚠️COSTO]]*TABLA_BASE[[#This Row],[CANTIDAD
(unid.)]]</f>
        <v>72.644615373334602</v>
      </c>
      <c r="K5" s="279">
        <f>IF('🧾 Tributos Aduana'!$F$6=0,0,'🧾 Tributos Aduana'!$F$18*('🧾 Factura Comercial'!H9/'🧾 Tributos Aduana'!$F$6))</f>
        <v>8.9089962530888179E-3</v>
      </c>
      <c r="L5" s="280">
        <f>TABLA_BASE[[#This Row],[IPM UNIT.
(US$)
✅CF]]*TABLA_BASE[[#This Row],[CANTIDAD
(unid.)]]</f>
        <v>25.657909208895795</v>
      </c>
      <c r="M5" s="279">
        <f>IF('🧾 Tributos Aduana'!$F$6=0,0,'🧾 Tributos Aduana'!$F$19*('🧾 Factura Comercial'!H9/'🧾 Tributos Aduana'!$F$6))</f>
        <v>7.1299466926726257E-2</v>
      </c>
      <c r="N5" s="280">
        <f>TABLA_BASE[[#This Row],[IGV UNIT.
(US$)
✅CF]]*TABLA_BASE[[#This Row],[CANTIDAD
(unid.)]]</f>
        <v>205.34246474897162</v>
      </c>
      <c r="O5" s="280">
        <f>IF('🧾 Tributos Aduana'!$F$6=0,0,'🧾 Tributos Aduana'!$F$23*('🧾 Factura Comercial'!H9/'🧾 Tributos Aduana'!$F$6))</f>
        <v>1.8403676519112181E-2</v>
      </c>
      <c r="P5" s="280">
        <f>TABLA_BASE[[#This Row],[PERCEP.
UNIT.(US$)
✅CF]]*TABLA_BASE[[#This Row],[CANTIDAD
(unid.)]]</f>
        <v>53.002588375043082</v>
      </c>
      <c r="Q5" s="279">
        <f>TABLA_BASE[[#This Row],[ADV UNIT.
(US$)
⚠️COSTO]]+TABLA_BASE[[#This Row],[IPM UNIT.
(US$)
✅CF]]+TABLA_BASE[[#This Row],[IGV UNIT.
(US$)
✅CF]]</f>
        <v>0.10543228796222293</v>
      </c>
      <c r="R5" s="280">
        <f>TABLA_BASE[[#This Row],[DEUDA
ADUANERA
UNIT.]]*TABLA_BASE[[#This Row],[CANTIDAD
(unid.)]]</f>
        <v>303.64498933120205</v>
      </c>
      <c r="S5" s="278">
        <f>TABLA_BASE[[#This Row],[DEUDA
ADUANERA
UNIT.]]*'📋 Datos Generales'!$E$19</f>
        <v>0.3922081112194693</v>
      </c>
      <c r="T5" s="278">
        <f>TABLA_BASE[[#This Row],[DEUDA
ADUANERA
TOTAL]]*'📋 Datos Generales'!$E$19</f>
        <v>1129.5593603120717</v>
      </c>
      <c r="U5" s="281">
        <f>TABLA_BASE[[#This Row],[ADV UNIT.
(US$)
⚠️COSTO]]*'📋 Datos Generales'!$E$19</f>
        <v>9.3832628190557196E-2</v>
      </c>
      <c r="V5" s="281">
        <f>TABLA_BASE[[#This Row],[ADV UNIT.
(S/.)]]*TABLA_BASE[[#This Row],[CANTIDAD
(unid.)]]</f>
        <v>270.2379691888047</v>
      </c>
      <c r="W5" s="281">
        <f>TABLA_BASE[[#This Row],[IPM UNIT.
(US$)
✅CF]]*'📋 Datos Generales'!$E$19</f>
        <v>3.3141466061490404E-2</v>
      </c>
      <c r="X5" s="281">
        <f>TABLA_BASE[[#This Row],[IPM UNIT.
(S/.)]]*TABLA_BASE[[#This Row],[CANTIDAD
(unid.)]]</f>
        <v>95.44742225709237</v>
      </c>
      <c r="Y5" s="281">
        <f>TABLA_BASE[[#This Row],[IGV UNIT.
(US$)
✅CF]]*'📋 Datos Generales'!$E$19</f>
        <v>0.26523401696742172</v>
      </c>
      <c r="Z5" s="281">
        <f>TABLA_BASE[[#This Row],[IGV UNIT.
(S/.)]]*TABLA_BASE[[#This Row],[CANTIDAD
(unid.)]]</f>
        <v>763.87396886617455</v>
      </c>
      <c r="AA5" s="281">
        <f>TABLA_BASE[[#This Row],[PERCEP.
UNIT.(US$)
✅CF]]*'📋 Datos Generales'!$E$19</f>
        <v>6.8461676651097314E-2</v>
      </c>
      <c r="AB5" s="281">
        <f>TABLA_BASE[[#This Row],[PERCEP.
UNIT.(S/.)]]*TABLA_BASE[[#This Row],[CANTIDAD
(unid.)]]</f>
        <v>197.16962875516026</v>
      </c>
      <c r="AC5" s="279">
        <f>TABLA_BASE[[#This Row],[ADV UNIT.
(US$)
⚠️COSTO]]+TABLA_BASE[[#This Row],[IPM UNIT.
(US$)
✅CF]]+TABLA_BASE[[#This Row],[IGV UNIT.
(US$)
✅CF]]+TABLA_BASE[[#This Row],[PERCEP.
UNIT.(US$)
✅CF]]</f>
        <v>0.1238359644813351</v>
      </c>
      <c r="AD5" s="279">
        <f>TABLA_BASE[[#This Row],[TOTAL PAGO
SUNAT
UNIT.(US$)]]*TABLA_BASE[[#This Row],[CANTIDAD
(unid.)]]</f>
        <v>356.6475777062451</v>
      </c>
      <c r="AE5" s="281">
        <f>TABLA_BASE[[#This Row],[TOTAL PAGO
SUNAT
UNIT.(US$)]]*'📋 Datos Generales'!$E$19</f>
        <v>0.46066978787056662</v>
      </c>
      <c r="AF5" s="281">
        <f>TABLA_BASE[[#This Row],[TOTAL TRIB.
UNIT.(S/.)]]*TABLA_BASE[[#This Row],[CANTIDAD
(unid.)]]</f>
        <v>1326.7289890672319</v>
      </c>
      <c r="AG5" s="279">
        <f>IF('🧾 Factura Comercial'!G9=0,0,'📦 Gastos Importación'!$E$28*(IF('🧾 Tributos Aduana'!$F$6=0,0,'🧾 Factura Comercial'!I9/'🧾 Tributos Aduana'!$F$6))/'🧾 Factura Comercial'!G9)</f>
        <v>0.45628625008249069</v>
      </c>
      <c r="AH5" s="279">
        <f>TABLA_BASE[[#This Row],[GASTOS IMP.
UNIT.(US$)]]*TABLA_BASE[[#This Row],[CANTIDAD
(unid.)]]</f>
        <v>1314.1044002375731</v>
      </c>
      <c r="AI5" s="281">
        <f>TABLA_BASE[[#This Row],[GASTOS IMP.
UNIT.(US$)]]*'📋 Datos Generales'!$E$19</f>
        <v>1.6973848503068654</v>
      </c>
      <c r="AJ5" s="281">
        <f>TABLA_BASE[[#This Row],[GASTOS IMP.
UNIT.(S/.)]]*TABLA_BASE[[#This Row],[CANTIDAD
(unid.)]]</f>
        <v>4888.4683688837722</v>
      </c>
      <c r="AK5" s="280">
        <f>'🧮 Costos x Producto'!J9</f>
        <v>0.45628625008249069</v>
      </c>
      <c r="AL5" s="278">
        <f>'🧮 Costos x Producto'!K9</f>
        <v>1.6973848503068654</v>
      </c>
      <c r="AM5" s="278">
        <f>TABLA_BASE[[#This Row],[C/M UNIT.
(S/.)]]*TABLA_BASE[[#This Row],[CANTIDAD
(unid.)]]</f>
        <v>4888.4683688837722</v>
      </c>
      <c r="AN5" s="279">
        <f>IF('🧾 Factura Comercial'!G9=0,0,'🧾 Tributos Aduana'!$F$17*(IF('🧾 Tributos Aduana'!$F$6=0,0,'🧾 Factura Comercial'!I9/'🧾 Tributos Aduana'!$F$6))/'🧾 Factura Comercial'!G9)</f>
        <v>2.5223824782407849E-2</v>
      </c>
      <c r="AO5" s="280">
        <f>IF('🧾 Factura Comercial'!G9=0,0,'🏦 Crédito Fiscal'!$C$16*(IF('🧾 Tributos Aduana'!$F$6=0,0,'🧾 Factura Comercial'!I9/'🧾 Tributos Aduana'!$F$6))/'🧾 Factura Comercial'!G9)</f>
        <v>0.10047892087491474</v>
      </c>
      <c r="AP5" s="278">
        <f>TABLA_BASE[[#This Row],[CF UNIT.
✅RECUP.
(US$)]]*'📋 Datos Generales'!$E$19</f>
        <v>0.37378158565468284</v>
      </c>
      <c r="AQ5" s="278">
        <f>TABLA_BASE[[#This Row],[CF UNIT.
✅RECUP.(S/.)]]*TABLA_BASE[[#This Row],[CANTIDAD
(unid.)]]</f>
        <v>1076.4909666854865</v>
      </c>
      <c r="AR5" s="288">
        <f>'💰 Precio de Venta'!G10</f>
        <v>0.4</v>
      </c>
      <c r="AS5" s="278">
        <f>'💰 Precio de Venta'!H10</f>
        <v>2.8289747505114424</v>
      </c>
      <c r="AT5" s="278">
        <f>TABLA_BASE[[#This Row],[VALOR VTA.
UNIT.(S/.)]]*TABLA_BASE[[#This Row],[CANTIDAD
(unid.)]]</f>
        <v>8147.4472814729543</v>
      </c>
      <c r="AU5" s="281">
        <f>'💰 Precio de Venta'!I10</f>
        <v>3.3381902056035018</v>
      </c>
      <c r="AV5" s="278">
        <f>'💰 Precio de Venta'!J10</f>
        <v>1.1315899002045771</v>
      </c>
      <c r="AW5" s="278">
        <f>TABLA_BASE[[#This Row],[GANANCIA
UNIT.(S/.)]]*TABLA_BASE[[#This Row],[CANTIDAD
(unid.)]]</f>
        <v>3258.9789125891821</v>
      </c>
      <c r="AX5" s="289">
        <f>'💰 Precio de Venta'!K10</f>
        <v>394</v>
      </c>
      <c r="AY5" s="278">
        <f>TABLA_BASE[[#This Row],[GANANCIA
UNIT.(S/.)]]*'🧾 Factura Comercial'!G9</f>
        <v>3258.9789125891821</v>
      </c>
      <c r="AZ5" s="277">
        <f>IF(TABLA_BASE[[#This Row],[PRECIO VTA.
c/IGV(S/.)]]=0,0,TABLA_BASE[[#This Row],[GANANCIA
UNIT.(S/.)]]/TABLA_BASE[[#This Row],[PRECIO VTA.
c/IGV(S/.)]])</f>
        <v>0.33898305084745767</v>
      </c>
      <c r="BA5" s="277">
        <f>IF(TABLA_BASE[[#This Row],[C/M UNIT.
(S/.)]]=0,0,TABLA_BASE[[#This Row],[GANANCIA
UNIT.(S/.)]]/TABLA_BASE[[#This Row],[C/M UNIT.
(S/.)]])</f>
        <v>0.66666666666666674</v>
      </c>
      <c r="BB5" s="274" t="str">
        <f>IF(TABLA_BASE[[#This Row],[MARGEN
%]]&gt;=0.5,"🟢 ALTO",IF(TABLA_BASE[[#This Row],[MARGEN
%]]&gt;=0.3,"🟡 MEDIO","🔴 BAJO"))</f>
        <v>🟡 MEDIO</v>
      </c>
    </row>
    <row r="6" spans="1:54" ht="16.5" hidden="1" thickTop="1" thickBot="1" x14ac:dyDescent="0.3">
      <c r="A6" s="274" t="str">
        <f>'🧾 Factura Comercial'!E10</f>
        <v>Audífonos In-Ear con Micrófono</v>
      </c>
      <c r="B6" s="274" t="str">
        <f>'🧾 Factura Comercial'!F10</f>
        <v>Unid.</v>
      </c>
      <c r="C6" s="275">
        <f>'🧾 Factura Comercial'!G10</f>
        <v>10224</v>
      </c>
      <c r="D6" s="276">
        <f>'🧾 Factura Comercial'!H10</f>
        <v>0.34</v>
      </c>
      <c r="E6" s="276">
        <f>'🧾 Factura Comercial'!I10</f>
        <v>3476.1600000000003</v>
      </c>
      <c r="F6" s="277">
        <f>IF('🧾 Tributos Aduana'!$F$6=0,0,'🧾 Factura Comercial'!I10/'🧾 Tributos Aduana'!$F$6)</f>
        <v>7.9653025759097801E-2</v>
      </c>
      <c r="G6" s="278">
        <f>'🧾 Factura Comercial'!H10*'📋 Datos Generales'!$E$19</f>
        <v>1.2648000000000001</v>
      </c>
      <c r="H6" s="278">
        <f>TABLA_BASE[[#This Row],[FOB UNIT.
(S/.)]]*TABLA_BASE[[#This Row],[CANTIDAD
(unid.)]]</f>
        <v>12931.315200000001</v>
      </c>
      <c r="I6" s="280">
        <f>IF('🧾 Tributos Aduana'!$F$6=0,0,'🧾 Tributos Aduana'!$F$17*('🧾 Factura Comercial'!H10/'🧾 Tributos Aduana'!$F$6))</f>
        <v>2.144025106504667E-2</v>
      </c>
      <c r="J6" s="280">
        <f>TABLA_BASE[[#This Row],[ADV UNIT.
(US$)
⚠️COSTO]]*TABLA_BASE[[#This Row],[CANTIDAD
(unid.)]]</f>
        <v>219.20512688903716</v>
      </c>
      <c r="K6" s="279">
        <f>IF('🧾 Tributos Aduana'!$F$6=0,0,'🧾 Tributos Aduana'!$F$18*('🧾 Factura Comercial'!H10/'🧾 Tributos Aduana'!$F$6))</f>
        <v>7.5726468151254946E-3</v>
      </c>
      <c r="L6" s="280">
        <f>TABLA_BASE[[#This Row],[IPM UNIT.
(US$)
✅CF]]*TABLA_BASE[[#This Row],[CANTIDAD
(unid.)]]</f>
        <v>77.422741037843053</v>
      </c>
      <c r="M6" s="279">
        <f>IF('🧾 Tributos Aduana'!$F$6=0,0,'🧾 Tributos Aduana'!$F$19*('🧾 Factura Comercial'!H10/'🧾 Tributos Aduana'!$F$6))</f>
        <v>6.0604546887717312E-2</v>
      </c>
      <c r="N6" s="280">
        <f>TABLA_BASE[[#This Row],[IGV UNIT.
(US$)
✅CF]]*TABLA_BASE[[#This Row],[CANTIDAD
(unid.)]]</f>
        <v>619.62088738002183</v>
      </c>
      <c r="O6" s="280">
        <f>IF('🧾 Tributos Aduana'!$F$6=0,0,'🧾 Tributos Aduana'!$F$23*('🧾 Factura Comercial'!H10/'🧾 Tributos Aduana'!$F$6))</f>
        <v>1.5643125041245352E-2</v>
      </c>
      <c r="P6" s="280">
        <f>TABLA_BASE[[#This Row],[PERCEP.
UNIT.(US$)
✅CF]]*TABLA_BASE[[#This Row],[CANTIDAD
(unid.)]]</f>
        <v>159.93531042169246</v>
      </c>
      <c r="Q6" s="279">
        <f>TABLA_BASE[[#This Row],[ADV UNIT.
(US$)
⚠️COSTO]]+TABLA_BASE[[#This Row],[IPM UNIT.
(US$)
✅CF]]+TABLA_BASE[[#This Row],[IGV UNIT.
(US$)
✅CF]]</f>
        <v>8.9617444767889479E-2</v>
      </c>
      <c r="R6" s="280">
        <f>TABLA_BASE[[#This Row],[DEUDA
ADUANERA
UNIT.]]*TABLA_BASE[[#This Row],[CANTIDAD
(unid.)]]</f>
        <v>916.24875530690201</v>
      </c>
      <c r="S6" s="278">
        <f>TABLA_BASE[[#This Row],[DEUDA
ADUANERA
UNIT.]]*'📋 Datos Generales'!$E$19</f>
        <v>0.3333768945365489</v>
      </c>
      <c r="T6" s="278">
        <f>TABLA_BASE[[#This Row],[DEUDA
ADUANERA
TOTAL]]*'📋 Datos Generales'!$E$19</f>
        <v>3408.4453697416757</v>
      </c>
      <c r="U6" s="281">
        <f>TABLA_BASE[[#This Row],[ADV UNIT.
(US$)
⚠️COSTO]]*'📋 Datos Generales'!$E$19</f>
        <v>7.9757733961973623E-2</v>
      </c>
      <c r="V6" s="281">
        <f>TABLA_BASE[[#This Row],[ADV UNIT.
(S/.)]]*TABLA_BASE[[#This Row],[CANTIDAD
(unid.)]]</f>
        <v>815.44307202721836</v>
      </c>
      <c r="W6" s="281">
        <f>TABLA_BASE[[#This Row],[IPM UNIT.
(US$)
✅CF]]*'📋 Datos Generales'!$E$19</f>
        <v>2.8170246152266841E-2</v>
      </c>
      <c r="X6" s="281">
        <f>TABLA_BASE[[#This Row],[IPM UNIT.
(S/.)]]*TABLA_BASE[[#This Row],[CANTIDAD
(unid.)]]</f>
        <v>288.01259666077618</v>
      </c>
      <c r="Y6" s="281">
        <f>TABLA_BASE[[#This Row],[IGV UNIT.
(US$)
✅CF]]*'📋 Datos Generales'!$E$19</f>
        <v>0.22544891442230841</v>
      </c>
      <c r="Z6" s="281">
        <f>TABLA_BASE[[#This Row],[IGV UNIT.
(S/.)]]*TABLA_BASE[[#This Row],[CANTIDAD
(unid.)]]</f>
        <v>2304.9897010536811</v>
      </c>
      <c r="AA6" s="281">
        <f>TABLA_BASE[[#This Row],[PERCEP.
UNIT.(US$)
✅CF]]*'📋 Datos Generales'!$E$19</f>
        <v>5.819242515343271E-2</v>
      </c>
      <c r="AB6" s="281">
        <f>TABLA_BASE[[#This Row],[PERCEP.
UNIT.(S/.)]]*TABLA_BASE[[#This Row],[CANTIDAD
(unid.)]]</f>
        <v>594.95935476869602</v>
      </c>
      <c r="AC6" s="279">
        <f>TABLA_BASE[[#This Row],[ADV UNIT.
(US$)
⚠️COSTO]]+TABLA_BASE[[#This Row],[IPM UNIT.
(US$)
✅CF]]+TABLA_BASE[[#This Row],[IGV UNIT.
(US$)
✅CF]]+TABLA_BASE[[#This Row],[PERCEP.
UNIT.(US$)
✅CF]]</f>
        <v>0.10526056980913483</v>
      </c>
      <c r="AD6" s="279">
        <f>TABLA_BASE[[#This Row],[TOTAL PAGO
SUNAT
UNIT.(US$)]]*TABLA_BASE[[#This Row],[CANTIDAD
(unid.)]]</f>
        <v>1076.1840657285945</v>
      </c>
      <c r="AE6" s="281">
        <f>TABLA_BASE[[#This Row],[TOTAL PAGO
SUNAT
UNIT.(US$)]]*'📋 Datos Generales'!$E$19</f>
        <v>0.3915693196899816</v>
      </c>
      <c r="AF6" s="281">
        <f>TABLA_BASE[[#This Row],[TOTAL TRIB.
UNIT.(S/.)]]*TABLA_BASE[[#This Row],[CANTIDAD
(unid.)]]</f>
        <v>4003.404724510372</v>
      </c>
      <c r="AG6" s="279">
        <f>IF('🧾 Factura Comercial'!G10=0,0,'📦 Gastos Importación'!$E$28*(IF('🧾 Tributos Aduana'!$F$6=0,0,'🧾 Factura Comercial'!I10/'🧾 Tributos Aduana'!$F$6))/'🧾 Factura Comercial'!G10)</f>
        <v>0.38784331257011706</v>
      </c>
      <c r="AH6" s="279">
        <f>TABLA_BASE[[#This Row],[GASTOS IMP.
UNIT.(US$)]]*TABLA_BASE[[#This Row],[CANTIDAD
(unid.)]]</f>
        <v>3965.3100277168769</v>
      </c>
      <c r="AI6" s="281">
        <f>TABLA_BASE[[#This Row],[GASTOS IMP.
UNIT.(US$)]]*'📋 Datos Generales'!$E$19</f>
        <v>1.4427771227608355</v>
      </c>
      <c r="AJ6" s="281">
        <f>TABLA_BASE[[#This Row],[GASTOS IMP.
UNIT.(S/.)]]*TABLA_BASE[[#This Row],[CANTIDAD
(unid.)]]</f>
        <v>14750.953303106782</v>
      </c>
      <c r="AK6" s="280">
        <f>'🧮 Costos x Producto'!J10</f>
        <v>0.38784331257011712</v>
      </c>
      <c r="AL6" s="278">
        <f>'🧮 Costos x Producto'!K10</f>
        <v>1.4427771227608357</v>
      </c>
      <c r="AM6" s="278">
        <f>TABLA_BASE[[#This Row],[C/M UNIT.
(S/.)]]*TABLA_BASE[[#This Row],[CANTIDAD
(unid.)]]</f>
        <v>14750.953303106784</v>
      </c>
      <c r="AN6" s="279">
        <f>IF('🧾 Factura Comercial'!G10=0,0,'🧾 Tributos Aduana'!$F$17*(IF('🧾 Tributos Aduana'!$F$6=0,0,'🧾 Factura Comercial'!I10/'🧾 Tributos Aduana'!$F$6))/'🧾 Factura Comercial'!G10)</f>
        <v>2.144025106504667E-2</v>
      </c>
      <c r="AO6" s="280">
        <f>IF('🧾 Factura Comercial'!G10=0,0,'🏦 Crédito Fiscal'!$C$16*(IF('🧾 Tributos Aduana'!$F$6=0,0,'🧾 Factura Comercial'!I10/'🧾 Tributos Aduana'!$F$6))/'🧾 Factura Comercial'!G10)</f>
        <v>8.5407082743677532E-2</v>
      </c>
      <c r="AP6" s="278">
        <f>TABLA_BASE[[#This Row],[CF UNIT.
✅RECUP.
(US$)]]*'📋 Datos Generales'!$E$19</f>
        <v>0.31771434780648045</v>
      </c>
      <c r="AQ6" s="278">
        <f>TABLA_BASE[[#This Row],[CF UNIT.
✅RECUP.(S/.)]]*TABLA_BASE[[#This Row],[CANTIDAD
(unid.)]]</f>
        <v>3248.3114919734562</v>
      </c>
      <c r="AR6" s="288">
        <f>'💰 Precio de Venta'!G11</f>
        <v>0.4</v>
      </c>
      <c r="AS6" s="278">
        <f>'💰 Precio de Venta'!H11</f>
        <v>2.4046285379347263</v>
      </c>
      <c r="AT6" s="278">
        <f>TABLA_BASE[[#This Row],[VALOR VTA.
UNIT.(S/.)]]*TABLA_BASE[[#This Row],[CANTIDAD
(unid.)]]</f>
        <v>24584.922171844642</v>
      </c>
      <c r="AU6" s="281">
        <f>'💰 Precio de Venta'!I11</f>
        <v>2.8374616747629768</v>
      </c>
      <c r="AV6" s="278">
        <f>'💰 Precio de Venta'!J11</f>
        <v>0.96185141517389061</v>
      </c>
      <c r="AW6" s="278">
        <f>TABLA_BASE[[#This Row],[GANANCIA
UNIT.(S/.)]]*TABLA_BASE[[#This Row],[CANTIDAD
(unid.)]]</f>
        <v>9833.9688687378584</v>
      </c>
      <c r="AX6" s="289">
        <f>'💰 Precio de Venta'!K11</f>
        <v>1398</v>
      </c>
      <c r="AY6" s="278">
        <f>TABLA_BASE[[#This Row],[GANANCIA
UNIT.(S/.)]]*'🧾 Factura Comercial'!G10</f>
        <v>9833.9688687378584</v>
      </c>
      <c r="AZ6" s="277">
        <f>IF(TABLA_BASE[[#This Row],[PRECIO VTA.
c/IGV(S/.)]]=0,0,TABLA_BASE[[#This Row],[GANANCIA
UNIT.(S/.)]]/TABLA_BASE[[#This Row],[PRECIO VTA.
c/IGV(S/.)]])</f>
        <v>0.33898305084745767</v>
      </c>
      <c r="BA6" s="277">
        <f>IF(TABLA_BASE[[#This Row],[C/M UNIT.
(S/.)]]=0,0,TABLA_BASE[[#This Row],[GANANCIA
UNIT.(S/.)]]/TABLA_BASE[[#This Row],[C/M UNIT.
(S/.)]])</f>
        <v>0.66666666666666674</v>
      </c>
      <c r="BB6" s="274" t="str">
        <f>IF(TABLA_BASE[[#This Row],[MARGEN
%]]&gt;=0.5,"🟢 ALTO",IF(TABLA_BASE[[#This Row],[MARGEN
%]]&gt;=0.3,"🟡 MEDIO","🔴 BAJO"))</f>
        <v>🟡 MEDIO</v>
      </c>
    </row>
    <row r="7" spans="1:54" ht="16.5" hidden="1" thickTop="1" thickBot="1" x14ac:dyDescent="0.3">
      <c r="A7" s="274" t="str">
        <f>'🧾 Factura Comercial'!E11</f>
        <v>Cable Micro USB 2m Nylon</v>
      </c>
      <c r="B7" s="274" t="str">
        <f>'🧾 Factura Comercial'!F11</f>
        <v>Unid.</v>
      </c>
      <c r="C7" s="275">
        <f>'🧾 Factura Comercial'!G11</f>
        <v>8640</v>
      </c>
      <c r="D7" s="276">
        <f>'🧾 Factura Comercial'!H11</f>
        <v>0.26</v>
      </c>
      <c r="E7" s="276">
        <f>'🧾 Factura Comercial'!I11</f>
        <v>2246.4</v>
      </c>
      <c r="F7" s="277">
        <f>IF('🧾 Tributos Aduana'!$F$6=0,0,'🧾 Factura Comercial'!I11/'🧾 Tributos Aduana'!$F$6)</f>
        <v>5.147420057340206E-2</v>
      </c>
      <c r="G7" s="278">
        <f>'🧾 Factura Comercial'!H11*'📋 Datos Generales'!$E$19</f>
        <v>0.96720000000000006</v>
      </c>
      <c r="H7" s="278">
        <f>TABLA_BASE[[#This Row],[FOB UNIT.
(S/.)]]*TABLA_BASE[[#This Row],[CANTIDAD
(unid.)]]</f>
        <v>8356.6080000000002</v>
      </c>
      <c r="I7" s="280">
        <f>IF('🧾 Tributos Aduana'!$F$6=0,0,'🧾 Tributos Aduana'!$F$17*('🧾 Factura Comercial'!H11/'🧾 Tributos Aduana'!$F$6))</f>
        <v>1.6395486108565099E-2</v>
      </c>
      <c r="J7" s="280">
        <f>TABLA_BASE[[#This Row],[ADV UNIT.
(US$)
⚠️COSTO]]*TABLA_BASE[[#This Row],[CANTIDAD
(unid.)]]</f>
        <v>141.65699997800246</v>
      </c>
      <c r="K7" s="279">
        <f>IF('🧾 Tributos Aduana'!$F$6=0,0,'🧾 Tributos Aduana'!$F$18*('🧾 Factura Comercial'!H11/'🧾 Tributos Aduana'!$F$6))</f>
        <v>5.7908475645077314E-3</v>
      </c>
      <c r="L7" s="280">
        <f>TABLA_BASE[[#This Row],[IPM UNIT.
(US$)
✅CF]]*TABLA_BASE[[#This Row],[CANTIDAD
(unid.)]]</f>
        <v>50.032922957346798</v>
      </c>
      <c r="M7" s="279">
        <f>IF('🧾 Tributos Aduana'!$F$6=0,0,'🧾 Tributos Aduana'!$F$19*('🧾 Factura Comercial'!H11/'🧾 Tributos Aduana'!$F$6))</f>
        <v>4.634465350237206E-2</v>
      </c>
      <c r="N7" s="280">
        <f>TABLA_BASE[[#This Row],[IGV UNIT.
(US$)
✅CF]]*TABLA_BASE[[#This Row],[CANTIDAD
(unid.)]]</f>
        <v>400.41780626049461</v>
      </c>
      <c r="O7" s="280">
        <f>IF('🧾 Tributos Aduana'!$F$6=0,0,'🧾 Tributos Aduana'!$F$23*('🧾 Factura Comercial'!H11/'🧾 Tributos Aduana'!$F$6))</f>
        <v>1.1962389737422916E-2</v>
      </c>
      <c r="P7" s="280">
        <f>TABLA_BASE[[#This Row],[PERCEP.
UNIT.(US$)
✅CF]]*TABLA_BASE[[#This Row],[CANTIDAD
(unid.)]]</f>
        <v>103.35504733133399</v>
      </c>
      <c r="Q7" s="279">
        <f>TABLA_BASE[[#This Row],[ADV UNIT.
(US$)
⚠️COSTO]]+TABLA_BASE[[#This Row],[IPM UNIT.
(US$)
✅CF]]+TABLA_BASE[[#This Row],[IGV UNIT.
(US$)
✅CF]]</f>
        <v>6.8530987175444896E-2</v>
      </c>
      <c r="R7" s="280">
        <f>TABLA_BASE[[#This Row],[DEUDA
ADUANERA
UNIT.]]*TABLA_BASE[[#This Row],[CANTIDAD
(unid.)]]</f>
        <v>592.10772919584394</v>
      </c>
      <c r="S7" s="278">
        <f>TABLA_BASE[[#This Row],[DEUDA
ADUANERA
UNIT.]]*'📋 Datos Generales'!$E$19</f>
        <v>0.254935272292655</v>
      </c>
      <c r="T7" s="278">
        <f>TABLA_BASE[[#This Row],[DEUDA
ADUANERA
TOTAL]]*'📋 Datos Generales'!$E$19</f>
        <v>2202.6407526085395</v>
      </c>
      <c r="U7" s="281">
        <f>TABLA_BASE[[#This Row],[ADV UNIT.
(US$)
⚠️COSTO]]*'📋 Datos Generales'!$E$19</f>
        <v>6.0991208323862171E-2</v>
      </c>
      <c r="V7" s="281">
        <f>TABLA_BASE[[#This Row],[ADV UNIT.
(S/.)]]*TABLA_BASE[[#This Row],[CANTIDAD
(unid.)]]</f>
        <v>526.96403991816919</v>
      </c>
      <c r="W7" s="281">
        <f>TABLA_BASE[[#This Row],[IPM UNIT.
(US$)
✅CF]]*'📋 Datos Generales'!$E$19</f>
        <v>2.1541952939968762E-2</v>
      </c>
      <c r="X7" s="281">
        <f>TABLA_BASE[[#This Row],[IPM UNIT.
(S/.)]]*TABLA_BASE[[#This Row],[CANTIDAD
(unid.)]]</f>
        <v>186.1224734013301</v>
      </c>
      <c r="Y7" s="281">
        <f>TABLA_BASE[[#This Row],[IGV UNIT.
(US$)
✅CF]]*'📋 Datos Generales'!$E$19</f>
        <v>0.17240211102882408</v>
      </c>
      <c r="Z7" s="281">
        <f>TABLA_BASE[[#This Row],[IGV UNIT.
(S/.)]]*TABLA_BASE[[#This Row],[CANTIDAD
(unid.)]]</f>
        <v>1489.55423928904</v>
      </c>
      <c r="AA7" s="281">
        <f>TABLA_BASE[[#This Row],[PERCEP.
UNIT.(US$)
✅CF]]*'📋 Datos Generales'!$E$19</f>
        <v>4.4500089823213254E-2</v>
      </c>
      <c r="AB7" s="281">
        <f>TABLA_BASE[[#This Row],[PERCEP.
UNIT.(S/.)]]*TABLA_BASE[[#This Row],[CANTIDAD
(unid.)]]</f>
        <v>384.48077607256249</v>
      </c>
      <c r="AC7" s="279">
        <f>TABLA_BASE[[#This Row],[ADV UNIT.
(US$)
⚠️COSTO]]+TABLA_BASE[[#This Row],[IPM UNIT.
(US$)
✅CF]]+TABLA_BASE[[#This Row],[IGV UNIT.
(US$)
✅CF]]+TABLA_BASE[[#This Row],[PERCEP.
UNIT.(US$)
✅CF]]</f>
        <v>8.0493376912867814E-2</v>
      </c>
      <c r="AD7" s="279">
        <f>TABLA_BASE[[#This Row],[TOTAL PAGO
SUNAT
UNIT.(US$)]]*TABLA_BASE[[#This Row],[CANTIDAD
(unid.)]]</f>
        <v>695.46277652717788</v>
      </c>
      <c r="AE7" s="281">
        <f>TABLA_BASE[[#This Row],[TOTAL PAGO
SUNAT
UNIT.(US$)]]*'📋 Datos Generales'!$E$19</f>
        <v>0.2994353621158683</v>
      </c>
      <c r="AF7" s="281">
        <f>TABLA_BASE[[#This Row],[TOTAL TRIB.
UNIT.(S/.)]]*TABLA_BASE[[#This Row],[CANTIDAD
(unid.)]]</f>
        <v>2587.1215286811021</v>
      </c>
      <c r="AG7" s="279">
        <f>IF('🧾 Factura Comercial'!G11=0,0,'📦 Gastos Importación'!$E$28*(IF('🧾 Tributos Aduana'!$F$6=0,0,'🧾 Factura Comercial'!I11/'🧾 Tributos Aduana'!$F$6))/'🧾 Factura Comercial'!G11)</f>
        <v>0.29658606255361891</v>
      </c>
      <c r="AH7" s="279">
        <f>TABLA_BASE[[#This Row],[GASTOS IMP.
UNIT.(US$)]]*TABLA_BASE[[#This Row],[CANTIDAD
(unid.)]]</f>
        <v>2562.5035804632676</v>
      </c>
      <c r="AI7" s="281">
        <f>TABLA_BASE[[#This Row],[GASTOS IMP.
UNIT.(US$)]]*'📋 Datos Generales'!$E$19</f>
        <v>1.1033001526994624</v>
      </c>
      <c r="AJ7" s="281">
        <f>TABLA_BASE[[#This Row],[GASTOS IMP.
UNIT.(S/.)]]*TABLA_BASE[[#This Row],[CANTIDAD
(unid.)]]</f>
        <v>9532.5133193233542</v>
      </c>
      <c r="AK7" s="280">
        <f>'🧮 Costos x Producto'!J11</f>
        <v>0.29658606255361897</v>
      </c>
      <c r="AL7" s="278">
        <f>'🧮 Costos x Producto'!K11</f>
        <v>1.1033001526994626</v>
      </c>
      <c r="AM7" s="278">
        <f>TABLA_BASE[[#This Row],[C/M UNIT.
(S/.)]]*TABLA_BASE[[#This Row],[CANTIDAD
(unid.)]]</f>
        <v>9532.513319323356</v>
      </c>
      <c r="AN7" s="279">
        <f>IF('🧾 Factura Comercial'!G11=0,0,'🧾 Tributos Aduana'!$F$17*(IF('🧾 Tributos Aduana'!$F$6=0,0,'🧾 Factura Comercial'!I11/'🧾 Tributos Aduana'!$F$6))/'🧾 Factura Comercial'!G11)</f>
        <v>1.6395486108565099E-2</v>
      </c>
      <c r="AO7" s="280">
        <f>IF('🧾 Factura Comercial'!G11=0,0,'🏦 Crédito Fiscal'!$C$16*(IF('🧾 Tributos Aduana'!$F$6=0,0,'🧾 Factura Comercial'!I11/'🧾 Tributos Aduana'!$F$6))/'🧾 Factura Comercial'!G11)</f>
        <v>6.5311298568694595E-2</v>
      </c>
      <c r="AP7" s="278">
        <f>TABLA_BASE[[#This Row],[CF UNIT.
✅RECUP.
(US$)]]*'📋 Datos Generales'!$E$19</f>
        <v>0.24295803067554392</v>
      </c>
      <c r="AQ7" s="278">
        <f>TABLA_BASE[[#This Row],[CF UNIT.
✅RECUP.(S/.)]]*TABLA_BASE[[#This Row],[CANTIDAD
(unid.)]]</f>
        <v>2099.1573850366995</v>
      </c>
      <c r="AR7" s="288">
        <f>'💰 Precio de Venta'!G12</f>
        <v>0.4</v>
      </c>
      <c r="AS7" s="278">
        <f>'💰 Precio de Venta'!H12</f>
        <v>1.8388335878324378</v>
      </c>
      <c r="AT7" s="278">
        <f>TABLA_BASE[[#This Row],[VALOR VTA.
UNIT.(S/.)]]*TABLA_BASE[[#This Row],[CANTIDAD
(unid.)]]</f>
        <v>15887.522198872262</v>
      </c>
      <c r="AU7" s="281">
        <f>'💰 Precio de Venta'!I12</f>
        <v>2.1698236336422765</v>
      </c>
      <c r="AV7" s="278">
        <f>'💰 Precio de Venta'!J12</f>
        <v>0.7355334351329752</v>
      </c>
      <c r="AW7" s="278">
        <f>TABLA_BASE[[#This Row],[GANANCIA
UNIT.(S/.)]]*TABLA_BASE[[#This Row],[CANTIDAD
(unid.)]]</f>
        <v>6355.0088795489055</v>
      </c>
      <c r="AX7" s="289">
        <f>'💰 Precio de Venta'!K12</f>
        <v>1181</v>
      </c>
      <c r="AY7" s="278">
        <f>TABLA_BASE[[#This Row],[GANANCIA
UNIT.(S/.)]]*'🧾 Factura Comercial'!G11</f>
        <v>6355.0088795489055</v>
      </c>
      <c r="AZ7" s="277">
        <f>IF(TABLA_BASE[[#This Row],[PRECIO VTA.
c/IGV(S/.)]]=0,0,TABLA_BASE[[#This Row],[GANANCIA
UNIT.(S/.)]]/TABLA_BASE[[#This Row],[PRECIO VTA.
c/IGV(S/.)]])</f>
        <v>0.33898305084745767</v>
      </c>
      <c r="BA7" s="277">
        <f>IF(TABLA_BASE[[#This Row],[C/M UNIT.
(S/.)]]=0,0,TABLA_BASE[[#This Row],[GANANCIA
UNIT.(S/.)]]/TABLA_BASE[[#This Row],[C/M UNIT.
(S/.)]])</f>
        <v>0.66666666666666685</v>
      </c>
      <c r="BB7" s="274" t="str">
        <f>IF(TABLA_BASE[[#This Row],[MARGEN
%]]&gt;=0.5,"🟢 ALTO",IF(TABLA_BASE[[#This Row],[MARGEN
%]]&gt;=0.3,"🟡 MEDIO","🔴 BAJO"))</f>
        <v>🟡 MEDIO</v>
      </c>
    </row>
    <row r="8" spans="1:54" ht="16.5" hidden="1" thickTop="1" thickBot="1" x14ac:dyDescent="0.3">
      <c r="A8" s="274" t="str">
        <f>'🧾 Factura Comercial'!E12</f>
        <v>Soporte Anillo Pop Socket Metálico</v>
      </c>
      <c r="B8" s="274" t="str">
        <f>'🧾 Factura Comercial'!F12</f>
        <v>Unid.</v>
      </c>
      <c r="C8" s="275">
        <f>'🧾 Factura Comercial'!G12</f>
        <v>2160</v>
      </c>
      <c r="D8" s="276">
        <f>'🧾 Factura Comercial'!H12</f>
        <v>0.28999999999999998</v>
      </c>
      <c r="E8" s="276">
        <f>'🧾 Factura Comercial'!I12</f>
        <v>626.4</v>
      </c>
      <c r="F8" s="277">
        <f>IF('🧾 Tributos Aduana'!$F$6=0,0,'🧾 Factura Comercial'!I12/'🧾 Tributos Aduana'!$F$6)</f>
        <v>1.435338285219865E-2</v>
      </c>
      <c r="G8" s="278">
        <f>'🧾 Factura Comercial'!H12*'📋 Datos Generales'!$E$19</f>
        <v>1.0788</v>
      </c>
      <c r="H8" s="278">
        <f>TABLA_BASE[[#This Row],[FOB UNIT.
(S/.)]]*TABLA_BASE[[#This Row],[CANTIDAD
(unid.)]]</f>
        <v>2330.2080000000001</v>
      </c>
      <c r="I8" s="280">
        <f>IF('🧾 Tributos Aduana'!$F$6=0,0,'🧾 Tributos Aduana'!$F$17*('🧾 Factura Comercial'!H12/'🧾 Tributos Aduana'!$F$6))</f>
        <v>1.8287272967245687E-2</v>
      </c>
      <c r="J8" s="280">
        <f>TABLA_BASE[[#This Row],[ADV UNIT.
(US$)
⚠️COSTO]]*TABLA_BASE[[#This Row],[CANTIDAD
(unid.)]]</f>
        <v>39.500509609250685</v>
      </c>
      <c r="K8" s="279">
        <f>IF('🧾 Tributos Aduana'!$F$6=0,0,'🧾 Tributos Aduana'!$F$18*('🧾 Factura Comercial'!H12/'🧾 Tributos Aduana'!$F$6))</f>
        <v>6.4590222834893917E-3</v>
      </c>
      <c r="L8" s="280">
        <f>TABLA_BASE[[#This Row],[IPM UNIT.
(US$)
✅CF]]*TABLA_BASE[[#This Row],[CANTIDAD
(unid.)]]</f>
        <v>13.951488132337087</v>
      </c>
      <c r="M8" s="279">
        <f>IF('🧾 Tributos Aduana'!$F$6=0,0,'🧾 Tributos Aduana'!$F$19*('🧾 Factura Comercial'!H12/'🧾 Tributos Aduana'!$F$6))</f>
        <v>5.1692113521876526E-2</v>
      </c>
      <c r="N8" s="280">
        <f>TABLA_BASE[[#This Row],[IGV UNIT.
(US$)
✅CF]]*TABLA_BASE[[#This Row],[CANTIDAD
(unid.)]]</f>
        <v>111.6549652072533</v>
      </c>
      <c r="O8" s="280">
        <f>IF('🧾 Tributos Aduana'!$F$6=0,0,'🧾 Tributos Aduana'!$F$23*('🧾 Factura Comercial'!H12/'🧾 Tributos Aduana'!$F$6))</f>
        <v>1.3342665476356328E-2</v>
      </c>
      <c r="P8" s="280">
        <f>TABLA_BASE[[#This Row],[PERCEP.
UNIT.(US$)
✅CF]]*TABLA_BASE[[#This Row],[CANTIDAD
(unid.)]]</f>
        <v>28.820157428929669</v>
      </c>
      <c r="Q8" s="279">
        <f>TABLA_BASE[[#This Row],[ADV UNIT.
(US$)
⚠️COSTO]]+TABLA_BASE[[#This Row],[IPM UNIT.
(US$)
✅CF]]+TABLA_BASE[[#This Row],[IGV UNIT.
(US$)
✅CF]]</f>
        <v>7.6438408772611599E-2</v>
      </c>
      <c r="R8" s="280">
        <f>TABLA_BASE[[#This Row],[DEUDA
ADUANERA
UNIT.]]*TABLA_BASE[[#This Row],[CANTIDAD
(unid.)]]</f>
        <v>165.10696294884104</v>
      </c>
      <c r="S8" s="278">
        <f>TABLA_BASE[[#This Row],[DEUDA
ADUANERA
UNIT.]]*'📋 Datos Generales'!$E$19</f>
        <v>0.28435088063411518</v>
      </c>
      <c r="T8" s="278">
        <f>TABLA_BASE[[#This Row],[DEUDA
ADUANERA
TOTAL]]*'📋 Datos Generales'!$E$19</f>
        <v>614.19790216968875</v>
      </c>
      <c r="U8" s="281">
        <f>TABLA_BASE[[#This Row],[ADV UNIT.
(US$)
⚠️COSTO]]*'📋 Datos Generales'!$E$19</f>
        <v>6.8028655438153951E-2</v>
      </c>
      <c r="V8" s="281">
        <f>TABLA_BASE[[#This Row],[ADV UNIT.
(S/.)]]*TABLA_BASE[[#This Row],[CANTIDAD
(unid.)]]</f>
        <v>146.94189574641254</v>
      </c>
      <c r="W8" s="281">
        <f>TABLA_BASE[[#This Row],[IPM UNIT.
(US$)
✅CF]]*'📋 Datos Generales'!$E$19</f>
        <v>2.4027562894580537E-2</v>
      </c>
      <c r="X8" s="281">
        <f>TABLA_BASE[[#This Row],[IPM UNIT.
(S/.)]]*TABLA_BASE[[#This Row],[CANTIDAD
(unid.)]]</f>
        <v>51.899535852293958</v>
      </c>
      <c r="Y8" s="281">
        <f>TABLA_BASE[[#This Row],[IGV UNIT.
(US$)
✅CF]]*'📋 Datos Generales'!$E$19</f>
        <v>0.19229466230138068</v>
      </c>
      <c r="Z8" s="281">
        <f>TABLA_BASE[[#This Row],[IGV UNIT.
(S/.)]]*TABLA_BASE[[#This Row],[CANTIDAD
(unid.)]]</f>
        <v>415.35647057098225</v>
      </c>
      <c r="AA8" s="281">
        <f>TABLA_BASE[[#This Row],[PERCEP.
UNIT.(US$)
✅CF]]*'📋 Datos Generales'!$E$19</f>
        <v>4.9634715572045539E-2</v>
      </c>
      <c r="AB8" s="281">
        <f>TABLA_BASE[[#This Row],[PERCEP.
UNIT.(S/.)]]*TABLA_BASE[[#This Row],[CANTIDAD
(unid.)]]</f>
        <v>107.21098563561836</v>
      </c>
      <c r="AC8" s="279">
        <f>TABLA_BASE[[#This Row],[ADV UNIT.
(US$)
⚠️COSTO]]+TABLA_BASE[[#This Row],[IPM UNIT.
(US$)
✅CF]]+TABLA_BASE[[#This Row],[IGV UNIT.
(US$)
✅CF]]+TABLA_BASE[[#This Row],[PERCEP.
UNIT.(US$)
✅CF]]</f>
        <v>8.9781074248967932E-2</v>
      </c>
      <c r="AD8" s="279">
        <f>TABLA_BASE[[#This Row],[TOTAL PAGO
SUNAT
UNIT.(US$)]]*TABLA_BASE[[#This Row],[CANTIDAD
(unid.)]]</f>
        <v>193.92712037777073</v>
      </c>
      <c r="AE8" s="281">
        <f>TABLA_BASE[[#This Row],[TOTAL PAGO
SUNAT
UNIT.(US$)]]*'📋 Datos Generales'!$E$19</f>
        <v>0.33398559620616075</v>
      </c>
      <c r="AF8" s="281">
        <f>TABLA_BASE[[#This Row],[TOTAL TRIB.
UNIT.(S/.)]]*TABLA_BASE[[#This Row],[CANTIDAD
(unid.)]]</f>
        <v>721.40888780530724</v>
      </c>
      <c r="AG8" s="279">
        <f>IF('🧾 Factura Comercial'!G12=0,0,'📦 Gastos Importación'!$E$28*(IF('🧾 Tributos Aduana'!$F$6=0,0,'🧾 Factura Comercial'!I12/'🧾 Tributos Aduana'!$F$6))/'🧾 Factura Comercial'!G12)</f>
        <v>0.33080753130980572</v>
      </c>
      <c r="AH8" s="279">
        <f>TABLA_BASE[[#This Row],[GASTOS IMP.
UNIT.(US$)]]*TABLA_BASE[[#This Row],[CANTIDAD
(unid.)]]</f>
        <v>714.54426762918035</v>
      </c>
      <c r="AI8" s="281">
        <f>TABLA_BASE[[#This Row],[GASTOS IMP.
UNIT.(US$)]]*'📋 Datos Generales'!$E$19</f>
        <v>1.2306040164724774</v>
      </c>
      <c r="AJ8" s="281">
        <f>TABLA_BASE[[#This Row],[GASTOS IMP.
UNIT.(S/.)]]*TABLA_BASE[[#This Row],[CANTIDAD
(unid.)]]</f>
        <v>2658.1046755805514</v>
      </c>
      <c r="AK8" s="280">
        <f>'🧮 Costos x Producto'!J12</f>
        <v>0.33080753130980572</v>
      </c>
      <c r="AL8" s="278">
        <f>'🧮 Costos x Producto'!K12</f>
        <v>1.2306040164724774</v>
      </c>
      <c r="AM8" s="278">
        <f>TABLA_BASE[[#This Row],[C/M UNIT.
(S/.)]]*TABLA_BASE[[#This Row],[CANTIDAD
(unid.)]]</f>
        <v>2658.1046755805514</v>
      </c>
      <c r="AN8" s="279">
        <f>IF('🧾 Factura Comercial'!G12=0,0,'🧾 Tributos Aduana'!$F$17*(IF('🧾 Tributos Aduana'!$F$6=0,0,'🧾 Factura Comercial'!I12/'🧾 Tributos Aduana'!$F$6))/'🧾 Factura Comercial'!G12)</f>
        <v>1.8287272967245687E-2</v>
      </c>
      <c r="AO8" s="280">
        <f>IF('🧾 Factura Comercial'!G12=0,0,'🏦 Crédito Fiscal'!$C$16*(IF('🧾 Tributos Aduana'!$F$6=0,0,'🧾 Factura Comercial'!I12/'🧾 Tributos Aduana'!$F$6))/'🧾 Factura Comercial'!G12)</f>
        <v>7.2847217634313191E-2</v>
      </c>
      <c r="AP8" s="278">
        <f>TABLA_BASE[[#This Row],[CF UNIT.
✅RECUP.
(US$)]]*'📋 Datos Generales'!$E$19</f>
        <v>0.27099164959964511</v>
      </c>
      <c r="AQ8" s="278">
        <f>TABLA_BASE[[#This Row],[CF UNIT.
✅RECUP.(S/.)]]*TABLA_BASE[[#This Row],[CANTIDAD
(unid.)]]</f>
        <v>585.34196313523341</v>
      </c>
      <c r="AR8" s="288">
        <f>'💰 Precio de Venta'!G13</f>
        <v>0.4</v>
      </c>
      <c r="AS8" s="278">
        <f>'💰 Precio de Venta'!H13</f>
        <v>2.0510066941207956</v>
      </c>
      <c r="AT8" s="278">
        <f>TABLA_BASE[[#This Row],[VALOR VTA.
UNIT.(S/.)]]*TABLA_BASE[[#This Row],[CANTIDAD
(unid.)]]</f>
        <v>4430.1744593009189</v>
      </c>
      <c r="AU8" s="281">
        <f>'💰 Precio de Venta'!I13</f>
        <v>2.4201878990625385</v>
      </c>
      <c r="AV8" s="278">
        <f>'💰 Precio de Venta'!J13</f>
        <v>0.8204026776483182</v>
      </c>
      <c r="AW8" s="278">
        <f>TABLA_BASE[[#This Row],[GANANCIA
UNIT.(S/.)]]*TABLA_BASE[[#This Row],[CANTIDAD
(unid.)]]</f>
        <v>1772.0697837203672</v>
      </c>
      <c r="AX8" s="289">
        <f>'💰 Precio de Venta'!K13</f>
        <v>296</v>
      </c>
      <c r="AY8" s="278">
        <f>TABLA_BASE[[#This Row],[GANANCIA
UNIT.(S/.)]]*'🧾 Factura Comercial'!G12</f>
        <v>1772.0697837203672</v>
      </c>
      <c r="AZ8" s="277">
        <f>IF(TABLA_BASE[[#This Row],[PRECIO VTA.
c/IGV(S/.)]]=0,0,TABLA_BASE[[#This Row],[GANANCIA
UNIT.(S/.)]]/TABLA_BASE[[#This Row],[PRECIO VTA.
c/IGV(S/.)]])</f>
        <v>0.33898305084745767</v>
      </c>
      <c r="BA8" s="277">
        <f>IF(TABLA_BASE[[#This Row],[C/M UNIT.
(S/.)]]=0,0,TABLA_BASE[[#This Row],[GANANCIA
UNIT.(S/.)]]/TABLA_BASE[[#This Row],[C/M UNIT.
(S/.)]])</f>
        <v>0.66666666666666663</v>
      </c>
      <c r="BB8" s="274" t="str">
        <f>IF(TABLA_BASE[[#This Row],[MARGEN
%]]&gt;=0.5,"🟢 ALTO",IF(TABLA_BASE[[#This Row],[MARGEN
%]]&gt;=0.3,"🟡 MEDIO","🔴 BAJO"))</f>
        <v>🟡 MEDIO</v>
      </c>
    </row>
    <row r="9" spans="1:54" ht="16.5" hidden="1" thickTop="1" thickBot="1" x14ac:dyDescent="0.3">
      <c r="A9" s="274" t="str">
        <f>'🧾 Factura Comercial'!E13</f>
        <v>Cargador Inalámbrico 15W Qi</v>
      </c>
      <c r="B9" s="274" t="str">
        <f>'🧾 Factura Comercial'!F13</f>
        <v>Unid.</v>
      </c>
      <c r="C9" s="275">
        <f>'🧾 Factura Comercial'!G13</f>
        <v>240</v>
      </c>
      <c r="D9" s="276">
        <f>'🧾 Factura Comercial'!H13</f>
        <v>5.71</v>
      </c>
      <c r="E9" s="276">
        <f>'🧾 Factura Comercial'!I13</f>
        <v>1370.4</v>
      </c>
      <c r="F9" s="277">
        <f>IF('🧾 Tributos Aduana'!$F$6=0,0,'🧾 Factura Comercial'!I13/'🧾 Tributos Aduana'!$F$6)</f>
        <v>3.1401462101936513E-2</v>
      </c>
      <c r="G9" s="278">
        <f>'🧾 Factura Comercial'!H13*'📋 Datos Generales'!$E$19</f>
        <v>21.241200000000003</v>
      </c>
      <c r="H9" s="278">
        <f>TABLA_BASE[[#This Row],[FOB UNIT.
(S/.)]]*TABLA_BASE[[#This Row],[CANTIDAD
(unid.)]]</f>
        <v>5097.8880000000008</v>
      </c>
      <c r="I9" s="280">
        <f>IF('🧾 Tributos Aduana'!$F$6=0,0,'🧾 Tributos Aduana'!$F$17*('🧾 Factura Comercial'!H13/'🧾 Tributos Aduana'!$F$6))</f>
        <v>0.36007009876887197</v>
      </c>
      <c r="J9" s="280">
        <f>TABLA_BASE[[#This Row],[ADV UNIT.
(US$)
⚠️COSTO]]*TABLA_BASE[[#This Row],[CANTIDAD
(unid.)]]</f>
        <v>86.416823704529278</v>
      </c>
      <c r="K9" s="279">
        <f>IF('🧾 Tributos Aduana'!$F$6=0,0,'🧾 Tributos Aduana'!$F$18*('🧾 Factura Comercial'!H13/'🧾 Tributos Aduana'!$F$6))</f>
        <v>0.12717592151284285</v>
      </c>
      <c r="L9" s="280">
        <f>TABLA_BASE[[#This Row],[IPM UNIT.
(US$)
✅CF]]*TABLA_BASE[[#This Row],[CANTIDAD
(unid.)]]</f>
        <v>30.522221163082285</v>
      </c>
      <c r="M9" s="279">
        <f>IF('🧾 Tributos Aduana'!$F$6=0,0,'🧾 Tributos Aduana'!$F$19*('🧾 Factura Comercial'!H13/'🧾 Tributos Aduana'!$F$6))</f>
        <v>1.0177998903790171</v>
      </c>
      <c r="N9" s="280">
        <f>TABLA_BASE[[#This Row],[IGV UNIT.
(US$)
✅CF]]*TABLA_BASE[[#This Row],[CANTIDAD
(unid.)]]</f>
        <v>244.2719736909641</v>
      </c>
      <c r="O9" s="280">
        <f>IF('🧾 Tributos Aduana'!$F$6=0,0,'🧾 Tributos Aduana'!$F$23*('🧾 Factura Comercial'!H13/'🧾 Tributos Aduana'!$F$6))</f>
        <v>0.26271248231032635</v>
      </c>
      <c r="P9" s="280">
        <f>TABLA_BASE[[#This Row],[PERCEP.
UNIT.(US$)
✅CF]]*TABLA_BASE[[#This Row],[CANTIDAD
(unid.)]]</f>
        <v>63.050995754478322</v>
      </c>
      <c r="Q9" s="279">
        <f>TABLA_BASE[[#This Row],[ADV UNIT.
(US$)
⚠️COSTO]]+TABLA_BASE[[#This Row],[IPM UNIT.
(US$)
✅CF]]+TABLA_BASE[[#This Row],[IGV UNIT.
(US$)
✅CF]]</f>
        <v>1.5050459106607319</v>
      </c>
      <c r="R9" s="280">
        <f>TABLA_BASE[[#This Row],[DEUDA
ADUANERA
UNIT.]]*TABLA_BASE[[#This Row],[CANTIDAD
(unid.)]]</f>
        <v>361.21101855857563</v>
      </c>
      <c r="S9" s="278">
        <f>TABLA_BASE[[#This Row],[DEUDA
ADUANERA
UNIT.]]*'📋 Datos Generales'!$E$19</f>
        <v>5.5987707876579229</v>
      </c>
      <c r="T9" s="278">
        <f>TABLA_BASE[[#This Row],[DEUDA
ADUANERA
TOTAL]]*'📋 Datos Generales'!$E$19</f>
        <v>1343.7049890379014</v>
      </c>
      <c r="U9" s="281">
        <f>TABLA_BASE[[#This Row],[ADV UNIT.
(US$)
⚠️COSTO]]*'📋 Datos Generales'!$E$19</f>
        <v>1.3394607674202037</v>
      </c>
      <c r="V9" s="281">
        <f>TABLA_BASE[[#This Row],[ADV UNIT.
(S/.)]]*TABLA_BASE[[#This Row],[CANTIDAD
(unid.)]]</f>
        <v>321.4705841808489</v>
      </c>
      <c r="W9" s="281">
        <f>TABLA_BASE[[#This Row],[IPM UNIT.
(US$)
✅CF]]*'📋 Datos Generales'!$E$19</f>
        <v>0.4730944280277754</v>
      </c>
      <c r="X9" s="281">
        <f>TABLA_BASE[[#This Row],[IPM UNIT.
(S/.)]]*TABLA_BASE[[#This Row],[CANTIDAD
(unid.)]]</f>
        <v>113.54266272666609</v>
      </c>
      <c r="Y9" s="281">
        <f>TABLA_BASE[[#This Row],[IGV UNIT.
(US$)
✅CF]]*'📋 Datos Generales'!$E$19</f>
        <v>3.7862155922099436</v>
      </c>
      <c r="Z9" s="281">
        <f>TABLA_BASE[[#This Row],[IGV UNIT.
(S/.)]]*TABLA_BASE[[#This Row],[CANTIDAD
(unid.)]]</f>
        <v>908.6917421303865</v>
      </c>
      <c r="AA9" s="281">
        <f>TABLA_BASE[[#This Row],[PERCEP.
UNIT.(US$)
✅CF]]*'📋 Datos Generales'!$E$19</f>
        <v>0.97729043419441408</v>
      </c>
      <c r="AB9" s="281">
        <f>TABLA_BASE[[#This Row],[PERCEP.
UNIT.(S/.)]]*TABLA_BASE[[#This Row],[CANTIDAD
(unid.)]]</f>
        <v>234.54970420665938</v>
      </c>
      <c r="AC9" s="279">
        <f>TABLA_BASE[[#This Row],[ADV UNIT.
(US$)
⚠️COSTO]]+TABLA_BASE[[#This Row],[IPM UNIT.
(US$)
✅CF]]+TABLA_BASE[[#This Row],[IGV UNIT.
(US$)
✅CF]]+TABLA_BASE[[#This Row],[PERCEP.
UNIT.(US$)
✅CF]]</f>
        <v>1.7677583929710583</v>
      </c>
      <c r="AD9" s="279">
        <f>TABLA_BASE[[#This Row],[TOTAL PAGO
SUNAT
UNIT.(US$)]]*TABLA_BASE[[#This Row],[CANTIDAD
(unid.)]]</f>
        <v>424.26201431305401</v>
      </c>
      <c r="AE9" s="281">
        <f>TABLA_BASE[[#This Row],[TOTAL PAGO
SUNAT
UNIT.(US$)]]*'📋 Datos Generales'!$E$19</f>
        <v>6.5760612218523375</v>
      </c>
      <c r="AF9" s="281">
        <f>TABLA_BASE[[#This Row],[TOTAL TRIB.
UNIT.(S/.)]]*TABLA_BASE[[#This Row],[CANTIDAD
(unid.)]]</f>
        <v>1578.2546932445609</v>
      </c>
      <c r="AG9" s="279">
        <f>IF('🧾 Factura Comercial'!G13=0,0,'📦 Gastos Importación'!$E$28*(IF('🧾 Tributos Aduana'!$F$6=0,0,'🧾 Factura Comercial'!I13/'🧾 Tributos Aduana'!$F$6))/'🧾 Factura Comercial'!G13)</f>
        <v>6.5134862199275547</v>
      </c>
      <c r="AH9" s="279">
        <f>TABLA_BASE[[#This Row],[GASTOS IMP.
UNIT.(US$)]]*TABLA_BASE[[#This Row],[CANTIDAD
(unid.)]]</f>
        <v>1563.2366927826131</v>
      </c>
      <c r="AI9" s="281">
        <f>TABLA_BASE[[#This Row],[GASTOS IMP.
UNIT.(US$)]]*'📋 Datos Generales'!$E$19</f>
        <v>24.230168738130505</v>
      </c>
      <c r="AJ9" s="281">
        <f>TABLA_BASE[[#This Row],[GASTOS IMP.
UNIT.(S/.)]]*TABLA_BASE[[#This Row],[CANTIDAD
(unid.)]]</f>
        <v>5815.2404971513215</v>
      </c>
      <c r="AK9" s="280">
        <f>'🧮 Costos x Producto'!J13</f>
        <v>6.5134862199275547</v>
      </c>
      <c r="AL9" s="278">
        <f>'🧮 Costos x Producto'!K13</f>
        <v>24.230168738130505</v>
      </c>
      <c r="AM9" s="278">
        <f>TABLA_BASE[[#This Row],[C/M UNIT.
(S/.)]]*TABLA_BASE[[#This Row],[CANTIDAD
(unid.)]]</f>
        <v>5815.2404971513215</v>
      </c>
      <c r="AN9" s="279">
        <f>IF('🧾 Factura Comercial'!G13=0,0,'🧾 Tributos Aduana'!$F$17*(IF('🧾 Tributos Aduana'!$F$6=0,0,'🧾 Factura Comercial'!I13/'🧾 Tributos Aduana'!$F$6))/'🧾 Factura Comercial'!G13)</f>
        <v>0.36007009876887197</v>
      </c>
      <c r="AO9" s="280">
        <f>IF('🧾 Factura Comercial'!G13=0,0,'🏦 Crédito Fiscal'!$C$16*(IF('🧾 Tributos Aduana'!$F$6=0,0,'🧾 Factura Comercial'!I13/'🧾 Tributos Aduana'!$F$6))/'🧾 Factura Comercial'!G13)</f>
        <v>1.4343365954894081</v>
      </c>
      <c r="AP9" s="278">
        <f>TABLA_BASE[[#This Row],[CF UNIT.
✅RECUP.
(US$)]]*'📋 Datos Generales'!$E$19</f>
        <v>5.3357321352205984</v>
      </c>
      <c r="AQ9" s="278">
        <f>TABLA_BASE[[#This Row],[CF UNIT.
✅RECUP.(S/.)]]*TABLA_BASE[[#This Row],[CANTIDAD
(unid.)]]</f>
        <v>1280.5757124529437</v>
      </c>
      <c r="AR9" s="288">
        <f>'💰 Precio de Venta'!G14</f>
        <v>0.4</v>
      </c>
      <c r="AS9" s="278">
        <f>'💰 Precio de Venta'!H14</f>
        <v>40.383614563550843</v>
      </c>
      <c r="AT9" s="278">
        <f>TABLA_BASE[[#This Row],[VALOR VTA.
UNIT.(S/.)]]*TABLA_BASE[[#This Row],[CANTIDAD
(unid.)]]</f>
        <v>9692.0674952522022</v>
      </c>
      <c r="AU9" s="281">
        <f>'💰 Precio de Venta'!I14</f>
        <v>47.652665184989992</v>
      </c>
      <c r="AV9" s="278">
        <f>'💰 Precio de Venta'!J14</f>
        <v>16.153445825420338</v>
      </c>
      <c r="AW9" s="278">
        <f>TABLA_BASE[[#This Row],[GANANCIA
UNIT.(S/.)]]*TABLA_BASE[[#This Row],[CANTIDAD
(unid.)]]</f>
        <v>3876.8269981008812</v>
      </c>
      <c r="AX9" s="289">
        <f>'💰 Precio de Venta'!K14</f>
        <v>33</v>
      </c>
      <c r="AY9" s="278">
        <f>TABLA_BASE[[#This Row],[GANANCIA
UNIT.(S/.)]]*'🧾 Factura Comercial'!G13</f>
        <v>3876.8269981008812</v>
      </c>
      <c r="AZ9" s="277">
        <f>IF(TABLA_BASE[[#This Row],[PRECIO VTA.
c/IGV(S/.)]]=0,0,TABLA_BASE[[#This Row],[GANANCIA
UNIT.(S/.)]]/TABLA_BASE[[#This Row],[PRECIO VTA.
c/IGV(S/.)]])</f>
        <v>0.33898305084745767</v>
      </c>
      <c r="BA9" s="277">
        <f>IF(TABLA_BASE[[#This Row],[C/M UNIT.
(S/.)]]=0,0,TABLA_BASE[[#This Row],[GANANCIA
UNIT.(S/.)]]/TABLA_BASE[[#This Row],[C/M UNIT.
(S/.)]])</f>
        <v>0.66666666666666674</v>
      </c>
      <c r="BB9" s="274" t="str">
        <f>IF(TABLA_BASE[[#This Row],[MARGEN
%]]&gt;=0.5,"🟢 ALTO",IF(TABLA_BASE[[#This Row],[MARGEN
%]]&gt;=0.3,"🟡 MEDIO","🔴 BAJO"))</f>
        <v>🟡 MEDIO</v>
      </c>
    </row>
    <row r="10" spans="1:54" ht="16.5" hidden="1" thickTop="1" thickBot="1" x14ac:dyDescent="0.3">
      <c r="A10" s="274" t="str">
        <f>'🧾 Factura Comercial'!E14</f>
        <v>Case Wallet Cuero PU Samsung S24</v>
      </c>
      <c r="B10" s="274" t="str">
        <f>'🧾 Factura Comercial'!F14</f>
        <v>Unid.</v>
      </c>
      <c r="C10" s="275">
        <f>'🧾 Factura Comercial'!G14</f>
        <v>1920</v>
      </c>
      <c r="D10" s="276">
        <f>'🧾 Factura Comercial'!H14</f>
        <v>0.76</v>
      </c>
      <c r="E10" s="276">
        <f>'🧾 Factura Comercial'!I14</f>
        <v>1459.2</v>
      </c>
      <c r="F10" s="277">
        <f>IF('🧾 Tributos Aduana'!$F$6=0,0,'🧾 Factura Comercial'!I14/'🧾 Tributos Aduana'!$F$6)</f>
        <v>3.3436232851098771E-2</v>
      </c>
      <c r="G10" s="278">
        <f>'🧾 Factura Comercial'!H14*'📋 Datos Generales'!$E$19</f>
        <v>2.8272000000000004</v>
      </c>
      <c r="H10" s="278">
        <f>TABLA_BASE[[#This Row],[FOB UNIT.
(S/.)]]*TABLA_BASE[[#This Row],[CANTIDAD
(unid.)]]</f>
        <v>5428.2240000000011</v>
      </c>
      <c r="I10" s="280">
        <f>IF('🧾 Tributos Aduana'!$F$6=0,0,'🧾 Tributos Aduana'!$F$17*('🧾 Factura Comercial'!H14/'🧾 Tributos Aduana'!$F$6))</f>
        <v>4.7925267086574901E-2</v>
      </c>
      <c r="J10" s="280">
        <f>TABLA_BASE[[#This Row],[ADV UNIT.
(US$)
⚠️COSTO]]*TABLA_BASE[[#This Row],[CANTIDAD
(unid.)]]</f>
        <v>92.016512806223815</v>
      </c>
      <c r="K10" s="279">
        <f>IF('🧾 Tributos Aduana'!$F$6=0,0,'🧾 Tributos Aduana'!$F$18*('🧾 Factura Comercial'!H14/'🧾 Tributos Aduana'!$F$6))</f>
        <v>1.6927092880868751E-2</v>
      </c>
      <c r="L10" s="280">
        <f>TABLA_BASE[[#This Row],[IPM UNIT.
(US$)
✅CF]]*TABLA_BASE[[#This Row],[CANTIDAD
(unid.)]]</f>
        <v>32.500018331268002</v>
      </c>
      <c r="M10" s="279">
        <f>IF('🧾 Tributos Aduana'!$F$6=0,0,'🧾 Tributos Aduana'!$F$19*('🧾 Factura Comercial'!H14/'🧾 Tributos Aduana'!$F$6))</f>
        <v>0.13546898716077985</v>
      </c>
      <c r="N10" s="280">
        <f>TABLA_BASE[[#This Row],[IGV UNIT.
(US$)
✅CF]]*TABLA_BASE[[#This Row],[CANTIDAD
(unid.)]]</f>
        <v>260.10045534869732</v>
      </c>
      <c r="O10" s="280">
        <f>IF('🧾 Tributos Aduana'!$F$6=0,0,'🧾 Tributos Aduana'!$F$23*('🧾 Factura Comercial'!H14/'🧾 Tributos Aduana'!$F$6))</f>
        <v>3.4966985386313133E-2</v>
      </c>
      <c r="P10" s="280">
        <f>TABLA_BASE[[#This Row],[PERCEP.
UNIT.(US$)
✅CF]]*TABLA_BASE[[#This Row],[CANTIDAD
(unid.)]]</f>
        <v>67.136611941721213</v>
      </c>
      <c r="Q10" s="279">
        <f>TABLA_BASE[[#This Row],[ADV UNIT.
(US$)
⚠️COSTO]]+TABLA_BASE[[#This Row],[IPM UNIT.
(US$)
✅CF]]+TABLA_BASE[[#This Row],[IGV UNIT.
(US$)
✅CF]]</f>
        <v>0.2003213471282235</v>
      </c>
      <c r="R10" s="280">
        <f>TABLA_BASE[[#This Row],[DEUDA
ADUANERA
UNIT.]]*TABLA_BASE[[#This Row],[CANTIDAD
(unid.)]]</f>
        <v>384.61698648618909</v>
      </c>
      <c r="S10" s="278">
        <f>TABLA_BASE[[#This Row],[DEUDA
ADUANERA
UNIT.]]*'📋 Datos Generales'!$E$19</f>
        <v>0.74519541131699141</v>
      </c>
      <c r="T10" s="278">
        <f>TABLA_BASE[[#This Row],[DEUDA
ADUANERA
TOTAL]]*'📋 Datos Generales'!$E$19</f>
        <v>1430.7751897286234</v>
      </c>
      <c r="U10" s="281">
        <f>TABLA_BASE[[#This Row],[ADV UNIT.
(US$)
⚠️COSTO]]*'📋 Datos Generales'!$E$19</f>
        <v>0.17828199356205865</v>
      </c>
      <c r="V10" s="281">
        <f>TABLA_BASE[[#This Row],[ADV UNIT.
(S/.)]]*TABLA_BASE[[#This Row],[CANTIDAD
(unid.)]]</f>
        <v>342.30142763915262</v>
      </c>
      <c r="W10" s="281">
        <f>TABLA_BASE[[#This Row],[IPM UNIT.
(US$)
✅CF]]*'📋 Datos Generales'!$E$19</f>
        <v>6.2968785516831757E-2</v>
      </c>
      <c r="X10" s="281">
        <f>TABLA_BASE[[#This Row],[IPM UNIT.
(S/.)]]*TABLA_BASE[[#This Row],[CANTIDAD
(unid.)]]</f>
        <v>120.90006819231698</v>
      </c>
      <c r="Y10" s="281">
        <f>TABLA_BASE[[#This Row],[IGV UNIT.
(US$)
✅CF]]*'📋 Datos Generales'!$E$19</f>
        <v>0.50394463223810104</v>
      </c>
      <c r="Z10" s="281">
        <f>TABLA_BASE[[#This Row],[IGV UNIT.
(S/.)]]*TABLA_BASE[[#This Row],[CANTIDAD
(unid.)]]</f>
        <v>967.57369389715404</v>
      </c>
      <c r="AA10" s="281">
        <f>TABLA_BASE[[#This Row],[PERCEP.
UNIT.(US$)
✅CF]]*'📋 Datos Generales'!$E$19</f>
        <v>0.13007718563708487</v>
      </c>
      <c r="AB10" s="281">
        <f>TABLA_BASE[[#This Row],[PERCEP.
UNIT.(S/.)]]*TABLA_BASE[[#This Row],[CANTIDAD
(unid.)]]</f>
        <v>249.74819642320296</v>
      </c>
      <c r="AC10" s="279">
        <f>TABLA_BASE[[#This Row],[ADV UNIT.
(US$)
⚠️COSTO]]+TABLA_BASE[[#This Row],[IPM UNIT.
(US$)
✅CF]]+TABLA_BASE[[#This Row],[IGV UNIT.
(US$)
✅CF]]+TABLA_BASE[[#This Row],[PERCEP.
UNIT.(US$)
✅CF]]</f>
        <v>0.23528833251453662</v>
      </c>
      <c r="AD10" s="279">
        <f>TABLA_BASE[[#This Row],[TOTAL PAGO
SUNAT
UNIT.(US$)]]*TABLA_BASE[[#This Row],[CANTIDAD
(unid.)]]</f>
        <v>451.75359842791033</v>
      </c>
      <c r="AE10" s="281">
        <f>TABLA_BASE[[#This Row],[TOTAL PAGO
SUNAT
UNIT.(US$)]]*'📋 Datos Generales'!$E$19</f>
        <v>0.87527259695407633</v>
      </c>
      <c r="AF10" s="281">
        <f>TABLA_BASE[[#This Row],[TOTAL TRIB.
UNIT.(S/.)]]*TABLA_BASE[[#This Row],[CANTIDAD
(unid.)]]</f>
        <v>1680.5233861518266</v>
      </c>
      <c r="AG10" s="279">
        <f>IF('🧾 Factura Comercial'!G14=0,0,'📦 Gastos Importación'!$E$28*(IF('🧾 Tributos Aduana'!$F$6=0,0,'🧾 Factura Comercial'!I14/'🧾 Tributos Aduana'!$F$6))/'🧾 Factura Comercial'!G14)</f>
        <v>0.86694387515673221</v>
      </c>
      <c r="AH10" s="279">
        <f>TABLA_BASE[[#This Row],[GASTOS IMP.
UNIT.(US$)]]*TABLA_BASE[[#This Row],[CANTIDAD
(unid.)]]</f>
        <v>1664.5322403009259</v>
      </c>
      <c r="AI10" s="281">
        <f>TABLA_BASE[[#This Row],[GASTOS IMP.
UNIT.(US$)]]*'📋 Datos Generales'!$E$19</f>
        <v>3.2250312155830438</v>
      </c>
      <c r="AJ10" s="281">
        <f>TABLA_BASE[[#This Row],[GASTOS IMP.
UNIT.(S/.)]]*TABLA_BASE[[#This Row],[CANTIDAD
(unid.)]]</f>
        <v>6192.0599339194441</v>
      </c>
      <c r="AK10" s="280">
        <f>'🧮 Costos x Producto'!J14</f>
        <v>0.86694387515673232</v>
      </c>
      <c r="AL10" s="278">
        <f>'🧮 Costos x Producto'!K14</f>
        <v>3.2250312155830443</v>
      </c>
      <c r="AM10" s="278">
        <f>TABLA_BASE[[#This Row],[C/M UNIT.
(S/.)]]*TABLA_BASE[[#This Row],[CANTIDAD
(unid.)]]</f>
        <v>6192.059933919445</v>
      </c>
      <c r="AN10" s="279">
        <f>IF('🧾 Factura Comercial'!G14=0,0,'🧾 Tributos Aduana'!$F$17*(IF('🧾 Tributos Aduana'!$F$6=0,0,'🧾 Factura Comercial'!I14/'🧾 Tributos Aduana'!$F$6))/'🧾 Factura Comercial'!G14)</f>
        <v>4.7925267086574901E-2</v>
      </c>
      <c r="AO10" s="280">
        <f>IF('🧾 Factura Comercial'!G14=0,0,'🏦 Crédito Fiscal'!$C$16*(IF('🧾 Tributos Aduana'!$F$6=0,0,'🧾 Factura Comercial'!I14/'🧾 Tributos Aduana'!$F$6))/'🧾 Factura Comercial'!G14)</f>
        <v>0.19090994966233801</v>
      </c>
      <c r="AP10" s="278">
        <f>TABLA_BASE[[#This Row],[CF UNIT.
✅RECUP.
(US$)]]*'📋 Datos Generales'!$E$19</f>
        <v>0.71018501274389745</v>
      </c>
      <c r="AQ10" s="278">
        <f>TABLA_BASE[[#This Row],[CF UNIT.
✅RECUP.(S/.)]]*TABLA_BASE[[#This Row],[CANTIDAD
(unid.)]]</f>
        <v>1363.5552244682831</v>
      </c>
      <c r="AR10" s="288">
        <f>'💰 Precio de Venta'!G15</f>
        <v>0.4</v>
      </c>
      <c r="AS10" s="278">
        <f>'💰 Precio de Venta'!H15</f>
        <v>5.3750520259717405</v>
      </c>
      <c r="AT10" s="278">
        <f>TABLA_BASE[[#This Row],[VALOR VTA.
UNIT.(S/.)]]*TABLA_BASE[[#This Row],[CANTIDAD
(unid.)]]</f>
        <v>10320.099889865742</v>
      </c>
      <c r="AU10" s="281">
        <f>'💰 Precio de Venta'!I15</f>
        <v>6.3425613906466536</v>
      </c>
      <c r="AV10" s="278">
        <f>'💰 Precio de Venta'!J15</f>
        <v>2.1500208103886962</v>
      </c>
      <c r="AW10" s="278">
        <f>TABLA_BASE[[#This Row],[GANANCIA
UNIT.(S/.)]]*TABLA_BASE[[#This Row],[CANTIDAD
(unid.)]]</f>
        <v>4128.0399559462967</v>
      </c>
      <c r="AX10" s="289">
        <f>'💰 Precio de Venta'!K15</f>
        <v>263</v>
      </c>
      <c r="AY10" s="278">
        <f>TABLA_BASE[[#This Row],[GANANCIA
UNIT.(S/.)]]*'🧾 Factura Comercial'!G14</f>
        <v>4128.0399559462967</v>
      </c>
      <c r="AZ10" s="277">
        <f>IF(TABLA_BASE[[#This Row],[PRECIO VTA.
c/IGV(S/.)]]=0,0,TABLA_BASE[[#This Row],[GANANCIA
UNIT.(S/.)]]/TABLA_BASE[[#This Row],[PRECIO VTA.
c/IGV(S/.)]])</f>
        <v>0.33898305084745761</v>
      </c>
      <c r="BA10" s="277">
        <f>IF(TABLA_BASE[[#This Row],[C/M UNIT.
(S/.)]]=0,0,TABLA_BASE[[#This Row],[GANANCIA
UNIT.(S/.)]]/TABLA_BASE[[#This Row],[C/M UNIT.
(S/.)]])</f>
        <v>0.66666666666666663</v>
      </c>
      <c r="BB10" s="274" t="str">
        <f>IF(TABLA_BASE[[#This Row],[MARGEN
%]]&gt;=0.5,"🟢 ALTO",IF(TABLA_BASE[[#This Row],[MARGEN
%]]&gt;=0.3,"🟡 MEDIO","🔴 BAJO"))</f>
        <v>🟡 MEDIO</v>
      </c>
    </row>
    <row r="11" spans="1:54" ht="16.5" hidden="1" thickTop="1" thickBot="1" x14ac:dyDescent="0.3">
      <c r="A11" s="274" t="str">
        <f>'🧾 Factura Comercial'!E15</f>
        <v>Adaptador USB-C a Jack 3.5mm</v>
      </c>
      <c r="B11" s="274" t="str">
        <f>'🧾 Factura Comercial'!F15</f>
        <v>Unid.</v>
      </c>
      <c r="C11" s="275">
        <f>'🧾 Factura Comercial'!G15</f>
        <v>4800</v>
      </c>
      <c r="D11" s="276">
        <f>'🧾 Factura Comercial'!H15</f>
        <v>0.28000000000000003</v>
      </c>
      <c r="E11" s="276">
        <f>'🧾 Factura Comercial'!I15</f>
        <v>1344.0000000000002</v>
      </c>
      <c r="F11" s="277">
        <f>IF('🧾 Tributos Aduana'!$F$6=0,0,'🧾 Factura Comercial'!I15/'🧾 Tributos Aduana'!$F$6)</f>
        <v>3.0796530257590979E-2</v>
      </c>
      <c r="G11" s="278">
        <f>'🧾 Factura Comercial'!H15*'📋 Datos Generales'!$E$19</f>
        <v>1.0416000000000001</v>
      </c>
      <c r="H11" s="278">
        <f>TABLA_BASE[[#This Row],[FOB UNIT.
(S/.)]]*TABLA_BASE[[#This Row],[CANTIDAD
(unid.)]]</f>
        <v>4999.68</v>
      </c>
      <c r="I11" s="280">
        <f>IF('🧾 Tributos Aduana'!$F$6=0,0,'🧾 Tributos Aduana'!$F$17*('🧾 Factura Comercial'!H15/'🧾 Tributos Aduana'!$F$6))</f>
        <v>1.7656677347685494E-2</v>
      </c>
      <c r="J11" s="280">
        <f>TABLA_BASE[[#This Row],[ADV UNIT.
(US$)
⚠️COSTO]]*TABLA_BASE[[#This Row],[CANTIDAD
(unid.)]]</f>
        <v>84.752051268890369</v>
      </c>
      <c r="K11" s="279">
        <f>IF('🧾 Tributos Aduana'!$F$6=0,0,'🧾 Tributos Aduana'!$F$18*('🧾 Factura Comercial'!H15/'🧾 Tributos Aduana'!$F$6))</f>
        <v>6.236297377162173E-3</v>
      </c>
      <c r="L11" s="280">
        <f>TABLA_BASE[[#This Row],[IPM UNIT.
(US$)
✅CF]]*TABLA_BASE[[#This Row],[CANTIDAD
(unid.)]]</f>
        <v>29.93422741037843</v>
      </c>
      <c r="M11" s="279">
        <f>IF('🧾 Tributos Aduana'!$F$6=0,0,'🧾 Tributos Aduana'!$F$19*('🧾 Factura Comercial'!H15/'🧾 Tributos Aduana'!$F$6))</f>
        <v>4.9909626848708373E-2</v>
      </c>
      <c r="N11" s="280">
        <f>TABLA_BASE[[#This Row],[IGV UNIT.
(US$)
✅CF]]*TABLA_BASE[[#This Row],[CANTIDAD
(unid.)]]</f>
        <v>239.56620887380018</v>
      </c>
      <c r="O11" s="280">
        <f>IF('🧾 Tributos Aduana'!$F$6=0,0,'🧾 Tributos Aduana'!$F$23*('🧾 Factura Comercial'!H15/'🧾 Tributos Aduana'!$F$6))</f>
        <v>1.2882573563378526E-2</v>
      </c>
      <c r="P11" s="280">
        <f>TABLA_BASE[[#This Row],[PERCEP.
UNIT.(US$)
✅CF]]*TABLA_BASE[[#This Row],[CANTIDAD
(unid.)]]</f>
        <v>61.836353104216926</v>
      </c>
      <c r="Q11" s="279">
        <f>TABLA_BASE[[#This Row],[ADV UNIT.
(US$)
⚠️COSTO]]+TABLA_BASE[[#This Row],[IPM UNIT.
(US$)
✅CF]]+TABLA_BASE[[#This Row],[IGV UNIT.
(US$)
✅CF]]</f>
        <v>7.3802601573556031E-2</v>
      </c>
      <c r="R11" s="280">
        <f>TABLA_BASE[[#This Row],[DEUDA
ADUANERA
UNIT.]]*TABLA_BASE[[#This Row],[CANTIDAD
(unid.)]]</f>
        <v>354.25248755306893</v>
      </c>
      <c r="S11" s="278">
        <f>TABLA_BASE[[#This Row],[DEUDA
ADUANERA
UNIT.]]*'📋 Datos Generales'!$E$19</f>
        <v>0.27454567785362843</v>
      </c>
      <c r="T11" s="278">
        <f>TABLA_BASE[[#This Row],[DEUDA
ADUANERA
TOTAL]]*'📋 Datos Generales'!$E$19</f>
        <v>1317.8192536974166</v>
      </c>
      <c r="U11" s="281">
        <f>TABLA_BASE[[#This Row],[ADV UNIT.
(US$)
⚠️COSTO]]*'📋 Datos Generales'!$E$19</f>
        <v>6.5682839733390036E-2</v>
      </c>
      <c r="V11" s="281">
        <f>TABLA_BASE[[#This Row],[ADV UNIT.
(S/.)]]*TABLA_BASE[[#This Row],[CANTIDAD
(unid.)]]</f>
        <v>315.27763072027216</v>
      </c>
      <c r="W11" s="281">
        <f>TABLA_BASE[[#This Row],[IPM UNIT.
(US$)
✅CF]]*'📋 Datos Generales'!$E$19</f>
        <v>2.3199026243043284E-2</v>
      </c>
      <c r="X11" s="281">
        <f>TABLA_BASE[[#This Row],[IPM UNIT.
(S/.)]]*TABLA_BASE[[#This Row],[CANTIDAD
(unid.)]]</f>
        <v>111.35532596660777</v>
      </c>
      <c r="Y11" s="281">
        <f>TABLA_BASE[[#This Row],[IGV UNIT.
(US$)
✅CF]]*'📋 Datos Generales'!$E$19</f>
        <v>0.18566381187719516</v>
      </c>
      <c r="Z11" s="281">
        <f>TABLA_BASE[[#This Row],[IGV UNIT.
(S/.)]]*TABLA_BASE[[#This Row],[CANTIDAD
(unid.)]]</f>
        <v>891.1862970105368</v>
      </c>
      <c r="AA11" s="281">
        <f>TABLA_BASE[[#This Row],[PERCEP.
UNIT.(US$)
✅CF]]*'📋 Datos Generales'!$E$19</f>
        <v>4.792317365576812E-2</v>
      </c>
      <c r="AB11" s="281">
        <f>TABLA_BASE[[#This Row],[PERCEP.
UNIT.(S/.)]]*TABLA_BASE[[#This Row],[CANTIDAD
(unid.)]]</f>
        <v>230.03123354768698</v>
      </c>
      <c r="AC11" s="279">
        <f>TABLA_BASE[[#This Row],[ADV UNIT.
(US$)
⚠️COSTO]]+TABLA_BASE[[#This Row],[IPM UNIT.
(US$)
✅CF]]+TABLA_BASE[[#This Row],[IGV UNIT.
(US$)
✅CF]]+TABLA_BASE[[#This Row],[PERCEP.
UNIT.(US$)
✅CF]]</f>
        <v>8.668517513693455E-2</v>
      </c>
      <c r="AD11" s="279">
        <f>TABLA_BASE[[#This Row],[TOTAL PAGO
SUNAT
UNIT.(US$)]]*TABLA_BASE[[#This Row],[CANTIDAD
(unid.)]]</f>
        <v>416.08884065728586</v>
      </c>
      <c r="AE11" s="281">
        <f>TABLA_BASE[[#This Row],[TOTAL PAGO
SUNAT
UNIT.(US$)]]*'📋 Datos Generales'!$E$19</f>
        <v>0.32246885150939653</v>
      </c>
      <c r="AF11" s="281">
        <f>TABLA_BASE[[#This Row],[TOTAL TRIB.
UNIT.(S/.)]]*TABLA_BASE[[#This Row],[CANTIDAD
(unid.)]]</f>
        <v>1547.8504872451033</v>
      </c>
      <c r="AG11" s="279">
        <f>IF('🧾 Factura Comercial'!G15=0,0,'📦 Gastos Importación'!$E$28*(IF('🧾 Tributos Aduana'!$F$6=0,0,'🧾 Factura Comercial'!I15/'🧾 Tributos Aduana'!$F$6))/'🧾 Factura Comercial'!G15)</f>
        <v>0.31940037505774349</v>
      </c>
      <c r="AH11" s="279">
        <f>TABLA_BASE[[#This Row],[GASTOS IMP.
UNIT.(US$)]]*TABLA_BASE[[#This Row],[CANTIDAD
(unid.)]]</f>
        <v>1533.1218002771689</v>
      </c>
      <c r="AI11" s="281">
        <f>TABLA_BASE[[#This Row],[GASTOS IMP.
UNIT.(US$)]]*'📋 Datos Generales'!$E$19</f>
        <v>1.1881693952148058</v>
      </c>
      <c r="AJ11" s="281">
        <f>TABLA_BASE[[#This Row],[GASTOS IMP.
UNIT.(S/.)]]*TABLA_BASE[[#This Row],[CANTIDAD
(unid.)]]</f>
        <v>5703.2130970310682</v>
      </c>
      <c r="AK11" s="280">
        <f>'🧮 Costos x Producto'!J15</f>
        <v>0.31940037505774349</v>
      </c>
      <c r="AL11" s="278">
        <f>'🧮 Costos x Producto'!K15</f>
        <v>1.1881693952148058</v>
      </c>
      <c r="AM11" s="278">
        <f>TABLA_BASE[[#This Row],[C/M UNIT.
(S/.)]]*TABLA_BASE[[#This Row],[CANTIDAD
(unid.)]]</f>
        <v>5703.2130970310682</v>
      </c>
      <c r="AN11" s="279">
        <f>IF('🧾 Factura Comercial'!G15=0,0,'🧾 Tributos Aduana'!$F$17*(IF('🧾 Tributos Aduana'!$F$6=0,0,'🧾 Factura Comercial'!I15/'🧾 Tributos Aduana'!$F$6))/'🧾 Factura Comercial'!G15)</f>
        <v>1.7656677347685494E-2</v>
      </c>
      <c r="AO11" s="280">
        <f>IF('🧾 Factura Comercial'!G15=0,0,'🏦 Crédito Fiscal'!$C$16*(IF('🧾 Tributos Aduana'!$F$6=0,0,'🧾 Factura Comercial'!I15/'🧾 Tributos Aduana'!$F$6))/'🧾 Factura Comercial'!G15)</f>
        <v>7.033524461244034E-2</v>
      </c>
      <c r="AP11" s="278">
        <f>TABLA_BASE[[#This Row],[CF UNIT.
✅RECUP.
(US$)]]*'📋 Datos Generales'!$E$19</f>
        <v>0.26164710995827806</v>
      </c>
      <c r="AQ11" s="278">
        <f>TABLA_BASE[[#This Row],[CF UNIT.
✅RECUP.(S/.)]]*TABLA_BASE[[#This Row],[CANTIDAD
(unid.)]]</f>
        <v>1255.9061277997346</v>
      </c>
      <c r="AR11" s="288">
        <f>'💰 Precio de Venta'!G16</f>
        <v>0.4</v>
      </c>
      <c r="AS11" s="278">
        <f>'💰 Precio de Venta'!H16</f>
        <v>1.9802823253580097</v>
      </c>
      <c r="AT11" s="278">
        <f>TABLA_BASE[[#This Row],[VALOR VTA.
UNIT.(S/.)]]*TABLA_BASE[[#This Row],[CANTIDAD
(unid.)]]</f>
        <v>9505.3551617184476</v>
      </c>
      <c r="AU11" s="281">
        <f>'💰 Precio de Venta'!I16</f>
        <v>2.3367331439224515</v>
      </c>
      <c r="AV11" s="278">
        <f>'💰 Precio de Venta'!J16</f>
        <v>0.79211293014320394</v>
      </c>
      <c r="AW11" s="278">
        <f>TABLA_BASE[[#This Row],[GANANCIA
UNIT.(S/.)]]*TABLA_BASE[[#This Row],[CANTIDAD
(unid.)]]</f>
        <v>3802.1420646873789</v>
      </c>
      <c r="AX11" s="289">
        <f>'💰 Precio de Venta'!K16</f>
        <v>657</v>
      </c>
      <c r="AY11" s="278">
        <f>TABLA_BASE[[#This Row],[GANANCIA
UNIT.(S/.)]]*'🧾 Factura Comercial'!G15</f>
        <v>3802.1420646873789</v>
      </c>
      <c r="AZ11" s="277">
        <f>IF(TABLA_BASE[[#This Row],[PRECIO VTA.
c/IGV(S/.)]]=0,0,TABLA_BASE[[#This Row],[GANANCIA
UNIT.(S/.)]]/TABLA_BASE[[#This Row],[PRECIO VTA.
c/IGV(S/.)]])</f>
        <v>0.33898305084745767</v>
      </c>
      <c r="BA11" s="277">
        <f>IF(TABLA_BASE[[#This Row],[C/M UNIT.
(S/.)]]=0,0,TABLA_BASE[[#This Row],[GANANCIA
UNIT.(S/.)]]/TABLA_BASE[[#This Row],[C/M UNIT.
(S/.)]])</f>
        <v>0.66666666666666674</v>
      </c>
      <c r="BB11" s="274" t="str">
        <f>IF(TABLA_BASE[[#This Row],[MARGEN
%]]&gt;=0.5,"🟢 ALTO",IF(TABLA_BASE[[#This Row],[MARGEN
%]]&gt;=0.3,"🟡 MEDIO","🔴 BAJO"))</f>
        <v>🟡 MEDIO</v>
      </c>
    </row>
    <row r="12" spans="1:54" ht="16.5" hidden="1" thickTop="1" thickBot="1" x14ac:dyDescent="0.3">
      <c r="A12" s="274" t="str">
        <f>'🧾 Factura Comercial'!E16</f>
        <v>Adaptador YYY 67</v>
      </c>
      <c r="B12" s="274" t="str">
        <f>'🧾 Factura Comercial'!F16</f>
        <v>Unid.</v>
      </c>
      <c r="C12" s="275">
        <f>'🧾 Factura Comercial'!G16</f>
        <v>2000</v>
      </c>
      <c r="D12" s="276">
        <f>'🧾 Factura Comercial'!H16</f>
        <v>0.5</v>
      </c>
      <c r="E12" s="276">
        <f>'🧾 Factura Comercial'!I16</f>
        <v>1000</v>
      </c>
      <c r="F12" s="277">
        <f>IF('🧾 Tributos Aduana'!$F$6=0,0,'🧾 Factura Comercial'!I16/'🧾 Tributos Aduana'!$F$6)</f>
        <v>2.2914085013088521E-2</v>
      </c>
      <c r="G12" s="278">
        <f>'🧾 Factura Comercial'!H16*'📋 Datos Generales'!$E$19</f>
        <v>1.86</v>
      </c>
      <c r="H12" s="278">
        <f>TABLA_BASE[[#This Row],[FOB UNIT.
(S/.)]]*TABLA_BASE[[#This Row],[CANTIDAD
(unid.)]]</f>
        <v>3720</v>
      </c>
      <c r="I12" s="280">
        <f>IF('🧾 Tributos Aduana'!$F$6=0,0,'🧾 Tributos Aduana'!$F$17*('🧾 Factura Comercial'!H16/'🧾 Tributos Aduana'!$F$6))</f>
        <v>3.1529780978009805E-2</v>
      </c>
      <c r="J12" s="280">
        <f>TABLA_BASE[[#This Row],[ADV UNIT.
(US$)
⚠️COSTO]]*TABLA_BASE[[#This Row],[CANTIDAD
(unid.)]]</f>
        <v>63.059561956019614</v>
      </c>
      <c r="K12" s="279">
        <f>IF('🧾 Tributos Aduana'!$F$6=0,0,'🧾 Tributos Aduana'!$F$18*('🧾 Factura Comercial'!H16/'🧾 Tributos Aduana'!$F$6))</f>
        <v>1.1136245316361022E-2</v>
      </c>
      <c r="L12" s="280">
        <f>TABLA_BASE[[#This Row],[IPM UNIT.
(US$)
✅CF]]*TABLA_BASE[[#This Row],[CANTIDAD
(unid.)]]</f>
        <v>22.272490632722043</v>
      </c>
      <c r="M12" s="279">
        <f>IF('🧾 Tributos Aduana'!$F$6=0,0,'🧾 Tributos Aduana'!$F$19*('🧾 Factura Comercial'!H16/'🧾 Tributos Aduana'!$F$6))</f>
        <v>8.9124333658407814E-2</v>
      </c>
      <c r="N12" s="280">
        <f>TABLA_BASE[[#This Row],[IGV UNIT.
(US$)
✅CF]]*TABLA_BASE[[#This Row],[CANTIDAD
(unid.)]]</f>
        <v>178.24866731681564</v>
      </c>
      <c r="O12" s="280">
        <f>IF('🧾 Tributos Aduana'!$F$6=0,0,'🧾 Tributos Aduana'!$F$23*('🧾 Factura Comercial'!H16/'🧾 Tributos Aduana'!$F$6))</f>
        <v>2.3004595648890222E-2</v>
      </c>
      <c r="P12" s="280">
        <f>TABLA_BASE[[#This Row],[PERCEP.
UNIT.(US$)
✅CF]]*TABLA_BASE[[#This Row],[CANTIDAD
(unid.)]]</f>
        <v>46.009191297780447</v>
      </c>
      <c r="Q12" s="279">
        <f>TABLA_BASE[[#This Row],[ADV UNIT.
(US$)
⚠️COSTO]]+TABLA_BASE[[#This Row],[IPM UNIT.
(US$)
✅CF]]+TABLA_BASE[[#This Row],[IGV UNIT.
(US$)
✅CF]]</f>
        <v>0.13179035995277866</v>
      </c>
      <c r="R12" s="280">
        <f>TABLA_BASE[[#This Row],[DEUDA
ADUANERA
UNIT.]]*TABLA_BASE[[#This Row],[CANTIDAD
(unid.)]]</f>
        <v>263.58071990555732</v>
      </c>
      <c r="S12" s="278">
        <f>TABLA_BASE[[#This Row],[DEUDA
ADUANERA
UNIT.]]*'📋 Datos Generales'!$E$19</f>
        <v>0.49026013902433663</v>
      </c>
      <c r="T12" s="278">
        <f>TABLA_BASE[[#This Row],[DEUDA
ADUANERA
TOTAL]]*'📋 Datos Generales'!$E$19</f>
        <v>980.52027804867328</v>
      </c>
      <c r="U12" s="281">
        <f>TABLA_BASE[[#This Row],[ADV UNIT.
(US$)
⚠️COSTO]]*'📋 Datos Generales'!$E$19</f>
        <v>0.11729078523819648</v>
      </c>
      <c r="V12" s="281">
        <f>TABLA_BASE[[#This Row],[ADV UNIT.
(S/.)]]*TABLA_BASE[[#This Row],[CANTIDAD
(unid.)]]</f>
        <v>234.58157047639298</v>
      </c>
      <c r="W12" s="281">
        <f>TABLA_BASE[[#This Row],[IPM UNIT.
(US$)
✅CF]]*'📋 Datos Generales'!$E$19</f>
        <v>4.1426832576863006E-2</v>
      </c>
      <c r="X12" s="281">
        <f>TABLA_BASE[[#This Row],[IPM UNIT.
(S/.)]]*TABLA_BASE[[#This Row],[CANTIDAD
(unid.)]]</f>
        <v>82.853665153726013</v>
      </c>
      <c r="Y12" s="281">
        <f>TABLA_BASE[[#This Row],[IGV UNIT.
(US$)
✅CF]]*'📋 Datos Generales'!$E$19</f>
        <v>0.33154252120927707</v>
      </c>
      <c r="Z12" s="281">
        <f>TABLA_BASE[[#This Row],[IGV UNIT.
(S/.)]]*TABLA_BASE[[#This Row],[CANTIDAD
(unid.)]]</f>
        <v>663.08504241855417</v>
      </c>
      <c r="AA12" s="281">
        <f>TABLA_BASE[[#This Row],[PERCEP.
UNIT.(US$)
✅CF]]*'📋 Datos Generales'!$E$19</f>
        <v>8.5577095813871629E-2</v>
      </c>
      <c r="AB12" s="281">
        <f>TABLA_BASE[[#This Row],[PERCEP.
UNIT.(S/.)]]*TABLA_BASE[[#This Row],[CANTIDAD
(unid.)]]</f>
        <v>171.15419162774324</v>
      </c>
      <c r="AC12" s="279">
        <f>TABLA_BASE[[#This Row],[ADV UNIT.
(US$)
⚠️COSTO]]+TABLA_BASE[[#This Row],[IPM UNIT.
(US$)
✅CF]]+TABLA_BASE[[#This Row],[IGV UNIT.
(US$)
✅CF]]+TABLA_BASE[[#This Row],[PERCEP.
UNIT.(US$)
✅CF]]</f>
        <v>0.15479495560166889</v>
      </c>
      <c r="AD12" s="279">
        <f>TABLA_BASE[[#This Row],[TOTAL PAGO
SUNAT
UNIT.(US$)]]*TABLA_BASE[[#This Row],[CANTIDAD
(unid.)]]</f>
        <v>309.58991120333781</v>
      </c>
      <c r="AE12" s="281">
        <f>TABLA_BASE[[#This Row],[TOTAL PAGO
SUNAT
UNIT.(US$)]]*'📋 Datos Generales'!$E$19</f>
        <v>0.57583723483820837</v>
      </c>
      <c r="AF12" s="281">
        <f>TABLA_BASE[[#This Row],[TOTAL TRIB.
UNIT.(S/.)]]*TABLA_BASE[[#This Row],[CANTIDAD
(unid.)]]</f>
        <v>1151.6744696764167</v>
      </c>
      <c r="AG12" s="279">
        <f>IF('🧾 Factura Comercial'!G16=0,0,'📦 Gastos Importación'!$E$28*(IF('🧾 Tributos Aduana'!$F$6=0,0,'🧾 Factura Comercial'!I16/'🧾 Tributos Aduana'!$F$6))/'🧾 Factura Comercial'!G16)</f>
        <v>0.57035781260311336</v>
      </c>
      <c r="AH12" s="279">
        <f>TABLA_BASE[[#This Row],[GASTOS IMP.
UNIT.(US$)]]*TABLA_BASE[[#This Row],[CANTIDAD
(unid.)]]</f>
        <v>1140.7156252062266</v>
      </c>
      <c r="AI12" s="281">
        <f>TABLA_BASE[[#This Row],[GASTOS IMP.
UNIT.(US$)]]*'📋 Datos Generales'!$E$19</f>
        <v>2.1217310628835819</v>
      </c>
      <c r="AJ12" s="281">
        <f>TABLA_BASE[[#This Row],[GASTOS IMP.
UNIT.(S/.)]]*TABLA_BASE[[#This Row],[CANTIDAD
(unid.)]]</f>
        <v>4243.4621257671643</v>
      </c>
      <c r="AK12" s="280">
        <f>'🧮 Costos x Producto'!J16</f>
        <v>0.57035781260311336</v>
      </c>
      <c r="AL12" s="278">
        <f>'🧮 Costos x Producto'!K16</f>
        <v>2.1217310628835819</v>
      </c>
      <c r="AM12" s="278">
        <f>TABLA_BASE[[#This Row],[C/M UNIT.
(S/.)]]*TABLA_BASE[[#This Row],[CANTIDAD
(unid.)]]</f>
        <v>4243.4621257671643</v>
      </c>
      <c r="AN12" s="279">
        <f>IF('🧾 Factura Comercial'!G16=0,0,'🧾 Tributos Aduana'!$F$17*(IF('🧾 Tributos Aduana'!$F$6=0,0,'🧾 Factura Comercial'!I16/'🧾 Tributos Aduana'!$F$6))/'🧾 Factura Comercial'!G16)</f>
        <v>3.1529780978009805E-2</v>
      </c>
      <c r="AO12" s="280">
        <f>IF('🧾 Factura Comercial'!G16=0,0,'🏦 Crédito Fiscal'!$C$16*(IF('🧾 Tributos Aduana'!$F$6=0,0,'🧾 Factura Comercial'!I16/'🧾 Tributos Aduana'!$F$6))/'🧾 Factura Comercial'!G16)</f>
        <v>0.12559865109364343</v>
      </c>
      <c r="AP12" s="278">
        <f>TABLA_BASE[[#This Row],[CF UNIT.
✅RECUP.
(US$)]]*'📋 Datos Generales'!$E$19</f>
        <v>0.46722698206835361</v>
      </c>
      <c r="AQ12" s="278">
        <f>TABLA_BASE[[#This Row],[CF UNIT.
✅RECUP.(S/.)]]*TABLA_BASE[[#This Row],[CANTIDAD
(unid.)]]</f>
        <v>934.45396413670721</v>
      </c>
      <c r="AR12" s="288">
        <f>'💰 Precio de Venta'!G17</f>
        <v>0.4</v>
      </c>
      <c r="AS12" s="278">
        <f>'💰 Precio de Venta'!H17</f>
        <v>3.5362184381393034</v>
      </c>
      <c r="AT12" s="278">
        <f>TABLA_BASE[[#This Row],[VALOR VTA.
UNIT.(S/.)]]*TABLA_BASE[[#This Row],[CANTIDAD
(unid.)]]</f>
        <v>7072.4368762786071</v>
      </c>
      <c r="AU12" s="281">
        <f>'💰 Precio de Venta'!I17</f>
        <v>4.172737757004378</v>
      </c>
      <c r="AV12" s="278">
        <f>'💰 Precio de Venta'!J17</f>
        <v>1.4144873752557214</v>
      </c>
      <c r="AW12" s="278">
        <f>TABLA_BASE[[#This Row],[GANANCIA
UNIT.(S/.)]]*TABLA_BASE[[#This Row],[CANTIDAD
(unid.)]]</f>
        <v>2828.9747505114428</v>
      </c>
      <c r="AX12" s="289">
        <f>'💰 Precio de Venta'!K17</f>
        <v>274</v>
      </c>
      <c r="AY12" s="278">
        <f>TABLA_BASE[[#This Row],[GANANCIA
UNIT.(S/.)]]*'🧾 Factura Comercial'!G16</f>
        <v>2828.9747505114428</v>
      </c>
      <c r="AZ12" s="277">
        <f>IF(TABLA_BASE[[#This Row],[PRECIO VTA.
c/IGV(S/.)]]=0,0,TABLA_BASE[[#This Row],[GANANCIA
UNIT.(S/.)]]/TABLA_BASE[[#This Row],[PRECIO VTA.
c/IGV(S/.)]])</f>
        <v>0.33898305084745767</v>
      </c>
      <c r="BA12" s="277">
        <f>IF(TABLA_BASE[[#This Row],[C/M UNIT.
(S/.)]]=0,0,TABLA_BASE[[#This Row],[GANANCIA
UNIT.(S/.)]]/TABLA_BASE[[#This Row],[C/M UNIT.
(S/.)]])</f>
        <v>0.66666666666666674</v>
      </c>
      <c r="BB12" s="274" t="str">
        <f>IF(TABLA_BASE[[#This Row],[MARGEN
%]]&gt;=0.5,"🟢 ALTO",IF(TABLA_BASE[[#This Row],[MARGEN
%]]&gt;=0.3,"🟡 MEDIO","🔴 BAJO"))</f>
        <v>🟡 MEDIO</v>
      </c>
    </row>
    <row r="13" spans="1:54" ht="16.5" hidden="1" thickTop="1" thickBot="1" x14ac:dyDescent="0.3">
      <c r="A13" s="274" t="str">
        <f>'🧾 Factura Comercial'!E17</f>
        <v>Case Transparente TPU iPhone 15</v>
      </c>
      <c r="B13" s="274" t="str">
        <f>'🧾 Factura Comercial'!F17</f>
        <v>Unid.</v>
      </c>
      <c r="C13" s="275">
        <f>'🧾 Factura Comercial'!G17</f>
        <v>480</v>
      </c>
      <c r="D13" s="276">
        <f>'🧾 Factura Comercial'!H17</f>
        <v>1.21</v>
      </c>
      <c r="E13" s="276">
        <f>'🧾 Factura Comercial'!I17</f>
        <v>580.79999999999995</v>
      </c>
      <c r="F13" s="277">
        <f>IF('🧾 Tributos Aduana'!$F$6=0,0,'🧾 Factura Comercial'!I17/'🧾 Tributos Aduana'!$F$6)</f>
        <v>1.3308500575601812E-2</v>
      </c>
      <c r="G13" s="278">
        <f>'🧾 Factura Comercial'!H17*'📋 Datos Generales'!$E$19</f>
        <v>4.5011999999999999</v>
      </c>
      <c r="H13" s="278">
        <f>TABLA_BASE[[#This Row],[FOB UNIT.
(S/.)]]*TABLA_BASE[[#This Row],[CANTIDAD
(unid.)]]</f>
        <v>2160.576</v>
      </c>
      <c r="I13" s="280">
        <f>IF('🧾 Tributos Aduana'!$F$6=0,0,'🧾 Tributos Aduana'!$F$17*('🧾 Factura Comercial'!H17/'🧾 Tributos Aduana'!$F$6))</f>
        <v>7.6302069966783737E-2</v>
      </c>
      <c r="J13" s="280">
        <f>TABLA_BASE[[#This Row],[ADV UNIT.
(US$)
⚠️COSTO]]*TABLA_BASE[[#This Row],[CANTIDAD
(unid.)]]</f>
        <v>36.624993584056192</v>
      </c>
      <c r="K13" s="279">
        <f>IF('🧾 Tributos Aduana'!$F$6=0,0,'🧾 Tributos Aduana'!$F$18*('🧾 Factura Comercial'!H17/'🧾 Tributos Aduana'!$F$6))</f>
        <v>2.6949713665593674E-2</v>
      </c>
      <c r="L13" s="280">
        <f>TABLA_BASE[[#This Row],[IPM UNIT.
(US$)
✅CF]]*TABLA_BASE[[#This Row],[CANTIDAD
(unid.)]]</f>
        <v>12.935862559484963</v>
      </c>
      <c r="M13" s="279">
        <f>IF('🧾 Tributos Aduana'!$F$6=0,0,'🧾 Tributos Aduana'!$F$19*('🧾 Factura Comercial'!H17/'🧾 Tributos Aduana'!$F$6))</f>
        <v>0.2156808874533469</v>
      </c>
      <c r="N13" s="280">
        <f>TABLA_BASE[[#This Row],[IGV UNIT.
(US$)
✅CF]]*TABLA_BASE[[#This Row],[CANTIDAD
(unid.)]]</f>
        <v>103.52682597760651</v>
      </c>
      <c r="O13" s="280">
        <f>IF('🧾 Tributos Aduana'!$F$6=0,0,'🧾 Tributos Aduana'!$F$23*('🧾 Factura Comercial'!H17/'🧾 Tributos Aduana'!$F$6))</f>
        <v>5.567112147031434E-2</v>
      </c>
      <c r="P13" s="280">
        <f>TABLA_BASE[[#This Row],[PERCEP.
UNIT.(US$)
✅CF]]*TABLA_BASE[[#This Row],[CANTIDAD
(unid.)]]</f>
        <v>26.722138305750882</v>
      </c>
      <c r="Q13" s="279">
        <f>TABLA_BASE[[#This Row],[ADV UNIT.
(US$)
⚠️COSTO]]+TABLA_BASE[[#This Row],[IPM UNIT.
(US$)
✅CF]]+TABLA_BASE[[#This Row],[IGV UNIT.
(US$)
✅CF]]</f>
        <v>0.31893267108572432</v>
      </c>
      <c r="R13" s="280">
        <f>TABLA_BASE[[#This Row],[DEUDA
ADUANERA
UNIT.]]*TABLA_BASE[[#This Row],[CANTIDAD
(unid.)]]</f>
        <v>153.08768212114768</v>
      </c>
      <c r="S13" s="278">
        <f>TABLA_BASE[[#This Row],[DEUDA
ADUANERA
UNIT.]]*'📋 Datos Generales'!$E$19</f>
        <v>1.1864295364388946</v>
      </c>
      <c r="T13" s="278">
        <f>TABLA_BASE[[#This Row],[DEUDA
ADUANERA
TOTAL]]*'📋 Datos Generales'!$E$19</f>
        <v>569.48617749066943</v>
      </c>
      <c r="U13" s="281">
        <f>TABLA_BASE[[#This Row],[ADV UNIT.
(US$)
⚠️COSTO]]*'📋 Datos Generales'!$E$19</f>
        <v>0.28384370027643552</v>
      </c>
      <c r="V13" s="281">
        <f>TABLA_BASE[[#This Row],[ADV UNIT.
(S/.)]]*TABLA_BASE[[#This Row],[CANTIDAD
(unid.)]]</f>
        <v>136.24497613268906</v>
      </c>
      <c r="W13" s="281">
        <f>TABLA_BASE[[#This Row],[IPM UNIT.
(US$)
✅CF]]*'📋 Datos Generales'!$E$19</f>
        <v>0.10025293483600847</v>
      </c>
      <c r="X13" s="281">
        <f>TABLA_BASE[[#This Row],[IPM UNIT.
(S/.)]]*TABLA_BASE[[#This Row],[CANTIDAD
(unid.)]]</f>
        <v>48.12140872128407</v>
      </c>
      <c r="Y13" s="281">
        <f>TABLA_BASE[[#This Row],[IGV UNIT.
(US$)
✅CF]]*'📋 Datos Generales'!$E$19</f>
        <v>0.80233290132645052</v>
      </c>
      <c r="Z13" s="281">
        <f>TABLA_BASE[[#This Row],[IGV UNIT.
(S/.)]]*TABLA_BASE[[#This Row],[CANTIDAD
(unid.)]]</f>
        <v>385.11979263669627</v>
      </c>
      <c r="AA13" s="281">
        <f>TABLA_BASE[[#This Row],[PERCEP.
UNIT.(US$)
✅CF]]*'📋 Datos Generales'!$E$19</f>
        <v>0.20709657186956937</v>
      </c>
      <c r="AB13" s="281">
        <f>TABLA_BASE[[#This Row],[PERCEP.
UNIT.(S/.)]]*TABLA_BASE[[#This Row],[CANTIDAD
(unid.)]]</f>
        <v>99.406354497393295</v>
      </c>
      <c r="AC13" s="279">
        <f>TABLA_BASE[[#This Row],[ADV UNIT.
(US$)
⚠️COSTO]]+TABLA_BASE[[#This Row],[IPM UNIT.
(US$)
✅CF]]+TABLA_BASE[[#This Row],[IGV UNIT.
(US$)
✅CF]]+TABLA_BASE[[#This Row],[PERCEP.
UNIT.(US$)
✅CF]]</f>
        <v>0.37460379255603865</v>
      </c>
      <c r="AD13" s="279">
        <f>TABLA_BASE[[#This Row],[TOTAL PAGO
SUNAT
UNIT.(US$)]]*TABLA_BASE[[#This Row],[CANTIDAD
(unid.)]]</f>
        <v>179.80982042689854</v>
      </c>
      <c r="AE13" s="281">
        <f>TABLA_BASE[[#This Row],[TOTAL PAGO
SUNAT
UNIT.(US$)]]*'📋 Datos Generales'!$E$19</f>
        <v>1.3935261083084638</v>
      </c>
      <c r="AF13" s="281">
        <f>TABLA_BASE[[#This Row],[TOTAL TRIB.
UNIT.(S/.)]]*TABLA_BASE[[#This Row],[CANTIDAD
(unid.)]]</f>
        <v>668.89253198806261</v>
      </c>
      <c r="AG13" s="279">
        <f>IF('🧾 Factura Comercial'!G17=0,0,'📦 Gastos Importación'!$E$28*(IF('🧾 Tributos Aduana'!$F$6=0,0,'🧾 Factura Comercial'!I17/'🧾 Tributos Aduana'!$F$6))/'🧾 Factura Comercial'!G17)</f>
        <v>1.3802659064995342</v>
      </c>
      <c r="AH13" s="279">
        <f>TABLA_BASE[[#This Row],[GASTOS IMP.
UNIT.(US$)]]*TABLA_BASE[[#This Row],[CANTIDAD
(unid.)]]</f>
        <v>662.52763511977639</v>
      </c>
      <c r="AI13" s="281">
        <f>TABLA_BASE[[#This Row],[GASTOS IMP.
UNIT.(US$)]]*'📋 Datos Generales'!$E$19</f>
        <v>5.1345891721782673</v>
      </c>
      <c r="AJ13" s="281">
        <f>TABLA_BASE[[#This Row],[GASTOS IMP.
UNIT.(S/.)]]*TABLA_BASE[[#This Row],[CANTIDAD
(unid.)]]</f>
        <v>2464.6028026455683</v>
      </c>
      <c r="AK13" s="280">
        <f>'🧮 Costos x Producto'!J17</f>
        <v>1.3802659064995342</v>
      </c>
      <c r="AL13" s="278">
        <f>'🧮 Costos x Producto'!K17</f>
        <v>5.1345891721782673</v>
      </c>
      <c r="AM13" s="278">
        <f>TABLA_BASE[[#This Row],[C/M UNIT.
(S/.)]]*TABLA_BASE[[#This Row],[CANTIDAD
(unid.)]]</f>
        <v>2464.6028026455683</v>
      </c>
      <c r="AN13" s="279">
        <f>IF('🧾 Factura Comercial'!G17=0,0,'🧾 Tributos Aduana'!$F$17*(IF('🧾 Tributos Aduana'!$F$6=0,0,'🧾 Factura Comercial'!I17/'🧾 Tributos Aduana'!$F$6))/'🧾 Factura Comercial'!G17)</f>
        <v>7.6302069966783723E-2</v>
      </c>
      <c r="AO13" s="280">
        <f>IF('🧾 Factura Comercial'!G17=0,0,'🏦 Crédito Fiscal'!$C$16*(IF('🧾 Tributos Aduana'!$F$6=0,0,'🧾 Factura Comercial'!I17/'🧾 Tributos Aduana'!$F$6))/'🧾 Factura Comercial'!G17)</f>
        <v>0.30394873564661701</v>
      </c>
      <c r="AP13" s="278">
        <f>TABLA_BASE[[#This Row],[CF UNIT.
✅RECUP.
(US$)]]*'📋 Datos Generales'!$E$19</f>
        <v>1.1306892966054154</v>
      </c>
      <c r="AQ13" s="278">
        <f>TABLA_BASE[[#This Row],[CF UNIT.
✅RECUP.(S/.)]]*TABLA_BASE[[#This Row],[CANTIDAD
(unid.)]]</f>
        <v>542.73086237059943</v>
      </c>
      <c r="AR13" s="288">
        <f>'💰 Precio de Venta'!G18</f>
        <v>0.4</v>
      </c>
      <c r="AS13" s="278">
        <f>'💰 Precio de Venta'!H18</f>
        <v>8.5576486202971118</v>
      </c>
      <c r="AT13" s="278">
        <f>TABLA_BASE[[#This Row],[VALOR VTA.
UNIT.(S/.)]]*TABLA_BASE[[#This Row],[CANTIDAD
(unid.)]]</f>
        <v>4107.671337742614</v>
      </c>
      <c r="AU13" s="281">
        <f>'💰 Precio de Venta'!I18</f>
        <v>10.098025371950591</v>
      </c>
      <c r="AV13" s="278">
        <f>'💰 Precio de Venta'!J18</f>
        <v>3.4230594481188445</v>
      </c>
      <c r="AW13" s="278">
        <f>TABLA_BASE[[#This Row],[GANANCIA
UNIT.(S/.)]]*TABLA_BASE[[#This Row],[CANTIDAD
(unid.)]]</f>
        <v>1643.0685350970455</v>
      </c>
      <c r="AX13" s="289">
        <f>'💰 Precio de Venta'!K18</f>
        <v>66</v>
      </c>
      <c r="AY13" s="278">
        <f>TABLA_BASE[[#This Row],[GANANCIA
UNIT.(S/.)]]*'🧾 Factura Comercial'!G17</f>
        <v>1643.0685350970455</v>
      </c>
      <c r="AZ13" s="277">
        <f>IF(TABLA_BASE[[#This Row],[PRECIO VTA.
c/IGV(S/.)]]=0,0,TABLA_BASE[[#This Row],[GANANCIA
UNIT.(S/.)]]/TABLA_BASE[[#This Row],[PRECIO VTA.
c/IGV(S/.)]])</f>
        <v>0.33898305084745767</v>
      </c>
      <c r="BA13" s="277">
        <f>IF(TABLA_BASE[[#This Row],[C/M UNIT.
(S/.)]]=0,0,TABLA_BASE[[#This Row],[GANANCIA
UNIT.(S/.)]]/TABLA_BASE[[#This Row],[C/M UNIT.
(S/.)]])</f>
        <v>0.66666666666666663</v>
      </c>
      <c r="BB13" s="274" t="str">
        <f>IF(TABLA_BASE[[#This Row],[MARGEN
%]]&gt;=0.5,"🟢 ALTO",IF(TABLA_BASE[[#This Row],[MARGEN
%]]&gt;=0.3,"🟡 MEDIO","🔴 BAJO"))</f>
        <v>🟡 MEDIO</v>
      </c>
    </row>
    <row r="14" spans="1:54" ht="16.5" hidden="1" thickTop="1" thickBot="1" x14ac:dyDescent="0.3">
      <c r="A14" s="274" t="str">
        <f>'🧾 Factura Comercial'!E18</f>
        <v>Cable USB-C Trenzado 1m</v>
      </c>
      <c r="B14" s="274" t="str">
        <f>'🧾 Factura Comercial'!F18</f>
        <v>Unid.</v>
      </c>
      <c r="C14" s="275">
        <f>'🧾 Factura Comercial'!G18</f>
        <v>2880</v>
      </c>
      <c r="D14" s="276">
        <f>'🧾 Factura Comercial'!H18</f>
        <v>0.68</v>
      </c>
      <c r="E14" s="276">
        <f>'🧾 Factura Comercial'!I18</f>
        <v>1958.4</v>
      </c>
      <c r="F14" s="277">
        <f>IF('🧾 Tributos Aduana'!$F$6=0,0,'🧾 Factura Comercial'!I18/'🧾 Tributos Aduana'!$F$6)</f>
        <v>4.4874944089632565E-2</v>
      </c>
      <c r="G14" s="278">
        <f>'🧾 Factura Comercial'!H18*'📋 Datos Generales'!$E$19</f>
        <v>2.5296000000000003</v>
      </c>
      <c r="H14" s="278">
        <f>TABLA_BASE[[#This Row],[FOB UNIT.
(S/.)]]*TABLA_BASE[[#This Row],[CANTIDAD
(unid.)]]</f>
        <v>7285.2480000000005</v>
      </c>
      <c r="I14" s="280">
        <f>IF('🧾 Tributos Aduana'!$F$6=0,0,'🧾 Tributos Aduana'!$F$17*('🧾 Factura Comercial'!H18/'🧾 Tributos Aduana'!$F$6))</f>
        <v>4.288050213009334E-2</v>
      </c>
      <c r="J14" s="280">
        <f>TABLA_BASE[[#This Row],[ADV UNIT.
(US$)
⚠️COSTO]]*TABLA_BASE[[#This Row],[CANTIDAD
(unid.)]]</f>
        <v>123.49584613466882</v>
      </c>
      <c r="K14" s="279">
        <f>IF('🧾 Tributos Aduana'!$F$6=0,0,'🧾 Tributos Aduana'!$F$18*('🧾 Factura Comercial'!H18/'🧾 Tributos Aduana'!$F$6))</f>
        <v>1.5145293630250989E-2</v>
      </c>
      <c r="L14" s="280">
        <f>TABLA_BASE[[#This Row],[IPM UNIT.
(US$)
✅CF]]*TABLA_BASE[[#This Row],[CANTIDAD
(unid.)]]</f>
        <v>43.618445655122848</v>
      </c>
      <c r="M14" s="279">
        <f>IF('🧾 Tributos Aduana'!$F$6=0,0,'🧾 Tributos Aduana'!$F$19*('🧾 Factura Comercial'!H18/'🧾 Tributos Aduana'!$F$6))</f>
        <v>0.12120909377543462</v>
      </c>
      <c r="N14" s="280">
        <f>TABLA_BASE[[#This Row],[IGV UNIT.
(US$)
✅CF]]*TABLA_BASE[[#This Row],[CANTIDAD
(unid.)]]</f>
        <v>349.0821900732517</v>
      </c>
      <c r="O14" s="280">
        <f>IF('🧾 Tributos Aduana'!$F$6=0,0,'🧾 Tributos Aduana'!$F$23*('🧾 Factura Comercial'!H18/'🧾 Tributos Aduana'!$F$6))</f>
        <v>3.1286250082490703E-2</v>
      </c>
      <c r="P14" s="280">
        <f>TABLA_BASE[[#This Row],[PERCEP.
UNIT.(US$)
✅CF]]*TABLA_BASE[[#This Row],[CANTIDAD
(unid.)]]</f>
        <v>90.10440023757323</v>
      </c>
      <c r="Q14" s="279">
        <f>TABLA_BASE[[#This Row],[ADV UNIT.
(US$)
⚠️COSTO]]+TABLA_BASE[[#This Row],[IPM UNIT.
(US$)
✅CF]]+TABLA_BASE[[#This Row],[IGV UNIT.
(US$)
✅CF]]</f>
        <v>0.17923488953577896</v>
      </c>
      <c r="R14" s="280">
        <f>TABLA_BASE[[#This Row],[DEUDA
ADUANERA
UNIT.]]*TABLA_BASE[[#This Row],[CANTIDAD
(unid.)]]</f>
        <v>516.19648186304335</v>
      </c>
      <c r="S14" s="278">
        <f>TABLA_BASE[[#This Row],[DEUDA
ADUANERA
UNIT.]]*'📋 Datos Generales'!$E$19</f>
        <v>0.66675378907309779</v>
      </c>
      <c r="T14" s="278">
        <f>TABLA_BASE[[#This Row],[DEUDA
ADUANERA
TOTAL]]*'📋 Datos Generales'!$E$19</f>
        <v>1920.2509125305214</v>
      </c>
      <c r="U14" s="281">
        <f>TABLA_BASE[[#This Row],[ADV UNIT.
(US$)
⚠️COSTO]]*'📋 Datos Generales'!$E$19</f>
        <v>0.15951546792394725</v>
      </c>
      <c r="V14" s="281">
        <f>TABLA_BASE[[#This Row],[ADV UNIT.
(S/.)]]*TABLA_BASE[[#This Row],[CANTIDAD
(unid.)]]</f>
        <v>459.40454762096806</v>
      </c>
      <c r="W14" s="281">
        <f>TABLA_BASE[[#This Row],[IPM UNIT.
(US$)
✅CF]]*'📋 Datos Generales'!$E$19</f>
        <v>5.6340492304533682E-2</v>
      </c>
      <c r="X14" s="281">
        <f>TABLA_BASE[[#This Row],[IPM UNIT.
(S/.)]]*TABLA_BASE[[#This Row],[CANTIDAD
(unid.)]]</f>
        <v>162.260617837057</v>
      </c>
      <c r="Y14" s="281">
        <f>TABLA_BASE[[#This Row],[IGV UNIT.
(US$)
✅CF]]*'📋 Datos Generales'!$E$19</f>
        <v>0.45089782884461682</v>
      </c>
      <c r="Z14" s="281">
        <f>TABLA_BASE[[#This Row],[IGV UNIT.
(S/.)]]*TABLA_BASE[[#This Row],[CANTIDAD
(unid.)]]</f>
        <v>1298.5857470724964</v>
      </c>
      <c r="AA14" s="281">
        <f>TABLA_BASE[[#This Row],[PERCEP.
UNIT.(US$)
✅CF]]*'📋 Datos Generales'!$E$19</f>
        <v>0.11638485030686542</v>
      </c>
      <c r="AB14" s="281">
        <f>TABLA_BASE[[#This Row],[PERCEP.
UNIT.(S/.)]]*TABLA_BASE[[#This Row],[CANTIDAD
(unid.)]]</f>
        <v>335.1883688837724</v>
      </c>
      <c r="AC14" s="279">
        <f>TABLA_BASE[[#This Row],[ADV UNIT.
(US$)
⚠️COSTO]]+TABLA_BASE[[#This Row],[IPM UNIT.
(US$)
✅CF]]+TABLA_BASE[[#This Row],[IGV UNIT.
(US$)
✅CF]]+TABLA_BASE[[#This Row],[PERCEP.
UNIT.(US$)
✅CF]]</f>
        <v>0.21052113961826965</v>
      </c>
      <c r="AD14" s="279">
        <f>TABLA_BASE[[#This Row],[TOTAL PAGO
SUNAT
UNIT.(US$)]]*TABLA_BASE[[#This Row],[CANTIDAD
(unid.)]]</f>
        <v>606.3008821006166</v>
      </c>
      <c r="AE14" s="281">
        <f>TABLA_BASE[[#This Row],[TOTAL PAGO
SUNAT
UNIT.(US$)]]*'📋 Datos Generales'!$E$19</f>
        <v>0.7831386393799632</v>
      </c>
      <c r="AF14" s="281">
        <f>TABLA_BASE[[#This Row],[TOTAL TRIB.
UNIT.(S/.)]]*TABLA_BASE[[#This Row],[CANTIDAD
(unid.)]]</f>
        <v>2255.4392814142939</v>
      </c>
      <c r="AG14" s="279">
        <f>IF('🧾 Factura Comercial'!G18=0,0,'📦 Gastos Importación'!$E$28*(IF('🧾 Tributos Aduana'!$F$6=0,0,'🧾 Factura Comercial'!I18/'🧾 Tributos Aduana'!$F$6))/'🧾 Factura Comercial'!G18)</f>
        <v>0.77568662514023412</v>
      </c>
      <c r="AH14" s="279">
        <f>TABLA_BASE[[#This Row],[GASTOS IMP.
UNIT.(US$)]]*TABLA_BASE[[#This Row],[CANTIDAD
(unid.)]]</f>
        <v>2233.9774804038743</v>
      </c>
      <c r="AI14" s="281">
        <f>TABLA_BASE[[#This Row],[GASTOS IMP.
UNIT.(US$)]]*'📋 Datos Generales'!$E$19</f>
        <v>2.8855542455216709</v>
      </c>
      <c r="AJ14" s="281">
        <f>TABLA_BASE[[#This Row],[GASTOS IMP.
UNIT.(S/.)]]*TABLA_BASE[[#This Row],[CANTIDAD
(unid.)]]</f>
        <v>8310.396227102412</v>
      </c>
      <c r="AK14" s="280">
        <f>'🧮 Costos x Producto'!J18</f>
        <v>0.77568662514023423</v>
      </c>
      <c r="AL14" s="278">
        <f>'🧮 Costos x Producto'!K18</f>
        <v>2.8855542455216714</v>
      </c>
      <c r="AM14" s="278">
        <f>TABLA_BASE[[#This Row],[C/M UNIT.
(S/.)]]*TABLA_BASE[[#This Row],[CANTIDAD
(unid.)]]</f>
        <v>8310.3962271024138</v>
      </c>
      <c r="AN14" s="279">
        <f>IF('🧾 Factura Comercial'!G18=0,0,'🧾 Tributos Aduana'!$F$17*(IF('🧾 Tributos Aduana'!$F$6=0,0,'🧾 Factura Comercial'!I18/'🧾 Tributos Aduana'!$F$6))/'🧾 Factura Comercial'!G18)</f>
        <v>4.288050213009334E-2</v>
      </c>
      <c r="AO14" s="280">
        <f>IF('🧾 Factura Comercial'!G18=0,0,'🏦 Crédito Fiscal'!$C$16*(IF('🧾 Tributos Aduana'!$F$6=0,0,'🧾 Factura Comercial'!I18/'🧾 Tributos Aduana'!$F$6))/'🧾 Factura Comercial'!G18)</f>
        <v>0.17081416548735509</v>
      </c>
      <c r="AP14" s="278">
        <f>TABLA_BASE[[#This Row],[CF UNIT.
✅RECUP.
(US$)]]*'📋 Datos Generales'!$E$19</f>
        <v>0.635428695612961</v>
      </c>
      <c r="AQ14" s="278">
        <f>TABLA_BASE[[#This Row],[CF UNIT.
✅RECUP.(S/.)]]*TABLA_BASE[[#This Row],[CANTIDAD
(unid.)]]</f>
        <v>1830.0346433653276</v>
      </c>
      <c r="AR14" s="288">
        <f>'💰 Precio de Venta'!G19</f>
        <v>0.4</v>
      </c>
      <c r="AS14" s="278">
        <f>'💰 Precio de Venta'!H19</f>
        <v>4.8092570758694526</v>
      </c>
      <c r="AT14" s="278">
        <f>TABLA_BASE[[#This Row],[VALOR VTA.
UNIT.(S/.)]]*TABLA_BASE[[#This Row],[CANTIDAD
(unid.)]]</f>
        <v>13850.660378504024</v>
      </c>
      <c r="AU14" s="281">
        <f>'💰 Precio de Venta'!I19</f>
        <v>5.6749233495259537</v>
      </c>
      <c r="AV14" s="278">
        <f>'💰 Precio de Venta'!J19</f>
        <v>1.9237028303477812</v>
      </c>
      <c r="AW14" s="278">
        <f>TABLA_BASE[[#This Row],[GANANCIA
UNIT.(S/.)]]*TABLA_BASE[[#This Row],[CANTIDAD
(unid.)]]</f>
        <v>5540.2641514016095</v>
      </c>
      <c r="AX14" s="289">
        <f>'💰 Precio de Venta'!K19</f>
        <v>394</v>
      </c>
      <c r="AY14" s="278">
        <f>TABLA_BASE[[#This Row],[GANANCIA
UNIT.(S/.)]]*'🧾 Factura Comercial'!G18</f>
        <v>5540.2641514016095</v>
      </c>
      <c r="AZ14" s="277">
        <f>IF(TABLA_BASE[[#This Row],[PRECIO VTA.
c/IGV(S/.)]]=0,0,TABLA_BASE[[#This Row],[GANANCIA
UNIT.(S/.)]]/TABLA_BASE[[#This Row],[PRECIO VTA.
c/IGV(S/.)]])</f>
        <v>0.33898305084745767</v>
      </c>
      <c r="BA14" s="277">
        <f>IF(TABLA_BASE[[#This Row],[C/M UNIT.
(S/.)]]=0,0,TABLA_BASE[[#This Row],[GANANCIA
UNIT.(S/.)]]/TABLA_BASE[[#This Row],[C/M UNIT.
(S/.)]])</f>
        <v>0.66666666666666674</v>
      </c>
      <c r="BB14" s="274" t="str">
        <f>IF(TABLA_BASE[[#This Row],[MARGEN
%]]&gt;=0.5,"🟢 ALTO",IF(TABLA_BASE[[#This Row],[MARGEN
%]]&gt;=0.3,"🟡 MEDIO","🔴 BAJO"))</f>
        <v>🟡 MEDIO</v>
      </c>
    </row>
    <row r="15" spans="1:54" ht="16.5" hidden="1" thickTop="1" thickBot="1" x14ac:dyDescent="0.3">
      <c r="A15" s="274" t="str">
        <f>'🧾 Factura Comercial'!E19</f>
        <v>Protector Pantalla Vidrio Templado</v>
      </c>
      <c r="B15" s="274" t="str">
        <f>'🧾 Factura Comercial'!F19</f>
        <v>Unid.</v>
      </c>
      <c r="C15" s="275">
        <f>'🧾 Factura Comercial'!G19</f>
        <v>2880</v>
      </c>
      <c r="D15" s="276">
        <f>'🧾 Factura Comercial'!H19</f>
        <v>0.4</v>
      </c>
      <c r="E15" s="276">
        <f>'🧾 Factura Comercial'!I19</f>
        <v>1152</v>
      </c>
      <c r="F15" s="277">
        <f>IF('🧾 Tributos Aduana'!$F$6=0,0,'🧾 Factura Comercial'!I19/'🧾 Tributos Aduana'!$F$6)</f>
        <v>2.6397025935077978E-2</v>
      </c>
      <c r="G15" s="278">
        <f>'🧾 Factura Comercial'!H19*'📋 Datos Generales'!$E$19</f>
        <v>1.4880000000000002</v>
      </c>
      <c r="H15" s="278">
        <f>TABLA_BASE[[#This Row],[FOB UNIT.
(S/.)]]*TABLA_BASE[[#This Row],[CANTIDAD
(unid.)]]</f>
        <v>4285.4400000000005</v>
      </c>
      <c r="I15" s="280">
        <f>IF('🧾 Tributos Aduana'!$F$6=0,0,'🧾 Tributos Aduana'!$F$17*('🧾 Factura Comercial'!H19/'🧾 Tributos Aduana'!$F$6))</f>
        <v>2.5223824782407846E-2</v>
      </c>
      <c r="J15" s="280">
        <f>TABLA_BASE[[#This Row],[ADV UNIT.
(US$)
⚠️COSTO]]*TABLA_BASE[[#This Row],[CANTIDAD
(unid.)]]</f>
        <v>72.644615373334602</v>
      </c>
      <c r="K15" s="279">
        <f>IF('🧾 Tributos Aduana'!$F$6=0,0,'🧾 Tributos Aduana'!$F$18*('🧾 Factura Comercial'!H19/'🧾 Tributos Aduana'!$F$6))</f>
        <v>8.9089962530888179E-3</v>
      </c>
      <c r="L15" s="280">
        <f>TABLA_BASE[[#This Row],[IPM UNIT.
(US$)
✅CF]]*TABLA_BASE[[#This Row],[CANTIDAD
(unid.)]]</f>
        <v>25.657909208895795</v>
      </c>
      <c r="M15" s="279">
        <f>IF('🧾 Tributos Aduana'!$F$6=0,0,'🧾 Tributos Aduana'!$F$19*('🧾 Factura Comercial'!H19/'🧾 Tributos Aduana'!$F$6))</f>
        <v>7.1299466926726257E-2</v>
      </c>
      <c r="N15" s="280">
        <f>TABLA_BASE[[#This Row],[IGV UNIT.
(US$)
✅CF]]*TABLA_BASE[[#This Row],[CANTIDAD
(unid.)]]</f>
        <v>205.34246474897162</v>
      </c>
      <c r="O15" s="280">
        <f>IF('🧾 Tributos Aduana'!$F$6=0,0,'🧾 Tributos Aduana'!$F$23*('🧾 Factura Comercial'!H19/'🧾 Tributos Aduana'!$F$6))</f>
        <v>1.8403676519112181E-2</v>
      </c>
      <c r="P15" s="280">
        <f>TABLA_BASE[[#This Row],[PERCEP.
UNIT.(US$)
✅CF]]*TABLA_BASE[[#This Row],[CANTIDAD
(unid.)]]</f>
        <v>53.002588375043082</v>
      </c>
      <c r="Q15" s="279">
        <f>TABLA_BASE[[#This Row],[ADV UNIT.
(US$)
⚠️COSTO]]+TABLA_BASE[[#This Row],[IPM UNIT.
(US$)
✅CF]]+TABLA_BASE[[#This Row],[IGV UNIT.
(US$)
✅CF]]</f>
        <v>0.10543228796222293</v>
      </c>
      <c r="R15" s="280">
        <f>TABLA_BASE[[#This Row],[DEUDA
ADUANERA
UNIT.]]*TABLA_BASE[[#This Row],[CANTIDAD
(unid.)]]</f>
        <v>303.64498933120205</v>
      </c>
      <c r="S15" s="278">
        <f>TABLA_BASE[[#This Row],[DEUDA
ADUANERA
UNIT.]]*'📋 Datos Generales'!$E$19</f>
        <v>0.3922081112194693</v>
      </c>
      <c r="T15" s="278">
        <f>TABLA_BASE[[#This Row],[DEUDA
ADUANERA
TOTAL]]*'📋 Datos Generales'!$E$19</f>
        <v>1129.5593603120717</v>
      </c>
      <c r="U15" s="281">
        <f>TABLA_BASE[[#This Row],[ADV UNIT.
(US$)
⚠️COSTO]]*'📋 Datos Generales'!$E$19</f>
        <v>9.3832628190557196E-2</v>
      </c>
      <c r="V15" s="281">
        <f>TABLA_BASE[[#This Row],[ADV UNIT.
(S/.)]]*TABLA_BASE[[#This Row],[CANTIDAD
(unid.)]]</f>
        <v>270.2379691888047</v>
      </c>
      <c r="W15" s="281">
        <f>TABLA_BASE[[#This Row],[IPM UNIT.
(US$)
✅CF]]*'📋 Datos Generales'!$E$19</f>
        <v>3.3141466061490404E-2</v>
      </c>
      <c r="X15" s="281">
        <f>TABLA_BASE[[#This Row],[IPM UNIT.
(S/.)]]*TABLA_BASE[[#This Row],[CANTIDAD
(unid.)]]</f>
        <v>95.44742225709237</v>
      </c>
      <c r="Y15" s="281">
        <f>TABLA_BASE[[#This Row],[IGV UNIT.
(US$)
✅CF]]*'📋 Datos Generales'!$E$19</f>
        <v>0.26523401696742172</v>
      </c>
      <c r="Z15" s="281">
        <f>TABLA_BASE[[#This Row],[IGV UNIT.
(S/.)]]*TABLA_BASE[[#This Row],[CANTIDAD
(unid.)]]</f>
        <v>763.87396886617455</v>
      </c>
      <c r="AA15" s="281">
        <f>TABLA_BASE[[#This Row],[PERCEP.
UNIT.(US$)
✅CF]]*'📋 Datos Generales'!$E$19</f>
        <v>6.8461676651097314E-2</v>
      </c>
      <c r="AB15" s="281">
        <f>TABLA_BASE[[#This Row],[PERCEP.
UNIT.(S/.)]]*TABLA_BASE[[#This Row],[CANTIDAD
(unid.)]]</f>
        <v>197.16962875516026</v>
      </c>
      <c r="AC15" s="279">
        <f>TABLA_BASE[[#This Row],[ADV UNIT.
(US$)
⚠️COSTO]]+TABLA_BASE[[#This Row],[IPM UNIT.
(US$)
✅CF]]+TABLA_BASE[[#This Row],[IGV UNIT.
(US$)
✅CF]]+TABLA_BASE[[#This Row],[PERCEP.
UNIT.(US$)
✅CF]]</f>
        <v>0.1238359644813351</v>
      </c>
      <c r="AD15" s="279">
        <f>TABLA_BASE[[#This Row],[TOTAL PAGO
SUNAT
UNIT.(US$)]]*TABLA_BASE[[#This Row],[CANTIDAD
(unid.)]]</f>
        <v>356.6475777062451</v>
      </c>
      <c r="AE15" s="281">
        <f>TABLA_BASE[[#This Row],[TOTAL PAGO
SUNAT
UNIT.(US$)]]*'📋 Datos Generales'!$E$19</f>
        <v>0.46066978787056662</v>
      </c>
      <c r="AF15" s="281">
        <f>TABLA_BASE[[#This Row],[TOTAL TRIB.
UNIT.(S/.)]]*TABLA_BASE[[#This Row],[CANTIDAD
(unid.)]]</f>
        <v>1326.7289890672319</v>
      </c>
      <c r="AG15" s="279">
        <f>IF('🧾 Factura Comercial'!G19=0,0,'📦 Gastos Importación'!$E$28*(IF('🧾 Tributos Aduana'!$F$6=0,0,'🧾 Factura Comercial'!I19/'🧾 Tributos Aduana'!$F$6))/'🧾 Factura Comercial'!G19)</f>
        <v>0.45628625008249069</v>
      </c>
      <c r="AH15" s="279">
        <f>TABLA_BASE[[#This Row],[GASTOS IMP.
UNIT.(US$)]]*TABLA_BASE[[#This Row],[CANTIDAD
(unid.)]]</f>
        <v>1314.1044002375731</v>
      </c>
      <c r="AI15" s="281">
        <f>TABLA_BASE[[#This Row],[GASTOS IMP.
UNIT.(US$)]]*'📋 Datos Generales'!$E$19</f>
        <v>1.6973848503068654</v>
      </c>
      <c r="AJ15" s="281">
        <f>TABLA_BASE[[#This Row],[GASTOS IMP.
UNIT.(S/.)]]*TABLA_BASE[[#This Row],[CANTIDAD
(unid.)]]</f>
        <v>4888.4683688837722</v>
      </c>
      <c r="AK15" s="280">
        <f>'🧮 Costos x Producto'!J19</f>
        <v>0.45628625008249069</v>
      </c>
      <c r="AL15" s="278">
        <f>'🧮 Costos x Producto'!K19</f>
        <v>1.6973848503068654</v>
      </c>
      <c r="AM15" s="278">
        <f>TABLA_BASE[[#This Row],[C/M UNIT.
(S/.)]]*TABLA_BASE[[#This Row],[CANTIDAD
(unid.)]]</f>
        <v>4888.4683688837722</v>
      </c>
      <c r="AN15" s="279">
        <f>IF('🧾 Factura Comercial'!G19=0,0,'🧾 Tributos Aduana'!$F$17*(IF('🧾 Tributos Aduana'!$F$6=0,0,'🧾 Factura Comercial'!I19/'🧾 Tributos Aduana'!$F$6))/'🧾 Factura Comercial'!G19)</f>
        <v>2.5223824782407849E-2</v>
      </c>
      <c r="AO15" s="280">
        <f>IF('🧾 Factura Comercial'!G19=0,0,'🏦 Crédito Fiscal'!$C$16*(IF('🧾 Tributos Aduana'!$F$6=0,0,'🧾 Factura Comercial'!I19/'🧾 Tributos Aduana'!$F$6))/'🧾 Factura Comercial'!G19)</f>
        <v>0.10047892087491474</v>
      </c>
      <c r="AP15" s="278">
        <f>TABLA_BASE[[#This Row],[CF UNIT.
✅RECUP.
(US$)]]*'📋 Datos Generales'!$E$19</f>
        <v>0.37378158565468284</v>
      </c>
      <c r="AQ15" s="278">
        <f>TABLA_BASE[[#This Row],[CF UNIT.
✅RECUP.(S/.)]]*TABLA_BASE[[#This Row],[CANTIDAD
(unid.)]]</f>
        <v>1076.4909666854865</v>
      </c>
      <c r="AR15" s="288">
        <f>'💰 Precio de Venta'!G20</f>
        <v>0.4</v>
      </c>
      <c r="AS15" s="278">
        <f>'💰 Precio de Venta'!H20</f>
        <v>2.8289747505114424</v>
      </c>
      <c r="AT15" s="278">
        <f>TABLA_BASE[[#This Row],[VALOR VTA.
UNIT.(S/.)]]*TABLA_BASE[[#This Row],[CANTIDAD
(unid.)]]</f>
        <v>8147.4472814729543</v>
      </c>
      <c r="AU15" s="281">
        <f>'💰 Precio de Venta'!I20</f>
        <v>3.3381902056035018</v>
      </c>
      <c r="AV15" s="278">
        <f>'💰 Precio de Venta'!J20</f>
        <v>1.1315899002045771</v>
      </c>
      <c r="AW15" s="278">
        <f>TABLA_BASE[[#This Row],[GANANCIA
UNIT.(S/.)]]*TABLA_BASE[[#This Row],[CANTIDAD
(unid.)]]</f>
        <v>3258.9789125891821</v>
      </c>
      <c r="AX15" s="289">
        <f>'💰 Precio de Venta'!K20</f>
        <v>394</v>
      </c>
      <c r="AY15" s="278">
        <f>TABLA_BASE[[#This Row],[GANANCIA
UNIT.(S/.)]]*'🧾 Factura Comercial'!G19</f>
        <v>3258.9789125891821</v>
      </c>
      <c r="AZ15" s="277">
        <f>IF(TABLA_BASE[[#This Row],[PRECIO VTA.
c/IGV(S/.)]]=0,0,TABLA_BASE[[#This Row],[GANANCIA
UNIT.(S/.)]]/TABLA_BASE[[#This Row],[PRECIO VTA.
c/IGV(S/.)]])</f>
        <v>0.33898305084745767</v>
      </c>
      <c r="BA15" s="277">
        <f>IF(TABLA_BASE[[#This Row],[C/M UNIT.
(S/.)]]=0,0,TABLA_BASE[[#This Row],[GANANCIA
UNIT.(S/.)]]/TABLA_BASE[[#This Row],[C/M UNIT.
(S/.)]])</f>
        <v>0.66666666666666674</v>
      </c>
      <c r="BB15" s="274" t="str">
        <f>IF(TABLA_BASE[[#This Row],[MARGEN
%]]&gt;=0.5,"🟢 ALTO",IF(TABLA_BASE[[#This Row],[MARGEN
%]]&gt;=0.3,"🟡 MEDIO","🔴 BAJO"))</f>
        <v>🟡 MEDIO</v>
      </c>
    </row>
    <row r="16" spans="1:54" ht="16.5" hidden="1" thickTop="1" thickBot="1" x14ac:dyDescent="0.3">
      <c r="A16" s="274" t="str">
        <f>'🧾 Factura Comercial'!E20</f>
        <v>Audífonos In-Ear con Micrófono</v>
      </c>
      <c r="B16" s="274" t="str">
        <f>'🧾 Factura Comercial'!F20</f>
        <v>Unid.</v>
      </c>
      <c r="C16" s="275">
        <f>'🧾 Factura Comercial'!G20</f>
        <v>10224</v>
      </c>
      <c r="D16" s="276">
        <f>'🧾 Factura Comercial'!H20</f>
        <v>0.34</v>
      </c>
      <c r="E16" s="276">
        <f>'🧾 Factura Comercial'!I20</f>
        <v>3476.1600000000003</v>
      </c>
      <c r="F16" s="277">
        <f>IF('🧾 Tributos Aduana'!$F$6=0,0,'🧾 Factura Comercial'!I20/'🧾 Tributos Aduana'!$F$6)</f>
        <v>7.9653025759097801E-2</v>
      </c>
      <c r="G16" s="278">
        <f>'🧾 Factura Comercial'!H20*'📋 Datos Generales'!$E$19</f>
        <v>1.2648000000000001</v>
      </c>
      <c r="H16" s="278">
        <f>TABLA_BASE[[#This Row],[FOB UNIT.
(S/.)]]*TABLA_BASE[[#This Row],[CANTIDAD
(unid.)]]</f>
        <v>12931.315200000001</v>
      </c>
      <c r="I16" s="280">
        <f>IF('🧾 Tributos Aduana'!$F$6=0,0,'🧾 Tributos Aduana'!$F$17*('🧾 Factura Comercial'!H20/'🧾 Tributos Aduana'!$F$6))</f>
        <v>2.144025106504667E-2</v>
      </c>
      <c r="J16" s="280">
        <f>TABLA_BASE[[#This Row],[ADV UNIT.
(US$)
⚠️COSTO]]*TABLA_BASE[[#This Row],[CANTIDAD
(unid.)]]</f>
        <v>219.20512688903716</v>
      </c>
      <c r="K16" s="279">
        <f>IF('🧾 Tributos Aduana'!$F$6=0,0,'🧾 Tributos Aduana'!$F$18*('🧾 Factura Comercial'!H20/'🧾 Tributos Aduana'!$F$6))</f>
        <v>7.5726468151254946E-3</v>
      </c>
      <c r="L16" s="280">
        <f>TABLA_BASE[[#This Row],[IPM UNIT.
(US$)
✅CF]]*TABLA_BASE[[#This Row],[CANTIDAD
(unid.)]]</f>
        <v>77.422741037843053</v>
      </c>
      <c r="M16" s="279">
        <f>IF('🧾 Tributos Aduana'!$F$6=0,0,'🧾 Tributos Aduana'!$F$19*('🧾 Factura Comercial'!H20/'🧾 Tributos Aduana'!$F$6))</f>
        <v>6.0604546887717312E-2</v>
      </c>
      <c r="N16" s="280">
        <f>TABLA_BASE[[#This Row],[IGV UNIT.
(US$)
✅CF]]*TABLA_BASE[[#This Row],[CANTIDAD
(unid.)]]</f>
        <v>619.62088738002183</v>
      </c>
      <c r="O16" s="280">
        <f>IF('🧾 Tributos Aduana'!$F$6=0,0,'🧾 Tributos Aduana'!$F$23*('🧾 Factura Comercial'!H20/'🧾 Tributos Aduana'!$F$6))</f>
        <v>1.5643125041245352E-2</v>
      </c>
      <c r="P16" s="280">
        <f>TABLA_BASE[[#This Row],[PERCEP.
UNIT.(US$)
✅CF]]*TABLA_BASE[[#This Row],[CANTIDAD
(unid.)]]</f>
        <v>159.93531042169246</v>
      </c>
      <c r="Q16" s="279">
        <f>TABLA_BASE[[#This Row],[ADV UNIT.
(US$)
⚠️COSTO]]+TABLA_BASE[[#This Row],[IPM UNIT.
(US$)
✅CF]]+TABLA_BASE[[#This Row],[IGV UNIT.
(US$)
✅CF]]</f>
        <v>8.9617444767889479E-2</v>
      </c>
      <c r="R16" s="280">
        <f>TABLA_BASE[[#This Row],[DEUDA
ADUANERA
UNIT.]]*TABLA_BASE[[#This Row],[CANTIDAD
(unid.)]]</f>
        <v>916.24875530690201</v>
      </c>
      <c r="S16" s="278">
        <f>TABLA_BASE[[#This Row],[DEUDA
ADUANERA
UNIT.]]*'📋 Datos Generales'!$E$19</f>
        <v>0.3333768945365489</v>
      </c>
      <c r="T16" s="278">
        <f>TABLA_BASE[[#This Row],[DEUDA
ADUANERA
TOTAL]]*'📋 Datos Generales'!$E$19</f>
        <v>3408.4453697416757</v>
      </c>
      <c r="U16" s="281">
        <f>TABLA_BASE[[#This Row],[ADV UNIT.
(US$)
⚠️COSTO]]*'📋 Datos Generales'!$E$19</f>
        <v>7.9757733961973623E-2</v>
      </c>
      <c r="V16" s="281">
        <f>TABLA_BASE[[#This Row],[ADV UNIT.
(S/.)]]*TABLA_BASE[[#This Row],[CANTIDAD
(unid.)]]</f>
        <v>815.44307202721836</v>
      </c>
      <c r="W16" s="281">
        <f>TABLA_BASE[[#This Row],[IPM UNIT.
(US$)
✅CF]]*'📋 Datos Generales'!$E$19</f>
        <v>2.8170246152266841E-2</v>
      </c>
      <c r="X16" s="281">
        <f>TABLA_BASE[[#This Row],[IPM UNIT.
(S/.)]]*TABLA_BASE[[#This Row],[CANTIDAD
(unid.)]]</f>
        <v>288.01259666077618</v>
      </c>
      <c r="Y16" s="281">
        <f>TABLA_BASE[[#This Row],[IGV UNIT.
(US$)
✅CF]]*'📋 Datos Generales'!$E$19</f>
        <v>0.22544891442230841</v>
      </c>
      <c r="Z16" s="281">
        <f>TABLA_BASE[[#This Row],[IGV UNIT.
(S/.)]]*TABLA_BASE[[#This Row],[CANTIDAD
(unid.)]]</f>
        <v>2304.9897010536811</v>
      </c>
      <c r="AA16" s="281">
        <f>TABLA_BASE[[#This Row],[PERCEP.
UNIT.(US$)
✅CF]]*'📋 Datos Generales'!$E$19</f>
        <v>5.819242515343271E-2</v>
      </c>
      <c r="AB16" s="281">
        <f>TABLA_BASE[[#This Row],[PERCEP.
UNIT.(S/.)]]*TABLA_BASE[[#This Row],[CANTIDAD
(unid.)]]</f>
        <v>594.95935476869602</v>
      </c>
      <c r="AC16" s="279">
        <f>TABLA_BASE[[#This Row],[ADV UNIT.
(US$)
⚠️COSTO]]+TABLA_BASE[[#This Row],[IPM UNIT.
(US$)
✅CF]]+TABLA_BASE[[#This Row],[IGV UNIT.
(US$)
✅CF]]+TABLA_BASE[[#This Row],[PERCEP.
UNIT.(US$)
✅CF]]</f>
        <v>0.10526056980913483</v>
      </c>
      <c r="AD16" s="279">
        <f>TABLA_BASE[[#This Row],[TOTAL PAGO
SUNAT
UNIT.(US$)]]*TABLA_BASE[[#This Row],[CANTIDAD
(unid.)]]</f>
        <v>1076.1840657285945</v>
      </c>
      <c r="AE16" s="281">
        <f>TABLA_BASE[[#This Row],[TOTAL PAGO
SUNAT
UNIT.(US$)]]*'📋 Datos Generales'!$E$19</f>
        <v>0.3915693196899816</v>
      </c>
      <c r="AF16" s="281">
        <f>TABLA_BASE[[#This Row],[TOTAL TRIB.
UNIT.(S/.)]]*TABLA_BASE[[#This Row],[CANTIDAD
(unid.)]]</f>
        <v>4003.404724510372</v>
      </c>
      <c r="AG16" s="279">
        <f>IF('🧾 Factura Comercial'!G20=0,0,'📦 Gastos Importación'!$E$28*(IF('🧾 Tributos Aduana'!$F$6=0,0,'🧾 Factura Comercial'!I20/'🧾 Tributos Aduana'!$F$6))/'🧾 Factura Comercial'!G20)</f>
        <v>0.38784331257011706</v>
      </c>
      <c r="AH16" s="279">
        <f>TABLA_BASE[[#This Row],[GASTOS IMP.
UNIT.(US$)]]*TABLA_BASE[[#This Row],[CANTIDAD
(unid.)]]</f>
        <v>3965.3100277168769</v>
      </c>
      <c r="AI16" s="281">
        <f>TABLA_BASE[[#This Row],[GASTOS IMP.
UNIT.(US$)]]*'📋 Datos Generales'!$E$19</f>
        <v>1.4427771227608355</v>
      </c>
      <c r="AJ16" s="281">
        <f>TABLA_BASE[[#This Row],[GASTOS IMP.
UNIT.(S/.)]]*TABLA_BASE[[#This Row],[CANTIDAD
(unid.)]]</f>
        <v>14750.953303106782</v>
      </c>
      <c r="AK16" s="280">
        <f>'🧮 Costos x Producto'!J20</f>
        <v>0.38784331257011712</v>
      </c>
      <c r="AL16" s="278">
        <f>'🧮 Costos x Producto'!K20</f>
        <v>1.4427771227608357</v>
      </c>
      <c r="AM16" s="278">
        <f>TABLA_BASE[[#This Row],[C/M UNIT.
(S/.)]]*TABLA_BASE[[#This Row],[CANTIDAD
(unid.)]]</f>
        <v>14750.953303106784</v>
      </c>
      <c r="AN16" s="279">
        <f>IF('🧾 Factura Comercial'!G20=0,0,'🧾 Tributos Aduana'!$F$17*(IF('🧾 Tributos Aduana'!$F$6=0,0,'🧾 Factura Comercial'!I20/'🧾 Tributos Aduana'!$F$6))/'🧾 Factura Comercial'!G20)</f>
        <v>2.144025106504667E-2</v>
      </c>
      <c r="AO16" s="280">
        <f>IF('🧾 Factura Comercial'!G20=0,0,'🏦 Crédito Fiscal'!$C$16*(IF('🧾 Tributos Aduana'!$F$6=0,0,'🧾 Factura Comercial'!I20/'🧾 Tributos Aduana'!$F$6))/'🧾 Factura Comercial'!G20)</f>
        <v>8.5407082743677532E-2</v>
      </c>
      <c r="AP16" s="278">
        <f>TABLA_BASE[[#This Row],[CF UNIT.
✅RECUP.
(US$)]]*'📋 Datos Generales'!$E$19</f>
        <v>0.31771434780648045</v>
      </c>
      <c r="AQ16" s="278">
        <f>TABLA_BASE[[#This Row],[CF UNIT.
✅RECUP.(S/.)]]*TABLA_BASE[[#This Row],[CANTIDAD
(unid.)]]</f>
        <v>3248.3114919734562</v>
      </c>
      <c r="AR16" s="288">
        <f>'💰 Precio de Venta'!G21</f>
        <v>0.4</v>
      </c>
      <c r="AS16" s="278">
        <f>'💰 Precio de Venta'!H21</f>
        <v>2.4046285379347263</v>
      </c>
      <c r="AT16" s="278">
        <f>TABLA_BASE[[#This Row],[VALOR VTA.
UNIT.(S/.)]]*TABLA_BASE[[#This Row],[CANTIDAD
(unid.)]]</f>
        <v>24584.922171844642</v>
      </c>
      <c r="AU16" s="281">
        <f>'💰 Precio de Venta'!I21</f>
        <v>2.8374616747629768</v>
      </c>
      <c r="AV16" s="278">
        <f>'💰 Precio de Venta'!J21</f>
        <v>0.96185141517389061</v>
      </c>
      <c r="AW16" s="278">
        <f>TABLA_BASE[[#This Row],[GANANCIA
UNIT.(S/.)]]*TABLA_BASE[[#This Row],[CANTIDAD
(unid.)]]</f>
        <v>9833.9688687378584</v>
      </c>
      <c r="AX16" s="289">
        <f>'💰 Precio de Venta'!K21</f>
        <v>1398</v>
      </c>
      <c r="AY16" s="278">
        <f>TABLA_BASE[[#This Row],[GANANCIA
UNIT.(S/.)]]*'🧾 Factura Comercial'!G20</f>
        <v>9833.9688687378584</v>
      </c>
      <c r="AZ16" s="277">
        <f>IF(TABLA_BASE[[#This Row],[PRECIO VTA.
c/IGV(S/.)]]=0,0,TABLA_BASE[[#This Row],[GANANCIA
UNIT.(S/.)]]/TABLA_BASE[[#This Row],[PRECIO VTA.
c/IGV(S/.)]])</f>
        <v>0.33898305084745767</v>
      </c>
      <c r="BA16" s="277">
        <f>IF(TABLA_BASE[[#This Row],[C/M UNIT.
(S/.)]]=0,0,TABLA_BASE[[#This Row],[GANANCIA
UNIT.(S/.)]]/TABLA_BASE[[#This Row],[C/M UNIT.
(S/.)]])</f>
        <v>0.66666666666666674</v>
      </c>
      <c r="BB16" s="274" t="str">
        <f>IF(TABLA_BASE[[#This Row],[MARGEN
%]]&gt;=0.5,"🟢 ALTO",IF(TABLA_BASE[[#This Row],[MARGEN
%]]&gt;=0.3,"🟡 MEDIO","🔴 BAJO"))</f>
        <v>🟡 MEDIO</v>
      </c>
    </row>
    <row r="17" spans="1:54" ht="16.5" hidden="1" thickTop="1" thickBot="1" x14ac:dyDescent="0.3">
      <c r="A17" s="274" t="str">
        <f>'🧾 Factura Comercial'!E21</f>
        <v>Cable Micro USB 2m Nylon</v>
      </c>
      <c r="B17" s="274" t="str">
        <f>'🧾 Factura Comercial'!F21</f>
        <v>Unid.</v>
      </c>
      <c r="C17" s="275">
        <f>'🧾 Factura Comercial'!G21</f>
        <v>8640</v>
      </c>
      <c r="D17" s="276">
        <f>'🧾 Factura Comercial'!H21</f>
        <v>0.26</v>
      </c>
      <c r="E17" s="276">
        <f>'🧾 Factura Comercial'!I21</f>
        <v>2246.4</v>
      </c>
      <c r="F17" s="277">
        <f>IF('🧾 Tributos Aduana'!$F$6=0,0,'🧾 Factura Comercial'!I21/'🧾 Tributos Aduana'!$F$6)</f>
        <v>5.147420057340206E-2</v>
      </c>
      <c r="G17" s="278">
        <f>'🧾 Factura Comercial'!H21*'📋 Datos Generales'!$E$19</f>
        <v>0.96720000000000006</v>
      </c>
      <c r="H17" s="278">
        <f>TABLA_BASE[[#This Row],[FOB UNIT.
(S/.)]]*TABLA_BASE[[#This Row],[CANTIDAD
(unid.)]]</f>
        <v>8356.6080000000002</v>
      </c>
      <c r="I17" s="280">
        <f>IF('🧾 Tributos Aduana'!$F$6=0,0,'🧾 Tributos Aduana'!$F$17*('🧾 Factura Comercial'!H21/'🧾 Tributos Aduana'!$F$6))</f>
        <v>1.6395486108565099E-2</v>
      </c>
      <c r="J17" s="280">
        <f>TABLA_BASE[[#This Row],[ADV UNIT.
(US$)
⚠️COSTO]]*TABLA_BASE[[#This Row],[CANTIDAD
(unid.)]]</f>
        <v>141.65699997800246</v>
      </c>
      <c r="K17" s="279">
        <f>IF('🧾 Tributos Aduana'!$F$6=0,0,'🧾 Tributos Aduana'!$F$18*('🧾 Factura Comercial'!H21/'🧾 Tributos Aduana'!$F$6))</f>
        <v>5.7908475645077314E-3</v>
      </c>
      <c r="L17" s="280">
        <f>TABLA_BASE[[#This Row],[IPM UNIT.
(US$)
✅CF]]*TABLA_BASE[[#This Row],[CANTIDAD
(unid.)]]</f>
        <v>50.032922957346798</v>
      </c>
      <c r="M17" s="279">
        <f>IF('🧾 Tributos Aduana'!$F$6=0,0,'🧾 Tributos Aduana'!$F$19*('🧾 Factura Comercial'!H21/'🧾 Tributos Aduana'!$F$6))</f>
        <v>4.634465350237206E-2</v>
      </c>
      <c r="N17" s="280">
        <f>TABLA_BASE[[#This Row],[IGV UNIT.
(US$)
✅CF]]*TABLA_BASE[[#This Row],[CANTIDAD
(unid.)]]</f>
        <v>400.41780626049461</v>
      </c>
      <c r="O17" s="280">
        <f>IF('🧾 Tributos Aduana'!$F$6=0,0,'🧾 Tributos Aduana'!$F$23*('🧾 Factura Comercial'!H21/'🧾 Tributos Aduana'!$F$6))</f>
        <v>1.1962389737422916E-2</v>
      </c>
      <c r="P17" s="280">
        <f>TABLA_BASE[[#This Row],[PERCEP.
UNIT.(US$)
✅CF]]*TABLA_BASE[[#This Row],[CANTIDAD
(unid.)]]</f>
        <v>103.35504733133399</v>
      </c>
      <c r="Q17" s="279">
        <f>TABLA_BASE[[#This Row],[ADV UNIT.
(US$)
⚠️COSTO]]+TABLA_BASE[[#This Row],[IPM UNIT.
(US$)
✅CF]]+TABLA_BASE[[#This Row],[IGV UNIT.
(US$)
✅CF]]</f>
        <v>6.8530987175444896E-2</v>
      </c>
      <c r="R17" s="280">
        <f>TABLA_BASE[[#This Row],[DEUDA
ADUANERA
UNIT.]]*TABLA_BASE[[#This Row],[CANTIDAD
(unid.)]]</f>
        <v>592.10772919584394</v>
      </c>
      <c r="S17" s="278">
        <f>TABLA_BASE[[#This Row],[DEUDA
ADUANERA
UNIT.]]*'📋 Datos Generales'!$E$19</f>
        <v>0.254935272292655</v>
      </c>
      <c r="T17" s="278">
        <f>TABLA_BASE[[#This Row],[DEUDA
ADUANERA
TOTAL]]*'📋 Datos Generales'!$E$19</f>
        <v>2202.6407526085395</v>
      </c>
      <c r="U17" s="281">
        <f>TABLA_BASE[[#This Row],[ADV UNIT.
(US$)
⚠️COSTO]]*'📋 Datos Generales'!$E$19</f>
        <v>6.0991208323862171E-2</v>
      </c>
      <c r="V17" s="281">
        <f>TABLA_BASE[[#This Row],[ADV UNIT.
(S/.)]]*TABLA_BASE[[#This Row],[CANTIDAD
(unid.)]]</f>
        <v>526.96403991816919</v>
      </c>
      <c r="W17" s="281">
        <f>TABLA_BASE[[#This Row],[IPM UNIT.
(US$)
✅CF]]*'📋 Datos Generales'!$E$19</f>
        <v>2.1541952939968762E-2</v>
      </c>
      <c r="X17" s="281">
        <f>TABLA_BASE[[#This Row],[IPM UNIT.
(S/.)]]*TABLA_BASE[[#This Row],[CANTIDAD
(unid.)]]</f>
        <v>186.1224734013301</v>
      </c>
      <c r="Y17" s="281">
        <f>TABLA_BASE[[#This Row],[IGV UNIT.
(US$)
✅CF]]*'📋 Datos Generales'!$E$19</f>
        <v>0.17240211102882408</v>
      </c>
      <c r="Z17" s="281">
        <f>TABLA_BASE[[#This Row],[IGV UNIT.
(S/.)]]*TABLA_BASE[[#This Row],[CANTIDAD
(unid.)]]</f>
        <v>1489.55423928904</v>
      </c>
      <c r="AA17" s="281">
        <f>TABLA_BASE[[#This Row],[PERCEP.
UNIT.(US$)
✅CF]]*'📋 Datos Generales'!$E$19</f>
        <v>4.4500089823213254E-2</v>
      </c>
      <c r="AB17" s="281">
        <f>TABLA_BASE[[#This Row],[PERCEP.
UNIT.(S/.)]]*TABLA_BASE[[#This Row],[CANTIDAD
(unid.)]]</f>
        <v>384.48077607256249</v>
      </c>
      <c r="AC17" s="279">
        <f>TABLA_BASE[[#This Row],[ADV UNIT.
(US$)
⚠️COSTO]]+TABLA_BASE[[#This Row],[IPM UNIT.
(US$)
✅CF]]+TABLA_BASE[[#This Row],[IGV UNIT.
(US$)
✅CF]]+TABLA_BASE[[#This Row],[PERCEP.
UNIT.(US$)
✅CF]]</f>
        <v>8.0493376912867814E-2</v>
      </c>
      <c r="AD17" s="279">
        <f>TABLA_BASE[[#This Row],[TOTAL PAGO
SUNAT
UNIT.(US$)]]*TABLA_BASE[[#This Row],[CANTIDAD
(unid.)]]</f>
        <v>695.46277652717788</v>
      </c>
      <c r="AE17" s="281">
        <f>TABLA_BASE[[#This Row],[TOTAL PAGO
SUNAT
UNIT.(US$)]]*'📋 Datos Generales'!$E$19</f>
        <v>0.2994353621158683</v>
      </c>
      <c r="AF17" s="281">
        <f>TABLA_BASE[[#This Row],[TOTAL TRIB.
UNIT.(S/.)]]*TABLA_BASE[[#This Row],[CANTIDAD
(unid.)]]</f>
        <v>2587.1215286811021</v>
      </c>
      <c r="AG17" s="279">
        <f>IF('🧾 Factura Comercial'!G21=0,0,'📦 Gastos Importación'!$E$28*(IF('🧾 Tributos Aduana'!$F$6=0,0,'🧾 Factura Comercial'!I21/'🧾 Tributos Aduana'!$F$6))/'🧾 Factura Comercial'!G21)</f>
        <v>0.29658606255361891</v>
      </c>
      <c r="AH17" s="279">
        <f>TABLA_BASE[[#This Row],[GASTOS IMP.
UNIT.(US$)]]*TABLA_BASE[[#This Row],[CANTIDAD
(unid.)]]</f>
        <v>2562.5035804632676</v>
      </c>
      <c r="AI17" s="281">
        <f>TABLA_BASE[[#This Row],[GASTOS IMP.
UNIT.(US$)]]*'📋 Datos Generales'!$E$19</f>
        <v>1.1033001526994624</v>
      </c>
      <c r="AJ17" s="281">
        <f>TABLA_BASE[[#This Row],[GASTOS IMP.
UNIT.(S/.)]]*TABLA_BASE[[#This Row],[CANTIDAD
(unid.)]]</f>
        <v>9532.5133193233542</v>
      </c>
      <c r="AK17" s="280">
        <f>'🧮 Costos x Producto'!J21</f>
        <v>0.29658606255361897</v>
      </c>
      <c r="AL17" s="278">
        <f>'🧮 Costos x Producto'!K21</f>
        <v>1.1033001526994626</v>
      </c>
      <c r="AM17" s="278">
        <f>TABLA_BASE[[#This Row],[C/M UNIT.
(S/.)]]*TABLA_BASE[[#This Row],[CANTIDAD
(unid.)]]</f>
        <v>9532.513319323356</v>
      </c>
      <c r="AN17" s="279">
        <f>IF('🧾 Factura Comercial'!G21=0,0,'🧾 Tributos Aduana'!$F$17*(IF('🧾 Tributos Aduana'!$F$6=0,0,'🧾 Factura Comercial'!I21/'🧾 Tributos Aduana'!$F$6))/'🧾 Factura Comercial'!G21)</f>
        <v>1.6395486108565099E-2</v>
      </c>
      <c r="AO17" s="280">
        <f>IF('🧾 Factura Comercial'!G21=0,0,'🏦 Crédito Fiscal'!$C$16*(IF('🧾 Tributos Aduana'!$F$6=0,0,'🧾 Factura Comercial'!I21/'🧾 Tributos Aduana'!$F$6))/'🧾 Factura Comercial'!G21)</f>
        <v>6.5311298568694595E-2</v>
      </c>
      <c r="AP17" s="278">
        <f>TABLA_BASE[[#This Row],[CF UNIT.
✅RECUP.
(US$)]]*'📋 Datos Generales'!$E$19</f>
        <v>0.24295803067554392</v>
      </c>
      <c r="AQ17" s="278">
        <f>TABLA_BASE[[#This Row],[CF UNIT.
✅RECUP.(S/.)]]*TABLA_BASE[[#This Row],[CANTIDAD
(unid.)]]</f>
        <v>2099.1573850366995</v>
      </c>
      <c r="AR17" s="288">
        <f>'💰 Precio de Venta'!G22</f>
        <v>0.4</v>
      </c>
      <c r="AS17" s="278">
        <f>'💰 Precio de Venta'!H22</f>
        <v>1.8388335878324378</v>
      </c>
      <c r="AT17" s="278">
        <f>TABLA_BASE[[#This Row],[VALOR VTA.
UNIT.(S/.)]]*TABLA_BASE[[#This Row],[CANTIDAD
(unid.)]]</f>
        <v>15887.522198872262</v>
      </c>
      <c r="AU17" s="281">
        <f>'💰 Precio de Venta'!I22</f>
        <v>2.1698236336422765</v>
      </c>
      <c r="AV17" s="278">
        <f>'💰 Precio de Venta'!J22</f>
        <v>0.7355334351329752</v>
      </c>
      <c r="AW17" s="278">
        <f>TABLA_BASE[[#This Row],[GANANCIA
UNIT.(S/.)]]*TABLA_BASE[[#This Row],[CANTIDAD
(unid.)]]</f>
        <v>6355.0088795489055</v>
      </c>
      <c r="AX17" s="289">
        <f>'💰 Precio de Venta'!K22</f>
        <v>1181</v>
      </c>
      <c r="AY17" s="278">
        <f>TABLA_BASE[[#This Row],[GANANCIA
UNIT.(S/.)]]*'🧾 Factura Comercial'!G21</f>
        <v>6355.0088795489055</v>
      </c>
      <c r="AZ17" s="277">
        <f>IF(TABLA_BASE[[#This Row],[PRECIO VTA.
c/IGV(S/.)]]=0,0,TABLA_BASE[[#This Row],[GANANCIA
UNIT.(S/.)]]/TABLA_BASE[[#This Row],[PRECIO VTA.
c/IGV(S/.)]])</f>
        <v>0.33898305084745767</v>
      </c>
      <c r="BA17" s="277">
        <f>IF(TABLA_BASE[[#This Row],[C/M UNIT.
(S/.)]]=0,0,TABLA_BASE[[#This Row],[GANANCIA
UNIT.(S/.)]]/TABLA_BASE[[#This Row],[C/M UNIT.
(S/.)]])</f>
        <v>0.66666666666666685</v>
      </c>
      <c r="BB17" s="274" t="str">
        <f>IF(TABLA_BASE[[#This Row],[MARGEN
%]]&gt;=0.5,"🟢 ALTO",IF(TABLA_BASE[[#This Row],[MARGEN
%]]&gt;=0.3,"🟡 MEDIO","🔴 BAJO"))</f>
        <v>🟡 MEDIO</v>
      </c>
    </row>
    <row r="18" spans="1:54" ht="16.5" hidden="1" thickTop="1" thickBot="1" x14ac:dyDescent="0.3">
      <c r="A18" s="274" t="str">
        <f>'🧾 Factura Comercial'!E22</f>
        <v>Soporte Anillo Pop Socket Metálico</v>
      </c>
      <c r="B18" s="274" t="str">
        <f>'🧾 Factura Comercial'!F22</f>
        <v>Unid.</v>
      </c>
      <c r="C18" s="275">
        <f>'🧾 Factura Comercial'!G22</f>
        <v>2160</v>
      </c>
      <c r="D18" s="276">
        <f>'🧾 Factura Comercial'!H22</f>
        <v>0.28999999999999998</v>
      </c>
      <c r="E18" s="276">
        <f>'🧾 Factura Comercial'!I22</f>
        <v>626.4</v>
      </c>
      <c r="F18" s="277">
        <f>IF('🧾 Tributos Aduana'!$F$6=0,0,'🧾 Factura Comercial'!I22/'🧾 Tributos Aduana'!$F$6)</f>
        <v>1.435338285219865E-2</v>
      </c>
      <c r="G18" s="278">
        <f>'🧾 Factura Comercial'!H22*'📋 Datos Generales'!$E$19</f>
        <v>1.0788</v>
      </c>
      <c r="H18" s="278">
        <f>TABLA_BASE[[#This Row],[FOB UNIT.
(S/.)]]*TABLA_BASE[[#This Row],[CANTIDAD
(unid.)]]</f>
        <v>2330.2080000000001</v>
      </c>
      <c r="I18" s="280">
        <f>IF('🧾 Tributos Aduana'!$F$6=0,0,'🧾 Tributos Aduana'!$F$17*('🧾 Factura Comercial'!H22/'🧾 Tributos Aduana'!$F$6))</f>
        <v>1.8287272967245687E-2</v>
      </c>
      <c r="J18" s="280">
        <f>TABLA_BASE[[#This Row],[ADV UNIT.
(US$)
⚠️COSTO]]*TABLA_BASE[[#This Row],[CANTIDAD
(unid.)]]</f>
        <v>39.500509609250685</v>
      </c>
      <c r="K18" s="279">
        <f>IF('🧾 Tributos Aduana'!$F$6=0,0,'🧾 Tributos Aduana'!$F$18*('🧾 Factura Comercial'!H22/'🧾 Tributos Aduana'!$F$6))</f>
        <v>6.4590222834893917E-3</v>
      </c>
      <c r="L18" s="280">
        <f>TABLA_BASE[[#This Row],[IPM UNIT.
(US$)
✅CF]]*TABLA_BASE[[#This Row],[CANTIDAD
(unid.)]]</f>
        <v>13.951488132337087</v>
      </c>
      <c r="M18" s="279">
        <f>IF('🧾 Tributos Aduana'!$F$6=0,0,'🧾 Tributos Aduana'!$F$19*('🧾 Factura Comercial'!H22/'🧾 Tributos Aduana'!$F$6))</f>
        <v>5.1692113521876526E-2</v>
      </c>
      <c r="N18" s="280">
        <f>TABLA_BASE[[#This Row],[IGV UNIT.
(US$)
✅CF]]*TABLA_BASE[[#This Row],[CANTIDAD
(unid.)]]</f>
        <v>111.6549652072533</v>
      </c>
      <c r="O18" s="280">
        <f>IF('🧾 Tributos Aduana'!$F$6=0,0,'🧾 Tributos Aduana'!$F$23*('🧾 Factura Comercial'!H22/'🧾 Tributos Aduana'!$F$6))</f>
        <v>1.3342665476356328E-2</v>
      </c>
      <c r="P18" s="280">
        <f>TABLA_BASE[[#This Row],[PERCEP.
UNIT.(US$)
✅CF]]*TABLA_BASE[[#This Row],[CANTIDAD
(unid.)]]</f>
        <v>28.820157428929669</v>
      </c>
      <c r="Q18" s="279">
        <f>TABLA_BASE[[#This Row],[ADV UNIT.
(US$)
⚠️COSTO]]+TABLA_BASE[[#This Row],[IPM UNIT.
(US$)
✅CF]]+TABLA_BASE[[#This Row],[IGV UNIT.
(US$)
✅CF]]</f>
        <v>7.6438408772611599E-2</v>
      </c>
      <c r="R18" s="280">
        <f>TABLA_BASE[[#This Row],[DEUDA
ADUANERA
UNIT.]]*TABLA_BASE[[#This Row],[CANTIDAD
(unid.)]]</f>
        <v>165.10696294884104</v>
      </c>
      <c r="S18" s="278">
        <f>TABLA_BASE[[#This Row],[DEUDA
ADUANERA
UNIT.]]*'📋 Datos Generales'!$E$19</f>
        <v>0.28435088063411518</v>
      </c>
      <c r="T18" s="278">
        <f>TABLA_BASE[[#This Row],[DEUDA
ADUANERA
TOTAL]]*'📋 Datos Generales'!$E$19</f>
        <v>614.19790216968875</v>
      </c>
      <c r="U18" s="281">
        <f>TABLA_BASE[[#This Row],[ADV UNIT.
(US$)
⚠️COSTO]]*'📋 Datos Generales'!$E$19</f>
        <v>6.8028655438153951E-2</v>
      </c>
      <c r="V18" s="281">
        <f>TABLA_BASE[[#This Row],[ADV UNIT.
(S/.)]]*TABLA_BASE[[#This Row],[CANTIDAD
(unid.)]]</f>
        <v>146.94189574641254</v>
      </c>
      <c r="W18" s="281">
        <f>TABLA_BASE[[#This Row],[IPM UNIT.
(US$)
✅CF]]*'📋 Datos Generales'!$E$19</f>
        <v>2.4027562894580537E-2</v>
      </c>
      <c r="X18" s="281">
        <f>TABLA_BASE[[#This Row],[IPM UNIT.
(S/.)]]*TABLA_BASE[[#This Row],[CANTIDAD
(unid.)]]</f>
        <v>51.899535852293958</v>
      </c>
      <c r="Y18" s="281">
        <f>TABLA_BASE[[#This Row],[IGV UNIT.
(US$)
✅CF]]*'📋 Datos Generales'!$E$19</f>
        <v>0.19229466230138068</v>
      </c>
      <c r="Z18" s="281">
        <f>TABLA_BASE[[#This Row],[IGV UNIT.
(S/.)]]*TABLA_BASE[[#This Row],[CANTIDAD
(unid.)]]</f>
        <v>415.35647057098225</v>
      </c>
      <c r="AA18" s="281">
        <f>TABLA_BASE[[#This Row],[PERCEP.
UNIT.(US$)
✅CF]]*'📋 Datos Generales'!$E$19</f>
        <v>4.9634715572045539E-2</v>
      </c>
      <c r="AB18" s="281">
        <f>TABLA_BASE[[#This Row],[PERCEP.
UNIT.(S/.)]]*TABLA_BASE[[#This Row],[CANTIDAD
(unid.)]]</f>
        <v>107.21098563561836</v>
      </c>
      <c r="AC18" s="279">
        <f>TABLA_BASE[[#This Row],[ADV UNIT.
(US$)
⚠️COSTO]]+TABLA_BASE[[#This Row],[IPM UNIT.
(US$)
✅CF]]+TABLA_BASE[[#This Row],[IGV UNIT.
(US$)
✅CF]]+TABLA_BASE[[#This Row],[PERCEP.
UNIT.(US$)
✅CF]]</f>
        <v>8.9781074248967932E-2</v>
      </c>
      <c r="AD18" s="279">
        <f>TABLA_BASE[[#This Row],[TOTAL PAGO
SUNAT
UNIT.(US$)]]*TABLA_BASE[[#This Row],[CANTIDAD
(unid.)]]</f>
        <v>193.92712037777073</v>
      </c>
      <c r="AE18" s="281">
        <f>TABLA_BASE[[#This Row],[TOTAL PAGO
SUNAT
UNIT.(US$)]]*'📋 Datos Generales'!$E$19</f>
        <v>0.33398559620616075</v>
      </c>
      <c r="AF18" s="281">
        <f>TABLA_BASE[[#This Row],[TOTAL TRIB.
UNIT.(S/.)]]*TABLA_BASE[[#This Row],[CANTIDAD
(unid.)]]</f>
        <v>721.40888780530724</v>
      </c>
      <c r="AG18" s="279">
        <f>IF('🧾 Factura Comercial'!G22=0,0,'📦 Gastos Importación'!$E$28*(IF('🧾 Tributos Aduana'!$F$6=0,0,'🧾 Factura Comercial'!I22/'🧾 Tributos Aduana'!$F$6))/'🧾 Factura Comercial'!G22)</f>
        <v>0.33080753130980572</v>
      </c>
      <c r="AH18" s="279">
        <f>TABLA_BASE[[#This Row],[GASTOS IMP.
UNIT.(US$)]]*TABLA_BASE[[#This Row],[CANTIDAD
(unid.)]]</f>
        <v>714.54426762918035</v>
      </c>
      <c r="AI18" s="281">
        <f>TABLA_BASE[[#This Row],[GASTOS IMP.
UNIT.(US$)]]*'📋 Datos Generales'!$E$19</f>
        <v>1.2306040164724774</v>
      </c>
      <c r="AJ18" s="281">
        <f>TABLA_BASE[[#This Row],[GASTOS IMP.
UNIT.(S/.)]]*TABLA_BASE[[#This Row],[CANTIDAD
(unid.)]]</f>
        <v>2658.1046755805514</v>
      </c>
      <c r="AK18" s="280">
        <f>'🧮 Costos x Producto'!J22</f>
        <v>0.33080753130980572</v>
      </c>
      <c r="AL18" s="278">
        <f>'🧮 Costos x Producto'!K22</f>
        <v>1.2306040164724774</v>
      </c>
      <c r="AM18" s="278">
        <f>TABLA_BASE[[#This Row],[C/M UNIT.
(S/.)]]*TABLA_BASE[[#This Row],[CANTIDAD
(unid.)]]</f>
        <v>2658.1046755805514</v>
      </c>
      <c r="AN18" s="279">
        <f>IF('🧾 Factura Comercial'!G22=0,0,'🧾 Tributos Aduana'!$F$17*(IF('🧾 Tributos Aduana'!$F$6=0,0,'🧾 Factura Comercial'!I22/'🧾 Tributos Aduana'!$F$6))/'🧾 Factura Comercial'!G22)</f>
        <v>1.8287272967245687E-2</v>
      </c>
      <c r="AO18" s="280">
        <f>IF('🧾 Factura Comercial'!G22=0,0,'🏦 Crédito Fiscal'!$C$16*(IF('🧾 Tributos Aduana'!$F$6=0,0,'🧾 Factura Comercial'!I22/'🧾 Tributos Aduana'!$F$6))/'🧾 Factura Comercial'!G22)</f>
        <v>7.2847217634313191E-2</v>
      </c>
      <c r="AP18" s="278">
        <f>TABLA_BASE[[#This Row],[CF UNIT.
✅RECUP.
(US$)]]*'📋 Datos Generales'!$E$19</f>
        <v>0.27099164959964511</v>
      </c>
      <c r="AQ18" s="278">
        <f>TABLA_BASE[[#This Row],[CF UNIT.
✅RECUP.(S/.)]]*TABLA_BASE[[#This Row],[CANTIDAD
(unid.)]]</f>
        <v>585.34196313523341</v>
      </c>
      <c r="AR18" s="288">
        <f>'💰 Precio de Venta'!G23</f>
        <v>0.4</v>
      </c>
      <c r="AS18" s="278">
        <f>'💰 Precio de Venta'!H23</f>
        <v>2.0510066941207956</v>
      </c>
      <c r="AT18" s="278">
        <f>TABLA_BASE[[#This Row],[VALOR VTA.
UNIT.(S/.)]]*TABLA_BASE[[#This Row],[CANTIDAD
(unid.)]]</f>
        <v>4430.1744593009189</v>
      </c>
      <c r="AU18" s="281">
        <f>'💰 Precio de Venta'!I23</f>
        <v>2.4201878990625385</v>
      </c>
      <c r="AV18" s="278">
        <f>'💰 Precio de Venta'!J23</f>
        <v>0.8204026776483182</v>
      </c>
      <c r="AW18" s="278">
        <f>TABLA_BASE[[#This Row],[GANANCIA
UNIT.(S/.)]]*TABLA_BASE[[#This Row],[CANTIDAD
(unid.)]]</f>
        <v>1772.0697837203672</v>
      </c>
      <c r="AX18" s="289">
        <f>'💰 Precio de Venta'!K23</f>
        <v>296</v>
      </c>
      <c r="AY18" s="278">
        <f>TABLA_BASE[[#This Row],[GANANCIA
UNIT.(S/.)]]*'🧾 Factura Comercial'!G22</f>
        <v>1772.0697837203672</v>
      </c>
      <c r="AZ18" s="277">
        <f>IF(TABLA_BASE[[#This Row],[PRECIO VTA.
c/IGV(S/.)]]=0,0,TABLA_BASE[[#This Row],[GANANCIA
UNIT.(S/.)]]/TABLA_BASE[[#This Row],[PRECIO VTA.
c/IGV(S/.)]])</f>
        <v>0.33898305084745767</v>
      </c>
      <c r="BA18" s="277">
        <f>IF(TABLA_BASE[[#This Row],[C/M UNIT.
(S/.)]]=0,0,TABLA_BASE[[#This Row],[GANANCIA
UNIT.(S/.)]]/TABLA_BASE[[#This Row],[C/M UNIT.
(S/.)]])</f>
        <v>0.66666666666666663</v>
      </c>
      <c r="BB18" s="274" t="str">
        <f>IF(TABLA_BASE[[#This Row],[MARGEN
%]]&gt;=0.5,"🟢 ALTO",IF(TABLA_BASE[[#This Row],[MARGEN
%]]&gt;=0.3,"🟡 MEDIO","🔴 BAJO"))</f>
        <v>🟡 MEDIO</v>
      </c>
    </row>
    <row r="19" spans="1:54" ht="16.5" hidden="1" thickTop="1" thickBot="1" x14ac:dyDescent="0.3">
      <c r="A19" s="274" t="str">
        <f>'🧾 Factura Comercial'!E23</f>
        <v>Cargador Inalámbrico 15W Qi</v>
      </c>
      <c r="B19" s="274" t="str">
        <f>'🧾 Factura Comercial'!F23</f>
        <v>Unid.</v>
      </c>
      <c r="C19" s="275">
        <f>'🧾 Factura Comercial'!G23</f>
        <v>240</v>
      </c>
      <c r="D19" s="276">
        <f>'🧾 Factura Comercial'!H23</f>
        <v>5.71</v>
      </c>
      <c r="E19" s="276">
        <f>'🧾 Factura Comercial'!I23</f>
        <v>1370.4</v>
      </c>
      <c r="F19" s="277">
        <f>IF('🧾 Tributos Aduana'!$F$6=0,0,'🧾 Factura Comercial'!I23/'🧾 Tributos Aduana'!$F$6)</f>
        <v>3.1401462101936513E-2</v>
      </c>
      <c r="G19" s="278">
        <f>'🧾 Factura Comercial'!H23*'📋 Datos Generales'!$E$19</f>
        <v>21.241200000000003</v>
      </c>
      <c r="H19" s="278">
        <f>TABLA_BASE[[#This Row],[FOB UNIT.
(S/.)]]*TABLA_BASE[[#This Row],[CANTIDAD
(unid.)]]</f>
        <v>5097.8880000000008</v>
      </c>
      <c r="I19" s="280">
        <f>IF('🧾 Tributos Aduana'!$F$6=0,0,'🧾 Tributos Aduana'!$F$17*('🧾 Factura Comercial'!H23/'🧾 Tributos Aduana'!$F$6))</f>
        <v>0.36007009876887197</v>
      </c>
      <c r="J19" s="280">
        <f>TABLA_BASE[[#This Row],[ADV UNIT.
(US$)
⚠️COSTO]]*TABLA_BASE[[#This Row],[CANTIDAD
(unid.)]]</f>
        <v>86.416823704529278</v>
      </c>
      <c r="K19" s="279">
        <f>IF('🧾 Tributos Aduana'!$F$6=0,0,'🧾 Tributos Aduana'!$F$18*('🧾 Factura Comercial'!H23/'🧾 Tributos Aduana'!$F$6))</f>
        <v>0.12717592151284285</v>
      </c>
      <c r="L19" s="280">
        <f>TABLA_BASE[[#This Row],[IPM UNIT.
(US$)
✅CF]]*TABLA_BASE[[#This Row],[CANTIDAD
(unid.)]]</f>
        <v>30.522221163082285</v>
      </c>
      <c r="M19" s="279">
        <f>IF('🧾 Tributos Aduana'!$F$6=0,0,'🧾 Tributos Aduana'!$F$19*('🧾 Factura Comercial'!H23/'🧾 Tributos Aduana'!$F$6))</f>
        <v>1.0177998903790171</v>
      </c>
      <c r="N19" s="280">
        <f>TABLA_BASE[[#This Row],[IGV UNIT.
(US$)
✅CF]]*TABLA_BASE[[#This Row],[CANTIDAD
(unid.)]]</f>
        <v>244.2719736909641</v>
      </c>
      <c r="O19" s="280">
        <f>IF('🧾 Tributos Aduana'!$F$6=0,0,'🧾 Tributos Aduana'!$F$23*('🧾 Factura Comercial'!H23/'🧾 Tributos Aduana'!$F$6))</f>
        <v>0.26271248231032635</v>
      </c>
      <c r="P19" s="280">
        <f>TABLA_BASE[[#This Row],[PERCEP.
UNIT.(US$)
✅CF]]*TABLA_BASE[[#This Row],[CANTIDAD
(unid.)]]</f>
        <v>63.050995754478322</v>
      </c>
      <c r="Q19" s="279">
        <f>TABLA_BASE[[#This Row],[ADV UNIT.
(US$)
⚠️COSTO]]+TABLA_BASE[[#This Row],[IPM UNIT.
(US$)
✅CF]]+TABLA_BASE[[#This Row],[IGV UNIT.
(US$)
✅CF]]</f>
        <v>1.5050459106607319</v>
      </c>
      <c r="R19" s="280">
        <f>TABLA_BASE[[#This Row],[DEUDA
ADUANERA
UNIT.]]*TABLA_BASE[[#This Row],[CANTIDAD
(unid.)]]</f>
        <v>361.21101855857563</v>
      </c>
      <c r="S19" s="278">
        <f>TABLA_BASE[[#This Row],[DEUDA
ADUANERA
UNIT.]]*'📋 Datos Generales'!$E$19</f>
        <v>5.5987707876579229</v>
      </c>
      <c r="T19" s="278">
        <f>TABLA_BASE[[#This Row],[DEUDA
ADUANERA
TOTAL]]*'📋 Datos Generales'!$E$19</f>
        <v>1343.7049890379014</v>
      </c>
      <c r="U19" s="281">
        <f>TABLA_BASE[[#This Row],[ADV UNIT.
(US$)
⚠️COSTO]]*'📋 Datos Generales'!$E$19</f>
        <v>1.3394607674202037</v>
      </c>
      <c r="V19" s="281">
        <f>TABLA_BASE[[#This Row],[ADV UNIT.
(S/.)]]*TABLA_BASE[[#This Row],[CANTIDAD
(unid.)]]</f>
        <v>321.4705841808489</v>
      </c>
      <c r="W19" s="281">
        <f>TABLA_BASE[[#This Row],[IPM UNIT.
(US$)
✅CF]]*'📋 Datos Generales'!$E$19</f>
        <v>0.4730944280277754</v>
      </c>
      <c r="X19" s="281">
        <f>TABLA_BASE[[#This Row],[IPM UNIT.
(S/.)]]*TABLA_BASE[[#This Row],[CANTIDAD
(unid.)]]</f>
        <v>113.54266272666609</v>
      </c>
      <c r="Y19" s="281">
        <f>TABLA_BASE[[#This Row],[IGV UNIT.
(US$)
✅CF]]*'📋 Datos Generales'!$E$19</f>
        <v>3.7862155922099436</v>
      </c>
      <c r="Z19" s="281">
        <f>TABLA_BASE[[#This Row],[IGV UNIT.
(S/.)]]*TABLA_BASE[[#This Row],[CANTIDAD
(unid.)]]</f>
        <v>908.6917421303865</v>
      </c>
      <c r="AA19" s="281">
        <f>TABLA_BASE[[#This Row],[PERCEP.
UNIT.(US$)
✅CF]]*'📋 Datos Generales'!$E$19</f>
        <v>0.97729043419441408</v>
      </c>
      <c r="AB19" s="281">
        <f>TABLA_BASE[[#This Row],[PERCEP.
UNIT.(S/.)]]*TABLA_BASE[[#This Row],[CANTIDAD
(unid.)]]</f>
        <v>234.54970420665938</v>
      </c>
      <c r="AC19" s="279">
        <f>TABLA_BASE[[#This Row],[ADV UNIT.
(US$)
⚠️COSTO]]+TABLA_BASE[[#This Row],[IPM UNIT.
(US$)
✅CF]]+TABLA_BASE[[#This Row],[IGV UNIT.
(US$)
✅CF]]+TABLA_BASE[[#This Row],[PERCEP.
UNIT.(US$)
✅CF]]</f>
        <v>1.7677583929710583</v>
      </c>
      <c r="AD19" s="279">
        <f>TABLA_BASE[[#This Row],[TOTAL PAGO
SUNAT
UNIT.(US$)]]*TABLA_BASE[[#This Row],[CANTIDAD
(unid.)]]</f>
        <v>424.26201431305401</v>
      </c>
      <c r="AE19" s="281">
        <f>TABLA_BASE[[#This Row],[TOTAL PAGO
SUNAT
UNIT.(US$)]]*'📋 Datos Generales'!$E$19</f>
        <v>6.5760612218523375</v>
      </c>
      <c r="AF19" s="281">
        <f>TABLA_BASE[[#This Row],[TOTAL TRIB.
UNIT.(S/.)]]*TABLA_BASE[[#This Row],[CANTIDAD
(unid.)]]</f>
        <v>1578.2546932445609</v>
      </c>
      <c r="AG19" s="279">
        <f>IF('🧾 Factura Comercial'!G23=0,0,'📦 Gastos Importación'!$E$28*(IF('🧾 Tributos Aduana'!$F$6=0,0,'🧾 Factura Comercial'!I23/'🧾 Tributos Aduana'!$F$6))/'🧾 Factura Comercial'!G23)</f>
        <v>6.5134862199275547</v>
      </c>
      <c r="AH19" s="279">
        <f>TABLA_BASE[[#This Row],[GASTOS IMP.
UNIT.(US$)]]*TABLA_BASE[[#This Row],[CANTIDAD
(unid.)]]</f>
        <v>1563.2366927826131</v>
      </c>
      <c r="AI19" s="281">
        <f>TABLA_BASE[[#This Row],[GASTOS IMP.
UNIT.(US$)]]*'📋 Datos Generales'!$E$19</f>
        <v>24.230168738130505</v>
      </c>
      <c r="AJ19" s="281">
        <f>TABLA_BASE[[#This Row],[GASTOS IMP.
UNIT.(S/.)]]*TABLA_BASE[[#This Row],[CANTIDAD
(unid.)]]</f>
        <v>5815.2404971513215</v>
      </c>
      <c r="AK19" s="280">
        <f>'🧮 Costos x Producto'!J23</f>
        <v>6.5134862199275547</v>
      </c>
      <c r="AL19" s="278">
        <f>'🧮 Costos x Producto'!K23</f>
        <v>24.230168738130505</v>
      </c>
      <c r="AM19" s="278">
        <f>TABLA_BASE[[#This Row],[C/M UNIT.
(S/.)]]*TABLA_BASE[[#This Row],[CANTIDAD
(unid.)]]</f>
        <v>5815.2404971513215</v>
      </c>
      <c r="AN19" s="279">
        <f>IF('🧾 Factura Comercial'!G23=0,0,'🧾 Tributos Aduana'!$F$17*(IF('🧾 Tributos Aduana'!$F$6=0,0,'🧾 Factura Comercial'!I23/'🧾 Tributos Aduana'!$F$6))/'🧾 Factura Comercial'!G23)</f>
        <v>0.36007009876887197</v>
      </c>
      <c r="AO19" s="280">
        <f>IF('🧾 Factura Comercial'!G23=0,0,'🏦 Crédito Fiscal'!$C$16*(IF('🧾 Tributos Aduana'!$F$6=0,0,'🧾 Factura Comercial'!I23/'🧾 Tributos Aduana'!$F$6))/'🧾 Factura Comercial'!G23)</f>
        <v>1.4343365954894081</v>
      </c>
      <c r="AP19" s="278">
        <f>TABLA_BASE[[#This Row],[CF UNIT.
✅RECUP.
(US$)]]*'📋 Datos Generales'!$E$19</f>
        <v>5.3357321352205984</v>
      </c>
      <c r="AQ19" s="278">
        <f>TABLA_BASE[[#This Row],[CF UNIT.
✅RECUP.(S/.)]]*TABLA_BASE[[#This Row],[CANTIDAD
(unid.)]]</f>
        <v>1280.5757124529437</v>
      </c>
      <c r="AR19" s="288">
        <f>'💰 Precio de Venta'!G24</f>
        <v>0.4</v>
      </c>
      <c r="AS19" s="278">
        <f>'💰 Precio de Venta'!H24</f>
        <v>40.383614563550843</v>
      </c>
      <c r="AT19" s="278">
        <f>TABLA_BASE[[#This Row],[VALOR VTA.
UNIT.(S/.)]]*TABLA_BASE[[#This Row],[CANTIDAD
(unid.)]]</f>
        <v>9692.0674952522022</v>
      </c>
      <c r="AU19" s="281">
        <f>'💰 Precio de Venta'!I24</f>
        <v>47.652665184989992</v>
      </c>
      <c r="AV19" s="278">
        <f>'💰 Precio de Venta'!J24</f>
        <v>16.153445825420338</v>
      </c>
      <c r="AW19" s="278">
        <f>TABLA_BASE[[#This Row],[GANANCIA
UNIT.(S/.)]]*TABLA_BASE[[#This Row],[CANTIDAD
(unid.)]]</f>
        <v>3876.8269981008812</v>
      </c>
      <c r="AX19" s="289">
        <f>'💰 Precio de Venta'!K24</f>
        <v>33</v>
      </c>
      <c r="AY19" s="278">
        <f>TABLA_BASE[[#This Row],[GANANCIA
UNIT.(S/.)]]*'🧾 Factura Comercial'!G23</f>
        <v>3876.8269981008812</v>
      </c>
      <c r="AZ19" s="277">
        <f>IF(TABLA_BASE[[#This Row],[PRECIO VTA.
c/IGV(S/.)]]=0,0,TABLA_BASE[[#This Row],[GANANCIA
UNIT.(S/.)]]/TABLA_BASE[[#This Row],[PRECIO VTA.
c/IGV(S/.)]])</f>
        <v>0.33898305084745767</v>
      </c>
      <c r="BA19" s="277">
        <f>IF(TABLA_BASE[[#This Row],[C/M UNIT.
(S/.)]]=0,0,TABLA_BASE[[#This Row],[GANANCIA
UNIT.(S/.)]]/TABLA_BASE[[#This Row],[C/M UNIT.
(S/.)]])</f>
        <v>0.66666666666666674</v>
      </c>
      <c r="BB19" s="274" t="str">
        <f>IF(TABLA_BASE[[#This Row],[MARGEN
%]]&gt;=0.5,"🟢 ALTO",IF(TABLA_BASE[[#This Row],[MARGEN
%]]&gt;=0.3,"🟡 MEDIO","🔴 BAJO"))</f>
        <v>🟡 MEDIO</v>
      </c>
    </row>
    <row r="20" spans="1:54" ht="16.5" hidden="1" thickTop="1" thickBot="1" x14ac:dyDescent="0.3">
      <c r="A20" s="274" t="str">
        <f>'🧾 Factura Comercial'!E24</f>
        <v>Case Wallet Cuero PU Samsung S24</v>
      </c>
      <c r="B20" s="274" t="str">
        <f>'🧾 Factura Comercial'!F24</f>
        <v>Unid.</v>
      </c>
      <c r="C20" s="275">
        <f>'🧾 Factura Comercial'!G24</f>
        <v>1920</v>
      </c>
      <c r="D20" s="276">
        <f>'🧾 Factura Comercial'!H24</f>
        <v>0.76</v>
      </c>
      <c r="E20" s="276">
        <f>'🧾 Factura Comercial'!I24</f>
        <v>1459.2</v>
      </c>
      <c r="F20" s="277">
        <f>IF('🧾 Tributos Aduana'!$F$6=0,0,'🧾 Factura Comercial'!I24/'🧾 Tributos Aduana'!$F$6)</f>
        <v>3.3436232851098771E-2</v>
      </c>
      <c r="G20" s="278">
        <f>'🧾 Factura Comercial'!H24*'📋 Datos Generales'!$E$19</f>
        <v>2.8272000000000004</v>
      </c>
      <c r="H20" s="278">
        <f>TABLA_BASE[[#This Row],[FOB UNIT.
(S/.)]]*TABLA_BASE[[#This Row],[CANTIDAD
(unid.)]]</f>
        <v>5428.2240000000011</v>
      </c>
      <c r="I20" s="280">
        <f>IF('🧾 Tributos Aduana'!$F$6=0,0,'🧾 Tributos Aduana'!$F$17*('🧾 Factura Comercial'!H24/'🧾 Tributos Aduana'!$F$6))</f>
        <v>4.7925267086574901E-2</v>
      </c>
      <c r="J20" s="280">
        <f>TABLA_BASE[[#This Row],[ADV UNIT.
(US$)
⚠️COSTO]]*TABLA_BASE[[#This Row],[CANTIDAD
(unid.)]]</f>
        <v>92.016512806223815</v>
      </c>
      <c r="K20" s="279">
        <f>IF('🧾 Tributos Aduana'!$F$6=0,0,'🧾 Tributos Aduana'!$F$18*('🧾 Factura Comercial'!H24/'🧾 Tributos Aduana'!$F$6))</f>
        <v>1.6927092880868751E-2</v>
      </c>
      <c r="L20" s="280">
        <f>TABLA_BASE[[#This Row],[IPM UNIT.
(US$)
✅CF]]*TABLA_BASE[[#This Row],[CANTIDAD
(unid.)]]</f>
        <v>32.500018331268002</v>
      </c>
      <c r="M20" s="279">
        <f>IF('🧾 Tributos Aduana'!$F$6=0,0,'🧾 Tributos Aduana'!$F$19*('🧾 Factura Comercial'!H24/'🧾 Tributos Aduana'!$F$6))</f>
        <v>0.13546898716077985</v>
      </c>
      <c r="N20" s="280">
        <f>TABLA_BASE[[#This Row],[IGV UNIT.
(US$)
✅CF]]*TABLA_BASE[[#This Row],[CANTIDAD
(unid.)]]</f>
        <v>260.10045534869732</v>
      </c>
      <c r="O20" s="280">
        <f>IF('🧾 Tributos Aduana'!$F$6=0,0,'🧾 Tributos Aduana'!$F$23*('🧾 Factura Comercial'!H24/'🧾 Tributos Aduana'!$F$6))</f>
        <v>3.4966985386313133E-2</v>
      </c>
      <c r="P20" s="280">
        <f>TABLA_BASE[[#This Row],[PERCEP.
UNIT.(US$)
✅CF]]*TABLA_BASE[[#This Row],[CANTIDAD
(unid.)]]</f>
        <v>67.136611941721213</v>
      </c>
      <c r="Q20" s="279">
        <f>TABLA_BASE[[#This Row],[ADV UNIT.
(US$)
⚠️COSTO]]+TABLA_BASE[[#This Row],[IPM UNIT.
(US$)
✅CF]]+TABLA_BASE[[#This Row],[IGV UNIT.
(US$)
✅CF]]</f>
        <v>0.2003213471282235</v>
      </c>
      <c r="R20" s="280">
        <f>TABLA_BASE[[#This Row],[DEUDA
ADUANERA
UNIT.]]*TABLA_BASE[[#This Row],[CANTIDAD
(unid.)]]</f>
        <v>384.61698648618909</v>
      </c>
      <c r="S20" s="278">
        <f>TABLA_BASE[[#This Row],[DEUDA
ADUANERA
UNIT.]]*'📋 Datos Generales'!$E$19</f>
        <v>0.74519541131699141</v>
      </c>
      <c r="T20" s="278">
        <f>TABLA_BASE[[#This Row],[DEUDA
ADUANERA
TOTAL]]*'📋 Datos Generales'!$E$19</f>
        <v>1430.7751897286234</v>
      </c>
      <c r="U20" s="281">
        <f>TABLA_BASE[[#This Row],[ADV UNIT.
(US$)
⚠️COSTO]]*'📋 Datos Generales'!$E$19</f>
        <v>0.17828199356205865</v>
      </c>
      <c r="V20" s="281">
        <f>TABLA_BASE[[#This Row],[ADV UNIT.
(S/.)]]*TABLA_BASE[[#This Row],[CANTIDAD
(unid.)]]</f>
        <v>342.30142763915262</v>
      </c>
      <c r="W20" s="281">
        <f>TABLA_BASE[[#This Row],[IPM UNIT.
(US$)
✅CF]]*'📋 Datos Generales'!$E$19</f>
        <v>6.2968785516831757E-2</v>
      </c>
      <c r="X20" s="281">
        <f>TABLA_BASE[[#This Row],[IPM UNIT.
(S/.)]]*TABLA_BASE[[#This Row],[CANTIDAD
(unid.)]]</f>
        <v>120.90006819231698</v>
      </c>
      <c r="Y20" s="281">
        <f>TABLA_BASE[[#This Row],[IGV UNIT.
(US$)
✅CF]]*'📋 Datos Generales'!$E$19</f>
        <v>0.50394463223810104</v>
      </c>
      <c r="Z20" s="281">
        <f>TABLA_BASE[[#This Row],[IGV UNIT.
(S/.)]]*TABLA_BASE[[#This Row],[CANTIDAD
(unid.)]]</f>
        <v>967.57369389715404</v>
      </c>
      <c r="AA20" s="281">
        <f>TABLA_BASE[[#This Row],[PERCEP.
UNIT.(US$)
✅CF]]*'📋 Datos Generales'!$E$19</f>
        <v>0.13007718563708487</v>
      </c>
      <c r="AB20" s="281">
        <f>TABLA_BASE[[#This Row],[PERCEP.
UNIT.(S/.)]]*TABLA_BASE[[#This Row],[CANTIDAD
(unid.)]]</f>
        <v>249.74819642320296</v>
      </c>
      <c r="AC20" s="279">
        <f>TABLA_BASE[[#This Row],[ADV UNIT.
(US$)
⚠️COSTO]]+TABLA_BASE[[#This Row],[IPM UNIT.
(US$)
✅CF]]+TABLA_BASE[[#This Row],[IGV UNIT.
(US$)
✅CF]]+TABLA_BASE[[#This Row],[PERCEP.
UNIT.(US$)
✅CF]]</f>
        <v>0.23528833251453662</v>
      </c>
      <c r="AD20" s="279">
        <f>TABLA_BASE[[#This Row],[TOTAL PAGO
SUNAT
UNIT.(US$)]]*TABLA_BASE[[#This Row],[CANTIDAD
(unid.)]]</f>
        <v>451.75359842791033</v>
      </c>
      <c r="AE20" s="281">
        <f>TABLA_BASE[[#This Row],[TOTAL PAGO
SUNAT
UNIT.(US$)]]*'📋 Datos Generales'!$E$19</f>
        <v>0.87527259695407633</v>
      </c>
      <c r="AF20" s="281">
        <f>TABLA_BASE[[#This Row],[TOTAL TRIB.
UNIT.(S/.)]]*TABLA_BASE[[#This Row],[CANTIDAD
(unid.)]]</f>
        <v>1680.5233861518266</v>
      </c>
      <c r="AG20" s="279">
        <f>IF('🧾 Factura Comercial'!G24=0,0,'📦 Gastos Importación'!$E$28*(IF('🧾 Tributos Aduana'!$F$6=0,0,'🧾 Factura Comercial'!I24/'🧾 Tributos Aduana'!$F$6))/'🧾 Factura Comercial'!G24)</f>
        <v>0.86694387515673221</v>
      </c>
      <c r="AH20" s="279">
        <f>TABLA_BASE[[#This Row],[GASTOS IMP.
UNIT.(US$)]]*TABLA_BASE[[#This Row],[CANTIDAD
(unid.)]]</f>
        <v>1664.5322403009259</v>
      </c>
      <c r="AI20" s="281">
        <f>TABLA_BASE[[#This Row],[GASTOS IMP.
UNIT.(US$)]]*'📋 Datos Generales'!$E$19</f>
        <v>3.2250312155830438</v>
      </c>
      <c r="AJ20" s="281">
        <f>TABLA_BASE[[#This Row],[GASTOS IMP.
UNIT.(S/.)]]*TABLA_BASE[[#This Row],[CANTIDAD
(unid.)]]</f>
        <v>6192.0599339194441</v>
      </c>
      <c r="AK20" s="280">
        <f>'🧮 Costos x Producto'!J24</f>
        <v>0.86694387515673232</v>
      </c>
      <c r="AL20" s="278">
        <f>'🧮 Costos x Producto'!K24</f>
        <v>3.2250312155830443</v>
      </c>
      <c r="AM20" s="278">
        <f>TABLA_BASE[[#This Row],[C/M UNIT.
(S/.)]]*TABLA_BASE[[#This Row],[CANTIDAD
(unid.)]]</f>
        <v>6192.059933919445</v>
      </c>
      <c r="AN20" s="279">
        <f>IF('🧾 Factura Comercial'!G24=0,0,'🧾 Tributos Aduana'!$F$17*(IF('🧾 Tributos Aduana'!$F$6=0,0,'🧾 Factura Comercial'!I24/'🧾 Tributos Aduana'!$F$6))/'🧾 Factura Comercial'!G24)</f>
        <v>4.7925267086574901E-2</v>
      </c>
      <c r="AO20" s="280">
        <f>IF('🧾 Factura Comercial'!G24=0,0,'🏦 Crédito Fiscal'!$C$16*(IF('🧾 Tributos Aduana'!$F$6=0,0,'🧾 Factura Comercial'!I24/'🧾 Tributos Aduana'!$F$6))/'🧾 Factura Comercial'!G24)</f>
        <v>0.19090994966233801</v>
      </c>
      <c r="AP20" s="278">
        <f>TABLA_BASE[[#This Row],[CF UNIT.
✅RECUP.
(US$)]]*'📋 Datos Generales'!$E$19</f>
        <v>0.71018501274389745</v>
      </c>
      <c r="AQ20" s="278">
        <f>TABLA_BASE[[#This Row],[CF UNIT.
✅RECUP.(S/.)]]*TABLA_BASE[[#This Row],[CANTIDAD
(unid.)]]</f>
        <v>1363.5552244682831</v>
      </c>
      <c r="AR20" s="288">
        <f>'💰 Precio de Venta'!G25</f>
        <v>0.4</v>
      </c>
      <c r="AS20" s="278">
        <f>'💰 Precio de Venta'!H25</f>
        <v>5.3750520259717405</v>
      </c>
      <c r="AT20" s="278">
        <f>TABLA_BASE[[#This Row],[VALOR VTA.
UNIT.(S/.)]]*TABLA_BASE[[#This Row],[CANTIDAD
(unid.)]]</f>
        <v>10320.099889865742</v>
      </c>
      <c r="AU20" s="281">
        <f>'💰 Precio de Venta'!I25</f>
        <v>6.3425613906466536</v>
      </c>
      <c r="AV20" s="278">
        <f>'💰 Precio de Venta'!J25</f>
        <v>2.1500208103886962</v>
      </c>
      <c r="AW20" s="278">
        <f>TABLA_BASE[[#This Row],[GANANCIA
UNIT.(S/.)]]*TABLA_BASE[[#This Row],[CANTIDAD
(unid.)]]</f>
        <v>4128.0399559462967</v>
      </c>
      <c r="AX20" s="289">
        <f>'💰 Precio de Venta'!K25</f>
        <v>263</v>
      </c>
      <c r="AY20" s="278">
        <f>TABLA_BASE[[#This Row],[GANANCIA
UNIT.(S/.)]]*'🧾 Factura Comercial'!G24</f>
        <v>4128.0399559462967</v>
      </c>
      <c r="AZ20" s="277">
        <f>IF(TABLA_BASE[[#This Row],[PRECIO VTA.
c/IGV(S/.)]]=0,0,TABLA_BASE[[#This Row],[GANANCIA
UNIT.(S/.)]]/TABLA_BASE[[#This Row],[PRECIO VTA.
c/IGV(S/.)]])</f>
        <v>0.33898305084745761</v>
      </c>
      <c r="BA20" s="277">
        <f>IF(TABLA_BASE[[#This Row],[C/M UNIT.
(S/.)]]=0,0,TABLA_BASE[[#This Row],[GANANCIA
UNIT.(S/.)]]/TABLA_BASE[[#This Row],[C/M UNIT.
(S/.)]])</f>
        <v>0.66666666666666663</v>
      </c>
      <c r="BB20" s="274" t="str">
        <f>IF(TABLA_BASE[[#This Row],[MARGEN
%]]&gt;=0.5,"🟢 ALTO",IF(TABLA_BASE[[#This Row],[MARGEN
%]]&gt;=0.3,"🟡 MEDIO","🔴 BAJO"))</f>
        <v>🟡 MEDIO</v>
      </c>
    </row>
    <row r="21" spans="1:54" ht="16.5" hidden="1" thickTop="1" thickBot="1" x14ac:dyDescent="0.3">
      <c r="A21" s="274" t="str">
        <f>'🧾 Factura Comercial'!E25</f>
        <v>Adaptador USB-C a Jack 3.5mm</v>
      </c>
      <c r="B21" s="274" t="str">
        <f>'🧾 Factura Comercial'!F25</f>
        <v>Unid.</v>
      </c>
      <c r="C21" s="275">
        <f>'🧾 Factura Comercial'!G25</f>
        <v>4800</v>
      </c>
      <c r="D21" s="276">
        <f>'🧾 Factura Comercial'!H25</f>
        <v>0.28000000000000003</v>
      </c>
      <c r="E21" s="276">
        <f>'🧾 Factura Comercial'!I25</f>
        <v>1344.0000000000002</v>
      </c>
      <c r="F21" s="277">
        <f>IF('🧾 Tributos Aduana'!$F$6=0,0,'🧾 Factura Comercial'!I25/'🧾 Tributos Aduana'!$F$6)</f>
        <v>3.0796530257590979E-2</v>
      </c>
      <c r="G21" s="278">
        <f>'🧾 Factura Comercial'!H25*'📋 Datos Generales'!$E$19</f>
        <v>1.0416000000000001</v>
      </c>
      <c r="H21" s="278">
        <f>TABLA_BASE[[#This Row],[FOB UNIT.
(S/.)]]*TABLA_BASE[[#This Row],[CANTIDAD
(unid.)]]</f>
        <v>4999.68</v>
      </c>
      <c r="I21" s="280">
        <f>IF('🧾 Tributos Aduana'!$F$6=0,0,'🧾 Tributos Aduana'!$F$17*('🧾 Factura Comercial'!H25/'🧾 Tributos Aduana'!$F$6))</f>
        <v>1.7656677347685494E-2</v>
      </c>
      <c r="J21" s="280">
        <f>TABLA_BASE[[#This Row],[ADV UNIT.
(US$)
⚠️COSTO]]*TABLA_BASE[[#This Row],[CANTIDAD
(unid.)]]</f>
        <v>84.752051268890369</v>
      </c>
      <c r="K21" s="279">
        <f>IF('🧾 Tributos Aduana'!$F$6=0,0,'🧾 Tributos Aduana'!$F$18*('🧾 Factura Comercial'!H25/'🧾 Tributos Aduana'!$F$6))</f>
        <v>6.236297377162173E-3</v>
      </c>
      <c r="L21" s="280">
        <f>TABLA_BASE[[#This Row],[IPM UNIT.
(US$)
✅CF]]*TABLA_BASE[[#This Row],[CANTIDAD
(unid.)]]</f>
        <v>29.93422741037843</v>
      </c>
      <c r="M21" s="279">
        <f>IF('🧾 Tributos Aduana'!$F$6=0,0,'🧾 Tributos Aduana'!$F$19*('🧾 Factura Comercial'!H25/'🧾 Tributos Aduana'!$F$6))</f>
        <v>4.9909626848708373E-2</v>
      </c>
      <c r="N21" s="280">
        <f>TABLA_BASE[[#This Row],[IGV UNIT.
(US$)
✅CF]]*TABLA_BASE[[#This Row],[CANTIDAD
(unid.)]]</f>
        <v>239.56620887380018</v>
      </c>
      <c r="O21" s="280">
        <f>IF('🧾 Tributos Aduana'!$F$6=0,0,'🧾 Tributos Aduana'!$F$23*('🧾 Factura Comercial'!H25/'🧾 Tributos Aduana'!$F$6))</f>
        <v>1.2882573563378526E-2</v>
      </c>
      <c r="P21" s="280">
        <f>TABLA_BASE[[#This Row],[PERCEP.
UNIT.(US$)
✅CF]]*TABLA_BASE[[#This Row],[CANTIDAD
(unid.)]]</f>
        <v>61.836353104216926</v>
      </c>
      <c r="Q21" s="279">
        <f>TABLA_BASE[[#This Row],[ADV UNIT.
(US$)
⚠️COSTO]]+TABLA_BASE[[#This Row],[IPM UNIT.
(US$)
✅CF]]+TABLA_BASE[[#This Row],[IGV UNIT.
(US$)
✅CF]]</f>
        <v>7.3802601573556031E-2</v>
      </c>
      <c r="R21" s="280">
        <f>TABLA_BASE[[#This Row],[DEUDA
ADUANERA
UNIT.]]*TABLA_BASE[[#This Row],[CANTIDAD
(unid.)]]</f>
        <v>354.25248755306893</v>
      </c>
      <c r="S21" s="278">
        <f>TABLA_BASE[[#This Row],[DEUDA
ADUANERA
UNIT.]]*'📋 Datos Generales'!$E$19</f>
        <v>0.27454567785362843</v>
      </c>
      <c r="T21" s="278">
        <f>TABLA_BASE[[#This Row],[DEUDA
ADUANERA
TOTAL]]*'📋 Datos Generales'!$E$19</f>
        <v>1317.8192536974166</v>
      </c>
      <c r="U21" s="281">
        <f>TABLA_BASE[[#This Row],[ADV UNIT.
(US$)
⚠️COSTO]]*'📋 Datos Generales'!$E$19</f>
        <v>6.5682839733390036E-2</v>
      </c>
      <c r="V21" s="281">
        <f>TABLA_BASE[[#This Row],[ADV UNIT.
(S/.)]]*TABLA_BASE[[#This Row],[CANTIDAD
(unid.)]]</f>
        <v>315.27763072027216</v>
      </c>
      <c r="W21" s="281">
        <f>TABLA_BASE[[#This Row],[IPM UNIT.
(US$)
✅CF]]*'📋 Datos Generales'!$E$19</f>
        <v>2.3199026243043284E-2</v>
      </c>
      <c r="X21" s="281">
        <f>TABLA_BASE[[#This Row],[IPM UNIT.
(S/.)]]*TABLA_BASE[[#This Row],[CANTIDAD
(unid.)]]</f>
        <v>111.35532596660777</v>
      </c>
      <c r="Y21" s="281">
        <f>TABLA_BASE[[#This Row],[IGV UNIT.
(US$)
✅CF]]*'📋 Datos Generales'!$E$19</f>
        <v>0.18566381187719516</v>
      </c>
      <c r="Z21" s="281">
        <f>TABLA_BASE[[#This Row],[IGV UNIT.
(S/.)]]*TABLA_BASE[[#This Row],[CANTIDAD
(unid.)]]</f>
        <v>891.1862970105368</v>
      </c>
      <c r="AA21" s="281">
        <f>TABLA_BASE[[#This Row],[PERCEP.
UNIT.(US$)
✅CF]]*'📋 Datos Generales'!$E$19</f>
        <v>4.792317365576812E-2</v>
      </c>
      <c r="AB21" s="281">
        <f>TABLA_BASE[[#This Row],[PERCEP.
UNIT.(S/.)]]*TABLA_BASE[[#This Row],[CANTIDAD
(unid.)]]</f>
        <v>230.03123354768698</v>
      </c>
      <c r="AC21" s="279">
        <f>TABLA_BASE[[#This Row],[ADV UNIT.
(US$)
⚠️COSTO]]+TABLA_BASE[[#This Row],[IPM UNIT.
(US$)
✅CF]]+TABLA_BASE[[#This Row],[IGV UNIT.
(US$)
✅CF]]+TABLA_BASE[[#This Row],[PERCEP.
UNIT.(US$)
✅CF]]</f>
        <v>8.668517513693455E-2</v>
      </c>
      <c r="AD21" s="279">
        <f>TABLA_BASE[[#This Row],[TOTAL PAGO
SUNAT
UNIT.(US$)]]*TABLA_BASE[[#This Row],[CANTIDAD
(unid.)]]</f>
        <v>416.08884065728586</v>
      </c>
      <c r="AE21" s="281">
        <f>TABLA_BASE[[#This Row],[TOTAL PAGO
SUNAT
UNIT.(US$)]]*'📋 Datos Generales'!$E$19</f>
        <v>0.32246885150939653</v>
      </c>
      <c r="AF21" s="281">
        <f>TABLA_BASE[[#This Row],[TOTAL TRIB.
UNIT.(S/.)]]*TABLA_BASE[[#This Row],[CANTIDAD
(unid.)]]</f>
        <v>1547.8504872451033</v>
      </c>
      <c r="AG21" s="279">
        <f>IF('🧾 Factura Comercial'!G25=0,0,'📦 Gastos Importación'!$E$28*(IF('🧾 Tributos Aduana'!$F$6=0,0,'🧾 Factura Comercial'!I25/'🧾 Tributos Aduana'!$F$6))/'🧾 Factura Comercial'!G25)</f>
        <v>0.31940037505774349</v>
      </c>
      <c r="AH21" s="279">
        <f>TABLA_BASE[[#This Row],[GASTOS IMP.
UNIT.(US$)]]*TABLA_BASE[[#This Row],[CANTIDAD
(unid.)]]</f>
        <v>1533.1218002771689</v>
      </c>
      <c r="AI21" s="281">
        <f>TABLA_BASE[[#This Row],[GASTOS IMP.
UNIT.(US$)]]*'📋 Datos Generales'!$E$19</f>
        <v>1.1881693952148058</v>
      </c>
      <c r="AJ21" s="281">
        <f>TABLA_BASE[[#This Row],[GASTOS IMP.
UNIT.(S/.)]]*TABLA_BASE[[#This Row],[CANTIDAD
(unid.)]]</f>
        <v>5703.2130970310682</v>
      </c>
      <c r="AK21" s="280">
        <f>'🧮 Costos x Producto'!J25</f>
        <v>0.31940037505774349</v>
      </c>
      <c r="AL21" s="278">
        <f>'🧮 Costos x Producto'!K25</f>
        <v>1.1881693952148058</v>
      </c>
      <c r="AM21" s="278">
        <f>TABLA_BASE[[#This Row],[C/M UNIT.
(S/.)]]*TABLA_BASE[[#This Row],[CANTIDAD
(unid.)]]</f>
        <v>5703.2130970310682</v>
      </c>
      <c r="AN21" s="279">
        <f>IF('🧾 Factura Comercial'!G25=0,0,'🧾 Tributos Aduana'!$F$17*(IF('🧾 Tributos Aduana'!$F$6=0,0,'🧾 Factura Comercial'!I25/'🧾 Tributos Aduana'!$F$6))/'🧾 Factura Comercial'!G25)</f>
        <v>1.7656677347685494E-2</v>
      </c>
      <c r="AO21" s="280">
        <f>IF('🧾 Factura Comercial'!G25=0,0,'🏦 Crédito Fiscal'!$C$16*(IF('🧾 Tributos Aduana'!$F$6=0,0,'🧾 Factura Comercial'!I25/'🧾 Tributos Aduana'!$F$6))/'🧾 Factura Comercial'!G25)</f>
        <v>7.033524461244034E-2</v>
      </c>
      <c r="AP21" s="278">
        <f>TABLA_BASE[[#This Row],[CF UNIT.
✅RECUP.
(US$)]]*'📋 Datos Generales'!$E$19</f>
        <v>0.26164710995827806</v>
      </c>
      <c r="AQ21" s="278">
        <f>TABLA_BASE[[#This Row],[CF UNIT.
✅RECUP.(S/.)]]*TABLA_BASE[[#This Row],[CANTIDAD
(unid.)]]</f>
        <v>1255.9061277997346</v>
      </c>
      <c r="AR21" s="288">
        <f>'💰 Precio de Venta'!G26</f>
        <v>0.4</v>
      </c>
      <c r="AS21" s="278">
        <f>'💰 Precio de Venta'!H26</f>
        <v>1.9802823253580097</v>
      </c>
      <c r="AT21" s="278">
        <f>TABLA_BASE[[#This Row],[VALOR VTA.
UNIT.(S/.)]]*TABLA_BASE[[#This Row],[CANTIDAD
(unid.)]]</f>
        <v>9505.3551617184476</v>
      </c>
      <c r="AU21" s="281">
        <f>'💰 Precio de Venta'!I26</f>
        <v>2.3367331439224515</v>
      </c>
      <c r="AV21" s="278">
        <f>'💰 Precio de Venta'!J26</f>
        <v>0.79211293014320394</v>
      </c>
      <c r="AW21" s="278">
        <f>TABLA_BASE[[#This Row],[GANANCIA
UNIT.(S/.)]]*TABLA_BASE[[#This Row],[CANTIDAD
(unid.)]]</f>
        <v>3802.1420646873789</v>
      </c>
      <c r="AX21" s="289">
        <f>'💰 Precio de Venta'!K26</f>
        <v>657</v>
      </c>
      <c r="AY21" s="278">
        <f>TABLA_BASE[[#This Row],[GANANCIA
UNIT.(S/.)]]*'🧾 Factura Comercial'!G25</f>
        <v>3802.1420646873789</v>
      </c>
      <c r="AZ21" s="277">
        <f>IF(TABLA_BASE[[#This Row],[PRECIO VTA.
c/IGV(S/.)]]=0,0,TABLA_BASE[[#This Row],[GANANCIA
UNIT.(S/.)]]/TABLA_BASE[[#This Row],[PRECIO VTA.
c/IGV(S/.)]])</f>
        <v>0.33898305084745767</v>
      </c>
      <c r="BA21" s="277">
        <f>IF(TABLA_BASE[[#This Row],[C/M UNIT.
(S/.)]]=0,0,TABLA_BASE[[#This Row],[GANANCIA
UNIT.(S/.)]]/TABLA_BASE[[#This Row],[C/M UNIT.
(S/.)]])</f>
        <v>0.66666666666666674</v>
      </c>
      <c r="BB21" s="274" t="str">
        <f>IF(TABLA_BASE[[#This Row],[MARGEN
%]]&gt;=0.5,"🟢 ALTO",IF(TABLA_BASE[[#This Row],[MARGEN
%]]&gt;=0.3,"🟡 MEDIO","🔴 BAJO"))</f>
        <v>🟡 MEDIO</v>
      </c>
    </row>
    <row r="22" spans="1:54" ht="16.5" hidden="1" thickTop="1" thickBot="1" x14ac:dyDescent="0.3">
      <c r="A22" s="274" t="str">
        <f>'🧾 Factura Comercial'!E26</f>
        <v>Case Transparente TPU iPhone 15</v>
      </c>
      <c r="B22" s="274" t="str">
        <f>'🧾 Factura Comercial'!F26</f>
        <v>Unid.</v>
      </c>
      <c r="C22" s="275">
        <f>'🧾 Factura Comercial'!G26</f>
        <v>480</v>
      </c>
      <c r="D22" s="276">
        <f>'🧾 Factura Comercial'!H26</f>
        <v>1.21</v>
      </c>
      <c r="E22" s="276">
        <f>'🧾 Factura Comercial'!I26</f>
        <v>580.79999999999995</v>
      </c>
      <c r="F22" s="277">
        <f>IF('🧾 Tributos Aduana'!$F$6=0,0,'🧾 Factura Comercial'!I26/'🧾 Tributos Aduana'!$F$6)</f>
        <v>1.3308500575601812E-2</v>
      </c>
      <c r="G22" s="278">
        <f>'🧾 Factura Comercial'!H26*'📋 Datos Generales'!$E$19</f>
        <v>4.5011999999999999</v>
      </c>
      <c r="H22" s="278">
        <f>TABLA_BASE[[#This Row],[FOB UNIT.
(S/.)]]*TABLA_BASE[[#This Row],[CANTIDAD
(unid.)]]</f>
        <v>2160.576</v>
      </c>
      <c r="I22" s="280">
        <f>IF('🧾 Tributos Aduana'!$F$6=0,0,'🧾 Tributos Aduana'!$F$17*('🧾 Factura Comercial'!H26/'🧾 Tributos Aduana'!$F$6))</f>
        <v>7.6302069966783737E-2</v>
      </c>
      <c r="J22" s="280">
        <f>TABLA_BASE[[#This Row],[ADV UNIT.
(US$)
⚠️COSTO]]*TABLA_BASE[[#This Row],[CANTIDAD
(unid.)]]</f>
        <v>36.624993584056192</v>
      </c>
      <c r="K22" s="279">
        <f>IF('🧾 Tributos Aduana'!$F$6=0,0,'🧾 Tributos Aduana'!$F$18*('🧾 Factura Comercial'!H26/'🧾 Tributos Aduana'!$F$6))</f>
        <v>2.6949713665593674E-2</v>
      </c>
      <c r="L22" s="280">
        <f>TABLA_BASE[[#This Row],[IPM UNIT.
(US$)
✅CF]]*TABLA_BASE[[#This Row],[CANTIDAD
(unid.)]]</f>
        <v>12.935862559484963</v>
      </c>
      <c r="M22" s="279">
        <f>IF('🧾 Tributos Aduana'!$F$6=0,0,'🧾 Tributos Aduana'!$F$19*('🧾 Factura Comercial'!H26/'🧾 Tributos Aduana'!$F$6))</f>
        <v>0.2156808874533469</v>
      </c>
      <c r="N22" s="280">
        <f>TABLA_BASE[[#This Row],[IGV UNIT.
(US$)
✅CF]]*TABLA_BASE[[#This Row],[CANTIDAD
(unid.)]]</f>
        <v>103.52682597760651</v>
      </c>
      <c r="O22" s="280">
        <f>IF('🧾 Tributos Aduana'!$F$6=0,0,'🧾 Tributos Aduana'!$F$23*('🧾 Factura Comercial'!H26/'🧾 Tributos Aduana'!$F$6))</f>
        <v>5.567112147031434E-2</v>
      </c>
      <c r="P22" s="280">
        <f>TABLA_BASE[[#This Row],[PERCEP.
UNIT.(US$)
✅CF]]*TABLA_BASE[[#This Row],[CANTIDAD
(unid.)]]</f>
        <v>26.722138305750882</v>
      </c>
      <c r="Q22" s="279">
        <f>TABLA_BASE[[#This Row],[ADV UNIT.
(US$)
⚠️COSTO]]+TABLA_BASE[[#This Row],[IPM UNIT.
(US$)
✅CF]]+TABLA_BASE[[#This Row],[IGV UNIT.
(US$)
✅CF]]</f>
        <v>0.31893267108572432</v>
      </c>
      <c r="R22" s="280">
        <f>TABLA_BASE[[#This Row],[DEUDA
ADUANERA
UNIT.]]*TABLA_BASE[[#This Row],[CANTIDAD
(unid.)]]</f>
        <v>153.08768212114768</v>
      </c>
      <c r="S22" s="278">
        <f>TABLA_BASE[[#This Row],[DEUDA
ADUANERA
UNIT.]]*'📋 Datos Generales'!$E$19</f>
        <v>1.1864295364388946</v>
      </c>
      <c r="T22" s="278">
        <f>TABLA_BASE[[#This Row],[DEUDA
ADUANERA
TOTAL]]*'📋 Datos Generales'!$E$19</f>
        <v>569.48617749066943</v>
      </c>
      <c r="U22" s="281">
        <f>TABLA_BASE[[#This Row],[ADV UNIT.
(US$)
⚠️COSTO]]*'📋 Datos Generales'!$E$19</f>
        <v>0.28384370027643552</v>
      </c>
      <c r="V22" s="281">
        <f>TABLA_BASE[[#This Row],[ADV UNIT.
(S/.)]]*TABLA_BASE[[#This Row],[CANTIDAD
(unid.)]]</f>
        <v>136.24497613268906</v>
      </c>
      <c r="W22" s="281">
        <f>TABLA_BASE[[#This Row],[IPM UNIT.
(US$)
✅CF]]*'📋 Datos Generales'!$E$19</f>
        <v>0.10025293483600847</v>
      </c>
      <c r="X22" s="281">
        <f>TABLA_BASE[[#This Row],[IPM UNIT.
(S/.)]]*TABLA_BASE[[#This Row],[CANTIDAD
(unid.)]]</f>
        <v>48.12140872128407</v>
      </c>
      <c r="Y22" s="281">
        <f>TABLA_BASE[[#This Row],[IGV UNIT.
(US$)
✅CF]]*'📋 Datos Generales'!$E$19</f>
        <v>0.80233290132645052</v>
      </c>
      <c r="Z22" s="281">
        <f>TABLA_BASE[[#This Row],[IGV UNIT.
(S/.)]]*TABLA_BASE[[#This Row],[CANTIDAD
(unid.)]]</f>
        <v>385.11979263669627</v>
      </c>
      <c r="AA22" s="281">
        <f>TABLA_BASE[[#This Row],[PERCEP.
UNIT.(US$)
✅CF]]*'📋 Datos Generales'!$E$19</f>
        <v>0.20709657186956937</v>
      </c>
      <c r="AB22" s="281">
        <f>TABLA_BASE[[#This Row],[PERCEP.
UNIT.(S/.)]]*TABLA_BASE[[#This Row],[CANTIDAD
(unid.)]]</f>
        <v>99.406354497393295</v>
      </c>
      <c r="AC22" s="279">
        <f>TABLA_BASE[[#This Row],[ADV UNIT.
(US$)
⚠️COSTO]]+TABLA_BASE[[#This Row],[IPM UNIT.
(US$)
✅CF]]+TABLA_BASE[[#This Row],[IGV UNIT.
(US$)
✅CF]]+TABLA_BASE[[#This Row],[PERCEP.
UNIT.(US$)
✅CF]]</f>
        <v>0.37460379255603865</v>
      </c>
      <c r="AD22" s="279">
        <f>TABLA_BASE[[#This Row],[TOTAL PAGO
SUNAT
UNIT.(US$)]]*TABLA_BASE[[#This Row],[CANTIDAD
(unid.)]]</f>
        <v>179.80982042689854</v>
      </c>
      <c r="AE22" s="281">
        <f>TABLA_BASE[[#This Row],[TOTAL PAGO
SUNAT
UNIT.(US$)]]*'📋 Datos Generales'!$E$19</f>
        <v>1.3935261083084638</v>
      </c>
      <c r="AF22" s="281">
        <f>TABLA_BASE[[#This Row],[TOTAL TRIB.
UNIT.(S/.)]]*TABLA_BASE[[#This Row],[CANTIDAD
(unid.)]]</f>
        <v>668.89253198806261</v>
      </c>
      <c r="AG22" s="279">
        <f>IF('🧾 Factura Comercial'!G26=0,0,'📦 Gastos Importación'!$E$28*(IF('🧾 Tributos Aduana'!$F$6=0,0,'🧾 Factura Comercial'!I26/'🧾 Tributos Aduana'!$F$6))/'🧾 Factura Comercial'!G26)</f>
        <v>1.3802659064995342</v>
      </c>
      <c r="AH22" s="279">
        <f>TABLA_BASE[[#This Row],[GASTOS IMP.
UNIT.(US$)]]*TABLA_BASE[[#This Row],[CANTIDAD
(unid.)]]</f>
        <v>662.52763511977639</v>
      </c>
      <c r="AI22" s="281">
        <f>TABLA_BASE[[#This Row],[GASTOS IMP.
UNIT.(US$)]]*'📋 Datos Generales'!$E$19</f>
        <v>5.1345891721782673</v>
      </c>
      <c r="AJ22" s="281">
        <f>TABLA_BASE[[#This Row],[GASTOS IMP.
UNIT.(S/.)]]*TABLA_BASE[[#This Row],[CANTIDAD
(unid.)]]</f>
        <v>2464.6028026455683</v>
      </c>
      <c r="AK22" s="280">
        <f>'🧮 Costos x Producto'!J26</f>
        <v>1.3802659064995342</v>
      </c>
      <c r="AL22" s="278">
        <f>'🧮 Costos x Producto'!K26</f>
        <v>5.1345891721782673</v>
      </c>
      <c r="AM22" s="278">
        <f>TABLA_BASE[[#This Row],[C/M UNIT.
(S/.)]]*TABLA_BASE[[#This Row],[CANTIDAD
(unid.)]]</f>
        <v>2464.6028026455683</v>
      </c>
      <c r="AN22" s="279">
        <f>IF('🧾 Factura Comercial'!G26=0,0,'🧾 Tributos Aduana'!$F$17*(IF('🧾 Tributos Aduana'!$F$6=0,0,'🧾 Factura Comercial'!I26/'🧾 Tributos Aduana'!$F$6))/'🧾 Factura Comercial'!G26)</f>
        <v>7.6302069966783723E-2</v>
      </c>
      <c r="AO22" s="280">
        <f>IF('🧾 Factura Comercial'!G26=0,0,'🏦 Crédito Fiscal'!$C$16*(IF('🧾 Tributos Aduana'!$F$6=0,0,'🧾 Factura Comercial'!I26/'🧾 Tributos Aduana'!$F$6))/'🧾 Factura Comercial'!G26)</f>
        <v>0.30394873564661701</v>
      </c>
      <c r="AP22" s="278">
        <f>TABLA_BASE[[#This Row],[CF UNIT.
✅RECUP.
(US$)]]*'📋 Datos Generales'!$E$19</f>
        <v>1.1306892966054154</v>
      </c>
      <c r="AQ22" s="278">
        <f>TABLA_BASE[[#This Row],[CF UNIT.
✅RECUP.(S/.)]]*TABLA_BASE[[#This Row],[CANTIDAD
(unid.)]]</f>
        <v>542.73086237059943</v>
      </c>
      <c r="AR22" s="288">
        <f>'💰 Precio de Venta'!G27</f>
        <v>0.4</v>
      </c>
      <c r="AS22" s="278">
        <f>'💰 Precio de Venta'!H27</f>
        <v>8.5576486202971118</v>
      </c>
      <c r="AT22" s="278">
        <f>TABLA_BASE[[#This Row],[VALOR VTA.
UNIT.(S/.)]]*TABLA_BASE[[#This Row],[CANTIDAD
(unid.)]]</f>
        <v>4107.671337742614</v>
      </c>
      <c r="AU22" s="281">
        <f>'💰 Precio de Venta'!I27</f>
        <v>10.098025371950591</v>
      </c>
      <c r="AV22" s="278">
        <f>'💰 Precio de Venta'!J27</f>
        <v>3.4230594481188445</v>
      </c>
      <c r="AW22" s="278">
        <f>TABLA_BASE[[#This Row],[GANANCIA
UNIT.(S/.)]]*TABLA_BASE[[#This Row],[CANTIDAD
(unid.)]]</f>
        <v>1643.0685350970455</v>
      </c>
      <c r="AX22" s="289">
        <f>'💰 Precio de Venta'!K27</f>
        <v>66</v>
      </c>
      <c r="AY22" s="278">
        <f>TABLA_BASE[[#This Row],[GANANCIA
UNIT.(S/.)]]*'🧾 Factura Comercial'!G26</f>
        <v>1643.0685350970455</v>
      </c>
      <c r="AZ22" s="277">
        <f>IF(TABLA_BASE[[#This Row],[PRECIO VTA.
c/IGV(S/.)]]=0,0,TABLA_BASE[[#This Row],[GANANCIA
UNIT.(S/.)]]/TABLA_BASE[[#This Row],[PRECIO VTA.
c/IGV(S/.)]])</f>
        <v>0.33898305084745767</v>
      </c>
      <c r="BA22" s="277">
        <f>IF(TABLA_BASE[[#This Row],[C/M UNIT.
(S/.)]]=0,0,TABLA_BASE[[#This Row],[GANANCIA
UNIT.(S/.)]]/TABLA_BASE[[#This Row],[C/M UNIT.
(S/.)]])</f>
        <v>0.66666666666666663</v>
      </c>
      <c r="BB22" s="274" t="str">
        <f>IF(TABLA_BASE[[#This Row],[MARGEN
%]]&gt;=0.5,"🟢 ALTO",IF(TABLA_BASE[[#This Row],[MARGEN
%]]&gt;=0.3,"🟡 MEDIO","🔴 BAJO"))</f>
        <v>🟡 MEDIO</v>
      </c>
    </row>
    <row r="23" spans="1:54" ht="16.5" hidden="1" thickTop="1" thickBot="1" x14ac:dyDescent="0.3">
      <c r="A23" s="274" t="str">
        <f>'🧾 Factura Comercial'!E27</f>
        <v>Cable USB-C Trenzado 1m</v>
      </c>
      <c r="B23" s="274" t="str">
        <f>'🧾 Factura Comercial'!F27</f>
        <v>Unid.</v>
      </c>
      <c r="C23" s="275">
        <f>'🧾 Factura Comercial'!G27</f>
        <v>2880</v>
      </c>
      <c r="D23" s="276">
        <f>'🧾 Factura Comercial'!H27</f>
        <v>0.68</v>
      </c>
      <c r="E23" s="276">
        <f>'🧾 Factura Comercial'!I27</f>
        <v>1958.4</v>
      </c>
      <c r="F23" s="277">
        <f>IF('🧾 Tributos Aduana'!$F$6=0,0,'🧾 Factura Comercial'!I27/'🧾 Tributos Aduana'!$F$6)</f>
        <v>4.4874944089632565E-2</v>
      </c>
      <c r="G23" s="278">
        <f>'🧾 Factura Comercial'!H27*'📋 Datos Generales'!$E$19</f>
        <v>2.5296000000000003</v>
      </c>
      <c r="H23" s="278">
        <f>TABLA_BASE[[#This Row],[FOB UNIT.
(S/.)]]*TABLA_BASE[[#This Row],[CANTIDAD
(unid.)]]</f>
        <v>7285.2480000000005</v>
      </c>
      <c r="I23" s="280">
        <f>IF('🧾 Tributos Aduana'!$F$6=0,0,'🧾 Tributos Aduana'!$F$17*('🧾 Factura Comercial'!H27/'🧾 Tributos Aduana'!$F$6))</f>
        <v>4.288050213009334E-2</v>
      </c>
      <c r="J23" s="280">
        <f>TABLA_BASE[[#This Row],[ADV UNIT.
(US$)
⚠️COSTO]]*TABLA_BASE[[#This Row],[CANTIDAD
(unid.)]]</f>
        <v>123.49584613466882</v>
      </c>
      <c r="K23" s="279">
        <f>IF('🧾 Tributos Aduana'!$F$6=0,0,'🧾 Tributos Aduana'!$F$18*('🧾 Factura Comercial'!H27/'🧾 Tributos Aduana'!$F$6))</f>
        <v>1.5145293630250989E-2</v>
      </c>
      <c r="L23" s="280">
        <f>TABLA_BASE[[#This Row],[IPM UNIT.
(US$)
✅CF]]*TABLA_BASE[[#This Row],[CANTIDAD
(unid.)]]</f>
        <v>43.618445655122848</v>
      </c>
      <c r="M23" s="279">
        <f>IF('🧾 Tributos Aduana'!$F$6=0,0,'🧾 Tributos Aduana'!$F$19*('🧾 Factura Comercial'!H27/'🧾 Tributos Aduana'!$F$6))</f>
        <v>0.12120909377543462</v>
      </c>
      <c r="N23" s="280">
        <f>TABLA_BASE[[#This Row],[IGV UNIT.
(US$)
✅CF]]*TABLA_BASE[[#This Row],[CANTIDAD
(unid.)]]</f>
        <v>349.0821900732517</v>
      </c>
      <c r="O23" s="280">
        <f>IF('🧾 Tributos Aduana'!$F$6=0,0,'🧾 Tributos Aduana'!$F$23*('🧾 Factura Comercial'!H27/'🧾 Tributos Aduana'!$F$6))</f>
        <v>3.1286250082490703E-2</v>
      </c>
      <c r="P23" s="280">
        <f>TABLA_BASE[[#This Row],[PERCEP.
UNIT.(US$)
✅CF]]*TABLA_BASE[[#This Row],[CANTIDAD
(unid.)]]</f>
        <v>90.10440023757323</v>
      </c>
      <c r="Q23" s="279">
        <f>TABLA_BASE[[#This Row],[ADV UNIT.
(US$)
⚠️COSTO]]+TABLA_BASE[[#This Row],[IPM UNIT.
(US$)
✅CF]]+TABLA_BASE[[#This Row],[IGV UNIT.
(US$)
✅CF]]</f>
        <v>0.17923488953577896</v>
      </c>
      <c r="R23" s="280">
        <f>TABLA_BASE[[#This Row],[DEUDA
ADUANERA
UNIT.]]*TABLA_BASE[[#This Row],[CANTIDAD
(unid.)]]</f>
        <v>516.19648186304335</v>
      </c>
      <c r="S23" s="278">
        <f>TABLA_BASE[[#This Row],[DEUDA
ADUANERA
UNIT.]]*'📋 Datos Generales'!$E$19</f>
        <v>0.66675378907309779</v>
      </c>
      <c r="T23" s="278">
        <f>TABLA_BASE[[#This Row],[DEUDA
ADUANERA
TOTAL]]*'📋 Datos Generales'!$E$19</f>
        <v>1920.2509125305214</v>
      </c>
      <c r="U23" s="281">
        <f>TABLA_BASE[[#This Row],[ADV UNIT.
(US$)
⚠️COSTO]]*'📋 Datos Generales'!$E$19</f>
        <v>0.15951546792394725</v>
      </c>
      <c r="V23" s="281">
        <f>TABLA_BASE[[#This Row],[ADV UNIT.
(S/.)]]*TABLA_BASE[[#This Row],[CANTIDAD
(unid.)]]</f>
        <v>459.40454762096806</v>
      </c>
      <c r="W23" s="281">
        <f>TABLA_BASE[[#This Row],[IPM UNIT.
(US$)
✅CF]]*'📋 Datos Generales'!$E$19</f>
        <v>5.6340492304533682E-2</v>
      </c>
      <c r="X23" s="281">
        <f>TABLA_BASE[[#This Row],[IPM UNIT.
(S/.)]]*TABLA_BASE[[#This Row],[CANTIDAD
(unid.)]]</f>
        <v>162.260617837057</v>
      </c>
      <c r="Y23" s="281">
        <f>TABLA_BASE[[#This Row],[IGV UNIT.
(US$)
✅CF]]*'📋 Datos Generales'!$E$19</f>
        <v>0.45089782884461682</v>
      </c>
      <c r="Z23" s="281">
        <f>TABLA_BASE[[#This Row],[IGV UNIT.
(S/.)]]*TABLA_BASE[[#This Row],[CANTIDAD
(unid.)]]</f>
        <v>1298.5857470724964</v>
      </c>
      <c r="AA23" s="281">
        <f>TABLA_BASE[[#This Row],[PERCEP.
UNIT.(US$)
✅CF]]*'📋 Datos Generales'!$E$19</f>
        <v>0.11638485030686542</v>
      </c>
      <c r="AB23" s="281">
        <f>TABLA_BASE[[#This Row],[PERCEP.
UNIT.(S/.)]]*TABLA_BASE[[#This Row],[CANTIDAD
(unid.)]]</f>
        <v>335.1883688837724</v>
      </c>
      <c r="AC23" s="279">
        <f>TABLA_BASE[[#This Row],[ADV UNIT.
(US$)
⚠️COSTO]]+TABLA_BASE[[#This Row],[IPM UNIT.
(US$)
✅CF]]+TABLA_BASE[[#This Row],[IGV UNIT.
(US$)
✅CF]]+TABLA_BASE[[#This Row],[PERCEP.
UNIT.(US$)
✅CF]]</f>
        <v>0.21052113961826965</v>
      </c>
      <c r="AD23" s="279">
        <f>TABLA_BASE[[#This Row],[TOTAL PAGO
SUNAT
UNIT.(US$)]]*TABLA_BASE[[#This Row],[CANTIDAD
(unid.)]]</f>
        <v>606.3008821006166</v>
      </c>
      <c r="AE23" s="281">
        <f>TABLA_BASE[[#This Row],[TOTAL PAGO
SUNAT
UNIT.(US$)]]*'📋 Datos Generales'!$E$19</f>
        <v>0.7831386393799632</v>
      </c>
      <c r="AF23" s="281">
        <f>TABLA_BASE[[#This Row],[TOTAL TRIB.
UNIT.(S/.)]]*TABLA_BASE[[#This Row],[CANTIDAD
(unid.)]]</f>
        <v>2255.4392814142939</v>
      </c>
      <c r="AG23" s="279">
        <f>IF('🧾 Factura Comercial'!G27=0,0,'📦 Gastos Importación'!$E$28*(IF('🧾 Tributos Aduana'!$F$6=0,0,'🧾 Factura Comercial'!I27/'🧾 Tributos Aduana'!$F$6))/'🧾 Factura Comercial'!G27)</f>
        <v>0.77568662514023412</v>
      </c>
      <c r="AH23" s="279">
        <f>TABLA_BASE[[#This Row],[GASTOS IMP.
UNIT.(US$)]]*TABLA_BASE[[#This Row],[CANTIDAD
(unid.)]]</f>
        <v>2233.9774804038743</v>
      </c>
      <c r="AI23" s="281">
        <f>TABLA_BASE[[#This Row],[GASTOS IMP.
UNIT.(US$)]]*'📋 Datos Generales'!$E$19</f>
        <v>2.8855542455216709</v>
      </c>
      <c r="AJ23" s="281">
        <f>TABLA_BASE[[#This Row],[GASTOS IMP.
UNIT.(S/.)]]*TABLA_BASE[[#This Row],[CANTIDAD
(unid.)]]</f>
        <v>8310.396227102412</v>
      </c>
      <c r="AK23" s="280">
        <f>'🧮 Costos x Producto'!J27</f>
        <v>0.77568662514023423</v>
      </c>
      <c r="AL23" s="278">
        <f>'🧮 Costos x Producto'!K27</f>
        <v>2.8855542455216714</v>
      </c>
      <c r="AM23" s="278">
        <f>TABLA_BASE[[#This Row],[C/M UNIT.
(S/.)]]*TABLA_BASE[[#This Row],[CANTIDAD
(unid.)]]</f>
        <v>8310.3962271024138</v>
      </c>
      <c r="AN23" s="279">
        <f>IF('🧾 Factura Comercial'!G27=0,0,'🧾 Tributos Aduana'!$F$17*(IF('🧾 Tributos Aduana'!$F$6=0,0,'🧾 Factura Comercial'!I27/'🧾 Tributos Aduana'!$F$6))/'🧾 Factura Comercial'!G27)</f>
        <v>4.288050213009334E-2</v>
      </c>
      <c r="AO23" s="280">
        <f>IF('🧾 Factura Comercial'!G27=0,0,'🏦 Crédito Fiscal'!$C$16*(IF('🧾 Tributos Aduana'!$F$6=0,0,'🧾 Factura Comercial'!I27/'🧾 Tributos Aduana'!$F$6))/'🧾 Factura Comercial'!G27)</f>
        <v>0.17081416548735509</v>
      </c>
      <c r="AP23" s="278">
        <f>TABLA_BASE[[#This Row],[CF UNIT.
✅RECUP.
(US$)]]*'📋 Datos Generales'!$E$19</f>
        <v>0.635428695612961</v>
      </c>
      <c r="AQ23" s="278">
        <f>TABLA_BASE[[#This Row],[CF UNIT.
✅RECUP.(S/.)]]*TABLA_BASE[[#This Row],[CANTIDAD
(unid.)]]</f>
        <v>1830.0346433653276</v>
      </c>
      <c r="AR23" s="288">
        <f>'💰 Precio de Venta'!G28</f>
        <v>0.4</v>
      </c>
      <c r="AS23" s="278">
        <f>'💰 Precio de Venta'!H28</f>
        <v>4.8092570758694526</v>
      </c>
      <c r="AT23" s="278">
        <f>TABLA_BASE[[#This Row],[VALOR VTA.
UNIT.(S/.)]]*TABLA_BASE[[#This Row],[CANTIDAD
(unid.)]]</f>
        <v>13850.660378504024</v>
      </c>
      <c r="AU23" s="281">
        <f>'💰 Precio de Venta'!I28</f>
        <v>5.6749233495259537</v>
      </c>
      <c r="AV23" s="278">
        <f>'💰 Precio de Venta'!J28</f>
        <v>1.9237028303477812</v>
      </c>
      <c r="AW23" s="278">
        <f>TABLA_BASE[[#This Row],[GANANCIA
UNIT.(S/.)]]*TABLA_BASE[[#This Row],[CANTIDAD
(unid.)]]</f>
        <v>5540.2641514016095</v>
      </c>
      <c r="AX23" s="289">
        <f>'💰 Precio de Venta'!K28</f>
        <v>394</v>
      </c>
      <c r="AY23" s="278">
        <f>TABLA_BASE[[#This Row],[GANANCIA
UNIT.(S/.)]]*'🧾 Factura Comercial'!G27</f>
        <v>5540.2641514016095</v>
      </c>
      <c r="AZ23" s="277">
        <f>IF(TABLA_BASE[[#This Row],[PRECIO VTA.
c/IGV(S/.)]]=0,0,TABLA_BASE[[#This Row],[GANANCIA
UNIT.(S/.)]]/TABLA_BASE[[#This Row],[PRECIO VTA.
c/IGV(S/.)]])</f>
        <v>0.33898305084745767</v>
      </c>
      <c r="BA23" s="277">
        <f>IF(TABLA_BASE[[#This Row],[C/M UNIT.
(S/.)]]=0,0,TABLA_BASE[[#This Row],[GANANCIA
UNIT.(S/.)]]/TABLA_BASE[[#This Row],[C/M UNIT.
(S/.)]])</f>
        <v>0.66666666666666674</v>
      </c>
      <c r="BB23" s="274" t="str">
        <f>IF(TABLA_BASE[[#This Row],[MARGEN
%]]&gt;=0.5,"🟢 ALTO",IF(TABLA_BASE[[#This Row],[MARGEN
%]]&gt;=0.3,"🟡 MEDIO","🔴 BAJO"))</f>
        <v>🟡 MEDIO</v>
      </c>
    </row>
    <row r="24" spans="1:54" ht="16.5" hidden="1" thickTop="1" thickBot="1" x14ac:dyDescent="0.3">
      <c r="A24" s="274" t="str">
        <f>'🧾 Factura Comercial'!E28</f>
        <v>Protector Pantalla Vidrio Templado</v>
      </c>
      <c r="B24" s="274" t="str">
        <f>'🧾 Factura Comercial'!F28</f>
        <v>Unid.</v>
      </c>
      <c r="C24" s="275">
        <f>'🧾 Factura Comercial'!G28</f>
        <v>2880</v>
      </c>
      <c r="D24" s="276">
        <f>'🧾 Factura Comercial'!H28</f>
        <v>0.4</v>
      </c>
      <c r="E24" s="276">
        <f>'🧾 Factura Comercial'!I28</f>
        <v>1152</v>
      </c>
      <c r="F24" s="277">
        <f>IF('🧾 Tributos Aduana'!$F$6=0,0,'🧾 Factura Comercial'!I28/'🧾 Tributos Aduana'!$F$6)</f>
        <v>2.6397025935077978E-2</v>
      </c>
      <c r="G24" s="278">
        <f>'🧾 Factura Comercial'!H28*'📋 Datos Generales'!$E$19</f>
        <v>1.4880000000000002</v>
      </c>
      <c r="H24" s="278">
        <f>TABLA_BASE[[#This Row],[FOB UNIT.
(S/.)]]*TABLA_BASE[[#This Row],[CANTIDAD
(unid.)]]</f>
        <v>4285.4400000000005</v>
      </c>
      <c r="I24" s="280">
        <f>IF('🧾 Tributos Aduana'!$F$6=0,0,'🧾 Tributos Aduana'!$F$17*('🧾 Factura Comercial'!H28/'🧾 Tributos Aduana'!$F$6))</f>
        <v>2.5223824782407846E-2</v>
      </c>
      <c r="J24" s="280">
        <f>TABLA_BASE[[#This Row],[ADV UNIT.
(US$)
⚠️COSTO]]*TABLA_BASE[[#This Row],[CANTIDAD
(unid.)]]</f>
        <v>72.644615373334602</v>
      </c>
      <c r="K24" s="279">
        <f>IF('🧾 Tributos Aduana'!$F$6=0,0,'🧾 Tributos Aduana'!$F$18*('🧾 Factura Comercial'!H28/'🧾 Tributos Aduana'!$F$6))</f>
        <v>8.9089962530888179E-3</v>
      </c>
      <c r="L24" s="280">
        <f>TABLA_BASE[[#This Row],[IPM UNIT.
(US$)
✅CF]]*TABLA_BASE[[#This Row],[CANTIDAD
(unid.)]]</f>
        <v>25.657909208895795</v>
      </c>
      <c r="M24" s="279">
        <f>IF('🧾 Tributos Aduana'!$F$6=0,0,'🧾 Tributos Aduana'!$F$19*('🧾 Factura Comercial'!H28/'🧾 Tributos Aduana'!$F$6))</f>
        <v>7.1299466926726257E-2</v>
      </c>
      <c r="N24" s="280">
        <f>TABLA_BASE[[#This Row],[IGV UNIT.
(US$)
✅CF]]*TABLA_BASE[[#This Row],[CANTIDAD
(unid.)]]</f>
        <v>205.34246474897162</v>
      </c>
      <c r="O24" s="280">
        <f>IF('🧾 Tributos Aduana'!$F$6=0,0,'🧾 Tributos Aduana'!$F$23*('🧾 Factura Comercial'!H28/'🧾 Tributos Aduana'!$F$6))</f>
        <v>1.8403676519112181E-2</v>
      </c>
      <c r="P24" s="280">
        <f>TABLA_BASE[[#This Row],[PERCEP.
UNIT.(US$)
✅CF]]*TABLA_BASE[[#This Row],[CANTIDAD
(unid.)]]</f>
        <v>53.002588375043082</v>
      </c>
      <c r="Q24" s="279">
        <f>TABLA_BASE[[#This Row],[ADV UNIT.
(US$)
⚠️COSTO]]+TABLA_BASE[[#This Row],[IPM UNIT.
(US$)
✅CF]]+TABLA_BASE[[#This Row],[IGV UNIT.
(US$)
✅CF]]</f>
        <v>0.10543228796222293</v>
      </c>
      <c r="R24" s="280">
        <f>TABLA_BASE[[#This Row],[DEUDA
ADUANERA
UNIT.]]*TABLA_BASE[[#This Row],[CANTIDAD
(unid.)]]</f>
        <v>303.64498933120205</v>
      </c>
      <c r="S24" s="278">
        <f>TABLA_BASE[[#This Row],[DEUDA
ADUANERA
UNIT.]]*'📋 Datos Generales'!$E$19</f>
        <v>0.3922081112194693</v>
      </c>
      <c r="T24" s="278">
        <f>TABLA_BASE[[#This Row],[DEUDA
ADUANERA
TOTAL]]*'📋 Datos Generales'!$E$19</f>
        <v>1129.5593603120717</v>
      </c>
      <c r="U24" s="281">
        <f>TABLA_BASE[[#This Row],[ADV UNIT.
(US$)
⚠️COSTO]]*'📋 Datos Generales'!$E$19</f>
        <v>9.3832628190557196E-2</v>
      </c>
      <c r="V24" s="281">
        <f>TABLA_BASE[[#This Row],[ADV UNIT.
(S/.)]]*TABLA_BASE[[#This Row],[CANTIDAD
(unid.)]]</f>
        <v>270.2379691888047</v>
      </c>
      <c r="W24" s="281">
        <f>TABLA_BASE[[#This Row],[IPM UNIT.
(US$)
✅CF]]*'📋 Datos Generales'!$E$19</f>
        <v>3.3141466061490404E-2</v>
      </c>
      <c r="X24" s="281">
        <f>TABLA_BASE[[#This Row],[IPM UNIT.
(S/.)]]*TABLA_BASE[[#This Row],[CANTIDAD
(unid.)]]</f>
        <v>95.44742225709237</v>
      </c>
      <c r="Y24" s="281">
        <f>TABLA_BASE[[#This Row],[IGV UNIT.
(US$)
✅CF]]*'📋 Datos Generales'!$E$19</f>
        <v>0.26523401696742172</v>
      </c>
      <c r="Z24" s="281">
        <f>TABLA_BASE[[#This Row],[IGV UNIT.
(S/.)]]*TABLA_BASE[[#This Row],[CANTIDAD
(unid.)]]</f>
        <v>763.87396886617455</v>
      </c>
      <c r="AA24" s="281">
        <f>TABLA_BASE[[#This Row],[PERCEP.
UNIT.(US$)
✅CF]]*'📋 Datos Generales'!$E$19</f>
        <v>6.8461676651097314E-2</v>
      </c>
      <c r="AB24" s="281">
        <f>TABLA_BASE[[#This Row],[PERCEP.
UNIT.(S/.)]]*TABLA_BASE[[#This Row],[CANTIDAD
(unid.)]]</f>
        <v>197.16962875516026</v>
      </c>
      <c r="AC24" s="279">
        <f>TABLA_BASE[[#This Row],[ADV UNIT.
(US$)
⚠️COSTO]]+TABLA_BASE[[#This Row],[IPM UNIT.
(US$)
✅CF]]+TABLA_BASE[[#This Row],[IGV UNIT.
(US$)
✅CF]]+TABLA_BASE[[#This Row],[PERCEP.
UNIT.(US$)
✅CF]]</f>
        <v>0.1238359644813351</v>
      </c>
      <c r="AD24" s="279">
        <f>TABLA_BASE[[#This Row],[TOTAL PAGO
SUNAT
UNIT.(US$)]]*TABLA_BASE[[#This Row],[CANTIDAD
(unid.)]]</f>
        <v>356.6475777062451</v>
      </c>
      <c r="AE24" s="281">
        <f>TABLA_BASE[[#This Row],[TOTAL PAGO
SUNAT
UNIT.(US$)]]*'📋 Datos Generales'!$E$19</f>
        <v>0.46066978787056662</v>
      </c>
      <c r="AF24" s="281">
        <f>TABLA_BASE[[#This Row],[TOTAL TRIB.
UNIT.(S/.)]]*TABLA_BASE[[#This Row],[CANTIDAD
(unid.)]]</f>
        <v>1326.7289890672319</v>
      </c>
      <c r="AG24" s="279">
        <f>IF('🧾 Factura Comercial'!G28=0,0,'📦 Gastos Importación'!$E$28*(IF('🧾 Tributos Aduana'!$F$6=0,0,'🧾 Factura Comercial'!I28/'🧾 Tributos Aduana'!$F$6))/'🧾 Factura Comercial'!G28)</f>
        <v>0.45628625008249069</v>
      </c>
      <c r="AH24" s="279">
        <f>TABLA_BASE[[#This Row],[GASTOS IMP.
UNIT.(US$)]]*TABLA_BASE[[#This Row],[CANTIDAD
(unid.)]]</f>
        <v>1314.1044002375731</v>
      </c>
      <c r="AI24" s="281">
        <f>TABLA_BASE[[#This Row],[GASTOS IMP.
UNIT.(US$)]]*'📋 Datos Generales'!$E$19</f>
        <v>1.6973848503068654</v>
      </c>
      <c r="AJ24" s="281">
        <f>TABLA_BASE[[#This Row],[GASTOS IMP.
UNIT.(S/.)]]*TABLA_BASE[[#This Row],[CANTIDAD
(unid.)]]</f>
        <v>4888.4683688837722</v>
      </c>
      <c r="AK24" s="280">
        <f>'🧮 Costos x Producto'!J28</f>
        <v>0.45628625008249069</v>
      </c>
      <c r="AL24" s="278">
        <f>'🧮 Costos x Producto'!K28</f>
        <v>1.6973848503068654</v>
      </c>
      <c r="AM24" s="278">
        <f>TABLA_BASE[[#This Row],[C/M UNIT.
(S/.)]]*TABLA_BASE[[#This Row],[CANTIDAD
(unid.)]]</f>
        <v>4888.4683688837722</v>
      </c>
      <c r="AN24" s="279">
        <f>IF('🧾 Factura Comercial'!G28=0,0,'🧾 Tributos Aduana'!$F$17*(IF('🧾 Tributos Aduana'!$F$6=0,0,'🧾 Factura Comercial'!I28/'🧾 Tributos Aduana'!$F$6))/'🧾 Factura Comercial'!G28)</f>
        <v>2.5223824782407849E-2</v>
      </c>
      <c r="AO24" s="280">
        <f>IF('🧾 Factura Comercial'!G28=0,0,'🏦 Crédito Fiscal'!$C$16*(IF('🧾 Tributos Aduana'!$F$6=0,0,'🧾 Factura Comercial'!I28/'🧾 Tributos Aduana'!$F$6))/'🧾 Factura Comercial'!G28)</f>
        <v>0.10047892087491474</v>
      </c>
      <c r="AP24" s="278">
        <f>TABLA_BASE[[#This Row],[CF UNIT.
✅RECUP.
(US$)]]*'📋 Datos Generales'!$E$19</f>
        <v>0.37378158565468284</v>
      </c>
      <c r="AQ24" s="278">
        <f>TABLA_BASE[[#This Row],[CF UNIT.
✅RECUP.(S/.)]]*TABLA_BASE[[#This Row],[CANTIDAD
(unid.)]]</f>
        <v>1076.4909666854865</v>
      </c>
      <c r="AR24" s="288">
        <f>'💰 Precio de Venta'!G29</f>
        <v>0.4</v>
      </c>
      <c r="AS24" s="278">
        <f>'💰 Precio de Venta'!H29</f>
        <v>2.8289747505114424</v>
      </c>
      <c r="AT24" s="278">
        <f>TABLA_BASE[[#This Row],[VALOR VTA.
UNIT.(S/.)]]*TABLA_BASE[[#This Row],[CANTIDAD
(unid.)]]</f>
        <v>8147.4472814729543</v>
      </c>
      <c r="AU24" s="281">
        <f>'💰 Precio de Venta'!I29</f>
        <v>3.3381902056035018</v>
      </c>
      <c r="AV24" s="278">
        <f>'💰 Precio de Venta'!J29</f>
        <v>1.1315899002045771</v>
      </c>
      <c r="AW24" s="278">
        <f>TABLA_BASE[[#This Row],[GANANCIA
UNIT.(S/.)]]*TABLA_BASE[[#This Row],[CANTIDAD
(unid.)]]</f>
        <v>3258.9789125891821</v>
      </c>
      <c r="AX24" s="289">
        <f>'💰 Precio de Venta'!K29</f>
        <v>394</v>
      </c>
      <c r="AY24" s="278">
        <f>TABLA_BASE[[#This Row],[GANANCIA
UNIT.(S/.)]]*'🧾 Factura Comercial'!G28</f>
        <v>3258.9789125891821</v>
      </c>
      <c r="AZ24" s="277">
        <f>IF(TABLA_BASE[[#This Row],[PRECIO VTA.
c/IGV(S/.)]]=0,0,TABLA_BASE[[#This Row],[GANANCIA
UNIT.(S/.)]]/TABLA_BASE[[#This Row],[PRECIO VTA.
c/IGV(S/.)]])</f>
        <v>0.33898305084745767</v>
      </c>
      <c r="BA24" s="277">
        <f>IF(TABLA_BASE[[#This Row],[C/M UNIT.
(S/.)]]=0,0,TABLA_BASE[[#This Row],[GANANCIA
UNIT.(S/.)]]/TABLA_BASE[[#This Row],[C/M UNIT.
(S/.)]])</f>
        <v>0.66666666666666674</v>
      </c>
      <c r="BB24" s="274" t="str">
        <f>IF(TABLA_BASE[[#This Row],[MARGEN
%]]&gt;=0.5,"🟢 ALTO",IF(TABLA_BASE[[#This Row],[MARGEN
%]]&gt;=0.3,"🟡 MEDIO","🔴 BAJO"))</f>
        <v>🟡 MEDIO</v>
      </c>
    </row>
    <row r="25" spans="1:54" ht="16.5" hidden="1" thickTop="1" thickBot="1" x14ac:dyDescent="0.3">
      <c r="A25" s="274" t="str">
        <f>'🧾 Factura Comercial'!E29</f>
        <v>Audífonos In-Ear con Micrófono</v>
      </c>
      <c r="B25" s="274" t="str">
        <f>'🧾 Factura Comercial'!F29</f>
        <v>Unid.</v>
      </c>
      <c r="C25" s="275">
        <f>'🧾 Factura Comercial'!G29</f>
        <v>10224</v>
      </c>
      <c r="D25" s="276">
        <f>'🧾 Factura Comercial'!H29</f>
        <v>0.34</v>
      </c>
      <c r="E25" s="276">
        <f>'🧾 Factura Comercial'!I29</f>
        <v>3476.1600000000003</v>
      </c>
      <c r="F25" s="277">
        <f>IF('🧾 Tributos Aduana'!$F$6=0,0,'🧾 Factura Comercial'!I29/'🧾 Tributos Aduana'!$F$6)</f>
        <v>7.9653025759097801E-2</v>
      </c>
      <c r="G25" s="278">
        <f>'🧾 Factura Comercial'!H29*'📋 Datos Generales'!$E$19</f>
        <v>1.2648000000000001</v>
      </c>
      <c r="H25" s="278">
        <f>TABLA_BASE[[#This Row],[FOB UNIT.
(S/.)]]*TABLA_BASE[[#This Row],[CANTIDAD
(unid.)]]</f>
        <v>12931.315200000001</v>
      </c>
      <c r="I25" s="280">
        <f>IF('🧾 Tributos Aduana'!$F$6=0,0,'🧾 Tributos Aduana'!$F$17*('🧾 Factura Comercial'!H29/'🧾 Tributos Aduana'!$F$6))</f>
        <v>2.144025106504667E-2</v>
      </c>
      <c r="J25" s="280">
        <f>TABLA_BASE[[#This Row],[ADV UNIT.
(US$)
⚠️COSTO]]*TABLA_BASE[[#This Row],[CANTIDAD
(unid.)]]</f>
        <v>219.20512688903716</v>
      </c>
      <c r="K25" s="279">
        <f>IF('🧾 Tributos Aduana'!$F$6=0,0,'🧾 Tributos Aduana'!$F$18*('🧾 Factura Comercial'!H29/'🧾 Tributos Aduana'!$F$6))</f>
        <v>7.5726468151254946E-3</v>
      </c>
      <c r="L25" s="280">
        <f>TABLA_BASE[[#This Row],[IPM UNIT.
(US$)
✅CF]]*TABLA_BASE[[#This Row],[CANTIDAD
(unid.)]]</f>
        <v>77.422741037843053</v>
      </c>
      <c r="M25" s="279">
        <f>IF('🧾 Tributos Aduana'!$F$6=0,0,'🧾 Tributos Aduana'!$F$19*('🧾 Factura Comercial'!H29/'🧾 Tributos Aduana'!$F$6))</f>
        <v>6.0604546887717312E-2</v>
      </c>
      <c r="N25" s="280">
        <f>TABLA_BASE[[#This Row],[IGV UNIT.
(US$)
✅CF]]*TABLA_BASE[[#This Row],[CANTIDAD
(unid.)]]</f>
        <v>619.62088738002183</v>
      </c>
      <c r="O25" s="280">
        <f>IF('🧾 Tributos Aduana'!$F$6=0,0,'🧾 Tributos Aduana'!$F$23*('🧾 Factura Comercial'!H29/'🧾 Tributos Aduana'!$F$6))</f>
        <v>1.5643125041245352E-2</v>
      </c>
      <c r="P25" s="280">
        <f>TABLA_BASE[[#This Row],[PERCEP.
UNIT.(US$)
✅CF]]*TABLA_BASE[[#This Row],[CANTIDAD
(unid.)]]</f>
        <v>159.93531042169246</v>
      </c>
      <c r="Q25" s="279">
        <f>TABLA_BASE[[#This Row],[ADV UNIT.
(US$)
⚠️COSTO]]+TABLA_BASE[[#This Row],[IPM UNIT.
(US$)
✅CF]]+TABLA_BASE[[#This Row],[IGV UNIT.
(US$)
✅CF]]</f>
        <v>8.9617444767889479E-2</v>
      </c>
      <c r="R25" s="280">
        <f>TABLA_BASE[[#This Row],[DEUDA
ADUANERA
UNIT.]]*TABLA_BASE[[#This Row],[CANTIDAD
(unid.)]]</f>
        <v>916.24875530690201</v>
      </c>
      <c r="S25" s="278">
        <f>TABLA_BASE[[#This Row],[DEUDA
ADUANERA
UNIT.]]*'📋 Datos Generales'!$E$19</f>
        <v>0.3333768945365489</v>
      </c>
      <c r="T25" s="278">
        <f>TABLA_BASE[[#This Row],[DEUDA
ADUANERA
TOTAL]]*'📋 Datos Generales'!$E$19</f>
        <v>3408.4453697416757</v>
      </c>
      <c r="U25" s="281">
        <f>TABLA_BASE[[#This Row],[ADV UNIT.
(US$)
⚠️COSTO]]*'📋 Datos Generales'!$E$19</f>
        <v>7.9757733961973623E-2</v>
      </c>
      <c r="V25" s="281">
        <f>TABLA_BASE[[#This Row],[ADV UNIT.
(S/.)]]*TABLA_BASE[[#This Row],[CANTIDAD
(unid.)]]</f>
        <v>815.44307202721836</v>
      </c>
      <c r="W25" s="281">
        <f>TABLA_BASE[[#This Row],[IPM UNIT.
(US$)
✅CF]]*'📋 Datos Generales'!$E$19</f>
        <v>2.8170246152266841E-2</v>
      </c>
      <c r="X25" s="281">
        <f>TABLA_BASE[[#This Row],[IPM UNIT.
(S/.)]]*TABLA_BASE[[#This Row],[CANTIDAD
(unid.)]]</f>
        <v>288.01259666077618</v>
      </c>
      <c r="Y25" s="281">
        <f>TABLA_BASE[[#This Row],[IGV UNIT.
(US$)
✅CF]]*'📋 Datos Generales'!$E$19</f>
        <v>0.22544891442230841</v>
      </c>
      <c r="Z25" s="281">
        <f>TABLA_BASE[[#This Row],[IGV UNIT.
(S/.)]]*TABLA_BASE[[#This Row],[CANTIDAD
(unid.)]]</f>
        <v>2304.9897010536811</v>
      </c>
      <c r="AA25" s="281">
        <f>TABLA_BASE[[#This Row],[PERCEP.
UNIT.(US$)
✅CF]]*'📋 Datos Generales'!$E$19</f>
        <v>5.819242515343271E-2</v>
      </c>
      <c r="AB25" s="281">
        <f>TABLA_BASE[[#This Row],[PERCEP.
UNIT.(S/.)]]*TABLA_BASE[[#This Row],[CANTIDAD
(unid.)]]</f>
        <v>594.95935476869602</v>
      </c>
      <c r="AC25" s="279">
        <f>TABLA_BASE[[#This Row],[ADV UNIT.
(US$)
⚠️COSTO]]+TABLA_BASE[[#This Row],[IPM UNIT.
(US$)
✅CF]]+TABLA_BASE[[#This Row],[IGV UNIT.
(US$)
✅CF]]+TABLA_BASE[[#This Row],[PERCEP.
UNIT.(US$)
✅CF]]</f>
        <v>0.10526056980913483</v>
      </c>
      <c r="AD25" s="279">
        <f>TABLA_BASE[[#This Row],[TOTAL PAGO
SUNAT
UNIT.(US$)]]*TABLA_BASE[[#This Row],[CANTIDAD
(unid.)]]</f>
        <v>1076.1840657285945</v>
      </c>
      <c r="AE25" s="281">
        <f>TABLA_BASE[[#This Row],[TOTAL PAGO
SUNAT
UNIT.(US$)]]*'📋 Datos Generales'!$E$19</f>
        <v>0.3915693196899816</v>
      </c>
      <c r="AF25" s="281">
        <f>TABLA_BASE[[#This Row],[TOTAL TRIB.
UNIT.(S/.)]]*TABLA_BASE[[#This Row],[CANTIDAD
(unid.)]]</f>
        <v>4003.404724510372</v>
      </c>
      <c r="AG25" s="279">
        <f>IF('🧾 Factura Comercial'!G29=0,0,'📦 Gastos Importación'!$E$28*(IF('🧾 Tributos Aduana'!$F$6=0,0,'🧾 Factura Comercial'!I29/'🧾 Tributos Aduana'!$F$6))/'🧾 Factura Comercial'!G29)</f>
        <v>0.38784331257011706</v>
      </c>
      <c r="AH25" s="279">
        <f>TABLA_BASE[[#This Row],[GASTOS IMP.
UNIT.(US$)]]*TABLA_BASE[[#This Row],[CANTIDAD
(unid.)]]</f>
        <v>3965.3100277168769</v>
      </c>
      <c r="AI25" s="281">
        <f>TABLA_BASE[[#This Row],[GASTOS IMP.
UNIT.(US$)]]*'📋 Datos Generales'!$E$19</f>
        <v>1.4427771227608355</v>
      </c>
      <c r="AJ25" s="281">
        <f>TABLA_BASE[[#This Row],[GASTOS IMP.
UNIT.(S/.)]]*TABLA_BASE[[#This Row],[CANTIDAD
(unid.)]]</f>
        <v>14750.953303106782</v>
      </c>
      <c r="AK25" s="280">
        <f>'🧮 Costos x Producto'!J29</f>
        <v>0.38784331257011712</v>
      </c>
      <c r="AL25" s="278">
        <f>'🧮 Costos x Producto'!K29</f>
        <v>1.4427771227608357</v>
      </c>
      <c r="AM25" s="278">
        <f>TABLA_BASE[[#This Row],[C/M UNIT.
(S/.)]]*TABLA_BASE[[#This Row],[CANTIDAD
(unid.)]]</f>
        <v>14750.953303106784</v>
      </c>
      <c r="AN25" s="279">
        <f>IF('🧾 Factura Comercial'!G29=0,0,'🧾 Tributos Aduana'!$F$17*(IF('🧾 Tributos Aduana'!$F$6=0,0,'🧾 Factura Comercial'!I29/'🧾 Tributos Aduana'!$F$6))/'🧾 Factura Comercial'!G29)</f>
        <v>2.144025106504667E-2</v>
      </c>
      <c r="AO25" s="280">
        <f>IF('🧾 Factura Comercial'!G29=0,0,'🏦 Crédito Fiscal'!$C$16*(IF('🧾 Tributos Aduana'!$F$6=0,0,'🧾 Factura Comercial'!I29/'🧾 Tributos Aduana'!$F$6))/'🧾 Factura Comercial'!G29)</f>
        <v>8.5407082743677532E-2</v>
      </c>
      <c r="AP25" s="278">
        <f>TABLA_BASE[[#This Row],[CF UNIT.
✅RECUP.
(US$)]]*'📋 Datos Generales'!$E$19</f>
        <v>0.31771434780648045</v>
      </c>
      <c r="AQ25" s="278">
        <f>TABLA_BASE[[#This Row],[CF UNIT.
✅RECUP.(S/.)]]*TABLA_BASE[[#This Row],[CANTIDAD
(unid.)]]</f>
        <v>3248.3114919734562</v>
      </c>
      <c r="AR25" s="288">
        <f>'💰 Precio de Venta'!G30</f>
        <v>0.4</v>
      </c>
      <c r="AS25" s="278">
        <f>'💰 Precio de Venta'!H30</f>
        <v>2.4046285379347263</v>
      </c>
      <c r="AT25" s="278">
        <f>TABLA_BASE[[#This Row],[VALOR VTA.
UNIT.(S/.)]]*TABLA_BASE[[#This Row],[CANTIDAD
(unid.)]]</f>
        <v>24584.922171844642</v>
      </c>
      <c r="AU25" s="281">
        <f>'💰 Precio de Venta'!I30</f>
        <v>2.8374616747629768</v>
      </c>
      <c r="AV25" s="278">
        <f>'💰 Precio de Venta'!J30</f>
        <v>0.96185141517389061</v>
      </c>
      <c r="AW25" s="278">
        <f>TABLA_BASE[[#This Row],[GANANCIA
UNIT.(S/.)]]*TABLA_BASE[[#This Row],[CANTIDAD
(unid.)]]</f>
        <v>9833.9688687378584</v>
      </c>
      <c r="AX25" s="289">
        <f>'💰 Precio de Venta'!K30</f>
        <v>1398</v>
      </c>
      <c r="AY25" s="278">
        <f>TABLA_BASE[[#This Row],[GANANCIA
UNIT.(S/.)]]*'🧾 Factura Comercial'!G29</f>
        <v>9833.9688687378584</v>
      </c>
      <c r="AZ25" s="277">
        <f>IF(TABLA_BASE[[#This Row],[PRECIO VTA.
c/IGV(S/.)]]=0,0,TABLA_BASE[[#This Row],[GANANCIA
UNIT.(S/.)]]/TABLA_BASE[[#This Row],[PRECIO VTA.
c/IGV(S/.)]])</f>
        <v>0.33898305084745767</v>
      </c>
      <c r="BA25" s="277">
        <f>IF(TABLA_BASE[[#This Row],[C/M UNIT.
(S/.)]]=0,0,TABLA_BASE[[#This Row],[GANANCIA
UNIT.(S/.)]]/TABLA_BASE[[#This Row],[C/M UNIT.
(S/.)]])</f>
        <v>0.66666666666666674</v>
      </c>
      <c r="BB25" s="274" t="str">
        <f>IF(TABLA_BASE[[#This Row],[MARGEN
%]]&gt;=0.5,"🟢 ALTO",IF(TABLA_BASE[[#This Row],[MARGEN
%]]&gt;=0.3,"🟡 MEDIO","🔴 BAJO"))</f>
        <v>🟡 MEDIO</v>
      </c>
    </row>
    <row r="26" spans="1:54" ht="16.5" hidden="1" thickTop="1" thickBot="1" x14ac:dyDescent="0.3">
      <c r="A26" s="274" t="str">
        <f>'🧾 Factura Comercial'!E30</f>
        <v>Cable Micro USB 2m Nylon</v>
      </c>
      <c r="B26" s="274" t="str">
        <f>'🧾 Factura Comercial'!F30</f>
        <v>Unid.</v>
      </c>
      <c r="C26" s="275">
        <f>'🧾 Factura Comercial'!G30</f>
        <v>8640</v>
      </c>
      <c r="D26" s="276">
        <f>'🧾 Factura Comercial'!H30</f>
        <v>0.26</v>
      </c>
      <c r="E26" s="276">
        <f>'🧾 Factura Comercial'!I30</f>
        <v>2246.4</v>
      </c>
      <c r="F26" s="277">
        <f>IF('🧾 Tributos Aduana'!$F$6=0,0,'🧾 Factura Comercial'!I30/'🧾 Tributos Aduana'!$F$6)</f>
        <v>5.147420057340206E-2</v>
      </c>
      <c r="G26" s="278">
        <f>'🧾 Factura Comercial'!H30*'📋 Datos Generales'!$E$19</f>
        <v>0.96720000000000006</v>
      </c>
      <c r="H26" s="278">
        <f>TABLA_BASE[[#This Row],[FOB UNIT.
(S/.)]]*TABLA_BASE[[#This Row],[CANTIDAD
(unid.)]]</f>
        <v>8356.6080000000002</v>
      </c>
      <c r="I26" s="280">
        <f>IF('🧾 Tributos Aduana'!$F$6=0,0,'🧾 Tributos Aduana'!$F$17*('🧾 Factura Comercial'!H30/'🧾 Tributos Aduana'!$F$6))</f>
        <v>1.6395486108565099E-2</v>
      </c>
      <c r="J26" s="280">
        <f>TABLA_BASE[[#This Row],[ADV UNIT.
(US$)
⚠️COSTO]]*TABLA_BASE[[#This Row],[CANTIDAD
(unid.)]]</f>
        <v>141.65699997800246</v>
      </c>
      <c r="K26" s="279">
        <f>IF('🧾 Tributos Aduana'!$F$6=0,0,'🧾 Tributos Aduana'!$F$18*('🧾 Factura Comercial'!H30/'🧾 Tributos Aduana'!$F$6))</f>
        <v>5.7908475645077314E-3</v>
      </c>
      <c r="L26" s="280">
        <f>TABLA_BASE[[#This Row],[IPM UNIT.
(US$)
✅CF]]*TABLA_BASE[[#This Row],[CANTIDAD
(unid.)]]</f>
        <v>50.032922957346798</v>
      </c>
      <c r="M26" s="279">
        <f>IF('🧾 Tributos Aduana'!$F$6=0,0,'🧾 Tributos Aduana'!$F$19*('🧾 Factura Comercial'!H30/'🧾 Tributos Aduana'!$F$6))</f>
        <v>4.634465350237206E-2</v>
      </c>
      <c r="N26" s="280">
        <f>TABLA_BASE[[#This Row],[IGV UNIT.
(US$)
✅CF]]*TABLA_BASE[[#This Row],[CANTIDAD
(unid.)]]</f>
        <v>400.41780626049461</v>
      </c>
      <c r="O26" s="280">
        <f>IF('🧾 Tributos Aduana'!$F$6=0,0,'🧾 Tributos Aduana'!$F$23*('🧾 Factura Comercial'!H30/'🧾 Tributos Aduana'!$F$6))</f>
        <v>1.1962389737422916E-2</v>
      </c>
      <c r="P26" s="280">
        <f>TABLA_BASE[[#This Row],[PERCEP.
UNIT.(US$)
✅CF]]*TABLA_BASE[[#This Row],[CANTIDAD
(unid.)]]</f>
        <v>103.35504733133399</v>
      </c>
      <c r="Q26" s="279">
        <f>TABLA_BASE[[#This Row],[ADV UNIT.
(US$)
⚠️COSTO]]+TABLA_BASE[[#This Row],[IPM UNIT.
(US$)
✅CF]]+TABLA_BASE[[#This Row],[IGV UNIT.
(US$)
✅CF]]</f>
        <v>6.8530987175444896E-2</v>
      </c>
      <c r="R26" s="280">
        <f>TABLA_BASE[[#This Row],[DEUDA
ADUANERA
UNIT.]]*TABLA_BASE[[#This Row],[CANTIDAD
(unid.)]]</f>
        <v>592.10772919584394</v>
      </c>
      <c r="S26" s="278">
        <f>TABLA_BASE[[#This Row],[DEUDA
ADUANERA
UNIT.]]*'📋 Datos Generales'!$E$19</f>
        <v>0.254935272292655</v>
      </c>
      <c r="T26" s="278">
        <f>TABLA_BASE[[#This Row],[DEUDA
ADUANERA
TOTAL]]*'📋 Datos Generales'!$E$19</f>
        <v>2202.6407526085395</v>
      </c>
      <c r="U26" s="281">
        <f>TABLA_BASE[[#This Row],[ADV UNIT.
(US$)
⚠️COSTO]]*'📋 Datos Generales'!$E$19</f>
        <v>6.0991208323862171E-2</v>
      </c>
      <c r="V26" s="281">
        <f>TABLA_BASE[[#This Row],[ADV UNIT.
(S/.)]]*TABLA_BASE[[#This Row],[CANTIDAD
(unid.)]]</f>
        <v>526.96403991816919</v>
      </c>
      <c r="W26" s="281">
        <f>TABLA_BASE[[#This Row],[IPM UNIT.
(US$)
✅CF]]*'📋 Datos Generales'!$E$19</f>
        <v>2.1541952939968762E-2</v>
      </c>
      <c r="X26" s="281">
        <f>TABLA_BASE[[#This Row],[IPM UNIT.
(S/.)]]*TABLA_BASE[[#This Row],[CANTIDAD
(unid.)]]</f>
        <v>186.1224734013301</v>
      </c>
      <c r="Y26" s="281">
        <f>TABLA_BASE[[#This Row],[IGV UNIT.
(US$)
✅CF]]*'📋 Datos Generales'!$E$19</f>
        <v>0.17240211102882408</v>
      </c>
      <c r="Z26" s="281">
        <f>TABLA_BASE[[#This Row],[IGV UNIT.
(S/.)]]*TABLA_BASE[[#This Row],[CANTIDAD
(unid.)]]</f>
        <v>1489.55423928904</v>
      </c>
      <c r="AA26" s="281">
        <f>TABLA_BASE[[#This Row],[PERCEP.
UNIT.(US$)
✅CF]]*'📋 Datos Generales'!$E$19</f>
        <v>4.4500089823213254E-2</v>
      </c>
      <c r="AB26" s="281">
        <f>TABLA_BASE[[#This Row],[PERCEP.
UNIT.(S/.)]]*TABLA_BASE[[#This Row],[CANTIDAD
(unid.)]]</f>
        <v>384.48077607256249</v>
      </c>
      <c r="AC26" s="279">
        <f>TABLA_BASE[[#This Row],[ADV UNIT.
(US$)
⚠️COSTO]]+TABLA_BASE[[#This Row],[IPM UNIT.
(US$)
✅CF]]+TABLA_BASE[[#This Row],[IGV UNIT.
(US$)
✅CF]]+TABLA_BASE[[#This Row],[PERCEP.
UNIT.(US$)
✅CF]]</f>
        <v>8.0493376912867814E-2</v>
      </c>
      <c r="AD26" s="279">
        <f>TABLA_BASE[[#This Row],[TOTAL PAGO
SUNAT
UNIT.(US$)]]*TABLA_BASE[[#This Row],[CANTIDAD
(unid.)]]</f>
        <v>695.46277652717788</v>
      </c>
      <c r="AE26" s="281">
        <f>TABLA_BASE[[#This Row],[TOTAL PAGO
SUNAT
UNIT.(US$)]]*'📋 Datos Generales'!$E$19</f>
        <v>0.2994353621158683</v>
      </c>
      <c r="AF26" s="281">
        <f>TABLA_BASE[[#This Row],[TOTAL TRIB.
UNIT.(S/.)]]*TABLA_BASE[[#This Row],[CANTIDAD
(unid.)]]</f>
        <v>2587.1215286811021</v>
      </c>
      <c r="AG26" s="279">
        <f>IF('🧾 Factura Comercial'!G30=0,0,'📦 Gastos Importación'!$E$28*(IF('🧾 Tributos Aduana'!$F$6=0,0,'🧾 Factura Comercial'!I30/'🧾 Tributos Aduana'!$F$6))/'🧾 Factura Comercial'!G30)</f>
        <v>0.29658606255361891</v>
      </c>
      <c r="AH26" s="279">
        <f>TABLA_BASE[[#This Row],[GASTOS IMP.
UNIT.(US$)]]*TABLA_BASE[[#This Row],[CANTIDAD
(unid.)]]</f>
        <v>2562.5035804632676</v>
      </c>
      <c r="AI26" s="281">
        <f>TABLA_BASE[[#This Row],[GASTOS IMP.
UNIT.(US$)]]*'📋 Datos Generales'!$E$19</f>
        <v>1.1033001526994624</v>
      </c>
      <c r="AJ26" s="281">
        <f>TABLA_BASE[[#This Row],[GASTOS IMP.
UNIT.(S/.)]]*TABLA_BASE[[#This Row],[CANTIDAD
(unid.)]]</f>
        <v>9532.5133193233542</v>
      </c>
      <c r="AK26" s="280">
        <f>'🧮 Costos x Producto'!J30</f>
        <v>0.29658606255361897</v>
      </c>
      <c r="AL26" s="278">
        <f>'🧮 Costos x Producto'!K30</f>
        <v>1.1033001526994626</v>
      </c>
      <c r="AM26" s="278">
        <f>TABLA_BASE[[#This Row],[C/M UNIT.
(S/.)]]*TABLA_BASE[[#This Row],[CANTIDAD
(unid.)]]</f>
        <v>9532.513319323356</v>
      </c>
      <c r="AN26" s="279">
        <f>IF('🧾 Factura Comercial'!G30=0,0,'🧾 Tributos Aduana'!$F$17*(IF('🧾 Tributos Aduana'!$F$6=0,0,'🧾 Factura Comercial'!I30/'🧾 Tributos Aduana'!$F$6))/'🧾 Factura Comercial'!G30)</f>
        <v>1.6395486108565099E-2</v>
      </c>
      <c r="AO26" s="280">
        <f>IF('🧾 Factura Comercial'!G30=0,0,'🏦 Crédito Fiscal'!$C$16*(IF('🧾 Tributos Aduana'!$F$6=0,0,'🧾 Factura Comercial'!I30/'🧾 Tributos Aduana'!$F$6))/'🧾 Factura Comercial'!G30)</f>
        <v>6.5311298568694595E-2</v>
      </c>
      <c r="AP26" s="278">
        <f>TABLA_BASE[[#This Row],[CF UNIT.
✅RECUP.
(US$)]]*'📋 Datos Generales'!$E$19</f>
        <v>0.24295803067554392</v>
      </c>
      <c r="AQ26" s="278">
        <f>TABLA_BASE[[#This Row],[CF UNIT.
✅RECUP.(S/.)]]*TABLA_BASE[[#This Row],[CANTIDAD
(unid.)]]</f>
        <v>2099.1573850366995</v>
      </c>
      <c r="AR26" s="288">
        <f>'💰 Precio de Venta'!G31</f>
        <v>0.4</v>
      </c>
      <c r="AS26" s="278">
        <f>'💰 Precio de Venta'!H31</f>
        <v>1.8388335878324378</v>
      </c>
      <c r="AT26" s="278">
        <f>TABLA_BASE[[#This Row],[VALOR VTA.
UNIT.(S/.)]]*TABLA_BASE[[#This Row],[CANTIDAD
(unid.)]]</f>
        <v>15887.522198872262</v>
      </c>
      <c r="AU26" s="281">
        <f>'💰 Precio de Venta'!I31</f>
        <v>2.1698236336422765</v>
      </c>
      <c r="AV26" s="278">
        <f>'💰 Precio de Venta'!J31</f>
        <v>0.7355334351329752</v>
      </c>
      <c r="AW26" s="278">
        <f>TABLA_BASE[[#This Row],[GANANCIA
UNIT.(S/.)]]*TABLA_BASE[[#This Row],[CANTIDAD
(unid.)]]</f>
        <v>6355.0088795489055</v>
      </c>
      <c r="AX26" s="289">
        <f>'💰 Precio de Venta'!K31</f>
        <v>1181</v>
      </c>
      <c r="AY26" s="278">
        <f>TABLA_BASE[[#This Row],[GANANCIA
UNIT.(S/.)]]*'🧾 Factura Comercial'!G30</f>
        <v>6355.0088795489055</v>
      </c>
      <c r="AZ26" s="277">
        <f>IF(TABLA_BASE[[#This Row],[PRECIO VTA.
c/IGV(S/.)]]=0,0,TABLA_BASE[[#This Row],[GANANCIA
UNIT.(S/.)]]/TABLA_BASE[[#This Row],[PRECIO VTA.
c/IGV(S/.)]])</f>
        <v>0.33898305084745767</v>
      </c>
      <c r="BA26" s="277">
        <f>IF(TABLA_BASE[[#This Row],[C/M UNIT.
(S/.)]]=0,0,TABLA_BASE[[#This Row],[GANANCIA
UNIT.(S/.)]]/TABLA_BASE[[#This Row],[C/M UNIT.
(S/.)]])</f>
        <v>0.66666666666666685</v>
      </c>
      <c r="BB26" s="274" t="str">
        <f>IF(TABLA_BASE[[#This Row],[MARGEN
%]]&gt;=0.5,"🟢 ALTO",IF(TABLA_BASE[[#This Row],[MARGEN
%]]&gt;=0.3,"🟡 MEDIO","🔴 BAJO"))</f>
        <v>🟡 MEDIO</v>
      </c>
    </row>
    <row r="27" spans="1:54" ht="16.5" hidden="1" thickTop="1" thickBot="1" x14ac:dyDescent="0.3">
      <c r="A27" s="274" t="str">
        <f>'🧾 Factura Comercial'!E31</f>
        <v>Soporte Anillo Pop Socket Metálico</v>
      </c>
      <c r="B27" s="274" t="str">
        <f>'🧾 Factura Comercial'!F31</f>
        <v>Unid.</v>
      </c>
      <c r="C27" s="275">
        <f>'🧾 Factura Comercial'!G31</f>
        <v>2160</v>
      </c>
      <c r="D27" s="276">
        <f>'🧾 Factura Comercial'!H31</f>
        <v>0.28999999999999998</v>
      </c>
      <c r="E27" s="276">
        <f>'🧾 Factura Comercial'!I31</f>
        <v>626.4</v>
      </c>
      <c r="F27" s="277">
        <f>IF('🧾 Tributos Aduana'!$F$6=0,0,'🧾 Factura Comercial'!I31/'🧾 Tributos Aduana'!$F$6)</f>
        <v>1.435338285219865E-2</v>
      </c>
      <c r="G27" s="278">
        <f>'🧾 Factura Comercial'!H31*'📋 Datos Generales'!$E$19</f>
        <v>1.0788</v>
      </c>
      <c r="H27" s="278">
        <f>TABLA_BASE[[#This Row],[FOB UNIT.
(S/.)]]*TABLA_BASE[[#This Row],[CANTIDAD
(unid.)]]</f>
        <v>2330.2080000000001</v>
      </c>
      <c r="I27" s="280">
        <f>IF('🧾 Tributos Aduana'!$F$6=0,0,'🧾 Tributos Aduana'!$F$17*('🧾 Factura Comercial'!H31/'🧾 Tributos Aduana'!$F$6))</f>
        <v>1.8287272967245687E-2</v>
      </c>
      <c r="J27" s="280">
        <f>TABLA_BASE[[#This Row],[ADV UNIT.
(US$)
⚠️COSTO]]*TABLA_BASE[[#This Row],[CANTIDAD
(unid.)]]</f>
        <v>39.500509609250685</v>
      </c>
      <c r="K27" s="279">
        <f>IF('🧾 Tributos Aduana'!$F$6=0,0,'🧾 Tributos Aduana'!$F$18*('🧾 Factura Comercial'!H31/'🧾 Tributos Aduana'!$F$6))</f>
        <v>6.4590222834893917E-3</v>
      </c>
      <c r="L27" s="280">
        <f>TABLA_BASE[[#This Row],[IPM UNIT.
(US$)
✅CF]]*TABLA_BASE[[#This Row],[CANTIDAD
(unid.)]]</f>
        <v>13.951488132337087</v>
      </c>
      <c r="M27" s="279">
        <f>IF('🧾 Tributos Aduana'!$F$6=0,0,'🧾 Tributos Aduana'!$F$19*('🧾 Factura Comercial'!H31/'🧾 Tributos Aduana'!$F$6))</f>
        <v>5.1692113521876526E-2</v>
      </c>
      <c r="N27" s="280">
        <f>TABLA_BASE[[#This Row],[IGV UNIT.
(US$)
✅CF]]*TABLA_BASE[[#This Row],[CANTIDAD
(unid.)]]</f>
        <v>111.6549652072533</v>
      </c>
      <c r="O27" s="280">
        <f>IF('🧾 Tributos Aduana'!$F$6=0,0,'🧾 Tributos Aduana'!$F$23*('🧾 Factura Comercial'!H31/'🧾 Tributos Aduana'!$F$6))</f>
        <v>1.3342665476356328E-2</v>
      </c>
      <c r="P27" s="280">
        <f>TABLA_BASE[[#This Row],[PERCEP.
UNIT.(US$)
✅CF]]*TABLA_BASE[[#This Row],[CANTIDAD
(unid.)]]</f>
        <v>28.820157428929669</v>
      </c>
      <c r="Q27" s="279">
        <f>TABLA_BASE[[#This Row],[ADV UNIT.
(US$)
⚠️COSTO]]+TABLA_BASE[[#This Row],[IPM UNIT.
(US$)
✅CF]]+TABLA_BASE[[#This Row],[IGV UNIT.
(US$)
✅CF]]</f>
        <v>7.6438408772611599E-2</v>
      </c>
      <c r="R27" s="280">
        <f>TABLA_BASE[[#This Row],[DEUDA
ADUANERA
UNIT.]]*TABLA_BASE[[#This Row],[CANTIDAD
(unid.)]]</f>
        <v>165.10696294884104</v>
      </c>
      <c r="S27" s="278">
        <f>TABLA_BASE[[#This Row],[DEUDA
ADUANERA
UNIT.]]*'📋 Datos Generales'!$E$19</f>
        <v>0.28435088063411518</v>
      </c>
      <c r="T27" s="278">
        <f>TABLA_BASE[[#This Row],[DEUDA
ADUANERA
TOTAL]]*'📋 Datos Generales'!$E$19</f>
        <v>614.19790216968875</v>
      </c>
      <c r="U27" s="281">
        <f>TABLA_BASE[[#This Row],[ADV UNIT.
(US$)
⚠️COSTO]]*'📋 Datos Generales'!$E$19</f>
        <v>6.8028655438153951E-2</v>
      </c>
      <c r="V27" s="281">
        <f>TABLA_BASE[[#This Row],[ADV UNIT.
(S/.)]]*TABLA_BASE[[#This Row],[CANTIDAD
(unid.)]]</f>
        <v>146.94189574641254</v>
      </c>
      <c r="W27" s="281">
        <f>TABLA_BASE[[#This Row],[IPM UNIT.
(US$)
✅CF]]*'📋 Datos Generales'!$E$19</f>
        <v>2.4027562894580537E-2</v>
      </c>
      <c r="X27" s="281">
        <f>TABLA_BASE[[#This Row],[IPM UNIT.
(S/.)]]*TABLA_BASE[[#This Row],[CANTIDAD
(unid.)]]</f>
        <v>51.899535852293958</v>
      </c>
      <c r="Y27" s="281">
        <f>TABLA_BASE[[#This Row],[IGV UNIT.
(US$)
✅CF]]*'📋 Datos Generales'!$E$19</f>
        <v>0.19229466230138068</v>
      </c>
      <c r="Z27" s="281">
        <f>TABLA_BASE[[#This Row],[IGV UNIT.
(S/.)]]*TABLA_BASE[[#This Row],[CANTIDAD
(unid.)]]</f>
        <v>415.35647057098225</v>
      </c>
      <c r="AA27" s="281">
        <f>TABLA_BASE[[#This Row],[PERCEP.
UNIT.(US$)
✅CF]]*'📋 Datos Generales'!$E$19</f>
        <v>4.9634715572045539E-2</v>
      </c>
      <c r="AB27" s="281">
        <f>TABLA_BASE[[#This Row],[PERCEP.
UNIT.(S/.)]]*TABLA_BASE[[#This Row],[CANTIDAD
(unid.)]]</f>
        <v>107.21098563561836</v>
      </c>
      <c r="AC27" s="279">
        <f>TABLA_BASE[[#This Row],[ADV UNIT.
(US$)
⚠️COSTO]]+TABLA_BASE[[#This Row],[IPM UNIT.
(US$)
✅CF]]+TABLA_BASE[[#This Row],[IGV UNIT.
(US$)
✅CF]]+TABLA_BASE[[#This Row],[PERCEP.
UNIT.(US$)
✅CF]]</f>
        <v>8.9781074248967932E-2</v>
      </c>
      <c r="AD27" s="279">
        <f>TABLA_BASE[[#This Row],[TOTAL PAGO
SUNAT
UNIT.(US$)]]*TABLA_BASE[[#This Row],[CANTIDAD
(unid.)]]</f>
        <v>193.92712037777073</v>
      </c>
      <c r="AE27" s="281">
        <f>TABLA_BASE[[#This Row],[TOTAL PAGO
SUNAT
UNIT.(US$)]]*'📋 Datos Generales'!$E$19</f>
        <v>0.33398559620616075</v>
      </c>
      <c r="AF27" s="281">
        <f>TABLA_BASE[[#This Row],[TOTAL TRIB.
UNIT.(S/.)]]*TABLA_BASE[[#This Row],[CANTIDAD
(unid.)]]</f>
        <v>721.40888780530724</v>
      </c>
      <c r="AG27" s="279">
        <f>IF('🧾 Factura Comercial'!G31=0,0,'📦 Gastos Importación'!$E$28*(IF('🧾 Tributos Aduana'!$F$6=0,0,'🧾 Factura Comercial'!I31/'🧾 Tributos Aduana'!$F$6))/'🧾 Factura Comercial'!G31)</f>
        <v>0.33080753130980572</v>
      </c>
      <c r="AH27" s="279">
        <f>TABLA_BASE[[#This Row],[GASTOS IMP.
UNIT.(US$)]]*TABLA_BASE[[#This Row],[CANTIDAD
(unid.)]]</f>
        <v>714.54426762918035</v>
      </c>
      <c r="AI27" s="281">
        <f>TABLA_BASE[[#This Row],[GASTOS IMP.
UNIT.(US$)]]*'📋 Datos Generales'!$E$19</f>
        <v>1.2306040164724774</v>
      </c>
      <c r="AJ27" s="281">
        <f>TABLA_BASE[[#This Row],[GASTOS IMP.
UNIT.(S/.)]]*TABLA_BASE[[#This Row],[CANTIDAD
(unid.)]]</f>
        <v>2658.1046755805514</v>
      </c>
      <c r="AK27" s="280">
        <f>'🧮 Costos x Producto'!J31</f>
        <v>0.33080753130980572</v>
      </c>
      <c r="AL27" s="278">
        <f>'🧮 Costos x Producto'!K31</f>
        <v>1.2306040164724774</v>
      </c>
      <c r="AM27" s="278">
        <f>TABLA_BASE[[#This Row],[C/M UNIT.
(S/.)]]*TABLA_BASE[[#This Row],[CANTIDAD
(unid.)]]</f>
        <v>2658.1046755805514</v>
      </c>
      <c r="AN27" s="279">
        <f>IF('🧾 Factura Comercial'!G31=0,0,'🧾 Tributos Aduana'!$F$17*(IF('🧾 Tributos Aduana'!$F$6=0,0,'🧾 Factura Comercial'!I31/'🧾 Tributos Aduana'!$F$6))/'🧾 Factura Comercial'!G31)</f>
        <v>1.8287272967245687E-2</v>
      </c>
      <c r="AO27" s="280">
        <f>IF('🧾 Factura Comercial'!G31=0,0,'🏦 Crédito Fiscal'!$C$16*(IF('🧾 Tributos Aduana'!$F$6=0,0,'🧾 Factura Comercial'!I31/'🧾 Tributos Aduana'!$F$6))/'🧾 Factura Comercial'!G31)</f>
        <v>7.2847217634313191E-2</v>
      </c>
      <c r="AP27" s="278">
        <f>TABLA_BASE[[#This Row],[CF UNIT.
✅RECUP.
(US$)]]*'📋 Datos Generales'!$E$19</f>
        <v>0.27099164959964511</v>
      </c>
      <c r="AQ27" s="278">
        <f>TABLA_BASE[[#This Row],[CF UNIT.
✅RECUP.(S/.)]]*TABLA_BASE[[#This Row],[CANTIDAD
(unid.)]]</f>
        <v>585.34196313523341</v>
      </c>
      <c r="AR27" s="288">
        <f>'💰 Precio de Venta'!G32</f>
        <v>0.4</v>
      </c>
      <c r="AS27" s="278">
        <f>'💰 Precio de Venta'!H32</f>
        <v>2.0510066941207956</v>
      </c>
      <c r="AT27" s="278">
        <f>TABLA_BASE[[#This Row],[VALOR VTA.
UNIT.(S/.)]]*TABLA_BASE[[#This Row],[CANTIDAD
(unid.)]]</f>
        <v>4430.1744593009189</v>
      </c>
      <c r="AU27" s="281">
        <f>'💰 Precio de Venta'!I32</f>
        <v>2.4201878990625385</v>
      </c>
      <c r="AV27" s="278">
        <f>'💰 Precio de Venta'!J32</f>
        <v>0.8204026776483182</v>
      </c>
      <c r="AW27" s="278">
        <f>TABLA_BASE[[#This Row],[GANANCIA
UNIT.(S/.)]]*TABLA_BASE[[#This Row],[CANTIDAD
(unid.)]]</f>
        <v>1772.0697837203672</v>
      </c>
      <c r="AX27" s="289">
        <f>'💰 Precio de Venta'!K32</f>
        <v>296</v>
      </c>
      <c r="AY27" s="278">
        <f>TABLA_BASE[[#This Row],[GANANCIA
UNIT.(S/.)]]*'🧾 Factura Comercial'!G31</f>
        <v>1772.0697837203672</v>
      </c>
      <c r="AZ27" s="277">
        <f>IF(TABLA_BASE[[#This Row],[PRECIO VTA.
c/IGV(S/.)]]=0,0,TABLA_BASE[[#This Row],[GANANCIA
UNIT.(S/.)]]/TABLA_BASE[[#This Row],[PRECIO VTA.
c/IGV(S/.)]])</f>
        <v>0.33898305084745767</v>
      </c>
      <c r="BA27" s="277">
        <f>IF(TABLA_BASE[[#This Row],[C/M UNIT.
(S/.)]]=0,0,TABLA_BASE[[#This Row],[GANANCIA
UNIT.(S/.)]]/TABLA_BASE[[#This Row],[C/M UNIT.
(S/.)]])</f>
        <v>0.66666666666666663</v>
      </c>
      <c r="BB27" s="274" t="str">
        <f>IF(TABLA_BASE[[#This Row],[MARGEN
%]]&gt;=0.5,"🟢 ALTO",IF(TABLA_BASE[[#This Row],[MARGEN
%]]&gt;=0.3,"🟡 MEDIO","🔴 BAJO"))</f>
        <v>🟡 MEDIO</v>
      </c>
    </row>
    <row r="28" spans="1:54" ht="16.5" hidden="1" thickTop="1" thickBot="1" x14ac:dyDescent="0.3">
      <c r="A28" s="274" t="str">
        <f>'🧾 Factura Comercial'!E32</f>
        <v>Cargador Inalámbrico 15W Qi</v>
      </c>
      <c r="B28" s="274" t="str">
        <f>'🧾 Factura Comercial'!F32</f>
        <v>Unid.</v>
      </c>
      <c r="C28" s="275">
        <f>'🧾 Factura Comercial'!G32</f>
        <v>240</v>
      </c>
      <c r="D28" s="276">
        <f>'🧾 Factura Comercial'!H32</f>
        <v>5.71</v>
      </c>
      <c r="E28" s="276">
        <f>'🧾 Factura Comercial'!I32</f>
        <v>1370.4</v>
      </c>
      <c r="F28" s="277">
        <f>IF('🧾 Tributos Aduana'!$F$6=0,0,'🧾 Factura Comercial'!I32/'🧾 Tributos Aduana'!$F$6)</f>
        <v>3.1401462101936513E-2</v>
      </c>
      <c r="G28" s="278">
        <f>'🧾 Factura Comercial'!H32*'📋 Datos Generales'!$E$19</f>
        <v>21.241200000000003</v>
      </c>
      <c r="H28" s="278">
        <f>TABLA_BASE[[#This Row],[FOB UNIT.
(S/.)]]*TABLA_BASE[[#This Row],[CANTIDAD
(unid.)]]</f>
        <v>5097.8880000000008</v>
      </c>
      <c r="I28" s="280">
        <f>IF('🧾 Tributos Aduana'!$F$6=0,0,'🧾 Tributos Aduana'!$F$17*('🧾 Factura Comercial'!H32/'🧾 Tributos Aduana'!$F$6))</f>
        <v>0.36007009876887197</v>
      </c>
      <c r="J28" s="280">
        <f>TABLA_BASE[[#This Row],[ADV UNIT.
(US$)
⚠️COSTO]]*TABLA_BASE[[#This Row],[CANTIDAD
(unid.)]]</f>
        <v>86.416823704529278</v>
      </c>
      <c r="K28" s="279">
        <f>IF('🧾 Tributos Aduana'!$F$6=0,0,'🧾 Tributos Aduana'!$F$18*('🧾 Factura Comercial'!H32/'🧾 Tributos Aduana'!$F$6))</f>
        <v>0.12717592151284285</v>
      </c>
      <c r="L28" s="280">
        <f>TABLA_BASE[[#This Row],[IPM UNIT.
(US$)
✅CF]]*TABLA_BASE[[#This Row],[CANTIDAD
(unid.)]]</f>
        <v>30.522221163082285</v>
      </c>
      <c r="M28" s="279">
        <f>IF('🧾 Tributos Aduana'!$F$6=0,0,'🧾 Tributos Aduana'!$F$19*('🧾 Factura Comercial'!H32/'🧾 Tributos Aduana'!$F$6))</f>
        <v>1.0177998903790171</v>
      </c>
      <c r="N28" s="280">
        <f>TABLA_BASE[[#This Row],[IGV UNIT.
(US$)
✅CF]]*TABLA_BASE[[#This Row],[CANTIDAD
(unid.)]]</f>
        <v>244.2719736909641</v>
      </c>
      <c r="O28" s="280">
        <f>IF('🧾 Tributos Aduana'!$F$6=0,0,'🧾 Tributos Aduana'!$F$23*('🧾 Factura Comercial'!H32/'🧾 Tributos Aduana'!$F$6))</f>
        <v>0.26271248231032635</v>
      </c>
      <c r="P28" s="280">
        <f>TABLA_BASE[[#This Row],[PERCEP.
UNIT.(US$)
✅CF]]*TABLA_BASE[[#This Row],[CANTIDAD
(unid.)]]</f>
        <v>63.050995754478322</v>
      </c>
      <c r="Q28" s="279">
        <f>TABLA_BASE[[#This Row],[ADV UNIT.
(US$)
⚠️COSTO]]+TABLA_BASE[[#This Row],[IPM UNIT.
(US$)
✅CF]]+TABLA_BASE[[#This Row],[IGV UNIT.
(US$)
✅CF]]</f>
        <v>1.5050459106607319</v>
      </c>
      <c r="R28" s="280">
        <f>TABLA_BASE[[#This Row],[DEUDA
ADUANERA
UNIT.]]*TABLA_BASE[[#This Row],[CANTIDAD
(unid.)]]</f>
        <v>361.21101855857563</v>
      </c>
      <c r="S28" s="278">
        <f>TABLA_BASE[[#This Row],[DEUDA
ADUANERA
UNIT.]]*'📋 Datos Generales'!$E$19</f>
        <v>5.5987707876579229</v>
      </c>
      <c r="T28" s="278">
        <f>TABLA_BASE[[#This Row],[DEUDA
ADUANERA
TOTAL]]*'📋 Datos Generales'!$E$19</f>
        <v>1343.7049890379014</v>
      </c>
      <c r="U28" s="281">
        <f>TABLA_BASE[[#This Row],[ADV UNIT.
(US$)
⚠️COSTO]]*'📋 Datos Generales'!$E$19</f>
        <v>1.3394607674202037</v>
      </c>
      <c r="V28" s="281">
        <f>TABLA_BASE[[#This Row],[ADV UNIT.
(S/.)]]*TABLA_BASE[[#This Row],[CANTIDAD
(unid.)]]</f>
        <v>321.4705841808489</v>
      </c>
      <c r="W28" s="281">
        <f>TABLA_BASE[[#This Row],[IPM UNIT.
(US$)
✅CF]]*'📋 Datos Generales'!$E$19</f>
        <v>0.4730944280277754</v>
      </c>
      <c r="X28" s="281">
        <f>TABLA_BASE[[#This Row],[IPM UNIT.
(S/.)]]*TABLA_BASE[[#This Row],[CANTIDAD
(unid.)]]</f>
        <v>113.54266272666609</v>
      </c>
      <c r="Y28" s="281">
        <f>TABLA_BASE[[#This Row],[IGV UNIT.
(US$)
✅CF]]*'📋 Datos Generales'!$E$19</f>
        <v>3.7862155922099436</v>
      </c>
      <c r="Z28" s="281">
        <f>TABLA_BASE[[#This Row],[IGV UNIT.
(S/.)]]*TABLA_BASE[[#This Row],[CANTIDAD
(unid.)]]</f>
        <v>908.6917421303865</v>
      </c>
      <c r="AA28" s="281">
        <f>TABLA_BASE[[#This Row],[PERCEP.
UNIT.(US$)
✅CF]]*'📋 Datos Generales'!$E$19</f>
        <v>0.97729043419441408</v>
      </c>
      <c r="AB28" s="281">
        <f>TABLA_BASE[[#This Row],[PERCEP.
UNIT.(S/.)]]*TABLA_BASE[[#This Row],[CANTIDAD
(unid.)]]</f>
        <v>234.54970420665938</v>
      </c>
      <c r="AC28" s="279">
        <f>TABLA_BASE[[#This Row],[ADV UNIT.
(US$)
⚠️COSTO]]+TABLA_BASE[[#This Row],[IPM UNIT.
(US$)
✅CF]]+TABLA_BASE[[#This Row],[IGV UNIT.
(US$)
✅CF]]+TABLA_BASE[[#This Row],[PERCEP.
UNIT.(US$)
✅CF]]</f>
        <v>1.7677583929710583</v>
      </c>
      <c r="AD28" s="279">
        <f>TABLA_BASE[[#This Row],[TOTAL PAGO
SUNAT
UNIT.(US$)]]*TABLA_BASE[[#This Row],[CANTIDAD
(unid.)]]</f>
        <v>424.26201431305401</v>
      </c>
      <c r="AE28" s="281">
        <f>TABLA_BASE[[#This Row],[TOTAL PAGO
SUNAT
UNIT.(US$)]]*'📋 Datos Generales'!$E$19</f>
        <v>6.5760612218523375</v>
      </c>
      <c r="AF28" s="281">
        <f>TABLA_BASE[[#This Row],[TOTAL TRIB.
UNIT.(S/.)]]*TABLA_BASE[[#This Row],[CANTIDAD
(unid.)]]</f>
        <v>1578.2546932445609</v>
      </c>
      <c r="AG28" s="279">
        <f>IF('🧾 Factura Comercial'!G32=0,0,'📦 Gastos Importación'!$E$28*(IF('🧾 Tributos Aduana'!$F$6=0,0,'🧾 Factura Comercial'!I32/'🧾 Tributos Aduana'!$F$6))/'🧾 Factura Comercial'!G32)</f>
        <v>6.5134862199275547</v>
      </c>
      <c r="AH28" s="279">
        <f>TABLA_BASE[[#This Row],[GASTOS IMP.
UNIT.(US$)]]*TABLA_BASE[[#This Row],[CANTIDAD
(unid.)]]</f>
        <v>1563.2366927826131</v>
      </c>
      <c r="AI28" s="281">
        <f>TABLA_BASE[[#This Row],[GASTOS IMP.
UNIT.(US$)]]*'📋 Datos Generales'!$E$19</f>
        <v>24.230168738130505</v>
      </c>
      <c r="AJ28" s="281">
        <f>TABLA_BASE[[#This Row],[GASTOS IMP.
UNIT.(S/.)]]*TABLA_BASE[[#This Row],[CANTIDAD
(unid.)]]</f>
        <v>5815.2404971513215</v>
      </c>
      <c r="AK28" s="280">
        <f>'🧮 Costos x Producto'!J32</f>
        <v>6.5134862199275547</v>
      </c>
      <c r="AL28" s="278">
        <f>'🧮 Costos x Producto'!K32</f>
        <v>24.230168738130505</v>
      </c>
      <c r="AM28" s="278">
        <f>TABLA_BASE[[#This Row],[C/M UNIT.
(S/.)]]*TABLA_BASE[[#This Row],[CANTIDAD
(unid.)]]</f>
        <v>5815.2404971513215</v>
      </c>
      <c r="AN28" s="279">
        <f>IF('🧾 Factura Comercial'!G32=0,0,'🧾 Tributos Aduana'!$F$17*(IF('🧾 Tributos Aduana'!$F$6=0,0,'🧾 Factura Comercial'!I32/'🧾 Tributos Aduana'!$F$6))/'🧾 Factura Comercial'!G32)</f>
        <v>0.36007009876887197</v>
      </c>
      <c r="AO28" s="280">
        <f>IF('🧾 Factura Comercial'!G32=0,0,'🏦 Crédito Fiscal'!$C$16*(IF('🧾 Tributos Aduana'!$F$6=0,0,'🧾 Factura Comercial'!I32/'🧾 Tributos Aduana'!$F$6))/'🧾 Factura Comercial'!G32)</f>
        <v>1.4343365954894081</v>
      </c>
      <c r="AP28" s="278">
        <f>TABLA_BASE[[#This Row],[CF UNIT.
✅RECUP.
(US$)]]*'📋 Datos Generales'!$E$19</f>
        <v>5.3357321352205984</v>
      </c>
      <c r="AQ28" s="278">
        <f>TABLA_BASE[[#This Row],[CF UNIT.
✅RECUP.(S/.)]]*TABLA_BASE[[#This Row],[CANTIDAD
(unid.)]]</f>
        <v>1280.5757124529437</v>
      </c>
      <c r="AR28" s="288">
        <f>'💰 Precio de Venta'!G33</f>
        <v>0.4</v>
      </c>
      <c r="AS28" s="278">
        <f>'💰 Precio de Venta'!H33</f>
        <v>40.383614563550843</v>
      </c>
      <c r="AT28" s="278">
        <f>TABLA_BASE[[#This Row],[VALOR VTA.
UNIT.(S/.)]]*TABLA_BASE[[#This Row],[CANTIDAD
(unid.)]]</f>
        <v>9692.0674952522022</v>
      </c>
      <c r="AU28" s="281">
        <f>'💰 Precio de Venta'!I33</f>
        <v>47.652665184989992</v>
      </c>
      <c r="AV28" s="278">
        <f>'💰 Precio de Venta'!J33</f>
        <v>16.153445825420338</v>
      </c>
      <c r="AW28" s="278">
        <f>TABLA_BASE[[#This Row],[GANANCIA
UNIT.(S/.)]]*TABLA_BASE[[#This Row],[CANTIDAD
(unid.)]]</f>
        <v>3876.8269981008812</v>
      </c>
      <c r="AX28" s="289">
        <f>'💰 Precio de Venta'!K33</f>
        <v>33</v>
      </c>
      <c r="AY28" s="278">
        <f>TABLA_BASE[[#This Row],[GANANCIA
UNIT.(S/.)]]*'🧾 Factura Comercial'!G32</f>
        <v>3876.8269981008812</v>
      </c>
      <c r="AZ28" s="277">
        <f>IF(TABLA_BASE[[#This Row],[PRECIO VTA.
c/IGV(S/.)]]=0,0,TABLA_BASE[[#This Row],[GANANCIA
UNIT.(S/.)]]/TABLA_BASE[[#This Row],[PRECIO VTA.
c/IGV(S/.)]])</f>
        <v>0.33898305084745767</v>
      </c>
      <c r="BA28" s="277">
        <f>IF(TABLA_BASE[[#This Row],[C/M UNIT.
(S/.)]]=0,0,TABLA_BASE[[#This Row],[GANANCIA
UNIT.(S/.)]]/TABLA_BASE[[#This Row],[C/M UNIT.
(S/.)]])</f>
        <v>0.66666666666666674</v>
      </c>
      <c r="BB28" s="274" t="str">
        <f>IF(TABLA_BASE[[#This Row],[MARGEN
%]]&gt;=0.5,"🟢 ALTO",IF(TABLA_BASE[[#This Row],[MARGEN
%]]&gt;=0.3,"🟡 MEDIO","🔴 BAJO"))</f>
        <v>🟡 MEDIO</v>
      </c>
    </row>
    <row r="29" spans="1:54" ht="16.5" hidden="1" thickTop="1" thickBot="1" x14ac:dyDescent="0.3">
      <c r="A29" s="274" t="str">
        <f>'🧾 Factura Comercial'!E33</f>
        <v>Case Wallet Cuero PU Samsung S24</v>
      </c>
      <c r="B29" s="274" t="str">
        <f>'🧾 Factura Comercial'!F33</f>
        <v>Unid.</v>
      </c>
      <c r="C29" s="275">
        <f>'🧾 Factura Comercial'!G33</f>
        <v>1920</v>
      </c>
      <c r="D29" s="276">
        <f>'🧾 Factura Comercial'!H33</f>
        <v>0.76</v>
      </c>
      <c r="E29" s="276">
        <f>'🧾 Factura Comercial'!I33</f>
        <v>1459.2</v>
      </c>
      <c r="F29" s="277">
        <f>IF('🧾 Tributos Aduana'!$F$6=0,0,'🧾 Factura Comercial'!I33/'🧾 Tributos Aduana'!$F$6)</f>
        <v>3.3436232851098771E-2</v>
      </c>
      <c r="G29" s="278">
        <f>'🧾 Factura Comercial'!H33*'📋 Datos Generales'!$E$19</f>
        <v>2.8272000000000004</v>
      </c>
      <c r="H29" s="278">
        <f>TABLA_BASE[[#This Row],[FOB UNIT.
(S/.)]]*TABLA_BASE[[#This Row],[CANTIDAD
(unid.)]]</f>
        <v>5428.2240000000011</v>
      </c>
      <c r="I29" s="280">
        <f>IF('🧾 Tributos Aduana'!$F$6=0,0,'🧾 Tributos Aduana'!$F$17*('🧾 Factura Comercial'!H33/'🧾 Tributos Aduana'!$F$6))</f>
        <v>4.7925267086574901E-2</v>
      </c>
      <c r="J29" s="280">
        <f>TABLA_BASE[[#This Row],[ADV UNIT.
(US$)
⚠️COSTO]]*TABLA_BASE[[#This Row],[CANTIDAD
(unid.)]]</f>
        <v>92.016512806223815</v>
      </c>
      <c r="K29" s="279">
        <f>IF('🧾 Tributos Aduana'!$F$6=0,0,'🧾 Tributos Aduana'!$F$18*('🧾 Factura Comercial'!H33/'🧾 Tributos Aduana'!$F$6))</f>
        <v>1.6927092880868751E-2</v>
      </c>
      <c r="L29" s="280">
        <f>TABLA_BASE[[#This Row],[IPM UNIT.
(US$)
✅CF]]*TABLA_BASE[[#This Row],[CANTIDAD
(unid.)]]</f>
        <v>32.500018331268002</v>
      </c>
      <c r="M29" s="279">
        <f>IF('🧾 Tributos Aduana'!$F$6=0,0,'🧾 Tributos Aduana'!$F$19*('🧾 Factura Comercial'!H33/'🧾 Tributos Aduana'!$F$6))</f>
        <v>0.13546898716077985</v>
      </c>
      <c r="N29" s="280">
        <f>TABLA_BASE[[#This Row],[IGV UNIT.
(US$)
✅CF]]*TABLA_BASE[[#This Row],[CANTIDAD
(unid.)]]</f>
        <v>260.10045534869732</v>
      </c>
      <c r="O29" s="280">
        <f>IF('🧾 Tributos Aduana'!$F$6=0,0,'🧾 Tributos Aduana'!$F$23*('🧾 Factura Comercial'!H33/'🧾 Tributos Aduana'!$F$6))</f>
        <v>3.4966985386313133E-2</v>
      </c>
      <c r="P29" s="280">
        <f>TABLA_BASE[[#This Row],[PERCEP.
UNIT.(US$)
✅CF]]*TABLA_BASE[[#This Row],[CANTIDAD
(unid.)]]</f>
        <v>67.136611941721213</v>
      </c>
      <c r="Q29" s="279">
        <f>TABLA_BASE[[#This Row],[ADV UNIT.
(US$)
⚠️COSTO]]+TABLA_BASE[[#This Row],[IPM UNIT.
(US$)
✅CF]]+TABLA_BASE[[#This Row],[IGV UNIT.
(US$)
✅CF]]</f>
        <v>0.2003213471282235</v>
      </c>
      <c r="R29" s="280">
        <f>TABLA_BASE[[#This Row],[DEUDA
ADUANERA
UNIT.]]*TABLA_BASE[[#This Row],[CANTIDAD
(unid.)]]</f>
        <v>384.61698648618909</v>
      </c>
      <c r="S29" s="278">
        <f>TABLA_BASE[[#This Row],[DEUDA
ADUANERA
UNIT.]]*'📋 Datos Generales'!$E$19</f>
        <v>0.74519541131699141</v>
      </c>
      <c r="T29" s="278">
        <f>TABLA_BASE[[#This Row],[DEUDA
ADUANERA
TOTAL]]*'📋 Datos Generales'!$E$19</f>
        <v>1430.7751897286234</v>
      </c>
      <c r="U29" s="281">
        <f>TABLA_BASE[[#This Row],[ADV UNIT.
(US$)
⚠️COSTO]]*'📋 Datos Generales'!$E$19</f>
        <v>0.17828199356205865</v>
      </c>
      <c r="V29" s="281">
        <f>TABLA_BASE[[#This Row],[ADV UNIT.
(S/.)]]*TABLA_BASE[[#This Row],[CANTIDAD
(unid.)]]</f>
        <v>342.30142763915262</v>
      </c>
      <c r="W29" s="281">
        <f>TABLA_BASE[[#This Row],[IPM UNIT.
(US$)
✅CF]]*'📋 Datos Generales'!$E$19</f>
        <v>6.2968785516831757E-2</v>
      </c>
      <c r="X29" s="281">
        <f>TABLA_BASE[[#This Row],[IPM UNIT.
(S/.)]]*TABLA_BASE[[#This Row],[CANTIDAD
(unid.)]]</f>
        <v>120.90006819231698</v>
      </c>
      <c r="Y29" s="281">
        <f>TABLA_BASE[[#This Row],[IGV UNIT.
(US$)
✅CF]]*'📋 Datos Generales'!$E$19</f>
        <v>0.50394463223810104</v>
      </c>
      <c r="Z29" s="281">
        <f>TABLA_BASE[[#This Row],[IGV UNIT.
(S/.)]]*TABLA_BASE[[#This Row],[CANTIDAD
(unid.)]]</f>
        <v>967.57369389715404</v>
      </c>
      <c r="AA29" s="281">
        <f>TABLA_BASE[[#This Row],[PERCEP.
UNIT.(US$)
✅CF]]*'📋 Datos Generales'!$E$19</f>
        <v>0.13007718563708487</v>
      </c>
      <c r="AB29" s="281">
        <f>TABLA_BASE[[#This Row],[PERCEP.
UNIT.(S/.)]]*TABLA_BASE[[#This Row],[CANTIDAD
(unid.)]]</f>
        <v>249.74819642320296</v>
      </c>
      <c r="AC29" s="279">
        <f>TABLA_BASE[[#This Row],[ADV UNIT.
(US$)
⚠️COSTO]]+TABLA_BASE[[#This Row],[IPM UNIT.
(US$)
✅CF]]+TABLA_BASE[[#This Row],[IGV UNIT.
(US$)
✅CF]]+TABLA_BASE[[#This Row],[PERCEP.
UNIT.(US$)
✅CF]]</f>
        <v>0.23528833251453662</v>
      </c>
      <c r="AD29" s="279">
        <f>TABLA_BASE[[#This Row],[TOTAL PAGO
SUNAT
UNIT.(US$)]]*TABLA_BASE[[#This Row],[CANTIDAD
(unid.)]]</f>
        <v>451.75359842791033</v>
      </c>
      <c r="AE29" s="281">
        <f>TABLA_BASE[[#This Row],[TOTAL PAGO
SUNAT
UNIT.(US$)]]*'📋 Datos Generales'!$E$19</f>
        <v>0.87527259695407633</v>
      </c>
      <c r="AF29" s="281">
        <f>TABLA_BASE[[#This Row],[TOTAL TRIB.
UNIT.(S/.)]]*TABLA_BASE[[#This Row],[CANTIDAD
(unid.)]]</f>
        <v>1680.5233861518266</v>
      </c>
      <c r="AG29" s="279">
        <f>IF('🧾 Factura Comercial'!G33=0,0,'📦 Gastos Importación'!$E$28*(IF('🧾 Tributos Aduana'!$F$6=0,0,'🧾 Factura Comercial'!I33/'🧾 Tributos Aduana'!$F$6))/'🧾 Factura Comercial'!G33)</f>
        <v>0.86694387515673221</v>
      </c>
      <c r="AH29" s="279">
        <f>TABLA_BASE[[#This Row],[GASTOS IMP.
UNIT.(US$)]]*TABLA_BASE[[#This Row],[CANTIDAD
(unid.)]]</f>
        <v>1664.5322403009259</v>
      </c>
      <c r="AI29" s="281">
        <f>TABLA_BASE[[#This Row],[GASTOS IMP.
UNIT.(US$)]]*'📋 Datos Generales'!$E$19</f>
        <v>3.2250312155830438</v>
      </c>
      <c r="AJ29" s="281">
        <f>TABLA_BASE[[#This Row],[GASTOS IMP.
UNIT.(S/.)]]*TABLA_BASE[[#This Row],[CANTIDAD
(unid.)]]</f>
        <v>6192.0599339194441</v>
      </c>
      <c r="AK29" s="280">
        <f>'🧮 Costos x Producto'!J33</f>
        <v>0.86694387515673232</v>
      </c>
      <c r="AL29" s="278">
        <f>'🧮 Costos x Producto'!K33</f>
        <v>3.2250312155830443</v>
      </c>
      <c r="AM29" s="278">
        <f>TABLA_BASE[[#This Row],[C/M UNIT.
(S/.)]]*TABLA_BASE[[#This Row],[CANTIDAD
(unid.)]]</f>
        <v>6192.059933919445</v>
      </c>
      <c r="AN29" s="279">
        <f>IF('🧾 Factura Comercial'!G33=0,0,'🧾 Tributos Aduana'!$F$17*(IF('🧾 Tributos Aduana'!$F$6=0,0,'🧾 Factura Comercial'!I33/'🧾 Tributos Aduana'!$F$6))/'🧾 Factura Comercial'!G33)</f>
        <v>4.7925267086574901E-2</v>
      </c>
      <c r="AO29" s="280">
        <f>IF('🧾 Factura Comercial'!G33=0,0,'🏦 Crédito Fiscal'!$C$16*(IF('🧾 Tributos Aduana'!$F$6=0,0,'🧾 Factura Comercial'!I33/'🧾 Tributos Aduana'!$F$6))/'🧾 Factura Comercial'!G33)</f>
        <v>0.19090994966233801</v>
      </c>
      <c r="AP29" s="278">
        <f>TABLA_BASE[[#This Row],[CF UNIT.
✅RECUP.
(US$)]]*'📋 Datos Generales'!$E$19</f>
        <v>0.71018501274389745</v>
      </c>
      <c r="AQ29" s="278">
        <f>TABLA_BASE[[#This Row],[CF UNIT.
✅RECUP.(S/.)]]*TABLA_BASE[[#This Row],[CANTIDAD
(unid.)]]</f>
        <v>1363.5552244682831</v>
      </c>
      <c r="AR29" s="288">
        <f>'💰 Precio de Venta'!G34</f>
        <v>0.4</v>
      </c>
      <c r="AS29" s="278">
        <f>'💰 Precio de Venta'!H34</f>
        <v>5.3750520259717405</v>
      </c>
      <c r="AT29" s="278">
        <f>TABLA_BASE[[#This Row],[VALOR VTA.
UNIT.(S/.)]]*TABLA_BASE[[#This Row],[CANTIDAD
(unid.)]]</f>
        <v>10320.099889865742</v>
      </c>
      <c r="AU29" s="281">
        <f>'💰 Precio de Venta'!I34</f>
        <v>6.3425613906466536</v>
      </c>
      <c r="AV29" s="278">
        <f>'💰 Precio de Venta'!J34</f>
        <v>2.1500208103886962</v>
      </c>
      <c r="AW29" s="278">
        <f>TABLA_BASE[[#This Row],[GANANCIA
UNIT.(S/.)]]*TABLA_BASE[[#This Row],[CANTIDAD
(unid.)]]</f>
        <v>4128.0399559462967</v>
      </c>
      <c r="AX29" s="289">
        <f>'💰 Precio de Venta'!K34</f>
        <v>263</v>
      </c>
      <c r="AY29" s="278">
        <f>TABLA_BASE[[#This Row],[GANANCIA
UNIT.(S/.)]]*'🧾 Factura Comercial'!G33</f>
        <v>4128.0399559462967</v>
      </c>
      <c r="AZ29" s="277">
        <f>IF(TABLA_BASE[[#This Row],[PRECIO VTA.
c/IGV(S/.)]]=0,0,TABLA_BASE[[#This Row],[GANANCIA
UNIT.(S/.)]]/TABLA_BASE[[#This Row],[PRECIO VTA.
c/IGV(S/.)]])</f>
        <v>0.33898305084745761</v>
      </c>
      <c r="BA29" s="277">
        <f>IF(TABLA_BASE[[#This Row],[C/M UNIT.
(S/.)]]=0,0,TABLA_BASE[[#This Row],[GANANCIA
UNIT.(S/.)]]/TABLA_BASE[[#This Row],[C/M UNIT.
(S/.)]])</f>
        <v>0.66666666666666663</v>
      </c>
      <c r="BB29" s="274" t="str">
        <f>IF(TABLA_BASE[[#This Row],[MARGEN
%]]&gt;=0.5,"🟢 ALTO",IF(TABLA_BASE[[#This Row],[MARGEN
%]]&gt;=0.3,"🟡 MEDIO","🔴 BAJO"))</f>
        <v>🟡 MEDIO</v>
      </c>
    </row>
    <row r="30" spans="1:54" ht="16.5" hidden="1" thickTop="1" thickBot="1" x14ac:dyDescent="0.3">
      <c r="A30" s="274" t="str">
        <f>'🧾 Factura Comercial'!E34</f>
        <v>Adaptador USB-C a Jack 3.5mm</v>
      </c>
      <c r="B30" s="274" t="str">
        <f>'🧾 Factura Comercial'!F34</f>
        <v>Unid.</v>
      </c>
      <c r="C30" s="275">
        <f>'🧾 Factura Comercial'!G34</f>
        <v>4800</v>
      </c>
      <c r="D30" s="276">
        <f>'🧾 Factura Comercial'!H34</f>
        <v>0.28000000000000003</v>
      </c>
      <c r="E30" s="276">
        <f>'🧾 Factura Comercial'!I34</f>
        <v>1344.0000000000002</v>
      </c>
      <c r="F30" s="277">
        <f>IF('🧾 Tributos Aduana'!$F$6=0,0,'🧾 Factura Comercial'!I34/'🧾 Tributos Aduana'!$F$6)</f>
        <v>3.0796530257590979E-2</v>
      </c>
      <c r="G30" s="278">
        <f>'🧾 Factura Comercial'!H34*'📋 Datos Generales'!$E$19</f>
        <v>1.0416000000000001</v>
      </c>
      <c r="H30" s="278">
        <f>TABLA_BASE[[#This Row],[FOB UNIT.
(S/.)]]*TABLA_BASE[[#This Row],[CANTIDAD
(unid.)]]</f>
        <v>4999.68</v>
      </c>
      <c r="I30" s="280">
        <f>IF('🧾 Tributos Aduana'!$F$6=0,0,'🧾 Tributos Aduana'!$F$17*('🧾 Factura Comercial'!H34/'🧾 Tributos Aduana'!$F$6))</f>
        <v>1.7656677347685494E-2</v>
      </c>
      <c r="J30" s="280">
        <f>TABLA_BASE[[#This Row],[ADV UNIT.
(US$)
⚠️COSTO]]*TABLA_BASE[[#This Row],[CANTIDAD
(unid.)]]</f>
        <v>84.752051268890369</v>
      </c>
      <c r="K30" s="279">
        <f>IF('🧾 Tributos Aduana'!$F$6=0,0,'🧾 Tributos Aduana'!$F$18*('🧾 Factura Comercial'!H34/'🧾 Tributos Aduana'!$F$6))</f>
        <v>6.236297377162173E-3</v>
      </c>
      <c r="L30" s="280">
        <f>TABLA_BASE[[#This Row],[IPM UNIT.
(US$)
✅CF]]*TABLA_BASE[[#This Row],[CANTIDAD
(unid.)]]</f>
        <v>29.93422741037843</v>
      </c>
      <c r="M30" s="279">
        <f>IF('🧾 Tributos Aduana'!$F$6=0,0,'🧾 Tributos Aduana'!$F$19*('🧾 Factura Comercial'!H34/'🧾 Tributos Aduana'!$F$6))</f>
        <v>4.9909626848708373E-2</v>
      </c>
      <c r="N30" s="280">
        <f>TABLA_BASE[[#This Row],[IGV UNIT.
(US$)
✅CF]]*TABLA_BASE[[#This Row],[CANTIDAD
(unid.)]]</f>
        <v>239.56620887380018</v>
      </c>
      <c r="O30" s="280">
        <f>IF('🧾 Tributos Aduana'!$F$6=0,0,'🧾 Tributos Aduana'!$F$23*('🧾 Factura Comercial'!H34/'🧾 Tributos Aduana'!$F$6))</f>
        <v>1.2882573563378526E-2</v>
      </c>
      <c r="P30" s="280">
        <f>TABLA_BASE[[#This Row],[PERCEP.
UNIT.(US$)
✅CF]]*TABLA_BASE[[#This Row],[CANTIDAD
(unid.)]]</f>
        <v>61.836353104216926</v>
      </c>
      <c r="Q30" s="279">
        <f>TABLA_BASE[[#This Row],[ADV UNIT.
(US$)
⚠️COSTO]]+TABLA_BASE[[#This Row],[IPM UNIT.
(US$)
✅CF]]+TABLA_BASE[[#This Row],[IGV UNIT.
(US$)
✅CF]]</f>
        <v>7.3802601573556031E-2</v>
      </c>
      <c r="R30" s="280">
        <f>TABLA_BASE[[#This Row],[DEUDA
ADUANERA
UNIT.]]*TABLA_BASE[[#This Row],[CANTIDAD
(unid.)]]</f>
        <v>354.25248755306893</v>
      </c>
      <c r="S30" s="278">
        <f>TABLA_BASE[[#This Row],[DEUDA
ADUANERA
UNIT.]]*'📋 Datos Generales'!$E$19</f>
        <v>0.27454567785362843</v>
      </c>
      <c r="T30" s="278">
        <f>TABLA_BASE[[#This Row],[DEUDA
ADUANERA
TOTAL]]*'📋 Datos Generales'!$E$19</f>
        <v>1317.8192536974166</v>
      </c>
      <c r="U30" s="281">
        <f>TABLA_BASE[[#This Row],[ADV UNIT.
(US$)
⚠️COSTO]]*'📋 Datos Generales'!$E$19</f>
        <v>6.5682839733390036E-2</v>
      </c>
      <c r="V30" s="281">
        <f>TABLA_BASE[[#This Row],[ADV UNIT.
(S/.)]]*TABLA_BASE[[#This Row],[CANTIDAD
(unid.)]]</f>
        <v>315.27763072027216</v>
      </c>
      <c r="W30" s="281">
        <f>TABLA_BASE[[#This Row],[IPM UNIT.
(US$)
✅CF]]*'📋 Datos Generales'!$E$19</f>
        <v>2.3199026243043284E-2</v>
      </c>
      <c r="X30" s="281">
        <f>TABLA_BASE[[#This Row],[IPM UNIT.
(S/.)]]*TABLA_BASE[[#This Row],[CANTIDAD
(unid.)]]</f>
        <v>111.35532596660777</v>
      </c>
      <c r="Y30" s="281">
        <f>TABLA_BASE[[#This Row],[IGV UNIT.
(US$)
✅CF]]*'📋 Datos Generales'!$E$19</f>
        <v>0.18566381187719516</v>
      </c>
      <c r="Z30" s="281">
        <f>TABLA_BASE[[#This Row],[IGV UNIT.
(S/.)]]*TABLA_BASE[[#This Row],[CANTIDAD
(unid.)]]</f>
        <v>891.1862970105368</v>
      </c>
      <c r="AA30" s="281">
        <f>TABLA_BASE[[#This Row],[PERCEP.
UNIT.(US$)
✅CF]]*'📋 Datos Generales'!$E$19</f>
        <v>4.792317365576812E-2</v>
      </c>
      <c r="AB30" s="281">
        <f>TABLA_BASE[[#This Row],[PERCEP.
UNIT.(S/.)]]*TABLA_BASE[[#This Row],[CANTIDAD
(unid.)]]</f>
        <v>230.03123354768698</v>
      </c>
      <c r="AC30" s="279">
        <f>TABLA_BASE[[#This Row],[ADV UNIT.
(US$)
⚠️COSTO]]+TABLA_BASE[[#This Row],[IPM UNIT.
(US$)
✅CF]]+TABLA_BASE[[#This Row],[IGV UNIT.
(US$)
✅CF]]+TABLA_BASE[[#This Row],[PERCEP.
UNIT.(US$)
✅CF]]</f>
        <v>8.668517513693455E-2</v>
      </c>
      <c r="AD30" s="279">
        <f>TABLA_BASE[[#This Row],[TOTAL PAGO
SUNAT
UNIT.(US$)]]*TABLA_BASE[[#This Row],[CANTIDAD
(unid.)]]</f>
        <v>416.08884065728586</v>
      </c>
      <c r="AE30" s="281">
        <f>TABLA_BASE[[#This Row],[TOTAL PAGO
SUNAT
UNIT.(US$)]]*'📋 Datos Generales'!$E$19</f>
        <v>0.32246885150939653</v>
      </c>
      <c r="AF30" s="281">
        <f>TABLA_BASE[[#This Row],[TOTAL TRIB.
UNIT.(S/.)]]*TABLA_BASE[[#This Row],[CANTIDAD
(unid.)]]</f>
        <v>1547.8504872451033</v>
      </c>
      <c r="AG30" s="279">
        <f>IF('🧾 Factura Comercial'!G34=0,0,'📦 Gastos Importación'!$E$28*(IF('🧾 Tributos Aduana'!$F$6=0,0,'🧾 Factura Comercial'!I34/'🧾 Tributos Aduana'!$F$6))/'🧾 Factura Comercial'!G34)</f>
        <v>0.31940037505774349</v>
      </c>
      <c r="AH30" s="279">
        <f>TABLA_BASE[[#This Row],[GASTOS IMP.
UNIT.(US$)]]*TABLA_BASE[[#This Row],[CANTIDAD
(unid.)]]</f>
        <v>1533.1218002771689</v>
      </c>
      <c r="AI30" s="281">
        <f>TABLA_BASE[[#This Row],[GASTOS IMP.
UNIT.(US$)]]*'📋 Datos Generales'!$E$19</f>
        <v>1.1881693952148058</v>
      </c>
      <c r="AJ30" s="281">
        <f>TABLA_BASE[[#This Row],[GASTOS IMP.
UNIT.(S/.)]]*TABLA_BASE[[#This Row],[CANTIDAD
(unid.)]]</f>
        <v>5703.2130970310682</v>
      </c>
      <c r="AK30" s="280">
        <f>'🧮 Costos x Producto'!J34</f>
        <v>0.31940037505774349</v>
      </c>
      <c r="AL30" s="278">
        <f>'🧮 Costos x Producto'!K34</f>
        <v>1.1881693952148058</v>
      </c>
      <c r="AM30" s="278">
        <f>TABLA_BASE[[#This Row],[C/M UNIT.
(S/.)]]*TABLA_BASE[[#This Row],[CANTIDAD
(unid.)]]</f>
        <v>5703.2130970310682</v>
      </c>
      <c r="AN30" s="279">
        <f>IF('🧾 Factura Comercial'!G34=0,0,'🧾 Tributos Aduana'!$F$17*(IF('🧾 Tributos Aduana'!$F$6=0,0,'🧾 Factura Comercial'!I34/'🧾 Tributos Aduana'!$F$6))/'🧾 Factura Comercial'!G34)</f>
        <v>1.7656677347685494E-2</v>
      </c>
      <c r="AO30" s="280">
        <f>IF('🧾 Factura Comercial'!G34=0,0,'🏦 Crédito Fiscal'!$C$16*(IF('🧾 Tributos Aduana'!$F$6=0,0,'🧾 Factura Comercial'!I34/'🧾 Tributos Aduana'!$F$6))/'🧾 Factura Comercial'!G34)</f>
        <v>7.033524461244034E-2</v>
      </c>
      <c r="AP30" s="278">
        <f>TABLA_BASE[[#This Row],[CF UNIT.
✅RECUP.
(US$)]]*'📋 Datos Generales'!$E$19</f>
        <v>0.26164710995827806</v>
      </c>
      <c r="AQ30" s="278">
        <f>TABLA_BASE[[#This Row],[CF UNIT.
✅RECUP.(S/.)]]*TABLA_BASE[[#This Row],[CANTIDAD
(unid.)]]</f>
        <v>1255.9061277997346</v>
      </c>
      <c r="AR30" s="288">
        <f>'💰 Precio de Venta'!G35</f>
        <v>0.4</v>
      </c>
      <c r="AS30" s="278">
        <f>'💰 Precio de Venta'!H35</f>
        <v>1.9802823253580097</v>
      </c>
      <c r="AT30" s="278">
        <f>TABLA_BASE[[#This Row],[VALOR VTA.
UNIT.(S/.)]]*TABLA_BASE[[#This Row],[CANTIDAD
(unid.)]]</f>
        <v>9505.3551617184476</v>
      </c>
      <c r="AU30" s="281">
        <f>'💰 Precio de Venta'!I35</f>
        <v>2.3367331439224515</v>
      </c>
      <c r="AV30" s="278">
        <f>'💰 Precio de Venta'!J35</f>
        <v>0.79211293014320394</v>
      </c>
      <c r="AW30" s="278">
        <f>TABLA_BASE[[#This Row],[GANANCIA
UNIT.(S/.)]]*TABLA_BASE[[#This Row],[CANTIDAD
(unid.)]]</f>
        <v>3802.1420646873789</v>
      </c>
      <c r="AX30" s="289">
        <f>'💰 Precio de Venta'!K35</f>
        <v>657</v>
      </c>
      <c r="AY30" s="278">
        <f>TABLA_BASE[[#This Row],[GANANCIA
UNIT.(S/.)]]*'🧾 Factura Comercial'!G34</f>
        <v>3802.1420646873789</v>
      </c>
      <c r="AZ30" s="277">
        <f>IF(TABLA_BASE[[#This Row],[PRECIO VTA.
c/IGV(S/.)]]=0,0,TABLA_BASE[[#This Row],[GANANCIA
UNIT.(S/.)]]/TABLA_BASE[[#This Row],[PRECIO VTA.
c/IGV(S/.)]])</f>
        <v>0.33898305084745767</v>
      </c>
      <c r="BA30" s="277">
        <f>IF(TABLA_BASE[[#This Row],[C/M UNIT.
(S/.)]]=0,0,TABLA_BASE[[#This Row],[GANANCIA
UNIT.(S/.)]]/TABLA_BASE[[#This Row],[C/M UNIT.
(S/.)]])</f>
        <v>0.66666666666666674</v>
      </c>
      <c r="BB30" s="274" t="str">
        <f>IF(TABLA_BASE[[#This Row],[MARGEN
%]]&gt;=0.5,"🟢 ALTO",IF(TABLA_BASE[[#This Row],[MARGEN
%]]&gt;=0.3,"🟡 MEDIO","🔴 BAJO"))</f>
        <v>🟡 MEDIO</v>
      </c>
    </row>
    <row r="31" spans="1:54" ht="16.5" hidden="1" thickTop="1" thickBot="1" x14ac:dyDescent="0.3">
      <c r="A31" s="274">
        <f>'🧾 Factura Comercial'!E35</f>
        <v>0</v>
      </c>
      <c r="B31" s="274" t="str">
        <f>'🧾 Factura Comercial'!F35</f>
        <v>Unid.</v>
      </c>
      <c r="C31" s="275">
        <f>'🧾 Factura Comercial'!G35</f>
        <v>0</v>
      </c>
      <c r="D31" s="276">
        <f>'🧾 Factura Comercial'!H35</f>
        <v>0</v>
      </c>
      <c r="E31" s="276">
        <f>'🧾 Factura Comercial'!I35</f>
        <v>0</v>
      </c>
      <c r="F31" s="277">
        <f>IF('🧾 Tributos Aduana'!$F$6=0,0,'🧾 Factura Comercial'!I35/'🧾 Tributos Aduana'!$F$6)</f>
        <v>0</v>
      </c>
      <c r="G31" s="278">
        <f>'🧾 Factura Comercial'!H35*'📋 Datos Generales'!$E$19</f>
        <v>0</v>
      </c>
      <c r="H31" s="278">
        <f>TABLA_BASE[[#This Row],[FOB UNIT.
(S/.)]]*TABLA_BASE[[#This Row],[CANTIDAD
(unid.)]]</f>
        <v>0</v>
      </c>
      <c r="I31" s="280">
        <f>IF('🧾 Tributos Aduana'!$F$6=0,0,'🧾 Tributos Aduana'!$F$17*('🧾 Factura Comercial'!H35/'🧾 Tributos Aduana'!$F$6))</f>
        <v>0</v>
      </c>
      <c r="J31" s="280">
        <f>TABLA_BASE[[#This Row],[ADV UNIT.
(US$)
⚠️COSTO]]*TABLA_BASE[[#This Row],[CANTIDAD
(unid.)]]</f>
        <v>0</v>
      </c>
      <c r="K31" s="279">
        <f>IF('🧾 Tributos Aduana'!$F$6=0,0,'🧾 Tributos Aduana'!$F$18*('🧾 Factura Comercial'!H35/'🧾 Tributos Aduana'!$F$6))</f>
        <v>0</v>
      </c>
      <c r="L31" s="280">
        <f>TABLA_BASE[[#This Row],[IPM UNIT.
(US$)
✅CF]]*TABLA_BASE[[#This Row],[CANTIDAD
(unid.)]]</f>
        <v>0</v>
      </c>
      <c r="M31" s="279">
        <f>IF('🧾 Tributos Aduana'!$F$6=0,0,'🧾 Tributos Aduana'!$F$19*('🧾 Factura Comercial'!H35/'🧾 Tributos Aduana'!$F$6))</f>
        <v>0</v>
      </c>
      <c r="N31" s="280">
        <f>TABLA_BASE[[#This Row],[IGV UNIT.
(US$)
✅CF]]*TABLA_BASE[[#This Row],[CANTIDAD
(unid.)]]</f>
        <v>0</v>
      </c>
      <c r="O31" s="280">
        <f>IF('🧾 Tributos Aduana'!$F$6=0,0,'🧾 Tributos Aduana'!$F$23*('🧾 Factura Comercial'!H35/'🧾 Tributos Aduana'!$F$6))</f>
        <v>0</v>
      </c>
      <c r="P31" s="280">
        <f>TABLA_BASE[[#This Row],[PERCEP.
UNIT.(US$)
✅CF]]*TABLA_BASE[[#This Row],[CANTIDAD
(unid.)]]</f>
        <v>0</v>
      </c>
      <c r="Q31" s="279">
        <f>TABLA_BASE[[#This Row],[ADV UNIT.
(US$)
⚠️COSTO]]+TABLA_BASE[[#This Row],[IPM UNIT.
(US$)
✅CF]]+TABLA_BASE[[#This Row],[IGV UNIT.
(US$)
✅CF]]</f>
        <v>0</v>
      </c>
      <c r="R31" s="280">
        <f>TABLA_BASE[[#This Row],[DEUDA
ADUANERA
UNIT.]]*TABLA_BASE[[#This Row],[CANTIDAD
(unid.)]]</f>
        <v>0</v>
      </c>
      <c r="S31" s="278">
        <f>TABLA_BASE[[#This Row],[DEUDA
ADUANERA
UNIT.]]*'📋 Datos Generales'!$E$19</f>
        <v>0</v>
      </c>
      <c r="T31" s="278">
        <f>TABLA_BASE[[#This Row],[DEUDA
ADUANERA
TOTAL]]*'📋 Datos Generales'!$E$19</f>
        <v>0</v>
      </c>
      <c r="U31" s="281">
        <f>TABLA_BASE[[#This Row],[ADV UNIT.
(US$)
⚠️COSTO]]*'📋 Datos Generales'!$E$19</f>
        <v>0</v>
      </c>
      <c r="V31" s="281">
        <f>TABLA_BASE[[#This Row],[ADV UNIT.
(S/.)]]*TABLA_BASE[[#This Row],[CANTIDAD
(unid.)]]</f>
        <v>0</v>
      </c>
      <c r="W31" s="281">
        <f>TABLA_BASE[[#This Row],[IPM UNIT.
(US$)
✅CF]]*'📋 Datos Generales'!$E$19</f>
        <v>0</v>
      </c>
      <c r="X31" s="281">
        <f>TABLA_BASE[[#This Row],[IPM UNIT.
(S/.)]]*TABLA_BASE[[#This Row],[CANTIDAD
(unid.)]]</f>
        <v>0</v>
      </c>
      <c r="Y31" s="281">
        <f>TABLA_BASE[[#This Row],[IGV UNIT.
(US$)
✅CF]]*'📋 Datos Generales'!$E$19</f>
        <v>0</v>
      </c>
      <c r="Z31" s="281">
        <f>TABLA_BASE[[#This Row],[IGV UNIT.
(S/.)]]*TABLA_BASE[[#This Row],[CANTIDAD
(unid.)]]</f>
        <v>0</v>
      </c>
      <c r="AA31" s="281">
        <f>TABLA_BASE[[#This Row],[PERCEP.
UNIT.(US$)
✅CF]]*'📋 Datos Generales'!$E$19</f>
        <v>0</v>
      </c>
      <c r="AB31" s="281">
        <f>TABLA_BASE[[#This Row],[PERCEP.
UNIT.(S/.)]]*TABLA_BASE[[#This Row],[CANTIDAD
(unid.)]]</f>
        <v>0</v>
      </c>
      <c r="AC31" s="279">
        <f>TABLA_BASE[[#This Row],[ADV UNIT.
(US$)
⚠️COSTO]]+TABLA_BASE[[#This Row],[IPM UNIT.
(US$)
✅CF]]+TABLA_BASE[[#This Row],[IGV UNIT.
(US$)
✅CF]]+TABLA_BASE[[#This Row],[PERCEP.
UNIT.(US$)
✅CF]]</f>
        <v>0</v>
      </c>
      <c r="AD31" s="279">
        <f>TABLA_BASE[[#This Row],[TOTAL PAGO
SUNAT
UNIT.(US$)]]*TABLA_BASE[[#This Row],[CANTIDAD
(unid.)]]</f>
        <v>0</v>
      </c>
      <c r="AE31" s="281">
        <f>TABLA_BASE[[#This Row],[TOTAL PAGO
SUNAT
UNIT.(US$)]]*'📋 Datos Generales'!$E$19</f>
        <v>0</v>
      </c>
      <c r="AF31" s="281">
        <f>TABLA_BASE[[#This Row],[TOTAL TRIB.
UNIT.(S/.)]]*TABLA_BASE[[#This Row],[CANTIDAD
(unid.)]]</f>
        <v>0</v>
      </c>
      <c r="AG31" s="279">
        <f>IF('🧾 Factura Comercial'!G35=0,0,'📦 Gastos Importación'!$E$28*(IF('🧾 Tributos Aduana'!$F$6=0,0,'🧾 Factura Comercial'!I35/'🧾 Tributos Aduana'!$F$6))/'🧾 Factura Comercial'!G35)</f>
        <v>0</v>
      </c>
      <c r="AH31" s="279">
        <f>TABLA_BASE[[#This Row],[GASTOS IMP.
UNIT.(US$)]]*TABLA_BASE[[#This Row],[CANTIDAD
(unid.)]]</f>
        <v>0</v>
      </c>
      <c r="AI31" s="281">
        <f>TABLA_BASE[[#This Row],[GASTOS IMP.
UNIT.(US$)]]*'📋 Datos Generales'!$E$19</f>
        <v>0</v>
      </c>
      <c r="AJ31" s="281">
        <f>TABLA_BASE[[#This Row],[GASTOS IMP.
UNIT.(S/.)]]*TABLA_BASE[[#This Row],[CANTIDAD
(unid.)]]</f>
        <v>0</v>
      </c>
      <c r="AK31" s="280">
        <f>'🧮 Costos x Producto'!J35</f>
        <v>0</v>
      </c>
      <c r="AL31" s="278">
        <f>'🧮 Costos x Producto'!K35</f>
        <v>0</v>
      </c>
      <c r="AM31" s="278">
        <f>TABLA_BASE[[#This Row],[C/M UNIT.
(S/.)]]*TABLA_BASE[[#This Row],[CANTIDAD
(unid.)]]</f>
        <v>0</v>
      </c>
      <c r="AN31" s="279">
        <f>IF('🧾 Factura Comercial'!G35=0,0,'🧾 Tributos Aduana'!$F$17*(IF('🧾 Tributos Aduana'!$F$6=0,0,'🧾 Factura Comercial'!I35/'🧾 Tributos Aduana'!$F$6))/'🧾 Factura Comercial'!G35)</f>
        <v>0</v>
      </c>
      <c r="AO31" s="280">
        <f>IF('🧾 Factura Comercial'!G35=0,0,'🏦 Crédito Fiscal'!$C$16*(IF('🧾 Tributos Aduana'!$F$6=0,0,'🧾 Factura Comercial'!I35/'🧾 Tributos Aduana'!$F$6))/'🧾 Factura Comercial'!G35)</f>
        <v>0</v>
      </c>
      <c r="AP31" s="278">
        <f>TABLA_BASE[[#This Row],[CF UNIT.
✅RECUP.
(US$)]]*'📋 Datos Generales'!$E$19</f>
        <v>0</v>
      </c>
      <c r="AQ31" s="278">
        <f>TABLA_BASE[[#This Row],[CF UNIT.
✅RECUP.(S/.)]]*TABLA_BASE[[#This Row],[CANTIDAD
(unid.)]]</f>
        <v>0</v>
      </c>
      <c r="AR31" s="288">
        <f>'💰 Precio de Venta'!G36</f>
        <v>0.4</v>
      </c>
      <c r="AS31" s="278">
        <f>'💰 Precio de Venta'!H36</f>
        <v>0</v>
      </c>
      <c r="AT31" s="278">
        <f>TABLA_BASE[[#This Row],[VALOR VTA.
UNIT.(S/.)]]*TABLA_BASE[[#This Row],[CANTIDAD
(unid.)]]</f>
        <v>0</v>
      </c>
      <c r="AU31" s="281">
        <f>'💰 Precio de Venta'!I36</f>
        <v>0</v>
      </c>
      <c r="AV31" s="278">
        <f>'💰 Precio de Venta'!J36</f>
        <v>0</v>
      </c>
      <c r="AW31" s="278">
        <f>TABLA_BASE[[#This Row],[GANANCIA
UNIT.(S/.)]]*TABLA_BASE[[#This Row],[CANTIDAD
(unid.)]]</f>
        <v>0</v>
      </c>
      <c r="AX31" s="289">
        <f>'💰 Precio de Venta'!K36</f>
        <v>0</v>
      </c>
      <c r="AY31" s="278">
        <f>TABLA_BASE[[#This Row],[GANANCIA
UNIT.(S/.)]]*'🧾 Factura Comercial'!G35</f>
        <v>0</v>
      </c>
      <c r="AZ31" s="277">
        <f>IF(TABLA_BASE[[#This Row],[PRECIO VTA.
c/IGV(S/.)]]=0,0,TABLA_BASE[[#This Row],[GANANCIA
UNIT.(S/.)]]/TABLA_BASE[[#This Row],[PRECIO VTA.
c/IGV(S/.)]])</f>
        <v>0</v>
      </c>
      <c r="BA31" s="277">
        <f>IF(TABLA_BASE[[#This Row],[C/M UNIT.
(S/.)]]=0,0,TABLA_BASE[[#This Row],[GANANCIA
UNIT.(S/.)]]/TABLA_BASE[[#This Row],[C/M UNIT.
(S/.)]])</f>
        <v>0</v>
      </c>
      <c r="BB31" s="274" t="str">
        <f>IF(TABLA_BASE[[#This Row],[MARGEN
%]]&gt;=0.5,"🟢 ALTO",IF(TABLA_BASE[[#This Row],[MARGEN
%]]&gt;=0.3,"🟡 MEDIO","🔴 BAJO"))</f>
        <v>🟡 MEDIO</v>
      </c>
    </row>
    <row r="32" spans="1:54" ht="16.5" hidden="1" thickTop="1" thickBot="1" x14ac:dyDescent="0.3">
      <c r="A32" s="274">
        <f>'🧾 Factura Comercial'!E36</f>
        <v>0</v>
      </c>
      <c r="B32" s="274" t="str">
        <f>'🧾 Factura Comercial'!F36</f>
        <v>Unid.</v>
      </c>
      <c r="C32" s="275">
        <f>'🧾 Factura Comercial'!G36</f>
        <v>0</v>
      </c>
      <c r="D32" s="276">
        <f>'🧾 Factura Comercial'!H36</f>
        <v>0</v>
      </c>
      <c r="E32" s="276">
        <f>'🧾 Factura Comercial'!I36</f>
        <v>0</v>
      </c>
      <c r="F32" s="277">
        <f>IF('🧾 Tributos Aduana'!$F$6=0,0,'🧾 Factura Comercial'!I36/'🧾 Tributos Aduana'!$F$6)</f>
        <v>0</v>
      </c>
      <c r="G32" s="278">
        <f>'🧾 Factura Comercial'!H36*'📋 Datos Generales'!$E$19</f>
        <v>0</v>
      </c>
      <c r="H32" s="278">
        <f>TABLA_BASE[[#This Row],[FOB UNIT.
(S/.)]]*TABLA_BASE[[#This Row],[CANTIDAD
(unid.)]]</f>
        <v>0</v>
      </c>
      <c r="I32" s="280">
        <f>IF('🧾 Tributos Aduana'!$F$6=0,0,'🧾 Tributos Aduana'!$F$17*('🧾 Factura Comercial'!H36/'🧾 Tributos Aduana'!$F$6))</f>
        <v>0</v>
      </c>
      <c r="J32" s="280">
        <f>TABLA_BASE[[#This Row],[ADV UNIT.
(US$)
⚠️COSTO]]*TABLA_BASE[[#This Row],[CANTIDAD
(unid.)]]</f>
        <v>0</v>
      </c>
      <c r="K32" s="279">
        <f>IF('🧾 Tributos Aduana'!$F$6=0,0,'🧾 Tributos Aduana'!$F$18*('🧾 Factura Comercial'!H36/'🧾 Tributos Aduana'!$F$6))</f>
        <v>0</v>
      </c>
      <c r="L32" s="280">
        <f>TABLA_BASE[[#This Row],[IPM UNIT.
(US$)
✅CF]]*TABLA_BASE[[#This Row],[CANTIDAD
(unid.)]]</f>
        <v>0</v>
      </c>
      <c r="M32" s="279">
        <f>IF('🧾 Tributos Aduana'!$F$6=0,0,'🧾 Tributos Aduana'!$F$19*('🧾 Factura Comercial'!H36/'🧾 Tributos Aduana'!$F$6))</f>
        <v>0</v>
      </c>
      <c r="N32" s="280">
        <f>TABLA_BASE[[#This Row],[IGV UNIT.
(US$)
✅CF]]*TABLA_BASE[[#This Row],[CANTIDAD
(unid.)]]</f>
        <v>0</v>
      </c>
      <c r="O32" s="280">
        <f>IF('🧾 Tributos Aduana'!$F$6=0,0,'🧾 Tributos Aduana'!$F$23*('🧾 Factura Comercial'!H36/'🧾 Tributos Aduana'!$F$6))</f>
        <v>0</v>
      </c>
      <c r="P32" s="280">
        <f>TABLA_BASE[[#This Row],[PERCEP.
UNIT.(US$)
✅CF]]*TABLA_BASE[[#This Row],[CANTIDAD
(unid.)]]</f>
        <v>0</v>
      </c>
      <c r="Q32" s="279">
        <f>TABLA_BASE[[#This Row],[ADV UNIT.
(US$)
⚠️COSTO]]+TABLA_BASE[[#This Row],[IPM UNIT.
(US$)
✅CF]]+TABLA_BASE[[#This Row],[IGV UNIT.
(US$)
✅CF]]</f>
        <v>0</v>
      </c>
      <c r="R32" s="280">
        <f>TABLA_BASE[[#This Row],[DEUDA
ADUANERA
UNIT.]]*TABLA_BASE[[#This Row],[CANTIDAD
(unid.)]]</f>
        <v>0</v>
      </c>
      <c r="S32" s="278">
        <f>TABLA_BASE[[#This Row],[DEUDA
ADUANERA
UNIT.]]*'📋 Datos Generales'!$E$19</f>
        <v>0</v>
      </c>
      <c r="T32" s="278">
        <f>TABLA_BASE[[#This Row],[DEUDA
ADUANERA
TOTAL]]*'📋 Datos Generales'!$E$19</f>
        <v>0</v>
      </c>
      <c r="U32" s="281">
        <f>TABLA_BASE[[#This Row],[ADV UNIT.
(US$)
⚠️COSTO]]*'📋 Datos Generales'!$E$19</f>
        <v>0</v>
      </c>
      <c r="V32" s="281">
        <f>TABLA_BASE[[#This Row],[ADV UNIT.
(S/.)]]*TABLA_BASE[[#This Row],[CANTIDAD
(unid.)]]</f>
        <v>0</v>
      </c>
      <c r="W32" s="281">
        <f>TABLA_BASE[[#This Row],[IPM UNIT.
(US$)
✅CF]]*'📋 Datos Generales'!$E$19</f>
        <v>0</v>
      </c>
      <c r="X32" s="281">
        <f>TABLA_BASE[[#This Row],[IPM UNIT.
(S/.)]]*TABLA_BASE[[#This Row],[CANTIDAD
(unid.)]]</f>
        <v>0</v>
      </c>
      <c r="Y32" s="281">
        <f>TABLA_BASE[[#This Row],[IGV UNIT.
(US$)
✅CF]]*'📋 Datos Generales'!$E$19</f>
        <v>0</v>
      </c>
      <c r="Z32" s="281">
        <f>TABLA_BASE[[#This Row],[IGV UNIT.
(S/.)]]*TABLA_BASE[[#This Row],[CANTIDAD
(unid.)]]</f>
        <v>0</v>
      </c>
      <c r="AA32" s="281">
        <f>TABLA_BASE[[#This Row],[PERCEP.
UNIT.(US$)
✅CF]]*'📋 Datos Generales'!$E$19</f>
        <v>0</v>
      </c>
      <c r="AB32" s="281">
        <f>TABLA_BASE[[#This Row],[PERCEP.
UNIT.(S/.)]]*TABLA_BASE[[#This Row],[CANTIDAD
(unid.)]]</f>
        <v>0</v>
      </c>
      <c r="AC32" s="279">
        <f>TABLA_BASE[[#This Row],[ADV UNIT.
(US$)
⚠️COSTO]]+TABLA_BASE[[#This Row],[IPM UNIT.
(US$)
✅CF]]+TABLA_BASE[[#This Row],[IGV UNIT.
(US$)
✅CF]]+TABLA_BASE[[#This Row],[PERCEP.
UNIT.(US$)
✅CF]]</f>
        <v>0</v>
      </c>
      <c r="AD32" s="279">
        <f>TABLA_BASE[[#This Row],[TOTAL PAGO
SUNAT
UNIT.(US$)]]*TABLA_BASE[[#This Row],[CANTIDAD
(unid.)]]</f>
        <v>0</v>
      </c>
      <c r="AE32" s="281">
        <f>TABLA_BASE[[#This Row],[TOTAL PAGO
SUNAT
UNIT.(US$)]]*'📋 Datos Generales'!$E$19</f>
        <v>0</v>
      </c>
      <c r="AF32" s="281">
        <f>TABLA_BASE[[#This Row],[TOTAL TRIB.
UNIT.(S/.)]]*TABLA_BASE[[#This Row],[CANTIDAD
(unid.)]]</f>
        <v>0</v>
      </c>
      <c r="AG32" s="279">
        <f>IF('🧾 Factura Comercial'!G36=0,0,'📦 Gastos Importación'!$E$28*(IF('🧾 Tributos Aduana'!$F$6=0,0,'🧾 Factura Comercial'!I36/'🧾 Tributos Aduana'!$F$6))/'🧾 Factura Comercial'!G36)</f>
        <v>0</v>
      </c>
      <c r="AH32" s="279">
        <f>TABLA_BASE[[#This Row],[GASTOS IMP.
UNIT.(US$)]]*TABLA_BASE[[#This Row],[CANTIDAD
(unid.)]]</f>
        <v>0</v>
      </c>
      <c r="AI32" s="281">
        <f>TABLA_BASE[[#This Row],[GASTOS IMP.
UNIT.(US$)]]*'📋 Datos Generales'!$E$19</f>
        <v>0</v>
      </c>
      <c r="AJ32" s="281">
        <f>TABLA_BASE[[#This Row],[GASTOS IMP.
UNIT.(S/.)]]*TABLA_BASE[[#This Row],[CANTIDAD
(unid.)]]</f>
        <v>0</v>
      </c>
      <c r="AK32" s="280">
        <f>'🧮 Costos x Producto'!J36</f>
        <v>0</v>
      </c>
      <c r="AL32" s="278">
        <f>'🧮 Costos x Producto'!K36</f>
        <v>0</v>
      </c>
      <c r="AM32" s="278">
        <f>TABLA_BASE[[#This Row],[C/M UNIT.
(S/.)]]*TABLA_BASE[[#This Row],[CANTIDAD
(unid.)]]</f>
        <v>0</v>
      </c>
      <c r="AN32" s="279">
        <f>IF('🧾 Factura Comercial'!G36=0,0,'🧾 Tributos Aduana'!$F$17*(IF('🧾 Tributos Aduana'!$F$6=0,0,'🧾 Factura Comercial'!I36/'🧾 Tributos Aduana'!$F$6))/'🧾 Factura Comercial'!G36)</f>
        <v>0</v>
      </c>
      <c r="AO32" s="280">
        <f>IF('🧾 Factura Comercial'!G36=0,0,'🏦 Crédito Fiscal'!$C$16*(IF('🧾 Tributos Aduana'!$F$6=0,0,'🧾 Factura Comercial'!I36/'🧾 Tributos Aduana'!$F$6))/'🧾 Factura Comercial'!G36)</f>
        <v>0</v>
      </c>
      <c r="AP32" s="278">
        <f>TABLA_BASE[[#This Row],[CF UNIT.
✅RECUP.
(US$)]]*'📋 Datos Generales'!$E$19</f>
        <v>0</v>
      </c>
      <c r="AQ32" s="278">
        <f>TABLA_BASE[[#This Row],[CF UNIT.
✅RECUP.(S/.)]]*TABLA_BASE[[#This Row],[CANTIDAD
(unid.)]]</f>
        <v>0</v>
      </c>
      <c r="AR32" s="288">
        <f>'💰 Precio de Venta'!G37</f>
        <v>0.4</v>
      </c>
      <c r="AS32" s="278">
        <f>'💰 Precio de Venta'!H37</f>
        <v>0</v>
      </c>
      <c r="AT32" s="278">
        <f>TABLA_BASE[[#This Row],[VALOR VTA.
UNIT.(S/.)]]*TABLA_BASE[[#This Row],[CANTIDAD
(unid.)]]</f>
        <v>0</v>
      </c>
      <c r="AU32" s="281">
        <f>'💰 Precio de Venta'!I37</f>
        <v>0</v>
      </c>
      <c r="AV32" s="278">
        <f>'💰 Precio de Venta'!J37</f>
        <v>0</v>
      </c>
      <c r="AW32" s="278">
        <f>TABLA_BASE[[#This Row],[GANANCIA
UNIT.(S/.)]]*TABLA_BASE[[#This Row],[CANTIDAD
(unid.)]]</f>
        <v>0</v>
      </c>
      <c r="AX32" s="289">
        <f>'💰 Precio de Venta'!K37</f>
        <v>0</v>
      </c>
      <c r="AY32" s="278">
        <f>TABLA_BASE[[#This Row],[GANANCIA
UNIT.(S/.)]]*'🧾 Factura Comercial'!G36</f>
        <v>0</v>
      </c>
      <c r="AZ32" s="277">
        <f>IF(TABLA_BASE[[#This Row],[PRECIO VTA.
c/IGV(S/.)]]=0,0,TABLA_BASE[[#This Row],[GANANCIA
UNIT.(S/.)]]/TABLA_BASE[[#This Row],[PRECIO VTA.
c/IGV(S/.)]])</f>
        <v>0</v>
      </c>
      <c r="BA32" s="277">
        <f>IF(TABLA_BASE[[#This Row],[C/M UNIT.
(S/.)]]=0,0,TABLA_BASE[[#This Row],[GANANCIA
UNIT.(S/.)]]/TABLA_BASE[[#This Row],[C/M UNIT.
(S/.)]])</f>
        <v>0</v>
      </c>
      <c r="BB32" s="274" t="str">
        <f>IF(TABLA_BASE[[#This Row],[MARGEN
%]]&gt;=0.5,"🟢 ALTO",IF(TABLA_BASE[[#This Row],[MARGEN
%]]&gt;=0.3,"🟡 MEDIO","🔴 BAJO"))</f>
        <v>🟡 MEDIO</v>
      </c>
    </row>
    <row r="33" spans="1:54" ht="16.5" hidden="1" thickTop="1" thickBot="1" x14ac:dyDescent="0.3">
      <c r="A33" s="274">
        <f>'🧾 Factura Comercial'!E37</f>
        <v>0</v>
      </c>
      <c r="B33" s="274" t="str">
        <f>'🧾 Factura Comercial'!F37</f>
        <v>Unid.</v>
      </c>
      <c r="C33" s="275">
        <f>'🧾 Factura Comercial'!G37</f>
        <v>0</v>
      </c>
      <c r="D33" s="276">
        <f>'🧾 Factura Comercial'!H37</f>
        <v>0</v>
      </c>
      <c r="E33" s="276">
        <f>'🧾 Factura Comercial'!I37</f>
        <v>0</v>
      </c>
      <c r="F33" s="277">
        <f>IF('🧾 Tributos Aduana'!$F$6=0,0,'🧾 Factura Comercial'!I37/'🧾 Tributos Aduana'!$F$6)</f>
        <v>0</v>
      </c>
      <c r="G33" s="278">
        <f>'🧾 Factura Comercial'!H37*'📋 Datos Generales'!$E$19</f>
        <v>0</v>
      </c>
      <c r="H33" s="278">
        <f>TABLA_BASE[[#This Row],[FOB UNIT.
(S/.)]]*TABLA_BASE[[#This Row],[CANTIDAD
(unid.)]]</f>
        <v>0</v>
      </c>
      <c r="I33" s="280">
        <f>IF('🧾 Tributos Aduana'!$F$6=0,0,'🧾 Tributos Aduana'!$F$17*('🧾 Factura Comercial'!H37/'🧾 Tributos Aduana'!$F$6))</f>
        <v>0</v>
      </c>
      <c r="J33" s="280">
        <f>TABLA_BASE[[#This Row],[ADV UNIT.
(US$)
⚠️COSTO]]*TABLA_BASE[[#This Row],[CANTIDAD
(unid.)]]</f>
        <v>0</v>
      </c>
      <c r="K33" s="279">
        <f>IF('🧾 Tributos Aduana'!$F$6=0,0,'🧾 Tributos Aduana'!$F$18*('🧾 Factura Comercial'!H37/'🧾 Tributos Aduana'!$F$6))</f>
        <v>0</v>
      </c>
      <c r="L33" s="280">
        <f>TABLA_BASE[[#This Row],[IPM UNIT.
(US$)
✅CF]]*TABLA_BASE[[#This Row],[CANTIDAD
(unid.)]]</f>
        <v>0</v>
      </c>
      <c r="M33" s="279">
        <f>IF('🧾 Tributos Aduana'!$F$6=0,0,'🧾 Tributos Aduana'!$F$19*('🧾 Factura Comercial'!H37/'🧾 Tributos Aduana'!$F$6))</f>
        <v>0</v>
      </c>
      <c r="N33" s="280">
        <f>TABLA_BASE[[#This Row],[IGV UNIT.
(US$)
✅CF]]*TABLA_BASE[[#This Row],[CANTIDAD
(unid.)]]</f>
        <v>0</v>
      </c>
      <c r="O33" s="280">
        <f>IF('🧾 Tributos Aduana'!$F$6=0,0,'🧾 Tributos Aduana'!$F$23*('🧾 Factura Comercial'!H37/'🧾 Tributos Aduana'!$F$6))</f>
        <v>0</v>
      </c>
      <c r="P33" s="280">
        <f>TABLA_BASE[[#This Row],[PERCEP.
UNIT.(US$)
✅CF]]*TABLA_BASE[[#This Row],[CANTIDAD
(unid.)]]</f>
        <v>0</v>
      </c>
      <c r="Q33" s="279">
        <f>TABLA_BASE[[#This Row],[ADV UNIT.
(US$)
⚠️COSTO]]+TABLA_BASE[[#This Row],[IPM UNIT.
(US$)
✅CF]]+TABLA_BASE[[#This Row],[IGV UNIT.
(US$)
✅CF]]</f>
        <v>0</v>
      </c>
      <c r="R33" s="280">
        <f>TABLA_BASE[[#This Row],[DEUDA
ADUANERA
UNIT.]]*TABLA_BASE[[#This Row],[CANTIDAD
(unid.)]]</f>
        <v>0</v>
      </c>
      <c r="S33" s="278">
        <f>TABLA_BASE[[#This Row],[DEUDA
ADUANERA
UNIT.]]*'📋 Datos Generales'!$E$19</f>
        <v>0</v>
      </c>
      <c r="T33" s="278">
        <f>TABLA_BASE[[#This Row],[DEUDA
ADUANERA
TOTAL]]*'📋 Datos Generales'!$E$19</f>
        <v>0</v>
      </c>
      <c r="U33" s="281">
        <f>TABLA_BASE[[#This Row],[ADV UNIT.
(US$)
⚠️COSTO]]*'📋 Datos Generales'!$E$19</f>
        <v>0</v>
      </c>
      <c r="V33" s="281">
        <f>TABLA_BASE[[#This Row],[ADV UNIT.
(S/.)]]*TABLA_BASE[[#This Row],[CANTIDAD
(unid.)]]</f>
        <v>0</v>
      </c>
      <c r="W33" s="281">
        <f>TABLA_BASE[[#This Row],[IPM UNIT.
(US$)
✅CF]]*'📋 Datos Generales'!$E$19</f>
        <v>0</v>
      </c>
      <c r="X33" s="281">
        <f>TABLA_BASE[[#This Row],[IPM UNIT.
(S/.)]]*TABLA_BASE[[#This Row],[CANTIDAD
(unid.)]]</f>
        <v>0</v>
      </c>
      <c r="Y33" s="281">
        <f>TABLA_BASE[[#This Row],[IGV UNIT.
(US$)
✅CF]]*'📋 Datos Generales'!$E$19</f>
        <v>0</v>
      </c>
      <c r="Z33" s="281">
        <f>TABLA_BASE[[#This Row],[IGV UNIT.
(S/.)]]*TABLA_BASE[[#This Row],[CANTIDAD
(unid.)]]</f>
        <v>0</v>
      </c>
      <c r="AA33" s="281">
        <f>TABLA_BASE[[#This Row],[PERCEP.
UNIT.(US$)
✅CF]]*'📋 Datos Generales'!$E$19</f>
        <v>0</v>
      </c>
      <c r="AB33" s="281">
        <f>TABLA_BASE[[#This Row],[PERCEP.
UNIT.(S/.)]]*TABLA_BASE[[#This Row],[CANTIDAD
(unid.)]]</f>
        <v>0</v>
      </c>
      <c r="AC33" s="279">
        <f>TABLA_BASE[[#This Row],[ADV UNIT.
(US$)
⚠️COSTO]]+TABLA_BASE[[#This Row],[IPM UNIT.
(US$)
✅CF]]+TABLA_BASE[[#This Row],[IGV UNIT.
(US$)
✅CF]]+TABLA_BASE[[#This Row],[PERCEP.
UNIT.(US$)
✅CF]]</f>
        <v>0</v>
      </c>
      <c r="AD33" s="279">
        <f>TABLA_BASE[[#This Row],[TOTAL PAGO
SUNAT
UNIT.(US$)]]*TABLA_BASE[[#This Row],[CANTIDAD
(unid.)]]</f>
        <v>0</v>
      </c>
      <c r="AE33" s="281">
        <f>TABLA_BASE[[#This Row],[TOTAL PAGO
SUNAT
UNIT.(US$)]]*'📋 Datos Generales'!$E$19</f>
        <v>0</v>
      </c>
      <c r="AF33" s="281">
        <f>TABLA_BASE[[#This Row],[TOTAL TRIB.
UNIT.(S/.)]]*TABLA_BASE[[#This Row],[CANTIDAD
(unid.)]]</f>
        <v>0</v>
      </c>
      <c r="AG33" s="279">
        <f>IF('🧾 Factura Comercial'!G37=0,0,'📦 Gastos Importación'!$E$28*(IF('🧾 Tributos Aduana'!$F$6=0,0,'🧾 Factura Comercial'!I37/'🧾 Tributos Aduana'!$F$6))/'🧾 Factura Comercial'!G37)</f>
        <v>0</v>
      </c>
      <c r="AH33" s="279">
        <f>TABLA_BASE[[#This Row],[GASTOS IMP.
UNIT.(US$)]]*TABLA_BASE[[#This Row],[CANTIDAD
(unid.)]]</f>
        <v>0</v>
      </c>
      <c r="AI33" s="281">
        <f>TABLA_BASE[[#This Row],[GASTOS IMP.
UNIT.(US$)]]*'📋 Datos Generales'!$E$19</f>
        <v>0</v>
      </c>
      <c r="AJ33" s="281">
        <f>TABLA_BASE[[#This Row],[GASTOS IMP.
UNIT.(S/.)]]*TABLA_BASE[[#This Row],[CANTIDAD
(unid.)]]</f>
        <v>0</v>
      </c>
      <c r="AK33" s="280">
        <f>'🧮 Costos x Producto'!J37</f>
        <v>0</v>
      </c>
      <c r="AL33" s="278">
        <f>'🧮 Costos x Producto'!K37</f>
        <v>0</v>
      </c>
      <c r="AM33" s="278">
        <f>TABLA_BASE[[#This Row],[C/M UNIT.
(S/.)]]*TABLA_BASE[[#This Row],[CANTIDAD
(unid.)]]</f>
        <v>0</v>
      </c>
      <c r="AN33" s="279">
        <f>IF('🧾 Factura Comercial'!G37=0,0,'🧾 Tributos Aduana'!$F$17*(IF('🧾 Tributos Aduana'!$F$6=0,0,'🧾 Factura Comercial'!I37/'🧾 Tributos Aduana'!$F$6))/'🧾 Factura Comercial'!G37)</f>
        <v>0</v>
      </c>
      <c r="AO33" s="280">
        <f>IF('🧾 Factura Comercial'!G37=0,0,'🏦 Crédito Fiscal'!$C$16*(IF('🧾 Tributos Aduana'!$F$6=0,0,'🧾 Factura Comercial'!I37/'🧾 Tributos Aduana'!$F$6))/'🧾 Factura Comercial'!G37)</f>
        <v>0</v>
      </c>
      <c r="AP33" s="278">
        <f>TABLA_BASE[[#This Row],[CF UNIT.
✅RECUP.
(US$)]]*'📋 Datos Generales'!$E$19</f>
        <v>0</v>
      </c>
      <c r="AQ33" s="278">
        <f>TABLA_BASE[[#This Row],[CF UNIT.
✅RECUP.(S/.)]]*TABLA_BASE[[#This Row],[CANTIDAD
(unid.)]]</f>
        <v>0</v>
      </c>
      <c r="AR33" s="288">
        <f>'💰 Precio de Venta'!G38</f>
        <v>0.4</v>
      </c>
      <c r="AS33" s="278">
        <f>'💰 Precio de Venta'!H38</f>
        <v>0</v>
      </c>
      <c r="AT33" s="278">
        <f>TABLA_BASE[[#This Row],[VALOR VTA.
UNIT.(S/.)]]*TABLA_BASE[[#This Row],[CANTIDAD
(unid.)]]</f>
        <v>0</v>
      </c>
      <c r="AU33" s="281">
        <f>'💰 Precio de Venta'!I38</f>
        <v>0</v>
      </c>
      <c r="AV33" s="278">
        <f>'💰 Precio de Venta'!J38</f>
        <v>0</v>
      </c>
      <c r="AW33" s="278">
        <f>TABLA_BASE[[#This Row],[GANANCIA
UNIT.(S/.)]]*TABLA_BASE[[#This Row],[CANTIDAD
(unid.)]]</f>
        <v>0</v>
      </c>
      <c r="AX33" s="289">
        <f>'💰 Precio de Venta'!K38</f>
        <v>0</v>
      </c>
      <c r="AY33" s="278">
        <f>TABLA_BASE[[#This Row],[GANANCIA
UNIT.(S/.)]]*'🧾 Factura Comercial'!G37</f>
        <v>0</v>
      </c>
      <c r="AZ33" s="277">
        <f>IF(TABLA_BASE[[#This Row],[PRECIO VTA.
c/IGV(S/.)]]=0,0,TABLA_BASE[[#This Row],[GANANCIA
UNIT.(S/.)]]/TABLA_BASE[[#This Row],[PRECIO VTA.
c/IGV(S/.)]])</f>
        <v>0</v>
      </c>
      <c r="BA33" s="277">
        <f>IF(TABLA_BASE[[#This Row],[C/M UNIT.
(S/.)]]=0,0,TABLA_BASE[[#This Row],[GANANCIA
UNIT.(S/.)]]/TABLA_BASE[[#This Row],[C/M UNIT.
(S/.)]])</f>
        <v>0</v>
      </c>
      <c r="BB33" s="274" t="str">
        <f>IF(TABLA_BASE[[#This Row],[MARGEN
%]]&gt;=0.5,"🟢 ALTO",IF(TABLA_BASE[[#This Row],[MARGEN
%]]&gt;=0.3,"🟡 MEDIO","🔴 BAJO"))</f>
        <v>🟡 MEDIO</v>
      </c>
    </row>
    <row r="34" spans="1:54" ht="16.5" hidden="1" thickTop="1" thickBot="1" x14ac:dyDescent="0.3">
      <c r="A34" s="274">
        <f>'🧾 Factura Comercial'!E38</f>
        <v>0</v>
      </c>
      <c r="B34" s="274" t="str">
        <f>'🧾 Factura Comercial'!F38</f>
        <v>Unid.</v>
      </c>
      <c r="C34" s="275">
        <f>'🧾 Factura Comercial'!G38</f>
        <v>0</v>
      </c>
      <c r="D34" s="276">
        <f>'🧾 Factura Comercial'!H38</f>
        <v>0</v>
      </c>
      <c r="E34" s="276">
        <f>'🧾 Factura Comercial'!I38</f>
        <v>0</v>
      </c>
      <c r="F34" s="277">
        <f>IF('🧾 Tributos Aduana'!$F$6=0,0,'🧾 Factura Comercial'!I38/'🧾 Tributos Aduana'!$F$6)</f>
        <v>0</v>
      </c>
      <c r="G34" s="278">
        <f>'🧾 Factura Comercial'!H38*'📋 Datos Generales'!$E$19</f>
        <v>0</v>
      </c>
      <c r="H34" s="278">
        <f>TABLA_BASE[[#This Row],[FOB UNIT.
(S/.)]]*TABLA_BASE[[#This Row],[CANTIDAD
(unid.)]]</f>
        <v>0</v>
      </c>
      <c r="I34" s="280">
        <f>IF('🧾 Tributos Aduana'!$F$6=0,0,'🧾 Tributos Aduana'!$F$17*('🧾 Factura Comercial'!H38/'🧾 Tributos Aduana'!$F$6))</f>
        <v>0</v>
      </c>
      <c r="J34" s="280">
        <f>TABLA_BASE[[#This Row],[ADV UNIT.
(US$)
⚠️COSTO]]*TABLA_BASE[[#This Row],[CANTIDAD
(unid.)]]</f>
        <v>0</v>
      </c>
      <c r="K34" s="279">
        <f>IF('🧾 Tributos Aduana'!$F$6=0,0,'🧾 Tributos Aduana'!$F$18*('🧾 Factura Comercial'!H38/'🧾 Tributos Aduana'!$F$6))</f>
        <v>0</v>
      </c>
      <c r="L34" s="280">
        <f>TABLA_BASE[[#This Row],[IPM UNIT.
(US$)
✅CF]]*TABLA_BASE[[#This Row],[CANTIDAD
(unid.)]]</f>
        <v>0</v>
      </c>
      <c r="M34" s="279">
        <f>IF('🧾 Tributos Aduana'!$F$6=0,0,'🧾 Tributos Aduana'!$F$19*('🧾 Factura Comercial'!H38/'🧾 Tributos Aduana'!$F$6))</f>
        <v>0</v>
      </c>
      <c r="N34" s="280">
        <f>TABLA_BASE[[#This Row],[IGV UNIT.
(US$)
✅CF]]*TABLA_BASE[[#This Row],[CANTIDAD
(unid.)]]</f>
        <v>0</v>
      </c>
      <c r="O34" s="280">
        <f>IF('🧾 Tributos Aduana'!$F$6=0,0,'🧾 Tributos Aduana'!$F$23*('🧾 Factura Comercial'!H38/'🧾 Tributos Aduana'!$F$6))</f>
        <v>0</v>
      </c>
      <c r="P34" s="280">
        <f>TABLA_BASE[[#This Row],[PERCEP.
UNIT.(US$)
✅CF]]*TABLA_BASE[[#This Row],[CANTIDAD
(unid.)]]</f>
        <v>0</v>
      </c>
      <c r="Q34" s="279">
        <f>TABLA_BASE[[#This Row],[ADV UNIT.
(US$)
⚠️COSTO]]+TABLA_BASE[[#This Row],[IPM UNIT.
(US$)
✅CF]]+TABLA_BASE[[#This Row],[IGV UNIT.
(US$)
✅CF]]</f>
        <v>0</v>
      </c>
      <c r="R34" s="280">
        <f>TABLA_BASE[[#This Row],[DEUDA
ADUANERA
UNIT.]]*TABLA_BASE[[#This Row],[CANTIDAD
(unid.)]]</f>
        <v>0</v>
      </c>
      <c r="S34" s="278">
        <f>TABLA_BASE[[#This Row],[DEUDA
ADUANERA
UNIT.]]*'📋 Datos Generales'!$E$19</f>
        <v>0</v>
      </c>
      <c r="T34" s="278">
        <f>TABLA_BASE[[#This Row],[DEUDA
ADUANERA
TOTAL]]*'📋 Datos Generales'!$E$19</f>
        <v>0</v>
      </c>
      <c r="U34" s="281">
        <f>TABLA_BASE[[#This Row],[ADV UNIT.
(US$)
⚠️COSTO]]*'📋 Datos Generales'!$E$19</f>
        <v>0</v>
      </c>
      <c r="V34" s="281">
        <f>TABLA_BASE[[#This Row],[ADV UNIT.
(S/.)]]*TABLA_BASE[[#This Row],[CANTIDAD
(unid.)]]</f>
        <v>0</v>
      </c>
      <c r="W34" s="281">
        <f>TABLA_BASE[[#This Row],[IPM UNIT.
(US$)
✅CF]]*'📋 Datos Generales'!$E$19</f>
        <v>0</v>
      </c>
      <c r="X34" s="281">
        <f>TABLA_BASE[[#This Row],[IPM UNIT.
(S/.)]]*TABLA_BASE[[#This Row],[CANTIDAD
(unid.)]]</f>
        <v>0</v>
      </c>
      <c r="Y34" s="281">
        <f>TABLA_BASE[[#This Row],[IGV UNIT.
(US$)
✅CF]]*'📋 Datos Generales'!$E$19</f>
        <v>0</v>
      </c>
      <c r="Z34" s="281">
        <f>TABLA_BASE[[#This Row],[IGV UNIT.
(S/.)]]*TABLA_BASE[[#This Row],[CANTIDAD
(unid.)]]</f>
        <v>0</v>
      </c>
      <c r="AA34" s="281">
        <f>TABLA_BASE[[#This Row],[PERCEP.
UNIT.(US$)
✅CF]]*'📋 Datos Generales'!$E$19</f>
        <v>0</v>
      </c>
      <c r="AB34" s="281">
        <f>TABLA_BASE[[#This Row],[PERCEP.
UNIT.(S/.)]]*TABLA_BASE[[#This Row],[CANTIDAD
(unid.)]]</f>
        <v>0</v>
      </c>
      <c r="AC34" s="279">
        <f>TABLA_BASE[[#This Row],[ADV UNIT.
(US$)
⚠️COSTO]]+TABLA_BASE[[#This Row],[IPM UNIT.
(US$)
✅CF]]+TABLA_BASE[[#This Row],[IGV UNIT.
(US$)
✅CF]]+TABLA_BASE[[#This Row],[PERCEP.
UNIT.(US$)
✅CF]]</f>
        <v>0</v>
      </c>
      <c r="AD34" s="279">
        <f>TABLA_BASE[[#This Row],[TOTAL PAGO
SUNAT
UNIT.(US$)]]*TABLA_BASE[[#This Row],[CANTIDAD
(unid.)]]</f>
        <v>0</v>
      </c>
      <c r="AE34" s="281">
        <f>TABLA_BASE[[#This Row],[TOTAL PAGO
SUNAT
UNIT.(US$)]]*'📋 Datos Generales'!$E$19</f>
        <v>0</v>
      </c>
      <c r="AF34" s="281">
        <f>TABLA_BASE[[#This Row],[TOTAL TRIB.
UNIT.(S/.)]]*TABLA_BASE[[#This Row],[CANTIDAD
(unid.)]]</f>
        <v>0</v>
      </c>
      <c r="AG34" s="279">
        <f>IF('🧾 Factura Comercial'!G38=0,0,'📦 Gastos Importación'!$E$28*(IF('🧾 Tributos Aduana'!$F$6=0,0,'🧾 Factura Comercial'!I38/'🧾 Tributos Aduana'!$F$6))/'🧾 Factura Comercial'!G38)</f>
        <v>0</v>
      </c>
      <c r="AH34" s="279">
        <f>TABLA_BASE[[#This Row],[GASTOS IMP.
UNIT.(US$)]]*TABLA_BASE[[#This Row],[CANTIDAD
(unid.)]]</f>
        <v>0</v>
      </c>
      <c r="AI34" s="281">
        <f>TABLA_BASE[[#This Row],[GASTOS IMP.
UNIT.(US$)]]*'📋 Datos Generales'!$E$19</f>
        <v>0</v>
      </c>
      <c r="AJ34" s="281">
        <f>TABLA_BASE[[#This Row],[GASTOS IMP.
UNIT.(S/.)]]*TABLA_BASE[[#This Row],[CANTIDAD
(unid.)]]</f>
        <v>0</v>
      </c>
      <c r="AK34" s="280">
        <f>'🧮 Costos x Producto'!J38</f>
        <v>0</v>
      </c>
      <c r="AL34" s="278">
        <f>'🧮 Costos x Producto'!K38</f>
        <v>0</v>
      </c>
      <c r="AM34" s="278">
        <f>TABLA_BASE[[#This Row],[C/M UNIT.
(S/.)]]*TABLA_BASE[[#This Row],[CANTIDAD
(unid.)]]</f>
        <v>0</v>
      </c>
      <c r="AN34" s="279">
        <f>IF('🧾 Factura Comercial'!G38=0,0,'🧾 Tributos Aduana'!$F$17*(IF('🧾 Tributos Aduana'!$F$6=0,0,'🧾 Factura Comercial'!I38/'🧾 Tributos Aduana'!$F$6))/'🧾 Factura Comercial'!G38)</f>
        <v>0</v>
      </c>
      <c r="AO34" s="280">
        <f>IF('🧾 Factura Comercial'!G38=0,0,'🏦 Crédito Fiscal'!$C$16*(IF('🧾 Tributos Aduana'!$F$6=0,0,'🧾 Factura Comercial'!I38/'🧾 Tributos Aduana'!$F$6))/'🧾 Factura Comercial'!G38)</f>
        <v>0</v>
      </c>
      <c r="AP34" s="278">
        <f>TABLA_BASE[[#This Row],[CF UNIT.
✅RECUP.
(US$)]]*'📋 Datos Generales'!$E$19</f>
        <v>0</v>
      </c>
      <c r="AQ34" s="278">
        <f>TABLA_BASE[[#This Row],[CF UNIT.
✅RECUP.(S/.)]]*TABLA_BASE[[#This Row],[CANTIDAD
(unid.)]]</f>
        <v>0</v>
      </c>
      <c r="AR34" s="288">
        <f>'💰 Precio de Venta'!G39</f>
        <v>0.4</v>
      </c>
      <c r="AS34" s="278">
        <f>'💰 Precio de Venta'!H39</f>
        <v>0</v>
      </c>
      <c r="AT34" s="278">
        <f>TABLA_BASE[[#This Row],[VALOR VTA.
UNIT.(S/.)]]*TABLA_BASE[[#This Row],[CANTIDAD
(unid.)]]</f>
        <v>0</v>
      </c>
      <c r="AU34" s="281">
        <f>'💰 Precio de Venta'!I39</f>
        <v>0</v>
      </c>
      <c r="AV34" s="278">
        <f>'💰 Precio de Venta'!J39</f>
        <v>0</v>
      </c>
      <c r="AW34" s="278">
        <f>TABLA_BASE[[#This Row],[GANANCIA
UNIT.(S/.)]]*TABLA_BASE[[#This Row],[CANTIDAD
(unid.)]]</f>
        <v>0</v>
      </c>
      <c r="AX34" s="289">
        <f>'💰 Precio de Venta'!K39</f>
        <v>0</v>
      </c>
      <c r="AY34" s="278">
        <f>TABLA_BASE[[#This Row],[GANANCIA
UNIT.(S/.)]]*'🧾 Factura Comercial'!G38</f>
        <v>0</v>
      </c>
      <c r="AZ34" s="277">
        <f>IF(TABLA_BASE[[#This Row],[PRECIO VTA.
c/IGV(S/.)]]=0,0,TABLA_BASE[[#This Row],[GANANCIA
UNIT.(S/.)]]/TABLA_BASE[[#This Row],[PRECIO VTA.
c/IGV(S/.)]])</f>
        <v>0</v>
      </c>
      <c r="BA34" s="277">
        <f>IF(TABLA_BASE[[#This Row],[C/M UNIT.
(S/.)]]=0,0,TABLA_BASE[[#This Row],[GANANCIA
UNIT.(S/.)]]/TABLA_BASE[[#This Row],[C/M UNIT.
(S/.)]])</f>
        <v>0</v>
      </c>
      <c r="BB34" s="274" t="str">
        <f>IF(TABLA_BASE[[#This Row],[MARGEN
%]]&gt;=0.5,"🟢 ALTO",IF(TABLA_BASE[[#This Row],[MARGEN
%]]&gt;=0.3,"🟡 MEDIO","🔴 BAJO"))</f>
        <v>🟡 MEDIO</v>
      </c>
    </row>
    <row r="35" spans="1:54" ht="16.5" hidden="1" thickTop="1" thickBot="1" x14ac:dyDescent="0.3">
      <c r="A35" s="274">
        <f>'🧾 Factura Comercial'!E39</f>
        <v>0</v>
      </c>
      <c r="B35" s="274" t="str">
        <f>'🧾 Factura Comercial'!F39</f>
        <v>Unid.</v>
      </c>
      <c r="C35" s="275">
        <f>'🧾 Factura Comercial'!G39</f>
        <v>0</v>
      </c>
      <c r="D35" s="276">
        <f>'🧾 Factura Comercial'!H39</f>
        <v>0</v>
      </c>
      <c r="E35" s="276">
        <f>'🧾 Factura Comercial'!I39</f>
        <v>0</v>
      </c>
      <c r="F35" s="277">
        <f>IF('🧾 Tributos Aduana'!$F$6=0,0,'🧾 Factura Comercial'!I39/'🧾 Tributos Aduana'!$F$6)</f>
        <v>0</v>
      </c>
      <c r="G35" s="278">
        <f>'🧾 Factura Comercial'!H39*'📋 Datos Generales'!$E$19</f>
        <v>0</v>
      </c>
      <c r="H35" s="278">
        <f>TABLA_BASE[[#This Row],[FOB UNIT.
(S/.)]]*TABLA_BASE[[#This Row],[CANTIDAD
(unid.)]]</f>
        <v>0</v>
      </c>
      <c r="I35" s="280">
        <f>IF('🧾 Tributos Aduana'!$F$6=0,0,'🧾 Tributos Aduana'!$F$17*('🧾 Factura Comercial'!H39/'🧾 Tributos Aduana'!$F$6))</f>
        <v>0</v>
      </c>
      <c r="J35" s="280">
        <f>TABLA_BASE[[#This Row],[ADV UNIT.
(US$)
⚠️COSTO]]*TABLA_BASE[[#This Row],[CANTIDAD
(unid.)]]</f>
        <v>0</v>
      </c>
      <c r="K35" s="279">
        <f>IF('🧾 Tributos Aduana'!$F$6=0,0,'🧾 Tributos Aduana'!$F$18*('🧾 Factura Comercial'!H39/'🧾 Tributos Aduana'!$F$6))</f>
        <v>0</v>
      </c>
      <c r="L35" s="280">
        <f>TABLA_BASE[[#This Row],[IPM UNIT.
(US$)
✅CF]]*TABLA_BASE[[#This Row],[CANTIDAD
(unid.)]]</f>
        <v>0</v>
      </c>
      <c r="M35" s="279">
        <f>IF('🧾 Tributos Aduana'!$F$6=0,0,'🧾 Tributos Aduana'!$F$19*('🧾 Factura Comercial'!H39/'🧾 Tributos Aduana'!$F$6))</f>
        <v>0</v>
      </c>
      <c r="N35" s="280">
        <f>TABLA_BASE[[#This Row],[IGV UNIT.
(US$)
✅CF]]*TABLA_BASE[[#This Row],[CANTIDAD
(unid.)]]</f>
        <v>0</v>
      </c>
      <c r="O35" s="280">
        <f>IF('🧾 Tributos Aduana'!$F$6=0,0,'🧾 Tributos Aduana'!$F$23*('🧾 Factura Comercial'!H39/'🧾 Tributos Aduana'!$F$6))</f>
        <v>0</v>
      </c>
      <c r="P35" s="280">
        <f>TABLA_BASE[[#This Row],[PERCEP.
UNIT.(US$)
✅CF]]*TABLA_BASE[[#This Row],[CANTIDAD
(unid.)]]</f>
        <v>0</v>
      </c>
      <c r="Q35" s="279">
        <f>TABLA_BASE[[#This Row],[ADV UNIT.
(US$)
⚠️COSTO]]+TABLA_BASE[[#This Row],[IPM UNIT.
(US$)
✅CF]]+TABLA_BASE[[#This Row],[IGV UNIT.
(US$)
✅CF]]</f>
        <v>0</v>
      </c>
      <c r="R35" s="280">
        <f>TABLA_BASE[[#This Row],[DEUDA
ADUANERA
UNIT.]]*TABLA_BASE[[#This Row],[CANTIDAD
(unid.)]]</f>
        <v>0</v>
      </c>
      <c r="S35" s="278">
        <f>TABLA_BASE[[#This Row],[DEUDA
ADUANERA
UNIT.]]*'📋 Datos Generales'!$E$19</f>
        <v>0</v>
      </c>
      <c r="T35" s="278">
        <f>TABLA_BASE[[#This Row],[DEUDA
ADUANERA
TOTAL]]*'📋 Datos Generales'!$E$19</f>
        <v>0</v>
      </c>
      <c r="U35" s="281">
        <f>TABLA_BASE[[#This Row],[ADV UNIT.
(US$)
⚠️COSTO]]*'📋 Datos Generales'!$E$19</f>
        <v>0</v>
      </c>
      <c r="V35" s="281">
        <f>TABLA_BASE[[#This Row],[ADV UNIT.
(S/.)]]*TABLA_BASE[[#This Row],[CANTIDAD
(unid.)]]</f>
        <v>0</v>
      </c>
      <c r="W35" s="281">
        <f>TABLA_BASE[[#This Row],[IPM UNIT.
(US$)
✅CF]]*'📋 Datos Generales'!$E$19</f>
        <v>0</v>
      </c>
      <c r="X35" s="281">
        <f>TABLA_BASE[[#This Row],[IPM UNIT.
(S/.)]]*TABLA_BASE[[#This Row],[CANTIDAD
(unid.)]]</f>
        <v>0</v>
      </c>
      <c r="Y35" s="281">
        <f>TABLA_BASE[[#This Row],[IGV UNIT.
(US$)
✅CF]]*'📋 Datos Generales'!$E$19</f>
        <v>0</v>
      </c>
      <c r="Z35" s="281">
        <f>TABLA_BASE[[#This Row],[IGV UNIT.
(S/.)]]*TABLA_BASE[[#This Row],[CANTIDAD
(unid.)]]</f>
        <v>0</v>
      </c>
      <c r="AA35" s="281">
        <f>TABLA_BASE[[#This Row],[PERCEP.
UNIT.(US$)
✅CF]]*'📋 Datos Generales'!$E$19</f>
        <v>0</v>
      </c>
      <c r="AB35" s="281">
        <f>TABLA_BASE[[#This Row],[PERCEP.
UNIT.(S/.)]]*TABLA_BASE[[#This Row],[CANTIDAD
(unid.)]]</f>
        <v>0</v>
      </c>
      <c r="AC35" s="279">
        <f>TABLA_BASE[[#This Row],[ADV UNIT.
(US$)
⚠️COSTO]]+TABLA_BASE[[#This Row],[IPM UNIT.
(US$)
✅CF]]+TABLA_BASE[[#This Row],[IGV UNIT.
(US$)
✅CF]]+TABLA_BASE[[#This Row],[PERCEP.
UNIT.(US$)
✅CF]]</f>
        <v>0</v>
      </c>
      <c r="AD35" s="279">
        <f>TABLA_BASE[[#This Row],[TOTAL PAGO
SUNAT
UNIT.(US$)]]*TABLA_BASE[[#This Row],[CANTIDAD
(unid.)]]</f>
        <v>0</v>
      </c>
      <c r="AE35" s="281">
        <f>TABLA_BASE[[#This Row],[TOTAL PAGO
SUNAT
UNIT.(US$)]]*'📋 Datos Generales'!$E$19</f>
        <v>0</v>
      </c>
      <c r="AF35" s="281">
        <f>TABLA_BASE[[#This Row],[TOTAL TRIB.
UNIT.(S/.)]]*TABLA_BASE[[#This Row],[CANTIDAD
(unid.)]]</f>
        <v>0</v>
      </c>
      <c r="AG35" s="279">
        <f>IF('🧾 Factura Comercial'!G39=0,0,'📦 Gastos Importación'!$E$28*(IF('🧾 Tributos Aduana'!$F$6=0,0,'🧾 Factura Comercial'!I39/'🧾 Tributos Aduana'!$F$6))/'🧾 Factura Comercial'!G39)</f>
        <v>0</v>
      </c>
      <c r="AH35" s="279">
        <f>TABLA_BASE[[#This Row],[GASTOS IMP.
UNIT.(US$)]]*TABLA_BASE[[#This Row],[CANTIDAD
(unid.)]]</f>
        <v>0</v>
      </c>
      <c r="AI35" s="281">
        <f>TABLA_BASE[[#This Row],[GASTOS IMP.
UNIT.(US$)]]*'📋 Datos Generales'!$E$19</f>
        <v>0</v>
      </c>
      <c r="AJ35" s="281">
        <f>TABLA_BASE[[#This Row],[GASTOS IMP.
UNIT.(S/.)]]*TABLA_BASE[[#This Row],[CANTIDAD
(unid.)]]</f>
        <v>0</v>
      </c>
      <c r="AK35" s="280">
        <f>'🧮 Costos x Producto'!J39</f>
        <v>0</v>
      </c>
      <c r="AL35" s="278">
        <f>'🧮 Costos x Producto'!K39</f>
        <v>0</v>
      </c>
      <c r="AM35" s="278">
        <f>TABLA_BASE[[#This Row],[C/M UNIT.
(S/.)]]*TABLA_BASE[[#This Row],[CANTIDAD
(unid.)]]</f>
        <v>0</v>
      </c>
      <c r="AN35" s="279">
        <f>IF('🧾 Factura Comercial'!G39=0,0,'🧾 Tributos Aduana'!$F$17*(IF('🧾 Tributos Aduana'!$F$6=0,0,'🧾 Factura Comercial'!I39/'🧾 Tributos Aduana'!$F$6))/'🧾 Factura Comercial'!G39)</f>
        <v>0</v>
      </c>
      <c r="AO35" s="280">
        <f>IF('🧾 Factura Comercial'!G39=0,0,'🏦 Crédito Fiscal'!$C$16*(IF('🧾 Tributos Aduana'!$F$6=0,0,'🧾 Factura Comercial'!I39/'🧾 Tributos Aduana'!$F$6))/'🧾 Factura Comercial'!G39)</f>
        <v>0</v>
      </c>
      <c r="AP35" s="278">
        <f>TABLA_BASE[[#This Row],[CF UNIT.
✅RECUP.
(US$)]]*'📋 Datos Generales'!$E$19</f>
        <v>0</v>
      </c>
      <c r="AQ35" s="278">
        <f>TABLA_BASE[[#This Row],[CF UNIT.
✅RECUP.(S/.)]]*TABLA_BASE[[#This Row],[CANTIDAD
(unid.)]]</f>
        <v>0</v>
      </c>
      <c r="AR35" s="288">
        <f>'💰 Precio de Venta'!G40</f>
        <v>0.4</v>
      </c>
      <c r="AS35" s="278">
        <f>'💰 Precio de Venta'!H40</f>
        <v>0</v>
      </c>
      <c r="AT35" s="278">
        <f>TABLA_BASE[[#This Row],[VALOR VTA.
UNIT.(S/.)]]*TABLA_BASE[[#This Row],[CANTIDAD
(unid.)]]</f>
        <v>0</v>
      </c>
      <c r="AU35" s="281">
        <f>'💰 Precio de Venta'!I40</f>
        <v>0</v>
      </c>
      <c r="AV35" s="278">
        <f>'💰 Precio de Venta'!J40</f>
        <v>0</v>
      </c>
      <c r="AW35" s="278">
        <f>TABLA_BASE[[#This Row],[GANANCIA
UNIT.(S/.)]]*TABLA_BASE[[#This Row],[CANTIDAD
(unid.)]]</f>
        <v>0</v>
      </c>
      <c r="AX35" s="289">
        <f>'💰 Precio de Venta'!K40</f>
        <v>0</v>
      </c>
      <c r="AY35" s="278">
        <f>TABLA_BASE[[#This Row],[GANANCIA
UNIT.(S/.)]]*'🧾 Factura Comercial'!G39</f>
        <v>0</v>
      </c>
      <c r="AZ35" s="277">
        <f>IF(TABLA_BASE[[#This Row],[PRECIO VTA.
c/IGV(S/.)]]=0,0,TABLA_BASE[[#This Row],[GANANCIA
UNIT.(S/.)]]/TABLA_BASE[[#This Row],[PRECIO VTA.
c/IGV(S/.)]])</f>
        <v>0</v>
      </c>
      <c r="BA35" s="277">
        <f>IF(TABLA_BASE[[#This Row],[C/M UNIT.
(S/.)]]=0,0,TABLA_BASE[[#This Row],[GANANCIA
UNIT.(S/.)]]/TABLA_BASE[[#This Row],[C/M UNIT.
(S/.)]])</f>
        <v>0</v>
      </c>
      <c r="BB35" s="274" t="str">
        <f>IF(TABLA_BASE[[#This Row],[MARGEN
%]]&gt;=0.5,"🟢 ALTO",IF(TABLA_BASE[[#This Row],[MARGEN
%]]&gt;=0.3,"🟡 MEDIO","🔴 BAJO"))</f>
        <v>🟡 MEDIO</v>
      </c>
    </row>
    <row r="36" spans="1:54" ht="16.5" hidden="1" thickTop="1" thickBot="1" x14ac:dyDescent="0.3">
      <c r="A36" s="274">
        <f>'🧾 Factura Comercial'!E40</f>
        <v>0</v>
      </c>
      <c r="B36" s="274" t="str">
        <f>'🧾 Factura Comercial'!F40</f>
        <v>Unid.</v>
      </c>
      <c r="C36" s="275">
        <f>'🧾 Factura Comercial'!G40</f>
        <v>0</v>
      </c>
      <c r="D36" s="276">
        <f>'🧾 Factura Comercial'!H40</f>
        <v>0</v>
      </c>
      <c r="E36" s="276">
        <f>'🧾 Factura Comercial'!I40</f>
        <v>0</v>
      </c>
      <c r="F36" s="277">
        <f>IF('🧾 Tributos Aduana'!$F$6=0,0,'🧾 Factura Comercial'!I40/'🧾 Tributos Aduana'!$F$6)</f>
        <v>0</v>
      </c>
      <c r="G36" s="278">
        <f>'🧾 Factura Comercial'!H40*'📋 Datos Generales'!$E$19</f>
        <v>0</v>
      </c>
      <c r="H36" s="278">
        <f>TABLA_BASE[[#This Row],[FOB UNIT.
(S/.)]]*TABLA_BASE[[#This Row],[CANTIDAD
(unid.)]]</f>
        <v>0</v>
      </c>
      <c r="I36" s="280">
        <f>IF('🧾 Tributos Aduana'!$F$6=0,0,'🧾 Tributos Aduana'!$F$17*('🧾 Factura Comercial'!H40/'🧾 Tributos Aduana'!$F$6))</f>
        <v>0</v>
      </c>
      <c r="J36" s="280">
        <f>TABLA_BASE[[#This Row],[ADV UNIT.
(US$)
⚠️COSTO]]*TABLA_BASE[[#This Row],[CANTIDAD
(unid.)]]</f>
        <v>0</v>
      </c>
      <c r="K36" s="279">
        <f>IF('🧾 Tributos Aduana'!$F$6=0,0,'🧾 Tributos Aduana'!$F$18*('🧾 Factura Comercial'!H40/'🧾 Tributos Aduana'!$F$6))</f>
        <v>0</v>
      </c>
      <c r="L36" s="280">
        <f>TABLA_BASE[[#This Row],[IPM UNIT.
(US$)
✅CF]]*TABLA_BASE[[#This Row],[CANTIDAD
(unid.)]]</f>
        <v>0</v>
      </c>
      <c r="M36" s="279">
        <f>IF('🧾 Tributos Aduana'!$F$6=0,0,'🧾 Tributos Aduana'!$F$19*('🧾 Factura Comercial'!H40/'🧾 Tributos Aduana'!$F$6))</f>
        <v>0</v>
      </c>
      <c r="N36" s="280">
        <f>TABLA_BASE[[#This Row],[IGV UNIT.
(US$)
✅CF]]*TABLA_BASE[[#This Row],[CANTIDAD
(unid.)]]</f>
        <v>0</v>
      </c>
      <c r="O36" s="280">
        <f>IF('🧾 Tributos Aduana'!$F$6=0,0,'🧾 Tributos Aduana'!$F$23*('🧾 Factura Comercial'!H40/'🧾 Tributos Aduana'!$F$6))</f>
        <v>0</v>
      </c>
      <c r="P36" s="280">
        <f>TABLA_BASE[[#This Row],[PERCEP.
UNIT.(US$)
✅CF]]*TABLA_BASE[[#This Row],[CANTIDAD
(unid.)]]</f>
        <v>0</v>
      </c>
      <c r="Q36" s="279">
        <f>TABLA_BASE[[#This Row],[ADV UNIT.
(US$)
⚠️COSTO]]+TABLA_BASE[[#This Row],[IPM UNIT.
(US$)
✅CF]]+TABLA_BASE[[#This Row],[IGV UNIT.
(US$)
✅CF]]</f>
        <v>0</v>
      </c>
      <c r="R36" s="280">
        <f>TABLA_BASE[[#This Row],[DEUDA
ADUANERA
UNIT.]]*TABLA_BASE[[#This Row],[CANTIDAD
(unid.)]]</f>
        <v>0</v>
      </c>
      <c r="S36" s="278">
        <f>TABLA_BASE[[#This Row],[DEUDA
ADUANERA
UNIT.]]*'📋 Datos Generales'!$E$19</f>
        <v>0</v>
      </c>
      <c r="T36" s="278">
        <f>TABLA_BASE[[#This Row],[DEUDA
ADUANERA
TOTAL]]*'📋 Datos Generales'!$E$19</f>
        <v>0</v>
      </c>
      <c r="U36" s="281">
        <f>TABLA_BASE[[#This Row],[ADV UNIT.
(US$)
⚠️COSTO]]*'📋 Datos Generales'!$E$19</f>
        <v>0</v>
      </c>
      <c r="V36" s="281">
        <f>TABLA_BASE[[#This Row],[ADV UNIT.
(S/.)]]*TABLA_BASE[[#This Row],[CANTIDAD
(unid.)]]</f>
        <v>0</v>
      </c>
      <c r="W36" s="281">
        <f>TABLA_BASE[[#This Row],[IPM UNIT.
(US$)
✅CF]]*'📋 Datos Generales'!$E$19</f>
        <v>0</v>
      </c>
      <c r="X36" s="281">
        <f>TABLA_BASE[[#This Row],[IPM UNIT.
(S/.)]]*TABLA_BASE[[#This Row],[CANTIDAD
(unid.)]]</f>
        <v>0</v>
      </c>
      <c r="Y36" s="281">
        <f>TABLA_BASE[[#This Row],[IGV UNIT.
(US$)
✅CF]]*'📋 Datos Generales'!$E$19</f>
        <v>0</v>
      </c>
      <c r="Z36" s="281">
        <f>TABLA_BASE[[#This Row],[IGV UNIT.
(S/.)]]*TABLA_BASE[[#This Row],[CANTIDAD
(unid.)]]</f>
        <v>0</v>
      </c>
      <c r="AA36" s="281">
        <f>TABLA_BASE[[#This Row],[PERCEP.
UNIT.(US$)
✅CF]]*'📋 Datos Generales'!$E$19</f>
        <v>0</v>
      </c>
      <c r="AB36" s="281">
        <f>TABLA_BASE[[#This Row],[PERCEP.
UNIT.(S/.)]]*TABLA_BASE[[#This Row],[CANTIDAD
(unid.)]]</f>
        <v>0</v>
      </c>
      <c r="AC36" s="279">
        <f>TABLA_BASE[[#This Row],[ADV UNIT.
(US$)
⚠️COSTO]]+TABLA_BASE[[#This Row],[IPM UNIT.
(US$)
✅CF]]+TABLA_BASE[[#This Row],[IGV UNIT.
(US$)
✅CF]]+TABLA_BASE[[#This Row],[PERCEP.
UNIT.(US$)
✅CF]]</f>
        <v>0</v>
      </c>
      <c r="AD36" s="279">
        <f>TABLA_BASE[[#This Row],[TOTAL PAGO
SUNAT
UNIT.(US$)]]*TABLA_BASE[[#This Row],[CANTIDAD
(unid.)]]</f>
        <v>0</v>
      </c>
      <c r="AE36" s="281">
        <f>TABLA_BASE[[#This Row],[TOTAL PAGO
SUNAT
UNIT.(US$)]]*'📋 Datos Generales'!$E$19</f>
        <v>0</v>
      </c>
      <c r="AF36" s="281">
        <f>TABLA_BASE[[#This Row],[TOTAL TRIB.
UNIT.(S/.)]]*TABLA_BASE[[#This Row],[CANTIDAD
(unid.)]]</f>
        <v>0</v>
      </c>
      <c r="AG36" s="279">
        <f>IF('🧾 Factura Comercial'!G40=0,0,'📦 Gastos Importación'!$E$28*(IF('🧾 Tributos Aduana'!$F$6=0,0,'🧾 Factura Comercial'!I40/'🧾 Tributos Aduana'!$F$6))/'🧾 Factura Comercial'!G40)</f>
        <v>0</v>
      </c>
      <c r="AH36" s="279">
        <f>TABLA_BASE[[#This Row],[GASTOS IMP.
UNIT.(US$)]]*TABLA_BASE[[#This Row],[CANTIDAD
(unid.)]]</f>
        <v>0</v>
      </c>
      <c r="AI36" s="281">
        <f>TABLA_BASE[[#This Row],[GASTOS IMP.
UNIT.(US$)]]*'📋 Datos Generales'!$E$19</f>
        <v>0</v>
      </c>
      <c r="AJ36" s="281">
        <f>TABLA_BASE[[#This Row],[GASTOS IMP.
UNIT.(S/.)]]*TABLA_BASE[[#This Row],[CANTIDAD
(unid.)]]</f>
        <v>0</v>
      </c>
      <c r="AK36" s="280">
        <f>'🧮 Costos x Producto'!J40</f>
        <v>0</v>
      </c>
      <c r="AL36" s="278">
        <f>'🧮 Costos x Producto'!K40</f>
        <v>0</v>
      </c>
      <c r="AM36" s="278">
        <f>TABLA_BASE[[#This Row],[C/M UNIT.
(S/.)]]*TABLA_BASE[[#This Row],[CANTIDAD
(unid.)]]</f>
        <v>0</v>
      </c>
      <c r="AN36" s="279">
        <f>IF('🧾 Factura Comercial'!G40=0,0,'🧾 Tributos Aduana'!$F$17*(IF('🧾 Tributos Aduana'!$F$6=0,0,'🧾 Factura Comercial'!I40/'🧾 Tributos Aduana'!$F$6))/'🧾 Factura Comercial'!G40)</f>
        <v>0</v>
      </c>
      <c r="AO36" s="280">
        <f>IF('🧾 Factura Comercial'!G40=0,0,'🏦 Crédito Fiscal'!$C$16*(IF('🧾 Tributos Aduana'!$F$6=0,0,'🧾 Factura Comercial'!I40/'🧾 Tributos Aduana'!$F$6))/'🧾 Factura Comercial'!G40)</f>
        <v>0</v>
      </c>
      <c r="AP36" s="278">
        <f>TABLA_BASE[[#This Row],[CF UNIT.
✅RECUP.
(US$)]]*'📋 Datos Generales'!$E$19</f>
        <v>0</v>
      </c>
      <c r="AQ36" s="278">
        <f>TABLA_BASE[[#This Row],[CF UNIT.
✅RECUP.(S/.)]]*TABLA_BASE[[#This Row],[CANTIDAD
(unid.)]]</f>
        <v>0</v>
      </c>
      <c r="AR36" s="288">
        <f>'💰 Precio de Venta'!G41</f>
        <v>0.4</v>
      </c>
      <c r="AS36" s="278">
        <f>'💰 Precio de Venta'!H41</f>
        <v>0</v>
      </c>
      <c r="AT36" s="278">
        <f>TABLA_BASE[[#This Row],[VALOR VTA.
UNIT.(S/.)]]*TABLA_BASE[[#This Row],[CANTIDAD
(unid.)]]</f>
        <v>0</v>
      </c>
      <c r="AU36" s="281">
        <f>'💰 Precio de Venta'!I41</f>
        <v>0</v>
      </c>
      <c r="AV36" s="278">
        <f>'💰 Precio de Venta'!J41</f>
        <v>0</v>
      </c>
      <c r="AW36" s="278">
        <f>TABLA_BASE[[#This Row],[GANANCIA
UNIT.(S/.)]]*TABLA_BASE[[#This Row],[CANTIDAD
(unid.)]]</f>
        <v>0</v>
      </c>
      <c r="AX36" s="289">
        <f>'💰 Precio de Venta'!K41</f>
        <v>0</v>
      </c>
      <c r="AY36" s="278">
        <f>TABLA_BASE[[#This Row],[GANANCIA
UNIT.(S/.)]]*'🧾 Factura Comercial'!G40</f>
        <v>0</v>
      </c>
      <c r="AZ36" s="277">
        <f>IF(TABLA_BASE[[#This Row],[PRECIO VTA.
c/IGV(S/.)]]=0,0,TABLA_BASE[[#This Row],[GANANCIA
UNIT.(S/.)]]/TABLA_BASE[[#This Row],[PRECIO VTA.
c/IGV(S/.)]])</f>
        <v>0</v>
      </c>
      <c r="BA36" s="277">
        <f>IF(TABLA_BASE[[#This Row],[C/M UNIT.
(S/.)]]=0,0,TABLA_BASE[[#This Row],[GANANCIA
UNIT.(S/.)]]/TABLA_BASE[[#This Row],[C/M UNIT.
(S/.)]])</f>
        <v>0</v>
      </c>
      <c r="BB36" s="274" t="str">
        <f>IF(TABLA_BASE[[#This Row],[MARGEN
%]]&gt;=0.5,"🟢 ALTO",IF(TABLA_BASE[[#This Row],[MARGEN
%]]&gt;=0.3,"🟡 MEDIO","🔴 BAJO"))</f>
        <v>🟡 MEDIO</v>
      </c>
    </row>
    <row r="37" spans="1:54" ht="16.5" hidden="1" thickTop="1" thickBot="1" x14ac:dyDescent="0.3">
      <c r="A37" s="274">
        <f>'🧾 Factura Comercial'!E41</f>
        <v>0</v>
      </c>
      <c r="B37" s="274" t="str">
        <f>'🧾 Factura Comercial'!F41</f>
        <v>Unid.</v>
      </c>
      <c r="C37" s="275">
        <f>'🧾 Factura Comercial'!G41</f>
        <v>0</v>
      </c>
      <c r="D37" s="276">
        <f>'🧾 Factura Comercial'!H41</f>
        <v>0</v>
      </c>
      <c r="E37" s="276">
        <f>'🧾 Factura Comercial'!I41</f>
        <v>0</v>
      </c>
      <c r="F37" s="277">
        <f>IF('🧾 Tributos Aduana'!$F$6=0,0,'🧾 Factura Comercial'!I41/'🧾 Tributos Aduana'!$F$6)</f>
        <v>0</v>
      </c>
      <c r="G37" s="278">
        <f>'🧾 Factura Comercial'!H41*'📋 Datos Generales'!$E$19</f>
        <v>0</v>
      </c>
      <c r="H37" s="278">
        <f>TABLA_BASE[[#This Row],[FOB UNIT.
(S/.)]]*TABLA_BASE[[#This Row],[CANTIDAD
(unid.)]]</f>
        <v>0</v>
      </c>
      <c r="I37" s="280">
        <f>IF('🧾 Tributos Aduana'!$F$6=0,0,'🧾 Tributos Aduana'!$F$17*('🧾 Factura Comercial'!H41/'🧾 Tributos Aduana'!$F$6))</f>
        <v>0</v>
      </c>
      <c r="J37" s="280">
        <f>TABLA_BASE[[#This Row],[ADV UNIT.
(US$)
⚠️COSTO]]*TABLA_BASE[[#This Row],[CANTIDAD
(unid.)]]</f>
        <v>0</v>
      </c>
      <c r="K37" s="279">
        <f>IF('🧾 Tributos Aduana'!$F$6=0,0,'🧾 Tributos Aduana'!$F$18*('🧾 Factura Comercial'!H41/'🧾 Tributos Aduana'!$F$6))</f>
        <v>0</v>
      </c>
      <c r="L37" s="280">
        <f>TABLA_BASE[[#This Row],[IPM UNIT.
(US$)
✅CF]]*TABLA_BASE[[#This Row],[CANTIDAD
(unid.)]]</f>
        <v>0</v>
      </c>
      <c r="M37" s="279">
        <f>IF('🧾 Tributos Aduana'!$F$6=0,0,'🧾 Tributos Aduana'!$F$19*('🧾 Factura Comercial'!H41/'🧾 Tributos Aduana'!$F$6))</f>
        <v>0</v>
      </c>
      <c r="N37" s="280">
        <f>TABLA_BASE[[#This Row],[IGV UNIT.
(US$)
✅CF]]*TABLA_BASE[[#This Row],[CANTIDAD
(unid.)]]</f>
        <v>0</v>
      </c>
      <c r="O37" s="280">
        <f>IF('🧾 Tributos Aduana'!$F$6=0,0,'🧾 Tributos Aduana'!$F$23*('🧾 Factura Comercial'!H41/'🧾 Tributos Aduana'!$F$6))</f>
        <v>0</v>
      </c>
      <c r="P37" s="280">
        <f>TABLA_BASE[[#This Row],[PERCEP.
UNIT.(US$)
✅CF]]*TABLA_BASE[[#This Row],[CANTIDAD
(unid.)]]</f>
        <v>0</v>
      </c>
      <c r="Q37" s="279">
        <f>TABLA_BASE[[#This Row],[ADV UNIT.
(US$)
⚠️COSTO]]+TABLA_BASE[[#This Row],[IPM UNIT.
(US$)
✅CF]]+TABLA_BASE[[#This Row],[IGV UNIT.
(US$)
✅CF]]</f>
        <v>0</v>
      </c>
      <c r="R37" s="280">
        <f>TABLA_BASE[[#This Row],[DEUDA
ADUANERA
UNIT.]]*TABLA_BASE[[#This Row],[CANTIDAD
(unid.)]]</f>
        <v>0</v>
      </c>
      <c r="S37" s="278">
        <f>TABLA_BASE[[#This Row],[DEUDA
ADUANERA
UNIT.]]*'📋 Datos Generales'!$E$19</f>
        <v>0</v>
      </c>
      <c r="T37" s="278">
        <f>TABLA_BASE[[#This Row],[DEUDA
ADUANERA
TOTAL]]*'📋 Datos Generales'!$E$19</f>
        <v>0</v>
      </c>
      <c r="U37" s="281">
        <f>TABLA_BASE[[#This Row],[ADV UNIT.
(US$)
⚠️COSTO]]*'📋 Datos Generales'!$E$19</f>
        <v>0</v>
      </c>
      <c r="V37" s="281">
        <f>TABLA_BASE[[#This Row],[ADV UNIT.
(S/.)]]*TABLA_BASE[[#This Row],[CANTIDAD
(unid.)]]</f>
        <v>0</v>
      </c>
      <c r="W37" s="281">
        <f>TABLA_BASE[[#This Row],[IPM UNIT.
(US$)
✅CF]]*'📋 Datos Generales'!$E$19</f>
        <v>0</v>
      </c>
      <c r="X37" s="281">
        <f>TABLA_BASE[[#This Row],[IPM UNIT.
(S/.)]]*TABLA_BASE[[#This Row],[CANTIDAD
(unid.)]]</f>
        <v>0</v>
      </c>
      <c r="Y37" s="281">
        <f>TABLA_BASE[[#This Row],[IGV UNIT.
(US$)
✅CF]]*'📋 Datos Generales'!$E$19</f>
        <v>0</v>
      </c>
      <c r="Z37" s="281">
        <f>TABLA_BASE[[#This Row],[IGV UNIT.
(S/.)]]*TABLA_BASE[[#This Row],[CANTIDAD
(unid.)]]</f>
        <v>0</v>
      </c>
      <c r="AA37" s="281">
        <f>TABLA_BASE[[#This Row],[PERCEP.
UNIT.(US$)
✅CF]]*'📋 Datos Generales'!$E$19</f>
        <v>0</v>
      </c>
      <c r="AB37" s="281">
        <f>TABLA_BASE[[#This Row],[PERCEP.
UNIT.(S/.)]]*TABLA_BASE[[#This Row],[CANTIDAD
(unid.)]]</f>
        <v>0</v>
      </c>
      <c r="AC37" s="279">
        <f>TABLA_BASE[[#This Row],[ADV UNIT.
(US$)
⚠️COSTO]]+TABLA_BASE[[#This Row],[IPM UNIT.
(US$)
✅CF]]+TABLA_BASE[[#This Row],[IGV UNIT.
(US$)
✅CF]]+TABLA_BASE[[#This Row],[PERCEP.
UNIT.(US$)
✅CF]]</f>
        <v>0</v>
      </c>
      <c r="AD37" s="279">
        <f>TABLA_BASE[[#This Row],[TOTAL PAGO
SUNAT
UNIT.(US$)]]*TABLA_BASE[[#This Row],[CANTIDAD
(unid.)]]</f>
        <v>0</v>
      </c>
      <c r="AE37" s="281">
        <f>TABLA_BASE[[#This Row],[TOTAL PAGO
SUNAT
UNIT.(US$)]]*'📋 Datos Generales'!$E$19</f>
        <v>0</v>
      </c>
      <c r="AF37" s="281">
        <f>TABLA_BASE[[#This Row],[TOTAL TRIB.
UNIT.(S/.)]]*TABLA_BASE[[#This Row],[CANTIDAD
(unid.)]]</f>
        <v>0</v>
      </c>
      <c r="AG37" s="279">
        <f>IF('🧾 Factura Comercial'!G41=0,0,'📦 Gastos Importación'!$E$28*(IF('🧾 Tributos Aduana'!$F$6=0,0,'🧾 Factura Comercial'!I41/'🧾 Tributos Aduana'!$F$6))/'🧾 Factura Comercial'!G41)</f>
        <v>0</v>
      </c>
      <c r="AH37" s="279">
        <f>TABLA_BASE[[#This Row],[GASTOS IMP.
UNIT.(US$)]]*TABLA_BASE[[#This Row],[CANTIDAD
(unid.)]]</f>
        <v>0</v>
      </c>
      <c r="AI37" s="281">
        <f>TABLA_BASE[[#This Row],[GASTOS IMP.
UNIT.(US$)]]*'📋 Datos Generales'!$E$19</f>
        <v>0</v>
      </c>
      <c r="AJ37" s="281">
        <f>TABLA_BASE[[#This Row],[GASTOS IMP.
UNIT.(S/.)]]*TABLA_BASE[[#This Row],[CANTIDAD
(unid.)]]</f>
        <v>0</v>
      </c>
      <c r="AK37" s="280">
        <f>'🧮 Costos x Producto'!J41</f>
        <v>0</v>
      </c>
      <c r="AL37" s="278">
        <f>'🧮 Costos x Producto'!K41</f>
        <v>0</v>
      </c>
      <c r="AM37" s="278">
        <f>TABLA_BASE[[#This Row],[C/M UNIT.
(S/.)]]*TABLA_BASE[[#This Row],[CANTIDAD
(unid.)]]</f>
        <v>0</v>
      </c>
      <c r="AN37" s="279">
        <f>IF('🧾 Factura Comercial'!G41=0,0,'🧾 Tributos Aduana'!$F$17*(IF('🧾 Tributos Aduana'!$F$6=0,0,'🧾 Factura Comercial'!I41/'🧾 Tributos Aduana'!$F$6))/'🧾 Factura Comercial'!G41)</f>
        <v>0</v>
      </c>
      <c r="AO37" s="280">
        <f>IF('🧾 Factura Comercial'!G41=0,0,'🏦 Crédito Fiscal'!$C$16*(IF('🧾 Tributos Aduana'!$F$6=0,0,'🧾 Factura Comercial'!I41/'🧾 Tributos Aduana'!$F$6))/'🧾 Factura Comercial'!G41)</f>
        <v>0</v>
      </c>
      <c r="AP37" s="278">
        <f>TABLA_BASE[[#This Row],[CF UNIT.
✅RECUP.
(US$)]]*'📋 Datos Generales'!$E$19</f>
        <v>0</v>
      </c>
      <c r="AQ37" s="278">
        <f>TABLA_BASE[[#This Row],[CF UNIT.
✅RECUP.(S/.)]]*TABLA_BASE[[#This Row],[CANTIDAD
(unid.)]]</f>
        <v>0</v>
      </c>
      <c r="AR37" s="288">
        <f>'💰 Precio de Venta'!G42</f>
        <v>0.4</v>
      </c>
      <c r="AS37" s="278">
        <f>'💰 Precio de Venta'!H42</f>
        <v>0</v>
      </c>
      <c r="AT37" s="278">
        <f>TABLA_BASE[[#This Row],[VALOR VTA.
UNIT.(S/.)]]*TABLA_BASE[[#This Row],[CANTIDAD
(unid.)]]</f>
        <v>0</v>
      </c>
      <c r="AU37" s="281">
        <f>'💰 Precio de Venta'!I42</f>
        <v>0</v>
      </c>
      <c r="AV37" s="278">
        <f>'💰 Precio de Venta'!J42</f>
        <v>0</v>
      </c>
      <c r="AW37" s="278">
        <f>TABLA_BASE[[#This Row],[GANANCIA
UNIT.(S/.)]]*TABLA_BASE[[#This Row],[CANTIDAD
(unid.)]]</f>
        <v>0</v>
      </c>
      <c r="AX37" s="289">
        <f>'💰 Precio de Venta'!K42</f>
        <v>0</v>
      </c>
      <c r="AY37" s="278">
        <f>TABLA_BASE[[#This Row],[GANANCIA
UNIT.(S/.)]]*'🧾 Factura Comercial'!G41</f>
        <v>0</v>
      </c>
      <c r="AZ37" s="277">
        <f>IF(TABLA_BASE[[#This Row],[PRECIO VTA.
c/IGV(S/.)]]=0,0,TABLA_BASE[[#This Row],[GANANCIA
UNIT.(S/.)]]/TABLA_BASE[[#This Row],[PRECIO VTA.
c/IGV(S/.)]])</f>
        <v>0</v>
      </c>
      <c r="BA37" s="277">
        <f>IF(TABLA_BASE[[#This Row],[C/M UNIT.
(S/.)]]=0,0,TABLA_BASE[[#This Row],[GANANCIA
UNIT.(S/.)]]/TABLA_BASE[[#This Row],[C/M UNIT.
(S/.)]])</f>
        <v>0</v>
      </c>
      <c r="BB37" s="274" t="str">
        <f>IF(TABLA_BASE[[#This Row],[MARGEN
%]]&gt;=0.5,"🟢 ALTO",IF(TABLA_BASE[[#This Row],[MARGEN
%]]&gt;=0.3,"🟡 MEDIO","🔴 BAJO"))</f>
        <v>🟡 MEDIO</v>
      </c>
    </row>
    <row r="38" spans="1:54" ht="16.5" hidden="1" thickTop="1" thickBot="1" x14ac:dyDescent="0.3">
      <c r="A38" s="274">
        <f>'🧾 Factura Comercial'!E42</f>
        <v>0</v>
      </c>
      <c r="B38" s="274" t="str">
        <f>'🧾 Factura Comercial'!F42</f>
        <v>Unid.</v>
      </c>
      <c r="C38" s="275">
        <f>'🧾 Factura Comercial'!G42</f>
        <v>0</v>
      </c>
      <c r="D38" s="276">
        <f>'🧾 Factura Comercial'!H42</f>
        <v>0</v>
      </c>
      <c r="E38" s="276">
        <f>'🧾 Factura Comercial'!I42</f>
        <v>0</v>
      </c>
      <c r="F38" s="277">
        <f>IF('🧾 Tributos Aduana'!$F$6=0,0,'🧾 Factura Comercial'!I42/'🧾 Tributos Aduana'!$F$6)</f>
        <v>0</v>
      </c>
      <c r="G38" s="278">
        <f>'🧾 Factura Comercial'!H42*'📋 Datos Generales'!$E$19</f>
        <v>0</v>
      </c>
      <c r="H38" s="278">
        <f>TABLA_BASE[[#This Row],[FOB UNIT.
(S/.)]]*TABLA_BASE[[#This Row],[CANTIDAD
(unid.)]]</f>
        <v>0</v>
      </c>
      <c r="I38" s="280">
        <f>IF('🧾 Tributos Aduana'!$F$6=0,0,'🧾 Tributos Aduana'!$F$17*('🧾 Factura Comercial'!H42/'🧾 Tributos Aduana'!$F$6))</f>
        <v>0</v>
      </c>
      <c r="J38" s="280">
        <f>TABLA_BASE[[#This Row],[ADV UNIT.
(US$)
⚠️COSTO]]*TABLA_BASE[[#This Row],[CANTIDAD
(unid.)]]</f>
        <v>0</v>
      </c>
      <c r="K38" s="279">
        <f>IF('🧾 Tributos Aduana'!$F$6=0,0,'🧾 Tributos Aduana'!$F$18*('🧾 Factura Comercial'!H42/'🧾 Tributos Aduana'!$F$6))</f>
        <v>0</v>
      </c>
      <c r="L38" s="280">
        <f>TABLA_BASE[[#This Row],[IPM UNIT.
(US$)
✅CF]]*TABLA_BASE[[#This Row],[CANTIDAD
(unid.)]]</f>
        <v>0</v>
      </c>
      <c r="M38" s="279">
        <f>IF('🧾 Tributos Aduana'!$F$6=0,0,'🧾 Tributos Aduana'!$F$19*('🧾 Factura Comercial'!H42/'🧾 Tributos Aduana'!$F$6))</f>
        <v>0</v>
      </c>
      <c r="N38" s="280">
        <f>TABLA_BASE[[#This Row],[IGV UNIT.
(US$)
✅CF]]*TABLA_BASE[[#This Row],[CANTIDAD
(unid.)]]</f>
        <v>0</v>
      </c>
      <c r="O38" s="280">
        <f>IF('🧾 Tributos Aduana'!$F$6=0,0,'🧾 Tributos Aduana'!$F$23*('🧾 Factura Comercial'!H42/'🧾 Tributos Aduana'!$F$6))</f>
        <v>0</v>
      </c>
      <c r="P38" s="280">
        <f>TABLA_BASE[[#This Row],[PERCEP.
UNIT.(US$)
✅CF]]*TABLA_BASE[[#This Row],[CANTIDAD
(unid.)]]</f>
        <v>0</v>
      </c>
      <c r="Q38" s="279">
        <f>TABLA_BASE[[#This Row],[ADV UNIT.
(US$)
⚠️COSTO]]+TABLA_BASE[[#This Row],[IPM UNIT.
(US$)
✅CF]]+TABLA_BASE[[#This Row],[IGV UNIT.
(US$)
✅CF]]</f>
        <v>0</v>
      </c>
      <c r="R38" s="280">
        <f>TABLA_BASE[[#This Row],[DEUDA
ADUANERA
UNIT.]]*TABLA_BASE[[#This Row],[CANTIDAD
(unid.)]]</f>
        <v>0</v>
      </c>
      <c r="S38" s="278">
        <f>TABLA_BASE[[#This Row],[DEUDA
ADUANERA
UNIT.]]*'📋 Datos Generales'!$E$19</f>
        <v>0</v>
      </c>
      <c r="T38" s="278">
        <f>TABLA_BASE[[#This Row],[DEUDA
ADUANERA
TOTAL]]*'📋 Datos Generales'!$E$19</f>
        <v>0</v>
      </c>
      <c r="U38" s="281">
        <f>TABLA_BASE[[#This Row],[ADV UNIT.
(US$)
⚠️COSTO]]*'📋 Datos Generales'!$E$19</f>
        <v>0</v>
      </c>
      <c r="V38" s="281">
        <f>TABLA_BASE[[#This Row],[ADV UNIT.
(S/.)]]*TABLA_BASE[[#This Row],[CANTIDAD
(unid.)]]</f>
        <v>0</v>
      </c>
      <c r="W38" s="281">
        <f>TABLA_BASE[[#This Row],[IPM UNIT.
(US$)
✅CF]]*'📋 Datos Generales'!$E$19</f>
        <v>0</v>
      </c>
      <c r="X38" s="281">
        <f>TABLA_BASE[[#This Row],[IPM UNIT.
(S/.)]]*TABLA_BASE[[#This Row],[CANTIDAD
(unid.)]]</f>
        <v>0</v>
      </c>
      <c r="Y38" s="281">
        <f>TABLA_BASE[[#This Row],[IGV UNIT.
(US$)
✅CF]]*'📋 Datos Generales'!$E$19</f>
        <v>0</v>
      </c>
      <c r="Z38" s="281">
        <f>TABLA_BASE[[#This Row],[IGV UNIT.
(S/.)]]*TABLA_BASE[[#This Row],[CANTIDAD
(unid.)]]</f>
        <v>0</v>
      </c>
      <c r="AA38" s="281">
        <f>TABLA_BASE[[#This Row],[PERCEP.
UNIT.(US$)
✅CF]]*'📋 Datos Generales'!$E$19</f>
        <v>0</v>
      </c>
      <c r="AB38" s="281">
        <f>TABLA_BASE[[#This Row],[PERCEP.
UNIT.(S/.)]]*TABLA_BASE[[#This Row],[CANTIDAD
(unid.)]]</f>
        <v>0</v>
      </c>
      <c r="AC38" s="279">
        <f>TABLA_BASE[[#This Row],[ADV UNIT.
(US$)
⚠️COSTO]]+TABLA_BASE[[#This Row],[IPM UNIT.
(US$)
✅CF]]+TABLA_BASE[[#This Row],[IGV UNIT.
(US$)
✅CF]]+TABLA_BASE[[#This Row],[PERCEP.
UNIT.(US$)
✅CF]]</f>
        <v>0</v>
      </c>
      <c r="AD38" s="279">
        <f>TABLA_BASE[[#This Row],[TOTAL PAGO
SUNAT
UNIT.(US$)]]*TABLA_BASE[[#This Row],[CANTIDAD
(unid.)]]</f>
        <v>0</v>
      </c>
      <c r="AE38" s="281">
        <f>TABLA_BASE[[#This Row],[TOTAL PAGO
SUNAT
UNIT.(US$)]]*'📋 Datos Generales'!$E$19</f>
        <v>0</v>
      </c>
      <c r="AF38" s="281">
        <f>TABLA_BASE[[#This Row],[TOTAL TRIB.
UNIT.(S/.)]]*TABLA_BASE[[#This Row],[CANTIDAD
(unid.)]]</f>
        <v>0</v>
      </c>
      <c r="AG38" s="279">
        <f>IF('🧾 Factura Comercial'!G42=0,0,'📦 Gastos Importación'!$E$28*(IF('🧾 Tributos Aduana'!$F$6=0,0,'🧾 Factura Comercial'!I42/'🧾 Tributos Aduana'!$F$6))/'🧾 Factura Comercial'!G42)</f>
        <v>0</v>
      </c>
      <c r="AH38" s="279">
        <f>TABLA_BASE[[#This Row],[GASTOS IMP.
UNIT.(US$)]]*TABLA_BASE[[#This Row],[CANTIDAD
(unid.)]]</f>
        <v>0</v>
      </c>
      <c r="AI38" s="281">
        <f>TABLA_BASE[[#This Row],[GASTOS IMP.
UNIT.(US$)]]*'📋 Datos Generales'!$E$19</f>
        <v>0</v>
      </c>
      <c r="AJ38" s="281">
        <f>TABLA_BASE[[#This Row],[GASTOS IMP.
UNIT.(S/.)]]*TABLA_BASE[[#This Row],[CANTIDAD
(unid.)]]</f>
        <v>0</v>
      </c>
      <c r="AK38" s="280">
        <f>'🧮 Costos x Producto'!J42</f>
        <v>0</v>
      </c>
      <c r="AL38" s="278">
        <f>'🧮 Costos x Producto'!K42</f>
        <v>0</v>
      </c>
      <c r="AM38" s="278">
        <f>TABLA_BASE[[#This Row],[C/M UNIT.
(S/.)]]*TABLA_BASE[[#This Row],[CANTIDAD
(unid.)]]</f>
        <v>0</v>
      </c>
      <c r="AN38" s="279">
        <f>IF('🧾 Factura Comercial'!G42=0,0,'🧾 Tributos Aduana'!$F$17*(IF('🧾 Tributos Aduana'!$F$6=0,0,'🧾 Factura Comercial'!I42/'🧾 Tributos Aduana'!$F$6))/'🧾 Factura Comercial'!G42)</f>
        <v>0</v>
      </c>
      <c r="AO38" s="280">
        <f>IF('🧾 Factura Comercial'!G42=0,0,'🏦 Crédito Fiscal'!$C$16*(IF('🧾 Tributos Aduana'!$F$6=0,0,'🧾 Factura Comercial'!I42/'🧾 Tributos Aduana'!$F$6))/'🧾 Factura Comercial'!G42)</f>
        <v>0</v>
      </c>
      <c r="AP38" s="278">
        <f>TABLA_BASE[[#This Row],[CF UNIT.
✅RECUP.
(US$)]]*'📋 Datos Generales'!$E$19</f>
        <v>0</v>
      </c>
      <c r="AQ38" s="278">
        <f>TABLA_BASE[[#This Row],[CF UNIT.
✅RECUP.(S/.)]]*TABLA_BASE[[#This Row],[CANTIDAD
(unid.)]]</f>
        <v>0</v>
      </c>
      <c r="AR38" s="288">
        <f>'💰 Precio de Venta'!G43</f>
        <v>0.4</v>
      </c>
      <c r="AS38" s="278">
        <f>'💰 Precio de Venta'!H43</f>
        <v>0</v>
      </c>
      <c r="AT38" s="278">
        <f>TABLA_BASE[[#This Row],[VALOR VTA.
UNIT.(S/.)]]*TABLA_BASE[[#This Row],[CANTIDAD
(unid.)]]</f>
        <v>0</v>
      </c>
      <c r="AU38" s="281">
        <f>'💰 Precio de Venta'!I43</f>
        <v>0</v>
      </c>
      <c r="AV38" s="278">
        <f>'💰 Precio de Venta'!J43</f>
        <v>0</v>
      </c>
      <c r="AW38" s="278">
        <f>TABLA_BASE[[#This Row],[GANANCIA
UNIT.(S/.)]]*TABLA_BASE[[#This Row],[CANTIDAD
(unid.)]]</f>
        <v>0</v>
      </c>
      <c r="AX38" s="289">
        <f>'💰 Precio de Venta'!K43</f>
        <v>0</v>
      </c>
      <c r="AY38" s="278">
        <f>TABLA_BASE[[#This Row],[GANANCIA
UNIT.(S/.)]]*'🧾 Factura Comercial'!G42</f>
        <v>0</v>
      </c>
      <c r="AZ38" s="277">
        <f>IF(TABLA_BASE[[#This Row],[PRECIO VTA.
c/IGV(S/.)]]=0,0,TABLA_BASE[[#This Row],[GANANCIA
UNIT.(S/.)]]/TABLA_BASE[[#This Row],[PRECIO VTA.
c/IGV(S/.)]])</f>
        <v>0</v>
      </c>
      <c r="BA38" s="277">
        <f>IF(TABLA_BASE[[#This Row],[C/M UNIT.
(S/.)]]=0,0,TABLA_BASE[[#This Row],[GANANCIA
UNIT.(S/.)]]/TABLA_BASE[[#This Row],[C/M UNIT.
(S/.)]])</f>
        <v>0</v>
      </c>
      <c r="BB38" s="274" t="str">
        <f>IF(TABLA_BASE[[#This Row],[MARGEN
%]]&gt;=0.5,"🟢 ALTO",IF(TABLA_BASE[[#This Row],[MARGEN
%]]&gt;=0.3,"🟡 MEDIO","🔴 BAJO"))</f>
        <v>🟡 MEDIO</v>
      </c>
    </row>
    <row r="39" spans="1:54" ht="16.5" hidden="1" thickTop="1" thickBot="1" x14ac:dyDescent="0.3">
      <c r="A39" s="274">
        <f>'🧾 Factura Comercial'!E43</f>
        <v>0</v>
      </c>
      <c r="B39" s="274" t="str">
        <f>'🧾 Factura Comercial'!F43</f>
        <v>Unid.</v>
      </c>
      <c r="C39" s="275">
        <f>'🧾 Factura Comercial'!G43</f>
        <v>0</v>
      </c>
      <c r="D39" s="276">
        <f>'🧾 Factura Comercial'!H43</f>
        <v>0</v>
      </c>
      <c r="E39" s="276">
        <f>'🧾 Factura Comercial'!I43</f>
        <v>0</v>
      </c>
      <c r="F39" s="277">
        <f>IF('🧾 Tributos Aduana'!$F$6=0,0,'🧾 Factura Comercial'!I43/'🧾 Tributos Aduana'!$F$6)</f>
        <v>0</v>
      </c>
      <c r="G39" s="278">
        <f>'🧾 Factura Comercial'!H43*'📋 Datos Generales'!$E$19</f>
        <v>0</v>
      </c>
      <c r="H39" s="278">
        <f>TABLA_BASE[[#This Row],[FOB UNIT.
(S/.)]]*TABLA_BASE[[#This Row],[CANTIDAD
(unid.)]]</f>
        <v>0</v>
      </c>
      <c r="I39" s="280">
        <f>IF('🧾 Tributos Aduana'!$F$6=0,0,'🧾 Tributos Aduana'!$F$17*('🧾 Factura Comercial'!H43/'🧾 Tributos Aduana'!$F$6))</f>
        <v>0</v>
      </c>
      <c r="J39" s="280">
        <f>TABLA_BASE[[#This Row],[ADV UNIT.
(US$)
⚠️COSTO]]*TABLA_BASE[[#This Row],[CANTIDAD
(unid.)]]</f>
        <v>0</v>
      </c>
      <c r="K39" s="279">
        <f>IF('🧾 Tributos Aduana'!$F$6=0,0,'🧾 Tributos Aduana'!$F$18*('🧾 Factura Comercial'!H43/'🧾 Tributos Aduana'!$F$6))</f>
        <v>0</v>
      </c>
      <c r="L39" s="280">
        <f>TABLA_BASE[[#This Row],[IPM UNIT.
(US$)
✅CF]]*TABLA_BASE[[#This Row],[CANTIDAD
(unid.)]]</f>
        <v>0</v>
      </c>
      <c r="M39" s="279">
        <f>IF('🧾 Tributos Aduana'!$F$6=0,0,'🧾 Tributos Aduana'!$F$19*('🧾 Factura Comercial'!H43/'🧾 Tributos Aduana'!$F$6))</f>
        <v>0</v>
      </c>
      <c r="N39" s="280">
        <f>TABLA_BASE[[#This Row],[IGV UNIT.
(US$)
✅CF]]*TABLA_BASE[[#This Row],[CANTIDAD
(unid.)]]</f>
        <v>0</v>
      </c>
      <c r="O39" s="280">
        <f>IF('🧾 Tributos Aduana'!$F$6=0,0,'🧾 Tributos Aduana'!$F$23*('🧾 Factura Comercial'!H43/'🧾 Tributos Aduana'!$F$6))</f>
        <v>0</v>
      </c>
      <c r="P39" s="280">
        <f>TABLA_BASE[[#This Row],[PERCEP.
UNIT.(US$)
✅CF]]*TABLA_BASE[[#This Row],[CANTIDAD
(unid.)]]</f>
        <v>0</v>
      </c>
      <c r="Q39" s="279">
        <f>TABLA_BASE[[#This Row],[ADV UNIT.
(US$)
⚠️COSTO]]+TABLA_BASE[[#This Row],[IPM UNIT.
(US$)
✅CF]]+TABLA_BASE[[#This Row],[IGV UNIT.
(US$)
✅CF]]</f>
        <v>0</v>
      </c>
      <c r="R39" s="280">
        <f>TABLA_BASE[[#This Row],[DEUDA
ADUANERA
UNIT.]]*TABLA_BASE[[#This Row],[CANTIDAD
(unid.)]]</f>
        <v>0</v>
      </c>
      <c r="S39" s="278">
        <f>TABLA_BASE[[#This Row],[DEUDA
ADUANERA
UNIT.]]*'📋 Datos Generales'!$E$19</f>
        <v>0</v>
      </c>
      <c r="T39" s="278">
        <f>TABLA_BASE[[#This Row],[DEUDA
ADUANERA
TOTAL]]*'📋 Datos Generales'!$E$19</f>
        <v>0</v>
      </c>
      <c r="U39" s="281">
        <f>TABLA_BASE[[#This Row],[ADV UNIT.
(US$)
⚠️COSTO]]*'📋 Datos Generales'!$E$19</f>
        <v>0</v>
      </c>
      <c r="V39" s="281">
        <f>TABLA_BASE[[#This Row],[ADV UNIT.
(S/.)]]*TABLA_BASE[[#This Row],[CANTIDAD
(unid.)]]</f>
        <v>0</v>
      </c>
      <c r="W39" s="281">
        <f>TABLA_BASE[[#This Row],[IPM UNIT.
(US$)
✅CF]]*'📋 Datos Generales'!$E$19</f>
        <v>0</v>
      </c>
      <c r="X39" s="281">
        <f>TABLA_BASE[[#This Row],[IPM UNIT.
(S/.)]]*TABLA_BASE[[#This Row],[CANTIDAD
(unid.)]]</f>
        <v>0</v>
      </c>
      <c r="Y39" s="281">
        <f>TABLA_BASE[[#This Row],[IGV UNIT.
(US$)
✅CF]]*'📋 Datos Generales'!$E$19</f>
        <v>0</v>
      </c>
      <c r="Z39" s="281">
        <f>TABLA_BASE[[#This Row],[IGV UNIT.
(S/.)]]*TABLA_BASE[[#This Row],[CANTIDAD
(unid.)]]</f>
        <v>0</v>
      </c>
      <c r="AA39" s="281">
        <f>TABLA_BASE[[#This Row],[PERCEP.
UNIT.(US$)
✅CF]]*'📋 Datos Generales'!$E$19</f>
        <v>0</v>
      </c>
      <c r="AB39" s="281">
        <f>TABLA_BASE[[#This Row],[PERCEP.
UNIT.(S/.)]]*TABLA_BASE[[#This Row],[CANTIDAD
(unid.)]]</f>
        <v>0</v>
      </c>
      <c r="AC39" s="279">
        <f>TABLA_BASE[[#This Row],[ADV UNIT.
(US$)
⚠️COSTO]]+TABLA_BASE[[#This Row],[IPM UNIT.
(US$)
✅CF]]+TABLA_BASE[[#This Row],[IGV UNIT.
(US$)
✅CF]]+TABLA_BASE[[#This Row],[PERCEP.
UNIT.(US$)
✅CF]]</f>
        <v>0</v>
      </c>
      <c r="AD39" s="279">
        <f>TABLA_BASE[[#This Row],[TOTAL PAGO
SUNAT
UNIT.(US$)]]*TABLA_BASE[[#This Row],[CANTIDAD
(unid.)]]</f>
        <v>0</v>
      </c>
      <c r="AE39" s="281">
        <f>TABLA_BASE[[#This Row],[TOTAL PAGO
SUNAT
UNIT.(US$)]]*'📋 Datos Generales'!$E$19</f>
        <v>0</v>
      </c>
      <c r="AF39" s="281">
        <f>TABLA_BASE[[#This Row],[TOTAL TRIB.
UNIT.(S/.)]]*TABLA_BASE[[#This Row],[CANTIDAD
(unid.)]]</f>
        <v>0</v>
      </c>
      <c r="AG39" s="279">
        <f>IF('🧾 Factura Comercial'!G43=0,0,'📦 Gastos Importación'!$E$28*(IF('🧾 Tributos Aduana'!$F$6=0,0,'🧾 Factura Comercial'!I43/'🧾 Tributos Aduana'!$F$6))/'🧾 Factura Comercial'!G43)</f>
        <v>0</v>
      </c>
      <c r="AH39" s="279">
        <f>TABLA_BASE[[#This Row],[GASTOS IMP.
UNIT.(US$)]]*TABLA_BASE[[#This Row],[CANTIDAD
(unid.)]]</f>
        <v>0</v>
      </c>
      <c r="AI39" s="281">
        <f>TABLA_BASE[[#This Row],[GASTOS IMP.
UNIT.(US$)]]*'📋 Datos Generales'!$E$19</f>
        <v>0</v>
      </c>
      <c r="AJ39" s="281">
        <f>TABLA_BASE[[#This Row],[GASTOS IMP.
UNIT.(S/.)]]*TABLA_BASE[[#This Row],[CANTIDAD
(unid.)]]</f>
        <v>0</v>
      </c>
      <c r="AK39" s="280">
        <f>'🧮 Costos x Producto'!J43</f>
        <v>0</v>
      </c>
      <c r="AL39" s="278">
        <f>'🧮 Costos x Producto'!K43</f>
        <v>0</v>
      </c>
      <c r="AM39" s="278">
        <f>TABLA_BASE[[#This Row],[C/M UNIT.
(S/.)]]*TABLA_BASE[[#This Row],[CANTIDAD
(unid.)]]</f>
        <v>0</v>
      </c>
      <c r="AN39" s="279">
        <f>IF('🧾 Factura Comercial'!G43=0,0,'🧾 Tributos Aduana'!$F$17*(IF('🧾 Tributos Aduana'!$F$6=0,0,'🧾 Factura Comercial'!I43/'🧾 Tributos Aduana'!$F$6))/'🧾 Factura Comercial'!G43)</f>
        <v>0</v>
      </c>
      <c r="AO39" s="280">
        <f>IF('🧾 Factura Comercial'!G43=0,0,'🏦 Crédito Fiscal'!$C$16*(IF('🧾 Tributos Aduana'!$F$6=0,0,'🧾 Factura Comercial'!I43/'🧾 Tributos Aduana'!$F$6))/'🧾 Factura Comercial'!G43)</f>
        <v>0</v>
      </c>
      <c r="AP39" s="278">
        <f>TABLA_BASE[[#This Row],[CF UNIT.
✅RECUP.
(US$)]]*'📋 Datos Generales'!$E$19</f>
        <v>0</v>
      </c>
      <c r="AQ39" s="278">
        <f>TABLA_BASE[[#This Row],[CF UNIT.
✅RECUP.(S/.)]]*TABLA_BASE[[#This Row],[CANTIDAD
(unid.)]]</f>
        <v>0</v>
      </c>
      <c r="AR39" s="288">
        <f>'💰 Precio de Venta'!G44</f>
        <v>0.4</v>
      </c>
      <c r="AS39" s="278">
        <f>'💰 Precio de Venta'!H44</f>
        <v>0</v>
      </c>
      <c r="AT39" s="278">
        <f>TABLA_BASE[[#This Row],[VALOR VTA.
UNIT.(S/.)]]*TABLA_BASE[[#This Row],[CANTIDAD
(unid.)]]</f>
        <v>0</v>
      </c>
      <c r="AU39" s="281">
        <f>'💰 Precio de Venta'!I44</f>
        <v>0</v>
      </c>
      <c r="AV39" s="278">
        <f>'💰 Precio de Venta'!J44</f>
        <v>0</v>
      </c>
      <c r="AW39" s="278">
        <f>TABLA_BASE[[#This Row],[GANANCIA
UNIT.(S/.)]]*TABLA_BASE[[#This Row],[CANTIDAD
(unid.)]]</f>
        <v>0</v>
      </c>
      <c r="AX39" s="289">
        <f>'💰 Precio de Venta'!K44</f>
        <v>0</v>
      </c>
      <c r="AY39" s="278">
        <f>TABLA_BASE[[#This Row],[GANANCIA
UNIT.(S/.)]]*'🧾 Factura Comercial'!G43</f>
        <v>0</v>
      </c>
      <c r="AZ39" s="277">
        <f>IF(TABLA_BASE[[#This Row],[PRECIO VTA.
c/IGV(S/.)]]=0,0,TABLA_BASE[[#This Row],[GANANCIA
UNIT.(S/.)]]/TABLA_BASE[[#This Row],[PRECIO VTA.
c/IGV(S/.)]])</f>
        <v>0</v>
      </c>
      <c r="BA39" s="277">
        <f>IF(TABLA_BASE[[#This Row],[C/M UNIT.
(S/.)]]=0,0,TABLA_BASE[[#This Row],[GANANCIA
UNIT.(S/.)]]/TABLA_BASE[[#This Row],[C/M UNIT.
(S/.)]])</f>
        <v>0</v>
      </c>
      <c r="BB39" s="274" t="str">
        <f>IF(TABLA_BASE[[#This Row],[MARGEN
%]]&gt;=0.5,"🟢 ALTO",IF(TABLA_BASE[[#This Row],[MARGEN
%]]&gt;=0.3,"🟡 MEDIO","🔴 BAJO"))</f>
        <v>🟡 MEDIO</v>
      </c>
    </row>
    <row r="40" spans="1:54" ht="16.5" hidden="1" thickTop="1" thickBot="1" x14ac:dyDescent="0.3">
      <c r="A40" s="274">
        <f>'🧾 Factura Comercial'!E44</f>
        <v>0</v>
      </c>
      <c r="B40" s="274" t="str">
        <f>'🧾 Factura Comercial'!F44</f>
        <v>Unid.</v>
      </c>
      <c r="C40" s="275">
        <f>'🧾 Factura Comercial'!G44</f>
        <v>0</v>
      </c>
      <c r="D40" s="276">
        <f>'🧾 Factura Comercial'!H44</f>
        <v>0</v>
      </c>
      <c r="E40" s="276">
        <f>'🧾 Factura Comercial'!I44</f>
        <v>0</v>
      </c>
      <c r="F40" s="277">
        <f>IF('🧾 Tributos Aduana'!$F$6=0,0,'🧾 Factura Comercial'!I44/'🧾 Tributos Aduana'!$F$6)</f>
        <v>0</v>
      </c>
      <c r="G40" s="278">
        <f>'🧾 Factura Comercial'!H44*'📋 Datos Generales'!$E$19</f>
        <v>0</v>
      </c>
      <c r="H40" s="278">
        <f>TABLA_BASE[[#This Row],[FOB UNIT.
(S/.)]]*TABLA_BASE[[#This Row],[CANTIDAD
(unid.)]]</f>
        <v>0</v>
      </c>
      <c r="I40" s="280">
        <f>IF('🧾 Tributos Aduana'!$F$6=0,0,'🧾 Tributos Aduana'!$F$17*('🧾 Factura Comercial'!H44/'🧾 Tributos Aduana'!$F$6))</f>
        <v>0</v>
      </c>
      <c r="J40" s="280">
        <f>TABLA_BASE[[#This Row],[ADV UNIT.
(US$)
⚠️COSTO]]*TABLA_BASE[[#This Row],[CANTIDAD
(unid.)]]</f>
        <v>0</v>
      </c>
      <c r="K40" s="279">
        <f>IF('🧾 Tributos Aduana'!$F$6=0,0,'🧾 Tributos Aduana'!$F$18*('🧾 Factura Comercial'!H44/'🧾 Tributos Aduana'!$F$6))</f>
        <v>0</v>
      </c>
      <c r="L40" s="280">
        <f>TABLA_BASE[[#This Row],[IPM UNIT.
(US$)
✅CF]]*TABLA_BASE[[#This Row],[CANTIDAD
(unid.)]]</f>
        <v>0</v>
      </c>
      <c r="M40" s="279">
        <f>IF('🧾 Tributos Aduana'!$F$6=0,0,'🧾 Tributos Aduana'!$F$19*('🧾 Factura Comercial'!H44/'🧾 Tributos Aduana'!$F$6))</f>
        <v>0</v>
      </c>
      <c r="N40" s="280">
        <f>TABLA_BASE[[#This Row],[IGV UNIT.
(US$)
✅CF]]*TABLA_BASE[[#This Row],[CANTIDAD
(unid.)]]</f>
        <v>0</v>
      </c>
      <c r="O40" s="280">
        <f>IF('🧾 Tributos Aduana'!$F$6=0,0,'🧾 Tributos Aduana'!$F$23*('🧾 Factura Comercial'!H44/'🧾 Tributos Aduana'!$F$6))</f>
        <v>0</v>
      </c>
      <c r="P40" s="280">
        <f>TABLA_BASE[[#This Row],[PERCEP.
UNIT.(US$)
✅CF]]*TABLA_BASE[[#This Row],[CANTIDAD
(unid.)]]</f>
        <v>0</v>
      </c>
      <c r="Q40" s="279">
        <f>TABLA_BASE[[#This Row],[ADV UNIT.
(US$)
⚠️COSTO]]+TABLA_BASE[[#This Row],[IPM UNIT.
(US$)
✅CF]]+TABLA_BASE[[#This Row],[IGV UNIT.
(US$)
✅CF]]</f>
        <v>0</v>
      </c>
      <c r="R40" s="280">
        <f>TABLA_BASE[[#This Row],[DEUDA
ADUANERA
UNIT.]]*TABLA_BASE[[#This Row],[CANTIDAD
(unid.)]]</f>
        <v>0</v>
      </c>
      <c r="S40" s="278">
        <f>TABLA_BASE[[#This Row],[DEUDA
ADUANERA
UNIT.]]*'📋 Datos Generales'!$E$19</f>
        <v>0</v>
      </c>
      <c r="T40" s="278">
        <f>TABLA_BASE[[#This Row],[DEUDA
ADUANERA
TOTAL]]*'📋 Datos Generales'!$E$19</f>
        <v>0</v>
      </c>
      <c r="U40" s="281">
        <f>TABLA_BASE[[#This Row],[ADV UNIT.
(US$)
⚠️COSTO]]*'📋 Datos Generales'!$E$19</f>
        <v>0</v>
      </c>
      <c r="V40" s="281">
        <f>TABLA_BASE[[#This Row],[ADV UNIT.
(S/.)]]*TABLA_BASE[[#This Row],[CANTIDAD
(unid.)]]</f>
        <v>0</v>
      </c>
      <c r="W40" s="281">
        <f>TABLA_BASE[[#This Row],[IPM UNIT.
(US$)
✅CF]]*'📋 Datos Generales'!$E$19</f>
        <v>0</v>
      </c>
      <c r="X40" s="281">
        <f>TABLA_BASE[[#This Row],[IPM UNIT.
(S/.)]]*TABLA_BASE[[#This Row],[CANTIDAD
(unid.)]]</f>
        <v>0</v>
      </c>
      <c r="Y40" s="281">
        <f>TABLA_BASE[[#This Row],[IGV UNIT.
(US$)
✅CF]]*'📋 Datos Generales'!$E$19</f>
        <v>0</v>
      </c>
      <c r="Z40" s="281">
        <f>TABLA_BASE[[#This Row],[IGV UNIT.
(S/.)]]*TABLA_BASE[[#This Row],[CANTIDAD
(unid.)]]</f>
        <v>0</v>
      </c>
      <c r="AA40" s="281">
        <f>TABLA_BASE[[#This Row],[PERCEP.
UNIT.(US$)
✅CF]]*'📋 Datos Generales'!$E$19</f>
        <v>0</v>
      </c>
      <c r="AB40" s="281">
        <f>TABLA_BASE[[#This Row],[PERCEP.
UNIT.(S/.)]]*TABLA_BASE[[#This Row],[CANTIDAD
(unid.)]]</f>
        <v>0</v>
      </c>
      <c r="AC40" s="279">
        <f>TABLA_BASE[[#This Row],[ADV UNIT.
(US$)
⚠️COSTO]]+TABLA_BASE[[#This Row],[IPM UNIT.
(US$)
✅CF]]+TABLA_BASE[[#This Row],[IGV UNIT.
(US$)
✅CF]]+TABLA_BASE[[#This Row],[PERCEP.
UNIT.(US$)
✅CF]]</f>
        <v>0</v>
      </c>
      <c r="AD40" s="279">
        <f>TABLA_BASE[[#This Row],[TOTAL PAGO
SUNAT
UNIT.(US$)]]*TABLA_BASE[[#This Row],[CANTIDAD
(unid.)]]</f>
        <v>0</v>
      </c>
      <c r="AE40" s="281">
        <f>TABLA_BASE[[#This Row],[TOTAL PAGO
SUNAT
UNIT.(US$)]]*'📋 Datos Generales'!$E$19</f>
        <v>0</v>
      </c>
      <c r="AF40" s="281">
        <f>TABLA_BASE[[#This Row],[TOTAL TRIB.
UNIT.(S/.)]]*TABLA_BASE[[#This Row],[CANTIDAD
(unid.)]]</f>
        <v>0</v>
      </c>
      <c r="AG40" s="279">
        <f>IF('🧾 Factura Comercial'!G44=0,0,'📦 Gastos Importación'!$E$28*(IF('🧾 Tributos Aduana'!$F$6=0,0,'🧾 Factura Comercial'!I44/'🧾 Tributos Aduana'!$F$6))/'🧾 Factura Comercial'!G44)</f>
        <v>0</v>
      </c>
      <c r="AH40" s="279">
        <f>TABLA_BASE[[#This Row],[GASTOS IMP.
UNIT.(US$)]]*TABLA_BASE[[#This Row],[CANTIDAD
(unid.)]]</f>
        <v>0</v>
      </c>
      <c r="AI40" s="281">
        <f>TABLA_BASE[[#This Row],[GASTOS IMP.
UNIT.(US$)]]*'📋 Datos Generales'!$E$19</f>
        <v>0</v>
      </c>
      <c r="AJ40" s="281">
        <f>TABLA_BASE[[#This Row],[GASTOS IMP.
UNIT.(S/.)]]*TABLA_BASE[[#This Row],[CANTIDAD
(unid.)]]</f>
        <v>0</v>
      </c>
      <c r="AK40" s="280">
        <f>'🧮 Costos x Producto'!J44</f>
        <v>0</v>
      </c>
      <c r="AL40" s="278">
        <f>'🧮 Costos x Producto'!K44</f>
        <v>0</v>
      </c>
      <c r="AM40" s="278">
        <f>TABLA_BASE[[#This Row],[C/M UNIT.
(S/.)]]*TABLA_BASE[[#This Row],[CANTIDAD
(unid.)]]</f>
        <v>0</v>
      </c>
      <c r="AN40" s="279">
        <f>IF('🧾 Factura Comercial'!G44=0,0,'🧾 Tributos Aduana'!$F$17*(IF('🧾 Tributos Aduana'!$F$6=0,0,'🧾 Factura Comercial'!I44/'🧾 Tributos Aduana'!$F$6))/'🧾 Factura Comercial'!G44)</f>
        <v>0</v>
      </c>
      <c r="AO40" s="280">
        <f>IF('🧾 Factura Comercial'!G44=0,0,'🏦 Crédito Fiscal'!$C$16*(IF('🧾 Tributos Aduana'!$F$6=0,0,'🧾 Factura Comercial'!I44/'🧾 Tributos Aduana'!$F$6))/'🧾 Factura Comercial'!G44)</f>
        <v>0</v>
      </c>
      <c r="AP40" s="278">
        <f>TABLA_BASE[[#This Row],[CF UNIT.
✅RECUP.
(US$)]]*'📋 Datos Generales'!$E$19</f>
        <v>0</v>
      </c>
      <c r="AQ40" s="278">
        <f>TABLA_BASE[[#This Row],[CF UNIT.
✅RECUP.(S/.)]]*TABLA_BASE[[#This Row],[CANTIDAD
(unid.)]]</f>
        <v>0</v>
      </c>
      <c r="AR40" s="288">
        <f>'💰 Precio de Venta'!G45</f>
        <v>0.4</v>
      </c>
      <c r="AS40" s="278">
        <f>'💰 Precio de Venta'!H45</f>
        <v>0</v>
      </c>
      <c r="AT40" s="278">
        <f>TABLA_BASE[[#This Row],[VALOR VTA.
UNIT.(S/.)]]*TABLA_BASE[[#This Row],[CANTIDAD
(unid.)]]</f>
        <v>0</v>
      </c>
      <c r="AU40" s="281">
        <f>'💰 Precio de Venta'!I45</f>
        <v>0</v>
      </c>
      <c r="AV40" s="278">
        <f>'💰 Precio de Venta'!J45</f>
        <v>0</v>
      </c>
      <c r="AW40" s="278">
        <f>TABLA_BASE[[#This Row],[GANANCIA
UNIT.(S/.)]]*TABLA_BASE[[#This Row],[CANTIDAD
(unid.)]]</f>
        <v>0</v>
      </c>
      <c r="AX40" s="289">
        <f>'💰 Precio de Venta'!K45</f>
        <v>0</v>
      </c>
      <c r="AY40" s="278">
        <f>TABLA_BASE[[#This Row],[GANANCIA
UNIT.(S/.)]]*'🧾 Factura Comercial'!G44</f>
        <v>0</v>
      </c>
      <c r="AZ40" s="277">
        <f>IF(TABLA_BASE[[#This Row],[PRECIO VTA.
c/IGV(S/.)]]=0,0,TABLA_BASE[[#This Row],[GANANCIA
UNIT.(S/.)]]/TABLA_BASE[[#This Row],[PRECIO VTA.
c/IGV(S/.)]])</f>
        <v>0</v>
      </c>
      <c r="BA40" s="277">
        <f>IF(TABLA_BASE[[#This Row],[C/M UNIT.
(S/.)]]=0,0,TABLA_BASE[[#This Row],[GANANCIA
UNIT.(S/.)]]/TABLA_BASE[[#This Row],[C/M UNIT.
(S/.)]])</f>
        <v>0</v>
      </c>
      <c r="BB40" s="274" t="str">
        <f>IF(TABLA_BASE[[#This Row],[MARGEN
%]]&gt;=0.5,"🟢 ALTO",IF(TABLA_BASE[[#This Row],[MARGEN
%]]&gt;=0.3,"🟡 MEDIO","🔴 BAJO"))</f>
        <v>🟡 MEDIO</v>
      </c>
    </row>
    <row r="41" spans="1:54" ht="16.5" hidden="1" thickTop="1" thickBot="1" x14ac:dyDescent="0.3">
      <c r="A41" s="274">
        <f>'🧾 Factura Comercial'!E45</f>
        <v>0</v>
      </c>
      <c r="B41" s="274" t="str">
        <f>'🧾 Factura Comercial'!F45</f>
        <v>Unid.</v>
      </c>
      <c r="C41" s="275">
        <f>'🧾 Factura Comercial'!G45</f>
        <v>0</v>
      </c>
      <c r="D41" s="276">
        <f>'🧾 Factura Comercial'!H45</f>
        <v>0</v>
      </c>
      <c r="E41" s="276">
        <f>'🧾 Factura Comercial'!I45</f>
        <v>0</v>
      </c>
      <c r="F41" s="277">
        <f>IF('🧾 Tributos Aduana'!$F$6=0,0,'🧾 Factura Comercial'!I45/'🧾 Tributos Aduana'!$F$6)</f>
        <v>0</v>
      </c>
      <c r="G41" s="278">
        <f>'🧾 Factura Comercial'!H45*'📋 Datos Generales'!$E$19</f>
        <v>0</v>
      </c>
      <c r="H41" s="278">
        <f>TABLA_BASE[[#This Row],[FOB UNIT.
(S/.)]]*TABLA_BASE[[#This Row],[CANTIDAD
(unid.)]]</f>
        <v>0</v>
      </c>
      <c r="I41" s="280">
        <f>IF('🧾 Tributos Aduana'!$F$6=0,0,'🧾 Tributos Aduana'!$F$17*('🧾 Factura Comercial'!H45/'🧾 Tributos Aduana'!$F$6))</f>
        <v>0</v>
      </c>
      <c r="J41" s="280">
        <f>TABLA_BASE[[#This Row],[ADV UNIT.
(US$)
⚠️COSTO]]*TABLA_BASE[[#This Row],[CANTIDAD
(unid.)]]</f>
        <v>0</v>
      </c>
      <c r="K41" s="279">
        <f>IF('🧾 Tributos Aduana'!$F$6=0,0,'🧾 Tributos Aduana'!$F$18*('🧾 Factura Comercial'!H45/'🧾 Tributos Aduana'!$F$6))</f>
        <v>0</v>
      </c>
      <c r="L41" s="280">
        <f>TABLA_BASE[[#This Row],[IPM UNIT.
(US$)
✅CF]]*TABLA_BASE[[#This Row],[CANTIDAD
(unid.)]]</f>
        <v>0</v>
      </c>
      <c r="M41" s="279">
        <f>IF('🧾 Tributos Aduana'!$F$6=0,0,'🧾 Tributos Aduana'!$F$19*('🧾 Factura Comercial'!H45/'🧾 Tributos Aduana'!$F$6))</f>
        <v>0</v>
      </c>
      <c r="N41" s="280">
        <f>TABLA_BASE[[#This Row],[IGV UNIT.
(US$)
✅CF]]*TABLA_BASE[[#This Row],[CANTIDAD
(unid.)]]</f>
        <v>0</v>
      </c>
      <c r="O41" s="280">
        <f>IF('🧾 Tributos Aduana'!$F$6=0,0,'🧾 Tributos Aduana'!$F$23*('🧾 Factura Comercial'!H45/'🧾 Tributos Aduana'!$F$6))</f>
        <v>0</v>
      </c>
      <c r="P41" s="280">
        <f>TABLA_BASE[[#This Row],[PERCEP.
UNIT.(US$)
✅CF]]*TABLA_BASE[[#This Row],[CANTIDAD
(unid.)]]</f>
        <v>0</v>
      </c>
      <c r="Q41" s="279">
        <f>TABLA_BASE[[#This Row],[ADV UNIT.
(US$)
⚠️COSTO]]+TABLA_BASE[[#This Row],[IPM UNIT.
(US$)
✅CF]]+TABLA_BASE[[#This Row],[IGV UNIT.
(US$)
✅CF]]</f>
        <v>0</v>
      </c>
      <c r="R41" s="280">
        <f>TABLA_BASE[[#This Row],[DEUDA
ADUANERA
UNIT.]]*TABLA_BASE[[#This Row],[CANTIDAD
(unid.)]]</f>
        <v>0</v>
      </c>
      <c r="S41" s="278">
        <f>TABLA_BASE[[#This Row],[DEUDA
ADUANERA
UNIT.]]*'📋 Datos Generales'!$E$19</f>
        <v>0</v>
      </c>
      <c r="T41" s="278">
        <f>TABLA_BASE[[#This Row],[DEUDA
ADUANERA
TOTAL]]*'📋 Datos Generales'!$E$19</f>
        <v>0</v>
      </c>
      <c r="U41" s="281">
        <f>TABLA_BASE[[#This Row],[ADV UNIT.
(US$)
⚠️COSTO]]*'📋 Datos Generales'!$E$19</f>
        <v>0</v>
      </c>
      <c r="V41" s="281">
        <f>TABLA_BASE[[#This Row],[ADV UNIT.
(S/.)]]*TABLA_BASE[[#This Row],[CANTIDAD
(unid.)]]</f>
        <v>0</v>
      </c>
      <c r="W41" s="281">
        <f>TABLA_BASE[[#This Row],[IPM UNIT.
(US$)
✅CF]]*'📋 Datos Generales'!$E$19</f>
        <v>0</v>
      </c>
      <c r="X41" s="281">
        <f>TABLA_BASE[[#This Row],[IPM UNIT.
(S/.)]]*TABLA_BASE[[#This Row],[CANTIDAD
(unid.)]]</f>
        <v>0</v>
      </c>
      <c r="Y41" s="281">
        <f>TABLA_BASE[[#This Row],[IGV UNIT.
(US$)
✅CF]]*'📋 Datos Generales'!$E$19</f>
        <v>0</v>
      </c>
      <c r="Z41" s="281">
        <f>TABLA_BASE[[#This Row],[IGV UNIT.
(S/.)]]*TABLA_BASE[[#This Row],[CANTIDAD
(unid.)]]</f>
        <v>0</v>
      </c>
      <c r="AA41" s="281">
        <f>TABLA_BASE[[#This Row],[PERCEP.
UNIT.(US$)
✅CF]]*'📋 Datos Generales'!$E$19</f>
        <v>0</v>
      </c>
      <c r="AB41" s="281">
        <f>TABLA_BASE[[#This Row],[PERCEP.
UNIT.(S/.)]]*TABLA_BASE[[#This Row],[CANTIDAD
(unid.)]]</f>
        <v>0</v>
      </c>
      <c r="AC41" s="279">
        <f>TABLA_BASE[[#This Row],[ADV UNIT.
(US$)
⚠️COSTO]]+TABLA_BASE[[#This Row],[IPM UNIT.
(US$)
✅CF]]+TABLA_BASE[[#This Row],[IGV UNIT.
(US$)
✅CF]]+TABLA_BASE[[#This Row],[PERCEP.
UNIT.(US$)
✅CF]]</f>
        <v>0</v>
      </c>
      <c r="AD41" s="279">
        <f>TABLA_BASE[[#This Row],[TOTAL PAGO
SUNAT
UNIT.(US$)]]*TABLA_BASE[[#This Row],[CANTIDAD
(unid.)]]</f>
        <v>0</v>
      </c>
      <c r="AE41" s="281">
        <f>TABLA_BASE[[#This Row],[TOTAL PAGO
SUNAT
UNIT.(US$)]]*'📋 Datos Generales'!$E$19</f>
        <v>0</v>
      </c>
      <c r="AF41" s="281">
        <f>TABLA_BASE[[#This Row],[TOTAL TRIB.
UNIT.(S/.)]]*TABLA_BASE[[#This Row],[CANTIDAD
(unid.)]]</f>
        <v>0</v>
      </c>
      <c r="AG41" s="279">
        <f>IF('🧾 Factura Comercial'!G45=0,0,'📦 Gastos Importación'!$E$28*(IF('🧾 Tributos Aduana'!$F$6=0,0,'🧾 Factura Comercial'!I45/'🧾 Tributos Aduana'!$F$6))/'🧾 Factura Comercial'!G45)</f>
        <v>0</v>
      </c>
      <c r="AH41" s="279">
        <f>TABLA_BASE[[#This Row],[GASTOS IMP.
UNIT.(US$)]]*TABLA_BASE[[#This Row],[CANTIDAD
(unid.)]]</f>
        <v>0</v>
      </c>
      <c r="AI41" s="281">
        <f>TABLA_BASE[[#This Row],[GASTOS IMP.
UNIT.(US$)]]*'📋 Datos Generales'!$E$19</f>
        <v>0</v>
      </c>
      <c r="AJ41" s="281">
        <f>TABLA_BASE[[#This Row],[GASTOS IMP.
UNIT.(S/.)]]*TABLA_BASE[[#This Row],[CANTIDAD
(unid.)]]</f>
        <v>0</v>
      </c>
      <c r="AK41" s="280">
        <f>'🧮 Costos x Producto'!J45</f>
        <v>0</v>
      </c>
      <c r="AL41" s="278">
        <f>'🧮 Costos x Producto'!K45</f>
        <v>0</v>
      </c>
      <c r="AM41" s="278">
        <f>TABLA_BASE[[#This Row],[C/M UNIT.
(S/.)]]*TABLA_BASE[[#This Row],[CANTIDAD
(unid.)]]</f>
        <v>0</v>
      </c>
      <c r="AN41" s="279">
        <f>IF('🧾 Factura Comercial'!G45=0,0,'🧾 Tributos Aduana'!$F$17*(IF('🧾 Tributos Aduana'!$F$6=0,0,'🧾 Factura Comercial'!I45/'🧾 Tributos Aduana'!$F$6))/'🧾 Factura Comercial'!G45)</f>
        <v>0</v>
      </c>
      <c r="AO41" s="280">
        <f>IF('🧾 Factura Comercial'!G45=0,0,'🏦 Crédito Fiscal'!$C$16*(IF('🧾 Tributos Aduana'!$F$6=0,0,'🧾 Factura Comercial'!I45/'🧾 Tributos Aduana'!$F$6))/'🧾 Factura Comercial'!G45)</f>
        <v>0</v>
      </c>
      <c r="AP41" s="278">
        <f>TABLA_BASE[[#This Row],[CF UNIT.
✅RECUP.
(US$)]]*'📋 Datos Generales'!$E$19</f>
        <v>0</v>
      </c>
      <c r="AQ41" s="278">
        <f>TABLA_BASE[[#This Row],[CF UNIT.
✅RECUP.(S/.)]]*TABLA_BASE[[#This Row],[CANTIDAD
(unid.)]]</f>
        <v>0</v>
      </c>
      <c r="AR41" s="288">
        <f>'💰 Precio de Venta'!G46</f>
        <v>0.4</v>
      </c>
      <c r="AS41" s="278">
        <f>'💰 Precio de Venta'!H46</f>
        <v>0</v>
      </c>
      <c r="AT41" s="278">
        <f>TABLA_BASE[[#This Row],[VALOR VTA.
UNIT.(S/.)]]*TABLA_BASE[[#This Row],[CANTIDAD
(unid.)]]</f>
        <v>0</v>
      </c>
      <c r="AU41" s="281">
        <f>'💰 Precio de Venta'!I46</f>
        <v>0</v>
      </c>
      <c r="AV41" s="278">
        <f>'💰 Precio de Venta'!J46</f>
        <v>0</v>
      </c>
      <c r="AW41" s="278">
        <f>TABLA_BASE[[#This Row],[GANANCIA
UNIT.(S/.)]]*TABLA_BASE[[#This Row],[CANTIDAD
(unid.)]]</f>
        <v>0</v>
      </c>
      <c r="AX41" s="289">
        <f>'💰 Precio de Venta'!K46</f>
        <v>0</v>
      </c>
      <c r="AY41" s="278">
        <f>TABLA_BASE[[#This Row],[GANANCIA
UNIT.(S/.)]]*'🧾 Factura Comercial'!G45</f>
        <v>0</v>
      </c>
      <c r="AZ41" s="277">
        <f>IF(TABLA_BASE[[#This Row],[PRECIO VTA.
c/IGV(S/.)]]=0,0,TABLA_BASE[[#This Row],[GANANCIA
UNIT.(S/.)]]/TABLA_BASE[[#This Row],[PRECIO VTA.
c/IGV(S/.)]])</f>
        <v>0</v>
      </c>
      <c r="BA41" s="277">
        <f>IF(TABLA_BASE[[#This Row],[C/M UNIT.
(S/.)]]=0,0,TABLA_BASE[[#This Row],[GANANCIA
UNIT.(S/.)]]/TABLA_BASE[[#This Row],[C/M UNIT.
(S/.)]])</f>
        <v>0</v>
      </c>
      <c r="BB41" s="274" t="str">
        <f>IF(TABLA_BASE[[#This Row],[MARGEN
%]]&gt;=0.5,"🟢 ALTO",IF(TABLA_BASE[[#This Row],[MARGEN
%]]&gt;=0.3,"🟡 MEDIO","🔴 BAJO"))</f>
        <v>🟡 MEDIO</v>
      </c>
    </row>
    <row r="42" spans="1:54" ht="16.5" hidden="1" thickTop="1" thickBot="1" x14ac:dyDescent="0.3">
      <c r="A42" s="274">
        <f>'🧾 Factura Comercial'!E46</f>
        <v>0</v>
      </c>
      <c r="B42" s="274" t="str">
        <f>'🧾 Factura Comercial'!F46</f>
        <v>Unid.</v>
      </c>
      <c r="C42" s="275">
        <f>'🧾 Factura Comercial'!G46</f>
        <v>0</v>
      </c>
      <c r="D42" s="276">
        <f>'🧾 Factura Comercial'!H46</f>
        <v>0</v>
      </c>
      <c r="E42" s="276">
        <f>'🧾 Factura Comercial'!I46</f>
        <v>0</v>
      </c>
      <c r="F42" s="277">
        <f>IF('🧾 Tributos Aduana'!$F$6=0,0,'🧾 Factura Comercial'!I46/'🧾 Tributos Aduana'!$F$6)</f>
        <v>0</v>
      </c>
      <c r="G42" s="278">
        <f>'🧾 Factura Comercial'!H46*'📋 Datos Generales'!$E$19</f>
        <v>0</v>
      </c>
      <c r="H42" s="278">
        <f>TABLA_BASE[[#This Row],[FOB UNIT.
(S/.)]]*TABLA_BASE[[#This Row],[CANTIDAD
(unid.)]]</f>
        <v>0</v>
      </c>
      <c r="I42" s="280">
        <f>IF('🧾 Tributos Aduana'!$F$6=0,0,'🧾 Tributos Aduana'!$F$17*('🧾 Factura Comercial'!H46/'🧾 Tributos Aduana'!$F$6))</f>
        <v>0</v>
      </c>
      <c r="J42" s="280">
        <f>TABLA_BASE[[#This Row],[ADV UNIT.
(US$)
⚠️COSTO]]*TABLA_BASE[[#This Row],[CANTIDAD
(unid.)]]</f>
        <v>0</v>
      </c>
      <c r="K42" s="279">
        <f>IF('🧾 Tributos Aduana'!$F$6=0,0,'🧾 Tributos Aduana'!$F$18*('🧾 Factura Comercial'!H46/'🧾 Tributos Aduana'!$F$6))</f>
        <v>0</v>
      </c>
      <c r="L42" s="280">
        <f>TABLA_BASE[[#This Row],[IPM UNIT.
(US$)
✅CF]]*TABLA_BASE[[#This Row],[CANTIDAD
(unid.)]]</f>
        <v>0</v>
      </c>
      <c r="M42" s="279">
        <f>IF('🧾 Tributos Aduana'!$F$6=0,0,'🧾 Tributos Aduana'!$F$19*('🧾 Factura Comercial'!H46/'🧾 Tributos Aduana'!$F$6))</f>
        <v>0</v>
      </c>
      <c r="N42" s="280">
        <f>TABLA_BASE[[#This Row],[IGV UNIT.
(US$)
✅CF]]*TABLA_BASE[[#This Row],[CANTIDAD
(unid.)]]</f>
        <v>0</v>
      </c>
      <c r="O42" s="280">
        <f>IF('🧾 Tributos Aduana'!$F$6=0,0,'🧾 Tributos Aduana'!$F$23*('🧾 Factura Comercial'!H46/'🧾 Tributos Aduana'!$F$6))</f>
        <v>0</v>
      </c>
      <c r="P42" s="280">
        <f>TABLA_BASE[[#This Row],[PERCEP.
UNIT.(US$)
✅CF]]*TABLA_BASE[[#This Row],[CANTIDAD
(unid.)]]</f>
        <v>0</v>
      </c>
      <c r="Q42" s="279">
        <f>TABLA_BASE[[#This Row],[ADV UNIT.
(US$)
⚠️COSTO]]+TABLA_BASE[[#This Row],[IPM UNIT.
(US$)
✅CF]]+TABLA_BASE[[#This Row],[IGV UNIT.
(US$)
✅CF]]</f>
        <v>0</v>
      </c>
      <c r="R42" s="280">
        <f>TABLA_BASE[[#This Row],[DEUDA
ADUANERA
UNIT.]]*TABLA_BASE[[#This Row],[CANTIDAD
(unid.)]]</f>
        <v>0</v>
      </c>
      <c r="S42" s="278">
        <f>TABLA_BASE[[#This Row],[DEUDA
ADUANERA
UNIT.]]*'📋 Datos Generales'!$E$19</f>
        <v>0</v>
      </c>
      <c r="T42" s="278">
        <f>TABLA_BASE[[#This Row],[DEUDA
ADUANERA
TOTAL]]*'📋 Datos Generales'!$E$19</f>
        <v>0</v>
      </c>
      <c r="U42" s="281">
        <f>TABLA_BASE[[#This Row],[ADV UNIT.
(US$)
⚠️COSTO]]*'📋 Datos Generales'!$E$19</f>
        <v>0</v>
      </c>
      <c r="V42" s="281">
        <f>TABLA_BASE[[#This Row],[ADV UNIT.
(S/.)]]*TABLA_BASE[[#This Row],[CANTIDAD
(unid.)]]</f>
        <v>0</v>
      </c>
      <c r="W42" s="281">
        <f>TABLA_BASE[[#This Row],[IPM UNIT.
(US$)
✅CF]]*'📋 Datos Generales'!$E$19</f>
        <v>0</v>
      </c>
      <c r="X42" s="281">
        <f>TABLA_BASE[[#This Row],[IPM UNIT.
(S/.)]]*TABLA_BASE[[#This Row],[CANTIDAD
(unid.)]]</f>
        <v>0</v>
      </c>
      <c r="Y42" s="281">
        <f>TABLA_BASE[[#This Row],[IGV UNIT.
(US$)
✅CF]]*'📋 Datos Generales'!$E$19</f>
        <v>0</v>
      </c>
      <c r="Z42" s="281">
        <f>TABLA_BASE[[#This Row],[IGV UNIT.
(S/.)]]*TABLA_BASE[[#This Row],[CANTIDAD
(unid.)]]</f>
        <v>0</v>
      </c>
      <c r="AA42" s="281">
        <f>TABLA_BASE[[#This Row],[PERCEP.
UNIT.(US$)
✅CF]]*'📋 Datos Generales'!$E$19</f>
        <v>0</v>
      </c>
      <c r="AB42" s="281">
        <f>TABLA_BASE[[#This Row],[PERCEP.
UNIT.(S/.)]]*TABLA_BASE[[#This Row],[CANTIDAD
(unid.)]]</f>
        <v>0</v>
      </c>
      <c r="AC42" s="279">
        <f>TABLA_BASE[[#This Row],[ADV UNIT.
(US$)
⚠️COSTO]]+TABLA_BASE[[#This Row],[IPM UNIT.
(US$)
✅CF]]+TABLA_BASE[[#This Row],[IGV UNIT.
(US$)
✅CF]]+TABLA_BASE[[#This Row],[PERCEP.
UNIT.(US$)
✅CF]]</f>
        <v>0</v>
      </c>
      <c r="AD42" s="279">
        <f>TABLA_BASE[[#This Row],[TOTAL PAGO
SUNAT
UNIT.(US$)]]*TABLA_BASE[[#This Row],[CANTIDAD
(unid.)]]</f>
        <v>0</v>
      </c>
      <c r="AE42" s="281">
        <f>TABLA_BASE[[#This Row],[TOTAL PAGO
SUNAT
UNIT.(US$)]]*'📋 Datos Generales'!$E$19</f>
        <v>0</v>
      </c>
      <c r="AF42" s="281">
        <f>TABLA_BASE[[#This Row],[TOTAL TRIB.
UNIT.(S/.)]]*TABLA_BASE[[#This Row],[CANTIDAD
(unid.)]]</f>
        <v>0</v>
      </c>
      <c r="AG42" s="279">
        <f>IF('🧾 Factura Comercial'!G46=0,0,'📦 Gastos Importación'!$E$28*(IF('🧾 Tributos Aduana'!$F$6=0,0,'🧾 Factura Comercial'!I46/'🧾 Tributos Aduana'!$F$6))/'🧾 Factura Comercial'!G46)</f>
        <v>0</v>
      </c>
      <c r="AH42" s="279">
        <f>TABLA_BASE[[#This Row],[GASTOS IMP.
UNIT.(US$)]]*TABLA_BASE[[#This Row],[CANTIDAD
(unid.)]]</f>
        <v>0</v>
      </c>
      <c r="AI42" s="281">
        <f>TABLA_BASE[[#This Row],[GASTOS IMP.
UNIT.(US$)]]*'📋 Datos Generales'!$E$19</f>
        <v>0</v>
      </c>
      <c r="AJ42" s="281">
        <f>TABLA_BASE[[#This Row],[GASTOS IMP.
UNIT.(S/.)]]*TABLA_BASE[[#This Row],[CANTIDAD
(unid.)]]</f>
        <v>0</v>
      </c>
      <c r="AK42" s="280">
        <f>'🧮 Costos x Producto'!J46</f>
        <v>0</v>
      </c>
      <c r="AL42" s="278">
        <f>'🧮 Costos x Producto'!K46</f>
        <v>0</v>
      </c>
      <c r="AM42" s="278">
        <f>TABLA_BASE[[#This Row],[C/M UNIT.
(S/.)]]*TABLA_BASE[[#This Row],[CANTIDAD
(unid.)]]</f>
        <v>0</v>
      </c>
      <c r="AN42" s="279">
        <f>IF('🧾 Factura Comercial'!G46=0,0,'🧾 Tributos Aduana'!$F$17*(IF('🧾 Tributos Aduana'!$F$6=0,0,'🧾 Factura Comercial'!I46/'🧾 Tributos Aduana'!$F$6))/'🧾 Factura Comercial'!G46)</f>
        <v>0</v>
      </c>
      <c r="AO42" s="280">
        <f>IF('🧾 Factura Comercial'!G46=0,0,'🏦 Crédito Fiscal'!$C$16*(IF('🧾 Tributos Aduana'!$F$6=0,0,'🧾 Factura Comercial'!I46/'🧾 Tributos Aduana'!$F$6))/'🧾 Factura Comercial'!G46)</f>
        <v>0</v>
      </c>
      <c r="AP42" s="278">
        <f>TABLA_BASE[[#This Row],[CF UNIT.
✅RECUP.
(US$)]]*'📋 Datos Generales'!$E$19</f>
        <v>0</v>
      </c>
      <c r="AQ42" s="278">
        <f>TABLA_BASE[[#This Row],[CF UNIT.
✅RECUP.(S/.)]]*TABLA_BASE[[#This Row],[CANTIDAD
(unid.)]]</f>
        <v>0</v>
      </c>
      <c r="AR42" s="288">
        <f>'💰 Precio de Venta'!G47</f>
        <v>0.4</v>
      </c>
      <c r="AS42" s="278">
        <f>'💰 Precio de Venta'!H47</f>
        <v>0</v>
      </c>
      <c r="AT42" s="278">
        <f>TABLA_BASE[[#This Row],[VALOR VTA.
UNIT.(S/.)]]*TABLA_BASE[[#This Row],[CANTIDAD
(unid.)]]</f>
        <v>0</v>
      </c>
      <c r="AU42" s="281">
        <f>'💰 Precio de Venta'!I47</f>
        <v>0</v>
      </c>
      <c r="AV42" s="278">
        <f>'💰 Precio de Venta'!J47</f>
        <v>0</v>
      </c>
      <c r="AW42" s="278">
        <f>TABLA_BASE[[#This Row],[GANANCIA
UNIT.(S/.)]]*TABLA_BASE[[#This Row],[CANTIDAD
(unid.)]]</f>
        <v>0</v>
      </c>
      <c r="AX42" s="289">
        <f>'💰 Precio de Venta'!K47</f>
        <v>0</v>
      </c>
      <c r="AY42" s="278">
        <f>TABLA_BASE[[#This Row],[GANANCIA
UNIT.(S/.)]]*'🧾 Factura Comercial'!G46</f>
        <v>0</v>
      </c>
      <c r="AZ42" s="277">
        <f>IF(TABLA_BASE[[#This Row],[PRECIO VTA.
c/IGV(S/.)]]=0,0,TABLA_BASE[[#This Row],[GANANCIA
UNIT.(S/.)]]/TABLA_BASE[[#This Row],[PRECIO VTA.
c/IGV(S/.)]])</f>
        <v>0</v>
      </c>
      <c r="BA42" s="277">
        <f>IF(TABLA_BASE[[#This Row],[C/M UNIT.
(S/.)]]=0,0,TABLA_BASE[[#This Row],[GANANCIA
UNIT.(S/.)]]/TABLA_BASE[[#This Row],[C/M UNIT.
(S/.)]])</f>
        <v>0</v>
      </c>
      <c r="BB42" s="274" t="str">
        <f>IF(TABLA_BASE[[#This Row],[MARGEN
%]]&gt;=0.5,"🟢 ALTO",IF(TABLA_BASE[[#This Row],[MARGEN
%]]&gt;=0.3,"🟡 MEDIO","🔴 BAJO"))</f>
        <v>🟡 MEDIO</v>
      </c>
    </row>
    <row r="43" spans="1:54" ht="16.5" hidden="1" thickTop="1" thickBot="1" x14ac:dyDescent="0.3">
      <c r="A43" s="274">
        <f>'🧾 Factura Comercial'!E47</f>
        <v>0</v>
      </c>
      <c r="B43" s="274" t="str">
        <f>'🧾 Factura Comercial'!F47</f>
        <v>Unid.</v>
      </c>
      <c r="C43" s="275">
        <f>'🧾 Factura Comercial'!G47</f>
        <v>0</v>
      </c>
      <c r="D43" s="276">
        <f>'🧾 Factura Comercial'!H47</f>
        <v>0</v>
      </c>
      <c r="E43" s="276">
        <f>'🧾 Factura Comercial'!I47</f>
        <v>0</v>
      </c>
      <c r="F43" s="277">
        <f>IF('🧾 Tributos Aduana'!$F$6=0,0,'🧾 Factura Comercial'!I47/'🧾 Tributos Aduana'!$F$6)</f>
        <v>0</v>
      </c>
      <c r="G43" s="278">
        <f>'🧾 Factura Comercial'!H47*'📋 Datos Generales'!$E$19</f>
        <v>0</v>
      </c>
      <c r="H43" s="278">
        <f>TABLA_BASE[[#This Row],[FOB UNIT.
(S/.)]]*TABLA_BASE[[#This Row],[CANTIDAD
(unid.)]]</f>
        <v>0</v>
      </c>
      <c r="I43" s="280">
        <f>IF('🧾 Tributos Aduana'!$F$6=0,0,'🧾 Tributos Aduana'!$F$17*('🧾 Factura Comercial'!H47/'🧾 Tributos Aduana'!$F$6))</f>
        <v>0</v>
      </c>
      <c r="J43" s="280">
        <f>TABLA_BASE[[#This Row],[ADV UNIT.
(US$)
⚠️COSTO]]*TABLA_BASE[[#This Row],[CANTIDAD
(unid.)]]</f>
        <v>0</v>
      </c>
      <c r="K43" s="279">
        <f>IF('🧾 Tributos Aduana'!$F$6=0,0,'🧾 Tributos Aduana'!$F$18*('🧾 Factura Comercial'!H47/'🧾 Tributos Aduana'!$F$6))</f>
        <v>0</v>
      </c>
      <c r="L43" s="280">
        <f>TABLA_BASE[[#This Row],[IPM UNIT.
(US$)
✅CF]]*TABLA_BASE[[#This Row],[CANTIDAD
(unid.)]]</f>
        <v>0</v>
      </c>
      <c r="M43" s="279">
        <f>IF('🧾 Tributos Aduana'!$F$6=0,0,'🧾 Tributos Aduana'!$F$19*('🧾 Factura Comercial'!H47/'🧾 Tributos Aduana'!$F$6))</f>
        <v>0</v>
      </c>
      <c r="N43" s="280">
        <f>TABLA_BASE[[#This Row],[IGV UNIT.
(US$)
✅CF]]*TABLA_BASE[[#This Row],[CANTIDAD
(unid.)]]</f>
        <v>0</v>
      </c>
      <c r="O43" s="280">
        <f>IF('🧾 Tributos Aduana'!$F$6=0,0,'🧾 Tributos Aduana'!$F$23*('🧾 Factura Comercial'!H47/'🧾 Tributos Aduana'!$F$6))</f>
        <v>0</v>
      </c>
      <c r="P43" s="280">
        <f>TABLA_BASE[[#This Row],[PERCEP.
UNIT.(US$)
✅CF]]*TABLA_BASE[[#This Row],[CANTIDAD
(unid.)]]</f>
        <v>0</v>
      </c>
      <c r="Q43" s="279">
        <f>TABLA_BASE[[#This Row],[ADV UNIT.
(US$)
⚠️COSTO]]+TABLA_BASE[[#This Row],[IPM UNIT.
(US$)
✅CF]]+TABLA_BASE[[#This Row],[IGV UNIT.
(US$)
✅CF]]</f>
        <v>0</v>
      </c>
      <c r="R43" s="280">
        <f>TABLA_BASE[[#This Row],[DEUDA
ADUANERA
UNIT.]]*TABLA_BASE[[#This Row],[CANTIDAD
(unid.)]]</f>
        <v>0</v>
      </c>
      <c r="S43" s="278">
        <f>TABLA_BASE[[#This Row],[DEUDA
ADUANERA
UNIT.]]*'📋 Datos Generales'!$E$19</f>
        <v>0</v>
      </c>
      <c r="T43" s="278">
        <f>TABLA_BASE[[#This Row],[DEUDA
ADUANERA
TOTAL]]*'📋 Datos Generales'!$E$19</f>
        <v>0</v>
      </c>
      <c r="U43" s="281">
        <f>TABLA_BASE[[#This Row],[ADV UNIT.
(US$)
⚠️COSTO]]*'📋 Datos Generales'!$E$19</f>
        <v>0</v>
      </c>
      <c r="V43" s="281">
        <f>TABLA_BASE[[#This Row],[ADV UNIT.
(S/.)]]*TABLA_BASE[[#This Row],[CANTIDAD
(unid.)]]</f>
        <v>0</v>
      </c>
      <c r="W43" s="281">
        <f>TABLA_BASE[[#This Row],[IPM UNIT.
(US$)
✅CF]]*'📋 Datos Generales'!$E$19</f>
        <v>0</v>
      </c>
      <c r="X43" s="281">
        <f>TABLA_BASE[[#This Row],[IPM UNIT.
(S/.)]]*TABLA_BASE[[#This Row],[CANTIDAD
(unid.)]]</f>
        <v>0</v>
      </c>
      <c r="Y43" s="281">
        <f>TABLA_BASE[[#This Row],[IGV UNIT.
(US$)
✅CF]]*'📋 Datos Generales'!$E$19</f>
        <v>0</v>
      </c>
      <c r="Z43" s="281">
        <f>TABLA_BASE[[#This Row],[IGV UNIT.
(S/.)]]*TABLA_BASE[[#This Row],[CANTIDAD
(unid.)]]</f>
        <v>0</v>
      </c>
      <c r="AA43" s="281">
        <f>TABLA_BASE[[#This Row],[PERCEP.
UNIT.(US$)
✅CF]]*'📋 Datos Generales'!$E$19</f>
        <v>0</v>
      </c>
      <c r="AB43" s="281">
        <f>TABLA_BASE[[#This Row],[PERCEP.
UNIT.(S/.)]]*TABLA_BASE[[#This Row],[CANTIDAD
(unid.)]]</f>
        <v>0</v>
      </c>
      <c r="AC43" s="279">
        <f>TABLA_BASE[[#This Row],[ADV UNIT.
(US$)
⚠️COSTO]]+TABLA_BASE[[#This Row],[IPM UNIT.
(US$)
✅CF]]+TABLA_BASE[[#This Row],[IGV UNIT.
(US$)
✅CF]]+TABLA_BASE[[#This Row],[PERCEP.
UNIT.(US$)
✅CF]]</f>
        <v>0</v>
      </c>
      <c r="AD43" s="279">
        <f>TABLA_BASE[[#This Row],[TOTAL PAGO
SUNAT
UNIT.(US$)]]*TABLA_BASE[[#This Row],[CANTIDAD
(unid.)]]</f>
        <v>0</v>
      </c>
      <c r="AE43" s="281">
        <f>TABLA_BASE[[#This Row],[TOTAL PAGO
SUNAT
UNIT.(US$)]]*'📋 Datos Generales'!$E$19</f>
        <v>0</v>
      </c>
      <c r="AF43" s="281">
        <f>TABLA_BASE[[#This Row],[TOTAL TRIB.
UNIT.(S/.)]]*TABLA_BASE[[#This Row],[CANTIDAD
(unid.)]]</f>
        <v>0</v>
      </c>
      <c r="AG43" s="279">
        <f>IF('🧾 Factura Comercial'!G47=0,0,'📦 Gastos Importación'!$E$28*(IF('🧾 Tributos Aduana'!$F$6=0,0,'🧾 Factura Comercial'!I47/'🧾 Tributos Aduana'!$F$6))/'🧾 Factura Comercial'!G47)</f>
        <v>0</v>
      </c>
      <c r="AH43" s="279">
        <f>TABLA_BASE[[#This Row],[GASTOS IMP.
UNIT.(US$)]]*TABLA_BASE[[#This Row],[CANTIDAD
(unid.)]]</f>
        <v>0</v>
      </c>
      <c r="AI43" s="281">
        <f>TABLA_BASE[[#This Row],[GASTOS IMP.
UNIT.(US$)]]*'📋 Datos Generales'!$E$19</f>
        <v>0</v>
      </c>
      <c r="AJ43" s="281">
        <f>TABLA_BASE[[#This Row],[GASTOS IMP.
UNIT.(S/.)]]*TABLA_BASE[[#This Row],[CANTIDAD
(unid.)]]</f>
        <v>0</v>
      </c>
      <c r="AK43" s="280">
        <f>'🧮 Costos x Producto'!J47</f>
        <v>0</v>
      </c>
      <c r="AL43" s="278">
        <f>'🧮 Costos x Producto'!K47</f>
        <v>0</v>
      </c>
      <c r="AM43" s="278">
        <f>TABLA_BASE[[#This Row],[C/M UNIT.
(S/.)]]*TABLA_BASE[[#This Row],[CANTIDAD
(unid.)]]</f>
        <v>0</v>
      </c>
      <c r="AN43" s="279">
        <f>IF('🧾 Factura Comercial'!G47=0,0,'🧾 Tributos Aduana'!$F$17*(IF('🧾 Tributos Aduana'!$F$6=0,0,'🧾 Factura Comercial'!I47/'🧾 Tributos Aduana'!$F$6))/'🧾 Factura Comercial'!G47)</f>
        <v>0</v>
      </c>
      <c r="AO43" s="280">
        <f>IF('🧾 Factura Comercial'!G47=0,0,'🏦 Crédito Fiscal'!$C$16*(IF('🧾 Tributos Aduana'!$F$6=0,0,'🧾 Factura Comercial'!I47/'🧾 Tributos Aduana'!$F$6))/'🧾 Factura Comercial'!G47)</f>
        <v>0</v>
      </c>
      <c r="AP43" s="278">
        <f>TABLA_BASE[[#This Row],[CF UNIT.
✅RECUP.
(US$)]]*'📋 Datos Generales'!$E$19</f>
        <v>0</v>
      </c>
      <c r="AQ43" s="278">
        <f>TABLA_BASE[[#This Row],[CF UNIT.
✅RECUP.(S/.)]]*TABLA_BASE[[#This Row],[CANTIDAD
(unid.)]]</f>
        <v>0</v>
      </c>
      <c r="AR43" s="288">
        <f>'💰 Precio de Venta'!G48</f>
        <v>0.4</v>
      </c>
      <c r="AS43" s="278">
        <f>'💰 Precio de Venta'!H48</f>
        <v>0</v>
      </c>
      <c r="AT43" s="278">
        <f>TABLA_BASE[[#This Row],[VALOR VTA.
UNIT.(S/.)]]*TABLA_BASE[[#This Row],[CANTIDAD
(unid.)]]</f>
        <v>0</v>
      </c>
      <c r="AU43" s="281">
        <f>'💰 Precio de Venta'!I48</f>
        <v>0</v>
      </c>
      <c r="AV43" s="278">
        <f>'💰 Precio de Venta'!J48</f>
        <v>0</v>
      </c>
      <c r="AW43" s="278">
        <f>TABLA_BASE[[#This Row],[GANANCIA
UNIT.(S/.)]]*TABLA_BASE[[#This Row],[CANTIDAD
(unid.)]]</f>
        <v>0</v>
      </c>
      <c r="AX43" s="289">
        <f>'💰 Precio de Venta'!K48</f>
        <v>0</v>
      </c>
      <c r="AY43" s="278">
        <f>TABLA_BASE[[#This Row],[GANANCIA
UNIT.(S/.)]]*'🧾 Factura Comercial'!G47</f>
        <v>0</v>
      </c>
      <c r="AZ43" s="277">
        <f>IF(TABLA_BASE[[#This Row],[PRECIO VTA.
c/IGV(S/.)]]=0,0,TABLA_BASE[[#This Row],[GANANCIA
UNIT.(S/.)]]/TABLA_BASE[[#This Row],[PRECIO VTA.
c/IGV(S/.)]])</f>
        <v>0</v>
      </c>
      <c r="BA43" s="277">
        <f>IF(TABLA_BASE[[#This Row],[C/M UNIT.
(S/.)]]=0,0,TABLA_BASE[[#This Row],[GANANCIA
UNIT.(S/.)]]/TABLA_BASE[[#This Row],[C/M UNIT.
(S/.)]])</f>
        <v>0</v>
      </c>
      <c r="BB43" s="274" t="str">
        <f>IF(TABLA_BASE[[#This Row],[MARGEN
%]]&gt;=0.5,"🟢 ALTO",IF(TABLA_BASE[[#This Row],[MARGEN
%]]&gt;=0.3,"🟡 MEDIO","🔴 BAJO"))</f>
        <v>🟡 MEDIO</v>
      </c>
    </row>
    <row r="44" spans="1:54" ht="16.5" hidden="1" thickTop="1" thickBot="1" x14ac:dyDescent="0.3">
      <c r="A44" s="274">
        <f>'🧾 Factura Comercial'!E48</f>
        <v>0</v>
      </c>
      <c r="B44" s="274" t="str">
        <f>'🧾 Factura Comercial'!F48</f>
        <v>Unid.</v>
      </c>
      <c r="C44" s="275">
        <f>'🧾 Factura Comercial'!G48</f>
        <v>0</v>
      </c>
      <c r="D44" s="276">
        <f>'🧾 Factura Comercial'!H48</f>
        <v>0</v>
      </c>
      <c r="E44" s="276">
        <f>'🧾 Factura Comercial'!I48</f>
        <v>0</v>
      </c>
      <c r="F44" s="277">
        <f>IF('🧾 Tributos Aduana'!$F$6=0,0,'🧾 Factura Comercial'!I48/'🧾 Tributos Aduana'!$F$6)</f>
        <v>0</v>
      </c>
      <c r="G44" s="278">
        <f>'🧾 Factura Comercial'!H48*'📋 Datos Generales'!$E$19</f>
        <v>0</v>
      </c>
      <c r="H44" s="278">
        <f>TABLA_BASE[[#This Row],[FOB UNIT.
(S/.)]]*TABLA_BASE[[#This Row],[CANTIDAD
(unid.)]]</f>
        <v>0</v>
      </c>
      <c r="I44" s="280">
        <f>IF('🧾 Tributos Aduana'!$F$6=0,0,'🧾 Tributos Aduana'!$F$17*('🧾 Factura Comercial'!H48/'🧾 Tributos Aduana'!$F$6))</f>
        <v>0</v>
      </c>
      <c r="J44" s="280">
        <f>TABLA_BASE[[#This Row],[ADV UNIT.
(US$)
⚠️COSTO]]*TABLA_BASE[[#This Row],[CANTIDAD
(unid.)]]</f>
        <v>0</v>
      </c>
      <c r="K44" s="279">
        <f>IF('🧾 Tributos Aduana'!$F$6=0,0,'🧾 Tributos Aduana'!$F$18*('🧾 Factura Comercial'!H48/'🧾 Tributos Aduana'!$F$6))</f>
        <v>0</v>
      </c>
      <c r="L44" s="280">
        <f>TABLA_BASE[[#This Row],[IPM UNIT.
(US$)
✅CF]]*TABLA_BASE[[#This Row],[CANTIDAD
(unid.)]]</f>
        <v>0</v>
      </c>
      <c r="M44" s="279">
        <f>IF('🧾 Tributos Aduana'!$F$6=0,0,'🧾 Tributos Aduana'!$F$19*('🧾 Factura Comercial'!H48/'🧾 Tributos Aduana'!$F$6))</f>
        <v>0</v>
      </c>
      <c r="N44" s="280">
        <f>TABLA_BASE[[#This Row],[IGV UNIT.
(US$)
✅CF]]*TABLA_BASE[[#This Row],[CANTIDAD
(unid.)]]</f>
        <v>0</v>
      </c>
      <c r="O44" s="280">
        <f>IF('🧾 Tributos Aduana'!$F$6=0,0,'🧾 Tributos Aduana'!$F$23*('🧾 Factura Comercial'!H48/'🧾 Tributos Aduana'!$F$6))</f>
        <v>0</v>
      </c>
      <c r="P44" s="280">
        <f>TABLA_BASE[[#This Row],[PERCEP.
UNIT.(US$)
✅CF]]*TABLA_BASE[[#This Row],[CANTIDAD
(unid.)]]</f>
        <v>0</v>
      </c>
      <c r="Q44" s="279">
        <f>TABLA_BASE[[#This Row],[ADV UNIT.
(US$)
⚠️COSTO]]+TABLA_BASE[[#This Row],[IPM UNIT.
(US$)
✅CF]]+TABLA_BASE[[#This Row],[IGV UNIT.
(US$)
✅CF]]</f>
        <v>0</v>
      </c>
      <c r="R44" s="280">
        <f>TABLA_BASE[[#This Row],[DEUDA
ADUANERA
UNIT.]]*TABLA_BASE[[#This Row],[CANTIDAD
(unid.)]]</f>
        <v>0</v>
      </c>
      <c r="S44" s="278">
        <f>TABLA_BASE[[#This Row],[DEUDA
ADUANERA
UNIT.]]*'📋 Datos Generales'!$E$19</f>
        <v>0</v>
      </c>
      <c r="T44" s="278">
        <f>TABLA_BASE[[#This Row],[DEUDA
ADUANERA
TOTAL]]*'📋 Datos Generales'!$E$19</f>
        <v>0</v>
      </c>
      <c r="U44" s="281">
        <f>TABLA_BASE[[#This Row],[ADV UNIT.
(US$)
⚠️COSTO]]*'📋 Datos Generales'!$E$19</f>
        <v>0</v>
      </c>
      <c r="V44" s="281">
        <f>TABLA_BASE[[#This Row],[ADV UNIT.
(S/.)]]*TABLA_BASE[[#This Row],[CANTIDAD
(unid.)]]</f>
        <v>0</v>
      </c>
      <c r="W44" s="281">
        <f>TABLA_BASE[[#This Row],[IPM UNIT.
(US$)
✅CF]]*'📋 Datos Generales'!$E$19</f>
        <v>0</v>
      </c>
      <c r="X44" s="281">
        <f>TABLA_BASE[[#This Row],[IPM UNIT.
(S/.)]]*TABLA_BASE[[#This Row],[CANTIDAD
(unid.)]]</f>
        <v>0</v>
      </c>
      <c r="Y44" s="281">
        <f>TABLA_BASE[[#This Row],[IGV UNIT.
(US$)
✅CF]]*'📋 Datos Generales'!$E$19</f>
        <v>0</v>
      </c>
      <c r="Z44" s="281">
        <f>TABLA_BASE[[#This Row],[IGV UNIT.
(S/.)]]*TABLA_BASE[[#This Row],[CANTIDAD
(unid.)]]</f>
        <v>0</v>
      </c>
      <c r="AA44" s="281">
        <f>TABLA_BASE[[#This Row],[PERCEP.
UNIT.(US$)
✅CF]]*'📋 Datos Generales'!$E$19</f>
        <v>0</v>
      </c>
      <c r="AB44" s="281">
        <f>TABLA_BASE[[#This Row],[PERCEP.
UNIT.(S/.)]]*TABLA_BASE[[#This Row],[CANTIDAD
(unid.)]]</f>
        <v>0</v>
      </c>
      <c r="AC44" s="279">
        <f>TABLA_BASE[[#This Row],[ADV UNIT.
(US$)
⚠️COSTO]]+TABLA_BASE[[#This Row],[IPM UNIT.
(US$)
✅CF]]+TABLA_BASE[[#This Row],[IGV UNIT.
(US$)
✅CF]]+TABLA_BASE[[#This Row],[PERCEP.
UNIT.(US$)
✅CF]]</f>
        <v>0</v>
      </c>
      <c r="AD44" s="279">
        <f>TABLA_BASE[[#This Row],[TOTAL PAGO
SUNAT
UNIT.(US$)]]*TABLA_BASE[[#This Row],[CANTIDAD
(unid.)]]</f>
        <v>0</v>
      </c>
      <c r="AE44" s="281">
        <f>TABLA_BASE[[#This Row],[TOTAL PAGO
SUNAT
UNIT.(US$)]]*'📋 Datos Generales'!$E$19</f>
        <v>0</v>
      </c>
      <c r="AF44" s="281">
        <f>TABLA_BASE[[#This Row],[TOTAL TRIB.
UNIT.(S/.)]]*TABLA_BASE[[#This Row],[CANTIDAD
(unid.)]]</f>
        <v>0</v>
      </c>
      <c r="AG44" s="279">
        <f>IF('🧾 Factura Comercial'!G48=0,0,'📦 Gastos Importación'!$E$28*(IF('🧾 Tributos Aduana'!$F$6=0,0,'🧾 Factura Comercial'!I48/'🧾 Tributos Aduana'!$F$6))/'🧾 Factura Comercial'!G48)</f>
        <v>0</v>
      </c>
      <c r="AH44" s="279">
        <f>TABLA_BASE[[#This Row],[GASTOS IMP.
UNIT.(US$)]]*TABLA_BASE[[#This Row],[CANTIDAD
(unid.)]]</f>
        <v>0</v>
      </c>
      <c r="AI44" s="281">
        <f>TABLA_BASE[[#This Row],[GASTOS IMP.
UNIT.(US$)]]*'📋 Datos Generales'!$E$19</f>
        <v>0</v>
      </c>
      <c r="AJ44" s="281">
        <f>TABLA_BASE[[#This Row],[GASTOS IMP.
UNIT.(S/.)]]*TABLA_BASE[[#This Row],[CANTIDAD
(unid.)]]</f>
        <v>0</v>
      </c>
      <c r="AK44" s="280">
        <f>'🧮 Costos x Producto'!J48</f>
        <v>0</v>
      </c>
      <c r="AL44" s="278">
        <f>'🧮 Costos x Producto'!K48</f>
        <v>0</v>
      </c>
      <c r="AM44" s="278">
        <f>TABLA_BASE[[#This Row],[C/M UNIT.
(S/.)]]*TABLA_BASE[[#This Row],[CANTIDAD
(unid.)]]</f>
        <v>0</v>
      </c>
      <c r="AN44" s="279">
        <f>IF('🧾 Factura Comercial'!G48=0,0,'🧾 Tributos Aduana'!$F$17*(IF('🧾 Tributos Aduana'!$F$6=0,0,'🧾 Factura Comercial'!I48/'🧾 Tributos Aduana'!$F$6))/'🧾 Factura Comercial'!G48)</f>
        <v>0</v>
      </c>
      <c r="AO44" s="280">
        <f>IF('🧾 Factura Comercial'!G48=0,0,'🏦 Crédito Fiscal'!$C$16*(IF('🧾 Tributos Aduana'!$F$6=0,0,'🧾 Factura Comercial'!I48/'🧾 Tributos Aduana'!$F$6))/'🧾 Factura Comercial'!G48)</f>
        <v>0</v>
      </c>
      <c r="AP44" s="278">
        <f>TABLA_BASE[[#This Row],[CF UNIT.
✅RECUP.
(US$)]]*'📋 Datos Generales'!$E$19</f>
        <v>0</v>
      </c>
      <c r="AQ44" s="278">
        <f>TABLA_BASE[[#This Row],[CF UNIT.
✅RECUP.(S/.)]]*TABLA_BASE[[#This Row],[CANTIDAD
(unid.)]]</f>
        <v>0</v>
      </c>
      <c r="AR44" s="288">
        <f>'💰 Precio de Venta'!G49</f>
        <v>0.4</v>
      </c>
      <c r="AS44" s="278">
        <f>'💰 Precio de Venta'!H49</f>
        <v>0</v>
      </c>
      <c r="AT44" s="278">
        <f>TABLA_BASE[[#This Row],[VALOR VTA.
UNIT.(S/.)]]*TABLA_BASE[[#This Row],[CANTIDAD
(unid.)]]</f>
        <v>0</v>
      </c>
      <c r="AU44" s="281">
        <f>'💰 Precio de Venta'!I49</f>
        <v>0</v>
      </c>
      <c r="AV44" s="278">
        <f>'💰 Precio de Venta'!J49</f>
        <v>0</v>
      </c>
      <c r="AW44" s="278">
        <f>TABLA_BASE[[#This Row],[GANANCIA
UNIT.(S/.)]]*TABLA_BASE[[#This Row],[CANTIDAD
(unid.)]]</f>
        <v>0</v>
      </c>
      <c r="AX44" s="289">
        <f>'💰 Precio de Venta'!K49</f>
        <v>0</v>
      </c>
      <c r="AY44" s="278">
        <f>TABLA_BASE[[#This Row],[GANANCIA
UNIT.(S/.)]]*'🧾 Factura Comercial'!G48</f>
        <v>0</v>
      </c>
      <c r="AZ44" s="277">
        <f>IF(TABLA_BASE[[#This Row],[PRECIO VTA.
c/IGV(S/.)]]=0,0,TABLA_BASE[[#This Row],[GANANCIA
UNIT.(S/.)]]/TABLA_BASE[[#This Row],[PRECIO VTA.
c/IGV(S/.)]])</f>
        <v>0</v>
      </c>
      <c r="BA44" s="277">
        <f>IF(TABLA_BASE[[#This Row],[C/M UNIT.
(S/.)]]=0,0,TABLA_BASE[[#This Row],[GANANCIA
UNIT.(S/.)]]/TABLA_BASE[[#This Row],[C/M UNIT.
(S/.)]])</f>
        <v>0</v>
      </c>
      <c r="BB44" s="274" t="str">
        <f>IF(TABLA_BASE[[#This Row],[MARGEN
%]]&gt;=0.5,"🟢 ALTO",IF(TABLA_BASE[[#This Row],[MARGEN
%]]&gt;=0.3,"🟡 MEDIO","🔴 BAJO"))</f>
        <v>🟡 MEDIO</v>
      </c>
    </row>
    <row r="45" spans="1:54" ht="16.5" hidden="1" thickTop="1" thickBot="1" x14ac:dyDescent="0.3">
      <c r="A45" s="274">
        <f>'🧾 Factura Comercial'!E49</f>
        <v>0</v>
      </c>
      <c r="B45" s="274" t="str">
        <f>'🧾 Factura Comercial'!F49</f>
        <v>Unid.</v>
      </c>
      <c r="C45" s="275">
        <f>'🧾 Factura Comercial'!G49</f>
        <v>0</v>
      </c>
      <c r="D45" s="276">
        <f>'🧾 Factura Comercial'!H49</f>
        <v>0</v>
      </c>
      <c r="E45" s="276">
        <f>'🧾 Factura Comercial'!I49</f>
        <v>0</v>
      </c>
      <c r="F45" s="277">
        <f>IF('🧾 Tributos Aduana'!$F$6=0,0,'🧾 Factura Comercial'!I49/'🧾 Tributos Aduana'!$F$6)</f>
        <v>0</v>
      </c>
      <c r="G45" s="278">
        <f>'🧾 Factura Comercial'!H49*'📋 Datos Generales'!$E$19</f>
        <v>0</v>
      </c>
      <c r="H45" s="278">
        <f>TABLA_BASE[[#This Row],[FOB UNIT.
(S/.)]]*TABLA_BASE[[#This Row],[CANTIDAD
(unid.)]]</f>
        <v>0</v>
      </c>
      <c r="I45" s="280">
        <f>IF('🧾 Tributos Aduana'!$F$6=0,0,'🧾 Tributos Aduana'!$F$17*('🧾 Factura Comercial'!H49/'🧾 Tributos Aduana'!$F$6))</f>
        <v>0</v>
      </c>
      <c r="J45" s="280">
        <f>TABLA_BASE[[#This Row],[ADV UNIT.
(US$)
⚠️COSTO]]*TABLA_BASE[[#This Row],[CANTIDAD
(unid.)]]</f>
        <v>0</v>
      </c>
      <c r="K45" s="279">
        <f>IF('🧾 Tributos Aduana'!$F$6=0,0,'🧾 Tributos Aduana'!$F$18*('🧾 Factura Comercial'!H49/'🧾 Tributos Aduana'!$F$6))</f>
        <v>0</v>
      </c>
      <c r="L45" s="280">
        <f>TABLA_BASE[[#This Row],[IPM UNIT.
(US$)
✅CF]]*TABLA_BASE[[#This Row],[CANTIDAD
(unid.)]]</f>
        <v>0</v>
      </c>
      <c r="M45" s="279">
        <f>IF('🧾 Tributos Aduana'!$F$6=0,0,'🧾 Tributos Aduana'!$F$19*('🧾 Factura Comercial'!H49/'🧾 Tributos Aduana'!$F$6))</f>
        <v>0</v>
      </c>
      <c r="N45" s="280">
        <f>TABLA_BASE[[#This Row],[IGV UNIT.
(US$)
✅CF]]*TABLA_BASE[[#This Row],[CANTIDAD
(unid.)]]</f>
        <v>0</v>
      </c>
      <c r="O45" s="280">
        <f>IF('🧾 Tributos Aduana'!$F$6=0,0,'🧾 Tributos Aduana'!$F$23*('🧾 Factura Comercial'!H49/'🧾 Tributos Aduana'!$F$6))</f>
        <v>0</v>
      </c>
      <c r="P45" s="280">
        <f>TABLA_BASE[[#This Row],[PERCEP.
UNIT.(US$)
✅CF]]*TABLA_BASE[[#This Row],[CANTIDAD
(unid.)]]</f>
        <v>0</v>
      </c>
      <c r="Q45" s="279">
        <f>TABLA_BASE[[#This Row],[ADV UNIT.
(US$)
⚠️COSTO]]+TABLA_BASE[[#This Row],[IPM UNIT.
(US$)
✅CF]]+TABLA_BASE[[#This Row],[IGV UNIT.
(US$)
✅CF]]</f>
        <v>0</v>
      </c>
      <c r="R45" s="280">
        <f>TABLA_BASE[[#This Row],[DEUDA
ADUANERA
UNIT.]]*TABLA_BASE[[#This Row],[CANTIDAD
(unid.)]]</f>
        <v>0</v>
      </c>
      <c r="S45" s="278">
        <f>TABLA_BASE[[#This Row],[DEUDA
ADUANERA
UNIT.]]*'📋 Datos Generales'!$E$19</f>
        <v>0</v>
      </c>
      <c r="T45" s="278">
        <f>TABLA_BASE[[#This Row],[DEUDA
ADUANERA
TOTAL]]*'📋 Datos Generales'!$E$19</f>
        <v>0</v>
      </c>
      <c r="U45" s="281">
        <f>TABLA_BASE[[#This Row],[ADV UNIT.
(US$)
⚠️COSTO]]*'📋 Datos Generales'!$E$19</f>
        <v>0</v>
      </c>
      <c r="V45" s="281">
        <f>TABLA_BASE[[#This Row],[ADV UNIT.
(S/.)]]*TABLA_BASE[[#This Row],[CANTIDAD
(unid.)]]</f>
        <v>0</v>
      </c>
      <c r="W45" s="281">
        <f>TABLA_BASE[[#This Row],[IPM UNIT.
(US$)
✅CF]]*'📋 Datos Generales'!$E$19</f>
        <v>0</v>
      </c>
      <c r="X45" s="281">
        <f>TABLA_BASE[[#This Row],[IPM UNIT.
(S/.)]]*TABLA_BASE[[#This Row],[CANTIDAD
(unid.)]]</f>
        <v>0</v>
      </c>
      <c r="Y45" s="281">
        <f>TABLA_BASE[[#This Row],[IGV UNIT.
(US$)
✅CF]]*'📋 Datos Generales'!$E$19</f>
        <v>0</v>
      </c>
      <c r="Z45" s="281">
        <f>TABLA_BASE[[#This Row],[IGV UNIT.
(S/.)]]*TABLA_BASE[[#This Row],[CANTIDAD
(unid.)]]</f>
        <v>0</v>
      </c>
      <c r="AA45" s="281">
        <f>TABLA_BASE[[#This Row],[PERCEP.
UNIT.(US$)
✅CF]]*'📋 Datos Generales'!$E$19</f>
        <v>0</v>
      </c>
      <c r="AB45" s="281">
        <f>TABLA_BASE[[#This Row],[PERCEP.
UNIT.(S/.)]]*TABLA_BASE[[#This Row],[CANTIDAD
(unid.)]]</f>
        <v>0</v>
      </c>
      <c r="AC45" s="279">
        <f>TABLA_BASE[[#This Row],[ADV UNIT.
(US$)
⚠️COSTO]]+TABLA_BASE[[#This Row],[IPM UNIT.
(US$)
✅CF]]+TABLA_BASE[[#This Row],[IGV UNIT.
(US$)
✅CF]]+TABLA_BASE[[#This Row],[PERCEP.
UNIT.(US$)
✅CF]]</f>
        <v>0</v>
      </c>
      <c r="AD45" s="279">
        <f>TABLA_BASE[[#This Row],[TOTAL PAGO
SUNAT
UNIT.(US$)]]*TABLA_BASE[[#This Row],[CANTIDAD
(unid.)]]</f>
        <v>0</v>
      </c>
      <c r="AE45" s="281">
        <f>TABLA_BASE[[#This Row],[TOTAL PAGO
SUNAT
UNIT.(US$)]]*'📋 Datos Generales'!$E$19</f>
        <v>0</v>
      </c>
      <c r="AF45" s="281">
        <f>TABLA_BASE[[#This Row],[TOTAL TRIB.
UNIT.(S/.)]]*TABLA_BASE[[#This Row],[CANTIDAD
(unid.)]]</f>
        <v>0</v>
      </c>
      <c r="AG45" s="279">
        <f>IF('🧾 Factura Comercial'!G49=0,0,'📦 Gastos Importación'!$E$28*(IF('🧾 Tributos Aduana'!$F$6=0,0,'🧾 Factura Comercial'!I49/'🧾 Tributos Aduana'!$F$6))/'🧾 Factura Comercial'!G49)</f>
        <v>0</v>
      </c>
      <c r="AH45" s="279">
        <f>TABLA_BASE[[#This Row],[GASTOS IMP.
UNIT.(US$)]]*TABLA_BASE[[#This Row],[CANTIDAD
(unid.)]]</f>
        <v>0</v>
      </c>
      <c r="AI45" s="281">
        <f>TABLA_BASE[[#This Row],[GASTOS IMP.
UNIT.(US$)]]*'📋 Datos Generales'!$E$19</f>
        <v>0</v>
      </c>
      <c r="AJ45" s="281">
        <f>TABLA_BASE[[#This Row],[GASTOS IMP.
UNIT.(S/.)]]*TABLA_BASE[[#This Row],[CANTIDAD
(unid.)]]</f>
        <v>0</v>
      </c>
      <c r="AK45" s="280">
        <f>'🧮 Costos x Producto'!J49</f>
        <v>0</v>
      </c>
      <c r="AL45" s="278">
        <f>'🧮 Costos x Producto'!K49</f>
        <v>0</v>
      </c>
      <c r="AM45" s="278">
        <f>TABLA_BASE[[#This Row],[C/M UNIT.
(S/.)]]*TABLA_BASE[[#This Row],[CANTIDAD
(unid.)]]</f>
        <v>0</v>
      </c>
      <c r="AN45" s="279">
        <f>IF('🧾 Factura Comercial'!G49=0,0,'🧾 Tributos Aduana'!$F$17*(IF('🧾 Tributos Aduana'!$F$6=0,0,'🧾 Factura Comercial'!I49/'🧾 Tributos Aduana'!$F$6))/'🧾 Factura Comercial'!G49)</f>
        <v>0</v>
      </c>
      <c r="AO45" s="280">
        <f>IF('🧾 Factura Comercial'!G49=0,0,'🏦 Crédito Fiscal'!$C$16*(IF('🧾 Tributos Aduana'!$F$6=0,0,'🧾 Factura Comercial'!I49/'🧾 Tributos Aduana'!$F$6))/'🧾 Factura Comercial'!G49)</f>
        <v>0</v>
      </c>
      <c r="AP45" s="278">
        <f>TABLA_BASE[[#This Row],[CF UNIT.
✅RECUP.
(US$)]]*'📋 Datos Generales'!$E$19</f>
        <v>0</v>
      </c>
      <c r="AQ45" s="278">
        <f>TABLA_BASE[[#This Row],[CF UNIT.
✅RECUP.(S/.)]]*TABLA_BASE[[#This Row],[CANTIDAD
(unid.)]]</f>
        <v>0</v>
      </c>
      <c r="AR45" s="288">
        <f>'💰 Precio de Venta'!G50</f>
        <v>0.4</v>
      </c>
      <c r="AS45" s="278">
        <f>'💰 Precio de Venta'!H50</f>
        <v>0</v>
      </c>
      <c r="AT45" s="278">
        <f>TABLA_BASE[[#This Row],[VALOR VTA.
UNIT.(S/.)]]*TABLA_BASE[[#This Row],[CANTIDAD
(unid.)]]</f>
        <v>0</v>
      </c>
      <c r="AU45" s="281">
        <f>'💰 Precio de Venta'!I50</f>
        <v>0</v>
      </c>
      <c r="AV45" s="278">
        <f>'💰 Precio de Venta'!J50</f>
        <v>0</v>
      </c>
      <c r="AW45" s="278">
        <f>TABLA_BASE[[#This Row],[GANANCIA
UNIT.(S/.)]]*TABLA_BASE[[#This Row],[CANTIDAD
(unid.)]]</f>
        <v>0</v>
      </c>
      <c r="AX45" s="289">
        <f>'💰 Precio de Venta'!K50</f>
        <v>0</v>
      </c>
      <c r="AY45" s="278">
        <f>TABLA_BASE[[#This Row],[GANANCIA
UNIT.(S/.)]]*'🧾 Factura Comercial'!G49</f>
        <v>0</v>
      </c>
      <c r="AZ45" s="277">
        <f>IF(TABLA_BASE[[#This Row],[PRECIO VTA.
c/IGV(S/.)]]=0,0,TABLA_BASE[[#This Row],[GANANCIA
UNIT.(S/.)]]/TABLA_BASE[[#This Row],[PRECIO VTA.
c/IGV(S/.)]])</f>
        <v>0</v>
      </c>
      <c r="BA45" s="277">
        <f>IF(TABLA_BASE[[#This Row],[C/M UNIT.
(S/.)]]=0,0,TABLA_BASE[[#This Row],[GANANCIA
UNIT.(S/.)]]/TABLA_BASE[[#This Row],[C/M UNIT.
(S/.)]])</f>
        <v>0</v>
      </c>
      <c r="BB45" s="274" t="str">
        <f>IF(TABLA_BASE[[#This Row],[MARGEN
%]]&gt;=0.5,"🟢 ALTO",IF(TABLA_BASE[[#This Row],[MARGEN
%]]&gt;=0.3,"🟡 MEDIO","🔴 BAJO"))</f>
        <v>🟡 MEDIO</v>
      </c>
    </row>
    <row r="46" spans="1:54" ht="16.5" hidden="1" thickTop="1" thickBot="1" x14ac:dyDescent="0.3">
      <c r="A46" s="274">
        <f>'🧾 Factura Comercial'!E50</f>
        <v>0</v>
      </c>
      <c r="B46" s="274" t="str">
        <f>'🧾 Factura Comercial'!F50</f>
        <v>Unid.</v>
      </c>
      <c r="C46" s="275">
        <f>'🧾 Factura Comercial'!G50</f>
        <v>0</v>
      </c>
      <c r="D46" s="276">
        <f>'🧾 Factura Comercial'!H50</f>
        <v>0</v>
      </c>
      <c r="E46" s="276">
        <f>'🧾 Factura Comercial'!I50</f>
        <v>0</v>
      </c>
      <c r="F46" s="277">
        <f>IF('🧾 Tributos Aduana'!$F$6=0,0,'🧾 Factura Comercial'!I50/'🧾 Tributos Aduana'!$F$6)</f>
        <v>0</v>
      </c>
      <c r="G46" s="278">
        <f>'🧾 Factura Comercial'!H50*'📋 Datos Generales'!$E$19</f>
        <v>0</v>
      </c>
      <c r="H46" s="278">
        <f>TABLA_BASE[[#This Row],[FOB UNIT.
(S/.)]]*TABLA_BASE[[#This Row],[CANTIDAD
(unid.)]]</f>
        <v>0</v>
      </c>
      <c r="I46" s="280">
        <f>IF('🧾 Tributos Aduana'!$F$6=0,0,'🧾 Tributos Aduana'!$F$17*('🧾 Factura Comercial'!H50/'🧾 Tributos Aduana'!$F$6))</f>
        <v>0</v>
      </c>
      <c r="J46" s="280">
        <f>TABLA_BASE[[#This Row],[ADV UNIT.
(US$)
⚠️COSTO]]*TABLA_BASE[[#This Row],[CANTIDAD
(unid.)]]</f>
        <v>0</v>
      </c>
      <c r="K46" s="279">
        <f>IF('🧾 Tributos Aduana'!$F$6=0,0,'🧾 Tributos Aduana'!$F$18*('🧾 Factura Comercial'!H50/'🧾 Tributos Aduana'!$F$6))</f>
        <v>0</v>
      </c>
      <c r="L46" s="280">
        <f>TABLA_BASE[[#This Row],[IPM UNIT.
(US$)
✅CF]]*TABLA_BASE[[#This Row],[CANTIDAD
(unid.)]]</f>
        <v>0</v>
      </c>
      <c r="M46" s="279">
        <f>IF('🧾 Tributos Aduana'!$F$6=0,0,'🧾 Tributos Aduana'!$F$19*('🧾 Factura Comercial'!H50/'🧾 Tributos Aduana'!$F$6))</f>
        <v>0</v>
      </c>
      <c r="N46" s="280">
        <f>TABLA_BASE[[#This Row],[IGV UNIT.
(US$)
✅CF]]*TABLA_BASE[[#This Row],[CANTIDAD
(unid.)]]</f>
        <v>0</v>
      </c>
      <c r="O46" s="280">
        <f>IF('🧾 Tributos Aduana'!$F$6=0,0,'🧾 Tributos Aduana'!$F$23*('🧾 Factura Comercial'!H50/'🧾 Tributos Aduana'!$F$6))</f>
        <v>0</v>
      </c>
      <c r="P46" s="280">
        <f>TABLA_BASE[[#This Row],[PERCEP.
UNIT.(US$)
✅CF]]*TABLA_BASE[[#This Row],[CANTIDAD
(unid.)]]</f>
        <v>0</v>
      </c>
      <c r="Q46" s="279">
        <f>TABLA_BASE[[#This Row],[ADV UNIT.
(US$)
⚠️COSTO]]+TABLA_BASE[[#This Row],[IPM UNIT.
(US$)
✅CF]]+TABLA_BASE[[#This Row],[IGV UNIT.
(US$)
✅CF]]</f>
        <v>0</v>
      </c>
      <c r="R46" s="280">
        <f>TABLA_BASE[[#This Row],[DEUDA
ADUANERA
UNIT.]]*TABLA_BASE[[#This Row],[CANTIDAD
(unid.)]]</f>
        <v>0</v>
      </c>
      <c r="S46" s="278">
        <f>TABLA_BASE[[#This Row],[DEUDA
ADUANERA
UNIT.]]*'📋 Datos Generales'!$E$19</f>
        <v>0</v>
      </c>
      <c r="T46" s="278">
        <f>TABLA_BASE[[#This Row],[DEUDA
ADUANERA
TOTAL]]*'📋 Datos Generales'!$E$19</f>
        <v>0</v>
      </c>
      <c r="U46" s="281">
        <f>TABLA_BASE[[#This Row],[ADV UNIT.
(US$)
⚠️COSTO]]*'📋 Datos Generales'!$E$19</f>
        <v>0</v>
      </c>
      <c r="V46" s="281">
        <f>TABLA_BASE[[#This Row],[ADV UNIT.
(S/.)]]*TABLA_BASE[[#This Row],[CANTIDAD
(unid.)]]</f>
        <v>0</v>
      </c>
      <c r="W46" s="281">
        <f>TABLA_BASE[[#This Row],[IPM UNIT.
(US$)
✅CF]]*'📋 Datos Generales'!$E$19</f>
        <v>0</v>
      </c>
      <c r="X46" s="281">
        <f>TABLA_BASE[[#This Row],[IPM UNIT.
(S/.)]]*TABLA_BASE[[#This Row],[CANTIDAD
(unid.)]]</f>
        <v>0</v>
      </c>
      <c r="Y46" s="281">
        <f>TABLA_BASE[[#This Row],[IGV UNIT.
(US$)
✅CF]]*'📋 Datos Generales'!$E$19</f>
        <v>0</v>
      </c>
      <c r="Z46" s="281">
        <f>TABLA_BASE[[#This Row],[IGV UNIT.
(S/.)]]*TABLA_BASE[[#This Row],[CANTIDAD
(unid.)]]</f>
        <v>0</v>
      </c>
      <c r="AA46" s="281">
        <f>TABLA_BASE[[#This Row],[PERCEP.
UNIT.(US$)
✅CF]]*'📋 Datos Generales'!$E$19</f>
        <v>0</v>
      </c>
      <c r="AB46" s="281">
        <f>TABLA_BASE[[#This Row],[PERCEP.
UNIT.(S/.)]]*TABLA_BASE[[#This Row],[CANTIDAD
(unid.)]]</f>
        <v>0</v>
      </c>
      <c r="AC46" s="279">
        <f>TABLA_BASE[[#This Row],[ADV UNIT.
(US$)
⚠️COSTO]]+TABLA_BASE[[#This Row],[IPM UNIT.
(US$)
✅CF]]+TABLA_BASE[[#This Row],[IGV UNIT.
(US$)
✅CF]]+TABLA_BASE[[#This Row],[PERCEP.
UNIT.(US$)
✅CF]]</f>
        <v>0</v>
      </c>
      <c r="AD46" s="279">
        <f>TABLA_BASE[[#This Row],[TOTAL PAGO
SUNAT
UNIT.(US$)]]*TABLA_BASE[[#This Row],[CANTIDAD
(unid.)]]</f>
        <v>0</v>
      </c>
      <c r="AE46" s="281">
        <f>TABLA_BASE[[#This Row],[TOTAL PAGO
SUNAT
UNIT.(US$)]]*'📋 Datos Generales'!$E$19</f>
        <v>0</v>
      </c>
      <c r="AF46" s="281">
        <f>TABLA_BASE[[#This Row],[TOTAL TRIB.
UNIT.(S/.)]]*TABLA_BASE[[#This Row],[CANTIDAD
(unid.)]]</f>
        <v>0</v>
      </c>
      <c r="AG46" s="279">
        <f>IF('🧾 Factura Comercial'!G50=0,0,'📦 Gastos Importación'!$E$28*(IF('🧾 Tributos Aduana'!$F$6=0,0,'🧾 Factura Comercial'!I50/'🧾 Tributos Aduana'!$F$6))/'🧾 Factura Comercial'!G50)</f>
        <v>0</v>
      </c>
      <c r="AH46" s="279">
        <f>TABLA_BASE[[#This Row],[GASTOS IMP.
UNIT.(US$)]]*TABLA_BASE[[#This Row],[CANTIDAD
(unid.)]]</f>
        <v>0</v>
      </c>
      <c r="AI46" s="281">
        <f>TABLA_BASE[[#This Row],[GASTOS IMP.
UNIT.(US$)]]*'📋 Datos Generales'!$E$19</f>
        <v>0</v>
      </c>
      <c r="AJ46" s="281">
        <f>TABLA_BASE[[#This Row],[GASTOS IMP.
UNIT.(S/.)]]*TABLA_BASE[[#This Row],[CANTIDAD
(unid.)]]</f>
        <v>0</v>
      </c>
      <c r="AK46" s="280">
        <f>'🧮 Costos x Producto'!J50</f>
        <v>0</v>
      </c>
      <c r="AL46" s="278">
        <f>'🧮 Costos x Producto'!K50</f>
        <v>0</v>
      </c>
      <c r="AM46" s="278">
        <f>TABLA_BASE[[#This Row],[C/M UNIT.
(S/.)]]*TABLA_BASE[[#This Row],[CANTIDAD
(unid.)]]</f>
        <v>0</v>
      </c>
      <c r="AN46" s="279">
        <f>IF('🧾 Factura Comercial'!G50=0,0,'🧾 Tributos Aduana'!$F$17*(IF('🧾 Tributos Aduana'!$F$6=0,0,'🧾 Factura Comercial'!I50/'🧾 Tributos Aduana'!$F$6))/'🧾 Factura Comercial'!G50)</f>
        <v>0</v>
      </c>
      <c r="AO46" s="280">
        <f>IF('🧾 Factura Comercial'!G50=0,0,'🏦 Crédito Fiscal'!$C$16*(IF('🧾 Tributos Aduana'!$F$6=0,0,'🧾 Factura Comercial'!I50/'🧾 Tributos Aduana'!$F$6))/'🧾 Factura Comercial'!G50)</f>
        <v>0</v>
      </c>
      <c r="AP46" s="278">
        <f>TABLA_BASE[[#This Row],[CF UNIT.
✅RECUP.
(US$)]]*'📋 Datos Generales'!$E$19</f>
        <v>0</v>
      </c>
      <c r="AQ46" s="278">
        <f>TABLA_BASE[[#This Row],[CF UNIT.
✅RECUP.(S/.)]]*TABLA_BASE[[#This Row],[CANTIDAD
(unid.)]]</f>
        <v>0</v>
      </c>
      <c r="AR46" s="288">
        <f>'💰 Precio de Venta'!G51</f>
        <v>0.4</v>
      </c>
      <c r="AS46" s="278">
        <f>'💰 Precio de Venta'!H51</f>
        <v>0</v>
      </c>
      <c r="AT46" s="278">
        <f>TABLA_BASE[[#This Row],[VALOR VTA.
UNIT.(S/.)]]*TABLA_BASE[[#This Row],[CANTIDAD
(unid.)]]</f>
        <v>0</v>
      </c>
      <c r="AU46" s="281">
        <f>'💰 Precio de Venta'!I51</f>
        <v>0</v>
      </c>
      <c r="AV46" s="278">
        <f>'💰 Precio de Venta'!J51</f>
        <v>0</v>
      </c>
      <c r="AW46" s="278">
        <f>TABLA_BASE[[#This Row],[GANANCIA
UNIT.(S/.)]]*TABLA_BASE[[#This Row],[CANTIDAD
(unid.)]]</f>
        <v>0</v>
      </c>
      <c r="AX46" s="289">
        <f>'💰 Precio de Venta'!K51</f>
        <v>0</v>
      </c>
      <c r="AY46" s="278">
        <f>TABLA_BASE[[#This Row],[GANANCIA
UNIT.(S/.)]]*'🧾 Factura Comercial'!G50</f>
        <v>0</v>
      </c>
      <c r="AZ46" s="277">
        <f>IF(TABLA_BASE[[#This Row],[PRECIO VTA.
c/IGV(S/.)]]=0,0,TABLA_BASE[[#This Row],[GANANCIA
UNIT.(S/.)]]/TABLA_BASE[[#This Row],[PRECIO VTA.
c/IGV(S/.)]])</f>
        <v>0</v>
      </c>
      <c r="BA46" s="277">
        <f>IF(TABLA_BASE[[#This Row],[C/M UNIT.
(S/.)]]=0,0,TABLA_BASE[[#This Row],[GANANCIA
UNIT.(S/.)]]/TABLA_BASE[[#This Row],[C/M UNIT.
(S/.)]])</f>
        <v>0</v>
      </c>
      <c r="BB46" s="274" t="str">
        <f>IF(TABLA_BASE[[#This Row],[MARGEN
%]]&gt;=0.5,"🟢 ALTO",IF(TABLA_BASE[[#This Row],[MARGEN
%]]&gt;=0.3,"🟡 MEDIO","🔴 BAJO"))</f>
        <v>🟡 MEDIO</v>
      </c>
    </row>
    <row r="47" spans="1:54" ht="16.5" hidden="1" thickTop="1" thickBot="1" x14ac:dyDescent="0.3">
      <c r="A47" s="274">
        <f>'🧾 Factura Comercial'!E51</f>
        <v>0</v>
      </c>
      <c r="B47" s="274" t="str">
        <f>'🧾 Factura Comercial'!F51</f>
        <v>Unid.</v>
      </c>
      <c r="C47" s="275">
        <f>'🧾 Factura Comercial'!G51</f>
        <v>0</v>
      </c>
      <c r="D47" s="276">
        <f>'🧾 Factura Comercial'!H51</f>
        <v>0</v>
      </c>
      <c r="E47" s="276">
        <f>'🧾 Factura Comercial'!I51</f>
        <v>0</v>
      </c>
      <c r="F47" s="277">
        <f>IF('🧾 Tributos Aduana'!$F$6=0,0,'🧾 Factura Comercial'!I51/'🧾 Tributos Aduana'!$F$6)</f>
        <v>0</v>
      </c>
      <c r="G47" s="278">
        <f>'🧾 Factura Comercial'!H51*'📋 Datos Generales'!$E$19</f>
        <v>0</v>
      </c>
      <c r="H47" s="278">
        <f>TABLA_BASE[[#This Row],[FOB UNIT.
(S/.)]]*TABLA_BASE[[#This Row],[CANTIDAD
(unid.)]]</f>
        <v>0</v>
      </c>
      <c r="I47" s="280">
        <f>IF('🧾 Tributos Aduana'!$F$6=0,0,'🧾 Tributos Aduana'!$F$17*('🧾 Factura Comercial'!H51/'🧾 Tributos Aduana'!$F$6))</f>
        <v>0</v>
      </c>
      <c r="J47" s="280">
        <f>TABLA_BASE[[#This Row],[ADV UNIT.
(US$)
⚠️COSTO]]*TABLA_BASE[[#This Row],[CANTIDAD
(unid.)]]</f>
        <v>0</v>
      </c>
      <c r="K47" s="279">
        <f>IF('🧾 Tributos Aduana'!$F$6=0,0,'🧾 Tributos Aduana'!$F$18*('🧾 Factura Comercial'!H51/'🧾 Tributos Aduana'!$F$6))</f>
        <v>0</v>
      </c>
      <c r="L47" s="280">
        <f>TABLA_BASE[[#This Row],[IPM UNIT.
(US$)
✅CF]]*TABLA_BASE[[#This Row],[CANTIDAD
(unid.)]]</f>
        <v>0</v>
      </c>
      <c r="M47" s="279">
        <f>IF('🧾 Tributos Aduana'!$F$6=0,0,'🧾 Tributos Aduana'!$F$19*('🧾 Factura Comercial'!H51/'🧾 Tributos Aduana'!$F$6))</f>
        <v>0</v>
      </c>
      <c r="N47" s="280">
        <f>TABLA_BASE[[#This Row],[IGV UNIT.
(US$)
✅CF]]*TABLA_BASE[[#This Row],[CANTIDAD
(unid.)]]</f>
        <v>0</v>
      </c>
      <c r="O47" s="280">
        <f>IF('🧾 Tributos Aduana'!$F$6=0,0,'🧾 Tributos Aduana'!$F$23*('🧾 Factura Comercial'!H51/'🧾 Tributos Aduana'!$F$6))</f>
        <v>0</v>
      </c>
      <c r="P47" s="280">
        <f>TABLA_BASE[[#This Row],[PERCEP.
UNIT.(US$)
✅CF]]*TABLA_BASE[[#This Row],[CANTIDAD
(unid.)]]</f>
        <v>0</v>
      </c>
      <c r="Q47" s="279">
        <f>TABLA_BASE[[#This Row],[ADV UNIT.
(US$)
⚠️COSTO]]+TABLA_BASE[[#This Row],[IPM UNIT.
(US$)
✅CF]]+TABLA_BASE[[#This Row],[IGV UNIT.
(US$)
✅CF]]</f>
        <v>0</v>
      </c>
      <c r="R47" s="280">
        <f>TABLA_BASE[[#This Row],[DEUDA
ADUANERA
UNIT.]]*TABLA_BASE[[#This Row],[CANTIDAD
(unid.)]]</f>
        <v>0</v>
      </c>
      <c r="S47" s="278">
        <f>TABLA_BASE[[#This Row],[DEUDA
ADUANERA
UNIT.]]*'📋 Datos Generales'!$E$19</f>
        <v>0</v>
      </c>
      <c r="T47" s="278">
        <f>TABLA_BASE[[#This Row],[DEUDA
ADUANERA
TOTAL]]*'📋 Datos Generales'!$E$19</f>
        <v>0</v>
      </c>
      <c r="U47" s="281">
        <f>TABLA_BASE[[#This Row],[ADV UNIT.
(US$)
⚠️COSTO]]*'📋 Datos Generales'!$E$19</f>
        <v>0</v>
      </c>
      <c r="V47" s="281">
        <f>TABLA_BASE[[#This Row],[ADV UNIT.
(S/.)]]*TABLA_BASE[[#This Row],[CANTIDAD
(unid.)]]</f>
        <v>0</v>
      </c>
      <c r="W47" s="281">
        <f>TABLA_BASE[[#This Row],[IPM UNIT.
(US$)
✅CF]]*'📋 Datos Generales'!$E$19</f>
        <v>0</v>
      </c>
      <c r="X47" s="281">
        <f>TABLA_BASE[[#This Row],[IPM UNIT.
(S/.)]]*TABLA_BASE[[#This Row],[CANTIDAD
(unid.)]]</f>
        <v>0</v>
      </c>
      <c r="Y47" s="281">
        <f>TABLA_BASE[[#This Row],[IGV UNIT.
(US$)
✅CF]]*'📋 Datos Generales'!$E$19</f>
        <v>0</v>
      </c>
      <c r="Z47" s="281">
        <f>TABLA_BASE[[#This Row],[IGV UNIT.
(S/.)]]*TABLA_BASE[[#This Row],[CANTIDAD
(unid.)]]</f>
        <v>0</v>
      </c>
      <c r="AA47" s="281">
        <f>TABLA_BASE[[#This Row],[PERCEP.
UNIT.(US$)
✅CF]]*'📋 Datos Generales'!$E$19</f>
        <v>0</v>
      </c>
      <c r="AB47" s="281">
        <f>TABLA_BASE[[#This Row],[PERCEP.
UNIT.(S/.)]]*TABLA_BASE[[#This Row],[CANTIDAD
(unid.)]]</f>
        <v>0</v>
      </c>
      <c r="AC47" s="279">
        <f>TABLA_BASE[[#This Row],[ADV UNIT.
(US$)
⚠️COSTO]]+TABLA_BASE[[#This Row],[IPM UNIT.
(US$)
✅CF]]+TABLA_BASE[[#This Row],[IGV UNIT.
(US$)
✅CF]]+TABLA_BASE[[#This Row],[PERCEP.
UNIT.(US$)
✅CF]]</f>
        <v>0</v>
      </c>
      <c r="AD47" s="279">
        <f>TABLA_BASE[[#This Row],[TOTAL PAGO
SUNAT
UNIT.(US$)]]*TABLA_BASE[[#This Row],[CANTIDAD
(unid.)]]</f>
        <v>0</v>
      </c>
      <c r="AE47" s="281">
        <f>TABLA_BASE[[#This Row],[TOTAL PAGO
SUNAT
UNIT.(US$)]]*'📋 Datos Generales'!$E$19</f>
        <v>0</v>
      </c>
      <c r="AF47" s="281">
        <f>TABLA_BASE[[#This Row],[TOTAL TRIB.
UNIT.(S/.)]]*TABLA_BASE[[#This Row],[CANTIDAD
(unid.)]]</f>
        <v>0</v>
      </c>
      <c r="AG47" s="279">
        <f>IF('🧾 Factura Comercial'!G51=0,0,'📦 Gastos Importación'!$E$28*(IF('🧾 Tributos Aduana'!$F$6=0,0,'🧾 Factura Comercial'!I51/'🧾 Tributos Aduana'!$F$6))/'🧾 Factura Comercial'!G51)</f>
        <v>0</v>
      </c>
      <c r="AH47" s="279">
        <f>TABLA_BASE[[#This Row],[GASTOS IMP.
UNIT.(US$)]]*TABLA_BASE[[#This Row],[CANTIDAD
(unid.)]]</f>
        <v>0</v>
      </c>
      <c r="AI47" s="281">
        <f>TABLA_BASE[[#This Row],[GASTOS IMP.
UNIT.(US$)]]*'📋 Datos Generales'!$E$19</f>
        <v>0</v>
      </c>
      <c r="AJ47" s="281">
        <f>TABLA_BASE[[#This Row],[GASTOS IMP.
UNIT.(S/.)]]*TABLA_BASE[[#This Row],[CANTIDAD
(unid.)]]</f>
        <v>0</v>
      </c>
      <c r="AK47" s="280">
        <f>'🧮 Costos x Producto'!J51</f>
        <v>0</v>
      </c>
      <c r="AL47" s="278">
        <f>'🧮 Costos x Producto'!K51</f>
        <v>0</v>
      </c>
      <c r="AM47" s="278">
        <f>TABLA_BASE[[#This Row],[C/M UNIT.
(S/.)]]*TABLA_BASE[[#This Row],[CANTIDAD
(unid.)]]</f>
        <v>0</v>
      </c>
      <c r="AN47" s="279">
        <f>IF('🧾 Factura Comercial'!G51=0,0,'🧾 Tributos Aduana'!$F$17*(IF('🧾 Tributos Aduana'!$F$6=0,0,'🧾 Factura Comercial'!I51/'🧾 Tributos Aduana'!$F$6))/'🧾 Factura Comercial'!G51)</f>
        <v>0</v>
      </c>
      <c r="AO47" s="280">
        <f>IF('🧾 Factura Comercial'!G51=0,0,'🏦 Crédito Fiscal'!$C$16*(IF('🧾 Tributos Aduana'!$F$6=0,0,'🧾 Factura Comercial'!I51/'🧾 Tributos Aduana'!$F$6))/'🧾 Factura Comercial'!G51)</f>
        <v>0</v>
      </c>
      <c r="AP47" s="278">
        <f>TABLA_BASE[[#This Row],[CF UNIT.
✅RECUP.
(US$)]]*'📋 Datos Generales'!$E$19</f>
        <v>0</v>
      </c>
      <c r="AQ47" s="278">
        <f>TABLA_BASE[[#This Row],[CF UNIT.
✅RECUP.(S/.)]]*TABLA_BASE[[#This Row],[CANTIDAD
(unid.)]]</f>
        <v>0</v>
      </c>
      <c r="AR47" s="288">
        <f>'💰 Precio de Venta'!G52</f>
        <v>0.4</v>
      </c>
      <c r="AS47" s="278">
        <f>'💰 Precio de Venta'!H52</f>
        <v>0</v>
      </c>
      <c r="AT47" s="278">
        <f>TABLA_BASE[[#This Row],[VALOR VTA.
UNIT.(S/.)]]*TABLA_BASE[[#This Row],[CANTIDAD
(unid.)]]</f>
        <v>0</v>
      </c>
      <c r="AU47" s="281">
        <f>'💰 Precio de Venta'!I52</f>
        <v>0</v>
      </c>
      <c r="AV47" s="278">
        <f>'💰 Precio de Venta'!J52</f>
        <v>0</v>
      </c>
      <c r="AW47" s="278">
        <f>TABLA_BASE[[#This Row],[GANANCIA
UNIT.(S/.)]]*TABLA_BASE[[#This Row],[CANTIDAD
(unid.)]]</f>
        <v>0</v>
      </c>
      <c r="AX47" s="289">
        <f>'💰 Precio de Venta'!K52</f>
        <v>0</v>
      </c>
      <c r="AY47" s="278">
        <f>TABLA_BASE[[#This Row],[GANANCIA
UNIT.(S/.)]]*'🧾 Factura Comercial'!G51</f>
        <v>0</v>
      </c>
      <c r="AZ47" s="277">
        <f>IF(TABLA_BASE[[#This Row],[PRECIO VTA.
c/IGV(S/.)]]=0,0,TABLA_BASE[[#This Row],[GANANCIA
UNIT.(S/.)]]/TABLA_BASE[[#This Row],[PRECIO VTA.
c/IGV(S/.)]])</f>
        <v>0</v>
      </c>
      <c r="BA47" s="277">
        <f>IF(TABLA_BASE[[#This Row],[C/M UNIT.
(S/.)]]=0,0,TABLA_BASE[[#This Row],[GANANCIA
UNIT.(S/.)]]/TABLA_BASE[[#This Row],[C/M UNIT.
(S/.)]])</f>
        <v>0</v>
      </c>
      <c r="BB47" s="274" t="str">
        <f>IF(TABLA_BASE[[#This Row],[MARGEN
%]]&gt;=0.5,"🟢 ALTO",IF(TABLA_BASE[[#This Row],[MARGEN
%]]&gt;=0.3,"🟡 MEDIO","🔴 BAJO"))</f>
        <v>🟡 MEDIO</v>
      </c>
    </row>
    <row r="48" spans="1:54" ht="16.5" hidden="1" thickTop="1" thickBot="1" x14ac:dyDescent="0.3">
      <c r="A48" s="274">
        <f>'🧾 Factura Comercial'!E52</f>
        <v>0</v>
      </c>
      <c r="B48" s="274" t="str">
        <f>'🧾 Factura Comercial'!F52</f>
        <v>Unid.</v>
      </c>
      <c r="C48" s="275">
        <f>'🧾 Factura Comercial'!G52</f>
        <v>0</v>
      </c>
      <c r="D48" s="276">
        <f>'🧾 Factura Comercial'!H52</f>
        <v>0</v>
      </c>
      <c r="E48" s="276">
        <f>'🧾 Factura Comercial'!I52</f>
        <v>0</v>
      </c>
      <c r="F48" s="277">
        <f>IF('🧾 Tributos Aduana'!$F$6=0,0,'🧾 Factura Comercial'!I52/'🧾 Tributos Aduana'!$F$6)</f>
        <v>0</v>
      </c>
      <c r="G48" s="278">
        <f>'🧾 Factura Comercial'!H52*'📋 Datos Generales'!$E$19</f>
        <v>0</v>
      </c>
      <c r="H48" s="278">
        <f>TABLA_BASE[[#This Row],[FOB UNIT.
(S/.)]]*TABLA_BASE[[#This Row],[CANTIDAD
(unid.)]]</f>
        <v>0</v>
      </c>
      <c r="I48" s="280">
        <f>IF('🧾 Tributos Aduana'!$F$6=0,0,'🧾 Tributos Aduana'!$F$17*('🧾 Factura Comercial'!H52/'🧾 Tributos Aduana'!$F$6))</f>
        <v>0</v>
      </c>
      <c r="J48" s="280">
        <f>TABLA_BASE[[#This Row],[ADV UNIT.
(US$)
⚠️COSTO]]*TABLA_BASE[[#This Row],[CANTIDAD
(unid.)]]</f>
        <v>0</v>
      </c>
      <c r="K48" s="279">
        <f>IF('🧾 Tributos Aduana'!$F$6=0,0,'🧾 Tributos Aduana'!$F$18*('🧾 Factura Comercial'!H52/'🧾 Tributos Aduana'!$F$6))</f>
        <v>0</v>
      </c>
      <c r="L48" s="280">
        <f>TABLA_BASE[[#This Row],[IPM UNIT.
(US$)
✅CF]]*TABLA_BASE[[#This Row],[CANTIDAD
(unid.)]]</f>
        <v>0</v>
      </c>
      <c r="M48" s="279">
        <f>IF('🧾 Tributos Aduana'!$F$6=0,0,'🧾 Tributos Aduana'!$F$19*('🧾 Factura Comercial'!H52/'🧾 Tributos Aduana'!$F$6))</f>
        <v>0</v>
      </c>
      <c r="N48" s="280">
        <f>TABLA_BASE[[#This Row],[IGV UNIT.
(US$)
✅CF]]*TABLA_BASE[[#This Row],[CANTIDAD
(unid.)]]</f>
        <v>0</v>
      </c>
      <c r="O48" s="280">
        <f>IF('🧾 Tributos Aduana'!$F$6=0,0,'🧾 Tributos Aduana'!$F$23*('🧾 Factura Comercial'!H52/'🧾 Tributos Aduana'!$F$6))</f>
        <v>0</v>
      </c>
      <c r="P48" s="280">
        <f>TABLA_BASE[[#This Row],[PERCEP.
UNIT.(US$)
✅CF]]*TABLA_BASE[[#This Row],[CANTIDAD
(unid.)]]</f>
        <v>0</v>
      </c>
      <c r="Q48" s="279">
        <f>TABLA_BASE[[#This Row],[ADV UNIT.
(US$)
⚠️COSTO]]+TABLA_BASE[[#This Row],[IPM UNIT.
(US$)
✅CF]]+TABLA_BASE[[#This Row],[IGV UNIT.
(US$)
✅CF]]</f>
        <v>0</v>
      </c>
      <c r="R48" s="280">
        <f>TABLA_BASE[[#This Row],[DEUDA
ADUANERA
UNIT.]]*TABLA_BASE[[#This Row],[CANTIDAD
(unid.)]]</f>
        <v>0</v>
      </c>
      <c r="S48" s="278">
        <f>TABLA_BASE[[#This Row],[DEUDA
ADUANERA
UNIT.]]*'📋 Datos Generales'!$E$19</f>
        <v>0</v>
      </c>
      <c r="T48" s="278">
        <f>TABLA_BASE[[#This Row],[DEUDA
ADUANERA
TOTAL]]*'📋 Datos Generales'!$E$19</f>
        <v>0</v>
      </c>
      <c r="U48" s="281">
        <f>TABLA_BASE[[#This Row],[ADV UNIT.
(US$)
⚠️COSTO]]*'📋 Datos Generales'!$E$19</f>
        <v>0</v>
      </c>
      <c r="V48" s="281">
        <f>TABLA_BASE[[#This Row],[ADV UNIT.
(S/.)]]*TABLA_BASE[[#This Row],[CANTIDAD
(unid.)]]</f>
        <v>0</v>
      </c>
      <c r="W48" s="281">
        <f>TABLA_BASE[[#This Row],[IPM UNIT.
(US$)
✅CF]]*'📋 Datos Generales'!$E$19</f>
        <v>0</v>
      </c>
      <c r="X48" s="281">
        <f>TABLA_BASE[[#This Row],[IPM UNIT.
(S/.)]]*TABLA_BASE[[#This Row],[CANTIDAD
(unid.)]]</f>
        <v>0</v>
      </c>
      <c r="Y48" s="281">
        <f>TABLA_BASE[[#This Row],[IGV UNIT.
(US$)
✅CF]]*'📋 Datos Generales'!$E$19</f>
        <v>0</v>
      </c>
      <c r="Z48" s="281">
        <f>TABLA_BASE[[#This Row],[IGV UNIT.
(S/.)]]*TABLA_BASE[[#This Row],[CANTIDAD
(unid.)]]</f>
        <v>0</v>
      </c>
      <c r="AA48" s="281">
        <f>TABLA_BASE[[#This Row],[PERCEP.
UNIT.(US$)
✅CF]]*'📋 Datos Generales'!$E$19</f>
        <v>0</v>
      </c>
      <c r="AB48" s="281">
        <f>TABLA_BASE[[#This Row],[PERCEP.
UNIT.(S/.)]]*TABLA_BASE[[#This Row],[CANTIDAD
(unid.)]]</f>
        <v>0</v>
      </c>
      <c r="AC48" s="279">
        <f>TABLA_BASE[[#This Row],[ADV UNIT.
(US$)
⚠️COSTO]]+TABLA_BASE[[#This Row],[IPM UNIT.
(US$)
✅CF]]+TABLA_BASE[[#This Row],[IGV UNIT.
(US$)
✅CF]]+TABLA_BASE[[#This Row],[PERCEP.
UNIT.(US$)
✅CF]]</f>
        <v>0</v>
      </c>
      <c r="AD48" s="279">
        <f>TABLA_BASE[[#This Row],[TOTAL PAGO
SUNAT
UNIT.(US$)]]*TABLA_BASE[[#This Row],[CANTIDAD
(unid.)]]</f>
        <v>0</v>
      </c>
      <c r="AE48" s="281">
        <f>TABLA_BASE[[#This Row],[TOTAL PAGO
SUNAT
UNIT.(US$)]]*'📋 Datos Generales'!$E$19</f>
        <v>0</v>
      </c>
      <c r="AF48" s="281">
        <f>TABLA_BASE[[#This Row],[TOTAL TRIB.
UNIT.(S/.)]]*TABLA_BASE[[#This Row],[CANTIDAD
(unid.)]]</f>
        <v>0</v>
      </c>
      <c r="AG48" s="279">
        <f>IF('🧾 Factura Comercial'!G52=0,0,'📦 Gastos Importación'!$E$28*(IF('🧾 Tributos Aduana'!$F$6=0,0,'🧾 Factura Comercial'!I52/'🧾 Tributos Aduana'!$F$6))/'🧾 Factura Comercial'!G52)</f>
        <v>0</v>
      </c>
      <c r="AH48" s="279">
        <f>TABLA_BASE[[#This Row],[GASTOS IMP.
UNIT.(US$)]]*TABLA_BASE[[#This Row],[CANTIDAD
(unid.)]]</f>
        <v>0</v>
      </c>
      <c r="AI48" s="281">
        <f>TABLA_BASE[[#This Row],[GASTOS IMP.
UNIT.(US$)]]*'📋 Datos Generales'!$E$19</f>
        <v>0</v>
      </c>
      <c r="AJ48" s="281">
        <f>TABLA_BASE[[#This Row],[GASTOS IMP.
UNIT.(S/.)]]*TABLA_BASE[[#This Row],[CANTIDAD
(unid.)]]</f>
        <v>0</v>
      </c>
      <c r="AK48" s="280">
        <f>'🧮 Costos x Producto'!J52</f>
        <v>0</v>
      </c>
      <c r="AL48" s="278">
        <f>'🧮 Costos x Producto'!K52</f>
        <v>0</v>
      </c>
      <c r="AM48" s="278">
        <f>TABLA_BASE[[#This Row],[C/M UNIT.
(S/.)]]*TABLA_BASE[[#This Row],[CANTIDAD
(unid.)]]</f>
        <v>0</v>
      </c>
      <c r="AN48" s="279">
        <f>IF('🧾 Factura Comercial'!G52=0,0,'🧾 Tributos Aduana'!$F$17*(IF('🧾 Tributos Aduana'!$F$6=0,0,'🧾 Factura Comercial'!I52/'🧾 Tributos Aduana'!$F$6))/'🧾 Factura Comercial'!G52)</f>
        <v>0</v>
      </c>
      <c r="AO48" s="280">
        <f>IF('🧾 Factura Comercial'!G52=0,0,'🏦 Crédito Fiscal'!$C$16*(IF('🧾 Tributos Aduana'!$F$6=0,0,'🧾 Factura Comercial'!I52/'🧾 Tributos Aduana'!$F$6))/'🧾 Factura Comercial'!G52)</f>
        <v>0</v>
      </c>
      <c r="AP48" s="278">
        <f>TABLA_BASE[[#This Row],[CF UNIT.
✅RECUP.
(US$)]]*'📋 Datos Generales'!$E$19</f>
        <v>0</v>
      </c>
      <c r="AQ48" s="278">
        <f>TABLA_BASE[[#This Row],[CF UNIT.
✅RECUP.(S/.)]]*TABLA_BASE[[#This Row],[CANTIDAD
(unid.)]]</f>
        <v>0</v>
      </c>
      <c r="AR48" s="288">
        <f>'💰 Precio de Venta'!G53</f>
        <v>0.4</v>
      </c>
      <c r="AS48" s="278">
        <f>'💰 Precio de Venta'!H53</f>
        <v>0</v>
      </c>
      <c r="AT48" s="278">
        <f>TABLA_BASE[[#This Row],[VALOR VTA.
UNIT.(S/.)]]*TABLA_BASE[[#This Row],[CANTIDAD
(unid.)]]</f>
        <v>0</v>
      </c>
      <c r="AU48" s="281">
        <f>'💰 Precio de Venta'!I53</f>
        <v>0</v>
      </c>
      <c r="AV48" s="278">
        <f>'💰 Precio de Venta'!J53</f>
        <v>0</v>
      </c>
      <c r="AW48" s="278">
        <f>TABLA_BASE[[#This Row],[GANANCIA
UNIT.(S/.)]]*TABLA_BASE[[#This Row],[CANTIDAD
(unid.)]]</f>
        <v>0</v>
      </c>
      <c r="AX48" s="289">
        <f>'💰 Precio de Venta'!K53</f>
        <v>0</v>
      </c>
      <c r="AY48" s="278">
        <f>TABLA_BASE[[#This Row],[GANANCIA
UNIT.(S/.)]]*'🧾 Factura Comercial'!G52</f>
        <v>0</v>
      </c>
      <c r="AZ48" s="277">
        <f>IF(TABLA_BASE[[#This Row],[PRECIO VTA.
c/IGV(S/.)]]=0,0,TABLA_BASE[[#This Row],[GANANCIA
UNIT.(S/.)]]/TABLA_BASE[[#This Row],[PRECIO VTA.
c/IGV(S/.)]])</f>
        <v>0</v>
      </c>
      <c r="BA48" s="277">
        <f>IF(TABLA_BASE[[#This Row],[C/M UNIT.
(S/.)]]=0,0,TABLA_BASE[[#This Row],[GANANCIA
UNIT.(S/.)]]/TABLA_BASE[[#This Row],[C/M UNIT.
(S/.)]])</f>
        <v>0</v>
      </c>
      <c r="BB48" s="274" t="str">
        <f>IF(TABLA_BASE[[#This Row],[MARGEN
%]]&gt;=0.5,"🟢 ALTO",IF(TABLA_BASE[[#This Row],[MARGEN
%]]&gt;=0.3,"🟡 MEDIO","🔴 BAJO"))</f>
        <v>🟡 MEDIO</v>
      </c>
    </row>
    <row r="49" spans="1:54" ht="16.5" hidden="1" thickTop="1" thickBot="1" x14ac:dyDescent="0.3">
      <c r="A49" s="274">
        <f>'🧾 Factura Comercial'!E53</f>
        <v>0</v>
      </c>
      <c r="B49" s="274" t="str">
        <f>'🧾 Factura Comercial'!F53</f>
        <v>Unid.</v>
      </c>
      <c r="C49" s="275">
        <f>'🧾 Factura Comercial'!G53</f>
        <v>0</v>
      </c>
      <c r="D49" s="276">
        <f>'🧾 Factura Comercial'!H53</f>
        <v>0</v>
      </c>
      <c r="E49" s="276">
        <f>'🧾 Factura Comercial'!I53</f>
        <v>0</v>
      </c>
      <c r="F49" s="277">
        <f>IF('🧾 Tributos Aduana'!$F$6=0,0,'🧾 Factura Comercial'!I53/'🧾 Tributos Aduana'!$F$6)</f>
        <v>0</v>
      </c>
      <c r="G49" s="278">
        <f>'🧾 Factura Comercial'!H53*'📋 Datos Generales'!$E$19</f>
        <v>0</v>
      </c>
      <c r="H49" s="278">
        <f>TABLA_BASE[[#This Row],[FOB UNIT.
(S/.)]]*TABLA_BASE[[#This Row],[CANTIDAD
(unid.)]]</f>
        <v>0</v>
      </c>
      <c r="I49" s="280">
        <f>IF('🧾 Tributos Aduana'!$F$6=0,0,'🧾 Tributos Aduana'!$F$17*('🧾 Factura Comercial'!H53/'🧾 Tributos Aduana'!$F$6))</f>
        <v>0</v>
      </c>
      <c r="J49" s="280">
        <f>TABLA_BASE[[#This Row],[ADV UNIT.
(US$)
⚠️COSTO]]*TABLA_BASE[[#This Row],[CANTIDAD
(unid.)]]</f>
        <v>0</v>
      </c>
      <c r="K49" s="279">
        <f>IF('🧾 Tributos Aduana'!$F$6=0,0,'🧾 Tributos Aduana'!$F$18*('🧾 Factura Comercial'!H53/'🧾 Tributos Aduana'!$F$6))</f>
        <v>0</v>
      </c>
      <c r="L49" s="280">
        <f>TABLA_BASE[[#This Row],[IPM UNIT.
(US$)
✅CF]]*TABLA_BASE[[#This Row],[CANTIDAD
(unid.)]]</f>
        <v>0</v>
      </c>
      <c r="M49" s="279">
        <f>IF('🧾 Tributos Aduana'!$F$6=0,0,'🧾 Tributos Aduana'!$F$19*('🧾 Factura Comercial'!H53/'🧾 Tributos Aduana'!$F$6))</f>
        <v>0</v>
      </c>
      <c r="N49" s="280">
        <f>TABLA_BASE[[#This Row],[IGV UNIT.
(US$)
✅CF]]*TABLA_BASE[[#This Row],[CANTIDAD
(unid.)]]</f>
        <v>0</v>
      </c>
      <c r="O49" s="280">
        <f>IF('🧾 Tributos Aduana'!$F$6=0,0,'🧾 Tributos Aduana'!$F$23*('🧾 Factura Comercial'!H53/'🧾 Tributos Aduana'!$F$6))</f>
        <v>0</v>
      </c>
      <c r="P49" s="280">
        <f>TABLA_BASE[[#This Row],[PERCEP.
UNIT.(US$)
✅CF]]*TABLA_BASE[[#This Row],[CANTIDAD
(unid.)]]</f>
        <v>0</v>
      </c>
      <c r="Q49" s="279">
        <f>TABLA_BASE[[#This Row],[ADV UNIT.
(US$)
⚠️COSTO]]+TABLA_BASE[[#This Row],[IPM UNIT.
(US$)
✅CF]]+TABLA_BASE[[#This Row],[IGV UNIT.
(US$)
✅CF]]</f>
        <v>0</v>
      </c>
      <c r="R49" s="280">
        <f>TABLA_BASE[[#This Row],[DEUDA
ADUANERA
UNIT.]]*TABLA_BASE[[#This Row],[CANTIDAD
(unid.)]]</f>
        <v>0</v>
      </c>
      <c r="S49" s="278">
        <f>TABLA_BASE[[#This Row],[DEUDA
ADUANERA
UNIT.]]*'📋 Datos Generales'!$E$19</f>
        <v>0</v>
      </c>
      <c r="T49" s="278">
        <f>TABLA_BASE[[#This Row],[DEUDA
ADUANERA
TOTAL]]*'📋 Datos Generales'!$E$19</f>
        <v>0</v>
      </c>
      <c r="U49" s="281">
        <f>TABLA_BASE[[#This Row],[ADV UNIT.
(US$)
⚠️COSTO]]*'📋 Datos Generales'!$E$19</f>
        <v>0</v>
      </c>
      <c r="V49" s="281">
        <f>TABLA_BASE[[#This Row],[ADV UNIT.
(S/.)]]*TABLA_BASE[[#This Row],[CANTIDAD
(unid.)]]</f>
        <v>0</v>
      </c>
      <c r="W49" s="281">
        <f>TABLA_BASE[[#This Row],[IPM UNIT.
(US$)
✅CF]]*'📋 Datos Generales'!$E$19</f>
        <v>0</v>
      </c>
      <c r="X49" s="281">
        <f>TABLA_BASE[[#This Row],[IPM UNIT.
(S/.)]]*TABLA_BASE[[#This Row],[CANTIDAD
(unid.)]]</f>
        <v>0</v>
      </c>
      <c r="Y49" s="281">
        <f>TABLA_BASE[[#This Row],[IGV UNIT.
(US$)
✅CF]]*'📋 Datos Generales'!$E$19</f>
        <v>0</v>
      </c>
      <c r="Z49" s="281">
        <f>TABLA_BASE[[#This Row],[IGV UNIT.
(S/.)]]*TABLA_BASE[[#This Row],[CANTIDAD
(unid.)]]</f>
        <v>0</v>
      </c>
      <c r="AA49" s="281">
        <f>TABLA_BASE[[#This Row],[PERCEP.
UNIT.(US$)
✅CF]]*'📋 Datos Generales'!$E$19</f>
        <v>0</v>
      </c>
      <c r="AB49" s="281">
        <f>TABLA_BASE[[#This Row],[PERCEP.
UNIT.(S/.)]]*TABLA_BASE[[#This Row],[CANTIDAD
(unid.)]]</f>
        <v>0</v>
      </c>
      <c r="AC49" s="279">
        <f>TABLA_BASE[[#This Row],[ADV UNIT.
(US$)
⚠️COSTO]]+TABLA_BASE[[#This Row],[IPM UNIT.
(US$)
✅CF]]+TABLA_BASE[[#This Row],[IGV UNIT.
(US$)
✅CF]]+TABLA_BASE[[#This Row],[PERCEP.
UNIT.(US$)
✅CF]]</f>
        <v>0</v>
      </c>
      <c r="AD49" s="279">
        <f>TABLA_BASE[[#This Row],[TOTAL PAGO
SUNAT
UNIT.(US$)]]*TABLA_BASE[[#This Row],[CANTIDAD
(unid.)]]</f>
        <v>0</v>
      </c>
      <c r="AE49" s="281">
        <f>TABLA_BASE[[#This Row],[TOTAL PAGO
SUNAT
UNIT.(US$)]]*'📋 Datos Generales'!$E$19</f>
        <v>0</v>
      </c>
      <c r="AF49" s="281">
        <f>TABLA_BASE[[#This Row],[TOTAL TRIB.
UNIT.(S/.)]]*TABLA_BASE[[#This Row],[CANTIDAD
(unid.)]]</f>
        <v>0</v>
      </c>
      <c r="AG49" s="279">
        <f>IF('🧾 Factura Comercial'!G53=0,0,'📦 Gastos Importación'!$E$28*(IF('🧾 Tributos Aduana'!$F$6=0,0,'🧾 Factura Comercial'!I53/'🧾 Tributos Aduana'!$F$6))/'🧾 Factura Comercial'!G53)</f>
        <v>0</v>
      </c>
      <c r="AH49" s="279">
        <f>TABLA_BASE[[#This Row],[GASTOS IMP.
UNIT.(US$)]]*TABLA_BASE[[#This Row],[CANTIDAD
(unid.)]]</f>
        <v>0</v>
      </c>
      <c r="AI49" s="281">
        <f>TABLA_BASE[[#This Row],[GASTOS IMP.
UNIT.(US$)]]*'📋 Datos Generales'!$E$19</f>
        <v>0</v>
      </c>
      <c r="AJ49" s="281">
        <f>TABLA_BASE[[#This Row],[GASTOS IMP.
UNIT.(S/.)]]*TABLA_BASE[[#This Row],[CANTIDAD
(unid.)]]</f>
        <v>0</v>
      </c>
      <c r="AK49" s="280">
        <f>'🧮 Costos x Producto'!J53</f>
        <v>0</v>
      </c>
      <c r="AL49" s="278">
        <f>'🧮 Costos x Producto'!K53</f>
        <v>0</v>
      </c>
      <c r="AM49" s="278">
        <f>TABLA_BASE[[#This Row],[C/M UNIT.
(S/.)]]*TABLA_BASE[[#This Row],[CANTIDAD
(unid.)]]</f>
        <v>0</v>
      </c>
      <c r="AN49" s="279">
        <f>IF('🧾 Factura Comercial'!G53=0,0,'🧾 Tributos Aduana'!$F$17*(IF('🧾 Tributos Aduana'!$F$6=0,0,'🧾 Factura Comercial'!I53/'🧾 Tributos Aduana'!$F$6))/'🧾 Factura Comercial'!G53)</f>
        <v>0</v>
      </c>
      <c r="AO49" s="280">
        <f>IF('🧾 Factura Comercial'!G53=0,0,'🏦 Crédito Fiscal'!$C$16*(IF('🧾 Tributos Aduana'!$F$6=0,0,'🧾 Factura Comercial'!I53/'🧾 Tributos Aduana'!$F$6))/'🧾 Factura Comercial'!G53)</f>
        <v>0</v>
      </c>
      <c r="AP49" s="278">
        <f>TABLA_BASE[[#This Row],[CF UNIT.
✅RECUP.
(US$)]]*'📋 Datos Generales'!$E$19</f>
        <v>0</v>
      </c>
      <c r="AQ49" s="278">
        <f>TABLA_BASE[[#This Row],[CF UNIT.
✅RECUP.(S/.)]]*TABLA_BASE[[#This Row],[CANTIDAD
(unid.)]]</f>
        <v>0</v>
      </c>
      <c r="AR49" s="288">
        <f>'💰 Precio de Venta'!G54</f>
        <v>0.4</v>
      </c>
      <c r="AS49" s="278">
        <f>'💰 Precio de Venta'!H54</f>
        <v>0</v>
      </c>
      <c r="AT49" s="278">
        <f>TABLA_BASE[[#This Row],[VALOR VTA.
UNIT.(S/.)]]*TABLA_BASE[[#This Row],[CANTIDAD
(unid.)]]</f>
        <v>0</v>
      </c>
      <c r="AU49" s="281">
        <f>'💰 Precio de Venta'!I54</f>
        <v>0</v>
      </c>
      <c r="AV49" s="278">
        <f>'💰 Precio de Venta'!J54</f>
        <v>0</v>
      </c>
      <c r="AW49" s="278">
        <f>TABLA_BASE[[#This Row],[GANANCIA
UNIT.(S/.)]]*TABLA_BASE[[#This Row],[CANTIDAD
(unid.)]]</f>
        <v>0</v>
      </c>
      <c r="AX49" s="289">
        <f>'💰 Precio de Venta'!K54</f>
        <v>0</v>
      </c>
      <c r="AY49" s="278">
        <f>TABLA_BASE[[#This Row],[GANANCIA
UNIT.(S/.)]]*'🧾 Factura Comercial'!G53</f>
        <v>0</v>
      </c>
      <c r="AZ49" s="277">
        <f>IF(TABLA_BASE[[#This Row],[PRECIO VTA.
c/IGV(S/.)]]=0,0,TABLA_BASE[[#This Row],[GANANCIA
UNIT.(S/.)]]/TABLA_BASE[[#This Row],[PRECIO VTA.
c/IGV(S/.)]])</f>
        <v>0</v>
      </c>
      <c r="BA49" s="277">
        <f>IF(TABLA_BASE[[#This Row],[C/M UNIT.
(S/.)]]=0,0,TABLA_BASE[[#This Row],[GANANCIA
UNIT.(S/.)]]/TABLA_BASE[[#This Row],[C/M UNIT.
(S/.)]])</f>
        <v>0</v>
      </c>
      <c r="BB49" s="274" t="str">
        <f>IF(TABLA_BASE[[#This Row],[MARGEN
%]]&gt;=0.5,"🟢 ALTO",IF(TABLA_BASE[[#This Row],[MARGEN
%]]&gt;=0.3,"🟡 MEDIO","🔴 BAJO"))</f>
        <v>🟡 MEDIO</v>
      </c>
    </row>
    <row r="50" spans="1:54" ht="16.5" hidden="1" thickTop="1" thickBot="1" x14ac:dyDescent="0.3">
      <c r="A50" s="274">
        <f>'🧾 Factura Comercial'!E54</f>
        <v>0</v>
      </c>
      <c r="B50" s="274" t="str">
        <f>'🧾 Factura Comercial'!F54</f>
        <v>Unid.</v>
      </c>
      <c r="C50" s="275">
        <f>'🧾 Factura Comercial'!G54</f>
        <v>0</v>
      </c>
      <c r="D50" s="276">
        <f>'🧾 Factura Comercial'!H54</f>
        <v>0</v>
      </c>
      <c r="E50" s="276">
        <f>'🧾 Factura Comercial'!I54</f>
        <v>0</v>
      </c>
      <c r="F50" s="277">
        <f>IF('🧾 Tributos Aduana'!$F$6=0,0,'🧾 Factura Comercial'!I54/'🧾 Tributos Aduana'!$F$6)</f>
        <v>0</v>
      </c>
      <c r="G50" s="278">
        <f>'🧾 Factura Comercial'!H54*'📋 Datos Generales'!$E$19</f>
        <v>0</v>
      </c>
      <c r="H50" s="278">
        <f>TABLA_BASE[[#This Row],[FOB UNIT.
(S/.)]]*TABLA_BASE[[#This Row],[CANTIDAD
(unid.)]]</f>
        <v>0</v>
      </c>
      <c r="I50" s="280">
        <f>IF('🧾 Tributos Aduana'!$F$6=0,0,'🧾 Tributos Aduana'!$F$17*('🧾 Factura Comercial'!H54/'🧾 Tributos Aduana'!$F$6))</f>
        <v>0</v>
      </c>
      <c r="J50" s="280">
        <f>TABLA_BASE[[#This Row],[ADV UNIT.
(US$)
⚠️COSTO]]*TABLA_BASE[[#This Row],[CANTIDAD
(unid.)]]</f>
        <v>0</v>
      </c>
      <c r="K50" s="279">
        <f>IF('🧾 Tributos Aduana'!$F$6=0,0,'🧾 Tributos Aduana'!$F$18*('🧾 Factura Comercial'!H54/'🧾 Tributos Aduana'!$F$6))</f>
        <v>0</v>
      </c>
      <c r="L50" s="280">
        <f>TABLA_BASE[[#This Row],[IPM UNIT.
(US$)
✅CF]]*TABLA_BASE[[#This Row],[CANTIDAD
(unid.)]]</f>
        <v>0</v>
      </c>
      <c r="M50" s="279">
        <f>IF('🧾 Tributos Aduana'!$F$6=0,0,'🧾 Tributos Aduana'!$F$19*('🧾 Factura Comercial'!H54/'🧾 Tributos Aduana'!$F$6))</f>
        <v>0</v>
      </c>
      <c r="N50" s="280">
        <f>TABLA_BASE[[#This Row],[IGV UNIT.
(US$)
✅CF]]*TABLA_BASE[[#This Row],[CANTIDAD
(unid.)]]</f>
        <v>0</v>
      </c>
      <c r="O50" s="280">
        <f>IF('🧾 Tributos Aduana'!$F$6=0,0,'🧾 Tributos Aduana'!$F$23*('🧾 Factura Comercial'!H54/'🧾 Tributos Aduana'!$F$6))</f>
        <v>0</v>
      </c>
      <c r="P50" s="280">
        <f>TABLA_BASE[[#This Row],[PERCEP.
UNIT.(US$)
✅CF]]*TABLA_BASE[[#This Row],[CANTIDAD
(unid.)]]</f>
        <v>0</v>
      </c>
      <c r="Q50" s="279">
        <f>TABLA_BASE[[#This Row],[ADV UNIT.
(US$)
⚠️COSTO]]+TABLA_BASE[[#This Row],[IPM UNIT.
(US$)
✅CF]]+TABLA_BASE[[#This Row],[IGV UNIT.
(US$)
✅CF]]</f>
        <v>0</v>
      </c>
      <c r="R50" s="280">
        <f>TABLA_BASE[[#This Row],[DEUDA
ADUANERA
UNIT.]]*TABLA_BASE[[#This Row],[CANTIDAD
(unid.)]]</f>
        <v>0</v>
      </c>
      <c r="S50" s="278">
        <f>TABLA_BASE[[#This Row],[DEUDA
ADUANERA
UNIT.]]*'📋 Datos Generales'!$E$19</f>
        <v>0</v>
      </c>
      <c r="T50" s="278">
        <f>TABLA_BASE[[#This Row],[DEUDA
ADUANERA
TOTAL]]*'📋 Datos Generales'!$E$19</f>
        <v>0</v>
      </c>
      <c r="U50" s="281">
        <f>TABLA_BASE[[#This Row],[ADV UNIT.
(US$)
⚠️COSTO]]*'📋 Datos Generales'!$E$19</f>
        <v>0</v>
      </c>
      <c r="V50" s="281">
        <f>TABLA_BASE[[#This Row],[ADV UNIT.
(S/.)]]*TABLA_BASE[[#This Row],[CANTIDAD
(unid.)]]</f>
        <v>0</v>
      </c>
      <c r="W50" s="281">
        <f>TABLA_BASE[[#This Row],[IPM UNIT.
(US$)
✅CF]]*'📋 Datos Generales'!$E$19</f>
        <v>0</v>
      </c>
      <c r="X50" s="281">
        <f>TABLA_BASE[[#This Row],[IPM UNIT.
(S/.)]]*TABLA_BASE[[#This Row],[CANTIDAD
(unid.)]]</f>
        <v>0</v>
      </c>
      <c r="Y50" s="281">
        <f>TABLA_BASE[[#This Row],[IGV UNIT.
(US$)
✅CF]]*'📋 Datos Generales'!$E$19</f>
        <v>0</v>
      </c>
      <c r="Z50" s="281">
        <f>TABLA_BASE[[#This Row],[IGV UNIT.
(S/.)]]*TABLA_BASE[[#This Row],[CANTIDAD
(unid.)]]</f>
        <v>0</v>
      </c>
      <c r="AA50" s="281">
        <f>TABLA_BASE[[#This Row],[PERCEP.
UNIT.(US$)
✅CF]]*'📋 Datos Generales'!$E$19</f>
        <v>0</v>
      </c>
      <c r="AB50" s="281">
        <f>TABLA_BASE[[#This Row],[PERCEP.
UNIT.(S/.)]]*TABLA_BASE[[#This Row],[CANTIDAD
(unid.)]]</f>
        <v>0</v>
      </c>
      <c r="AC50" s="279">
        <f>TABLA_BASE[[#This Row],[ADV UNIT.
(US$)
⚠️COSTO]]+TABLA_BASE[[#This Row],[IPM UNIT.
(US$)
✅CF]]+TABLA_BASE[[#This Row],[IGV UNIT.
(US$)
✅CF]]+TABLA_BASE[[#This Row],[PERCEP.
UNIT.(US$)
✅CF]]</f>
        <v>0</v>
      </c>
      <c r="AD50" s="279">
        <f>TABLA_BASE[[#This Row],[TOTAL PAGO
SUNAT
UNIT.(US$)]]*TABLA_BASE[[#This Row],[CANTIDAD
(unid.)]]</f>
        <v>0</v>
      </c>
      <c r="AE50" s="281">
        <f>TABLA_BASE[[#This Row],[TOTAL PAGO
SUNAT
UNIT.(US$)]]*'📋 Datos Generales'!$E$19</f>
        <v>0</v>
      </c>
      <c r="AF50" s="281">
        <f>TABLA_BASE[[#This Row],[TOTAL TRIB.
UNIT.(S/.)]]*TABLA_BASE[[#This Row],[CANTIDAD
(unid.)]]</f>
        <v>0</v>
      </c>
      <c r="AG50" s="279">
        <f>IF('🧾 Factura Comercial'!G54=0,0,'📦 Gastos Importación'!$E$28*(IF('🧾 Tributos Aduana'!$F$6=0,0,'🧾 Factura Comercial'!I54/'🧾 Tributos Aduana'!$F$6))/'🧾 Factura Comercial'!G54)</f>
        <v>0</v>
      </c>
      <c r="AH50" s="279">
        <f>TABLA_BASE[[#This Row],[GASTOS IMP.
UNIT.(US$)]]*TABLA_BASE[[#This Row],[CANTIDAD
(unid.)]]</f>
        <v>0</v>
      </c>
      <c r="AI50" s="281">
        <f>TABLA_BASE[[#This Row],[GASTOS IMP.
UNIT.(US$)]]*'📋 Datos Generales'!$E$19</f>
        <v>0</v>
      </c>
      <c r="AJ50" s="281">
        <f>TABLA_BASE[[#This Row],[GASTOS IMP.
UNIT.(S/.)]]*TABLA_BASE[[#This Row],[CANTIDAD
(unid.)]]</f>
        <v>0</v>
      </c>
      <c r="AK50" s="280">
        <f>'🧮 Costos x Producto'!J54</f>
        <v>0</v>
      </c>
      <c r="AL50" s="278">
        <f>'🧮 Costos x Producto'!K54</f>
        <v>0</v>
      </c>
      <c r="AM50" s="278">
        <f>TABLA_BASE[[#This Row],[C/M UNIT.
(S/.)]]*TABLA_BASE[[#This Row],[CANTIDAD
(unid.)]]</f>
        <v>0</v>
      </c>
      <c r="AN50" s="279">
        <f>IF('🧾 Factura Comercial'!G54=0,0,'🧾 Tributos Aduana'!$F$17*(IF('🧾 Tributos Aduana'!$F$6=0,0,'🧾 Factura Comercial'!I54/'🧾 Tributos Aduana'!$F$6))/'🧾 Factura Comercial'!G54)</f>
        <v>0</v>
      </c>
      <c r="AO50" s="280">
        <f>IF('🧾 Factura Comercial'!G54=0,0,'🏦 Crédito Fiscal'!$C$16*(IF('🧾 Tributos Aduana'!$F$6=0,0,'🧾 Factura Comercial'!I54/'🧾 Tributos Aduana'!$F$6))/'🧾 Factura Comercial'!G54)</f>
        <v>0</v>
      </c>
      <c r="AP50" s="278">
        <f>TABLA_BASE[[#This Row],[CF UNIT.
✅RECUP.
(US$)]]*'📋 Datos Generales'!$E$19</f>
        <v>0</v>
      </c>
      <c r="AQ50" s="278">
        <f>TABLA_BASE[[#This Row],[CF UNIT.
✅RECUP.(S/.)]]*TABLA_BASE[[#This Row],[CANTIDAD
(unid.)]]</f>
        <v>0</v>
      </c>
      <c r="AR50" s="288">
        <f>'💰 Precio de Venta'!G55</f>
        <v>0.4</v>
      </c>
      <c r="AS50" s="278">
        <f>'💰 Precio de Venta'!H55</f>
        <v>0</v>
      </c>
      <c r="AT50" s="278">
        <f>TABLA_BASE[[#This Row],[VALOR VTA.
UNIT.(S/.)]]*TABLA_BASE[[#This Row],[CANTIDAD
(unid.)]]</f>
        <v>0</v>
      </c>
      <c r="AU50" s="281">
        <f>'💰 Precio de Venta'!I55</f>
        <v>0</v>
      </c>
      <c r="AV50" s="278">
        <f>'💰 Precio de Venta'!J55</f>
        <v>0</v>
      </c>
      <c r="AW50" s="278">
        <f>TABLA_BASE[[#This Row],[GANANCIA
UNIT.(S/.)]]*TABLA_BASE[[#This Row],[CANTIDAD
(unid.)]]</f>
        <v>0</v>
      </c>
      <c r="AX50" s="289">
        <f>'💰 Precio de Venta'!K55</f>
        <v>0</v>
      </c>
      <c r="AY50" s="278">
        <f>TABLA_BASE[[#This Row],[GANANCIA
UNIT.(S/.)]]*'🧾 Factura Comercial'!G54</f>
        <v>0</v>
      </c>
      <c r="AZ50" s="277">
        <f>IF(TABLA_BASE[[#This Row],[PRECIO VTA.
c/IGV(S/.)]]=0,0,TABLA_BASE[[#This Row],[GANANCIA
UNIT.(S/.)]]/TABLA_BASE[[#This Row],[PRECIO VTA.
c/IGV(S/.)]])</f>
        <v>0</v>
      </c>
      <c r="BA50" s="277">
        <f>IF(TABLA_BASE[[#This Row],[C/M UNIT.
(S/.)]]=0,0,TABLA_BASE[[#This Row],[GANANCIA
UNIT.(S/.)]]/TABLA_BASE[[#This Row],[C/M UNIT.
(S/.)]])</f>
        <v>0</v>
      </c>
      <c r="BB50" s="274" t="str">
        <f>IF(TABLA_BASE[[#This Row],[MARGEN
%]]&gt;=0.5,"🟢 ALTO",IF(TABLA_BASE[[#This Row],[MARGEN
%]]&gt;=0.3,"🟡 MEDIO","🔴 BAJO"))</f>
        <v>🟡 MEDIO</v>
      </c>
    </row>
    <row r="51" spans="1:54" ht="16.5" hidden="1" thickTop="1" thickBot="1" x14ac:dyDescent="0.3">
      <c r="A51" s="274">
        <f>'🧾 Factura Comercial'!E55</f>
        <v>0</v>
      </c>
      <c r="B51" s="274" t="str">
        <f>'🧾 Factura Comercial'!F55</f>
        <v>Unid.</v>
      </c>
      <c r="C51" s="275">
        <f>'🧾 Factura Comercial'!G55</f>
        <v>0</v>
      </c>
      <c r="D51" s="276">
        <f>'🧾 Factura Comercial'!H55</f>
        <v>0</v>
      </c>
      <c r="E51" s="276">
        <f>'🧾 Factura Comercial'!I55</f>
        <v>0</v>
      </c>
      <c r="F51" s="277">
        <f>IF('🧾 Tributos Aduana'!$F$6=0,0,'🧾 Factura Comercial'!I55/'🧾 Tributos Aduana'!$F$6)</f>
        <v>0</v>
      </c>
      <c r="G51" s="278">
        <f>'🧾 Factura Comercial'!H55*'📋 Datos Generales'!$E$19</f>
        <v>0</v>
      </c>
      <c r="H51" s="278">
        <f>TABLA_BASE[[#This Row],[FOB UNIT.
(S/.)]]*TABLA_BASE[[#This Row],[CANTIDAD
(unid.)]]</f>
        <v>0</v>
      </c>
      <c r="I51" s="280">
        <f>IF('🧾 Tributos Aduana'!$F$6=0,0,'🧾 Tributos Aduana'!$F$17*('🧾 Factura Comercial'!H55/'🧾 Tributos Aduana'!$F$6))</f>
        <v>0</v>
      </c>
      <c r="J51" s="280">
        <f>TABLA_BASE[[#This Row],[ADV UNIT.
(US$)
⚠️COSTO]]*TABLA_BASE[[#This Row],[CANTIDAD
(unid.)]]</f>
        <v>0</v>
      </c>
      <c r="K51" s="279">
        <f>IF('🧾 Tributos Aduana'!$F$6=0,0,'🧾 Tributos Aduana'!$F$18*('🧾 Factura Comercial'!H55/'🧾 Tributos Aduana'!$F$6))</f>
        <v>0</v>
      </c>
      <c r="L51" s="280">
        <f>TABLA_BASE[[#This Row],[IPM UNIT.
(US$)
✅CF]]*TABLA_BASE[[#This Row],[CANTIDAD
(unid.)]]</f>
        <v>0</v>
      </c>
      <c r="M51" s="279">
        <f>IF('🧾 Tributos Aduana'!$F$6=0,0,'🧾 Tributos Aduana'!$F$19*('🧾 Factura Comercial'!H55/'🧾 Tributos Aduana'!$F$6))</f>
        <v>0</v>
      </c>
      <c r="N51" s="280">
        <f>TABLA_BASE[[#This Row],[IGV UNIT.
(US$)
✅CF]]*TABLA_BASE[[#This Row],[CANTIDAD
(unid.)]]</f>
        <v>0</v>
      </c>
      <c r="O51" s="280">
        <f>IF('🧾 Tributos Aduana'!$F$6=0,0,'🧾 Tributos Aduana'!$F$23*('🧾 Factura Comercial'!H55/'🧾 Tributos Aduana'!$F$6))</f>
        <v>0</v>
      </c>
      <c r="P51" s="280">
        <f>TABLA_BASE[[#This Row],[PERCEP.
UNIT.(US$)
✅CF]]*TABLA_BASE[[#This Row],[CANTIDAD
(unid.)]]</f>
        <v>0</v>
      </c>
      <c r="Q51" s="279">
        <f>TABLA_BASE[[#This Row],[ADV UNIT.
(US$)
⚠️COSTO]]+TABLA_BASE[[#This Row],[IPM UNIT.
(US$)
✅CF]]+TABLA_BASE[[#This Row],[IGV UNIT.
(US$)
✅CF]]</f>
        <v>0</v>
      </c>
      <c r="R51" s="280">
        <f>TABLA_BASE[[#This Row],[DEUDA
ADUANERA
UNIT.]]*TABLA_BASE[[#This Row],[CANTIDAD
(unid.)]]</f>
        <v>0</v>
      </c>
      <c r="S51" s="278">
        <f>TABLA_BASE[[#This Row],[DEUDA
ADUANERA
UNIT.]]*'📋 Datos Generales'!$E$19</f>
        <v>0</v>
      </c>
      <c r="T51" s="278">
        <f>TABLA_BASE[[#This Row],[DEUDA
ADUANERA
TOTAL]]*'📋 Datos Generales'!$E$19</f>
        <v>0</v>
      </c>
      <c r="U51" s="281">
        <f>TABLA_BASE[[#This Row],[ADV UNIT.
(US$)
⚠️COSTO]]*'📋 Datos Generales'!$E$19</f>
        <v>0</v>
      </c>
      <c r="V51" s="281">
        <f>TABLA_BASE[[#This Row],[ADV UNIT.
(S/.)]]*TABLA_BASE[[#This Row],[CANTIDAD
(unid.)]]</f>
        <v>0</v>
      </c>
      <c r="W51" s="281">
        <f>TABLA_BASE[[#This Row],[IPM UNIT.
(US$)
✅CF]]*'📋 Datos Generales'!$E$19</f>
        <v>0</v>
      </c>
      <c r="X51" s="281">
        <f>TABLA_BASE[[#This Row],[IPM UNIT.
(S/.)]]*TABLA_BASE[[#This Row],[CANTIDAD
(unid.)]]</f>
        <v>0</v>
      </c>
      <c r="Y51" s="281">
        <f>TABLA_BASE[[#This Row],[IGV UNIT.
(US$)
✅CF]]*'📋 Datos Generales'!$E$19</f>
        <v>0</v>
      </c>
      <c r="Z51" s="281">
        <f>TABLA_BASE[[#This Row],[IGV UNIT.
(S/.)]]*TABLA_BASE[[#This Row],[CANTIDAD
(unid.)]]</f>
        <v>0</v>
      </c>
      <c r="AA51" s="281">
        <f>TABLA_BASE[[#This Row],[PERCEP.
UNIT.(US$)
✅CF]]*'📋 Datos Generales'!$E$19</f>
        <v>0</v>
      </c>
      <c r="AB51" s="281">
        <f>TABLA_BASE[[#This Row],[PERCEP.
UNIT.(S/.)]]*TABLA_BASE[[#This Row],[CANTIDAD
(unid.)]]</f>
        <v>0</v>
      </c>
      <c r="AC51" s="279">
        <f>TABLA_BASE[[#This Row],[ADV UNIT.
(US$)
⚠️COSTO]]+TABLA_BASE[[#This Row],[IPM UNIT.
(US$)
✅CF]]+TABLA_BASE[[#This Row],[IGV UNIT.
(US$)
✅CF]]+TABLA_BASE[[#This Row],[PERCEP.
UNIT.(US$)
✅CF]]</f>
        <v>0</v>
      </c>
      <c r="AD51" s="279">
        <f>TABLA_BASE[[#This Row],[TOTAL PAGO
SUNAT
UNIT.(US$)]]*TABLA_BASE[[#This Row],[CANTIDAD
(unid.)]]</f>
        <v>0</v>
      </c>
      <c r="AE51" s="281">
        <f>TABLA_BASE[[#This Row],[TOTAL PAGO
SUNAT
UNIT.(US$)]]*'📋 Datos Generales'!$E$19</f>
        <v>0</v>
      </c>
      <c r="AF51" s="281">
        <f>TABLA_BASE[[#This Row],[TOTAL TRIB.
UNIT.(S/.)]]*TABLA_BASE[[#This Row],[CANTIDAD
(unid.)]]</f>
        <v>0</v>
      </c>
      <c r="AG51" s="279">
        <f>IF('🧾 Factura Comercial'!G55=0,0,'📦 Gastos Importación'!$E$28*(IF('🧾 Tributos Aduana'!$F$6=0,0,'🧾 Factura Comercial'!I55/'🧾 Tributos Aduana'!$F$6))/'🧾 Factura Comercial'!G55)</f>
        <v>0</v>
      </c>
      <c r="AH51" s="279">
        <f>TABLA_BASE[[#This Row],[GASTOS IMP.
UNIT.(US$)]]*TABLA_BASE[[#This Row],[CANTIDAD
(unid.)]]</f>
        <v>0</v>
      </c>
      <c r="AI51" s="281">
        <f>TABLA_BASE[[#This Row],[GASTOS IMP.
UNIT.(US$)]]*'📋 Datos Generales'!$E$19</f>
        <v>0</v>
      </c>
      <c r="AJ51" s="281">
        <f>TABLA_BASE[[#This Row],[GASTOS IMP.
UNIT.(S/.)]]*TABLA_BASE[[#This Row],[CANTIDAD
(unid.)]]</f>
        <v>0</v>
      </c>
      <c r="AK51" s="280">
        <f>'🧮 Costos x Producto'!J55</f>
        <v>0</v>
      </c>
      <c r="AL51" s="278">
        <f>'🧮 Costos x Producto'!K55</f>
        <v>0</v>
      </c>
      <c r="AM51" s="278">
        <f>TABLA_BASE[[#This Row],[C/M UNIT.
(S/.)]]*TABLA_BASE[[#This Row],[CANTIDAD
(unid.)]]</f>
        <v>0</v>
      </c>
      <c r="AN51" s="279">
        <f>IF('🧾 Factura Comercial'!G55=0,0,'🧾 Tributos Aduana'!$F$17*(IF('🧾 Tributos Aduana'!$F$6=0,0,'🧾 Factura Comercial'!I55/'🧾 Tributos Aduana'!$F$6))/'🧾 Factura Comercial'!G55)</f>
        <v>0</v>
      </c>
      <c r="AO51" s="280">
        <f>IF('🧾 Factura Comercial'!G55=0,0,'🏦 Crédito Fiscal'!$C$16*(IF('🧾 Tributos Aduana'!$F$6=0,0,'🧾 Factura Comercial'!I55/'🧾 Tributos Aduana'!$F$6))/'🧾 Factura Comercial'!G55)</f>
        <v>0</v>
      </c>
      <c r="AP51" s="278">
        <f>TABLA_BASE[[#This Row],[CF UNIT.
✅RECUP.
(US$)]]*'📋 Datos Generales'!$E$19</f>
        <v>0</v>
      </c>
      <c r="AQ51" s="278">
        <f>TABLA_BASE[[#This Row],[CF UNIT.
✅RECUP.(S/.)]]*TABLA_BASE[[#This Row],[CANTIDAD
(unid.)]]</f>
        <v>0</v>
      </c>
      <c r="AR51" s="288">
        <f>'💰 Precio de Venta'!G56</f>
        <v>0.4</v>
      </c>
      <c r="AS51" s="278">
        <f>'💰 Precio de Venta'!H56</f>
        <v>0</v>
      </c>
      <c r="AT51" s="278">
        <f>TABLA_BASE[[#This Row],[VALOR VTA.
UNIT.(S/.)]]*TABLA_BASE[[#This Row],[CANTIDAD
(unid.)]]</f>
        <v>0</v>
      </c>
      <c r="AU51" s="281">
        <f>'💰 Precio de Venta'!I56</f>
        <v>0</v>
      </c>
      <c r="AV51" s="278">
        <f>'💰 Precio de Venta'!J56</f>
        <v>0</v>
      </c>
      <c r="AW51" s="278">
        <f>TABLA_BASE[[#This Row],[GANANCIA
UNIT.(S/.)]]*TABLA_BASE[[#This Row],[CANTIDAD
(unid.)]]</f>
        <v>0</v>
      </c>
      <c r="AX51" s="289">
        <f>'💰 Precio de Venta'!K56</f>
        <v>0</v>
      </c>
      <c r="AY51" s="278">
        <f>TABLA_BASE[[#This Row],[GANANCIA
UNIT.(S/.)]]*'🧾 Factura Comercial'!G55</f>
        <v>0</v>
      </c>
      <c r="AZ51" s="277">
        <f>IF(TABLA_BASE[[#This Row],[PRECIO VTA.
c/IGV(S/.)]]=0,0,TABLA_BASE[[#This Row],[GANANCIA
UNIT.(S/.)]]/TABLA_BASE[[#This Row],[PRECIO VTA.
c/IGV(S/.)]])</f>
        <v>0</v>
      </c>
      <c r="BA51" s="277">
        <f>IF(TABLA_BASE[[#This Row],[C/M UNIT.
(S/.)]]=0,0,TABLA_BASE[[#This Row],[GANANCIA
UNIT.(S/.)]]/TABLA_BASE[[#This Row],[C/M UNIT.
(S/.)]])</f>
        <v>0</v>
      </c>
      <c r="BB51" s="274" t="str">
        <f>IF(TABLA_BASE[[#This Row],[MARGEN
%]]&gt;=0.5,"🟢 ALTO",IF(TABLA_BASE[[#This Row],[MARGEN
%]]&gt;=0.3,"🟡 MEDIO","🔴 BAJO"))</f>
        <v>🟡 MEDIO</v>
      </c>
    </row>
    <row r="52" spans="1:54" ht="16.5" hidden="1" thickTop="1" thickBot="1" x14ac:dyDescent="0.3">
      <c r="A52" s="274">
        <f>'🧾 Factura Comercial'!E56</f>
        <v>0</v>
      </c>
      <c r="B52" s="274" t="str">
        <f>'🧾 Factura Comercial'!F56</f>
        <v>Unid.</v>
      </c>
      <c r="C52" s="275">
        <f>'🧾 Factura Comercial'!G56</f>
        <v>0</v>
      </c>
      <c r="D52" s="276">
        <f>'🧾 Factura Comercial'!H56</f>
        <v>0</v>
      </c>
      <c r="E52" s="276">
        <f>'🧾 Factura Comercial'!I56</f>
        <v>0</v>
      </c>
      <c r="F52" s="277">
        <f>IF('🧾 Tributos Aduana'!$F$6=0,0,'🧾 Factura Comercial'!I56/'🧾 Tributos Aduana'!$F$6)</f>
        <v>0</v>
      </c>
      <c r="G52" s="278">
        <f>'🧾 Factura Comercial'!H56*'📋 Datos Generales'!$E$19</f>
        <v>0</v>
      </c>
      <c r="H52" s="278">
        <f>TABLA_BASE[[#This Row],[FOB UNIT.
(S/.)]]*TABLA_BASE[[#This Row],[CANTIDAD
(unid.)]]</f>
        <v>0</v>
      </c>
      <c r="I52" s="280">
        <f>IF('🧾 Tributos Aduana'!$F$6=0,0,'🧾 Tributos Aduana'!$F$17*('🧾 Factura Comercial'!H56/'🧾 Tributos Aduana'!$F$6))</f>
        <v>0</v>
      </c>
      <c r="J52" s="280">
        <f>TABLA_BASE[[#This Row],[ADV UNIT.
(US$)
⚠️COSTO]]*TABLA_BASE[[#This Row],[CANTIDAD
(unid.)]]</f>
        <v>0</v>
      </c>
      <c r="K52" s="279">
        <f>IF('🧾 Tributos Aduana'!$F$6=0,0,'🧾 Tributos Aduana'!$F$18*('🧾 Factura Comercial'!H56/'🧾 Tributos Aduana'!$F$6))</f>
        <v>0</v>
      </c>
      <c r="L52" s="280">
        <f>TABLA_BASE[[#This Row],[IPM UNIT.
(US$)
✅CF]]*TABLA_BASE[[#This Row],[CANTIDAD
(unid.)]]</f>
        <v>0</v>
      </c>
      <c r="M52" s="279">
        <f>IF('🧾 Tributos Aduana'!$F$6=0,0,'🧾 Tributos Aduana'!$F$19*('🧾 Factura Comercial'!H56/'🧾 Tributos Aduana'!$F$6))</f>
        <v>0</v>
      </c>
      <c r="N52" s="280">
        <f>TABLA_BASE[[#This Row],[IGV UNIT.
(US$)
✅CF]]*TABLA_BASE[[#This Row],[CANTIDAD
(unid.)]]</f>
        <v>0</v>
      </c>
      <c r="O52" s="280">
        <f>IF('🧾 Tributos Aduana'!$F$6=0,0,'🧾 Tributos Aduana'!$F$23*('🧾 Factura Comercial'!H56/'🧾 Tributos Aduana'!$F$6))</f>
        <v>0</v>
      </c>
      <c r="P52" s="280">
        <f>TABLA_BASE[[#This Row],[PERCEP.
UNIT.(US$)
✅CF]]*TABLA_BASE[[#This Row],[CANTIDAD
(unid.)]]</f>
        <v>0</v>
      </c>
      <c r="Q52" s="279">
        <f>TABLA_BASE[[#This Row],[ADV UNIT.
(US$)
⚠️COSTO]]+TABLA_BASE[[#This Row],[IPM UNIT.
(US$)
✅CF]]+TABLA_BASE[[#This Row],[IGV UNIT.
(US$)
✅CF]]</f>
        <v>0</v>
      </c>
      <c r="R52" s="280">
        <f>TABLA_BASE[[#This Row],[DEUDA
ADUANERA
UNIT.]]*TABLA_BASE[[#This Row],[CANTIDAD
(unid.)]]</f>
        <v>0</v>
      </c>
      <c r="S52" s="278">
        <f>TABLA_BASE[[#This Row],[DEUDA
ADUANERA
UNIT.]]*'📋 Datos Generales'!$E$19</f>
        <v>0</v>
      </c>
      <c r="T52" s="278">
        <f>TABLA_BASE[[#This Row],[DEUDA
ADUANERA
TOTAL]]*'📋 Datos Generales'!$E$19</f>
        <v>0</v>
      </c>
      <c r="U52" s="281">
        <f>TABLA_BASE[[#This Row],[ADV UNIT.
(US$)
⚠️COSTO]]*'📋 Datos Generales'!$E$19</f>
        <v>0</v>
      </c>
      <c r="V52" s="281">
        <f>TABLA_BASE[[#This Row],[ADV UNIT.
(S/.)]]*TABLA_BASE[[#This Row],[CANTIDAD
(unid.)]]</f>
        <v>0</v>
      </c>
      <c r="W52" s="281">
        <f>TABLA_BASE[[#This Row],[IPM UNIT.
(US$)
✅CF]]*'📋 Datos Generales'!$E$19</f>
        <v>0</v>
      </c>
      <c r="X52" s="281">
        <f>TABLA_BASE[[#This Row],[IPM UNIT.
(S/.)]]*TABLA_BASE[[#This Row],[CANTIDAD
(unid.)]]</f>
        <v>0</v>
      </c>
      <c r="Y52" s="281">
        <f>TABLA_BASE[[#This Row],[IGV UNIT.
(US$)
✅CF]]*'📋 Datos Generales'!$E$19</f>
        <v>0</v>
      </c>
      <c r="Z52" s="281">
        <f>TABLA_BASE[[#This Row],[IGV UNIT.
(S/.)]]*TABLA_BASE[[#This Row],[CANTIDAD
(unid.)]]</f>
        <v>0</v>
      </c>
      <c r="AA52" s="281">
        <f>TABLA_BASE[[#This Row],[PERCEP.
UNIT.(US$)
✅CF]]*'📋 Datos Generales'!$E$19</f>
        <v>0</v>
      </c>
      <c r="AB52" s="281">
        <f>TABLA_BASE[[#This Row],[PERCEP.
UNIT.(S/.)]]*TABLA_BASE[[#This Row],[CANTIDAD
(unid.)]]</f>
        <v>0</v>
      </c>
      <c r="AC52" s="279">
        <f>TABLA_BASE[[#This Row],[ADV UNIT.
(US$)
⚠️COSTO]]+TABLA_BASE[[#This Row],[IPM UNIT.
(US$)
✅CF]]+TABLA_BASE[[#This Row],[IGV UNIT.
(US$)
✅CF]]+TABLA_BASE[[#This Row],[PERCEP.
UNIT.(US$)
✅CF]]</f>
        <v>0</v>
      </c>
      <c r="AD52" s="279">
        <f>TABLA_BASE[[#This Row],[TOTAL PAGO
SUNAT
UNIT.(US$)]]*TABLA_BASE[[#This Row],[CANTIDAD
(unid.)]]</f>
        <v>0</v>
      </c>
      <c r="AE52" s="281">
        <f>TABLA_BASE[[#This Row],[TOTAL PAGO
SUNAT
UNIT.(US$)]]*'📋 Datos Generales'!$E$19</f>
        <v>0</v>
      </c>
      <c r="AF52" s="281">
        <f>TABLA_BASE[[#This Row],[TOTAL TRIB.
UNIT.(S/.)]]*TABLA_BASE[[#This Row],[CANTIDAD
(unid.)]]</f>
        <v>0</v>
      </c>
      <c r="AG52" s="279">
        <f>IF('🧾 Factura Comercial'!G56=0,0,'📦 Gastos Importación'!$E$28*(IF('🧾 Tributos Aduana'!$F$6=0,0,'🧾 Factura Comercial'!I56/'🧾 Tributos Aduana'!$F$6))/'🧾 Factura Comercial'!G56)</f>
        <v>0</v>
      </c>
      <c r="AH52" s="279">
        <f>TABLA_BASE[[#This Row],[GASTOS IMP.
UNIT.(US$)]]*TABLA_BASE[[#This Row],[CANTIDAD
(unid.)]]</f>
        <v>0</v>
      </c>
      <c r="AI52" s="281">
        <f>TABLA_BASE[[#This Row],[GASTOS IMP.
UNIT.(US$)]]*'📋 Datos Generales'!$E$19</f>
        <v>0</v>
      </c>
      <c r="AJ52" s="281">
        <f>TABLA_BASE[[#This Row],[GASTOS IMP.
UNIT.(S/.)]]*TABLA_BASE[[#This Row],[CANTIDAD
(unid.)]]</f>
        <v>0</v>
      </c>
      <c r="AK52" s="280">
        <f>'🧮 Costos x Producto'!J56</f>
        <v>0</v>
      </c>
      <c r="AL52" s="278">
        <f>'🧮 Costos x Producto'!K56</f>
        <v>0</v>
      </c>
      <c r="AM52" s="278">
        <f>TABLA_BASE[[#This Row],[C/M UNIT.
(S/.)]]*TABLA_BASE[[#This Row],[CANTIDAD
(unid.)]]</f>
        <v>0</v>
      </c>
      <c r="AN52" s="279">
        <f>IF('🧾 Factura Comercial'!G56=0,0,'🧾 Tributos Aduana'!$F$17*(IF('🧾 Tributos Aduana'!$F$6=0,0,'🧾 Factura Comercial'!I56/'🧾 Tributos Aduana'!$F$6))/'🧾 Factura Comercial'!G56)</f>
        <v>0</v>
      </c>
      <c r="AO52" s="280">
        <f>IF('🧾 Factura Comercial'!G56=0,0,'🏦 Crédito Fiscal'!$C$16*(IF('🧾 Tributos Aduana'!$F$6=0,0,'🧾 Factura Comercial'!I56/'🧾 Tributos Aduana'!$F$6))/'🧾 Factura Comercial'!G56)</f>
        <v>0</v>
      </c>
      <c r="AP52" s="278">
        <f>TABLA_BASE[[#This Row],[CF UNIT.
✅RECUP.
(US$)]]*'📋 Datos Generales'!$E$19</f>
        <v>0</v>
      </c>
      <c r="AQ52" s="278">
        <f>TABLA_BASE[[#This Row],[CF UNIT.
✅RECUP.(S/.)]]*TABLA_BASE[[#This Row],[CANTIDAD
(unid.)]]</f>
        <v>0</v>
      </c>
      <c r="AR52" s="288">
        <f>'💰 Precio de Venta'!G57</f>
        <v>0.4</v>
      </c>
      <c r="AS52" s="278">
        <f>'💰 Precio de Venta'!H57</f>
        <v>0</v>
      </c>
      <c r="AT52" s="278">
        <f>TABLA_BASE[[#This Row],[VALOR VTA.
UNIT.(S/.)]]*TABLA_BASE[[#This Row],[CANTIDAD
(unid.)]]</f>
        <v>0</v>
      </c>
      <c r="AU52" s="281">
        <f>'💰 Precio de Venta'!I57</f>
        <v>0</v>
      </c>
      <c r="AV52" s="278">
        <f>'💰 Precio de Venta'!J57</f>
        <v>0</v>
      </c>
      <c r="AW52" s="278">
        <f>TABLA_BASE[[#This Row],[GANANCIA
UNIT.(S/.)]]*TABLA_BASE[[#This Row],[CANTIDAD
(unid.)]]</f>
        <v>0</v>
      </c>
      <c r="AX52" s="289">
        <f>'💰 Precio de Venta'!K57</f>
        <v>0</v>
      </c>
      <c r="AY52" s="278">
        <f>TABLA_BASE[[#This Row],[GANANCIA
UNIT.(S/.)]]*'🧾 Factura Comercial'!G56</f>
        <v>0</v>
      </c>
      <c r="AZ52" s="277">
        <f>IF(TABLA_BASE[[#This Row],[PRECIO VTA.
c/IGV(S/.)]]=0,0,TABLA_BASE[[#This Row],[GANANCIA
UNIT.(S/.)]]/TABLA_BASE[[#This Row],[PRECIO VTA.
c/IGV(S/.)]])</f>
        <v>0</v>
      </c>
      <c r="BA52" s="277">
        <f>IF(TABLA_BASE[[#This Row],[C/M UNIT.
(S/.)]]=0,0,TABLA_BASE[[#This Row],[GANANCIA
UNIT.(S/.)]]/TABLA_BASE[[#This Row],[C/M UNIT.
(S/.)]])</f>
        <v>0</v>
      </c>
      <c r="BB52" s="274" t="str">
        <f>IF(TABLA_BASE[[#This Row],[MARGEN
%]]&gt;=0.5,"🟢 ALTO",IF(TABLA_BASE[[#This Row],[MARGEN
%]]&gt;=0.3,"🟡 MEDIO","🔴 BAJO"))</f>
        <v>🟡 MEDIO</v>
      </c>
    </row>
    <row r="53" spans="1:54" ht="16.5" hidden="1" thickTop="1" thickBot="1" x14ac:dyDescent="0.3">
      <c r="A53" s="274">
        <f>'🧾 Factura Comercial'!E57</f>
        <v>0</v>
      </c>
      <c r="B53" s="274" t="str">
        <f>'🧾 Factura Comercial'!F57</f>
        <v>Unid.</v>
      </c>
      <c r="C53" s="275">
        <f>'🧾 Factura Comercial'!G57</f>
        <v>0</v>
      </c>
      <c r="D53" s="276">
        <f>'🧾 Factura Comercial'!H57</f>
        <v>0</v>
      </c>
      <c r="E53" s="276">
        <f>'🧾 Factura Comercial'!I57</f>
        <v>0</v>
      </c>
      <c r="F53" s="277">
        <f>IF('🧾 Tributos Aduana'!$F$6=0,0,'🧾 Factura Comercial'!I57/'🧾 Tributos Aduana'!$F$6)</f>
        <v>0</v>
      </c>
      <c r="G53" s="278">
        <f>'🧾 Factura Comercial'!H57*'📋 Datos Generales'!$E$19</f>
        <v>0</v>
      </c>
      <c r="H53" s="278">
        <f>TABLA_BASE[[#This Row],[FOB UNIT.
(S/.)]]*TABLA_BASE[[#This Row],[CANTIDAD
(unid.)]]</f>
        <v>0</v>
      </c>
      <c r="I53" s="280">
        <f>IF('🧾 Tributos Aduana'!$F$6=0,0,'🧾 Tributos Aduana'!$F$17*('🧾 Factura Comercial'!H57/'🧾 Tributos Aduana'!$F$6))</f>
        <v>0</v>
      </c>
      <c r="J53" s="280">
        <f>TABLA_BASE[[#This Row],[ADV UNIT.
(US$)
⚠️COSTO]]*TABLA_BASE[[#This Row],[CANTIDAD
(unid.)]]</f>
        <v>0</v>
      </c>
      <c r="K53" s="279">
        <f>IF('🧾 Tributos Aduana'!$F$6=0,0,'🧾 Tributos Aduana'!$F$18*('🧾 Factura Comercial'!H57/'🧾 Tributos Aduana'!$F$6))</f>
        <v>0</v>
      </c>
      <c r="L53" s="280">
        <f>TABLA_BASE[[#This Row],[IPM UNIT.
(US$)
✅CF]]*TABLA_BASE[[#This Row],[CANTIDAD
(unid.)]]</f>
        <v>0</v>
      </c>
      <c r="M53" s="279">
        <f>IF('🧾 Tributos Aduana'!$F$6=0,0,'🧾 Tributos Aduana'!$F$19*('🧾 Factura Comercial'!H57/'🧾 Tributos Aduana'!$F$6))</f>
        <v>0</v>
      </c>
      <c r="N53" s="280">
        <f>TABLA_BASE[[#This Row],[IGV UNIT.
(US$)
✅CF]]*TABLA_BASE[[#This Row],[CANTIDAD
(unid.)]]</f>
        <v>0</v>
      </c>
      <c r="O53" s="280">
        <f>IF('🧾 Tributos Aduana'!$F$6=0,0,'🧾 Tributos Aduana'!$F$23*('🧾 Factura Comercial'!H57/'🧾 Tributos Aduana'!$F$6))</f>
        <v>0</v>
      </c>
      <c r="P53" s="280">
        <f>TABLA_BASE[[#This Row],[PERCEP.
UNIT.(US$)
✅CF]]*TABLA_BASE[[#This Row],[CANTIDAD
(unid.)]]</f>
        <v>0</v>
      </c>
      <c r="Q53" s="279">
        <f>TABLA_BASE[[#This Row],[ADV UNIT.
(US$)
⚠️COSTO]]+TABLA_BASE[[#This Row],[IPM UNIT.
(US$)
✅CF]]+TABLA_BASE[[#This Row],[IGV UNIT.
(US$)
✅CF]]</f>
        <v>0</v>
      </c>
      <c r="R53" s="280">
        <f>TABLA_BASE[[#This Row],[DEUDA
ADUANERA
UNIT.]]*TABLA_BASE[[#This Row],[CANTIDAD
(unid.)]]</f>
        <v>0</v>
      </c>
      <c r="S53" s="278">
        <f>TABLA_BASE[[#This Row],[DEUDA
ADUANERA
UNIT.]]*'📋 Datos Generales'!$E$19</f>
        <v>0</v>
      </c>
      <c r="T53" s="278">
        <f>TABLA_BASE[[#This Row],[DEUDA
ADUANERA
TOTAL]]*'📋 Datos Generales'!$E$19</f>
        <v>0</v>
      </c>
      <c r="U53" s="281">
        <f>TABLA_BASE[[#This Row],[ADV UNIT.
(US$)
⚠️COSTO]]*'📋 Datos Generales'!$E$19</f>
        <v>0</v>
      </c>
      <c r="V53" s="281">
        <f>TABLA_BASE[[#This Row],[ADV UNIT.
(S/.)]]*TABLA_BASE[[#This Row],[CANTIDAD
(unid.)]]</f>
        <v>0</v>
      </c>
      <c r="W53" s="281">
        <f>TABLA_BASE[[#This Row],[IPM UNIT.
(US$)
✅CF]]*'📋 Datos Generales'!$E$19</f>
        <v>0</v>
      </c>
      <c r="X53" s="281">
        <f>TABLA_BASE[[#This Row],[IPM UNIT.
(S/.)]]*TABLA_BASE[[#This Row],[CANTIDAD
(unid.)]]</f>
        <v>0</v>
      </c>
      <c r="Y53" s="281">
        <f>TABLA_BASE[[#This Row],[IGV UNIT.
(US$)
✅CF]]*'📋 Datos Generales'!$E$19</f>
        <v>0</v>
      </c>
      <c r="Z53" s="281">
        <f>TABLA_BASE[[#This Row],[IGV UNIT.
(S/.)]]*TABLA_BASE[[#This Row],[CANTIDAD
(unid.)]]</f>
        <v>0</v>
      </c>
      <c r="AA53" s="281">
        <f>TABLA_BASE[[#This Row],[PERCEP.
UNIT.(US$)
✅CF]]*'📋 Datos Generales'!$E$19</f>
        <v>0</v>
      </c>
      <c r="AB53" s="281">
        <f>TABLA_BASE[[#This Row],[PERCEP.
UNIT.(S/.)]]*TABLA_BASE[[#This Row],[CANTIDAD
(unid.)]]</f>
        <v>0</v>
      </c>
      <c r="AC53" s="279">
        <f>TABLA_BASE[[#This Row],[ADV UNIT.
(US$)
⚠️COSTO]]+TABLA_BASE[[#This Row],[IPM UNIT.
(US$)
✅CF]]+TABLA_BASE[[#This Row],[IGV UNIT.
(US$)
✅CF]]+TABLA_BASE[[#This Row],[PERCEP.
UNIT.(US$)
✅CF]]</f>
        <v>0</v>
      </c>
      <c r="AD53" s="279">
        <f>TABLA_BASE[[#This Row],[TOTAL PAGO
SUNAT
UNIT.(US$)]]*TABLA_BASE[[#This Row],[CANTIDAD
(unid.)]]</f>
        <v>0</v>
      </c>
      <c r="AE53" s="281">
        <f>TABLA_BASE[[#This Row],[TOTAL PAGO
SUNAT
UNIT.(US$)]]*'📋 Datos Generales'!$E$19</f>
        <v>0</v>
      </c>
      <c r="AF53" s="281">
        <f>TABLA_BASE[[#This Row],[TOTAL TRIB.
UNIT.(S/.)]]*TABLA_BASE[[#This Row],[CANTIDAD
(unid.)]]</f>
        <v>0</v>
      </c>
      <c r="AG53" s="279">
        <f>IF('🧾 Factura Comercial'!G57=0,0,'📦 Gastos Importación'!$E$28*(IF('🧾 Tributos Aduana'!$F$6=0,0,'🧾 Factura Comercial'!I57/'🧾 Tributos Aduana'!$F$6))/'🧾 Factura Comercial'!G57)</f>
        <v>0</v>
      </c>
      <c r="AH53" s="279">
        <f>TABLA_BASE[[#This Row],[GASTOS IMP.
UNIT.(US$)]]*TABLA_BASE[[#This Row],[CANTIDAD
(unid.)]]</f>
        <v>0</v>
      </c>
      <c r="AI53" s="281">
        <f>TABLA_BASE[[#This Row],[GASTOS IMP.
UNIT.(US$)]]*'📋 Datos Generales'!$E$19</f>
        <v>0</v>
      </c>
      <c r="AJ53" s="281">
        <f>TABLA_BASE[[#This Row],[GASTOS IMP.
UNIT.(S/.)]]*TABLA_BASE[[#This Row],[CANTIDAD
(unid.)]]</f>
        <v>0</v>
      </c>
      <c r="AK53" s="280">
        <f>'🧮 Costos x Producto'!J57</f>
        <v>0</v>
      </c>
      <c r="AL53" s="278">
        <f>'🧮 Costos x Producto'!K57</f>
        <v>0</v>
      </c>
      <c r="AM53" s="278">
        <f>TABLA_BASE[[#This Row],[C/M UNIT.
(S/.)]]*TABLA_BASE[[#This Row],[CANTIDAD
(unid.)]]</f>
        <v>0</v>
      </c>
      <c r="AN53" s="279">
        <f>IF('🧾 Factura Comercial'!G57=0,0,'🧾 Tributos Aduana'!$F$17*(IF('🧾 Tributos Aduana'!$F$6=0,0,'🧾 Factura Comercial'!I57/'🧾 Tributos Aduana'!$F$6))/'🧾 Factura Comercial'!G57)</f>
        <v>0</v>
      </c>
      <c r="AO53" s="280">
        <f>IF('🧾 Factura Comercial'!G57=0,0,'🏦 Crédito Fiscal'!$C$16*(IF('🧾 Tributos Aduana'!$F$6=0,0,'🧾 Factura Comercial'!I57/'🧾 Tributos Aduana'!$F$6))/'🧾 Factura Comercial'!G57)</f>
        <v>0</v>
      </c>
      <c r="AP53" s="278">
        <f>TABLA_BASE[[#This Row],[CF UNIT.
✅RECUP.
(US$)]]*'📋 Datos Generales'!$E$19</f>
        <v>0</v>
      </c>
      <c r="AQ53" s="278">
        <f>TABLA_BASE[[#This Row],[CF UNIT.
✅RECUP.(S/.)]]*TABLA_BASE[[#This Row],[CANTIDAD
(unid.)]]</f>
        <v>0</v>
      </c>
      <c r="AR53" s="288">
        <f>'💰 Precio de Venta'!G58</f>
        <v>0.4</v>
      </c>
      <c r="AS53" s="278">
        <f>'💰 Precio de Venta'!H58</f>
        <v>0</v>
      </c>
      <c r="AT53" s="278">
        <f>TABLA_BASE[[#This Row],[VALOR VTA.
UNIT.(S/.)]]*TABLA_BASE[[#This Row],[CANTIDAD
(unid.)]]</f>
        <v>0</v>
      </c>
      <c r="AU53" s="281">
        <f>'💰 Precio de Venta'!I58</f>
        <v>0</v>
      </c>
      <c r="AV53" s="278">
        <f>'💰 Precio de Venta'!J58</f>
        <v>0</v>
      </c>
      <c r="AW53" s="278">
        <f>TABLA_BASE[[#This Row],[GANANCIA
UNIT.(S/.)]]*TABLA_BASE[[#This Row],[CANTIDAD
(unid.)]]</f>
        <v>0</v>
      </c>
      <c r="AX53" s="289">
        <f>'💰 Precio de Venta'!K58</f>
        <v>0</v>
      </c>
      <c r="AY53" s="278">
        <f>TABLA_BASE[[#This Row],[GANANCIA
UNIT.(S/.)]]*'🧾 Factura Comercial'!G57</f>
        <v>0</v>
      </c>
      <c r="AZ53" s="277">
        <f>IF(TABLA_BASE[[#This Row],[PRECIO VTA.
c/IGV(S/.)]]=0,0,TABLA_BASE[[#This Row],[GANANCIA
UNIT.(S/.)]]/TABLA_BASE[[#This Row],[PRECIO VTA.
c/IGV(S/.)]])</f>
        <v>0</v>
      </c>
      <c r="BA53" s="277">
        <f>IF(TABLA_BASE[[#This Row],[C/M UNIT.
(S/.)]]=0,0,TABLA_BASE[[#This Row],[GANANCIA
UNIT.(S/.)]]/TABLA_BASE[[#This Row],[C/M UNIT.
(S/.)]])</f>
        <v>0</v>
      </c>
      <c r="BB53" s="274" t="str">
        <f>IF(TABLA_BASE[[#This Row],[MARGEN
%]]&gt;=0.5,"🟢 ALTO",IF(TABLA_BASE[[#This Row],[MARGEN
%]]&gt;=0.3,"🟡 MEDIO","🔴 BAJO"))</f>
        <v>🟡 MEDIO</v>
      </c>
    </row>
    <row r="54" spans="1:54" ht="16.5" hidden="1" thickTop="1" thickBot="1" x14ac:dyDescent="0.3">
      <c r="A54" s="274">
        <f>'🧾 Factura Comercial'!E58</f>
        <v>0</v>
      </c>
      <c r="B54" s="274" t="str">
        <f>'🧾 Factura Comercial'!F58</f>
        <v>Unid.</v>
      </c>
      <c r="C54" s="275">
        <f>'🧾 Factura Comercial'!G58</f>
        <v>0</v>
      </c>
      <c r="D54" s="276">
        <f>'🧾 Factura Comercial'!H58</f>
        <v>0</v>
      </c>
      <c r="E54" s="276">
        <f>'🧾 Factura Comercial'!I58</f>
        <v>0</v>
      </c>
      <c r="F54" s="277">
        <f>IF('🧾 Tributos Aduana'!$F$6=0,0,'🧾 Factura Comercial'!I58/'🧾 Tributos Aduana'!$F$6)</f>
        <v>0</v>
      </c>
      <c r="G54" s="278">
        <f>'🧾 Factura Comercial'!H58*'📋 Datos Generales'!$E$19</f>
        <v>0</v>
      </c>
      <c r="H54" s="278">
        <f>TABLA_BASE[[#This Row],[FOB UNIT.
(S/.)]]*TABLA_BASE[[#This Row],[CANTIDAD
(unid.)]]</f>
        <v>0</v>
      </c>
      <c r="I54" s="280">
        <f>IF('🧾 Tributos Aduana'!$F$6=0,0,'🧾 Tributos Aduana'!$F$17*('🧾 Factura Comercial'!H58/'🧾 Tributos Aduana'!$F$6))</f>
        <v>0</v>
      </c>
      <c r="J54" s="280">
        <f>TABLA_BASE[[#This Row],[ADV UNIT.
(US$)
⚠️COSTO]]*TABLA_BASE[[#This Row],[CANTIDAD
(unid.)]]</f>
        <v>0</v>
      </c>
      <c r="K54" s="279">
        <f>IF('🧾 Tributos Aduana'!$F$6=0,0,'🧾 Tributos Aduana'!$F$18*('🧾 Factura Comercial'!H58/'🧾 Tributos Aduana'!$F$6))</f>
        <v>0</v>
      </c>
      <c r="L54" s="280">
        <f>TABLA_BASE[[#This Row],[IPM UNIT.
(US$)
✅CF]]*TABLA_BASE[[#This Row],[CANTIDAD
(unid.)]]</f>
        <v>0</v>
      </c>
      <c r="M54" s="279">
        <f>IF('🧾 Tributos Aduana'!$F$6=0,0,'🧾 Tributos Aduana'!$F$19*('🧾 Factura Comercial'!H58/'🧾 Tributos Aduana'!$F$6))</f>
        <v>0</v>
      </c>
      <c r="N54" s="280">
        <f>TABLA_BASE[[#This Row],[IGV UNIT.
(US$)
✅CF]]*TABLA_BASE[[#This Row],[CANTIDAD
(unid.)]]</f>
        <v>0</v>
      </c>
      <c r="O54" s="280">
        <f>IF('🧾 Tributos Aduana'!$F$6=0,0,'🧾 Tributos Aduana'!$F$23*('🧾 Factura Comercial'!H58/'🧾 Tributos Aduana'!$F$6))</f>
        <v>0</v>
      </c>
      <c r="P54" s="280">
        <f>TABLA_BASE[[#This Row],[PERCEP.
UNIT.(US$)
✅CF]]*TABLA_BASE[[#This Row],[CANTIDAD
(unid.)]]</f>
        <v>0</v>
      </c>
      <c r="Q54" s="279">
        <f>TABLA_BASE[[#This Row],[ADV UNIT.
(US$)
⚠️COSTO]]+TABLA_BASE[[#This Row],[IPM UNIT.
(US$)
✅CF]]+TABLA_BASE[[#This Row],[IGV UNIT.
(US$)
✅CF]]</f>
        <v>0</v>
      </c>
      <c r="R54" s="280">
        <f>TABLA_BASE[[#This Row],[DEUDA
ADUANERA
UNIT.]]*TABLA_BASE[[#This Row],[CANTIDAD
(unid.)]]</f>
        <v>0</v>
      </c>
      <c r="S54" s="278">
        <f>TABLA_BASE[[#This Row],[DEUDA
ADUANERA
UNIT.]]*'📋 Datos Generales'!$E$19</f>
        <v>0</v>
      </c>
      <c r="T54" s="278">
        <f>TABLA_BASE[[#This Row],[DEUDA
ADUANERA
TOTAL]]*'📋 Datos Generales'!$E$19</f>
        <v>0</v>
      </c>
      <c r="U54" s="281">
        <f>TABLA_BASE[[#This Row],[ADV UNIT.
(US$)
⚠️COSTO]]*'📋 Datos Generales'!$E$19</f>
        <v>0</v>
      </c>
      <c r="V54" s="281">
        <f>TABLA_BASE[[#This Row],[ADV UNIT.
(S/.)]]*TABLA_BASE[[#This Row],[CANTIDAD
(unid.)]]</f>
        <v>0</v>
      </c>
      <c r="W54" s="281">
        <f>TABLA_BASE[[#This Row],[IPM UNIT.
(US$)
✅CF]]*'📋 Datos Generales'!$E$19</f>
        <v>0</v>
      </c>
      <c r="X54" s="281">
        <f>TABLA_BASE[[#This Row],[IPM UNIT.
(S/.)]]*TABLA_BASE[[#This Row],[CANTIDAD
(unid.)]]</f>
        <v>0</v>
      </c>
      <c r="Y54" s="281">
        <f>TABLA_BASE[[#This Row],[IGV UNIT.
(US$)
✅CF]]*'📋 Datos Generales'!$E$19</f>
        <v>0</v>
      </c>
      <c r="Z54" s="281">
        <f>TABLA_BASE[[#This Row],[IGV UNIT.
(S/.)]]*TABLA_BASE[[#This Row],[CANTIDAD
(unid.)]]</f>
        <v>0</v>
      </c>
      <c r="AA54" s="281">
        <f>TABLA_BASE[[#This Row],[PERCEP.
UNIT.(US$)
✅CF]]*'📋 Datos Generales'!$E$19</f>
        <v>0</v>
      </c>
      <c r="AB54" s="281">
        <f>TABLA_BASE[[#This Row],[PERCEP.
UNIT.(S/.)]]*TABLA_BASE[[#This Row],[CANTIDAD
(unid.)]]</f>
        <v>0</v>
      </c>
      <c r="AC54" s="279">
        <f>TABLA_BASE[[#This Row],[ADV UNIT.
(US$)
⚠️COSTO]]+TABLA_BASE[[#This Row],[IPM UNIT.
(US$)
✅CF]]+TABLA_BASE[[#This Row],[IGV UNIT.
(US$)
✅CF]]+TABLA_BASE[[#This Row],[PERCEP.
UNIT.(US$)
✅CF]]</f>
        <v>0</v>
      </c>
      <c r="AD54" s="279">
        <f>TABLA_BASE[[#This Row],[TOTAL PAGO
SUNAT
UNIT.(US$)]]*TABLA_BASE[[#This Row],[CANTIDAD
(unid.)]]</f>
        <v>0</v>
      </c>
      <c r="AE54" s="281">
        <f>TABLA_BASE[[#This Row],[TOTAL PAGO
SUNAT
UNIT.(US$)]]*'📋 Datos Generales'!$E$19</f>
        <v>0</v>
      </c>
      <c r="AF54" s="281">
        <f>TABLA_BASE[[#This Row],[TOTAL TRIB.
UNIT.(S/.)]]*TABLA_BASE[[#This Row],[CANTIDAD
(unid.)]]</f>
        <v>0</v>
      </c>
      <c r="AG54" s="279">
        <f>IF('🧾 Factura Comercial'!G58=0,0,'📦 Gastos Importación'!$E$28*(IF('🧾 Tributos Aduana'!$F$6=0,0,'🧾 Factura Comercial'!I58/'🧾 Tributos Aduana'!$F$6))/'🧾 Factura Comercial'!G58)</f>
        <v>0</v>
      </c>
      <c r="AH54" s="279">
        <f>TABLA_BASE[[#This Row],[GASTOS IMP.
UNIT.(US$)]]*TABLA_BASE[[#This Row],[CANTIDAD
(unid.)]]</f>
        <v>0</v>
      </c>
      <c r="AI54" s="281">
        <f>TABLA_BASE[[#This Row],[GASTOS IMP.
UNIT.(US$)]]*'📋 Datos Generales'!$E$19</f>
        <v>0</v>
      </c>
      <c r="AJ54" s="281">
        <f>TABLA_BASE[[#This Row],[GASTOS IMP.
UNIT.(S/.)]]*TABLA_BASE[[#This Row],[CANTIDAD
(unid.)]]</f>
        <v>0</v>
      </c>
      <c r="AK54" s="280">
        <f>'🧮 Costos x Producto'!J58</f>
        <v>0</v>
      </c>
      <c r="AL54" s="278">
        <f>'🧮 Costos x Producto'!K58</f>
        <v>0</v>
      </c>
      <c r="AM54" s="278">
        <f>TABLA_BASE[[#This Row],[C/M UNIT.
(S/.)]]*TABLA_BASE[[#This Row],[CANTIDAD
(unid.)]]</f>
        <v>0</v>
      </c>
      <c r="AN54" s="279">
        <f>IF('🧾 Factura Comercial'!G58=0,0,'🧾 Tributos Aduana'!$F$17*(IF('🧾 Tributos Aduana'!$F$6=0,0,'🧾 Factura Comercial'!I58/'🧾 Tributos Aduana'!$F$6))/'🧾 Factura Comercial'!G58)</f>
        <v>0</v>
      </c>
      <c r="AO54" s="280">
        <f>IF('🧾 Factura Comercial'!G58=0,0,'🏦 Crédito Fiscal'!$C$16*(IF('🧾 Tributos Aduana'!$F$6=0,0,'🧾 Factura Comercial'!I58/'🧾 Tributos Aduana'!$F$6))/'🧾 Factura Comercial'!G58)</f>
        <v>0</v>
      </c>
      <c r="AP54" s="278">
        <f>TABLA_BASE[[#This Row],[CF UNIT.
✅RECUP.
(US$)]]*'📋 Datos Generales'!$E$19</f>
        <v>0</v>
      </c>
      <c r="AQ54" s="278">
        <f>TABLA_BASE[[#This Row],[CF UNIT.
✅RECUP.(S/.)]]*TABLA_BASE[[#This Row],[CANTIDAD
(unid.)]]</f>
        <v>0</v>
      </c>
      <c r="AR54" s="288">
        <f>'💰 Precio de Venta'!G59</f>
        <v>0.4</v>
      </c>
      <c r="AS54" s="278">
        <f>'💰 Precio de Venta'!H59</f>
        <v>0</v>
      </c>
      <c r="AT54" s="278">
        <f>TABLA_BASE[[#This Row],[VALOR VTA.
UNIT.(S/.)]]*TABLA_BASE[[#This Row],[CANTIDAD
(unid.)]]</f>
        <v>0</v>
      </c>
      <c r="AU54" s="281">
        <f>'💰 Precio de Venta'!I59</f>
        <v>0</v>
      </c>
      <c r="AV54" s="278">
        <f>'💰 Precio de Venta'!J59</f>
        <v>0</v>
      </c>
      <c r="AW54" s="278">
        <f>TABLA_BASE[[#This Row],[GANANCIA
UNIT.(S/.)]]*TABLA_BASE[[#This Row],[CANTIDAD
(unid.)]]</f>
        <v>0</v>
      </c>
      <c r="AX54" s="289">
        <f>'💰 Precio de Venta'!K59</f>
        <v>0</v>
      </c>
      <c r="AY54" s="278">
        <f>TABLA_BASE[[#This Row],[GANANCIA
UNIT.(S/.)]]*'🧾 Factura Comercial'!G58</f>
        <v>0</v>
      </c>
      <c r="AZ54" s="277">
        <f>IF(TABLA_BASE[[#This Row],[PRECIO VTA.
c/IGV(S/.)]]=0,0,TABLA_BASE[[#This Row],[GANANCIA
UNIT.(S/.)]]/TABLA_BASE[[#This Row],[PRECIO VTA.
c/IGV(S/.)]])</f>
        <v>0</v>
      </c>
      <c r="BA54" s="277">
        <f>IF(TABLA_BASE[[#This Row],[C/M UNIT.
(S/.)]]=0,0,TABLA_BASE[[#This Row],[GANANCIA
UNIT.(S/.)]]/TABLA_BASE[[#This Row],[C/M UNIT.
(S/.)]])</f>
        <v>0</v>
      </c>
      <c r="BB54" s="274" t="str">
        <f>IF(TABLA_BASE[[#This Row],[MARGEN
%]]&gt;=0.5,"🟢 ALTO",IF(TABLA_BASE[[#This Row],[MARGEN
%]]&gt;=0.3,"🟡 MEDIO","🔴 BAJO"))</f>
        <v>🟡 MEDIO</v>
      </c>
    </row>
    <row r="55" spans="1:54" ht="16.5" hidden="1" thickTop="1" thickBot="1" x14ac:dyDescent="0.3">
      <c r="A55" s="274">
        <f>'🧾 Factura Comercial'!E59</f>
        <v>0</v>
      </c>
      <c r="B55" s="274" t="str">
        <f>'🧾 Factura Comercial'!F59</f>
        <v>Unid.</v>
      </c>
      <c r="C55" s="275">
        <f>'🧾 Factura Comercial'!G59</f>
        <v>0</v>
      </c>
      <c r="D55" s="276">
        <f>'🧾 Factura Comercial'!H59</f>
        <v>0</v>
      </c>
      <c r="E55" s="276">
        <f>'🧾 Factura Comercial'!I59</f>
        <v>0</v>
      </c>
      <c r="F55" s="277">
        <f>IF('🧾 Tributos Aduana'!$F$6=0,0,'🧾 Factura Comercial'!I59/'🧾 Tributos Aduana'!$F$6)</f>
        <v>0</v>
      </c>
      <c r="G55" s="278">
        <f>'🧾 Factura Comercial'!H59*'📋 Datos Generales'!$E$19</f>
        <v>0</v>
      </c>
      <c r="H55" s="278">
        <f>TABLA_BASE[[#This Row],[FOB UNIT.
(S/.)]]*TABLA_BASE[[#This Row],[CANTIDAD
(unid.)]]</f>
        <v>0</v>
      </c>
      <c r="I55" s="280">
        <f>IF('🧾 Tributos Aduana'!$F$6=0,0,'🧾 Tributos Aduana'!$F$17*('🧾 Factura Comercial'!H59/'🧾 Tributos Aduana'!$F$6))</f>
        <v>0</v>
      </c>
      <c r="J55" s="280">
        <f>TABLA_BASE[[#This Row],[ADV UNIT.
(US$)
⚠️COSTO]]*TABLA_BASE[[#This Row],[CANTIDAD
(unid.)]]</f>
        <v>0</v>
      </c>
      <c r="K55" s="279">
        <f>IF('🧾 Tributos Aduana'!$F$6=0,0,'🧾 Tributos Aduana'!$F$18*('🧾 Factura Comercial'!H59/'🧾 Tributos Aduana'!$F$6))</f>
        <v>0</v>
      </c>
      <c r="L55" s="280">
        <f>TABLA_BASE[[#This Row],[IPM UNIT.
(US$)
✅CF]]*TABLA_BASE[[#This Row],[CANTIDAD
(unid.)]]</f>
        <v>0</v>
      </c>
      <c r="M55" s="279">
        <f>IF('🧾 Tributos Aduana'!$F$6=0,0,'🧾 Tributos Aduana'!$F$19*('🧾 Factura Comercial'!H59/'🧾 Tributos Aduana'!$F$6))</f>
        <v>0</v>
      </c>
      <c r="N55" s="280">
        <f>TABLA_BASE[[#This Row],[IGV UNIT.
(US$)
✅CF]]*TABLA_BASE[[#This Row],[CANTIDAD
(unid.)]]</f>
        <v>0</v>
      </c>
      <c r="O55" s="280">
        <f>IF('🧾 Tributos Aduana'!$F$6=0,0,'🧾 Tributos Aduana'!$F$23*('🧾 Factura Comercial'!H59/'🧾 Tributos Aduana'!$F$6))</f>
        <v>0</v>
      </c>
      <c r="P55" s="280">
        <f>TABLA_BASE[[#This Row],[PERCEP.
UNIT.(US$)
✅CF]]*TABLA_BASE[[#This Row],[CANTIDAD
(unid.)]]</f>
        <v>0</v>
      </c>
      <c r="Q55" s="279">
        <f>TABLA_BASE[[#This Row],[ADV UNIT.
(US$)
⚠️COSTO]]+TABLA_BASE[[#This Row],[IPM UNIT.
(US$)
✅CF]]+TABLA_BASE[[#This Row],[IGV UNIT.
(US$)
✅CF]]</f>
        <v>0</v>
      </c>
      <c r="R55" s="280">
        <f>TABLA_BASE[[#This Row],[DEUDA
ADUANERA
UNIT.]]*TABLA_BASE[[#This Row],[CANTIDAD
(unid.)]]</f>
        <v>0</v>
      </c>
      <c r="S55" s="278">
        <f>TABLA_BASE[[#This Row],[DEUDA
ADUANERA
UNIT.]]*'📋 Datos Generales'!$E$19</f>
        <v>0</v>
      </c>
      <c r="T55" s="278">
        <f>TABLA_BASE[[#This Row],[DEUDA
ADUANERA
TOTAL]]*'📋 Datos Generales'!$E$19</f>
        <v>0</v>
      </c>
      <c r="U55" s="281">
        <f>TABLA_BASE[[#This Row],[ADV UNIT.
(US$)
⚠️COSTO]]*'📋 Datos Generales'!$E$19</f>
        <v>0</v>
      </c>
      <c r="V55" s="281">
        <f>TABLA_BASE[[#This Row],[ADV UNIT.
(S/.)]]*TABLA_BASE[[#This Row],[CANTIDAD
(unid.)]]</f>
        <v>0</v>
      </c>
      <c r="W55" s="281">
        <f>TABLA_BASE[[#This Row],[IPM UNIT.
(US$)
✅CF]]*'📋 Datos Generales'!$E$19</f>
        <v>0</v>
      </c>
      <c r="X55" s="281">
        <f>TABLA_BASE[[#This Row],[IPM UNIT.
(S/.)]]*TABLA_BASE[[#This Row],[CANTIDAD
(unid.)]]</f>
        <v>0</v>
      </c>
      <c r="Y55" s="281">
        <f>TABLA_BASE[[#This Row],[IGV UNIT.
(US$)
✅CF]]*'📋 Datos Generales'!$E$19</f>
        <v>0</v>
      </c>
      <c r="Z55" s="281">
        <f>TABLA_BASE[[#This Row],[IGV UNIT.
(S/.)]]*TABLA_BASE[[#This Row],[CANTIDAD
(unid.)]]</f>
        <v>0</v>
      </c>
      <c r="AA55" s="281">
        <f>TABLA_BASE[[#This Row],[PERCEP.
UNIT.(US$)
✅CF]]*'📋 Datos Generales'!$E$19</f>
        <v>0</v>
      </c>
      <c r="AB55" s="281">
        <f>TABLA_BASE[[#This Row],[PERCEP.
UNIT.(S/.)]]*TABLA_BASE[[#This Row],[CANTIDAD
(unid.)]]</f>
        <v>0</v>
      </c>
      <c r="AC55" s="279">
        <f>TABLA_BASE[[#This Row],[ADV UNIT.
(US$)
⚠️COSTO]]+TABLA_BASE[[#This Row],[IPM UNIT.
(US$)
✅CF]]+TABLA_BASE[[#This Row],[IGV UNIT.
(US$)
✅CF]]+TABLA_BASE[[#This Row],[PERCEP.
UNIT.(US$)
✅CF]]</f>
        <v>0</v>
      </c>
      <c r="AD55" s="279">
        <f>TABLA_BASE[[#This Row],[TOTAL PAGO
SUNAT
UNIT.(US$)]]*TABLA_BASE[[#This Row],[CANTIDAD
(unid.)]]</f>
        <v>0</v>
      </c>
      <c r="AE55" s="281">
        <f>TABLA_BASE[[#This Row],[TOTAL PAGO
SUNAT
UNIT.(US$)]]*'📋 Datos Generales'!$E$19</f>
        <v>0</v>
      </c>
      <c r="AF55" s="281">
        <f>TABLA_BASE[[#This Row],[TOTAL TRIB.
UNIT.(S/.)]]*TABLA_BASE[[#This Row],[CANTIDAD
(unid.)]]</f>
        <v>0</v>
      </c>
      <c r="AG55" s="279">
        <f>IF('🧾 Factura Comercial'!G59=0,0,'📦 Gastos Importación'!$E$28*(IF('🧾 Tributos Aduana'!$F$6=0,0,'🧾 Factura Comercial'!I59/'🧾 Tributos Aduana'!$F$6))/'🧾 Factura Comercial'!G59)</f>
        <v>0</v>
      </c>
      <c r="AH55" s="279">
        <f>TABLA_BASE[[#This Row],[GASTOS IMP.
UNIT.(US$)]]*TABLA_BASE[[#This Row],[CANTIDAD
(unid.)]]</f>
        <v>0</v>
      </c>
      <c r="AI55" s="281">
        <f>TABLA_BASE[[#This Row],[GASTOS IMP.
UNIT.(US$)]]*'📋 Datos Generales'!$E$19</f>
        <v>0</v>
      </c>
      <c r="AJ55" s="281">
        <f>TABLA_BASE[[#This Row],[GASTOS IMP.
UNIT.(S/.)]]*TABLA_BASE[[#This Row],[CANTIDAD
(unid.)]]</f>
        <v>0</v>
      </c>
      <c r="AK55" s="280">
        <f>'🧮 Costos x Producto'!J59</f>
        <v>0</v>
      </c>
      <c r="AL55" s="278">
        <f>'🧮 Costos x Producto'!K59</f>
        <v>0</v>
      </c>
      <c r="AM55" s="278">
        <f>TABLA_BASE[[#This Row],[C/M UNIT.
(S/.)]]*TABLA_BASE[[#This Row],[CANTIDAD
(unid.)]]</f>
        <v>0</v>
      </c>
      <c r="AN55" s="279">
        <f>IF('🧾 Factura Comercial'!G59=0,0,'🧾 Tributos Aduana'!$F$17*(IF('🧾 Tributos Aduana'!$F$6=0,0,'🧾 Factura Comercial'!I59/'🧾 Tributos Aduana'!$F$6))/'🧾 Factura Comercial'!G59)</f>
        <v>0</v>
      </c>
      <c r="AO55" s="280">
        <f>IF('🧾 Factura Comercial'!G59=0,0,'🏦 Crédito Fiscal'!$C$16*(IF('🧾 Tributos Aduana'!$F$6=0,0,'🧾 Factura Comercial'!I59/'🧾 Tributos Aduana'!$F$6))/'🧾 Factura Comercial'!G59)</f>
        <v>0</v>
      </c>
      <c r="AP55" s="278">
        <f>TABLA_BASE[[#This Row],[CF UNIT.
✅RECUP.
(US$)]]*'📋 Datos Generales'!$E$19</f>
        <v>0</v>
      </c>
      <c r="AQ55" s="278">
        <f>TABLA_BASE[[#This Row],[CF UNIT.
✅RECUP.(S/.)]]*TABLA_BASE[[#This Row],[CANTIDAD
(unid.)]]</f>
        <v>0</v>
      </c>
      <c r="AR55" s="288">
        <f>'💰 Precio de Venta'!G60</f>
        <v>0.4</v>
      </c>
      <c r="AS55" s="278">
        <f>'💰 Precio de Venta'!H60</f>
        <v>0</v>
      </c>
      <c r="AT55" s="278">
        <f>TABLA_BASE[[#This Row],[VALOR VTA.
UNIT.(S/.)]]*TABLA_BASE[[#This Row],[CANTIDAD
(unid.)]]</f>
        <v>0</v>
      </c>
      <c r="AU55" s="281">
        <f>'💰 Precio de Venta'!I60</f>
        <v>0</v>
      </c>
      <c r="AV55" s="278">
        <f>'💰 Precio de Venta'!J60</f>
        <v>0</v>
      </c>
      <c r="AW55" s="278">
        <f>TABLA_BASE[[#This Row],[GANANCIA
UNIT.(S/.)]]*TABLA_BASE[[#This Row],[CANTIDAD
(unid.)]]</f>
        <v>0</v>
      </c>
      <c r="AX55" s="289">
        <f>'💰 Precio de Venta'!K60</f>
        <v>0</v>
      </c>
      <c r="AY55" s="278">
        <f>TABLA_BASE[[#This Row],[GANANCIA
UNIT.(S/.)]]*'🧾 Factura Comercial'!G59</f>
        <v>0</v>
      </c>
      <c r="AZ55" s="277">
        <f>IF(TABLA_BASE[[#This Row],[PRECIO VTA.
c/IGV(S/.)]]=0,0,TABLA_BASE[[#This Row],[GANANCIA
UNIT.(S/.)]]/TABLA_BASE[[#This Row],[PRECIO VTA.
c/IGV(S/.)]])</f>
        <v>0</v>
      </c>
      <c r="BA55" s="277">
        <f>IF(TABLA_BASE[[#This Row],[C/M UNIT.
(S/.)]]=0,0,TABLA_BASE[[#This Row],[GANANCIA
UNIT.(S/.)]]/TABLA_BASE[[#This Row],[C/M UNIT.
(S/.)]])</f>
        <v>0</v>
      </c>
      <c r="BB55" s="274" t="str">
        <f>IF(TABLA_BASE[[#This Row],[MARGEN
%]]&gt;=0.5,"🟢 ALTO",IF(TABLA_BASE[[#This Row],[MARGEN
%]]&gt;=0.3,"🟡 MEDIO","🔴 BAJO"))</f>
        <v>🟡 MEDIO</v>
      </c>
    </row>
    <row r="56" spans="1:54" ht="16.5" hidden="1" thickTop="1" thickBot="1" x14ac:dyDescent="0.3">
      <c r="A56" s="274">
        <f>'🧾 Factura Comercial'!E60</f>
        <v>0</v>
      </c>
      <c r="B56" s="274" t="str">
        <f>'🧾 Factura Comercial'!F60</f>
        <v>Unid.</v>
      </c>
      <c r="C56" s="275">
        <f>'🧾 Factura Comercial'!G60</f>
        <v>0</v>
      </c>
      <c r="D56" s="276">
        <f>'🧾 Factura Comercial'!H60</f>
        <v>0</v>
      </c>
      <c r="E56" s="276">
        <f>'🧾 Factura Comercial'!I60</f>
        <v>0</v>
      </c>
      <c r="F56" s="277">
        <f>IF('🧾 Tributos Aduana'!$F$6=0,0,'🧾 Factura Comercial'!I60/'🧾 Tributos Aduana'!$F$6)</f>
        <v>0</v>
      </c>
      <c r="G56" s="278">
        <f>'🧾 Factura Comercial'!H60*'📋 Datos Generales'!$E$19</f>
        <v>0</v>
      </c>
      <c r="H56" s="278">
        <f>TABLA_BASE[[#This Row],[FOB UNIT.
(S/.)]]*TABLA_BASE[[#This Row],[CANTIDAD
(unid.)]]</f>
        <v>0</v>
      </c>
      <c r="I56" s="280">
        <f>IF('🧾 Tributos Aduana'!$F$6=0,0,'🧾 Tributos Aduana'!$F$17*('🧾 Factura Comercial'!H60/'🧾 Tributos Aduana'!$F$6))</f>
        <v>0</v>
      </c>
      <c r="J56" s="280">
        <f>TABLA_BASE[[#This Row],[ADV UNIT.
(US$)
⚠️COSTO]]*TABLA_BASE[[#This Row],[CANTIDAD
(unid.)]]</f>
        <v>0</v>
      </c>
      <c r="K56" s="279">
        <f>IF('🧾 Tributos Aduana'!$F$6=0,0,'🧾 Tributos Aduana'!$F$18*('🧾 Factura Comercial'!H60/'🧾 Tributos Aduana'!$F$6))</f>
        <v>0</v>
      </c>
      <c r="L56" s="280">
        <f>TABLA_BASE[[#This Row],[IPM UNIT.
(US$)
✅CF]]*TABLA_BASE[[#This Row],[CANTIDAD
(unid.)]]</f>
        <v>0</v>
      </c>
      <c r="M56" s="279">
        <f>IF('🧾 Tributos Aduana'!$F$6=0,0,'🧾 Tributos Aduana'!$F$19*('🧾 Factura Comercial'!H60/'🧾 Tributos Aduana'!$F$6))</f>
        <v>0</v>
      </c>
      <c r="N56" s="280">
        <f>TABLA_BASE[[#This Row],[IGV UNIT.
(US$)
✅CF]]*TABLA_BASE[[#This Row],[CANTIDAD
(unid.)]]</f>
        <v>0</v>
      </c>
      <c r="O56" s="280">
        <f>IF('🧾 Tributos Aduana'!$F$6=0,0,'🧾 Tributos Aduana'!$F$23*('🧾 Factura Comercial'!H60/'🧾 Tributos Aduana'!$F$6))</f>
        <v>0</v>
      </c>
      <c r="P56" s="280">
        <f>TABLA_BASE[[#This Row],[PERCEP.
UNIT.(US$)
✅CF]]*TABLA_BASE[[#This Row],[CANTIDAD
(unid.)]]</f>
        <v>0</v>
      </c>
      <c r="Q56" s="279">
        <f>TABLA_BASE[[#This Row],[ADV UNIT.
(US$)
⚠️COSTO]]+TABLA_BASE[[#This Row],[IPM UNIT.
(US$)
✅CF]]+TABLA_BASE[[#This Row],[IGV UNIT.
(US$)
✅CF]]</f>
        <v>0</v>
      </c>
      <c r="R56" s="280">
        <f>TABLA_BASE[[#This Row],[DEUDA
ADUANERA
UNIT.]]*TABLA_BASE[[#This Row],[CANTIDAD
(unid.)]]</f>
        <v>0</v>
      </c>
      <c r="S56" s="278">
        <f>TABLA_BASE[[#This Row],[DEUDA
ADUANERA
UNIT.]]*'📋 Datos Generales'!$E$19</f>
        <v>0</v>
      </c>
      <c r="T56" s="278">
        <f>TABLA_BASE[[#This Row],[DEUDA
ADUANERA
TOTAL]]*'📋 Datos Generales'!$E$19</f>
        <v>0</v>
      </c>
      <c r="U56" s="281">
        <f>TABLA_BASE[[#This Row],[ADV UNIT.
(US$)
⚠️COSTO]]*'📋 Datos Generales'!$E$19</f>
        <v>0</v>
      </c>
      <c r="V56" s="281">
        <f>TABLA_BASE[[#This Row],[ADV UNIT.
(S/.)]]*TABLA_BASE[[#This Row],[CANTIDAD
(unid.)]]</f>
        <v>0</v>
      </c>
      <c r="W56" s="281">
        <f>TABLA_BASE[[#This Row],[IPM UNIT.
(US$)
✅CF]]*'📋 Datos Generales'!$E$19</f>
        <v>0</v>
      </c>
      <c r="X56" s="281">
        <f>TABLA_BASE[[#This Row],[IPM UNIT.
(S/.)]]*TABLA_BASE[[#This Row],[CANTIDAD
(unid.)]]</f>
        <v>0</v>
      </c>
      <c r="Y56" s="281">
        <f>TABLA_BASE[[#This Row],[IGV UNIT.
(US$)
✅CF]]*'📋 Datos Generales'!$E$19</f>
        <v>0</v>
      </c>
      <c r="Z56" s="281">
        <f>TABLA_BASE[[#This Row],[IGV UNIT.
(S/.)]]*TABLA_BASE[[#This Row],[CANTIDAD
(unid.)]]</f>
        <v>0</v>
      </c>
      <c r="AA56" s="281">
        <f>TABLA_BASE[[#This Row],[PERCEP.
UNIT.(US$)
✅CF]]*'📋 Datos Generales'!$E$19</f>
        <v>0</v>
      </c>
      <c r="AB56" s="281">
        <f>TABLA_BASE[[#This Row],[PERCEP.
UNIT.(S/.)]]*TABLA_BASE[[#This Row],[CANTIDAD
(unid.)]]</f>
        <v>0</v>
      </c>
      <c r="AC56" s="279">
        <f>TABLA_BASE[[#This Row],[ADV UNIT.
(US$)
⚠️COSTO]]+TABLA_BASE[[#This Row],[IPM UNIT.
(US$)
✅CF]]+TABLA_BASE[[#This Row],[IGV UNIT.
(US$)
✅CF]]+TABLA_BASE[[#This Row],[PERCEP.
UNIT.(US$)
✅CF]]</f>
        <v>0</v>
      </c>
      <c r="AD56" s="279">
        <f>TABLA_BASE[[#This Row],[TOTAL PAGO
SUNAT
UNIT.(US$)]]*TABLA_BASE[[#This Row],[CANTIDAD
(unid.)]]</f>
        <v>0</v>
      </c>
      <c r="AE56" s="281">
        <f>TABLA_BASE[[#This Row],[TOTAL PAGO
SUNAT
UNIT.(US$)]]*'📋 Datos Generales'!$E$19</f>
        <v>0</v>
      </c>
      <c r="AF56" s="281">
        <f>TABLA_BASE[[#This Row],[TOTAL TRIB.
UNIT.(S/.)]]*TABLA_BASE[[#This Row],[CANTIDAD
(unid.)]]</f>
        <v>0</v>
      </c>
      <c r="AG56" s="279">
        <f>IF('🧾 Factura Comercial'!G60=0,0,'📦 Gastos Importación'!$E$28*(IF('🧾 Tributos Aduana'!$F$6=0,0,'🧾 Factura Comercial'!I60/'🧾 Tributos Aduana'!$F$6))/'🧾 Factura Comercial'!G60)</f>
        <v>0</v>
      </c>
      <c r="AH56" s="279">
        <f>TABLA_BASE[[#This Row],[GASTOS IMP.
UNIT.(US$)]]*TABLA_BASE[[#This Row],[CANTIDAD
(unid.)]]</f>
        <v>0</v>
      </c>
      <c r="AI56" s="281">
        <f>TABLA_BASE[[#This Row],[GASTOS IMP.
UNIT.(US$)]]*'📋 Datos Generales'!$E$19</f>
        <v>0</v>
      </c>
      <c r="AJ56" s="281">
        <f>TABLA_BASE[[#This Row],[GASTOS IMP.
UNIT.(S/.)]]*TABLA_BASE[[#This Row],[CANTIDAD
(unid.)]]</f>
        <v>0</v>
      </c>
      <c r="AK56" s="280">
        <f>'🧮 Costos x Producto'!J60</f>
        <v>0</v>
      </c>
      <c r="AL56" s="278">
        <f>'🧮 Costos x Producto'!K60</f>
        <v>0</v>
      </c>
      <c r="AM56" s="278">
        <f>TABLA_BASE[[#This Row],[C/M UNIT.
(S/.)]]*TABLA_BASE[[#This Row],[CANTIDAD
(unid.)]]</f>
        <v>0</v>
      </c>
      <c r="AN56" s="279">
        <f>IF('🧾 Factura Comercial'!G60=0,0,'🧾 Tributos Aduana'!$F$17*(IF('🧾 Tributos Aduana'!$F$6=0,0,'🧾 Factura Comercial'!I60/'🧾 Tributos Aduana'!$F$6))/'🧾 Factura Comercial'!G60)</f>
        <v>0</v>
      </c>
      <c r="AO56" s="280">
        <f>IF('🧾 Factura Comercial'!G60=0,0,'🏦 Crédito Fiscal'!$C$16*(IF('🧾 Tributos Aduana'!$F$6=0,0,'🧾 Factura Comercial'!I60/'🧾 Tributos Aduana'!$F$6))/'🧾 Factura Comercial'!G60)</f>
        <v>0</v>
      </c>
      <c r="AP56" s="278">
        <f>TABLA_BASE[[#This Row],[CF UNIT.
✅RECUP.
(US$)]]*'📋 Datos Generales'!$E$19</f>
        <v>0</v>
      </c>
      <c r="AQ56" s="278">
        <f>TABLA_BASE[[#This Row],[CF UNIT.
✅RECUP.(S/.)]]*TABLA_BASE[[#This Row],[CANTIDAD
(unid.)]]</f>
        <v>0</v>
      </c>
      <c r="AR56" s="288">
        <f>'💰 Precio de Venta'!G61</f>
        <v>0.4</v>
      </c>
      <c r="AS56" s="278">
        <f>'💰 Precio de Venta'!H61</f>
        <v>0</v>
      </c>
      <c r="AT56" s="278">
        <f>TABLA_BASE[[#This Row],[VALOR VTA.
UNIT.(S/.)]]*TABLA_BASE[[#This Row],[CANTIDAD
(unid.)]]</f>
        <v>0</v>
      </c>
      <c r="AU56" s="281">
        <f>'💰 Precio de Venta'!I61</f>
        <v>0</v>
      </c>
      <c r="AV56" s="278">
        <f>'💰 Precio de Venta'!J61</f>
        <v>0</v>
      </c>
      <c r="AW56" s="278">
        <f>TABLA_BASE[[#This Row],[GANANCIA
UNIT.(S/.)]]*TABLA_BASE[[#This Row],[CANTIDAD
(unid.)]]</f>
        <v>0</v>
      </c>
      <c r="AX56" s="289">
        <f>'💰 Precio de Venta'!K61</f>
        <v>0</v>
      </c>
      <c r="AY56" s="278">
        <f>TABLA_BASE[[#This Row],[GANANCIA
UNIT.(S/.)]]*'🧾 Factura Comercial'!G60</f>
        <v>0</v>
      </c>
      <c r="AZ56" s="277">
        <f>IF(TABLA_BASE[[#This Row],[PRECIO VTA.
c/IGV(S/.)]]=0,0,TABLA_BASE[[#This Row],[GANANCIA
UNIT.(S/.)]]/TABLA_BASE[[#This Row],[PRECIO VTA.
c/IGV(S/.)]])</f>
        <v>0</v>
      </c>
      <c r="BA56" s="277">
        <f>IF(TABLA_BASE[[#This Row],[C/M UNIT.
(S/.)]]=0,0,TABLA_BASE[[#This Row],[GANANCIA
UNIT.(S/.)]]/TABLA_BASE[[#This Row],[C/M UNIT.
(S/.)]])</f>
        <v>0</v>
      </c>
      <c r="BB56" s="274" t="str">
        <f>IF(TABLA_BASE[[#This Row],[MARGEN
%]]&gt;=0.5,"🟢 ALTO",IF(TABLA_BASE[[#This Row],[MARGEN
%]]&gt;=0.3,"🟡 MEDIO","🔴 BAJO"))</f>
        <v>🟡 MEDIO</v>
      </c>
    </row>
    <row r="57" spans="1:54" ht="16.5" hidden="1" thickTop="1" thickBot="1" x14ac:dyDescent="0.3">
      <c r="A57" s="274">
        <f>'🧾 Factura Comercial'!E61</f>
        <v>0</v>
      </c>
      <c r="B57" s="274" t="str">
        <f>'🧾 Factura Comercial'!F61</f>
        <v>Unid.</v>
      </c>
      <c r="C57" s="275">
        <f>'🧾 Factura Comercial'!G61</f>
        <v>0</v>
      </c>
      <c r="D57" s="276">
        <f>'🧾 Factura Comercial'!H61</f>
        <v>0</v>
      </c>
      <c r="E57" s="276">
        <f>'🧾 Factura Comercial'!I61</f>
        <v>0</v>
      </c>
      <c r="F57" s="277">
        <f>IF('🧾 Tributos Aduana'!$F$6=0,0,'🧾 Factura Comercial'!I61/'🧾 Tributos Aduana'!$F$6)</f>
        <v>0</v>
      </c>
      <c r="G57" s="278">
        <f>'🧾 Factura Comercial'!H61*'📋 Datos Generales'!$E$19</f>
        <v>0</v>
      </c>
      <c r="H57" s="278">
        <f>TABLA_BASE[[#This Row],[FOB UNIT.
(S/.)]]*TABLA_BASE[[#This Row],[CANTIDAD
(unid.)]]</f>
        <v>0</v>
      </c>
      <c r="I57" s="280">
        <f>IF('🧾 Tributos Aduana'!$F$6=0,0,'🧾 Tributos Aduana'!$F$17*('🧾 Factura Comercial'!H61/'🧾 Tributos Aduana'!$F$6))</f>
        <v>0</v>
      </c>
      <c r="J57" s="280">
        <f>TABLA_BASE[[#This Row],[ADV UNIT.
(US$)
⚠️COSTO]]*TABLA_BASE[[#This Row],[CANTIDAD
(unid.)]]</f>
        <v>0</v>
      </c>
      <c r="K57" s="279">
        <f>IF('🧾 Tributos Aduana'!$F$6=0,0,'🧾 Tributos Aduana'!$F$18*('🧾 Factura Comercial'!H61/'🧾 Tributos Aduana'!$F$6))</f>
        <v>0</v>
      </c>
      <c r="L57" s="280">
        <f>TABLA_BASE[[#This Row],[IPM UNIT.
(US$)
✅CF]]*TABLA_BASE[[#This Row],[CANTIDAD
(unid.)]]</f>
        <v>0</v>
      </c>
      <c r="M57" s="279">
        <f>IF('🧾 Tributos Aduana'!$F$6=0,0,'🧾 Tributos Aduana'!$F$19*('🧾 Factura Comercial'!H61/'🧾 Tributos Aduana'!$F$6))</f>
        <v>0</v>
      </c>
      <c r="N57" s="280">
        <f>TABLA_BASE[[#This Row],[IGV UNIT.
(US$)
✅CF]]*TABLA_BASE[[#This Row],[CANTIDAD
(unid.)]]</f>
        <v>0</v>
      </c>
      <c r="O57" s="280">
        <f>IF('🧾 Tributos Aduana'!$F$6=0,0,'🧾 Tributos Aduana'!$F$23*('🧾 Factura Comercial'!H61/'🧾 Tributos Aduana'!$F$6))</f>
        <v>0</v>
      </c>
      <c r="P57" s="280">
        <f>TABLA_BASE[[#This Row],[PERCEP.
UNIT.(US$)
✅CF]]*TABLA_BASE[[#This Row],[CANTIDAD
(unid.)]]</f>
        <v>0</v>
      </c>
      <c r="Q57" s="279">
        <f>TABLA_BASE[[#This Row],[ADV UNIT.
(US$)
⚠️COSTO]]+TABLA_BASE[[#This Row],[IPM UNIT.
(US$)
✅CF]]+TABLA_BASE[[#This Row],[IGV UNIT.
(US$)
✅CF]]</f>
        <v>0</v>
      </c>
      <c r="R57" s="280">
        <f>TABLA_BASE[[#This Row],[DEUDA
ADUANERA
UNIT.]]*TABLA_BASE[[#This Row],[CANTIDAD
(unid.)]]</f>
        <v>0</v>
      </c>
      <c r="S57" s="278">
        <f>TABLA_BASE[[#This Row],[DEUDA
ADUANERA
UNIT.]]*'📋 Datos Generales'!$E$19</f>
        <v>0</v>
      </c>
      <c r="T57" s="278">
        <f>TABLA_BASE[[#This Row],[DEUDA
ADUANERA
TOTAL]]*'📋 Datos Generales'!$E$19</f>
        <v>0</v>
      </c>
      <c r="U57" s="281">
        <f>TABLA_BASE[[#This Row],[ADV UNIT.
(US$)
⚠️COSTO]]*'📋 Datos Generales'!$E$19</f>
        <v>0</v>
      </c>
      <c r="V57" s="281">
        <f>TABLA_BASE[[#This Row],[ADV UNIT.
(S/.)]]*TABLA_BASE[[#This Row],[CANTIDAD
(unid.)]]</f>
        <v>0</v>
      </c>
      <c r="W57" s="281">
        <f>TABLA_BASE[[#This Row],[IPM UNIT.
(US$)
✅CF]]*'📋 Datos Generales'!$E$19</f>
        <v>0</v>
      </c>
      <c r="X57" s="281">
        <f>TABLA_BASE[[#This Row],[IPM UNIT.
(S/.)]]*TABLA_BASE[[#This Row],[CANTIDAD
(unid.)]]</f>
        <v>0</v>
      </c>
      <c r="Y57" s="281">
        <f>TABLA_BASE[[#This Row],[IGV UNIT.
(US$)
✅CF]]*'📋 Datos Generales'!$E$19</f>
        <v>0</v>
      </c>
      <c r="Z57" s="281">
        <f>TABLA_BASE[[#This Row],[IGV UNIT.
(S/.)]]*TABLA_BASE[[#This Row],[CANTIDAD
(unid.)]]</f>
        <v>0</v>
      </c>
      <c r="AA57" s="281">
        <f>TABLA_BASE[[#This Row],[PERCEP.
UNIT.(US$)
✅CF]]*'📋 Datos Generales'!$E$19</f>
        <v>0</v>
      </c>
      <c r="AB57" s="281">
        <f>TABLA_BASE[[#This Row],[PERCEP.
UNIT.(S/.)]]*TABLA_BASE[[#This Row],[CANTIDAD
(unid.)]]</f>
        <v>0</v>
      </c>
      <c r="AC57" s="279">
        <f>TABLA_BASE[[#This Row],[ADV UNIT.
(US$)
⚠️COSTO]]+TABLA_BASE[[#This Row],[IPM UNIT.
(US$)
✅CF]]+TABLA_BASE[[#This Row],[IGV UNIT.
(US$)
✅CF]]+TABLA_BASE[[#This Row],[PERCEP.
UNIT.(US$)
✅CF]]</f>
        <v>0</v>
      </c>
      <c r="AD57" s="279">
        <f>TABLA_BASE[[#This Row],[TOTAL PAGO
SUNAT
UNIT.(US$)]]*TABLA_BASE[[#This Row],[CANTIDAD
(unid.)]]</f>
        <v>0</v>
      </c>
      <c r="AE57" s="281">
        <f>TABLA_BASE[[#This Row],[TOTAL PAGO
SUNAT
UNIT.(US$)]]*'📋 Datos Generales'!$E$19</f>
        <v>0</v>
      </c>
      <c r="AF57" s="281">
        <f>TABLA_BASE[[#This Row],[TOTAL TRIB.
UNIT.(S/.)]]*TABLA_BASE[[#This Row],[CANTIDAD
(unid.)]]</f>
        <v>0</v>
      </c>
      <c r="AG57" s="279">
        <f>IF('🧾 Factura Comercial'!G61=0,0,'📦 Gastos Importación'!$E$28*(IF('🧾 Tributos Aduana'!$F$6=0,0,'🧾 Factura Comercial'!I61/'🧾 Tributos Aduana'!$F$6))/'🧾 Factura Comercial'!G61)</f>
        <v>0</v>
      </c>
      <c r="AH57" s="279">
        <f>TABLA_BASE[[#This Row],[GASTOS IMP.
UNIT.(US$)]]*TABLA_BASE[[#This Row],[CANTIDAD
(unid.)]]</f>
        <v>0</v>
      </c>
      <c r="AI57" s="281">
        <f>TABLA_BASE[[#This Row],[GASTOS IMP.
UNIT.(US$)]]*'📋 Datos Generales'!$E$19</f>
        <v>0</v>
      </c>
      <c r="AJ57" s="281">
        <f>TABLA_BASE[[#This Row],[GASTOS IMP.
UNIT.(S/.)]]*TABLA_BASE[[#This Row],[CANTIDAD
(unid.)]]</f>
        <v>0</v>
      </c>
      <c r="AK57" s="280">
        <f>'🧮 Costos x Producto'!J61</f>
        <v>0</v>
      </c>
      <c r="AL57" s="278">
        <f>'🧮 Costos x Producto'!K61</f>
        <v>0</v>
      </c>
      <c r="AM57" s="278">
        <f>TABLA_BASE[[#This Row],[C/M UNIT.
(S/.)]]*TABLA_BASE[[#This Row],[CANTIDAD
(unid.)]]</f>
        <v>0</v>
      </c>
      <c r="AN57" s="279">
        <f>IF('🧾 Factura Comercial'!G61=0,0,'🧾 Tributos Aduana'!$F$17*(IF('🧾 Tributos Aduana'!$F$6=0,0,'🧾 Factura Comercial'!I61/'🧾 Tributos Aduana'!$F$6))/'🧾 Factura Comercial'!G61)</f>
        <v>0</v>
      </c>
      <c r="AO57" s="280">
        <f>IF('🧾 Factura Comercial'!G61=0,0,'🏦 Crédito Fiscal'!$C$16*(IF('🧾 Tributos Aduana'!$F$6=0,0,'🧾 Factura Comercial'!I61/'🧾 Tributos Aduana'!$F$6))/'🧾 Factura Comercial'!G61)</f>
        <v>0</v>
      </c>
      <c r="AP57" s="278">
        <f>TABLA_BASE[[#This Row],[CF UNIT.
✅RECUP.
(US$)]]*'📋 Datos Generales'!$E$19</f>
        <v>0</v>
      </c>
      <c r="AQ57" s="278">
        <f>TABLA_BASE[[#This Row],[CF UNIT.
✅RECUP.(S/.)]]*TABLA_BASE[[#This Row],[CANTIDAD
(unid.)]]</f>
        <v>0</v>
      </c>
      <c r="AR57" s="288">
        <f>'💰 Precio de Venta'!G62</f>
        <v>0.4</v>
      </c>
      <c r="AS57" s="278">
        <f>'💰 Precio de Venta'!H62</f>
        <v>0</v>
      </c>
      <c r="AT57" s="278">
        <f>TABLA_BASE[[#This Row],[VALOR VTA.
UNIT.(S/.)]]*TABLA_BASE[[#This Row],[CANTIDAD
(unid.)]]</f>
        <v>0</v>
      </c>
      <c r="AU57" s="281">
        <f>'💰 Precio de Venta'!I62</f>
        <v>0</v>
      </c>
      <c r="AV57" s="278">
        <f>'💰 Precio de Venta'!J62</f>
        <v>0</v>
      </c>
      <c r="AW57" s="278">
        <f>TABLA_BASE[[#This Row],[GANANCIA
UNIT.(S/.)]]*TABLA_BASE[[#This Row],[CANTIDAD
(unid.)]]</f>
        <v>0</v>
      </c>
      <c r="AX57" s="289">
        <f>'💰 Precio de Venta'!K62</f>
        <v>0</v>
      </c>
      <c r="AY57" s="278">
        <f>TABLA_BASE[[#This Row],[GANANCIA
UNIT.(S/.)]]*'🧾 Factura Comercial'!G61</f>
        <v>0</v>
      </c>
      <c r="AZ57" s="277">
        <f>IF(TABLA_BASE[[#This Row],[PRECIO VTA.
c/IGV(S/.)]]=0,0,TABLA_BASE[[#This Row],[GANANCIA
UNIT.(S/.)]]/TABLA_BASE[[#This Row],[PRECIO VTA.
c/IGV(S/.)]])</f>
        <v>0</v>
      </c>
      <c r="BA57" s="277">
        <f>IF(TABLA_BASE[[#This Row],[C/M UNIT.
(S/.)]]=0,0,TABLA_BASE[[#This Row],[GANANCIA
UNIT.(S/.)]]/TABLA_BASE[[#This Row],[C/M UNIT.
(S/.)]])</f>
        <v>0</v>
      </c>
      <c r="BB57" s="274" t="str">
        <f>IF(TABLA_BASE[[#This Row],[MARGEN
%]]&gt;=0.5,"🟢 ALTO",IF(TABLA_BASE[[#This Row],[MARGEN
%]]&gt;=0.3,"🟡 MEDIO","🔴 BAJO"))</f>
        <v>🟡 MEDIO</v>
      </c>
    </row>
    <row r="58" spans="1:54" ht="16.5" hidden="1" thickTop="1" thickBot="1" x14ac:dyDescent="0.3">
      <c r="A58" s="274">
        <f>'🧾 Factura Comercial'!E62</f>
        <v>0</v>
      </c>
      <c r="B58" s="274" t="str">
        <f>'🧾 Factura Comercial'!F62</f>
        <v>Unid.</v>
      </c>
      <c r="C58" s="275">
        <f>'🧾 Factura Comercial'!G62</f>
        <v>0</v>
      </c>
      <c r="D58" s="276">
        <f>'🧾 Factura Comercial'!H62</f>
        <v>0</v>
      </c>
      <c r="E58" s="276">
        <f>'🧾 Factura Comercial'!I62</f>
        <v>0</v>
      </c>
      <c r="F58" s="277">
        <f>IF('🧾 Tributos Aduana'!$F$6=0,0,'🧾 Factura Comercial'!I62/'🧾 Tributos Aduana'!$F$6)</f>
        <v>0</v>
      </c>
      <c r="G58" s="278">
        <f>'🧾 Factura Comercial'!H62*'📋 Datos Generales'!$E$19</f>
        <v>0</v>
      </c>
      <c r="H58" s="278">
        <f>TABLA_BASE[[#This Row],[FOB UNIT.
(S/.)]]*TABLA_BASE[[#This Row],[CANTIDAD
(unid.)]]</f>
        <v>0</v>
      </c>
      <c r="I58" s="280">
        <f>IF('🧾 Tributos Aduana'!$F$6=0,0,'🧾 Tributos Aduana'!$F$17*('🧾 Factura Comercial'!H62/'🧾 Tributos Aduana'!$F$6))</f>
        <v>0</v>
      </c>
      <c r="J58" s="280">
        <f>TABLA_BASE[[#This Row],[ADV UNIT.
(US$)
⚠️COSTO]]*TABLA_BASE[[#This Row],[CANTIDAD
(unid.)]]</f>
        <v>0</v>
      </c>
      <c r="K58" s="279">
        <f>IF('🧾 Tributos Aduana'!$F$6=0,0,'🧾 Tributos Aduana'!$F$18*('🧾 Factura Comercial'!H62/'🧾 Tributos Aduana'!$F$6))</f>
        <v>0</v>
      </c>
      <c r="L58" s="280">
        <f>TABLA_BASE[[#This Row],[IPM UNIT.
(US$)
✅CF]]*TABLA_BASE[[#This Row],[CANTIDAD
(unid.)]]</f>
        <v>0</v>
      </c>
      <c r="M58" s="279">
        <f>IF('🧾 Tributos Aduana'!$F$6=0,0,'🧾 Tributos Aduana'!$F$19*('🧾 Factura Comercial'!H62/'🧾 Tributos Aduana'!$F$6))</f>
        <v>0</v>
      </c>
      <c r="N58" s="280">
        <f>TABLA_BASE[[#This Row],[IGV UNIT.
(US$)
✅CF]]*TABLA_BASE[[#This Row],[CANTIDAD
(unid.)]]</f>
        <v>0</v>
      </c>
      <c r="O58" s="280">
        <f>IF('🧾 Tributos Aduana'!$F$6=0,0,'🧾 Tributos Aduana'!$F$23*('🧾 Factura Comercial'!H62/'🧾 Tributos Aduana'!$F$6))</f>
        <v>0</v>
      </c>
      <c r="P58" s="280">
        <f>TABLA_BASE[[#This Row],[PERCEP.
UNIT.(US$)
✅CF]]*TABLA_BASE[[#This Row],[CANTIDAD
(unid.)]]</f>
        <v>0</v>
      </c>
      <c r="Q58" s="279">
        <f>TABLA_BASE[[#This Row],[ADV UNIT.
(US$)
⚠️COSTO]]+TABLA_BASE[[#This Row],[IPM UNIT.
(US$)
✅CF]]+TABLA_BASE[[#This Row],[IGV UNIT.
(US$)
✅CF]]</f>
        <v>0</v>
      </c>
      <c r="R58" s="280">
        <f>TABLA_BASE[[#This Row],[DEUDA
ADUANERA
UNIT.]]*TABLA_BASE[[#This Row],[CANTIDAD
(unid.)]]</f>
        <v>0</v>
      </c>
      <c r="S58" s="278">
        <f>TABLA_BASE[[#This Row],[DEUDA
ADUANERA
UNIT.]]*'📋 Datos Generales'!$E$19</f>
        <v>0</v>
      </c>
      <c r="T58" s="278">
        <f>TABLA_BASE[[#This Row],[DEUDA
ADUANERA
TOTAL]]*'📋 Datos Generales'!$E$19</f>
        <v>0</v>
      </c>
      <c r="U58" s="281">
        <f>TABLA_BASE[[#This Row],[ADV UNIT.
(US$)
⚠️COSTO]]*'📋 Datos Generales'!$E$19</f>
        <v>0</v>
      </c>
      <c r="V58" s="281">
        <f>TABLA_BASE[[#This Row],[ADV UNIT.
(S/.)]]*TABLA_BASE[[#This Row],[CANTIDAD
(unid.)]]</f>
        <v>0</v>
      </c>
      <c r="W58" s="281">
        <f>TABLA_BASE[[#This Row],[IPM UNIT.
(US$)
✅CF]]*'📋 Datos Generales'!$E$19</f>
        <v>0</v>
      </c>
      <c r="X58" s="281">
        <f>TABLA_BASE[[#This Row],[IPM UNIT.
(S/.)]]*TABLA_BASE[[#This Row],[CANTIDAD
(unid.)]]</f>
        <v>0</v>
      </c>
      <c r="Y58" s="281">
        <f>TABLA_BASE[[#This Row],[IGV UNIT.
(US$)
✅CF]]*'📋 Datos Generales'!$E$19</f>
        <v>0</v>
      </c>
      <c r="Z58" s="281">
        <f>TABLA_BASE[[#This Row],[IGV UNIT.
(S/.)]]*TABLA_BASE[[#This Row],[CANTIDAD
(unid.)]]</f>
        <v>0</v>
      </c>
      <c r="AA58" s="281">
        <f>TABLA_BASE[[#This Row],[PERCEP.
UNIT.(US$)
✅CF]]*'📋 Datos Generales'!$E$19</f>
        <v>0</v>
      </c>
      <c r="AB58" s="281">
        <f>TABLA_BASE[[#This Row],[PERCEP.
UNIT.(S/.)]]*TABLA_BASE[[#This Row],[CANTIDAD
(unid.)]]</f>
        <v>0</v>
      </c>
      <c r="AC58" s="279">
        <f>TABLA_BASE[[#This Row],[ADV UNIT.
(US$)
⚠️COSTO]]+TABLA_BASE[[#This Row],[IPM UNIT.
(US$)
✅CF]]+TABLA_BASE[[#This Row],[IGV UNIT.
(US$)
✅CF]]+TABLA_BASE[[#This Row],[PERCEP.
UNIT.(US$)
✅CF]]</f>
        <v>0</v>
      </c>
      <c r="AD58" s="279">
        <f>TABLA_BASE[[#This Row],[TOTAL PAGO
SUNAT
UNIT.(US$)]]*TABLA_BASE[[#This Row],[CANTIDAD
(unid.)]]</f>
        <v>0</v>
      </c>
      <c r="AE58" s="281">
        <f>TABLA_BASE[[#This Row],[TOTAL PAGO
SUNAT
UNIT.(US$)]]*'📋 Datos Generales'!$E$19</f>
        <v>0</v>
      </c>
      <c r="AF58" s="281">
        <f>TABLA_BASE[[#This Row],[TOTAL TRIB.
UNIT.(S/.)]]*TABLA_BASE[[#This Row],[CANTIDAD
(unid.)]]</f>
        <v>0</v>
      </c>
      <c r="AG58" s="279">
        <f>IF('🧾 Factura Comercial'!G62=0,0,'📦 Gastos Importación'!$E$28*(IF('🧾 Tributos Aduana'!$F$6=0,0,'🧾 Factura Comercial'!I62/'🧾 Tributos Aduana'!$F$6))/'🧾 Factura Comercial'!G62)</f>
        <v>0</v>
      </c>
      <c r="AH58" s="279">
        <f>TABLA_BASE[[#This Row],[GASTOS IMP.
UNIT.(US$)]]*TABLA_BASE[[#This Row],[CANTIDAD
(unid.)]]</f>
        <v>0</v>
      </c>
      <c r="AI58" s="281">
        <f>TABLA_BASE[[#This Row],[GASTOS IMP.
UNIT.(US$)]]*'📋 Datos Generales'!$E$19</f>
        <v>0</v>
      </c>
      <c r="AJ58" s="281">
        <f>TABLA_BASE[[#This Row],[GASTOS IMP.
UNIT.(S/.)]]*TABLA_BASE[[#This Row],[CANTIDAD
(unid.)]]</f>
        <v>0</v>
      </c>
      <c r="AK58" s="280">
        <f>'🧮 Costos x Producto'!J62</f>
        <v>0</v>
      </c>
      <c r="AL58" s="278">
        <f>'🧮 Costos x Producto'!K62</f>
        <v>0</v>
      </c>
      <c r="AM58" s="278">
        <f>TABLA_BASE[[#This Row],[C/M UNIT.
(S/.)]]*TABLA_BASE[[#This Row],[CANTIDAD
(unid.)]]</f>
        <v>0</v>
      </c>
      <c r="AN58" s="279">
        <f>IF('🧾 Factura Comercial'!G62=0,0,'🧾 Tributos Aduana'!$F$17*(IF('🧾 Tributos Aduana'!$F$6=0,0,'🧾 Factura Comercial'!I62/'🧾 Tributos Aduana'!$F$6))/'🧾 Factura Comercial'!G62)</f>
        <v>0</v>
      </c>
      <c r="AO58" s="280">
        <f>IF('🧾 Factura Comercial'!G62=0,0,'🏦 Crédito Fiscal'!$C$16*(IF('🧾 Tributos Aduana'!$F$6=0,0,'🧾 Factura Comercial'!I62/'🧾 Tributos Aduana'!$F$6))/'🧾 Factura Comercial'!G62)</f>
        <v>0</v>
      </c>
      <c r="AP58" s="278">
        <f>TABLA_BASE[[#This Row],[CF UNIT.
✅RECUP.
(US$)]]*'📋 Datos Generales'!$E$19</f>
        <v>0</v>
      </c>
      <c r="AQ58" s="278">
        <f>TABLA_BASE[[#This Row],[CF UNIT.
✅RECUP.(S/.)]]*TABLA_BASE[[#This Row],[CANTIDAD
(unid.)]]</f>
        <v>0</v>
      </c>
      <c r="AR58" s="288">
        <f>'💰 Precio de Venta'!G63</f>
        <v>0.4</v>
      </c>
      <c r="AS58" s="278">
        <f>'💰 Precio de Venta'!H63</f>
        <v>0</v>
      </c>
      <c r="AT58" s="278">
        <f>TABLA_BASE[[#This Row],[VALOR VTA.
UNIT.(S/.)]]*TABLA_BASE[[#This Row],[CANTIDAD
(unid.)]]</f>
        <v>0</v>
      </c>
      <c r="AU58" s="281">
        <f>'💰 Precio de Venta'!I63</f>
        <v>0</v>
      </c>
      <c r="AV58" s="278">
        <f>'💰 Precio de Venta'!J63</f>
        <v>0</v>
      </c>
      <c r="AW58" s="278">
        <f>TABLA_BASE[[#This Row],[GANANCIA
UNIT.(S/.)]]*TABLA_BASE[[#This Row],[CANTIDAD
(unid.)]]</f>
        <v>0</v>
      </c>
      <c r="AX58" s="289">
        <f>'💰 Precio de Venta'!K63</f>
        <v>0</v>
      </c>
      <c r="AY58" s="278">
        <f>TABLA_BASE[[#This Row],[GANANCIA
UNIT.(S/.)]]*'🧾 Factura Comercial'!G62</f>
        <v>0</v>
      </c>
      <c r="AZ58" s="277">
        <f>IF(TABLA_BASE[[#This Row],[PRECIO VTA.
c/IGV(S/.)]]=0,0,TABLA_BASE[[#This Row],[GANANCIA
UNIT.(S/.)]]/TABLA_BASE[[#This Row],[PRECIO VTA.
c/IGV(S/.)]])</f>
        <v>0</v>
      </c>
      <c r="BA58" s="277">
        <f>IF(TABLA_BASE[[#This Row],[C/M UNIT.
(S/.)]]=0,0,TABLA_BASE[[#This Row],[GANANCIA
UNIT.(S/.)]]/TABLA_BASE[[#This Row],[C/M UNIT.
(S/.)]])</f>
        <v>0</v>
      </c>
      <c r="BB58" s="274" t="str">
        <f>IF(TABLA_BASE[[#This Row],[MARGEN
%]]&gt;=0.5,"🟢 ALTO",IF(TABLA_BASE[[#This Row],[MARGEN
%]]&gt;=0.3,"🟡 MEDIO","🔴 BAJO"))</f>
        <v>🟡 MEDIO</v>
      </c>
    </row>
    <row r="59" spans="1:54" ht="16.5" hidden="1" thickTop="1" thickBot="1" x14ac:dyDescent="0.3">
      <c r="A59" s="274">
        <f>'🧾 Factura Comercial'!E63</f>
        <v>0</v>
      </c>
      <c r="B59" s="274" t="str">
        <f>'🧾 Factura Comercial'!F63</f>
        <v>Unid.</v>
      </c>
      <c r="C59" s="275">
        <f>'🧾 Factura Comercial'!G63</f>
        <v>0</v>
      </c>
      <c r="D59" s="276">
        <f>'🧾 Factura Comercial'!H63</f>
        <v>0</v>
      </c>
      <c r="E59" s="276">
        <f>'🧾 Factura Comercial'!I63</f>
        <v>0</v>
      </c>
      <c r="F59" s="277">
        <f>IF('🧾 Tributos Aduana'!$F$6=0,0,'🧾 Factura Comercial'!I63/'🧾 Tributos Aduana'!$F$6)</f>
        <v>0</v>
      </c>
      <c r="G59" s="278">
        <f>'🧾 Factura Comercial'!H63*'📋 Datos Generales'!$E$19</f>
        <v>0</v>
      </c>
      <c r="H59" s="278">
        <f>TABLA_BASE[[#This Row],[FOB UNIT.
(S/.)]]*TABLA_BASE[[#This Row],[CANTIDAD
(unid.)]]</f>
        <v>0</v>
      </c>
      <c r="I59" s="280">
        <f>IF('🧾 Tributos Aduana'!$F$6=0,0,'🧾 Tributos Aduana'!$F$17*('🧾 Factura Comercial'!H63/'🧾 Tributos Aduana'!$F$6))</f>
        <v>0</v>
      </c>
      <c r="J59" s="280">
        <f>TABLA_BASE[[#This Row],[ADV UNIT.
(US$)
⚠️COSTO]]*TABLA_BASE[[#This Row],[CANTIDAD
(unid.)]]</f>
        <v>0</v>
      </c>
      <c r="K59" s="279">
        <f>IF('🧾 Tributos Aduana'!$F$6=0,0,'🧾 Tributos Aduana'!$F$18*('🧾 Factura Comercial'!H63/'🧾 Tributos Aduana'!$F$6))</f>
        <v>0</v>
      </c>
      <c r="L59" s="280">
        <f>TABLA_BASE[[#This Row],[IPM UNIT.
(US$)
✅CF]]*TABLA_BASE[[#This Row],[CANTIDAD
(unid.)]]</f>
        <v>0</v>
      </c>
      <c r="M59" s="279">
        <f>IF('🧾 Tributos Aduana'!$F$6=0,0,'🧾 Tributos Aduana'!$F$19*('🧾 Factura Comercial'!H63/'🧾 Tributos Aduana'!$F$6))</f>
        <v>0</v>
      </c>
      <c r="N59" s="280">
        <f>TABLA_BASE[[#This Row],[IGV UNIT.
(US$)
✅CF]]*TABLA_BASE[[#This Row],[CANTIDAD
(unid.)]]</f>
        <v>0</v>
      </c>
      <c r="O59" s="280">
        <f>IF('🧾 Tributos Aduana'!$F$6=0,0,'🧾 Tributos Aduana'!$F$23*('🧾 Factura Comercial'!H63/'🧾 Tributos Aduana'!$F$6))</f>
        <v>0</v>
      </c>
      <c r="P59" s="280">
        <f>TABLA_BASE[[#This Row],[PERCEP.
UNIT.(US$)
✅CF]]*TABLA_BASE[[#This Row],[CANTIDAD
(unid.)]]</f>
        <v>0</v>
      </c>
      <c r="Q59" s="279">
        <f>TABLA_BASE[[#This Row],[ADV UNIT.
(US$)
⚠️COSTO]]+TABLA_BASE[[#This Row],[IPM UNIT.
(US$)
✅CF]]+TABLA_BASE[[#This Row],[IGV UNIT.
(US$)
✅CF]]</f>
        <v>0</v>
      </c>
      <c r="R59" s="280">
        <f>TABLA_BASE[[#This Row],[DEUDA
ADUANERA
UNIT.]]*TABLA_BASE[[#This Row],[CANTIDAD
(unid.)]]</f>
        <v>0</v>
      </c>
      <c r="S59" s="278">
        <f>TABLA_BASE[[#This Row],[DEUDA
ADUANERA
UNIT.]]*'📋 Datos Generales'!$E$19</f>
        <v>0</v>
      </c>
      <c r="T59" s="278">
        <f>TABLA_BASE[[#This Row],[DEUDA
ADUANERA
TOTAL]]*'📋 Datos Generales'!$E$19</f>
        <v>0</v>
      </c>
      <c r="U59" s="281">
        <f>TABLA_BASE[[#This Row],[ADV UNIT.
(US$)
⚠️COSTO]]*'📋 Datos Generales'!$E$19</f>
        <v>0</v>
      </c>
      <c r="V59" s="281">
        <f>TABLA_BASE[[#This Row],[ADV UNIT.
(S/.)]]*TABLA_BASE[[#This Row],[CANTIDAD
(unid.)]]</f>
        <v>0</v>
      </c>
      <c r="W59" s="281">
        <f>TABLA_BASE[[#This Row],[IPM UNIT.
(US$)
✅CF]]*'📋 Datos Generales'!$E$19</f>
        <v>0</v>
      </c>
      <c r="X59" s="281">
        <f>TABLA_BASE[[#This Row],[IPM UNIT.
(S/.)]]*TABLA_BASE[[#This Row],[CANTIDAD
(unid.)]]</f>
        <v>0</v>
      </c>
      <c r="Y59" s="281">
        <f>TABLA_BASE[[#This Row],[IGV UNIT.
(US$)
✅CF]]*'📋 Datos Generales'!$E$19</f>
        <v>0</v>
      </c>
      <c r="Z59" s="281">
        <f>TABLA_BASE[[#This Row],[IGV UNIT.
(S/.)]]*TABLA_BASE[[#This Row],[CANTIDAD
(unid.)]]</f>
        <v>0</v>
      </c>
      <c r="AA59" s="281">
        <f>TABLA_BASE[[#This Row],[PERCEP.
UNIT.(US$)
✅CF]]*'📋 Datos Generales'!$E$19</f>
        <v>0</v>
      </c>
      <c r="AB59" s="281">
        <f>TABLA_BASE[[#This Row],[PERCEP.
UNIT.(S/.)]]*TABLA_BASE[[#This Row],[CANTIDAD
(unid.)]]</f>
        <v>0</v>
      </c>
      <c r="AC59" s="279">
        <f>TABLA_BASE[[#This Row],[ADV UNIT.
(US$)
⚠️COSTO]]+TABLA_BASE[[#This Row],[IPM UNIT.
(US$)
✅CF]]+TABLA_BASE[[#This Row],[IGV UNIT.
(US$)
✅CF]]+TABLA_BASE[[#This Row],[PERCEP.
UNIT.(US$)
✅CF]]</f>
        <v>0</v>
      </c>
      <c r="AD59" s="279">
        <f>TABLA_BASE[[#This Row],[TOTAL PAGO
SUNAT
UNIT.(US$)]]*TABLA_BASE[[#This Row],[CANTIDAD
(unid.)]]</f>
        <v>0</v>
      </c>
      <c r="AE59" s="281">
        <f>TABLA_BASE[[#This Row],[TOTAL PAGO
SUNAT
UNIT.(US$)]]*'📋 Datos Generales'!$E$19</f>
        <v>0</v>
      </c>
      <c r="AF59" s="281">
        <f>TABLA_BASE[[#This Row],[TOTAL TRIB.
UNIT.(S/.)]]*TABLA_BASE[[#This Row],[CANTIDAD
(unid.)]]</f>
        <v>0</v>
      </c>
      <c r="AG59" s="279">
        <f>IF('🧾 Factura Comercial'!G63=0,0,'📦 Gastos Importación'!$E$28*(IF('🧾 Tributos Aduana'!$F$6=0,0,'🧾 Factura Comercial'!I63/'🧾 Tributos Aduana'!$F$6))/'🧾 Factura Comercial'!G63)</f>
        <v>0</v>
      </c>
      <c r="AH59" s="279">
        <f>TABLA_BASE[[#This Row],[GASTOS IMP.
UNIT.(US$)]]*TABLA_BASE[[#This Row],[CANTIDAD
(unid.)]]</f>
        <v>0</v>
      </c>
      <c r="AI59" s="281">
        <f>TABLA_BASE[[#This Row],[GASTOS IMP.
UNIT.(US$)]]*'📋 Datos Generales'!$E$19</f>
        <v>0</v>
      </c>
      <c r="AJ59" s="281">
        <f>TABLA_BASE[[#This Row],[GASTOS IMP.
UNIT.(S/.)]]*TABLA_BASE[[#This Row],[CANTIDAD
(unid.)]]</f>
        <v>0</v>
      </c>
      <c r="AK59" s="280">
        <f>'🧮 Costos x Producto'!J63</f>
        <v>0</v>
      </c>
      <c r="AL59" s="278">
        <f>'🧮 Costos x Producto'!K63</f>
        <v>0</v>
      </c>
      <c r="AM59" s="278">
        <f>TABLA_BASE[[#This Row],[C/M UNIT.
(S/.)]]*TABLA_BASE[[#This Row],[CANTIDAD
(unid.)]]</f>
        <v>0</v>
      </c>
      <c r="AN59" s="279">
        <f>IF('🧾 Factura Comercial'!G63=0,0,'🧾 Tributos Aduana'!$F$17*(IF('🧾 Tributos Aduana'!$F$6=0,0,'🧾 Factura Comercial'!I63/'🧾 Tributos Aduana'!$F$6))/'🧾 Factura Comercial'!G63)</f>
        <v>0</v>
      </c>
      <c r="AO59" s="280">
        <f>IF('🧾 Factura Comercial'!G63=0,0,'🏦 Crédito Fiscal'!$C$16*(IF('🧾 Tributos Aduana'!$F$6=0,0,'🧾 Factura Comercial'!I63/'🧾 Tributos Aduana'!$F$6))/'🧾 Factura Comercial'!G63)</f>
        <v>0</v>
      </c>
      <c r="AP59" s="278">
        <f>TABLA_BASE[[#This Row],[CF UNIT.
✅RECUP.
(US$)]]*'📋 Datos Generales'!$E$19</f>
        <v>0</v>
      </c>
      <c r="AQ59" s="278">
        <f>TABLA_BASE[[#This Row],[CF UNIT.
✅RECUP.(S/.)]]*TABLA_BASE[[#This Row],[CANTIDAD
(unid.)]]</f>
        <v>0</v>
      </c>
      <c r="AR59" s="288">
        <f>'💰 Precio de Venta'!G64</f>
        <v>0.4</v>
      </c>
      <c r="AS59" s="278">
        <f>'💰 Precio de Venta'!H64</f>
        <v>0</v>
      </c>
      <c r="AT59" s="278">
        <f>TABLA_BASE[[#This Row],[VALOR VTA.
UNIT.(S/.)]]*TABLA_BASE[[#This Row],[CANTIDAD
(unid.)]]</f>
        <v>0</v>
      </c>
      <c r="AU59" s="281">
        <f>'💰 Precio de Venta'!I64</f>
        <v>0</v>
      </c>
      <c r="AV59" s="278">
        <f>'💰 Precio de Venta'!J64</f>
        <v>0</v>
      </c>
      <c r="AW59" s="278">
        <f>TABLA_BASE[[#This Row],[GANANCIA
UNIT.(S/.)]]*TABLA_BASE[[#This Row],[CANTIDAD
(unid.)]]</f>
        <v>0</v>
      </c>
      <c r="AX59" s="289">
        <f>'💰 Precio de Venta'!K64</f>
        <v>0</v>
      </c>
      <c r="AY59" s="278">
        <f>TABLA_BASE[[#This Row],[GANANCIA
UNIT.(S/.)]]*'🧾 Factura Comercial'!G63</f>
        <v>0</v>
      </c>
      <c r="AZ59" s="277">
        <f>IF(TABLA_BASE[[#This Row],[PRECIO VTA.
c/IGV(S/.)]]=0,0,TABLA_BASE[[#This Row],[GANANCIA
UNIT.(S/.)]]/TABLA_BASE[[#This Row],[PRECIO VTA.
c/IGV(S/.)]])</f>
        <v>0</v>
      </c>
      <c r="BA59" s="277">
        <f>IF(TABLA_BASE[[#This Row],[C/M UNIT.
(S/.)]]=0,0,TABLA_BASE[[#This Row],[GANANCIA
UNIT.(S/.)]]/TABLA_BASE[[#This Row],[C/M UNIT.
(S/.)]])</f>
        <v>0</v>
      </c>
      <c r="BB59" s="274" t="str">
        <f>IF(TABLA_BASE[[#This Row],[MARGEN
%]]&gt;=0.5,"🟢 ALTO",IF(TABLA_BASE[[#This Row],[MARGEN
%]]&gt;=0.3,"🟡 MEDIO","🔴 BAJO"))</f>
        <v>🟡 MEDIO</v>
      </c>
    </row>
    <row r="60" spans="1:54" ht="16.5" hidden="1" thickTop="1" thickBot="1" x14ac:dyDescent="0.3">
      <c r="A60" s="274">
        <f>'🧾 Factura Comercial'!E64</f>
        <v>0</v>
      </c>
      <c r="B60" s="274" t="str">
        <f>'🧾 Factura Comercial'!F64</f>
        <v>Unid.</v>
      </c>
      <c r="C60" s="275">
        <f>'🧾 Factura Comercial'!G64</f>
        <v>0</v>
      </c>
      <c r="D60" s="276">
        <f>'🧾 Factura Comercial'!H64</f>
        <v>0</v>
      </c>
      <c r="E60" s="276">
        <f>'🧾 Factura Comercial'!I64</f>
        <v>0</v>
      </c>
      <c r="F60" s="277">
        <f>IF('🧾 Tributos Aduana'!$F$6=0,0,'🧾 Factura Comercial'!I64/'🧾 Tributos Aduana'!$F$6)</f>
        <v>0</v>
      </c>
      <c r="G60" s="278">
        <f>'🧾 Factura Comercial'!H64*'📋 Datos Generales'!$E$19</f>
        <v>0</v>
      </c>
      <c r="H60" s="278">
        <f>TABLA_BASE[[#This Row],[FOB UNIT.
(S/.)]]*TABLA_BASE[[#This Row],[CANTIDAD
(unid.)]]</f>
        <v>0</v>
      </c>
      <c r="I60" s="280">
        <f>IF('🧾 Tributos Aduana'!$F$6=0,0,'🧾 Tributos Aduana'!$F$17*('🧾 Factura Comercial'!H64/'🧾 Tributos Aduana'!$F$6))</f>
        <v>0</v>
      </c>
      <c r="J60" s="280">
        <f>TABLA_BASE[[#This Row],[ADV UNIT.
(US$)
⚠️COSTO]]*TABLA_BASE[[#This Row],[CANTIDAD
(unid.)]]</f>
        <v>0</v>
      </c>
      <c r="K60" s="279">
        <f>IF('🧾 Tributos Aduana'!$F$6=0,0,'🧾 Tributos Aduana'!$F$18*('🧾 Factura Comercial'!H64/'🧾 Tributos Aduana'!$F$6))</f>
        <v>0</v>
      </c>
      <c r="L60" s="280">
        <f>TABLA_BASE[[#This Row],[IPM UNIT.
(US$)
✅CF]]*TABLA_BASE[[#This Row],[CANTIDAD
(unid.)]]</f>
        <v>0</v>
      </c>
      <c r="M60" s="279">
        <f>IF('🧾 Tributos Aduana'!$F$6=0,0,'🧾 Tributos Aduana'!$F$19*('🧾 Factura Comercial'!H64/'🧾 Tributos Aduana'!$F$6))</f>
        <v>0</v>
      </c>
      <c r="N60" s="280">
        <f>TABLA_BASE[[#This Row],[IGV UNIT.
(US$)
✅CF]]*TABLA_BASE[[#This Row],[CANTIDAD
(unid.)]]</f>
        <v>0</v>
      </c>
      <c r="O60" s="280">
        <f>IF('🧾 Tributos Aduana'!$F$6=0,0,'🧾 Tributos Aduana'!$F$23*('🧾 Factura Comercial'!H64/'🧾 Tributos Aduana'!$F$6))</f>
        <v>0</v>
      </c>
      <c r="P60" s="280">
        <f>TABLA_BASE[[#This Row],[PERCEP.
UNIT.(US$)
✅CF]]*TABLA_BASE[[#This Row],[CANTIDAD
(unid.)]]</f>
        <v>0</v>
      </c>
      <c r="Q60" s="279">
        <f>TABLA_BASE[[#This Row],[ADV UNIT.
(US$)
⚠️COSTO]]+TABLA_BASE[[#This Row],[IPM UNIT.
(US$)
✅CF]]+TABLA_BASE[[#This Row],[IGV UNIT.
(US$)
✅CF]]</f>
        <v>0</v>
      </c>
      <c r="R60" s="280">
        <f>TABLA_BASE[[#This Row],[DEUDA
ADUANERA
UNIT.]]*TABLA_BASE[[#This Row],[CANTIDAD
(unid.)]]</f>
        <v>0</v>
      </c>
      <c r="S60" s="278">
        <f>TABLA_BASE[[#This Row],[DEUDA
ADUANERA
UNIT.]]*'📋 Datos Generales'!$E$19</f>
        <v>0</v>
      </c>
      <c r="T60" s="278">
        <f>TABLA_BASE[[#This Row],[DEUDA
ADUANERA
TOTAL]]*'📋 Datos Generales'!$E$19</f>
        <v>0</v>
      </c>
      <c r="U60" s="281">
        <f>TABLA_BASE[[#This Row],[ADV UNIT.
(US$)
⚠️COSTO]]*'📋 Datos Generales'!$E$19</f>
        <v>0</v>
      </c>
      <c r="V60" s="281">
        <f>TABLA_BASE[[#This Row],[ADV UNIT.
(S/.)]]*TABLA_BASE[[#This Row],[CANTIDAD
(unid.)]]</f>
        <v>0</v>
      </c>
      <c r="W60" s="281">
        <f>TABLA_BASE[[#This Row],[IPM UNIT.
(US$)
✅CF]]*'📋 Datos Generales'!$E$19</f>
        <v>0</v>
      </c>
      <c r="X60" s="281">
        <f>TABLA_BASE[[#This Row],[IPM UNIT.
(S/.)]]*TABLA_BASE[[#This Row],[CANTIDAD
(unid.)]]</f>
        <v>0</v>
      </c>
      <c r="Y60" s="281">
        <f>TABLA_BASE[[#This Row],[IGV UNIT.
(US$)
✅CF]]*'📋 Datos Generales'!$E$19</f>
        <v>0</v>
      </c>
      <c r="Z60" s="281">
        <f>TABLA_BASE[[#This Row],[IGV UNIT.
(S/.)]]*TABLA_BASE[[#This Row],[CANTIDAD
(unid.)]]</f>
        <v>0</v>
      </c>
      <c r="AA60" s="281">
        <f>TABLA_BASE[[#This Row],[PERCEP.
UNIT.(US$)
✅CF]]*'📋 Datos Generales'!$E$19</f>
        <v>0</v>
      </c>
      <c r="AB60" s="281">
        <f>TABLA_BASE[[#This Row],[PERCEP.
UNIT.(S/.)]]*TABLA_BASE[[#This Row],[CANTIDAD
(unid.)]]</f>
        <v>0</v>
      </c>
      <c r="AC60" s="279">
        <f>TABLA_BASE[[#This Row],[ADV UNIT.
(US$)
⚠️COSTO]]+TABLA_BASE[[#This Row],[IPM UNIT.
(US$)
✅CF]]+TABLA_BASE[[#This Row],[IGV UNIT.
(US$)
✅CF]]+TABLA_BASE[[#This Row],[PERCEP.
UNIT.(US$)
✅CF]]</f>
        <v>0</v>
      </c>
      <c r="AD60" s="279">
        <f>TABLA_BASE[[#This Row],[TOTAL PAGO
SUNAT
UNIT.(US$)]]*TABLA_BASE[[#This Row],[CANTIDAD
(unid.)]]</f>
        <v>0</v>
      </c>
      <c r="AE60" s="281">
        <f>TABLA_BASE[[#This Row],[TOTAL PAGO
SUNAT
UNIT.(US$)]]*'📋 Datos Generales'!$E$19</f>
        <v>0</v>
      </c>
      <c r="AF60" s="281">
        <f>TABLA_BASE[[#This Row],[TOTAL TRIB.
UNIT.(S/.)]]*TABLA_BASE[[#This Row],[CANTIDAD
(unid.)]]</f>
        <v>0</v>
      </c>
      <c r="AG60" s="279">
        <f>IF('🧾 Factura Comercial'!G64=0,0,'📦 Gastos Importación'!$E$28*(IF('🧾 Tributos Aduana'!$F$6=0,0,'🧾 Factura Comercial'!I64/'🧾 Tributos Aduana'!$F$6))/'🧾 Factura Comercial'!G64)</f>
        <v>0</v>
      </c>
      <c r="AH60" s="279">
        <f>TABLA_BASE[[#This Row],[GASTOS IMP.
UNIT.(US$)]]*TABLA_BASE[[#This Row],[CANTIDAD
(unid.)]]</f>
        <v>0</v>
      </c>
      <c r="AI60" s="281">
        <f>TABLA_BASE[[#This Row],[GASTOS IMP.
UNIT.(US$)]]*'📋 Datos Generales'!$E$19</f>
        <v>0</v>
      </c>
      <c r="AJ60" s="281">
        <f>TABLA_BASE[[#This Row],[GASTOS IMP.
UNIT.(S/.)]]*TABLA_BASE[[#This Row],[CANTIDAD
(unid.)]]</f>
        <v>0</v>
      </c>
      <c r="AK60" s="280">
        <f>'🧮 Costos x Producto'!J64</f>
        <v>0</v>
      </c>
      <c r="AL60" s="278">
        <f>'🧮 Costos x Producto'!K64</f>
        <v>0</v>
      </c>
      <c r="AM60" s="278">
        <f>TABLA_BASE[[#This Row],[C/M UNIT.
(S/.)]]*TABLA_BASE[[#This Row],[CANTIDAD
(unid.)]]</f>
        <v>0</v>
      </c>
      <c r="AN60" s="279">
        <f>IF('🧾 Factura Comercial'!G64=0,0,'🧾 Tributos Aduana'!$F$17*(IF('🧾 Tributos Aduana'!$F$6=0,0,'🧾 Factura Comercial'!I64/'🧾 Tributos Aduana'!$F$6))/'🧾 Factura Comercial'!G64)</f>
        <v>0</v>
      </c>
      <c r="AO60" s="280">
        <f>IF('🧾 Factura Comercial'!G64=0,0,'🏦 Crédito Fiscal'!$C$16*(IF('🧾 Tributos Aduana'!$F$6=0,0,'🧾 Factura Comercial'!I64/'🧾 Tributos Aduana'!$F$6))/'🧾 Factura Comercial'!G64)</f>
        <v>0</v>
      </c>
      <c r="AP60" s="278">
        <f>TABLA_BASE[[#This Row],[CF UNIT.
✅RECUP.
(US$)]]*'📋 Datos Generales'!$E$19</f>
        <v>0</v>
      </c>
      <c r="AQ60" s="278">
        <f>TABLA_BASE[[#This Row],[CF UNIT.
✅RECUP.(S/.)]]*TABLA_BASE[[#This Row],[CANTIDAD
(unid.)]]</f>
        <v>0</v>
      </c>
      <c r="AR60" s="288">
        <f>'💰 Precio de Venta'!G65</f>
        <v>0.4</v>
      </c>
      <c r="AS60" s="278">
        <f>'💰 Precio de Venta'!H65</f>
        <v>0</v>
      </c>
      <c r="AT60" s="278">
        <f>TABLA_BASE[[#This Row],[VALOR VTA.
UNIT.(S/.)]]*TABLA_BASE[[#This Row],[CANTIDAD
(unid.)]]</f>
        <v>0</v>
      </c>
      <c r="AU60" s="281">
        <f>'💰 Precio de Venta'!I65</f>
        <v>0</v>
      </c>
      <c r="AV60" s="278">
        <f>'💰 Precio de Venta'!J65</f>
        <v>0</v>
      </c>
      <c r="AW60" s="278">
        <f>TABLA_BASE[[#This Row],[GANANCIA
UNIT.(S/.)]]*TABLA_BASE[[#This Row],[CANTIDAD
(unid.)]]</f>
        <v>0</v>
      </c>
      <c r="AX60" s="289">
        <f>'💰 Precio de Venta'!K65</f>
        <v>0</v>
      </c>
      <c r="AY60" s="278">
        <f>TABLA_BASE[[#This Row],[GANANCIA
UNIT.(S/.)]]*'🧾 Factura Comercial'!G64</f>
        <v>0</v>
      </c>
      <c r="AZ60" s="277">
        <f>IF(TABLA_BASE[[#This Row],[PRECIO VTA.
c/IGV(S/.)]]=0,0,TABLA_BASE[[#This Row],[GANANCIA
UNIT.(S/.)]]/TABLA_BASE[[#This Row],[PRECIO VTA.
c/IGV(S/.)]])</f>
        <v>0</v>
      </c>
      <c r="BA60" s="277">
        <f>IF(TABLA_BASE[[#This Row],[C/M UNIT.
(S/.)]]=0,0,TABLA_BASE[[#This Row],[GANANCIA
UNIT.(S/.)]]/TABLA_BASE[[#This Row],[C/M UNIT.
(S/.)]])</f>
        <v>0</v>
      </c>
      <c r="BB60" s="274" t="str">
        <f>IF(TABLA_BASE[[#This Row],[MARGEN
%]]&gt;=0.5,"🟢 ALTO",IF(TABLA_BASE[[#This Row],[MARGEN
%]]&gt;=0.3,"🟡 MEDIO","🔴 BAJO"))</f>
        <v>🟡 MEDIO</v>
      </c>
    </row>
    <row r="61" spans="1:54" ht="16.5" hidden="1" thickTop="1" thickBot="1" x14ac:dyDescent="0.3">
      <c r="A61" s="274">
        <f>'🧾 Factura Comercial'!E65</f>
        <v>0</v>
      </c>
      <c r="B61" s="274" t="str">
        <f>'🧾 Factura Comercial'!F65</f>
        <v>Unid.</v>
      </c>
      <c r="C61" s="275">
        <f>'🧾 Factura Comercial'!G65</f>
        <v>0</v>
      </c>
      <c r="D61" s="276">
        <f>'🧾 Factura Comercial'!H65</f>
        <v>0</v>
      </c>
      <c r="E61" s="276">
        <f>'🧾 Factura Comercial'!I65</f>
        <v>0</v>
      </c>
      <c r="F61" s="277">
        <f>IF('🧾 Tributos Aduana'!$F$6=0,0,'🧾 Factura Comercial'!I65/'🧾 Tributos Aduana'!$F$6)</f>
        <v>0</v>
      </c>
      <c r="G61" s="278">
        <f>'🧾 Factura Comercial'!H65*'📋 Datos Generales'!$E$19</f>
        <v>0</v>
      </c>
      <c r="H61" s="278">
        <f>TABLA_BASE[[#This Row],[FOB UNIT.
(S/.)]]*TABLA_BASE[[#This Row],[CANTIDAD
(unid.)]]</f>
        <v>0</v>
      </c>
      <c r="I61" s="280">
        <f>IF('🧾 Tributos Aduana'!$F$6=0,0,'🧾 Tributos Aduana'!$F$17*('🧾 Factura Comercial'!H65/'🧾 Tributos Aduana'!$F$6))</f>
        <v>0</v>
      </c>
      <c r="J61" s="280">
        <f>TABLA_BASE[[#This Row],[ADV UNIT.
(US$)
⚠️COSTO]]*TABLA_BASE[[#This Row],[CANTIDAD
(unid.)]]</f>
        <v>0</v>
      </c>
      <c r="K61" s="279">
        <f>IF('🧾 Tributos Aduana'!$F$6=0,0,'🧾 Tributos Aduana'!$F$18*('🧾 Factura Comercial'!H65/'🧾 Tributos Aduana'!$F$6))</f>
        <v>0</v>
      </c>
      <c r="L61" s="280">
        <f>TABLA_BASE[[#This Row],[IPM UNIT.
(US$)
✅CF]]*TABLA_BASE[[#This Row],[CANTIDAD
(unid.)]]</f>
        <v>0</v>
      </c>
      <c r="M61" s="279">
        <f>IF('🧾 Tributos Aduana'!$F$6=0,0,'🧾 Tributos Aduana'!$F$19*('🧾 Factura Comercial'!H65/'🧾 Tributos Aduana'!$F$6))</f>
        <v>0</v>
      </c>
      <c r="N61" s="280">
        <f>TABLA_BASE[[#This Row],[IGV UNIT.
(US$)
✅CF]]*TABLA_BASE[[#This Row],[CANTIDAD
(unid.)]]</f>
        <v>0</v>
      </c>
      <c r="O61" s="280">
        <f>IF('🧾 Tributos Aduana'!$F$6=0,0,'🧾 Tributos Aduana'!$F$23*('🧾 Factura Comercial'!H65/'🧾 Tributos Aduana'!$F$6))</f>
        <v>0</v>
      </c>
      <c r="P61" s="280">
        <f>TABLA_BASE[[#This Row],[PERCEP.
UNIT.(US$)
✅CF]]*TABLA_BASE[[#This Row],[CANTIDAD
(unid.)]]</f>
        <v>0</v>
      </c>
      <c r="Q61" s="279">
        <f>TABLA_BASE[[#This Row],[ADV UNIT.
(US$)
⚠️COSTO]]+TABLA_BASE[[#This Row],[IPM UNIT.
(US$)
✅CF]]+TABLA_BASE[[#This Row],[IGV UNIT.
(US$)
✅CF]]</f>
        <v>0</v>
      </c>
      <c r="R61" s="280">
        <f>TABLA_BASE[[#This Row],[DEUDA
ADUANERA
UNIT.]]*TABLA_BASE[[#This Row],[CANTIDAD
(unid.)]]</f>
        <v>0</v>
      </c>
      <c r="S61" s="278">
        <f>TABLA_BASE[[#This Row],[DEUDA
ADUANERA
UNIT.]]*'📋 Datos Generales'!$E$19</f>
        <v>0</v>
      </c>
      <c r="T61" s="278">
        <f>TABLA_BASE[[#This Row],[DEUDA
ADUANERA
TOTAL]]*'📋 Datos Generales'!$E$19</f>
        <v>0</v>
      </c>
      <c r="U61" s="281">
        <f>TABLA_BASE[[#This Row],[ADV UNIT.
(US$)
⚠️COSTO]]*'📋 Datos Generales'!$E$19</f>
        <v>0</v>
      </c>
      <c r="V61" s="281">
        <f>TABLA_BASE[[#This Row],[ADV UNIT.
(S/.)]]*TABLA_BASE[[#This Row],[CANTIDAD
(unid.)]]</f>
        <v>0</v>
      </c>
      <c r="W61" s="281">
        <f>TABLA_BASE[[#This Row],[IPM UNIT.
(US$)
✅CF]]*'📋 Datos Generales'!$E$19</f>
        <v>0</v>
      </c>
      <c r="X61" s="281">
        <f>TABLA_BASE[[#This Row],[IPM UNIT.
(S/.)]]*TABLA_BASE[[#This Row],[CANTIDAD
(unid.)]]</f>
        <v>0</v>
      </c>
      <c r="Y61" s="281">
        <f>TABLA_BASE[[#This Row],[IGV UNIT.
(US$)
✅CF]]*'📋 Datos Generales'!$E$19</f>
        <v>0</v>
      </c>
      <c r="Z61" s="281">
        <f>TABLA_BASE[[#This Row],[IGV UNIT.
(S/.)]]*TABLA_BASE[[#This Row],[CANTIDAD
(unid.)]]</f>
        <v>0</v>
      </c>
      <c r="AA61" s="281">
        <f>TABLA_BASE[[#This Row],[PERCEP.
UNIT.(US$)
✅CF]]*'📋 Datos Generales'!$E$19</f>
        <v>0</v>
      </c>
      <c r="AB61" s="281">
        <f>TABLA_BASE[[#This Row],[PERCEP.
UNIT.(S/.)]]*TABLA_BASE[[#This Row],[CANTIDAD
(unid.)]]</f>
        <v>0</v>
      </c>
      <c r="AC61" s="279">
        <f>TABLA_BASE[[#This Row],[ADV UNIT.
(US$)
⚠️COSTO]]+TABLA_BASE[[#This Row],[IPM UNIT.
(US$)
✅CF]]+TABLA_BASE[[#This Row],[IGV UNIT.
(US$)
✅CF]]+TABLA_BASE[[#This Row],[PERCEP.
UNIT.(US$)
✅CF]]</f>
        <v>0</v>
      </c>
      <c r="AD61" s="279">
        <f>TABLA_BASE[[#This Row],[TOTAL PAGO
SUNAT
UNIT.(US$)]]*TABLA_BASE[[#This Row],[CANTIDAD
(unid.)]]</f>
        <v>0</v>
      </c>
      <c r="AE61" s="281">
        <f>TABLA_BASE[[#This Row],[TOTAL PAGO
SUNAT
UNIT.(US$)]]*'📋 Datos Generales'!$E$19</f>
        <v>0</v>
      </c>
      <c r="AF61" s="281">
        <f>TABLA_BASE[[#This Row],[TOTAL TRIB.
UNIT.(S/.)]]*TABLA_BASE[[#This Row],[CANTIDAD
(unid.)]]</f>
        <v>0</v>
      </c>
      <c r="AG61" s="279">
        <f>IF('🧾 Factura Comercial'!G65=0,0,'📦 Gastos Importación'!$E$28*(IF('🧾 Tributos Aduana'!$F$6=0,0,'🧾 Factura Comercial'!I65/'🧾 Tributos Aduana'!$F$6))/'🧾 Factura Comercial'!G65)</f>
        <v>0</v>
      </c>
      <c r="AH61" s="279">
        <f>TABLA_BASE[[#This Row],[GASTOS IMP.
UNIT.(US$)]]*TABLA_BASE[[#This Row],[CANTIDAD
(unid.)]]</f>
        <v>0</v>
      </c>
      <c r="AI61" s="281">
        <f>TABLA_BASE[[#This Row],[GASTOS IMP.
UNIT.(US$)]]*'📋 Datos Generales'!$E$19</f>
        <v>0</v>
      </c>
      <c r="AJ61" s="281">
        <f>TABLA_BASE[[#This Row],[GASTOS IMP.
UNIT.(S/.)]]*TABLA_BASE[[#This Row],[CANTIDAD
(unid.)]]</f>
        <v>0</v>
      </c>
      <c r="AK61" s="280">
        <f>'🧮 Costos x Producto'!J65</f>
        <v>0</v>
      </c>
      <c r="AL61" s="278">
        <f>'🧮 Costos x Producto'!K65</f>
        <v>0</v>
      </c>
      <c r="AM61" s="278">
        <f>TABLA_BASE[[#This Row],[C/M UNIT.
(S/.)]]*TABLA_BASE[[#This Row],[CANTIDAD
(unid.)]]</f>
        <v>0</v>
      </c>
      <c r="AN61" s="279">
        <f>IF('🧾 Factura Comercial'!G65=0,0,'🧾 Tributos Aduana'!$F$17*(IF('🧾 Tributos Aduana'!$F$6=0,0,'🧾 Factura Comercial'!I65/'🧾 Tributos Aduana'!$F$6))/'🧾 Factura Comercial'!G65)</f>
        <v>0</v>
      </c>
      <c r="AO61" s="280">
        <f>IF('🧾 Factura Comercial'!G65=0,0,'🏦 Crédito Fiscal'!$C$16*(IF('🧾 Tributos Aduana'!$F$6=0,0,'🧾 Factura Comercial'!I65/'🧾 Tributos Aduana'!$F$6))/'🧾 Factura Comercial'!G65)</f>
        <v>0</v>
      </c>
      <c r="AP61" s="278">
        <f>TABLA_BASE[[#This Row],[CF UNIT.
✅RECUP.
(US$)]]*'📋 Datos Generales'!$E$19</f>
        <v>0</v>
      </c>
      <c r="AQ61" s="278">
        <f>TABLA_BASE[[#This Row],[CF UNIT.
✅RECUP.(S/.)]]*TABLA_BASE[[#This Row],[CANTIDAD
(unid.)]]</f>
        <v>0</v>
      </c>
      <c r="AR61" s="288">
        <f>'💰 Precio de Venta'!G66</f>
        <v>0.4</v>
      </c>
      <c r="AS61" s="278">
        <f>'💰 Precio de Venta'!H66</f>
        <v>0</v>
      </c>
      <c r="AT61" s="278">
        <f>TABLA_BASE[[#This Row],[VALOR VTA.
UNIT.(S/.)]]*TABLA_BASE[[#This Row],[CANTIDAD
(unid.)]]</f>
        <v>0</v>
      </c>
      <c r="AU61" s="281">
        <f>'💰 Precio de Venta'!I66</f>
        <v>0</v>
      </c>
      <c r="AV61" s="278">
        <f>'💰 Precio de Venta'!J66</f>
        <v>0</v>
      </c>
      <c r="AW61" s="278">
        <f>TABLA_BASE[[#This Row],[GANANCIA
UNIT.(S/.)]]*TABLA_BASE[[#This Row],[CANTIDAD
(unid.)]]</f>
        <v>0</v>
      </c>
      <c r="AX61" s="289">
        <f>'💰 Precio de Venta'!K66</f>
        <v>0</v>
      </c>
      <c r="AY61" s="278">
        <f>TABLA_BASE[[#This Row],[GANANCIA
UNIT.(S/.)]]*'🧾 Factura Comercial'!G65</f>
        <v>0</v>
      </c>
      <c r="AZ61" s="277">
        <f>IF(TABLA_BASE[[#This Row],[PRECIO VTA.
c/IGV(S/.)]]=0,0,TABLA_BASE[[#This Row],[GANANCIA
UNIT.(S/.)]]/TABLA_BASE[[#This Row],[PRECIO VTA.
c/IGV(S/.)]])</f>
        <v>0</v>
      </c>
      <c r="BA61" s="277">
        <f>IF(TABLA_BASE[[#This Row],[C/M UNIT.
(S/.)]]=0,0,TABLA_BASE[[#This Row],[GANANCIA
UNIT.(S/.)]]/TABLA_BASE[[#This Row],[C/M UNIT.
(S/.)]])</f>
        <v>0</v>
      </c>
      <c r="BB61" s="274" t="str">
        <f>IF(TABLA_BASE[[#This Row],[MARGEN
%]]&gt;=0.5,"🟢 ALTO",IF(TABLA_BASE[[#This Row],[MARGEN
%]]&gt;=0.3,"🟡 MEDIO","🔴 BAJO"))</f>
        <v>🟡 MEDIO</v>
      </c>
    </row>
    <row r="62" spans="1:54" ht="16.5" hidden="1" thickTop="1" thickBot="1" x14ac:dyDescent="0.3">
      <c r="A62" s="274">
        <f>'🧾 Factura Comercial'!E66</f>
        <v>0</v>
      </c>
      <c r="B62" s="274" t="str">
        <f>'🧾 Factura Comercial'!F66</f>
        <v>Unid.</v>
      </c>
      <c r="C62" s="275">
        <f>'🧾 Factura Comercial'!G66</f>
        <v>0</v>
      </c>
      <c r="D62" s="276">
        <f>'🧾 Factura Comercial'!H66</f>
        <v>0</v>
      </c>
      <c r="E62" s="276">
        <f>'🧾 Factura Comercial'!I66</f>
        <v>0</v>
      </c>
      <c r="F62" s="277">
        <f>IF('🧾 Tributos Aduana'!$F$6=0,0,'🧾 Factura Comercial'!I66/'🧾 Tributos Aduana'!$F$6)</f>
        <v>0</v>
      </c>
      <c r="G62" s="278">
        <f>'🧾 Factura Comercial'!H66*'📋 Datos Generales'!$E$19</f>
        <v>0</v>
      </c>
      <c r="H62" s="278">
        <f>TABLA_BASE[[#This Row],[FOB UNIT.
(S/.)]]*TABLA_BASE[[#This Row],[CANTIDAD
(unid.)]]</f>
        <v>0</v>
      </c>
      <c r="I62" s="280">
        <f>IF('🧾 Tributos Aduana'!$F$6=0,0,'🧾 Tributos Aduana'!$F$17*('🧾 Factura Comercial'!H66/'🧾 Tributos Aduana'!$F$6))</f>
        <v>0</v>
      </c>
      <c r="J62" s="280">
        <f>TABLA_BASE[[#This Row],[ADV UNIT.
(US$)
⚠️COSTO]]*TABLA_BASE[[#This Row],[CANTIDAD
(unid.)]]</f>
        <v>0</v>
      </c>
      <c r="K62" s="279">
        <f>IF('🧾 Tributos Aduana'!$F$6=0,0,'🧾 Tributos Aduana'!$F$18*('🧾 Factura Comercial'!H66/'🧾 Tributos Aduana'!$F$6))</f>
        <v>0</v>
      </c>
      <c r="L62" s="280">
        <f>TABLA_BASE[[#This Row],[IPM UNIT.
(US$)
✅CF]]*TABLA_BASE[[#This Row],[CANTIDAD
(unid.)]]</f>
        <v>0</v>
      </c>
      <c r="M62" s="279">
        <f>IF('🧾 Tributos Aduana'!$F$6=0,0,'🧾 Tributos Aduana'!$F$19*('🧾 Factura Comercial'!H66/'🧾 Tributos Aduana'!$F$6))</f>
        <v>0</v>
      </c>
      <c r="N62" s="280">
        <f>TABLA_BASE[[#This Row],[IGV UNIT.
(US$)
✅CF]]*TABLA_BASE[[#This Row],[CANTIDAD
(unid.)]]</f>
        <v>0</v>
      </c>
      <c r="O62" s="280">
        <f>IF('🧾 Tributos Aduana'!$F$6=0,0,'🧾 Tributos Aduana'!$F$23*('🧾 Factura Comercial'!H66/'🧾 Tributos Aduana'!$F$6))</f>
        <v>0</v>
      </c>
      <c r="P62" s="280">
        <f>TABLA_BASE[[#This Row],[PERCEP.
UNIT.(US$)
✅CF]]*TABLA_BASE[[#This Row],[CANTIDAD
(unid.)]]</f>
        <v>0</v>
      </c>
      <c r="Q62" s="279">
        <f>TABLA_BASE[[#This Row],[ADV UNIT.
(US$)
⚠️COSTO]]+TABLA_BASE[[#This Row],[IPM UNIT.
(US$)
✅CF]]+TABLA_BASE[[#This Row],[IGV UNIT.
(US$)
✅CF]]</f>
        <v>0</v>
      </c>
      <c r="R62" s="280">
        <f>TABLA_BASE[[#This Row],[DEUDA
ADUANERA
UNIT.]]*TABLA_BASE[[#This Row],[CANTIDAD
(unid.)]]</f>
        <v>0</v>
      </c>
      <c r="S62" s="278">
        <f>TABLA_BASE[[#This Row],[DEUDA
ADUANERA
UNIT.]]*'📋 Datos Generales'!$E$19</f>
        <v>0</v>
      </c>
      <c r="T62" s="278">
        <f>TABLA_BASE[[#This Row],[DEUDA
ADUANERA
TOTAL]]*'📋 Datos Generales'!$E$19</f>
        <v>0</v>
      </c>
      <c r="U62" s="281">
        <f>TABLA_BASE[[#This Row],[ADV UNIT.
(US$)
⚠️COSTO]]*'📋 Datos Generales'!$E$19</f>
        <v>0</v>
      </c>
      <c r="V62" s="281">
        <f>TABLA_BASE[[#This Row],[ADV UNIT.
(S/.)]]*TABLA_BASE[[#This Row],[CANTIDAD
(unid.)]]</f>
        <v>0</v>
      </c>
      <c r="W62" s="281">
        <f>TABLA_BASE[[#This Row],[IPM UNIT.
(US$)
✅CF]]*'📋 Datos Generales'!$E$19</f>
        <v>0</v>
      </c>
      <c r="X62" s="281">
        <f>TABLA_BASE[[#This Row],[IPM UNIT.
(S/.)]]*TABLA_BASE[[#This Row],[CANTIDAD
(unid.)]]</f>
        <v>0</v>
      </c>
      <c r="Y62" s="281">
        <f>TABLA_BASE[[#This Row],[IGV UNIT.
(US$)
✅CF]]*'📋 Datos Generales'!$E$19</f>
        <v>0</v>
      </c>
      <c r="Z62" s="281">
        <f>TABLA_BASE[[#This Row],[IGV UNIT.
(S/.)]]*TABLA_BASE[[#This Row],[CANTIDAD
(unid.)]]</f>
        <v>0</v>
      </c>
      <c r="AA62" s="281">
        <f>TABLA_BASE[[#This Row],[PERCEP.
UNIT.(US$)
✅CF]]*'📋 Datos Generales'!$E$19</f>
        <v>0</v>
      </c>
      <c r="AB62" s="281">
        <f>TABLA_BASE[[#This Row],[PERCEP.
UNIT.(S/.)]]*TABLA_BASE[[#This Row],[CANTIDAD
(unid.)]]</f>
        <v>0</v>
      </c>
      <c r="AC62" s="279">
        <f>TABLA_BASE[[#This Row],[ADV UNIT.
(US$)
⚠️COSTO]]+TABLA_BASE[[#This Row],[IPM UNIT.
(US$)
✅CF]]+TABLA_BASE[[#This Row],[IGV UNIT.
(US$)
✅CF]]+TABLA_BASE[[#This Row],[PERCEP.
UNIT.(US$)
✅CF]]</f>
        <v>0</v>
      </c>
      <c r="AD62" s="279">
        <f>TABLA_BASE[[#This Row],[TOTAL PAGO
SUNAT
UNIT.(US$)]]*TABLA_BASE[[#This Row],[CANTIDAD
(unid.)]]</f>
        <v>0</v>
      </c>
      <c r="AE62" s="281">
        <f>TABLA_BASE[[#This Row],[TOTAL PAGO
SUNAT
UNIT.(US$)]]*'📋 Datos Generales'!$E$19</f>
        <v>0</v>
      </c>
      <c r="AF62" s="281">
        <f>TABLA_BASE[[#This Row],[TOTAL TRIB.
UNIT.(S/.)]]*TABLA_BASE[[#This Row],[CANTIDAD
(unid.)]]</f>
        <v>0</v>
      </c>
      <c r="AG62" s="279">
        <f>IF('🧾 Factura Comercial'!G66=0,0,'📦 Gastos Importación'!$E$28*(IF('🧾 Tributos Aduana'!$F$6=0,0,'🧾 Factura Comercial'!I66/'🧾 Tributos Aduana'!$F$6))/'🧾 Factura Comercial'!G66)</f>
        <v>0</v>
      </c>
      <c r="AH62" s="279">
        <f>TABLA_BASE[[#This Row],[GASTOS IMP.
UNIT.(US$)]]*TABLA_BASE[[#This Row],[CANTIDAD
(unid.)]]</f>
        <v>0</v>
      </c>
      <c r="AI62" s="281">
        <f>TABLA_BASE[[#This Row],[GASTOS IMP.
UNIT.(US$)]]*'📋 Datos Generales'!$E$19</f>
        <v>0</v>
      </c>
      <c r="AJ62" s="281">
        <f>TABLA_BASE[[#This Row],[GASTOS IMP.
UNIT.(S/.)]]*TABLA_BASE[[#This Row],[CANTIDAD
(unid.)]]</f>
        <v>0</v>
      </c>
      <c r="AK62" s="280">
        <f>'🧮 Costos x Producto'!J66</f>
        <v>0</v>
      </c>
      <c r="AL62" s="278">
        <f>'🧮 Costos x Producto'!K66</f>
        <v>0</v>
      </c>
      <c r="AM62" s="278">
        <f>TABLA_BASE[[#This Row],[C/M UNIT.
(S/.)]]*TABLA_BASE[[#This Row],[CANTIDAD
(unid.)]]</f>
        <v>0</v>
      </c>
      <c r="AN62" s="279">
        <f>IF('🧾 Factura Comercial'!G66=0,0,'🧾 Tributos Aduana'!$F$17*(IF('🧾 Tributos Aduana'!$F$6=0,0,'🧾 Factura Comercial'!I66/'🧾 Tributos Aduana'!$F$6))/'🧾 Factura Comercial'!G66)</f>
        <v>0</v>
      </c>
      <c r="AO62" s="280">
        <f>IF('🧾 Factura Comercial'!G66=0,0,'🏦 Crédito Fiscal'!$C$16*(IF('🧾 Tributos Aduana'!$F$6=0,0,'🧾 Factura Comercial'!I66/'🧾 Tributos Aduana'!$F$6))/'🧾 Factura Comercial'!G66)</f>
        <v>0</v>
      </c>
      <c r="AP62" s="278">
        <f>TABLA_BASE[[#This Row],[CF UNIT.
✅RECUP.
(US$)]]*'📋 Datos Generales'!$E$19</f>
        <v>0</v>
      </c>
      <c r="AQ62" s="278">
        <f>TABLA_BASE[[#This Row],[CF UNIT.
✅RECUP.(S/.)]]*TABLA_BASE[[#This Row],[CANTIDAD
(unid.)]]</f>
        <v>0</v>
      </c>
      <c r="AR62" s="288">
        <f>'💰 Precio de Venta'!G67</f>
        <v>0.4</v>
      </c>
      <c r="AS62" s="278">
        <f>'💰 Precio de Venta'!H67</f>
        <v>0</v>
      </c>
      <c r="AT62" s="278">
        <f>TABLA_BASE[[#This Row],[VALOR VTA.
UNIT.(S/.)]]*TABLA_BASE[[#This Row],[CANTIDAD
(unid.)]]</f>
        <v>0</v>
      </c>
      <c r="AU62" s="281">
        <f>'💰 Precio de Venta'!I67</f>
        <v>0</v>
      </c>
      <c r="AV62" s="278">
        <f>'💰 Precio de Venta'!J67</f>
        <v>0</v>
      </c>
      <c r="AW62" s="278">
        <f>TABLA_BASE[[#This Row],[GANANCIA
UNIT.(S/.)]]*TABLA_BASE[[#This Row],[CANTIDAD
(unid.)]]</f>
        <v>0</v>
      </c>
      <c r="AX62" s="289">
        <f>'💰 Precio de Venta'!K67</f>
        <v>0</v>
      </c>
      <c r="AY62" s="278">
        <f>TABLA_BASE[[#This Row],[GANANCIA
UNIT.(S/.)]]*'🧾 Factura Comercial'!G66</f>
        <v>0</v>
      </c>
      <c r="AZ62" s="277">
        <f>IF(TABLA_BASE[[#This Row],[PRECIO VTA.
c/IGV(S/.)]]=0,0,TABLA_BASE[[#This Row],[GANANCIA
UNIT.(S/.)]]/TABLA_BASE[[#This Row],[PRECIO VTA.
c/IGV(S/.)]])</f>
        <v>0</v>
      </c>
      <c r="BA62" s="277">
        <f>IF(TABLA_BASE[[#This Row],[C/M UNIT.
(S/.)]]=0,0,TABLA_BASE[[#This Row],[GANANCIA
UNIT.(S/.)]]/TABLA_BASE[[#This Row],[C/M UNIT.
(S/.)]])</f>
        <v>0</v>
      </c>
      <c r="BB62" s="274" t="str">
        <f>IF(TABLA_BASE[[#This Row],[MARGEN
%]]&gt;=0.5,"🟢 ALTO",IF(TABLA_BASE[[#This Row],[MARGEN
%]]&gt;=0.3,"🟡 MEDIO","🔴 BAJO"))</f>
        <v>🟡 MEDIO</v>
      </c>
    </row>
    <row r="63" spans="1:54" ht="16.5" hidden="1" thickTop="1" thickBot="1" x14ac:dyDescent="0.3">
      <c r="A63" s="274">
        <f>'🧾 Factura Comercial'!E67</f>
        <v>0</v>
      </c>
      <c r="B63" s="274" t="str">
        <f>'🧾 Factura Comercial'!F67</f>
        <v>Unid.</v>
      </c>
      <c r="C63" s="275">
        <f>'🧾 Factura Comercial'!G67</f>
        <v>0</v>
      </c>
      <c r="D63" s="276">
        <f>'🧾 Factura Comercial'!H67</f>
        <v>0</v>
      </c>
      <c r="E63" s="276">
        <f>'🧾 Factura Comercial'!I67</f>
        <v>0</v>
      </c>
      <c r="F63" s="277">
        <f>IF('🧾 Tributos Aduana'!$F$6=0,0,'🧾 Factura Comercial'!I67/'🧾 Tributos Aduana'!$F$6)</f>
        <v>0</v>
      </c>
      <c r="G63" s="278">
        <f>'🧾 Factura Comercial'!H67*'📋 Datos Generales'!$E$19</f>
        <v>0</v>
      </c>
      <c r="H63" s="278">
        <f>TABLA_BASE[[#This Row],[FOB UNIT.
(S/.)]]*TABLA_BASE[[#This Row],[CANTIDAD
(unid.)]]</f>
        <v>0</v>
      </c>
      <c r="I63" s="280">
        <f>IF('🧾 Tributos Aduana'!$F$6=0,0,'🧾 Tributos Aduana'!$F$17*('🧾 Factura Comercial'!H67/'🧾 Tributos Aduana'!$F$6))</f>
        <v>0</v>
      </c>
      <c r="J63" s="280">
        <f>TABLA_BASE[[#This Row],[ADV UNIT.
(US$)
⚠️COSTO]]*TABLA_BASE[[#This Row],[CANTIDAD
(unid.)]]</f>
        <v>0</v>
      </c>
      <c r="K63" s="279">
        <f>IF('🧾 Tributos Aduana'!$F$6=0,0,'🧾 Tributos Aduana'!$F$18*('🧾 Factura Comercial'!H67/'🧾 Tributos Aduana'!$F$6))</f>
        <v>0</v>
      </c>
      <c r="L63" s="280">
        <f>TABLA_BASE[[#This Row],[IPM UNIT.
(US$)
✅CF]]*TABLA_BASE[[#This Row],[CANTIDAD
(unid.)]]</f>
        <v>0</v>
      </c>
      <c r="M63" s="279">
        <f>IF('🧾 Tributos Aduana'!$F$6=0,0,'🧾 Tributos Aduana'!$F$19*('🧾 Factura Comercial'!H67/'🧾 Tributos Aduana'!$F$6))</f>
        <v>0</v>
      </c>
      <c r="N63" s="280">
        <f>TABLA_BASE[[#This Row],[IGV UNIT.
(US$)
✅CF]]*TABLA_BASE[[#This Row],[CANTIDAD
(unid.)]]</f>
        <v>0</v>
      </c>
      <c r="O63" s="280">
        <f>IF('🧾 Tributos Aduana'!$F$6=0,0,'🧾 Tributos Aduana'!$F$23*('🧾 Factura Comercial'!H67/'🧾 Tributos Aduana'!$F$6))</f>
        <v>0</v>
      </c>
      <c r="P63" s="280">
        <f>TABLA_BASE[[#This Row],[PERCEP.
UNIT.(US$)
✅CF]]*TABLA_BASE[[#This Row],[CANTIDAD
(unid.)]]</f>
        <v>0</v>
      </c>
      <c r="Q63" s="279">
        <f>TABLA_BASE[[#This Row],[ADV UNIT.
(US$)
⚠️COSTO]]+TABLA_BASE[[#This Row],[IPM UNIT.
(US$)
✅CF]]+TABLA_BASE[[#This Row],[IGV UNIT.
(US$)
✅CF]]</f>
        <v>0</v>
      </c>
      <c r="R63" s="280">
        <f>TABLA_BASE[[#This Row],[DEUDA
ADUANERA
UNIT.]]*TABLA_BASE[[#This Row],[CANTIDAD
(unid.)]]</f>
        <v>0</v>
      </c>
      <c r="S63" s="278">
        <f>TABLA_BASE[[#This Row],[DEUDA
ADUANERA
UNIT.]]*'📋 Datos Generales'!$E$19</f>
        <v>0</v>
      </c>
      <c r="T63" s="278">
        <f>TABLA_BASE[[#This Row],[DEUDA
ADUANERA
TOTAL]]*'📋 Datos Generales'!$E$19</f>
        <v>0</v>
      </c>
      <c r="U63" s="281">
        <f>TABLA_BASE[[#This Row],[ADV UNIT.
(US$)
⚠️COSTO]]*'📋 Datos Generales'!$E$19</f>
        <v>0</v>
      </c>
      <c r="V63" s="281">
        <f>TABLA_BASE[[#This Row],[ADV UNIT.
(S/.)]]*TABLA_BASE[[#This Row],[CANTIDAD
(unid.)]]</f>
        <v>0</v>
      </c>
      <c r="W63" s="281">
        <f>TABLA_BASE[[#This Row],[IPM UNIT.
(US$)
✅CF]]*'📋 Datos Generales'!$E$19</f>
        <v>0</v>
      </c>
      <c r="X63" s="281">
        <f>TABLA_BASE[[#This Row],[IPM UNIT.
(S/.)]]*TABLA_BASE[[#This Row],[CANTIDAD
(unid.)]]</f>
        <v>0</v>
      </c>
      <c r="Y63" s="281">
        <f>TABLA_BASE[[#This Row],[IGV UNIT.
(US$)
✅CF]]*'📋 Datos Generales'!$E$19</f>
        <v>0</v>
      </c>
      <c r="Z63" s="281">
        <f>TABLA_BASE[[#This Row],[IGV UNIT.
(S/.)]]*TABLA_BASE[[#This Row],[CANTIDAD
(unid.)]]</f>
        <v>0</v>
      </c>
      <c r="AA63" s="281">
        <f>TABLA_BASE[[#This Row],[PERCEP.
UNIT.(US$)
✅CF]]*'📋 Datos Generales'!$E$19</f>
        <v>0</v>
      </c>
      <c r="AB63" s="281">
        <f>TABLA_BASE[[#This Row],[PERCEP.
UNIT.(S/.)]]*TABLA_BASE[[#This Row],[CANTIDAD
(unid.)]]</f>
        <v>0</v>
      </c>
      <c r="AC63" s="279">
        <f>TABLA_BASE[[#This Row],[ADV UNIT.
(US$)
⚠️COSTO]]+TABLA_BASE[[#This Row],[IPM UNIT.
(US$)
✅CF]]+TABLA_BASE[[#This Row],[IGV UNIT.
(US$)
✅CF]]+TABLA_BASE[[#This Row],[PERCEP.
UNIT.(US$)
✅CF]]</f>
        <v>0</v>
      </c>
      <c r="AD63" s="279">
        <f>TABLA_BASE[[#This Row],[TOTAL PAGO
SUNAT
UNIT.(US$)]]*TABLA_BASE[[#This Row],[CANTIDAD
(unid.)]]</f>
        <v>0</v>
      </c>
      <c r="AE63" s="281">
        <f>TABLA_BASE[[#This Row],[TOTAL PAGO
SUNAT
UNIT.(US$)]]*'📋 Datos Generales'!$E$19</f>
        <v>0</v>
      </c>
      <c r="AF63" s="281">
        <f>TABLA_BASE[[#This Row],[TOTAL TRIB.
UNIT.(S/.)]]*TABLA_BASE[[#This Row],[CANTIDAD
(unid.)]]</f>
        <v>0</v>
      </c>
      <c r="AG63" s="279">
        <f>IF('🧾 Factura Comercial'!G67=0,0,'📦 Gastos Importación'!$E$28*(IF('🧾 Tributos Aduana'!$F$6=0,0,'🧾 Factura Comercial'!I67/'🧾 Tributos Aduana'!$F$6))/'🧾 Factura Comercial'!G67)</f>
        <v>0</v>
      </c>
      <c r="AH63" s="279">
        <f>TABLA_BASE[[#This Row],[GASTOS IMP.
UNIT.(US$)]]*TABLA_BASE[[#This Row],[CANTIDAD
(unid.)]]</f>
        <v>0</v>
      </c>
      <c r="AI63" s="281">
        <f>TABLA_BASE[[#This Row],[GASTOS IMP.
UNIT.(US$)]]*'📋 Datos Generales'!$E$19</f>
        <v>0</v>
      </c>
      <c r="AJ63" s="281">
        <f>TABLA_BASE[[#This Row],[GASTOS IMP.
UNIT.(S/.)]]*TABLA_BASE[[#This Row],[CANTIDAD
(unid.)]]</f>
        <v>0</v>
      </c>
      <c r="AK63" s="280">
        <f>'🧮 Costos x Producto'!J67</f>
        <v>0</v>
      </c>
      <c r="AL63" s="278">
        <f>'🧮 Costos x Producto'!K67</f>
        <v>0</v>
      </c>
      <c r="AM63" s="278">
        <f>TABLA_BASE[[#This Row],[C/M UNIT.
(S/.)]]*TABLA_BASE[[#This Row],[CANTIDAD
(unid.)]]</f>
        <v>0</v>
      </c>
      <c r="AN63" s="279">
        <f>IF('🧾 Factura Comercial'!G67=0,0,'🧾 Tributos Aduana'!$F$17*(IF('🧾 Tributos Aduana'!$F$6=0,0,'🧾 Factura Comercial'!I67/'🧾 Tributos Aduana'!$F$6))/'🧾 Factura Comercial'!G67)</f>
        <v>0</v>
      </c>
      <c r="AO63" s="280">
        <f>IF('🧾 Factura Comercial'!G67=0,0,'🏦 Crédito Fiscal'!$C$16*(IF('🧾 Tributos Aduana'!$F$6=0,0,'🧾 Factura Comercial'!I67/'🧾 Tributos Aduana'!$F$6))/'🧾 Factura Comercial'!G67)</f>
        <v>0</v>
      </c>
      <c r="AP63" s="278">
        <f>TABLA_BASE[[#This Row],[CF UNIT.
✅RECUP.
(US$)]]*'📋 Datos Generales'!$E$19</f>
        <v>0</v>
      </c>
      <c r="AQ63" s="278">
        <f>TABLA_BASE[[#This Row],[CF UNIT.
✅RECUP.(S/.)]]*TABLA_BASE[[#This Row],[CANTIDAD
(unid.)]]</f>
        <v>0</v>
      </c>
      <c r="AR63" s="288">
        <f>'💰 Precio de Venta'!G68</f>
        <v>0.4</v>
      </c>
      <c r="AS63" s="278">
        <f>'💰 Precio de Venta'!H68</f>
        <v>0</v>
      </c>
      <c r="AT63" s="278">
        <f>TABLA_BASE[[#This Row],[VALOR VTA.
UNIT.(S/.)]]*TABLA_BASE[[#This Row],[CANTIDAD
(unid.)]]</f>
        <v>0</v>
      </c>
      <c r="AU63" s="281">
        <f>'💰 Precio de Venta'!I68</f>
        <v>0</v>
      </c>
      <c r="AV63" s="278">
        <f>'💰 Precio de Venta'!J68</f>
        <v>0</v>
      </c>
      <c r="AW63" s="278">
        <f>TABLA_BASE[[#This Row],[GANANCIA
UNIT.(S/.)]]*TABLA_BASE[[#This Row],[CANTIDAD
(unid.)]]</f>
        <v>0</v>
      </c>
      <c r="AX63" s="289">
        <f>'💰 Precio de Venta'!K68</f>
        <v>0</v>
      </c>
      <c r="AY63" s="278">
        <f>TABLA_BASE[[#This Row],[GANANCIA
UNIT.(S/.)]]*'🧾 Factura Comercial'!G67</f>
        <v>0</v>
      </c>
      <c r="AZ63" s="277">
        <f>IF(TABLA_BASE[[#This Row],[PRECIO VTA.
c/IGV(S/.)]]=0,0,TABLA_BASE[[#This Row],[GANANCIA
UNIT.(S/.)]]/TABLA_BASE[[#This Row],[PRECIO VTA.
c/IGV(S/.)]])</f>
        <v>0</v>
      </c>
      <c r="BA63" s="277">
        <f>IF(TABLA_BASE[[#This Row],[C/M UNIT.
(S/.)]]=0,0,TABLA_BASE[[#This Row],[GANANCIA
UNIT.(S/.)]]/TABLA_BASE[[#This Row],[C/M UNIT.
(S/.)]])</f>
        <v>0</v>
      </c>
      <c r="BB63" s="274" t="str">
        <f>IF(TABLA_BASE[[#This Row],[MARGEN
%]]&gt;=0.5,"🟢 ALTO",IF(TABLA_BASE[[#This Row],[MARGEN
%]]&gt;=0.3,"🟡 MEDIO","🔴 BAJO"))</f>
        <v>🟡 MEDIO</v>
      </c>
    </row>
    <row r="64" spans="1:54" ht="16.5" hidden="1" thickTop="1" thickBot="1" x14ac:dyDescent="0.3">
      <c r="A64" s="274">
        <f>'🧾 Factura Comercial'!E68</f>
        <v>0</v>
      </c>
      <c r="B64" s="274" t="str">
        <f>'🧾 Factura Comercial'!F68</f>
        <v>Unid.</v>
      </c>
      <c r="C64" s="275">
        <f>'🧾 Factura Comercial'!G68</f>
        <v>0</v>
      </c>
      <c r="D64" s="276">
        <f>'🧾 Factura Comercial'!H68</f>
        <v>0</v>
      </c>
      <c r="E64" s="276">
        <f>'🧾 Factura Comercial'!I68</f>
        <v>0</v>
      </c>
      <c r="F64" s="277">
        <f>IF('🧾 Tributos Aduana'!$F$6=0,0,'🧾 Factura Comercial'!I68/'🧾 Tributos Aduana'!$F$6)</f>
        <v>0</v>
      </c>
      <c r="G64" s="278">
        <f>'🧾 Factura Comercial'!H68*'📋 Datos Generales'!$E$19</f>
        <v>0</v>
      </c>
      <c r="H64" s="278">
        <f>TABLA_BASE[[#This Row],[FOB UNIT.
(S/.)]]*TABLA_BASE[[#This Row],[CANTIDAD
(unid.)]]</f>
        <v>0</v>
      </c>
      <c r="I64" s="280">
        <f>IF('🧾 Tributos Aduana'!$F$6=0,0,'🧾 Tributos Aduana'!$F$17*('🧾 Factura Comercial'!H68/'🧾 Tributos Aduana'!$F$6))</f>
        <v>0</v>
      </c>
      <c r="J64" s="280">
        <f>TABLA_BASE[[#This Row],[ADV UNIT.
(US$)
⚠️COSTO]]*TABLA_BASE[[#This Row],[CANTIDAD
(unid.)]]</f>
        <v>0</v>
      </c>
      <c r="K64" s="279">
        <f>IF('🧾 Tributos Aduana'!$F$6=0,0,'🧾 Tributos Aduana'!$F$18*('🧾 Factura Comercial'!H68/'🧾 Tributos Aduana'!$F$6))</f>
        <v>0</v>
      </c>
      <c r="L64" s="280">
        <f>TABLA_BASE[[#This Row],[IPM UNIT.
(US$)
✅CF]]*TABLA_BASE[[#This Row],[CANTIDAD
(unid.)]]</f>
        <v>0</v>
      </c>
      <c r="M64" s="279">
        <f>IF('🧾 Tributos Aduana'!$F$6=0,0,'🧾 Tributos Aduana'!$F$19*('🧾 Factura Comercial'!H68/'🧾 Tributos Aduana'!$F$6))</f>
        <v>0</v>
      </c>
      <c r="N64" s="280">
        <f>TABLA_BASE[[#This Row],[IGV UNIT.
(US$)
✅CF]]*TABLA_BASE[[#This Row],[CANTIDAD
(unid.)]]</f>
        <v>0</v>
      </c>
      <c r="O64" s="280">
        <f>IF('🧾 Tributos Aduana'!$F$6=0,0,'🧾 Tributos Aduana'!$F$23*('🧾 Factura Comercial'!H68/'🧾 Tributos Aduana'!$F$6))</f>
        <v>0</v>
      </c>
      <c r="P64" s="280">
        <f>TABLA_BASE[[#This Row],[PERCEP.
UNIT.(US$)
✅CF]]*TABLA_BASE[[#This Row],[CANTIDAD
(unid.)]]</f>
        <v>0</v>
      </c>
      <c r="Q64" s="279">
        <f>TABLA_BASE[[#This Row],[ADV UNIT.
(US$)
⚠️COSTO]]+TABLA_BASE[[#This Row],[IPM UNIT.
(US$)
✅CF]]+TABLA_BASE[[#This Row],[IGV UNIT.
(US$)
✅CF]]</f>
        <v>0</v>
      </c>
      <c r="R64" s="280">
        <f>TABLA_BASE[[#This Row],[DEUDA
ADUANERA
UNIT.]]*TABLA_BASE[[#This Row],[CANTIDAD
(unid.)]]</f>
        <v>0</v>
      </c>
      <c r="S64" s="278">
        <f>TABLA_BASE[[#This Row],[DEUDA
ADUANERA
UNIT.]]*'📋 Datos Generales'!$E$19</f>
        <v>0</v>
      </c>
      <c r="T64" s="278">
        <f>TABLA_BASE[[#This Row],[DEUDA
ADUANERA
TOTAL]]*'📋 Datos Generales'!$E$19</f>
        <v>0</v>
      </c>
      <c r="U64" s="281">
        <f>TABLA_BASE[[#This Row],[ADV UNIT.
(US$)
⚠️COSTO]]*'📋 Datos Generales'!$E$19</f>
        <v>0</v>
      </c>
      <c r="V64" s="281">
        <f>TABLA_BASE[[#This Row],[ADV UNIT.
(S/.)]]*TABLA_BASE[[#This Row],[CANTIDAD
(unid.)]]</f>
        <v>0</v>
      </c>
      <c r="W64" s="281">
        <f>TABLA_BASE[[#This Row],[IPM UNIT.
(US$)
✅CF]]*'📋 Datos Generales'!$E$19</f>
        <v>0</v>
      </c>
      <c r="X64" s="281">
        <f>TABLA_BASE[[#This Row],[IPM UNIT.
(S/.)]]*TABLA_BASE[[#This Row],[CANTIDAD
(unid.)]]</f>
        <v>0</v>
      </c>
      <c r="Y64" s="281">
        <f>TABLA_BASE[[#This Row],[IGV UNIT.
(US$)
✅CF]]*'📋 Datos Generales'!$E$19</f>
        <v>0</v>
      </c>
      <c r="Z64" s="281">
        <f>TABLA_BASE[[#This Row],[IGV UNIT.
(S/.)]]*TABLA_BASE[[#This Row],[CANTIDAD
(unid.)]]</f>
        <v>0</v>
      </c>
      <c r="AA64" s="281">
        <f>TABLA_BASE[[#This Row],[PERCEP.
UNIT.(US$)
✅CF]]*'📋 Datos Generales'!$E$19</f>
        <v>0</v>
      </c>
      <c r="AB64" s="281">
        <f>TABLA_BASE[[#This Row],[PERCEP.
UNIT.(S/.)]]*TABLA_BASE[[#This Row],[CANTIDAD
(unid.)]]</f>
        <v>0</v>
      </c>
      <c r="AC64" s="279">
        <f>TABLA_BASE[[#This Row],[ADV UNIT.
(US$)
⚠️COSTO]]+TABLA_BASE[[#This Row],[IPM UNIT.
(US$)
✅CF]]+TABLA_BASE[[#This Row],[IGV UNIT.
(US$)
✅CF]]+TABLA_BASE[[#This Row],[PERCEP.
UNIT.(US$)
✅CF]]</f>
        <v>0</v>
      </c>
      <c r="AD64" s="279">
        <f>TABLA_BASE[[#This Row],[TOTAL PAGO
SUNAT
UNIT.(US$)]]*TABLA_BASE[[#This Row],[CANTIDAD
(unid.)]]</f>
        <v>0</v>
      </c>
      <c r="AE64" s="281">
        <f>TABLA_BASE[[#This Row],[TOTAL PAGO
SUNAT
UNIT.(US$)]]*'📋 Datos Generales'!$E$19</f>
        <v>0</v>
      </c>
      <c r="AF64" s="281">
        <f>TABLA_BASE[[#This Row],[TOTAL TRIB.
UNIT.(S/.)]]*TABLA_BASE[[#This Row],[CANTIDAD
(unid.)]]</f>
        <v>0</v>
      </c>
      <c r="AG64" s="279">
        <f>IF('🧾 Factura Comercial'!G68=0,0,'📦 Gastos Importación'!$E$28*(IF('🧾 Tributos Aduana'!$F$6=0,0,'🧾 Factura Comercial'!I68/'🧾 Tributos Aduana'!$F$6))/'🧾 Factura Comercial'!G68)</f>
        <v>0</v>
      </c>
      <c r="AH64" s="279">
        <f>TABLA_BASE[[#This Row],[GASTOS IMP.
UNIT.(US$)]]*TABLA_BASE[[#This Row],[CANTIDAD
(unid.)]]</f>
        <v>0</v>
      </c>
      <c r="AI64" s="281">
        <f>TABLA_BASE[[#This Row],[GASTOS IMP.
UNIT.(US$)]]*'📋 Datos Generales'!$E$19</f>
        <v>0</v>
      </c>
      <c r="AJ64" s="281">
        <f>TABLA_BASE[[#This Row],[GASTOS IMP.
UNIT.(S/.)]]*TABLA_BASE[[#This Row],[CANTIDAD
(unid.)]]</f>
        <v>0</v>
      </c>
      <c r="AK64" s="280">
        <f>'🧮 Costos x Producto'!J68</f>
        <v>0</v>
      </c>
      <c r="AL64" s="278">
        <f>'🧮 Costos x Producto'!K68</f>
        <v>0</v>
      </c>
      <c r="AM64" s="278">
        <f>TABLA_BASE[[#This Row],[C/M UNIT.
(S/.)]]*TABLA_BASE[[#This Row],[CANTIDAD
(unid.)]]</f>
        <v>0</v>
      </c>
      <c r="AN64" s="279">
        <f>IF('🧾 Factura Comercial'!G68=0,0,'🧾 Tributos Aduana'!$F$17*(IF('🧾 Tributos Aduana'!$F$6=0,0,'🧾 Factura Comercial'!I68/'🧾 Tributos Aduana'!$F$6))/'🧾 Factura Comercial'!G68)</f>
        <v>0</v>
      </c>
      <c r="AO64" s="280">
        <f>IF('🧾 Factura Comercial'!G68=0,0,'🏦 Crédito Fiscal'!$C$16*(IF('🧾 Tributos Aduana'!$F$6=0,0,'🧾 Factura Comercial'!I68/'🧾 Tributos Aduana'!$F$6))/'🧾 Factura Comercial'!G68)</f>
        <v>0</v>
      </c>
      <c r="AP64" s="278">
        <f>TABLA_BASE[[#This Row],[CF UNIT.
✅RECUP.
(US$)]]*'📋 Datos Generales'!$E$19</f>
        <v>0</v>
      </c>
      <c r="AQ64" s="278">
        <f>TABLA_BASE[[#This Row],[CF UNIT.
✅RECUP.(S/.)]]*TABLA_BASE[[#This Row],[CANTIDAD
(unid.)]]</f>
        <v>0</v>
      </c>
      <c r="AR64" s="288">
        <f>'💰 Precio de Venta'!G69</f>
        <v>0.4</v>
      </c>
      <c r="AS64" s="278">
        <f>'💰 Precio de Venta'!H69</f>
        <v>0</v>
      </c>
      <c r="AT64" s="278">
        <f>TABLA_BASE[[#This Row],[VALOR VTA.
UNIT.(S/.)]]*TABLA_BASE[[#This Row],[CANTIDAD
(unid.)]]</f>
        <v>0</v>
      </c>
      <c r="AU64" s="281">
        <f>'💰 Precio de Venta'!I69</f>
        <v>0</v>
      </c>
      <c r="AV64" s="278">
        <f>'💰 Precio de Venta'!J69</f>
        <v>0</v>
      </c>
      <c r="AW64" s="278">
        <f>TABLA_BASE[[#This Row],[GANANCIA
UNIT.(S/.)]]*TABLA_BASE[[#This Row],[CANTIDAD
(unid.)]]</f>
        <v>0</v>
      </c>
      <c r="AX64" s="289">
        <f>'💰 Precio de Venta'!K69</f>
        <v>0</v>
      </c>
      <c r="AY64" s="278">
        <f>TABLA_BASE[[#This Row],[GANANCIA
UNIT.(S/.)]]*'🧾 Factura Comercial'!G68</f>
        <v>0</v>
      </c>
      <c r="AZ64" s="277">
        <f>IF(TABLA_BASE[[#This Row],[PRECIO VTA.
c/IGV(S/.)]]=0,0,TABLA_BASE[[#This Row],[GANANCIA
UNIT.(S/.)]]/TABLA_BASE[[#This Row],[PRECIO VTA.
c/IGV(S/.)]])</f>
        <v>0</v>
      </c>
      <c r="BA64" s="277">
        <f>IF(TABLA_BASE[[#This Row],[C/M UNIT.
(S/.)]]=0,0,TABLA_BASE[[#This Row],[GANANCIA
UNIT.(S/.)]]/TABLA_BASE[[#This Row],[C/M UNIT.
(S/.)]])</f>
        <v>0</v>
      </c>
      <c r="BB64" s="274" t="str">
        <f>IF(TABLA_BASE[[#This Row],[MARGEN
%]]&gt;=0.5,"🟢 ALTO",IF(TABLA_BASE[[#This Row],[MARGEN
%]]&gt;=0.3,"🟡 MEDIO","🔴 BAJO"))</f>
        <v>🟡 MEDIO</v>
      </c>
    </row>
    <row r="65" spans="1:54" ht="16.5" hidden="1" thickTop="1" thickBot="1" x14ac:dyDescent="0.3">
      <c r="A65" s="274">
        <f>'🧾 Factura Comercial'!E69</f>
        <v>0</v>
      </c>
      <c r="B65" s="274" t="str">
        <f>'🧾 Factura Comercial'!F69</f>
        <v>Unid.</v>
      </c>
      <c r="C65" s="275">
        <f>'🧾 Factura Comercial'!G69</f>
        <v>0</v>
      </c>
      <c r="D65" s="276">
        <f>'🧾 Factura Comercial'!H69</f>
        <v>0</v>
      </c>
      <c r="E65" s="276">
        <f>'🧾 Factura Comercial'!I69</f>
        <v>0</v>
      </c>
      <c r="F65" s="277">
        <f>IF('🧾 Tributos Aduana'!$F$6=0,0,'🧾 Factura Comercial'!I69/'🧾 Tributos Aduana'!$F$6)</f>
        <v>0</v>
      </c>
      <c r="G65" s="278">
        <f>'🧾 Factura Comercial'!H69*'📋 Datos Generales'!$E$19</f>
        <v>0</v>
      </c>
      <c r="H65" s="278">
        <f>TABLA_BASE[[#This Row],[FOB UNIT.
(S/.)]]*TABLA_BASE[[#This Row],[CANTIDAD
(unid.)]]</f>
        <v>0</v>
      </c>
      <c r="I65" s="280">
        <f>IF('🧾 Tributos Aduana'!$F$6=0,0,'🧾 Tributos Aduana'!$F$17*('🧾 Factura Comercial'!H69/'🧾 Tributos Aduana'!$F$6))</f>
        <v>0</v>
      </c>
      <c r="J65" s="280">
        <f>TABLA_BASE[[#This Row],[ADV UNIT.
(US$)
⚠️COSTO]]*TABLA_BASE[[#This Row],[CANTIDAD
(unid.)]]</f>
        <v>0</v>
      </c>
      <c r="K65" s="279">
        <f>IF('🧾 Tributos Aduana'!$F$6=0,0,'🧾 Tributos Aduana'!$F$18*('🧾 Factura Comercial'!H69/'🧾 Tributos Aduana'!$F$6))</f>
        <v>0</v>
      </c>
      <c r="L65" s="280">
        <f>TABLA_BASE[[#This Row],[IPM UNIT.
(US$)
✅CF]]*TABLA_BASE[[#This Row],[CANTIDAD
(unid.)]]</f>
        <v>0</v>
      </c>
      <c r="M65" s="279">
        <f>IF('🧾 Tributos Aduana'!$F$6=0,0,'🧾 Tributos Aduana'!$F$19*('🧾 Factura Comercial'!H69/'🧾 Tributos Aduana'!$F$6))</f>
        <v>0</v>
      </c>
      <c r="N65" s="280">
        <f>TABLA_BASE[[#This Row],[IGV UNIT.
(US$)
✅CF]]*TABLA_BASE[[#This Row],[CANTIDAD
(unid.)]]</f>
        <v>0</v>
      </c>
      <c r="O65" s="280">
        <f>IF('🧾 Tributos Aduana'!$F$6=0,0,'🧾 Tributos Aduana'!$F$23*('🧾 Factura Comercial'!H69/'🧾 Tributos Aduana'!$F$6))</f>
        <v>0</v>
      </c>
      <c r="P65" s="280">
        <f>TABLA_BASE[[#This Row],[PERCEP.
UNIT.(US$)
✅CF]]*TABLA_BASE[[#This Row],[CANTIDAD
(unid.)]]</f>
        <v>0</v>
      </c>
      <c r="Q65" s="279">
        <f>TABLA_BASE[[#This Row],[ADV UNIT.
(US$)
⚠️COSTO]]+TABLA_BASE[[#This Row],[IPM UNIT.
(US$)
✅CF]]+TABLA_BASE[[#This Row],[IGV UNIT.
(US$)
✅CF]]</f>
        <v>0</v>
      </c>
      <c r="R65" s="280">
        <f>TABLA_BASE[[#This Row],[DEUDA
ADUANERA
UNIT.]]*TABLA_BASE[[#This Row],[CANTIDAD
(unid.)]]</f>
        <v>0</v>
      </c>
      <c r="S65" s="278">
        <f>TABLA_BASE[[#This Row],[DEUDA
ADUANERA
UNIT.]]*'📋 Datos Generales'!$E$19</f>
        <v>0</v>
      </c>
      <c r="T65" s="278">
        <f>TABLA_BASE[[#This Row],[DEUDA
ADUANERA
TOTAL]]*'📋 Datos Generales'!$E$19</f>
        <v>0</v>
      </c>
      <c r="U65" s="281">
        <f>TABLA_BASE[[#This Row],[ADV UNIT.
(US$)
⚠️COSTO]]*'📋 Datos Generales'!$E$19</f>
        <v>0</v>
      </c>
      <c r="V65" s="281">
        <f>TABLA_BASE[[#This Row],[ADV UNIT.
(S/.)]]*TABLA_BASE[[#This Row],[CANTIDAD
(unid.)]]</f>
        <v>0</v>
      </c>
      <c r="W65" s="281">
        <f>TABLA_BASE[[#This Row],[IPM UNIT.
(US$)
✅CF]]*'📋 Datos Generales'!$E$19</f>
        <v>0</v>
      </c>
      <c r="X65" s="281">
        <f>TABLA_BASE[[#This Row],[IPM UNIT.
(S/.)]]*TABLA_BASE[[#This Row],[CANTIDAD
(unid.)]]</f>
        <v>0</v>
      </c>
      <c r="Y65" s="281">
        <f>TABLA_BASE[[#This Row],[IGV UNIT.
(US$)
✅CF]]*'📋 Datos Generales'!$E$19</f>
        <v>0</v>
      </c>
      <c r="Z65" s="281">
        <f>TABLA_BASE[[#This Row],[IGV UNIT.
(S/.)]]*TABLA_BASE[[#This Row],[CANTIDAD
(unid.)]]</f>
        <v>0</v>
      </c>
      <c r="AA65" s="281">
        <f>TABLA_BASE[[#This Row],[PERCEP.
UNIT.(US$)
✅CF]]*'📋 Datos Generales'!$E$19</f>
        <v>0</v>
      </c>
      <c r="AB65" s="281">
        <f>TABLA_BASE[[#This Row],[PERCEP.
UNIT.(S/.)]]*TABLA_BASE[[#This Row],[CANTIDAD
(unid.)]]</f>
        <v>0</v>
      </c>
      <c r="AC65" s="279">
        <f>TABLA_BASE[[#This Row],[ADV UNIT.
(US$)
⚠️COSTO]]+TABLA_BASE[[#This Row],[IPM UNIT.
(US$)
✅CF]]+TABLA_BASE[[#This Row],[IGV UNIT.
(US$)
✅CF]]+TABLA_BASE[[#This Row],[PERCEP.
UNIT.(US$)
✅CF]]</f>
        <v>0</v>
      </c>
      <c r="AD65" s="279">
        <f>TABLA_BASE[[#This Row],[TOTAL PAGO
SUNAT
UNIT.(US$)]]*TABLA_BASE[[#This Row],[CANTIDAD
(unid.)]]</f>
        <v>0</v>
      </c>
      <c r="AE65" s="281">
        <f>TABLA_BASE[[#This Row],[TOTAL PAGO
SUNAT
UNIT.(US$)]]*'📋 Datos Generales'!$E$19</f>
        <v>0</v>
      </c>
      <c r="AF65" s="281">
        <f>TABLA_BASE[[#This Row],[TOTAL TRIB.
UNIT.(S/.)]]*TABLA_BASE[[#This Row],[CANTIDAD
(unid.)]]</f>
        <v>0</v>
      </c>
      <c r="AG65" s="279">
        <f>IF('🧾 Factura Comercial'!G69=0,0,'📦 Gastos Importación'!$E$28*(IF('🧾 Tributos Aduana'!$F$6=0,0,'🧾 Factura Comercial'!I69/'🧾 Tributos Aduana'!$F$6))/'🧾 Factura Comercial'!G69)</f>
        <v>0</v>
      </c>
      <c r="AH65" s="279">
        <f>TABLA_BASE[[#This Row],[GASTOS IMP.
UNIT.(US$)]]*TABLA_BASE[[#This Row],[CANTIDAD
(unid.)]]</f>
        <v>0</v>
      </c>
      <c r="AI65" s="281">
        <f>TABLA_BASE[[#This Row],[GASTOS IMP.
UNIT.(US$)]]*'📋 Datos Generales'!$E$19</f>
        <v>0</v>
      </c>
      <c r="AJ65" s="281">
        <f>TABLA_BASE[[#This Row],[GASTOS IMP.
UNIT.(S/.)]]*TABLA_BASE[[#This Row],[CANTIDAD
(unid.)]]</f>
        <v>0</v>
      </c>
      <c r="AK65" s="280">
        <f>'🧮 Costos x Producto'!J69</f>
        <v>0</v>
      </c>
      <c r="AL65" s="278">
        <f>'🧮 Costos x Producto'!K69</f>
        <v>0</v>
      </c>
      <c r="AM65" s="278">
        <f>TABLA_BASE[[#This Row],[C/M UNIT.
(S/.)]]*TABLA_BASE[[#This Row],[CANTIDAD
(unid.)]]</f>
        <v>0</v>
      </c>
      <c r="AN65" s="279">
        <f>IF('🧾 Factura Comercial'!G69=0,0,'🧾 Tributos Aduana'!$F$17*(IF('🧾 Tributos Aduana'!$F$6=0,0,'🧾 Factura Comercial'!I69/'🧾 Tributos Aduana'!$F$6))/'🧾 Factura Comercial'!G69)</f>
        <v>0</v>
      </c>
      <c r="AO65" s="280">
        <f>IF('🧾 Factura Comercial'!G69=0,0,'🏦 Crédito Fiscal'!$C$16*(IF('🧾 Tributos Aduana'!$F$6=0,0,'🧾 Factura Comercial'!I69/'🧾 Tributos Aduana'!$F$6))/'🧾 Factura Comercial'!G69)</f>
        <v>0</v>
      </c>
      <c r="AP65" s="278">
        <f>TABLA_BASE[[#This Row],[CF UNIT.
✅RECUP.
(US$)]]*'📋 Datos Generales'!$E$19</f>
        <v>0</v>
      </c>
      <c r="AQ65" s="278">
        <f>TABLA_BASE[[#This Row],[CF UNIT.
✅RECUP.(S/.)]]*TABLA_BASE[[#This Row],[CANTIDAD
(unid.)]]</f>
        <v>0</v>
      </c>
      <c r="AR65" s="288">
        <f>'💰 Precio de Venta'!G70</f>
        <v>0.4</v>
      </c>
      <c r="AS65" s="278">
        <f>'💰 Precio de Venta'!H70</f>
        <v>0</v>
      </c>
      <c r="AT65" s="278">
        <f>TABLA_BASE[[#This Row],[VALOR VTA.
UNIT.(S/.)]]*TABLA_BASE[[#This Row],[CANTIDAD
(unid.)]]</f>
        <v>0</v>
      </c>
      <c r="AU65" s="281">
        <f>'💰 Precio de Venta'!I70</f>
        <v>0</v>
      </c>
      <c r="AV65" s="278">
        <f>'💰 Precio de Venta'!J70</f>
        <v>0</v>
      </c>
      <c r="AW65" s="278">
        <f>TABLA_BASE[[#This Row],[GANANCIA
UNIT.(S/.)]]*TABLA_BASE[[#This Row],[CANTIDAD
(unid.)]]</f>
        <v>0</v>
      </c>
      <c r="AX65" s="289">
        <f>'💰 Precio de Venta'!K70</f>
        <v>0</v>
      </c>
      <c r="AY65" s="278">
        <f>TABLA_BASE[[#This Row],[GANANCIA
UNIT.(S/.)]]*'🧾 Factura Comercial'!G69</f>
        <v>0</v>
      </c>
      <c r="AZ65" s="277">
        <f>IF(TABLA_BASE[[#This Row],[PRECIO VTA.
c/IGV(S/.)]]=0,0,TABLA_BASE[[#This Row],[GANANCIA
UNIT.(S/.)]]/TABLA_BASE[[#This Row],[PRECIO VTA.
c/IGV(S/.)]])</f>
        <v>0</v>
      </c>
      <c r="BA65" s="277">
        <f>IF(TABLA_BASE[[#This Row],[C/M UNIT.
(S/.)]]=0,0,TABLA_BASE[[#This Row],[GANANCIA
UNIT.(S/.)]]/TABLA_BASE[[#This Row],[C/M UNIT.
(S/.)]])</f>
        <v>0</v>
      </c>
      <c r="BB65" s="274" t="str">
        <f>IF(TABLA_BASE[[#This Row],[MARGEN
%]]&gt;=0.5,"🟢 ALTO",IF(TABLA_BASE[[#This Row],[MARGEN
%]]&gt;=0.3,"🟡 MEDIO","🔴 BAJO"))</f>
        <v>🟡 MEDIO</v>
      </c>
    </row>
    <row r="66" spans="1:54" ht="16.5" hidden="1" thickTop="1" thickBot="1" x14ac:dyDescent="0.3">
      <c r="A66" s="274">
        <f>'🧾 Factura Comercial'!E70</f>
        <v>0</v>
      </c>
      <c r="B66" s="274" t="str">
        <f>'🧾 Factura Comercial'!F70</f>
        <v>Unid.</v>
      </c>
      <c r="C66" s="275">
        <f>'🧾 Factura Comercial'!G70</f>
        <v>0</v>
      </c>
      <c r="D66" s="276">
        <f>'🧾 Factura Comercial'!H70</f>
        <v>0</v>
      </c>
      <c r="E66" s="276">
        <f>'🧾 Factura Comercial'!I70</f>
        <v>0</v>
      </c>
      <c r="F66" s="277">
        <f>IF('🧾 Tributos Aduana'!$F$6=0,0,'🧾 Factura Comercial'!I70/'🧾 Tributos Aduana'!$F$6)</f>
        <v>0</v>
      </c>
      <c r="G66" s="278">
        <f>'🧾 Factura Comercial'!H70*'📋 Datos Generales'!$E$19</f>
        <v>0</v>
      </c>
      <c r="H66" s="278">
        <f>TABLA_BASE[[#This Row],[FOB UNIT.
(S/.)]]*TABLA_BASE[[#This Row],[CANTIDAD
(unid.)]]</f>
        <v>0</v>
      </c>
      <c r="I66" s="280">
        <f>IF('🧾 Tributos Aduana'!$F$6=0,0,'🧾 Tributos Aduana'!$F$17*('🧾 Factura Comercial'!H70/'🧾 Tributos Aduana'!$F$6))</f>
        <v>0</v>
      </c>
      <c r="J66" s="280">
        <f>TABLA_BASE[[#This Row],[ADV UNIT.
(US$)
⚠️COSTO]]*TABLA_BASE[[#This Row],[CANTIDAD
(unid.)]]</f>
        <v>0</v>
      </c>
      <c r="K66" s="279">
        <f>IF('🧾 Tributos Aduana'!$F$6=0,0,'🧾 Tributos Aduana'!$F$18*('🧾 Factura Comercial'!H70/'🧾 Tributos Aduana'!$F$6))</f>
        <v>0</v>
      </c>
      <c r="L66" s="280">
        <f>TABLA_BASE[[#This Row],[IPM UNIT.
(US$)
✅CF]]*TABLA_BASE[[#This Row],[CANTIDAD
(unid.)]]</f>
        <v>0</v>
      </c>
      <c r="M66" s="279">
        <f>IF('🧾 Tributos Aduana'!$F$6=0,0,'🧾 Tributos Aduana'!$F$19*('🧾 Factura Comercial'!H70/'🧾 Tributos Aduana'!$F$6))</f>
        <v>0</v>
      </c>
      <c r="N66" s="280">
        <f>TABLA_BASE[[#This Row],[IGV UNIT.
(US$)
✅CF]]*TABLA_BASE[[#This Row],[CANTIDAD
(unid.)]]</f>
        <v>0</v>
      </c>
      <c r="O66" s="280">
        <f>IF('🧾 Tributos Aduana'!$F$6=0,0,'🧾 Tributos Aduana'!$F$23*('🧾 Factura Comercial'!H70/'🧾 Tributos Aduana'!$F$6))</f>
        <v>0</v>
      </c>
      <c r="P66" s="280">
        <f>TABLA_BASE[[#This Row],[PERCEP.
UNIT.(US$)
✅CF]]*TABLA_BASE[[#This Row],[CANTIDAD
(unid.)]]</f>
        <v>0</v>
      </c>
      <c r="Q66" s="279">
        <f>TABLA_BASE[[#This Row],[ADV UNIT.
(US$)
⚠️COSTO]]+TABLA_BASE[[#This Row],[IPM UNIT.
(US$)
✅CF]]+TABLA_BASE[[#This Row],[IGV UNIT.
(US$)
✅CF]]</f>
        <v>0</v>
      </c>
      <c r="R66" s="280">
        <f>TABLA_BASE[[#This Row],[DEUDA
ADUANERA
UNIT.]]*TABLA_BASE[[#This Row],[CANTIDAD
(unid.)]]</f>
        <v>0</v>
      </c>
      <c r="S66" s="278">
        <f>TABLA_BASE[[#This Row],[DEUDA
ADUANERA
UNIT.]]*'📋 Datos Generales'!$E$19</f>
        <v>0</v>
      </c>
      <c r="T66" s="278">
        <f>TABLA_BASE[[#This Row],[DEUDA
ADUANERA
TOTAL]]*'📋 Datos Generales'!$E$19</f>
        <v>0</v>
      </c>
      <c r="U66" s="281">
        <f>TABLA_BASE[[#This Row],[ADV UNIT.
(US$)
⚠️COSTO]]*'📋 Datos Generales'!$E$19</f>
        <v>0</v>
      </c>
      <c r="V66" s="281">
        <f>TABLA_BASE[[#This Row],[ADV UNIT.
(S/.)]]*TABLA_BASE[[#This Row],[CANTIDAD
(unid.)]]</f>
        <v>0</v>
      </c>
      <c r="W66" s="281">
        <f>TABLA_BASE[[#This Row],[IPM UNIT.
(US$)
✅CF]]*'📋 Datos Generales'!$E$19</f>
        <v>0</v>
      </c>
      <c r="X66" s="281">
        <f>TABLA_BASE[[#This Row],[IPM UNIT.
(S/.)]]*TABLA_BASE[[#This Row],[CANTIDAD
(unid.)]]</f>
        <v>0</v>
      </c>
      <c r="Y66" s="281">
        <f>TABLA_BASE[[#This Row],[IGV UNIT.
(US$)
✅CF]]*'📋 Datos Generales'!$E$19</f>
        <v>0</v>
      </c>
      <c r="Z66" s="281">
        <f>TABLA_BASE[[#This Row],[IGV UNIT.
(S/.)]]*TABLA_BASE[[#This Row],[CANTIDAD
(unid.)]]</f>
        <v>0</v>
      </c>
      <c r="AA66" s="281">
        <f>TABLA_BASE[[#This Row],[PERCEP.
UNIT.(US$)
✅CF]]*'📋 Datos Generales'!$E$19</f>
        <v>0</v>
      </c>
      <c r="AB66" s="281">
        <f>TABLA_BASE[[#This Row],[PERCEP.
UNIT.(S/.)]]*TABLA_BASE[[#This Row],[CANTIDAD
(unid.)]]</f>
        <v>0</v>
      </c>
      <c r="AC66" s="279">
        <f>TABLA_BASE[[#This Row],[ADV UNIT.
(US$)
⚠️COSTO]]+TABLA_BASE[[#This Row],[IPM UNIT.
(US$)
✅CF]]+TABLA_BASE[[#This Row],[IGV UNIT.
(US$)
✅CF]]+TABLA_BASE[[#This Row],[PERCEP.
UNIT.(US$)
✅CF]]</f>
        <v>0</v>
      </c>
      <c r="AD66" s="279">
        <f>TABLA_BASE[[#This Row],[TOTAL PAGO
SUNAT
UNIT.(US$)]]*TABLA_BASE[[#This Row],[CANTIDAD
(unid.)]]</f>
        <v>0</v>
      </c>
      <c r="AE66" s="281">
        <f>TABLA_BASE[[#This Row],[TOTAL PAGO
SUNAT
UNIT.(US$)]]*'📋 Datos Generales'!$E$19</f>
        <v>0</v>
      </c>
      <c r="AF66" s="281">
        <f>TABLA_BASE[[#This Row],[TOTAL TRIB.
UNIT.(S/.)]]*TABLA_BASE[[#This Row],[CANTIDAD
(unid.)]]</f>
        <v>0</v>
      </c>
      <c r="AG66" s="279">
        <f>IF('🧾 Factura Comercial'!G70=0,0,'📦 Gastos Importación'!$E$28*(IF('🧾 Tributos Aduana'!$F$6=0,0,'🧾 Factura Comercial'!I70/'🧾 Tributos Aduana'!$F$6))/'🧾 Factura Comercial'!G70)</f>
        <v>0</v>
      </c>
      <c r="AH66" s="279">
        <f>TABLA_BASE[[#This Row],[GASTOS IMP.
UNIT.(US$)]]*TABLA_BASE[[#This Row],[CANTIDAD
(unid.)]]</f>
        <v>0</v>
      </c>
      <c r="AI66" s="281">
        <f>TABLA_BASE[[#This Row],[GASTOS IMP.
UNIT.(US$)]]*'📋 Datos Generales'!$E$19</f>
        <v>0</v>
      </c>
      <c r="AJ66" s="281">
        <f>TABLA_BASE[[#This Row],[GASTOS IMP.
UNIT.(S/.)]]*TABLA_BASE[[#This Row],[CANTIDAD
(unid.)]]</f>
        <v>0</v>
      </c>
      <c r="AK66" s="280">
        <f>'🧮 Costos x Producto'!J70</f>
        <v>0</v>
      </c>
      <c r="AL66" s="278">
        <f>'🧮 Costos x Producto'!K70</f>
        <v>0</v>
      </c>
      <c r="AM66" s="278">
        <f>TABLA_BASE[[#This Row],[C/M UNIT.
(S/.)]]*TABLA_BASE[[#This Row],[CANTIDAD
(unid.)]]</f>
        <v>0</v>
      </c>
      <c r="AN66" s="279">
        <f>IF('🧾 Factura Comercial'!G70=0,0,'🧾 Tributos Aduana'!$F$17*(IF('🧾 Tributos Aduana'!$F$6=0,0,'🧾 Factura Comercial'!I70/'🧾 Tributos Aduana'!$F$6))/'🧾 Factura Comercial'!G70)</f>
        <v>0</v>
      </c>
      <c r="AO66" s="280">
        <f>IF('🧾 Factura Comercial'!G70=0,0,'🏦 Crédito Fiscal'!$C$16*(IF('🧾 Tributos Aduana'!$F$6=0,0,'🧾 Factura Comercial'!I70/'🧾 Tributos Aduana'!$F$6))/'🧾 Factura Comercial'!G70)</f>
        <v>0</v>
      </c>
      <c r="AP66" s="278">
        <f>TABLA_BASE[[#This Row],[CF UNIT.
✅RECUP.
(US$)]]*'📋 Datos Generales'!$E$19</f>
        <v>0</v>
      </c>
      <c r="AQ66" s="278">
        <f>TABLA_BASE[[#This Row],[CF UNIT.
✅RECUP.(S/.)]]*TABLA_BASE[[#This Row],[CANTIDAD
(unid.)]]</f>
        <v>0</v>
      </c>
      <c r="AR66" s="288">
        <f>'💰 Precio de Venta'!G71</f>
        <v>0.4</v>
      </c>
      <c r="AS66" s="278">
        <f>'💰 Precio de Venta'!H71</f>
        <v>0</v>
      </c>
      <c r="AT66" s="278">
        <f>TABLA_BASE[[#This Row],[VALOR VTA.
UNIT.(S/.)]]*TABLA_BASE[[#This Row],[CANTIDAD
(unid.)]]</f>
        <v>0</v>
      </c>
      <c r="AU66" s="281">
        <f>'💰 Precio de Venta'!I71</f>
        <v>0</v>
      </c>
      <c r="AV66" s="278">
        <f>'💰 Precio de Venta'!J71</f>
        <v>0</v>
      </c>
      <c r="AW66" s="278">
        <f>TABLA_BASE[[#This Row],[GANANCIA
UNIT.(S/.)]]*TABLA_BASE[[#This Row],[CANTIDAD
(unid.)]]</f>
        <v>0</v>
      </c>
      <c r="AX66" s="289">
        <f>'💰 Precio de Venta'!K71</f>
        <v>0</v>
      </c>
      <c r="AY66" s="278">
        <f>TABLA_BASE[[#This Row],[GANANCIA
UNIT.(S/.)]]*'🧾 Factura Comercial'!G70</f>
        <v>0</v>
      </c>
      <c r="AZ66" s="277">
        <f>IF(TABLA_BASE[[#This Row],[PRECIO VTA.
c/IGV(S/.)]]=0,0,TABLA_BASE[[#This Row],[GANANCIA
UNIT.(S/.)]]/TABLA_BASE[[#This Row],[PRECIO VTA.
c/IGV(S/.)]])</f>
        <v>0</v>
      </c>
      <c r="BA66" s="277">
        <f>IF(TABLA_BASE[[#This Row],[C/M UNIT.
(S/.)]]=0,0,TABLA_BASE[[#This Row],[GANANCIA
UNIT.(S/.)]]/TABLA_BASE[[#This Row],[C/M UNIT.
(S/.)]])</f>
        <v>0</v>
      </c>
      <c r="BB66" s="274" t="str">
        <f>IF(TABLA_BASE[[#This Row],[MARGEN
%]]&gt;=0.5,"🟢 ALTO",IF(TABLA_BASE[[#This Row],[MARGEN
%]]&gt;=0.3,"🟡 MEDIO","🔴 BAJO"))</f>
        <v>🟡 MEDIO</v>
      </c>
    </row>
    <row r="67" spans="1:54" ht="16.5" hidden="1" thickTop="1" thickBot="1" x14ac:dyDescent="0.3">
      <c r="A67" s="274">
        <f>'🧾 Factura Comercial'!E71</f>
        <v>0</v>
      </c>
      <c r="B67" s="274" t="str">
        <f>'🧾 Factura Comercial'!F71</f>
        <v>Unid.</v>
      </c>
      <c r="C67" s="275">
        <f>'🧾 Factura Comercial'!G71</f>
        <v>0</v>
      </c>
      <c r="D67" s="276">
        <f>'🧾 Factura Comercial'!H71</f>
        <v>0</v>
      </c>
      <c r="E67" s="276">
        <f>'🧾 Factura Comercial'!I71</f>
        <v>0</v>
      </c>
      <c r="F67" s="277">
        <f>IF('🧾 Tributos Aduana'!$F$6=0,0,'🧾 Factura Comercial'!I71/'🧾 Tributos Aduana'!$F$6)</f>
        <v>0</v>
      </c>
      <c r="G67" s="278">
        <f>'🧾 Factura Comercial'!H71*'📋 Datos Generales'!$E$19</f>
        <v>0</v>
      </c>
      <c r="H67" s="278">
        <f>TABLA_BASE[[#This Row],[FOB UNIT.
(S/.)]]*TABLA_BASE[[#This Row],[CANTIDAD
(unid.)]]</f>
        <v>0</v>
      </c>
      <c r="I67" s="280">
        <f>IF('🧾 Tributos Aduana'!$F$6=0,0,'🧾 Tributos Aduana'!$F$17*('🧾 Factura Comercial'!H71/'🧾 Tributos Aduana'!$F$6))</f>
        <v>0</v>
      </c>
      <c r="J67" s="280">
        <f>TABLA_BASE[[#This Row],[ADV UNIT.
(US$)
⚠️COSTO]]*TABLA_BASE[[#This Row],[CANTIDAD
(unid.)]]</f>
        <v>0</v>
      </c>
      <c r="K67" s="279">
        <f>IF('🧾 Tributos Aduana'!$F$6=0,0,'🧾 Tributos Aduana'!$F$18*('🧾 Factura Comercial'!H71/'🧾 Tributos Aduana'!$F$6))</f>
        <v>0</v>
      </c>
      <c r="L67" s="280">
        <f>TABLA_BASE[[#This Row],[IPM UNIT.
(US$)
✅CF]]*TABLA_BASE[[#This Row],[CANTIDAD
(unid.)]]</f>
        <v>0</v>
      </c>
      <c r="M67" s="279">
        <f>IF('🧾 Tributos Aduana'!$F$6=0,0,'🧾 Tributos Aduana'!$F$19*('🧾 Factura Comercial'!H71/'🧾 Tributos Aduana'!$F$6))</f>
        <v>0</v>
      </c>
      <c r="N67" s="280">
        <f>TABLA_BASE[[#This Row],[IGV UNIT.
(US$)
✅CF]]*TABLA_BASE[[#This Row],[CANTIDAD
(unid.)]]</f>
        <v>0</v>
      </c>
      <c r="O67" s="280">
        <f>IF('🧾 Tributos Aduana'!$F$6=0,0,'🧾 Tributos Aduana'!$F$23*('🧾 Factura Comercial'!H71/'🧾 Tributos Aduana'!$F$6))</f>
        <v>0</v>
      </c>
      <c r="P67" s="280">
        <f>TABLA_BASE[[#This Row],[PERCEP.
UNIT.(US$)
✅CF]]*TABLA_BASE[[#This Row],[CANTIDAD
(unid.)]]</f>
        <v>0</v>
      </c>
      <c r="Q67" s="279">
        <f>TABLA_BASE[[#This Row],[ADV UNIT.
(US$)
⚠️COSTO]]+TABLA_BASE[[#This Row],[IPM UNIT.
(US$)
✅CF]]+TABLA_BASE[[#This Row],[IGV UNIT.
(US$)
✅CF]]</f>
        <v>0</v>
      </c>
      <c r="R67" s="280">
        <f>TABLA_BASE[[#This Row],[DEUDA
ADUANERA
UNIT.]]*TABLA_BASE[[#This Row],[CANTIDAD
(unid.)]]</f>
        <v>0</v>
      </c>
      <c r="S67" s="278">
        <f>TABLA_BASE[[#This Row],[DEUDA
ADUANERA
UNIT.]]*'📋 Datos Generales'!$E$19</f>
        <v>0</v>
      </c>
      <c r="T67" s="278">
        <f>TABLA_BASE[[#This Row],[DEUDA
ADUANERA
TOTAL]]*'📋 Datos Generales'!$E$19</f>
        <v>0</v>
      </c>
      <c r="U67" s="281">
        <f>TABLA_BASE[[#This Row],[ADV UNIT.
(US$)
⚠️COSTO]]*'📋 Datos Generales'!$E$19</f>
        <v>0</v>
      </c>
      <c r="V67" s="281">
        <f>TABLA_BASE[[#This Row],[ADV UNIT.
(S/.)]]*TABLA_BASE[[#This Row],[CANTIDAD
(unid.)]]</f>
        <v>0</v>
      </c>
      <c r="W67" s="281">
        <f>TABLA_BASE[[#This Row],[IPM UNIT.
(US$)
✅CF]]*'📋 Datos Generales'!$E$19</f>
        <v>0</v>
      </c>
      <c r="X67" s="281">
        <f>TABLA_BASE[[#This Row],[IPM UNIT.
(S/.)]]*TABLA_BASE[[#This Row],[CANTIDAD
(unid.)]]</f>
        <v>0</v>
      </c>
      <c r="Y67" s="281">
        <f>TABLA_BASE[[#This Row],[IGV UNIT.
(US$)
✅CF]]*'📋 Datos Generales'!$E$19</f>
        <v>0</v>
      </c>
      <c r="Z67" s="281">
        <f>TABLA_BASE[[#This Row],[IGV UNIT.
(S/.)]]*TABLA_BASE[[#This Row],[CANTIDAD
(unid.)]]</f>
        <v>0</v>
      </c>
      <c r="AA67" s="281">
        <f>TABLA_BASE[[#This Row],[PERCEP.
UNIT.(US$)
✅CF]]*'📋 Datos Generales'!$E$19</f>
        <v>0</v>
      </c>
      <c r="AB67" s="281">
        <f>TABLA_BASE[[#This Row],[PERCEP.
UNIT.(S/.)]]*TABLA_BASE[[#This Row],[CANTIDAD
(unid.)]]</f>
        <v>0</v>
      </c>
      <c r="AC67" s="279">
        <f>TABLA_BASE[[#This Row],[ADV UNIT.
(US$)
⚠️COSTO]]+TABLA_BASE[[#This Row],[IPM UNIT.
(US$)
✅CF]]+TABLA_BASE[[#This Row],[IGV UNIT.
(US$)
✅CF]]+TABLA_BASE[[#This Row],[PERCEP.
UNIT.(US$)
✅CF]]</f>
        <v>0</v>
      </c>
      <c r="AD67" s="279">
        <f>TABLA_BASE[[#This Row],[TOTAL PAGO
SUNAT
UNIT.(US$)]]*TABLA_BASE[[#This Row],[CANTIDAD
(unid.)]]</f>
        <v>0</v>
      </c>
      <c r="AE67" s="281">
        <f>TABLA_BASE[[#This Row],[TOTAL PAGO
SUNAT
UNIT.(US$)]]*'📋 Datos Generales'!$E$19</f>
        <v>0</v>
      </c>
      <c r="AF67" s="281">
        <f>TABLA_BASE[[#This Row],[TOTAL TRIB.
UNIT.(S/.)]]*TABLA_BASE[[#This Row],[CANTIDAD
(unid.)]]</f>
        <v>0</v>
      </c>
      <c r="AG67" s="279">
        <f>IF('🧾 Factura Comercial'!G71=0,0,'📦 Gastos Importación'!$E$28*(IF('🧾 Tributos Aduana'!$F$6=0,0,'🧾 Factura Comercial'!I71/'🧾 Tributos Aduana'!$F$6))/'🧾 Factura Comercial'!G71)</f>
        <v>0</v>
      </c>
      <c r="AH67" s="279">
        <f>TABLA_BASE[[#This Row],[GASTOS IMP.
UNIT.(US$)]]*TABLA_BASE[[#This Row],[CANTIDAD
(unid.)]]</f>
        <v>0</v>
      </c>
      <c r="AI67" s="281">
        <f>TABLA_BASE[[#This Row],[GASTOS IMP.
UNIT.(US$)]]*'📋 Datos Generales'!$E$19</f>
        <v>0</v>
      </c>
      <c r="AJ67" s="281">
        <f>TABLA_BASE[[#This Row],[GASTOS IMP.
UNIT.(S/.)]]*TABLA_BASE[[#This Row],[CANTIDAD
(unid.)]]</f>
        <v>0</v>
      </c>
      <c r="AK67" s="280">
        <f>'🧮 Costos x Producto'!J71</f>
        <v>0</v>
      </c>
      <c r="AL67" s="278">
        <f>'🧮 Costos x Producto'!K71</f>
        <v>0</v>
      </c>
      <c r="AM67" s="278">
        <f>TABLA_BASE[[#This Row],[C/M UNIT.
(S/.)]]*TABLA_BASE[[#This Row],[CANTIDAD
(unid.)]]</f>
        <v>0</v>
      </c>
      <c r="AN67" s="279">
        <f>IF('🧾 Factura Comercial'!G71=0,0,'🧾 Tributos Aduana'!$F$17*(IF('🧾 Tributos Aduana'!$F$6=0,0,'🧾 Factura Comercial'!I71/'🧾 Tributos Aduana'!$F$6))/'🧾 Factura Comercial'!G71)</f>
        <v>0</v>
      </c>
      <c r="AO67" s="280">
        <f>IF('🧾 Factura Comercial'!G71=0,0,'🏦 Crédito Fiscal'!$C$16*(IF('🧾 Tributos Aduana'!$F$6=0,0,'🧾 Factura Comercial'!I71/'🧾 Tributos Aduana'!$F$6))/'🧾 Factura Comercial'!G71)</f>
        <v>0</v>
      </c>
      <c r="AP67" s="278">
        <f>TABLA_BASE[[#This Row],[CF UNIT.
✅RECUP.
(US$)]]*'📋 Datos Generales'!$E$19</f>
        <v>0</v>
      </c>
      <c r="AQ67" s="278">
        <f>TABLA_BASE[[#This Row],[CF UNIT.
✅RECUP.(S/.)]]*TABLA_BASE[[#This Row],[CANTIDAD
(unid.)]]</f>
        <v>0</v>
      </c>
      <c r="AR67" s="288">
        <f>'💰 Precio de Venta'!G72</f>
        <v>0.4</v>
      </c>
      <c r="AS67" s="278">
        <f>'💰 Precio de Venta'!H72</f>
        <v>0</v>
      </c>
      <c r="AT67" s="278">
        <f>TABLA_BASE[[#This Row],[VALOR VTA.
UNIT.(S/.)]]*TABLA_BASE[[#This Row],[CANTIDAD
(unid.)]]</f>
        <v>0</v>
      </c>
      <c r="AU67" s="281">
        <f>'💰 Precio de Venta'!I72</f>
        <v>0</v>
      </c>
      <c r="AV67" s="278">
        <f>'💰 Precio de Venta'!J72</f>
        <v>0</v>
      </c>
      <c r="AW67" s="278">
        <f>TABLA_BASE[[#This Row],[GANANCIA
UNIT.(S/.)]]*TABLA_BASE[[#This Row],[CANTIDAD
(unid.)]]</f>
        <v>0</v>
      </c>
      <c r="AX67" s="289">
        <f>'💰 Precio de Venta'!K72</f>
        <v>0</v>
      </c>
      <c r="AY67" s="278">
        <f>TABLA_BASE[[#This Row],[GANANCIA
UNIT.(S/.)]]*'🧾 Factura Comercial'!G71</f>
        <v>0</v>
      </c>
      <c r="AZ67" s="277">
        <f>IF(TABLA_BASE[[#This Row],[PRECIO VTA.
c/IGV(S/.)]]=0,0,TABLA_BASE[[#This Row],[GANANCIA
UNIT.(S/.)]]/TABLA_BASE[[#This Row],[PRECIO VTA.
c/IGV(S/.)]])</f>
        <v>0</v>
      </c>
      <c r="BA67" s="277">
        <f>IF(TABLA_BASE[[#This Row],[C/M UNIT.
(S/.)]]=0,0,TABLA_BASE[[#This Row],[GANANCIA
UNIT.(S/.)]]/TABLA_BASE[[#This Row],[C/M UNIT.
(S/.)]])</f>
        <v>0</v>
      </c>
      <c r="BB67" s="274" t="str">
        <f>IF(TABLA_BASE[[#This Row],[MARGEN
%]]&gt;=0.5,"🟢 ALTO",IF(TABLA_BASE[[#This Row],[MARGEN
%]]&gt;=0.3,"🟡 MEDIO","🔴 BAJO"))</f>
        <v>🟡 MEDIO</v>
      </c>
    </row>
    <row r="68" spans="1:54" ht="16.5" hidden="1" thickTop="1" thickBot="1" x14ac:dyDescent="0.3">
      <c r="A68" s="274">
        <f>'🧾 Factura Comercial'!E72</f>
        <v>0</v>
      </c>
      <c r="B68" s="274" t="str">
        <f>'🧾 Factura Comercial'!F72</f>
        <v>Unid.</v>
      </c>
      <c r="C68" s="275">
        <f>'🧾 Factura Comercial'!G72</f>
        <v>0</v>
      </c>
      <c r="D68" s="276">
        <f>'🧾 Factura Comercial'!H72</f>
        <v>0</v>
      </c>
      <c r="E68" s="276">
        <f>'🧾 Factura Comercial'!I72</f>
        <v>0</v>
      </c>
      <c r="F68" s="277">
        <f>IF('🧾 Tributos Aduana'!$F$6=0,0,'🧾 Factura Comercial'!I72/'🧾 Tributos Aduana'!$F$6)</f>
        <v>0</v>
      </c>
      <c r="G68" s="278">
        <f>'🧾 Factura Comercial'!H72*'📋 Datos Generales'!$E$19</f>
        <v>0</v>
      </c>
      <c r="H68" s="278">
        <f>TABLA_BASE[[#This Row],[FOB UNIT.
(S/.)]]*TABLA_BASE[[#This Row],[CANTIDAD
(unid.)]]</f>
        <v>0</v>
      </c>
      <c r="I68" s="280">
        <f>IF('🧾 Tributos Aduana'!$F$6=0,0,'🧾 Tributos Aduana'!$F$17*('🧾 Factura Comercial'!H72/'🧾 Tributos Aduana'!$F$6))</f>
        <v>0</v>
      </c>
      <c r="J68" s="280">
        <f>TABLA_BASE[[#This Row],[ADV UNIT.
(US$)
⚠️COSTO]]*TABLA_BASE[[#This Row],[CANTIDAD
(unid.)]]</f>
        <v>0</v>
      </c>
      <c r="K68" s="279">
        <f>IF('🧾 Tributos Aduana'!$F$6=0,0,'🧾 Tributos Aduana'!$F$18*('🧾 Factura Comercial'!H72/'🧾 Tributos Aduana'!$F$6))</f>
        <v>0</v>
      </c>
      <c r="L68" s="280">
        <f>TABLA_BASE[[#This Row],[IPM UNIT.
(US$)
✅CF]]*TABLA_BASE[[#This Row],[CANTIDAD
(unid.)]]</f>
        <v>0</v>
      </c>
      <c r="M68" s="279">
        <f>IF('🧾 Tributos Aduana'!$F$6=0,0,'🧾 Tributos Aduana'!$F$19*('🧾 Factura Comercial'!H72/'🧾 Tributos Aduana'!$F$6))</f>
        <v>0</v>
      </c>
      <c r="N68" s="280">
        <f>TABLA_BASE[[#This Row],[IGV UNIT.
(US$)
✅CF]]*TABLA_BASE[[#This Row],[CANTIDAD
(unid.)]]</f>
        <v>0</v>
      </c>
      <c r="O68" s="280">
        <f>IF('🧾 Tributos Aduana'!$F$6=0,0,'🧾 Tributos Aduana'!$F$23*('🧾 Factura Comercial'!H72/'🧾 Tributos Aduana'!$F$6))</f>
        <v>0</v>
      </c>
      <c r="P68" s="280">
        <f>TABLA_BASE[[#This Row],[PERCEP.
UNIT.(US$)
✅CF]]*TABLA_BASE[[#This Row],[CANTIDAD
(unid.)]]</f>
        <v>0</v>
      </c>
      <c r="Q68" s="279">
        <f>TABLA_BASE[[#This Row],[ADV UNIT.
(US$)
⚠️COSTO]]+TABLA_BASE[[#This Row],[IPM UNIT.
(US$)
✅CF]]+TABLA_BASE[[#This Row],[IGV UNIT.
(US$)
✅CF]]</f>
        <v>0</v>
      </c>
      <c r="R68" s="280">
        <f>TABLA_BASE[[#This Row],[DEUDA
ADUANERA
UNIT.]]*TABLA_BASE[[#This Row],[CANTIDAD
(unid.)]]</f>
        <v>0</v>
      </c>
      <c r="S68" s="278">
        <f>TABLA_BASE[[#This Row],[DEUDA
ADUANERA
UNIT.]]*'📋 Datos Generales'!$E$19</f>
        <v>0</v>
      </c>
      <c r="T68" s="278">
        <f>TABLA_BASE[[#This Row],[DEUDA
ADUANERA
TOTAL]]*'📋 Datos Generales'!$E$19</f>
        <v>0</v>
      </c>
      <c r="U68" s="281">
        <f>TABLA_BASE[[#This Row],[ADV UNIT.
(US$)
⚠️COSTO]]*'📋 Datos Generales'!$E$19</f>
        <v>0</v>
      </c>
      <c r="V68" s="281">
        <f>TABLA_BASE[[#This Row],[ADV UNIT.
(S/.)]]*TABLA_BASE[[#This Row],[CANTIDAD
(unid.)]]</f>
        <v>0</v>
      </c>
      <c r="W68" s="281">
        <f>TABLA_BASE[[#This Row],[IPM UNIT.
(US$)
✅CF]]*'📋 Datos Generales'!$E$19</f>
        <v>0</v>
      </c>
      <c r="X68" s="281">
        <f>TABLA_BASE[[#This Row],[IPM UNIT.
(S/.)]]*TABLA_BASE[[#This Row],[CANTIDAD
(unid.)]]</f>
        <v>0</v>
      </c>
      <c r="Y68" s="281">
        <f>TABLA_BASE[[#This Row],[IGV UNIT.
(US$)
✅CF]]*'📋 Datos Generales'!$E$19</f>
        <v>0</v>
      </c>
      <c r="Z68" s="281">
        <f>TABLA_BASE[[#This Row],[IGV UNIT.
(S/.)]]*TABLA_BASE[[#This Row],[CANTIDAD
(unid.)]]</f>
        <v>0</v>
      </c>
      <c r="AA68" s="281">
        <f>TABLA_BASE[[#This Row],[PERCEP.
UNIT.(US$)
✅CF]]*'📋 Datos Generales'!$E$19</f>
        <v>0</v>
      </c>
      <c r="AB68" s="281">
        <f>TABLA_BASE[[#This Row],[PERCEP.
UNIT.(S/.)]]*TABLA_BASE[[#This Row],[CANTIDAD
(unid.)]]</f>
        <v>0</v>
      </c>
      <c r="AC68" s="279">
        <f>TABLA_BASE[[#This Row],[ADV UNIT.
(US$)
⚠️COSTO]]+TABLA_BASE[[#This Row],[IPM UNIT.
(US$)
✅CF]]+TABLA_BASE[[#This Row],[IGV UNIT.
(US$)
✅CF]]+TABLA_BASE[[#This Row],[PERCEP.
UNIT.(US$)
✅CF]]</f>
        <v>0</v>
      </c>
      <c r="AD68" s="279">
        <f>TABLA_BASE[[#This Row],[TOTAL PAGO
SUNAT
UNIT.(US$)]]*TABLA_BASE[[#This Row],[CANTIDAD
(unid.)]]</f>
        <v>0</v>
      </c>
      <c r="AE68" s="281">
        <f>TABLA_BASE[[#This Row],[TOTAL PAGO
SUNAT
UNIT.(US$)]]*'📋 Datos Generales'!$E$19</f>
        <v>0</v>
      </c>
      <c r="AF68" s="281">
        <f>TABLA_BASE[[#This Row],[TOTAL TRIB.
UNIT.(S/.)]]*TABLA_BASE[[#This Row],[CANTIDAD
(unid.)]]</f>
        <v>0</v>
      </c>
      <c r="AG68" s="279">
        <f>IF('🧾 Factura Comercial'!G72=0,0,'📦 Gastos Importación'!$E$28*(IF('🧾 Tributos Aduana'!$F$6=0,0,'🧾 Factura Comercial'!I72/'🧾 Tributos Aduana'!$F$6))/'🧾 Factura Comercial'!G72)</f>
        <v>0</v>
      </c>
      <c r="AH68" s="279">
        <f>TABLA_BASE[[#This Row],[GASTOS IMP.
UNIT.(US$)]]*TABLA_BASE[[#This Row],[CANTIDAD
(unid.)]]</f>
        <v>0</v>
      </c>
      <c r="AI68" s="281">
        <f>TABLA_BASE[[#This Row],[GASTOS IMP.
UNIT.(US$)]]*'📋 Datos Generales'!$E$19</f>
        <v>0</v>
      </c>
      <c r="AJ68" s="281">
        <f>TABLA_BASE[[#This Row],[GASTOS IMP.
UNIT.(S/.)]]*TABLA_BASE[[#This Row],[CANTIDAD
(unid.)]]</f>
        <v>0</v>
      </c>
      <c r="AK68" s="280">
        <f>'🧮 Costos x Producto'!J72</f>
        <v>0</v>
      </c>
      <c r="AL68" s="278">
        <f>'🧮 Costos x Producto'!K72</f>
        <v>0</v>
      </c>
      <c r="AM68" s="278">
        <f>TABLA_BASE[[#This Row],[C/M UNIT.
(S/.)]]*TABLA_BASE[[#This Row],[CANTIDAD
(unid.)]]</f>
        <v>0</v>
      </c>
      <c r="AN68" s="279">
        <f>IF('🧾 Factura Comercial'!G72=0,0,'🧾 Tributos Aduana'!$F$17*(IF('🧾 Tributos Aduana'!$F$6=0,0,'🧾 Factura Comercial'!I72/'🧾 Tributos Aduana'!$F$6))/'🧾 Factura Comercial'!G72)</f>
        <v>0</v>
      </c>
      <c r="AO68" s="280">
        <f>IF('🧾 Factura Comercial'!G72=0,0,'🏦 Crédito Fiscal'!$C$16*(IF('🧾 Tributos Aduana'!$F$6=0,0,'🧾 Factura Comercial'!I72/'🧾 Tributos Aduana'!$F$6))/'🧾 Factura Comercial'!G72)</f>
        <v>0</v>
      </c>
      <c r="AP68" s="278">
        <f>TABLA_BASE[[#This Row],[CF UNIT.
✅RECUP.
(US$)]]*'📋 Datos Generales'!$E$19</f>
        <v>0</v>
      </c>
      <c r="AQ68" s="278">
        <f>TABLA_BASE[[#This Row],[CF UNIT.
✅RECUP.(S/.)]]*TABLA_BASE[[#This Row],[CANTIDAD
(unid.)]]</f>
        <v>0</v>
      </c>
      <c r="AR68" s="288">
        <f>'💰 Precio de Venta'!G73</f>
        <v>0.4</v>
      </c>
      <c r="AS68" s="278">
        <f>'💰 Precio de Venta'!H73</f>
        <v>0</v>
      </c>
      <c r="AT68" s="278">
        <f>TABLA_BASE[[#This Row],[VALOR VTA.
UNIT.(S/.)]]*TABLA_BASE[[#This Row],[CANTIDAD
(unid.)]]</f>
        <v>0</v>
      </c>
      <c r="AU68" s="281">
        <f>'💰 Precio de Venta'!I73</f>
        <v>0</v>
      </c>
      <c r="AV68" s="278">
        <f>'💰 Precio de Venta'!J73</f>
        <v>0</v>
      </c>
      <c r="AW68" s="278">
        <f>TABLA_BASE[[#This Row],[GANANCIA
UNIT.(S/.)]]*TABLA_BASE[[#This Row],[CANTIDAD
(unid.)]]</f>
        <v>0</v>
      </c>
      <c r="AX68" s="289">
        <f>'💰 Precio de Venta'!K73</f>
        <v>0</v>
      </c>
      <c r="AY68" s="278">
        <f>TABLA_BASE[[#This Row],[GANANCIA
UNIT.(S/.)]]*'🧾 Factura Comercial'!G72</f>
        <v>0</v>
      </c>
      <c r="AZ68" s="277">
        <f>IF(TABLA_BASE[[#This Row],[PRECIO VTA.
c/IGV(S/.)]]=0,0,TABLA_BASE[[#This Row],[GANANCIA
UNIT.(S/.)]]/TABLA_BASE[[#This Row],[PRECIO VTA.
c/IGV(S/.)]])</f>
        <v>0</v>
      </c>
      <c r="BA68" s="277">
        <f>IF(TABLA_BASE[[#This Row],[C/M UNIT.
(S/.)]]=0,0,TABLA_BASE[[#This Row],[GANANCIA
UNIT.(S/.)]]/TABLA_BASE[[#This Row],[C/M UNIT.
(S/.)]])</f>
        <v>0</v>
      </c>
      <c r="BB68" s="274" t="str">
        <f>IF(TABLA_BASE[[#This Row],[MARGEN
%]]&gt;=0.5,"🟢 ALTO",IF(TABLA_BASE[[#This Row],[MARGEN
%]]&gt;=0.3,"🟡 MEDIO","🔴 BAJO"))</f>
        <v>🟡 MEDIO</v>
      </c>
    </row>
    <row r="69" spans="1:54" ht="16.5" hidden="1" thickTop="1" thickBot="1" x14ac:dyDescent="0.3">
      <c r="A69" s="274">
        <f>'🧾 Factura Comercial'!E73</f>
        <v>0</v>
      </c>
      <c r="B69" s="274" t="str">
        <f>'🧾 Factura Comercial'!F73</f>
        <v>Unid.</v>
      </c>
      <c r="C69" s="275">
        <f>'🧾 Factura Comercial'!G73</f>
        <v>0</v>
      </c>
      <c r="D69" s="276">
        <f>'🧾 Factura Comercial'!H73</f>
        <v>0</v>
      </c>
      <c r="E69" s="276">
        <f>'🧾 Factura Comercial'!I73</f>
        <v>0</v>
      </c>
      <c r="F69" s="277">
        <f>IF('🧾 Tributos Aduana'!$F$6=0,0,'🧾 Factura Comercial'!I73/'🧾 Tributos Aduana'!$F$6)</f>
        <v>0</v>
      </c>
      <c r="G69" s="278">
        <f>'🧾 Factura Comercial'!H73*'📋 Datos Generales'!$E$19</f>
        <v>0</v>
      </c>
      <c r="H69" s="278">
        <f>TABLA_BASE[[#This Row],[FOB UNIT.
(S/.)]]*TABLA_BASE[[#This Row],[CANTIDAD
(unid.)]]</f>
        <v>0</v>
      </c>
      <c r="I69" s="280">
        <f>IF('🧾 Tributos Aduana'!$F$6=0,0,'🧾 Tributos Aduana'!$F$17*('🧾 Factura Comercial'!H73/'🧾 Tributos Aduana'!$F$6))</f>
        <v>0</v>
      </c>
      <c r="J69" s="280">
        <f>TABLA_BASE[[#This Row],[ADV UNIT.
(US$)
⚠️COSTO]]*TABLA_BASE[[#This Row],[CANTIDAD
(unid.)]]</f>
        <v>0</v>
      </c>
      <c r="K69" s="279">
        <f>IF('🧾 Tributos Aduana'!$F$6=0,0,'🧾 Tributos Aduana'!$F$18*('🧾 Factura Comercial'!H73/'🧾 Tributos Aduana'!$F$6))</f>
        <v>0</v>
      </c>
      <c r="L69" s="280">
        <f>TABLA_BASE[[#This Row],[IPM UNIT.
(US$)
✅CF]]*TABLA_BASE[[#This Row],[CANTIDAD
(unid.)]]</f>
        <v>0</v>
      </c>
      <c r="M69" s="279">
        <f>IF('🧾 Tributos Aduana'!$F$6=0,0,'🧾 Tributos Aduana'!$F$19*('🧾 Factura Comercial'!H73/'🧾 Tributos Aduana'!$F$6))</f>
        <v>0</v>
      </c>
      <c r="N69" s="280">
        <f>TABLA_BASE[[#This Row],[IGV UNIT.
(US$)
✅CF]]*TABLA_BASE[[#This Row],[CANTIDAD
(unid.)]]</f>
        <v>0</v>
      </c>
      <c r="O69" s="280">
        <f>IF('🧾 Tributos Aduana'!$F$6=0,0,'🧾 Tributos Aduana'!$F$23*('🧾 Factura Comercial'!H73/'🧾 Tributos Aduana'!$F$6))</f>
        <v>0</v>
      </c>
      <c r="P69" s="280">
        <f>TABLA_BASE[[#This Row],[PERCEP.
UNIT.(US$)
✅CF]]*TABLA_BASE[[#This Row],[CANTIDAD
(unid.)]]</f>
        <v>0</v>
      </c>
      <c r="Q69" s="279">
        <f>TABLA_BASE[[#This Row],[ADV UNIT.
(US$)
⚠️COSTO]]+TABLA_BASE[[#This Row],[IPM UNIT.
(US$)
✅CF]]+TABLA_BASE[[#This Row],[IGV UNIT.
(US$)
✅CF]]</f>
        <v>0</v>
      </c>
      <c r="R69" s="280">
        <f>TABLA_BASE[[#This Row],[DEUDA
ADUANERA
UNIT.]]*TABLA_BASE[[#This Row],[CANTIDAD
(unid.)]]</f>
        <v>0</v>
      </c>
      <c r="S69" s="278">
        <f>TABLA_BASE[[#This Row],[DEUDA
ADUANERA
UNIT.]]*'📋 Datos Generales'!$E$19</f>
        <v>0</v>
      </c>
      <c r="T69" s="278">
        <f>TABLA_BASE[[#This Row],[DEUDA
ADUANERA
TOTAL]]*'📋 Datos Generales'!$E$19</f>
        <v>0</v>
      </c>
      <c r="U69" s="281">
        <f>TABLA_BASE[[#This Row],[ADV UNIT.
(US$)
⚠️COSTO]]*'📋 Datos Generales'!$E$19</f>
        <v>0</v>
      </c>
      <c r="V69" s="281">
        <f>TABLA_BASE[[#This Row],[ADV UNIT.
(S/.)]]*TABLA_BASE[[#This Row],[CANTIDAD
(unid.)]]</f>
        <v>0</v>
      </c>
      <c r="W69" s="281">
        <f>TABLA_BASE[[#This Row],[IPM UNIT.
(US$)
✅CF]]*'📋 Datos Generales'!$E$19</f>
        <v>0</v>
      </c>
      <c r="X69" s="281">
        <f>TABLA_BASE[[#This Row],[IPM UNIT.
(S/.)]]*TABLA_BASE[[#This Row],[CANTIDAD
(unid.)]]</f>
        <v>0</v>
      </c>
      <c r="Y69" s="281">
        <f>TABLA_BASE[[#This Row],[IGV UNIT.
(US$)
✅CF]]*'📋 Datos Generales'!$E$19</f>
        <v>0</v>
      </c>
      <c r="Z69" s="281">
        <f>TABLA_BASE[[#This Row],[IGV UNIT.
(S/.)]]*TABLA_BASE[[#This Row],[CANTIDAD
(unid.)]]</f>
        <v>0</v>
      </c>
      <c r="AA69" s="281">
        <f>TABLA_BASE[[#This Row],[PERCEP.
UNIT.(US$)
✅CF]]*'📋 Datos Generales'!$E$19</f>
        <v>0</v>
      </c>
      <c r="AB69" s="281">
        <f>TABLA_BASE[[#This Row],[PERCEP.
UNIT.(S/.)]]*TABLA_BASE[[#This Row],[CANTIDAD
(unid.)]]</f>
        <v>0</v>
      </c>
      <c r="AC69" s="279">
        <f>TABLA_BASE[[#This Row],[ADV UNIT.
(US$)
⚠️COSTO]]+TABLA_BASE[[#This Row],[IPM UNIT.
(US$)
✅CF]]+TABLA_BASE[[#This Row],[IGV UNIT.
(US$)
✅CF]]+TABLA_BASE[[#This Row],[PERCEP.
UNIT.(US$)
✅CF]]</f>
        <v>0</v>
      </c>
      <c r="AD69" s="279">
        <f>TABLA_BASE[[#This Row],[TOTAL PAGO
SUNAT
UNIT.(US$)]]*TABLA_BASE[[#This Row],[CANTIDAD
(unid.)]]</f>
        <v>0</v>
      </c>
      <c r="AE69" s="281">
        <f>TABLA_BASE[[#This Row],[TOTAL PAGO
SUNAT
UNIT.(US$)]]*'📋 Datos Generales'!$E$19</f>
        <v>0</v>
      </c>
      <c r="AF69" s="281">
        <f>TABLA_BASE[[#This Row],[TOTAL TRIB.
UNIT.(S/.)]]*TABLA_BASE[[#This Row],[CANTIDAD
(unid.)]]</f>
        <v>0</v>
      </c>
      <c r="AG69" s="279">
        <f>IF('🧾 Factura Comercial'!G73=0,0,'📦 Gastos Importación'!$E$28*(IF('🧾 Tributos Aduana'!$F$6=0,0,'🧾 Factura Comercial'!I73/'🧾 Tributos Aduana'!$F$6))/'🧾 Factura Comercial'!G73)</f>
        <v>0</v>
      </c>
      <c r="AH69" s="279">
        <f>TABLA_BASE[[#This Row],[GASTOS IMP.
UNIT.(US$)]]*TABLA_BASE[[#This Row],[CANTIDAD
(unid.)]]</f>
        <v>0</v>
      </c>
      <c r="AI69" s="281">
        <f>TABLA_BASE[[#This Row],[GASTOS IMP.
UNIT.(US$)]]*'📋 Datos Generales'!$E$19</f>
        <v>0</v>
      </c>
      <c r="AJ69" s="281">
        <f>TABLA_BASE[[#This Row],[GASTOS IMP.
UNIT.(S/.)]]*TABLA_BASE[[#This Row],[CANTIDAD
(unid.)]]</f>
        <v>0</v>
      </c>
      <c r="AK69" s="280">
        <f>'🧮 Costos x Producto'!J73</f>
        <v>0</v>
      </c>
      <c r="AL69" s="278">
        <f>'🧮 Costos x Producto'!K73</f>
        <v>0</v>
      </c>
      <c r="AM69" s="278">
        <f>TABLA_BASE[[#This Row],[C/M UNIT.
(S/.)]]*TABLA_BASE[[#This Row],[CANTIDAD
(unid.)]]</f>
        <v>0</v>
      </c>
      <c r="AN69" s="279">
        <f>IF('🧾 Factura Comercial'!G73=0,0,'🧾 Tributos Aduana'!$F$17*(IF('🧾 Tributos Aduana'!$F$6=0,0,'🧾 Factura Comercial'!I73/'🧾 Tributos Aduana'!$F$6))/'🧾 Factura Comercial'!G73)</f>
        <v>0</v>
      </c>
      <c r="AO69" s="280">
        <f>IF('🧾 Factura Comercial'!G73=0,0,'🏦 Crédito Fiscal'!$C$16*(IF('🧾 Tributos Aduana'!$F$6=0,0,'🧾 Factura Comercial'!I73/'🧾 Tributos Aduana'!$F$6))/'🧾 Factura Comercial'!G73)</f>
        <v>0</v>
      </c>
      <c r="AP69" s="278">
        <f>TABLA_BASE[[#This Row],[CF UNIT.
✅RECUP.
(US$)]]*'📋 Datos Generales'!$E$19</f>
        <v>0</v>
      </c>
      <c r="AQ69" s="278">
        <f>TABLA_BASE[[#This Row],[CF UNIT.
✅RECUP.(S/.)]]*TABLA_BASE[[#This Row],[CANTIDAD
(unid.)]]</f>
        <v>0</v>
      </c>
      <c r="AR69" s="288">
        <f>'💰 Precio de Venta'!G74</f>
        <v>0.4</v>
      </c>
      <c r="AS69" s="278">
        <f>'💰 Precio de Venta'!H74</f>
        <v>0</v>
      </c>
      <c r="AT69" s="278">
        <f>TABLA_BASE[[#This Row],[VALOR VTA.
UNIT.(S/.)]]*TABLA_BASE[[#This Row],[CANTIDAD
(unid.)]]</f>
        <v>0</v>
      </c>
      <c r="AU69" s="281">
        <f>'💰 Precio de Venta'!I74</f>
        <v>0</v>
      </c>
      <c r="AV69" s="278">
        <f>'💰 Precio de Venta'!J74</f>
        <v>0</v>
      </c>
      <c r="AW69" s="278">
        <f>TABLA_BASE[[#This Row],[GANANCIA
UNIT.(S/.)]]*TABLA_BASE[[#This Row],[CANTIDAD
(unid.)]]</f>
        <v>0</v>
      </c>
      <c r="AX69" s="289">
        <f>'💰 Precio de Venta'!K74</f>
        <v>0</v>
      </c>
      <c r="AY69" s="278">
        <f>TABLA_BASE[[#This Row],[GANANCIA
UNIT.(S/.)]]*'🧾 Factura Comercial'!G73</f>
        <v>0</v>
      </c>
      <c r="AZ69" s="277">
        <f>IF(TABLA_BASE[[#This Row],[PRECIO VTA.
c/IGV(S/.)]]=0,0,TABLA_BASE[[#This Row],[GANANCIA
UNIT.(S/.)]]/TABLA_BASE[[#This Row],[PRECIO VTA.
c/IGV(S/.)]])</f>
        <v>0</v>
      </c>
      <c r="BA69" s="277">
        <f>IF(TABLA_BASE[[#This Row],[C/M UNIT.
(S/.)]]=0,0,TABLA_BASE[[#This Row],[GANANCIA
UNIT.(S/.)]]/TABLA_BASE[[#This Row],[C/M UNIT.
(S/.)]])</f>
        <v>0</v>
      </c>
      <c r="BB69" s="274" t="str">
        <f>IF(TABLA_BASE[[#This Row],[MARGEN
%]]&gt;=0.5,"🟢 ALTO",IF(TABLA_BASE[[#This Row],[MARGEN
%]]&gt;=0.3,"🟡 MEDIO","🔴 BAJO"))</f>
        <v>🟡 MEDIO</v>
      </c>
    </row>
    <row r="70" spans="1:54" ht="16.5" hidden="1" thickTop="1" thickBot="1" x14ac:dyDescent="0.3">
      <c r="A70" s="274">
        <f>'🧾 Factura Comercial'!E74</f>
        <v>0</v>
      </c>
      <c r="B70" s="274" t="str">
        <f>'🧾 Factura Comercial'!F74</f>
        <v>Unid.</v>
      </c>
      <c r="C70" s="275">
        <f>'🧾 Factura Comercial'!G74</f>
        <v>0</v>
      </c>
      <c r="D70" s="276">
        <f>'🧾 Factura Comercial'!H74</f>
        <v>0</v>
      </c>
      <c r="E70" s="276">
        <f>'🧾 Factura Comercial'!I74</f>
        <v>0</v>
      </c>
      <c r="F70" s="277">
        <f>IF('🧾 Tributos Aduana'!$F$6=0,0,'🧾 Factura Comercial'!I74/'🧾 Tributos Aduana'!$F$6)</f>
        <v>0</v>
      </c>
      <c r="G70" s="278">
        <f>'🧾 Factura Comercial'!H74*'📋 Datos Generales'!$E$19</f>
        <v>0</v>
      </c>
      <c r="H70" s="278">
        <f>TABLA_BASE[[#This Row],[FOB UNIT.
(S/.)]]*TABLA_BASE[[#This Row],[CANTIDAD
(unid.)]]</f>
        <v>0</v>
      </c>
      <c r="I70" s="280">
        <f>IF('🧾 Tributos Aduana'!$F$6=0,0,'🧾 Tributos Aduana'!$F$17*('🧾 Factura Comercial'!H74/'🧾 Tributos Aduana'!$F$6))</f>
        <v>0</v>
      </c>
      <c r="J70" s="280">
        <f>TABLA_BASE[[#This Row],[ADV UNIT.
(US$)
⚠️COSTO]]*TABLA_BASE[[#This Row],[CANTIDAD
(unid.)]]</f>
        <v>0</v>
      </c>
      <c r="K70" s="279">
        <f>IF('🧾 Tributos Aduana'!$F$6=0,0,'🧾 Tributos Aduana'!$F$18*('🧾 Factura Comercial'!H74/'🧾 Tributos Aduana'!$F$6))</f>
        <v>0</v>
      </c>
      <c r="L70" s="280">
        <f>TABLA_BASE[[#This Row],[IPM UNIT.
(US$)
✅CF]]*TABLA_BASE[[#This Row],[CANTIDAD
(unid.)]]</f>
        <v>0</v>
      </c>
      <c r="M70" s="279">
        <f>IF('🧾 Tributos Aduana'!$F$6=0,0,'🧾 Tributos Aduana'!$F$19*('🧾 Factura Comercial'!H74/'🧾 Tributos Aduana'!$F$6))</f>
        <v>0</v>
      </c>
      <c r="N70" s="280">
        <f>TABLA_BASE[[#This Row],[IGV UNIT.
(US$)
✅CF]]*TABLA_BASE[[#This Row],[CANTIDAD
(unid.)]]</f>
        <v>0</v>
      </c>
      <c r="O70" s="280">
        <f>IF('🧾 Tributos Aduana'!$F$6=0,0,'🧾 Tributos Aduana'!$F$23*('🧾 Factura Comercial'!H74/'🧾 Tributos Aduana'!$F$6))</f>
        <v>0</v>
      </c>
      <c r="P70" s="280">
        <f>TABLA_BASE[[#This Row],[PERCEP.
UNIT.(US$)
✅CF]]*TABLA_BASE[[#This Row],[CANTIDAD
(unid.)]]</f>
        <v>0</v>
      </c>
      <c r="Q70" s="279">
        <f>TABLA_BASE[[#This Row],[ADV UNIT.
(US$)
⚠️COSTO]]+TABLA_BASE[[#This Row],[IPM UNIT.
(US$)
✅CF]]+TABLA_BASE[[#This Row],[IGV UNIT.
(US$)
✅CF]]</f>
        <v>0</v>
      </c>
      <c r="R70" s="280">
        <f>TABLA_BASE[[#This Row],[DEUDA
ADUANERA
UNIT.]]*TABLA_BASE[[#This Row],[CANTIDAD
(unid.)]]</f>
        <v>0</v>
      </c>
      <c r="S70" s="278">
        <f>TABLA_BASE[[#This Row],[DEUDA
ADUANERA
UNIT.]]*'📋 Datos Generales'!$E$19</f>
        <v>0</v>
      </c>
      <c r="T70" s="278">
        <f>TABLA_BASE[[#This Row],[DEUDA
ADUANERA
TOTAL]]*'📋 Datos Generales'!$E$19</f>
        <v>0</v>
      </c>
      <c r="U70" s="281">
        <f>TABLA_BASE[[#This Row],[ADV UNIT.
(US$)
⚠️COSTO]]*'📋 Datos Generales'!$E$19</f>
        <v>0</v>
      </c>
      <c r="V70" s="281">
        <f>TABLA_BASE[[#This Row],[ADV UNIT.
(S/.)]]*TABLA_BASE[[#This Row],[CANTIDAD
(unid.)]]</f>
        <v>0</v>
      </c>
      <c r="W70" s="281">
        <f>TABLA_BASE[[#This Row],[IPM UNIT.
(US$)
✅CF]]*'📋 Datos Generales'!$E$19</f>
        <v>0</v>
      </c>
      <c r="X70" s="281">
        <f>TABLA_BASE[[#This Row],[IPM UNIT.
(S/.)]]*TABLA_BASE[[#This Row],[CANTIDAD
(unid.)]]</f>
        <v>0</v>
      </c>
      <c r="Y70" s="281">
        <f>TABLA_BASE[[#This Row],[IGV UNIT.
(US$)
✅CF]]*'📋 Datos Generales'!$E$19</f>
        <v>0</v>
      </c>
      <c r="Z70" s="281">
        <f>TABLA_BASE[[#This Row],[IGV UNIT.
(S/.)]]*TABLA_BASE[[#This Row],[CANTIDAD
(unid.)]]</f>
        <v>0</v>
      </c>
      <c r="AA70" s="281">
        <f>TABLA_BASE[[#This Row],[PERCEP.
UNIT.(US$)
✅CF]]*'📋 Datos Generales'!$E$19</f>
        <v>0</v>
      </c>
      <c r="AB70" s="281">
        <f>TABLA_BASE[[#This Row],[PERCEP.
UNIT.(S/.)]]*TABLA_BASE[[#This Row],[CANTIDAD
(unid.)]]</f>
        <v>0</v>
      </c>
      <c r="AC70" s="279">
        <f>TABLA_BASE[[#This Row],[ADV UNIT.
(US$)
⚠️COSTO]]+TABLA_BASE[[#This Row],[IPM UNIT.
(US$)
✅CF]]+TABLA_BASE[[#This Row],[IGV UNIT.
(US$)
✅CF]]+TABLA_BASE[[#This Row],[PERCEP.
UNIT.(US$)
✅CF]]</f>
        <v>0</v>
      </c>
      <c r="AD70" s="279">
        <f>TABLA_BASE[[#This Row],[TOTAL PAGO
SUNAT
UNIT.(US$)]]*TABLA_BASE[[#This Row],[CANTIDAD
(unid.)]]</f>
        <v>0</v>
      </c>
      <c r="AE70" s="281">
        <f>TABLA_BASE[[#This Row],[TOTAL PAGO
SUNAT
UNIT.(US$)]]*'📋 Datos Generales'!$E$19</f>
        <v>0</v>
      </c>
      <c r="AF70" s="281">
        <f>TABLA_BASE[[#This Row],[TOTAL TRIB.
UNIT.(S/.)]]*TABLA_BASE[[#This Row],[CANTIDAD
(unid.)]]</f>
        <v>0</v>
      </c>
      <c r="AG70" s="279">
        <f>IF('🧾 Factura Comercial'!G74=0,0,'📦 Gastos Importación'!$E$28*(IF('🧾 Tributos Aduana'!$F$6=0,0,'🧾 Factura Comercial'!I74/'🧾 Tributos Aduana'!$F$6))/'🧾 Factura Comercial'!G74)</f>
        <v>0</v>
      </c>
      <c r="AH70" s="279">
        <f>TABLA_BASE[[#This Row],[GASTOS IMP.
UNIT.(US$)]]*TABLA_BASE[[#This Row],[CANTIDAD
(unid.)]]</f>
        <v>0</v>
      </c>
      <c r="AI70" s="281">
        <f>TABLA_BASE[[#This Row],[GASTOS IMP.
UNIT.(US$)]]*'📋 Datos Generales'!$E$19</f>
        <v>0</v>
      </c>
      <c r="AJ70" s="281">
        <f>TABLA_BASE[[#This Row],[GASTOS IMP.
UNIT.(S/.)]]*TABLA_BASE[[#This Row],[CANTIDAD
(unid.)]]</f>
        <v>0</v>
      </c>
      <c r="AK70" s="280">
        <f>'🧮 Costos x Producto'!J74</f>
        <v>0</v>
      </c>
      <c r="AL70" s="278">
        <f>'🧮 Costos x Producto'!K74</f>
        <v>0</v>
      </c>
      <c r="AM70" s="278">
        <f>TABLA_BASE[[#This Row],[C/M UNIT.
(S/.)]]*TABLA_BASE[[#This Row],[CANTIDAD
(unid.)]]</f>
        <v>0</v>
      </c>
      <c r="AN70" s="279">
        <f>IF('🧾 Factura Comercial'!G74=0,0,'🧾 Tributos Aduana'!$F$17*(IF('🧾 Tributos Aduana'!$F$6=0,0,'🧾 Factura Comercial'!I74/'🧾 Tributos Aduana'!$F$6))/'🧾 Factura Comercial'!G74)</f>
        <v>0</v>
      </c>
      <c r="AO70" s="280">
        <f>IF('🧾 Factura Comercial'!G74=0,0,'🏦 Crédito Fiscal'!$C$16*(IF('🧾 Tributos Aduana'!$F$6=0,0,'🧾 Factura Comercial'!I74/'🧾 Tributos Aduana'!$F$6))/'🧾 Factura Comercial'!G74)</f>
        <v>0</v>
      </c>
      <c r="AP70" s="278">
        <f>TABLA_BASE[[#This Row],[CF UNIT.
✅RECUP.
(US$)]]*'📋 Datos Generales'!$E$19</f>
        <v>0</v>
      </c>
      <c r="AQ70" s="278">
        <f>TABLA_BASE[[#This Row],[CF UNIT.
✅RECUP.(S/.)]]*TABLA_BASE[[#This Row],[CANTIDAD
(unid.)]]</f>
        <v>0</v>
      </c>
      <c r="AR70" s="288">
        <f>'💰 Precio de Venta'!G75</f>
        <v>0.4</v>
      </c>
      <c r="AS70" s="278">
        <f>'💰 Precio de Venta'!H75</f>
        <v>0</v>
      </c>
      <c r="AT70" s="278">
        <f>TABLA_BASE[[#This Row],[VALOR VTA.
UNIT.(S/.)]]*TABLA_BASE[[#This Row],[CANTIDAD
(unid.)]]</f>
        <v>0</v>
      </c>
      <c r="AU70" s="281">
        <f>'💰 Precio de Venta'!I75</f>
        <v>0</v>
      </c>
      <c r="AV70" s="278">
        <f>'💰 Precio de Venta'!J75</f>
        <v>0</v>
      </c>
      <c r="AW70" s="278">
        <f>TABLA_BASE[[#This Row],[GANANCIA
UNIT.(S/.)]]*TABLA_BASE[[#This Row],[CANTIDAD
(unid.)]]</f>
        <v>0</v>
      </c>
      <c r="AX70" s="289">
        <f>'💰 Precio de Venta'!K75</f>
        <v>0</v>
      </c>
      <c r="AY70" s="278">
        <f>TABLA_BASE[[#This Row],[GANANCIA
UNIT.(S/.)]]*'🧾 Factura Comercial'!G74</f>
        <v>0</v>
      </c>
      <c r="AZ70" s="277">
        <f>IF(TABLA_BASE[[#This Row],[PRECIO VTA.
c/IGV(S/.)]]=0,0,TABLA_BASE[[#This Row],[GANANCIA
UNIT.(S/.)]]/TABLA_BASE[[#This Row],[PRECIO VTA.
c/IGV(S/.)]])</f>
        <v>0</v>
      </c>
      <c r="BA70" s="277">
        <f>IF(TABLA_BASE[[#This Row],[C/M UNIT.
(S/.)]]=0,0,TABLA_BASE[[#This Row],[GANANCIA
UNIT.(S/.)]]/TABLA_BASE[[#This Row],[C/M UNIT.
(S/.)]])</f>
        <v>0</v>
      </c>
      <c r="BB70" s="274" t="str">
        <f>IF(TABLA_BASE[[#This Row],[MARGEN
%]]&gt;=0.5,"🟢 ALTO",IF(TABLA_BASE[[#This Row],[MARGEN
%]]&gt;=0.3,"🟡 MEDIO","🔴 BAJO"))</f>
        <v>🟡 MEDIO</v>
      </c>
    </row>
    <row r="71" spans="1:54" ht="16.5" hidden="1" thickTop="1" thickBot="1" x14ac:dyDescent="0.3">
      <c r="A71" s="274">
        <f>'🧾 Factura Comercial'!E75</f>
        <v>0</v>
      </c>
      <c r="B71" s="274" t="str">
        <f>'🧾 Factura Comercial'!F75</f>
        <v>Unid.</v>
      </c>
      <c r="C71" s="275">
        <f>'🧾 Factura Comercial'!G75</f>
        <v>0</v>
      </c>
      <c r="D71" s="276">
        <f>'🧾 Factura Comercial'!H75</f>
        <v>0</v>
      </c>
      <c r="E71" s="276">
        <f>'🧾 Factura Comercial'!I75</f>
        <v>0</v>
      </c>
      <c r="F71" s="277">
        <f>IF('🧾 Tributos Aduana'!$F$6=0,0,'🧾 Factura Comercial'!I75/'🧾 Tributos Aduana'!$F$6)</f>
        <v>0</v>
      </c>
      <c r="G71" s="278">
        <f>'🧾 Factura Comercial'!H75*'📋 Datos Generales'!$E$19</f>
        <v>0</v>
      </c>
      <c r="H71" s="278">
        <f>TABLA_BASE[[#This Row],[FOB UNIT.
(S/.)]]*TABLA_BASE[[#This Row],[CANTIDAD
(unid.)]]</f>
        <v>0</v>
      </c>
      <c r="I71" s="280">
        <f>IF('🧾 Tributos Aduana'!$F$6=0,0,'🧾 Tributos Aduana'!$F$17*('🧾 Factura Comercial'!H75/'🧾 Tributos Aduana'!$F$6))</f>
        <v>0</v>
      </c>
      <c r="J71" s="280">
        <f>TABLA_BASE[[#This Row],[ADV UNIT.
(US$)
⚠️COSTO]]*TABLA_BASE[[#This Row],[CANTIDAD
(unid.)]]</f>
        <v>0</v>
      </c>
      <c r="K71" s="279">
        <f>IF('🧾 Tributos Aduana'!$F$6=0,0,'🧾 Tributos Aduana'!$F$18*('🧾 Factura Comercial'!H75/'🧾 Tributos Aduana'!$F$6))</f>
        <v>0</v>
      </c>
      <c r="L71" s="280">
        <f>TABLA_BASE[[#This Row],[IPM UNIT.
(US$)
✅CF]]*TABLA_BASE[[#This Row],[CANTIDAD
(unid.)]]</f>
        <v>0</v>
      </c>
      <c r="M71" s="279">
        <f>IF('🧾 Tributos Aduana'!$F$6=0,0,'🧾 Tributos Aduana'!$F$19*('🧾 Factura Comercial'!H75/'🧾 Tributos Aduana'!$F$6))</f>
        <v>0</v>
      </c>
      <c r="N71" s="280">
        <f>TABLA_BASE[[#This Row],[IGV UNIT.
(US$)
✅CF]]*TABLA_BASE[[#This Row],[CANTIDAD
(unid.)]]</f>
        <v>0</v>
      </c>
      <c r="O71" s="280">
        <f>IF('🧾 Tributos Aduana'!$F$6=0,0,'🧾 Tributos Aduana'!$F$23*('🧾 Factura Comercial'!H75/'🧾 Tributos Aduana'!$F$6))</f>
        <v>0</v>
      </c>
      <c r="P71" s="280">
        <f>TABLA_BASE[[#This Row],[PERCEP.
UNIT.(US$)
✅CF]]*TABLA_BASE[[#This Row],[CANTIDAD
(unid.)]]</f>
        <v>0</v>
      </c>
      <c r="Q71" s="279">
        <f>TABLA_BASE[[#This Row],[ADV UNIT.
(US$)
⚠️COSTO]]+TABLA_BASE[[#This Row],[IPM UNIT.
(US$)
✅CF]]+TABLA_BASE[[#This Row],[IGV UNIT.
(US$)
✅CF]]</f>
        <v>0</v>
      </c>
      <c r="R71" s="280">
        <f>TABLA_BASE[[#This Row],[DEUDA
ADUANERA
UNIT.]]*TABLA_BASE[[#This Row],[CANTIDAD
(unid.)]]</f>
        <v>0</v>
      </c>
      <c r="S71" s="278">
        <f>TABLA_BASE[[#This Row],[DEUDA
ADUANERA
UNIT.]]*'📋 Datos Generales'!$E$19</f>
        <v>0</v>
      </c>
      <c r="T71" s="278">
        <f>TABLA_BASE[[#This Row],[DEUDA
ADUANERA
TOTAL]]*'📋 Datos Generales'!$E$19</f>
        <v>0</v>
      </c>
      <c r="U71" s="281">
        <f>TABLA_BASE[[#This Row],[ADV UNIT.
(US$)
⚠️COSTO]]*'📋 Datos Generales'!$E$19</f>
        <v>0</v>
      </c>
      <c r="V71" s="281">
        <f>TABLA_BASE[[#This Row],[ADV UNIT.
(S/.)]]*TABLA_BASE[[#This Row],[CANTIDAD
(unid.)]]</f>
        <v>0</v>
      </c>
      <c r="W71" s="281">
        <f>TABLA_BASE[[#This Row],[IPM UNIT.
(US$)
✅CF]]*'📋 Datos Generales'!$E$19</f>
        <v>0</v>
      </c>
      <c r="X71" s="281">
        <f>TABLA_BASE[[#This Row],[IPM UNIT.
(S/.)]]*TABLA_BASE[[#This Row],[CANTIDAD
(unid.)]]</f>
        <v>0</v>
      </c>
      <c r="Y71" s="281">
        <f>TABLA_BASE[[#This Row],[IGV UNIT.
(US$)
✅CF]]*'📋 Datos Generales'!$E$19</f>
        <v>0</v>
      </c>
      <c r="Z71" s="281">
        <f>TABLA_BASE[[#This Row],[IGV UNIT.
(S/.)]]*TABLA_BASE[[#This Row],[CANTIDAD
(unid.)]]</f>
        <v>0</v>
      </c>
      <c r="AA71" s="281">
        <f>TABLA_BASE[[#This Row],[PERCEP.
UNIT.(US$)
✅CF]]*'📋 Datos Generales'!$E$19</f>
        <v>0</v>
      </c>
      <c r="AB71" s="281">
        <f>TABLA_BASE[[#This Row],[PERCEP.
UNIT.(S/.)]]*TABLA_BASE[[#This Row],[CANTIDAD
(unid.)]]</f>
        <v>0</v>
      </c>
      <c r="AC71" s="279">
        <f>TABLA_BASE[[#This Row],[ADV UNIT.
(US$)
⚠️COSTO]]+TABLA_BASE[[#This Row],[IPM UNIT.
(US$)
✅CF]]+TABLA_BASE[[#This Row],[IGV UNIT.
(US$)
✅CF]]+TABLA_BASE[[#This Row],[PERCEP.
UNIT.(US$)
✅CF]]</f>
        <v>0</v>
      </c>
      <c r="AD71" s="279">
        <f>TABLA_BASE[[#This Row],[TOTAL PAGO
SUNAT
UNIT.(US$)]]*TABLA_BASE[[#This Row],[CANTIDAD
(unid.)]]</f>
        <v>0</v>
      </c>
      <c r="AE71" s="281">
        <f>TABLA_BASE[[#This Row],[TOTAL PAGO
SUNAT
UNIT.(US$)]]*'📋 Datos Generales'!$E$19</f>
        <v>0</v>
      </c>
      <c r="AF71" s="281">
        <f>TABLA_BASE[[#This Row],[TOTAL TRIB.
UNIT.(S/.)]]*TABLA_BASE[[#This Row],[CANTIDAD
(unid.)]]</f>
        <v>0</v>
      </c>
      <c r="AG71" s="279">
        <f>IF('🧾 Factura Comercial'!G75=0,0,'📦 Gastos Importación'!$E$28*(IF('🧾 Tributos Aduana'!$F$6=0,0,'🧾 Factura Comercial'!I75/'🧾 Tributos Aduana'!$F$6))/'🧾 Factura Comercial'!G75)</f>
        <v>0</v>
      </c>
      <c r="AH71" s="279">
        <f>TABLA_BASE[[#This Row],[GASTOS IMP.
UNIT.(US$)]]*TABLA_BASE[[#This Row],[CANTIDAD
(unid.)]]</f>
        <v>0</v>
      </c>
      <c r="AI71" s="281">
        <f>TABLA_BASE[[#This Row],[GASTOS IMP.
UNIT.(US$)]]*'📋 Datos Generales'!$E$19</f>
        <v>0</v>
      </c>
      <c r="AJ71" s="281">
        <f>TABLA_BASE[[#This Row],[GASTOS IMP.
UNIT.(S/.)]]*TABLA_BASE[[#This Row],[CANTIDAD
(unid.)]]</f>
        <v>0</v>
      </c>
      <c r="AK71" s="280">
        <f>'🧮 Costos x Producto'!J75</f>
        <v>0</v>
      </c>
      <c r="AL71" s="278">
        <f>'🧮 Costos x Producto'!K75</f>
        <v>0</v>
      </c>
      <c r="AM71" s="278">
        <f>TABLA_BASE[[#This Row],[C/M UNIT.
(S/.)]]*TABLA_BASE[[#This Row],[CANTIDAD
(unid.)]]</f>
        <v>0</v>
      </c>
      <c r="AN71" s="279">
        <f>IF('🧾 Factura Comercial'!G75=0,0,'🧾 Tributos Aduana'!$F$17*(IF('🧾 Tributos Aduana'!$F$6=0,0,'🧾 Factura Comercial'!I75/'🧾 Tributos Aduana'!$F$6))/'🧾 Factura Comercial'!G75)</f>
        <v>0</v>
      </c>
      <c r="AO71" s="280">
        <f>IF('🧾 Factura Comercial'!G75=0,0,'🏦 Crédito Fiscal'!$C$16*(IF('🧾 Tributos Aduana'!$F$6=0,0,'🧾 Factura Comercial'!I75/'🧾 Tributos Aduana'!$F$6))/'🧾 Factura Comercial'!G75)</f>
        <v>0</v>
      </c>
      <c r="AP71" s="278">
        <f>TABLA_BASE[[#This Row],[CF UNIT.
✅RECUP.
(US$)]]*'📋 Datos Generales'!$E$19</f>
        <v>0</v>
      </c>
      <c r="AQ71" s="278">
        <f>TABLA_BASE[[#This Row],[CF UNIT.
✅RECUP.(S/.)]]*TABLA_BASE[[#This Row],[CANTIDAD
(unid.)]]</f>
        <v>0</v>
      </c>
      <c r="AR71" s="288">
        <f>'💰 Precio de Venta'!G76</f>
        <v>0.4</v>
      </c>
      <c r="AS71" s="278">
        <f>'💰 Precio de Venta'!H76</f>
        <v>0</v>
      </c>
      <c r="AT71" s="278">
        <f>TABLA_BASE[[#This Row],[VALOR VTA.
UNIT.(S/.)]]*TABLA_BASE[[#This Row],[CANTIDAD
(unid.)]]</f>
        <v>0</v>
      </c>
      <c r="AU71" s="281">
        <f>'💰 Precio de Venta'!I76</f>
        <v>0</v>
      </c>
      <c r="AV71" s="278">
        <f>'💰 Precio de Venta'!J76</f>
        <v>0</v>
      </c>
      <c r="AW71" s="278">
        <f>TABLA_BASE[[#This Row],[GANANCIA
UNIT.(S/.)]]*TABLA_BASE[[#This Row],[CANTIDAD
(unid.)]]</f>
        <v>0</v>
      </c>
      <c r="AX71" s="289">
        <f>'💰 Precio de Venta'!K76</f>
        <v>0</v>
      </c>
      <c r="AY71" s="278">
        <f>TABLA_BASE[[#This Row],[GANANCIA
UNIT.(S/.)]]*'🧾 Factura Comercial'!G75</f>
        <v>0</v>
      </c>
      <c r="AZ71" s="277">
        <f>IF(TABLA_BASE[[#This Row],[PRECIO VTA.
c/IGV(S/.)]]=0,0,TABLA_BASE[[#This Row],[GANANCIA
UNIT.(S/.)]]/TABLA_BASE[[#This Row],[PRECIO VTA.
c/IGV(S/.)]])</f>
        <v>0</v>
      </c>
      <c r="BA71" s="277">
        <f>IF(TABLA_BASE[[#This Row],[C/M UNIT.
(S/.)]]=0,0,TABLA_BASE[[#This Row],[GANANCIA
UNIT.(S/.)]]/TABLA_BASE[[#This Row],[C/M UNIT.
(S/.)]])</f>
        <v>0</v>
      </c>
      <c r="BB71" s="274" t="str">
        <f>IF(TABLA_BASE[[#This Row],[MARGEN
%]]&gt;=0.5,"🟢 ALTO",IF(TABLA_BASE[[#This Row],[MARGEN
%]]&gt;=0.3,"🟡 MEDIO","🔴 BAJO"))</f>
        <v>🟡 MEDIO</v>
      </c>
    </row>
    <row r="72" spans="1:54" ht="16.5" hidden="1" thickTop="1" thickBot="1" x14ac:dyDescent="0.3">
      <c r="A72" s="274">
        <f>'🧾 Factura Comercial'!E76</f>
        <v>0</v>
      </c>
      <c r="B72" s="274" t="str">
        <f>'🧾 Factura Comercial'!F76</f>
        <v>Unid.</v>
      </c>
      <c r="C72" s="275">
        <f>'🧾 Factura Comercial'!G76</f>
        <v>0</v>
      </c>
      <c r="D72" s="276">
        <f>'🧾 Factura Comercial'!H76</f>
        <v>0</v>
      </c>
      <c r="E72" s="276">
        <f>'🧾 Factura Comercial'!I76</f>
        <v>0</v>
      </c>
      <c r="F72" s="277">
        <f>IF('🧾 Tributos Aduana'!$F$6=0,0,'🧾 Factura Comercial'!I76/'🧾 Tributos Aduana'!$F$6)</f>
        <v>0</v>
      </c>
      <c r="G72" s="278">
        <f>'🧾 Factura Comercial'!H76*'📋 Datos Generales'!$E$19</f>
        <v>0</v>
      </c>
      <c r="H72" s="278">
        <f>TABLA_BASE[[#This Row],[FOB UNIT.
(S/.)]]*TABLA_BASE[[#This Row],[CANTIDAD
(unid.)]]</f>
        <v>0</v>
      </c>
      <c r="I72" s="280">
        <f>IF('🧾 Tributos Aduana'!$F$6=0,0,'🧾 Tributos Aduana'!$F$17*('🧾 Factura Comercial'!H76/'🧾 Tributos Aduana'!$F$6))</f>
        <v>0</v>
      </c>
      <c r="J72" s="280">
        <f>TABLA_BASE[[#This Row],[ADV UNIT.
(US$)
⚠️COSTO]]*TABLA_BASE[[#This Row],[CANTIDAD
(unid.)]]</f>
        <v>0</v>
      </c>
      <c r="K72" s="279">
        <f>IF('🧾 Tributos Aduana'!$F$6=0,0,'🧾 Tributos Aduana'!$F$18*('🧾 Factura Comercial'!H76/'🧾 Tributos Aduana'!$F$6))</f>
        <v>0</v>
      </c>
      <c r="L72" s="280">
        <f>TABLA_BASE[[#This Row],[IPM UNIT.
(US$)
✅CF]]*TABLA_BASE[[#This Row],[CANTIDAD
(unid.)]]</f>
        <v>0</v>
      </c>
      <c r="M72" s="279">
        <f>IF('🧾 Tributos Aduana'!$F$6=0,0,'🧾 Tributos Aduana'!$F$19*('🧾 Factura Comercial'!H76/'🧾 Tributos Aduana'!$F$6))</f>
        <v>0</v>
      </c>
      <c r="N72" s="280">
        <f>TABLA_BASE[[#This Row],[IGV UNIT.
(US$)
✅CF]]*TABLA_BASE[[#This Row],[CANTIDAD
(unid.)]]</f>
        <v>0</v>
      </c>
      <c r="O72" s="280">
        <f>IF('🧾 Tributos Aduana'!$F$6=0,0,'🧾 Tributos Aduana'!$F$23*('🧾 Factura Comercial'!H76/'🧾 Tributos Aduana'!$F$6))</f>
        <v>0</v>
      </c>
      <c r="P72" s="280">
        <f>TABLA_BASE[[#This Row],[PERCEP.
UNIT.(US$)
✅CF]]*TABLA_BASE[[#This Row],[CANTIDAD
(unid.)]]</f>
        <v>0</v>
      </c>
      <c r="Q72" s="279">
        <f>TABLA_BASE[[#This Row],[ADV UNIT.
(US$)
⚠️COSTO]]+TABLA_BASE[[#This Row],[IPM UNIT.
(US$)
✅CF]]+TABLA_BASE[[#This Row],[IGV UNIT.
(US$)
✅CF]]</f>
        <v>0</v>
      </c>
      <c r="R72" s="280">
        <f>TABLA_BASE[[#This Row],[DEUDA
ADUANERA
UNIT.]]*TABLA_BASE[[#This Row],[CANTIDAD
(unid.)]]</f>
        <v>0</v>
      </c>
      <c r="S72" s="278">
        <f>TABLA_BASE[[#This Row],[DEUDA
ADUANERA
UNIT.]]*'📋 Datos Generales'!$E$19</f>
        <v>0</v>
      </c>
      <c r="T72" s="278">
        <f>TABLA_BASE[[#This Row],[DEUDA
ADUANERA
TOTAL]]*'📋 Datos Generales'!$E$19</f>
        <v>0</v>
      </c>
      <c r="U72" s="281">
        <f>TABLA_BASE[[#This Row],[ADV UNIT.
(US$)
⚠️COSTO]]*'📋 Datos Generales'!$E$19</f>
        <v>0</v>
      </c>
      <c r="V72" s="281">
        <f>TABLA_BASE[[#This Row],[ADV UNIT.
(S/.)]]*TABLA_BASE[[#This Row],[CANTIDAD
(unid.)]]</f>
        <v>0</v>
      </c>
      <c r="W72" s="281">
        <f>TABLA_BASE[[#This Row],[IPM UNIT.
(US$)
✅CF]]*'📋 Datos Generales'!$E$19</f>
        <v>0</v>
      </c>
      <c r="X72" s="281">
        <f>TABLA_BASE[[#This Row],[IPM UNIT.
(S/.)]]*TABLA_BASE[[#This Row],[CANTIDAD
(unid.)]]</f>
        <v>0</v>
      </c>
      <c r="Y72" s="281">
        <f>TABLA_BASE[[#This Row],[IGV UNIT.
(US$)
✅CF]]*'📋 Datos Generales'!$E$19</f>
        <v>0</v>
      </c>
      <c r="Z72" s="281">
        <f>TABLA_BASE[[#This Row],[IGV UNIT.
(S/.)]]*TABLA_BASE[[#This Row],[CANTIDAD
(unid.)]]</f>
        <v>0</v>
      </c>
      <c r="AA72" s="281">
        <f>TABLA_BASE[[#This Row],[PERCEP.
UNIT.(US$)
✅CF]]*'📋 Datos Generales'!$E$19</f>
        <v>0</v>
      </c>
      <c r="AB72" s="281">
        <f>TABLA_BASE[[#This Row],[PERCEP.
UNIT.(S/.)]]*TABLA_BASE[[#This Row],[CANTIDAD
(unid.)]]</f>
        <v>0</v>
      </c>
      <c r="AC72" s="279">
        <f>TABLA_BASE[[#This Row],[ADV UNIT.
(US$)
⚠️COSTO]]+TABLA_BASE[[#This Row],[IPM UNIT.
(US$)
✅CF]]+TABLA_BASE[[#This Row],[IGV UNIT.
(US$)
✅CF]]+TABLA_BASE[[#This Row],[PERCEP.
UNIT.(US$)
✅CF]]</f>
        <v>0</v>
      </c>
      <c r="AD72" s="279">
        <f>TABLA_BASE[[#This Row],[TOTAL PAGO
SUNAT
UNIT.(US$)]]*TABLA_BASE[[#This Row],[CANTIDAD
(unid.)]]</f>
        <v>0</v>
      </c>
      <c r="AE72" s="281">
        <f>TABLA_BASE[[#This Row],[TOTAL PAGO
SUNAT
UNIT.(US$)]]*'📋 Datos Generales'!$E$19</f>
        <v>0</v>
      </c>
      <c r="AF72" s="281">
        <f>TABLA_BASE[[#This Row],[TOTAL TRIB.
UNIT.(S/.)]]*TABLA_BASE[[#This Row],[CANTIDAD
(unid.)]]</f>
        <v>0</v>
      </c>
      <c r="AG72" s="279">
        <f>IF('🧾 Factura Comercial'!G76=0,0,'📦 Gastos Importación'!$E$28*(IF('🧾 Tributos Aduana'!$F$6=0,0,'🧾 Factura Comercial'!I76/'🧾 Tributos Aduana'!$F$6))/'🧾 Factura Comercial'!G76)</f>
        <v>0</v>
      </c>
      <c r="AH72" s="279">
        <f>TABLA_BASE[[#This Row],[GASTOS IMP.
UNIT.(US$)]]*TABLA_BASE[[#This Row],[CANTIDAD
(unid.)]]</f>
        <v>0</v>
      </c>
      <c r="AI72" s="281">
        <f>TABLA_BASE[[#This Row],[GASTOS IMP.
UNIT.(US$)]]*'📋 Datos Generales'!$E$19</f>
        <v>0</v>
      </c>
      <c r="AJ72" s="281">
        <f>TABLA_BASE[[#This Row],[GASTOS IMP.
UNIT.(S/.)]]*TABLA_BASE[[#This Row],[CANTIDAD
(unid.)]]</f>
        <v>0</v>
      </c>
      <c r="AK72" s="280">
        <f>'🧮 Costos x Producto'!J76</f>
        <v>0</v>
      </c>
      <c r="AL72" s="278">
        <f>'🧮 Costos x Producto'!K76</f>
        <v>0</v>
      </c>
      <c r="AM72" s="278">
        <f>TABLA_BASE[[#This Row],[C/M UNIT.
(S/.)]]*TABLA_BASE[[#This Row],[CANTIDAD
(unid.)]]</f>
        <v>0</v>
      </c>
      <c r="AN72" s="279">
        <f>IF('🧾 Factura Comercial'!G76=0,0,'🧾 Tributos Aduana'!$F$17*(IF('🧾 Tributos Aduana'!$F$6=0,0,'🧾 Factura Comercial'!I76/'🧾 Tributos Aduana'!$F$6))/'🧾 Factura Comercial'!G76)</f>
        <v>0</v>
      </c>
      <c r="AO72" s="280">
        <f>IF('🧾 Factura Comercial'!G76=0,0,'🏦 Crédito Fiscal'!$C$16*(IF('🧾 Tributos Aduana'!$F$6=0,0,'🧾 Factura Comercial'!I76/'🧾 Tributos Aduana'!$F$6))/'🧾 Factura Comercial'!G76)</f>
        <v>0</v>
      </c>
      <c r="AP72" s="278">
        <f>TABLA_BASE[[#This Row],[CF UNIT.
✅RECUP.
(US$)]]*'📋 Datos Generales'!$E$19</f>
        <v>0</v>
      </c>
      <c r="AQ72" s="278">
        <f>TABLA_BASE[[#This Row],[CF UNIT.
✅RECUP.(S/.)]]*TABLA_BASE[[#This Row],[CANTIDAD
(unid.)]]</f>
        <v>0</v>
      </c>
      <c r="AR72" s="288">
        <f>'💰 Precio de Venta'!G77</f>
        <v>0.4</v>
      </c>
      <c r="AS72" s="278">
        <f>'💰 Precio de Venta'!H77</f>
        <v>0</v>
      </c>
      <c r="AT72" s="278">
        <f>TABLA_BASE[[#This Row],[VALOR VTA.
UNIT.(S/.)]]*TABLA_BASE[[#This Row],[CANTIDAD
(unid.)]]</f>
        <v>0</v>
      </c>
      <c r="AU72" s="281">
        <f>'💰 Precio de Venta'!I77</f>
        <v>0</v>
      </c>
      <c r="AV72" s="278">
        <f>'💰 Precio de Venta'!J77</f>
        <v>0</v>
      </c>
      <c r="AW72" s="278">
        <f>TABLA_BASE[[#This Row],[GANANCIA
UNIT.(S/.)]]*TABLA_BASE[[#This Row],[CANTIDAD
(unid.)]]</f>
        <v>0</v>
      </c>
      <c r="AX72" s="289">
        <f>'💰 Precio de Venta'!K77</f>
        <v>0</v>
      </c>
      <c r="AY72" s="278">
        <f>TABLA_BASE[[#This Row],[GANANCIA
UNIT.(S/.)]]*'🧾 Factura Comercial'!G76</f>
        <v>0</v>
      </c>
      <c r="AZ72" s="277">
        <f>IF(TABLA_BASE[[#This Row],[PRECIO VTA.
c/IGV(S/.)]]=0,0,TABLA_BASE[[#This Row],[GANANCIA
UNIT.(S/.)]]/TABLA_BASE[[#This Row],[PRECIO VTA.
c/IGV(S/.)]])</f>
        <v>0</v>
      </c>
      <c r="BA72" s="277">
        <f>IF(TABLA_BASE[[#This Row],[C/M UNIT.
(S/.)]]=0,0,TABLA_BASE[[#This Row],[GANANCIA
UNIT.(S/.)]]/TABLA_BASE[[#This Row],[C/M UNIT.
(S/.)]])</f>
        <v>0</v>
      </c>
      <c r="BB72" s="274" t="str">
        <f>IF(TABLA_BASE[[#This Row],[MARGEN
%]]&gt;=0.5,"🟢 ALTO",IF(TABLA_BASE[[#This Row],[MARGEN
%]]&gt;=0.3,"🟡 MEDIO","🔴 BAJO"))</f>
        <v>🟡 MEDIO</v>
      </c>
    </row>
    <row r="73" spans="1:54" ht="16.5" hidden="1" thickTop="1" thickBot="1" x14ac:dyDescent="0.3">
      <c r="A73" s="274">
        <f>'🧾 Factura Comercial'!E77</f>
        <v>0</v>
      </c>
      <c r="B73" s="274" t="str">
        <f>'🧾 Factura Comercial'!F77</f>
        <v>Unid.</v>
      </c>
      <c r="C73" s="275">
        <f>'🧾 Factura Comercial'!G77</f>
        <v>0</v>
      </c>
      <c r="D73" s="276">
        <f>'🧾 Factura Comercial'!H77</f>
        <v>0</v>
      </c>
      <c r="E73" s="276">
        <f>'🧾 Factura Comercial'!I77</f>
        <v>0</v>
      </c>
      <c r="F73" s="277">
        <f>IF('🧾 Tributos Aduana'!$F$6=0,0,'🧾 Factura Comercial'!I77/'🧾 Tributos Aduana'!$F$6)</f>
        <v>0</v>
      </c>
      <c r="G73" s="278">
        <f>'🧾 Factura Comercial'!H77*'📋 Datos Generales'!$E$19</f>
        <v>0</v>
      </c>
      <c r="H73" s="278">
        <f>TABLA_BASE[[#This Row],[FOB UNIT.
(S/.)]]*TABLA_BASE[[#This Row],[CANTIDAD
(unid.)]]</f>
        <v>0</v>
      </c>
      <c r="I73" s="280">
        <f>IF('🧾 Tributos Aduana'!$F$6=0,0,'🧾 Tributos Aduana'!$F$17*('🧾 Factura Comercial'!H77/'🧾 Tributos Aduana'!$F$6))</f>
        <v>0</v>
      </c>
      <c r="J73" s="280">
        <f>TABLA_BASE[[#This Row],[ADV UNIT.
(US$)
⚠️COSTO]]*TABLA_BASE[[#This Row],[CANTIDAD
(unid.)]]</f>
        <v>0</v>
      </c>
      <c r="K73" s="279">
        <f>IF('🧾 Tributos Aduana'!$F$6=0,0,'🧾 Tributos Aduana'!$F$18*('🧾 Factura Comercial'!H77/'🧾 Tributos Aduana'!$F$6))</f>
        <v>0</v>
      </c>
      <c r="L73" s="280">
        <f>TABLA_BASE[[#This Row],[IPM UNIT.
(US$)
✅CF]]*TABLA_BASE[[#This Row],[CANTIDAD
(unid.)]]</f>
        <v>0</v>
      </c>
      <c r="M73" s="279">
        <f>IF('🧾 Tributos Aduana'!$F$6=0,0,'🧾 Tributos Aduana'!$F$19*('🧾 Factura Comercial'!H77/'🧾 Tributos Aduana'!$F$6))</f>
        <v>0</v>
      </c>
      <c r="N73" s="280">
        <f>TABLA_BASE[[#This Row],[IGV UNIT.
(US$)
✅CF]]*TABLA_BASE[[#This Row],[CANTIDAD
(unid.)]]</f>
        <v>0</v>
      </c>
      <c r="O73" s="280">
        <f>IF('🧾 Tributos Aduana'!$F$6=0,0,'🧾 Tributos Aduana'!$F$23*('🧾 Factura Comercial'!H77/'🧾 Tributos Aduana'!$F$6))</f>
        <v>0</v>
      </c>
      <c r="P73" s="280">
        <f>TABLA_BASE[[#This Row],[PERCEP.
UNIT.(US$)
✅CF]]*TABLA_BASE[[#This Row],[CANTIDAD
(unid.)]]</f>
        <v>0</v>
      </c>
      <c r="Q73" s="279">
        <f>TABLA_BASE[[#This Row],[ADV UNIT.
(US$)
⚠️COSTO]]+TABLA_BASE[[#This Row],[IPM UNIT.
(US$)
✅CF]]+TABLA_BASE[[#This Row],[IGV UNIT.
(US$)
✅CF]]</f>
        <v>0</v>
      </c>
      <c r="R73" s="280">
        <f>TABLA_BASE[[#This Row],[DEUDA
ADUANERA
UNIT.]]*TABLA_BASE[[#This Row],[CANTIDAD
(unid.)]]</f>
        <v>0</v>
      </c>
      <c r="S73" s="278">
        <f>TABLA_BASE[[#This Row],[DEUDA
ADUANERA
UNIT.]]*'📋 Datos Generales'!$E$19</f>
        <v>0</v>
      </c>
      <c r="T73" s="278">
        <f>TABLA_BASE[[#This Row],[DEUDA
ADUANERA
TOTAL]]*'📋 Datos Generales'!$E$19</f>
        <v>0</v>
      </c>
      <c r="U73" s="281">
        <f>TABLA_BASE[[#This Row],[ADV UNIT.
(US$)
⚠️COSTO]]*'📋 Datos Generales'!$E$19</f>
        <v>0</v>
      </c>
      <c r="V73" s="281">
        <f>TABLA_BASE[[#This Row],[ADV UNIT.
(S/.)]]*TABLA_BASE[[#This Row],[CANTIDAD
(unid.)]]</f>
        <v>0</v>
      </c>
      <c r="W73" s="281">
        <f>TABLA_BASE[[#This Row],[IPM UNIT.
(US$)
✅CF]]*'📋 Datos Generales'!$E$19</f>
        <v>0</v>
      </c>
      <c r="X73" s="281">
        <f>TABLA_BASE[[#This Row],[IPM UNIT.
(S/.)]]*TABLA_BASE[[#This Row],[CANTIDAD
(unid.)]]</f>
        <v>0</v>
      </c>
      <c r="Y73" s="281">
        <f>TABLA_BASE[[#This Row],[IGV UNIT.
(US$)
✅CF]]*'📋 Datos Generales'!$E$19</f>
        <v>0</v>
      </c>
      <c r="Z73" s="281">
        <f>TABLA_BASE[[#This Row],[IGV UNIT.
(S/.)]]*TABLA_BASE[[#This Row],[CANTIDAD
(unid.)]]</f>
        <v>0</v>
      </c>
      <c r="AA73" s="281">
        <f>TABLA_BASE[[#This Row],[PERCEP.
UNIT.(US$)
✅CF]]*'📋 Datos Generales'!$E$19</f>
        <v>0</v>
      </c>
      <c r="AB73" s="281">
        <f>TABLA_BASE[[#This Row],[PERCEP.
UNIT.(S/.)]]*TABLA_BASE[[#This Row],[CANTIDAD
(unid.)]]</f>
        <v>0</v>
      </c>
      <c r="AC73" s="279">
        <f>TABLA_BASE[[#This Row],[ADV UNIT.
(US$)
⚠️COSTO]]+TABLA_BASE[[#This Row],[IPM UNIT.
(US$)
✅CF]]+TABLA_BASE[[#This Row],[IGV UNIT.
(US$)
✅CF]]+TABLA_BASE[[#This Row],[PERCEP.
UNIT.(US$)
✅CF]]</f>
        <v>0</v>
      </c>
      <c r="AD73" s="279">
        <f>TABLA_BASE[[#This Row],[TOTAL PAGO
SUNAT
UNIT.(US$)]]*TABLA_BASE[[#This Row],[CANTIDAD
(unid.)]]</f>
        <v>0</v>
      </c>
      <c r="AE73" s="281">
        <f>TABLA_BASE[[#This Row],[TOTAL PAGO
SUNAT
UNIT.(US$)]]*'📋 Datos Generales'!$E$19</f>
        <v>0</v>
      </c>
      <c r="AF73" s="281">
        <f>TABLA_BASE[[#This Row],[TOTAL TRIB.
UNIT.(S/.)]]*TABLA_BASE[[#This Row],[CANTIDAD
(unid.)]]</f>
        <v>0</v>
      </c>
      <c r="AG73" s="279">
        <f>IF('🧾 Factura Comercial'!G77=0,0,'📦 Gastos Importación'!$E$28*(IF('🧾 Tributos Aduana'!$F$6=0,0,'🧾 Factura Comercial'!I77/'🧾 Tributos Aduana'!$F$6))/'🧾 Factura Comercial'!G77)</f>
        <v>0</v>
      </c>
      <c r="AH73" s="279">
        <f>TABLA_BASE[[#This Row],[GASTOS IMP.
UNIT.(US$)]]*TABLA_BASE[[#This Row],[CANTIDAD
(unid.)]]</f>
        <v>0</v>
      </c>
      <c r="AI73" s="281">
        <f>TABLA_BASE[[#This Row],[GASTOS IMP.
UNIT.(US$)]]*'📋 Datos Generales'!$E$19</f>
        <v>0</v>
      </c>
      <c r="AJ73" s="281">
        <f>TABLA_BASE[[#This Row],[GASTOS IMP.
UNIT.(S/.)]]*TABLA_BASE[[#This Row],[CANTIDAD
(unid.)]]</f>
        <v>0</v>
      </c>
      <c r="AK73" s="280">
        <f>'🧮 Costos x Producto'!J77</f>
        <v>0</v>
      </c>
      <c r="AL73" s="278">
        <f>'🧮 Costos x Producto'!K77</f>
        <v>0</v>
      </c>
      <c r="AM73" s="278">
        <f>TABLA_BASE[[#This Row],[C/M UNIT.
(S/.)]]*TABLA_BASE[[#This Row],[CANTIDAD
(unid.)]]</f>
        <v>0</v>
      </c>
      <c r="AN73" s="279">
        <f>IF('🧾 Factura Comercial'!G77=0,0,'🧾 Tributos Aduana'!$F$17*(IF('🧾 Tributos Aduana'!$F$6=0,0,'🧾 Factura Comercial'!I77/'🧾 Tributos Aduana'!$F$6))/'🧾 Factura Comercial'!G77)</f>
        <v>0</v>
      </c>
      <c r="AO73" s="280">
        <f>IF('🧾 Factura Comercial'!G77=0,0,'🏦 Crédito Fiscal'!$C$16*(IF('🧾 Tributos Aduana'!$F$6=0,0,'🧾 Factura Comercial'!I77/'🧾 Tributos Aduana'!$F$6))/'🧾 Factura Comercial'!G77)</f>
        <v>0</v>
      </c>
      <c r="AP73" s="278">
        <f>TABLA_BASE[[#This Row],[CF UNIT.
✅RECUP.
(US$)]]*'📋 Datos Generales'!$E$19</f>
        <v>0</v>
      </c>
      <c r="AQ73" s="278">
        <f>TABLA_BASE[[#This Row],[CF UNIT.
✅RECUP.(S/.)]]*TABLA_BASE[[#This Row],[CANTIDAD
(unid.)]]</f>
        <v>0</v>
      </c>
      <c r="AR73" s="288">
        <f>'💰 Precio de Venta'!G78</f>
        <v>0.4</v>
      </c>
      <c r="AS73" s="278">
        <f>'💰 Precio de Venta'!H78</f>
        <v>0</v>
      </c>
      <c r="AT73" s="278">
        <f>TABLA_BASE[[#This Row],[VALOR VTA.
UNIT.(S/.)]]*TABLA_BASE[[#This Row],[CANTIDAD
(unid.)]]</f>
        <v>0</v>
      </c>
      <c r="AU73" s="281">
        <f>'💰 Precio de Venta'!I78</f>
        <v>0</v>
      </c>
      <c r="AV73" s="278">
        <f>'💰 Precio de Venta'!J78</f>
        <v>0</v>
      </c>
      <c r="AW73" s="278">
        <f>TABLA_BASE[[#This Row],[GANANCIA
UNIT.(S/.)]]*TABLA_BASE[[#This Row],[CANTIDAD
(unid.)]]</f>
        <v>0</v>
      </c>
      <c r="AX73" s="289">
        <f>'💰 Precio de Venta'!K78</f>
        <v>0</v>
      </c>
      <c r="AY73" s="278">
        <f>TABLA_BASE[[#This Row],[GANANCIA
UNIT.(S/.)]]*'🧾 Factura Comercial'!G77</f>
        <v>0</v>
      </c>
      <c r="AZ73" s="277">
        <f>IF(TABLA_BASE[[#This Row],[PRECIO VTA.
c/IGV(S/.)]]=0,0,TABLA_BASE[[#This Row],[GANANCIA
UNIT.(S/.)]]/TABLA_BASE[[#This Row],[PRECIO VTA.
c/IGV(S/.)]])</f>
        <v>0</v>
      </c>
      <c r="BA73" s="277">
        <f>IF(TABLA_BASE[[#This Row],[C/M UNIT.
(S/.)]]=0,0,TABLA_BASE[[#This Row],[GANANCIA
UNIT.(S/.)]]/TABLA_BASE[[#This Row],[C/M UNIT.
(S/.)]])</f>
        <v>0</v>
      </c>
      <c r="BB73" s="274" t="str">
        <f>IF(TABLA_BASE[[#This Row],[MARGEN
%]]&gt;=0.5,"🟢 ALTO",IF(TABLA_BASE[[#This Row],[MARGEN
%]]&gt;=0.3,"🟡 MEDIO","🔴 BAJO"))</f>
        <v>🟡 MEDIO</v>
      </c>
    </row>
    <row r="74" spans="1:54" ht="16.5" hidden="1" thickTop="1" thickBot="1" x14ac:dyDescent="0.3">
      <c r="A74" s="274">
        <f>'🧾 Factura Comercial'!E78</f>
        <v>0</v>
      </c>
      <c r="B74" s="274" t="str">
        <f>'🧾 Factura Comercial'!F78</f>
        <v>Unid.</v>
      </c>
      <c r="C74" s="275">
        <f>'🧾 Factura Comercial'!G78</f>
        <v>0</v>
      </c>
      <c r="D74" s="276">
        <f>'🧾 Factura Comercial'!H78</f>
        <v>0</v>
      </c>
      <c r="E74" s="276">
        <f>'🧾 Factura Comercial'!I78</f>
        <v>0</v>
      </c>
      <c r="F74" s="277">
        <f>IF('🧾 Tributos Aduana'!$F$6=0,0,'🧾 Factura Comercial'!I78/'🧾 Tributos Aduana'!$F$6)</f>
        <v>0</v>
      </c>
      <c r="G74" s="278">
        <f>'🧾 Factura Comercial'!H78*'📋 Datos Generales'!$E$19</f>
        <v>0</v>
      </c>
      <c r="H74" s="278">
        <f>TABLA_BASE[[#This Row],[FOB UNIT.
(S/.)]]*TABLA_BASE[[#This Row],[CANTIDAD
(unid.)]]</f>
        <v>0</v>
      </c>
      <c r="I74" s="280">
        <f>IF('🧾 Tributos Aduana'!$F$6=0,0,'🧾 Tributos Aduana'!$F$17*('🧾 Factura Comercial'!H78/'🧾 Tributos Aduana'!$F$6))</f>
        <v>0</v>
      </c>
      <c r="J74" s="280">
        <f>TABLA_BASE[[#This Row],[ADV UNIT.
(US$)
⚠️COSTO]]*TABLA_BASE[[#This Row],[CANTIDAD
(unid.)]]</f>
        <v>0</v>
      </c>
      <c r="K74" s="279">
        <f>IF('🧾 Tributos Aduana'!$F$6=0,0,'🧾 Tributos Aduana'!$F$18*('🧾 Factura Comercial'!H78/'🧾 Tributos Aduana'!$F$6))</f>
        <v>0</v>
      </c>
      <c r="L74" s="280">
        <f>TABLA_BASE[[#This Row],[IPM UNIT.
(US$)
✅CF]]*TABLA_BASE[[#This Row],[CANTIDAD
(unid.)]]</f>
        <v>0</v>
      </c>
      <c r="M74" s="279">
        <f>IF('🧾 Tributos Aduana'!$F$6=0,0,'🧾 Tributos Aduana'!$F$19*('🧾 Factura Comercial'!H78/'🧾 Tributos Aduana'!$F$6))</f>
        <v>0</v>
      </c>
      <c r="N74" s="280">
        <f>TABLA_BASE[[#This Row],[IGV UNIT.
(US$)
✅CF]]*TABLA_BASE[[#This Row],[CANTIDAD
(unid.)]]</f>
        <v>0</v>
      </c>
      <c r="O74" s="280">
        <f>IF('🧾 Tributos Aduana'!$F$6=0,0,'🧾 Tributos Aduana'!$F$23*('🧾 Factura Comercial'!H78/'🧾 Tributos Aduana'!$F$6))</f>
        <v>0</v>
      </c>
      <c r="P74" s="280">
        <f>TABLA_BASE[[#This Row],[PERCEP.
UNIT.(US$)
✅CF]]*TABLA_BASE[[#This Row],[CANTIDAD
(unid.)]]</f>
        <v>0</v>
      </c>
      <c r="Q74" s="279">
        <f>TABLA_BASE[[#This Row],[ADV UNIT.
(US$)
⚠️COSTO]]+TABLA_BASE[[#This Row],[IPM UNIT.
(US$)
✅CF]]+TABLA_BASE[[#This Row],[IGV UNIT.
(US$)
✅CF]]</f>
        <v>0</v>
      </c>
      <c r="R74" s="280">
        <f>TABLA_BASE[[#This Row],[DEUDA
ADUANERA
UNIT.]]*TABLA_BASE[[#This Row],[CANTIDAD
(unid.)]]</f>
        <v>0</v>
      </c>
      <c r="S74" s="278">
        <f>TABLA_BASE[[#This Row],[DEUDA
ADUANERA
UNIT.]]*'📋 Datos Generales'!$E$19</f>
        <v>0</v>
      </c>
      <c r="T74" s="278">
        <f>TABLA_BASE[[#This Row],[DEUDA
ADUANERA
TOTAL]]*'📋 Datos Generales'!$E$19</f>
        <v>0</v>
      </c>
      <c r="U74" s="281">
        <f>TABLA_BASE[[#This Row],[ADV UNIT.
(US$)
⚠️COSTO]]*'📋 Datos Generales'!$E$19</f>
        <v>0</v>
      </c>
      <c r="V74" s="281">
        <f>TABLA_BASE[[#This Row],[ADV UNIT.
(S/.)]]*TABLA_BASE[[#This Row],[CANTIDAD
(unid.)]]</f>
        <v>0</v>
      </c>
      <c r="W74" s="281">
        <f>TABLA_BASE[[#This Row],[IPM UNIT.
(US$)
✅CF]]*'📋 Datos Generales'!$E$19</f>
        <v>0</v>
      </c>
      <c r="X74" s="281">
        <f>TABLA_BASE[[#This Row],[IPM UNIT.
(S/.)]]*TABLA_BASE[[#This Row],[CANTIDAD
(unid.)]]</f>
        <v>0</v>
      </c>
      <c r="Y74" s="281">
        <f>TABLA_BASE[[#This Row],[IGV UNIT.
(US$)
✅CF]]*'📋 Datos Generales'!$E$19</f>
        <v>0</v>
      </c>
      <c r="Z74" s="281">
        <f>TABLA_BASE[[#This Row],[IGV UNIT.
(S/.)]]*TABLA_BASE[[#This Row],[CANTIDAD
(unid.)]]</f>
        <v>0</v>
      </c>
      <c r="AA74" s="281">
        <f>TABLA_BASE[[#This Row],[PERCEP.
UNIT.(US$)
✅CF]]*'📋 Datos Generales'!$E$19</f>
        <v>0</v>
      </c>
      <c r="AB74" s="281">
        <f>TABLA_BASE[[#This Row],[PERCEP.
UNIT.(S/.)]]*TABLA_BASE[[#This Row],[CANTIDAD
(unid.)]]</f>
        <v>0</v>
      </c>
      <c r="AC74" s="279">
        <f>TABLA_BASE[[#This Row],[ADV UNIT.
(US$)
⚠️COSTO]]+TABLA_BASE[[#This Row],[IPM UNIT.
(US$)
✅CF]]+TABLA_BASE[[#This Row],[IGV UNIT.
(US$)
✅CF]]+TABLA_BASE[[#This Row],[PERCEP.
UNIT.(US$)
✅CF]]</f>
        <v>0</v>
      </c>
      <c r="AD74" s="279">
        <f>TABLA_BASE[[#This Row],[TOTAL PAGO
SUNAT
UNIT.(US$)]]*TABLA_BASE[[#This Row],[CANTIDAD
(unid.)]]</f>
        <v>0</v>
      </c>
      <c r="AE74" s="281">
        <f>TABLA_BASE[[#This Row],[TOTAL PAGO
SUNAT
UNIT.(US$)]]*'📋 Datos Generales'!$E$19</f>
        <v>0</v>
      </c>
      <c r="AF74" s="281">
        <f>TABLA_BASE[[#This Row],[TOTAL TRIB.
UNIT.(S/.)]]*TABLA_BASE[[#This Row],[CANTIDAD
(unid.)]]</f>
        <v>0</v>
      </c>
      <c r="AG74" s="279">
        <f>IF('🧾 Factura Comercial'!G78=0,0,'📦 Gastos Importación'!$E$28*(IF('🧾 Tributos Aduana'!$F$6=0,0,'🧾 Factura Comercial'!I78/'🧾 Tributos Aduana'!$F$6))/'🧾 Factura Comercial'!G78)</f>
        <v>0</v>
      </c>
      <c r="AH74" s="279">
        <f>TABLA_BASE[[#This Row],[GASTOS IMP.
UNIT.(US$)]]*TABLA_BASE[[#This Row],[CANTIDAD
(unid.)]]</f>
        <v>0</v>
      </c>
      <c r="AI74" s="281">
        <f>TABLA_BASE[[#This Row],[GASTOS IMP.
UNIT.(US$)]]*'📋 Datos Generales'!$E$19</f>
        <v>0</v>
      </c>
      <c r="AJ74" s="281">
        <f>TABLA_BASE[[#This Row],[GASTOS IMP.
UNIT.(S/.)]]*TABLA_BASE[[#This Row],[CANTIDAD
(unid.)]]</f>
        <v>0</v>
      </c>
      <c r="AK74" s="280">
        <f>'🧮 Costos x Producto'!J78</f>
        <v>0</v>
      </c>
      <c r="AL74" s="278">
        <f>'🧮 Costos x Producto'!K78</f>
        <v>0</v>
      </c>
      <c r="AM74" s="278">
        <f>TABLA_BASE[[#This Row],[C/M UNIT.
(S/.)]]*TABLA_BASE[[#This Row],[CANTIDAD
(unid.)]]</f>
        <v>0</v>
      </c>
      <c r="AN74" s="279">
        <f>IF('🧾 Factura Comercial'!G78=0,0,'🧾 Tributos Aduana'!$F$17*(IF('🧾 Tributos Aduana'!$F$6=0,0,'🧾 Factura Comercial'!I78/'🧾 Tributos Aduana'!$F$6))/'🧾 Factura Comercial'!G78)</f>
        <v>0</v>
      </c>
      <c r="AO74" s="280">
        <f>IF('🧾 Factura Comercial'!G78=0,0,'🏦 Crédito Fiscal'!$C$16*(IF('🧾 Tributos Aduana'!$F$6=0,0,'🧾 Factura Comercial'!I78/'🧾 Tributos Aduana'!$F$6))/'🧾 Factura Comercial'!G78)</f>
        <v>0</v>
      </c>
      <c r="AP74" s="278">
        <f>TABLA_BASE[[#This Row],[CF UNIT.
✅RECUP.
(US$)]]*'📋 Datos Generales'!$E$19</f>
        <v>0</v>
      </c>
      <c r="AQ74" s="278">
        <f>TABLA_BASE[[#This Row],[CF UNIT.
✅RECUP.(S/.)]]*TABLA_BASE[[#This Row],[CANTIDAD
(unid.)]]</f>
        <v>0</v>
      </c>
      <c r="AR74" s="288">
        <f>'💰 Precio de Venta'!G79</f>
        <v>0.4</v>
      </c>
      <c r="AS74" s="278">
        <f>'💰 Precio de Venta'!H79</f>
        <v>0</v>
      </c>
      <c r="AT74" s="278">
        <f>TABLA_BASE[[#This Row],[VALOR VTA.
UNIT.(S/.)]]*TABLA_BASE[[#This Row],[CANTIDAD
(unid.)]]</f>
        <v>0</v>
      </c>
      <c r="AU74" s="281">
        <f>'💰 Precio de Venta'!I79</f>
        <v>0</v>
      </c>
      <c r="AV74" s="278">
        <f>'💰 Precio de Venta'!J79</f>
        <v>0</v>
      </c>
      <c r="AW74" s="278">
        <f>TABLA_BASE[[#This Row],[GANANCIA
UNIT.(S/.)]]*TABLA_BASE[[#This Row],[CANTIDAD
(unid.)]]</f>
        <v>0</v>
      </c>
      <c r="AX74" s="289">
        <f>'💰 Precio de Venta'!K79</f>
        <v>0</v>
      </c>
      <c r="AY74" s="278">
        <f>TABLA_BASE[[#This Row],[GANANCIA
UNIT.(S/.)]]*'🧾 Factura Comercial'!G78</f>
        <v>0</v>
      </c>
      <c r="AZ74" s="277">
        <f>IF(TABLA_BASE[[#This Row],[PRECIO VTA.
c/IGV(S/.)]]=0,0,TABLA_BASE[[#This Row],[GANANCIA
UNIT.(S/.)]]/TABLA_BASE[[#This Row],[PRECIO VTA.
c/IGV(S/.)]])</f>
        <v>0</v>
      </c>
      <c r="BA74" s="277">
        <f>IF(TABLA_BASE[[#This Row],[C/M UNIT.
(S/.)]]=0,0,TABLA_BASE[[#This Row],[GANANCIA
UNIT.(S/.)]]/TABLA_BASE[[#This Row],[C/M UNIT.
(S/.)]])</f>
        <v>0</v>
      </c>
      <c r="BB74" s="274" t="str">
        <f>IF(TABLA_BASE[[#This Row],[MARGEN
%]]&gt;=0.5,"🟢 ALTO",IF(TABLA_BASE[[#This Row],[MARGEN
%]]&gt;=0.3,"🟡 MEDIO","🔴 BAJO"))</f>
        <v>🟡 MEDIO</v>
      </c>
    </row>
    <row r="75" spans="1:54" ht="16.5" hidden="1" thickTop="1" thickBot="1" x14ac:dyDescent="0.3">
      <c r="A75" s="274">
        <f>'🧾 Factura Comercial'!E79</f>
        <v>0</v>
      </c>
      <c r="B75" s="274" t="str">
        <f>'🧾 Factura Comercial'!F79</f>
        <v>Unid.</v>
      </c>
      <c r="C75" s="275">
        <f>'🧾 Factura Comercial'!G79</f>
        <v>0</v>
      </c>
      <c r="D75" s="276">
        <f>'🧾 Factura Comercial'!H79</f>
        <v>0</v>
      </c>
      <c r="E75" s="276">
        <f>'🧾 Factura Comercial'!I79</f>
        <v>0</v>
      </c>
      <c r="F75" s="277">
        <f>IF('🧾 Tributos Aduana'!$F$6=0,0,'🧾 Factura Comercial'!I79/'🧾 Tributos Aduana'!$F$6)</f>
        <v>0</v>
      </c>
      <c r="G75" s="278">
        <f>'🧾 Factura Comercial'!H79*'📋 Datos Generales'!$E$19</f>
        <v>0</v>
      </c>
      <c r="H75" s="278">
        <f>TABLA_BASE[[#This Row],[FOB UNIT.
(S/.)]]*TABLA_BASE[[#This Row],[CANTIDAD
(unid.)]]</f>
        <v>0</v>
      </c>
      <c r="I75" s="280">
        <f>IF('🧾 Tributos Aduana'!$F$6=0,0,'🧾 Tributos Aduana'!$F$17*('🧾 Factura Comercial'!H79/'🧾 Tributos Aduana'!$F$6))</f>
        <v>0</v>
      </c>
      <c r="J75" s="280">
        <f>TABLA_BASE[[#This Row],[ADV UNIT.
(US$)
⚠️COSTO]]*TABLA_BASE[[#This Row],[CANTIDAD
(unid.)]]</f>
        <v>0</v>
      </c>
      <c r="K75" s="279">
        <f>IF('🧾 Tributos Aduana'!$F$6=0,0,'🧾 Tributos Aduana'!$F$18*('🧾 Factura Comercial'!H79/'🧾 Tributos Aduana'!$F$6))</f>
        <v>0</v>
      </c>
      <c r="L75" s="280">
        <f>TABLA_BASE[[#This Row],[IPM UNIT.
(US$)
✅CF]]*TABLA_BASE[[#This Row],[CANTIDAD
(unid.)]]</f>
        <v>0</v>
      </c>
      <c r="M75" s="279">
        <f>IF('🧾 Tributos Aduana'!$F$6=0,0,'🧾 Tributos Aduana'!$F$19*('🧾 Factura Comercial'!H79/'🧾 Tributos Aduana'!$F$6))</f>
        <v>0</v>
      </c>
      <c r="N75" s="280">
        <f>TABLA_BASE[[#This Row],[IGV UNIT.
(US$)
✅CF]]*TABLA_BASE[[#This Row],[CANTIDAD
(unid.)]]</f>
        <v>0</v>
      </c>
      <c r="O75" s="280">
        <f>IF('🧾 Tributos Aduana'!$F$6=0,0,'🧾 Tributos Aduana'!$F$23*('🧾 Factura Comercial'!H79/'🧾 Tributos Aduana'!$F$6))</f>
        <v>0</v>
      </c>
      <c r="P75" s="280">
        <f>TABLA_BASE[[#This Row],[PERCEP.
UNIT.(US$)
✅CF]]*TABLA_BASE[[#This Row],[CANTIDAD
(unid.)]]</f>
        <v>0</v>
      </c>
      <c r="Q75" s="279">
        <f>TABLA_BASE[[#This Row],[ADV UNIT.
(US$)
⚠️COSTO]]+TABLA_BASE[[#This Row],[IPM UNIT.
(US$)
✅CF]]+TABLA_BASE[[#This Row],[IGV UNIT.
(US$)
✅CF]]</f>
        <v>0</v>
      </c>
      <c r="R75" s="280">
        <f>TABLA_BASE[[#This Row],[DEUDA
ADUANERA
UNIT.]]*TABLA_BASE[[#This Row],[CANTIDAD
(unid.)]]</f>
        <v>0</v>
      </c>
      <c r="S75" s="278">
        <f>TABLA_BASE[[#This Row],[DEUDA
ADUANERA
UNIT.]]*'📋 Datos Generales'!$E$19</f>
        <v>0</v>
      </c>
      <c r="T75" s="278">
        <f>TABLA_BASE[[#This Row],[DEUDA
ADUANERA
TOTAL]]*'📋 Datos Generales'!$E$19</f>
        <v>0</v>
      </c>
      <c r="U75" s="281">
        <f>TABLA_BASE[[#This Row],[ADV UNIT.
(US$)
⚠️COSTO]]*'📋 Datos Generales'!$E$19</f>
        <v>0</v>
      </c>
      <c r="V75" s="281">
        <f>TABLA_BASE[[#This Row],[ADV UNIT.
(S/.)]]*TABLA_BASE[[#This Row],[CANTIDAD
(unid.)]]</f>
        <v>0</v>
      </c>
      <c r="W75" s="281">
        <f>TABLA_BASE[[#This Row],[IPM UNIT.
(US$)
✅CF]]*'📋 Datos Generales'!$E$19</f>
        <v>0</v>
      </c>
      <c r="X75" s="281">
        <f>TABLA_BASE[[#This Row],[IPM UNIT.
(S/.)]]*TABLA_BASE[[#This Row],[CANTIDAD
(unid.)]]</f>
        <v>0</v>
      </c>
      <c r="Y75" s="281">
        <f>TABLA_BASE[[#This Row],[IGV UNIT.
(US$)
✅CF]]*'📋 Datos Generales'!$E$19</f>
        <v>0</v>
      </c>
      <c r="Z75" s="281">
        <f>TABLA_BASE[[#This Row],[IGV UNIT.
(S/.)]]*TABLA_BASE[[#This Row],[CANTIDAD
(unid.)]]</f>
        <v>0</v>
      </c>
      <c r="AA75" s="281">
        <f>TABLA_BASE[[#This Row],[PERCEP.
UNIT.(US$)
✅CF]]*'📋 Datos Generales'!$E$19</f>
        <v>0</v>
      </c>
      <c r="AB75" s="281">
        <f>TABLA_BASE[[#This Row],[PERCEP.
UNIT.(S/.)]]*TABLA_BASE[[#This Row],[CANTIDAD
(unid.)]]</f>
        <v>0</v>
      </c>
      <c r="AC75" s="279">
        <f>TABLA_BASE[[#This Row],[ADV UNIT.
(US$)
⚠️COSTO]]+TABLA_BASE[[#This Row],[IPM UNIT.
(US$)
✅CF]]+TABLA_BASE[[#This Row],[IGV UNIT.
(US$)
✅CF]]+TABLA_BASE[[#This Row],[PERCEP.
UNIT.(US$)
✅CF]]</f>
        <v>0</v>
      </c>
      <c r="AD75" s="279">
        <f>TABLA_BASE[[#This Row],[TOTAL PAGO
SUNAT
UNIT.(US$)]]*TABLA_BASE[[#This Row],[CANTIDAD
(unid.)]]</f>
        <v>0</v>
      </c>
      <c r="AE75" s="281">
        <f>TABLA_BASE[[#This Row],[TOTAL PAGO
SUNAT
UNIT.(US$)]]*'📋 Datos Generales'!$E$19</f>
        <v>0</v>
      </c>
      <c r="AF75" s="281">
        <f>TABLA_BASE[[#This Row],[TOTAL TRIB.
UNIT.(S/.)]]*TABLA_BASE[[#This Row],[CANTIDAD
(unid.)]]</f>
        <v>0</v>
      </c>
      <c r="AG75" s="279">
        <f>IF('🧾 Factura Comercial'!G79=0,0,'📦 Gastos Importación'!$E$28*(IF('🧾 Tributos Aduana'!$F$6=0,0,'🧾 Factura Comercial'!I79/'🧾 Tributos Aduana'!$F$6))/'🧾 Factura Comercial'!G79)</f>
        <v>0</v>
      </c>
      <c r="AH75" s="279">
        <f>TABLA_BASE[[#This Row],[GASTOS IMP.
UNIT.(US$)]]*TABLA_BASE[[#This Row],[CANTIDAD
(unid.)]]</f>
        <v>0</v>
      </c>
      <c r="AI75" s="281">
        <f>TABLA_BASE[[#This Row],[GASTOS IMP.
UNIT.(US$)]]*'📋 Datos Generales'!$E$19</f>
        <v>0</v>
      </c>
      <c r="AJ75" s="281">
        <f>TABLA_BASE[[#This Row],[GASTOS IMP.
UNIT.(S/.)]]*TABLA_BASE[[#This Row],[CANTIDAD
(unid.)]]</f>
        <v>0</v>
      </c>
      <c r="AK75" s="280">
        <f>'🧮 Costos x Producto'!J79</f>
        <v>0</v>
      </c>
      <c r="AL75" s="278">
        <f>'🧮 Costos x Producto'!K79</f>
        <v>0</v>
      </c>
      <c r="AM75" s="278">
        <f>TABLA_BASE[[#This Row],[C/M UNIT.
(S/.)]]*TABLA_BASE[[#This Row],[CANTIDAD
(unid.)]]</f>
        <v>0</v>
      </c>
      <c r="AN75" s="279">
        <f>IF('🧾 Factura Comercial'!G79=0,0,'🧾 Tributos Aduana'!$F$17*(IF('🧾 Tributos Aduana'!$F$6=0,0,'🧾 Factura Comercial'!I79/'🧾 Tributos Aduana'!$F$6))/'🧾 Factura Comercial'!G79)</f>
        <v>0</v>
      </c>
      <c r="AO75" s="280">
        <f>IF('🧾 Factura Comercial'!G79=0,0,'🏦 Crédito Fiscal'!$C$16*(IF('🧾 Tributos Aduana'!$F$6=0,0,'🧾 Factura Comercial'!I79/'🧾 Tributos Aduana'!$F$6))/'🧾 Factura Comercial'!G79)</f>
        <v>0</v>
      </c>
      <c r="AP75" s="278">
        <f>TABLA_BASE[[#This Row],[CF UNIT.
✅RECUP.
(US$)]]*'📋 Datos Generales'!$E$19</f>
        <v>0</v>
      </c>
      <c r="AQ75" s="278">
        <f>TABLA_BASE[[#This Row],[CF UNIT.
✅RECUP.(S/.)]]*TABLA_BASE[[#This Row],[CANTIDAD
(unid.)]]</f>
        <v>0</v>
      </c>
      <c r="AR75" s="288">
        <f>'💰 Precio de Venta'!G80</f>
        <v>0.4</v>
      </c>
      <c r="AS75" s="278">
        <f>'💰 Precio de Venta'!H80</f>
        <v>0</v>
      </c>
      <c r="AT75" s="278">
        <f>TABLA_BASE[[#This Row],[VALOR VTA.
UNIT.(S/.)]]*TABLA_BASE[[#This Row],[CANTIDAD
(unid.)]]</f>
        <v>0</v>
      </c>
      <c r="AU75" s="281">
        <f>'💰 Precio de Venta'!I80</f>
        <v>0</v>
      </c>
      <c r="AV75" s="278">
        <f>'💰 Precio de Venta'!J80</f>
        <v>0</v>
      </c>
      <c r="AW75" s="278">
        <f>TABLA_BASE[[#This Row],[GANANCIA
UNIT.(S/.)]]*TABLA_BASE[[#This Row],[CANTIDAD
(unid.)]]</f>
        <v>0</v>
      </c>
      <c r="AX75" s="289">
        <f>'💰 Precio de Venta'!K80</f>
        <v>0</v>
      </c>
      <c r="AY75" s="278">
        <f>TABLA_BASE[[#This Row],[GANANCIA
UNIT.(S/.)]]*'🧾 Factura Comercial'!G79</f>
        <v>0</v>
      </c>
      <c r="AZ75" s="277">
        <f>IF(TABLA_BASE[[#This Row],[PRECIO VTA.
c/IGV(S/.)]]=0,0,TABLA_BASE[[#This Row],[GANANCIA
UNIT.(S/.)]]/TABLA_BASE[[#This Row],[PRECIO VTA.
c/IGV(S/.)]])</f>
        <v>0</v>
      </c>
      <c r="BA75" s="277">
        <f>IF(TABLA_BASE[[#This Row],[C/M UNIT.
(S/.)]]=0,0,TABLA_BASE[[#This Row],[GANANCIA
UNIT.(S/.)]]/TABLA_BASE[[#This Row],[C/M UNIT.
(S/.)]])</f>
        <v>0</v>
      </c>
      <c r="BB75" s="274" t="str">
        <f>IF(TABLA_BASE[[#This Row],[MARGEN
%]]&gt;=0.5,"🟢 ALTO",IF(TABLA_BASE[[#This Row],[MARGEN
%]]&gt;=0.3,"🟡 MEDIO","🔴 BAJO"))</f>
        <v>🟡 MEDIO</v>
      </c>
    </row>
    <row r="76" spans="1:54" ht="16.5" hidden="1" thickTop="1" thickBot="1" x14ac:dyDescent="0.3">
      <c r="A76" s="274">
        <f>'🧾 Factura Comercial'!E80</f>
        <v>0</v>
      </c>
      <c r="B76" s="274" t="str">
        <f>'🧾 Factura Comercial'!F80</f>
        <v>Unid.</v>
      </c>
      <c r="C76" s="275">
        <f>'🧾 Factura Comercial'!G80</f>
        <v>0</v>
      </c>
      <c r="D76" s="276">
        <f>'🧾 Factura Comercial'!H80</f>
        <v>0</v>
      </c>
      <c r="E76" s="276">
        <f>'🧾 Factura Comercial'!I80</f>
        <v>0</v>
      </c>
      <c r="F76" s="277">
        <f>IF('🧾 Tributos Aduana'!$F$6=0,0,'🧾 Factura Comercial'!I80/'🧾 Tributos Aduana'!$F$6)</f>
        <v>0</v>
      </c>
      <c r="G76" s="278">
        <f>'🧾 Factura Comercial'!H80*'📋 Datos Generales'!$E$19</f>
        <v>0</v>
      </c>
      <c r="H76" s="278">
        <f>TABLA_BASE[[#This Row],[FOB UNIT.
(S/.)]]*TABLA_BASE[[#This Row],[CANTIDAD
(unid.)]]</f>
        <v>0</v>
      </c>
      <c r="I76" s="280">
        <f>IF('🧾 Tributos Aduana'!$F$6=0,0,'🧾 Tributos Aduana'!$F$17*('🧾 Factura Comercial'!H80/'🧾 Tributos Aduana'!$F$6))</f>
        <v>0</v>
      </c>
      <c r="J76" s="280">
        <f>TABLA_BASE[[#This Row],[ADV UNIT.
(US$)
⚠️COSTO]]*TABLA_BASE[[#This Row],[CANTIDAD
(unid.)]]</f>
        <v>0</v>
      </c>
      <c r="K76" s="279">
        <f>IF('🧾 Tributos Aduana'!$F$6=0,0,'🧾 Tributos Aduana'!$F$18*('🧾 Factura Comercial'!H80/'🧾 Tributos Aduana'!$F$6))</f>
        <v>0</v>
      </c>
      <c r="L76" s="280">
        <f>TABLA_BASE[[#This Row],[IPM UNIT.
(US$)
✅CF]]*TABLA_BASE[[#This Row],[CANTIDAD
(unid.)]]</f>
        <v>0</v>
      </c>
      <c r="M76" s="279">
        <f>IF('🧾 Tributos Aduana'!$F$6=0,0,'🧾 Tributos Aduana'!$F$19*('🧾 Factura Comercial'!H80/'🧾 Tributos Aduana'!$F$6))</f>
        <v>0</v>
      </c>
      <c r="N76" s="280">
        <f>TABLA_BASE[[#This Row],[IGV UNIT.
(US$)
✅CF]]*TABLA_BASE[[#This Row],[CANTIDAD
(unid.)]]</f>
        <v>0</v>
      </c>
      <c r="O76" s="280">
        <f>IF('🧾 Tributos Aduana'!$F$6=0,0,'🧾 Tributos Aduana'!$F$23*('🧾 Factura Comercial'!H80/'🧾 Tributos Aduana'!$F$6))</f>
        <v>0</v>
      </c>
      <c r="P76" s="280">
        <f>TABLA_BASE[[#This Row],[PERCEP.
UNIT.(US$)
✅CF]]*TABLA_BASE[[#This Row],[CANTIDAD
(unid.)]]</f>
        <v>0</v>
      </c>
      <c r="Q76" s="279">
        <f>TABLA_BASE[[#This Row],[ADV UNIT.
(US$)
⚠️COSTO]]+TABLA_BASE[[#This Row],[IPM UNIT.
(US$)
✅CF]]+TABLA_BASE[[#This Row],[IGV UNIT.
(US$)
✅CF]]</f>
        <v>0</v>
      </c>
      <c r="R76" s="280">
        <f>TABLA_BASE[[#This Row],[DEUDA
ADUANERA
UNIT.]]*TABLA_BASE[[#This Row],[CANTIDAD
(unid.)]]</f>
        <v>0</v>
      </c>
      <c r="S76" s="278">
        <f>TABLA_BASE[[#This Row],[DEUDA
ADUANERA
UNIT.]]*'📋 Datos Generales'!$E$19</f>
        <v>0</v>
      </c>
      <c r="T76" s="278">
        <f>TABLA_BASE[[#This Row],[DEUDA
ADUANERA
TOTAL]]*'📋 Datos Generales'!$E$19</f>
        <v>0</v>
      </c>
      <c r="U76" s="281">
        <f>TABLA_BASE[[#This Row],[ADV UNIT.
(US$)
⚠️COSTO]]*'📋 Datos Generales'!$E$19</f>
        <v>0</v>
      </c>
      <c r="V76" s="281">
        <f>TABLA_BASE[[#This Row],[ADV UNIT.
(S/.)]]*TABLA_BASE[[#This Row],[CANTIDAD
(unid.)]]</f>
        <v>0</v>
      </c>
      <c r="W76" s="281">
        <f>TABLA_BASE[[#This Row],[IPM UNIT.
(US$)
✅CF]]*'📋 Datos Generales'!$E$19</f>
        <v>0</v>
      </c>
      <c r="X76" s="281">
        <f>TABLA_BASE[[#This Row],[IPM UNIT.
(S/.)]]*TABLA_BASE[[#This Row],[CANTIDAD
(unid.)]]</f>
        <v>0</v>
      </c>
      <c r="Y76" s="281">
        <f>TABLA_BASE[[#This Row],[IGV UNIT.
(US$)
✅CF]]*'📋 Datos Generales'!$E$19</f>
        <v>0</v>
      </c>
      <c r="Z76" s="281">
        <f>TABLA_BASE[[#This Row],[IGV UNIT.
(S/.)]]*TABLA_BASE[[#This Row],[CANTIDAD
(unid.)]]</f>
        <v>0</v>
      </c>
      <c r="AA76" s="281">
        <f>TABLA_BASE[[#This Row],[PERCEP.
UNIT.(US$)
✅CF]]*'📋 Datos Generales'!$E$19</f>
        <v>0</v>
      </c>
      <c r="AB76" s="281">
        <f>TABLA_BASE[[#This Row],[PERCEP.
UNIT.(S/.)]]*TABLA_BASE[[#This Row],[CANTIDAD
(unid.)]]</f>
        <v>0</v>
      </c>
      <c r="AC76" s="279">
        <f>TABLA_BASE[[#This Row],[ADV UNIT.
(US$)
⚠️COSTO]]+TABLA_BASE[[#This Row],[IPM UNIT.
(US$)
✅CF]]+TABLA_BASE[[#This Row],[IGV UNIT.
(US$)
✅CF]]+TABLA_BASE[[#This Row],[PERCEP.
UNIT.(US$)
✅CF]]</f>
        <v>0</v>
      </c>
      <c r="AD76" s="279">
        <f>TABLA_BASE[[#This Row],[TOTAL PAGO
SUNAT
UNIT.(US$)]]*TABLA_BASE[[#This Row],[CANTIDAD
(unid.)]]</f>
        <v>0</v>
      </c>
      <c r="AE76" s="281">
        <f>TABLA_BASE[[#This Row],[TOTAL PAGO
SUNAT
UNIT.(US$)]]*'📋 Datos Generales'!$E$19</f>
        <v>0</v>
      </c>
      <c r="AF76" s="281">
        <f>TABLA_BASE[[#This Row],[TOTAL TRIB.
UNIT.(S/.)]]*TABLA_BASE[[#This Row],[CANTIDAD
(unid.)]]</f>
        <v>0</v>
      </c>
      <c r="AG76" s="279">
        <f>IF('🧾 Factura Comercial'!G80=0,0,'📦 Gastos Importación'!$E$28*(IF('🧾 Tributos Aduana'!$F$6=0,0,'🧾 Factura Comercial'!I80/'🧾 Tributos Aduana'!$F$6))/'🧾 Factura Comercial'!G80)</f>
        <v>0</v>
      </c>
      <c r="AH76" s="279">
        <f>TABLA_BASE[[#This Row],[GASTOS IMP.
UNIT.(US$)]]*TABLA_BASE[[#This Row],[CANTIDAD
(unid.)]]</f>
        <v>0</v>
      </c>
      <c r="AI76" s="281">
        <f>TABLA_BASE[[#This Row],[GASTOS IMP.
UNIT.(US$)]]*'📋 Datos Generales'!$E$19</f>
        <v>0</v>
      </c>
      <c r="AJ76" s="281">
        <f>TABLA_BASE[[#This Row],[GASTOS IMP.
UNIT.(S/.)]]*TABLA_BASE[[#This Row],[CANTIDAD
(unid.)]]</f>
        <v>0</v>
      </c>
      <c r="AK76" s="280">
        <f>'🧮 Costos x Producto'!J80</f>
        <v>0</v>
      </c>
      <c r="AL76" s="278">
        <f>'🧮 Costos x Producto'!K80</f>
        <v>0</v>
      </c>
      <c r="AM76" s="278">
        <f>TABLA_BASE[[#This Row],[C/M UNIT.
(S/.)]]*TABLA_BASE[[#This Row],[CANTIDAD
(unid.)]]</f>
        <v>0</v>
      </c>
      <c r="AN76" s="279">
        <f>IF('🧾 Factura Comercial'!G80=0,0,'🧾 Tributos Aduana'!$F$17*(IF('🧾 Tributos Aduana'!$F$6=0,0,'🧾 Factura Comercial'!I80/'🧾 Tributos Aduana'!$F$6))/'🧾 Factura Comercial'!G80)</f>
        <v>0</v>
      </c>
      <c r="AO76" s="280">
        <f>IF('🧾 Factura Comercial'!G80=0,0,'🏦 Crédito Fiscal'!$C$16*(IF('🧾 Tributos Aduana'!$F$6=0,0,'🧾 Factura Comercial'!I80/'🧾 Tributos Aduana'!$F$6))/'🧾 Factura Comercial'!G80)</f>
        <v>0</v>
      </c>
      <c r="AP76" s="278">
        <f>TABLA_BASE[[#This Row],[CF UNIT.
✅RECUP.
(US$)]]*'📋 Datos Generales'!$E$19</f>
        <v>0</v>
      </c>
      <c r="AQ76" s="278">
        <f>TABLA_BASE[[#This Row],[CF UNIT.
✅RECUP.(S/.)]]*TABLA_BASE[[#This Row],[CANTIDAD
(unid.)]]</f>
        <v>0</v>
      </c>
      <c r="AR76" s="288">
        <f>'💰 Precio de Venta'!G81</f>
        <v>0.4</v>
      </c>
      <c r="AS76" s="278">
        <f>'💰 Precio de Venta'!H81</f>
        <v>0</v>
      </c>
      <c r="AT76" s="278">
        <f>TABLA_BASE[[#This Row],[VALOR VTA.
UNIT.(S/.)]]*TABLA_BASE[[#This Row],[CANTIDAD
(unid.)]]</f>
        <v>0</v>
      </c>
      <c r="AU76" s="281">
        <f>'💰 Precio de Venta'!I81</f>
        <v>0</v>
      </c>
      <c r="AV76" s="278">
        <f>'💰 Precio de Venta'!J81</f>
        <v>0</v>
      </c>
      <c r="AW76" s="278">
        <f>TABLA_BASE[[#This Row],[GANANCIA
UNIT.(S/.)]]*TABLA_BASE[[#This Row],[CANTIDAD
(unid.)]]</f>
        <v>0</v>
      </c>
      <c r="AX76" s="289">
        <f>'💰 Precio de Venta'!K81</f>
        <v>0</v>
      </c>
      <c r="AY76" s="278">
        <f>TABLA_BASE[[#This Row],[GANANCIA
UNIT.(S/.)]]*'🧾 Factura Comercial'!G80</f>
        <v>0</v>
      </c>
      <c r="AZ76" s="277">
        <f>IF(TABLA_BASE[[#This Row],[PRECIO VTA.
c/IGV(S/.)]]=0,0,TABLA_BASE[[#This Row],[GANANCIA
UNIT.(S/.)]]/TABLA_BASE[[#This Row],[PRECIO VTA.
c/IGV(S/.)]])</f>
        <v>0</v>
      </c>
      <c r="BA76" s="277">
        <f>IF(TABLA_BASE[[#This Row],[C/M UNIT.
(S/.)]]=0,0,TABLA_BASE[[#This Row],[GANANCIA
UNIT.(S/.)]]/TABLA_BASE[[#This Row],[C/M UNIT.
(S/.)]])</f>
        <v>0</v>
      </c>
      <c r="BB76" s="274" t="str">
        <f>IF(TABLA_BASE[[#This Row],[MARGEN
%]]&gt;=0.5,"🟢 ALTO",IF(TABLA_BASE[[#This Row],[MARGEN
%]]&gt;=0.3,"🟡 MEDIO","🔴 BAJO"))</f>
        <v>🟡 MEDIO</v>
      </c>
    </row>
    <row r="77" spans="1:54" ht="16.5" hidden="1" thickTop="1" thickBot="1" x14ac:dyDescent="0.3">
      <c r="A77" s="274">
        <f>'🧾 Factura Comercial'!E81</f>
        <v>0</v>
      </c>
      <c r="B77" s="274" t="str">
        <f>'🧾 Factura Comercial'!F81</f>
        <v>Unid.</v>
      </c>
      <c r="C77" s="275">
        <f>'🧾 Factura Comercial'!G81</f>
        <v>0</v>
      </c>
      <c r="D77" s="276">
        <f>'🧾 Factura Comercial'!H81</f>
        <v>0</v>
      </c>
      <c r="E77" s="276">
        <f>'🧾 Factura Comercial'!I81</f>
        <v>0</v>
      </c>
      <c r="F77" s="277">
        <f>IF('🧾 Tributos Aduana'!$F$6=0,0,'🧾 Factura Comercial'!I81/'🧾 Tributos Aduana'!$F$6)</f>
        <v>0</v>
      </c>
      <c r="G77" s="278">
        <f>'🧾 Factura Comercial'!H81*'📋 Datos Generales'!$E$19</f>
        <v>0</v>
      </c>
      <c r="H77" s="278">
        <f>TABLA_BASE[[#This Row],[FOB UNIT.
(S/.)]]*TABLA_BASE[[#This Row],[CANTIDAD
(unid.)]]</f>
        <v>0</v>
      </c>
      <c r="I77" s="280">
        <f>IF('🧾 Tributos Aduana'!$F$6=0,0,'🧾 Tributos Aduana'!$F$17*('🧾 Factura Comercial'!H81/'🧾 Tributos Aduana'!$F$6))</f>
        <v>0</v>
      </c>
      <c r="J77" s="280">
        <f>TABLA_BASE[[#This Row],[ADV UNIT.
(US$)
⚠️COSTO]]*TABLA_BASE[[#This Row],[CANTIDAD
(unid.)]]</f>
        <v>0</v>
      </c>
      <c r="K77" s="279">
        <f>IF('🧾 Tributos Aduana'!$F$6=0,0,'🧾 Tributos Aduana'!$F$18*('🧾 Factura Comercial'!H81/'🧾 Tributos Aduana'!$F$6))</f>
        <v>0</v>
      </c>
      <c r="L77" s="280">
        <f>TABLA_BASE[[#This Row],[IPM UNIT.
(US$)
✅CF]]*TABLA_BASE[[#This Row],[CANTIDAD
(unid.)]]</f>
        <v>0</v>
      </c>
      <c r="M77" s="279">
        <f>IF('🧾 Tributos Aduana'!$F$6=0,0,'🧾 Tributos Aduana'!$F$19*('🧾 Factura Comercial'!H81/'🧾 Tributos Aduana'!$F$6))</f>
        <v>0</v>
      </c>
      <c r="N77" s="280">
        <f>TABLA_BASE[[#This Row],[IGV UNIT.
(US$)
✅CF]]*TABLA_BASE[[#This Row],[CANTIDAD
(unid.)]]</f>
        <v>0</v>
      </c>
      <c r="O77" s="280">
        <f>IF('🧾 Tributos Aduana'!$F$6=0,0,'🧾 Tributos Aduana'!$F$23*('🧾 Factura Comercial'!H81/'🧾 Tributos Aduana'!$F$6))</f>
        <v>0</v>
      </c>
      <c r="P77" s="280">
        <f>TABLA_BASE[[#This Row],[PERCEP.
UNIT.(US$)
✅CF]]*TABLA_BASE[[#This Row],[CANTIDAD
(unid.)]]</f>
        <v>0</v>
      </c>
      <c r="Q77" s="279">
        <f>TABLA_BASE[[#This Row],[ADV UNIT.
(US$)
⚠️COSTO]]+TABLA_BASE[[#This Row],[IPM UNIT.
(US$)
✅CF]]+TABLA_BASE[[#This Row],[IGV UNIT.
(US$)
✅CF]]</f>
        <v>0</v>
      </c>
      <c r="R77" s="280">
        <f>TABLA_BASE[[#This Row],[DEUDA
ADUANERA
UNIT.]]*TABLA_BASE[[#This Row],[CANTIDAD
(unid.)]]</f>
        <v>0</v>
      </c>
      <c r="S77" s="278">
        <f>TABLA_BASE[[#This Row],[DEUDA
ADUANERA
UNIT.]]*'📋 Datos Generales'!$E$19</f>
        <v>0</v>
      </c>
      <c r="T77" s="278">
        <f>TABLA_BASE[[#This Row],[DEUDA
ADUANERA
TOTAL]]*'📋 Datos Generales'!$E$19</f>
        <v>0</v>
      </c>
      <c r="U77" s="281">
        <f>TABLA_BASE[[#This Row],[ADV UNIT.
(US$)
⚠️COSTO]]*'📋 Datos Generales'!$E$19</f>
        <v>0</v>
      </c>
      <c r="V77" s="281">
        <f>TABLA_BASE[[#This Row],[ADV UNIT.
(S/.)]]*TABLA_BASE[[#This Row],[CANTIDAD
(unid.)]]</f>
        <v>0</v>
      </c>
      <c r="W77" s="281">
        <f>TABLA_BASE[[#This Row],[IPM UNIT.
(US$)
✅CF]]*'📋 Datos Generales'!$E$19</f>
        <v>0</v>
      </c>
      <c r="X77" s="281">
        <f>TABLA_BASE[[#This Row],[IPM UNIT.
(S/.)]]*TABLA_BASE[[#This Row],[CANTIDAD
(unid.)]]</f>
        <v>0</v>
      </c>
      <c r="Y77" s="281">
        <f>TABLA_BASE[[#This Row],[IGV UNIT.
(US$)
✅CF]]*'📋 Datos Generales'!$E$19</f>
        <v>0</v>
      </c>
      <c r="Z77" s="281">
        <f>TABLA_BASE[[#This Row],[IGV UNIT.
(S/.)]]*TABLA_BASE[[#This Row],[CANTIDAD
(unid.)]]</f>
        <v>0</v>
      </c>
      <c r="AA77" s="281">
        <f>TABLA_BASE[[#This Row],[PERCEP.
UNIT.(US$)
✅CF]]*'📋 Datos Generales'!$E$19</f>
        <v>0</v>
      </c>
      <c r="AB77" s="281">
        <f>TABLA_BASE[[#This Row],[PERCEP.
UNIT.(S/.)]]*TABLA_BASE[[#This Row],[CANTIDAD
(unid.)]]</f>
        <v>0</v>
      </c>
      <c r="AC77" s="279">
        <f>TABLA_BASE[[#This Row],[ADV UNIT.
(US$)
⚠️COSTO]]+TABLA_BASE[[#This Row],[IPM UNIT.
(US$)
✅CF]]+TABLA_BASE[[#This Row],[IGV UNIT.
(US$)
✅CF]]+TABLA_BASE[[#This Row],[PERCEP.
UNIT.(US$)
✅CF]]</f>
        <v>0</v>
      </c>
      <c r="AD77" s="279">
        <f>TABLA_BASE[[#This Row],[TOTAL PAGO
SUNAT
UNIT.(US$)]]*TABLA_BASE[[#This Row],[CANTIDAD
(unid.)]]</f>
        <v>0</v>
      </c>
      <c r="AE77" s="281">
        <f>TABLA_BASE[[#This Row],[TOTAL PAGO
SUNAT
UNIT.(US$)]]*'📋 Datos Generales'!$E$19</f>
        <v>0</v>
      </c>
      <c r="AF77" s="281">
        <f>TABLA_BASE[[#This Row],[TOTAL TRIB.
UNIT.(S/.)]]*TABLA_BASE[[#This Row],[CANTIDAD
(unid.)]]</f>
        <v>0</v>
      </c>
      <c r="AG77" s="279">
        <f>IF('🧾 Factura Comercial'!G81=0,0,'📦 Gastos Importación'!$E$28*(IF('🧾 Tributos Aduana'!$F$6=0,0,'🧾 Factura Comercial'!I81/'🧾 Tributos Aduana'!$F$6))/'🧾 Factura Comercial'!G81)</f>
        <v>0</v>
      </c>
      <c r="AH77" s="279">
        <f>TABLA_BASE[[#This Row],[GASTOS IMP.
UNIT.(US$)]]*TABLA_BASE[[#This Row],[CANTIDAD
(unid.)]]</f>
        <v>0</v>
      </c>
      <c r="AI77" s="281">
        <f>TABLA_BASE[[#This Row],[GASTOS IMP.
UNIT.(US$)]]*'📋 Datos Generales'!$E$19</f>
        <v>0</v>
      </c>
      <c r="AJ77" s="281">
        <f>TABLA_BASE[[#This Row],[GASTOS IMP.
UNIT.(S/.)]]*TABLA_BASE[[#This Row],[CANTIDAD
(unid.)]]</f>
        <v>0</v>
      </c>
      <c r="AK77" s="280">
        <f>'🧮 Costos x Producto'!J81</f>
        <v>0</v>
      </c>
      <c r="AL77" s="278">
        <f>'🧮 Costos x Producto'!K81</f>
        <v>0</v>
      </c>
      <c r="AM77" s="278">
        <f>TABLA_BASE[[#This Row],[C/M UNIT.
(S/.)]]*TABLA_BASE[[#This Row],[CANTIDAD
(unid.)]]</f>
        <v>0</v>
      </c>
      <c r="AN77" s="279">
        <f>IF('🧾 Factura Comercial'!G81=0,0,'🧾 Tributos Aduana'!$F$17*(IF('🧾 Tributos Aduana'!$F$6=0,0,'🧾 Factura Comercial'!I81/'🧾 Tributos Aduana'!$F$6))/'🧾 Factura Comercial'!G81)</f>
        <v>0</v>
      </c>
      <c r="AO77" s="280">
        <f>IF('🧾 Factura Comercial'!G81=0,0,'🏦 Crédito Fiscal'!$C$16*(IF('🧾 Tributos Aduana'!$F$6=0,0,'🧾 Factura Comercial'!I81/'🧾 Tributos Aduana'!$F$6))/'🧾 Factura Comercial'!G81)</f>
        <v>0</v>
      </c>
      <c r="AP77" s="278">
        <f>TABLA_BASE[[#This Row],[CF UNIT.
✅RECUP.
(US$)]]*'📋 Datos Generales'!$E$19</f>
        <v>0</v>
      </c>
      <c r="AQ77" s="278">
        <f>TABLA_BASE[[#This Row],[CF UNIT.
✅RECUP.(S/.)]]*TABLA_BASE[[#This Row],[CANTIDAD
(unid.)]]</f>
        <v>0</v>
      </c>
      <c r="AR77" s="288">
        <f>'💰 Precio de Venta'!G82</f>
        <v>0.4</v>
      </c>
      <c r="AS77" s="278">
        <f>'💰 Precio de Venta'!H82</f>
        <v>0</v>
      </c>
      <c r="AT77" s="278">
        <f>TABLA_BASE[[#This Row],[VALOR VTA.
UNIT.(S/.)]]*TABLA_BASE[[#This Row],[CANTIDAD
(unid.)]]</f>
        <v>0</v>
      </c>
      <c r="AU77" s="281">
        <f>'💰 Precio de Venta'!I82</f>
        <v>0</v>
      </c>
      <c r="AV77" s="278">
        <f>'💰 Precio de Venta'!J82</f>
        <v>0</v>
      </c>
      <c r="AW77" s="278">
        <f>TABLA_BASE[[#This Row],[GANANCIA
UNIT.(S/.)]]*TABLA_BASE[[#This Row],[CANTIDAD
(unid.)]]</f>
        <v>0</v>
      </c>
      <c r="AX77" s="289">
        <f>'💰 Precio de Venta'!K82</f>
        <v>0</v>
      </c>
      <c r="AY77" s="278">
        <f>TABLA_BASE[[#This Row],[GANANCIA
UNIT.(S/.)]]*'🧾 Factura Comercial'!G81</f>
        <v>0</v>
      </c>
      <c r="AZ77" s="277">
        <f>IF(TABLA_BASE[[#This Row],[PRECIO VTA.
c/IGV(S/.)]]=0,0,TABLA_BASE[[#This Row],[GANANCIA
UNIT.(S/.)]]/TABLA_BASE[[#This Row],[PRECIO VTA.
c/IGV(S/.)]])</f>
        <v>0</v>
      </c>
      <c r="BA77" s="277">
        <f>IF(TABLA_BASE[[#This Row],[C/M UNIT.
(S/.)]]=0,0,TABLA_BASE[[#This Row],[GANANCIA
UNIT.(S/.)]]/TABLA_BASE[[#This Row],[C/M UNIT.
(S/.)]])</f>
        <v>0</v>
      </c>
      <c r="BB77" s="274" t="str">
        <f>IF(TABLA_BASE[[#This Row],[MARGEN
%]]&gt;=0.5,"🟢 ALTO",IF(TABLA_BASE[[#This Row],[MARGEN
%]]&gt;=0.3,"🟡 MEDIO","🔴 BAJO"))</f>
        <v>🟡 MEDIO</v>
      </c>
    </row>
    <row r="78" spans="1:54" ht="16.5" hidden="1" thickTop="1" thickBot="1" x14ac:dyDescent="0.3">
      <c r="A78" s="274">
        <f>'🧾 Factura Comercial'!E82</f>
        <v>0</v>
      </c>
      <c r="B78" s="274" t="str">
        <f>'🧾 Factura Comercial'!F82</f>
        <v>Unid.</v>
      </c>
      <c r="C78" s="275">
        <f>'🧾 Factura Comercial'!G82</f>
        <v>0</v>
      </c>
      <c r="D78" s="276">
        <f>'🧾 Factura Comercial'!H82</f>
        <v>0</v>
      </c>
      <c r="E78" s="276">
        <f>'🧾 Factura Comercial'!I82</f>
        <v>0</v>
      </c>
      <c r="F78" s="277">
        <f>IF('🧾 Tributos Aduana'!$F$6=0,0,'🧾 Factura Comercial'!I82/'🧾 Tributos Aduana'!$F$6)</f>
        <v>0</v>
      </c>
      <c r="G78" s="278">
        <f>'🧾 Factura Comercial'!H82*'📋 Datos Generales'!$E$19</f>
        <v>0</v>
      </c>
      <c r="H78" s="278">
        <f>TABLA_BASE[[#This Row],[FOB UNIT.
(S/.)]]*TABLA_BASE[[#This Row],[CANTIDAD
(unid.)]]</f>
        <v>0</v>
      </c>
      <c r="I78" s="280">
        <f>IF('🧾 Tributos Aduana'!$F$6=0,0,'🧾 Tributos Aduana'!$F$17*('🧾 Factura Comercial'!H82/'🧾 Tributos Aduana'!$F$6))</f>
        <v>0</v>
      </c>
      <c r="J78" s="280">
        <f>TABLA_BASE[[#This Row],[ADV UNIT.
(US$)
⚠️COSTO]]*TABLA_BASE[[#This Row],[CANTIDAD
(unid.)]]</f>
        <v>0</v>
      </c>
      <c r="K78" s="279">
        <f>IF('🧾 Tributos Aduana'!$F$6=0,0,'🧾 Tributos Aduana'!$F$18*('🧾 Factura Comercial'!H82/'🧾 Tributos Aduana'!$F$6))</f>
        <v>0</v>
      </c>
      <c r="L78" s="280">
        <f>TABLA_BASE[[#This Row],[IPM UNIT.
(US$)
✅CF]]*TABLA_BASE[[#This Row],[CANTIDAD
(unid.)]]</f>
        <v>0</v>
      </c>
      <c r="M78" s="279">
        <f>IF('🧾 Tributos Aduana'!$F$6=0,0,'🧾 Tributos Aduana'!$F$19*('🧾 Factura Comercial'!H82/'🧾 Tributos Aduana'!$F$6))</f>
        <v>0</v>
      </c>
      <c r="N78" s="280">
        <f>TABLA_BASE[[#This Row],[IGV UNIT.
(US$)
✅CF]]*TABLA_BASE[[#This Row],[CANTIDAD
(unid.)]]</f>
        <v>0</v>
      </c>
      <c r="O78" s="280">
        <f>IF('🧾 Tributos Aduana'!$F$6=0,0,'🧾 Tributos Aduana'!$F$23*('🧾 Factura Comercial'!H82/'🧾 Tributos Aduana'!$F$6))</f>
        <v>0</v>
      </c>
      <c r="P78" s="280">
        <f>TABLA_BASE[[#This Row],[PERCEP.
UNIT.(US$)
✅CF]]*TABLA_BASE[[#This Row],[CANTIDAD
(unid.)]]</f>
        <v>0</v>
      </c>
      <c r="Q78" s="279">
        <f>TABLA_BASE[[#This Row],[ADV UNIT.
(US$)
⚠️COSTO]]+TABLA_BASE[[#This Row],[IPM UNIT.
(US$)
✅CF]]+TABLA_BASE[[#This Row],[IGV UNIT.
(US$)
✅CF]]</f>
        <v>0</v>
      </c>
      <c r="R78" s="280">
        <f>TABLA_BASE[[#This Row],[DEUDA
ADUANERA
UNIT.]]*TABLA_BASE[[#This Row],[CANTIDAD
(unid.)]]</f>
        <v>0</v>
      </c>
      <c r="S78" s="278">
        <f>TABLA_BASE[[#This Row],[DEUDA
ADUANERA
UNIT.]]*'📋 Datos Generales'!$E$19</f>
        <v>0</v>
      </c>
      <c r="T78" s="278">
        <f>TABLA_BASE[[#This Row],[DEUDA
ADUANERA
TOTAL]]*'📋 Datos Generales'!$E$19</f>
        <v>0</v>
      </c>
      <c r="U78" s="281">
        <f>TABLA_BASE[[#This Row],[ADV UNIT.
(US$)
⚠️COSTO]]*'📋 Datos Generales'!$E$19</f>
        <v>0</v>
      </c>
      <c r="V78" s="281">
        <f>TABLA_BASE[[#This Row],[ADV UNIT.
(S/.)]]*TABLA_BASE[[#This Row],[CANTIDAD
(unid.)]]</f>
        <v>0</v>
      </c>
      <c r="W78" s="281">
        <f>TABLA_BASE[[#This Row],[IPM UNIT.
(US$)
✅CF]]*'📋 Datos Generales'!$E$19</f>
        <v>0</v>
      </c>
      <c r="X78" s="281">
        <f>TABLA_BASE[[#This Row],[IPM UNIT.
(S/.)]]*TABLA_BASE[[#This Row],[CANTIDAD
(unid.)]]</f>
        <v>0</v>
      </c>
      <c r="Y78" s="281">
        <f>TABLA_BASE[[#This Row],[IGV UNIT.
(US$)
✅CF]]*'📋 Datos Generales'!$E$19</f>
        <v>0</v>
      </c>
      <c r="Z78" s="281">
        <f>TABLA_BASE[[#This Row],[IGV UNIT.
(S/.)]]*TABLA_BASE[[#This Row],[CANTIDAD
(unid.)]]</f>
        <v>0</v>
      </c>
      <c r="AA78" s="281">
        <f>TABLA_BASE[[#This Row],[PERCEP.
UNIT.(US$)
✅CF]]*'📋 Datos Generales'!$E$19</f>
        <v>0</v>
      </c>
      <c r="AB78" s="281">
        <f>TABLA_BASE[[#This Row],[PERCEP.
UNIT.(S/.)]]*TABLA_BASE[[#This Row],[CANTIDAD
(unid.)]]</f>
        <v>0</v>
      </c>
      <c r="AC78" s="279">
        <f>TABLA_BASE[[#This Row],[ADV UNIT.
(US$)
⚠️COSTO]]+TABLA_BASE[[#This Row],[IPM UNIT.
(US$)
✅CF]]+TABLA_BASE[[#This Row],[IGV UNIT.
(US$)
✅CF]]+TABLA_BASE[[#This Row],[PERCEP.
UNIT.(US$)
✅CF]]</f>
        <v>0</v>
      </c>
      <c r="AD78" s="279">
        <f>TABLA_BASE[[#This Row],[TOTAL PAGO
SUNAT
UNIT.(US$)]]*TABLA_BASE[[#This Row],[CANTIDAD
(unid.)]]</f>
        <v>0</v>
      </c>
      <c r="AE78" s="281">
        <f>TABLA_BASE[[#This Row],[TOTAL PAGO
SUNAT
UNIT.(US$)]]*'📋 Datos Generales'!$E$19</f>
        <v>0</v>
      </c>
      <c r="AF78" s="281">
        <f>TABLA_BASE[[#This Row],[TOTAL TRIB.
UNIT.(S/.)]]*TABLA_BASE[[#This Row],[CANTIDAD
(unid.)]]</f>
        <v>0</v>
      </c>
      <c r="AG78" s="279">
        <f>IF('🧾 Factura Comercial'!G82=0,0,'📦 Gastos Importación'!$E$28*(IF('🧾 Tributos Aduana'!$F$6=0,0,'🧾 Factura Comercial'!I82/'🧾 Tributos Aduana'!$F$6))/'🧾 Factura Comercial'!G82)</f>
        <v>0</v>
      </c>
      <c r="AH78" s="279">
        <f>TABLA_BASE[[#This Row],[GASTOS IMP.
UNIT.(US$)]]*TABLA_BASE[[#This Row],[CANTIDAD
(unid.)]]</f>
        <v>0</v>
      </c>
      <c r="AI78" s="281">
        <f>TABLA_BASE[[#This Row],[GASTOS IMP.
UNIT.(US$)]]*'📋 Datos Generales'!$E$19</f>
        <v>0</v>
      </c>
      <c r="AJ78" s="281">
        <f>TABLA_BASE[[#This Row],[GASTOS IMP.
UNIT.(S/.)]]*TABLA_BASE[[#This Row],[CANTIDAD
(unid.)]]</f>
        <v>0</v>
      </c>
      <c r="AK78" s="280">
        <f>'🧮 Costos x Producto'!J82</f>
        <v>0</v>
      </c>
      <c r="AL78" s="278">
        <f>'🧮 Costos x Producto'!K82</f>
        <v>0</v>
      </c>
      <c r="AM78" s="278">
        <f>TABLA_BASE[[#This Row],[C/M UNIT.
(S/.)]]*TABLA_BASE[[#This Row],[CANTIDAD
(unid.)]]</f>
        <v>0</v>
      </c>
      <c r="AN78" s="279">
        <f>IF('🧾 Factura Comercial'!G82=0,0,'🧾 Tributos Aduana'!$F$17*(IF('🧾 Tributos Aduana'!$F$6=0,0,'🧾 Factura Comercial'!I82/'🧾 Tributos Aduana'!$F$6))/'🧾 Factura Comercial'!G82)</f>
        <v>0</v>
      </c>
      <c r="AO78" s="280">
        <f>IF('🧾 Factura Comercial'!G82=0,0,'🏦 Crédito Fiscal'!$C$16*(IF('🧾 Tributos Aduana'!$F$6=0,0,'🧾 Factura Comercial'!I82/'🧾 Tributos Aduana'!$F$6))/'🧾 Factura Comercial'!G82)</f>
        <v>0</v>
      </c>
      <c r="AP78" s="278">
        <f>TABLA_BASE[[#This Row],[CF UNIT.
✅RECUP.
(US$)]]*'📋 Datos Generales'!$E$19</f>
        <v>0</v>
      </c>
      <c r="AQ78" s="278">
        <f>TABLA_BASE[[#This Row],[CF UNIT.
✅RECUP.(S/.)]]*TABLA_BASE[[#This Row],[CANTIDAD
(unid.)]]</f>
        <v>0</v>
      </c>
      <c r="AR78" s="288">
        <f>'💰 Precio de Venta'!G83</f>
        <v>0.4</v>
      </c>
      <c r="AS78" s="278">
        <f>'💰 Precio de Venta'!H83</f>
        <v>0</v>
      </c>
      <c r="AT78" s="278">
        <f>TABLA_BASE[[#This Row],[VALOR VTA.
UNIT.(S/.)]]*TABLA_BASE[[#This Row],[CANTIDAD
(unid.)]]</f>
        <v>0</v>
      </c>
      <c r="AU78" s="281">
        <f>'💰 Precio de Venta'!I83</f>
        <v>0</v>
      </c>
      <c r="AV78" s="278">
        <f>'💰 Precio de Venta'!J83</f>
        <v>0</v>
      </c>
      <c r="AW78" s="278">
        <f>TABLA_BASE[[#This Row],[GANANCIA
UNIT.(S/.)]]*TABLA_BASE[[#This Row],[CANTIDAD
(unid.)]]</f>
        <v>0</v>
      </c>
      <c r="AX78" s="289">
        <f>'💰 Precio de Venta'!K83</f>
        <v>0</v>
      </c>
      <c r="AY78" s="278">
        <f>TABLA_BASE[[#This Row],[GANANCIA
UNIT.(S/.)]]*'🧾 Factura Comercial'!G82</f>
        <v>0</v>
      </c>
      <c r="AZ78" s="277">
        <f>IF(TABLA_BASE[[#This Row],[PRECIO VTA.
c/IGV(S/.)]]=0,0,TABLA_BASE[[#This Row],[GANANCIA
UNIT.(S/.)]]/TABLA_BASE[[#This Row],[PRECIO VTA.
c/IGV(S/.)]])</f>
        <v>0</v>
      </c>
      <c r="BA78" s="277">
        <f>IF(TABLA_BASE[[#This Row],[C/M UNIT.
(S/.)]]=0,0,TABLA_BASE[[#This Row],[GANANCIA
UNIT.(S/.)]]/TABLA_BASE[[#This Row],[C/M UNIT.
(S/.)]])</f>
        <v>0</v>
      </c>
      <c r="BB78" s="274" t="str">
        <f>IF(TABLA_BASE[[#This Row],[MARGEN
%]]&gt;=0.5,"🟢 ALTO",IF(TABLA_BASE[[#This Row],[MARGEN
%]]&gt;=0.3,"🟡 MEDIO","🔴 BAJO"))</f>
        <v>🟡 MEDIO</v>
      </c>
    </row>
    <row r="79" spans="1:54" ht="16.5" hidden="1" thickTop="1" thickBot="1" x14ac:dyDescent="0.3">
      <c r="A79" s="274">
        <f>'🧾 Factura Comercial'!E83</f>
        <v>0</v>
      </c>
      <c r="B79" s="274" t="str">
        <f>'🧾 Factura Comercial'!F83</f>
        <v>Unid.</v>
      </c>
      <c r="C79" s="275">
        <f>'🧾 Factura Comercial'!G83</f>
        <v>0</v>
      </c>
      <c r="D79" s="276">
        <f>'🧾 Factura Comercial'!H83</f>
        <v>0</v>
      </c>
      <c r="E79" s="276">
        <f>'🧾 Factura Comercial'!I83</f>
        <v>0</v>
      </c>
      <c r="F79" s="277">
        <f>IF('🧾 Tributos Aduana'!$F$6=0,0,'🧾 Factura Comercial'!I83/'🧾 Tributos Aduana'!$F$6)</f>
        <v>0</v>
      </c>
      <c r="G79" s="278">
        <f>'🧾 Factura Comercial'!H83*'📋 Datos Generales'!$E$19</f>
        <v>0</v>
      </c>
      <c r="H79" s="278">
        <f>TABLA_BASE[[#This Row],[FOB UNIT.
(S/.)]]*TABLA_BASE[[#This Row],[CANTIDAD
(unid.)]]</f>
        <v>0</v>
      </c>
      <c r="I79" s="280">
        <f>IF('🧾 Tributos Aduana'!$F$6=0,0,'🧾 Tributos Aduana'!$F$17*('🧾 Factura Comercial'!H83/'🧾 Tributos Aduana'!$F$6))</f>
        <v>0</v>
      </c>
      <c r="J79" s="280">
        <f>TABLA_BASE[[#This Row],[ADV UNIT.
(US$)
⚠️COSTO]]*TABLA_BASE[[#This Row],[CANTIDAD
(unid.)]]</f>
        <v>0</v>
      </c>
      <c r="K79" s="279">
        <f>IF('🧾 Tributos Aduana'!$F$6=0,0,'🧾 Tributos Aduana'!$F$18*('🧾 Factura Comercial'!H83/'🧾 Tributos Aduana'!$F$6))</f>
        <v>0</v>
      </c>
      <c r="L79" s="280">
        <f>TABLA_BASE[[#This Row],[IPM UNIT.
(US$)
✅CF]]*TABLA_BASE[[#This Row],[CANTIDAD
(unid.)]]</f>
        <v>0</v>
      </c>
      <c r="M79" s="279">
        <f>IF('🧾 Tributos Aduana'!$F$6=0,0,'🧾 Tributos Aduana'!$F$19*('🧾 Factura Comercial'!H83/'🧾 Tributos Aduana'!$F$6))</f>
        <v>0</v>
      </c>
      <c r="N79" s="280">
        <f>TABLA_BASE[[#This Row],[IGV UNIT.
(US$)
✅CF]]*TABLA_BASE[[#This Row],[CANTIDAD
(unid.)]]</f>
        <v>0</v>
      </c>
      <c r="O79" s="280">
        <f>IF('🧾 Tributos Aduana'!$F$6=0,0,'🧾 Tributos Aduana'!$F$23*('🧾 Factura Comercial'!H83/'🧾 Tributos Aduana'!$F$6))</f>
        <v>0</v>
      </c>
      <c r="P79" s="280">
        <f>TABLA_BASE[[#This Row],[PERCEP.
UNIT.(US$)
✅CF]]*TABLA_BASE[[#This Row],[CANTIDAD
(unid.)]]</f>
        <v>0</v>
      </c>
      <c r="Q79" s="279">
        <f>TABLA_BASE[[#This Row],[ADV UNIT.
(US$)
⚠️COSTO]]+TABLA_BASE[[#This Row],[IPM UNIT.
(US$)
✅CF]]+TABLA_BASE[[#This Row],[IGV UNIT.
(US$)
✅CF]]</f>
        <v>0</v>
      </c>
      <c r="R79" s="280">
        <f>TABLA_BASE[[#This Row],[DEUDA
ADUANERA
UNIT.]]*TABLA_BASE[[#This Row],[CANTIDAD
(unid.)]]</f>
        <v>0</v>
      </c>
      <c r="S79" s="278">
        <f>TABLA_BASE[[#This Row],[DEUDA
ADUANERA
UNIT.]]*'📋 Datos Generales'!$E$19</f>
        <v>0</v>
      </c>
      <c r="T79" s="278">
        <f>TABLA_BASE[[#This Row],[DEUDA
ADUANERA
TOTAL]]*'📋 Datos Generales'!$E$19</f>
        <v>0</v>
      </c>
      <c r="U79" s="281">
        <f>TABLA_BASE[[#This Row],[ADV UNIT.
(US$)
⚠️COSTO]]*'📋 Datos Generales'!$E$19</f>
        <v>0</v>
      </c>
      <c r="V79" s="281">
        <f>TABLA_BASE[[#This Row],[ADV UNIT.
(S/.)]]*TABLA_BASE[[#This Row],[CANTIDAD
(unid.)]]</f>
        <v>0</v>
      </c>
      <c r="W79" s="281">
        <f>TABLA_BASE[[#This Row],[IPM UNIT.
(US$)
✅CF]]*'📋 Datos Generales'!$E$19</f>
        <v>0</v>
      </c>
      <c r="X79" s="281">
        <f>TABLA_BASE[[#This Row],[IPM UNIT.
(S/.)]]*TABLA_BASE[[#This Row],[CANTIDAD
(unid.)]]</f>
        <v>0</v>
      </c>
      <c r="Y79" s="281">
        <f>TABLA_BASE[[#This Row],[IGV UNIT.
(US$)
✅CF]]*'📋 Datos Generales'!$E$19</f>
        <v>0</v>
      </c>
      <c r="Z79" s="281">
        <f>TABLA_BASE[[#This Row],[IGV UNIT.
(S/.)]]*TABLA_BASE[[#This Row],[CANTIDAD
(unid.)]]</f>
        <v>0</v>
      </c>
      <c r="AA79" s="281">
        <f>TABLA_BASE[[#This Row],[PERCEP.
UNIT.(US$)
✅CF]]*'📋 Datos Generales'!$E$19</f>
        <v>0</v>
      </c>
      <c r="AB79" s="281">
        <f>TABLA_BASE[[#This Row],[PERCEP.
UNIT.(S/.)]]*TABLA_BASE[[#This Row],[CANTIDAD
(unid.)]]</f>
        <v>0</v>
      </c>
      <c r="AC79" s="279">
        <f>TABLA_BASE[[#This Row],[ADV UNIT.
(US$)
⚠️COSTO]]+TABLA_BASE[[#This Row],[IPM UNIT.
(US$)
✅CF]]+TABLA_BASE[[#This Row],[IGV UNIT.
(US$)
✅CF]]+TABLA_BASE[[#This Row],[PERCEP.
UNIT.(US$)
✅CF]]</f>
        <v>0</v>
      </c>
      <c r="AD79" s="279">
        <f>TABLA_BASE[[#This Row],[TOTAL PAGO
SUNAT
UNIT.(US$)]]*TABLA_BASE[[#This Row],[CANTIDAD
(unid.)]]</f>
        <v>0</v>
      </c>
      <c r="AE79" s="281">
        <f>TABLA_BASE[[#This Row],[TOTAL PAGO
SUNAT
UNIT.(US$)]]*'📋 Datos Generales'!$E$19</f>
        <v>0</v>
      </c>
      <c r="AF79" s="281">
        <f>TABLA_BASE[[#This Row],[TOTAL TRIB.
UNIT.(S/.)]]*TABLA_BASE[[#This Row],[CANTIDAD
(unid.)]]</f>
        <v>0</v>
      </c>
      <c r="AG79" s="279">
        <f>IF('🧾 Factura Comercial'!G83=0,0,'📦 Gastos Importación'!$E$28*(IF('🧾 Tributos Aduana'!$F$6=0,0,'🧾 Factura Comercial'!I83/'🧾 Tributos Aduana'!$F$6))/'🧾 Factura Comercial'!G83)</f>
        <v>0</v>
      </c>
      <c r="AH79" s="279">
        <f>TABLA_BASE[[#This Row],[GASTOS IMP.
UNIT.(US$)]]*TABLA_BASE[[#This Row],[CANTIDAD
(unid.)]]</f>
        <v>0</v>
      </c>
      <c r="AI79" s="281">
        <f>TABLA_BASE[[#This Row],[GASTOS IMP.
UNIT.(US$)]]*'📋 Datos Generales'!$E$19</f>
        <v>0</v>
      </c>
      <c r="AJ79" s="281">
        <f>TABLA_BASE[[#This Row],[GASTOS IMP.
UNIT.(S/.)]]*TABLA_BASE[[#This Row],[CANTIDAD
(unid.)]]</f>
        <v>0</v>
      </c>
      <c r="AK79" s="280">
        <f>'🧮 Costos x Producto'!J83</f>
        <v>0</v>
      </c>
      <c r="AL79" s="278">
        <f>'🧮 Costos x Producto'!K83</f>
        <v>0</v>
      </c>
      <c r="AM79" s="278">
        <f>TABLA_BASE[[#This Row],[C/M UNIT.
(S/.)]]*TABLA_BASE[[#This Row],[CANTIDAD
(unid.)]]</f>
        <v>0</v>
      </c>
      <c r="AN79" s="279">
        <f>IF('🧾 Factura Comercial'!G83=0,0,'🧾 Tributos Aduana'!$F$17*(IF('🧾 Tributos Aduana'!$F$6=0,0,'🧾 Factura Comercial'!I83/'🧾 Tributos Aduana'!$F$6))/'🧾 Factura Comercial'!G83)</f>
        <v>0</v>
      </c>
      <c r="AO79" s="280">
        <f>IF('🧾 Factura Comercial'!G83=0,0,'🏦 Crédito Fiscal'!$C$16*(IF('🧾 Tributos Aduana'!$F$6=0,0,'🧾 Factura Comercial'!I83/'🧾 Tributos Aduana'!$F$6))/'🧾 Factura Comercial'!G83)</f>
        <v>0</v>
      </c>
      <c r="AP79" s="278">
        <f>TABLA_BASE[[#This Row],[CF UNIT.
✅RECUP.
(US$)]]*'📋 Datos Generales'!$E$19</f>
        <v>0</v>
      </c>
      <c r="AQ79" s="278">
        <f>TABLA_BASE[[#This Row],[CF UNIT.
✅RECUP.(S/.)]]*TABLA_BASE[[#This Row],[CANTIDAD
(unid.)]]</f>
        <v>0</v>
      </c>
      <c r="AR79" s="288">
        <f>'💰 Precio de Venta'!G84</f>
        <v>0.4</v>
      </c>
      <c r="AS79" s="278">
        <f>'💰 Precio de Venta'!H84</f>
        <v>0</v>
      </c>
      <c r="AT79" s="278">
        <f>TABLA_BASE[[#This Row],[VALOR VTA.
UNIT.(S/.)]]*TABLA_BASE[[#This Row],[CANTIDAD
(unid.)]]</f>
        <v>0</v>
      </c>
      <c r="AU79" s="281">
        <f>'💰 Precio de Venta'!I84</f>
        <v>0</v>
      </c>
      <c r="AV79" s="278">
        <f>'💰 Precio de Venta'!J84</f>
        <v>0</v>
      </c>
      <c r="AW79" s="278">
        <f>TABLA_BASE[[#This Row],[GANANCIA
UNIT.(S/.)]]*TABLA_BASE[[#This Row],[CANTIDAD
(unid.)]]</f>
        <v>0</v>
      </c>
      <c r="AX79" s="289">
        <f>'💰 Precio de Venta'!K84</f>
        <v>0</v>
      </c>
      <c r="AY79" s="278">
        <f>TABLA_BASE[[#This Row],[GANANCIA
UNIT.(S/.)]]*'🧾 Factura Comercial'!G83</f>
        <v>0</v>
      </c>
      <c r="AZ79" s="277">
        <f>IF(TABLA_BASE[[#This Row],[PRECIO VTA.
c/IGV(S/.)]]=0,0,TABLA_BASE[[#This Row],[GANANCIA
UNIT.(S/.)]]/TABLA_BASE[[#This Row],[PRECIO VTA.
c/IGV(S/.)]])</f>
        <v>0</v>
      </c>
      <c r="BA79" s="277">
        <f>IF(TABLA_BASE[[#This Row],[C/M UNIT.
(S/.)]]=0,0,TABLA_BASE[[#This Row],[GANANCIA
UNIT.(S/.)]]/TABLA_BASE[[#This Row],[C/M UNIT.
(S/.)]])</f>
        <v>0</v>
      </c>
      <c r="BB79" s="274" t="str">
        <f>IF(TABLA_BASE[[#This Row],[MARGEN
%]]&gt;=0.5,"🟢 ALTO",IF(TABLA_BASE[[#This Row],[MARGEN
%]]&gt;=0.3,"🟡 MEDIO","🔴 BAJO"))</f>
        <v>🟡 MEDIO</v>
      </c>
    </row>
    <row r="80" spans="1:54" ht="16.5" hidden="1" thickTop="1" thickBot="1" x14ac:dyDescent="0.3">
      <c r="A80" s="274">
        <f>'🧾 Factura Comercial'!E84</f>
        <v>0</v>
      </c>
      <c r="B80" s="274" t="str">
        <f>'🧾 Factura Comercial'!F84</f>
        <v>Unid.</v>
      </c>
      <c r="C80" s="275">
        <f>'🧾 Factura Comercial'!G84</f>
        <v>0</v>
      </c>
      <c r="D80" s="276">
        <f>'🧾 Factura Comercial'!H84</f>
        <v>0</v>
      </c>
      <c r="E80" s="276">
        <f>'🧾 Factura Comercial'!I84</f>
        <v>0</v>
      </c>
      <c r="F80" s="277">
        <f>IF('🧾 Tributos Aduana'!$F$6=0,0,'🧾 Factura Comercial'!I84/'🧾 Tributos Aduana'!$F$6)</f>
        <v>0</v>
      </c>
      <c r="G80" s="278">
        <f>'🧾 Factura Comercial'!H84*'📋 Datos Generales'!$E$19</f>
        <v>0</v>
      </c>
      <c r="H80" s="278">
        <f>TABLA_BASE[[#This Row],[FOB UNIT.
(S/.)]]*TABLA_BASE[[#This Row],[CANTIDAD
(unid.)]]</f>
        <v>0</v>
      </c>
      <c r="I80" s="280">
        <f>IF('🧾 Tributos Aduana'!$F$6=0,0,'🧾 Tributos Aduana'!$F$17*('🧾 Factura Comercial'!H84/'🧾 Tributos Aduana'!$F$6))</f>
        <v>0</v>
      </c>
      <c r="J80" s="280">
        <f>TABLA_BASE[[#This Row],[ADV UNIT.
(US$)
⚠️COSTO]]*TABLA_BASE[[#This Row],[CANTIDAD
(unid.)]]</f>
        <v>0</v>
      </c>
      <c r="K80" s="279">
        <f>IF('🧾 Tributos Aduana'!$F$6=0,0,'🧾 Tributos Aduana'!$F$18*('🧾 Factura Comercial'!H84/'🧾 Tributos Aduana'!$F$6))</f>
        <v>0</v>
      </c>
      <c r="L80" s="280">
        <f>TABLA_BASE[[#This Row],[IPM UNIT.
(US$)
✅CF]]*TABLA_BASE[[#This Row],[CANTIDAD
(unid.)]]</f>
        <v>0</v>
      </c>
      <c r="M80" s="279">
        <f>IF('🧾 Tributos Aduana'!$F$6=0,0,'🧾 Tributos Aduana'!$F$19*('🧾 Factura Comercial'!H84/'🧾 Tributos Aduana'!$F$6))</f>
        <v>0</v>
      </c>
      <c r="N80" s="280">
        <f>TABLA_BASE[[#This Row],[IGV UNIT.
(US$)
✅CF]]*TABLA_BASE[[#This Row],[CANTIDAD
(unid.)]]</f>
        <v>0</v>
      </c>
      <c r="O80" s="280">
        <f>IF('🧾 Tributos Aduana'!$F$6=0,0,'🧾 Tributos Aduana'!$F$23*('🧾 Factura Comercial'!H84/'🧾 Tributos Aduana'!$F$6))</f>
        <v>0</v>
      </c>
      <c r="P80" s="280">
        <f>TABLA_BASE[[#This Row],[PERCEP.
UNIT.(US$)
✅CF]]*TABLA_BASE[[#This Row],[CANTIDAD
(unid.)]]</f>
        <v>0</v>
      </c>
      <c r="Q80" s="279">
        <f>TABLA_BASE[[#This Row],[ADV UNIT.
(US$)
⚠️COSTO]]+TABLA_BASE[[#This Row],[IPM UNIT.
(US$)
✅CF]]+TABLA_BASE[[#This Row],[IGV UNIT.
(US$)
✅CF]]</f>
        <v>0</v>
      </c>
      <c r="R80" s="280">
        <f>TABLA_BASE[[#This Row],[DEUDA
ADUANERA
UNIT.]]*TABLA_BASE[[#This Row],[CANTIDAD
(unid.)]]</f>
        <v>0</v>
      </c>
      <c r="S80" s="278">
        <f>TABLA_BASE[[#This Row],[DEUDA
ADUANERA
UNIT.]]*'📋 Datos Generales'!$E$19</f>
        <v>0</v>
      </c>
      <c r="T80" s="278">
        <f>TABLA_BASE[[#This Row],[DEUDA
ADUANERA
TOTAL]]*'📋 Datos Generales'!$E$19</f>
        <v>0</v>
      </c>
      <c r="U80" s="281">
        <f>TABLA_BASE[[#This Row],[ADV UNIT.
(US$)
⚠️COSTO]]*'📋 Datos Generales'!$E$19</f>
        <v>0</v>
      </c>
      <c r="V80" s="281">
        <f>TABLA_BASE[[#This Row],[ADV UNIT.
(S/.)]]*TABLA_BASE[[#This Row],[CANTIDAD
(unid.)]]</f>
        <v>0</v>
      </c>
      <c r="W80" s="281">
        <f>TABLA_BASE[[#This Row],[IPM UNIT.
(US$)
✅CF]]*'📋 Datos Generales'!$E$19</f>
        <v>0</v>
      </c>
      <c r="X80" s="281">
        <f>TABLA_BASE[[#This Row],[IPM UNIT.
(S/.)]]*TABLA_BASE[[#This Row],[CANTIDAD
(unid.)]]</f>
        <v>0</v>
      </c>
      <c r="Y80" s="281">
        <f>TABLA_BASE[[#This Row],[IGV UNIT.
(US$)
✅CF]]*'📋 Datos Generales'!$E$19</f>
        <v>0</v>
      </c>
      <c r="Z80" s="281">
        <f>TABLA_BASE[[#This Row],[IGV UNIT.
(S/.)]]*TABLA_BASE[[#This Row],[CANTIDAD
(unid.)]]</f>
        <v>0</v>
      </c>
      <c r="AA80" s="281">
        <f>TABLA_BASE[[#This Row],[PERCEP.
UNIT.(US$)
✅CF]]*'📋 Datos Generales'!$E$19</f>
        <v>0</v>
      </c>
      <c r="AB80" s="281">
        <f>TABLA_BASE[[#This Row],[PERCEP.
UNIT.(S/.)]]*TABLA_BASE[[#This Row],[CANTIDAD
(unid.)]]</f>
        <v>0</v>
      </c>
      <c r="AC80" s="279">
        <f>TABLA_BASE[[#This Row],[ADV UNIT.
(US$)
⚠️COSTO]]+TABLA_BASE[[#This Row],[IPM UNIT.
(US$)
✅CF]]+TABLA_BASE[[#This Row],[IGV UNIT.
(US$)
✅CF]]+TABLA_BASE[[#This Row],[PERCEP.
UNIT.(US$)
✅CF]]</f>
        <v>0</v>
      </c>
      <c r="AD80" s="279">
        <f>TABLA_BASE[[#This Row],[TOTAL PAGO
SUNAT
UNIT.(US$)]]*TABLA_BASE[[#This Row],[CANTIDAD
(unid.)]]</f>
        <v>0</v>
      </c>
      <c r="AE80" s="281">
        <f>TABLA_BASE[[#This Row],[TOTAL PAGO
SUNAT
UNIT.(US$)]]*'📋 Datos Generales'!$E$19</f>
        <v>0</v>
      </c>
      <c r="AF80" s="281">
        <f>TABLA_BASE[[#This Row],[TOTAL TRIB.
UNIT.(S/.)]]*TABLA_BASE[[#This Row],[CANTIDAD
(unid.)]]</f>
        <v>0</v>
      </c>
      <c r="AG80" s="279">
        <f>IF('🧾 Factura Comercial'!G84=0,0,'📦 Gastos Importación'!$E$28*(IF('🧾 Tributos Aduana'!$F$6=0,0,'🧾 Factura Comercial'!I84/'🧾 Tributos Aduana'!$F$6))/'🧾 Factura Comercial'!G84)</f>
        <v>0</v>
      </c>
      <c r="AH80" s="279">
        <f>TABLA_BASE[[#This Row],[GASTOS IMP.
UNIT.(US$)]]*TABLA_BASE[[#This Row],[CANTIDAD
(unid.)]]</f>
        <v>0</v>
      </c>
      <c r="AI80" s="281">
        <f>TABLA_BASE[[#This Row],[GASTOS IMP.
UNIT.(US$)]]*'📋 Datos Generales'!$E$19</f>
        <v>0</v>
      </c>
      <c r="AJ80" s="281">
        <f>TABLA_BASE[[#This Row],[GASTOS IMP.
UNIT.(S/.)]]*TABLA_BASE[[#This Row],[CANTIDAD
(unid.)]]</f>
        <v>0</v>
      </c>
      <c r="AK80" s="280">
        <f>'🧮 Costos x Producto'!J84</f>
        <v>0</v>
      </c>
      <c r="AL80" s="278">
        <f>'🧮 Costos x Producto'!K84</f>
        <v>0</v>
      </c>
      <c r="AM80" s="278">
        <f>TABLA_BASE[[#This Row],[C/M UNIT.
(S/.)]]*TABLA_BASE[[#This Row],[CANTIDAD
(unid.)]]</f>
        <v>0</v>
      </c>
      <c r="AN80" s="279">
        <f>IF('🧾 Factura Comercial'!G84=0,0,'🧾 Tributos Aduana'!$F$17*(IF('🧾 Tributos Aduana'!$F$6=0,0,'🧾 Factura Comercial'!I84/'🧾 Tributos Aduana'!$F$6))/'🧾 Factura Comercial'!G84)</f>
        <v>0</v>
      </c>
      <c r="AO80" s="280">
        <f>IF('🧾 Factura Comercial'!G84=0,0,'🏦 Crédito Fiscal'!$C$16*(IF('🧾 Tributos Aduana'!$F$6=0,0,'🧾 Factura Comercial'!I84/'🧾 Tributos Aduana'!$F$6))/'🧾 Factura Comercial'!G84)</f>
        <v>0</v>
      </c>
      <c r="AP80" s="278">
        <f>TABLA_BASE[[#This Row],[CF UNIT.
✅RECUP.
(US$)]]*'📋 Datos Generales'!$E$19</f>
        <v>0</v>
      </c>
      <c r="AQ80" s="278">
        <f>TABLA_BASE[[#This Row],[CF UNIT.
✅RECUP.(S/.)]]*TABLA_BASE[[#This Row],[CANTIDAD
(unid.)]]</f>
        <v>0</v>
      </c>
      <c r="AR80" s="288">
        <f>'💰 Precio de Venta'!G85</f>
        <v>0.4</v>
      </c>
      <c r="AS80" s="278">
        <f>'💰 Precio de Venta'!H85</f>
        <v>0</v>
      </c>
      <c r="AT80" s="278">
        <f>TABLA_BASE[[#This Row],[VALOR VTA.
UNIT.(S/.)]]*TABLA_BASE[[#This Row],[CANTIDAD
(unid.)]]</f>
        <v>0</v>
      </c>
      <c r="AU80" s="281">
        <f>'💰 Precio de Venta'!I85</f>
        <v>0</v>
      </c>
      <c r="AV80" s="278">
        <f>'💰 Precio de Venta'!J85</f>
        <v>0</v>
      </c>
      <c r="AW80" s="278">
        <f>TABLA_BASE[[#This Row],[GANANCIA
UNIT.(S/.)]]*TABLA_BASE[[#This Row],[CANTIDAD
(unid.)]]</f>
        <v>0</v>
      </c>
      <c r="AX80" s="289">
        <f>'💰 Precio de Venta'!K85</f>
        <v>0</v>
      </c>
      <c r="AY80" s="278">
        <f>TABLA_BASE[[#This Row],[GANANCIA
UNIT.(S/.)]]*'🧾 Factura Comercial'!G84</f>
        <v>0</v>
      </c>
      <c r="AZ80" s="277">
        <f>IF(TABLA_BASE[[#This Row],[PRECIO VTA.
c/IGV(S/.)]]=0,0,TABLA_BASE[[#This Row],[GANANCIA
UNIT.(S/.)]]/TABLA_BASE[[#This Row],[PRECIO VTA.
c/IGV(S/.)]])</f>
        <v>0</v>
      </c>
      <c r="BA80" s="277">
        <f>IF(TABLA_BASE[[#This Row],[C/M UNIT.
(S/.)]]=0,0,TABLA_BASE[[#This Row],[GANANCIA
UNIT.(S/.)]]/TABLA_BASE[[#This Row],[C/M UNIT.
(S/.)]])</f>
        <v>0</v>
      </c>
      <c r="BB80" s="274" t="str">
        <f>IF(TABLA_BASE[[#This Row],[MARGEN
%]]&gt;=0.5,"🟢 ALTO",IF(TABLA_BASE[[#This Row],[MARGEN
%]]&gt;=0.3,"🟡 MEDIO","🔴 BAJO"))</f>
        <v>🟡 MEDIO</v>
      </c>
    </row>
    <row r="81" spans="1:54" ht="16.5" hidden="1" thickTop="1" thickBot="1" x14ac:dyDescent="0.3">
      <c r="A81" s="274">
        <f>'🧾 Factura Comercial'!E85</f>
        <v>0</v>
      </c>
      <c r="B81" s="274" t="str">
        <f>'🧾 Factura Comercial'!F85</f>
        <v>Unid.</v>
      </c>
      <c r="C81" s="275">
        <f>'🧾 Factura Comercial'!G85</f>
        <v>0</v>
      </c>
      <c r="D81" s="276">
        <f>'🧾 Factura Comercial'!H85</f>
        <v>0</v>
      </c>
      <c r="E81" s="276">
        <f>'🧾 Factura Comercial'!I85</f>
        <v>0</v>
      </c>
      <c r="F81" s="277">
        <f>IF('🧾 Tributos Aduana'!$F$6=0,0,'🧾 Factura Comercial'!I85/'🧾 Tributos Aduana'!$F$6)</f>
        <v>0</v>
      </c>
      <c r="G81" s="278">
        <f>'🧾 Factura Comercial'!H85*'📋 Datos Generales'!$E$19</f>
        <v>0</v>
      </c>
      <c r="H81" s="278">
        <f>TABLA_BASE[[#This Row],[FOB UNIT.
(S/.)]]*TABLA_BASE[[#This Row],[CANTIDAD
(unid.)]]</f>
        <v>0</v>
      </c>
      <c r="I81" s="280">
        <f>IF('🧾 Tributos Aduana'!$F$6=0,0,'🧾 Tributos Aduana'!$F$17*('🧾 Factura Comercial'!H85/'🧾 Tributos Aduana'!$F$6))</f>
        <v>0</v>
      </c>
      <c r="J81" s="280">
        <f>TABLA_BASE[[#This Row],[ADV UNIT.
(US$)
⚠️COSTO]]*TABLA_BASE[[#This Row],[CANTIDAD
(unid.)]]</f>
        <v>0</v>
      </c>
      <c r="K81" s="279">
        <f>IF('🧾 Tributos Aduana'!$F$6=0,0,'🧾 Tributos Aduana'!$F$18*('🧾 Factura Comercial'!H85/'🧾 Tributos Aduana'!$F$6))</f>
        <v>0</v>
      </c>
      <c r="L81" s="280">
        <f>TABLA_BASE[[#This Row],[IPM UNIT.
(US$)
✅CF]]*TABLA_BASE[[#This Row],[CANTIDAD
(unid.)]]</f>
        <v>0</v>
      </c>
      <c r="M81" s="279">
        <f>IF('🧾 Tributos Aduana'!$F$6=0,0,'🧾 Tributos Aduana'!$F$19*('🧾 Factura Comercial'!H85/'🧾 Tributos Aduana'!$F$6))</f>
        <v>0</v>
      </c>
      <c r="N81" s="280">
        <f>TABLA_BASE[[#This Row],[IGV UNIT.
(US$)
✅CF]]*TABLA_BASE[[#This Row],[CANTIDAD
(unid.)]]</f>
        <v>0</v>
      </c>
      <c r="O81" s="280">
        <f>IF('🧾 Tributos Aduana'!$F$6=0,0,'🧾 Tributos Aduana'!$F$23*('🧾 Factura Comercial'!H85/'🧾 Tributos Aduana'!$F$6))</f>
        <v>0</v>
      </c>
      <c r="P81" s="280">
        <f>TABLA_BASE[[#This Row],[PERCEP.
UNIT.(US$)
✅CF]]*TABLA_BASE[[#This Row],[CANTIDAD
(unid.)]]</f>
        <v>0</v>
      </c>
      <c r="Q81" s="279">
        <f>TABLA_BASE[[#This Row],[ADV UNIT.
(US$)
⚠️COSTO]]+TABLA_BASE[[#This Row],[IPM UNIT.
(US$)
✅CF]]+TABLA_BASE[[#This Row],[IGV UNIT.
(US$)
✅CF]]</f>
        <v>0</v>
      </c>
      <c r="R81" s="280">
        <f>TABLA_BASE[[#This Row],[DEUDA
ADUANERA
UNIT.]]*TABLA_BASE[[#This Row],[CANTIDAD
(unid.)]]</f>
        <v>0</v>
      </c>
      <c r="S81" s="278">
        <f>TABLA_BASE[[#This Row],[DEUDA
ADUANERA
UNIT.]]*'📋 Datos Generales'!$E$19</f>
        <v>0</v>
      </c>
      <c r="T81" s="278">
        <f>TABLA_BASE[[#This Row],[DEUDA
ADUANERA
TOTAL]]*'📋 Datos Generales'!$E$19</f>
        <v>0</v>
      </c>
      <c r="U81" s="281">
        <f>TABLA_BASE[[#This Row],[ADV UNIT.
(US$)
⚠️COSTO]]*'📋 Datos Generales'!$E$19</f>
        <v>0</v>
      </c>
      <c r="V81" s="281">
        <f>TABLA_BASE[[#This Row],[ADV UNIT.
(S/.)]]*TABLA_BASE[[#This Row],[CANTIDAD
(unid.)]]</f>
        <v>0</v>
      </c>
      <c r="W81" s="281">
        <f>TABLA_BASE[[#This Row],[IPM UNIT.
(US$)
✅CF]]*'📋 Datos Generales'!$E$19</f>
        <v>0</v>
      </c>
      <c r="X81" s="281">
        <f>TABLA_BASE[[#This Row],[IPM UNIT.
(S/.)]]*TABLA_BASE[[#This Row],[CANTIDAD
(unid.)]]</f>
        <v>0</v>
      </c>
      <c r="Y81" s="281">
        <f>TABLA_BASE[[#This Row],[IGV UNIT.
(US$)
✅CF]]*'📋 Datos Generales'!$E$19</f>
        <v>0</v>
      </c>
      <c r="Z81" s="281">
        <f>TABLA_BASE[[#This Row],[IGV UNIT.
(S/.)]]*TABLA_BASE[[#This Row],[CANTIDAD
(unid.)]]</f>
        <v>0</v>
      </c>
      <c r="AA81" s="281">
        <f>TABLA_BASE[[#This Row],[PERCEP.
UNIT.(US$)
✅CF]]*'📋 Datos Generales'!$E$19</f>
        <v>0</v>
      </c>
      <c r="AB81" s="281">
        <f>TABLA_BASE[[#This Row],[PERCEP.
UNIT.(S/.)]]*TABLA_BASE[[#This Row],[CANTIDAD
(unid.)]]</f>
        <v>0</v>
      </c>
      <c r="AC81" s="279">
        <f>TABLA_BASE[[#This Row],[ADV UNIT.
(US$)
⚠️COSTO]]+TABLA_BASE[[#This Row],[IPM UNIT.
(US$)
✅CF]]+TABLA_BASE[[#This Row],[IGV UNIT.
(US$)
✅CF]]+TABLA_BASE[[#This Row],[PERCEP.
UNIT.(US$)
✅CF]]</f>
        <v>0</v>
      </c>
      <c r="AD81" s="279">
        <f>TABLA_BASE[[#This Row],[TOTAL PAGO
SUNAT
UNIT.(US$)]]*TABLA_BASE[[#This Row],[CANTIDAD
(unid.)]]</f>
        <v>0</v>
      </c>
      <c r="AE81" s="281">
        <f>TABLA_BASE[[#This Row],[TOTAL PAGO
SUNAT
UNIT.(US$)]]*'📋 Datos Generales'!$E$19</f>
        <v>0</v>
      </c>
      <c r="AF81" s="281">
        <f>TABLA_BASE[[#This Row],[TOTAL TRIB.
UNIT.(S/.)]]*TABLA_BASE[[#This Row],[CANTIDAD
(unid.)]]</f>
        <v>0</v>
      </c>
      <c r="AG81" s="279">
        <f>IF('🧾 Factura Comercial'!G85=0,0,'📦 Gastos Importación'!$E$28*(IF('🧾 Tributos Aduana'!$F$6=0,0,'🧾 Factura Comercial'!I85/'🧾 Tributos Aduana'!$F$6))/'🧾 Factura Comercial'!G85)</f>
        <v>0</v>
      </c>
      <c r="AH81" s="279">
        <f>TABLA_BASE[[#This Row],[GASTOS IMP.
UNIT.(US$)]]*TABLA_BASE[[#This Row],[CANTIDAD
(unid.)]]</f>
        <v>0</v>
      </c>
      <c r="AI81" s="281">
        <f>TABLA_BASE[[#This Row],[GASTOS IMP.
UNIT.(US$)]]*'📋 Datos Generales'!$E$19</f>
        <v>0</v>
      </c>
      <c r="AJ81" s="281">
        <f>TABLA_BASE[[#This Row],[GASTOS IMP.
UNIT.(S/.)]]*TABLA_BASE[[#This Row],[CANTIDAD
(unid.)]]</f>
        <v>0</v>
      </c>
      <c r="AK81" s="280">
        <f>'🧮 Costos x Producto'!J85</f>
        <v>0</v>
      </c>
      <c r="AL81" s="278">
        <f>'🧮 Costos x Producto'!K85</f>
        <v>0</v>
      </c>
      <c r="AM81" s="278">
        <f>TABLA_BASE[[#This Row],[C/M UNIT.
(S/.)]]*TABLA_BASE[[#This Row],[CANTIDAD
(unid.)]]</f>
        <v>0</v>
      </c>
      <c r="AN81" s="279">
        <f>IF('🧾 Factura Comercial'!G85=0,0,'🧾 Tributos Aduana'!$F$17*(IF('🧾 Tributos Aduana'!$F$6=0,0,'🧾 Factura Comercial'!I85/'🧾 Tributos Aduana'!$F$6))/'🧾 Factura Comercial'!G85)</f>
        <v>0</v>
      </c>
      <c r="AO81" s="280">
        <f>IF('🧾 Factura Comercial'!G85=0,0,'🏦 Crédito Fiscal'!$C$16*(IF('🧾 Tributos Aduana'!$F$6=0,0,'🧾 Factura Comercial'!I85/'🧾 Tributos Aduana'!$F$6))/'🧾 Factura Comercial'!G85)</f>
        <v>0</v>
      </c>
      <c r="AP81" s="278">
        <f>TABLA_BASE[[#This Row],[CF UNIT.
✅RECUP.
(US$)]]*'📋 Datos Generales'!$E$19</f>
        <v>0</v>
      </c>
      <c r="AQ81" s="278">
        <f>TABLA_BASE[[#This Row],[CF UNIT.
✅RECUP.(S/.)]]*TABLA_BASE[[#This Row],[CANTIDAD
(unid.)]]</f>
        <v>0</v>
      </c>
      <c r="AR81" s="288">
        <f>'💰 Precio de Venta'!G86</f>
        <v>0.4</v>
      </c>
      <c r="AS81" s="278">
        <f>'💰 Precio de Venta'!H86</f>
        <v>0</v>
      </c>
      <c r="AT81" s="278">
        <f>TABLA_BASE[[#This Row],[VALOR VTA.
UNIT.(S/.)]]*TABLA_BASE[[#This Row],[CANTIDAD
(unid.)]]</f>
        <v>0</v>
      </c>
      <c r="AU81" s="281">
        <f>'💰 Precio de Venta'!I86</f>
        <v>0</v>
      </c>
      <c r="AV81" s="278">
        <f>'💰 Precio de Venta'!J86</f>
        <v>0</v>
      </c>
      <c r="AW81" s="278">
        <f>TABLA_BASE[[#This Row],[GANANCIA
UNIT.(S/.)]]*TABLA_BASE[[#This Row],[CANTIDAD
(unid.)]]</f>
        <v>0</v>
      </c>
      <c r="AX81" s="289">
        <f>'💰 Precio de Venta'!K86</f>
        <v>0</v>
      </c>
      <c r="AY81" s="278">
        <f>TABLA_BASE[[#This Row],[GANANCIA
UNIT.(S/.)]]*'🧾 Factura Comercial'!G85</f>
        <v>0</v>
      </c>
      <c r="AZ81" s="277">
        <f>IF(TABLA_BASE[[#This Row],[PRECIO VTA.
c/IGV(S/.)]]=0,0,TABLA_BASE[[#This Row],[GANANCIA
UNIT.(S/.)]]/TABLA_BASE[[#This Row],[PRECIO VTA.
c/IGV(S/.)]])</f>
        <v>0</v>
      </c>
      <c r="BA81" s="277">
        <f>IF(TABLA_BASE[[#This Row],[C/M UNIT.
(S/.)]]=0,0,TABLA_BASE[[#This Row],[GANANCIA
UNIT.(S/.)]]/TABLA_BASE[[#This Row],[C/M UNIT.
(S/.)]])</f>
        <v>0</v>
      </c>
      <c r="BB81" s="274" t="str">
        <f>IF(TABLA_BASE[[#This Row],[MARGEN
%]]&gt;=0.5,"🟢 ALTO",IF(TABLA_BASE[[#This Row],[MARGEN
%]]&gt;=0.3,"🟡 MEDIO","🔴 BAJO"))</f>
        <v>🟡 MEDIO</v>
      </c>
    </row>
    <row r="82" spans="1:54" ht="16.5" hidden="1" thickTop="1" thickBot="1" x14ac:dyDescent="0.3">
      <c r="A82" s="274">
        <f>'🧾 Factura Comercial'!E86</f>
        <v>0</v>
      </c>
      <c r="B82" s="274" t="str">
        <f>'🧾 Factura Comercial'!F86</f>
        <v>Unid.</v>
      </c>
      <c r="C82" s="275">
        <f>'🧾 Factura Comercial'!G86</f>
        <v>0</v>
      </c>
      <c r="D82" s="276">
        <f>'🧾 Factura Comercial'!H86</f>
        <v>0</v>
      </c>
      <c r="E82" s="276">
        <f>'🧾 Factura Comercial'!I86</f>
        <v>0</v>
      </c>
      <c r="F82" s="277">
        <f>IF('🧾 Tributos Aduana'!$F$6=0,0,'🧾 Factura Comercial'!I86/'🧾 Tributos Aduana'!$F$6)</f>
        <v>0</v>
      </c>
      <c r="G82" s="278">
        <f>'🧾 Factura Comercial'!H86*'📋 Datos Generales'!$E$19</f>
        <v>0</v>
      </c>
      <c r="H82" s="278">
        <f>TABLA_BASE[[#This Row],[FOB UNIT.
(S/.)]]*TABLA_BASE[[#This Row],[CANTIDAD
(unid.)]]</f>
        <v>0</v>
      </c>
      <c r="I82" s="280">
        <f>IF('🧾 Tributos Aduana'!$F$6=0,0,'🧾 Tributos Aduana'!$F$17*('🧾 Factura Comercial'!H86/'🧾 Tributos Aduana'!$F$6))</f>
        <v>0</v>
      </c>
      <c r="J82" s="280">
        <f>TABLA_BASE[[#This Row],[ADV UNIT.
(US$)
⚠️COSTO]]*TABLA_BASE[[#This Row],[CANTIDAD
(unid.)]]</f>
        <v>0</v>
      </c>
      <c r="K82" s="279">
        <f>IF('🧾 Tributos Aduana'!$F$6=0,0,'🧾 Tributos Aduana'!$F$18*('🧾 Factura Comercial'!H86/'🧾 Tributos Aduana'!$F$6))</f>
        <v>0</v>
      </c>
      <c r="L82" s="280">
        <f>TABLA_BASE[[#This Row],[IPM UNIT.
(US$)
✅CF]]*TABLA_BASE[[#This Row],[CANTIDAD
(unid.)]]</f>
        <v>0</v>
      </c>
      <c r="M82" s="279">
        <f>IF('🧾 Tributos Aduana'!$F$6=0,0,'🧾 Tributos Aduana'!$F$19*('🧾 Factura Comercial'!H86/'🧾 Tributos Aduana'!$F$6))</f>
        <v>0</v>
      </c>
      <c r="N82" s="280">
        <f>TABLA_BASE[[#This Row],[IGV UNIT.
(US$)
✅CF]]*TABLA_BASE[[#This Row],[CANTIDAD
(unid.)]]</f>
        <v>0</v>
      </c>
      <c r="O82" s="280">
        <f>IF('🧾 Tributos Aduana'!$F$6=0,0,'🧾 Tributos Aduana'!$F$23*('🧾 Factura Comercial'!H86/'🧾 Tributos Aduana'!$F$6))</f>
        <v>0</v>
      </c>
      <c r="P82" s="280">
        <f>TABLA_BASE[[#This Row],[PERCEP.
UNIT.(US$)
✅CF]]*TABLA_BASE[[#This Row],[CANTIDAD
(unid.)]]</f>
        <v>0</v>
      </c>
      <c r="Q82" s="279">
        <f>TABLA_BASE[[#This Row],[ADV UNIT.
(US$)
⚠️COSTO]]+TABLA_BASE[[#This Row],[IPM UNIT.
(US$)
✅CF]]+TABLA_BASE[[#This Row],[IGV UNIT.
(US$)
✅CF]]</f>
        <v>0</v>
      </c>
      <c r="R82" s="280">
        <f>TABLA_BASE[[#This Row],[DEUDA
ADUANERA
UNIT.]]*TABLA_BASE[[#This Row],[CANTIDAD
(unid.)]]</f>
        <v>0</v>
      </c>
      <c r="S82" s="278">
        <f>TABLA_BASE[[#This Row],[DEUDA
ADUANERA
UNIT.]]*'📋 Datos Generales'!$E$19</f>
        <v>0</v>
      </c>
      <c r="T82" s="278">
        <f>TABLA_BASE[[#This Row],[DEUDA
ADUANERA
TOTAL]]*'📋 Datos Generales'!$E$19</f>
        <v>0</v>
      </c>
      <c r="U82" s="281">
        <f>TABLA_BASE[[#This Row],[ADV UNIT.
(US$)
⚠️COSTO]]*'📋 Datos Generales'!$E$19</f>
        <v>0</v>
      </c>
      <c r="V82" s="281">
        <f>TABLA_BASE[[#This Row],[ADV UNIT.
(S/.)]]*TABLA_BASE[[#This Row],[CANTIDAD
(unid.)]]</f>
        <v>0</v>
      </c>
      <c r="W82" s="281">
        <f>TABLA_BASE[[#This Row],[IPM UNIT.
(US$)
✅CF]]*'📋 Datos Generales'!$E$19</f>
        <v>0</v>
      </c>
      <c r="X82" s="281">
        <f>TABLA_BASE[[#This Row],[IPM UNIT.
(S/.)]]*TABLA_BASE[[#This Row],[CANTIDAD
(unid.)]]</f>
        <v>0</v>
      </c>
      <c r="Y82" s="281">
        <f>TABLA_BASE[[#This Row],[IGV UNIT.
(US$)
✅CF]]*'📋 Datos Generales'!$E$19</f>
        <v>0</v>
      </c>
      <c r="Z82" s="281">
        <f>TABLA_BASE[[#This Row],[IGV UNIT.
(S/.)]]*TABLA_BASE[[#This Row],[CANTIDAD
(unid.)]]</f>
        <v>0</v>
      </c>
      <c r="AA82" s="281">
        <f>TABLA_BASE[[#This Row],[PERCEP.
UNIT.(US$)
✅CF]]*'📋 Datos Generales'!$E$19</f>
        <v>0</v>
      </c>
      <c r="AB82" s="281">
        <f>TABLA_BASE[[#This Row],[PERCEP.
UNIT.(S/.)]]*TABLA_BASE[[#This Row],[CANTIDAD
(unid.)]]</f>
        <v>0</v>
      </c>
      <c r="AC82" s="279">
        <f>TABLA_BASE[[#This Row],[ADV UNIT.
(US$)
⚠️COSTO]]+TABLA_BASE[[#This Row],[IPM UNIT.
(US$)
✅CF]]+TABLA_BASE[[#This Row],[IGV UNIT.
(US$)
✅CF]]+TABLA_BASE[[#This Row],[PERCEP.
UNIT.(US$)
✅CF]]</f>
        <v>0</v>
      </c>
      <c r="AD82" s="279">
        <f>TABLA_BASE[[#This Row],[TOTAL PAGO
SUNAT
UNIT.(US$)]]*TABLA_BASE[[#This Row],[CANTIDAD
(unid.)]]</f>
        <v>0</v>
      </c>
      <c r="AE82" s="281">
        <f>TABLA_BASE[[#This Row],[TOTAL PAGO
SUNAT
UNIT.(US$)]]*'📋 Datos Generales'!$E$19</f>
        <v>0</v>
      </c>
      <c r="AF82" s="281">
        <f>TABLA_BASE[[#This Row],[TOTAL TRIB.
UNIT.(S/.)]]*TABLA_BASE[[#This Row],[CANTIDAD
(unid.)]]</f>
        <v>0</v>
      </c>
      <c r="AG82" s="279">
        <f>IF('🧾 Factura Comercial'!G86=0,0,'📦 Gastos Importación'!$E$28*(IF('🧾 Tributos Aduana'!$F$6=0,0,'🧾 Factura Comercial'!I86/'🧾 Tributos Aduana'!$F$6))/'🧾 Factura Comercial'!G86)</f>
        <v>0</v>
      </c>
      <c r="AH82" s="279">
        <f>TABLA_BASE[[#This Row],[GASTOS IMP.
UNIT.(US$)]]*TABLA_BASE[[#This Row],[CANTIDAD
(unid.)]]</f>
        <v>0</v>
      </c>
      <c r="AI82" s="281">
        <f>TABLA_BASE[[#This Row],[GASTOS IMP.
UNIT.(US$)]]*'📋 Datos Generales'!$E$19</f>
        <v>0</v>
      </c>
      <c r="AJ82" s="281">
        <f>TABLA_BASE[[#This Row],[GASTOS IMP.
UNIT.(S/.)]]*TABLA_BASE[[#This Row],[CANTIDAD
(unid.)]]</f>
        <v>0</v>
      </c>
      <c r="AK82" s="280">
        <f>'🧮 Costos x Producto'!J86</f>
        <v>0</v>
      </c>
      <c r="AL82" s="278">
        <f>'🧮 Costos x Producto'!K86</f>
        <v>0</v>
      </c>
      <c r="AM82" s="278">
        <f>TABLA_BASE[[#This Row],[C/M UNIT.
(S/.)]]*TABLA_BASE[[#This Row],[CANTIDAD
(unid.)]]</f>
        <v>0</v>
      </c>
      <c r="AN82" s="279">
        <f>IF('🧾 Factura Comercial'!G86=0,0,'🧾 Tributos Aduana'!$F$17*(IF('🧾 Tributos Aduana'!$F$6=0,0,'🧾 Factura Comercial'!I86/'🧾 Tributos Aduana'!$F$6))/'🧾 Factura Comercial'!G86)</f>
        <v>0</v>
      </c>
      <c r="AO82" s="280">
        <f>IF('🧾 Factura Comercial'!G86=0,0,'🏦 Crédito Fiscal'!$C$16*(IF('🧾 Tributos Aduana'!$F$6=0,0,'🧾 Factura Comercial'!I86/'🧾 Tributos Aduana'!$F$6))/'🧾 Factura Comercial'!G86)</f>
        <v>0</v>
      </c>
      <c r="AP82" s="278">
        <f>TABLA_BASE[[#This Row],[CF UNIT.
✅RECUP.
(US$)]]*'📋 Datos Generales'!$E$19</f>
        <v>0</v>
      </c>
      <c r="AQ82" s="278">
        <f>TABLA_BASE[[#This Row],[CF UNIT.
✅RECUP.(S/.)]]*TABLA_BASE[[#This Row],[CANTIDAD
(unid.)]]</f>
        <v>0</v>
      </c>
      <c r="AR82" s="288">
        <f>'💰 Precio de Venta'!G87</f>
        <v>0.4</v>
      </c>
      <c r="AS82" s="278">
        <f>'💰 Precio de Venta'!H87</f>
        <v>0</v>
      </c>
      <c r="AT82" s="278">
        <f>TABLA_BASE[[#This Row],[VALOR VTA.
UNIT.(S/.)]]*TABLA_BASE[[#This Row],[CANTIDAD
(unid.)]]</f>
        <v>0</v>
      </c>
      <c r="AU82" s="281">
        <f>'💰 Precio de Venta'!I87</f>
        <v>0</v>
      </c>
      <c r="AV82" s="278">
        <f>'💰 Precio de Venta'!J87</f>
        <v>0</v>
      </c>
      <c r="AW82" s="278">
        <f>TABLA_BASE[[#This Row],[GANANCIA
UNIT.(S/.)]]*TABLA_BASE[[#This Row],[CANTIDAD
(unid.)]]</f>
        <v>0</v>
      </c>
      <c r="AX82" s="289">
        <f>'💰 Precio de Venta'!K87</f>
        <v>0</v>
      </c>
      <c r="AY82" s="278">
        <f>TABLA_BASE[[#This Row],[GANANCIA
UNIT.(S/.)]]*'🧾 Factura Comercial'!G86</f>
        <v>0</v>
      </c>
      <c r="AZ82" s="277">
        <f>IF(TABLA_BASE[[#This Row],[PRECIO VTA.
c/IGV(S/.)]]=0,0,TABLA_BASE[[#This Row],[GANANCIA
UNIT.(S/.)]]/TABLA_BASE[[#This Row],[PRECIO VTA.
c/IGV(S/.)]])</f>
        <v>0</v>
      </c>
      <c r="BA82" s="277">
        <f>IF(TABLA_BASE[[#This Row],[C/M UNIT.
(S/.)]]=0,0,TABLA_BASE[[#This Row],[GANANCIA
UNIT.(S/.)]]/TABLA_BASE[[#This Row],[C/M UNIT.
(S/.)]])</f>
        <v>0</v>
      </c>
      <c r="BB82" s="274" t="str">
        <f>IF(TABLA_BASE[[#This Row],[MARGEN
%]]&gt;=0.5,"🟢 ALTO",IF(TABLA_BASE[[#This Row],[MARGEN
%]]&gt;=0.3,"🟡 MEDIO","🔴 BAJO"))</f>
        <v>🟡 MEDIO</v>
      </c>
    </row>
    <row r="83" spans="1:54" ht="16.5" hidden="1" thickTop="1" thickBot="1" x14ac:dyDescent="0.3">
      <c r="A83" s="274">
        <f>'🧾 Factura Comercial'!E87</f>
        <v>0</v>
      </c>
      <c r="B83" s="274" t="str">
        <f>'🧾 Factura Comercial'!F87</f>
        <v>Unid.</v>
      </c>
      <c r="C83" s="275">
        <f>'🧾 Factura Comercial'!G87</f>
        <v>0</v>
      </c>
      <c r="D83" s="276">
        <f>'🧾 Factura Comercial'!H87</f>
        <v>0</v>
      </c>
      <c r="E83" s="276">
        <f>'🧾 Factura Comercial'!I87</f>
        <v>0</v>
      </c>
      <c r="F83" s="277">
        <f>IF('🧾 Tributos Aduana'!$F$6=0,0,'🧾 Factura Comercial'!I87/'🧾 Tributos Aduana'!$F$6)</f>
        <v>0</v>
      </c>
      <c r="G83" s="278">
        <f>'🧾 Factura Comercial'!H87*'📋 Datos Generales'!$E$19</f>
        <v>0</v>
      </c>
      <c r="H83" s="278">
        <f>TABLA_BASE[[#This Row],[FOB UNIT.
(S/.)]]*TABLA_BASE[[#This Row],[CANTIDAD
(unid.)]]</f>
        <v>0</v>
      </c>
      <c r="I83" s="280">
        <f>IF('🧾 Tributos Aduana'!$F$6=0,0,'🧾 Tributos Aduana'!$F$17*('🧾 Factura Comercial'!H87/'🧾 Tributos Aduana'!$F$6))</f>
        <v>0</v>
      </c>
      <c r="J83" s="280">
        <f>TABLA_BASE[[#This Row],[ADV UNIT.
(US$)
⚠️COSTO]]*TABLA_BASE[[#This Row],[CANTIDAD
(unid.)]]</f>
        <v>0</v>
      </c>
      <c r="K83" s="279">
        <f>IF('🧾 Tributos Aduana'!$F$6=0,0,'🧾 Tributos Aduana'!$F$18*('🧾 Factura Comercial'!H87/'🧾 Tributos Aduana'!$F$6))</f>
        <v>0</v>
      </c>
      <c r="L83" s="280">
        <f>TABLA_BASE[[#This Row],[IPM UNIT.
(US$)
✅CF]]*TABLA_BASE[[#This Row],[CANTIDAD
(unid.)]]</f>
        <v>0</v>
      </c>
      <c r="M83" s="279">
        <f>IF('🧾 Tributos Aduana'!$F$6=0,0,'🧾 Tributos Aduana'!$F$19*('🧾 Factura Comercial'!H87/'🧾 Tributos Aduana'!$F$6))</f>
        <v>0</v>
      </c>
      <c r="N83" s="280">
        <f>TABLA_BASE[[#This Row],[IGV UNIT.
(US$)
✅CF]]*TABLA_BASE[[#This Row],[CANTIDAD
(unid.)]]</f>
        <v>0</v>
      </c>
      <c r="O83" s="280">
        <f>IF('🧾 Tributos Aduana'!$F$6=0,0,'🧾 Tributos Aduana'!$F$23*('🧾 Factura Comercial'!H87/'🧾 Tributos Aduana'!$F$6))</f>
        <v>0</v>
      </c>
      <c r="P83" s="280">
        <f>TABLA_BASE[[#This Row],[PERCEP.
UNIT.(US$)
✅CF]]*TABLA_BASE[[#This Row],[CANTIDAD
(unid.)]]</f>
        <v>0</v>
      </c>
      <c r="Q83" s="279">
        <f>TABLA_BASE[[#This Row],[ADV UNIT.
(US$)
⚠️COSTO]]+TABLA_BASE[[#This Row],[IPM UNIT.
(US$)
✅CF]]+TABLA_BASE[[#This Row],[IGV UNIT.
(US$)
✅CF]]</f>
        <v>0</v>
      </c>
      <c r="R83" s="280">
        <f>TABLA_BASE[[#This Row],[DEUDA
ADUANERA
UNIT.]]*TABLA_BASE[[#This Row],[CANTIDAD
(unid.)]]</f>
        <v>0</v>
      </c>
      <c r="S83" s="278">
        <f>TABLA_BASE[[#This Row],[DEUDA
ADUANERA
UNIT.]]*'📋 Datos Generales'!$E$19</f>
        <v>0</v>
      </c>
      <c r="T83" s="278">
        <f>TABLA_BASE[[#This Row],[DEUDA
ADUANERA
TOTAL]]*'📋 Datos Generales'!$E$19</f>
        <v>0</v>
      </c>
      <c r="U83" s="281">
        <f>TABLA_BASE[[#This Row],[ADV UNIT.
(US$)
⚠️COSTO]]*'📋 Datos Generales'!$E$19</f>
        <v>0</v>
      </c>
      <c r="V83" s="281">
        <f>TABLA_BASE[[#This Row],[ADV UNIT.
(S/.)]]*TABLA_BASE[[#This Row],[CANTIDAD
(unid.)]]</f>
        <v>0</v>
      </c>
      <c r="W83" s="281">
        <f>TABLA_BASE[[#This Row],[IPM UNIT.
(US$)
✅CF]]*'📋 Datos Generales'!$E$19</f>
        <v>0</v>
      </c>
      <c r="X83" s="281">
        <f>TABLA_BASE[[#This Row],[IPM UNIT.
(S/.)]]*TABLA_BASE[[#This Row],[CANTIDAD
(unid.)]]</f>
        <v>0</v>
      </c>
      <c r="Y83" s="281">
        <f>TABLA_BASE[[#This Row],[IGV UNIT.
(US$)
✅CF]]*'📋 Datos Generales'!$E$19</f>
        <v>0</v>
      </c>
      <c r="Z83" s="281">
        <f>TABLA_BASE[[#This Row],[IGV UNIT.
(S/.)]]*TABLA_BASE[[#This Row],[CANTIDAD
(unid.)]]</f>
        <v>0</v>
      </c>
      <c r="AA83" s="281">
        <f>TABLA_BASE[[#This Row],[PERCEP.
UNIT.(US$)
✅CF]]*'📋 Datos Generales'!$E$19</f>
        <v>0</v>
      </c>
      <c r="AB83" s="281">
        <f>TABLA_BASE[[#This Row],[PERCEP.
UNIT.(S/.)]]*TABLA_BASE[[#This Row],[CANTIDAD
(unid.)]]</f>
        <v>0</v>
      </c>
      <c r="AC83" s="279">
        <f>TABLA_BASE[[#This Row],[ADV UNIT.
(US$)
⚠️COSTO]]+TABLA_BASE[[#This Row],[IPM UNIT.
(US$)
✅CF]]+TABLA_BASE[[#This Row],[IGV UNIT.
(US$)
✅CF]]+TABLA_BASE[[#This Row],[PERCEP.
UNIT.(US$)
✅CF]]</f>
        <v>0</v>
      </c>
      <c r="AD83" s="279">
        <f>TABLA_BASE[[#This Row],[TOTAL PAGO
SUNAT
UNIT.(US$)]]*TABLA_BASE[[#This Row],[CANTIDAD
(unid.)]]</f>
        <v>0</v>
      </c>
      <c r="AE83" s="281">
        <f>TABLA_BASE[[#This Row],[TOTAL PAGO
SUNAT
UNIT.(US$)]]*'📋 Datos Generales'!$E$19</f>
        <v>0</v>
      </c>
      <c r="AF83" s="281">
        <f>TABLA_BASE[[#This Row],[TOTAL TRIB.
UNIT.(S/.)]]*TABLA_BASE[[#This Row],[CANTIDAD
(unid.)]]</f>
        <v>0</v>
      </c>
      <c r="AG83" s="279">
        <f>IF('🧾 Factura Comercial'!G87=0,0,'📦 Gastos Importación'!$E$28*(IF('🧾 Tributos Aduana'!$F$6=0,0,'🧾 Factura Comercial'!I87/'🧾 Tributos Aduana'!$F$6))/'🧾 Factura Comercial'!G87)</f>
        <v>0</v>
      </c>
      <c r="AH83" s="279">
        <f>TABLA_BASE[[#This Row],[GASTOS IMP.
UNIT.(US$)]]*TABLA_BASE[[#This Row],[CANTIDAD
(unid.)]]</f>
        <v>0</v>
      </c>
      <c r="AI83" s="281">
        <f>TABLA_BASE[[#This Row],[GASTOS IMP.
UNIT.(US$)]]*'📋 Datos Generales'!$E$19</f>
        <v>0</v>
      </c>
      <c r="AJ83" s="281">
        <f>TABLA_BASE[[#This Row],[GASTOS IMP.
UNIT.(S/.)]]*TABLA_BASE[[#This Row],[CANTIDAD
(unid.)]]</f>
        <v>0</v>
      </c>
      <c r="AK83" s="280">
        <f>'🧮 Costos x Producto'!J87</f>
        <v>0</v>
      </c>
      <c r="AL83" s="278">
        <f>'🧮 Costos x Producto'!K87</f>
        <v>0</v>
      </c>
      <c r="AM83" s="278">
        <f>TABLA_BASE[[#This Row],[C/M UNIT.
(S/.)]]*TABLA_BASE[[#This Row],[CANTIDAD
(unid.)]]</f>
        <v>0</v>
      </c>
      <c r="AN83" s="279">
        <f>IF('🧾 Factura Comercial'!G87=0,0,'🧾 Tributos Aduana'!$F$17*(IF('🧾 Tributos Aduana'!$F$6=0,0,'🧾 Factura Comercial'!I87/'🧾 Tributos Aduana'!$F$6))/'🧾 Factura Comercial'!G87)</f>
        <v>0</v>
      </c>
      <c r="AO83" s="280">
        <f>IF('🧾 Factura Comercial'!G87=0,0,'🏦 Crédito Fiscal'!$C$16*(IF('🧾 Tributos Aduana'!$F$6=0,0,'🧾 Factura Comercial'!I87/'🧾 Tributos Aduana'!$F$6))/'🧾 Factura Comercial'!G87)</f>
        <v>0</v>
      </c>
      <c r="AP83" s="278">
        <f>TABLA_BASE[[#This Row],[CF UNIT.
✅RECUP.
(US$)]]*'📋 Datos Generales'!$E$19</f>
        <v>0</v>
      </c>
      <c r="AQ83" s="278">
        <f>TABLA_BASE[[#This Row],[CF UNIT.
✅RECUP.(S/.)]]*TABLA_BASE[[#This Row],[CANTIDAD
(unid.)]]</f>
        <v>0</v>
      </c>
      <c r="AR83" s="288">
        <f>'💰 Precio de Venta'!G88</f>
        <v>0.4</v>
      </c>
      <c r="AS83" s="278">
        <f>'💰 Precio de Venta'!H88</f>
        <v>0</v>
      </c>
      <c r="AT83" s="278">
        <f>TABLA_BASE[[#This Row],[VALOR VTA.
UNIT.(S/.)]]*TABLA_BASE[[#This Row],[CANTIDAD
(unid.)]]</f>
        <v>0</v>
      </c>
      <c r="AU83" s="281">
        <f>'💰 Precio de Venta'!I88</f>
        <v>0</v>
      </c>
      <c r="AV83" s="278">
        <f>'💰 Precio de Venta'!J88</f>
        <v>0</v>
      </c>
      <c r="AW83" s="278">
        <f>TABLA_BASE[[#This Row],[GANANCIA
UNIT.(S/.)]]*TABLA_BASE[[#This Row],[CANTIDAD
(unid.)]]</f>
        <v>0</v>
      </c>
      <c r="AX83" s="289">
        <f>'💰 Precio de Venta'!K88</f>
        <v>0</v>
      </c>
      <c r="AY83" s="278">
        <f>TABLA_BASE[[#This Row],[GANANCIA
UNIT.(S/.)]]*'🧾 Factura Comercial'!G87</f>
        <v>0</v>
      </c>
      <c r="AZ83" s="277">
        <f>IF(TABLA_BASE[[#This Row],[PRECIO VTA.
c/IGV(S/.)]]=0,0,TABLA_BASE[[#This Row],[GANANCIA
UNIT.(S/.)]]/TABLA_BASE[[#This Row],[PRECIO VTA.
c/IGV(S/.)]])</f>
        <v>0</v>
      </c>
      <c r="BA83" s="277">
        <f>IF(TABLA_BASE[[#This Row],[C/M UNIT.
(S/.)]]=0,0,TABLA_BASE[[#This Row],[GANANCIA
UNIT.(S/.)]]/TABLA_BASE[[#This Row],[C/M UNIT.
(S/.)]])</f>
        <v>0</v>
      </c>
      <c r="BB83" s="274" t="str">
        <f>IF(TABLA_BASE[[#This Row],[MARGEN
%]]&gt;=0.5,"🟢 ALTO",IF(TABLA_BASE[[#This Row],[MARGEN
%]]&gt;=0.3,"🟡 MEDIO","🔴 BAJO"))</f>
        <v>🟡 MEDIO</v>
      </c>
    </row>
    <row r="84" spans="1:54" ht="16.5" hidden="1" thickTop="1" thickBot="1" x14ac:dyDescent="0.3">
      <c r="A84" s="274">
        <f>'🧾 Factura Comercial'!E88</f>
        <v>0</v>
      </c>
      <c r="B84" s="274" t="str">
        <f>'🧾 Factura Comercial'!F88</f>
        <v>Unid.</v>
      </c>
      <c r="C84" s="275">
        <f>'🧾 Factura Comercial'!G88</f>
        <v>0</v>
      </c>
      <c r="D84" s="276">
        <f>'🧾 Factura Comercial'!H88</f>
        <v>0</v>
      </c>
      <c r="E84" s="276">
        <f>'🧾 Factura Comercial'!I88</f>
        <v>0</v>
      </c>
      <c r="F84" s="277">
        <f>IF('🧾 Tributos Aduana'!$F$6=0,0,'🧾 Factura Comercial'!I88/'🧾 Tributos Aduana'!$F$6)</f>
        <v>0</v>
      </c>
      <c r="G84" s="278">
        <f>'🧾 Factura Comercial'!H88*'📋 Datos Generales'!$E$19</f>
        <v>0</v>
      </c>
      <c r="H84" s="278">
        <f>TABLA_BASE[[#This Row],[FOB UNIT.
(S/.)]]*TABLA_BASE[[#This Row],[CANTIDAD
(unid.)]]</f>
        <v>0</v>
      </c>
      <c r="I84" s="280">
        <f>IF('🧾 Tributos Aduana'!$F$6=0,0,'🧾 Tributos Aduana'!$F$17*('🧾 Factura Comercial'!H88/'🧾 Tributos Aduana'!$F$6))</f>
        <v>0</v>
      </c>
      <c r="J84" s="280">
        <f>TABLA_BASE[[#This Row],[ADV UNIT.
(US$)
⚠️COSTO]]*TABLA_BASE[[#This Row],[CANTIDAD
(unid.)]]</f>
        <v>0</v>
      </c>
      <c r="K84" s="279">
        <f>IF('🧾 Tributos Aduana'!$F$6=0,0,'🧾 Tributos Aduana'!$F$18*('🧾 Factura Comercial'!H88/'🧾 Tributos Aduana'!$F$6))</f>
        <v>0</v>
      </c>
      <c r="L84" s="280">
        <f>TABLA_BASE[[#This Row],[IPM UNIT.
(US$)
✅CF]]*TABLA_BASE[[#This Row],[CANTIDAD
(unid.)]]</f>
        <v>0</v>
      </c>
      <c r="M84" s="279">
        <f>IF('🧾 Tributos Aduana'!$F$6=0,0,'🧾 Tributos Aduana'!$F$19*('🧾 Factura Comercial'!H88/'🧾 Tributos Aduana'!$F$6))</f>
        <v>0</v>
      </c>
      <c r="N84" s="280">
        <f>TABLA_BASE[[#This Row],[IGV UNIT.
(US$)
✅CF]]*TABLA_BASE[[#This Row],[CANTIDAD
(unid.)]]</f>
        <v>0</v>
      </c>
      <c r="O84" s="280">
        <f>IF('🧾 Tributos Aduana'!$F$6=0,0,'🧾 Tributos Aduana'!$F$23*('🧾 Factura Comercial'!H88/'🧾 Tributos Aduana'!$F$6))</f>
        <v>0</v>
      </c>
      <c r="P84" s="280">
        <f>TABLA_BASE[[#This Row],[PERCEP.
UNIT.(US$)
✅CF]]*TABLA_BASE[[#This Row],[CANTIDAD
(unid.)]]</f>
        <v>0</v>
      </c>
      <c r="Q84" s="279">
        <f>TABLA_BASE[[#This Row],[ADV UNIT.
(US$)
⚠️COSTO]]+TABLA_BASE[[#This Row],[IPM UNIT.
(US$)
✅CF]]+TABLA_BASE[[#This Row],[IGV UNIT.
(US$)
✅CF]]</f>
        <v>0</v>
      </c>
      <c r="R84" s="280">
        <f>TABLA_BASE[[#This Row],[DEUDA
ADUANERA
UNIT.]]*TABLA_BASE[[#This Row],[CANTIDAD
(unid.)]]</f>
        <v>0</v>
      </c>
      <c r="S84" s="278">
        <f>TABLA_BASE[[#This Row],[DEUDA
ADUANERA
UNIT.]]*'📋 Datos Generales'!$E$19</f>
        <v>0</v>
      </c>
      <c r="T84" s="278">
        <f>TABLA_BASE[[#This Row],[DEUDA
ADUANERA
TOTAL]]*'📋 Datos Generales'!$E$19</f>
        <v>0</v>
      </c>
      <c r="U84" s="281">
        <f>TABLA_BASE[[#This Row],[ADV UNIT.
(US$)
⚠️COSTO]]*'📋 Datos Generales'!$E$19</f>
        <v>0</v>
      </c>
      <c r="V84" s="281">
        <f>TABLA_BASE[[#This Row],[ADV UNIT.
(S/.)]]*TABLA_BASE[[#This Row],[CANTIDAD
(unid.)]]</f>
        <v>0</v>
      </c>
      <c r="W84" s="281">
        <f>TABLA_BASE[[#This Row],[IPM UNIT.
(US$)
✅CF]]*'📋 Datos Generales'!$E$19</f>
        <v>0</v>
      </c>
      <c r="X84" s="281">
        <f>TABLA_BASE[[#This Row],[IPM UNIT.
(S/.)]]*TABLA_BASE[[#This Row],[CANTIDAD
(unid.)]]</f>
        <v>0</v>
      </c>
      <c r="Y84" s="281">
        <f>TABLA_BASE[[#This Row],[IGV UNIT.
(US$)
✅CF]]*'📋 Datos Generales'!$E$19</f>
        <v>0</v>
      </c>
      <c r="Z84" s="281">
        <f>TABLA_BASE[[#This Row],[IGV UNIT.
(S/.)]]*TABLA_BASE[[#This Row],[CANTIDAD
(unid.)]]</f>
        <v>0</v>
      </c>
      <c r="AA84" s="281">
        <f>TABLA_BASE[[#This Row],[PERCEP.
UNIT.(US$)
✅CF]]*'📋 Datos Generales'!$E$19</f>
        <v>0</v>
      </c>
      <c r="AB84" s="281">
        <f>TABLA_BASE[[#This Row],[PERCEP.
UNIT.(S/.)]]*TABLA_BASE[[#This Row],[CANTIDAD
(unid.)]]</f>
        <v>0</v>
      </c>
      <c r="AC84" s="279">
        <f>TABLA_BASE[[#This Row],[ADV UNIT.
(US$)
⚠️COSTO]]+TABLA_BASE[[#This Row],[IPM UNIT.
(US$)
✅CF]]+TABLA_BASE[[#This Row],[IGV UNIT.
(US$)
✅CF]]+TABLA_BASE[[#This Row],[PERCEP.
UNIT.(US$)
✅CF]]</f>
        <v>0</v>
      </c>
      <c r="AD84" s="279">
        <f>TABLA_BASE[[#This Row],[TOTAL PAGO
SUNAT
UNIT.(US$)]]*TABLA_BASE[[#This Row],[CANTIDAD
(unid.)]]</f>
        <v>0</v>
      </c>
      <c r="AE84" s="281">
        <f>TABLA_BASE[[#This Row],[TOTAL PAGO
SUNAT
UNIT.(US$)]]*'📋 Datos Generales'!$E$19</f>
        <v>0</v>
      </c>
      <c r="AF84" s="281">
        <f>TABLA_BASE[[#This Row],[TOTAL TRIB.
UNIT.(S/.)]]*TABLA_BASE[[#This Row],[CANTIDAD
(unid.)]]</f>
        <v>0</v>
      </c>
      <c r="AG84" s="279">
        <f>IF('🧾 Factura Comercial'!G88=0,0,'📦 Gastos Importación'!$E$28*(IF('🧾 Tributos Aduana'!$F$6=0,0,'🧾 Factura Comercial'!I88/'🧾 Tributos Aduana'!$F$6))/'🧾 Factura Comercial'!G88)</f>
        <v>0</v>
      </c>
      <c r="AH84" s="279">
        <f>TABLA_BASE[[#This Row],[GASTOS IMP.
UNIT.(US$)]]*TABLA_BASE[[#This Row],[CANTIDAD
(unid.)]]</f>
        <v>0</v>
      </c>
      <c r="AI84" s="281">
        <f>TABLA_BASE[[#This Row],[GASTOS IMP.
UNIT.(US$)]]*'📋 Datos Generales'!$E$19</f>
        <v>0</v>
      </c>
      <c r="AJ84" s="281">
        <f>TABLA_BASE[[#This Row],[GASTOS IMP.
UNIT.(S/.)]]*TABLA_BASE[[#This Row],[CANTIDAD
(unid.)]]</f>
        <v>0</v>
      </c>
      <c r="AK84" s="280">
        <f>'🧮 Costos x Producto'!J88</f>
        <v>0</v>
      </c>
      <c r="AL84" s="278">
        <f>'🧮 Costos x Producto'!K88</f>
        <v>0</v>
      </c>
      <c r="AM84" s="278">
        <f>TABLA_BASE[[#This Row],[C/M UNIT.
(S/.)]]*TABLA_BASE[[#This Row],[CANTIDAD
(unid.)]]</f>
        <v>0</v>
      </c>
      <c r="AN84" s="279">
        <f>IF('🧾 Factura Comercial'!G88=0,0,'🧾 Tributos Aduana'!$F$17*(IF('🧾 Tributos Aduana'!$F$6=0,0,'🧾 Factura Comercial'!I88/'🧾 Tributos Aduana'!$F$6))/'🧾 Factura Comercial'!G88)</f>
        <v>0</v>
      </c>
      <c r="AO84" s="280">
        <f>IF('🧾 Factura Comercial'!G88=0,0,'🏦 Crédito Fiscal'!$C$16*(IF('🧾 Tributos Aduana'!$F$6=0,0,'🧾 Factura Comercial'!I88/'🧾 Tributos Aduana'!$F$6))/'🧾 Factura Comercial'!G88)</f>
        <v>0</v>
      </c>
      <c r="AP84" s="278">
        <f>TABLA_BASE[[#This Row],[CF UNIT.
✅RECUP.
(US$)]]*'📋 Datos Generales'!$E$19</f>
        <v>0</v>
      </c>
      <c r="AQ84" s="278">
        <f>TABLA_BASE[[#This Row],[CF UNIT.
✅RECUP.(S/.)]]*TABLA_BASE[[#This Row],[CANTIDAD
(unid.)]]</f>
        <v>0</v>
      </c>
      <c r="AR84" s="288">
        <f>'💰 Precio de Venta'!G89</f>
        <v>0.4</v>
      </c>
      <c r="AS84" s="278">
        <f>'💰 Precio de Venta'!H89</f>
        <v>0</v>
      </c>
      <c r="AT84" s="278">
        <f>TABLA_BASE[[#This Row],[VALOR VTA.
UNIT.(S/.)]]*TABLA_BASE[[#This Row],[CANTIDAD
(unid.)]]</f>
        <v>0</v>
      </c>
      <c r="AU84" s="281">
        <f>'💰 Precio de Venta'!I89</f>
        <v>0</v>
      </c>
      <c r="AV84" s="278">
        <f>'💰 Precio de Venta'!J89</f>
        <v>0</v>
      </c>
      <c r="AW84" s="278">
        <f>TABLA_BASE[[#This Row],[GANANCIA
UNIT.(S/.)]]*TABLA_BASE[[#This Row],[CANTIDAD
(unid.)]]</f>
        <v>0</v>
      </c>
      <c r="AX84" s="289">
        <f>'💰 Precio de Venta'!K89</f>
        <v>0</v>
      </c>
      <c r="AY84" s="278">
        <f>TABLA_BASE[[#This Row],[GANANCIA
UNIT.(S/.)]]*'🧾 Factura Comercial'!G88</f>
        <v>0</v>
      </c>
      <c r="AZ84" s="277">
        <f>IF(TABLA_BASE[[#This Row],[PRECIO VTA.
c/IGV(S/.)]]=0,0,TABLA_BASE[[#This Row],[GANANCIA
UNIT.(S/.)]]/TABLA_BASE[[#This Row],[PRECIO VTA.
c/IGV(S/.)]])</f>
        <v>0</v>
      </c>
      <c r="BA84" s="277">
        <f>IF(TABLA_BASE[[#This Row],[C/M UNIT.
(S/.)]]=0,0,TABLA_BASE[[#This Row],[GANANCIA
UNIT.(S/.)]]/TABLA_BASE[[#This Row],[C/M UNIT.
(S/.)]])</f>
        <v>0</v>
      </c>
      <c r="BB84" s="274" t="str">
        <f>IF(TABLA_BASE[[#This Row],[MARGEN
%]]&gt;=0.5,"🟢 ALTO",IF(TABLA_BASE[[#This Row],[MARGEN
%]]&gt;=0.3,"🟡 MEDIO","🔴 BAJO"))</f>
        <v>🟡 MEDIO</v>
      </c>
    </row>
    <row r="85" spans="1:54" ht="16.5" hidden="1" thickTop="1" thickBot="1" x14ac:dyDescent="0.3">
      <c r="A85" s="274">
        <f>'🧾 Factura Comercial'!E89</f>
        <v>0</v>
      </c>
      <c r="B85" s="274" t="str">
        <f>'🧾 Factura Comercial'!F89</f>
        <v>Unid.</v>
      </c>
      <c r="C85" s="275">
        <f>'🧾 Factura Comercial'!G89</f>
        <v>0</v>
      </c>
      <c r="D85" s="276">
        <f>'🧾 Factura Comercial'!H89</f>
        <v>0</v>
      </c>
      <c r="E85" s="276">
        <f>'🧾 Factura Comercial'!I89</f>
        <v>0</v>
      </c>
      <c r="F85" s="277">
        <f>IF('🧾 Tributos Aduana'!$F$6=0,0,'🧾 Factura Comercial'!I89/'🧾 Tributos Aduana'!$F$6)</f>
        <v>0</v>
      </c>
      <c r="G85" s="278">
        <f>'🧾 Factura Comercial'!H89*'📋 Datos Generales'!$E$19</f>
        <v>0</v>
      </c>
      <c r="H85" s="278">
        <f>TABLA_BASE[[#This Row],[FOB UNIT.
(S/.)]]*TABLA_BASE[[#This Row],[CANTIDAD
(unid.)]]</f>
        <v>0</v>
      </c>
      <c r="I85" s="280">
        <f>IF('🧾 Tributos Aduana'!$F$6=0,0,'🧾 Tributos Aduana'!$F$17*('🧾 Factura Comercial'!H89/'🧾 Tributos Aduana'!$F$6))</f>
        <v>0</v>
      </c>
      <c r="J85" s="280">
        <f>TABLA_BASE[[#This Row],[ADV UNIT.
(US$)
⚠️COSTO]]*TABLA_BASE[[#This Row],[CANTIDAD
(unid.)]]</f>
        <v>0</v>
      </c>
      <c r="K85" s="279">
        <f>IF('🧾 Tributos Aduana'!$F$6=0,0,'🧾 Tributos Aduana'!$F$18*('🧾 Factura Comercial'!H89/'🧾 Tributos Aduana'!$F$6))</f>
        <v>0</v>
      </c>
      <c r="L85" s="280">
        <f>TABLA_BASE[[#This Row],[IPM UNIT.
(US$)
✅CF]]*TABLA_BASE[[#This Row],[CANTIDAD
(unid.)]]</f>
        <v>0</v>
      </c>
      <c r="M85" s="279">
        <f>IF('🧾 Tributos Aduana'!$F$6=0,0,'🧾 Tributos Aduana'!$F$19*('🧾 Factura Comercial'!H89/'🧾 Tributos Aduana'!$F$6))</f>
        <v>0</v>
      </c>
      <c r="N85" s="280">
        <f>TABLA_BASE[[#This Row],[IGV UNIT.
(US$)
✅CF]]*TABLA_BASE[[#This Row],[CANTIDAD
(unid.)]]</f>
        <v>0</v>
      </c>
      <c r="O85" s="280">
        <f>IF('🧾 Tributos Aduana'!$F$6=0,0,'🧾 Tributos Aduana'!$F$23*('🧾 Factura Comercial'!H89/'🧾 Tributos Aduana'!$F$6))</f>
        <v>0</v>
      </c>
      <c r="P85" s="280">
        <f>TABLA_BASE[[#This Row],[PERCEP.
UNIT.(US$)
✅CF]]*TABLA_BASE[[#This Row],[CANTIDAD
(unid.)]]</f>
        <v>0</v>
      </c>
      <c r="Q85" s="279">
        <f>TABLA_BASE[[#This Row],[ADV UNIT.
(US$)
⚠️COSTO]]+TABLA_BASE[[#This Row],[IPM UNIT.
(US$)
✅CF]]+TABLA_BASE[[#This Row],[IGV UNIT.
(US$)
✅CF]]</f>
        <v>0</v>
      </c>
      <c r="R85" s="280">
        <f>TABLA_BASE[[#This Row],[DEUDA
ADUANERA
UNIT.]]*TABLA_BASE[[#This Row],[CANTIDAD
(unid.)]]</f>
        <v>0</v>
      </c>
      <c r="S85" s="278">
        <f>TABLA_BASE[[#This Row],[DEUDA
ADUANERA
UNIT.]]*'📋 Datos Generales'!$E$19</f>
        <v>0</v>
      </c>
      <c r="T85" s="278">
        <f>TABLA_BASE[[#This Row],[DEUDA
ADUANERA
TOTAL]]*'📋 Datos Generales'!$E$19</f>
        <v>0</v>
      </c>
      <c r="U85" s="281">
        <f>TABLA_BASE[[#This Row],[ADV UNIT.
(US$)
⚠️COSTO]]*'📋 Datos Generales'!$E$19</f>
        <v>0</v>
      </c>
      <c r="V85" s="281">
        <f>TABLA_BASE[[#This Row],[ADV UNIT.
(S/.)]]*TABLA_BASE[[#This Row],[CANTIDAD
(unid.)]]</f>
        <v>0</v>
      </c>
      <c r="W85" s="281">
        <f>TABLA_BASE[[#This Row],[IPM UNIT.
(US$)
✅CF]]*'📋 Datos Generales'!$E$19</f>
        <v>0</v>
      </c>
      <c r="X85" s="281">
        <f>TABLA_BASE[[#This Row],[IPM UNIT.
(S/.)]]*TABLA_BASE[[#This Row],[CANTIDAD
(unid.)]]</f>
        <v>0</v>
      </c>
      <c r="Y85" s="281">
        <f>TABLA_BASE[[#This Row],[IGV UNIT.
(US$)
✅CF]]*'📋 Datos Generales'!$E$19</f>
        <v>0</v>
      </c>
      <c r="Z85" s="281">
        <f>TABLA_BASE[[#This Row],[IGV UNIT.
(S/.)]]*TABLA_BASE[[#This Row],[CANTIDAD
(unid.)]]</f>
        <v>0</v>
      </c>
      <c r="AA85" s="281">
        <f>TABLA_BASE[[#This Row],[PERCEP.
UNIT.(US$)
✅CF]]*'📋 Datos Generales'!$E$19</f>
        <v>0</v>
      </c>
      <c r="AB85" s="281">
        <f>TABLA_BASE[[#This Row],[PERCEP.
UNIT.(S/.)]]*TABLA_BASE[[#This Row],[CANTIDAD
(unid.)]]</f>
        <v>0</v>
      </c>
      <c r="AC85" s="279">
        <f>TABLA_BASE[[#This Row],[ADV UNIT.
(US$)
⚠️COSTO]]+TABLA_BASE[[#This Row],[IPM UNIT.
(US$)
✅CF]]+TABLA_BASE[[#This Row],[IGV UNIT.
(US$)
✅CF]]+TABLA_BASE[[#This Row],[PERCEP.
UNIT.(US$)
✅CF]]</f>
        <v>0</v>
      </c>
      <c r="AD85" s="279">
        <f>TABLA_BASE[[#This Row],[TOTAL PAGO
SUNAT
UNIT.(US$)]]*TABLA_BASE[[#This Row],[CANTIDAD
(unid.)]]</f>
        <v>0</v>
      </c>
      <c r="AE85" s="281">
        <f>TABLA_BASE[[#This Row],[TOTAL PAGO
SUNAT
UNIT.(US$)]]*'📋 Datos Generales'!$E$19</f>
        <v>0</v>
      </c>
      <c r="AF85" s="281">
        <f>TABLA_BASE[[#This Row],[TOTAL TRIB.
UNIT.(S/.)]]*TABLA_BASE[[#This Row],[CANTIDAD
(unid.)]]</f>
        <v>0</v>
      </c>
      <c r="AG85" s="279">
        <f>IF('🧾 Factura Comercial'!G89=0,0,'📦 Gastos Importación'!$E$28*(IF('🧾 Tributos Aduana'!$F$6=0,0,'🧾 Factura Comercial'!I89/'🧾 Tributos Aduana'!$F$6))/'🧾 Factura Comercial'!G89)</f>
        <v>0</v>
      </c>
      <c r="AH85" s="279">
        <f>TABLA_BASE[[#This Row],[GASTOS IMP.
UNIT.(US$)]]*TABLA_BASE[[#This Row],[CANTIDAD
(unid.)]]</f>
        <v>0</v>
      </c>
      <c r="AI85" s="281">
        <f>TABLA_BASE[[#This Row],[GASTOS IMP.
UNIT.(US$)]]*'📋 Datos Generales'!$E$19</f>
        <v>0</v>
      </c>
      <c r="AJ85" s="281">
        <f>TABLA_BASE[[#This Row],[GASTOS IMP.
UNIT.(S/.)]]*TABLA_BASE[[#This Row],[CANTIDAD
(unid.)]]</f>
        <v>0</v>
      </c>
      <c r="AK85" s="280">
        <f>'🧮 Costos x Producto'!J89</f>
        <v>0</v>
      </c>
      <c r="AL85" s="278">
        <f>'🧮 Costos x Producto'!K89</f>
        <v>0</v>
      </c>
      <c r="AM85" s="278">
        <f>TABLA_BASE[[#This Row],[C/M UNIT.
(S/.)]]*TABLA_BASE[[#This Row],[CANTIDAD
(unid.)]]</f>
        <v>0</v>
      </c>
      <c r="AN85" s="279">
        <f>IF('🧾 Factura Comercial'!G89=0,0,'🧾 Tributos Aduana'!$F$17*(IF('🧾 Tributos Aduana'!$F$6=0,0,'🧾 Factura Comercial'!I89/'🧾 Tributos Aduana'!$F$6))/'🧾 Factura Comercial'!G89)</f>
        <v>0</v>
      </c>
      <c r="AO85" s="280">
        <f>IF('🧾 Factura Comercial'!G89=0,0,'🏦 Crédito Fiscal'!$C$16*(IF('🧾 Tributos Aduana'!$F$6=0,0,'🧾 Factura Comercial'!I89/'🧾 Tributos Aduana'!$F$6))/'🧾 Factura Comercial'!G89)</f>
        <v>0</v>
      </c>
      <c r="AP85" s="278">
        <f>TABLA_BASE[[#This Row],[CF UNIT.
✅RECUP.
(US$)]]*'📋 Datos Generales'!$E$19</f>
        <v>0</v>
      </c>
      <c r="AQ85" s="278">
        <f>TABLA_BASE[[#This Row],[CF UNIT.
✅RECUP.(S/.)]]*TABLA_BASE[[#This Row],[CANTIDAD
(unid.)]]</f>
        <v>0</v>
      </c>
      <c r="AR85" s="288">
        <f>'💰 Precio de Venta'!G90</f>
        <v>0.4</v>
      </c>
      <c r="AS85" s="278">
        <f>'💰 Precio de Venta'!H90</f>
        <v>0</v>
      </c>
      <c r="AT85" s="278">
        <f>TABLA_BASE[[#This Row],[VALOR VTA.
UNIT.(S/.)]]*TABLA_BASE[[#This Row],[CANTIDAD
(unid.)]]</f>
        <v>0</v>
      </c>
      <c r="AU85" s="281">
        <f>'💰 Precio de Venta'!I90</f>
        <v>0</v>
      </c>
      <c r="AV85" s="278">
        <f>'💰 Precio de Venta'!J90</f>
        <v>0</v>
      </c>
      <c r="AW85" s="278">
        <f>TABLA_BASE[[#This Row],[GANANCIA
UNIT.(S/.)]]*TABLA_BASE[[#This Row],[CANTIDAD
(unid.)]]</f>
        <v>0</v>
      </c>
      <c r="AX85" s="289">
        <f>'💰 Precio de Venta'!K90</f>
        <v>0</v>
      </c>
      <c r="AY85" s="278">
        <f>TABLA_BASE[[#This Row],[GANANCIA
UNIT.(S/.)]]*'🧾 Factura Comercial'!G89</f>
        <v>0</v>
      </c>
      <c r="AZ85" s="277">
        <f>IF(TABLA_BASE[[#This Row],[PRECIO VTA.
c/IGV(S/.)]]=0,0,TABLA_BASE[[#This Row],[GANANCIA
UNIT.(S/.)]]/TABLA_BASE[[#This Row],[PRECIO VTA.
c/IGV(S/.)]])</f>
        <v>0</v>
      </c>
      <c r="BA85" s="277">
        <f>IF(TABLA_BASE[[#This Row],[C/M UNIT.
(S/.)]]=0,0,TABLA_BASE[[#This Row],[GANANCIA
UNIT.(S/.)]]/TABLA_BASE[[#This Row],[C/M UNIT.
(S/.)]])</f>
        <v>0</v>
      </c>
      <c r="BB85" s="274" t="str">
        <f>IF(TABLA_BASE[[#This Row],[MARGEN
%]]&gt;=0.5,"🟢 ALTO",IF(TABLA_BASE[[#This Row],[MARGEN
%]]&gt;=0.3,"🟡 MEDIO","🔴 BAJO"))</f>
        <v>🟡 MEDIO</v>
      </c>
    </row>
    <row r="86" spans="1:54" ht="16.5" hidden="1" thickTop="1" thickBot="1" x14ac:dyDescent="0.3">
      <c r="A86" s="274">
        <f>'🧾 Factura Comercial'!E90</f>
        <v>0</v>
      </c>
      <c r="B86" s="274" t="str">
        <f>'🧾 Factura Comercial'!F90</f>
        <v>Unid.</v>
      </c>
      <c r="C86" s="275">
        <f>'🧾 Factura Comercial'!G90</f>
        <v>0</v>
      </c>
      <c r="D86" s="276">
        <f>'🧾 Factura Comercial'!H90</f>
        <v>0</v>
      </c>
      <c r="E86" s="276">
        <f>'🧾 Factura Comercial'!I90</f>
        <v>0</v>
      </c>
      <c r="F86" s="277">
        <f>IF('🧾 Tributos Aduana'!$F$6=0,0,'🧾 Factura Comercial'!I90/'🧾 Tributos Aduana'!$F$6)</f>
        <v>0</v>
      </c>
      <c r="G86" s="278">
        <f>'🧾 Factura Comercial'!H90*'📋 Datos Generales'!$E$19</f>
        <v>0</v>
      </c>
      <c r="H86" s="278">
        <f>TABLA_BASE[[#This Row],[FOB UNIT.
(S/.)]]*TABLA_BASE[[#This Row],[CANTIDAD
(unid.)]]</f>
        <v>0</v>
      </c>
      <c r="I86" s="280">
        <f>IF('🧾 Tributos Aduana'!$F$6=0,0,'🧾 Tributos Aduana'!$F$17*('🧾 Factura Comercial'!H90/'🧾 Tributos Aduana'!$F$6))</f>
        <v>0</v>
      </c>
      <c r="J86" s="280">
        <f>TABLA_BASE[[#This Row],[ADV UNIT.
(US$)
⚠️COSTO]]*TABLA_BASE[[#This Row],[CANTIDAD
(unid.)]]</f>
        <v>0</v>
      </c>
      <c r="K86" s="279">
        <f>IF('🧾 Tributos Aduana'!$F$6=0,0,'🧾 Tributos Aduana'!$F$18*('🧾 Factura Comercial'!H90/'🧾 Tributos Aduana'!$F$6))</f>
        <v>0</v>
      </c>
      <c r="L86" s="280">
        <f>TABLA_BASE[[#This Row],[IPM UNIT.
(US$)
✅CF]]*TABLA_BASE[[#This Row],[CANTIDAD
(unid.)]]</f>
        <v>0</v>
      </c>
      <c r="M86" s="279">
        <f>IF('🧾 Tributos Aduana'!$F$6=0,0,'🧾 Tributos Aduana'!$F$19*('🧾 Factura Comercial'!H90/'🧾 Tributos Aduana'!$F$6))</f>
        <v>0</v>
      </c>
      <c r="N86" s="280">
        <f>TABLA_BASE[[#This Row],[IGV UNIT.
(US$)
✅CF]]*TABLA_BASE[[#This Row],[CANTIDAD
(unid.)]]</f>
        <v>0</v>
      </c>
      <c r="O86" s="280">
        <f>IF('🧾 Tributos Aduana'!$F$6=0,0,'🧾 Tributos Aduana'!$F$23*('🧾 Factura Comercial'!H90/'🧾 Tributos Aduana'!$F$6))</f>
        <v>0</v>
      </c>
      <c r="P86" s="280">
        <f>TABLA_BASE[[#This Row],[PERCEP.
UNIT.(US$)
✅CF]]*TABLA_BASE[[#This Row],[CANTIDAD
(unid.)]]</f>
        <v>0</v>
      </c>
      <c r="Q86" s="279">
        <f>TABLA_BASE[[#This Row],[ADV UNIT.
(US$)
⚠️COSTO]]+TABLA_BASE[[#This Row],[IPM UNIT.
(US$)
✅CF]]+TABLA_BASE[[#This Row],[IGV UNIT.
(US$)
✅CF]]</f>
        <v>0</v>
      </c>
      <c r="R86" s="280">
        <f>TABLA_BASE[[#This Row],[DEUDA
ADUANERA
UNIT.]]*TABLA_BASE[[#This Row],[CANTIDAD
(unid.)]]</f>
        <v>0</v>
      </c>
      <c r="S86" s="278">
        <f>TABLA_BASE[[#This Row],[DEUDA
ADUANERA
UNIT.]]*'📋 Datos Generales'!$E$19</f>
        <v>0</v>
      </c>
      <c r="T86" s="278">
        <f>TABLA_BASE[[#This Row],[DEUDA
ADUANERA
TOTAL]]*'📋 Datos Generales'!$E$19</f>
        <v>0</v>
      </c>
      <c r="U86" s="281">
        <f>TABLA_BASE[[#This Row],[ADV UNIT.
(US$)
⚠️COSTO]]*'📋 Datos Generales'!$E$19</f>
        <v>0</v>
      </c>
      <c r="V86" s="281">
        <f>TABLA_BASE[[#This Row],[ADV UNIT.
(S/.)]]*TABLA_BASE[[#This Row],[CANTIDAD
(unid.)]]</f>
        <v>0</v>
      </c>
      <c r="W86" s="281">
        <f>TABLA_BASE[[#This Row],[IPM UNIT.
(US$)
✅CF]]*'📋 Datos Generales'!$E$19</f>
        <v>0</v>
      </c>
      <c r="X86" s="281">
        <f>TABLA_BASE[[#This Row],[IPM UNIT.
(S/.)]]*TABLA_BASE[[#This Row],[CANTIDAD
(unid.)]]</f>
        <v>0</v>
      </c>
      <c r="Y86" s="281">
        <f>TABLA_BASE[[#This Row],[IGV UNIT.
(US$)
✅CF]]*'📋 Datos Generales'!$E$19</f>
        <v>0</v>
      </c>
      <c r="Z86" s="281">
        <f>TABLA_BASE[[#This Row],[IGV UNIT.
(S/.)]]*TABLA_BASE[[#This Row],[CANTIDAD
(unid.)]]</f>
        <v>0</v>
      </c>
      <c r="AA86" s="281">
        <f>TABLA_BASE[[#This Row],[PERCEP.
UNIT.(US$)
✅CF]]*'📋 Datos Generales'!$E$19</f>
        <v>0</v>
      </c>
      <c r="AB86" s="281">
        <f>TABLA_BASE[[#This Row],[PERCEP.
UNIT.(S/.)]]*TABLA_BASE[[#This Row],[CANTIDAD
(unid.)]]</f>
        <v>0</v>
      </c>
      <c r="AC86" s="279">
        <f>TABLA_BASE[[#This Row],[ADV UNIT.
(US$)
⚠️COSTO]]+TABLA_BASE[[#This Row],[IPM UNIT.
(US$)
✅CF]]+TABLA_BASE[[#This Row],[IGV UNIT.
(US$)
✅CF]]+TABLA_BASE[[#This Row],[PERCEP.
UNIT.(US$)
✅CF]]</f>
        <v>0</v>
      </c>
      <c r="AD86" s="279">
        <f>TABLA_BASE[[#This Row],[TOTAL PAGO
SUNAT
UNIT.(US$)]]*TABLA_BASE[[#This Row],[CANTIDAD
(unid.)]]</f>
        <v>0</v>
      </c>
      <c r="AE86" s="281">
        <f>TABLA_BASE[[#This Row],[TOTAL PAGO
SUNAT
UNIT.(US$)]]*'📋 Datos Generales'!$E$19</f>
        <v>0</v>
      </c>
      <c r="AF86" s="281">
        <f>TABLA_BASE[[#This Row],[TOTAL TRIB.
UNIT.(S/.)]]*TABLA_BASE[[#This Row],[CANTIDAD
(unid.)]]</f>
        <v>0</v>
      </c>
      <c r="AG86" s="279">
        <f>IF('🧾 Factura Comercial'!G90=0,0,'📦 Gastos Importación'!$E$28*(IF('🧾 Tributos Aduana'!$F$6=0,0,'🧾 Factura Comercial'!I90/'🧾 Tributos Aduana'!$F$6))/'🧾 Factura Comercial'!G90)</f>
        <v>0</v>
      </c>
      <c r="AH86" s="279">
        <f>TABLA_BASE[[#This Row],[GASTOS IMP.
UNIT.(US$)]]*TABLA_BASE[[#This Row],[CANTIDAD
(unid.)]]</f>
        <v>0</v>
      </c>
      <c r="AI86" s="281">
        <f>TABLA_BASE[[#This Row],[GASTOS IMP.
UNIT.(US$)]]*'📋 Datos Generales'!$E$19</f>
        <v>0</v>
      </c>
      <c r="AJ86" s="281">
        <f>TABLA_BASE[[#This Row],[GASTOS IMP.
UNIT.(S/.)]]*TABLA_BASE[[#This Row],[CANTIDAD
(unid.)]]</f>
        <v>0</v>
      </c>
      <c r="AK86" s="280">
        <f>'🧮 Costos x Producto'!J90</f>
        <v>0</v>
      </c>
      <c r="AL86" s="278">
        <f>'🧮 Costos x Producto'!K90</f>
        <v>0</v>
      </c>
      <c r="AM86" s="278">
        <f>TABLA_BASE[[#This Row],[C/M UNIT.
(S/.)]]*TABLA_BASE[[#This Row],[CANTIDAD
(unid.)]]</f>
        <v>0</v>
      </c>
      <c r="AN86" s="279">
        <f>IF('🧾 Factura Comercial'!G90=0,0,'🧾 Tributos Aduana'!$F$17*(IF('🧾 Tributos Aduana'!$F$6=0,0,'🧾 Factura Comercial'!I90/'🧾 Tributos Aduana'!$F$6))/'🧾 Factura Comercial'!G90)</f>
        <v>0</v>
      </c>
      <c r="AO86" s="280">
        <f>IF('🧾 Factura Comercial'!G90=0,0,'🏦 Crédito Fiscal'!$C$16*(IF('🧾 Tributos Aduana'!$F$6=0,0,'🧾 Factura Comercial'!I90/'🧾 Tributos Aduana'!$F$6))/'🧾 Factura Comercial'!G90)</f>
        <v>0</v>
      </c>
      <c r="AP86" s="278">
        <f>TABLA_BASE[[#This Row],[CF UNIT.
✅RECUP.
(US$)]]*'📋 Datos Generales'!$E$19</f>
        <v>0</v>
      </c>
      <c r="AQ86" s="278">
        <f>TABLA_BASE[[#This Row],[CF UNIT.
✅RECUP.(S/.)]]*TABLA_BASE[[#This Row],[CANTIDAD
(unid.)]]</f>
        <v>0</v>
      </c>
      <c r="AR86" s="288">
        <f>'💰 Precio de Venta'!G91</f>
        <v>0.4</v>
      </c>
      <c r="AS86" s="278">
        <f>'💰 Precio de Venta'!H91</f>
        <v>0</v>
      </c>
      <c r="AT86" s="278">
        <f>TABLA_BASE[[#This Row],[VALOR VTA.
UNIT.(S/.)]]*TABLA_BASE[[#This Row],[CANTIDAD
(unid.)]]</f>
        <v>0</v>
      </c>
      <c r="AU86" s="281">
        <f>'💰 Precio de Venta'!I91</f>
        <v>0</v>
      </c>
      <c r="AV86" s="278">
        <f>'💰 Precio de Venta'!J91</f>
        <v>0</v>
      </c>
      <c r="AW86" s="278">
        <f>TABLA_BASE[[#This Row],[GANANCIA
UNIT.(S/.)]]*TABLA_BASE[[#This Row],[CANTIDAD
(unid.)]]</f>
        <v>0</v>
      </c>
      <c r="AX86" s="289">
        <f>'💰 Precio de Venta'!K91</f>
        <v>0</v>
      </c>
      <c r="AY86" s="278">
        <f>TABLA_BASE[[#This Row],[GANANCIA
UNIT.(S/.)]]*'🧾 Factura Comercial'!G90</f>
        <v>0</v>
      </c>
      <c r="AZ86" s="277">
        <f>IF(TABLA_BASE[[#This Row],[PRECIO VTA.
c/IGV(S/.)]]=0,0,TABLA_BASE[[#This Row],[GANANCIA
UNIT.(S/.)]]/TABLA_BASE[[#This Row],[PRECIO VTA.
c/IGV(S/.)]])</f>
        <v>0</v>
      </c>
      <c r="BA86" s="277">
        <f>IF(TABLA_BASE[[#This Row],[C/M UNIT.
(S/.)]]=0,0,TABLA_BASE[[#This Row],[GANANCIA
UNIT.(S/.)]]/TABLA_BASE[[#This Row],[C/M UNIT.
(S/.)]])</f>
        <v>0</v>
      </c>
      <c r="BB86" s="274" t="str">
        <f>IF(TABLA_BASE[[#This Row],[MARGEN
%]]&gt;=0.5,"🟢 ALTO",IF(TABLA_BASE[[#This Row],[MARGEN
%]]&gt;=0.3,"🟡 MEDIO","🔴 BAJO"))</f>
        <v>🟡 MEDIO</v>
      </c>
    </row>
    <row r="87" spans="1:54" ht="16.5" hidden="1" thickTop="1" thickBot="1" x14ac:dyDescent="0.3">
      <c r="A87" s="274">
        <f>'🧾 Factura Comercial'!E91</f>
        <v>0</v>
      </c>
      <c r="B87" s="274" t="str">
        <f>'🧾 Factura Comercial'!F91</f>
        <v>Unid.</v>
      </c>
      <c r="C87" s="275">
        <f>'🧾 Factura Comercial'!G91</f>
        <v>0</v>
      </c>
      <c r="D87" s="276">
        <f>'🧾 Factura Comercial'!H91</f>
        <v>0</v>
      </c>
      <c r="E87" s="276">
        <f>'🧾 Factura Comercial'!I91</f>
        <v>0</v>
      </c>
      <c r="F87" s="277">
        <f>IF('🧾 Tributos Aduana'!$F$6=0,0,'🧾 Factura Comercial'!I91/'🧾 Tributos Aduana'!$F$6)</f>
        <v>0</v>
      </c>
      <c r="G87" s="278">
        <f>'🧾 Factura Comercial'!H91*'📋 Datos Generales'!$E$19</f>
        <v>0</v>
      </c>
      <c r="H87" s="278">
        <f>TABLA_BASE[[#This Row],[FOB UNIT.
(S/.)]]*TABLA_BASE[[#This Row],[CANTIDAD
(unid.)]]</f>
        <v>0</v>
      </c>
      <c r="I87" s="280">
        <f>IF('🧾 Tributos Aduana'!$F$6=0,0,'🧾 Tributos Aduana'!$F$17*('🧾 Factura Comercial'!H91/'🧾 Tributos Aduana'!$F$6))</f>
        <v>0</v>
      </c>
      <c r="J87" s="280">
        <f>TABLA_BASE[[#This Row],[ADV UNIT.
(US$)
⚠️COSTO]]*TABLA_BASE[[#This Row],[CANTIDAD
(unid.)]]</f>
        <v>0</v>
      </c>
      <c r="K87" s="279">
        <f>IF('🧾 Tributos Aduana'!$F$6=0,0,'🧾 Tributos Aduana'!$F$18*('🧾 Factura Comercial'!H91/'🧾 Tributos Aduana'!$F$6))</f>
        <v>0</v>
      </c>
      <c r="L87" s="280">
        <f>TABLA_BASE[[#This Row],[IPM UNIT.
(US$)
✅CF]]*TABLA_BASE[[#This Row],[CANTIDAD
(unid.)]]</f>
        <v>0</v>
      </c>
      <c r="M87" s="279">
        <f>IF('🧾 Tributos Aduana'!$F$6=0,0,'🧾 Tributos Aduana'!$F$19*('🧾 Factura Comercial'!H91/'🧾 Tributos Aduana'!$F$6))</f>
        <v>0</v>
      </c>
      <c r="N87" s="280">
        <f>TABLA_BASE[[#This Row],[IGV UNIT.
(US$)
✅CF]]*TABLA_BASE[[#This Row],[CANTIDAD
(unid.)]]</f>
        <v>0</v>
      </c>
      <c r="O87" s="280">
        <f>IF('🧾 Tributos Aduana'!$F$6=0,0,'🧾 Tributos Aduana'!$F$23*('🧾 Factura Comercial'!H91/'🧾 Tributos Aduana'!$F$6))</f>
        <v>0</v>
      </c>
      <c r="P87" s="280">
        <f>TABLA_BASE[[#This Row],[PERCEP.
UNIT.(US$)
✅CF]]*TABLA_BASE[[#This Row],[CANTIDAD
(unid.)]]</f>
        <v>0</v>
      </c>
      <c r="Q87" s="279">
        <f>TABLA_BASE[[#This Row],[ADV UNIT.
(US$)
⚠️COSTO]]+TABLA_BASE[[#This Row],[IPM UNIT.
(US$)
✅CF]]+TABLA_BASE[[#This Row],[IGV UNIT.
(US$)
✅CF]]</f>
        <v>0</v>
      </c>
      <c r="R87" s="280">
        <f>TABLA_BASE[[#This Row],[DEUDA
ADUANERA
UNIT.]]*TABLA_BASE[[#This Row],[CANTIDAD
(unid.)]]</f>
        <v>0</v>
      </c>
      <c r="S87" s="278">
        <f>TABLA_BASE[[#This Row],[DEUDA
ADUANERA
UNIT.]]*'📋 Datos Generales'!$E$19</f>
        <v>0</v>
      </c>
      <c r="T87" s="278">
        <f>TABLA_BASE[[#This Row],[DEUDA
ADUANERA
TOTAL]]*'📋 Datos Generales'!$E$19</f>
        <v>0</v>
      </c>
      <c r="U87" s="281">
        <f>TABLA_BASE[[#This Row],[ADV UNIT.
(US$)
⚠️COSTO]]*'📋 Datos Generales'!$E$19</f>
        <v>0</v>
      </c>
      <c r="V87" s="281">
        <f>TABLA_BASE[[#This Row],[ADV UNIT.
(S/.)]]*TABLA_BASE[[#This Row],[CANTIDAD
(unid.)]]</f>
        <v>0</v>
      </c>
      <c r="W87" s="281">
        <f>TABLA_BASE[[#This Row],[IPM UNIT.
(US$)
✅CF]]*'📋 Datos Generales'!$E$19</f>
        <v>0</v>
      </c>
      <c r="X87" s="281">
        <f>TABLA_BASE[[#This Row],[IPM UNIT.
(S/.)]]*TABLA_BASE[[#This Row],[CANTIDAD
(unid.)]]</f>
        <v>0</v>
      </c>
      <c r="Y87" s="281">
        <f>TABLA_BASE[[#This Row],[IGV UNIT.
(US$)
✅CF]]*'📋 Datos Generales'!$E$19</f>
        <v>0</v>
      </c>
      <c r="Z87" s="281">
        <f>TABLA_BASE[[#This Row],[IGV UNIT.
(S/.)]]*TABLA_BASE[[#This Row],[CANTIDAD
(unid.)]]</f>
        <v>0</v>
      </c>
      <c r="AA87" s="281">
        <f>TABLA_BASE[[#This Row],[PERCEP.
UNIT.(US$)
✅CF]]*'📋 Datos Generales'!$E$19</f>
        <v>0</v>
      </c>
      <c r="AB87" s="281">
        <f>TABLA_BASE[[#This Row],[PERCEP.
UNIT.(S/.)]]*TABLA_BASE[[#This Row],[CANTIDAD
(unid.)]]</f>
        <v>0</v>
      </c>
      <c r="AC87" s="279">
        <f>TABLA_BASE[[#This Row],[ADV UNIT.
(US$)
⚠️COSTO]]+TABLA_BASE[[#This Row],[IPM UNIT.
(US$)
✅CF]]+TABLA_BASE[[#This Row],[IGV UNIT.
(US$)
✅CF]]+TABLA_BASE[[#This Row],[PERCEP.
UNIT.(US$)
✅CF]]</f>
        <v>0</v>
      </c>
      <c r="AD87" s="279">
        <f>TABLA_BASE[[#This Row],[TOTAL PAGO
SUNAT
UNIT.(US$)]]*TABLA_BASE[[#This Row],[CANTIDAD
(unid.)]]</f>
        <v>0</v>
      </c>
      <c r="AE87" s="281">
        <f>TABLA_BASE[[#This Row],[TOTAL PAGO
SUNAT
UNIT.(US$)]]*'📋 Datos Generales'!$E$19</f>
        <v>0</v>
      </c>
      <c r="AF87" s="281">
        <f>TABLA_BASE[[#This Row],[TOTAL TRIB.
UNIT.(S/.)]]*TABLA_BASE[[#This Row],[CANTIDAD
(unid.)]]</f>
        <v>0</v>
      </c>
      <c r="AG87" s="279">
        <f>IF('🧾 Factura Comercial'!G91=0,0,'📦 Gastos Importación'!$E$28*(IF('🧾 Tributos Aduana'!$F$6=0,0,'🧾 Factura Comercial'!I91/'🧾 Tributos Aduana'!$F$6))/'🧾 Factura Comercial'!G91)</f>
        <v>0</v>
      </c>
      <c r="AH87" s="279">
        <f>TABLA_BASE[[#This Row],[GASTOS IMP.
UNIT.(US$)]]*TABLA_BASE[[#This Row],[CANTIDAD
(unid.)]]</f>
        <v>0</v>
      </c>
      <c r="AI87" s="281">
        <f>TABLA_BASE[[#This Row],[GASTOS IMP.
UNIT.(US$)]]*'📋 Datos Generales'!$E$19</f>
        <v>0</v>
      </c>
      <c r="AJ87" s="281">
        <f>TABLA_BASE[[#This Row],[GASTOS IMP.
UNIT.(S/.)]]*TABLA_BASE[[#This Row],[CANTIDAD
(unid.)]]</f>
        <v>0</v>
      </c>
      <c r="AK87" s="280">
        <f>'🧮 Costos x Producto'!J91</f>
        <v>0</v>
      </c>
      <c r="AL87" s="278">
        <f>'🧮 Costos x Producto'!K91</f>
        <v>0</v>
      </c>
      <c r="AM87" s="278">
        <f>TABLA_BASE[[#This Row],[C/M UNIT.
(S/.)]]*TABLA_BASE[[#This Row],[CANTIDAD
(unid.)]]</f>
        <v>0</v>
      </c>
      <c r="AN87" s="279">
        <f>IF('🧾 Factura Comercial'!G91=0,0,'🧾 Tributos Aduana'!$F$17*(IF('🧾 Tributos Aduana'!$F$6=0,0,'🧾 Factura Comercial'!I91/'🧾 Tributos Aduana'!$F$6))/'🧾 Factura Comercial'!G91)</f>
        <v>0</v>
      </c>
      <c r="AO87" s="280">
        <f>IF('🧾 Factura Comercial'!G91=0,0,'🏦 Crédito Fiscal'!$C$16*(IF('🧾 Tributos Aduana'!$F$6=0,0,'🧾 Factura Comercial'!I91/'🧾 Tributos Aduana'!$F$6))/'🧾 Factura Comercial'!G91)</f>
        <v>0</v>
      </c>
      <c r="AP87" s="278">
        <f>TABLA_BASE[[#This Row],[CF UNIT.
✅RECUP.
(US$)]]*'📋 Datos Generales'!$E$19</f>
        <v>0</v>
      </c>
      <c r="AQ87" s="278">
        <f>TABLA_BASE[[#This Row],[CF UNIT.
✅RECUP.(S/.)]]*TABLA_BASE[[#This Row],[CANTIDAD
(unid.)]]</f>
        <v>0</v>
      </c>
      <c r="AR87" s="288">
        <f>'💰 Precio de Venta'!G92</f>
        <v>0.4</v>
      </c>
      <c r="AS87" s="278">
        <f>'💰 Precio de Venta'!H92</f>
        <v>0</v>
      </c>
      <c r="AT87" s="278">
        <f>TABLA_BASE[[#This Row],[VALOR VTA.
UNIT.(S/.)]]*TABLA_BASE[[#This Row],[CANTIDAD
(unid.)]]</f>
        <v>0</v>
      </c>
      <c r="AU87" s="281">
        <f>'💰 Precio de Venta'!I92</f>
        <v>0</v>
      </c>
      <c r="AV87" s="278">
        <f>'💰 Precio de Venta'!J92</f>
        <v>0</v>
      </c>
      <c r="AW87" s="278">
        <f>TABLA_BASE[[#This Row],[GANANCIA
UNIT.(S/.)]]*TABLA_BASE[[#This Row],[CANTIDAD
(unid.)]]</f>
        <v>0</v>
      </c>
      <c r="AX87" s="289">
        <f>'💰 Precio de Venta'!K92</f>
        <v>0</v>
      </c>
      <c r="AY87" s="278">
        <f>TABLA_BASE[[#This Row],[GANANCIA
UNIT.(S/.)]]*'🧾 Factura Comercial'!G91</f>
        <v>0</v>
      </c>
      <c r="AZ87" s="277">
        <f>IF(TABLA_BASE[[#This Row],[PRECIO VTA.
c/IGV(S/.)]]=0,0,TABLA_BASE[[#This Row],[GANANCIA
UNIT.(S/.)]]/TABLA_BASE[[#This Row],[PRECIO VTA.
c/IGV(S/.)]])</f>
        <v>0</v>
      </c>
      <c r="BA87" s="277">
        <f>IF(TABLA_BASE[[#This Row],[C/M UNIT.
(S/.)]]=0,0,TABLA_BASE[[#This Row],[GANANCIA
UNIT.(S/.)]]/TABLA_BASE[[#This Row],[C/M UNIT.
(S/.)]])</f>
        <v>0</v>
      </c>
      <c r="BB87" s="274" t="str">
        <f>IF(TABLA_BASE[[#This Row],[MARGEN
%]]&gt;=0.5,"🟢 ALTO",IF(TABLA_BASE[[#This Row],[MARGEN
%]]&gt;=0.3,"🟡 MEDIO","🔴 BAJO"))</f>
        <v>🟡 MEDIO</v>
      </c>
    </row>
    <row r="88" spans="1:54" ht="16.5" hidden="1" thickTop="1" thickBot="1" x14ac:dyDescent="0.3">
      <c r="A88" s="274">
        <f>'🧾 Factura Comercial'!E92</f>
        <v>0</v>
      </c>
      <c r="B88" s="274" t="str">
        <f>'🧾 Factura Comercial'!F92</f>
        <v>Unid.</v>
      </c>
      <c r="C88" s="275">
        <f>'🧾 Factura Comercial'!G92</f>
        <v>0</v>
      </c>
      <c r="D88" s="276">
        <f>'🧾 Factura Comercial'!H92</f>
        <v>0</v>
      </c>
      <c r="E88" s="276">
        <f>'🧾 Factura Comercial'!I92</f>
        <v>0</v>
      </c>
      <c r="F88" s="277">
        <f>IF('🧾 Tributos Aduana'!$F$6=0,0,'🧾 Factura Comercial'!I92/'🧾 Tributos Aduana'!$F$6)</f>
        <v>0</v>
      </c>
      <c r="G88" s="278">
        <f>'🧾 Factura Comercial'!H92*'📋 Datos Generales'!$E$19</f>
        <v>0</v>
      </c>
      <c r="H88" s="278">
        <f>TABLA_BASE[[#This Row],[FOB UNIT.
(S/.)]]*TABLA_BASE[[#This Row],[CANTIDAD
(unid.)]]</f>
        <v>0</v>
      </c>
      <c r="I88" s="280">
        <f>IF('🧾 Tributos Aduana'!$F$6=0,0,'🧾 Tributos Aduana'!$F$17*('🧾 Factura Comercial'!H92/'🧾 Tributos Aduana'!$F$6))</f>
        <v>0</v>
      </c>
      <c r="J88" s="280">
        <f>TABLA_BASE[[#This Row],[ADV UNIT.
(US$)
⚠️COSTO]]*TABLA_BASE[[#This Row],[CANTIDAD
(unid.)]]</f>
        <v>0</v>
      </c>
      <c r="K88" s="279">
        <f>IF('🧾 Tributos Aduana'!$F$6=0,0,'🧾 Tributos Aduana'!$F$18*('🧾 Factura Comercial'!H92/'🧾 Tributos Aduana'!$F$6))</f>
        <v>0</v>
      </c>
      <c r="L88" s="280">
        <f>TABLA_BASE[[#This Row],[IPM UNIT.
(US$)
✅CF]]*TABLA_BASE[[#This Row],[CANTIDAD
(unid.)]]</f>
        <v>0</v>
      </c>
      <c r="M88" s="279">
        <f>IF('🧾 Tributos Aduana'!$F$6=0,0,'🧾 Tributos Aduana'!$F$19*('🧾 Factura Comercial'!H92/'🧾 Tributos Aduana'!$F$6))</f>
        <v>0</v>
      </c>
      <c r="N88" s="280">
        <f>TABLA_BASE[[#This Row],[IGV UNIT.
(US$)
✅CF]]*TABLA_BASE[[#This Row],[CANTIDAD
(unid.)]]</f>
        <v>0</v>
      </c>
      <c r="O88" s="280">
        <f>IF('🧾 Tributos Aduana'!$F$6=0,0,'🧾 Tributos Aduana'!$F$23*('🧾 Factura Comercial'!H92/'🧾 Tributos Aduana'!$F$6))</f>
        <v>0</v>
      </c>
      <c r="P88" s="280">
        <f>TABLA_BASE[[#This Row],[PERCEP.
UNIT.(US$)
✅CF]]*TABLA_BASE[[#This Row],[CANTIDAD
(unid.)]]</f>
        <v>0</v>
      </c>
      <c r="Q88" s="279">
        <f>TABLA_BASE[[#This Row],[ADV UNIT.
(US$)
⚠️COSTO]]+TABLA_BASE[[#This Row],[IPM UNIT.
(US$)
✅CF]]+TABLA_BASE[[#This Row],[IGV UNIT.
(US$)
✅CF]]</f>
        <v>0</v>
      </c>
      <c r="R88" s="280">
        <f>TABLA_BASE[[#This Row],[DEUDA
ADUANERA
UNIT.]]*TABLA_BASE[[#This Row],[CANTIDAD
(unid.)]]</f>
        <v>0</v>
      </c>
      <c r="S88" s="278">
        <f>TABLA_BASE[[#This Row],[DEUDA
ADUANERA
UNIT.]]*'📋 Datos Generales'!$E$19</f>
        <v>0</v>
      </c>
      <c r="T88" s="278">
        <f>TABLA_BASE[[#This Row],[DEUDA
ADUANERA
TOTAL]]*'📋 Datos Generales'!$E$19</f>
        <v>0</v>
      </c>
      <c r="U88" s="281">
        <f>TABLA_BASE[[#This Row],[ADV UNIT.
(US$)
⚠️COSTO]]*'📋 Datos Generales'!$E$19</f>
        <v>0</v>
      </c>
      <c r="V88" s="281">
        <f>TABLA_BASE[[#This Row],[ADV UNIT.
(S/.)]]*TABLA_BASE[[#This Row],[CANTIDAD
(unid.)]]</f>
        <v>0</v>
      </c>
      <c r="W88" s="281">
        <f>TABLA_BASE[[#This Row],[IPM UNIT.
(US$)
✅CF]]*'📋 Datos Generales'!$E$19</f>
        <v>0</v>
      </c>
      <c r="X88" s="281">
        <f>TABLA_BASE[[#This Row],[IPM UNIT.
(S/.)]]*TABLA_BASE[[#This Row],[CANTIDAD
(unid.)]]</f>
        <v>0</v>
      </c>
      <c r="Y88" s="281">
        <f>TABLA_BASE[[#This Row],[IGV UNIT.
(US$)
✅CF]]*'📋 Datos Generales'!$E$19</f>
        <v>0</v>
      </c>
      <c r="Z88" s="281">
        <f>TABLA_BASE[[#This Row],[IGV UNIT.
(S/.)]]*TABLA_BASE[[#This Row],[CANTIDAD
(unid.)]]</f>
        <v>0</v>
      </c>
      <c r="AA88" s="281">
        <f>TABLA_BASE[[#This Row],[PERCEP.
UNIT.(US$)
✅CF]]*'📋 Datos Generales'!$E$19</f>
        <v>0</v>
      </c>
      <c r="AB88" s="281">
        <f>TABLA_BASE[[#This Row],[PERCEP.
UNIT.(S/.)]]*TABLA_BASE[[#This Row],[CANTIDAD
(unid.)]]</f>
        <v>0</v>
      </c>
      <c r="AC88" s="279">
        <f>TABLA_BASE[[#This Row],[ADV UNIT.
(US$)
⚠️COSTO]]+TABLA_BASE[[#This Row],[IPM UNIT.
(US$)
✅CF]]+TABLA_BASE[[#This Row],[IGV UNIT.
(US$)
✅CF]]+TABLA_BASE[[#This Row],[PERCEP.
UNIT.(US$)
✅CF]]</f>
        <v>0</v>
      </c>
      <c r="AD88" s="279">
        <f>TABLA_BASE[[#This Row],[TOTAL PAGO
SUNAT
UNIT.(US$)]]*TABLA_BASE[[#This Row],[CANTIDAD
(unid.)]]</f>
        <v>0</v>
      </c>
      <c r="AE88" s="281">
        <f>TABLA_BASE[[#This Row],[TOTAL PAGO
SUNAT
UNIT.(US$)]]*'📋 Datos Generales'!$E$19</f>
        <v>0</v>
      </c>
      <c r="AF88" s="281">
        <f>TABLA_BASE[[#This Row],[TOTAL TRIB.
UNIT.(S/.)]]*TABLA_BASE[[#This Row],[CANTIDAD
(unid.)]]</f>
        <v>0</v>
      </c>
      <c r="AG88" s="279">
        <f>IF('🧾 Factura Comercial'!G92=0,0,'📦 Gastos Importación'!$E$28*(IF('🧾 Tributos Aduana'!$F$6=0,0,'🧾 Factura Comercial'!I92/'🧾 Tributos Aduana'!$F$6))/'🧾 Factura Comercial'!G92)</f>
        <v>0</v>
      </c>
      <c r="AH88" s="279">
        <f>TABLA_BASE[[#This Row],[GASTOS IMP.
UNIT.(US$)]]*TABLA_BASE[[#This Row],[CANTIDAD
(unid.)]]</f>
        <v>0</v>
      </c>
      <c r="AI88" s="281">
        <f>TABLA_BASE[[#This Row],[GASTOS IMP.
UNIT.(US$)]]*'📋 Datos Generales'!$E$19</f>
        <v>0</v>
      </c>
      <c r="AJ88" s="281">
        <f>TABLA_BASE[[#This Row],[GASTOS IMP.
UNIT.(S/.)]]*TABLA_BASE[[#This Row],[CANTIDAD
(unid.)]]</f>
        <v>0</v>
      </c>
      <c r="AK88" s="280">
        <f>'🧮 Costos x Producto'!J92</f>
        <v>0</v>
      </c>
      <c r="AL88" s="278">
        <f>'🧮 Costos x Producto'!K92</f>
        <v>0</v>
      </c>
      <c r="AM88" s="278">
        <f>TABLA_BASE[[#This Row],[C/M UNIT.
(S/.)]]*TABLA_BASE[[#This Row],[CANTIDAD
(unid.)]]</f>
        <v>0</v>
      </c>
      <c r="AN88" s="279">
        <f>IF('🧾 Factura Comercial'!G92=0,0,'🧾 Tributos Aduana'!$F$17*(IF('🧾 Tributos Aduana'!$F$6=0,0,'🧾 Factura Comercial'!I92/'🧾 Tributos Aduana'!$F$6))/'🧾 Factura Comercial'!G92)</f>
        <v>0</v>
      </c>
      <c r="AO88" s="280">
        <f>IF('🧾 Factura Comercial'!G92=0,0,'🏦 Crédito Fiscal'!$C$16*(IF('🧾 Tributos Aduana'!$F$6=0,0,'🧾 Factura Comercial'!I92/'🧾 Tributos Aduana'!$F$6))/'🧾 Factura Comercial'!G92)</f>
        <v>0</v>
      </c>
      <c r="AP88" s="278">
        <f>TABLA_BASE[[#This Row],[CF UNIT.
✅RECUP.
(US$)]]*'📋 Datos Generales'!$E$19</f>
        <v>0</v>
      </c>
      <c r="AQ88" s="278">
        <f>TABLA_BASE[[#This Row],[CF UNIT.
✅RECUP.(S/.)]]*TABLA_BASE[[#This Row],[CANTIDAD
(unid.)]]</f>
        <v>0</v>
      </c>
      <c r="AR88" s="288">
        <f>'💰 Precio de Venta'!G93</f>
        <v>0.4</v>
      </c>
      <c r="AS88" s="278">
        <f>'💰 Precio de Venta'!H93</f>
        <v>0</v>
      </c>
      <c r="AT88" s="278">
        <f>TABLA_BASE[[#This Row],[VALOR VTA.
UNIT.(S/.)]]*TABLA_BASE[[#This Row],[CANTIDAD
(unid.)]]</f>
        <v>0</v>
      </c>
      <c r="AU88" s="281">
        <f>'💰 Precio de Venta'!I93</f>
        <v>0</v>
      </c>
      <c r="AV88" s="278">
        <f>'💰 Precio de Venta'!J93</f>
        <v>0</v>
      </c>
      <c r="AW88" s="278">
        <f>TABLA_BASE[[#This Row],[GANANCIA
UNIT.(S/.)]]*TABLA_BASE[[#This Row],[CANTIDAD
(unid.)]]</f>
        <v>0</v>
      </c>
      <c r="AX88" s="289">
        <f>'💰 Precio de Venta'!K93</f>
        <v>0</v>
      </c>
      <c r="AY88" s="278">
        <f>TABLA_BASE[[#This Row],[GANANCIA
UNIT.(S/.)]]*'🧾 Factura Comercial'!G92</f>
        <v>0</v>
      </c>
      <c r="AZ88" s="277">
        <f>IF(TABLA_BASE[[#This Row],[PRECIO VTA.
c/IGV(S/.)]]=0,0,TABLA_BASE[[#This Row],[GANANCIA
UNIT.(S/.)]]/TABLA_BASE[[#This Row],[PRECIO VTA.
c/IGV(S/.)]])</f>
        <v>0</v>
      </c>
      <c r="BA88" s="277">
        <f>IF(TABLA_BASE[[#This Row],[C/M UNIT.
(S/.)]]=0,0,TABLA_BASE[[#This Row],[GANANCIA
UNIT.(S/.)]]/TABLA_BASE[[#This Row],[C/M UNIT.
(S/.)]])</f>
        <v>0</v>
      </c>
      <c r="BB88" s="274" t="str">
        <f>IF(TABLA_BASE[[#This Row],[MARGEN
%]]&gt;=0.5,"🟢 ALTO",IF(TABLA_BASE[[#This Row],[MARGEN
%]]&gt;=0.3,"🟡 MEDIO","🔴 BAJO"))</f>
        <v>🟡 MEDIO</v>
      </c>
    </row>
    <row r="89" spans="1:54" ht="16.5" hidden="1" thickTop="1" thickBot="1" x14ac:dyDescent="0.3">
      <c r="A89" s="274">
        <f>'🧾 Factura Comercial'!E93</f>
        <v>0</v>
      </c>
      <c r="B89" s="274" t="str">
        <f>'🧾 Factura Comercial'!F93</f>
        <v>Unid.</v>
      </c>
      <c r="C89" s="275">
        <f>'🧾 Factura Comercial'!G93</f>
        <v>0</v>
      </c>
      <c r="D89" s="276">
        <f>'🧾 Factura Comercial'!H93</f>
        <v>0</v>
      </c>
      <c r="E89" s="276">
        <f>'🧾 Factura Comercial'!I93</f>
        <v>0</v>
      </c>
      <c r="F89" s="277">
        <f>IF('🧾 Tributos Aduana'!$F$6=0,0,'🧾 Factura Comercial'!I93/'🧾 Tributos Aduana'!$F$6)</f>
        <v>0</v>
      </c>
      <c r="G89" s="278">
        <f>'🧾 Factura Comercial'!H93*'📋 Datos Generales'!$E$19</f>
        <v>0</v>
      </c>
      <c r="H89" s="278">
        <f>TABLA_BASE[[#This Row],[FOB UNIT.
(S/.)]]*TABLA_BASE[[#This Row],[CANTIDAD
(unid.)]]</f>
        <v>0</v>
      </c>
      <c r="I89" s="280">
        <f>IF('🧾 Tributos Aduana'!$F$6=0,0,'🧾 Tributos Aduana'!$F$17*('🧾 Factura Comercial'!H93/'🧾 Tributos Aduana'!$F$6))</f>
        <v>0</v>
      </c>
      <c r="J89" s="280">
        <f>TABLA_BASE[[#This Row],[ADV UNIT.
(US$)
⚠️COSTO]]*TABLA_BASE[[#This Row],[CANTIDAD
(unid.)]]</f>
        <v>0</v>
      </c>
      <c r="K89" s="279">
        <f>IF('🧾 Tributos Aduana'!$F$6=0,0,'🧾 Tributos Aduana'!$F$18*('🧾 Factura Comercial'!H93/'🧾 Tributos Aduana'!$F$6))</f>
        <v>0</v>
      </c>
      <c r="L89" s="280">
        <f>TABLA_BASE[[#This Row],[IPM UNIT.
(US$)
✅CF]]*TABLA_BASE[[#This Row],[CANTIDAD
(unid.)]]</f>
        <v>0</v>
      </c>
      <c r="M89" s="279">
        <f>IF('🧾 Tributos Aduana'!$F$6=0,0,'🧾 Tributos Aduana'!$F$19*('🧾 Factura Comercial'!H93/'🧾 Tributos Aduana'!$F$6))</f>
        <v>0</v>
      </c>
      <c r="N89" s="280">
        <f>TABLA_BASE[[#This Row],[IGV UNIT.
(US$)
✅CF]]*TABLA_BASE[[#This Row],[CANTIDAD
(unid.)]]</f>
        <v>0</v>
      </c>
      <c r="O89" s="280">
        <f>IF('🧾 Tributos Aduana'!$F$6=0,0,'🧾 Tributos Aduana'!$F$23*('🧾 Factura Comercial'!H93/'🧾 Tributos Aduana'!$F$6))</f>
        <v>0</v>
      </c>
      <c r="P89" s="280">
        <f>TABLA_BASE[[#This Row],[PERCEP.
UNIT.(US$)
✅CF]]*TABLA_BASE[[#This Row],[CANTIDAD
(unid.)]]</f>
        <v>0</v>
      </c>
      <c r="Q89" s="279">
        <f>TABLA_BASE[[#This Row],[ADV UNIT.
(US$)
⚠️COSTO]]+TABLA_BASE[[#This Row],[IPM UNIT.
(US$)
✅CF]]+TABLA_BASE[[#This Row],[IGV UNIT.
(US$)
✅CF]]</f>
        <v>0</v>
      </c>
      <c r="R89" s="280">
        <f>TABLA_BASE[[#This Row],[DEUDA
ADUANERA
UNIT.]]*TABLA_BASE[[#This Row],[CANTIDAD
(unid.)]]</f>
        <v>0</v>
      </c>
      <c r="S89" s="278">
        <f>TABLA_BASE[[#This Row],[DEUDA
ADUANERA
UNIT.]]*'📋 Datos Generales'!$E$19</f>
        <v>0</v>
      </c>
      <c r="T89" s="278">
        <f>TABLA_BASE[[#This Row],[DEUDA
ADUANERA
TOTAL]]*'📋 Datos Generales'!$E$19</f>
        <v>0</v>
      </c>
      <c r="U89" s="281">
        <f>TABLA_BASE[[#This Row],[ADV UNIT.
(US$)
⚠️COSTO]]*'📋 Datos Generales'!$E$19</f>
        <v>0</v>
      </c>
      <c r="V89" s="281">
        <f>TABLA_BASE[[#This Row],[ADV UNIT.
(S/.)]]*TABLA_BASE[[#This Row],[CANTIDAD
(unid.)]]</f>
        <v>0</v>
      </c>
      <c r="W89" s="281">
        <f>TABLA_BASE[[#This Row],[IPM UNIT.
(US$)
✅CF]]*'📋 Datos Generales'!$E$19</f>
        <v>0</v>
      </c>
      <c r="X89" s="281">
        <f>TABLA_BASE[[#This Row],[IPM UNIT.
(S/.)]]*TABLA_BASE[[#This Row],[CANTIDAD
(unid.)]]</f>
        <v>0</v>
      </c>
      <c r="Y89" s="281">
        <f>TABLA_BASE[[#This Row],[IGV UNIT.
(US$)
✅CF]]*'📋 Datos Generales'!$E$19</f>
        <v>0</v>
      </c>
      <c r="Z89" s="281">
        <f>TABLA_BASE[[#This Row],[IGV UNIT.
(S/.)]]*TABLA_BASE[[#This Row],[CANTIDAD
(unid.)]]</f>
        <v>0</v>
      </c>
      <c r="AA89" s="281">
        <f>TABLA_BASE[[#This Row],[PERCEP.
UNIT.(US$)
✅CF]]*'📋 Datos Generales'!$E$19</f>
        <v>0</v>
      </c>
      <c r="AB89" s="281">
        <f>TABLA_BASE[[#This Row],[PERCEP.
UNIT.(S/.)]]*TABLA_BASE[[#This Row],[CANTIDAD
(unid.)]]</f>
        <v>0</v>
      </c>
      <c r="AC89" s="279">
        <f>TABLA_BASE[[#This Row],[ADV UNIT.
(US$)
⚠️COSTO]]+TABLA_BASE[[#This Row],[IPM UNIT.
(US$)
✅CF]]+TABLA_BASE[[#This Row],[IGV UNIT.
(US$)
✅CF]]+TABLA_BASE[[#This Row],[PERCEP.
UNIT.(US$)
✅CF]]</f>
        <v>0</v>
      </c>
      <c r="AD89" s="279">
        <f>TABLA_BASE[[#This Row],[TOTAL PAGO
SUNAT
UNIT.(US$)]]*TABLA_BASE[[#This Row],[CANTIDAD
(unid.)]]</f>
        <v>0</v>
      </c>
      <c r="AE89" s="281">
        <f>TABLA_BASE[[#This Row],[TOTAL PAGO
SUNAT
UNIT.(US$)]]*'📋 Datos Generales'!$E$19</f>
        <v>0</v>
      </c>
      <c r="AF89" s="281">
        <f>TABLA_BASE[[#This Row],[TOTAL TRIB.
UNIT.(S/.)]]*TABLA_BASE[[#This Row],[CANTIDAD
(unid.)]]</f>
        <v>0</v>
      </c>
      <c r="AG89" s="279">
        <f>IF('🧾 Factura Comercial'!G93=0,0,'📦 Gastos Importación'!$E$28*(IF('🧾 Tributos Aduana'!$F$6=0,0,'🧾 Factura Comercial'!I93/'🧾 Tributos Aduana'!$F$6))/'🧾 Factura Comercial'!G93)</f>
        <v>0</v>
      </c>
      <c r="AH89" s="279">
        <f>TABLA_BASE[[#This Row],[GASTOS IMP.
UNIT.(US$)]]*TABLA_BASE[[#This Row],[CANTIDAD
(unid.)]]</f>
        <v>0</v>
      </c>
      <c r="AI89" s="281">
        <f>TABLA_BASE[[#This Row],[GASTOS IMP.
UNIT.(US$)]]*'📋 Datos Generales'!$E$19</f>
        <v>0</v>
      </c>
      <c r="AJ89" s="281">
        <f>TABLA_BASE[[#This Row],[GASTOS IMP.
UNIT.(S/.)]]*TABLA_BASE[[#This Row],[CANTIDAD
(unid.)]]</f>
        <v>0</v>
      </c>
      <c r="AK89" s="280">
        <f>'🧮 Costos x Producto'!J93</f>
        <v>0</v>
      </c>
      <c r="AL89" s="278">
        <f>'🧮 Costos x Producto'!K93</f>
        <v>0</v>
      </c>
      <c r="AM89" s="278">
        <f>TABLA_BASE[[#This Row],[C/M UNIT.
(S/.)]]*TABLA_BASE[[#This Row],[CANTIDAD
(unid.)]]</f>
        <v>0</v>
      </c>
      <c r="AN89" s="279">
        <f>IF('🧾 Factura Comercial'!G93=0,0,'🧾 Tributos Aduana'!$F$17*(IF('🧾 Tributos Aduana'!$F$6=0,0,'🧾 Factura Comercial'!I93/'🧾 Tributos Aduana'!$F$6))/'🧾 Factura Comercial'!G93)</f>
        <v>0</v>
      </c>
      <c r="AO89" s="280">
        <f>IF('🧾 Factura Comercial'!G93=0,0,'🏦 Crédito Fiscal'!$C$16*(IF('🧾 Tributos Aduana'!$F$6=0,0,'🧾 Factura Comercial'!I93/'🧾 Tributos Aduana'!$F$6))/'🧾 Factura Comercial'!G93)</f>
        <v>0</v>
      </c>
      <c r="AP89" s="278">
        <f>TABLA_BASE[[#This Row],[CF UNIT.
✅RECUP.
(US$)]]*'📋 Datos Generales'!$E$19</f>
        <v>0</v>
      </c>
      <c r="AQ89" s="278">
        <f>TABLA_BASE[[#This Row],[CF UNIT.
✅RECUP.(S/.)]]*TABLA_BASE[[#This Row],[CANTIDAD
(unid.)]]</f>
        <v>0</v>
      </c>
      <c r="AR89" s="288">
        <f>'💰 Precio de Venta'!G94</f>
        <v>0.4</v>
      </c>
      <c r="AS89" s="278">
        <f>'💰 Precio de Venta'!H94</f>
        <v>0</v>
      </c>
      <c r="AT89" s="278">
        <f>TABLA_BASE[[#This Row],[VALOR VTA.
UNIT.(S/.)]]*TABLA_BASE[[#This Row],[CANTIDAD
(unid.)]]</f>
        <v>0</v>
      </c>
      <c r="AU89" s="281">
        <f>'💰 Precio de Venta'!I94</f>
        <v>0</v>
      </c>
      <c r="AV89" s="278">
        <f>'💰 Precio de Venta'!J94</f>
        <v>0</v>
      </c>
      <c r="AW89" s="278">
        <f>TABLA_BASE[[#This Row],[GANANCIA
UNIT.(S/.)]]*TABLA_BASE[[#This Row],[CANTIDAD
(unid.)]]</f>
        <v>0</v>
      </c>
      <c r="AX89" s="289">
        <f>'💰 Precio de Venta'!K94</f>
        <v>0</v>
      </c>
      <c r="AY89" s="278">
        <f>TABLA_BASE[[#This Row],[GANANCIA
UNIT.(S/.)]]*'🧾 Factura Comercial'!G93</f>
        <v>0</v>
      </c>
      <c r="AZ89" s="277">
        <f>IF(TABLA_BASE[[#This Row],[PRECIO VTA.
c/IGV(S/.)]]=0,0,TABLA_BASE[[#This Row],[GANANCIA
UNIT.(S/.)]]/TABLA_BASE[[#This Row],[PRECIO VTA.
c/IGV(S/.)]])</f>
        <v>0</v>
      </c>
      <c r="BA89" s="277">
        <f>IF(TABLA_BASE[[#This Row],[C/M UNIT.
(S/.)]]=0,0,TABLA_BASE[[#This Row],[GANANCIA
UNIT.(S/.)]]/TABLA_BASE[[#This Row],[C/M UNIT.
(S/.)]])</f>
        <v>0</v>
      </c>
      <c r="BB89" s="274" t="str">
        <f>IF(TABLA_BASE[[#This Row],[MARGEN
%]]&gt;=0.5,"🟢 ALTO",IF(TABLA_BASE[[#This Row],[MARGEN
%]]&gt;=0.3,"🟡 MEDIO","🔴 BAJO"))</f>
        <v>🟡 MEDIO</v>
      </c>
    </row>
    <row r="90" spans="1:54" ht="16.5" hidden="1" thickTop="1" thickBot="1" x14ac:dyDescent="0.3">
      <c r="A90" s="274">
        <f>'🧾 Factura Comercial'!E94</f>
        <v>0</v>
      </c>
      <c r="B90" s="274" t="str">
        <f>'🧾 Factura Comercial'!F94</f>
        <v>Unid.</v>
      </c>
      <c r="C90" s="275">
        <f>'🧾 Factura Comercial'!G94</f>
        <v>0</v>
      </c>
      <c r="D90" s="276">
        <f>'🧾 Factura Comercial'!H94</f>
        <v>0</v>
      </c>
      <c r="E90" s="276">
        <f>'🧾 Factura Comercial'!I94</f>
        <v>0</v>
      </c>
      <c r="F90" s="277">
        <f>IF('🧾 Tributos Aduana'!$F$6=0,0,'🧾 Factura Comercial'!I94/'🧾 Tributos Aduana'!$F$6)</f>
        <v>0</v>
      </c>
      <c r="G90" s="278">
        <f>'🧾 Factura Comercial'!H94*'📋 Datos Generales'!$E$19</f>
        <v>0</v>
      </c>
      <c r="H90" s="278">
        <f>TABLA_BASE[[#This Row],[FOB UNIT.
(S/.)]]*TABLA_BASE[[#This Row],[CANTIDAD
(unid.)]]</f>
        <v>0</v>
      </c>
      <c r="I90" s="280">
        <f>IF('🧾 Tributos Aduana'!$F$6=0,0,'🧾 Tributos Aduana'!$F$17*('🧾 Factura Comercial'!H94/'🧾 Tributos Aduana'!$F$6))</f>
        <v>0</v>
      </c>
      <c r="J90" s="280">
        <f>TABLA_BASE[[#This Row],[ADV UNIT.
(US$)
⚠️COSTO]]*TABLA_BASE[[#This Row],[CANTIDAD
(unid.)]]</f>
        <v>0</v>
      </c>
      <c r="K90" s="279">
        <f>IF('🧾 Tributos Aduana'!$F$6=0,0,'🧾 Tributos Aduana'!$F$18*('🧾 Factura Comercial'!H94/'🧾 Tributos Aduana'!$F$6))</f>
        <v>0</v>
      </c>
      <c r="L90" s="280">
        <f>TABLA_BASE[[#This Row],[IPM UNIT.
(US$)
✅CF]]*TABLA_BASE[[#This Row],[CANTIDAD
(unid.)]]</f>
        <v>0</v>
      </c>
      <c r="M90" s="279">
        <f>IF('🧾 Tributos Aduana'!$F$6=0,0,'🧾 Tributos Aduana'!$F$19*('🧾 Factura Comercial'!H94/'🧾 Tributos Aduana'!$F$6))</f>
        <v>0</v>
      </c>
      <c r="N90" s="280">
        <f>TABLA_BASE[[#This Row],[IGV UNIT.
(US$)
✅CF]]*TABLA_BASE[[#This Row],[CANTIDAD
(unid.)]]</f>
        <v>0</v>
      </c>
      <c r="O90" s="280">
        <f>IF('🧾 Tributos Aduana'!$F$6=0,0,'🧾 Tributos Aduana'!$F$23*('🧾 Factura Comercial'!H94/'🧾 Tributos Aduana'!$F$6))</f>
        <v>0</v>
      </c>
      <c r="P90" s="280">
        <f>TABLA_BASE[[#This Row],[PERCEP.
UNIT.(US$)
✅CF]]*TABLA_BASE[[#This Row],[CANTIDAD
(unid.)]]</f>
        <v>0</v>
      </c>
      <c r="Q90" s="279">
        <f>TABLA_BASE[[#This Row],[ADV UNIT.
(US$)
⚠️COSTO]]+TABLA_BASE[[#This Row],[IPM UNIT.
(US$)
✅CF]]+TABLA_BASE[[#This Row],[IGV UNIT.
(US$)
✅CF]]</f>
        <v>0</v>
      </c>
      <c r="R90" s="280">
        <f>TABLA_BASE[[#This Row],[DEUDA
ADUANERA
UNIT.]]*TABLA_BASE[[#This Row],[CANTIDAD
(unid.)]]</f>
        <v>0</v>
      </c>
      <c r="S90" s="278">
        <f>TABLA_BASE[[#This Row],[DEUDA
ADUANERA
UNIT.]]*'📋 Datos Generales'!$E$19</f>
        <v>0</v>
      </c>
      <c r="T90" s="278">
        <f>TABLA_BASE[[#This Row],[DEUDA
ADUANERA
TOTAL]]*'📋 Datos Generales'!$E$19</f>
        <v>0</v>
      </c>
      <c r="U90" s="281">
        <f>TABLA_BASE[[#This Row],[ADV UNIT.
(US$)
⚠️COSTO]]*'📋 Datos Generales'!$E$19</f>
        <v>0</v>
      </c>
      <c r="V90" s="281">
        <f>TABLA_BASE[[#This Row],[ADV UNIT.
(S/.)]]*TABLA_BASE[[#This Row],[CANTIDAD
(unid.)]]</f>
        <v>0</v>
      </c>
      <c r="W90" s="281">
        <f>TABLA_BASE[[#This Row],[IPM UNIT.
(US$)
✅CF]]*'📋 Datos Generales'!$E$19</f>
        <v>0</v>
      </c>
      <c r="X90" s="281">
        <f>TABLA_BASE[[#This Row],[IPM UNIT.
(S/.)]]*TABLA_BASE[[#This Row],[CANTIDAD
(unid.)]]</f>
        <v>0</v>
      </c>
      <c r="Y90" s="281">
        <f>TABLA_BASE[[#This Row],[IGV UNIT.
(US$)
✅CF]]*'📋 Datos Generales'!$E$19</f>
        <v>0</v>
      </c>
      <c r="Z90" s="281">
        <f>TABLA_BASE[[#This Row],[IGV UNIT.
(S/.)]]*TABLA_BASE[[#This Row],[CANTIDAD
(unid.)]]</f>
        <v>0</v>
      </c>
      <c r="AA90" s="281">
        <f>TABLA_BASE[[#This Row],[PERCEP.
UNIT.(US$)
✅CF]]*'📋 Datos Generales'!$E$19</f>
        <v>0</v>
      </c>
      <c r="AB90" s="281">
        <f>TABLA_BASE[[#This Row],[PERCEP.
UNIT.(S/.)]]*TABLA_BASE[[#This Row],[CANTIDAD
(unid.)]]</f>
        <v>0</v>
      </c>
      <c r="AC90" s="279">
        <f>TABLA_BASE[[#This Row],[ADV UNIT.
(US$)
⚠️COSTO]]+TABLA_BASE[[#This Row],[IPM UNIT.
(US$)
✅CF]]+TABLA_BASE[[#This Row],[IGV UNIT.
(US$)
✅CF]]+TABLA_BASE[[#This Row],[PERCEP.
UNIT.(US$)
✅CF]]</f>
        <v>0</v>
      </c>
      <c r="AD90" s="279">
        <f>TABLA_BASE[[#This Row],[TOTAL PAGO
SUNAT
UNIT.(US$)]]*TABLA_BASE[[#This Row],[CANTIDAD
(unid.)]]</f>
        <v>0</v>
      </c>
      <c r="AE90" s="281">
        <f>TABLA_BASE[[#This Row],[TOTAL PAGO
SUNAT
UNIT.(US$)]]*'📋 Datos Generales'!$E$19</f>
        <v>0</v>
      </c>
      <c r="AF90" s="281">
        <f>TABLA_BASE[[#This Row],[TOTAL TRIB.
UNIT.(S/.)]]*TABLA_BASE[[#This Row],[CANTIDAD
(unid.)]]</f>
        <v>0</v>
      </c>
      <c r="AG90" s="279">
        <f>IF('🧾 Factura Comercial'!G94=0,0,'📦 Gastos Importación'!$E$28*(IF('🧾 Tributos Aduana'!$F$6=0,0,'🧾 Factura Comercial'!I94/'🧾 Tributos Aduana'!$F$6))/'🧾 Factura Comercial'!G94)</f>
        <v>0</v>
      </c>
      <c r="AH90" s="279">
        <f>TABLA_BASE[[#This Row],[GASTOS IMP.
UNIT.(US$)]]*TABLA_BASE[[#This Row],[CANTIDAD
(unid.)]]</f>
        <v>0</v>
      </c>
      <c r="AI90" s="281">
        <f>TABLA_BASE[[#This Row],[GASTOS IMP.
UNIT.(US$)]]*'📋 Datos Generales'!$E$19</f>
        <v>0</v>
      </c>
      <c r="AJ90" s="281">
        <f>TABLA_BASE[[#This Row],[GASTOS IMP.
UNIT.(S/.)]]*TABLA_BASE[[#This Row],[CANTIDAD
(unid.)]]</f>
        <v>0</v>
      </c>
      <c r="AK90" s="280">
        <f>'🧮 Costos x Producto'!J94</f>
        <v>0</v>
      </c>
      <c r="AL90" s="278">
        <f>'🧮 Costos x Producto'!K94</f>
        <v>0</v>
      </c>
      <c r="AM90" s="278">
        <f>TABLA_BASE[[#This Row],[C/M UNIT.
(S/.)]]*TABLA_BASE[[#This Row],[CANTIDAD
(unid.)]]</f>
        <v>0</v>
      </c>
      <c r="AN90" s="279">
        <f>IF('🧾 Factura Comercial'!G94=0,0,'🧾 Tributos Aduana'!$F$17*(IF('🧾 Tributos Aduana'!$F$6=0,0,'🧾 Factura Comercial'!I94/'🧾 Tributos Aduana'!$F$6))/'🧾 Factura Comercial'!G94)</f>
        <v>0</v>
      </c>
      <c r="AO90" s="280">
        <f>IF('🧾 Factura Comercial'!G94=0,0,'🏦 Crédito Fiscal'!$C$16*(IF('🧾 Tributos Aduana'!$F$6=0,0,'🧾 Factura Comercial'!I94/'🧾 Tributos Aduana'!$F$6))/'🧾 Factura Comercial'!G94)</f>
        <v>0</v>
      </c>
      <c r="AP90" s="278">
        <f>TABLA_BASE[[#This Row],[CF UNIT.
✅RECUP.
(US$)]]*'📋 Datos Generales'!$E$19</f>
        <v>0</v>
      </c>
      <c r="AQ90" s="278">
        <f>TABLA_BASE[[#This Row],[CF UNIT.
✅RECUP.(S/.)]]*TABLA_BASE[[#This Row],[CANTIDAD
(unid.)]]</f>
        <v>0</v>
      </c>
      <c r="AR90" s="288">
        <f>'💰 Precio de Venta'!G95</f>
        <v>0.4</v>
      </c>
      <c r="AS90" s="278">
        <f>'💰 Precio de Venta'!H95</f>
        <v>0</v>
      </c>
      <c r="AT90" s="278">
        <f>TABLA_BASE[[#This Row],[VALOR VTA.
UNIT.(S/.)]]*TABLA_BASE[[#This Row],[CANTIDAD
(unid.)]]</f>
        <v>0</v>
      </c>
      <c r="AU90" s="281">
        <f>'💰 Precio de Venta'!I95</f>
        <v>0</v>
      </c>
      <c r="AV90" s="278">
        <f>'💰 Precio de Venta'!J95</f>
        <v>0</v>
      </c>
      <c r="AW90" s="278">
        <f>TABLA_BASE[[#This Row],[GANANCIA
UNIT.(S/.)]]*TABLA_BASE[[#This Row],[CANTIDAD
(unid.)]]</f>
        <v>0</v>
      </c>
      <c r="AX90" s="289">
        <f>'💰 Precio de Venta'!K95</f>
        <v>0</v>
      </c>
      <c r="AY90" s="278">
        <f>TABLA_BASE[[#This Row],[GANANCIA
UNIT.(S/.)]]*'🧾 Factura Comercial'!G94</f>
        <v>0</v>
      </c>
      <c r="AZ90" s="277">
        <f>IF(TABLA_BASE[[#This Row],[PRECIO VTA.
c/IGV(S/.)]]=0,0,TABLA_BASE[[#This Row],[GANANCIA
UNIT.(S/.)]]/TABLA_BASE[[#This Row],[PRECIO VTA.
c/IGV(S/.)]])</f>
        <v>0</v>
      </c>
      <c r="BA90" s="277">
        <f>IF(TABLA_BASE[[#This Row],[C/M UNIT.
(S/.)]]=0,0,TABLA_BASE[[#This Row],[GANANCIA
UNIT.(S/.)]]/TABLA_BASE[[#This Row],[C/M UNIT.
(S/.)]])</f>
        <v>0</v>
      </c>
      <c r="BB90" s="274" t="str">
        <f>IF(TABLA_BASE[[#This Row],[MARGEN
%]]&gt;=0.5,"🟢 ALTO",IF(TABLA_BASE[[#This Row],[MARGEN
%]]&gt;=0.3,"🟡 MEDIO","🔴 BAJO"))</f>
        <v>🟡 MEDIO</v>
      </c>
    </row>
    <row r="91" spans="1:54" ht="16.5" hidden="1" thickTop="1" thickBot="1" x14ac:dyDescent="0.3">
      <c r="A91" s="274">
        <f>'🧾 Factura Comercial'!E95</f>
        <v>0</v>
      </c>
      <c r="B91" s="274" t="str">
        <f>'🧾 Factura Comercial'!F95</f>
        <v>Unid.</v>
      </c>
      <c r="C91" s="275">
        <f>'🧾 Factura Comercial'!G95</f>
        <v>0</v>
      </c>
      <c r="D91" s="276">
        <f>'🧾 Factura Comercial'!H95</f>
        <v>0</v>
      </c>
      <c r="E91" s="276">
        <f>'🧾 Factura Comercial'!I95</f>
        <v>0</v>
      </c>
      <c r="F91" s="277">
        <f>IF('🧾 Tributos Aduana'!$F$6=0,0,'🧾 Factura Comercial'!I95/'🧾 Tributos Aduana'!$F$6)</f>
        <v>0</v>
      </c>
      <c r="G91" s="278">
        <f>'🧾 Factura Comercial'!H95*'📋 Datos Generales'!$E$19</f>
        <v>0</v>
      </c>
      <c r="H91" s="278">
        <f>TABLA_BASE[[#This Row],[FOB UNIT.
(S/.)]]*TABLA_BASE[[#This Row],[CANTIDAD
(unid.)]]</f>
        <v>0</v>
      </c>
      <c r="I91" s="280">
        <f>IF('🧾 Tributos Aduana'!$F$6=0,0,'🧾 Tributos Aduana'!$F$17*('🧾 Factura Comercial'!H95/'🧾 Tributos Aduana'!$F$6))</f>
        <v>0</v>
      </c>
      <c r="J91" s="280">
        <f>TABLA_BASE[[#This Row],[ADV UNIT.
(US$)
⚠️COSTO]]*TABLA_BASE[[#This Row],[CANTIDAD
(unid.)]]</f>
        <v>0</v>
      </c>
      <c r="K91" s="279">
        <f>IF('🧾 Tributos Aduana'!$F$6=0,0,'🧾 Tributos Aduana'!$F$18*('🧾 Factura Comercial'!H95/'🧾 Tributos Aduana'!$F$6))</f>
        <v>0</v>
      </c>
      <c r="L91" s="280">
        <f>TABLA_BASE[[#This Row],[IPM UNIT.
(US$)
✅CF]]*TABLA_BASE[[#This Row],[CANTIDAD
(unid.)]]</f>
        <v>0</v>
      </c>
      <c r="M91" s="279">
        <f>IF('🧾 Tributos Aduana'!$F$6=0,0,'🧾 Tributos Aduana'!$F$19*('🧾 Factura Comercial'!H95/'🧾 Tributos Aduana'!$F$6))</f>
        <v>0</v>
      </c>
      <c r="N91" s="280">
        <f>TABLA_BASE[[#This Row],[IGV UNIT.
(US$)
✅CF]]*TABLA_BASE[[#This Row],[CANTIDAD
(unid.)]]</f>
        <v>0</v>
      </c>
      <c r="O91" s="280">
        <f>IF('🧾 Tributos Aduana'!$F$6=0,0,'🧾 Tributos Aduana'!$F$23*('🧾 Factura Comercial'!H95/'🧾 Tributos Aduana'!$F$6))</f>
        <v>0</v>
      </c>
      <c r="P91" s="280">
        <f>TABLA_BASE[[#This Row],[PERCEP.
UNIT.(US$)
✅CF]]*TABLA_BASE[[#This Row],[CANTIDAD
(unid.)]]</f>
        <v>0</v>
      </c>
      <c r="Q91" s="279">
        <f>TABLA_BASE[[#This Row],[ADV UNIT.
(US$)
⚠️COSTO]]+TABLA_BASE[[#This Row],[IPM UNIT.
(US$)
✅CF]]+TABLA_BASE[[#This Row],[IGV UNIT.
(US$)
✅CF]]</f>
        <v>0</v>
      </c>
      <c r="R91" s="280">
        <f>TABLA_BASE[[#This Row],[DEUDA
ADUANERA
UNIT.]]*TABLA_BASE[[#This Row],[CANTIDAD
(unid.)]]</f>
        <v>0</v>
      </c>
      <c r="S91" s="278">
        <f>TABLA_BASE[[#This Row],[DEUDA
ADUANERA
UNIT.]]*'📋 Datos Generales'!$E$19</f>
        <v>0</v>
      </c>
      <c r="T91" s="278">
        <f>TABLA_BASE[[#This Row],[DEUDA
ADUANERA
TOTAL]]*'📋 Datos Generales'!$E$19</f>
        <v>0</v>
      </c>
      <c r="U91" s="281">
        <f>TABLA_BASE[[#This Row],[ADV UNIT.
(US$)
⚠️COSTO]]*'📋 Datos Generales'!$E$19</f>
        <v>0</v>
      </c>
      <c r="V91" s="281">
        <f>TABLA_BASE[[#This Row],[ADV UNIT.
(S/.)]]*TABLA_BASE[[#This Row],[CANTIDAD
(unid.)]]</f>
        <v>0</v>
      </c>
      <c r="W91" s="281">
        <f>TABLA_BASE[[#This Row],[IPM UNIT.
(US$)
✅CF]]*'📋 Datos Generales'!$E$19</f>
        <v>0</v>
      </c>
      <c r="X91" s="281">
        <f>TABLA_BASE[[#This Row],[IPM UNIT.
(S/.)]]*TABLA_BASE[[#This Row],[CANTIDAD
(unid.)]]</f>
        <v>0</v>
      </c>
      <c r="Y91" s="281">
        <f>TABLA_BASE[[#This Row],[IGV UNIT.
(US$)
✅CF]]*'📋 Datos Generales'!$E$19</f>
        <v>0</v>
      </c>
      <c r="Z91" s="281">
        <f>TABLA_BASE[[#This Row],[IGV UNIT.
(S/.)]]*TABLA_BASE[[#This Row],[CANTIDAD
(unid.)]]</f>
        <v>0</v>
      </c>
      <c r="AA91" s="281">
        <f>TABLA_BASE[[#This Row],[PERCEP.
UNIT.(US$)
✅CF]]*'📋 Datos Generales'!$E$19</f>
        <v>0</v>
      </c>
      <c r="AB91" s="281">
        <f>TABLA_BASE[[#This Row],[PERCEP.
UNIT.(S/.)]]*TABLA_BASE[[#This Row],[CANTIDAD
(unid.)]]</f>
        <v>0</v>
      </c>
      <c r="AC91" s="279">
        <f>TABLA_BASE[[#This Row],[ADV UNIT.
(US$)
⚠️COSTO]]+TABLA_BASE[[#This Row],[IPM UNIT.
(US$)
✅CF]]+TABLA_BASE[[#This Row],[IGV UNIT.
(US$)
✅CF]]+TABLA_BASE[[#This Row],[PERCEP.
UNIT.(US$)
✅CF]]</f>
        <v>0</v>
      </c>
      <c r="AD91" s="279">
        <f>TABLA_BASE[[#This Row],[TOTAL PAGO
SUNAT
UNIT.(US$)]]*TABLA_BASE[[#This Row],[CANTIDAD
(unid.)]]</f>
        <v>0</v>
      </c>
      <c r="AE91" s="281">
        <f>TABLA_BASE[[#This Row],[TOTAL PAGO
SUNAT
UNIT.(US$)]]*'📋 Datos Generales'!$E$19</f>
        <v>0</v>
      </c>
      <c r="AF91" s="281">
        <f>TABLA_BASE[[#This Row],[TOTAL TRIB.
UNIT.(S/.)]]*TABLA_BASE[[#This Row],[CANTIDAD
(unid.)]]</f>
        <v>0</v>
      </c>
      <c r="AG91" s="279">
        <f>IF('🧾 Factura Comercial'!G95=0,0,'📦 Gastos Importación'!$E$28*(IF('🧾 Tributos Aduana'!$F$6=0,0,'🧾 Factura Comercial'!I95/'🧾 Tributos Aduana'!$F$6))/'🧾 Factura Comercial'!G95)</f>
        <v>0</v>
      </c>
      <c r="AH91" s="279">
        <f>TABLA_BASE[[#This Row],[GASTOS IMP.
UNIT.(US$)]]*TABLA_BASE[[#This Row],[CANTIDAD
(unid.)]]</f>
        <v>0</v>
      </c>
      <c r="AI91" s="281">
        <f>TABLA_BASE[[#This Row],[GASTOS IMP.
UNIT.(US$)]]*'📋 Datos Generales'!$E$19</f>
        <v>0</v>
      </c>
      <c r="AJ91" s="281">
        <f>TABLA_BASE[[#This Row],[GASTOS IMP.
UNIT.(S/.)]]*TABLA_BASE[[#This Row],[CANTIDAD
(unid.)]]</f>
        <v>0</v>
      </c>
      <c r="AK91" s="280">
        <f>'🧮 Costos x Producto'!J95</f>
        <v>0</v>
      </c>
      <c r="AL91" s="278">
        <f>'🧮 Costos x Producto'!K95</f>
        <v>0</v>
      </c>
      <c r="AM91" s="278">
        <f>TABLA_BASE[[#This Row],[C/M UNIT.
(S/.)]]*TABLA_BASE[[#This Row],[CANTIDAD
(unid.)]]</f>
        <v>0</v>
      </c>
      <c r="AN91" s="279">
        <f>IF('🧾 Factura Comercial'!G95=0,0,'🧾 Tributos Aduana'!$F$17*(IF('🧾 Tributos Aduana'!$F$6=0,0,'🧾 Factura Comercial'!I95/'🧾 Tributos Aduana'!$F$6))/'🧾 Factura Comercial'!G95)</f>
        <v>0</v>
      </c>
      <c r="AO91" s="280">
        <f>IF('🧾 Factura Comercial'!G95=0,0,'🏦 Crédito Fiscal'!$C$16*(IF('🧾 Tributos Aduana'!$F$6=0,0,'🧾 Factura Comercial'!I95/'🧾 Tributos Aduana'!$F$6))/'🧾 Factura Comercial'!G95)</f>
        <v>0</v>
      </c>
      <c r="AP91" s="278">
        <f>TABLA_BASE[[#This Row],[CF UNIT.
✅RECUP.
(US$)]]*'📋 Datos Generales'!$E$19</f>
        <v>0</v>
      </c>
      <c r="AQ91" s="278">
        <f>TABLA_BASE[[#This Row],[CF UNIT.
✅RECUP.(S/.)]]*TABLA_BASE[[#This Row],[CANTIDAD
(unid.)]]</f>
        <v>0</v>
      </c>
      <c r="AR91" s="288">
        <f>'💰 Precio de Venta'!G96</f>
        <v>0.4</v>
      </c>
      <c r="AS91" s="278">
        <f>'💰 Precio de Venta'!H96</f>
        <v>0</v>
      </c>
      <c r="AT91" s="278">
        <f>TABLA_BASE[[#This Row],[VALOR VTA.
UNIT.(S/.)]]*TABLA_BASE[[#This Row],[CANTIDAD
(unid.)]]</f>
        <v>0</v>
      </c>
      <c r="AU91" s="281">
        <f>'💰 Precio de Venta'!I96</f>
        <v>0</v>
      </c>
      <c r="AV91" s="278">
        <f>'💰 Precio de Venta'!J96</f>
        <v>0</v>
      </c>
      <c r="AW91" s="278">
        <f>TABLA_BASE[[#This Row],[GANANCIA
UNIT.(S/.)]]*TABLA_BASE[[#This Row],[CANTIDAD
(unid.)]]</f>
        <v>0</v>
      </c>
      <c r="AX91" s="289">
        <f>'💰 Precio de Venta'!K96</f>
        <v>0</v>
      </c>
      <c r="AY91" s="278">
        <f>TABLA_BASE[[#This Row],[GANANCIA
UNIT.(S/.)]]*'🧾 Factura Comercial'!G95</f>
        <v>0</v>
      </c>
      <c r="AZ91" s="277">
        <f>IF(TABLA_BASE[[#This Row],[PRECIO VTA.
c/IGV(S/.)]]=0,0,TABLA_BASE[[#This Row],[GANANCIA
UNIT.(S/.)]]/TABLA_BASE[[#This Row],[PRECIO VTA.
c/IGV(S/.)]])</f>
        <v>0</v>
      </c>
      <c r="BA91" s="277">
        <f>IF(TABLA_BASE[[#This Row],[C/M UNIT.
(S/.)]]=0,0,TABLA_BASE[[#This Row],[GANANCIA
UNIT.(S/.)]]/TABLA_BASE[[#This Row],[C/M UNIT.
(S/.)]])</f>
        <v>0</v>
      </c>
      <c r="BB91" s="274" t="str">
        <f>IF(TABLA_BASE[[#This Row],[MARGEN
%]]&gt;=0.5,"🟢 ALTO",IF(TABLA_BASE[[#This Row],[MARGEN
%]]&gt;=0.3,"🟡 MEDIO","🔴 BAJO"))</f>
        <v>🟡 MEDIO</v>
      </c>
    </row>
    <row r="92" spans="1:54" ht="16.5" hidden="1" thickTop="1" thickBot="1" x14ac:dyDescent="0.3">
      <c r="A92" s="274">
        <f>'🧾 Factura Comercial'!E96</f>
        <v>0</v>
      </c>
      <c r="B92" s="274" t="str">
        <f>'🧾 Factura Comercial'!F96</f>
        <v>Unid.</v>
      </c>
      <c r="C92" s="275">
        <f>'🧾 Factura Comercial'!G96</f>
        <v>0</v>
      </c>
      <c r="D92" s="276">
        <f>'🧾 Factura Comercial'!H96</f>
        <v>0</v>
      </c>
      <c r="E92" s="276">
        <f>'🧾 Factura Comercial'!I96</f>
        <v>0</v>
      </c>
      <c r="F92" s="277">
        <f>IF('🧾 Tributos Aduana'!$F$6=0,0,'🧾 Factura Comercial'!I96/'🧾 Tributos Aduana'!$F$6)</f>
        <v>0</v>
      </c>
      <c r="G92" s="278">
        <f>'🧾 Factura Comercial'!H96*'📋 Datos Generales'!$E$19</f>
        <v>0</v>
      </c>
      <c r="H92" s="278">
        <f>TABLA_BASE[[#This Row],[FOB UNIT.
(S/.)]]*TABLA_BASE[[#This Row],[CANTIDAD
(unid.)]]</f>
        <v>0</v>
      </c>
      <c r="I92" s="280">
        <f>IF('🧾 Tributos Aduana'!$F$6=0,0,'🧾 Tributos Aduana'!$F$17*('🧾 Factura Comercial'!H96/'🧾 Tributos Aduana'!$F$6))</f>
        <v>0</v>
      </c>
      <c r="J92" s="280">
        <f>TABLA_BASE[[#This Row],[ADV UNIT.
(US$)
⚠️COSTO]]*TABLA_BASE[[#This Row],[CANTIDAD
(unid.)]]</f>
        <v>0</v>
      </c>
      <c r="K92" s="279">
        <f>IF('🧾 Tributos Aduana'!$F$6=0,0,'🧾 Tributos Aduana'!$F$18*('🧾 Factura Comercial'!H96/'🧾 Tributos Aduana'!$F$6))</f>
        <v>0</v>
      </c>
      <c r="L92" s="280">
        <f>TABLA_BASE[[#This Row],[IPM UNIT.
(US$)
✅CF]]*TABLA_BASE[[#This Row],[CANTIDAD
(unid.)]]</f>
        <v>0</v>
      </c>
      <c r="M92" s="279">
        <f>IF('🧾 Tributos Aduana'!$F$6=0,0,'🧾 Tributos Aduana'!$F$19*('🧾 Factura Comercial'!H96/'🧾 Tributos Aduana'!$F$6))</f>
        <v>0</v>
      </c>
      <c r="N92" s="280">
        <f>TABLA_BASE[[#This Row],[IGV UNIT.
(US$)
✅CF]]*TABLA_BASE[[#This Row],[CANTIDAD
(unid.)]]</f>
        <v>0</v>
      </c>
      <c r="O92" s="280">
        <f>IF('🧾 Tributos Aduana'!$F$6=0,0,'🧾 Tributos Aduana'!$F$23*('🧾 Factura Comercial'!H96/'🧾 Tributos Aduana'!$F$6))</f>
        <v>0</v>
      </c>
      <c r="P92" s="280">
        <f>TABLA_BASE[[#This Row],[PERCEP.
UNIT.(US$)
✅CF]]*TABLA_BASE[[#This Row],[CANTIDAD
(unid.)]]</f>
        <v>0</v>
      </c>
      <c r="Q92" s="279">
        <f>TABLA_BASE[[#This Row],[ADV UNIT.
(US$)
⚠️COSTO]]+TABLA_BASE[[#This Row],[IPM UNIT.
(US$)
✅CF]]+TABLA_BASE[[#This Row],[IGV UNIT.
(US$)
✅CF]]</f>
        <v>0</v>
      </c>
      <c r="R92" s="280">
        <f>TABLA_BASE[[#This Row],[DEUDA
ADUANERA
UNIT.]]*TABLA_BASE[[#This Row],[CANTIDAD
(unid.)]]</f>
        <v>0</v>
      </c>
      <c r="S92" s="278">
        <f>TABLA_BASE[[#This Row],[DEUDA
ADUANERA
UNIT.]]*'📋 Datos Generales'!$E$19</f>
        <v>0</v>
      </c>
      <c r="T92" s="278">
        <f>TABLA_BASE[[#This Row],[DEUDA
ADUANERA
TOTAL]]*'📋 Datos Generales'!$E$19</f>
        <v>0</v>
      </c>
      <c r="U92" s="281">
        <f>TABLA_BASE[[#This Row],[ADV UNIT.
(US$)
⚠️COSTO]]*'📋 Datos Generales'!$E$19</f>
        <v>0</v>
      </c>
      <c r="V92" s="281">
        <f>TABLA_BASE[[#This Row],[ADV UNIT.
(S/.)]]*TABLA_BASE[[#This Row],[CANTIDAD
(unid.)]]</f>
        <v>0</v>
      </c>
      <c r="W92" s="281">
        <f>TABLA_BASE[[#This Row],[IPM UNIT.
(US$)
✅CF]]*'📋 Datos Generales'!$E$19</f>
        <v>0</v>
      </c>
      <c r="X92" s="281">
        <f>TABLA_BASE[[#This Row],[IPM UNIT.
(S/.)]]*TABLA_BASE[[#This Row],[CANTIDAD
(unid.)]]</f>
        <v>0</v>
      </c>
      <c r="Y92" s="281">
        <f>TABLA_BASE[[#This Row],[IGV UNIT.
(US$)
✅CF]]*'📋 Datos Generales'!$E$19</f>
        <v>0</v>
      </c>
      <c r="Z92" s="281">
        <f>TABLA_BASE[[#This Row],[IGV UNIT.
(S/.)]]*TABLA_BASE[[#This Row],[CANTIDAD
(unid.)]]</f>
        <v>0</v>
      </c>
      <c r="AA92" s="281">
        <f>TABLA_BASE[[#This Row],[PERCEP.
UNIT.(US$)
✅CF]]*'📋 Datos Generales'!$E$19</f>
        <v>0</v>
      </c>
      <c r="AB92" s="281">
        <f>TABLA_BASE[[#This Row],[PERCEP.
UNIT.(S/.)]]*TABLA_BASE[[#This Row],[CANTIDAD
(unid.)]]</f>
        <v>0</v>
      </c>
      <c r="AC92" s="279">
        <f>TABLA_BASE[[#This Row],[ADV UNIT.
(US$)
⚠️COSTO]]+TABLA_BASE[[#This Row],[IPM UNIT.
(US$)
✅CF]]+TABLA_BASE[[#This Row],[IGV UNIT.
(US$)
✅CF]]+TABLA_BASE[[#This Row],[PERCEP.
UNIT.(US$)
✅CF]]</f>
        <v>0</v>
      </c>
      <c r="AD92" s="279">
        <f>TABLA_BASE[[#This Row],[TOTAL PAGO
SUNAT
UNIT.(US$)]]*TABLA_BASE[[#This Row],[CANTIDAD
(unid.)]]</f>
        <v>0</v>
      </c>
      <c r="AE92" s="281">
        <f>TABLA_BASE[[#This Row],[TOTAL PAGO
SUNAT
UNIT.(US$)]]*'📋 Datos Generales'!$E$19</f>
        <v>0</v>
      </c>
      <c r="AF92" s="281">
        <f>TABLA_BASE[[#This Row],[TOTAL TRIB.
UNIT.(S/.)]]*TABLA_BASE[[#This Row],[CANTIDAD
(unid.)]]</f>
        <v>0</v>
      </c>
      <c r="AG92" s="279">
        <f>IF('🧾 Factura Comercial'!G96=0,0,'📦 Gastos Importación'!$E$28*(IF('🧾 Tributos Aduana'!$F$6=0,0,'🧾 Factura Comercial'!I96/'🧾 Tributos Aduana'!$F$6))/'🧾 Factura Comercial'!G96)</f>
        <v>0</v>
      </c>
      <c r="AH92" s="279">
        <f>TABLA_BASE[[#This Row],[GASTOS IMP.
UNIT.(US$)]]*TABLA_BASE[[#This Row],[CANTIDAD
(unid.)]]</f>
        <v>0</v>
      </c>
      <c r="AI92" s="281">
        <f>TABLA_BASE[[#This Row],[GASTOS IMP.
UNIT.(US$)]]*'📋 Datos Generales'!$E$19</f>
        <v>0</v>
      </c>
      <c r="AJ92" s="281">
        <f>TABLA_BASE[[#This Row],[GASTOS IMP.
UNIT.(S/.)]]*TABLA_BASE[[#This Row],[CANTIDAD
(unid.)]]</f>
        <v>0</v>
      </c>
      <c r="AK92" s="280">
        <f>'🧮 Costos x Producto'!J96</f>
        <v>0</v>
      </c>
      <c r="AL92" s="278">
        <f>'🧮 Costos x Producto'!K96</f>
        <v>0</v>
      </c>
      <c r="AM92" s="278">
        <f>TABLA_BASE[[#This Row],[C/M UNIT.
(S/.)]]*TABLA_BASE[[#This Row],[CANTIDAD
(unid.)]]</f>
        <v>0</v>
      </c>
      <c r="AN92" s="279">
        <f>IF('🧾 Factura Comercial'!G96=0,0,'🧾 Tributos Aduana'!$F$17*(IF('🧾 Tributos Aduana'!$F$6=0,0,'🧾 Factura Comercial'!I96/'🧾 Tributos Aduana'!$F$6))/'🧾 Factura Comercial'!G96)</f>
        <v>0</v>
      </c>
      <c r="AO92" s="280">
        <f>IF('🧾 Factura Comercial'!G96=0,0,'🏦 Crédito Fiscal'!$C$16*(IF('🧾 Tributos Aduana'!$F$6=0,0,'🧾 Factura Comercial'!I96/'🧾 Tributos Aduana'!$F$6))/'🧾 Factura Comercial'!G96)</f>
        <v>0</v>
      </c>
      <c r="AP92" s="278">
        <f>TABLA_BASE[[#This Row],[CF UNIT.
✅RECUP.
(US$)]]*'📋 Datos Generales'!$E$19</f>
        <v>0</v>
      </c>
      <c r="AQ92" s="278">
        <f>TABLA_BASE[[#This Row],[CF UNIT.
✅RECUP.(S/.)]]*TABLA_BASE[[#This Row],[CANTIDAD
(unid.)]]</f>
        <v>0</v>
      </c>
      <c r="AR92" s="288">
        <f>'💰 Precio de Venta'!G97</f>
        <v>0.4</v>
      </c>
      <c r="AS92" s="278">
        <f>'💰 Precio de Venta'!H97</f>
        <v>0</v>
      </c>
      <c r="AT92" s="278">
        <f>TABLA_BASE[[#This Row],[VALOR VTA.
UNIT.(S/.)]]*TABLA_BASE[[#This Row],[CANTIDAD
(unid.)]]</f>
        <v>0</v>
      </c>
      <c r="AU92" s="281">
        <f>'💰 Precio de Venta'!I97</f>
        <v>0</v>
      </c>
      <c r="AV92" s="278">
        <f>'💰 Precio de Venta'!J97</f>
        <v>0</v>
      </c>
      <c r="AW92" s="278">
        <f>TABLA_BASE[[#This Row],[GANANCIA
UNIT.(S/.)]]*TABLA_BASE[[#This Row],[CANTIDAD
(unid.)]]</f>
        <v>0</v>
      </c>
      <c r="AX92" s="289">
        <f>'💰 Precio de Venta'!K97</f>
        <v>0</v>
      </c>
      <c r="AY92" s="278">
        <f>TABLA_BASE[[#This Row],[GANANCIA
UNIT.(S/.)]]*'🧾 Factura Comercial'!G96</f>
        <v>0</v>
      </c>
      <c r="AZ92" s="277">
        <f>IF(TABLA_BASE[[#This Row],[PRECIO VTA.
c/IGV(S/.)]]=0,0,TABLA_BASE[[#This Row],[GANANCIA
UNIT.(S/.)]]/TABLA_BASE[[#This Row],[PRECIO VTA.
c/IGV(S/.)]])</f>
        <v>0</v>
      </c>
      <c r="BA92" s="277">
        <f>IF(TABLA_BASE[[#This Row],[C/M UNIT.
(S/.)]]=0,0,TABLA_BASE[[#This Row],[GANANCIA
UNIT.(S/.)]]/TABLA_BASE[[#This Row],[C/M UNIT.
(S/.)]])</f>
        <v>0</v>
      </c>
      <c r="BB92" s="274" t="str">
        <f>IF(TABLA_BASE[[#This Row],[MARGEN
%]]&gt;=0.5,"🟢 ALTO",IF(TABLA_BASE[[#This Row],[MARGEN
%]]&gt;=0.3,"🟡 MEDIO","🔴 BAJO"))</f>
        <v>🟡 MEDIO</v>
      </c>
    </row>
    <row r="93" spans="1:54" ht="16.5" hidden="1" thickTop="1" thickBot="1" x14ac:dyDescent="0.3">
      <c r="A93" s="274">
        <f>'🧾 Factura Comercial'!E97</f>
        <v>0</v>
      </c>
      <c r="B93" s="274" t="str">
        <f>'🧾 Factura Comercial'!F97</f>
        <v>Unid.</v>
      </c>
      <c r="C93" s="275">
        <f>'🧾 Factura Comercial'!G97</f>
        <v>0</v>
      </c>
      <c r="D93" s="276">
        <f>'🧾 Factura Comercial'!H97</f>
        <v>0</v>
      </c>
      <c r="E93" s="276">
        <f>'🧾 Factura Comercial'!I97</f>
        <v>0</v>
      </c>
      <c r="F93" s="277">
        <f>IF('🧾 Tributos Aduana'!$F$6=0,0,'🧾 Factura Comercial'!I97/'🧾 Tributos Aduana'!$F$6)</f>
        <v>0</v>
      </c>
      <c r="G93" s="278">
        <f>'🧾 Factura Comercial'!H97*'📋 Datos Generales'!$E$19</f>
        <v>0</v>
      </c>
      <c r="H93" s="278">
        <f>TABLA_BASE[[#This Row],[FOB UNIT.
(S/.)]]*TABLA_BASE[[#This Row],[CANTIDAD
(unid.)]]</f>
        <v>0</v>
      </c>
      <c r="I93" s="280">
        <f>IF('🧾 Tributos Aduana'!$F$6=0,0,'🧾 Tributos Aduana'!$F$17*('🧾 Factura Comercial'!H97/'🧾 Tributos Aduana'!$F$6))</f>
        <v>0</v>
      </c>
      <c r="J93" s="280">
        <f>TABLA_BASE[[#This Row],[ADV UNIT.
(US$)
⚠️COSTO]]*TABLA_BASE[[#This Row],[CANTIDAD
(unid.)]]</f>
        <v>0</v>
      </c>
      <c r="K93" s="279">
        <f>IF('🧾 Tributos Aduana'!$F$6=0,0,'🧾 Tributos Aduana'!$F$18*('🧾 Factura Comercial'!H97/'🧾 Tributos Aduana'!$F$6))</f>
        <v>0</v>
      </c>
      <c r="L93" s="280">
        <f>TABLA_BASE[[#This Row],[IPM UNIT.
(US$)
✅CF]]*TABLA_BASE[[#This Row],[CANTIDAD
(unid.)]]</f>
        <v>0</v>
      </c>
      <c r="M93" s="279">
        <f>IF('🧾 Tributos Aduana'!$F$6=0,0,'🧾 Tributos Aduana'!$F$19*('🧾 Factura Comercial'!H97/'🧾 Tributos Aduana'!$F$6))</f>
        <v>0</v>
      </c>
      <c r="N93" s="280">
        <f>TABLA_BASE[[#This Row],[IGV UNIT.
(US$)
✅CF]]*TABLA_BASE[[#This Row],[CANTIDAD
(unid.)]]</f>
        <v>0</v>
      </c>
      <c r="O93" s="280">
        <f>IF('🧾 Tributos Aduana'!$F$6=0,0,'🧾 Tributos Aduana'!$F$23*('🧾 Factura Comercial'!H97/'🧾 Tributos Aduana'!$F$6))</f>
        <v>0</v>
      </c>
      <c r="P93" s="280">
        <f>TABLA_BASE[[#This Row],[PERCEP.
UNIT.(US$)
✅CF]]*TABLA_BASE[[#This Row],[CANTIDAD
(unid.)]]</f>
        <v>0</v>
      </c>
      <c r="Q93" s="279">
        <f>TABLA_BASE[[#This Row],[ADV UNIT.
(US$)
⚠️COSTO]]+TABLA_BASE[[#This Row],[IPM UNIT.
(US$)
✅CF]]+TABLA_BASE[[#This Row],[IGV UNIT.
(US$)
✅CF]]</f>
        <v>0</v>
      </c>
      <c r="R93" s="280">
        <f>TABLA_BASE[[#This Row],[DEUDA
ADUANERA
UNIT.]]*TABLA_BASE[[#This Row],[CANTIDAD
(unid.)]]</f>
        <v>0</v>
      </c>
      <c r="S93" s="278">
        <f>TABLA_BASE[[#This Row],[DEUDA
ADUANERA
UNIT.]]*'📋 Datos Generales'!$E$19</f>
        <v>0</v>
      </c>
      <c r="T93" s="278">
        <f>TABLA_BASE[[#This Row],[DEUDA
ADUANERA
TOTAL]]*'📋 Datos Generales'!$E$19</f>
        <v>0</v>
      </c>
      <c r="U93" s="281">
        <f>TABLA_BASE[[#This Row],[ADV UNIT.
(US$)
⚠️COSTO]]*'📋 Datos Generales'!$E$19</f>
        <v>0</v>
      </c>
      <c r="V93" s="281">
        <f>TABLA_BASE[[#This Row],[ADV UNIT.
(S/.)]]*TABLA_BASE[[#This Row],[CANTIDAD
(unid.)]]</f>
        <v>0</v>
      </c>
      <c r="W93" s="281">
        <f>TABLA_BASE[[#This Row],[IPM UNIT.
(US$)
✅CF]]*'📋 Datos Generales'!$E$19</f>
        <v>0</v>
      </c>
      <c r="X93" s="281">
        <f>TABLA_BASE[[#This Row],[IPM UNIT.
(S/.)]]*TABLA_BASE[[#This Row],[CANTIDAD
(unid.)]]</f>
        <v>0</v>
      </c>
      <c r="Y93" s="281">
        <f>TABLA_BASE[[#This Row],[IGV UNIT.
(US$)
✅CF]]*'📋 Datos Generales'!$E$19</f>
        <v>0</v>
      </c>
      <c r="Z93" s="281">
        <f>TABLA_BASE[[#This Row],[IGV UNIT.
(S/.)]]*TABLA_BASE[[#This Row],[CANTIDAD
(unid.)]]</f>
        <v>0</v>
      </c>
      <c r="AA93" s="281">
        <f>TABLA_BASE[[#This Row],[PERCEP.
UNIT.(US$)
✅CF]]*'📋 Datos Generales'!$E$19</f>
        <v>0</v>
      </c>
      <c r="AB93" s="281">
        <f>TABLA_BASE[[#This Row],[PERCEP.
UNIT.(S/.)]]*TABLA_BASE[[#This Row],[CANTIDAD
(unid.)]]</f>
        <v>0</v>
      </c>
      <c r="AC93" s="279">
        <f>TABLA_BASE[[#This Row],[ADV UNIT.
(US$)
⚠️COSTO]]+TABLA_BASE[[#This Row],[IPM UNIT.
(US$)
✅CF]]+TABLA_BASE[[#This Row],[IGV UNIT.
(US$)
✅CF]]+TABLA_BASE[[#This Row],[PERCEP.
UNIT.(US$)
✅CF]]</f>
        <v>0</v>
      </c>
      <c r="AD93" s="279">
        <f>TABLA_BASE[[#This Row],[TOTAL PAGO
SUNAT
UNIT.(US$)]]*TABLA_BASE[[#This Row],[CANTIDAD
(unid.)]]</f>
        <v>0</v>
      </c>
      <c r="AE93" s="281">
        <f>TABLA_BASE[[#This Row],[TOTAL PAGO
SUNAT
UNIT.(US$)]]*'📋 Datos Generales'!$E$19</f>
        <v>0</v>
      </c>
      <c r="AF93" s="281">
        <f>TABLA_BASE[[#This Row],[TOTAL TRIB.
UNIT.(S/.)]]*TABLA_BASE[[#This Row],[CANTIDAD
(unid.)]]</f>
        <v>0</v>
      </c>
      <c r="AG93" s="279">
        <f>IF('🧾 Factura Comercial'!G97=0,0,'📦 Gastos Importación'!$E$28*(IF('🧾 Tributos Aduana'!$F$6=0,0,'🧾 Factura Comercial'!I97/'🧾 Tributos Aduana'!$F$6))/'🧾 Factura Comercial'!G97)</f>
        <v>0</v>
      </c>
      <c r="AH93" s="279">
        <f>TABLA_BASE[[#This Row],[GASTOS IMP.
UNIT.(US$)]]*TABLA_BASE[[#This Row],[CANTIDAD
(unid.)]]</f>
        <v>0</v>
      </c>
      <c r="AI93" s="281">
        <f>TABLA_BASE[[#This Row],[GASTOS IMP.
UNIT.(US$)]]*'📋 Datos Generales'!$E$19</f>
        <v>0</v>
      </c>
      <c r="AJ93" s="281">
        <f>TABLA_BASE[[#This Row],[GASTOS IMP.
UNIT.(S/.)]]*TABLA_BASE[[#This Row],[CANTIDAD
(unid.)]]</f>
        <v>0</v>
      </c>
      <c r="AK93" s="280">
        <f>'🧮 Costos x Producto'!J97</f>
        <v>0</v>
      </c>
      <c r="AL93" s="278">
        <f>'🧮 Costos x Producto'!K97</f>
        <v>0</v>
      </c>
      <c r="AM93" s="278">
        <f>TABLA_BASE[[#This Row],[C/M UNIT.
(S/.)]]*TABLA_BASE[[#This Row],[CANTIDAD
(unid.)]]</f>
        <v>0</v>
      </c>
      <c r="AN93" s="279">
        <f>IF('🧾 Factura Comercial'!G97=0,0,'🧾 Tributos Aduana'!$F$17*(IF('🧾 Tributos Aduana'!$F$6=0,0,'🧾 Factura Comercial'!I97/'🧾 Tributos Aduana'!$F$6))/'🧾 Factura Comercial'!G97)</f>
        <v>0</v>
      </c>
      <c r="AO93" s="280">
        <f>IF('🧾 Factura Comercial'!G97=0,0,'🏦 Crédito Fiscal'!$C$16*(IF('🧾 Tributos Aduana'!$F$6=0,0,'🧾 Factura Comercial'!I97/'🧾 Tributos Aduana'!$F$6))/'🧾 Factura Comercial'!G97)</f>
        <v>0</v>
      </c>
      <c r="AP93" s="278">
        <f>TABLA_BASE[[#This Row],[CF UNIT.
✅RECUP.
(US$)]]*'📋 Datos Generales'!$E$19</f>
        <v>0</v>
      </c>
      <c r="AQ93" s="278">
        <f>TABLA_BASE[[#This Row],[CF UNIT.
✅RECUP.(S/.)]]*TABLA_BASE[[#This Row],[CANTIDAD
(unid.)]]</f>
        <v>0</v>
      </c>
      <c r="AR93" s="288">
        <f>'💰 Precio de Venta'!G98</f>
        <v>0.4</v>
      </c>
      <c r="AS93" s="278">
        <f>'💰 Precio de Venta'!H98</f>
        <v>0</v>
      </c>
      <c r="AT93" s="278">
        <f>TABLA_BASE[[#This Row],[VALOR VTA.
UNIT.(S/.)]]*TABLA_BASE[[#This Row],[CANTIDAD
(unid.)]]</f>
        <v>0</v>
      </c>
      <c r="AU93" s="281">
        <f>'💰 Precio de Venta'!I98</f>
        <v>0</v>
      </c>
      <c r="AV93" s="278">
        <f>'💰 Precio de Venta'!J98</f>
        <v>0</v>
      </c>
      <c r="AW93" s="278">
        <f>TABLA_BASE[[#This Row],[GANANCIA
UNIT.(S/.)]]*TABLA_BASE[[#This Row],[CANTIDAD
(unid.)]]</f>
        <v>0</v>
      </c>
      <c r="AX93" s="289">
        <f>'💰 Precio de Venta'!K98</f>
        <v>0</v>
      </c>
      <c r="AY93" s="278">
        <f>TABLA_BASE[[#This Row],[GANANCIA
UNIT.(S/.)]]*'🧾 Factura Comercial'!G97</f>
        <v>0</v>
      </c>
      <c r="AZ93" s="277">
        <f>IF(TABLA_BASE[[#This Row],[PRECIO VTA.
c/IGV(S/.)]]=0,0,TABLA_BASE[[#This Row],[GANANCIA
UNIT.(S/.)]]/TABLA_BASE[[#This Row],[PRECIO VTA.
c/IGV(S/.)]])</f>
        <v>0</v>
      </c>
      <c r="BA93" s="277">
        <f>IF(TABLA_BASE[[#This Row],[C/M UNIT.
(S/.)]]=0,0,TABLA_BASE[[#This Row],[GANANCIA
UNIT.(S/.)]]/TABLA_BASE[[#This Row],[C/M UNIT.
(S/.)]])</f>
        <v>0</v>
      </c>
      <c r="BB93" s="274" t="str">
        <f>IF(TABLA_BASE[[#This Row],[MARGEN
%]]&gt;=0.5,"🟢 ALTO",IF(TABLA_BASE[[#This Row],[MARGEN
%]]&gt;=0.3,"🟡 MEDIO","🔴 BAJO"))</f>
        <v>🟡 MEDIO</v>
      </c>
    </row>
    <row r="94" spans="1:54" ht="16.5" hidden="1" thickTop="1" thickBot="1" x14ac:dyDescent="0.3">
      <c r="A94" s="274">
        <f>'🧾 Factura Comercial'!E98</f>
        <v>0</v>
      </c>
      <c r="B94" s="274" t="str">
        <f>'🧾 Factura Comercial'!F98</f>
        <v>Unid.</v>
      </c>
      <c r="C94" s="275">
        <f>'🧾 Factura Comercial'!G98</f>
        <v>0</v>
      </c>
      <c r="D94" s="276">
        <f>'🧾 Factura Comercial'!H98</f>
        <v>0</v>
      </c>
      <c r="E94" s="276">
        <f>'🧾 Factura Comercial'!I98</f>
        <v>0</v>
      </c>
      <c r="F94" s="277">
        <f>IF('🧾 Tributos Aduana'!$F$6=0,0,'🧾 Factura Comercial'!I98/'🧾 Tributos Aduana'!$F$6)</f>
        <v>0</v>
      </c>
      <c r="G94" s="278">
        <f>'🧾 Factura Comercial'!H98*'📋 Datos Generales'!$E$19</f>
        <v>0</v>
      </c>
      <c r="H94" s="278">
        <f>TABLA_BASE[[#This Row],[FOB UNIT.
(S/.)]]*TABLA_BASE[[#This Row],[CANTIDAD
(unid.)]]</f>
        <v>0</v>
      </c>
      <c r="I94" s="280">
        <f>IF('🧾 Tributos Aduana'!$F$6=0,0,'🧾 Tributos Aduana'!$F$17*('🧾 Factura Comercial'!H98/'🧾 Tributos Aduana'!$F$6))</f>
        <v>0</v>
      </c>
      <c r="J94" s="280">
        <f>TABLA_BASE[[#This Row],[ADV UNIT.
(US$)
⚠️COSTO]]*TABLA_BASE[[#This Row],[CANTIDAD
(unid.)]]</f>
        <v>0</v>
      </c>
      <c r="K94" s="279">
        <f>IF('🧾 Tributos Aduana'!$F$6=0,0,'🧾 Tributos Aduana'!$F$18*('🧾 Factura Comercial'!H98/'🧾 Tributos Aduana'!$F$6))</f>
        <v>0</v>
      </c>
      <c r="L94" s="280">
        <f>TABLA_BASE[[#This Row],[IPM UNIT.
(US$)
✅CF]]*TABLA_BASE[[#This Row],[CANTIDAD
(unid.)]]</f>
        <v>0</v>
      </c>
      <c r="M94" s="279">
        <f>IF('🧾 Tributos Aduana'!$F$6=0,0,'🧾 Tributos Aduana'!$F$19*('🧾 Factura Comercial'!H98/'🧾 Tributos Aduana'!$F$6))</f>
        <v>0</v>
      </c>
      <c r="N94" s="280">
        <f>TABLA_BASE[[#This Row],[IGV UNIT.
(US$)
✅CF]]*TABLA_BASE[[#This Row],[CANTIDAD
(unid.)]]</f>
        <v>0</v>
      </c>
      <c r="O94" s="280">
        <f>IF('🧾 Tributos Aduana'!$F$6=0,0,'🧾 Tributos Aduana'!$F$23*('🧾 Factura Comercial'!H98/'🧾 Tributos Aduana'!$F$6))</f>
        <v>0</v>
      </c>
      <c r="P94" s="280">
        <f>TABLA_BASE[[#This Row],[PERCEP.
UNIT.(US$)
✅CF]]*TABLA_BASE[[#This Row],[CANTIDAD
(unid.)]]</f>
        <v>0</v>
      </c>
      <c r="Q94" s="279">
        <f>TABLA_BASE[[#This Row],[ADV UNIT.
(US$)
⚠️COSTO]]+TABLA_BASE[[#This Row],[IPM UNIT.
(US$)
✅CF]]+TABLA_BASE[[#This Row],[IGV UNIT.
(US$)
✅CF]]</f>
        <v>0</v>
      </c>
      <c r="R94" s="280">
        <f>TABLA_BASE[[#This Row],[DEUDA
ADUANERA
UNIT.]]*TABLA_BASE[[#This Row],[CANTIDAD
(unid.)]]</f>
        <v>0</v>
      </c>
      <c r="S94" s="278">
        <f>TABLA_BASE[[#This Row],[DEUDA
ADUANERA
UNIT.]]*'📋 Datos Generales'!$E$19</f>
        <v>0</v>
      </c>
      <c r="T94" s="278">
        <f>TABLA_BASE[[#This Row],[DEUDA
ADUANERA
TOTAL]]*'📋 Datos Generales'!$E$19</f>
        <v>0</v>
      </c>
      <c r="U94" s="281">
        <f>TABLA_BASE[[#This Row],[ADV UNIT.
(US$)
⚠️COSTO]]*'📋 Datos Generales'!$E$19</f>
        <v>0</v>
      </c>
      <c r="V94" s="281">
        <f>TABLA_BASE[[#This Row],[ADV UNIT.
(S/.)]]*TABLA_BASE[[#This Row],[CANTIDAD
(unid.)]]</f>
        <v>0</v>
      </c>
      <c r="W94" s="281">
        <f>TABLA_BASE[[#This Row],[IPM UNIT.
(US$)
✅CF]]*'📋 Datos Generales'!$E$19</f>
        <v>0</v>
      </c>
      <c r="X94" s="281">
        <f>TABLA_BASE[[#This Row],[IPM UNIT.
(S/.)]]*TABLA_BASE[[#This Row],[CANTIDAD
(unid.)]]</f>
        <v>0</v>
      </c>
      <c r="Y94" s="281">
        <f>TABLA_BASE[[#This Row],[IGV UNIT.
(US$)
✅CF]]*'📋 Datos Generales'!$E$19</f>
        <v>0</v>
      </c>
      <c r="Z94" s="281">
        <f>TABLA_BASE[[#This Row],[IGV UNIT.
(S/.)]]*TABLA_BASE[[#This Row],[CANTIDAD
(unid.)]]</f>
        <v>0</v>
      </c>
      <c r="AA94" s="281">
        <f>TABLA_BASE[[#This Row],[PERCEP.
UNIT.(US$)
✅CF]]*'📋 Datos Generales'!$E$19</f>
        <v>0</v>
      </c>
      <c r="AB94" s="281">
        <f>TABLA_BASE[[#This Row],[PERCEP.
UNIT.(S/.)]]*TABLA_BASE[[#This Row],[CANTIDAD
(unid.)]]</f>
        <v>0</v>
      </c>
      <c r="AC94" s="279">
        <f>TABLA_BASE[[#This Row],[ADV UNIT.
(US$)
⚠️COSTO]]+TABLA_BASE[[#This Row],[IPM UNIT.
(US$)
✅CF]]+TABLA_BASE[[#This Row],[IGV UNIT.
(US$)
✅CF]]+TABLA_BASE[[#This Row],[PERCEP.
UNIT.(US$)
✅CF]]</f>
        <v>0</v>
      </c>
      <c r="AD94" s="279">
        <f>TABLA_BASE[[#This Row],[TOTAL PAGO
SUNAT
UNIT.(US$)]]*TABLA_BASE[[#This Row],[CANTIDAD
(unid.)]]</f>
        <v>0</v>
      </c>
      <c r="AE94" s="281">
        <f>TABLA_BASE[[#This Row],[TOTAL PAGO
SUNAT
UNIT.(US$)]]*'📋 Datos Generales'!$E$19</f>
        <v>0</v>
      </c>
      <c r="AF94" s="281">
        <f>TABLA_BASE[[#This Row],[TOTAL TRIB.
UNIT.(S/.)]]*TABLA_BASE[[#This Row],[CANTIDAD
(unid.)]]</f>
        <v>0</v>
      </c>
      <c r="AG94" s="279">
        <f>IF('🧾 Factura Comercial'!G98=0,0,'📦 Gastos Importación'!$E$28*(IF('🧾 Tributos Aduana'!$F$6=0,0,'🧾 Factura Comercial'!I98/'🧾 Tributos Aduana'!$F$6))/'🧾 Factura Comercial'!G98)</f>
        <v>0</v>
      </c>
      <c r="AH94" s="279">
        <f>TABLA_BASE[[#This Row],[GASTOS IMP.
UNIT.(US$)]]*TABLA_BASE[[#This Row],[CANTIDAD
(unid.)]]</f>
        <v>0</v>
      </c>
      <c r="AI94" s="281">
        <f>TABLA_BASE[[#This Row],[GASTOS IMP.
UNIT.(US$)]]*'📋 Datos Generales'!$E$19</f>
        <v>0</v>
      </c>
      <c r="AJ94" s="281">
        <f>TABLA_BASE[[#This Row],[GASTOS IMP.
UNIT.(S/.)]]*TABLA_BASE[[#This Row],[CANTIDAD
(unid.)]]</f>
        <v>0</v>
      </c>
      <c r="AK94" s="280">
        <f>'🧮 Costos x Producto'!J98</f>
        <v>0</v>
      </c>
      <c r="AL94" s="278">
        <f>'🧮 Costos x Producto'!K98</f>
        <v>0</v>
      </c>
      <c r="AM94" s="278">
        <f>TABLA_BASE[[#This Row],[C/M UNIT.
(S/.)]]*TABLA_BASE[[#This Row],[CANTIDAD
(unid.)]]</f>
        <v>0</v>
      </c>
      <c r="AN94" s="279">
        <f>IF('🧾 Factura Comercial'!G98=0,0,'🧾 Tributos Aduana'!$F$17*(IF('🧾 Tributos Aduana'!$F$6=0,0,'🧾 Factura Comercial'!I98/'🧾 Tributos Aduana'!$F$6))/'🧾 Factura Comercial'!G98)</f>
        <v>0</v>
      </c>
      <c r="AO94" s="280">
        <f>IF('🧾 Factura Comercial'!G98=0,0,'🏦 Crédito Fiscal'!$C$16*(IF('🧾 Tributos Aduana'!$F$6=0,0,'🧾 Factura Comercial'!I98/'🧾 Tributos Aduana'!$F$6))/'🧾 Factura Comercial'!G98)</f>
        <v>0</v>
      </c>
      <c r="AP94" s="278">
        <f>TABLA_BASE[[#This Row],[CF UNIT.
✅RECUP.
(US$)]]*'📋 Datos Generales'!$E$19</f>
        <v>0</v>
      </c>
      <c r="AQ94" s="278">
        <f>TABLA_BASE[[#This Row],[CF UNIT.
✅RECUP.(S/.)]]*TABLA_BASE[[#This Row],[CANTIDAD
(unid.)]]</f>
        <v>0</v>
      </c>
      <c r="AR94" s="288">
        <f>'💰 Precio de Venta'!G99</f>
        <v>0.4</v>
      </c>
      <c r="AS94" s="278">
        <f>'💰 Precio de Venta'!H99</f>
        <v>0</v>
      </c>
      <c r="AT94" s="278">
        <f>TABLA_BASE[[#This Row],[VALOR VTA.
UNIT.(S/.)]]*TABLA_BASE[[#This Row],[CANTIDAD
(unid.)]]</f>
        <v>0</v>
      </c>
      <c r="AU94" s="281">
        <f>'💰 Precio de Venta'!I99</f>
        <v>0</v>
      </c>
      <c r="AV94" s="278">
        <f>'💰 Precio de Venta'!J99</f>
        <v>0</v>
      </c>
      <c r="AW94" s="278">
        <f>TABLA_BASE[[#This Row],[GANANCIA
UNIT.(S/.)]]*TABLA_BASE[[#This Row],[CANTIDAD
(unid.)]]</f>
        <v>0</v>
      </c>
      <c r="AX94" s="289">
        <f>'💰 Precio de Venta'!K99</f>
        <v>0</v>
      </c>
      <c r="AY94" s="278">
        <f>TABLA_BASE[[#This Row],[GANANCIA
UNIT.(S/.)]]*'🧾 Factura Comercial'!G98</f>
        <v>0</v>
      </c>
      <c r="AZ94" s="277">
        <f>IF(TABLA_BASE[[#This Row],[PRECIO VTA.
c/IGV(S/.)]]=0,0,TABLA_BASE[[#This Row],[GANANCIA
UNIT.(S/.)]]/TABLA_BASE[[#This Row],[PRECIO VTA.
c/IGV(S/.)]])</f>
        <v>0</v>
      </c>
      <c r="BA94" s="277">
        <f>IF(TABLA_BASE[[#This Row],[C/M UNIT.
(S/.)]]=0,0,TABLA_BASE[[#This Row],[GANANCIA
UNIT.(S/.)]]/TABLA_BASE[[#This Row],[C/M UNIT.
(S/.)]])</f>
        <v>0</v>
      </c>
      <c r="BB94" s="274" t="str">
        <f>IF(TABLA_BASE[[#This Row],[MARGEN
%]]&gt;=0.5,"🟢 ALTO",IF(TABLA_BASE[[#This Row],[MARGEN
%]]&gt;=0.3,"🟡 MEDIO","🔴 BAJO"))</f>
        <v>🟡 MEDIO</v>
      </c>
    </row>
    <row r="95" spans="1:54" ht="16.5" hidden="1" thickTop="1" thickBot="1" x14ac:dyDescent="0.3">
      <c r="A95" s="274">
        <f>'🧾 Factura Comercial'!E99</f>
        <v>0</v>
      </c>
      <c r="B95" s="274" t="str">
        <f>'🧾 Factura Comercial'!F99</f>
        <v>Unid.</v>
      </c>
      <c r="C95" s="275">
        <f>'🧾 Factura Comercial'!G99</f>
        <v>0</v>
      </c>
      <c r="D95" s="276">
        <f>'🧾 Factura Comercial'!H99</f>
        <v>0</v>
      </c>
      <c r="E95" s="276">
        <f>'🧾 Factura Comercial'!I99</f>
        <v>0</v>
      </c>
      <c r="F95" s="277">
        <f>IF('🧾 Tributos Aduana'!$F$6=0,0,'🧾 Factura Comercial'!I99/'🧾 Tributos Aduana'!$F$6)</f>
        <v>0</v>
      </c>
      <c r="G95" s="278">
        <f>'🧾 Factura Comercial'!H99*'📋 Datos Generales'!$E$19</f>
        <v>0</v>
      </c>
      <c r="H95" s="278">
        <f>TABLA_BASE[[#This Row],[FOB UNIT.
(S/.)]]*TABLA_BASE[[#This Row],[CANTIDAD
(unid.)]]</f>
        <v>0</v>
      </c>
      <c r="I95" s="280">
        <f>IF('🧾 Tributos Aduana'!$F$6=0,0,'🧾 Tributos Aduana'!$F$17*('🧾 Factura Comercial'!H99/'🧾 Tributos Aduana'!$F$6))</f>
        <v>0</v>
      </c>
      <c r="J95" s="280">
        <f>TABLA_BASE[[#This Row],[ADV UNIT.
(US$)
⚠️COSTO]]*TABLA_BASE[[#This Row],[CANTIDAD
(unid.)]]</f>
        <v>0</v>
      </c>
      <c r="K95" s="279">
        <f>IF('🧾 Tributos Aduana'!$F$6=0,0,'🧾 Tributos Aduana'!$F$18*('🧾 Factura Comercial'!H99/'🧾 Tributos Aduana'!$F$6))</f>
        <v>0</v>
      </c>
      <c r="L95" s="280">
        <f>TABLA_BASE[[#This Row],[IPM UNIT.
(US$)
✅CF]]*TABLA_BASE[[#This Row],[CANTIDAD
(unid.)]]</f>
        <v>0</v>
      </c>
      <c r="M95" s="279">
        <f>IF('🧾 Tributos Aduana'!$F$6=0,0,'🧾 Tributos Aduana'!$F$19*('🧾 Factura Comercial'!H99/'🧾 Tributos Aduana'!$F$6))</f>
        <v>0</v>
      </c>
      <c r="N95" s="280">
        <f>TABLA_BASE[[#This Row],[IGV UNIT.
(US$)
✅CF]]*TABLA_BASE[[#This Row],[CANTIDAD
(unid.)]]</f>
        <v>0</v>
      </c>
      <c r="O95" s="280">
        <f>IF('🧾 Tributos Aduana'!$F$6=0,0,'🧾 Tributos Aduana'!$F$23*('🧾 Factura Comercial'!H99/'🧾 Tributos Aduana'!$F$6))</f>
        <v>0</v>
      </c>
      <c r="P95" s="280">
        <f>TABLA_BASE[[#This Row],[PERCEP.
UNIT.(US$)
✅CF]]*TABLA_BASE[[#This Row],[CANTIDAD
(unid.)]]</f>
        <v>0</v>
      </c>
      <c r="Q95" s="279">
        <f>TABLA_BASE[[#This Row],[ADV UNIT.
(US$)
⚠️COSTO]]+TABLA_BASE[[#This Row],[IPM UNIT.
(US$)
✅CF]]+TABLA_BASE[[#This Row],[IGV UNIT.
(US$)
✅CF]]</f>
        <v>0</v>
      </c>
      <c r="R95" s="280">
        <f>TABLA_BASE[[#This Row],[DEUDA
ADUANERA
UNIT.]]*TABLA_BASE[[#This Row],[CANTIDAD
(unid.)]]</f>
        <v>0</v>
      </c>
      <c r="S95" s="278">
        <f>TABLA_BASE[[#This Row],[DEUDA
ADUANERA
UNIT.]]*'📋 Datos Generales'!$E$19</f>
        <v>0</v>
      </c>
      <c r="T95" s="278">
        <f>TABLA_BASE[[#This Row],[DEUDA
ADUANERA
TOTAL]]*'📋 Datos Generales'!$E$19</f>
        <v>0</v>
      </c>
      <c r="U95" s="281">
        <f>TABLA_BASE[[#This Row],[ADV UNIT.
(US$)
⚠️COSTO]]*'📋 Datos Generales'!$E$19</f>
        <v>0</v>
      </c>
      <c r="V95" s="281">
        <f>TABLA_BASE[[#This Row],[ADV UNIT.
(S/.)]]*TABLA_BASE[[#This Row],[CANTIDAD
(unid.)]]</f>
        <v>0</v>
      </c>
      <c r="W95" s="281">
        <f>TABLA_BASE[[#This Row],[IPM UNIT.
(US$)
✅CF]]*'📋 Datos Generales'!$E$19</f>
        <v>0</v>
      </c>
      <c r="X95" s="281">
        <f>TABLA_BASE[[#This Row],[IPM UNIT.
(S/.)]]*TABLA_BASE[[#This Row],[CANTIDAD
(unid.)]]</f>
        <v>0</v>
      </c>
      <c r="Y95" s="281">
        <f>TABLA_BASE[[#This Row],[IGV UNIT.
(US$)
✅CF]]*'📋 Datos Generales'!$E$19</f>
        <v>0</v>
      </c>
      <c r="Z95" s="281">
        <f>TABLA_BASE[[#This Row],[IGV UNIT.
(S/.)]]*TABLA_BASE[[#This Row],[CANTIDAD
(unid.)]]</f>
        <v>0</v>
      </c>
      <c r="AA95" s="281">
        <f>TABLA_BASE[[#This Row],[PERCEP.
UNIT.(US$)
✅CF]]*'📋 Datos Generales'!$E$19</f>
        <v>0</v>
      </c>
      <c r="AB95" s="281">
        <f>TABLA_BASE[[#This Row],[PERCEP.
UNIT.(S/.)]]*TABLA_BASE[[#This Row],[CANTIDAD
(unid.)]]</f>
        <v>0</v>
      </c>
      <c r="AC95" s="279">
        <f>TABLA_BASE[[#This Row],[ADV UNIT.
(US$)
⚠️COSTO]]+TABLA_BASE[[#This Row],[IPM UNIT.
(US$)
✅CF]]+TABLA_BASE[[#This Row],[IGV UNIT.
(US$)
✅CF]]+TABLA_BASE[[#This Row],[PERCEP.
UNIT.(US$)
✅CF]]</f>
        <v>0</v>
      </c>
      <c r="AD95" s="279">
        <f>TABLA_BASE[[#This Row],[TOTAL PAGO
SUNAT
UNIT.(US$)]]*TABLA_BASE[[#This Row],[CANTIDAD
(unid.)]]</f>
        <v>0</v>
      </c>
      <c r="AE95" s="281">
        <f>TABLA_BASE[[#This Row],[TOTAL PAGO
SUNAT
UNIT.(US$)]]*'📋 Datos Generales'!$E$19</f>
        <v>0</v>
      </c>
      <c r="AF95" s="281">
        <f>TABLA_BASE[[#This Row],[TOTAL TRIB.
UNIT.(S/.)]]*TABLA_BASE[[#This Row],[CANTIDAD
(unid.)]]</f>
        <v>0</v>
      </c>
      <c r="AG95" s="279">
        <f>IF('🧾 Factura Comercial'!G99=0,0,'📦 Gastos Importación'!$E$28*(IF('🧾 Tributos Aduana'!$F$6=0,0,'🧾 Factura Comercial'!I99/'🧾 Tributos Aduana'!$F$6))/'🧾 Factura Comercial'!G99)</f>
        <v>0</v>
      </c>
      <c r="AH95" s="279">
        <f>TABLA_BASE[[#This Row],[GASTOS IMP.
UNIT.(US$)]]*TABLA_BASE[[#This Row],[CANTIDAD
(unid.)]]</f>
        <v>0</v>
      </c>
      <c r="AI95" s="281">
        <f>TABLA_BASE[[#This Row],[GASTOS IMP.
UNIT.(US$)]]*'📋 Datos Generales'!$E$19</f>
        <v>0</v>
      </c>
      <c r="AJ95" s="281">
        <f>TABLA_BASE[[#This Row],[GASTOS IMP.
UNIT.(S/.)]]*TABLA_BASE[[#This Row],[CANTIDAD
(unid.)]]</f>
        <v>0</v>
      </c>
      <c r="AK95" s="280">
        <f>'🧮 Costos x Producto'!J99</f>
        <v>0</v>
      </c>
      <c r="AL95" s="278">
        <f>'🧮 Costos x Producto'!K99</f>
        <v>0</v>
      </c>
      <c r="AM95" s="278">
        <f>TABLA_BASE[[#This Row],[C/M UNIT.
(S/.)]]*TABLA_BASE[[#This Row],[CANTIDAD
(unid.)]]</f>
        <v>0</v>
      </c>
      <c r="AN95" s="279">
        <f>IF('🧾 Factura Comercial'!G99=0,0,'🧾 Tributos Aduana'!$F$17*(IF('🧾 Tributos Aduana'!$F$6=0,0,'🧾 Factura Comercial'!I99/'🧾 Tributos Aduana'!$F$6))/'🧾 Factura Comercial'!G99)</f>
        <v>0</v>
      </c>
      <c r="AO95" s="280">
        <f>IF('🧾 Factura Comercial'!G99=0,0,'🏦 Crédito Fiscal'!$C$16*(IF('🧾 Tributos Aduana'!$F$6=0,0,'🧾 Factura Comercial'!I99/'🧾 Tributos Aduana'!$F$6))/'🧾 Factura Comercial'!G99)</f>
        <v>0</v>
      </c>
      <c r="AP95" s="278">
        <f>TABLA_BASE[[#This Row],[CF UNIT.
✅RECUP.
(US$)]]*'📋 Datos Generales'!$E$19</f>
        <v>0</v>
      </c>
      <c r="AQ95" s="278">
        <f>TABLA_BASE[[#This Row],[CF UNIT.
✅RECUP.(S/.)]]*TABLA_BASE[[#This Row],[CANTIDAD
(unid.)]]</f>
        <v>0</v>
      </c>
      <c r="AR95" s="288">
        <f>'💰 Precio de Venta'!G100</f>
        <v>0.4</v>
      </c>
      <c r="AS95" s="278">
        <f>'💰 Precio de Venta'!H100</f>
        <v>0</v>
      </c>
      <c r="AT95" s="278">
        <f>TABLA_BASE[[#This Row],[VALOR VTA.
UNIT.(S/.)]]*TABLA_BASE[[#This Row],[CANTIDAD
(unid.)]]</f>
        <v>0</v>
      </c>
      <c r="AU95" s="281">
        <f>'💰 Precio de Venta'!I100</f>
        <v>0</v>
      </c>
      <c r="AV95" s="278">
        <f>'💰 Precio de Venta'!J100</f>
        <v>0</v>
      </c>
      <c r="AW95" s="278">
        <f>TABLA_BASE[[#This Row],[GANANCIA
UNIT.(S/.)]]*TABLA_BASE[[#This Row],[CANTIDAD
(unid.)]]</f>
        <v>0</v>
      </c>
      <c r="AX95" s="289">
        <f>'💰 Precio de Venta'!K100</f>
        <v>0</v>
      </c>
      <c r="AY95" s="278">
        <f>TABLA_BASE[[#This Row],[GANANCIA
UNIT.(S/.)]]*'🧾 Factura Comercial'!G99</f>
        <v>0</v>
      </c>
      <c r="AZ95" s="277">
        <f>IF(TABLA_BASE[[#This Row],[PRECIO VTA.
c/IGV(S/.)]]=0,0,TABLA_BASE[[#This Row],[GANANCIA
UNIT.(S/.)]]/TABLA_BASE[[#This Row],[PRECIO VTA.
c/IGV(S/.)]])</f>
        <v>0</v>
      </c>
      <c r="BA95" s="277">
        <f>IF(TABLA_BASE[[#This Row],[C/M UNIT.
(S/.)]]=0,0,TABLA_BASE[[#This Row],[GANANCIA
UNIT.(S/.)]]/TABLA_BASE[[#This Row],[C/M UNIT.
(S/.)]])</f>
        <v>0</v>
      </c>
      <c r="BB95" s="274" t="str">
        <f>IF(TABLA_BASE[[#This Row],[MARGEN
%]]&gt;=0.5,"🟢 ALTO",IF(TABLA_BASE[[#This Row],[MARGEN
%]]&gt;=0.3,"🟡 MEDIO","🔴 BAJO"))</f>
        <v>🟡 MEDIO</v>
      </c>
    </row>
    <row r="96" spans="1:54" ht="16.5" hidden="1" thickTop="1" thickBot="1" x14ac:dyDescent="0.3">
      <c r="A96" s="274">
        <f>'🧾 Factura Comercial'!E100</f>
        <v>0</v>
      </c>
      <c r="B96" s="274" t="str">
        <f>'🧾 Factura Comercial'!F100</f>
        <v>Unid.</v>
      </c>
      <c r="C96" s="275">
        <f>'🧾 Factura Comercial'!G100</f>
        <v>0</v>
      </c>
      <c r="D96" s="276">
        <f>'🧾 Factura Comercial'!H100</f>
        <v>0</v>
      </c>
      <c r="E96" s="276">
        <f>'🧾 Factura Comercial'!I100</f>
        <v>0</v>
      </c>
      <c r="F96" s="277">
        <f>IF('🧾 Tributos Aduana'!$F$6=0,0,'🧾 Factura Comercial'!I100/'🧾 Tributos Aduana'!$F$6)</f>
        <v>0</v>
      </c>
      <c r="G96" s="278">
        <f>'🧾 Factura Comercial'!H100*'📋 Datos Generales'!$E$19</f>
        <v>0</v>
      </c>
      <c r="H96" s="278">
        <f>TABLA_BASE[[#This Row],[FOB UNIT.
(S/.)]]*TABLA_BASE[[#This Row],[CANTIDAD
(unid.)]]</f>
        <v>0</v>
      </c>
      <c r="I96" s="280">
        <f>IF('🧾 Tributos Aduana'!$F$6=0,0,'🧾 Tributos Aduana'!$F$17*('🧾 Factura Comercial'!H100/'🧾 Tributos Aduana'!$F$6))</f>
        <v>0</v>
      </c>
      <c r="J96" s="280">
        <f>TABLA_BASE[[#This Row],[ADV UNIT.
(US$)
⚠️COSTO]]*TABLA_BASE[[#This Row],[CANTIDAD
(unid.)]]</f>
        <v>0</v>
      </c>
      <c r="K96" s="279">
        <f>IF('🧾 Tributos Aduana'!$F$6=0,0,'🧾 Tributos Aduana'!$F$18*('🧾 Factura Comercial'!H100/'🧾 Tributos Aduana'!$F$6))</f>
        <v>0</v>
      </c>
      <c r="L96" s="280">
        <f>TABLA_BASE[[#This Row],[IPM UNIT.
(US$)
✅CF]]*TABLA_BASE[[#This Row],[CANTIDAD
(unid.)]]</f>
        <v>0</v>
      </c>
      <c r="M96" s="279">
        <f>IF('🧾 Tributos Aduana'!$F$6=0,0,'🧾 Tributos Aduana'!$F$19*('🧾 Factura Comercial'!H100/'🧾 Tributos Aduana'!$F$6))</f>
        <v>0</v>
      </c>
      <c r="N96" s="280">
        <f>TABLA_BASE[[#This Row],[IGV UNIT.
(US$)
✅CF]]*TABLA_BASE[[#This Row],[CANTIDAD
(unid.)]]</f>
        <v>0</v>
      </c>
      <c r="O96" s="280">
        <f>IF('🧾 Tributos Aduana'!$F$6=0,0,'🧾 Tributos Aduana'!$F$23*('🧾 Factura Comercial'!H100/'🧾 Tributos Aduana'!$F$6))</f>
        <v>0</v>
      </c>
      <c r="P96" s="280">
        <f>TABLA_BASE[[#This Row],[PERCEP.
UNIT.(US$)
✅CF]]*TABLA_BASE[[#This Row],[CANTIDAD
(unid.)]]</f>
        <v>0</v>
      </c>
      <c r="Q96" s="279">
        <f>TABLA_BASE[[#This Row],[ADV UNIT.
(US$)
⚠️COSTO]]+TABLA_BASE[[#This Row],[IPM UNIT.
(US$)
✅CF]]+TABLA_BASE[[#This Row],[IGV UNIT.
(US$)
✅CF]]</f>
        <v>0</v>
      </c>
      <c r="R96" s="280">
        <f>TABLA_BASE[[#This Row],[DEUDA
ADUANERA
UNIT.]]*TABLA_BASE[[#This Row],[CANTIDAD
(unid.)]]</f>
        <v>0</v>
      </c>
      <c r="S96" s="278">
        <f>TABLA_BASE[[#This Row],[DEUDA
ADUANERA
UNIT.]]*'📋 Datos Generales'!$E$19</f>
        <v>0</v>
      </c>
      <c r="T96" s="278">
        <f>TABLA_BASE[[#This Row],[DEUDA
ADUANERA
TOTAL]]*'📋 Datos Generales'!$E$19</f>
        <v>0</v>
      </c>
      <c r="U96" s="281">
        <f>TABLA_BASE[[#This Row],[ADV UNIT.
(US$)
⚠️COSTO]]*'📋 Datos Generales'!$E$19</f>
        <v>0</v>
      </c>
      <c r="V96" s="281">
        <f>TABLA_BASE[[#This Row],[ADV UNIT.
(S/.)]]*TABLA_BASE[[#This Row],[CANTIDAD
(unid.)]]</f>
        <v>0</v>
      </c>
      <c r="W96" s="281">
        <f>TABLA_BASE[[#This Row],[IPM UNIT.
(US$)
✅CF]]*'📋 Datos Generales'!$E$19</f>
        <v>0</v>
      </c>
      <c r="X96" s="281">
        <f>TABLA_BASE[[#This Row],[IPM UNIT.
(S/.)]]*TABLA_BASE[[#This Row],[CANTIDAD
(unid.)]]</f>
        <v>0</v>
      </c>
      <c r="Y96" s="281">
        <f>TABLA_BASE[[#This Row],[IGV UNIT.
(US$)
✅CF]]*'📋 Datos Generales'!$E$19</f>
        <v>0</v>
      </c>
      <c r="Z96" s="281">
        <f>TABLA_BASE[[#This Row],[IGV UNIT.
(S/.)]]*TABLA_BASE[[#This Row],[CANTIDAD
(unid.)]]</f>
        <v>0</v>
      </c>
      <c r="AA96" s="281">
        <f>TABLA_BASE[[#This Row],[PERCEP.
UNIT.(US$)
✅CF]]*'📋 Datos Generales'!$E$19</f>
        <v>0</v>
      </c>
      <c r="AB96" s="281">
        <f>TABLA_BASE[[#This Row],[PERCEP.
UNIT.(S/.)]]*TABLA_BASE[[#This Row],[CANTIDAD
(unid.)]]</f>
        <v>0</v>
      </c>
      <c r="AC96" s="279">
        <f>TABLA_BASE[[#This Row],[ADV UNIT.
(US$)
⚠️COSTO]]+TABLA_BASE[[#This Row],[IPM UNIT.
(US$)
✅CF]]+TABLA_BASE[[#This Row],[IGV UNIT.
(US$)
✅CF]]+TABLA_BASE[[#This Row],[PERCEP.
UNIT.(US$)
✅CF]]</f>
        <v>0</v>
      </c>
      <c r="AD96" s="279">
        <f>TABLA_BASE[[#This Row],[TOTAL PAGO
SUNAT
UNIT.(US$)]]*TABLA_BASE[[#This Row],[CANTIDAD
(unid.)]]</f>
        <v>0</v>
      </c>
      <c r="AE96" s="281">
        <f>TABLA_BASE[[#This Row],[TOTAL PAGO
SUNAT
UNIT.(US$)]]*'📋 Datos Generales'!$E$19</f>
        <v>0</v>
      </c>
      <c r="AF96" s="281">
        <f>TABLA_BASE[[#This Row],[TOTAL TRIB.
UNIT.(S/.)]]*TABLA_BASE[[#This Row],[CANTIDAD
(unid.)]]</f>
        <v>0</v>
      </c>
      <c r="AG96" s="279">
        <f>IF('🧾 Factura Comercial'!G100=0,0,'📦 Gastos Importación'!$E$28*(IF('🧾 Tributos Aduana'!$F$6=0,0,'🧾 Factura Comercial'!I100/'🧾 Tributos Aduana'!$F$6))/'🧾 Factura Comercial'!G100)</f>
        <v>0</v>
      </c>
      <c r="AH96" s="279">
        <f>TABLA_BASE[[#This Row],[GASTOS IMP.
UNIT.(US$)]]*TABLA_BASE[[#This Row],[CANTIDAD
(unid.)]]</f>
        <v>0</v>
      </c>
      <c r="AI96" s="281">
        <f>TABLA_BASE[[#This Row],[GASTOS IMP.
UNIT.(US$)]]*'📋 Datos Generales'!$E$19</f>
        <v>0</v>
      </c>
      <c r="AJ96" s="281">
        <f>TABLA_BASE[[#This Row],[GASTOS IMP.
UNIT.(S/.)]]*TABLA_BASE[[#This Row],[CANTIDAD
(unid.)]]</f>
        <v>0</v>
      </c>
      <c r="AK96" s="280">
        <f>'🧮 Costos x Producto'!J100</f>
        <v>0</v>
      </c>
      <c r="AL96" s="278">
        <f>'🧮 Costos x Producto'!K100</f>
        <v>0</v>
      </c>
      <c r="AM96" s="278">
        <f>TABLA_BASE[[#This Row],[C/M UNIT.
(S/.)]]*TABLA_BASE[[#This Row],[CANTIDAD
(unid.)]]</f>
        <v>0</v>
      </c>
      <c r="AN96" s="279">
        <f>IF('🧾 Factura Comercial'!G100=0,0,'🧾 Tributos Aduana'!$F$17*(IF('🧾 Tributos Aduana'!$F$6=0,0,'🧾 Factura Comercial'!I100/'🧾 Tributos Aduana'!$F$6))/'🧾 Factura Comercial'!G100)</f>
        <v>0</v>
      </c>
      <c r="AO96" s="280">
        <f>IF('🧾 Factura Comercial'!G100=0,0,'🏦 Crédito Fiscal'!$C$16*(IF('🧾 Tributos Aduana'!$F$6=0,0,'🧾 Factura Comercial'!I100/'🧾 Tributos Aduana'!$F$6))/'🧾 Factura Comercial'!G100)</f>
        <v>0</v>
      </c>
      <c r="AP96" s="278">
        <f>TABLA_BASE[[#This Row],[CF UNIT.
✅RECUP.
(US$)]]*'📋 Datos Generales'!$E$19</f>
        <v>0</v>
      </c>
      <c r="AQ96" s="278">
        <f>TABLA_BASE[[#This Row],[CF UNIT.
✅RECUP.(S/.)]]*TABLA_BASE[[#This Row],[CANTIDAD
(unid.)]]</f>
        <v>0</v>
      </c>
      <c r="AR96" s="288">
        <f>'💰 Precio de Venta'!G101</f>
        <v>0.4</v>
      </c>
      <c r="AS96" s="278">
        <f>'💰 Precio de Venta'!H101</f>
        <v>0</v>
      </c>
      <c r="AT96" s="278">
        <f>TABLA_BASE[[#This Row],[VALOR VTA.
UNIT.(S/.)]]*TABLA_BASE[[#This Row],[CANTIDAD
(unid.)]]</f>
        <v>0</v>
      </c>
      <c r="AU96" s="281">
        <f>'💰 Precio de Venta'!I101</f>
        <v>0</v>
      </c>
      <c r="AV96" s="278">
        <f>'💰 Precio de Venta'!J101</f>
        <v>0</v>
      </c>
      <c r="AW96" s="278">
        <f>TABLA_BASE[[#This Row],[GANANCIA
UNIT.(S/.)]]*TABLA_BASE[[#This Row],[CANTIDAD
(unid.)]]</f>
        <v>0</v>
      </c>
      <c r="AX96" s="289">
        <f>'💰 Precio de Venta'!K101</f>
        <v>0</v>
      </c>
      <c r="AY96" s="278">
        <f>TABLA_BASE[[#This Row],[GANANCIA
UNIT.(S/.)]]*'🧾 Factura Comercial'!G100</f>
        <v>0</v>
      </c>
      <c r="AZ96" s="277">
        <f>IF(TABLA_BASE[[#This Row],[PRECIO VTA.
c/IGV(S/.)]]=0,0,TABLA_BASE[[#This Row],[GANANCIA
UNIT.(S/.)]]/TABLA_BASE[[#This Row],[PRECIO VTA.
c/IGV(S/.)]])</f>
        <v>0</v>
      </c>
      <c r="BA96" s="277">
        <f>IF(TABLA_BASE[[#This Row],[C/M UNIT.
(S/.)]]=0,0,TABLA_BASE[[#This Row],[GANANCIA
UNIT.(S/.)]]/TABLA_BASE[[#This Row],[C/M UNIT.
(S/.)]])</f>
        <v>0</v>
      </c>
      <c r="BB96" s="274" t="str">
        <f>IF(TABLA_BASE[[#This Row],[MARGEN
%]]&gt;=0.5,"🟢 ALTO",IF(TABLA_BASE[[#This Row],[MARGEN
%]]&gt;=0.3,"🟡 MEDIO","🔴 BAJO"))</f>
        <v>🟡 MEDIO</v>
      </c>
    </row>
    <row r="97" spans="1:54" ht="16.5" hidden="1" thickTop="1" thickBot="1" x14ac:dyDescent="0.3">
      <c r="A97" s="274">
        <f>'🧾 Factura Comercial'!E101</f>
        <v>0</v>
      </c>
      <c r="B97" s="274" t="str">
        <f>'🧾 Factura Comercial'!F101</f>
        <v>Unid.</v>
      </c>
      <c r="C97" s="275">
        <f>'🧾 Factura Comercial'!G101</f>
        <v>0</v>
      </c>
      <c r="D97" s="276">
        <f>'🧾 Factura Comercial'!H101</f>
        <v>0</v>
      </c>
      <c r="E97" s="276">
        <f>'🧾 Factura Comercial'!I101</f>
        <v>0</v>
      </c>
      <c r="F97" s="277">
        <f>IF('🧾 Tributos Aduana'!$F$6=0,0,'🧾 Factura Comercial'!I101/'🧾 Tributos Aduana'!$F$6)</f>
        <v>0</v>
      </c>
      <c r="G97" s="278">
        <f>'🧾 Factura Comercial'!H101*'📋 Datos Generales'!$E$19</f>
        <v>0</v>
      </c>
      <c r="H97" s="278">
        <f>TABLA_BASE[[#This Row],[FOB UNIT.
(S/.)]]*TABLA_BASE[[#This Row],[CANTIDAD
(unid.)]]</f>
        <v>0</v>
      </c>
      <c r="I97" s="280">
        <f>IF('🧾 Tributos Aduana'!$F$6=0,0,'🧾 Tributos Aduana'!$F$17*('🧾 Factura Comercial'!H101/'🧾 Tributos Aduana'!$F$6))</f>
        <v>0</v>
      </c>
      <c r="J97" s="280">
        <f>TABLA_BASE[[#This Row],[ADV UNIT.
(US$)
⚠️COSTO]]*TABLA_BASE[[#This Row],[CANTIDAD
(unid.)]]</f>
        <v>0</v>
      </c>
      <c r="K97" s="279">
        <f>IF('🧾 Tributos Aduana'!$F$6=0,0,'🧾 Tributos Aduana'!$F$18*('🧾 Factura Comercial'!H101/'🧾 Tributos Aduana'!$F$6))</f>
        <v>0</v>
      </c>
      <c r="L97" s="280">
        <f>TABLA_BASE[[#This Row],[IPM UNIT.
(US$)
✅CF]]*TABLA_BASE[[#This Row],[CANTIDAD
(unid.)]]</f>
        <v>0</v>
      </c>
      <c r="M97" s="279">
        <f>IF('🧾 Tributos Aduana'!$F$6=0,0,'🧾 Tributos Aduana'!$F$19*('🧾 Factura Comercial'!H101/'🧾 Tributos Aduana'!$F$6))</f>
        <v>0</v>
      </c>
      <c r="N97" s="280">
        <f>TABLA_BASE[[#This Row],[IGV UNIT.
(US$)
✅CF]]*TABLA_BASE[[#This Row],[CANTIDAD
(unid.)]]</f>
        <v>0</v>
      </c>
      <c r="O97" s="280">
        <f>IF('🧾 Tributos Aduana'!$F$6=0,0,'🧾 Tributos Aduana'!$F$23*('🧾 Factura Comercial'!H101/'🧾 Tributos Aduana'!$F$6))</f>
        <v>0</v>
      </c>
      <c r="P97" s="280">
        <f>TABLA_BASE[[#This Row],[PERCEP.
UNIT.(US$)
✅CF]]*TABLA_BASE[[#This Row],[CANTIDAD
(unid.)]]</f>
        <v>0</v>
      </c>
      <c r="Q97" s="279">
        <f>TABLA_BASE[[#This Row],[ADV UNIT.
(US$)
⚠️COSTO]]+TABLA_BASE[[#This Row],[IPM UNIT.
(US$)
✅CF]]+TABLA_BASE[[#This Row],[IGV UNIT.
(US$)
✅CF]]</f>
        <v>0</v>
      </c>
      <c r="R97" s="280">
        <f>TABLA_BASE[[#This Row],[DEUDA
ADUANERA
UNIT.]]*TABLA_BASE[[#This Row],[CANTIDAD
(unid.)]]</f>
        <v>0</v>
      </c>
      <c r="S97" s="278">
        <f>TABLA_BASE[[#This Row],[DEUDA
ADUANERA
UNIT.]]*'📋 Datos Generales'!$E$19</f>
        <v>0</v>
      </c>
      <c r="T97" s="278">
        <f>TABLA_BASE[[#This Row],[DEUDA
ADUANERA
TOTAL]]*'📋 Datos Generales'!$E$19</f>
        <v>0</v>
      </c>
      <c r="U97" s="281">
        <f>TABLA_BASE[[#This Row],[ADV UNIT.
(US$)
⚠️COSTO]]*'📋 Datos Generales'!$E$19</f>
        <v>0</v>
      </c>
      <c r="V97" s="281">
        <f>TABLA_BASE[[#This Row],[ADV UNIT.
(S/.)]]*TABLA_BASE[[#This Row],[CANTIDAD
(unid.)]]</f>
        <v>0</v>
      </c>
      <c r="W97" s="281">
        <f>TABLA_BASE[[#This Row],[IPM UNIT.
(US$)
✅CF]]*'📋 Datos Generales'!$E$19</f>
        <v>0</v>
      </c>
      <c r="X97" s="281">
        <f>TABLA_BASE[[#This Row],[IPM UNIT.
(S/.)]]*TABLA_BASE[[#This Row],[CANTIDAD
(unid.)]]</f>
        <v>0</v>
      </c>
      <c r="Y97" s="281">
        <f>TABLA_BASE[[#This Row],[IGV UNIT.
(US$)
✅CF]]*'📋 Datos Generales'!$E$19</f>
        <v>0</v>
      </c>
      <c r="Z97" s="281">
        <f>TABLA_BASE[[#This Row],[IGV UNIT.
(S/.)]]*TABLA_BASE[[#This Row],[CANTIDAD
(unid.)]]</f>
        <v>0</v>
      </c>
      <c r="AA97" s="281">
        <f>TABLA_BASE[[#This Row],[PERCEP.
UNIT.(US$)
✅CF]]*'📋 Datos Generales'!$E$19</f>
        <v>0</v>
      </c>
      <c r="AB97" s="281">
        <f>TABLA_BASE[[#This Row],[PERCEP.
UNIT.(S/.)]]*TABLA_BASE[[#This Row],[CANTIDAD
(unid.)]]</f>
        <v>0</v>
      </c>
      <c r="AC97" s="279">
        <f>TABLA_BASE[[#This Row],[ADV UNIT.
(US$)
⚠️COSTO]]+TABLA_BASE[[#This Row],[IPM UNIT.
(US$)
✅CF]]+TABLA_BASE[[#This Row],[IGV UNIT.
(US$)
✅CF]]+TABLA_BASE[[#This Row],[PERCEP.
UNIT.(US$)
✅CF]]</f>
        <v>0</v>
      </c>
      <c r="AD97" s="279">
        <f>TABLA_BASE[[#This Row],[TOTAL PAGO
SUNAT
UNIT.(US$)]]*TABLA_BASE[[#This Row],[CANTIDAD
(unid.)]]</f>
        <v>0</v>
      </c>
      <c r="AE97" s="281">
        <f>TABLA_BASE[[#This Row],[TOTAL PAGO
SUNAT
UNIT.(US$)]]*'📋 Datos Generales'!$E$19</f>
        <v>0</v>
      </c>
      <c r="AF97" s="281">
        <f>TABLA_BASE[[#This Row],[TOTAL TRIB.
UNIT.(S/.)]]*TABLA_BASE[[#This Row],[CANTIDAD
(unid.)]]</f>
        <v>0</v>
      </c>
      <c r="AG97" s="279">
        <f>IF('🧾 Factura Comercial'!G101=0,0,'📦 Gastos Importación'!$E$28*(IF('🧾 Tributos Aduana'!$F$6=0,0,'🧾 Factura Comercial'!I101/'🧾 Tributos Aduana'!$F$6))/'🧾 Factura Comercial'!G101)</f>
        <v>0</v>
      </c>
      <c r="AH97" s="279">
        <f>TABLA_BASE[[#This Row],[GASTOS IMP.
UNIT.(US$)]]*TABLA_BASE[[#This Row],[CANTIDAD
(unid.)]]</f>
        <v>0</v>
      </c>
      <c r="AI97" s="281">
        <f>TABLA_BASE[[#This Row],[GASTOS IMP.
UNIT.(US$)]]*'📋 Datos Generales'!$E$19</f>
        <v>0</v>
      </c>
      <c r="AJ97" s="281">
        <f>TABLA_BASE[[#This Row],[GASTOS IMP.
UNIT.(S/.)]]*TABLA_BASE[[#This Row],[CANTIDAD
(unid.)]]</f>
        <v>0</v>
      </c>
      <c r="AK97" s="280">
        <f>'🧮 Costos x Producto'!J101</f>
        <v>0</v>
      </c>
      <c r="AL97" s="278">
        <f>'🧮 Costos x Producto'!K101</f>
        <v>0</v>
      </c>
      <c r="AM97" s="278">
        <f>TABLA_BASE[[#This Row],[C/M UNIT.
(S/.)]]*TABLA_BASE[[#This Row],[CANTIDAD
(unid.)]]</f>
        <v>0</v>
      </c>
      <c r="AN97" s="279">
        <f>IF('🧾 Factura Comercial'!G101=0,0,'🧾 Tributos Aduana'!$F$17*(IF('🧾 Tributos Aduana'!$F$6=0,0,'🧾 Factura Comercial'!I101/'🧾 Tributos Aduana'!$F$6))/'🧾 Factura Comercial'!G101)</f>
        <v>0</v>
      </c>
      <c r="AO97" s="280">
        <f>IF('🧾 Factura Comercial'!G101=0,0,'🏦 Crédito Fiscal'!$C$16*(IF('🧾 Tributos Aduana'!$F$6=0,0,'🧾 Factura Comercial'!I101/'🧾 Tributos Aduana'!$F$6))/'🧾 Factura Comercial'!G101)</f>
        <v>0</v>
      </c>
      <c r="AP97" s="278">
        <f>TABLA_BASE[[#This Row],[CF UNIT.
✅RECUP.
(US$)]]*'📋 Datos Generales'!$E$19</f>
        <v>0</v>
      </c>
      <c r="AQ97" s="278">
        <f>TABLA_BASE[[#This Row],[CF UNIT.
✅RECUP.(S/.)]]*TABLA_BASE[[#This Row],[CANTIDAD
(unid.)]]</f>
        <v>0</v>
      </c>
      <c r="AR97" s="288">
        <f>'💰 Precio de Venta'!G102</f>
        <v>0.4</v>
      </c>
      <c r="AS97" s="278">
        <f>'💰 Precio de Venta'!H102</f>
        <v>0</v>
      </c>
      <c r="AT97" s="278">
        <f>TABLA_BASE[[#This Row],[VALOR VTA.
UNIT.(S/.)]]*TABLA_BASE[[#This Row],[CANTIDAD
(unid.)]]</f>
        <v>0</v>
      </c>
      <c r="AU97" s="281">
        <f>'💰 Precio de Venta'!I102</f>
        <v>0</v>
      </c>
      <c r="AV97" s="278">
        <f>'💰 Precio de Venta'!J102</f>
        <v>0</v>
      </c>
      <c r="AW97" s="278">
        <f>TABLA_BASE[[#This Row],[GANANCIA
UNIT.(S/.)]]*TABLA_BASE[[#This Row],[CANTIDAD
(unid.)]]</f>
        <v>0</v>
      </c>
      <c r="AX97" s="289">
        <f>'💰 Precio de Venta'!K102</f>
        <v>0</v>
      </c>
      <c r="AY97" s="278">
        <f>TABLA_BASE[[#This Row],[GANANCIA
UNIT.(S/.)]]*'🧾 Factura Comercial'!G101</f>
        <v>0</v>
      </c>
      <c r="AZ97" s="277">
        <f>IF(TABLA_BASE[[#This Row],[PRECIO VTA.
c/IGV(S/.)]]=0,0,TABLA_BASE[[#This Row],[GANANCIA
UNIT.(S/.)]]/TABLA_BASE[[#This Row],[PRECIO VTA.
c/IGV(S/.)]])</f>
        <v>0</v>
      </c>
      <c r="BA97" s="277">
        <f>IF(TABLA_BASE[[#This Row],[C/M UNIT.
(S/.)]]=0,0,TABLA_BASE[[#This Row],[GANANCIA
UNIT.(S/.)]]/TABLA_BASE[[#This Row],[C/M UNIT.
(S/.)]])</f>
        <v>0</v>
      </c>
      <c r="BB97" s="274" t="str">
        <f>IF(TABLA_BASE[[#This Row],[MARGEN
%]]&gt;=0.5,"🟢 ALTO",IF(TABLA_BASE[[#This Row],[MARGEN
%]]&gt;=0.3,"🟡 MEDIO","🔴 BAJO"))</f>
        <v>🟡 MEDIO</v>
      </c>
    </row>
    <row r="98" spans="1:54" ht="16.5" hidden="1" thickTop="1" thickBot="1" x14ac:dyDescent="0.3">
      <c r="A98" s="274">
        <f>'🧾 Factura Comercial'!E102</f>
        <v>0</v>
      </c>
      <c r="B98" s="274" t="str">
        <f>'🧾 Factura Comercial'!F102</f>
        <v>Unid.</v>
      </c>
      <c r="C98" s="275">
        <f>'🧾 Factura Comercial'!G102</f>
        <v>0</v>
      </c>
      <c r="D98" s="276">
        <f>'🧾 Factura Comercial'!H102</f>
        <v>0</v>
      </c>
      <c r="E98" s="276">
        <f>'🧾 Factura Comercial'!I102</f>
        <v>0</v>
      </c>
      <c r="F98" s="277">
        <f>IF('🧾 Tributos Aduana'!$F$6=0,0,'🧾 Factura Comercial'!I102/'🧾 Tributos Aduana'!$F$6)</f>
        <v>0</v>
      </c>
      <c r="G98" s="278">
        <f>'🧾 Factura Comercial'!H102*'📋 Datos Generales'!$E$19</f>
        <v>0</v>
      </c>
      <c r="H98" s="278">
        <f>TABLA_BASE[[#This Row],[FOB UNIT.
(S/.)]]*TABLA_BASE[[#This Row],[CANTIDAD
(unid.)]]</f>
        <v>0</v>
      </c>
      <c r="I98" s="280">
        <f>IF('🧾 Tributos Aduana'!$F$6=0,0,'🧾 Tributos Aduana'!$F$17*('🧾 Factura Comercial'!H102/'🧾 Tributos Aduana'!$F$6))</f>
        <v>0</v>
      </c>
      <c r="J98" s="280">
        <f>TABLA_BASE[[#This Row],[ADV UNIT.
(US$)
⚠️COSTO]]*TABLA_BASE[[#This Row],[CANTIDAD
(unid.)]]</f>
        <v>0</v>
      </c>
      <c r="K98" s="279">
        <f>IF('🧾 Tributos Aduana'!$F$6=0,0,'🧾 Tributos Aduana'!$F$18*('🧾 Factura Comercial'!H102/'🧾 Tributos Aduana'!$F$6))</f>
        <v>0</v>
      </c>
      <c r="L98" s="280">
        <f>TABLA_BASE[[#This Row],[IPM UNIT.
(US$)
✅CF]]*TABLA_BASE[[#This Row],[CANTIDAD
(unid.)]]</f>
        <v>0</v>
      </c>
      <c r="M98" s="279">
        <f>IF('🧾 Tributos Aduana'!$F$6=0,0,'🧾 Tributos Aduana'!$F$19*('🧾 Factura Comercial'!H102/'🧾 Tributos Aduana'!$F$6))</f>
        <v>0</v>
      </c>
      <c r="N98" s="280">
        <f>TABLA_BASE[[#This Row],[IGV UNIT.
(US$)
✅CF]]*TABLA_BASE[[#This Row],[CANTIDAD
(unid.)]]</f>
        <v>0</v>
      </c>
      <c r="O98" s="280">
        <f>IF('🧾 Tributos Aduana'!$F$6=0,0,'🧾 Tributos Aduana'!$F$23*('🧾 Factura Comercial'!H102/'🧾 Tributos Aduana'!$F$6))</f>
        <v>0</v>
      </c>
      <c r="P98" s="280">
        <f>TABLA_BASE[[#This Row],[PERCEP.
UNIT.(US$)
✅CF]]*TABLA_BASE[[#This Row],[CANTIDAD
(unid.)]]</f>
        <v>0</v>
      </c>
      <c r="Q98" s="279">
        <f>TABLA_BASE[[#This Row],[ADV UNIT.
(US$)
⚠️COSTO]]+TABLA_BASE[[#This Row],[IPM UNIT.
(US$)
✅CF]]+TABLA_BASE[[#This Row],[IGV UNIT.
(US$)
✅CF]]</f>
        <v>0</v>
      </c>
      <c r="R98" s="280">
        <f>TABLA_BASE[[#This Row],[DEUDA
ADUANERA
UNIT.]]*TABLA_BASE[[#This Row],[CANTIDAD
(unid.)]]</f>
        <v>0</v>
      </c>
      <c r="S98" s="278">
        <f>TABLA_BASE[[#This Row],[DEUDA
ADUANERA
UNIT.]]*'📋 Datos Generales'!$E$19</f>
        <v>0</v>
      </c>
      <c r="T98" s="278">
        <f>TABLA_BASE[[#This Row],[DEUDA
ADUANERA
TOTAL]]*'📋 Datos Generales'!$E$19</f>
        <v>0</v>
      </c>
      <c r="U98" s="281">
        <f>TABLA_BASE[[#This Row],[ADV UNIT.
(US$)
⚠️COSTO]]*'📋 Datos Generales'!$E$19</f>
        <v>0</v>
      </c>
      <c r="V98" s="281">
        <f>TABLA_BASE[[#This Row],[ADV UNIT.
(S/.)]]*TABLA_BASE[[#This Row],[CANTIDAD
(unid.)]]</f>
        <v>0</v>
      </c>
      <c r="W98" s="281">
        <f>TABLA_BASE[[#This Row],[IPM UNIT.
(US$)
✅CF]]*'📋 Datos Generales'!$E$19</f>
        <v>0</v>
      </c>
      <c r="X98" s="281">
        <f>TABLA_BASE[[#This Row],[IPM UNIT.
(S/.)]]*TABLA_BASE[[#This Row],[CANTIDAD
(unid.)]]</f>
        <v>0</v>
      </c>
      <c r="Y98" s="281">
        <f>TABLA_BASE[[#This Row],[IGV UNIT.
(US$)
✅CF]]*'📋 Datos Generales'!$E$19</f>
        <v>0</v>
      </c>
      <c r="Z98" s="281">
        <f>TABLA_BASE[[#This Row],[IGV UNIT.
(S/.)]]*TABLA_BASE[[#This Row],[CANTIDAD
(unid.)]]</f>
        <v>0</v>
      </c>
      <c r="AA98" s="281">
        <f>TABLA_BASE[[#This Row],[PERCEP.
UNIT.(US$)
✅CF]]*'📋 Datos Generales'!$E$19</f>
        <v>0</v>
      </c>
      <c r="AB98" s="281">
        <f>TABLA_BASE[[#This Row],[PERCEP.
UNIT.(S/.)]]*TABLA_BASE[[#This Row],[CANTIDAD
(unid.)]]</f>
        <v>0</v>
      </c>
      <c r="AC98" s="279">
        <f>TABLA_BASE[[#This Row],[ADV UNIT.
(US$)
⚠️COSTO]]+TABLA_BASE[[#This Row],[IPM UNIT.
(US$)
✅CF]]+TABLA_BASE[[#This Row],[IGV UNIT.
(US$)
✅CF]]+TABLA_BASE[[#This Row],[PERCEP.
UNIT.(US$)
✅CF]]</f>
        <v>0</v>
      </c>
      <c r="AD98" s="279">
        <f>TABLA_BASE[[#This Row],[TOTAL PAGO
SUNAT
UNIT.(US$)]]*TABLA_BASE[[#This Row],[CANTIDAD
(unid.)]]</f>
        <v>0</v>
      </c>
      <c r="AE98" s="281">
        <f>TABLA_BASE[[#This Row],[TOTAL PAGO
SUNAT
UNIT.(US$)]]*'📋 Datos Generales'!$E$19</f>
        <v>0</v>
      </c>
      <c r="AF98" s="281">
        <f>TABLA_BASE[[#This Row],[TOTAL TRIB.
UNIT.(S/.)]]*TABLA_BASE[[#This Row],[CANTIDAD
(unid.)]]</f>
        <v>0</v>
      </c>
      <c r="AG98" s="279">
        <f>IF('🧾 Factura Comercial'!G102=0,0,'📦 Gastos Importación'!$E$28*(IF('🧾 Tributos Aduana'!$F$6=0,0,'🧾 Factura Comercial'!I102/'🧾 Tributos Aduana'!$F$6))/'🧾 Factura Comercial'!G102)</f>
        <v>0</v>
      </c>
      <c r="AH98" s="279">
        <f>TABLA_BASE[[#This Row],[GASTOS IMP.
UNIT.(US$)]]*TABLA_BASE[[#This Row],[CANTIDAD
(unid.)]]</f>
        <v>0</v>
      </c>
      <c r="AI98" s="281">
        <f>TABLA_BASE[[#This Row],[GASTOS IMP.
UNIT.(US$)]]*'📋 Datos Generales'!$E$19</f>
        <v>0</v>
      </c>
      <c r="AJ98" s="281">
        <f>TABLA_BASE[[#This Row],[GASTOS IMP.
UNIT.(S/.)]]*TABLA_BASE[[#This Row],[CANTIDAD
(unid.)]]</f>
        <v>0</v>
      </c>
      <c r="AK98" s="280">
        <f>'🧮 Costos x Producto'!J102</f>
        <v>0</v>
      </c>
      <c r="AL98" s="278">
        <f>'🧮 Costos x Producto'!K102</f>
        <v>0</v>
      </c>
      <c r="AM98" s="278">
        <f>TABLA_BASE[[#This Row],[C/M UNIT.
(S/.)]]*TABLA_BASE[[#This Row],[CANTIDAD
(unid.)]]</f>
        <v>0</v>
      </c>
      <c r="AN98" s="279">
        <f>IF('🧾 Factura Comercial'!G102=0,0,'🧾 Tributos Aduana'!$F$17*(IF('🧾 Tributos Aduana'!$F$6=0,0,'🧾 Factura Comercial'!I102/'🧾 Tributos Aduana'!$F$6))/'🧾 Factura Comercial'!G102)</f>
        <v>0</v>
      </c>
      <c r="AO98" s="280">
        <f>IF('🧾 Factura Comercial'!G102=0,0,'🏦 Crédito Fiscal'!$C$16*(IF('🧾 Tributos Aduana'!$F$6=0,0,'🧾 Factura Comercial'!I102/'🧾 Tributos Aduana'!$F$6))/'🧾 Factura Comercial'!G102)</f>
        <v>0</v>
      </c>
      <c r="AP98" s="278">
        <f>TABLA_BASE[[#This Row],[CF UNIT.
✅RECUP.
(US$)]]*'📋 Datos Generales'!$E$19</f>
        <v>0</v>
      </c>
      <c r="AQ98" s="278">
        <f>TABLA_BASE[[#This Row],[CF UNIT.
✅RECUP.(S/.)]]*TABLA_BASE[[#This Row],[CANTIDAD
(unid.)]]</f>
        <v>0</v>
      </c>
      <c r="AR98" s="288">
        <f>'💰 Precio de Venta'!G103</f>
        <v>0.4</v>
      </c>
      <c r="AS98" s="278">
        <f>'💰 Precio de Venta'!H103</f>
        <v>0</v>
      </c>
      <c r="AT98" s="278">
        <f>TABLA_BASE[[#This Row],[VALOR VTA.
UNIT.(S/.)]]*TABLA_BASE[[#This Row],[CANTIDAD
(unid.)]]</f>
        <v>0</v>
      </c>
      <c r="AU98" s="281">
        <f>'💰 Precio de Venta'!I103</f>
        <v>0</v>
      </c>
      <c r="AV98" s="278">
        <f>'💰 Precio de Venta'!J103</f>
        <v>0</v>
      </c>
      <c r="AW98" s="278">
        <f>TABLA_BASE[[#This Row],[GANANCIA
UNIT.(S/.)]]*TABLA_BASE[[#This Row],[CANTIDAD
(unid.)]]</f>
        <v>0</v>
      </c>
      <c r="AX98" s="289">
        <f>'💰 Precio de Venta'!K103</f>
        <v>0</v>
      </c>
      <c r="AY98" s="278">
        <f>TABLA_BASE[[#This Row],[GANANCIA
UNIT.(S/.)]]*'🧾 Factura Comercial'!G102</f>
        <v>0</v>
      </c>
      <c r="AZ98" s="277">
        <f>IF(TABLA_BASE[[#This Row],[PRECIO VTA.
c/IGV(S/.)]]=0,0,TABLA_BASE[[#This Row],[GANANCIA
UNIT.(S/.)]]/TABLA_BASE[[#This Row],[PRECIO VTA.
c/IGV(S/.)]])</f>
        <v>0</v>
      </c>
      <c r="BA98" s="277">
        <f>IF(TABLA_BASE[[#This Row],[C/M UNIT.
(S/.)]]=0,0,TABLA_BASE[[#This Row],[GANANCIA
UNIT.(S/.)]]/TABLA_BASE[[#This Row],[C/M UNIT.
(S/.)]])</f>
        <v>0</v>
      </c>
      <c r="BB98" s="274" t="str">
        <f>IF(TABLA_BASE[[#This Row],[MARGEN
%]]&gt;=0.5,"🟢 ALTO",IF(TABLA_BASE[[#This Row],[MARGEN
%]]&gt;=0.3,"🟡 MEDIO","🔴 BAJO"))</f>
        <v>🟡 MEDIO</v>
      </c>
    </row>
    <row r="99" spans="1:54" ht="16.5" hidden="1" thickTop="1" thickBot="1" x14ac:dyDescent="0.3">
      <c r="A99" s="274">
        <f>'🧾 Factura Comercial'!E103</f>
        <v>0</v>
      </c>
      <c r="B99" s="274" t="str">
        <f>'🧾 Factura Comercial'!F103</f>
        <v>Unid.</v>
      </c>
      <c r="C99" s="275">
        <f>'🧾 Factura Comercial'!G103</f>
        <v>0</v>
      </c>
      <c r="D99" s="276">
        <f>'🧾 Factura Comercial'!H103</f>
        <v>0</v>
      </c>
      <c r="E99" s="276">
        <f>'🧾 Factura Comercial'!I103</f>
        <v>0</v>
      </c>
      <c r="F99" s="277">
        <f>IF('🧾 Tributos Aduana'!$F$6=0,0,'🧾 Factura Comercial'!I103/'🧾 Tributos Aduana'!$F$6)</f>
        <v>0</v>
      </c>
      <c r="G99" s="278">
        <f>'🧾 Factura Comercial'!H103*'📋 Datos Generales'!$E$19</f>
        <v>0</v>
      </c>
      <c r="H99" s="278">
        <f>TABLA_BASE[[#This Row],[FOB UNIT.
(S/.)]]*TABLA_BASE[[#This Row],[CANTIDAD
(unid.)]]</f>
        <v>0</v>
      </c>
      <c r="I99" s="280">
        <f>IF('🧾 Tributos Aduana'!$F$6=0,0,'🧾 Tributos Aduana'!$F$17*('🧾 Factura Comercial'!H103/'🧾 Tributos Aduana'!$F$6))</f>
        <v>0</v>
      </c>
      <c r="J99" s="280">
        <f>TABLA_BASE[[#This Row],[ADV UNIT.
(US$)
⚠️COSTO]]*TABLA_BASE[[#This Row],[CANTIDAD
(unid.)]]</f>
        <v>0</v>
      </c>
      <c r="K99" s="279">
        <f>IF('🧾 Tributos Aduana'!$F$6=0,0,'🧾 Tributos Aduana'!$F$18*('🧾 Factura Comercial'!H103/'🧾 Tributos Aduana'!$F$6))</f>
        <v>0</v>
      </c>
      <c r="L99" s="280">
        <f>TABLA_BASE[[#This Row],[IPM UNIT.
(US$)
✅CF]]*TABLA_BASE[[#This Row],[CANTIDAD
(unid.)]]</f>
        <v>0</v>
      </c>
      <c r="M99" s="279">
        <f>IF('🧾 Tributos Aduana'!$F$6=0,0,'🧾 Tributos Aduana'!$F$19*('🧾 Factura Comercial'!H103/'🧾 Tributos Aduana'!$F$6))</f>
        <v>0</v>
      </c>
      <c r="N99" s="280">
        <f>TABLA_BASE[[#This Row],[IGV UNIT.
(US$)
✅CF]]*TABLA_BASE[[#This Row],[CANTIDAD
(unid.)]]</f>
        <v>0</v>
      </c>
      <c r="O99" s="280">
        <f>IF('🧾 Tributos Aduana'!$F$6=0,0,'🧾 Tributos Aduana'!$F$23*('🧾 Factura Comercial'!H103/'🧾 Tributos Aduana'!$F$6))</f>
        <v>0</v>
      </c>
      <c r="P99" s="280">
        <f>TABLA_BASE[[#This Row],[PERCEP.
UNIT.(US$)
✅CF]]*TABLA_BASE[[#This Row],[CANTIDAD
(unid.)]]</f>
        <v>0</v>
      </c>
      <c r="Q99" s="279">
        <f>TABLA_BASE[[#This Row],[ADV UNIT.
(US$)
⚠️COSTO]]+TABLA_BASE[[#This Row],[IPM UNIT.
(US$)
✅CF]]+TABLA_BASE[[#This Row],[IGV UNIT.
(US$)
✅CF]]</f>
        <v>0</v>
      </c>
      <c r="R99" s="280">
        <f>TABLA_BASE[[#This Row],[DEUDA
ADUANERA
UNIT.]]*TABLA_BASE[[#This Row],[CANTIDAD
(unid.)]]</f>
        <v>0</v>
      </c>
      <c r="S99" s="278">
        <f>TABLA_BASE[[#This Row],[DEUDA
ADUANERA
UNIT.]]*'📋 Datos Generales'!$E$19</f>
        <v>0</v>
      </c>
      <c r="T99" s="278">
        <f>TABLA_BASE[[#This Row],[DEUDA
ADUANERA
TOTAL]]*'📋 Datos Generales'!$E$19</f>
        <v>0</v>
      </c>
      <c r="U99" s="281">
        <f>TABLA_BASE[[#This Row],[ADV UNIT.
(US$)
⚠️COSTO]]*'📋 Datos Generales'!$E$19</f>
        <v>0</v>
      </c>
      <c r="V99" s="281">
        <f>TABLA_BASE[[#This Row],[ADV UNIT.
(S/.)]]*TABLA_BASE[[#This Row],[CANTIDAD
(unid.)]]</f>
        <v>0</v>
      </c>
      <c r="W99" s="281">
        <f>TABLA_BASE[[#This Row],[IPM UNIT.
(US$)
✅CF]]*'📋 Datos Generales'!$E$19</f>
        <v>0</v>
      </c>
      <c r="X99" s="281">
        <f>TABLA_BASE[[#This Row],[IPM UNIT.
(S/.)]]*TABLA_BASE[[#This Row],[CANTIDAD
(unid.)]]</f>
        <v>0</v>
      </c>
      <c r="Y99" s="281">
        <f>TABLA_BASE[[#This Row],[IGV UNIT.
(US$)
✅CF]]*'📋 Datos Generales'!$E$19</f>
        <v>0</v>
      </c>
      <c r="Z99" s="281">
        <f>TABLA_BASE[[#This Row],[IGV UNIT.
(S/.)]]*TABLA_BASE[[#This Row],[CANTIDAD
(unid.)]]</f>
        <v>0</v>
      </c>
      <c r="AA99" s="281">
        <f>TABLA_BASE[[#This Row],[PERCEP.
UNIT.(US$)
✅CF]]*'📋 Datos Generales'!$E$19</f>
        <v>0</v>
      </c>
      <c r="AB99" s="281">
        <f>TABLA_BASE[[#This Row],[PERCEP.
UNIT.(S/.)]]*TABLA_BASE[[#This Row],[CANTIDAD
(unid.)]]</f>
        <v>0</v>
      </c>
      <c r="AC99" s="279">
        <f>TABLA_BASE[[#This Row],[ADV UNIT.
(US$)
⚠️COSTO]]+TABLA_BASE[[#This Row],[IPM UNIT.
(US$)
✅CF]]+TABLA_BASE[[#This Row],[IGV UNIT.
(US$)
✅CF]]+TABLA_BASE[[#This Row],[PERCEP.
UNIT.(US$)
✅CF]]</f>
        <v>0</v>
      </c>
      <c r="AD99" s="279">
        <f>TABLA_BASE[[#This Row],[TOTAL PAGO
SUNAT
UNIT.(US$)]]*TABLA_BASE[[#This Row],[CANTIDAD
(unid.)]]</f>
        <v>0</v>
      </c>
      <c r="AE99" s="281">
        <f>TABLA_BASE[[#This Row],[TOTAL PAGO
SUNAT
UNIT.(US$)]]*'📋 Datos Generales'!$E$19</f>
        <v>0</v>
      </c>
      <c r="AF99" s="281">
        <f>TABLA_BASE[[#This Row],[TOTAL TRIB.
UNIT.(S/.)]]*TABLA_BASE[[#This Row],[CANTIDAD
(unid.)]]</f>
        <v>0</v>
      </c>
      <c r="AG99" s="279">
        <f>IF('🧾 Factura Comercial'!G103=0,0,'📦 Gastos Importación'!$E$28*(IF('🧾 Tributos Aduana'!$F$6=0,0,'🧾 Factura Comercial'!I103/'🧾 Tributos Aduana'!$F$6))/'🧾 Factura Comercial'!G103)</f>
        <v>0</v>
      </c>
      <c r="AH99" s="279">
        <f>TABLA_BASE[[#This Row],[GASTOS IMP.
UNIT.(US$)]]*TABLA_BASE[[#This Row],[CANTIDAD
(unid.)]]</f>
        <v>0</v>
      </c>
      <c r="AI99" s="281">
        <f>TABLA_BASE[[#This Row],[GASTOS IMP.
UNIT.(US$)]]*'📋 Datos Generales'!$E$19</f>
        <v>0</v>
      </c>
      <c r="AJ99" s="281">
        <f>TABLA_BASE[[#This Row],[GASTOS IMP.
UNIT.(S/.)]]*TABLA_BASE[[#This Row],[CANTIDAD
(unid.)]]</f>
        <v>0</v>
      </c>
      <c r="AK99" s="280">
        <f>'🧮 Costos x Producto'!J103</f>
        <v>0</v>
      </c>
      <c r="AL99" s="278">
        <f>'🧮 Costos x Producto'!K103</f>
        <v>0</v>
      </c>
      <c r="AM99" s="278">
        <f>TABLA_BASE[[#This Row],[C/M UNIT.
(S/.)]]*TABLA_BASE[[#This Row],[CANTIDAD
(unid.)]]</f>
        <v>0</v>
      </c>
      <c r="AN99" s="279">
        <f>IF('🧾 Factura Comercial'!G103=0,0,'🧾 Tributos Aduana'!$F$17*(IF('🧾 Tributos Aduana'!$F$6=0,0,'🧾 Factura Comercial'!I103/'🧾 Tributos Aduana'!$F$6))/'🧾 Factura Comercial'!G103)</f>
        <v>0</v>
      </c>
      <c r="AO99" s="280">
        <f>IF('🧾 Factura Comercial'!G103=0,0,'🏦 Crédito Fiscal'!$C$16*(IF('🧾 Tributos Aduana'!$F$6=0,0,'🧾 Factura Comercial'!I103/'🧾 Tributos Aduana'!$F$6))/'🧾 Factura Comercial'!G103)</f>
        <v>0</v>
      </c>
      <c r="AP99" s="278">
        <f>TABLA_BASE[[#This Row],[CF UNIT.
✅RECUP.
(US$)]]*'📋 Datos Generales'!$E$19</f>
        <v>0</v>
      </c>
      <c r="AQ99" s="278">
        <f>TABLA_BASE[[#This Row],[CF UNIT.
✅RECUP.(S/.)]]*TABLA_BASE[[#This Row],[CANTIDAD
(unid.)]]</f>
        <v>0</v>
      </c>
      <c r="AR99" s="288">
        <f>'💰 Precio de Venta'!G104</f>
        <v>0.4</v>
      </c>
      <c r="AS99" s="278">
        <f>'💰 Precio de Venta'!H104</f>
        <v>0</v>
      </c>
      <c r="AT99" s="278">
        <f>TABLA_BASE[[#This Row],[VALOR VTA.
UNIT.(S/.)]]*TABLA_BASE[[#This Row],[CANTIDAD
(unid.)]]</f>
        <v>0</v>
      </c>
      <c r="AU99" s="281">
        <f>'💰 Precio de Venta'!I104</f>
        <v>0</v>
      </c>
      <c r="AV99" s="278">
        <f>'💰 Precio de Venta'!J104</f>
        <v>0</v>
      </c>
      <c r="AW99" s="278">
        <f>TABLA_BASE[[#This Row],[GANANCIA
UNIT.(S/.)]]*TABLA_BASE[[#This Row],[CANTIDAD
(unid.)]]</f>
        <v>0</v>
      </c>
      <c r="AX99" s="289">
        <f>'💰 Precio de Venta'!K104</f>
        <v>0</v>
      </c>
      <c r="AY99" s="278">
        <f>TABLA_BASE[[#This Row],[GANANCIA
UNIT.(S/.)]]*'🧾 Factura Comercial'!G103</f>
        <v>0</v>
      </c>
      <c r="AZ99" s="277">
        <f>IF(TABLA_BASE[[#This Row],[PRECIO VTA.
c/IGV(S/.)]]=0,0,TABLA_BASE[[#This Row],[GANANCIA
UNIT.(S/.)]]/TABLA_BASE[[#This Row],[PRECIO VTA.
c/IGV(S/.)]])</f>
        <v>0</v>
      </c>
      <c r="BA99" s="277">
        <f>IF(TABLA_BASE[[#This Row],[C/M UNIT.
(S/.)]]=0,0,TABLA_BASE[[#This Row],[GANANCIA
UNIT.(S/.)]]/TABLA_BASE[[#This Row],[C/M UNIT.
(S/.)]])</f>
        <v>0</v>
      </c>
      <c r="BB99" s="274" t="str">
        <f>IF(TABLA_BASE[[#This Row],[MARGEN
%]]&gt;=0.5,"🟢 ALTO",IF(TABLA_BASE[[#This Row],[MARGEN
%]]&gt;=0.3,"🟡 MEDIO","🔴 BAJO"))</f>
        <v>🟡 MEDIO</v>
      </c>
    </row>
    <row r="100" spans="1:54" ht="16.5" hidden="1" thickTop="1" thickBot="1" x14ac:dyDescent="0.3">
      <c r="A100" s="274">
        <f>'🧾 Factura Comercial'!E104</f>
        <v>0</v>
      </c>
      <c r="B100" s="274" t="str">
        <f>'🧾 Factura Comercial'!F104</f>
        <v>Unid.</v>
      </c>
      <c r="C100" s="275">
        <f>'🧾 Factura Comercial'!G104</f>
        <v>0</v>
      </c>
      <c r="D100" s="276">
        <f>'🧾 Factura Comercial'!H104</f>
        <v>0</v>
      </c>
      <c r="E100" s="276">
        <f>'🧾 Factura Comercial'!I104</f>
        <v>0</v>
      </c>
      <c r="F100" s="277">
        <f>IF('🧾 Tributos Aduana'!$F$6=0,0,'🧾 Factura Comercial'!I104/'🧾 Tributos Aduana'!$F$6)</f>
        <v>0</v>
      </c>
      <c r="G100" s="278">
        <f>'🧾 Factura Comercial'!H104*'📋 Datos Generales'!$E$19</f>
        <v>0</v>
      </c>
      <c r="H100" s="278">
        <f>TABLA_BASE[[#This Row],[FOB UNIT.
(S/.)]]*TABLA_BASE[[#This Row],[CANTIDAD
(unid.)]]</f>
        <v>0</v>
      </c>
      <c r="I100" s="280">
        <f>IF('🧾 Tributos Aduana'!$F$6=0,0,'🧾 Tributos Aduana'!$F$17*('🧾 Factura Comercial'!H104/'🧾 Tributos Aduana'!$F$6))</f>
        <v>0</v>
      </c>
      <c r="J100" s="280">
        <f>TABLA_BASE[[#This Row],[ADV UNIT.
(US$)
⚠️COSTO]]*TABLA_BASE[[#This Row],[CANTIDAD
(unid.)]]</f>
        <v>0</v>
      </c>
      <c r="K100" s="279">
        <f>IF('🧾 Tributos Aduana'!$F$6=0,0,'🧾 Tributos Aduana'!$F$18*('🧾 Factura Comercial'!H104/'🧾 Tributos Aduana'!$F$6))</f>
        <v>0</v>
      </c>
      <c r="L100" s="280">
        <f>TABLA_BASE[[#This Row],[IPM UNIT.
(US$)
✅CF]]*TABLA_BASE[[#This Row],[CANTIDAD
(unid.)]]</f>
        <v>0</v>
      </c>
      <c r="M100" s="279">
        <f>IF('🧾 Tributos Aduana'!$F$6=0,0,'🧾 Tributos Aduana'!$F$19*('🧾 Factura Comercial'!H104/'🧾 Tributos Aduana'!$F$6))</f>
        <v>0</v>
      </c>
      <c r="N100" s="280">
        <f>TABLA_BASE[[#This Row],[IGV UNIT.
(US$)
✅CF]]*TABLA_BASE[[#This Row],[CANTIDAD
(unid.)]]</f>
        <v>0</v>
      </c>
      <c r="O100" s="280">
        <f>IF('🧾 Tributos Aduana'!$F$6=0,0,'🧾 Tributos Aduana'!$F$23*('🧾 Factura Comercial'!H104/'🧾 Tributos Aduana'!$F$6))</f>
        <v>0</v>
      </c>
      <c r="P100" s="280">
        <f>TABLA_BASE[[#This Row],[PERCEP.
UNIT.(US$)
✅CF]]*TABLA_BASE[[#This Row],[CANTIDAD
(unid.)]]</f>
        <v>0</v>
      </c>
      <c r="Q100" s="279">
        <f>TABLA_BASE[[#This Row],[ADV UNIT.
(US$)
⚠️COSTO]]+TABLA_BASE[[#This Row],[IPM UNIT.
(US$)
✅CF]]+TABLA_BASE[[#This Row],[IGV UNIT.
(US$)
✅CF]]</f>
        <v>0</v>
      </c>
      <c r="R100" s="280">
        <f>TABLA_BASE[[#This Row],[DEUDA
ADUANERA
UNIT.]]*TABLA_BASE[[#This Row],[CANTIDAD
(unid.)]]</f>
        <v>0</v>
      </c>
      <c r="S100" s="278">
        <f>TABLA_BASE[[#This Row],[DEUDA
ADUANERA
UNIT.]]*'📋 Datos Generales'!$E$19</f>
        <v>0</v>
      </c>
      <c r="T100" s="278">
        <f>TABLA_BASE[[#This Row],[DEUDA
ADUANERA
TOTAL]]*'📋 Datos Generales'!$E$19</f>
        <v>0</v>
      </c>
      <c r="U100" s="281">
        <f>TABLA_BASE[[#This Row],[ADV UNIT.
(US$)
⚠️COSTO]]*'📋 Datos Generales'!$E$19</f>
        <v>0</v>
      </c>
      <c r="V100" s="281">
        <f>TABLA_BASE[[#This Row],[ADV UNIT.
(S/.)]]*TABLA_BASE[[#This Row],[CANTIDAD
(unid.)]]</f>
        <v>0</v>
      </c>
      <c r="W100" s="281">
        <f>TABLA_BASE[[#This Row],[IPM UNIT.
(US$)
✅CF]]*'📋 Datos Generales'!$E$19</f>
        <v>0</v>
      </c>
      <c r="X100" s="281">
        <f>TABLA_BASE[[#This Row],[IPM UNIT.
(S/.)]]*TABLA_BASE[[#This Row],[CANTIDAD
(unid.)]]</f>
        <v>0</v>
      </c>
      <c r="Y100" s="281">
        <f>TABLA_BASE[[#This Row],[IGV UNIT.
(US$)
✅CF]]*'📋 Datos Generales'!$E$19</f>
        <v>0</v>
      </c>
      <c r="Z100" s="281">
        <f>TABLA_BASE[[#This Row],[IGV UNIT.
(S/.)]]*TABLA_BASE[[#This Row],[CANTIDAD
(unid.)]]</f>
        <v>0</v>
      </c>
      <c r="AA100" s="281">
        <f>TABLA_BASE[[#This Row],[PERCEP.
UNIT.(US$)
✅CF]]*'📋 Datos Generales'!$E$19</f>
        <v>0</v>
      </c>
      <c r="AB100" s="281">
        <f>TABLA_BASE[[#This Row],[PERCEP.
UNIT.(S/.)]]*TABLA_BASE[[#This Row],[CANTIDAD
(unid.)]]</f>
        <v>0</v>
      </c>
      <c r="AC100" s="279">
        <f>TABLA_BASE[[#This Row],[ADV UNIT.
(US$)
⚠️COSTO]]+TABLA_BASE[[#This Row],[IPM UNIT.
(US$)
✅CF]]+TABLA_BASE[[#This Row],[IGV UNIT.
(US$)
✅CF]]+TABLA_BASE[[#This Row],[PERCEP.
UNIT.(US$)
✅CF]]</f>
        <v>0</v>
      </c>
      <c r="AD100" s="279">
        <f>TABLA_BASE[[#This Row],[TOTAL PAGO
SUNAT
UNIT.(US$)]]*TABLA_BASE[[#This Row],[CANTIDAD
(unid.)]]</f>
        <v>0</v>
      </c>
      <c r="AE100" s="281">
        <f>TABLA_BASE[[#This Row],[TOTAL PAGO
SUNAT
UNIT.(US$)]]*'📋 Datos Generales'!$E$19</f>
        <v>0</v>
      </c>
      <c r="AF100" s="281">
        <f>TABLA_BASE[[#This Row],[TOTAL TRIB.
UNIT.(S/.)]]*TABLA_BASE[[#This Row],[CANTIDAD
(unid.)]]</f>
        <v>0</v>
      </c>
      <c r="AG100" s="279">
        <f>IF('🧾 Factura Comercial'!G104=0,0,'📦 Gastos Importación'!$E$28*(IF('🧾 Tributos Aduana'!$F$6=0,0,'🧾 Factura Comercial'!I104/'🧾 Tributos Aduana'!$F$6))/'🧾 Factura Comercial'!G104)</f>
        <v>0</v>
      </c>
      <c r="AH100" s="279">
        <f>TABLA_BASE[[#This Row],[GASTOS IMP.
UNIT.(US$)]]*TABLA_BASE[[#This Row],[CANTIDAD
(unid.)]]</f>
        <v>0</v>
      </c>
      <c r="AI100" s="281">
        <f>TABLA_BASE[[#This Row],[GASTOS IMP.
UNIT.(US$)]]*'📋 Datos Generales'!$E$19</f>
        <v>0</v>
      </c>
      <c r="AJ100" s="281">
        <f>TABLA_BASE[[#This Row],[GASTOS IMP.
UNIT.(S/.)]]*TABLA_BASE[[#This Row],[CANTIDAD
(unid.)]]</f>
        <v>0</v>
      </c>
      <c r="AK100" s="280">
        <f>'🧮 Costos x Producto'!J104</f>
        <v>0</v>
      </c>
      <c r="AL100" s="278">
        <f>'🧮 Costos x Producto'!K104</f>
        <v>0</v>
      </c>
      <c r="AM100" s="278">
        <f>TABLA_BASE[[#This Row],[C/M UNIT.
(S/.)]]*TABLA_BASE[[#This Row],[CANTIDAD
(unid.)]]</f>
        <v>0</v>
      </c>
      <c r="AN100" s="279">
        <f>IF('🧾 Factura Comercial'!G104=0,0,'🧾 Tributos Aduana'!$F$17*(IF('🧾 Tributos Aduana'!$F$6=0,0,'🧾 Factura Comercial'!I104/'🧾 Tributos Aduana'!$F$6))/'🧾 Factura Comercial'!G104)</f>
        <v>0</v>
      </c>
      <c r="AO100" s="280">
        <f>IF('🧾 Factura Comercial'!G104=0,0,'🏦 Crédito Fiscal'!$C$16*(IF('🧾 Tributos Aduana'!$F$6=0,0,'🧾 Factura Comercial'!I104/'🧾 Tributos Aduana'!$F$6))/'🧾 Factura Comercial'!G104)</f>
        <v>0</v>
      </c>
      <c r="AP100" s="278">
        <f>TABLA_BASE[[#This Row],[CF UNIT.
✅RECUP.
(US$)]]*'📋 Datos Generales'!$E$19</f>
        <v>0</v>
      </c>
      <c r="AQ100" s="278">
        <f>TABLA_BASE[[#This Row],[CF UNIT.
✅RECUP.(S/.)]]*TABLA_BASE[[#This Row],[CANTIDAD
(unid.)]]</f>
        <v>0</v>
      </c>
      <c r="AR100" s="288">
        <f>'💰 Precio de Venta'!G105</f>
        <v>0.4</v>
      </c>
      <c r="AS100" s="278">
        <f>'💰 Precio de Venta'!H105</f>
        <v>0</v>
      </c>
      <c r="AT100" s="278">
        <f>TABLA_BASE[[#This Row],[VALOR VTA.
UNIT.(S/.)]]*TABLA_BASE[[#This Row],[CANTIDAD
(unid.)]]</f>
        <v>0</v>
      </c>
      <c r="AU100" s="281">
        <f>'💰 Precio de Venta'!I105</f>
        <v>0</v>
      </c>
      <c r="AV100" s="278">
        <f>'💰 Precio de Venta'!J105</f>
        <v>0</v>
      </c>
      <c r="AW100" s="278">
        <f>TABLA_BASE[[#This Row],[GANANCIA
UNIT.(S/.)]]*TABLA_BASE[[#This Row],[CANTIDAD
(unid.)]]</f>
        <v>0</v>
      </c>
      <c r="AX100" s="289">
        <f>'💰 Precio de Venta'!K105</f>
        <v>0</v>
      </c>
      <c r="AY100" s="278">
        <f>TABLA_BASE[[#This Row],[GANANCIA
UNIT.(S/.)]]*'🧾 Factura Comercial'!G104</f>
        <v>0</v>
      </c>
      <c r="AZ100" s="277">
        <f>IF(TABLA_BASE[[#This Row],[PRECIO VTA.
c/IGV(S/.)]]=0,0,TABLA_BASE[[#This Row],[GANANCIA
UNIT.(S/.)]]/TABLA_BASE[[#This Row],[PRECIO VTA.
c/IGV(S/.)]])</f>
        <v>0</v>
      </c>
      <c r="BA100" s="277">
        <f>IF(TABLA_BASE[[#This Row],[C/M UNIT.
(S/.)]]=0,0,TABLA_BASE[[#This Row],[GANANCIA
UNIT.(S/.)]]/TABLA_BASE[[#This Row],[C/M UNIT.
(S/.)]])</f>
        <v>0</v>
      </c>
      <c r="BB100" s="274" t="str">
        <f>IF(TABLA_BASE[[#This Row],[MARGEN
%]]&gt;=0.5,"🟢 ALTO",IF(TABLA_BASE[[#This Row],[MARGEN
%]]&gt;=0.3,"🟡 MEDIO","🔴 BAJO"))</f>
        <v>🟡 MEDIO</v>
      </c>
    </row>
    <row r="101" spans="1:54" ht="16.5" hidden="1" thickTop="1" thickBot="1" x14ac:dyDescent="0.3">
      <c r="A101" s="274">
        <f>'🧾 Factura Comercial'!E105</f>
        <v>0</v>
      </c>
      <c r="B101" s="274" t="str">
        <f>'🧾 Factura Comercial'!F105</f>
        <v>Unid.</v>
      </c>
      <c r="C101" s="275">
        <f>'🧾 Factura Comercial'!G105</f>
        <v>0</v>
      </c>
      <c r="D101" s="276">
        <f>'🧾 Factura Comercial'!H105</f>
        <v>0</v>
      </c>
      <c r="E101" s="276">
        <f>'🧾 Factura Comercial'!I105</f>
        <v>0</v>
      </c>
      <c r="F101" s="277">
        <f>IF('🧾 Tributos Aduana'!$F$6=0,0,'🧾 Factura Comercial'!I105/'🧾 Tributos Aduana'!$F$6)</f>
        <v>0</v>
      </c>
      <c r="G101" s="278">
        <f>'🧾 Factura Comercial'!H105*'📋 Datos Generales'!$E$19</f>
        <v>0</v>
      </c>
      <c r="H101" s="278">
        <f>TABLA_BASE[[#This Row],[FOB UNIT.
(S/.)]]*TABLA_BASE[[#This Row],[CANTIDAD
(unid.)]]</f>
        <v>0</v>
      </c>
      <c r="I101" s="280">
        <f>IF('🧾 Tributos Aduana'!$F$6=0,0,'🧾 Tributos Aduana'!$F$17*('🧾 Factura Comercial'!H105/'🧾 Tributos Aduana'!$F$6))</f>
        <v>0</v>
      </c>
      <c r="J101" s="280">
        <f>TABLA_BASE[[#This Row],[ADV UNIT.
(US$)
⚠️COSTO]]*TABLA_BASE[[#This Row],[CANTIDAD
(unid.)]]</f>
        <v>0</v>
      </c>
      <c r="K101" s="279">
        <f>IF('🧾 Tributos Aduana'!$F$6=0,0,'🧾 Tributos Aduana'!$F$18*('🧾 Factura Comercial'!H105/'🧾 Tributos Aduana'!$F$6))</f>
        <v>0</v>
      </c>
      <c r="L101" s="280">
        <f>TABLA_BASE[[#This Row],[IPM UNIT.
(US$)
✅CF]]*TABLA_BASE[[#This Row],[CANTIDAD
(unid.)]]</f>
        <v>0</v>
      </c>
      <c r="M101" s="279">
        <f>IF('🧾 Tributos Aduana'!$F$6=0,0,'🧾 Tributos Aduana'!$F$19*('🧾 Factura Comercial'!H105/'🧾 Tributos Aduana'!$F$6))</f>
        <v>0</v>
      </c>
      <c r="N101" s="280">
        <f>TABLA_BASE[[#This Row],[IGV UNIT.
(US$)
✅CF]]*TABLA_BASE[[#This Row],[CANTIDAD
(unid.)]]</f>
        <v>0</v>
      </c>
      <c r="O101" s="280">
        <f>IF('🧾 Tributos Aduana'!$F$6=0,0,'🧾 Tributos Aduana'!$F$23*('🧾 Factura Comercial'!H105/'🧾 Tributos Aduana'!$F$6))</f>
        <v>0</v>
      </c>
      <c r="P101" s="280">
        <f>TABLA_BASE[[#This Row],[PERCEP.
UNIT.(US$)
✅CF]]*TABLA_BASE[[#This Row],[CANTIDAD
(unid.)]]</f>
        <v>0</v>
      </c>
      <c r="Q101" s="279">
        <f>TABLA_BASE[[#This Row],[ADV UNIT.
(US$)
⚠️COSTO]]+TABLA_BASE[[#This Row],[IPM UNIT.
(US$)
✅CF]]+TABLA_BASE[[#This Row],[IGV UNIT.
(US$)
✅CF]]</f>
        <v>0</v>
      </c>
      <c r="R101" s="280">
        <f>TABLA_BASE[[#This Row],[DEUDA
ADUANERA
UNIT.]]*TABLA_BASE[[#This Row],[CANTIDAD
(unid.)]]</f>
        <v>0</v>
      </c>
      <c r="S101" s="278">
        <f>TABLA_BASE[[#This Row],[DEUDA
ADUANERA
UNIT.]]*'📋 Datos Generales'!$E$19</f>
        <v>0</v>
      </c>
      <c r="T101" s="278">
        <f>TABLA_BASE[[#This Row],[DEUDA
ADUANERA
TOTAL]]*'📋 Datos Generales'!$E$19</f>
        <v>0</v>
      </c>
      <c r="U101" s="281">
        <f>TABLA_BASE[[#This Row],[ADV UNIT.
(US$)
⚠️COSTO]]*'📋 Datos Generales'!$E$19</f>
        <v>0</v>
      </c>
      <c r="V101" s="281">
        <f>TABLA_BASE[[#This Row],[ADV UNIT.
(S/.)]]*TABLA_BASE[[#This Row],[CANTIDAD
(unid.)]]</f>
        <v>0</v>
      </c>
      <c r="W101" s="281">
        <f>TABLA_BASE[[#This Row],[IPM UNIT.
(US$)
✅CF]]*'📋 Datos Generales'!$E$19</f>
        <v>0</v>
      </c>
      <c r="X101" s="281">
        <f>TABLA_BASE[[#This Row],[IPM UNIT.
(S/.)]]*TABLA_BASE[[#This Row],[CANTIDAD
(unid.)]]</f>
        <v>0</v>
      </c>
      <c r="Y101" s="281">
        <f>TABLA_BASE[[#This Row],[IGV UNIT.
(US$)
✅CF]]*'📋 Datos Generales'!$E$19</f>
        <v>0</v>
      </c>
      <c r="Z101" s="281">
        <f>TABLA_BASE[[#This Row],[IGV UNIT.
(S/.)]]*TABLA_BASE[[#This Row],[CANTIDAD
(unid.)]]</f>
        <v>0</v>
      </c>
      <c r="AA101" s="281">
        <f>TABLA_BASE[[#This Row],[PERCEP.
UNIT.(US$)
✅CF]]*'📋 Datos Generales'!$E$19</f>
        <v>0</v>
      </c>
      <c r="AB101" s="281">
        <f>TABLA_BASE[[#This Row],[PERCEP.
UNIT.(S/.)]]*TABLA_BASE[[#This Row],[CANTIDAD
(unid.)]]</f>
        <v>0</v>
      </c>
      <c r="AC101" s="279">
        <f>TABLA_BASE[[#This Row],[ADV UNIT.
(US$)
⚠️COSTO]]+TABLA_BASE[[#This Row],[IPM UNIT.
(US$)
✅CF]]+TABLA_BASE[[#This Row],[IGV UNIT.
(US$)
✅CF]]+TABLA_BASE[[#This Row],[PERCEP.
UNIT.(US$)
✅CF]]</f>
        <v>0</v>
      </c>
      <c r="AD101" s="279">
        <f>TABLA_BASE[[#This Row],[TOTAL PAGO
SUNAT
UNIT.(US$)]]*TABLA_BASE[[#This Row],[CANTIDAD
(unid.)]]</f>
        <v>0</v>
      </c>
      <c r="AE101" s="281">
        <f>TABLA_BASE[[#This Row],[TOTAL PAGO
SUNAT
UNIT.(US$)]]*'📋 Datos Generales'!$E$19</f>
        <v>0</v>
      </c>
      <c r="AF101" s="281">
        <f>TABLA_BASE[[#This Row],[TOTAL TRIB.
UNIT.(S/.)]]*TABLA_BASE[[#This Row],[CANTIDAD
(unid.)]]</f>
        <v>0</v>
      </c>
      <c r="AG101" s="279">
        <f>IF('🧾 Factura Comercial'!G105=0,0,'📦 Gastos Importación'!$E$28*(IF('🧾 Tributos Aduana'!$F$6=0,0,'🧾 Factura Comercial'!I105/'🧾 Tributos Aduana'!$F$6))/'🧾 Factura Comercial'!G105)</f>
        <v>0</v>
      </c>
      <c r="AH101" s="279">
        <f>TABLA_BASE[[#This Row],[GASTOS IMP.
UNIT.(US$)]]*TABLA_BASE[[#This Row],[CANTIDAD
(unid.)]]</f>
        <v>0</v>
      </c>
      <c r="AI101" s="281">
        <f>TABLA_BASE[[#This Row],[GASTOS IMP.
UNIT.(US$)]]*'📋 Datos Generales'!$E$19</f>
        <v>0</v>
      </c>
      <c r="AJ101" s="281">
        <f>TABLA_BASE[[#This Row],[GASTOS IMP.
UNIT.(S/.)]]*TABLA_BASE[[#This Row],[CANTIDAD
(unid.)]]</f>
        <v>0</v>
      </c>
      <c r="AK101" s="280">
        <f>'🧮 Costos x Producto'!J105</f>
        <v>0</v>
      </c>
      <c r="AL101" s="278">
        <f>'🧮 Costos x Producto'!K105</f>
        <v>0</v>
      </c>
      <c r="AM101" s="278">
        <f>TABLA_BASE[[#This Row],[C/M UNIT.
(S/.)]]*TABLA_BASE[[#This Row],[CANTIDAD
(unid.)]]</f>
        <v>0</v>
      </c>
      <c r="AN101" s="279">
        <f>IF('🧾 Factura Comercial'!G105=0,0,'🧾 Tributos Aduana'!$F$17*(IF('🧾 Tributos Aduana'!$F$6=0,0,'🧾 Factura Comercial'!I105/'🧾 Tributos Aduana'!$F$6))/'🧾 Factura Comercial'!G105)</f>
        <v>0</v>
      </c>
      <c r="AO101" s="280">
        <f>IF('🧾 Factura Comercial'!G105=0,0,'🏦 Crédito Fiscal'!$C$16*(IF('🧾 Tributos Aduana'!$F$6=0,0,'🧾 Factura Comercial'!I105/'🧾 Tributos Aduana'!$F$6))/'🧾 Factura Comercial'!G105)</f>
        <v>0</v>
      </c>
      <c r="AP101" s="278">
        <f>TABLA_BASE[[#This Row],[CF UNIT.
✅RECUP.
(US$)]]*'📋 Datos Generales'!$E$19</f>
        <v>0</v>
      </c>
      <c r="AQ101" s="278">
        <f>TABLA_BASE[[#This Row],[CF UNIT.
✅RECUP.(S/.)]]*TABLA_BASE[[#This Row],[CANTIDAD
(unid.)]]</f>
        <v>0</v>
      </c>
      <c r="AR101" s="288">
        <f>'💰 Precio de Venta'!G106</f>
        <v>0.4</v>
      </c>
      <c r="AS101" s="278">
        <f>'💰 Precio de Venta'!H106</f>
        <v>0</v>
      </c>
      <c r="AT101" s="278">
        <f>TABLA_BASE[[#This Row],[VALOR VTA.
UNIT.(S/.)]]*TABLA_BASE[[#This Row],[CANTIDAD
(unid.)]]</f>
        <v>0</v>
      </c>
      <c r="AU101" s="281">
        <f>'💰 Precio de Venta'!I106</f>
        <v>0</v>
      </c>
      <c r="AV101" s="278">
        <f>'💰 Precio de Venta'!J106</f>
        <v>0</v>
      </c>
      <c r="AW101" s="278">
        <f>TABLA_BASE[[#This Row],[GANANCIA
UNIT.(S/.)]]*TABLA_BASE[[#This Row],[CANTIDAD
(unid.)]]</f>
        <v>0</v>
      </c>
      <c r="AX101" s="289">
        <f>'💰 Precio de Venta'!K106</f>
        <v>0</v>
      </c>
      <c r="AY101" s="278">
        <f>TABLA_BASE[[#This Row],[GANANCIA
UNIT.(S/.)]]*'🧾 Factura Comercial'!G105</f>
        <v>0</v>
      </c>
      <c r="AZ101" s="277">
        <f>IF(TABLA_BASE[[#This Row],[PRECIO VTA.
c/IGV(S/.)]]=0,0,TABLA_BASE[[#This Row],[GANANCIA
UNIT.(S/.)]]/TABLA_BASE[[#This Row],[PRECIO VTA.
c/IGV(S/.)]])</f>
        <v>0</v>
      </c>
      <c r="BA101" s="277">
        <f>IF(TABLA_BASE[[#This Row],[C/M UNIT.
(S/.)]]=0,0,TABLA_BASE[[#This Row],[GANANCIA
UNIT.(S/.)]]/TABLA_BASE[[#This Row],[C/M UNIT.
(S/.)]])</f>
        <v>0</v>
      </c>
      <c r="BB101" s="274" t="str">
        <f>IF(TABLA_BASE[[#This Row],[MARGEN
%]]&gt;=0.5,"🟢 ALTO",IF(TABLA_BASE[[#This Row],[MARGEN
%]]&gt;=0.3,"🟡 MEDIO","🔴 BAJO"))</f>
        <v>🟡 MEDIO</v>
      </c>
    </row>
    <row r="102" spans="1:54" ht="16.5" hidden="1" thickTop="1" thickBot="1" x14ac:dyDescent="0.3">
      <c r="A102" s="274">
        <f>'🧾 Factura Comercial'!E106</f>
        <v>0</v>
      </c>
      <c r="B102" s="274" t="str">
        <f>'🧾 Factura Comercial'!F106</f>
        <v>Unid.</v>
      </c>
      <c r="C102" s="275">
        <f>'🧾 Factura Comercial'!G106</f>
        <v>0</v>
      </c>
      <c r="D102" s="276">
        <f>'🧾 Factura Comercial'!H106</f>
        <v>0</v>
      </c>
      <c r="E102" s="276">
        <f>'🧾 Factura Comercial'!I106</f>
        <v>0</v>
      </c>
      <c r="F102" s="277">
        <f>IF('🧾 Tributos Aduana'!$F$6=0,0,'🧾 Factura Comercial'!I106/'🧾 Tributos Aduana'!$F$6)</f>
        <v>0</v>
      </c>
      <c r="G102" s="278">
        <f>'🧾 Factura Comercial'!H106*'📋 Datos Generales'!$E$19</f>
        <v>0</v>
      </c>
      <c r="H102" s="278">
        <f>TABLA_BASE[[#This Row],[FOB UNIT.
(S/.)]]*TABLA_BASE[[#This Row],[CANTIDAD
(unid.)]]</f>
        <v>0</v>
      </c>
      <c r="I102" s="280">
        <f>IF('🧾 Tributos Aduana'!$F$6=0,0,'🧾 Tributos Aduana'!$F$17*('🧾 Factura Comercial'!H106/'🧾 Tributos Aduana'!$F$6))</f>
        <v>0</v>
      </c>
      <c r="J102" s="280">
        <f>TABLA_BASE[[#This Row],[ADV UNIT.
(US$)
⚠️COSTO]]*TABLA_BASE[[#This Row],[CANTIDAD
(unid.)]]</f>
        <v>0</v>
      </c>
      <c r="K102" s="279">
        <f>IF('🧾 Tributos Aduana'!$F$6=0,0,'🧾 Tributos Aduana'!$F$18*('🧾 Factura Comercial'!H106/'🧾 Tributos Aduana'!$F$6))</f>
        <v>0</v>
      </c>
      <c r="L102" s="280">
        <f>TABLA_BASE[[#This Row],[IPM UNIT.
(US$)
✅CF]]*TABLA_BASE[[#This Row],[CANTIDAD
(unid.)]]</f>
        <v>0</v>
      </c>
      <c r="M102" s="279">
        <f>IF('🧾 Tributos Aduana'!$F$6=0,0,'🧾 Tributos Aduana'!$F$19*('🧾 Factura Comercial'!H106/'🧾 Tributos Aduana'!$F$6))</f>
        <v>0</v>
      </c>
      <c r="N102" s="280">
        <f>TABLA_BASE[[#This Row],[IGV UNIT.
(US$)
✅CF]]*TABLA_BASE[[#This Row],[CANTIDAD
(unid.)]]</f>
        <v>0</v>
      </c>
      <c r="O102" s="280">
        <f>IF('🧾 Tributos Aduana'!$F$6=0,0,'🧾 Tributos Aduana'!$F$23*('🧾 Factura Comercial'!H106/'🧾 Tributos Aduana'!$F$6))</f>
        <v>0</v>
      </c>
      <c r="P102" s="280">
        <f>TABLA_BASE[[#This Row],[PERCEP.
UNIT.(US$)
✅CF]]*TABLA_BASE[[#This Row],[CANTIDAD
(unid.)]]</f>
        <v>0</v>
      </c>
      <c r="Q102" s="279">
        <f>TABLA_BASE[[#This Row],[ADV UNIT.
(US$)
⚠️COSTO]]+TABLA_BASE[[#This Row],[IPM UNIT.
(US$)
✅CF]]+TABLA_BASE[[#This Row],[IGV UNIT.
(US$)
✅CF]]</f>
        <v>0</v>
      </c>
      <c r="R102" s="280">
        <f>TABLA_BASE[[#This Row],[DEUDA
ADUANERA
UNIT.]]*TABLA_BASE[[#This Row],[CANTIDAD
(unid.)]]</f>
        <v>0</v>
      </c>
      <c r="S102" s="278">
        <f>TABLA_BASE[[#This Row],[DEUDA
ADUANERA
UNIT.]]*'📋 Datos Generales'!$E$19</f>
        <v>0</v>
      </c>
      <c r="T102" s="278">
        <f>TABLA_BASE[[#This Row],[DEUDA
ADUANERA
TOTAL]]*'📋 Datos Generales'!$E$19</f>
        <v>0</v>
      </c>
      <c r="U102" s="281">
        <f>TABLA_BASE[[#This Row],[ADV UNIT.
(US$)
⚠️COSTO]]*'📋 Datos Generales'!$E$19</f>
        <v>0</v>
      </c>
      <c r="V102" s="281">
        <f>TABLA_BASE[[#This Row],[ADV UNIT.
(S/.)]]*TABLA_BASE[[#This Row],[CANTIDAD
(unid.)]]</f>
        <v>0</v>
      </c>
      <c r="W102" s="281">
        <f>TABLA_BASE[[#This Row],[IPM UNIT.
(US$)
✅CF]]*'📋 Datos Generales'!$E$19</f>
        <v>0</v>
      </c>
      <c r="X102" s="281">
        <f>TABLA_BASE[[#This Row],[IPM UNIT.
(S/.)]]*TABLA_BASE[[#This Row],[CANTIDAD
(unid.)]]</f>
        <v>0</v>
      </c>
      <c r="Y102" s="281">
        <f>TABLA_BASE[[#This Row],[IGV UNIT.
(US$)
✅CF]]*'📋 Datos Generales'!$E$19</f>
        <v>0</v>
      </c>
      <c r="Z102" s="281">
        <f>TABLA_BASE[[#This Row],[IGV UNIT.
(S/.)]]*TABLA_BASE[[#This Row],[CANTIDAD
(unid.)]]</f>
        <v>0</v>
      </c>
      <c r="AA102" s="281">
        <f>TABLA_BASE[[#This Row],[PERCEP.
UNIT.(US$)
✅CF]]*'📋 Datos Generales'!$E$19</f>
        <v>0</v>
      </c>
      <c r="AB102" s="281">
        <f>TABLA_BASE[[#This Row],[PERCEP.
UNIT.(S/.)]]*TABLA_BASE[[#This Row],[CANTIDAD
(unid.)]]</f>
        <v>0</v>
      </c>
      <c r="AC102" s="279">
        <f>TABLA_BASE[[#This Row],[ADV UNIT.
(US$)
⚠️COSTO]]+TABLA_BASE[[#This Row],[IPM UNIT.
(US$)
✅CF]]+TABLA_BASE[[#This Row],[IGV UNIT.
(US$)
✅CF]]+TABLA_BASE[[#This Row],[PERCEP.
UNIT.(US$)
✅CF]]</f>
        <v>0</v>
      </c>
      <c r="AD102" s="279">
        <f>TABLA_BASE[[#This Row],[TOTAL PAGO
SUNAT
UNIT.(US$)]]*TABLA_BASE[[#This Row],[CANTIDAD
(unid.)]]</f>
        <v>0</v>
      </c>
      <c r="AE102" s="281">
        <f>TABLA_BASE[[#This Row],[TOTAL PAGO
SUNAT
UNIT.(US$)]]*'📋 Datos Generales'!$E$19</f>
        <v>0</v>
      </c>
      <c r="AF102" s="281">
        <f>TABLA_BASE[[#This Row],[TOTAL TRIB.
UNIT.(S/.)]]*TABLA_BASE[[#This Row],[CANTIDAD
(unid.)]]</f>
        <v>0</v>
      </c>
      <c r="AG102" s="279">
        <f>IF('🧾 Factura Comercial'!G106=0,0,'📦 Gastos Importación'!$E$28*(IF('🧾 Tributos Aduana'!$F$6=0,0,'🧾 Factura Comercial'!I106/'🧾 Tributos Aduana'!$F$6))/'🧾 Factura Comercial'!G106)</f>
        <v>0</v>
      </c>
      <c r="AH102" s="279">
        <f>TABLA_BASE[[#This Row],[GASTOS IMP.
UNIT.(US$)]]*TABLA_BASE[[#This Row],[CANTIDAD
(unid.)]]</f>
        <v>0</v>
      </c>
      <c r="AI102" s="281">
        <f>TABLA_BASE[[#This Row],[GASTOS IMP.
UNIT.(US$)]]*'📋 Datos Generales'!$E$19</f>
        <v>0</v>
      </c>
      <c r="AJ102" s="281">
        <f>TABLA_BASE[[#This Row],[GASTOS IMP.
UNIT.(S/.)]]*TABLA_BASE[[#This Row],[CANTIDAD
(unid.)]]</f>
        <v>0</v>
      </c>
      <c r="AK102" s="280">
        <f>'🧮 Costos x Producto'!J106</f>
        <v>0</v>
      </c>
      <c r="AL102" s="278">
        <f>'🧮 Costos x Producto'!K106</f>
        <v>0</v>
      </c>
      <c r="AM102" s="278">
        <f>TABLA_BASE[[#This Row],[C/M UNIT.
(S/.)]]*TABLA_BASE[[#This Row],[CANTIDAD
(unid.)]]</f>
        <v>0</v>
      </c>
      <c r="AN102" s="279">
        <f>IF('🧾 Factura Comercial'!G106=0,0,'🧾 Tributos Aduana'!$F$17*(IF('🧾 Tributos Aduana'!$F$6=0,0,'🧾 Factura Comercial'!I106/'🧾 Tributos Aduana'!$F$6))/'🧾 Factura Comercial'!G106)</f>
        <v>0</v>
      </c>
      <c r="AO102" s="280">
        <f>IF('🧾 Factura Comercial'!G106=0,0,'🏦 Crédito Fiscal'!$C$16*(IF('🧾 Tributos Aduana'!$F$6=0,0,'🧾 Factura Comercial'!I106/'🧾 Tributos Aduana'!$F$6))/'🧾 Factura Comercial'!G106)</f>
        <v>0</v>
      </c>
      <c r="AP102" s="278">
        <f>TABLA_BASE[[#This Row],[CF UNIT.
✅RECUP.
(US$)]]*'📋 Datos Generales'!$E$19</f>
        <v>0</v>
      </c>
      <c r="AQ102" s="278">
        <f>TABLA_BASE[[#This Row],[CF UNIT.
✅RECUP.(S/.)]]*TABLA_BASE[[#This Row],[CANTIDAD
(unid.)]]</f>
        <v>0</v>
      </c>
      <c r="AR102" s="288">
        <f>'💰 Precio de Venta'!G107</f>
        <v>0.4</v>
      </c>
      <c r="AS102" s="278">
        <f>'💰 Precio de Venta'!H107</f>
        <v>0</v>
      </c>
      <c r="AT102" s="278">
        <f>TABLA_BASE[[#This Row],[VALOR VTA.
UNIT.(S/.)]]*TABLA_BASE[[#This Row],[CANTIDAD
(unid.)]]</f>
        <v>0</v>
      </c>
      <c r="AU102" s="281">
        <f>'💰 Precio de Venta'!I107</f>
        <v>0</v>
      </c>
      <c r="AV102" s="278">
        <f>'💰 Precio de Venta'!J107</f>
        <v>0</v>
      </c>
      <c r="AW102" s="278">
        <f>TABLA_BASE[[#This Row],[GANANCIA
UNIT.(S/.)]]*TABLA_BASE[[#This Row],[CANTIDAD
(unid.)]]</f>
        <v>0</v>
      </c>
      <c r="AX102" s="289">
        <f>'💰 Precio de Venta'!K107</f>
        <v>0</v>
      </c>
      <c r="AY102" s="278">
        <f>TABLA_BASE[[#This Row],[GANANCIA
UNIT.(S/.)]]*'🧾 Factura Comercial'!G106</f>
        <v>0</v>
      </c>
      <c r="AZ102" s="277">
        <f>IF(TABLA_BASE[[#This Row],[PRECIO VTA.
c/IGV(S/.)]]=0,0,TABLA_BASE[[#This Row],[GANANCIA
UNIT.(S/.)]]/TABLA_BASE[[#This Row],[PRECIO VTA.
c/IGV(S/.)]])</f>
        <v>0</v>
      </c>
      <c r="BA102" s="277">
        <f>IF(TABLA_BASE[[#This Row],[C/M UNIT.
(S/.)]]=0,0,TABLA_BASE[[#This Row],[GANANCIA
UNIT.(S/.)]]/TABLA_BASE[[#This Row],[C/M UNIT.
(S/.)]])</f>
        <v>0</v>
      </c>
      <c r="BB102" s="274" t="str">
        <f>IF(TABLA_BASE[[#This Row],[MARGEN
%]]&gt;=0.5,"🟢 ALTO",IF(TABLA_BASE[[#This Row],[MARGEN
%]]&gt;=0.3,"🟡 MEDIO","🔴 BAJO"))</f>
        <v>🟡 MEDIO</v>
      </c>
    </row>
    <row r="103" spans="1:54" ht="16.5" hidden="1" thickTop="1" thickBot="1" x14ac:dyDescent="0.3">
      <c r="A103" s="274">
        <f>'🧾 Factura Comercial'!E107</f>
        <v>0</v>
      </c>
      <c r="B103" s="274" t="str">
        <f>'🧾 Factura Comercial'!F107</f>
        <v>Unid.</v>
      </c>
      <c r="C103" s="275">
        <f>'🧾 Factura Comercial'!G107</f>
        <v>0</v>
      </c>
      <c r="D103" s="276">
        <f>'🧾 Factura Comercial'!H107</f>
        <v>0</v>
      </c>
      <c r="E103" s="276">
        <f>'🧾 Factura Comercial'!I107</f>
        <v>0</v>
      </c>
      <c r="F103" s="277">
        <f>IF('🧾 Tributos Aduana'!$F$6=0,0,'🧾 Factura Comercial'!I107/'🧾 Tributos Aduana'!$F$6)</f>
        <v>0</v>
      </c>
      <c r="G103" s="278">
        <f>'🧾 Factura Comercial'!H107*'📋 Datos Generales'!$E$19</f>
        <v>0</v>
      </c>
      <c r="H103" s="278">
        <f>TABLA_BASE[[#This Row],[FOB UNIT.
(S/.)]]*TABLA_BASE[[#This Row],[CANTIDAD
(unid.)]]</f>
        <v>0</v>
      </c>
      <c r="I103" s="280">
        <f>IF('🧾 Tributos Aduana'!$F$6=0,0,'🧾 Tributos Aduana'!$F$17*('🧾 Factura Comercial'!H107/'🧾 Tributos Aduana'!$F$6))</f>
        <v>0</v>
      </c>
      <c r="J103" s="280">
        <f>TABLA_BASE[[#This Row],[ADV UNIT.
(US$)
⚠️COSTO]]*TABLA_BASE[[#This Row],[CANTIDAD
(unid.)]]</f>
        <v>0</v>
      </c>
      <c r="K103" s="279">
        <f>IF('🧾 Tributos Aduana'!$F$6=0,0,'🧾 Tributos Aduana'!$F$18*('🧾 Factura Comercial'!H107/'🧾 Tributos Aduana'!$F$6))</f>
        <v>0</v>
      </c>
      <c r="L103" s="280">
        <f>TABLA_BASE[[#This Row],[IPM UNIT.
(US$)
✅CF]]*TABLA_BASE[[#This Row],[CANTIDAD
(unid.)]]</f>
        <v>0</v>
      </c>
      <c r="M103" s="279">
        <f>IF('🧾 Tributos Aduana'!$F$6=0,0,'🧾 Tributos Aduana'!$F$19*('🧾 Factura Comercial'!H107/'🧾 Tributos Aduana'!$F$6))</f>
        <v>0</v>
      </c>
      <c r="N103" s="280">
        <f>TABLA_BASE[[#This Row],[IGV UNIT.
(US$)
✅CF]]*TABLA_BASE[[#This Row],[CANTIDAD
(unid.)]]</f>
        <v>0</v>
      </c>
      <c r="O103" s="280">
        <f>IF('🧾 Tributos Aduana'!$F$6=0,0,'🧾 Tributos Aduana'!$F$23*('🧾 Factura Comercial'!H107/'🧾 Tributos Aduana'!$F$6))</f>
        <v>0</v>
      </c>
      <c r="P103" s="280">
        <f>TABLA_BASE[[#This Row],[PERCEP.
UNIT.(US$)
✅CF]]*TABLA_BASE[[#This Row],[CANTIDAD
(unid.)]]</f>
        <v>0</v>
      </c>
      <c r="Q103" s="279">
        <f>TABLA_BASE[[#This Row],[ADV UNIT.
(US$)
⚠️COSTO]]+TABLA_BASE[[#This Row],[IPM UNIT.
(US$)
✅CF]]+TABLA_BASE[[#This Row],[IGV UNIT.
(US$)
✅CF]]</f>
        <v>0</v>
      </c>
      <c r="R103" s="280">
        <f>TABLA_BASE[[#This Row],[DEUDA
ADUANERA
UNIT.]]*TABLA_BASE[[#This Row],[CANTIDAD
(unid.)]]</f>
        <v>0</v>
      </c>
      <c r="S103" s="278">
        <f>TABLA_BASE[[#This Row],[DEUDA
ADUANERA
UNIT.]]*'📋 Datos Generales'!$E$19</f>
        <v>0</v>
      </c>
      <c r="T103" s="278">
        <f>TABLA_BASE[[#This Row],[DEUDA
ADUANERA
TOTAL]]*'📋 Datos Generales'!$E$19</f>
        <v>0</v>
      </c>
      <c r="U103" s="281">
        <f>TABLA_BASE[[#This Row],[ADV UNIT.
(US$)
⚠️COSTO]]*'📋 Datos Generales'!$E$19</f>
        <v>0</v>
      </c>
      <c r="V103" s="281">
        <f>TABLA_BASE[[#This Row],[ADV UNIT.
(S/.)]]*TABLA_BASE[[#This Row],[CANTIDAD
(unid.)]]</f>
        <v>0</v>
      </c>
      <c r="W103" s="281">
        <f>TABLA_BASE[[#This Row],[IPM UNIT.
(US$)
✅CF]]*'📋 Datos Generales'!$E$19</f>
        <v>0</v>
      </c>
      <c r="X103" s="281">
        <f>TABLA_BASE[[#This Row],[IPM UNIT.
(S/.)]]*TABLA_BASE[[#This Row],[CANTIDAD
(unid.)]]</f>
        <v>0</v>
      </c>
      <c r="Y103" s="281">
        <f>TABLA_BASE[[#This Row],[IGV UNIT.
(US$)
✅CF]]*'📋 Datos Generales'!$E$19</f>
        <v>0</v>
      </c>
      <c r="Z103" s="281">
        <f>TABLA_BASE[[#This Row],[IGV UNIT.
(S/.)]]*TABLA_BASE[[#This Row],[CANTIDAD
(unid.)]]</f>
        <v>0</v>
      </c>
      <c r="AA103" s="281">
        <f>TABLA_BASE[[#This Row],[PERCEP.
UNIT.(US$)
✅CF]]*'📋 Datos Generales'!$E$19</f>
        <v>0</v>
      </c>
      <c r="AB103" s="281">
        <f>TABLA_BASE[[#This Row],[PERCEP.
UNIT.(S/.)]]*TABLA_BASE[[#This Row],[CANTIDAD
(unid.)]]</f>
        <v>0</v>
      </c>
      <c r="AC103" s="279">
        <f>TABLA_BASE[[#This Row],[ADV UNIT.
(US$)
⚠️COSTO]]+TABLA_BASE[[#This Row],[IPM UNIT.
(US$)
✅CF]]+TABLA_BASE[[#This Row],[IGV UNIT.
(US$)
✅CF]]+TABLA_BASE[[#This Row],[PERCEP.
UNIT.(US$)
✅CF]]</f>
        <v>0</v>
      </c>
      <c r="AD103" s="279">
        <f>TABLA_BASE[[#This Row],[TOTAL PAGO
SUNAT
UNIT.(US$)]]*TABLA_BASE[[#This Row],[CANTIDAD
(unid.)]]</f>
        <v>0</v>
      </c>
      <c r="AE103" s="281">
        <f>TABLA_BASE[[#This Row],[TOTAL PAGO
SUNAT
UNIT.(US$)]]*'📋 Datos Generales'!$E$19</f>
        <v>0</v>
      </c>
      <c r="AF103" s="281">
        <f>TABLA_BASE[[#This Row],[TOTAL TRIB.
UNIT.(S/.)]]*TABLA_BASE[[#This Row],[CANTIDAD
(unid.)]]</f>
        <v>0</v>
      </c>
      <c r="AG103" s="279">
        <f>IF('🧾 Factura Comercial'!G107=0,0,'📦 Gastos Importación'!$E$28*(IF('🧾 Tributos Aduana'!$F$6=0,0,'🧾 Factura Comercial'!I107/'🧾 Tributos Aduana'!$F$6))/'🧾 Factura Comercial'!G107)</f>
        <v>0</v>
      </c>
      <c r="AH103" s="279">
        <f>TABLA_BASE[[#This Row],[GASTOS IMP.
UNIT.(US$)]]*TABLA_BASE[[#This Row],[CANTIDAD
(unid.)]]</f>
        <v>0</v>
      </c>
      <c r="AI103" s="281">
        <f>TABLA_BASE[[#This Row],[GASTOS IMP.
UNIT.(US$)]]*'📋 Datos Generales'!$E$19</f>
        <v>0</v>
      </c>
      <c r="AJ103" s="281">
        <f>TABLA_BASE[[#This Row],[GASTOS IMP.
UNIT.(S/.)]]*TABLA_BASE[[#This Row],[CANTIDAD
(unid.)]]</f>
        <v>0</v>
      </c>
      <c r="AK103" s="280">
        <f>'🧮 Costos x Producto'!J107</f>
        <v>0</v>
      </c>
      <c r="AL103" s="278">
        <f>'🧮 Costos x Producto'!K107</f>
        <v>0</v>
      </c>
      <c r="AM103" s="278">
        <f>TABLA_BASE[[#This Row],[C/M UNIT.
(S/.)]]*TABLA_BASE[[#This Row],[CANTIDAD
(unid.)]]</f>
        <v>0</v>
      </c>
      <c r="AN103" s="279">
        <f>IF('🧾 Factura Comercial'!G107=0,0,'🧾 Tributos Aduana'!$F$17*(IF('🧾 Tributos Aduana'!$F$6=0,0,'🧾 Factura Comercial'!I107/'🧾 Tributos Aduana'!$F$6))/'🧾 Factura Comercial'!G107)</f>
        <v>0</v>
      </c>
      <c r="AO103" s="280">
        <f>IF('🧾 Factura Comercial'!G107=0,0,'🏦 Crédito Fiscal'!$C$16*(IF('🧾 Tributos Aduana'!$F$6=0,0,'🧾 Factura Comercial'!I107/'🧾 Tributos Aduana'!$F$6))/'🧾 Factura Comercial'!G107)</f>
        <v>0</v>
      </c>
      <c r="AP103" s="278">
        <f>TABLA_BASE[[#This Row],[CF UNIT.
✅RECUP.
(US$)]]*'📋 Datos Generales'!$E$19</f>
        <v>0</v>
      </c>
      <c r="AQ103" s="278">
        <f>TABLA_BASE[[#This Row],[CF UNIT.
✅RECUP.(S/.)]]*TABLA_BASE[[#This Row],[CANTIDAD
(unid.)]]</f>
        <v>0</v>
      </c>
      <c r="AR103" s="288">
        <f>'💰 Precio de Venta'!G108</f>
        <v>0.4</v>
      </c>
      <c r="AS103" s="278">
        <f>'💰 Precio de Venta'!H108</f>
        <v>0</v>
      </c>
      <c r="AT103" s="278">
        <f>TABLA_BASE[[#This Row],[VALOR VTA.
UNIT.(S/.)]]*TABLA_BASE[[#This Row],[CANTIDAD
(unid.)]]</f>
        <v>0</v>
      </c>
      <c r="AU103" s="281">
        <f>'💰 Precio de Venta'!I108</f>
        <v>0</v>
      </c>
      <c r="AV103" s="278">
        <f>'💰 Precio de Venta'!J108</f>
        <v>0</v>
      </c>
      <c r="AW103" s="278">
        <f>TABLA_BASE[[#This Row],[GANANCIA
UNIT.(S/.)]]*TABLA_BASE[[#This Row],[CANTIDAD
(unid.)]]</f>
        <v>0</v>
      </c>
      <c r="AX103" s="289">
        <f>'💰 Precio de Venta'!K108</f>
        <v>0</v>
      </c>
      <c r="AY103" s="278">
        <f>TABLA_BASE[[#This Row],[GANANCIA
UNIT.(S/.)]]*'🧾 Factura Comercial'!G107</f>
        <v>0</v>
      </c>
      <c r="AZ103" s="277">
        <f>IF(TABLA_BASE[[#This Row],[PRECIO VTA.
c/IGV(S/.)]]=0,0,TABLA_BASE[[#This Row],[GANANCIA
UNIT.(S/.)]]/TABLA_BASE[[#This Row],[PRECIO VTA.
c/IGV(S/.)]])</f>
        <v>0</v>
      </c>
      <c r="BA103" s="277">
        <f>IF(TABLA_BASE[[#This Row],[C/M UNIT.
(S/.)]]=0,0,TABLA_BASE[[#This Row],[GANANCIA
UNIT.(S/.)]]/TABLA_BASE[[#This Row],[C/M UNIT.
(S/.)]])</f>
        <v>0</v>
      </c>
      <c r="BB103" s="274" t="str">
        <f>IF(TABLA_BASE[[#This Row],[MARGEN
%]]&gt;=0.5,"🟢 ALTO",IF(TABLA_BASE[[#This Row],[MARGEN
%]]&gt;=0.3,"🟡 MEDIO","🔴 BAJO"))</f>
        <v>🟡 MEDIO</v>
      </c>
    </row>
    <row r="104" spans="1:54" ht="16.5" hidden="1" thickTop="1" thickBot="1" x14ac:dyDescent="0.3">
      <c r="A104" s="274">
        <f>'🧾 Factura Comercial'!E108</f>
        <v>0</v>
      </c>
      <c r="B104" s="274" t="str">
        <f>'🧾 Factura Comercial'!F108</f>
        <v>Unid.</v>
      </c>
      <c r="C104" s="275">
        <f>'🧾 Factura Comercial'!G108</f>
        <v>0</v>
      </c>
      <c r="D104" s="276">
        <f>'🧾 Factura Comercial'!H108</f>
        <v>0</v>
      </c>
      <c r="E104" s="276">
        <f>'🧾 Factura Comercial'!I108</f>
        <v>0</v>
      </c>
      <c r="F104" s="277">
        <f>IF('🧾 Tributos Aduana'!$F$6=0,0,'🧾 Factura Comercial'!I108/'🧾 Tributos Aduana'!$F$6)</f>
        <v>0</v>
      </c>
      <c r="G104" s="278">
        <f>'🧾 Factura Comercial'!H108*'📋 Datos Generales'!$E$19</f>
        <v>0</v>
      </c>
      <c r="H104" s="278">
        <f>TABLA_BASE[[#This Row],[FOB UNIT.
(S/.)]]*TABLA_BASE[[#This Row],[CANTIDAD
(unid.)]]</f>
        <v>0</v>
      </c>
      <c r="I104" s="280">
        <f>IF('🧾 Tributos Aduana'!$F$6=0,0,'🧾 Tributos Aduana'!$F$17*('🧾 Factura Comercial'!H108/'🧾 Tributos Aduana'!$F$6))</f>
        <v>0</v>
      </c>
      <c r="J104" s="280">
        <f>TABLA_BASE[[#This Row],[ADV UNIT.
(US$)
⚠️COSTO]]*TABLA_BASE[[#This Row],[CANTIDAD
(unid.)]]</f>
        <v>0</v>
      </c>
      <c r="K104" s="279">
        <f>IF('🧾 Tributos Aduana'!$F$6=0,0,'🧾 Tributos Aduana'!$F$18*('🧾 Factura Comercial'!H108/'🧾 Tributos Aduana'!$F$6))</f>
        <v>0</v>
      </c>
      <c r="L104" s="280">
        <f>TABLA_BASE[[#This Row],[IPM UNIT.
(US$)
✅CF]]*TABLA_BASE[[#This Row],[CANTIDAD
(unid.)]]</f>
        <v>0</v>
      </c>
      <c r="M104" s="279">
        <f>IF('🧾 Tributos Aduana'!$F$6=0,0,'🧾 Tributos Aduana'!$F$19*('🧾 Factura Comercial'!H108/'🧾 Tributos Aduana'!$F$6))</f>
        <v>0</v>
      </c>
      <c r="N104" s="280">
        <f>TABLA_BASE[[#This Row],[IGV UNIT.
(US$)
✅CF]]*TABLA_BASE[[#This Row],[CANTIDAD
(unid.)]]</f>
        <v>0</v>
      </c>
      <c r="O104" s="280">
        <f>IF('🧾 Tributos Aduana'!$F$6=0,0,'🧾 Tributos Aduana'!$F$23*('🧾 Factura Comercial'!H108/'🧾 Tributos Aduana'!$F$6))</f>
        <v>0</v>
      </c>
      <c r="P104" s="280">
        <f>TABLA_BASE[[#This Row],[PERCEP.
UNIT.(US$)
✅CF]]*TABLA_BASE[[#This Row],[CANTIDAD
(unid.)]]</f>
        <v>0</v>
      </c>
      <c r="Q104" s="279">
        <f>TABLA_BASE[[#This Row],[ADV UNIT.
(US$)
⚠️COSTO]]+TABLA_BASE[[#This Row],[IPM UNIT.
(US$)
✅CF]]+TABLA_BASE[[#This Row],[IGV UNIT.
(US$)
✅CF]]</f>
        <v>0</v>
      </c>
      <c r="R104" s="280">
        <f>TABLA_BASE[[#This Row],[DEUDA
ADUANERA
UNIT.]]*TABLA_BASE[[#This Row],[CANTIDAD
(unid.)]]</f>
        <v>0</v>
      </c>
      <c r="S104" s="278">
        <f>TABLA_BASE[[#This Row],[DEUDA
ADUANERA
UNIT.]]*'📋 Datos Generales'!$E$19</f>
        <v>0</v>
      </c>
      <c r="T104" s="278">
        <f>TABLA_BASE[[#This Row],[DEUDA
ADUANERA
TOTAL]]*'📋 Datos Generales'!$E$19</f>
        <v>0</v>
      </c>
      <c r="U104" s="281">
        <f>TABLA_BASE[[#This Row],[ADV UNIT.
(US$)
⚠️COSTO]]*'📋 Datos Generales'!$E$19</f>
        <v>0</v>
      </c>
      <c r="V104" s="281">
        <f>TABLA_BASE[[#This Row],[ADV UNIT.
(S/.)]]*TABLA_BASE[[#This Row],[CANTIDAD
(unid.)]]</f>
        <v>0</v>
      </c>
      <c r="W104" s="281">
        <f>TABLA_BASE[[#This Row],[IPM UNIT.
(US$)
✅CF]]*'📋 Datos Generales'!$E$19</f>
        <v>0</v>
      </c>
      <c r="X104" s="281">
        <f>TABLA_BASE[[#This Row],[IPM UNIT.
(S/.)]]*TABLA_BASE[[#This Row],[CANTIDAD
(unid.)]]</f>
        <v>0</v>
      </c>
      <c r="Y104" s="281">
        <f>TABLA_BASE[[#This Row],[IGV UNIT.
(US$)
✅CF]]*'📋 Datos Generales'!$E$19</f>
        <v>0</v>
      </c>
      <c r="Z104" s="281">
        <f>TABLA_BASE[[#This Row],[IGV UNIT.
(S/.)]]*TABLA_BASE[[#This Row],[CANTIDAD
(unid.)]]</f>
        <v>0</v>
      </c>
      <c r="AA104" s="281">
        <f>TABLA_BASE[[#This Row],[PERCEP.
UNIT.(US$)
✅CF]]*'📋 Datos Generales'!$E$19</f>
        <v>0</v>
      </c>
      <c r="AB104" s="281">
        <f>TABLA_BASE[[#This Row],[PERCEP.
UNIT.(S/.)]]*TABLA_BASE[[#This Row],[CANTIDAD
(unid.)]]</f>
        <v>0</v>
      </c>
      <c r="AC104" s="279">
        <f>TABLA_BASE[[#This Row],[ADV UNIT.
(US$)
⚠️COSTO]]+TABLA_BASE[[#This Row],[IPM UNIT.
(US$)
✅CF]]+TABLA_BASE[[#This Row],[IGV UNIT.
(US$)
✅CF]]+TABLA_BASE[[#This Row],[PERCEP.
UNIT.(US$)
✅CF]]</f>
        <v>0</v>
      </c>
      <c r="AD104" s="279">
        <f>TABLA_BASE[[#This Row],[TOTAL PAGO
SUNAT
UNIT.(US$)]]*TABLA_BASE[[#This Row],[CANTIDAD
(unid.)]]</f>
        <v>0</v>
      </c>
      <c r="AE104" s="281">
        <f>TABLA_BASE[[#This Row],[TOTAL PAGO
SUNAT
UNIT.(US$)]]*'📋 Datos Generales'!$E$19</f>
        <v>0</v>
      </c>
      <c r="AF104" s="281">
        <f>TABLA_BASE[[#This Row],[TOTAL TRIB.
UNIT.(S/.)]]*TABLA_BASE[[#This Row],[CANTIDAD
(unid.)]]</f>
        <v>0</v>
      </c>
      <c r="AG104" s="279">
        <f>IF('🧾 Factura Comercial'!G108=0,0,'📦 Gastos Importación'!$E$28*(IF('🧾 Tributos Aduana'!$F$6=0,0,'🧾 Factura Comercial'!I108/'🧾 Tributos Aduana'!$F$6))/'🧾 Factura Comercial'!G108)</f>
        <v>0</v>
      </c>
      <c r="AH104" s="279">
        <f>TABLA_BASE[[#This Row],[GASTOS IMP.
UNIT.(US$)]]*TABLA_BASE[[#This Row],[CANTIDAD
(unid.)]]</f>
        <v>0</v>
      </c>
      <c r="AI104" s="281">
        <f>TABLA_BASE[[#This Row],[GASTOS IMP.
UNIT.(US$)]]*'📋 Datos Generales'!$E$19</f>
        <v>0</v>
      </c>
      <c r="AJ104" s="281">
        <f>TABLA_BASE[[#This Row],[GASTOS IMP.
UNIT.(S/.)]]*TABLA_BASE[[#This Row],[CANTIDAD
(unid.)]]</f>
        <v>0</v>
      </c>
      <c r="AK104" s="280">
        <f>'🧮 Costos x Producto'!J108</f>
        <v>0</v>
      </c>
      <c r="AL104" s="278">
        <f>'🧮 Costos x Producto'!K108</f>
        <v>0</v>
      </c>
      <c r="AM104" s="278">
        <f>TABLA_BASE[[#This Row],[C/M UNIT.
(S/.)]]*TABLA_BASE[[#This Row],[CANTIDAD
(unid.)]]</f>
        <v>0</v>
      </c>
      <c r="AN104" s="279">
        <f>IF('🧾 Factura Comercial'!G108=0,0,'🧾 Tributos Aduana'!$F$17*(IF('🧾 Tributos Aduana'!$F$6=0,0,'🧾 Factura Comercial'!I108/'🧾 Tributos Aduana'!$F$6))/'🧾 Factura Comercial'!G108)</f>
        <v>0</v>
      </c>
      <c r="AO104" s="280">
        <f>IF('🧾 Factura Comercial'!G108=0,0,'🏦 Crédito Fiscal'!$C$16*(IF('🧾 Tributos Aduana'!$F$6=0,0,'🧾 Factura Comercial'!I108/'🧾 Tributos Aduana'!$F$6))/'🧾 Factura Comercial'!G108)</f>
        <v>0</v>
      </c>
      <c r="AP104" s="278">
        <f>TABLA_BASE[[#This Row],[CF UNIT.
✅RECUP.
(US$)]]*'📋 Datos Generales'!$E$19</f>
        <v>0</v>
      </c>
      <c r="AQ104" s="278">
        <f>TABLA_BASE[[#This Row],[CF UNIT.
✅RECUP.(S/.)]]*TABLA_BASE[[#This Row],[CANTIDAD
(unid.)]]</f>
        <v>0</v>
      </c>
      <c r="AR104" s="288">
        <f>'💰 Precio de Venta'!G109</f>
        <v>0.4</v>
      </c>
      <c r="AS104" s="278">
        <f>'💰 Precio de Venta'!H109</f>
        <v>0</v>
      </c>
      <c r="AT104" s="278">
        <f>TABLA_BASE[[#This Row],[VALOR VTA.
UNIT.(S/.)]]*TABLA_BASE[[#This Row],[CANTIDAD
(unid.)]]</f>
        <v>0</v>
      </c>
      <c r="AU104" s="281">
        <f>'💰 Precio de Venta'!I109</f>
        <v>0</v>
      </c>
      <c r="AV104" s="278">
        <f>'💰 Precio de Venta'!J109</f>
        <v>0</v>
      </c>
      <c r="AW104" s="278">
        <f>TABLA_BASE[[#This Row],[GANANCIA
UNIT.(S/.)]]*TABLA_BASE[[#This Row],[CANTIDAD
(unid.)]]</f>
        <v>0</v>
      </c>
      <c r="AX104" s="289">
        <f>'💰 Precio de Venta'!K109</f>
        <v>0</v>
      </c>
      <c r="AY104" s="278">
        <f>TABLA_BASE[[#This Row],[GANANCIA
UNIT.(S/.)]]*'🧾 Factura Comercial'!G108</f>
        <v>0</v>
      </c>
      <c r="AZ104" s="277">
        <f>IF(TABLA_BASE[[#This Row],[PRECIO VTA.
c/IGV(S/.)]]=0,0,TABLA_BASE[[#This Row],[GANANCIA
UNIT.(S/.)]]/TABLA_BASE[[#This Row],[PRECIO VTA.
c/IGV(S/.)]])</f>
        <v>0</v>
      </c>
      <c r="BA104" s="277">
        <f>IF(TABLA_BASE[[#This Row],[C/M UNIT.
(S/.)]]=0,0,TABLA_BASE[[#This Row],[GANANCIA
UNIT.(S/.)]]/TABLA_BASE[[#This Row],[C/M UNIT.
(S/.)]])</f>
        <v>0</v>
      </c>
      <c r="BB104" s="274" t="str">
        <f>IF(TABLA_BASE[[#This Row],[MARGEN
%]]&gt;=0.5,"🟢 ALTO",IF(TABLA_BASE[[#This Row],[MARGEN
%]]&gt;=0.3,"🟡 MEDIO","🔴 BAJO"))</f>
        <v>🟡 MEDIO</v>
      </c>
    </row>
    <row r="105" spans="1:54" ht="16.5" hidden="1" thickTop="1" thickBot="1" x14ac:dyDescent="0.3">
      <c r="A105" s="274">
        <f>'🧾 Factura Comercial'!E109</f>
        <v>0</v>
      </c>
      <c r="B105" s="274" t="str">
        <f>'🧾 Factura Comercial'!F109</f>
        <v>Unid.</v>
      </c>
      <c r="C105" s="275">
        <f>'🧾 Factura Comercial'!G109</f>
        <v>0</v>
      </c>
      <c r="D105" s="276">
        <f>'🧾 Factura Comercial'!H109</f>
        <v>0</v>
      </c>
      <c r="E105" s="276">
        <f>'🧾 Factura Comercial'!I109</f>
        <v>0</v>
      </c>
      <c r="F105" s="277">
        <f>IF('🧾 Tributos Aduana'!$F$6=0,0,'🧾 Factura Comercial'!I109/'🧾 Tributos Aduana'!$F$6)</f>
        <v>0</v>
      </c>
      <c r="G105" s="278">
        <f>'🧾 Factura Comercial'!H109*'📋 Datos Generales'!$E$19</f>
        <v>0</v>
      </c>
      <c r="H105" s="278">
        <f>TABLA_BASE[[#This Row],[FOB UNIT.
(S/.)]]*TABLA_BASE[[#This Row],[CANTIDAD
(unid.)]]</f>
        <v>0</v>
      </c>
      <c r="I105" s="280">
        <f>IF('🧾 Tributos Aduana'!$F$6=0,0,'🧾 Tributos Aduana'!$F$17*('🧾 Factura Comercial'!H109/'🧾 Tributos Aduana'!$F$6))</f>
        <v>0</v>
      </c>
      <c r="J105" s="280">
        <f>TABLA_BASE[[#This Row],[ADV UNIT.
(US$)
⚠️COSTO]]*TABLA_BASE[[#This Row],[CANTIDAD
(unid.)]]</f>
        <v>0</v>
      </c>
      <c r="K105" s="279">
        <f>IF('🧾 Tributos Aduana'!$F$6=0,0,'🧾 Tributos Aduana'!$F$18*('🧾 Factura Comercial'!H109/'🧾 Tributos Aduana'!$F$6))</f>
        <v>0</v>
      </c>
      <c r="L105" s="280">
        <f>TABLA_BASE[[#This Row],[IPM UNIT.
(US$)
✅CF]]*TABLA_BASE[[#This Row],[CANTIDAD
(unid.)]]</f>
        <v>0</v>
      </c>
      <c r="M105" s="279">
        <f>IF('🧾 Tributos Aduana'!$F$6=0,0,'🧾 Tributos Aduana'!$F$19*('🧾 Factura Comercial'!H109/'🧾 Tributos Aduana'!$F$6))</f>
        <v>0</v>
      </c>
      <c r="N105" s="280">
        <f>TABLA_BASE[[#This Row],[IGV UNIT.
(US$)
✅CF]]*TABLA_BASE[[#This Row],[CANTIDAD
(unid.)]]</f>
        <v>0</v>
      </c>
      <c r="O105" s="280">
        <f>IF('🧾 Tributos Aduana'!$F$6=0,0,'🧾 Tributos Aduana'!$F$23*('🧾 Factura Comercial'!H109/'🧾 Tributos Aduana'!$F$6))</f>
        <v>0</v>
      </c>
      <c r="P105" s="280">
        <f>TABLA_BASE[[#This Row],[PERCEP.
UNIT.(US$)
✅CF]]*TABLA_BASE[[#This Row],[CANTIDAD
(unid.)]]</f>
        <v>0</v>
      </c>
      <c r="Q105" s="279">
        <f>TABLA_BASE[[#This Row],[ADV UNIT.
(US$)
⚠️COSTO]]+TABLA_BASE[[#This Row],[IPM UNIT.
(US$)
✅CF]]+TABLA_BASE[[#This Row],[IGV UNIT.
(US$)
✅CF]]</f>
        <v>0</v>
      </c>
      <c r="R105" s="280">
        <f>TABLA_BASE[[#This Row],[DEUDA
ADUANERA
UNIT.]]*TABLA_BASE[[#This Row],[CANTIDAD
(unid.)]]</f>
        <v>0</v>
      </c>
      <c r="S105" s="278">
        <f>TABLA_BASE[[#This Row],[DEUDA
ADUANERA
UNIT.]]*'📋 Datos Generales'!$E$19</f>
        <v>0</v>
      </c>
      <c r="T105" s="278">
        <f>TABLA_BASE[[#This Row],[DEUDA
ADUANERA
TOTAL]]*'📋 Datos Generales'!$E$19</f>
        <v>0</v>
      </c>
      <c r="U105" s="281">
        <f>TABLA_BASE[[#This Row],[ADV UNIT.
(US$)
⚠️COSTO]]*'📋 Datos Generales'!$E$19</f>
        <v>0</v>
      </c>
      <c r="V105" s="281">
        <f>TABLA_BASE[[#This Row],[ADV UNIT.
(S/.)]]*TABLA_BASE[[#This Row],[CANTIDAD
(unid.)]]</f>
        <v>0</v>
      </c>
      <c r="W105" s="281">
        <f>TABLA_BASE[[#This Row],[IPM UNIT.
(US$)
✅CF]]*'📋 Datos Generales'!$E$19</f>
        <v>0</v>
      </c>
      <c r="X105" s="281">
        <f>TABLA_BASE[[#This Row],[IPM UNIT.
(S/.)]]*TABLA_BASE[[#This Row],[CANTIDAD
(unid.)]]</f>
        <v>0</v>
      </c>
      <c r="Y105" s="281">
        <f>TABLA_BASE[[#This Row],[IGV UNIT.
(US$)
✅CF]]*'📋 Datos Generales'!$E$19</f>
        <v>0</v>
      </c>
      <c r="Z105" s="281">
        <f>TABLA_BASE[[#This Row],[IGV UNIT.
(S/.)]]*TABLA_BASE[[#This Row],[CANTIDAD
(unid.)]]</f>
        <v>0</v>
      </c>
      <c r="AA105" s="281">
        <f>TABLA_BASE[[#This Row],[PERCEP.
UNIT.(US$)
✅CF]]*'📋 Datos Generales'!$E$19</f>
        <v>0</v>
      </c>
      <c r="AB105" s="281">
        <f>TABLA_BASE[[#This Row],[PERCEP.
UNIT.(S/.)]]*TABLA_BASE[[#This Row],[CANTIDAD
(unid.)]]</f>
        <v>0</v>
      </c>
      <c r="AC105" s="279">
        <f>TABLA_BASE[[#This Row],[ADV UNIT.
(US$)
⚠️COSTO]]+TABLA_BASE[[#This Row],[IPM UNIT.
(US$)
✅CF]]+TABLA_BASE[[#This Row],[IGV UNIT.
(US$)
✅CF]]+TABLA_BASE[[#This Row],[PERCEP.
UNIT.(US$)
✅CF]]</f>
        <v>0</v>
      </c>
      <c r="AD105" s="279">
        <f>TABLA_BASE[[#This Row],[TOTAL PAGO
SUNAT
UNIT.(US$)]]*TABLA_BASE[[#This Row],[CANTIDAD
(unid.)]]</f>
        <v>0</v>
      </c>
      <c r="AE105" s="281">
        <f>TABLA_BASE[[#This Row],[TOTAL PAGO
SUNAT
UNIT.(US$)]]*'📋 Datos Generales'!$E$19</f>
        <v>0</v>
      </c>
      <c r="AF105" s="281">
        <f>TABLA_BASE[[#This Row],[TOTAL TRIB.
UNIT.(S/.)]]*TABLA_BASE[[#This Row],[CANTIDAD
(unid.)]]</f>
        <v>0</v>
      </c>
      <c r="AG105" s="279">
        <f>IF('🧾 Factura Comercial'!G109=0,0,'📦 Gastos Importación'!$E$28*(IF('🧾 Tributos Aduana'!$F$6=0,0,'🧾 Factura Comercial'!I109/'🧾 Tributos Aduana'!$F$6))/'🧾 Factura Comercial'!G109)</f>
        <v>0</v>
      </c>
      <c r="AH105" s="279">
        <f>TABLA_BASE[[#This Row],[GASTOS IMP.
UNIT.(US$)]]*TABLA_BASE[[#This Row],[CANTIDAD
(unid.)]]</f>
        <v>0</v>
      </c>
      <c r="AI105" s="281">
        <f>TABLA_BASE[[#This Row],[GASTOS IMP.
UNIT.(US$)]]*'📋 Datos Generales'!$E$19</f>
        <v>0</v>
      </c>
      <c r="AJ105" s="281">
        <f>TABLA_BASE[[#This Row],[GASTOS IMP.
UNIT.(S/.)]]*TABLA_BASE[[#This Row],[CANTIDAD
(unid.)]]</f>
        <v>0</v>
      </c>
      <c r="AK105" s="280">
        <f>'🧮 Costos x Producto'!J109</f>
        <v>0</v>
      </c>
      <c r="AL105" s="278">
        <f>'🧮 Costos x Producto'!K109</f>
        <v>0</v>
      </c>
      <c r="AM105" s="278">
        <f>TABLA_BASE[[#This Row],[C/M UNIT.
(S/.)]]*TABLA_BASE[[#This Row],[CANTIDAD
(unid.)]]</f>
        <v>0</v>
      </c>
      <c r="AN105" s="279">
        <f>IF('🧾 Factura Comercial'!G109=0,0,'🧾 Tributos Aduana'!$F$17*(IF('🧾 Tributos Aduana'!$F$6=0,0,'🧾 Factura Comercial'!I109/'🧾 Tributos Aduana'!$F$6))/'🧾 Factura Comercial'!G109)</f>
        <v>0</v>
      </c>
      <c r="AO105" s="280">
        <f>IF('🧾 Factura Comercial'!G109=0,0,'🏦 Crédito Fiscal'!$C$16*(IF('🧾 Tributos Aduana'!$F$6=0,0,'🧾 Factura Comercial'!I109/'🧾 Tributos Aduana'!$F$6))/'🧾 Factura Comercial'!G109)</f>
        <v>0</v>
      </c>
      <c r="AP105" s="278">
        <f>TABLA_BASE[[#This Row],[CF UNIT.
✅RECUP.
(US$)]]*'📋 Datos Generales'!$E$19</f>
        <v>0</v>
      </c>
      <c r="AQ105" s="278">
        <f>TABLA_BASE[[#This Row],[CF UNIT.
✅RECUP.(S/.)]]*TABLA_BASE[[#This Row],[CANTIDAD
(unid.)]]</f>
        <v>0</v>
      </c>
      <c r="AR105" s="288">
        <f>'💰 Precio de Venta'!G110</f>
        <v>0.4</v>
      </c>
      <c r="AS105" s="278">
        <f>'💰 Precio de Venta'!H110</f>
        <v>0</v>
      </c>
      <c r="AT105" s="278">
        <f>TABLA_BASE[[#This Row],[VALOR VTA.
UNIT.(S/.)]]*TABLA_BASE[[#This Row],[CANTIDAD
(unid.)]]</f>
        <v>0</v>
      </c>
      <c r="AU105" s="281">
        <f>'💰 Precio de Venta'!I110</f>
        <v>0</v>
      </c>
      <c r="AV105" s="278">
        <f>'💰 Precio de Venta'!J110</f>
        <v>0</v>
      </c>
      <c r="AW105" s="278">
        <f>TABLA_BASE[[#This Row],[GANANCIA
UNIT.(S/.)]]*TABLA_BASE[[#This Row],[CANTIDAD
(unid.)]]</f>
        <v>0</v>
      </c>
      <c r="AX105" s="289">
        <f>'💰 Precio de Venta'!K110</f>
        <v>0</v>
      </c>
      <c r="AY105" s="278">
        <f>TABLA_BASE[[#This Row],[GANANCIA
UNIT.(S/.)]]*'🧾 Factura Comercial'!G109</f>
        <v>0</v>
      </c>
      <c r="AZ105" s="277">
        <f>IF(TABLA_BASE[[#This Row],[PRECIO VTA.
c/IGV(S/.)]]=0,0,TABLA_BASE[[#This Row],[GANANCIA
UNIT.(S/.)]]/TABLA_BASE[[#This Row],[PRECIO VTA.
c/IGV(S/.)]])</f>
        <v>0</v>
      </c>
      <c r="BA105" s="277">
        <f>IF(TABLA_BASE[[#This Row],[C/M UNIT.
(S/.)]]=0,0,TABLA_BASE[[#This Row],[GANANCIA
UNIT.(S/.)]]/TABLA_BASE[[#This Row],[C/M UNIT.
(S/.)]])</f>
        <v>0</v>
      </c>
      <c r="BB105" s="274" t="str">
        <f>IF(TABLA_BASE[[#This Row],[MARGEN
%]]&gt;=0.5,"🟢 ALTO",IF(TABLA_BASE[[#This Row],[MARGEN
%]]&gt;=0.3,"🟡 MEDIO","🔴 BAJO"))</f>
        <v>🟡 MEDIO</v>
      </c>
    </row>
    <row r="106" spans="1:54" ht="16.5" hidden="1" thickTop="1" thickBot="1" x14ac:dyDescent="0.3">
      <c r="A106" s="274">
        <f>'🧾 Factura Comercial'!E110</f>
        <v>0</v>
      </c>
      <c r="B106" s="274" t="str">
        <f>'🧾 Factura Comercial'!F110</f>
        <v>Unid.</v>
      </c>
      <c r="C106" s="275">
        <f>'🧾 Factura Comercial'!G110</f>
        <v>0</v>
      </c>
      <c r="D106" s="276">
        <f>'🧾 Factura Comercial'!H110</f>
        <v>0</v>
      </c>
      <c r="E106" s="276">
        <f>'🧾 Factura Comercial'!I110</f>
        <v>0</v>
      </c>
      <c r="F106" s="277">
        <f>IF('🧾 Tributos Aduana'!$F$6=0,0,'🧾 Factura Comercial'!I110/'🧾 Tributos Aduana'!$F$6)</f>
        <v>0</v>
      </c>
      <c r="G106" s="278">
        <f>'🧾 Factura Comercial'!H110*'📋 Datos Generales'!$E$19</f>
        <v>0</v>
      </c>
      <c r="H106" s="278">
        <f>TABLA_BASE[[#This Row],[FOB UNIT.
(S/.)]]*TABLA_BASE[[#This Row],[CANTIDAD
(unid.)]]</f>
        <v>0</v>
      </c>
      <c r="I106" s="280">
        <f>IF('🧾 Tributos Aduana'!$F$6=0,0,'🧾 Tributos Aduana'!$F$17*('🧾 Factura Comercial'!H110/'🧾 Tributos Aduana'!$F$6))</f>
        <v>0</v>
      </c>
      <c r="J106" s="280">
        <f>TABLA_BASE[[#This Row],[ADV UNIT.
(US$)
⚠️COSTO]]*TABLA_BASE[[#This Row],[CANTIDAD
(unid.)]]</f>
        <v>0</v>
      </c>
      <c r="K106" s="279">
        <f>IF('🧾 Tributos Aduana'!$F$6=0,0,'🧾 Tributos Aduana'!$F$18*('🧾 Factura Comercial'!H110/'🧾 Tributos Aduana'!$F$6))</f>
        <v>0</v>
      </c>
      <c r="L106" s="280">
        <f>TABLA_BASE[[#This Row],[IPM UNIT.
(US$)
✅CF]]*TABLA_BASE[[#This Row],[CANTIDAD
(unid.)]]</f>
        <v>0</v>
      </c>
      <c r="M106" s="279">
        <f>IF('🧾 Tributos Aduana'!$F$6=0,0,'🧾 Tributos Aduana'!$F$19*('🧾 Factura Comercial'!H110/'🧾 Tributos Aduana'!$F$6))</f>
        <v>0</v>
      </c>
      <c r="N106" s="280">
        <f>TABLA_BASE[[#This Row],[IGV UNIT.
(US$)
✅CF]]*TABLA_BASE[[#This Row],[CANTIDAD
(unid.)]]</f>
        <v>0</v>
      </c>
      <c r="O106" s="280">
        <f>IF('🧾 Tributos Aduana'!$F$6=0,0,'🧾 Tributos Aduana'!$F$23*('🧾 Factura Comercial'!H110/'🧾 Tributos Aduana'!$F$6))</f>
        <v>0</v>
      </c>
      <c r="P106" s="280">
        <f>TABLA_BASE[[#This Row],[PERCEP.
UNIT.(US$)
✅CF]]*TABLA_BASE[[#This Row],[CANTIDAD
(unid.)]]</f>
        <v>0</v>
      </c>
      <c r="Q106" s="279">
        <f>TABLA_BASE[[#This Row],[ADV UNIT.
(US$)
⚠️COSTO]]+TABLA_BASE[[#This Row],[IPM UNIT.
(US$)
✅CF]]+TABLA_BASE[[#This Row],[IGV UNIT.
(US$)
✅CF]]</f>
        <v>0</v>
      </c>
      <c r="R106" s="280">
        <f>TABLA_BASE[[#This Row],[DEUDA
ADUANERA
UNIT.]]*TABLA_BASE[[#This Row],[CANTIDAD
(unid.)]]</f>
        <v>0</v>
      </c>
      <c r="S106" s="278">
        <f>TABLA_BASE[[#This Row],[DEUDA
ADUANERA
UNIT.]]*'📋 Datos Generales'!$E$19</f>
        <v>0</v>
      </c>
      <c r="T106" s="278">
        <f>TABLA_BASE[[#This Row],[DEUDA
ADUANERA
TOTAL]]*'📋 Datos Generales'!$E$19</f>
        <v>0</v>
      </c>
      <c r="U106" s="281">
        <f>TABLA_BASE[[#This Row],[ADV UNIT.
(US$)
⚠️COSTO]]*'📋 Datos Generales'!$E$19</f>
        <v>0</v>
      </c>
      <c r="V106" s="281">
        <f>TABLA_BASE[[#This Row],[ADV UNIT.
(S/.)]]*TABLA_BASE[[#This Row],[CANTIDAD
(unid.)]]</f>
        <v>0</v>
      </c>
      <c r="W106" s="281">
        <f>TABLA_BASE[[#This Row],[IPM UNIT.
(US$)
✅CF]]*'📋 Datos Generales'!$E$19</f>
        <v>0</v>
      </c>
      <c r="X106" s="281">
        <f>TABLA_BASE[[#This Row],[IPM UNIT.
(S/.)]]*TABLA_BASE[[#This Row],[CANTIDAD
(unid.)]]</f>
        <v>0</v>
      </c>
      <c r="Y106" s="281">
        <f>TABLA_BASE[[#This Row],[IGV UNIT.
(US$)
✅CF]]*'📋 Datos Generales'!$E$19</f>
        <v>0</v>
      </c>
      <c r="Z106" s="281">
        <f>TABLA_BASE[[#This Row],[IGV UNIT.
(S/.)]]*TABLA_BASE[[#This Row],[CANTIDAD
(unid.)]]</f>
        <v>0</v>
      </c>
      <c r="AA106" s="281">
        <f>TABLA_BASE[[#This Row],[PERCEP.
UNIT.(US$)
✅CF]]*'📋 Datos Generales'!$E$19</f>
        <v>0</v>
      </c>
      <c r="AB106" s="281">
        <f>TABLA_BASE[[#This Row],[PERCEP.
UNIT.(S/.)]]*TABLA_BASE[[#This Row],[CANTIDAD
(unid.)]]</f>
        <v>0</v>
      </c>
      <c r="AC106" s="279">
        <f>TABLA_BASE[[#This Row],[ADV UNIT.
(US$)
⚠️COSTO]]+TABLA_BASE[[#This Row],[IPM UNIT.
(US$)
✅CF]]+TABLA_BASE[[#This Row],[IGV UNIT.
(US$)
✅CF]]+TABLA_BASE[[#This Row],[PERCEP.
UNIT.(US$)
✅CF]]</f>
        <v>0</v>
      </c>
      <c r="AD106" s="279">
        <f>TABLA_BASE[[#This Row],[TOTAL PAGO
SUNAT
UNIT.(US$)]]*TABLA_BASE[[#This Row],[CANTIDAD
(unid.)]]</f>
        <v>0</v>
      </c>
      <c r="AE106" s="281">
        <f>TABLA_BASE[[#This Row],[TOTAL PAGO
SUNAT
UNIT.(US$)]]*'📋 Datos Generales'!$E$19</f>
        <v>0</v>
      </c>
      <c r="AF106" s="281">
        <f>TABLA_BASE[[#This Row],[TOTAL TRIB.
UNIT.(S/.)]]*TABLA_BASE[[#This Row],[CANTIDAD
(unid.)]]</f>
        <v>0</v>
      </c>
      <c r="AG106" s="279">
        <f>IF('🧾 Factura Comercial'!G110=0,0,'📦 Gastos Importación'!$E$28*(IF('🧾 Tributos Aduana'!$F$6=0,0,'🧾 Factura Comercial'!I110/'🧾 Tributos Aduana'!$F$6))/'🧾 Factura Comercial'!G110)</f>
        <v>0</v>
      </c>
      <c r="AH106" s="279">
        <f>TABLA_BASE[[#This Row],[GASTOS IMP.
UNIT.(US$)]]*TABLA_BASE[[#This Row],[CANTIDAD
(unid.)]]</f>
        <v>0</v>
      </c>
      <c r="AI106" s="281">
        <f>TABLA_BASE[[#This Row],[GASTOS IMP.
UNIT.(US$)]]*'📋 Datos Generales'!$E$19</f>
        <v>0</v>
      </c>
      <c r="AJ106" s="281">
        <f>TABLA_BASE[[#This Row],[GASTOS IMP.
UNIT.(S/.)]]*TABLA_BASE[[#This Row],[CANTIDAD
(unid.)]]</f>
        <v>0</v>
      </c>
      <c r="AK106" s="280">
        <f>'🧮 Costos x Producto'!J110</f>
        <v>0</v>
      </c>
      <c r="AL106" s="278">
        <f>'🧮 Costos x Producto'!K110</f>
        <v>0</v>
      </c>
      <c r="AM106" s="278">
        <f>TABLA_BASE[[#This Row],[C/M UNIT.
(S/.)]]*TABLA_BASE[[#This Row],[CANTIDAD
(unid.)]]</f>
        <v>0</v>
      </c>
      <c r="AN106" s="279">
        <f>IF('🧾 Factura Comercial'!G110=0,0,'🧾 Tributos Aduana'!$F$17*(IF('🧾 Tributos Aduana'!$F$6=0,0,'🧾 Factura Comercial'!I110/'🧾 Tributos Aduana'!$F$6))/'🧾 Factura Comercial'!G110)</f>
        <v>0</v>
      </c>
      <c r="AO106" s="280">
        <f>IF('🧾 Factura Comercial'!G110=0,0,'🏦 Crédito Fiscal'!$C$16*(IF('🧾 Tributos Aduana'!$F$6=0,0,'🧾 Factura Comercial'!I110/'🧾 Tributos Aduana'!$F$6))/'🧾 Factura Comercial'!G110)</f>
        <v>0</v>
      </c>
      <c r="AP106" s="278">
        <f>TABLA_BASE[[#This Row],[CF UNIT.
✅RECUP.
(US$)]]*'📋 Datos Generales'!$E$19</f>
        <v>0</v>
      </c>
      <c r="AQ106" s="278">
        <f>TABLA_BASE[[#This Row],[CF UNIT.
✅RECUP.(S/.)]]*TABLA_BASE[[#This Row],[CANTIDAD
(unid.)]]</f>
        <v>0</v>
      </c>
      <c r="AR106" s="288">
        <f>'💰 Precio de Venta'!G111</f>
        <v>0.4</v>
      </c>
      <c r="AS106" s="278">
        <f>'💰 Precio de Venta'!H111</f>
        <v>0</v>
      </c>
      <c r="AT106" s="278">
        <f>TABLA_BASE[[#This Row],[VALOR VTA.
UNIT.(S/.)]]*TABLA_BASE[[#This Row],[CANTIDAD
(unid.)]]</f>
        <v>0</v>
      </c>
      <c r="AU106" s="281">
        <f>'💰 Precio de Venta'!I111</f>
        <v>0</v>
      </c>
      <c r="AV106" s="278">
        <f>'💰 Precio de Venta'!J111</f>
        <v>0</v>
      </c>
      <c r="AW106" s="278">
        <f>TABLA_BASE[[#This Row],[GANANCIA
UNIT.(S/.)]]*TABLA_BASE[[#This Row],[CANTIDAD
(unid.)]]</f>
        <v>0</v>
      </c>
      <c r="AX106" s="289">
        <f>'💰 Precio de Venta'!K111</f>
        <v>0</v>
      </c>
      <c r="AY106" s="278">
        <f>TABLA_BASE[[#This Row],[GANANCIA
UNIT.(S/.)]]*'🧾 Factura Comercial'!G110</f>
        <v>0</v>
      </c>
      <c r="AZ106" s="277">
        <f>IF(TABLA_BASE[[#This Row],[PRECIO VTA.
c/IGV(S/.)]]=0,0,TABLA_BASE[[#This Row],[GANANCIA
UNIT.(S/.)]]/TABLA_BASE[[#This Row],[PRECIO VTA.
c/IGV(S/.)]])</f>
        <v>0</v>
      </c>
      <c r="BA106" s="277">
        <f>IF(TABLA_BASE[[#This Row],[C/M UNIT.
(S/.)]]=0,0,TABLA_BASE[[#This Row],[GANANCIA
UNIT.(S/.)]]/TABLA_BASE[[#This Row],[C/M UNIT.
(S/.)]])</f>
        <v>0</v>
      </c>
      <c r="BB106" s="274" t="str">
        <f>IF(TABLA_BASE[[#This Row],[MARGEN
%]]&gt;=0.5,"🟢 ALTO",IF(TABLA_BASE[[#This Row],[MARGEN
%]]&gt;=0.3,"🟡 MEDIO","🔴 BAJO"))</f>
        <v>🟡 MEDIO</v>
      </c>
    </row>
    <row r="107" spans="1:54" ht="16.5" hidden="1" thickTop="1" thickBot="1" x14ac:dyDescent="0.3">
      <c r="A107" s="274">
        <f>'🧾 Factura Comercial'!E111</f>
        <v>0</v>
      </c>
      <c r="B107" s="274" t="str">
        <f>'🧾 Factura Comercial'!F111</f>
        <v>Unid.</v>
      </c>
      <c r="C107" s="275">
        <f>'🧾 Factura Comercial'!G111</f>
        <v>0</v>
      </c>
      <c r="D107" s="276">
        <f>'🧾 Factura Comercial'!H111</f>
        <v>0</v>
      </c>
      <c r="E107" s="276">
        <f>'🧾 Factura Comercial'!I111</f>
        <v>0</v>
      </c>
      <c r="F107" s="277">
        <f>IF('🧾 Tributos Aduana'!$F$6=0,0,'🧾 Factura Comercial'!I111/'🧾 Tributos Aduana'!$F$6)</f>
        <v>0</v>
      </c>
      <c r="G107" s="278">
        <f>'🧾 Factura Comercial'!H111*'📋 Datos Generales'!$E$19</f>
        <v>0</v>
      </c>
      <c r="H107" s="278">
        <f>TABLA_BASE[[#This Row],[FOB UNIT.
(S/.)]]*TABLA_BASE[[#This Row],[CANTIDAD
(unid.)]]</f>
        <v>0</v>
      </c>
      <c r="I107" s="280">
        <f>IF('🧾 Tributos Aduana'!$F$6=0,0,'🧾 Tributos Aduana'!$F$17*('🧾 Factura Comercial'!H111/'🧾 Tributos Aduana'!$F$6))</f>
        <v>0</v>
      </c>
      <c r="J107" s="280">
        <f>TABLA_BASE[[#This Row],[ADV UNIT.
(US$)
⚠️COSTO]]*TABLA_BASE[[#This Row],[CANTIDAD
(unid.)]]</f>
        <v>0</v>
      </c>
      <c r="K107" s="279">
        <f>IF('🧾 Tributos Aduana'!$F$6=0,0,'🧾 Tributos Aduana'!$F$18*('🧾 Factura Comercial'!H111/'🧾 Tributos Aduana'!$F$6))</f>
        <v>0</v>
      </c>
      <c r="L107" s="280">
        <f>TABLA_BASE[[#This Row],[IPM UNIT.
(US$)
✅CF]]*TABLA_BASE[[#This Row],[CANTIDAD
(unid.)]]</f>
        <v>0</v>
      </c>
      <c r="M107" s="279">
        <f>IF('🧾 Tributos Aduana'!$F$6=0,0,'🧾 Tributos Aduana'!$F$19*('🧾 Factura Comercial'!H111/'🧾 Tributos Aduana'!$F$6))</f>
        <v>0</v>
      </c>
      <c r="N107" s="280">
        <f>TABLA_BASE[[#This Row],[IGV UNIT.
(US$)
✅CF]]*TABLA_BASE[[#This Row],[CANTIDAD
(unid.)]]</f>
        <v>0</v>
      </c>
      <c r="O107" s="280">
        <f>IF('🧾 Tributos Aduana'!$F$6=0,0,'🧾 Tributos Aduana'!$F$23*('🧾 Factura Comercial'!H111/'🧾 Tributos Aduana'!$F$6))</f>
        <v>0</v>
      </c>
      <c r="P107" s="280">
        <f>TABLA_BASE[[#This Row],[PERCEP.
UNIT.(US$)
✅CF]]*TABLA_BASE[[#This Row],[CANTIDAD
(unid.)]]</f>
        <v>0</v>
      </c>
      <c r="Q107" s="279">
        <f>TABLA_BASE[[#This Row],[ADV UNIT.
(US$)
⚠️COSTO]]+TABLA_BASE[[#This Row],[IPM UNIT.
(US$)
✅CF]]+TABLA_BASE[[#This Row],[IGV UNIT.
(US$)
✅CF]]</f>
        <v>0</v>
      </c>
      <c r="R107" s="280">
        <f>TABLA_BASE[[#This Row],[DEUDA
ADUANERA
UNIT.]]*TABLA_BASE[[#This Row],[CANTIDAD
(unid.)]]</f>
        <v>0</v>
      </c>
      <c r="S107" s="278">
        <f>TABLA_BASE[[#This Row],[DEUDA
ADUANERA
UNIT.]]*'📋 Datos Generales'!$E$19</f>
        <v>0</v>
      </c>
      <c r="T107" s="278">
        <f>TABLA_BASE[[#This Row],[DEUDA
ADUANERA
TOTAL]]*'📋 Datos Generales'!$E$19</f>
        <v>0</v>
      </c>
      <c r="U107" s="281">
        <f>TABLA_BASE[[#This Row],[ADV UNIT.
(US$)
⚠️COSTO]]*'📋 Datos Generales'!$E$19</f>
        <v>0</v>
      </c>
      <c r="V107" s="281">
        <f>TABLA_BASE[[#This Row],[ADV UNIT.
(S/.)]]*TABLA_BASE[[#This Row],[CANTIDAD
(unid.)]]</f>
        <v>0</v>
      </c>
      <c r="W107" s="281">
        <f>TABLA_BASE[[#This Row],[IPM UNIT.
(US$)
✅CF]]*'📋 Datos Generales'!$E$19</f>
        <v>0</v>
      </c>
      <c r="X107" s="281">
        <f>TABLA_BASE[[#This Row],[IPM UNIT.
(S/.)]]*TABLA_BASE[[#This Row],[CANTIDAD
(unid.)]]</f>
        <v>0</v>
      </c>
      <c r="Y107" s="281">
        <f>TABLA_BASE[[#This Row],[IGV UNIT.
(US$)
✅CF]]*'📋 Datos Generales'!$E$19</f>
        <v>0</v>
      </c>
      <c r="Z107" s="281">
        <f>TABLA_BASE[[#This Row],[IGV UNIT.
(S/.)]]*TABLA_BASE[[#This Row],[CANTIDAD
(unid.)]]</f>
        <v>0</v>
      </c>
      <c r="AA107" s="281">
        <f>TABLA_BASE[[#This Row],[PERCEP.
UNIT.(US$)
✅CF]]*'📋 Datos Generales'!$E$19</f>
        <v>0</v>
      </c>
      <c r="AB107" s="281">
        <f>TABLA_BASE[[#This Row],[PERCEP.
UNIT.(S/.)]]*TABLA_BASE[[#This Row],[CANTIDAD
(unid.)]]</f>
        <v>0</v>
      </c>
      <c r="AC107" s="279">
        <f>TABLA_BASE[[#This Row],[ADV UNIT.
(US$)
⚠️COSTO]]+TABLA_BASE[[#This Row],[IPM UNIT.
(US$)
✅CF]]+TABLA_BASE[[#This Row],[IGV UNIT.
(US$)
✅CF]]+TABLA_BASE[[#This Row],[PERCEP.
UNIT.(US$)
✅CF]]</f>
        <v>0</v>
      </c>
      <c r="AD107" s="279">
        <f>TABLA_BASE[[#This Row],[TOTAL PAGO
SUNAT
UNIT.(US$)]]*TABLA_BASE[[#This Row],[CANTIDAD
(unid.)]]</f>
        <v>0</v>
      </c>
      <c r="AE107" s="281">
        <f>TABLA_BASE[[#This Row],[TOTAL PAGO
SUNAT
UNIT.(US$)]]*'📋 Datos Generales'!$E$19</f>
        <v>0</v>
      </c>
      <c r="AF107" s="281">
        <f>TABLA_BASE[[#This Row],[TOTAL TRIB.
UNIT.(S/.)]]*TABLA_BASE[[#This Row],[CANTIDAD
(unid.)]]</f>
        <v>0</v>
      </c>
      <c r="AG107" s="279">
        <f>IF('🧾 Factura Comercial'!G111=0,0,'📦 Gastos Importación'!$E$28*(IF('🧾 Tributos Aduana'!$F$6=0,0,'🧾 Factura Comercial'!I111/'🧾 Tributos Aduana'!$F$6))/'🧾 Factura Comercial'!G111)</f>
        <v>0</v>
      </c>
      <c r="AH107" s="279">
        <f>TABLA_BASE[[#This Row],[GASTOS IMP.
UNIT.(US$)]]*TABLA_BASE[[#This Row],[CANTIDAD
(unid.)]]</f>
        <v>0</v>
      </c>
      <c r="AI107" s="281">
        <f>TABLA_BASE[[#This Row],[GASTOS IMP.
UNIT.(US$)]]*'📋 Datos Generales'!$E$19</f>
        <v>0</v>
      </c>
      <c r="AJ107" s="281">
        <f>TABLA_BASE[[#This Row],[GASTOS IMP.
UNIT.(S/.)]]*TABLA_BASE[[#This Row],[CANTIDAD
(unid.)]]</f>
        <v>0</v>
      </c>
      <c r="AK107" s="280">
        <f>'🧮 Costos x Producto'!J111</f>
        <v>0</v>
      </c>
      <c r="AL107" s="278">
        <f>'🧮 Costos x Producto'!K111</f>
        <v>0</v>
      </c>
      <c r="AM107" s="278">
        <f>TABLA_BASE[[#This Row],[C/M UNIT.
(S/.)]]*TABLA_BASE[[#This Row],[CANTIDAD
(unid.)]]</f>
        <v>0</v>
      </c>
      <c r="AN107" s="279">
        <f>IF('🧾 Factura Comercial'!G111=0,0,'🧾 Tributos Aduana'!$F$17*(IF('🧾 Tributos Aduana'!$F$6=0,0,'🧾 Factura Comercial'!I111/'🧾 Tributos Aduana'!$F$6))/'🧾 Factura Comercial'!G111)</f>
        <v>0</v>
      </c>
      <c r="AO107" s="280">
        <f>IF('🧾 Factura Comercial'!G111=0,0,'🏦 Crédito Fiscal'!$C$16*(IF('🧾 Tributos Aduana'!$F$6=0,0,'🧾 Factura Comercial'!I111/'🧾 Tributos Aduana'!$F$6))/'🧾 Factura Comercial'!G111)</f>
        <v>0</v>
      </c>
      <c r="AP107" s="278">
        <f>TABLA_BASE[[#This Row],[CF UNIT.
✅RECUP.
(US$)]]*'📋 Datos Generales'!$E$19</f>
        <v>0</v>
      </c>
      <c r="AQ107" s="278">
        <f>TABLA_BASE[[#This Row],[CF UNIT.
✅RECUP.(S/.)]]*TABLA_BASE[[#This Row],[CANTIDAD
(unid.)]]</f>
        <v>0</v>
      </c>
      <c r="AR107" s="288">
        <f>'💰 Precio de Venta'!G112</f>
        <v>0.4</v>
      </c>
      <c r="AS107" s="278">
        <f>'💰 Precio de Venta'!H112</f>
        <v>0</v>
      </c>
      <c r="AT107" s="278">
        <f>TABLA_BASE[[#This Row],[VALOR VTA.
UNIT.(S/.)]]*TABLA_BASE[[#This Row],[CANTIDAD
(unid.)]]</f>
        <v>0</v>
      </c>
      <c r="AU107" s="281">
        <f>'💰 Precio de Venta'!I112</f>
        <v>0</v>
      </c>
      <c r="AV107" s="278">
        <f>'💰 Precio de Venta'!J112</f>
        <v>0</v>
      </c>
      <c r="AW107" s="278">
        <f>TABLA_BASE[[#This Row],[GANANCIA
UNIT.(S/.)]]*TABLA_BASE[[#This Row],[CANTIDAD
(unid.)]]</f>
        <v>0</v>
      </c>
      <c r="AX107" s="289">
        <f>'💰 Precio de Venta'!K112</f>
        <v>0</v>
      </c>
      <c r="AY107" s="278">
        <f>TABLA_BASE[[#This Row],[GANANCIA
UNIT.(S/.)]]*'🧾 Factura Comercial'!G111</f>
        <v>0</v>
      </c>
      <c r="AZ107" s="277">
        <f>IF(TABLA_BASE[[#This Row],[PRECIO VTA.
c/IGV(S/.)]]=0,0,TABLA_BASE[[#This Row],[GANANCIA
UNIT.(S/.)]]/TABLA_BASE[[#This Row],[PRECIO VTA.
c/IGV(S/.)]])</f>
        <v>0</v>
      </c>
      <c r="BA107" s="277">
        <f>IF(TABLA_BASE[[#This Row],[C/M UNIT.
(S/.)]]=0,0,TABLA_BASE[[#This Row],[GANANCIA
UNIT.(S/.)]]/TABLA_BASE[[#This Row],[C/M UNIT.
(S/.)]])</f>
        <v>0</v>
      </c>
      <c r="BB107" s="274" t="str">
        <f>IF(TABLA_BASE[[#This Row],[MARGEN
%]]&gt;=0.5,"🟢 ALTO",IF(TABLA_BASE[[#This Row],[MARGEN
%]]&gt;=0.3,"🟡 MEDIO","🔴 BAJO"))</f>
        <v>🟡 MEDIO</v>
      </c>
    </row>
    <row r="108" spans="1:54" ht="16.5" hidden="1" thickTop="1" thickBot="1" x14ac:dyDescent="0.3">
      <c r="A108" s="274">
        <f>'🧾 Factura Comercial'!E112</f>
        <v>0</v>
      </c>
      <c r="B108" s="274" t="str">
        <f>'🧾 Factura Comercial'!F112</f>
        <v>Unid.</v>
      </c>
      <c r="C108" s="275">
        <f>'🧾 Factura Comercial'!G112</f>
        <v>0</v>
      </c>
      <c r="D108" s="276">
        <f>'🧾 Factura Comercial'!H112</f>
        <v>0</v>
      </c>
      <c r="E108" s="276">
        <f>'🧾 Factura Comercial'!I112</f>
        <v>0</v>
      </c>
      <c r="F108" s="277">
        <f>IF('🧾 Tributos Aduana'!$F$6=0,0,'🧾 Factura Comercial'!I112/'🧾 Tributos Aduana'!$F$6)</f>
        <v>0</v>
      </c>
      <c r="G108" s="278">
        <f>'🧾 Factura Comercial'!H112*'📋 Datos Generales'!$E$19</f>
        <v>0</v>
      </c>
      <c r="H108" s="278">
        <f>TABLA_BASE[[#This Row],[FOB UNIT.
(S/.)]]*TABLA_BASE[[#This Row],[CANTIDAD
(unid.)]]</f>
        <v>0</v>
      </c>
      <c r="I108" s="280">
        <f>IF('🧾 Tributos Aduana'!$F$6=0,0,'🧾 Tributos Aduana'!$F$17*('🧾 Factura Comercial'!H112/'🧾 Tributos Aduana'!$F$6))</f>
        <v>0</v>
      </c>
      <c r="J108" s="280">
        <f>TABLA_BASE[[#This Row],[ADV UNIT.
(US$)
⚠️COSTO]]*TABLA_BASE[[#This Row],[CANTIDAD
(unid.)]]</f>
        <v>0</v>
      </c>
      <c r="K108" s="279">
        <f>IF('🧾 Tributos Aduana'!$F$6=0,0,'🧾 Tributos Aduana'!$F$18*('🧾 Factura Comercial'!H112/'🧾 Tributos Aduana'!$F$6))</f>
        <v>0</v>
      </c>
      <c r="L108" s="280">
        <f>TABLA_BASE[[#This Row],[IPM UNIT.
(US$)
✅CF]]*TABLA_BASE[[#This Row],[CANTIDAD
(unid.)]]</f>
        <v>0</v>
      </c>
      <c r="M108" s="279">
        <f>IF('🧾 Tributos Aduana'!$F$6=0,0,'🧾 Tributos Aduana'!$F$19*('🧾 Factura Comercial'!H112/'🧾 Tributos Aduana'!$F$6))</f>
        <v>0</v>
      </c>
      <c r="N108" s="280">
        <f>TABLA_BASE[[#This Row],[IGV UNIT.
(US$)
✅CF]]*TABLA_BASE[[#This Row],[CANTIDAD
(unid.)]]</f>
        <v>0</v>
      </c>
      <c r="O108" s="280">
        <f>IF('🧾 Tributos Aduana'!$F$6=0,0,'🧾 Tributos Aduana'!$F$23*('🧾 Factura Comercial'!H112/'🧾 Tributos Aduana'!$F$6))</f>
        <v>0</v>
      </c>
      <c r="P108" s="280">
        <f>TABLA_BASE[[#This Row],[PERCEP.
UNIT.(US$)
✅CF]]*TABLA_BASE[[#This Row],[CANTIDAD
(unid.)]]</f>
        <v>0</v>
      </c>
      <c r="Q108" s="279">
        <f>TABLA_BASE[[#This Row],[ADV UNIT.
(US$)
⚠️COSTO]]+TABLA_BASE[[#This Row],[IPM UNIT.
(US$)
✅CF]]+TABLA_BASE[[#This Row],[IGV UNIT.
(US$)
✅CF]]</f>
        <v>0</v>
      </c>
      <c r="R108" s="280">
        <f>TABLA_BASE[[#This Row],[DEUDA
ADUANERA
UNIT.]]*TABLA_BASE[[#This Row],[CANTIDAD
(unid.)]]</f>
        <v>0</v>
      </c>
      <c r="S108" s="278">
        <f>TABLA_BASE[[#This Row],[DEUDA
ADUANERA
UNIT.]]*'📋 Datos Generales'!$E$19</f>
        <v>0</v>
      </c>
      <c r="T108" s="278">
        <f>TABLA_BASE[[#This Row],[DEUDA
ADUANERA
TOTAL]]*'📋 Datos Generales'!$E$19</f>
        <v>0</v>
      </c>
      <c r="U108" s="281">
        <f>TABLA_BASE[[#This Row],[ADV UNIT.
(US$)
⚠️COSTO]]*'📋 Datos Generales'!$E$19</f>
        <v>0</v>
      </c>
      <c r="V108" s="281">
        <f>TABLA_BASE[[#This Row],[ADV UNIT.
(S/.)]]*TABLA_BASE[[#This Row],[CANTIDAD
(unid.)]]</f>
        <v>0</v>
      </c>
      <c r="W108" s="281">
        <f>TABLA_BASE[[#This Row],[IPM UNIT.
(US$)
✅CF]]*'📋 Datos Generales'!$E$19</f>
        <v>0</v>
      </c>
      <c r="X108" s="281">
        <f>TABLA_BASE[[#This Row],[IPM UNIT.
(S/.)]]*TABLA_BASE[[#This Row],[CANTIDAD
(unid.)]]</f>
        <v>0</v>
      </c>
      <c r="Y108" s="281">
        <f>TABLA_BASE[[#This Row],[IGV UNIT.
(US$)
✅CF]]*'📋 Datos Generales'!$E$19</f>
        <v>0</v>
      </c>
      <c r="Z108" s="281">
        <f>TABLA_BASE[[#This Row],[IGV UNIT.
(S/.)]]*TABLA_BASE[[#This Row],[CANTIDAD
(unid.)]]</f>
        <v>0</v>
      </c>
      <c r="AA108" s="281">
        <f>TABLA_BASE[[#This Row],[PERCEP.
UNIT.(US$)
✅CF]]*'📋 Datos Generales'!$E$19</f>
        <v>0</v>
      </c>
      <c r="AB108" s="281">
        <f>TABLA_BASE[[#This Row],[PERCEP.
UNIT.(S/.)]]*TABLA_BASE[[#This Row],[CANTIDAD
(unid.)]]</f>
        <v>0</v>
      </c>
      <c r="AC108" s="279">
        <f>TABLA_BASE[[#This Row],[ADV UNIT.
(US$)
⚠️COSTO]]+TABLA_BASE[[#This Row],[IPM UNIT.
(US$)
✅CF]]+TABLA_BASE[[#This Row],[IGV UNIT.
(US$)
✅CF]]+TABLA_BASE[[#This Row],[PERCEP.
UNIT.(US$)
✅CF]]</f>
        <v>0</v>
      </c>
      <c r="AD108" s="279">
        <f>TABLA_BASE[[#This Row],[TOTAL PAGO
SUNAT
UNIT.(US$)]]*TABLA_BASE[[#This Row],[CANTIDAD
(unid.)]]</f>
        <v>0</v>
      </c>
      <c r="AE108" s="281">
        <f>TABLA_BASE[[#This Row],[TOTAL PAGO
SUNAT
UNIT.(US$)]]*'📋 Datos Generales'!$E$19</f>
        <v>0</v>
      </c>
      <c r="AF108" s="281">
        <f>TABLA_BASE[[#This Row],[TOTAL TRIB.
UNIT.(S/.)]]*TABLA_BASE[[#This Row],[CANTIDAD
(unid.)]]</f>
        <v>0</v>
      </c>
      <c r="AG108" s="279">
        <f>IF('🧾 Factura Comercial'!G112=0,0,'📦 Gastos Importación'!$E$28*(IF('🧾 Tributos Aduana'!$F$6=0,0,'🧾 Factura Comercial'!I112/'🧾 Tributos Aduana'!$F$6))/'🧾 Factura Comercial'!G112)</f>
        <v>0</v>
      </c>
      <c r="AH108" s="279">
        <f>TABLA_BASE[[#This Row],[GASTOS IMP.
UNIT.(US$)]]*TABLA_BASE[[#This Row],[CANTIDAD
(unid.)]]</f>
        <v>0</v>
      </c>
      <c r="AI108" s="281">
        <f>TABLA_BASE[[#This Row],[GASTOS IMP.
UNIT.(US$)]]*'📋 Datos Generales'!$E$19</f>
        <v>0</v>
      </c>
      <c r="AJ108" s="281">
        <f>TABLA_BASE[[#This Row],[GASTOS IMP.
UNIT.(S/.)]]*TABLA_BASE[[#This Row],[CANTIDAD
(unid.)]]</f>
        <v>0</v>
      </c>
      <c r="AK108" s="280">
        <f>'🧮 Costos x Producto'!J112</f>
        <v>0</v>
      </c>
      <c r="AL108" s="278">
        <f>'🧮 Costos x Producto'!K112</f>
        <v>0</v>
      </c>
      <c r="AM108" s="278">
        <f>TABLA_BASE[[#This Row],[C/M UNIT.
(S/.)]]*TABLA_BASE[[#This Row],[CANTIDAD
(unid.)]]</f>
        <v>0</v>
      </c>
      <c r="AN108" s="279">
        <f>IF('🧾 Factura Comercial'!G112=0,0,'🧾 Tributos Aduana'!$F$17*(IF('🧾 Tributos Aduana'!$F$6=0,0,'🧾 Factura Comercial'!I112/'🧾 Tributos Aduana'!$F$6))/'🧾 Factura Comercial'!G112)</f>
        <v>0</v>
      </c>
      <c r="AO108" s="280">
        <f>IF('🧾 Factura Comercial'!G112=0,0,'🏦 Crédito Fiscal'!$C$16*(IF('🧾 Tributos Aduana'!$F$6=0,0,'🧾 Factura Comercial'!I112/'🧾 Tributos Aduana'!$F$6))/'🧾 Factura Comercial'!G112)</f>
        <v>0</v>
      </c>
      <c r="AP108" s="278">
        <f>TABLA_BASE[[#This Row],[CF UNIT.
✅RECUP.
(US$)]]*'📋 Datos Generales'!$E$19</f>
        <v>0</v>
      </c>
      <c r="AQ108" s="278">
        <f>TABLA_BASE[[#This Row],[CF UNIT.
✅RECUP.(S/.)]]*TABLA_BASE[[#This Row],[CANTIDAD
(unid.)]]</f>
        <v>0</v>
      </c>
      <c r="AR108" s="288">
        <f>'💰 Precio de Venta'!G113</f>
        <v>0.4</v>
      </c>
      <c r="AS108" s="278">
        <f>'💰 Precio de Venta'!H113</f>
        <v>0</v>
      </c>
      <c r="AT108" s="278">
        <f>TABLA_BASE[[#This Row],[VALOR VTA.
UNIT.(S/.)]]*TABLA_BASE[[#This Row],[CANTIDAD
(unid.)]]</f>
        <v>0</v>
      </c>
      <c r="AU108" s="281">
        <f>'💰 Precio de Venta'!I113</f>
        <v>0</v>
      </c>
      <c r="AV108" s="278">
        <f>'💰 Precio de Venta'!J113</f>
        <v>0</v>
      </c>
      <c r="AW108" s="278">
        <f>TABLA_BASE[[#This Row],[GANANCIA
UNIT.(S/.)]]*TABLA_BASE[[#This Row],[CANTIDAD
(unid.)]]</f>
        <v>0</v>
      </c>
      <c r="AX108" s="289">
        <f>'💰 Precio de Venta'!K113</f>
        <v>0</v>
      </c>
      <c r="AY108" s="278">
        <f>TABLA_BASE[[#This Row],[GANANCIA
UNIT.(S/.)]]*'🧾 Factura Comercial'!G112</f>
        <v>0</v>
      </c>
      <c r="AZ108" s="277">
        <f>IF(TABLA_BASE[[#This Row],[PRECIO VTA.
c/IGV(S/.)]]=0,0,TABLA_BASE[[#This Row],[GANANCIA
UNIT.(S/.)]]/TABLA_BASE[[#This Row],[PRECIO VTA.
c/IGV(S/.)]])</f>
        <v>0</v>
      </c>
      <c r="BA108" s="277">
        <f>IF(TABLA_BASE[[#This Row],[C/M UNIT.
(S/.)]]=0,0,TABLA_BASE[[#This Row],[GANANCIA
UNIT.(S/.)]]/TABLA_BASE[[#This Row],[C/M UNIT.
(S/.)]])</f>
        <v>0</v>
      </c>
      <c r="BB108" s="274" t="str">
        <f>IF(TABLA_BASE[[#This Row],[MARGEN
%]]&gt;=0.5,"🟢 ALTO",IF(TABLA_BASE[[#This Row],[MARGEN
%]]&gt;=0.3,"🟡 MEDIO","🔴 BAJO"))</f>
        <v>🟡 MEDIO</v>
      </c>
    </row>
    <row r="109" spans="1:54" ht="16.5" hidden="1" thickTop="1" thickBot="1" x14ac:dyDescent="0.3">
      <c r="A109" s="274">
        <f>'🧾 Factura Comercial'!E113</f>
        <v>0</v>
      </c>
      <c r="B109" s="274" t="str">
        <f>'🧾 Factura Comercial'!F113</f>
        <v>Unid.</v>
      </c>
      <c r="C109" s="275">
        <f>'🧾 Factura Comercial'!G113</f>
        <v>0</v>
      </c>
      <c r="D109" s="276">
        <f>'🧾 Factura Comercial'!H113</f>
        <v>0</v>
      </c>
      <c r="E109" s="276">
        <f>'🧾 Factura Comercial'!I113</f>
        <v>0</v>
      </c>
      <c r="F109" s="277">
        <f>IF('🧾 Tributos Aduana'!$F$6=0,0,'🧾 Factura Comercial'!I113/'🧾 Tributos Aduana'!$F$6)</f>
        <v>0</v>
      </c>
      <c r="G109" s="278">
        <f>'🧾 Factura Comercial'!H113*'📋 Datos Generales'!$E$19</f>
        <v>0</v>
      </c>
      <c r="H109" s="278">
        <f>TABLA_BASE[[#This Row],[FOB UNIT.
(S/.)]]*TABLA_BASE[[#This Row],[CANTIDAD
(unid.)]]</f>
        <v>0</v>
      </c>
      <c r="I109" s="280">
        <f>IF('🧾 Tributos Aduana'!$F$6=0,0,'🧾 Tributos Aduana'!$F$17*('🧾 Factura Comercial'!H113/'🧾 Tributos Aduana'!$F$6))</f>
        <v>0</v>
      </c>
      <c r="J109" s="280">
        <f>TABLA_BASE[[#This Row],[ADV UNIT.
(US$)
⚠️COSTO]]*TABLA_BASE[[#This Row],[CANTIDAD
(unid.)]]</f>
        <v>0</v>
      </c>
      <c r="K109" s="279">
        <f>IF('🧾 Tributos Aduana'!$F$6=0,0,'🧾 Tributos Aduana'!$F$18*('🧾 Factura Comercial'!H113/'🧾 Tributos Aduana'!$F$6))</f>
        <v>0</v>
      </c>
      <c r="L109" s="280">
        <f>TABLA_BASE[[#This Row],[IPM UNIT.
(US$)
✅CF]]*TABLA_BASE[[#This Row],[CANTIDAD
(unid.)]]</f>
        <v>0</v>
      </c>
      <c r="M109" s="279">
        <f>IF('🧾 Tributos Aduana'!$F$6=0,0,'🧾 Tributos Aduana'!$F$19*('🧾 Factura Comercial'!H113/'🧾 Tributos Aduana'!$F$6))</f>
        <v>0</v>
      </c>
      <c r="N109" s="280">
        <f>TABLA_BASE[[#This Row],[IGV UNIT.
(US$)
✅CF]]*TABLA_BASE[[#This Row],[CANTIDAD
(unid.)]]</f>
        <v>0</v>
      </c>
      <c r="O109" s="280">
        <f>IF('🧾 Tributos Aduana'!$F$6=0,0,'🧾 Tributos Aduana'!$F$23*('🧾 Factura Comercial'!H113/'🧾 Tributos Aduana'!$F$6))</f>
        <v>0</v>
      </c>
      <c r="P109" s="280">
        <f>TABLA_BASE[[#This Row],[PERCEP.
UNIT.(US$)
✅CF]]*TABLA_BASE[[#This Row],[CANTIDAD
(unid.)]]</f>
        <v>0</v>
      </c>
      <c r="Q109" s="279">
        <f>TABLA_BASE[[#This Row],[ADV UNIT.
(US$)
⚠️COSTO]]+TABLA_BASE[[#This Row],[IPM UNIT.
(US$)
✅CF]]+TABLA_BASE[[#This Row],[IGV UNIT.
(US$)
✅CF]]</f>
        <v>0</v>
      </c>
      <c r="R109" s="280">
        <f>TABLA_BASE[[#This Row],[DEUDA
ADUANERA
UNIT.]]*TABLA_BASE[[#This Row],[CANTIDAD
(unid.)]]</f>
        <v>0</v>
      </c>
      <c r="S109" s="278">
        <f>TABLA_BASE[[#This Row],[DEUDA
ADUANERA
UNIT.]]*'📋 Datos Generales'!$E$19</f>
        <v>0</v>
      </c>
      <c r="T109" s="278">
        <f>TABLA_BASE[[#This Row],[DEUDA
ADUANERA
TOTAL]]*'📋 Datos Generales'!$E$19</f>
        <v>0</v>
      </c>
      <c r="U109" s="281">
        <f>TABLA_BASE[[#This Row],[ADV UNIT.
(US$)
⚠️COSTO]]*'📋 Datos Generales'!$E$19</f>
        <v>0</v>
      </c>
      <c r="V109" s="281">
        <f>TABLA_BASE[[#This Row],[ADV UNIT.
(S/.)]]*TABLA_BASE[[#This Row],[CANTIDAD
(unid.)]]</f>
        <v>0</v>
      </c>
      <c r="W109" s="281">
        <f>TABLA_BASE[[#This Row],[IPM UNIT.
(US$)
✅CF]]*'📋 Datos Generales'!$E$19</f>
        <v>0</v>
      </c>
      <c r="X109" s="281">
        <f>TABLA_BASE[[#This Row],[IPM UNIT.
(S/.)]]*TABLA_BASE[[#This Row],[CANTIDAD
(unid.)]]</f>
        <v>0</v>
      </c>
      <c r="Y109" s="281">
        <f>TABLA_BASE[[#This Row],[IGV UNIT.
(US$)
✅CF]]*'📋 Datos Generales'!$E$19</f>
        <v>0</v>
      </c>
      <c r="Z109" s="281">
        <f>TABLA_BASE[[#This Row],[IGV UNIT.
(S/.)]]*TABLA_BASE[[#This Row],[CANTIDAD
(unid.)]]</f>
        <v>0</v>
      </c>
      <c r="AA109" s="281">
        <f>TABLA_BASE[[#This Row],[PERCEP.
UNIT.(US$)
✅CF]]*'📋 Datos Generales'!$E$19</f>
        <v>0</v>
      </c>
      <c r="AB109" s="281">
        <f>TABLA_BASE[[#This Row],[PERCEP.
UNIT.(S/.)]]*TABLA_BASE[[#This Row],[CANTIDAD
(unid.)]]</f>
        <v>0</v>
      </c>
      <c r="AC109" s="279">
        <f>TABLA_BASE[[#This Row],[ADV UNIT.
(US$)
⚠️COSTO]]+TABLA_BASE[[#This Row],[IPM UNIT.
(US$)
✅CF]]+TABLA_BASE[[#This Row],[IGV UNIT.
(US$)
✅CF]]+TABLA_BASE[[#This Row],[PERCEP.
UNIT.(US$)
✅CF]]</f>
        <v>0</v>
      </c>
      <c r="AD109" s="279">
        <f>TABLA_BASE[[#This Row],[TOTAL PAGO
SUNAT
UNIT.(US$)]]*TABLA_BASE[[#This Row],[CANTIDAD
(unid.)]]</f>
        <v>0</v>
      </c>
      <c r="AE109" s="281">
        <f>TABLA_BASE[[#This Row],[TOTAL PAGO
SUNAT
UNIT.(US$)]]*'📋 Datos Generales'!$E$19</f>
        <v>0</v>
      </c>
      <c r="AF109" s="281">
        <f>TABLA_BASE[[#This Row],[TOTAL TRIB.
UNIT.(S/.)]]*TABLA_BASE[[#This Row],[CANTIDAD
(unid.)]]</f>
        <v>0</v>
      </c>
      <c r="AG109" s="279">
        <f>IF('🧾 Factura Comercial'!G113=0,0,'📦 Gastos Importación'!$E$28*(IF('🧾 Tributos Aduana'!$F$6=0,0,'🧾 Factura Comercial'!I113/'🧾 Tributos Aduana'!$F$6))/'🧾 Factura Comercial'!G113)</f>
        <v>0</v>
      </c>
      <c r="AH109" s="279">
        <f>TABLA_BASE[[#This Row],[GASTOS IMP.
UNIT.(US$)]]*TABLA_BASE[[#This Row],[CANTIDAD
(unid.)]]</f>
        <v>0</v>
      </c>
      <c r="AI109" s="281">
        <f>TABLA_BASE[[#This Row],[GASTOS IMP.
UNIT.(US$)]]*'📋 Datos Generales'!$E$19</f>
        <v>0</v>
      </c>
      <c r="AJ109" s="281">
        <f>TABLA_BASE[[#This Row],[GASTOS IMP.
UNIT.(S/.)]]*TABLA_BASE[[#This Row],[CANTIDAD
(unid.)]]</f>
        <v>0</v>
      </c>
      <c r="AK109" s="280">
        <f>'🧮 Costos x Producto'!J113</f>
        <v>0</v>
      </c>
      <c r="AL109" s="278">
        <f>'🧮 Costos x Producto'!K113</f>
        <v>0</v>
      </c>
      <c r="AM109" s="278">
        <f>TABLA_BASE[[#This Row],[C/M UNIT.
(S/.)]]*TABLA_BASE[[#This Row],[CANTIDAD
(unid.)]]</f>
        <v>0</v>
      </c>
      <c r="AN109" s="279">
        <f>IF('🧾 Factura Comercial'!G113=0,0,'🧾 Tributos Aduana'!$F$17*(IF('🧾 Tributos Aduana'!$F$6=0,0,'🧾 Factura Comercial'!I113/'🧾 Tributos Aduana'!$F$6))/'🧾 Factura Comercial'!G113)</f>
        <v>0</v>
      </c>
      <c r="AO109" s="280">
        <f>IF('🧾 Factura Comercial'!G113=0,0,'🏦 Crédito Fiscal'!$C$16*(IF('🧾 Tributos Aduana'!$F$6=0,0,'🧾 Factura Comercial'!I113/'🧾 Tributos Aduana'!$F$6))/'🧾 Factura Comercial'!G113)</f>
        <v>0</v>
      </c>
      <c r="AP109" s="278">
        <f>TABLA_BASE[[#This Row],[CF UNIT.
✅RECUP.
(US$)]]*'📋 Datos Generales'!$E$19</f>
        <v>0</v>
      </c>
      <c r="AQ109" s="278">
        <f>TABLA_BASE[[#This Row],[CF UNIT.
✅RECUP.(S/.)]]*TABLA_BASE[[#This Row],[CANTIDAD
(unid.)]]</f>
        <v>0</v>
      </c>
      <c r="AR109" s="288">
        <f>'💰 Precio de Venta'!G114</f>
        <v>0.4</v>
      </c>
      <c r="AS109" s="278">
        <f>'💰 Precio de Venta'!H114</f>
        <v>0</v>
      </c>
      <c r="AT109" s="278">
        <f>TABLA_BASE[[#This Row],[VALOR VTA.
UNIT.(S/.)]]*TABLA_BASE[[#This Row],[CANTIDAD
(unid.)]]</f>
        <v>0</v>
      </c>
      <c r="AU109" s="281">
        <f>'💰 Precio de Venta'!I114</f>
        <v>0</v>
      </c>
      <c r="AV109" s="278">
        <f>'💰 Precio de Venta'!J114</f>
        <v>0</v>
      </c>
      <c r="AW109" s="278">
        <f>TABLA_BASE[[#This Row],[GANANCIA
UNIT.(S/.)]]*TABLA_BASE[[#This Row],[CANTIDAD
(unid.)]]</f>
        <v>0</v>
      </c>
      <c r="AX109" s="289">
        <f>'💰 Precio de Venta'!K114</f>
        <v>0</v>
      </c>
      <c r="AY109" s="278">
        <f>TABLA_BASE[[#This Row],[GANANCIA
UNIT.(S/.)]]*'🧾 Factura Comercial'!G113</f>
        <v>0</v>
      </c>
      <c r="AZ109" s="277">
        <f>IF(TABLA_BASE[[#This Row],[PRECIO VTA.
c/IGV(S/.)]]=0,0,TABLA_BASE[[#This Row],[GANANCIA
UNIT.(S/.)]]/TABLA_BASE[[#This Row],[PRECIO VTA.
c/IGV(S/.)]])</f>
        <v>0</v>
      </c>
      <c r="BA109" s="277">
        <f>IF(TABLA_BASE[[#This Row],[C/M UNIT.
(S/.)]]=0,0,TABLA_BASE[[#This Row],[GANANCIA
UNIT.(S/.)]]/TABLA_BASE[[#This Row],[C/M UNIT.
(S/.)]])</f>
        <v>0</v>
      </c>
      <c r="BB109" s="274" t="str">
        <f>IF(TABLA_BASE[[#This Row],[MARGEN
%]]&gt;=0.5,"🟢 ALTO",IF(TABLA_BASE[[#This Row],[MARGEN
%]]&gt;=0.3,"🟡 MEDIO","🔴 BAJO"))</f>
        <v>🟡 MEDIO</v>
      </c>
    </row>
    <row r="110" spans="1:54" ht="16.5" hidden="1" thickTop="1" thickBot="1" x14ac:dyDescent="0.3">
      <c r="A110" s="274">
        <f>'🧾 Factura Comercial'!E114</f>
        <v>0</v>
      </c>
      <c r="B110" s="274" t="str">
        <f>'🧾 Factura Comercial'!F114</f>
        <v>Unid.</v>
      </c>
      <c r="C110" s="275">
        <f>'🧾 Factura Comercial'!G114</f>
        <v>0</v>
      </c>
      <c r="D110" s="276">
        <f>'🧾 Factura Comercial'!H114</f>
        <v>0</v>
      </c>
      <c r="E110" s="276">
        <f>'🧾 Factura Comercial'!I114</f>
        <v>0</v>
      </c>
      <c r="F110" s="277">
        <f>IF('🧾 Tributos Aduana'!$F$6=0,0,'🧾 Factura Comercial'!I114/'🧾 Tributos Aduana'!$F$6)</f>
        <v>0</v>
      </c>
      <c r="G110" s="278">
        <f>'🧾 Factura Comercial'!H114*'📋 Datos Generales'!$E$19</f>
        <v>0</v>
      </c>
      <c r="H110" s="278">
        <f>TABLA_BASE[[#This Row],[FOB UNIT.
(S/.)]]*TABLA_BASE[[#This Row],[CANTIDAD
(unid.)]]</f>
        <v>0</v>
      </c>
      <c r="I110" s="280">
        <f>IF('🧾 Tributos Aduana'!$F$6=0,0,'🧾 Tributos Aduana'!$F$17*('🧾 Factura Comercial'!H114/'🧾 Tributos Aduana'!$F$6))</f>
        <v>0</v>
      </c>
      <c r="J110" s="280">
        <f>TABLA_BASE[[#This Row],[ADV UNIT.
(US$)
⚠️COSTO]]*TABLA_BASE[[#This Row],[CANTIDAD
(unid.)]]</f>
        <v>0</v>
      </c>
      <c r="K110" s="279">
        <f>IF('🧾 Tributos Aduana'!$F$6=0,0,'🧾 Tributos Aduana'!$F$18*('🧾 Factura Comercial'!H114/'🧾 Tributos Aduana'!$F$6))</f>
        <v>0</v>
      </c>
      <c r="L110" s="280">
        <f>TABLA_BASE[[#This Row],[IPM UNIT.
(US$)
✅CF]]*TABLA_BASE[[#This Row],[CANTIDAD
(unid.)]]</f>
        <v>0</v>
      </c>
      <c r="M110" s="279">
        <f>IF('🧾 Tributos Aduana'!$F$6=0,0,'🧾 Tributos Aduana'!$F$19*('🧾 Factura Comercial'!H114/'🧾 Tributos Aduana'!$F$6))</f>
        <v>0</v>
      </c>
      <c r="N110" s="280">
        <f>TABLA_BASE[[#This Row],[IGV UNIT.
(US$)
✅CF]]*TABLA_BASE[[#This Row],[CANTIDAD
(unid.)]]</f>
        <v>0</v>
      </c>
      <c r="O110" s="280">
        <f>IF('🧾 Tributos Aduana'!$F$6=0,0,'🧾 Tributos Aduana'!$F$23*('🧾 Factura Comercial'!H114/'🧾 Tributos Aduana'!$F$6))</f>
        <v>0</v>
      </c>
      <c r="P110" s="280">
        <f>TABLA_BASE[[#This Row],[PERCEP.
UNIT.(US$)
✅CF]]*TABLA_BASE[[#This Row],[CANTIDAD
(unid.)]]</f>
        <v>0</v>
      </c>
      <c r="Q110" s="279">
        <f>TABLA_BASE[[#This Row],[ADV UNIT.
(US$)
⚠️COSTO]]+TABLA_BASE[[#This Row],[IPM UNIT.
(US$)
✅CF]]+TABLA_BASE[[#This Row],[IGV UNIT.
(US$)
✅CF]]</f>
        <v>0</v>
      </c>
      <c r="R110" s="280">
        <f>TABLA_BASE[[#This Row],[DEUDA
ADUANERA
UNIT.]]*TABLA_BASE[[#This Row],[CANTIDAD
(unid.)]]</f>
        <v>0</v>
      </c>
      <c r="S110" s="278">
        <f>TABLA_BASE[[#This Row],[DEUDA
ADUANERA
UNIT.]]*'📋 Datos Generales'!$E$19</f>
        <v>0</v>
      </c>
      <c r="T110" s="278">
        <f>TABLA_BASE[[#This Row],[DEUDA
ADUANERA
TOTAL]]*'📋 Datos Generales'!$E$19</f>
        <v>0</v>
      </c>
      <c r="U110" s="281">
        <f>TABLA_BASE[[#This Row],[ADV UNIT.
(US$)
⚠️COSTO]]*'📋 Datos Generales'!$E$19</f>
        <v>0</v>
      </c>
      <c r="V110" s="281">
        <f>TABLA_BASE[[#This Row],[ADV UNIT.
(S/.)]]*TABLA_BASE[[#This Row],[CANTIDAD
(unid.)]]</f>
        <v>0</v>
      </c>
      <c r="W110" s="281">
        <f>TABLA_BASE[[#This Row],[IPM UNIT.
(US$)
✅CF]]*'📋 Datos Generales'!$E$19</f>
        <v>0</v>
      </c>
      <c r="X110" s="281">
        <f>TABLA_BASE[[#This Row],[IPM UNIT.
(S/.)]]*TABLA_BASE[[#This Row],[CANTIDAD
(unid.)]]</f>
        <v>0</v>
      </c>
      <c r="Y110" s="281">
        <f>TABLA_BASE[[#This Row],[IGV UNIT.
(US$)
✅CF]]*'📋 Datos Generales'!$E$19</f>
        <v>0</v>
      </c>
      <c r="Z110" s="281">
        <f>TABLA_BASE[[#This Row],[IGV UNIT.
(S/.)]]*TABLA_BASE[[#This Row],[CANTIDAD
(unid.)]]</f>
        <v>0</v>
      </c>
      <c r="AA110" s="281">
        <f>TABLA_BASE[[#This Row],[PERCEP.
UNIT.(US$)
✅CF]]*'📋 Datos Generales'!$E$19</f>
        <v>0</v>
      </c>
      <c r="AB110" s="281">
        <f>TABLA_BASE[[#This Row],[PERCEP.
UNIT.(S/.)]]*TABLA_BASE[[#This Row],[CANTIDAD
(unid.)]]</f>
        <v>0</v>
      </c>
      <c r="AC110" s="279">
        <f>TABLA_BASE[[#This Row],[ADV UNIT.
(US$)
⚠️COSTO]]+TABLA_BASE[[#This Row],[IPM UNIT.
(US$)
✅CF]]+TABLA_BASE[[#This Row],[IGV UNIT.
(US$)
✅CF]]+TABLA_BASE[[#This Row],[PERCEP.
UNIT.(US$)
✅CF]]</f>
        <v>0</v>
      </c>
      <c r="AD110" s="279">
        <f>TABLA_BASE[[#This Row],[TOTAL PAGO
SUNAT
UNIT.(US$)]]*TABLA_BASE[[#This Row],[CANTIDAD
(unid.)]]</f>
        <v>0</v>
      </c>
      <c r="AE110" s="281">
        <f>TABLA_BASE[[#This Row],[TOTAL PAGO
SUNAT
UNIT.(US$)]]*'📋 Datos Generales'!$E$19</f>
        <v>0</v>
      </c>
      <c r="AF110" s="281">
        <f>TABLA_BASE[[#This Row],[TOTAL TRIB.
UNIT.(S/.)]]*TABLA_BASE[[#This Row],[CANTIDAD
(unid.)]]</f>
        <v>0</v>
      </c>
      <c r="AG110" s="279">
        <f>IF('🧾 Factura Comercial'!G114=0,0,'📦 Gastos Importación'!$E$28*(IF('🧾 Tributos Aduana'!$F$6=0,0,'🧾 Factura Comercial'!I114/'🧾 Tributos Aduana'!$F$6))/'🧾 Factura Comercial'!G114)</f>
        <v>0</v>
      </c>
      <c r="AH110" s="279">
        <f>TABLA_BASE[[#This Row],[GASTOS IMP.
UNIT.(US$)]]*TABLA_BASE[[#This Row],[CANTIDAD
(unid.)]]</f>
        <v>0</v>
      </c>
      <c r="AI110" s="281">
        <f>TABLA_BASE[[#This Row],[GASTOS IMP.
UNIT.(US$)]]*'📋 Datos Generales'!$E$19</f>
        <v>0</v>
      </c>
      <c r="AJ110" s="281">
        <f>TABLA_BASE[[#This Row],[GASTOS IMP.
UNIT.(S/.)]]*TABLA_BASE[[#This Row],[CANTIDAD
(unid.)]]</f>
        <v>0</v>
      </c>
      <c r="AK110" s="280">
        <f>'🧮 Costos x Producto'!J114</f>
        <v>0</v>
      </c>
      <c r="AL110" s="278">
        <f>'🧮 Costos x Producto'!K114</f>
        <v>0</v>
      </c>
      <c r="AM110" s="278">
        <f>TABLA_BASE[[#This Row],[C/M UNIT.
(S/.)]]*TABLA_BASE[[#This Row],[CANTIDAD
(unid.)]]</f>
        <v>0</v>
      </c>
      <c r="AN110" s="279">
        <f>IF('🧾 Factura Comercial'!G114=0,0,'🧾 Tributos Aduana'!$F$17*(IF('🧾 Tributos Aduana'!$F$6=0,0,'🧾 Factura Comercial'!I114/'🧾 Tributos Aduana'!$F$6))/'🧾 Factura Comercial'!G114)</f>
        <v>0</v>
      </c>
      <c r="AO110" s="280">
        <f>IF('🧾 Factura Comercial'!G114=0,0,'🏦 Crédito Fiscal'!$C$16*(IF('🧾 Tributos Aduana'!$F$6=0,0,'🧾 Factura Comercial'!I114/'🧾 Tributos Aduana'!$F$6))/'🧾 Factura Comercial'!G114)</f>
        <v>0</v>
      </c>
      <c r="AP110" s="278">
        <f>TABLA_BASE[[#This Row],[CF UNIT.
✅RECUP.
(US$)]]*'📋 Datos Generales'!$E$19</f>
        <v>0</v>
      </c>
      <c r="AQ110" s="278">
        <f>TABLA_BASE[[#This Row],[CF UNIT.
✅RECUP.(S/.)]]*TABLA_BASE[[#This Row],[CANTIDAD
(unid.)]]</f>
        <v>0</v>
      </c>
      <c r="AR110" s="288">
        <f>'💰 Precio de Venta'!G115</f>
        <v>0.4</v>
      </c>
      <c r="AS110" s="278">
        <f>'💰 Precio de Venta'!H115</f>
        <v>0</v>
      </c>
      <c r="AT110" s="278">
        <f>TABLA_BASE[[#This Row],[VALOR VTA.
UNIT.(S/.)]]*TABLA_BASE[[#This Row],[CANTIDAD
(unid.)]]</f>
        <v>0</v>
      </c>
      <c r="AU110" s="281">
        <f>'💰 Precio de Venta'!I115</f>
        <v>0</v>
      </c>
      <c r="AV110" s="278">
        <f>'💰 Precio de Venta'!J115</f>
        <v>0</v>
      </c>
      <c r="AW110" s="278">
        <f>TABLA_BASE[[#This Row],[GANANCIA
UNIT.(S/.)]]*TABLA_BASE[[#This Row],[CANTIDAD
(unid.)]]</f>
        <v>0</v>
      </c>
      <c r="AX110" s="289">
        <f>'💰 Precio de Venta'!K115</f>
        <v>0</v>
      </c>
      <c r="AY110" s="278">
        <f>TABLA_BASE[[#This Row],[GANANCIA
UNIT.(S/.)]]*'🧾 Factura Comercial'!G114</f>
        <v>0</v>
      </c>
      <c r="AZ110" s="277">
        <f>IF(TABLA_BASE[[#This Row],[PRECIO VTA.
c/IGV(S/.)]]=0,0,TABLA_BASE[[#This Row],[GANANCIA
UNIT.(S/.)]]/TABLA_BASE[[#This Row],[PRECIO VTA.
c/IGV(S/.)]])</f>
        <v>0</v>
      </c>
      <c r="BA110" s="277">
        <f>IF(TABLA_BASE[[#This Row],[C/M UNIT.
(S/.)]]=0,0,TABLA_BASE[[#This Row],[GANANCIA
UNIT.(S/.)]]/TABLA_BASE[[#This Row],[C/M UNIT.
(S/.)]])</f>
        <v>0</v>
      </c>
      <c r="BB110" s="274" t="str">
        <f>IF(TABLA_BASE[[#This Row],[MARGEN
%]]&gt;=0.5,"🟢 ALTO",IF(TABLA_BASE[[#This Row],[MARGEN
%]]&gt;=0.3,"🟡 MEDIO","🔴 BAJO"))</f>
        <v>🟡 MEDIO</v>
      </c>
    </row>
    <row r="111" spans="1:54" ht="16.5" hidden="1" thickTop="1" thickBot="1" x14ac:dyDescent="0.3">
      <c r="A111" s="274">
        <f>'🧾 Factura Comercial'!E115</f>
        <v>0</v>
      </c>
      <c r="B111" s="274" t="str">
        <f>'🧾 Factura Comercial'!F115</f>
        <v>Unid.</v>
      </c>
      <c r="C111" s="275">
        <f>'🧾 Factura Comercial'!G115</f>
        <v>0</v>
      </c>
      <c r="D111" s="276">
        <f>'🧾 Factura Comercial'!H115</f>
        <v>0</v>
      </c>
      <c r="E111" s="276">
        <f>'🧾 Factura Comercial'!I115</f>
        <v>0</v>
      </c>
      <c r="F111" s="277">
        <f>IF('🧾 Tributos Aduana'!$F$6=0,0,'🧾 Factura Comercial'!I115/'🧾 Tributos Aduana'!$F$6)</f>
        <v>0</v>
      </c>
      <c r="G111" s="278">
        <f>'🧾 Factura Comercial'!H115*'📋 Datos Generales'!$E$19</f>
        <v>0</v>
      </c>
      <c r="H111" s="278">
        <f>TABLA_BASE[[#This Row],[FOB UNIT.
(S/.)]]*TABLA_BASE[[#This Row],[CANTIDAD
(unid.)]]</f>
        <v>0</v>
      </c>
      <c r="I111" s="280">
        <f>IF('🧾 Tributos Aduana'!$F$6=0,0,'🧾 Tributos Aduana'!$F$17*('🧾 Factura Comercial'!H115/'🧾 Tributos Aduana'!$F$6))</f>
        <v>0</v>
      </c>
      <c r="J111" s="280">
        <f>TABLA_BASE[[#This Row],[ADV UNIT.
(US$)
⚠️COSTO]]*TABLA_BASE[[#This Row],[CANTIDAD
(unid.)]]</f>
        <v>0</v>
      </c>
      <c r="K111" s="279">
        <f>IF('🧾 Tributos Aduana'!$F$6=0,0,'🧾 Tributos Aduana'!$F$18*('🧾 Factura Comercial'!H115/'🧾 Tributos Aduana'!$F$6))</f>
        <v>0</v>
      </c>
      <c r="L111" s="280">
        <f>TABLA_BASE[[#This Row],[IPM UNIT.
(US$)
✅CF]]*TABLA_BASE[[#This Row],[CANTIDAD
(unid.)]]</f>
        <v>0</v>
      </c>
      <c r="M111" s="279">
        <f>IF('🧾 Tributos Aduana'!$F$6=0,0,'🧾 Tributos Aduana'!$F$19*('🧾 Factura Comercial'!H115/'🧾 Tributos Aduana'!$F$6))</f>
        <v>0</v>
      </c>
      <c r="N111" s="280">
        <f>TABLA_BASE[[#This Row],[IGV UNIT.
(US$)
✅CF]]*TABLA_BASE[[#This Row],[CANTIDAD
(unid.)]]</f>
        <v>0</v>
      </c>
      <c r="O111" s="280">
        <f>IF('🧾 Tributos Aduana'!$F$6=0,0,'🧾 Tributos Aduana'!$F$23*('🧾 Factura Comercial'!H115/'🧾 Tributos Aduana'!$F$6))</f>
        <v>0</v>
      </c>
      <c r="P111" s="280">
        <f>TABLA_BASE[[#This Row],[PERCEP.
UNIT.(US$)
✅CF]]*TABLA_BASE[[#This Row],[CANTIDAD
(unid.)]]</f>
        <v>0</v>
      </c>
      <c r="Q111" s="279">
        <f>TABLA_BASE[[#This Row],[ADV UNIT.
(US$)
⚠️COSTO]]+TABLA_BASE[[#This Row],[IPM UNIT.
(US$)
✅CF]]+TABLA_BASE[[#This Row],[IGV UNIT.
(US$)
✅CF]]</f>
        <v>0</v>
      </c>
      <c r="R111" s="280">
        <f>TABLA_BASE[[#This Row],[DEUDA
ADUANERA
UNIT.]]*TABLA_BASE[[#This Row],[CANTIDAD
(unid.)]]</f>
        <v>0</v>
      </c>
      <c r="S111" s="278">
        <f>TABLA_BASE[[#This Row],[DEUDA
ADUANERA
UNIT.]]*'📋 Datos Generales'!$E$19</f>
        <v>0</v>
      </c>
      <c r="T111" s="278">
        <f>TABLA_BASE[[#This Row],[DEUDA
ADUANERA
TOTAL]]*'📋 Datos Generales'!$E$19</f>
        <v>0</v>
      </c>
      <c r="U111" s="281">
        <f>TABLA_BASE[[#This Row],[ADV UNIT.
(US$)
⚠️COSTO]]*'📋 Datos Generales'!$E$19</f>
        <v>0</v>
      </c>
      <c r="V111" s="281">
        <f>TABLA_BASE[[#This Row],[ADV UNIT.
(S/.)]]*TABLA_BASE[[#This Row],[CANTIDAD
(unid.)]]</f>
        <v>0</v>
      </c>
      <c r="W111" s="281">
        <f>TABLA_BASE[[#This Row],[IPM UNIT.
(US$)
✅CF]]*'📋 Datos Generales'!$E$19</f>
        <v>0</v>
      </c>
      <c r="X111" s="281">
        <f>TABLA_BASE[[#This Row],[IPM UNIT.
(S/.)]]*TABLA_BASE[[#This Row],[CANTIDAD
(unid.)]]</f>
        <v>0</v>
      </c>
      <c r="Y111" s="281">
        <f>TABLA_BASE[[#This Row],[IGV UNIT.
(US$)
✅CF]]*'📋 Datos Generales'!$E$19</f>
        <v>0</v>
      </c>
      <c r="Z111" s="281">
        <f>TABLA_BASE[[#This Row],[IGV UNIT.
(S/.)]]*TABLA_BASE[[#This Row],[CANTIDAD
(unid.)]]</f>
        <v>0</v>
      </c>
      <c r="AA111" s="281">
        <f>TABLA_BASE[[#This Row],[PERCEP.
UNIT.(US$)
✅CF]]*'📋 Datos Generales'!$E$19</f>
        <v>0</v>
      </c>
      <c r="AB111" s="281">
        <f>TABLA_BASE[[#This Row],[PERCEP.
UNIT.(S/.)]]*TABLA_BASE[[#This Row],[CANTIDAD
(unid.)]]</f>
        <v>0</v>
      </c>
      <c r="AC111" s="279">
        <f>TABLA_BASE[[#This Row],[ADV UNIT.
(US$)
⚠️COSTO]]+TABLA_BASE[[#This Row],[IPM UNIT.
(US$)
✅CF]]+TABLA_BASE[[#This Row],[IGV UNIT.
(US$)
✅CF]]+TABLA_BASE[[#This Row],[PERCEP.
UNIT.(US$)
✅CF]]</f>
        <v>0</v>
      </c>
      <c r="AD111" s="279">
        <f>TABLA_BASE[[#This Row],[TOTAL PAGO
SUNAT
UNIT.(US$)]]*TABLA_BASE[[#This Row],[CANTIDAD
(unid.)]]</f>
        <v>0</v>
      </c>
      <c r="AE111" s="281">
        <f>TABLA_BASE[[#This Row],[TOTAL PAGO
SUNAT
UNIT.(US$)]]*'📋 Datos Generales'!$E$19</f>
        <v>0</v>
      </c>
      <c r="AF111" s="281">
        <f>TABLA_BASE[[#This Row],[TOTAL TRIB.
UNIT.(S/.)]]*TABLA_BASE[[#This Row],[CANTIDAD
(unid.)]]</f>
        <v>0</v>
      </c>
      <c r="AG111" s="279">
        <f>IF('🧾 Factura Comercial'!G115=0,0,'📦 Gastos Importación'!$E$28*(IF('🧾 Tributos Aduana'!$F$6=0,0,'🧾 Factura Comercial'!I115/'🧾 Tributos Aduana'!$F$6))/'🧾 Factura Comercial'!G115)</f>
        <v>0</v>
      </c>
      <c r="AH111" s="279">
        <f>TABLA_BASE[[#This Row],[GASTOS IMP.
UNIT.(US$)]]*TABLA_BASE[[#This Row],[CANTIDAD
(unid.)]]</f>
        <v>0</v>
      </c>
      <c r="AI111" s="281">
        <f>TABLA_BASE[[#This Row],[GASTOS IMP.
UNIT.(US$)]]*'📋 Datos Generales'!$E$19</f>
        <v>0</v>
      </c>
      <c r="AJ111" s="281">
        <f>TABLA_BASE[[#This Row],[GASTOS IMP.
UNIT.(S/.)]]*TABLA_BASE[[#This Row],[CANTIDAD
(unid.)]]</f>
        <v>0</v>
      </c>
      <c r="AK111" s="280">
        <f>'🧮 Costos x Producto'!J115</f>
        <v>0</v>
      </c>
      <c r="AL111" s="278">
        <f>'🧮 Costos x Producto'!K115</f>
        <v>0</v>
      </c>
      <c r="AM111" s="278">
        <f>TABLA_BASE[[#This Row],[C/M UNIT.
(S/.)]]*TABLA_BASE[[#This Row],[CANTIDAD
(unid.)]]</f>
        <v>0</v>
      </c>
      <c r="AN111" s="279">
        <f>IF('🧾 Factura Comercial'!G115=0,0,'🧾 Tributos Aduana'!$F$17*(IF('🧾 Tributos Aduana'!$F$6=0,0,'🧾 Factura Comercial'!I115/'🧾 Tributos Aduana'!$F$6))/'🧾 Factura Comercial'!G115)</f>
        <v>0</v>
      </c>
      <c r="AO111" s="280">
        <f>IF('🧾 Factura Comercial'!G115=0,0,'🏦 Crédito Fiscal'!$C$16*(IF('🧾 Tributos Aduana'!$F$6=0,0,'🧾 Factura Comercial'!I115/'🧾 Tributos Aduana'!$F$6))/'🧾 Factura Comercial'!G115)</f>
        <v>0</v>
      </c>
      <c r="AP111" s="278">
        <f>TABLA_BASE[[#This Row],[CF UNIT.
✅RECUP.
(US$)]]*'📋 Datos Generales'!$E$19</f>
        <v>0</v>
      </c>
      <c r="AQ111" s="278">
        <f>TABLA_BASE[[#This Row],[CF UNIT.
✅RECUP.(S/.)]]*TABLA_BASE[[#This Row],[CANTIDAD
(unid.)]]</f>
        <v>0</v>
      </c>
      <c r="AR111" s="288">
        <f>'💰 Precio de Venta'!G116</f>
        <v>0.4</v>
      </c>
      <c r="AS111" s="278">
        <f>'💰 Precio de Venta'!H116</f>
        <v>0</v>
      </c>
      <c r="AT111" s="278">
        <f>TABLA_BASE[[#This Row],[VALOR VTA.
UNIT.(S/.)]]*TABLA_BASE[[#This Row],[CANTIDAD
(unid.)]]</f>
        <v>0</v>
      </c>
      <c r="AU111" s="281">
        <f>'💰 Precio de Venta'!I116</f>
        <v>0</v>
      </c>
      <c r="AV111" s="278">
        <f>'💰 Precio de Venta'!J116</f>
        <v>0</v>
      </c>
      <c r="AW111" s="278">
        <f>TABLA_BASE[[#This Row],[GANANCIA
UNIT.(S/.)]]*TABLA_BASE[[#This Row],[CANTIDAD
(unid.)]]</f>
        <v>0</v>
      </c>
      <c r="AX111" s="289">
        <f>'💰 Precio de Venta'!K116</f>
        <v>0</v>
      </c>
      <c r="AY111" s="278">
        <f>TABLA_BASE[[#This Row],[GANANCIA
UNIT.(S/.)]]*'🧾 Factura Comercial'!G115</f>
        <v>0</v>
      </c>
      <c r="AZ111" s="277">
        <f>IF(TABLA_BASE[[#This Row],[PRECIO VTA.
c/IGV(S/.)]]=0,0,TABLA_BASE[[#This Row],[GANANCIA
UNIT.(S/.)]]/TABLA_BASE[[#This Row],[PRECIO VTA.
c/IGV(S/.)]])</f>
        <v>0</v>
      </c>
      <c r="BA111" s="277">
        <f>IF(TABLA_BASE[[#This Row],[C/M UNIT.
(S/.)]]=0,0,TABLA_BASE[[#This Row],[GANANCIA
UNIT.(S/.)]]/TABLA_BASE[[#This Row],[C/M UNIT.
(S/.)]])</f>
        <v>0</v>
      </c>
      <c r="BB111" s="274" t="str">
        <f>IF(TABLA_BASE[[#This Row],[MARGEN
%]]&gt;=0.5,"🟢 ALTO",IF(TABLA_BASE[[#This Row],[MARGEN
%]]&gt;=0.3,"🟡 MEDIO","🔴 BAJO"))</f>
        <v>🟡 MEDIO</v>
      </c>
    </row>
    <row r="112" spans="1:54" ht="16.5" hidden="1" thickTop="1" thickBot="1" x14ac:dyDescent="0.3">
      <c r="A112" s="274">
        <f>'🧾 Factura Comercial'!E116</f>
        <v>0</v>
      </c>
      <c r="B112" s="274" t="str">
        <f>'🧾 Factura Comercial'!F116</f>
        <v>Unid.</v>
      </c>
      <c r="C112" s="275">
        <f>'🧾 Factura Comercial'!G116</f>
        <v>0</v>
      </c>
      <c r="D112" s="276">
        <f>'🧾 Factura Comercial'!H116</f>
        <v>0</v>
      </c>
      <c r="E112" s="276">
        <f>'🧾 Factura Comercial'!I116</f>
        <v>0</v>
      </c>
      <c r="F112" s="277">
        <f>IF('🧾 Tributos Aduana'!$F$6=0,0,'🧾 Factura Comercial'!I116/'🧾 Tributos Aduana'!$F$6)</f>
        <v>0</v>
      </c>
      <c r="G112" s="278">
        <f>'🧾 Factura Comercial'!H116*'📋 Datos Generales'!$E$19</f>
        <v>0</v>
      </c>
      <c r="H112" s="278">
        <f>TABLA_BASE[[#This Row],[FOB UNIT.
(S/.)]]*TABLA_BASE[[#This Row],[CANTIDAD
(unid.)]]</f>
        <v>0</v>
      </c>
      <c r="I112" s="280">
        <f>IF('🧾 Tributos Aduana'!$F$6=0,0,'🧾 Tributos Aduana'!$F$17*('🧾 Factura Comercial'!H116/'🧾 Tributos Aduana'!$F$6))</f>
        <v>0</v>
      </c>
      <c r="J112" s="280">
        <f>TABLA_BASE[[#This Row],[ADV UNIT.
(US$)
⚠️COSTO]]*TABLA_BASE[[#This Row],[CANTIDAD
(unid.)]]</f>
        <v>0</v>
      </c>
      <c r="K112" s="279">
        <f>IF('🧾 Tributos Aduana'!$F$6=0,0,'🧾 Tributos Aduana'!$F$18*('🧾 Factura Comercial'!H116/'🧾 Tributos Aduana'!$F$6))</f>
        <v>0</v>
      </c>
      <c r="L112" s="280">
        <f>TABLA_BASE[[#This Row],[IPM UNIT.
(US$)
✅CF]]*TABLA_BASE[[#This Row],[CANTIDAD
(unid.)]]</f>
        <v>0</v>
      </c>
      <c r="M112" s="279">
        <f>IF('🧾 Tributos Aduana'!$F$6=0,0,'🧾 Tributos Aduana'!$F$19*('🧾 Factura Comercial'!H116/'🧾 Tributos Aduana'!$F$6))</f>
        <v>0</v>
      </c>
      <c r="N112" s="280">
        <f>TABLA_BASE[[#This Row],[IGV UNIT.
(US$)
✅CF]]*TABLA_BASE[[#This Row],[CANTIDAD
(unid.)]]</f>
        <v>0</v>
      </c>
      <c r="O112" s="280">
        <f>IF('🧾 Tributos Aduana'!$F$6=0,0,'🧾 Tributos Aduana'!$F$23*('🧾 Factura Comercial'!H116/'🧾 Tributos Aduana'!$F$6))</f>
        <v>0</v>
      </c>
      <c r="P112" s="280">
        <f>TABLA_BASE[[#This Row],[PERCEP.
UNIT.(US$)
✅CF]]*TABLA_BASE[[#This Row],[CANTIDAD
(unid.)]]</f>
        <v>0</v>
      </c>
      <c r="Q112" s="279">
        <f>TABLA_BASE[[#This Row],[ADV UNIT.
(US$)
⚠️COSTO]]+TABLA_BASE[[#This Row],[IPM UNIT.
(US$)
✅CF]]+TABLA_BASE[[#This Row],[IGV UNIT.
(US$)
✅CF]]</f>
        <v>0</v>
      </c>
      <c r="R112" s="280">
        <f>TABLA_BASE[[#This Row],[DEUDA
ADUANERA
UNIT.]]*TABLA_BASE[[#This Row],[CANTIDAD
(unid.)]]</f>
        <v>0</v>
      </c>
      <c r="S112" s="278">
        <f>TABLA_BASE[[#This Row],[DEUDA
ADUANERA
UNIT.]]*'📋 Datos Generales'!$E$19</f>
        <v>0</v>
      </c>
      <c r="T112" s="278">
        <f>TABLA_BASE[[#This Row],[DEUDA
ADUANERA
TOTAL]]*'📋 Datos Generales'!$E$19</f>
        <v>0</v>
      </c>
      <c r="U112" s="281">
        <f>TABLA_BASE[[#This Row],[ADV UNIT.
(US$)
⚠️COSTO]]*'📋 Datos Generales'!$E$19</f>
        <v>0</v>
      </c>
      <c r="V112" s="281">
        <f>TABLA_BASE[[#This Row],[ADV UNIT.
(S/.)]]*TABLA_BASE[[#This Row],[CANTIDAD
(unid.)]]</f>
        <v>0</v>
      </c>
      <c r="W112" s="281">
        <f>TABLA_BASE[[#This Row],[IPM UNIT.
(US$)
✅CF]]*'📋 Datos Generales'!$E$19</f>
        <v>0</v>
      </c>
      <c r="X112" s="281">
        <f>TABLA_BASE[[#This Row],[IPM UNIT.
(S/.)]]*TABLA_BASE[[#This Row],[CANTIDAD
(unid.)]]</f>
        <v>0</v>
      </c>
      <c r="Y112" s="281">
        <f>TABLA_BASE[[#This Row],[IGV UNIT.
(US$)
✅CF]]*'📋 Datos Generales'!$E$19</f>
        <v>0</v>
      </c>
      <c r="Z112" s="281">
        <f>TABLA_BASE[[#This Row],[IGV UNIT.
(S/.)]]*TABLA_BASE[[#This Row],[CANTIDAD
(unid.)]]</f>
        <v>0</v>
      </c>
      <c r="AA112" s="281">
        <f>TABLA_BASE[[#This Row],[PERCEP.
UNIT.(US$)
✅CF]]*'📋 Datos Generales'!$E$19</f>
        <v>0</v>
      </c>
      <c r="AB112" s="281">
        <f>TABLA_BASE[[#This Row],[PERCEP.
UNIT.(S/.)]]*TABLA_BASE[[#This Row],[CANTIDAD
(unid.)]]</f>
        <v>0</v>
      </c>
      <c r="AC112" s="279">
        <f>TABLA_BASE[[#This Row],[ADV UNIT.
(US$)
⚠️COSTO]]+TABLA_BASE[[#This Row],[IPM UNIT.
(US$)
✅CF]]+TABLA_BASE[[#This Row],[IGV UNIT.
(US$)
✅CF]]+TABLA_BASE[[#This Row],[PERCEP.
UNIT.(US$)
✅CF]]</f>
        <v>0</v>
      </c>
      <c r="AD112" s="279">
        <f>TABLA_BASE[[#This Row],[TOTAL PAGO
SUNAT
UNIT.(US$)]]*TABLA_BASE[[#This Row],[CANTIDAD
(unid.)]]</f>
        <v>0</v>
      </c>
      <c r="AE112" s="281">
        <f>TABLA_BASE[[#This Row],[TOTAL PAGO
SUNAT
UNIT.(US$)]]*'📋 Datos Generales'!$E$19</f>
        <v>0</v>
      </c>
      <c r="AF112" s="281">
        <f>TABLA_BASE[[#This Row],[TOTAL TRIB.
UNIT.(S/.)]]*TABLA_BASE[[#This Row],[CANTIDAD
(unid.)]]</f>
        <v>0</v>
      </c>
      <c r="AG112" s="279">
        <f>IF('🧾 Factura Comercial'!G116=0,0,'📦 Gastos Importación'!$E$28*(IF('🧾 Tributos Aduana'!$F$6=0,0,'🧾 Factura Comercial'!I116/'🧾 Tributos Aduana'!$F$6))/'🧾 Factura Comercial'!G116)</f>
        <v>0</v>
      </c>
      <c r="AH112" s="279">
        <f>TABLA_BASE[[#This Row],[GASTOS IMP.
UNIT.(US$)]]*TABLA_BASE[[#This Row],[CANTIDAD
(unid.)]]</f>
        <v>0</v>
      </c>
      <c r="AI112" s="281">
        <f>TABLA_BASE[[#This Row],[GASTOS IMP.
UNIT.(US$)]]*'📋 Datos Generales'!$E$19</f>
        <v>0</v>
      </c>
      <c r="AJ112" s="281">
        <f>TABLA_BASE[[#This Row],[GASTOS IMP.
UNIT.(S/.)]]*TABLA_BASE[[#This Row],[CANTIDAD
(unid.)]]</f>
        <v>0</v>
      </c>
      <c r="AK112" s="280">
        <f>'🧮 Costos x Producto'!J116</f>
        <v>0</v>
      </c>
      <c r="AL112" s="278">
        <f>'🧮 Costos x Producto'!K116</f>
        <v>0</v>
      </c>
      <c r="AM112" s="278">
        <f>TABLA_BASE[[#This Row],[C/M UNIT.
(S/.)]]*TABLA_BASE[[#This Row],[CANTIDAD
(unid.)]]</f>
        <v>0</v>
      </c>
      <c r="AN112" s="279">
        <f>IF('🧾 Factura Comercial'!G116=0,0,'🧾 Tributos Aduana'!$F$17*(IF('🧾 Tributos Aduana'!$F$6=0,0,'🧾 Factura Comercial'!I116/'🧾 Tributos Aduana'!$F$6))/'🧾 Factura Comercial'!G116)</f>
        <v>0</v>
      </c>
      <c r="AO112" s="280">
        <f>IF('🧾 Factura Comercial'!G116=0,0,'🏦 Crédito Fiscal'!$C$16*(IF('🧾 Tributos Aduana'!$F$6=0,0,'🧾 Factura Comercial'!I116/'🧾 Tributos Aduana'!$F$6))/'🧾 Factura Comercial'!G116)</f>
        <v>0</v>
      </c>
      <c r="AP112" s="278">
        <f>TABLA_BASE[[#This Row],[CF UNIT.
✅RECUP.
(US$)]]*'📋 Datos Generales'!$E$19</f>
        <v>0</v>
      </c>
      <c r="AQ112" s="278">
        <f>TABLA_BASE[[#This Row],[CF UNIT.
✅RECUP.(S/.)]]*TABLA_BASE[[#This Row],[CANTIDAD
(unid.)]]</f>
        <v>0</v>
      </c>
      <c r="AR112" s="288">
        <f>'💰 Precio de Venta'!G117</f>
        <v>0.4</v>
      </c>
      <c r="AS112" s="278">
        <f>'💰 Precio de Venta'!H117</f>
        <v>0</v>
      </c>
      <c r="AT112" s="278">
        <f>TABLA_BASE[[#This Row],[VALOR VTA.
UNIT.(S/.)]]*TABLA_BASE[[#This Row],[CANTIDAD
(unid.)]]</f>
        <v>0</v>
      </c>
      <c r="AU112" s="281">
        <f>'💰 Precio de Venta'!I117</f>
        <v>0</v>
      </c>
      <c r="AV112" s="278">
        <f>'💰 Precio de Venta'!J117</f>
        <v>0</v>
      </c>
      <c r="AW112" s="278">
        <f>TABLA_BASE[[#This Row],[GANANCIA
UNIT.(S/.)]]*TABLA_BASE[[#This Row],[CANTIDAD
(unid.)]]</f>
        <v>0</v>
      </c>
      <c r="AX112" s="289">
        <f>'💰 Precio de Venta'!K117</f>
        <v>0</v>
      </c>
      <c r="AY112" s="278">
        <f>TABLA_BASE[[#This Row],[GANANCIA
UNIT.(S/.)]]*'🧾 Factura Comercial'!G116</f>
        <v>0</v>
      </c>
      <c r="AZ112" s="277">
        <f>IF(TABLA_BASE[[#This Row],[PRECIO VTA.
c/IGV(S/.)]]=0,0,TABLA_BASE[[#This Row],[GANANCIA
UNIT.(S/.)]]/TABLA_BASE[[#This Row],[PRECIO VTA.
c/IGV(S/.)]])</f>
        <v>0</v>
      </c>
      <c r="BA112" s="277">
        <f>IF(TABLA_BASE[[#This Row],[C/M UNIT.
(S/.)]]=0,0,TABLA_BASE[[#This Row],[GANANCIA
UNIT.(S/.)]]/TABLA_BASE[[#This Row],[C/M UNIT.
(S/.)]])</f>
        <v>0</v>
      </c>
      <c r="BB112" s="274" t="str">
        <f>IF(TABLA_BASE[[#This Row],[MARGEN
%]]&gt;=0.5,"🟢 ALTO",IF(TABLA_BASE[[#This Row],[MARGEN
%]]&gt;=0.3,"🟡 MEDIO","🔴 BAJO"))</f>
        <v>🟡 MEDIO</v>
      </c>
    </row>
    <row r="113" spans="1:54" ht="16.5" hidden="1" thickTop="1" thickBot="1" x14ac:dyDescent="0.3">
      <c r="A113" s="274">
        <f>'🧾 Factura Comercial'!E117</f>
        <v>0</v>
      </c>
      <c r="B113" s="274" t="str">
        <f>'🧾 Factura Comercial'!F117</f>
        <v>Unid.</v>
      </c>
      <c r="C113" s="275">
        <f>'🧾 Factura Comercial'!G117</f>
        <v>0</v>
      </c>
      <c r="D113" s="276">
        <f>'🧾 Factura Comercial'!H117</f>
        <v>0</v>
      </c>
      <c r="E113" s="276">
        <f>'🧾 Factura Comercial'!I117</f>
        <v>0</v>
      </c>
      <c r="F113" s="277">
        <f>IF('🧾 Tributos Aduana'!$F$6=0,0,'🧾 Factura Comercial'!I117/'🧾 Tributos Aduana'!$F$6)</f>
        <v>0</v>
      </c>
      <c r="G113" s="278">
        <f>'🧾 Factura Comercial'!H117*'📋 Datos Generales'!$E$19</f>
        <v>0</v>
      </c>
      <c r="H113" s="278">
        <f>TABLA_BASE[[#This Row],[FOB UNIT.
(S/.)]]*TABLA_BASE[[#This Row],[CANTIDAD
(unid.)]]</f>
        <v>0</v>
      </c>
      <c r="I113" s="280">
        <f>IF('🧾 Tributos Aduana'!$F$6=0,0,'🧾 Tributos Aduana'!$F$17*('🧾 Factura Comercial'!H117/'🧾 Tributos Aduana'!$F$6))</f>
        <v>0</v>
      </c>
      <c r="J113" s="280">
        <f>TABLA_BASE[[#This Row],[ADV UNIT.
(US$)
⚠️COSTO]]*TABLA_BASE[[#This Row],[CANTIDAD
(unid.)]]</f>
        <v>0</v>
      </c>
      <c r="K113" s="279">
        <f>IF('🧾 Tributos Aduana'!$F$6=0,0,'🧾 Tributos Aduana'!$F$18*('🧾 Factura Comercial'!H117/'🧾 Tributos Aduana'!$F$6))</f>
        <v>0</v>
      </c>
      <c r="L113" s="280">
        <f>TABLA_BASE[[#This Row],[IPM UNIT.
(US$)
✅CF]]*TABLA_BASE[[#This Row],[CANTIDAD
(unid.)]]</f>
        <v>0</v>
      </c>
      <c r="M113" s="279">
        <f>IF('🧾 Tributos Aduana'!$F$6=0,0,'🧾 Tributos Aduana'!$F$19*('🧾 Factura Comercial'!H117/'🧾 Tributos Aduana'!$F$6))</f>
        <v>0</v>
      </c>
      <c r="N113" s="280">
        <f>TABLA_BASE[[#This Row],[IGV UNIT.
(US$)
✅CF]]*TABLA_BASE[[#This Row],[CANTIDAD
(unid.)]]</f>
        <v>0</v>
      </c>
      <c r="O113" s="280">
        <f>IF('🧾 Tributos Aduana'!$F$6=0,0,'🧾 Tributos Aduana'!$F$23*('🧾 Factura Comercial'!H117/'🧾 Tributos Aduana'!$F$6))</f>
        <v>0</v>
      </c>
      <c r="P113" s="280">
        <f>TABLA_BASE[[#This Row],[PERCEP.
UNIT.(US$)
✅CF]]*TABLA_BASE[[#This Row],[CANTIDAD
(unid.)]]</f>
        <v>0</v>
      </c>
      <c r="Q113" s="279">
        <f>TABLA_BASE[[#This Row],[ADV UNIT.
(US$)
⚠️COSTO]]+TABLA_BASE[[#This Row],[IPM UNIT.
(US$)
✅CF]]+TABLA_BASE[[#This Row],[IGV UNIT.
(US$)
✅CF]]</f>
        <v>0</v>
      </c>
      <c r="R113" s="280">
        <f>TABLA_BASE[[#This Row],[DEUDA
ADUANERA
UNIT.]]*TABLA_BASE[[#This Row],[CANTIDAD
(unid.)]]</f>
        <v>0</v>
      </c>
      <c r="S113" s="278">
        <f>TABLA_BASE[[#This Row],[DEUDA
ADUANERA
UNIT.]]*'📋 Datos Generales'!$E$19</f>
        <v>0</v>
      </c>
      <c r="T113" s="278">
        <f>TABLA_BASE[[#This Row],[DEUDA
ADUANERA
TOTAL]]*'📋 Datos Generales'!$E$19</f>
        <v>0</v>
      </c>
      <c r="U113" s="281">
        <f>TABLA_BASE[[#This Row],[ADV UNIT.
(US$)
⚠️COSTO]]*'📋 Datos Generales'!$E$19</f>
        <v>0</v>
      </c>
      <c r="V113" s="281">
        <f>TABLA_BASE[[#This Row],[ADV UNIT.
(S/.)]]*TABLA_BASE[[#This Row],[CANTIDAD
(unid.)]]</f>
        <v>0</v>
      </c>
      <c r="W113" s="281">
        <f>TABLA_BASE[[#This Row],[IPM UNIT.
(US$)
✅CF]]*'📋 Datos Generales'!$E$19</f>
        <v>0</v>
      </c>
      <c r="X113" s="281">
        <f>TABLA_BASE[[#This Row],[IPM UNIT.
(S/.)]]*TABLA_BASE[[#This Row],[CANTIDAD
(unid.)]]</f>
        <v>0</v>
      </c>
      <c r="Y113" s="281">
        <f>TABLA_BASE[[#This Row],[IGV UNIT.
(US$)
✅CF]]*'📋 Datos Generales'!$E$19</f>
        <v>0</v>
      </c>
      <c r="Z113" s="281">
        <f>TABLA_BASE[[#This Row],[IGV UNIT.
(S/.)]]*TABLA_BASE[[#This Row],[CANTIDAD
(unid.)]]</f>
        <v>0</v>
      </c>
      <c r="AA113" s="281">
        <f>TABLA_BASE[[#This Row],[PERCEP.
UNIT.(US$)
✅CF]]*'📋 Datos Generales'!$E$19</f>
        <v>0</v>
      </c>
      <c r="AB113" s="281">
        <f>TABLA_BASE[[#This Row],[PERCEP.
UNIT.(S/.)]]*TABLA_BASE[[#This Row],[CANTIDAD
(unid.)]]</f>
        <v>0</v>
      </c>
      <c r="AC113" s="279">
        <f>TABLA_BASE[[#This Row],[ADV UNIT.
(US$)
⚠️COSTO]]+TABLA_BASE[[#This Row],[IPM UNIT.
(US$)
✅CF]]+TABLA_BASE[[#This Row],[IGV UNIT.
(US$)
✅CF]]+TABLA_BASE[[#This Row],[PERCEP.
UNIT.(US$)
✅CF]]</f>
        <v>0</v>
      </c>
      <c r="AD113" s="279">
        <f>TABLA_BASE[[#This Row],[TOTAL PAGO
SUNAT
UNIT.(US$)]]*TABLA_BASE[[#This Row],[CANTIDAD
(unid.)]]</f>
        <v>0</v>
      </c>
      <c r="AE113" s="281">
        <f>TABLA_BASE[[#This Row],[TOTAL PAGO
SUNAT
UNIT.(US$)]]*'📋 Datos Generales'!$E$19</f>
        <v>0</v>
      </c>
      <c r="AF113" s="281">
        <f>TABLA_BASE[[#This Row],[TOTAL TRIB.
UNIT.(S/.)]]*TABLA_BASE[[#This Row],[CANTIDAD
(unid.)]]</f>
        <v>0</v>
      </c>
      <c r="AG113" s="279">
        <f>IF('🧾 Factura Comercial'!G117=0,0,'📦 Gastos Importación'!$E$28*(IF('🧾 Tributos Aduana'!$F$6=0,0,'🧾 Factura Comercial'!I117/'🧾 Tributos Aduana'!$F$6))/'🧾 Factura Comercial'!G117)</f>
        <v>0</v>
      </c>
      <c r="AH113" s="279">
        <f>TABLA_BASE[[#This Row],[GASTOS IMP.
UNIT.(US$)]]*TABLA_BASE[[#This Row],[CANTIDAD
(unid.)]]</f>
        <v>0</v>
      </c>
      <c r="AI113" s="281">
        <f>TABLA_BASE[[#This Row],[GASTOS IMP.
UNIT.(US$)]]*'📋 Datos Generales'!$E$19</f>
        <v>0</v>
      </c>
      <c r="AJ113" s="281">
        <f>TABLA_BASE[[#This Row],[GASTOS IMP.
UNIT.(S/.)]]*TABLA_BASE[[#This Row],[CANTIDAD
(unid.)]]</f>
        <v>0</v>
      </c>
      <c r="AK113" s="280">
        <f>'🧮 Costos x Producto'!J117</f>
        <v>0</v>
      </c>
      <c r="AL113" s="278">
        <f>'🧮 Costos x Producto'!K117</f>
        <v>0</v>
      </c>
      <c r="AM113" s="278">
        <f>TABLA_BASE[[#This Row],[C/M UNIT.
(S/.)]]*TABLA_BASE[[#This Row],[CANTIDAD
(unid.)]]</f>
        <v>0</v>
      </c>
      <c r="AN113" s="279">
        <f>IF('🧾 Factura Comercial'!G117=0,0,'🧾 Tributos Aduana'!$F$17*(IF('🧾 Tributos Aduana'!$F$6=0,0,'🧾 Factura Comercial'!I117/'🧾 Tributos Aduana'!$F$6))/'🧾 Factura Comercial'!G117)</f>
        <v>0</v>
      </c>
      <c r="AO113" s="280">
        <f>IF('🧾 Factura Comercial'!G117=0,0,'🏦 Crédito Fiscal'!$C$16*(IF('🧾 Tributos Aduana'!$F$6=0,0,'🧾 Factura Comercial'!I117/'🧾 Tributos Aduana'!$F$6))/'🧾 Factura Comercial'!G117)</f>
        <v>0</v>
      </c>
      <c r="AP113" s="278">
        <f>TABLA_BASE[[#This Row],[CF UNIT.
✅RECUP.
(US$)]]*'📋 Datos Generales'!$E$19</f>
        <v>0</v>
      </c>
      <c r="AQ113" s="278">
        <f>TABLA_BASE[[#This Row],[CF UNIT.
✅RECUP.(S/.)]]*TABLA_BASE[[#This Row],[CANTIDAD
(unid.)]]</f>
        <v>0</v>
      </c>
      <c r="AR113" s="288">
        <f>'💰 Precio de Venta'!G118</f>
        <v>0.4</v>
      </c>
      <c r="AS113" s="278">
        <f>'💰 Precio de Venta'!H118</f>
        <v>0</v>
      </c>
      <c r="AT113" s="278">
        <f>TABLA_BASE[[#This Row],[VALOR VTA.
UNIT.(S/.)]]*TABLA_BASE[[#This Row],[CANTIDAD
(unid.)]]</f>
        <v>0</v>
      </c>
      <c r="AU113" s="281">
        <f>'💰 Precio de Venta'!I118</f>
        <v>0</v>
      </c>
      <c r="AV113" s="278">
        <f>'💰 Precio de Venta'!J118</f>
        <v>0</v>
      </c>
      <c r="AW113" s="278">
        <f>TABLA_BASE[[#This Row],[GANANCIA
UNIT.(S/.)]]*TABLA_BASE[[#This Row],[CANTIDAD
(unid.)]]</f>
        <v>0</v>
      </c>
      <c r="AX113" s="289">
        <f>'💰 Precio de Venta'!K118</f>
        <v>0</v>
      </c>
      <c r="AY113" s="278">
        <f>TABLA_BASE[[#This Row],[GANANCIA
UNIT.(S/.)]]*'🧾 Factura Comercial'!G117</f>
        <v>0</v>
      </c>
      <c r="AZ113" s="277">
        <f>IF(TABLA_BASE[[#This Row],[PRECIO VTA.
c/IGV(S/.)]]=0,0,TABLA_BASE[[#This Row],[GANANCIA
UNIT.(S/.)]]/TABLA_BASE[[#This Row],[PRECIO VTA.
c/IGV(S/.)]])</f>
        <v>0</v>
      </c>
      <c r="BA113" s="277">
        <f>IF(TABLA_BASE[[#This Row],[C/M UNIT.
(S/.)]]=0,0,TABLA_BASE[[#This Row],[GANANCIA
UNIT.(S/.)]]/TABLA_BASE[[#This Row],[C/M UNIT.
(S/.)]])</f>
        <v>0</v>
      </c>
      <c r="BB113" s="274" t="str">
        <f>IF(TABLA_BASE[[#This Row],[MARGEN
%]]&gt;=0.5,"🟢 ALTO",IF(TABLA_BASE[[#This Row],[MARGEN
%]]&gt;=0.3,"🟡 MEDIO","🔴 BAJO"))</f>
        <v>🟡 MEDIO</v>
      </c>
    </row>
    <row r="114" spans="1:54" ht="16.5" hidden="1" thickTop="1" thickBot="1" x14ac:dyDescent="0.3">
      <c r="A114" s="274">
        <f>'🧾 Factura Comercial'!E118</f>
        <v>0</v>
      </c>
      <c r="B114" s="274" t="str">
        <f>'🧾 Factura Comercial'!F118</f>
        <v>Unid.</v>
      </c>
      <c r="C114" s="275">
        <f>'🧾 Factura Comercial'!G118</f>
        <v>0</v>
      </c>
      <c r="D114" s="276">
        <f>'🧾 Factura Comercial'!H118</f>
        <v>0</v>
      </c>
      <c r="E114" s="276">
        <f>'🧾 Factura Comercial'!I118</f>
        <v>0</v>
      </c>
      <c r="F114" s="277">
        <f>IF('🧾 Tributos Aduana'!$F$6=0,0,'🧾 Factura Comercial'!I118/'🧾 Tributos Aduana'!$F$6)</f>
        <v>0</v>
      </c>
      <c r="G114" s="278">
        <f>'🧾 Factura Comercial'!H118*'📋 Datos Generales'!$E$19</f>
        <v>0</v>
      </c>
      <c r="H114" s="278">
        <f>TABLA_BASE[[#This Row],[FOB UNIT.
(S/.)]]*TABLA_BASE[[#This Row],[CANTIDAD
(unid.)]]</f>
        <v>0</v>
      </c>
      <c r="I114" s="280">
        <f>IF('🧾 Tributos Aduana'!$F$6=0,0,'🧾 Tributos Aduana'!$F$17*('🧾 Factura Comercial'!H118/'🧾 Tributos Aduana'!$F$6))</f>
        <v>0</v>
      </c>
      <c r="J114" s="280">
        <f>TABLA_BASE[[#This Row],[ADV UNIT.
(US$)
⚠️COSTO]]*TABLA_BASE[[#This Row],[CANTIDAD
(unid.)]]</f>
        <v>0</v>
      </c>
      <c r="K114" s="279">
        <f>IF('🧾 Tributos Aduana'!$F$6=0,0,'🧾 Tributos Aduana'!$F$18*('🧾 Factura Comercial'!H118/'🧾 Tributos Aduana'!$F$6))</f>
        <v>0</v>
      </c>
      <c r="L114" s="280">
        <f>TABLA_BASE[[#This Row],[IPM UNIT.
(US$)
✅CF]]*TABLA_BASE[[#This Row],[CANTIDAD
(unid.)]]</f>
        <v>0</v>
      </c>
      <c r="M114" s="279">
        <f>IF('🧾 Tributos Aduana'!$F$6=0,0,'🧾 Tributos Aduana'!$F$19*('🧾 Factura Comercial'!H118/'🧾 Tributos Aduana'!$F$6))</f>
        <v>0</v>
      </c>
      <c r="N114" s="280">
        <f>TABLA_BASE[[#This Row],[IGV UNIT.
(US$)
✅CF]]*TABLA_BASE[[#This Row],[CANTIDAD
(unid.)]]</f>
        <v>0</v>
      </c>
      <c r="O114" s="280">
        <f>IF('🧾 Tributos Aduana'!$F$6=0,0,'🧾 Tributos Aduana'!$F$23*('🧾 Factura Comercial'!H118/'🧾 Tributos Aduana'!$F$6))</f>
        <v>0</v>
      </c>
      <c r="P114" s="280">
        <f>TABLA_BASE[[#This Row],[PERCEP.
UNIT.(US$)
✅CF]]*TABLA_BASE[[#This Row],[CANTIDAD
(unid.)]]</f>
        <v>0</v>
      </c>
      <c r="Q114" s="279">
        <f>TABLA_BASE[[#This Row],[ADV UNIT.
(US$)
⚠️COSTO]]+TABLA_BASE[[#This Row],[IPM UNIT.
(US$)
✅CF]]+TABLA_BASE[[#This Row],[IGV UNIT.
(US$)
✅CF]]</f>
        <v>0</v>
      </c>
      <c r="R114" s="280">
        <f>TABLA_BASE[[#This Row],[DEUDA
ADUANERA
UNIT.]]*TABLA_BASE[[#This Row],[CANTIDAD
(unid.)]]</f>
        <v>0</v>
      </c>
      <c r="S114" s="278">
        <f>TABLA_BASE[[#This Row],[DEUDA
ADUANERA
UNIT.]]*'📋 Datos Generales'!$E$19</f>
        <v>0</v>
      </c>
      <c r="T114" s="278">
        <f>TABLA_BASE[[#This Row],[DEUDA
ADUANERA
TOTAL]]*'📋 Datos Generales'!$E$19</f>
        <v>0</v>
      </c>
      <c r="U114" s="281">
        <f>TABLA_BASE[[#This Row],[ADV UNIT.
(US$)
⚠️COSTO]]*'📋 Datos Generales'!$E$19</f>
        <v>0</v>
      </c>
      <c r="V114" s="281">
        <f>TABLA_BASE[[#This Row],[ADV UNIT.
(S/.)]]*TABLA_BASE[[#This Row],[CANTIDAD
(unid.)]]</f>
        <v>0</v>
      </c>
      <c r="W114" s="281">
        <f>TABLA_BASE[[#This Row],[IPM UNIT.
(US$)
✅CF]]*'📋 Datos Generales'!$E$19</f>
        <v>0</v>
      </c>
      <c r="X114" s="281">
        <f>TABLA_BASE[[#This Row],[IPM UNIT.
(S/.)]]*TABLA_BASE[[#This Row],[CANTIDAD
(unid.)]]</f>
        <v>0</v>
      </c>
      <c r="Y114" s="281">
        <f>TABLA_BASE[[#This Row],[IGV UNIT.
(US$)
✅CF]]*'📋 Datos Generales'!$E$19</f>
        <v>0</v>
      </c>
      <c r="Z114" s="281">
        <f>TABLA_BASE[[#This Row],[IGV UNIT.
(S/.)]]*TABLA_BASE[[#This Row],[CANTIDAD
(unid.)]]</f>
        <v>0</v>
      </c>
      <c r="AA114" s="281">
        <f>TABLA_BASE[[#This Row],[PERCEP.
UNIT.(US$)
✅CF]]*'📋 Datos Generales'!$E$19</f>
        <v>0</v>
      </c>
      <c r="AB114" s="281">
        <f>TABLA_BASE[[#This Row],[PERCEP.
UNIT.(S/.)]]*TABLA_BASE[[#This Row],[CANTIDAD
(unid.)]]</f>
        <v>0</v>
      </c>
      <c r="AC114" s="279">
        <f>TABLA_BASE[[#This Row],[ADV UNIT.
(US$)
⚠️COSTO]]+TABLA_BASE[[#This Row],[IPM UNIT.
(US$)
✅CF]]+TABLA_BASE[[#This Row],[IGV UNIT.
(US$)
✅CF]]+TABLA_BASE[[#This Row],[PERCEP.
UNIT.(US$)
✅CF]]</f>
        <v>0</v>
      </c>
      <c r="AD114" s="279">
        <f>TABLA_BASE[[#This Row],[TOTAL PAGO
SUNAT
UNIT.(US$)]]*TABLA_BASE[[#This Row],[CANTIDAD
(unid.)]]</f>
        <v>0</v>
      </c>
      <c r="AE114" s="281">
        <f>TABLA_BASE[[#This Row],[TOTAL PAGO
SUNAT
UNIT.(US$)]]*'📋 Datos Generales'!$E$19</f>
        <v>0</v>
      </c>
      <c r="AF114" s="281">
        <f>TABLA_BASE[[#This Row],[TOTAL TRIB.
UNIT.(S/.)]]*TABLA_BASE[[#This Row],[CANTIDAD
(unid.)]]</f>
        <v>0</v>
      </c>
      <c r="AG114" s="279">
        <f>IF('🧾 Factura Comercial'!G118=0,0,'📦 Gastos Importación'!$E$28*(IF('🧾 Tributos Aduana'!$F$6=0,0,'🧾 Factura Comercial'!I118/'🧾 Tributos Aduana'!$F$6))/'🧾 Factura Comercial'!G118)</f>
        <v>0</v>
      </c>
      <c r="AH114" s="279">
        <f>TABLA_BASE[[#This Row],[GASTOS IMP.
UNIT.(US$)]]*TABLA_BASE[[#This Row],[CANTIDAD
(unid.)]]</f>
        <v>0</v>
      </c>
      <c r="AI114" s="281">
        <f>TABLA_BASE[[#This Row],[GASTOS IMP.
UNIT.(US$)]]*'📋 Datos Generales'!$E$19</f>
        <v>0</v>
      </c>
      <c r="AJ114" s="281">
        <f>TABLA_BASE[[#This Row],[GASTOS IMP.
UNIT.(S/.)]]*TABLA_BASE[[#This Row],[CANTIDAD
(unid.)]]</f>
        <v>0</v>
      </c>
      <c r="AK114" s="280">
        <f>'🧮 Costos x Producto'!J118</f>
        <v>0</v>
      </c>
      <c r="AL114" s="278">
        <f>'🧮 Costos x Producto'!K118</f>
        <v>0</v>
      </c>
      <c r="AM114" s="278">
        <f>TABLA_BASE[[#This Row],[C/M UNIT.
(S/.)]]*TABLA_BASE[[#This Row],[CANTIDAD
(unid.)]]</f>
        <v>0</v>
      </c>
      <c r="AN114" s="279">
        <f>IF('🧾 Factura Comercial'!G118=0,0,'🧾 Tributos Aduana'!$F$17*(IF('🧾 Tributos Aduana'!$F$6=0,0,'🧾 Factura Comercial'!I118/'🧾 Tributos Aduana'!$F$6))/'🧾 Factura Comercial'!G118)</f>
        <v>0</v>
      </c>
      <c r="AO114" s="280">
        <f>IF('🧾 Factura Comercial'!G118=0,0,'🏦 Crédito Fiscal'!$C$16*(IF('🧾 Tributos Aduana'!$F$6=0,0,'🧾 Factura Comercial'!I118/'🧾 Tributos Aduana'!$F$6))/'🧾 Factura Comercial'!G118)</f>
        <v>0</v>
      </c>
      <c r="AP114" s="278">
        <f>TABLA_BASE[[#This Row],[CF UNIT.
✅RECUP.
(US$)]]*'📋 Datos Generales'!$E$19</f>
        <v>0</v>
      </c>
      <c r="AQ114" s="278">
        <f>TABLA_BASE[[#This Row],[CF UNIT.
✅RECUP.(S/.)]]*TABLA_BASE[[#This Row],[CANTIDAD
(unid.)]]</f>
        <v>0</v>
      </c>
      <c r="AR114" s="288">
        <f>'💰 Precio de Venta'!G119</f>
        <v>0.4</v>
      </c>
      <c r="AS114" s="278">
        <f>'💰 Precio de Venta'!H119</f>
        <v>0</v>
      </c>
      <c r="AT114" s="278">
        <f>TABLA_BASE[[#This Row],[VALOR VTA.
UNIT.(S/.)]]*TABLA_BASE[[#This Row],[CANTIDAD
(unid.)]]</f>
        <v>0</v>
      </c>
      <c r="AU114" s="281">
        <f>'💰 Precio de Venta'!I119</f>
        <v>0</v>
      </c>
      <c r="AV114" s="278">
        <f>'💰 Precio de Venta'!J119</f>
        <v>0</v>
      </c>
      <c r="AW114" s="278">
        <f>TABLA_BASE[[#This Row],[GANANCIA
UNIT.(S/.)]]*TABLA_BASE[[#This Row],[CANTIDAD
(unid.)]]</f>
        <v>0</v>
      </c>
      <c r="AX114" s="289">
        <f>'💰 Precio de Venta'!K119</f>
        <v>0</v>
      </c>
      <c r="AY114" s="278">
        <f>TABLA_BASE[[#This Row],[GANANCIA
UNIT.(S/.)]]*'🧾 Factura Comercial'!G118</f>
        <v>0</v>
      </c>
      <c r="AZ114" s="277">
        <f>IF(TABLA_BASE[[#This Row],[PRECIO VTA.
c/IGV(S/.)]]=0,0,TABLA_BASE[[#This Row],[GANANCIA
UNIT.(S/.)]]/TABLA_BASE[[#This Row],[PRECIO VTA.
c/IGV(S/.)]])</f>
        <v>0</v>
      </c>
      <c r="BA114" s="277">
        <f>IF(TABLA_BASE[[#This Row],[C/M UNIT.
(S/.)]]=0,0,TABLA_BASE[[#This Row],[GANANCIA
UNIT.(S/.)]]/TABLA_BASE[[#This Row],[C/M UNIT.
(S/.)]])</f>
        <v>0</v>
      </c>
      <c r="BB114" s="274" t="str">
        <f>IF(TABLA_BASE[[#This Row],[MARGEN
%]]&gt;=0.5,"🟢 ALTO",IF(TABLA_BASE[[#This Row],[MARGEN
%]]&gt;=0.3,"🟡 MEDIO","🔴 BAJO"))</f>
        <v>🟡 MEDIO</v>
      </c>
    </row>
    <row r="115" spans="1:54" ht="16.5" hidden="1" thickTop="1" thickBot="1" x14ac:dyDescent="0.3">
      <c r="A115" s="274">
        <f>'🧾 Factura Comercial'!E119</f>
        <v>0</v>
      </c>
      <c r="B115" s="274" t="str">
        <f>'🧾 Factura Comercial'!F119</f>
        <v>Unid.</v>
      </c>
      <c r="C115" s="275">
        <f>'🧾 Factura Comercial'!G119</f>
        <v>0</v>
      </c>
      <c r="D115" s="276">
        <f>'🧾 Factura Comercial'!H119</f>
        <v>0</v>
      </c>
      <c r="E115" s="276">
        <f>'🧾 Factura Comercial'!I119</f>
        <v>0</v>
      </c>
      <c r="F115" s="277">
        <f>IF('🧾 Tributos Aduana'!$F$6=0,0,'🧾 Factura Comercial'!I119/'🧾 Tributos Aduana'!$F$6)</f>
        <v>0</v>
      </c>
      <c r="G115" s="278">
        <f>'🧾 Factura Comercial'!H119*'📋 Datos Generales'!$E$19</f>
        <v>0</v>
      </c>
      <c r="H115" s="278">
        <f>TABLA_BASE[[#This Row],[FOB UNIT.
(S/.)]]*TABLA_BASE[[#This Row],[CANTIDAD
(unid.)]]</f>
        <v>0</v>
      </c>
      <c r="I115" s="280">
        <f>IF('🧾 Tributos Aduana'!$F$6=0,0,'🧾 Tributos Aduana'!$F$17*('🧾 Factura Comercial'!H119/'🧾 Tributos Aduana'!$F$6))</f>
        <v>0</v>
      </c>
      <c r="J115" s="280">
        <f>TABLA_BASE[[#This Row],[ADV UNIT.
(US$)
⚠️COSTO]]*TABLA_BASE[[#This Row],[CANTIDAD
(unid.)]]</f>
        <v>0</v>
      </c>
      <c r="K115" s="279">
        <f>IF('🧾 Tributos Aduana'!$F$6=0,0,'🧾 Tributos Aduana'!$F$18*('🧾 Factura Comercial'!H119/'🧾 Tributos Aduana'!$F$6))</f>
        <v>0</v>
      </c>
      <c r="L115" s="280">
        <f>TABLA_BASE[[#This Row],[IPM UNIT.
(US$)
✅CF]]*TABLA_BASE[[#This Row],[CANTIDAD
(unid.)]]</f>
        <v>0</v>
      </c>
      <c r="M115" s="279">
        <f>IF('🧾 Tributos Aduana'!$F$6=0,0,'🧾 Tributos Aduana'!$F$19*('🧾 Factura Comercial'!H119/'🧾 Tributos Aduana'!$F$6))</f>
        <v>0</v>
      </c>
      <c r="N115" s="280">
        <f>TABLA_BASE[[#This Row],[IGV UNIT.
(US$)
✅CF]]*TABLA_BASE[[#This Row],[CANTIDAD
(unid.)]]</f>
        <v>0</v>
      </c>
      <c r="O115" s="280">
        <f>IF('🧾 Tributos Aduana'!$F$6=0,0,'🧾 Tributos Aduana'!$F$23*('🧾 Factura Comercial'!H119/'🧾 Tributos Aduana'!$F$6))</f>
        <v>0</v>
      </c>
      <c r="P115" s="280">
        <f>TABLA_BASE[[#This Row],[PERCEP.
UNIT.(US$)
✅CF]]*TABLA_BASE[[#This Row],[CANTIDAD
(unid.)]]</f>
        <v>0</v>
      </c>
      <c r="Q115" s="279">
        <f>TABLA_BASE[[#This Row],[ADV UNIT.
(US$)
⚠️COSTO]]+TABLA_BASE[[#This Row],[IPM UNIT.
(US$)
✅CF]]+TABLA_BASE[[#This Row],[IGV UNIT.
(US$)
✅CF]]</f>
        <v>0</v>
      </c>
      <c r="R115" s="280">
        <f>TABLA_BASE[[#This Row],[DEUDA
ADUANERA
UNIT.]]*TABLA_BASE[[#This Row],[CANTIDAD
(unid.)]]</f>
        <v>0</v>
      </c>
      <c r="S115" s="278">
        <f>TABLA_BASE[[#This Row],[DEUDA
ADUANERA
UNIT.]]*'📋 Datos Generales'!$E$19</f>
        <v>0</v>
      </c>
      <c r="T115" s="278">
        <f>TABLA_BASE[[#This Row],[DEUDA
ADUANERA
TOTAL]]*'📋 Datos Generales'!$E$19</f>
        <v>0</v>
      </c>
      <c r="U115" s="281">
        <f>TABLA_BASE[[#This Row],[ADV UNIT.
(US$)
⚠️COSTO]]*'📋 Datos Generales'!$E$19</f>
        <v>0</v>
      </c>
      <c r="V115" s="281">
        <f>TABLA_BASE[[#This Row],[ADV UNIT.
(S/.)]]*TABLA_BASE[[#This Row],[CANTIDAD
(unid.)]]</f>
        <v>0</v>
      </c>
      <c r="W115" s="281">
        <f>TABLA_BASE[[#This Row],[IPM UNIT.
(US$)
✅CF]]*'📋 Datos Generales'!$E$19</f>
        <v>0</v>
      </c>
      <c r="X115" s="281">
        <f>TABLA_BASE[[#This Row],[IPM UNIT.
(S/.)]]*TABLA_BASE[[#This Row],[CANTIDAD
(unid.)]]</f>
        <v>0</v>
      </c>
      <c r="Y115" s="281">
        <f>TABLA_BASE[[#This Row],[IGV UNIT.
(US$)
✅CF]]*'📋 Datos Generales'!$E$19</f>
        <v>0</v>
      </c>
      <c r="Z115" s="281">
        <f>TABLA_BASE[[#This Row],[IGV UNIT.
(S/.)]]*TABLA_BASE[[#This Row],[CANTIDAD
(unid.)]]</f>
        <v>0</v>
      </c>
      <c r="AA115" s="281">
        <f>TABLA_BASE[[#This Row],[PERCEP.
UNIT.(US$)
✅CF]]*'📋 Datos Generales'!$E$19</f>
        <v>0</v>
      </c>
      <c r="AB115" s="281">
        <f>TABLA_BASE[[#This Row],[PERCEP.
UNIT.(S/.)]]*TABLA_BASE[[#This Row],[CANTIDAD
(unid.)]]</f>
        <v>0</v>
      </c>
      <c r="AC115" s="279">
        <f>TABLA_BASE[[#This Row],[ADV UNIT.
(US$)
⚠️COSTO]]+TABLA_BASE[[#This Row],[IPM UNIT.
(US$)
✅CF]]+TABLA_BASE[[#This Row],[IGV UNIT.
(US$)
✅CF]]+TABLA_BASE[[#This Row],[PERCEP.
UNIT.(US$)
✅CF]]</f>
        <v>0</v>
      </c>
      <c r="AD115" s="279">
        <f>TABLA_BASE[[#This Row],[TOTAL PAGO
SUNAT
UNIT.(US$)]]*TABLA_BASE[[#This Row],[CANTIDAD
(unid.)]]</f>
        <v>0</v>
      </c>
      <c r="AE115" s="281">
        <f>TABLA_BASE[[#This Row],[TOTAL PAGO
SUNAT
UNIT.(US$)]]*'📋 Datos Generales'!$E$19</f>
        <v>0</v>
      </c>
      <c r="AF115" s="281">
        <f>TABLA_BASE[[#This Row],[TOTAL TRIB.
UNIT.(S/.)]]*TABLA_BASE[[#This Row],[CANTIDAD
(unid.)]]</f>
        <v>0</v>
      </c>
      <c r="AG115" s="279">
        <f>IF('🧾 Factura Comercial'!G119=0,0,'📦 Gastos Importación'!$E$28*(IF('🧾 Tributos Aduana'!$F$6=0,0,'🧾 Factura Comercial'!I119/'🧾 Tributos Aduana'!$F$6))/'🧾 Factura Comercial'!G119)</f>
        <v>0</v>
      </c>
      <c r="AH115" s="279">
        <f>TABLA_BASE[[#This Row],[GASTOS IMP.
UNIT.(US$)]]*TABLA_BASE[[#This Row],[CANTIDAD
(unid.)]]</f>
        <v>0</v>
      </c>
      <c r="AI115" s="281">
        <f>TABLA_BASE[[#This Row],[GASTOS IMP.
UNIT.(US$)]]*'📋 Datos Generales'!$E$19</f>
        <v>0</v>
      </c>
      <c r="AJ115" s="281">
        <f>TABLA_BASE[[#This Row],[GASTOS IMP.
UNIT.(S/.)]]*TABLA_BASE[[#This Row],[CANTIDAD
(unid.)]]</f>
        <v>0</v>
      </c>
      <c r="AK115" s="280">
        <f>'🧮 Costos x Producto'!J119</f>
        <v>0</v>
      </c>
      <c r="AL115" s="278">
        <f>'🧮 Costos x Producto'!K119</f>
        <v>0</v>
      </c>
      <c r="AM115" s="278">
        <f>TABLA_BASE[[#This Row],[C/M UNIT.
(S/.)]]*TABLA_BASE[[#This Row],[CANTIDAD
(unid.)]]</f>
        <v>0</v>
      </c>
      <c r="AN115" s="279">
        <f>IF('🧾 Factura Comercial'!G119=0,0,'🧾 Tributos Aduana'!$F$17*(IF('🧾 Tributos Aduana'!$F$6=0,0,'🧾 Factura Comercial'!I119/'🧾 Tributos Aduana'!$F$6))/'🧾 Factura Comercial'!G119)</f>
        <v>0</v>
      </c>
      <c r="AO115" s="280">
        <f>IF('🧾 Factura Comercial'!G119=0,0,'🏦 Crédito Fiscal'!$C$16*(IF('🧾 Tributos Aduana'!$F$6=0,0,'🧾 Factura Comercial'!I119/'🧾 Tributos Aduana'!$F$6))/'🧾 Factura Comercial'!G119)</f>
        <v>0</v>
      </c>
      <c r="AP115" s="278">
        <f>TABLA_BASE[[#This Row],[CF UNIT.
✅RECUP.
(US$)]]*'📋 Datos Generales'!$E$19</f>
        <v>0</v>
      </c>
      <c r="AQ115" s="278">
        <f>TABLA_BASE[[#This Row],[CF UNIT.
✅RECUP.(S/.)]]*TABLA_BASE[[#This Row],[CANTIDAD
(unid.)]]</f>
        <v>0</v>
      </c>
      <c r="AR115" s="288">
        <f>'💰 Precio de Venta'!G120</f>
        <v>0.4</v>
      </c>
      <c r="AS115" s="278">
        <f>'💰 Precio de Venta'!H120</f>
        <v>0</v>
      </c>
      <c r="AT115" s="278">
        <f>TABLA_BASE[[#This Row],[VALOR VTA.
UNIT.(S/.)]]*TABLA_BASE[[#This Row],[CANTIDAD
(unid.)]]</f>
        <v>0</v>
      </c>
      <c r="AU115" s="281">
        <f>'💰 Precio de Venta'!I120</f>
        <v>0</v>
      </c>
      <c r="AV115" s="278">
        <f>'💰 Precio de Venta'!J120</f>
        <v>0</v>
      </c>
      <c r="AW115" s="278">
        <f>TABLA_BASE[[#This Row],[GANANCIA
UNIT.(S/.)]]*TABLA_BASE[[#This Row],[CANTIDAD
(unid.)]]</f>
        <v>0</v>
      </c>
      <c r="AX115" s="289">
        <f>'💰 Precio de Venta'!K120</f>
        <v>0</v>
      </c>
      <c r="AY115" s="278">
        <f>TABLA_BASE[[#This Row],[GANANCIA
UNIT.(S/.)]]*'🧾 Factura Comercial'!G119</f>
        <v>0</v>
      </c>
      <c r="AZ115" s="277">
        <f>IF(TABLA_BASE[[#This Row],[PRECIO VTA.
c/IGV(S/.)]]=0,0,TABLA_BASE[[#This Row],[GANANCIA
UNIT.(S/.)]]/TABLA_BASE[[#This Row],[PRECIO VTA.
c/IGV(S/.)]])</f>
        <v>0</v>
      </c>
      <c r="BA115" s="277">
        <f>IF(TABLA_BASE[[#This Row],[C/M UNIT.
(S/.)]]=0,0,TABLA_BASE[[#This Row],[GANANCIA
UNIT.(S/.)]]/TABLA_BASE[[#This Row],[C/M UNIT.
(S/.)]])</f>
        <v>0</v>
      </c>
      <c r="BB115" s="274" t="str">
        <f>IF(TABLA_BASE[[#This Row],[MARGEN
%]]&gt;=0.5,"🟢 ALTO",IF(TABLA_BASE[[#This Row],[MARGEN
%]]&gt;=0.3,"🟡 MEDIO","🔴 BAJO"))</f>
        <v>🟡 MEDIO</v>
      </c>
    </row>
    <row r="116" spans="1:54" ht="16.5" hidden="1" thickTop="1" thickBot="1" x14ac:dyDescent="0.3">
      <c r="A116" s="274">
        <f>'🧾 Factura Comercial'!E120</f>
        <v>0</v>
      </c>
      <c r="B116" s="274" t="str">
        <f>'🧾 Factura Comercial'!F120</f>
        <v>Unid.</v>
      </c>
      <c r="C116" s="275">
        <f>'🧾 Factura Comercial'!G120</f>
        <v>0</v>
      </c>
      <c r="D116" s="276">
        <f>'🧾 Factura Comercial'!H120</f>
        <v>0</v>
      </c>
      <c r="E116" s="276">
        <f>'🧾 Factura Comercial'!I120</f>
        <v>0</v>
      </c>
      <c r="F116" s="277">
        <f>IF('🧾 Tributos Aduana'!$F$6=0,0,'🧾 Factura Comercial'!I120/'🧾 Tributos Aduana'!$F$6)</f>
        <v>0</v>
      </c>
      <c r="G116" s="278">
        <f>'🧾 Factura Comercial'!H120*'📋 Datos Generales'!$E$19</f>
        <v>0</v>
      </c>
      <c r="H116" s="278">
        <f>TABLA_BASE[[#This Row],[FOB UNIT.
(S/.)]]*TABLA_BASE[[#This Row],[CANTIDAD
(unid.)]]</f>
        <v>0</v>
      </c>
      <c r="I116" s="280">
        <f>IF('🧾 Tributos Aduana'!$F$6=0,0,'🧾 Tributos Aduana'!$F$17*('🧾 Factura Comercial'!H120/'🧾 Tributos Aduana'!$F$6))</f>
        <v>0</v>
      </c>
      <c r="J116" s="280">
        <f>TABLA_BASE[[#This Row],[ADV UNIT.
(US$)
⚠️COSTO]]*TABLA_BASE[[#This Row],[CANTIDAD
(unid.)]]</f>
        <v>0</v>
      </c>
      <c r="K116" s="279">
        <f>IF('🧾 Tributos Aduana'!$F$6=0,0,'🧾 Tributos Aduana'!$F$18*('🧾 Factura Comercial'!H120/'🧾 Tributos Aduana'!$F$6))</f>
        <v>0</v>
      </c>
      <c r="L116" s="280">
        <f>TABLA_BASE[[#This Row],[IPM UNIT.
(US$)
✅CF]]*TABLA_BASE[[#This Row],[CANTIDAD
(unid.)]]</f>
        <v>0</v>
      </c>
      <c r="M116" s="279">
        <f>IF('🧾 Tributos Aduana'!$F$6=0,0,'🧾 Tributos Aduana'!$F$19*('🧾 Factura Comercial'!H120/'🧾 Tributos Aduana'!$F$6))</f>
        <v>0</v>
      </c>
      <c r="N116" s="280">
        <f>TABLA_BASE[[#This Row],[IGV UNIT.
(US$)
✅CF]]*TABLA_BASE[[#This Row],[CANTIDAD
(unid.)]]</f>
        <v>0</v>
      </c>
      <c r="O116" s="280">
        <f>IF('🧾 Tributos Aduana'!$F$6=0,0,'🧾 Tributos Aduana'!$F$23*('🧾 Factura Comercial'!H120/'🧾 Tributos Aduana'!$F$6))</f>
        <v>0</v>
      </c>
      <c r="P116" s="280">
        <f>TABLA_BASE[[#This Row],[PERCEP.
UNIT.(US$)
✅CF]]*TABLA_BASE[[#This Row],[CANTIDAD
(unid.)]]</f>
        <v>0</v>
      </c>
      <c r="Q116" s="279">
        <f>TABLA_BASE[[#This Row],[ADV UNIT.
(US$)
⚠️COSTO]]+TABLA_BASE[[#This Row],[IPM UNIT.
(US$)
✅CF]]+TABLA_BASE[[#This Row],[IGV UNIT.
(US$)
✅CF]]</f>
        <v>0</v>
      </c>
      <c r="R116" s="280">
        <f>TABLA_BASE[[#This Row],[DEUDA
ADUANERA
UNIT.]]*TABLA_BASE[[#This Row],[CANTIDAD
(unid.)]]</f>
        <v>0</v>
      </c>
      <c r="S116" s="278">
        <f>TABLA_BASE[[#This Row],[DEUDA
ADUANERA
UNIT.]]*'📋 Datos Generales'!$E$19</f>
        <v>0</v>
      </c>
      <c r="T116" s="278">
        <f>TABLA_BASE[[#This Row],[DEUDA
ADUANERA
TOTAL]]*'📋 Datos Generales'!$E$19</f>
        <v>0</v>
      </c>
      <c r="U116" s="281">
        <f>TABLA_BASE[[#This Row],[ADV UNIT.
(US$)
⚠️COSTO]]*'📋 Datos Generales'!$E$19</f>
        <v>0</v>
      </c>
      <c r="V116" s="281">
        <f>TABLA_BASE[[#This Row],[ADV UNIT.
(S/.)]]*TABLA_BASE[[#This Row],[CANTIDAD
(unid.)]]</f>
        <v>0</v>
      </c>
      <c r="W116" s="281">
        <f>TABLA_BASE[[#This Row],[IPM UNIT.
(US$)
✅CF]]*'📋 Datos Generales'!$E$19</f>
        <v>0</v>
      </c>
      <c r="X116" s="281">
        <f>TABLA_BASE[[#This Row],[IPM UNIT.
(S/.)]]*TABLA_BASE[[#This Row],[CANTIDAD
(unid.)]]</f>
        <v>0</v>
      </c>
      <c r="Y116" s="281">
        <f>TABLA_BASE[[#This Row],[IGV UNIT.
(US$)
✅CF]]*'📋 Datos Generales'!$E$19</f>
        <v>0</v>
      </c>
      <c r="Z116" s="281">
        <f>TABLA_BASE[[#This Row],[IGV UNIT.
(S/.)]]*TABLA_BASE[[#This Row],[CANTIDAD
(unid.)]]</f>
        <v>0</v>
      </c>
      <c r="AA116" s="281">
        <f>TABLA_BASE[[#This Row],[PERCEP.
UNIT.(US$)
✅CF]]*'📋 Datos Generales'!$E$19</f>
        <v>0</v>
      </c>
      <c r="AB116" s="281">
        <f>TABLA_BASE[[#This Row],[PERCEP.
UNIT.(S/.)]]*TABLA_BASE[[#This Row],[CANTIDAD
(unid.)]]</f>
        <v>0</v>
      </c>
      <c r="AC116" s="279">
        <f>TABLA_BASE[[#This Row],[ADV UNIT.
(US$)
⚠️COSTO]]+TABLA_BASE[[#This Row],[IPM UNIT.
(US$)
✅CF]]+TABLA_BASE[[#This Row],[IGV UNIT.
(US$)
✅CF]]+TABLA_BASE[[#This Row],[PERCEP.
UNIT.(US$)
✅CF]]</f>
        <v>0</v>
      </c>
      <c r="AD116" s="279">
        <f>TABLA_BASE[[#This Row],[TOTAL PAGO
SUNAT
UNIT.(US$)]]*TABLA_BASE[[#This Row],[CANTIDAD
(unid.)]]</f>
        <v>0</v>
      </c>
      <c r="AE116" s="281">
        <f>TABLA_BASE[[#This Row],[TOTAL PAGO
SUNAT
UNIT.(US$)]]*'📋 Datos Generales'!$E$19</f>
        <v>0</v>
      </c>
      <c r="AF116" s="281">
        <f>TABLA_BASE[[#This Row],[TOTAL TRIB.
UNIT.(S/.)]]*TABLA_BASE[[#This Row],[CANTIDAD
(unid.)]]</f>
        <v>0</v>
      </c>
      <c r="AG116" s="279">
        <f>IF('🧾 Factura Comercial'!G120=0,0,'📦 Gastos Importación'!$E$28*(IF('🧾 Tributos Aduana'!$F$6=0,0,'🧾 Factura Comercial'!I120/'🧾 Tributos Aduana'!$F$6))/'🧾 Factura Comercial'!G120)</f>
        <v>0</v>
      </c>
      <c r="AH116" s="279">
        <f>TABLA_BASE[[#This Row],[GASTOS IMP.
UNIT.(US$)]]*TABLA_BASE[[#This Row],[CANTIDAD
(unid.)]]</f>
        <v>0</v>
      </c>
      <c r="AI116" s="281">
        <f>TABLA_BASE[[#This Row],[GASTOS IMP.
UNIT.(US$)]]*'📋 Datos Generales'!$E$19</f>
        <v>0</v>
      </c>
      <c r="AJ116" s="281">
        <f>TABLA_BASE[[#This Row],[GASTOS IMP.
UNIT.(S/.)]]*TABLA_BASE[[#This Row],[CANTIDAD
(unid.)]]</f>
        <v>0</v>
      </c>
      <c r="AK116" s="280">
        <f>'🧮 Costos x Producto'!J120</f>
        <v>0</v>
      </c>
      <c r="AL116" s="278">
        <f>'🧮 Costos x Producto'!K120</f>
        <v>0</v>
      </c>
      <c r="AM116" s="278">
        <f>TABLA_BASE[[#This Row],[C/M UNIT.
(S/.)]]*TABLA_BASE[[#This Row],[CANTIDAD
(unid.)]]</f>
        <v>0</v>
      </c>
      <c r="AN116" s="279">
        <f>IF('🧾 Factura Comercial'!G120=0,0,'🧾 Tributos Aduana'!$F$17*(IF('🧾 Tributos Aduana'!$F$6=0,0,'🧾 Factura Comercial'!I120/'🧾 Tributos Aduana'!$F$6))/'🧾 Factura Comercial'!G120)</f>
        <v>0</v>
      </c>
      <c r="AO116" s="280">
        <f>IF('🧾 Factura Comercial'!G120=0,0,'🏦 Crédito Fiscal'!$C$16*(IF('🧾 Tributos Aduana'!$F$6=0,0,'🧾 Factura Comercial'!I120/'🧾 Tributos Aduana'!$F$6))/'🧾 Factura Comercial'!G120)</f>
        <v>0</v>
      </c>
      <c r="AP116" s="278">
        <f>TABLA_BASE[[#This Row],[CF UNIT.
✅RECUP.
(US$)]]*'📋 Datos Generales'!$E$19</f>
        <v>0</v>
      </c>
      <c r="AQ116" s="278">
        <f>TABLA_BASE[[#This Row],[CF UNIT.
✅RECUP.(S/.)]]*TABLA_BASE[[#This Row],[CANTIDAD
(unid.)]]</f>
        <v>0</v>
      </c>
      <c r="AR116" s="288">
        <f>'💰 Precio de Venta'!G121</f>
        <v>0.4</v>
      </c>
      <c r="AS116" s="278">
        <f>'💰 Precio de Venta'!H121</f>
        <v>0</v>
      </c>
      <c r="AT116" s="278">
        <f>TABLA_BASE[[#This Row],[VALOR VTA.
UNIT.(S/.)]]*TABLA_BASE[[#This Row],[CANTIDAD
(unid.)]]</f>
        <v>0</v>
      </c>
      <c r="AU116" s="281">
        <f>'💰 Precio de Venta'!I121</f>
        <v>0</v>
      </c>
      <c r="AV116" s="278">
        <f>'💰 Precio de Venta'!J121</f>
        <v>0</v>
      </c>
      <c r="AW116" s="278">
        <f>TABLA_BASE[[#This Row],[GANANCIA
UNIT.(S/.)]]*TABLA_BASE[[#This Row],[CANTIDAD
(unid.)]]</f>
        <v>0</v>
      </c>
      <c r="AX116" s="289">
        <f>'💰 Precio de Venta'!K121</f>
        <v>0</v>
      </c>
      <c r="AY116" s="278">
        <f>TABLA_BASE[[#This Row],[GANANCIA
UNIT.(S/.)]]*'🧾 Factura Comercial'!G120</f>
        <v>0</v>
      </c>
      <c r="AZ116" s="277">
        <f>IF(TABLA_BASE[[#This Row],[PRECIO VTA.
c/IGV(S/.)]]=0,0,TABLA_BASE[[#This Row],[GANANCIA
UNIT.(S/.)]]/TABLA_BASE[[#This Row],[PRECIO VTA.
c/IGV(S/.)]])</f>
        <v>0</v>
      </c>
      <c r="BA116" s="277">
        <f>IF(TABLA_BASE[[#This Row],[C/M UNIT.
(S/.)]]=0,0,TABLA_BASE[[#This Row],[GANANCIA
UNIT.(S/.)]]/TABLA_BASE[[#This Row],[C/M UNIT.
(S/.)]])</f>
        <v>0</v>
      </c>
      <c r="BB116" s="274" t="str">
        <f>IF(TABLA_BASE[[#This Row],[MARGEN
%]]&gt;=0.5,"🟢 ALTO",IF(TABLA_BASE[[#This Row],[MARGEN
%]]&gt;=0.3,"🟡 MEDIO","🔴 BAJO"))</f>
        <v>🟡 MEDIO</v>
      </c>
    </row>
    <row r="117" spans="1:54" ht="16.5" hidden="1" thickTop="1" thickBot="1" x14ac:dyDescent="0.3">
      <c r="A117" s="274">
        <f>'🧾 Factura Comercial'!E121</f>
        <v>0</v>
      </c>
      <c r="B117" s="274" t="str">
        <f>'🧾 Factura Comercial'!F121</f>
        <v>Unid.</v>
      </c>
      <c r="C117" s="275">
        <f>'🧾 Factura Comercial'!G121</f>
        <v>0</v>
      </c>
      <c r="D117" s="276">
        <f>'🧾 Factura Comercial'!H121</f>
        <v>0</v>
      </c>
      <c r="E117" s="276">
        <f>'🧾 Factura Comercial'!I121</f>
        <v>0</v>
      </c>
      <c r="F117" s="277">
        <f>IF('🧾 Tributos Aduana'!$F$6=0,0,'🧾 Factura Comercial'!I121/'🧾 Tributos Aduana'!$F$6)</f>
        <v>0</v>
      </c>
      <c r="G117" s="278">
        <f>'🧾 Factura Comercial'!H121*'📋 Datos Generales'!$E$19</f>
        <v>0</v>
      </c>
      <c r="H117" s="278">
        <f>TABLA_BASE[[#This Row],[FOB UNIT.
(S/.)]]*TABLA_BASE[[#This Row],[CANTIDAD
(unid.)]]</f>
        <v>0</v>
      </c>
      <c r="I117" s="280">
        <f>IF('🧾 Tributos Aduana'!$F$6=0,0,'🧾 Tributos Aduana'!$F$17*('🧾 Factura Comercial'!H121/'🧾 Tributos Aduana'!$F$6))</f>
        <v>0</v>
      </c>
      <c r="J117" s="280">
        <f>TABLA_BASE[[#This Row],[ADV UNIT.
(US$)
⚠️COSTO]]*TABLA_BASE[[#This Row],[CANTIDAD
(unid.)]]</f>
        <v>0</v>
      </c>
      <c r="K117" s="279">
        <f>IF('🧾 Tributos Aduana'!$F$6=0,0,'🧾 Tributos Aduana'!$F$18*('🧾 Factura Comercial'!H121/'🧾 Tributos Aduana'!$F$6))</f>
        <v>0</v>
      </c>
      <c r="L117" s="280">
        <f>TABLA_BASE[[#This Row],[IPM UNIT.
(US$)
✅CF]]*TABLA_BASE[[#This Row],[CANTIDAD
(unid.)]]</f>
        <v>0</v>
      </c>
      <c r="M117" s="279">
        <f>IF('🧾 Tributos Aduana'!$F$6=0,0,'🧾 Tributos Aduana'!$F$19*('🧾 Factura Comercial'!H121/'🧾 Tributos Aduana'!$F$6))</f>
        <v>0</v>
      </c>
      <c r="N117" s="280">
        <f>TABLA_BASE[[#This Row],[IGV UNIT.
(US$)
✅CF]]*TABLA_BASE[[#This Row],[CANTIDAD
(unid.)]]</f>
        <v>0</v>
      </c>
      <c r="O117" s="280">
        <f>IF('🧾 Tributos Aduana'!$F$6=0,0,'🧾 Tributos Aduana'!$F$23*('🧾 Factura Comercial'!H121/'🧾 Tributos Aduana'!$F$6))</f>
        <v>0</v>
      </c>
      <c r="P117" s="280">
        <f>TABLA_BASE[[#This Row],[PERCEP.
UNIT.(US$)
✅CF]]*TABLA_BASE[[#This Row],[CANTIDAD
(unid.)]]</f>
        <v>0</v>
      </c>
      <c r="Q117" s="279">
        <f>TABLA_BASE[[#This Row],[ADV UNIT.
(US$)
⚠️COSTO]]+TABLA_BASE[[#This Row],[IPM UNIT.
(US$)
✅CF]]+TABLA_BASE[[#This Row],[IGV UNIT.
(US$)
✅CF]]</f>
        <v>0</v>
      </c>
      <c r="R117" s="280">
        <f>TABLA_BASE[[#This Row],[DEUDA
ADUANERA
UNIT.]]*TABLA_BASE[[#This Row],[CANTIDAD
(unid.)]]</f>
        <v>0</v>
      </c>
      <c r="S117" s="278">
        <f>TABLA_BASE[[#This Row],[DEUDA
ADUANERA
UNIT.]]*'📋 Datos Generales'!$E$19</f>
        <v>0</v>
      </c>
      <c r="T117" s="278">
        <f>TABLA_BASE[[#This Row],[DEUDA
ADUANERA
TOTAL]]*'📋 Datos Generales'!$E$19</f>
        <v>0</v>
      </c>
      <c r="U117" s="281">
        <f>TABLA_BASE[[#This Row],[ADV UNIT.
(US$)
⚠️COSTO]]*'📋 Datos Generales'!$E$19</f>
        <v>0</v>
      </c>
      <c r="V117" s="281">
        <f>TABLA_BASE[[#This Row],[ADV UNIT.
(S/.)]]*TABLA_BASE[[#This Row],[CANTIDAD
(unid.)]]</f>
        <v>0</v>
      </c>
      <c r="W117" s="281">
        <f>TABLA_BASE[[#This Row],[IPM UNIT.
(US$)
✅CF]]*'📋 Datos Generales'!$E$19</f>
        <v>0</v>
      </c>
      <c r="X117" s="281">
        <f>TABLA_BASE[[#This Row],[IPM UNIT.
(S/.)]]*TABLA_BASE[[#This Row],[CANTIDAD
(unid.)]]</f>
        <v>0</v>
      </c>
      <c r="Y117" s="281">
        <f>TABLA_BASE[[#This Row],[IGV UNIT.
(US$)
✅CF]]*'📋 Datos Generales'!$E$19</f>
        <v>0</v>
      </c>
      <c r="Z117" s="281">
        <f>TABLA_BASE[[#This Row],[IGV UNIT.
(S/.)]]*TABLA_BASE[[#This Row],[CANTIDAD
(unid.)]]</f>
        <v>0</v>
      </c>
      <c r="AA117" s="281">
        <f>TABLA_BASE[[#This Row],[PERCEP.
UNIT.(US$)
✅CF]]*'📋 Datos Generales'!$E$19</f>
        <v>0</v>
      </c>
      <c r="AB117" s="281">
        <f>TABLA_BASE[[#This Row],[PERCEP.
UNIT.(S/.)]]*TABLA_BASE[[#This Row],[CANTIDAD
(unid.)]]</f>
        <v>0</v>
      </c>
      <c r="AC117" s="279">
        <f>TABLA_BASE[[#This Row],[ADV UNIT.
(US$)
⚠️COSTO]]+TABLA_BASE[[#This Row],[IPM UNIT.
(US$)
✅CF]]+TABLA_BASE[[#This Row],[IGV UNIT.
(US$)
✅CF]]+TABLA_BASE[[#This Row],[PERCEP.
UNIT.(US$)
✅CF]]</f>
        <v>0</v>
      </c>
      <c r="AD117" s="279">
        <f>TABLA_BASE[[#This Row],[TOTAL PAGO
SUNAT
UNIT.(US$)]]*TABLA_BASE[[#This Row],[CANTIDAD
(unid.)]]</f>
        <v>0</v>
      </c>
      <c r="AE117" s="281">
        <f>TABLA_BASE[[#This Row],[TOTAL PAGO
SUNAT
UNIT.(US$)]]*'📋 Datos Generales'!$E$19</f>
        <v>0</v>
      </c>
      <c r="AF117" s="281">
        <f>TABLA_BASE[[#This Row],[TOTAL TRIB.
UNIT.(S/.)]]*TABLA_BASE[[#This Row],[CANTIDAD
(unid.)]]</f>
        <v>0</v>
      </c>
      <c r="AG117" s="279">
        <f>IF('🧾 Factura Comercial'!G121=0,0,'📦 Gastos Importación'!$E$28*(IF('🧾 Tributos Aduana'!$F$6=0,0,'🧾 Factura Comercial'!I121/'🧾 Tributos Aduana'!$F$6))/'🧾 Factura Comercial'!G121)</f>
        <v>0</v>
      </c>
      <c r="AH117" s="279">
        <f>TABLA_BASE[[#This Row],[GASTOS IMP.
UNIT.(US$)]]*TABLA_BASE[[#This Row],[CANTIDAD
(unid.)]]</f>
        <v>0</v>
      </c>
      <c r="AI117" s="281">
        <f>TABLA_BASE[[#This Row],[GASTOS IMP.
UNIT.(US$)]]*'📋 Datos Generales'!$E$19</f>
        <v>0</v>
      </c>
      <c r="AJ117" s="281">
        <f>TABLA_BASE[[#This Row],[GASTOS IMP.
UNIT.(S/.)]]*TABLA_BASE[[#This Row],[CANTIDAD
(unid.)]]</f>
        <v>0</v>
      </c>
      <c r="AK117" s="280">
        <f>'🧮 Costos x Producto'!J121</f>
        <v>0</v>
      </c>
      <c r="AL117" s="278">
        <f>'🧮 Costos x Producto'!K121</f>
        <v>0</v>
      </c>
      <c r="AM117" s="278">
        <f>TABLA_BASE[[#This Row],[C/M UNIT.
(S/.)]]*TABLA_BASE[[#This Row],[CANTIDAD
(unid.)]]</f>
        <v>0</v>
      </c>
      <c r="AN117" s="279">
        <f>IF('🧾 Factura Comercial'!G121=0,0,'🧾 Tributos Aduana'!$F$17*(IF('🧾 Tributos Aduana'!$F$6=0,0,'🧾 Factura Comercial'!I121/'🧾 Tributos Aduana'!$F$6))/'🧾 Factura Comercial'!G121)</f>
        <v>0</v>
      </c>
      <c r="AO117" s="280">
        <f>IF('🧾 Factura Comercial'!G121=0,0,'🏦 Crédito Fiscal'!$C$16*(IF('🧾 Tributos Aduana'!$F$6=0,0,'🧾 Factura Comercial'!I121/'🧾 Tributos Aduana'!$F$6))/'🧾 Factura Comercial'!G121)</f>
        <v>0</v>
      </c>
      <c r="AP117" s="278">
        <f>TABLA_BASE[[#This Row],[CF UNIT.
✅RECUP.
(US$)]]*'📋 Datos Generales'!$E$19</f>
        <v>0</v>
      </c>
      <c r="AQ117" s="278">
        <f>TABLA_BASE[[#This Row],[CF UNIT.
✅RECUP.(S/.)]]*TABLA_BASE[[#This Row],[CANTIDAD
(unid.)]]</f>
        <v>0</v>
      </c>
      <c r="AR117" s="288">
        <f>'💰 Precio de Venta'!G122</f>
        <v>0.4</v>
      </c>
      <c r="AS117" s="278">
        <f>'💰 Precio de Venta'!H122</f>
        <v>0</v>
      </c>
      <c r="AT117" s="278">
        <f>TABLA_BASE[[#This Row],[VALOR VTA.
UNIT.(S/.)]]*TABLA_BASE[[#This Row],[CANTIDAD
(unid.)]]</f>
        <v>0</v>
      </c>
      <c r="AU117" s="281">
        <f>'💰 Precio de Venta'!I122</f>
        <v>0</v>
      </c>
      <c r="AV117" s="278">
        <f>'💰 Precio de Venta'!J122</f>
        <v>0</v>
      </c>
      <c r="AW117" s="278">
        <f>TABLA_BASE[[#This Row],[GANANCIA
UNIT.(S/.)]]*TABLA_BASE[[#This Row],[CANTIDAD
(unid.)]]</f>
        <v>0</v>
      </c>
      <c r="AX117" s="289">
        <f>'💰 Precio de Venta'!K122</f>
        <v>0</v>
      </c>
      <c r="AY117" s="278">
        <f>TABLA_BASE[[#This Row],[GANANCIA
UNIT.(S/.)]]*'🧾 Factura Comercial'!G121</f>
        <v>0</v>
      </c>
      <c r="AZ117" s="277">
        <f>IF(TABLA_BASE[[#This Row],[PRECIO VTA.
c/IGV(S/.)]]=0,0,TABLA_BASE[[#This Row],[GANANCIA
UNIT.(S/.)]]/TABLA_BASE[[#This Row],[PRECIO VTA.
c/IGV(S/.)]])</f>
        <v>0</v>
      </c>
      <c r="BA117" s="277">
        <f>IF(TABLA_BASE[[#This Row],[C/M UNIT.
(S/.)]]=0,0,TABLA_BASE[[#This Row],[GANANCIA
UNIT.(S/.)]]/TABLA_BASE[[#This Row],[C/M UNIT.
(S/.)]])</f>
        <v>0</v>
      </c>
      <c r="BB117" s="274" t="str">
        <f>IF(TABLA_BASE[[#This Row],[MARGEN
%]]&gt;=0.5,"🟢 ALTO",IF(TABLA_BASE[[#This Row],[MARGEN
%]]&gt;=0.3,"🟡 MEDIO","🔴 BAJO"))</f>
        <v>🟡 MEDIO</v>
      </c>
    </row>
    <row r="118" spans="1:54" ht="16.5" hidden="1" thickTop="1" thickBot="1" x14ac:dyDescent="0.3">
      <c r="A118" s="274">
        <f>'🧾 Factura Comercial'!E122</f>
        <v>0</v>
      </c>
      <c r="B118" s="274" t="str">
        <f>'🧾 Factura Comercial'!F122</f>
        <v>Unid.</v>
      </c>
      <c r="C118" s="275">
        <f>'🧾 Factura Comercial'!G122</f>
        <v>0</v>
      </c>
      <c r="D118" s="276">
        <f>'🧾 Factura Comercial'!H122</f>
        <v>0</v>
      </c>
      <c r="E118" s="276">
        <f>'🧾 Factura Comercial'!I122</f>
        <v>0</v>
      </c>
      <c r="F118" s="277">
        <f>IF('🧾 Tributos Aduana'!$F$6=0,0,'🧾 Factura Comercial'!I122/'🧾 Tributos Aduana'!$F$6)</f>
        <v>0</v>
      </c>
      <c r="G118" s="278">
        <f>'🧾 Factura Comercial'!H122*'📋 Datos Generales'!$E$19</f>
        <v>0</v>
      </c>
      <c r="H118" s="278">
        <f>TABLA_BASE[[#This Row],[FOB UNIT.
(S/.)]]*TABLA_BASE[[#This Row],[CANTIDAD
(unid.)]]</f>
        <v>0</v>
      </c>
      <c r="I118" s="280">
        <f>IF('🧾 Tributos Aduana'!$F$6=0,0,'🧾 Tributos Aduana'!$F$17*('🧾 Factura Comercial'!H122/'🧾 Tributos Aduana'!$F$6))</f>
        <v>0</v>
      </c>
      <c r="J118" s="280">
        <f>TABLA_BASE[[#This Row],[ADV UNIT.
(US$)
⚠️COSTO]]*TABLA_BASE[[#This Row],[CANTIDAD
(unid.)]]</f>
        <v>0</v>
      </c>
      <c r="K118" s="279">
        <f>IF('🧾 Tributos Aduana'!$F$6=0,0,'🧾 Tributos Aduana'!$F$18*('🧾 Factura Comercial'!H122/'🧾 Tributos Aduana'!$F$6))</f>
        <v>0</v>
      </c>
      <c r="L118" s="280">
        <f>TABLA_BASE[[#This Row],[IPM UNIT.
(US$)
✅CF]]*TABLA_BASE[[#This Row],[CANTIDAD
(unid.)]]</f>
        <v>0</v>
      </c>
      <c r="M118" s="279">
        <f>IF('🧾 Tributos Aduana'!$F$6=0,0,'🧾 Tributos Aduana'!$F$19*('🧾 Factura Comercial'!H122/'🧾 Tributos Aduana'!$F$6))</f>
        <v>0</v>
      </c>
      <c r="N118" s="280">
        <f>TABLA_BASE[[#This Row],[IGV UNIT.
(US$)
✅CF]]*TABLA_BASE[[#This Row],[CANTIDAD
(unid.)]]</f>
        <v>0</v>
      </c>
      <c r="O118" s="280">
        <f>IF('🧾 Tributos Aduana'!$F$6=0,0,'🧾 Tributos Aduana'!$F$23*('🧾 Factura Comercial'!H122/'🧾 Tributos Aduana'!$F$6))</f>
        <v>0</v>
      </c>
      <c r="P118" s="280">
        <f>TABLA_BASE[[#This Row],[PERCEP.
UNIT.(US$)
✅CF]]*TABLA_BASE[[#This Row],[CANTIDAD
(unid.)]]</f>
        <v>0</v>
      </c>
      <c r="Q118" s="279">
        <f>TABLA_BASE[[#This Row],[ADV UNIT.
(US$)
⚠️COSTO]]+TABLA_BASE[[#This Row],[IPM UNIT.
(US$)
✅CF]]+TABLA_BASE[[#This Row],[IGV UNIT.
(US$)
✅CF]]</f>
        <v>0</v>
      </c>
      <c r="R118" s="280">
        <f>TABLA_BASE[[#This Row],[DEUDA
ADUANERA
UNIT.]]*TABLA_BASE[[#This Row],[CANTIDAD
(unid.)]]</f>
        <v>0</v>
      </c>
      <c r="S118" s="278">
        <f>TABLA_BASE[[#This Row],[DEUDA
ADUANERA
UNIT.]]*'📋 Datos Generales'!$E$19</f>
        <v>0</v>
      </c>
      <c r="T118" s="278">
        <f>TABLA_BASE[[#This Row],[DEUDA
ADUANERA
TOTAL]]*'📋 Datos Generales'!$E$19</f>
        <v>0</v>
      </c>
      <c r="U118" s="281">
        <f>TABLA_BASE[[#This Row],[ADV UNIT.
(US$)
⚠️COSTO]]*'📋 Datos Generales'!$E$19</f>
        <v>0</v>
      </c>
      <c r="V118" s="281">
        <f>TABLA_BASE[[#This Row],[ADV UNIT.
(S/.)]]*TABLA_BASE[[#This Row],[CANTIDAD
(unid.)]]</f>
        <v>0</v>
      </c>
      <c r="W118" s="281">
        <f>TABLA_BASE[[#This Row],[IPM UNIT.
(US$)
✅CF]]*'📋 Datos Generales'!$E$19</f>
        <v>0</v>
      </c>
      <c r="X118" s="281">
        <f>TABLA_BASE[[#This Row],[IPM UNIT.
(S/.)]]*TABLA_BASE[[#This Row],[CANTIDAD
(unid.)]]</f>
        <v>0</v>
      </c>
      <c r="Y118" s="281">
        <f>TABLA_BASE[[#This Row],[IGV UNIT.
(US$)
✅CF]]*'📋 Datos Generales'!$E$19</f>
        <v>0</v>
      </c>
      <c r="Z118" s="281">
        <f>TABLA_BASE[[#This Row],[IGV UNIT.
(S/.)]]*TABLA_BASE[[#This Row],[CANTIDAD
(unid.)]]</f>
        <v>0</v>
      </c>
      <c r="AA118" s="281">
        <f>TABLA_BASE[[#This Row],[PERCEP.
UNIT.(US$)
✅CF]]*'📋 Datos Generales'!$E$19</f>
        <v>0</v>
      </c>
      <c r="AB118" s="281">
        <f>TABLA_BASE[[#This Row],[PERCEP.
UNIT.(S/.)]]*TABLA_BASE[[#This Row],[CANTIDAD
(unid.)]]</f>
        <v>0</v>
      </c>
      <c r="AC118" s="279">
        <f>TABLA_BASE[[#This Row],[ADV UNIT.
(US$)
⚠️COSTO]]+TABLA_BASE[[#This Row],[IPM UNIT.
(US$)
✅CF]]+TABLA_BASE[[#This Row],[IGV UNIT.
(US$)
✅CF]]+TABLA_BASE[[#This Row],[PERCEP.
UNIT.(US$)
✅CF]]</f>
        <v>0</v>
      </c>
      <c r="AD118" s="279">
        <f>TABLA_BASE[[#This Row],[TOTAL PAGO
SUNAT
UNIT.(US$)]]*TABLA_BASE[[#This Row],[CANTIDAD
(unid.)]]</f>
        <v>0</v>
      </c>
      <c r="AE118" s="281">
        <f>TABLA_BASE[[#This Row],[TOTAL PAGO
SUNAT
UNIT.(US$)]]*'📋 Datos Generales'!$E$19</f>
        <v>0</v>
      </c>
      <c r="AF118" s="281">
        <f>TABLA_BASE[[#This Row],[TOTAL TRIB.
UNIT.(S/.)]]*TABLA_BASE[[#This Row],[CANTIDAD
(unid.)]]</f>
        <v>0</v>
      </c>
      <c r="AG118" s="279">
        <f>IF('🧾 Factura Comercial'!G122=0,0,'📦 Gastos Importación'!$E$28*(IF('🧾 Tributos Aduana'!$F$6=0,0,'🧾 Factura Comercial'!I122/'🧾 Tributos Aduana'!$F$6))/'🧾 Factura Comercial'!G122)</f>
        <v>0</v>
      </c>
      <c r="AH118" s="279">
        <f>TABLA_BASE[[#This Row],[GASTOS IMP.
UNIT.(US$)]]*TABLA_BASE[[#This Row],[CANTIDAD
(unid.)]]</f>
        <v>0</v>
      </c>
      <c r="AI118" s="281">
        <f>TABLA_BASE[[#This Row],[GASTOS IMP.
UNIT.(US$)]]*'📋 Datos Generales'!$E$19</f>
        <v>0</v>
      </c>
      <c r="AJ118" s="281">
        <f>TABLA_BASE[[#This Row],[GASTOS IMP.
UNIT.(S/.)]]*TABLA_BASE[[#This Row],[CANTIDAD
(unid.)]]</f>
        <v>0</v>
      </c>
      <c r="AK118" s="280">
        <f>'🧮 Costos x Producto'!J122</f>
        <v>0</v>
      </c>
      <c r="AL118" s="278">
        <f>'🧮 Costos x Producto'!K122</f>
        <v>0</v>
      </c>
      <c r="AM118" s="278">
        <f>TABLA_BASE[[#This Row],[C/M UNIT.
(S/.)]]*TABLA_BASE[[#This Row],[CANTIDAD
(unid.)]]</f>
        <v>0</v>
      </c>
      <c r="AN118" s="279">
        <f>IF('🧾 Factura Comercial'!G122=0,0,'🧾 Tributos Aduana'!$F$17*(IF('🧾 Tributos Aduana'!$F$6=0,0,'🧾 Factura Comercial'!I122/'🧾 Tributos Aduana'!$F$6))/'🧾 Factura Comercial'!G122)</f>
        <v>0</v>
      </c>
      <c r="AO118" s="280">
        <f>IF('🧾 Factura Comercial'!G122=0,0,'🏦 Crédito Fiscal'!$C$16*(IF('🧾 Tributos Aduana'!$F$6=0,0,'🧾 Factura Comercial'!I122/'🧾 Tributos Aduana'!$F$6))/'🧾 Factura Comercial'!G122)</f>
        <v>0</v>
      </c>
      <c r="AP118" s="278">
        <f>TABLA_BASE[[#This Row],[CF UNIT.
✅RECUP.
(US$)]]*'📋 Datos Generales'!$E$19</f>
        <v>0</v>
      </c>
      <c r="AQ118" s="278">
        <f>TABLA_BASE[[#This Row],[CF UNIT.
✅RECUP.(S/.)]]*TABLA_BASE[[#This Row],[CANTIDAD
(unid.)]]</f>
        <v>0</v>
      </c>
      <c r="AR118" s="288">
        <f>'💰 Precio de Venta'!G123</f>
        <v>0.4</v>
      </c>
      <c r="AS118" s="278">
        <f>'💰 Precio de Venta'!H123</f>
        <v>0</v>
      </c>
      <c r="AT118" s="278">
        <f>TABLA_BASE[[#This Row],[VALOR VTA.
UNIT.(S/.)]]*TABLA_BASE[[#This Row],[CANTIDAD
(unid.)]]</f>
        <v>0</v>
      </c>
      <c r="AU118" s="281">
        <f>'💰 Precio de Venta'!I123</f>
        <v>0</v>
      </c>
      <c r="AV118" s="278">
        <f>'💰 Precio de Venta'!J123</f>
        <v>0</v>
      </c>
      <c r="AW118" s="278">
        <f>TABLA_BASE[[#This Row],[GANANCIA
UNIT.(S/.)]]*TABLA_BASE[[#This Row],[CANTIDAD
(unid.)]]</f>
        <v>0</v>
      </c>
      <c r="AX118" s="289">
        <f>'💰 Precio de Venta'!K123</f>
        <v>0</v>
      </c>
      <c r="AY118" s="278">
        <f>TABLA_BASE[[#This Row],[GANANCIA
UNIT.(S/.)]]*'🧾 Factura Comercial'!G122</f>
        <v>0</v>
      </c>
      <c r="AZ118" s="277">
        <f>IF(TABLA_BASE[[#This Row],[PRECIO VTA.
c/IGV(S/.)]]=0,0,TABLA_BASE[[#This Row],[GANANCIA
UNIT.(S/.)]]/TABLA_BASE[[#This Row],[PRECIO VTA.
c/IGV(S/.)]])</f>
        <v>0</v>
      </c>
      <c r="BA118" s="277">
        <f>IF(TABLA_BASE[[#This Row],[C/M UNIT.
(S/.)]]=0,0,TABLA_BASE[[#This Row],[GANANCIA
UNIT.(S/.)]]/TABLA_BASE[[#This Row],[C/M UNIT.
(S/.)]])</f>
        <v>0</v>
      </c>
      <c r="BB118" s="274" t="str">
        <f>IF(TABLA_BASE[[#This Row],[MARGEN
%]]&gt;=0.5,"🟢 ALTO",IF(TABLA_BASE[[#This Row],[MARGEN
%]]&gt;=0.3,"🟡 MEDIO","🔴 BAJO"))</f>
        <v>🟡 MEDIO</v>
      </c>
    </row>
    <row r="119" spans="1:54" ht="16.5" hidden="1" thickTop="1" thickBot="1" x14ac:dyDescent="0.3">
      <c r="A119" s="274">
        <f>'🧾 Factura Comercial'!E123</f>
        <v>0</v>
      </c>
      <c r="B119" s="274" t="str">
        <f>'🧾 Factura Comercial'!F123</f>
        <v>Unid.</v>
      </c>
      <c r="C119" s="275">
        <f>'🧾 Factura Comercial'!G123</f>
        <v>0</v>
      </c>
      <c r="D119" s="276">
        <f>'🧾 Factura Comercial'!H123</f>
        <v>0</v>
      </c>
      <c r="E119" s="276">
        <f>'🧾 Factura Comercial'!I123</f>
        <v>0</v>
      </c>
      <c r="F119" s="277">
        <f>IF('🧾 Tributos Aduana'!$F$6=0,0,'🧾 Factura Comercial'!I123/'🧾 Tributos Aduana'!$F$6)</f>
        <v>0</v>
      </c>
      <c r="G119" s="278">
        <f>'🧾 Factura Comercial'!H123*'📋 Datos Generales'!$E$19</f>
        <v>0</v>
      </c>
      <c r="H119" s="278">
        <f>TABLA_BASE[[#This Row],[FOB UNIT.
(S/.)]]*TABLA_BASE[[#This Row],[CANTIDAD
(unid.)]]</f>
        <v>0</v>
      </c>
      <c r="I119" s="280">
        <f>IF('🧾 Tributos Aduana'!$F$6=0,0,'🧾 Tributos Aduana'!$F$17*('🧾 Factura Comercial'!H123/'🧾 Tributos Aduana'!$F$6))</f>
        <v>0</v>
      </c>
      <c r="J119" s="280">
        <f>TABLA_BASE[[#This Row],[ADV UNIT.
(US$)
⚠️COSTO]]*TABLA_BASE[[#This Row],[CANTIDAD
(unid.)]]</f>
        <v>0</v>
      </c>
      <c r="K119" s="279">
        <f>IF('🧾 Tributos Aduana'!$F$6=0,0,'🧾 Tributos Aduana'!$F$18*('🧾 Factura Comercial'!H123/'🧾 Tributos Aduana'!$F$6))</f>
        <v>0</v>
      </c>
      <c r="L119" s="280">
        <f>TABLA_BASE[[#This Row],[IPM UNIT.
(US$)
✅CF]]*TABLA_BASE[[#This Row],[CANTIDAD
(unid.)]]</f>
        <v>0</v>
      </c>
      <c r="M119" s="279">
        <f>IF('🧾 Tributos Aduana'!$F$6=0,0,'🧾 Tributos Aduana'!$F$19*('🧾 Factura Comercial'!H123/'🧾 Tributos Aduana'!$F$6))</f>
        <v>0</v>
      </c>
      <c r="N119" s="280">
        <f>TABLA_BASE[[#This Row],[IGV UNIT.
(US$)
✅CF]]*TABLA_BASE[[#This Row],[CANTIDAD
(unid.)]]</f>
        <v>0</v>
      </c>
      <c r="O119" s="280">
        <f>IF('🧾 Tributos Aduana'!$F$6=0,0,'🧾 Tributos Aduana'!$F$23*('🧾 Factura Comercial'!H123/'🧾 Tributos Aduana'!$F$6))</f>
        <v>0</v>
      </c>
      <c r="P119" s="280">
        <f>TABLA_BASE[[#This Row],[PERCEP.
UNIT.(US$)
✅CF]]*TABLA_BASE[[#This Row],[CANTIDAD
(unid.)]]</f>
        <v>0</v>
      </c>
      <c r="Q119" s="279">
        <f>TABLA_BASE[[#This Row],[ADV UNIT.
(US$)
⚠️COSTO]]+TABLA_BASE[[#This Row],[IPM UNIT.
(US$)
✅CF]]+TABLA_BASE[[#This Row],[IGV UNIT.
(US$)
✅CF]]</f>
        <v>0</v>
      </c>
      <c r="R119" s="280">
        <f>TABLA_BASE[[#This Row],[DEUDA
ADUANERA
UNIT.]]*TABLA_BASE[[#This Row],[CANTIDAD
(unid.)]]</f>
        <v>0</v>
      </c>
      <c r="S119" s="278">
        <f>TABLA_BASE[[#This Row],[DEUDA
ADUANERA
UNIT.]]*'📋 Datos Generales'!$E$19</f>
        <v>0</v>
      </c>
      <c r="T119" s="278">
        <f>TABLA_BASE[[#This Row],[DEUDA
ADUANERA
TOTAL]]*'📋 Datos Generales'!$E$19</f>
        <v>0</v>
      </c>
      <c r="U119" s="281">
        <f>TABLA_BASE[[#This Row],[ADV UNIT.
(US$)
⚠️COSTO]]*'📋 Datos Generales'!$E$19</f>
        <v>0</v>
      </c>
      <c r="V119" s="281">
        <f>TABLA_BASE[[#This Row],[ADV UNIT.
(S/.)]]*TABLA_BASE[[#This Row],[CANTIDAD
(unid.)]]</f>
        <v>0</v>
      </c>
      <c r="W119" s="281">
        <f>TABLA_BASE[[#This Row],[IPM UNIT.
(US$)
✅CF]]*'📋 Datos Generales'!$E$19</f>
        <v>0</v>
      </c>
      <c r="X119" s="281">
        <f>TABLA_BASE[[#This Row],[IPM UNIT.
(S/.)]]*TABLA_BASE[[#This Row],[CANTIDAD
(unid.)]]</f>
        <v>0</v>
      </c>
      <c r="Y119" s="281">
        <f>TABLA_BASE[[#This Row],[IGV UNIT.
(US$)
✅CF]]*'📋 Datos Generales'!$E$19</f>
        <v>0</v>
      </c>
      <c r="Z119" s="281">
        <f>TABLA_BASE[[#This Row],[IGV UNIT.
(S/.)]]*TABLA_BASE[[#This Row],[CANTIDAD
(unid.)]]</f>
        <v>0</v>
      </c>
      <c r="AA119" s="281">
        <f>TABLA_BASE[[#This Row],[PERCEP.
UNIT.(US$)
✅CF]]*'📋 Datos Generales'!$E$19</f>
        <v>0</v>
      </c>
      <c r="AB119" s="281">
        <f>TABLA_BASE[[#This Row],[PERCEP.
UNIT.(S/.)]]*TABLA_BASE[[#This Row],[CANTIDAD
(unid.)]]</f>
        <v>0</v>
      </c>
      <c r="AC119" s="279">
        <f>TABLA_BASE[[#This Row],[ADV UNIT.
(US$)
⚠️COSTO]]+TABLA_BASE[[#This Row],[IPM UNIT.
(US$)
✅CF]]+TABLA_BASE[[#This Row],[IGV UNIT.
(US$)
✅CF]]+TABLA_BASE[[#This Row],[PERCEP.
UNIT.(US$)
✅CF]]</f>
        <v>0</v>
      </c>
      <c r="AD119" s="279">
        <f>TABLA_BASE[[#This Row],[TOTAL PAGO
SUNAT
UNIT.(US$)]]*TABLA_BASE[[#This Row],[CANTIDAD
(unid.)]]</f>
        <v>0</v>
      </c>
      <c r="AE119" s="281">
        <f>TABLA_BASE[[#This Row],[TOTAL PAGO
SUNAT
UNIT.(US$)]]*'📋 Datos Generales'!$E$19</f>
        <v>0</v>
      </c>
      <c r="AF119" s="281">
        <f>TABLA_BASE[[#This Row],[TOTAL TRIB.
UNIT.(S/.)]]*TABLA_BASE[[#This Row],[CANTIDAD
(unid.)]]</f>
        <v>0</v>
      </c>
      <c r="AG119" s="279">
        <f>IF('🧾 Factura Comercial'!G123=0,0,'📦 Gastos Importación'!$E$28*(IF('🧾 Tributos Aduana'!$F$6=0,0,'🧾 Factura Comercial'!I123/'🧾 Tributos Aduana'!$F$6))/'🧾 Factura Comercial'!G123)</f>
        <v>0</v>
      </c>
      <c r="AH119" s="279">
        <f>TABLA_BASE[[#This Row],[GASTOS IMP.
UNIT.(US$)]]*TABLA_BASE[[#This Row],[CANTIDAD
(unid.)]]</f>
        <v>0</v>
      </c>
      <c r="AI119" s="281">
        <f>TABLA_BASE[[#This Row],[GASTOS IMP.
UNIT.(US$)]]*'📋 Datos Generales'!$E$19</f>
        <v>0</v>
      </c>
      <c r="AJ119" s="281">
        <f>TABLA_BASE[[#This Row],[GASTOS IMP.
UNIT.(S/.)]]*TABLA_BASE[[#This Row],[CANTIDAD
(unid.)]]</f>
        <v>0</v>
      </c>
      <c r="AK119" s="280">
        <f>'🧮 Costos x Producto'!J123</f>
        <v>0</v>
      </c>
      <c r="AL119" s="278">
        <f>'🧮 Costos x Producto'!K123</f>
        <v>0</v>
      </c>
      <c r="AM119" s="278">
        <f>TABLA_BASE[[#This Row],[C/M UNIT.
(S/.)]]*TABLA_BASE[[#This Row],[CANTIDAD
(unid.)]]</f>
        <v>0</v>
      </c>
      <c r="AN119" s="279">
        <f>IF('🧾 Factura Comercial'!G123=0,0,'🧾 Tributos Aduana'!$F$17*(IF('🧾 Tributos Aduana'!$F$6=0,0,'🧾 Factura Comercial'!I123/'🧾 Tributos Aduana'!$F$6))/'🧾 Factura Comercial'!G123)</f>
        <v>0</v>
      </c>
      <c r="AO119" s="280">
        <f>IF('🧾 Factura Comercial'!G123=0,0,'🏦 Crédito Fiscal'!$C$16*(IF('🧾 Tributos Aduana'!$F$6=0,0,'🧾 Factura Comercial'!I123/'🧾 Tributos Aduana'!$F$6))/'🧾 Factura Comercial'!G123)</f>
        <v>0</v>
      </c>
      <c r="AP119" s="278">
        <f>TABLA_BASE[[#This Row],[CF UNIT.
✅RECUP.
(US$)]]*'📋 Datos Generales'!$E$19</f>
        <v>0</v>
      </c>
      <c r="AQ119" s="278">
        <f>TABLA_BASE[[#This Row],[CF UNIT.
✅RECUP.(S/.)]]*TABLA_BASE[[#This Row],[CANTIDAD
(unid.)]]</f>
        <v>0</v>
      </c>
      <c r="AR119" s="288">
        <f>'💰 Precio de Venta'!G124</f>
        <v>0.4</v>
      </c>
      <c r="AS119" s="278">
        <f>'💰 Precio de Venta'!H124</f>
        <v>0</v>
      </c>
      <c r="AT119" s="278">
        <f>TABLA_BASE[[#This Row],[VALOR VTA.
UNIT.(S/.)]]*TABLA_BASE[[#This Row],[CANTIDAD
(unid.)]]</f>
        <v>0</v>
      </c>
      <c r="AU119" s="281">
        <f>'💰 Precio de Venta'!I124</f>
        <v>0</v>
      </c>
      <c r="AV119" s="278">
        <f>'💰 Precio de Venta'!J124</f>
        <v>0</v>
      </c>
      <c r="AW119" s="278">
        <f>TABLA_BASE[[#This Row],[GANANCIA
UNIT.(S/.)]]*TABLA_BASE[[#This Row],[CANTIDAD
(unid.)]]</f>
        <v>0</v>
      </c>
      <c r="AX119" s="289">
        <f>'💰 Precio de Venta'!K124</f>
        <v>0</v>
      </c>
      <c r="AY119" s="278">
        <f>TABLA_BASE[[#This Row],[GANANCIA
UNIT.(S/.)]]*'🧾 Factura Comercial'!G123</f>
        <v>0</v>
      </c>
      <c r="AZ119" s="277">
        <f>IF(TABLA_BASE[[#This Row],[PRECIO VTA.
c/IGV(S/.)]]=0,0,TABLA_BASE[[#This Row],[GANANCIA
UNIT.(S/.)]]/TABLA_BASE[[#This Row],[PRECIO VTA.
c/IGV(S/.)]])</f>
        <v>0</v>
      </c>
      <c r="BA119" s="277">
        <f>IF(TABLA_BASE[[#This Row],[C/M UNIT.
(S/.)]]=0,0,TABLA_BASE[[#This Row],[GANANCIA
UNIT.(S/.)]]/TABLA_BASE[[#This Row],[C/M UNIT.
(S/.)]])</f>
        <v>0</v>
      </c>
      <c r="BB119" s="274" t="str">
        <f>IF(TABLA_BASE[[#This Row],[MARGEN
%]]&gt;=0.5,"🟢 ALTO",IF(TABLA_BASE[[#This Row],[MARGEN
%]]&gt;=0.3,"🟡 MEDIO","🔴 BAJO"))</f>
        <v>🟡 MEDIO</v>
      </c>
    </row>
    <row r="120" spans="1:54" ht="16.5" hidden="1" thickTop="1" thickBot="1" x14ac:dyDescent="0.3">
      <c r="A120" s="274">
        <f>'🧾 Factura Comercial'!E124</f>
        <v>0</v>
      </c>
      <c r="B120" s="274" t="str">
        <f>'🧾 Factura Comercial'!F124</f>
        <v>Unid.</v>
      </c>
      <c r="C120" s="275">
        <f>'🧾 Factura Comercial'!G124</f>
        <v>0</v>
      </c>
      <c r="D120" s="276">
        <f>'🧾 Factura Comercial'!H124</f>
        <v>0</v>
      </c>
      <c r="E120" s="276">
        <f>'🧾 Factura Comercial'!I124</f>
        <v>0</v>
      </c>
      <c r="F120" s="277">
        <f>IF('🧾 Tributos Aduana'!$F$6=0,0,'🧾 Factura Comercial'!I124/'🧾 Tributos Aduana'!$F$6)</f>
        <v>0</v>
      </c>
      <c r="G120" s="278">
        <f>'🧾 Factura Comercial'!H124*'📋 Datos Generales'!$E$19</f>
        <v>0</v>
      </c>
      <c r="H120" s="278">
        <f>TABLA_BASE[[#This Row],[FOB UNIT.
(S/.)]]*TABLA_BASE[[#This Row],[CANTIDAD
(unid.)]]</f>
        <v>0</v>
      </c>
      <c r="I120" s="280">
        <f>IF('🧾 Tributos Aduana'!$F$6=0,0,'🧾 Tributos Aduana'!$F$17*('🧾 Factura Comercial'!H124/'🧾 Tributos Aduana'!$F$6))</f>
        <v>0</v>
      </c>
      <c r="J120" s="280">
        <f>TABLA_BASE[[#This Row],[ADV UNIT.
(US$)
⚠️COSTO]]*TABLA_BASE[[#This Row],[CANTIDAD
(unid.)]]</f>
        <v>0</v>
      </c>
      <c r="K120" s="279">
        <f>IF('🧾 Tributos Aduana'!$F$6=0,0,'🧾 Tributos Aduana'!$F$18*('🧾 Factura Comercial'!H124/'🧾 Tributos Aduana'!$F$6))</f>
        <v>0</v>
      </c>
      <c r="L120" s="280">
        <f>TABLA_BASE[[#This Row],[IPM UNIT.
(US$)
✅CF]]*TABLA_BASE[[#This Row],[CANTIDAD
(unid.)]]</f>
        <v>0</v>
      </c>
      <c r="M120" s="279">
        <f>IF('🧾 Tributos Aduana'!$F$6=0,0,'🧾 Tributos Aduana'!$F$19*('🧾 Factura Comercial'!H124/'🧾 Tributos Aduana'!$F$6))</f>
        <v>0</v>
      </c>
      <c r="N120" s="280">
        <f>TABLA_BASE[[#This Row],[IGV UNIT.
(US$)
✅CF]]*TABLA_BASE[[#This Row],[CANTIDAD
(unid.)]]</f>
        <v>0</v>
      </c>
      <c r="O120" s="280">
        <f>IF('🧾 Tributos Aduana'!$F$6=0,0,'🧾 Tributos Aduana'!$F$23*('🧾 Factura Comercial'!H124/'🧾 Tributos Aduana'!$F$6))</f>
        <v>0</v>
      </c>
      <c r="P120" s="280">
        <f>TABLA_BASE[[#This Row],[PERCEP.
UNIT.(US$)
✅CF]]*TABLA_BASE[[#This Row],[CANTIDAD
(unid.)]]</f>
        <v>0</v>
      </c>
      <c r="Q120" s="279">
        <f>TABLA_BASE[[#This Row],[ADV UNIT.
(US$)
⚠️COSTO]]+TABLA_BASE[[#This Row],[IPM UNIT.
(US$)
✅CF]]+TABLA_BASE[[#This Row],[IGV UNIT.
(US$)
✅CF]]</f>
        <v>0</v>
      </c>
      <c r="R120" s="280">
        <f>TABLA_BASE[[#This Row],[DEUDA
ADUANERA
UNIT.]]*TABLA_BASE[[#This Row],[CANTIDAD
(unid.)]]</f>
        <v>0</v>
      </c>
      <c r="S120" s="278">
        <f>TABLA_BASE[[#This Row],[DEUDA
ADUANERA
UNIT.]]*'📋 Datos Generales'!$E$19</f>
        <v>0</v>
      </c>
      <c r="T120" s="278">
        <f>TABLA_BASE[[#This Row],[DEUDA
ADUANERA
TOTAL]]*'📋 Datos Generales'!$E$19</f>
        <v>0</v>
      </c>
      <c r="U120" s="281">
        <f>TABLA_BASE[[#This Row],[ADV UNIT.
(US$)
⚠️COSTO]]*'📋 Datos Generales'!$E$19</f>
        <v>0</v>
      </c>
      <c r="V120" s="281">
        <f>TABLA_BASE[[#This Row],[ADV UNIT.
(S/.)]]*TABLA_BASE[[#This Row],[CANTIDAD
(unid.)]]</f>
        <v>0</v>
      </c>
      <c r="W120" s="281">
        <f>TABLA_BASE[[#This Row],[IPM UNIT.
(US$)
✅CF]]*'📋 Datos Generales'!$E$19</f>
        <v>0</v>
      </c>
      <c r="X120" s="281">
        <f>TABLA_BASE[[#This Row],[IPM UNIT.
(S/.)]]*TABLA_BASE[[#This Row],[CANTIDAD
(unid.)]]</f>
        <v>0</v>
      </c>
      <c r="Y120" s="281">
        <f>TABLA_BASE[[#This Row],[IGV UNIT.
(US$)
✅CF]]*'📋 Datos Generales'!$E$19</f>
        <v>0</v>
      </c>
      <c r="Z120" s="281">
        <f>TABLA_BASE[[#This Row],[IGV UNIT.
(S/.)]]*TABLA_BASE[[#This Row],[CANTIDAD
(unid.)]]</f>
        <v>0</v>
      </c>
      <c r="AA120" s="281">
        <f>TABLA_BASE[[#This Row],[PERCEP.
UNIT.(US$)
✅CF]]*'📋 Datos Generales'!$E$19</f>
        <v>0</v>
      </c>
      <c r="AB120" s="281">
        <f>TABLA_BASE[[#This Row],[PERCEP.
UNIT.(S/.)]]*TABLA_BASE[[#This Row],[CANTIDAD
(unid.)]]</f>
        <v>0</v>
      </c>
      <c r="AC120" s="279">
        <f>TABLA_BASE[[#This Row],[ADV UNIT.
(US$)
⚠️COSTO]]+TABLA_BASE[[#This Row],[IPM UNIT.
(US$)
✅CF]]+TABLA_BASE[[#This Row],[IGV UNIT.
(US$)
✅CF]]+TABLA_BASE[[#This Row],[PERCEP.
UNIT.(US$)
✅CF]]</f>
        <v>0</v>
      </c>
      <c r="AD120" s="279">
        <f>TABLA_BASE[[#This Row],[TOTAL PAGO
SUNAT
UNIT.(US$)]]*TABLA_BASE[[#This Row],[CANTIDAD
(unid.)]]</f>
        <v>0</v>
      </c>
      <c r="AE120" s="281">
        <f>TABLA_BASE[[#This Row],[TOTAL PAGO
SUNAT
UNIT.(US$)]]*'📋 Datos Generales'!$E$19</f>
        <v>0</v>
      </c>
      <c r="AF120" s="281">
        <f>TABLA_BASE[[#This Row],[TOTAL TRIB.
UNIT.(S/.)]]*TABLA_BASE[[#This Row],[CANTIDAD
(unid.)]]</f>
        <v>0</v>
      </c>
      <c r="AG120" s="279">
        <f>IF('🧾 Factura Comercial'!G124=0,0,'📦 Gastos Importación'!$E$28*(IF('🧾 Tributos Aduana'!$F$6=0,0,'🧾 Factura Comercial'!I124/'🧾 Tributos Aduana'!$F$6))/'🧾 Factura Comercial'!G124)</f>
        <v>0</v>
      </c>
      <c r="AH120" s="279">
        <f>TABLA_BASE[[#This Row],[GASTOS IMP.
UNIT.(US$)]]*TABLA_BASE[[#This Row],[CANTIDAD
(unid.)]]</f>
        <v>0</v>
      </c>
      <c r="AI120" s="281">
        <f>TABLA_BASE[[#This Row],[GASTOS IMP.
UNIT.(US$)]]*'📋 Datos Generales'!$E$19</f>
        <v>0</v>
      </c>
      <c r="AJ120" s="281">
        <f>TABLA_BASE[[#This Row],[GASTOS IMP.
UNIT.(S/.)]]*TABLA_BASE[[#This Row],[CANTIDAD
(unid.)]]</f>
        <v>0</v>
      </c>
      <c r="AK120" s="280">
        <f>'🧮 Costos x Producto'!J124</f>
        <v>0</v>
      </c>
      <c r="AL120" s="278">
        <f>'🧮 Costos x Producto'!K124</f>
        <v>0</v>
      </c>
      <c r="AM120" s="278">
        <f>TABLA_BASE[[#This Row],[C/M UNIT.
(S/.)]]*TABLA_BASE[[#This Row],[CANTIDAD
(unid.)]]</f>
        <v>0</v>
      </c>
      <c r="AN120" s="279">
        <f>IF('🧾 Factura Comercial'!G124=0,0,'🧾 Tributos Aduana'!$F$17*(IF('🧾 Tributos Aduana'!$F$6=0,0,'🧾 Factura Comercial'!I124/'🧾 Tributos Aduana'!$F$6))/'🧾 Factura Comercial'!G124)</f>
        <v>0</v>
      </c>
      <c r="AO120" s="280">
        <f>IF('🧾 Factura Comercial'!G124=0,0,'🏦 Crédito Fiscal'!$C$16*(IF('🧾 Tributos Aduana'!$F$6=0,0,'🧾 Factura Comercial'!I124/'🧾 Tributos Aduana'!$F$6))/'🧾 Factura Comercial'!G124)</f>
        <v>0</v>
      </c>
      <c r="AP120" s="278">
        <f>TABLA_BASE[[#This Row],[CF UNIT.
✅RECUP.
(US$)]]*'📋 Datos Generales'!$E$19</f>
        <v>0</v>
      </c>
      <c r="AQ120" s="278">
        <f>TABLA_BASE[[#This Row],[CF UNIT.
✅RECUP.(S/.)]]*TABLA_BASE[[#This Row],[CANTIDAD
(unid.)]]</f>
        <v>0</v>
      </c>
      <c r="AR120" s="288">
        <f>'💰 Precio de Venta'!G125</f>
        <v>0.4</v>
      </c>
      <c r="AS120" s="278">
        <f>'💰 Precio de Venta'!H125</f>
        <v>0</v>
      </c>
      <c r="AT120" s="278">
        <f>TABLA_BASE[[#This Row],[VALOR VTA.
UNIT.(S/.)]]*TABLA_BASE[[#This Row],[CANTIDAD
(unid.)]]</f>
        <v>0</v>
      </c>
      <c r="AU120" s="281">
        <f>'💰 Precio de Venta'!I125</f>
        <v>0</v>
      </c>
      <c r="AV120" s="278">
        <f>'💰 Precio de Venta'!J125</f>
        <v>0</v>
      </c>
      <c r="AW120" s="278">
        <f>TABLA_BASE[[#This Row],[GANANCIA
UNIT.(S/.)]]*TABLA_BASE[[#This Row],[CANTIDAD
(unid.)]]</f>
        <v>0</v>
      </c>
      <c r="AX120" s="289">
        <f>'💰 Precio de Venta'!K125</f>
        <v>0</v>
      </c>
      <c r="AY120" s="278">
        <f>TABLA_BASE[[#This Row],[GANANCIA
UNIT.(S/.)]]*'🧾 Factura Comercial'!G124</f>
        <v>0</v>
      </c>
      <c r="AZ120" s="277">
        <f>IF(TABLA_BASE[[#This Row],[PRECIO VTA.
c/IGV(S/.)]]=0,0,TABLA_BASE[[#This Row],[GANANCIA
UNIT.(S/.)]]/TABLA_BASE[[#This Row],[PRECIO VTA.
c/IGV(S/.)]])</f>
        <v>0</v>
      </c>
      <c r="BA120" s="277">
        <f>IF(TABLA_BASE[[#This Row],[C/M UNIT.
(S/.)]]=0,0,TABLA_BASE[[#This Row],[GANANCIA
UNIT.(S/.)]]/TABLA_BASE[[#This Row],[C/M UNIT.
(S/.)]])</f>
        <v>0</v>
      </c>
      <c r="BB120" s="274" t="str">
        <f>IF(TABLA_BASE[[#This Row],[MARGEN
%]]&gt;=0.5,"🟢 ALTO",IF(TABLA_BASE[[#This Row],[MARGEN
%]]&gt;=0.3,"🟡 MEDIO","🔴 BAJO"))</f>
        <v>🟡 MEDIO</v>
      </c>
    </row>
    <row r="121" spans="1:54" ht="16.5" hidden="1" thickTop="1" thickBot="1" x14ac:dyDescent="0.3">
      <c r="A121" s="274">
        <f>'🧾 Factura Comercial'!E125</f>
        <v>0</v>
      </c>
      <c r="B121" s="274" t="str">
        <f>'🧾 Factura Comercial'!F125</f>
        <v>Unid.</v>
      </c>
      <c r="C121" s="275">
        <f>'🧾 Factura Comercial'!G125</f>
        <v>0</v>
      </c>
      <c r="D121" s="276">
        <f>'🧾 Factura Comercial'!H125</f>
        <v>0</v>
      </c>
      <c r="E121" s="276">
        <f>'🧾 Factura Comercial'!I125</f>
        <v>0</v>
      </c>
      <c r="F121" s="277">
        <f>IF('🧾 Tributos Aduana'!$F$6=0,0,'🧾 Factura Comercial'!I125/'🧾 Tributos Aduana'!$F$6)</f>
        <v>0</v>
      </c>
      <c r="G121" s="278">
        <f>'🧾 Factura Comercial'!H125*'📋 Datos Generales'!$E$19</f>
        <v>0</v>
      </c>
      <c r="H121" s="278">
        <f>TABLA_BASE[[#This Row],[FOB UNIT.
(S/.)]]*TABLA_BASE[[#This Row],[CANTIDAD
(unid.)]]</f>
        <v>0</v>
      </c>
      <c r="I121" s="280">
        <f>IF('🧾 Tributos Aduana'!$F$6=0,0,'🧾 Tributos Aduana'!$F$17*('🧾 Factura Comercial'!H125/'🧾 Tributos Aduana'!$F$6))</f>
        <v>0</v>
      </c>
      <c r="J121" s="280">
        <f>TABLA_BASE[[#This Row],[ADV UNIT.
(US$)
⚠️COSTO]]*TABLA_BASE[[#This Row],[CANTIDAD
(unid.)]]</f>
        <v>0</v>
      </c>
      <c r="K121" s="279">
        <f>IF('🧾 Tributos Aduana'!$F$6=0,0,'🧾 Tributos Aduana'!$F$18*('🧾 Factura Comercial'!H125/'🧾 Tributos Aduana'!$F$6))</f>
        <v>0</v>
      </c>
      <c r="L121" s="280">
        <f>TABLA_BASE[[#This Row],[IPM UNIT.
(US$)
✅CF]]*TABLA_BASE[[#This Row],[CANTIDAD
(unid.)]]</f>
        <v>0</v>
      </c>
      <c r="M121" s="279">
        <f>IF('🧾 Tributos Aduana'!$F$6=0,0,'🧾 Tributos Aduana'!$F$19*('🧾 Factura Comercial'!H125/'🧾 Tributos Aduana'!$F$6))</f>
        <v>0</v>
      </c>
      <c r="N121" s="280">
        <f>TABLA_BASE[[#This Row],[IGV UNIT.
(US$)
✅CF]]*TABLA_BASE[[#This Row],[CANTIDAD
(unid.)]]</f>
        <v>0</v>
      </c>
      <c r="O121" s="280">
        <f>IF('🧾 Tributos Aduana'!$F$6=0,0,'🧾 Tributos Aduana'!$F$23*('🧾 Factura Comercial'!H125/'🧾 Tributos Aduana'!$F$6))</f>
        <v>0</v>
      </c>
      <c r="P121" s="280">
        <f>TABLA_BASE[[#This Row],[PERCEP.
UNIT.(US$)
✅CF]]*TABLA_BASE[[#This Row],[CANTIDAD
(unid.)]]</f>
        <v>0</v>
      </c>
      <c r="Q121" s="279">
        <f>TABLA_BASE[[#This Row],[ADV UNIT.
(US$)
⚠️COSTO]]+TABLA_BASE[[#This Row],[IPM UNIT.
(US$)
✅CF]]+TABLA_BASE[[#This Row],[IGV UNIT.
(US$)
✅CF]]</f>
        <v>0</v>
      </c>
      <c r="R121" s="280">
        <f>TABLA_BASE[[#This Row],[DEUDA
ADUANERA
UNIT.]]*TABLA_BASE[[#This Row],[CANTIDAD
(unid.)]]</f>
        <v>0</v>
      </c>
      <c r="S121" s="278">
        <f>TABLA_BASE[[#This Row],[DEUDA
ADUANERA
UNIT.]]*'📋 Datos Generales'!$E$19</f>
        <v>0</v>
      </c>
      <c r="T121" s="278">
        <f>TABLA_BASE[[#This Row],[DEUDA
ADUANERA
TOTAL]]*'📋 Datos Generales'!$E$19</f>
        <v>0</v>
      </c>
      <c r="U121" s="281">
        <f>TABLA_BASE[[#This Row],[ADV UNIT.
(US$)
⚠️COSTO]]*'📋 Datos Generales'!$E$19</f>
        <v>0</v>
      </c>
      <c r="V121" s="281">
        <f>TABLA_BASE[[#This Row],[ADV UNIT.
(S/.)]]*TABLA_BASE[[#This Row],[CANTIDAD
(unid.)]]</f>
        <v>0</v>
      </c>
      <c r="W121" s="281">
        <f>TABLA_BASE[[#This Row],[IPM UNIT.
(US$)
✅CF]]*'📋 Datos Generales'!$E$19</f>
        <v>0</v>
      </c>
      <c r="X121" s="281">
        <f>TABLA_BASE[[#This Row],[IPM UNIT.
(S/.)]]*TABLA_BASE[[#This Row],[CANTIDAD
(unid.)]]</f>
        <v>0</v>
      </c>
      <c r="Y121" s="281">
        <f>TABLA_BASE[[#This Row],[IGV UNIT.
(US$)
✅CF]]*'📋 Datos Generales'!$E$19</f>
        <v>0</v>
      </c>
      <c r="Z121" s="281">
        <f>TABLA_BASE[[#This Row],[IGV UNIT.
(S/.)]]*TABLA_BASE[[#This Row],[CANTIDAD
(unid.)]]</f>
        <v>0</v>
      </c>
      <c r="AA121" s="281">
        <f>TABLA_BASE[[#This Row],[PERCEP.
UNIT.(US$)
✅CF]]*'📋 Datos Generales'!$E$19</f>
        <v>0</v>
      </c>
      <c r="AB121" s="281">
        <f>TABLA_BASE[[#This Row],[PERCEP.
UNIT.(S/.)]]*TABLA_BASE[[#This Row],[CANTIDAD
(unid.)]]</f>
        <v>0</v>
      </c>
      <c r="AC121" s="279">
        <f>TABLA_BASE[[#This Row],[ADV UNIT.
(US$)
⚠️COSTO]]+TABLA_BASE[[#This Row],[IPM UNIT.
(US$)
✅CF]]+TABLA_BASE[[#This Row],[IGV UNIT.
(US$)
✅CF]]+TABLA_BASE[[#This Row],[PERCEP.
UNIT.(US$)
✅CF]]</f>
        <v>0</v>
      </c>
      <c r="AD121" s="279">
        <f>TABLA_BASE[[#This Row],[TOTAL PAGO
SUNAT
UNIT.(US$)]]*TABLA_BASE[[#This Row],[CANTIDAD
(unid.)]]</f>
        <v>0</v>
      </c>
      <c r="AE121" s="281">
        <f>TABLA_BASE[[#This Row],[TOTAL PAGO
SUNAT
UNIT.(US$)]]*'📋 Datos Generales'!$E$19</f>
        <v>0</v>
      </c>
      <c r="AF121" s="281">
        <f>TABLA_BASE[[#This Row],[TOTAL TRIB.
UNIT.(S/.)]]*TABLA_BASE[[#This Row],[CANTIDAD
(unid.)]]</f>
        <v>0</v>
      </c>
      <c r="AG121" s="279">
        <f>IF('🧾 Factura Comercial'!G125=0,0,'📦 Gastos Importación'!$E$28*(IF('🧾 Tributos Aduana'!$F$6=0,0,'🧾 Factura Comercial'!I125/'🧾 Tributos Aduana'!$F$6))/'🧾 Factura Comercial'!G125)</f>
        <v>0</v>
      </c>
      <c r="AH121" s="279">
        <f>TABLA_BASE[[#This Row],[GASTOS IMP.
UNIT.(US$)]]*TABLA_BASE[[#This Row],[CANTIDAD
(unid.)]]</f>
        <v>0</v>
      </c>
      <c r="AI121" s="281">
        <f>TABLA_BASE[[#This Row],[GASTOS IMP.
UNIT.(US$)]]*'📋 Datos Generales'!$E$19</f>
        <v>0</v>
      </c>
      <c r="AJ121" s="281">
        <f>TABLA_BASE[[#This Row],[GASTOS IMP.
UNIT.(S/.)]]*TABLA_BASE[[#This Row],[CANTIDAD
(unid.)]]</f>
        <v>0</v>
      </c>
      <c r="AK121" s="280">
        <f>'🧮 Costos x Producto'!J125</f>
        <v>0</v>
      </c>
      <c r="AL121" s="278">
        <f>'🧮 Costos x Producto'!K125</f>
        <v>0</v>
      </c>
      <c r="AM121" s="278">
        <f>TABLA_BASE[[#This Row],[C/M UNIT.
(S/.)]]*TABLA_BASE[[#This Row],[CANTIDAD
(unid.)]]</f>
        <v>0</v>
      </c>
      <c r="AN121" s="279">
        <f>IF('🧾 Factura Comercial'!G125=0,0,'🧾 Tributos Aduana'!$F$17*(IF('🧾 Tributos Aduana'!$F$6=0,0,'🧾 Factura Comercial'!I125/'🧾 Tributos Aduana'!$F$6))/'🧾 Factura Comercial'!G125)</f>
        <v>0</v>
      </c>
      <c r="AO121" s="280">
        <f>IF('🧾 Factura Comercial'!G125=0,0,'🏦 Crédito Fiscal'!$C$16*(IF('🧾 Tributos Aduana'!$F$6=0,0,'🧾 Factura Comercial'!I125/'🧾 Tributos Aduana'!$F$6))/'🧾 Factura Comercial'!G125)</f>
        <v>0</v>
      </c>
      <c r="AP121" s="278">
        <f>TABLA_BASE[[#This Row],[CF UNIT.
✅RECUP.
(US$)]]*'📋 Datos Generales'!$E$19</f>
        <v>0</v>
      </c>
      <c r="AQ121" s="278">
        <f>TABLA_BASE[[#This Row],[CF UNIT.
✅RECUP.(S/.)]]*TABLA_BASE[[#This Row],[CANTIDAD
(unid.)]]</f>
        <v>0</v>
      </c>
      <c r="AR121" s="288">
        <f>'💰 Precio de Venta'!G126</f>
        <v>0.4</v>
      </c>
      <c r="AS121" s="278">
        <f>'💰 Precio de Venta'!H126</f>
        <v>0</v>
      </c>
      <c r="AT121" s="278">
        <f>TABLA_BASE[[#This Row],[VALOR VTA.
UNIT.(S/.)]]*TABLA_BASE[[#This Row],[CANTIDAD
(unid.)]]</f>
        <v>0</v>
      </c>
      <c r="AU121" s="281">
        <f>'💰 Precio de Venta'!I126</f>
        <v>0</v>
      </c>
      <c r="AV121" s="278">
        <f>'💰 Precio de Venta'!J126</f>
        <v>0</v>
      </c>
      <c r="AW121" s="278">
        <f>TABLA_BASE[[#This Row],[GANANCIA
UNIT.(S/.)]]*TABLA_BASE[[#This Row],[CANTIDAD
(unid.)]]</f>
        <v>0</v>
      </c>
      <c r="AX121" s="289">
        <f>'💰 Precio de Venta'!K126</f>
        <v>0</v>
      </c>
      <c r="AY121" s="278">
        <f>TABLA_BASE[[#This Row],[GANANCIA
UNIT.(S/.)]]*'🧾 Factura Comercial'!G125</f>
        <v>0</v>
      </c>
      <c r="AZ121" s="277">
        <f>IF(TABLA_BASE[[#This Row],[PRECIO VTA.
c/IGV(S/.)]]=0,0,TABLA_BASE[[#This Row],[GANANCIA
UNIT.(S/.)]]/TABLA_BASE[[#This Row],[PRECIO VTA.
c/IGV(S/.)]])</f>
        <v>0</v>
      </c>
      <c r="BA121" s="277">
        <f>IF(TABLA_BASE[[#This Row],[C/M UNIT.
(S/.)]]=0,0,TABLA_BASE[[#This Row],[GANANCIA
UNIT.(S/.)]]/TABLA_BASE[[#This Row],[C/M UNIT.
(S/.)]])</f>
        <v>0</v>
      </c>
      <c r="BB121" s="274" t="str">
        <f>IF(TABLA_BASE[[#This Row],[MARGEN
%]]&gt;=0.5,"🟢 ALTO",IF(TABLA_BASE[[#This Row],[MARGEN
%]]&gt;=0.3,"🟡 MEDIO","🔴 BAJO"))</f>
        <v>🟡 MEDIO</v>
      </c>
    </row>
    <row r="122" spans="1:54" ht="16.5" hidden="1" thickTop="1" thickBot="1" x14ac:dyDescent="0.3">
      <c r="A122" s="274">
        <f>'🧾 Factura Comercial'!E126</f>
        <v>0</v>
      </c>
      <c r="B122" s="274" t="str">
        <f>'🧾 Factura Comercial'!F126</f>
        <v>Unid.</v>
      </c>
      <c r="C122" s="275">
        <f>'🧾 Factura Comercial'!G126</f>
        <v>0</v>
      </c>
      <c r="D122" s="276">
        <f>'🧾 Factura Comercial'!H126</f>
        <v>0</v>
      </c>
      <c r="E122" s="276">
        <f>'🧾 Factura Comercial'!I126</f>
        <v>0</v>
      </c>
      <c r="F122" s="277">
        <f>IF('🧾 Tributos Aduana'!$F$6=0,0,'🧾 Factura Comercial'!I126/'🧾 Tributos Aduana'!$F$6)</f>
        <v>0</v>
      </c>
      <c r="G122" s="278">
        <f>'🧾 Factura Comercial'!H126*'📋 Datos Generales'!$E$19</f>
        <v>0</v>
      </c>
      <c r="H122" s="278">
        <f>TABLA_BASE[[#This Row],[FOB UNIT.
(S/.)]]*TABLA_BASE[[#This Row],[CANTIDAD
(unid.)]]</f>
        <v>0</v>
      </c>
      <c r="I122" s="280">
        <f>IF('🧾 Tributos Aduana'!$F$6=0,0,'🧾 Tributos Aduana'!$F$17*('🧾 Factura Comercial'!H126/'🧾 Tributos Aduana'!$F$6))</f>
        <v>0</v>
      </c>
      <c r="J122" s="280">
        <f>TABLA_BASE[[#This Row],[ADV UNIT.
(US$)
⚠️COSTO]]*TABLA_BASE[[#This Row],[CANTIDAD
(unid.)]]</f>
        <v>0</v>
      </c>
      <c r="K122" s="279">
        <f>IF('🧾 Tributos Aduana'!$F$6=0,0,'🧾 Tributos Aduana'!$F$18*('🧾 Factura Comercial'!H126/'🧾 Tributos Aduana'!$F$6))</f>
        <v>0</v>
      </c>
      <c r="L122" s="280">
        <f>TABLA_BASE[[#This Row],[IPM UNIT.
(US$)
✅CF]]*TABLA_BASE[[#This Row],[CANTIDAD
(unid.)]]</f>
        <v>0</v>
      </c>
      <c r="M122" s="279">
        <f>IF('🧾 Tributos Aduana'!$F$6=0,0,'🧾 Tributos Aduana'!$F$19*('🧾 Factura Comercial'!H126/'🧾 Tributos Aduana'!$F$6))</f>
        <v>0</v>
      </c>
      <c r="N122" s="280">
        <f>TABLA_BASE[[#This Row],[IGV UNIT.
(US$)
✅CF]]*TABLA_BASE[[#This Row],[CANTIDAD
(unid.)]]</f>
        <v>0</v>
      </c>
      <c r="O122" s="280">
        <f>IF('🧾 Tributos Aduana'!$F$6=0,0,'🧾 Tributos Aduana'!$F$23*('🧾 Factura Comercial'!H126/'🧾 Tributos Aduana'!$F$6))</f>
        <v>0</v>
      </c>
      <c r="P122" s="280">
        <f>TABLA_BASE[[#This Row],[PERCEP.
UNIT.(US$)
✅CF]]*TABLA_BASE[[#This Row],[CANTIDAD
(unid.)]]</f>
        <v>0</v>
      </c>
      <c r="Q122" s="279">
        <f>TABLA_BASE[[#This Row],[ADV UNIT.
(US$)
⚠️COSTO]]+TABLA_BASE[[#This Row],[IPM UNIT.
(US$)
✅CF]]+TABLA_BASE[[#This Row],[IGV UNIT.
(US$)
✅CF]]</f>
        <v>0</v>
      </c>
      <c r="R122" s="280">
        <f>TABLA_BASE[[#This Row],[DEUDA
ADUANERA
UNIT.]]*TABLA_BASE[[#This Row],[CANTIDAD
(unid.)]]</f>
        <v>0</v>
      </c>
      <c r="S122" s="278">
        <f>TABLA_BASE[[#This Row],[DEUDA
ADUANERA
UNIT.]]*'📋 Datos Generales'!$E$19</f>
        <v>0</v>
      </c>
      <c r="T122" s="278">
        <f>TABLA_BASE[[#This Row],[DEUDA
ADUANERA
TOTAL]]*'📋 Datos Generales'!$E$19</f>
        <v>0</v>
      </c>
      <c r="U122" s="281">
        <f>TABLA_BASE[[#This Row],[ADV UNIT.
(US$)
⚠️COSTO]]*'📋 Datos Generales'!$E$19</f>
        <v>0</v>
      </c>
      <c r="V122" s="281">
        <f>TABLA_BASE[[#This Row],[ADV UNIT.
(S/.)]]*TABLA_BASE[[#This Row],[CANTIDAD
(unid.)]]</f>
        <v>0</v>
      </c>
      <c r="W122" s="281">
        <f>TABLA_BASE[[#This Row],[IPM UNIT.
(US$)
✅CF]]*'📋 Datos Generales'!$E$19</f>
        <v>0</v>
      </c>
      <c r="X122" s="281">
        <f>TABLA_BASE[[#This Row],[IPM UNIT.
(S/.)]]*TABLA_BASE[[#This Row],[CANTIDAD
(unid.)]]</f>
        <v>0</v>
      </c>
      <c r="Y122" s="281">
        <f>TABLA_BASE[[#This Row],[IGV UNIT.
(US$)
✅CF]]*'📋 Datos Generales'!$E$19</f>
        <v>0</v>
      </c>
      <c r="Z122" s="281">
        <f>TABLA_BASE[[#This Row],[IGV UNIT.
(S/.)]]*TABLA_BASE[[#This Row],[CANTIDAD
(unid.)]]</f>
        <v>0</v>
      </c>
      <c r="AA122" s="281">
        <f>TABLA_BASE[[#This Row],[PERCEP.
UNIT.(US$)
✅CF]]*'📋 Datos Generales'!$E$19</f>
        <v>0</v>
      </c>
      <c r="AB122" s="281">
        <f>TABLA_BASE[[#This Row],[PERCEP.
UNIT.(S/.)]]*TABLA_BASE[[#This Row],[CANTIDAD
(unid.)]]</f>
        <v>0</v>
      </c>
      <c r="AC122" s="279">
        <f>TABLA_BASE[[#This Row],[ADV UNIT.
(US$)
⚠️COSTO]]+TABLA_BASE[[#This Row],[IPM UNIT.
(US$)
✅CF]]+TABLA_BASE[[#This Row],[IGV UNIT.
(US$)
✅CF]]+TABLA_BASE[[#This Row],[PERCEP.
UNIT.(US$)
✅CF]]</f>
        <v>0</v>
      </c>
      <c r="AD122" s="279">
        <f>TABLA_BASE[[#This Row],[TOTAL PAGO
SUNAT
UNIT.(US$)]]*TABLA_BASE[[#This Row],[CANTIDAD
(unid.)]]</f>
        <v>0</v>
      </c>
      <c r="AE122" s="281">
        <f>TABLA_BASE[[#This Row],[TOTAL PAGO
SUNAT
UNIT.(US$)]]*'📋 Datos Generales'!$E$19</f>
        <v>0</v>
      </c>
      <c r="AF122" s="281">
        <f>TABLA_BASE[[#This Row],[TOTAL TRIB.
UNIT.(S/.)]]*TABLA_BASE[[#This Row],[CANTIDAD
(unid.)]]</f>
        <v>0</v>
      </c>
      <c r="AG122" s="279">
        <f>IF('🧾 Factura Comercial'!G126=0,0,'📦 Gastos Importación'!$E$28*(IF('🧾 Tributos Aduana'!$F$6=0,0,'🧾 Factura Comercial'!I126/'🧾 Tributos Aduana'!$F$6))/'🧾 Factura Comercial'!G126)</f>
        <v>0</v>
      </c>
      <c r="AH122" s="279">
        <f>TABLA_BASE[[#This Row],[GASTOS IMP.
UNIT.(US$)]]*TABLA_BASE[[#This Row],[CANTIDAD
(unid.)]]</f>
        <v>0</v>
      </c>
      <c r="AI122" s="281">
        <f>TABLA_BASE[[#This Row],[GASTOS IMP.
UNIT.(US$)]]*'📋 Datos Generales'!$E$19</f>
        <v>0</v>
      </c>
      <c r="AJ122" s="281">
        <f>TABLA_BASE[[#This Row],[GASTOS IMP.
UNIT.(S/.)]]*TABLA_BASE[[#This Row],[CANTIDAD
(unid.)]]</f>
        <v>0</v>
      </c>
      <c r="AK122" s="280">
        <f>'🧮 Costos x Producto'!J126</f>
        <v>0</v>
      </c>
      <c r="AL122" s="278">
        <f>'🧮 Costos x Producto'!K126</f>
        <v>0</v>
      </c>
      <c r="AM122" s="278">
        <f>TABLA_BASE[[#This Row],[C/M UNIT.
(S/.)]]*TABLA_BASE[[#This Row],[CANTIDAD
(unid.)]]</f>
        <v>0</v>
      </c>
      <c r="AN122" s="279">
        <f>IF('🧾 Factura Comercial'!G126=0,0,'🧾 Tributos Aduana'!$F$17*(IF('🧾 Tributos Aduana'!$F$6=0,0,'🧾 Factura Comercial'!I126/'🧾 Tributos Aduana'!$F$6))/'🧾 Factura Comercial'!G126)</f>
        <v>0</v>
      </c>
      <c r="AO122" s="280">
        <f>IF('🧾 Factura Comercial'!G126=0,0,'🏦 Crédito Fiscal'!$C$16*(IF('🧾 Tributos Aduana'!$F$6=0,0,'🧾 Factura Comercial'!I126/'🧾 Tributos Aduana'!$F$6))/'🧾 Factura Comercial'!G126)</f>
        <v>0</v>
      </c>
      <c r="AP122" s="278">
        <f>TABLA_BASE[[#This Row],[CF UNIT.
✅RECUP.
(US$)]]*'📋 Datos Generales'!$E$19</f>
        <v>0</v>
      </c>
      <c r="AQ122" s="278">
        <f>TABLA_BASE[[#This Row],[CF UNIT.
✅RECUP.(S/.)]]*TABLA_BASE[[#This Row],[CANTIDAD
(unid.)]]</f>
        <v>0</v>
      </c>
      <c r="AR122" s="288">
        <f>'💰 Precio de Venta'!G127</f>
        <v>0.4</v>
      </c>
      <c r="AS122" s="278">
        <f>'💰 Precio de Venta'!H127</f>
        <v>0</v>
      </c>
      <c r="AT122" s="278">
        <f>TABLA_BASE[[#This Row],[VALOR VTA.
UNIT.(S/.)]]*TABLA_BASE[[#This Row],[CANTIDAD
(unid.)]]</f>
        <v>0</v>
      </c>
      <c r="AU122" s="281">
        <f>'💰 Precio de Venta'!I127</f>
        <v>0</v>
      </c>
      <c r="AV122" s="278">
        <f>'💰 Precio de Venta'!J127</f>
        <v>0</v>
      </c>
      <c r="AW122" s="278">
        <f>TABLA_BASE[[#This Row],[GANANCIA
UNIT.(S/.)]]*TABLA_BASE[[#This Row],[CANTIDAD
(unid.)]]</f>
        <v>0</v>
      </c>
      <c r="AX122" s="289">
        <f>'💰 Precio de Venta'!K127</f>
        <v>0</v>
      </c>
      <c r="AY122" s="278">
        <f>TABLA_BASE[[#This Row],[GANANCIA
UNIT.(S/.)]]*'🧾 Factura Comercial'!G126</f>
        <v>0</v>
      </c>
      <c r="AZ122" s="277">
        <f>IF(TABLA_BASE[[#This Row],[PRECIO VTA.
c/IGV(S/.)]]=0,0,TABLA_BASE[[#This Row],[GANANCIA
UNIT.(S/.)]]/TABLA_BASE[[#This Row],[PRECIO VTA.
c/IGV(S/.)]])</f>
        <v>0</v>
      </c>
      <c r="BA122" s="277">
        <f>IF(TABLA_BASE[[#This Row],[C/M UNIT.
(S/.)]]=0,0,TABLA_BASE[[#This Row],[GANANCIA
UNIT.(S/.)]]/TABLA_BASE[[#This Row],[C/M UNIT.
(S/.)]])</f>
        <v>0</v>
      </c>
      <c r="BB122" s="274" t="str">
        <f>IF(TABLA_BASE[[#This Row],[MARGEN
%]]&gt;=0.5,"🟢 ALTO",IF(TABLA_BASE[[#This Row],[MARGEN
%]]&gt;=0.3,"🟡 MEDIO","🔴 BAJO"))</f>
        <v>🟡 MEDIO</v>
      </c>
    </row>
    <row r="123" spans="1:54" ht="16.5" hidden="1" thickTop="1" thickBot="1" x14ac:dyDescent="0.3">
      <c r="A123" s="274">
        <f>'🧾 Factura Comercial'!E127</f>
        <v>0</v>
      </c>
      <c r="B123" s="274" t="str">
        <f>'🧾 Factura Comercial'!F127</f>
        <v>Unid.</v>
      </c>
      <c r="C123" s="275">
        <f>'🧾 Factura Comercial'!G127</f>
        <v>0</v>
      </c>
      <c r="D123" s="276">
        <f>'🧾 Factura Comercial'!H127</f>
        <v>0</v>
      </c>
      <c r="E123" s="276">
        <f>'🧾 Factura Comercial'!I127</f>
        <v>0</v>
      </c>
      <c r="F123" s="277">
        <f>IF('🧾 Tributos Aduana'!$F$6=0,0,'🧾 Factura Comercial'!I127/'🧾 Tributos Aduana'!$F$6)</f>
        <v>0</v>
      </c>
      <c r="G123" s="278">
        <f>'🧾 Factura Comercial'!H127*'📋 Datos Generales'!$E$19</f>
        <v>0</v>
      </c>
      <c r="H123" s="278">
        <f>TABLA_BASE[[#This Row],[FOB UNIT.
(S/.)]]*TABLA_BASE[[#This Row],[CANTIDAD
(unid.)]]</f>
        <v>0</v>
      </c>
      <c r="I123" s="280">
        <f>IF('🧾 Tributos Aduana'!$F$6=0,0,'🧾 Tributos Aduana'!$F$17*('🧾 Factura Comercial'!H127/'🧾 Tributos Aduana'!$F$6))</f>
        <v>0</v>
      </c>
      <c r="J123" s="280">
        <f>TABLA_BASE[[#This Row],[ADV UNIT.
(US$)
⚠️COSTO]]*TABLA_BASE[[#This Row],[CANTIDAD
(unid.)]]</f>
        <v>0</v>
      </c>
      <c r="K123" s="279">
        <f>IF('🧾 Tributos Aduana'!$F$6=0,0,'🧾 Tributos Aduana'!$F$18*('🧾 Factura Comercial'!H127/'🧾 Tributos Aduana'!$F$6))</f>
        <v>0</v>
      </c>
      <c r="L123" s="280">
        <f>TABLA_BASE[[#This Row],[IPM UNIT.
(US$)
✅CF]]*TABLA_BASE[[#This Row],[CANTIDAD
(unid.)]]</f>
        <v>0</v>
      </c>
      <c r="M123" s="279">
        <f>IF('🧾 Tributos Aduana'!$F$6=0,0,'🧾 Tributos Aduana'!$F$19*('🧾 Factura Comercial'!H127/'🧾 Tributos Aduana'!$F$6))</f>
        <v>0</v>
      </c>
      <c r="N123" s="280">
        <f>TABLA_BASE[[#This Row],[IGV UNIT.
(US$)
✅CF]]*TABLA_BASE[[#This Row],[CANTIDAD
(unid.)]]</f>
        <v>0</v>
      </c>
      <c r="O123" s="280">
        <f>IF('🧾 Tributos Aduana'!$F$6=0,0,'🧾 Tributos Aduana'!$F$23*('🧾 Factura Comercial'!H127/'🧾 Tributos Aduana'!$F$6))</f>
        <v>0</v>
      </c>
      <c r="P123" s="280">
        <f>TABLA_BASE[[#This Row],[PERCEP.
UNIT.(US$)
✅CF]]*TABLA_BASE[[#This Row],[CANTIDAD
(unid.)]]</f>
        <v>0</v>
      </c>
      <c r="Q123" s="279">
        <f>TABLA_BASE[[#This Row],[ADV UNIT.
(US$)
⚠️COSTO]]+TABLA_BASE[[#This Row],[IPM UNIT.
(US$)
✅CF]]+TABLA_BASE[[#This Row],[IGV UNIT.
(US$)
✅CF]]</f>
        <v>0</v>
      </c>
      <c r="R123" s="280">
        <f>TABLA_BASE[[#This Row],[DEUDA
ADUANERA
UNIT.]]*TABLA_BASE[[#This Row],[CANTIDAD
(unid.)]]</f>
        <v>0</v>
      </c>
      <c r="S123" s="278">
        <f>TABLA_BASE[[#This Row],[DEUDA
ADUANERA
UNIT.]]*'📋 Datos Generales'!$E$19</f>
        <v>0</v>
      </c>
      <c r="T123" s="278">
        <f>TABLA_BASE[[#This Row],[DEUDA
ADUANERA
TOTAL]]*'📋 Datos Generales'!$E$19</f>
        <v>0</v>
      </c>
      <c r="U123" s="281">
        <f>TABLA_BASE[[#This Row],[ADV UNIT.
(US$)
⚠️COSTO]]*'📋 Datos Generales'!$E$19</f>
        <v>0</v>
      </c>
      <c r="V123" s="281">
        <f>TABLA_BASE[[#This Row],[ADV UNIT.
(S/.)]]*TABLA_BASE[[#This Row],[CANTIDAD
(unid.)]]</f>
        <v>0</v>
      </c>
      <c r="W123" s="281">
        <f>TABLA_BASE[[#This Row],[IPM UNIT.
(US$)
✅CF]]*'📋 Datos Generales'!$E$19</f>
        <v>0</v>
      </c>
      <c r="X123" s="281">
        <f>TABLA_BASE[[#This Row],[IPM UNIT.
(S/.)]]*TABLA_BASE[[#This Row],[CANTIDAD
(unid.)]]</f>
        <v>0</v>
      </c>
      <c r="Y123" s="281">
        <f>TABLA_BASE[[#This Row],[IGV UNIT.
(US$)
✅CF]]*'📋 Datos Generales'!$E$19</f>
        <v>0</v>
      </c>
      <c r="Z123" s="281">
        <f>TABLA_BASE[[#This Row],[IGV UNIT.
(S/.)]]*TABLA_BASE[[#This Row],[CANTIDAD
(unid.)]]</f>
        <v>0</v>
      </c>
      <c r="AA123" s="281">
        <f>TABLA_BASE[[#This Row],[PERCEP.
UNIT.(US$)
✅CF]]*'📋 Datos Generales'!$E$19</f>
        <v>0</v>
      </c>
      <c r="AB123" s="281">
        <f>TABLA_BASE[[#This Row],[PERCEP.
UNIT.(S/.)]]*TABLA_BASE[[#This Row],[CANTIDAD
(unid.)]]</f>
        <v>0</v>
      </c>
      <c r="AC123" s="279">
        <f>TABLA_BASE[[#This Row],[ADV UNIT.
(US$)
⚠️COSTO]]+TABLA_BASE[[#This Row],[IPM UNIT.
(US$)
✅CF]]+TABLA_BASE[[#This Row],[IGV UNIT.
(US$)
✅CF]]+TABLA_BASE[[#This Row],[PERCEP.
UNIT.(US$)
✅CF]]</f>
        <v>0</v>
      </c>
      <c r="AD123" s="279">
        <f>TABLA_BASE[[#This Row],[TOTAL PAGO
SUNAT
UNIT.(US$)]]*TABLA_BASE[[#This Row],[CANTIDAD
(unid.)]]</f>
        <v>0</v>
      </c>
      <c r="AE123" s="281">
        <f>TABLA_BASE[[#This Row],[TOTAL PAGO
SUNAT
UNIT.(US$)]]*'📋 Datos Generales'!$E$19</f>
        <v>0</v>
      </c>
      <c r="AF123" s="281">
        <f>TABLA_BASE[[#This Row],[TOTAL TRIB.
UNIT.(S/.)]]*TABLA_BASE[[#This Row],[CANTIDAD
(unid.)]]</f>
        <v>0</v>
      </c>
      <c r="AG123" s="279">
        <f>IF('🧾 Factura Comercial'!G127=0,0,'📦 Gastos Importación'!$E$28*(IF('🧾 Tributos Aduana'!$F$6=0,0,'🧾 Factura Comercial'!I127/'🧾 Tributos Aduana'!$F$6))/'🧾 Factura Comercial'!G127)</f>
        <v>0</v>
      </c>
      <c r="AH123" s="279">
        <f>TABLA_BASE[[#This Row],[GASTOS IMP.
UNIT.(US$)]]*TABLA_BASE[[#This Row],[CANTIDAD
(unid.)]]</f>
        <v>0</v>
      </c>
      <c r="AI123" s="281">
        <f>TABLA_BASE[[#This Row],[GASTOS IMP.
UNIT.(US$)]]*'📋 Datos Generales'!$E$19</f>
        <v>0</v>
      </c>
      <c r="AJ123" s="281">
        <f>TABLA_BASE[[#This Row],[GASTOS IMP.
UNIT.(S/.)]]*TABLA_BASE[[#This Row],[CANTIDAD
(unid.)]]</f>
        <v>0</v>
      </c>
      <c r="AK123" s="280">
        <f>'🧮 Costos x Producto'!J127</f>
        <v>0</v>
      </c>
      <c r="AL123" s="278">
        <f>'🧮 Costos x Producto'!K127</f>
        <v>0</v>
      </c>
      <c r="AM123" s="278">
        <f>TABLA_BASE[[#This Row],[C/M UNIT.
(S/.)]]*TABLA_BASE[[#This Row],[CANTIDAD
(unid.)]]</f>
        <v>0</v>
      </c>
      <c r="AN123" s="279">
        <f>IF('🧾 Factura Comercial'!G127=0,0,'🧾 Tributos Aduana'!$F$17*(IF('🧾 Tributos Aduana'!$F$6=0,0,'🧾 Factura Comercial'!I127/'🧾 Tributos Aduana'!$F$6))/'🧾 Factura Comercial'!G127)</f>
        <v>0</v>
      </c>
      <c r="AO123" s="280">
        <f>IF('🧾 Factura Comercial'!G127=0,0,'🏦 Crédito Fiscal'!$C$16*(IF('🧾 Tributos Aduana'!$F$6=0,0,'🧾 Factura Comercial'!I127/'🧾 Tributos Aduana'!$F$6))/'🧾 Factura Comercial'!G127)</f>
        <v>0</v>
      </c>
      <c r="AP123" s="278">
        <f>TABLA_BASE[[#This Row],[CF UNIT.
✅RECUP.
(US$)]]*'📋 Datos Generales'!$E$19</f>
        <v>0</v>
      </c>
      <c r="AQ123" s="278">
        <f>TABLA_BASE[[#This Row],[CF UNIT.
✅RECUP.(S/.)]]*TABLA_BASE[[#This Row],[CANTIDAD
(unid.)]]</f>
        <v>0</v>
      </c>
      <c r="AR123" s="288">
        <f>'💰 Precio de Venta'!G128</f>
        <v>0.4</v>
      </c>
      <c r="AS123" s="278">
        <f>'💰 Precio de Venta'!H128</f>
        <v>0</v>
      </c>
      <c r="AT123" s="278">
        <f>TABLA_BASE[[#This Row],[VALOR VTA.
UNIT.(S/.)]]*TABLA_BASE[[#This Row],[CANTIDAD
(unid.)]]</f>
        <v>0</v>
      </c>
      <c r="AU123" s="281">
        <f>'💰 Precio de Venta'!I128</f>
        <v>0</v>
      </c>
      <c r="AV123" s="278">
        <f>'💰 Precio de Venta'!J128</f>
        <v>0</v>
      </c>
      <c r="AW123" s="278">
        <f>TABLA_BASE[[#This Row],[GANANCIA
UNIT.(S/.)]]*TABLA_BASE[[#This Row],[CANTIDAD
(unid.)]]</f>
        <v>0</v>
      </c>
      <c r="AX123" s="289">
        <f>'💰 Precio de Venta'!K128</f>
        <v>0</v>
      </c>
      <c r="AY123" s="278">
        <f>TABLA_BASE[[#This Row],[GANANCIA
UNIT.(S/.)]]*'🧾 Factura Comercial'!G127</f>
        <v>0</v>
      </c>
      <c r="AZ123" s="277">
        <f>IF(TABLA_BASE[[#This Row],[PRECIO VTA.
c/IGV(S/.)]]=0,0,TABLA_BASE[[#This Row],[GANANCIA
UNIT.(S/.)]]/TABLA_BASE[[#This Row],[PRECIO VTA.
c/IGV(S/.)]])</f>
        <v>0</v>
      </c>
      <c r="BA123" s="277">
        <f>IF(TABLA_BASE[[#This Row],[C/M UNIT.
(S/.)]]=0,0,TABLA_BASE[[#This Row],[GANANCIA
UNIT.(S/.)]]/TABLA_BASE[[#This Row],[C/M UNIT.
(S/.)]])</f>
        <v>0</v>
      </c>
      <c r="BB123" s="274" t="str">
        <f>IF(TABLA_BASE[[#This Row],[MARGEN
%]]&gt;=0.5,"🟢 ALTO",IF(TABLA_BASE[[#This Row],[MARGEN
%]]&gt;=0.3,"🟡 MEDIO","🔴 BAJO"))</f>
        <v>🟡 MEDIO</v>
      </c>
    </row>
    <row r="124" spans="1:54" ht="16.5" hidden="1" thickTop="1" thickBot="1" x14ac:dyDescent="0.3">
      <c r="A124" s="274">
        <f>'🧾 Factura Comercial'!E128</f>
        <v>0</v>
      </c>
      <c r="B124" s="274" t="str">
        <f>'🧾 Factura Comercial'!F128</f>
        <v>Unid.</v>
      </c>
      <c r="C124" s="275">
        <f>'🧾 Factura Comercial'!G128</f>
        <v>0</v>
      </c>
      <c r="D124" s="276">
        <f>'🧾 Factura Comercial'!H128</f>
        <v>0</v>
      </c>
      <c r="E124" s="276">
        <f>'🧾 Factura Comercial'!I128</f>
        <v>0</v>
      </c>
      <c r="F124" s="277">
        <f>IF('🧾 Tributos Aduana'!$F$6=0,0,'🧾 Factura Comercial'!I128/'🧾 Tributos Aduana'!$F$6)</f>
        <v>0</v>
      </c>
      <c r="G124" s="278">
        <f>'🧾 Factura Comercial'!H128*'📋 Datos Generales'!$E$19</f>
        <v>0</v>
      </c>
      <c r="H124" s="278">
        <f>TABLA_BASE[[#This Row],[FOB UNIT.
(S/.)]]*TABLA_BASE[[#This Row],[CANTIDAD
(unid.)]]</f>
        <v>0</v>
      </c>
      <c r="I124" s="280">
        <f>IF('🧾 Tributos Aduana'!$F$6=0,0,'🧾 Tributos Aduana'!$F$17*('🧾 Factura Comercial'!H128/'🧾 Tributos Aduana'!$F$6))</f>
        <v>0</v>
      </c>
      <c r="J124" s="280">
        <f>TABLA_BASE[[#This Row],[ADV UNIT.
(US$)
⚠️COSTO]]*TABLA_BASE[[#This Row],[CANTIDAD
(unid.)]]</f>
        <v>0</v>
      </c>
      <c r="K124" s="279">
        <f>IF('🧾 Tributos Aduana'!$F$6=0,0,'🧾 Tributos Aduana'!$F$18*('🧾 Factura Comercial'!H128/'🧾 Tributos Aduana'!$F$6))</f>
        <v>0</v>
      </c>
      <c r="L124" s="280">
        <f>TABLA_BASE[[#This Row],[IPM UNIT.
(US$)
✅CF]]*TABLA_BASE[[#This Row],[CANTIDAD
(unid.)]]</f>
        <v>0</v>
      </c>
      <c r="M124" s="279">
        <f>IF('🧾 Tributos Aduana'!$F$6=0,0,'🧾 Tributos Aduana'!$F$19*('🧾 Factura Comercial'!H128/'🧾 Tributos Aduana'!$F$6))</f>
        <v>0</v>
      </c>
      <c r="N124" s="280">
        <f>TABLA_BASE[[#This Row],[IGV UNIT.
(US$)
✅CF]]*TABLA_BASE[[#This Row],[CANTIDAD
(unid.)]]</f>
        <v>0</v>
      </c>
      <c r="O124" s="280">
        <f>IF('🧾 Tributos Aduana'!$F$6=0,0,'🧾 Tributos Aduana'!$F$23*('🧾 Factura Comercial'!H128/'🧾 Tributos Aduana'!$F$6))</f>
        <v>0</v>
      </c>
      <c r="P124" s="280">
        <f>TABLA_BASE[[#This Row],[PERCEP.
UNIT.(US$)
✅CF]]*TABLA_BASE[[#This Row],[CANTIDAD
(unid.)]]</f>
        <v>0</v>
      </c>
      <c r="Q124" s="279">
        <f>TABLA_BASE[[#This Row],[ADV UNIT.
(US$)
⚠️COSTO]]+TABLA_BASE[[#This Row],[IPM UNIT.
(US$)
✅CF]]+TABLA_BASE[[#This Row],[IGV UNIT.
(US$)
✅CF]]</f>
        <v>0</v>
      </c>
      <c r="R124" s="280">
        <f>TABLA_BASE[[#This Row],[DEUDA
ADUANERA
UNIT.]]*TABLA_BASE[[#This Row],[CANTIDAD
(unid.)]]</f>
        <v>0</v>
      </c>
      <c r="S124" s="278">
        <f>TABLA_BASE[[#This Row],[DEUDA
ADUANERA
UNIT.]]*'📋 Datos Generales'!$E$19</f>
        <v>0</v>
      </c>
      <c r="T124" s="278">
        <f>TABLA_BASE[[#This Row],[DEUDA
ADUANERA
TOTAL]]*'📋 Datos Generales'!$E$19</f>
        <v>0</v>
      </c>
      <c r="U124" s="281">
        <f>TABLA_BASE[[#This Row],[ADV UNIT.
(US$)
⚠️COSTO]]*'📋 Datos Generales'!$E$19</f>
        <v>0</v>
      </c>
      <c r="V124" s="281">
        <f>TABLA_BASE[[#This Row],[ADV UNIT.
(S/.)]]*TABLA_BASE[[#This Row],[CANTIDAD
(unid.)]]</f>
        <v>0</v>
      </c>
      <c r="W124" s="281">
        <f>TABLA_BASE[[#This Row],[IPM UNIT.
(US$)
✅CF]]*'📋 Datos Generales'!$E$19</f>
        <v>0</v>
      </c>
      <c r="X124" s="281">
        <f>TABLA_BASE[[#This Row],[IPM UNIT.
(S/.)]]*TABLA_BASE[[#This Row],[CANTIDAD
(unid.)]]</f>
        <v>0</v>
      </c>
      <c r="Y124" s="281">
        <f>TABLA_BASE[[#This Row],[IGV UNIT.
(US$)
✅CF]]*'📋 Datos Generales'!$E$19</f>
        <v>0</v>
      </c>
      <c r="Z124" s="281">
        <f>TABLA_BASE[[#This Row],[IGV UNIT.
(S/.)]]*TABLA_BASE[[#This Row],[CANTIDAD
(unid.)]]</f>
        <v>0</v>
      </c>
      <c r="AA124" s="281">
        <f>TABLA_BASE[[#This Row],[PERCEP.
UNIT.(US$)
✅CF]]*'📋 Datos Generales'!$E$19</f>
        <v>0</v>
      </c>
      <c r="AB124" s="281">
        <f>TABLA_BASE[[#This Row],[PERCEP.
UNIT.(S/.)]]*TABLA_BASE[[#This Row],[CANTIDAD
(unid.)]]</f>
        <v>0</v>
      </c>
      <c r="AC124" s="279">
        <f>TABLA_BASE[[#This Row],[ADV UNIT.
(US$)
⚠️COSTO]]+TABLA_BASE[[#This Row],[IPM UNIT.
(US$)
✅CF]]+TABLA_BASE[[#This Row],[IGV UNIT.
(US$)
✅CF]]+TABLA_BASE[[#This Row],[PERCEP.
UNIT.(US$)
✅CF]]</f>
        <v>0</v>
      </c>
      <c r="AD124" s="279">
        <f>TABLA_BASE[[#This Row],[TOTAL PAGO
SUNAT
UNIT.(US$)]]*TABLA_BASE[[#This Row],[CANTIDAD
(unid.)]]</f>
        <v>0</v>
      </c>
      <c r="AE124" s="281">
        <f>TABLA_BASE[[#This Row],[TOTAL PAGO
SUNAT
UNIT.(US$)]]*'📋 Datos Generales'!$E$19</f>
        <v>0</v>
      </c>
      <c r="AF124" s="281">
        <f>TABLA_BASE[[#This Row],[TOTAL TRIB.
UNIT.(S/.)]]*TABLA_BASE[[#This Row],[CANTIDAD
(unid.)]]</f>
        <v>0</v>
      </c>
      <c r="AG124" s="279">
        <f>IF('🧾 Factura Comercial'!G128=0,0,'📦 Gastos Importación'!$E$28*(IF('🧾 Tributos Aduana'!$F$6=0,0,'🧾 Factura Comercial'!I128/'🧾 Tributos Aduana'!$F$6))/'🧾 Factura Comercial'!G128)</f>
        <v>0</v>
      </c>
      <c r="AH124" s="279">
        <f>TABLA_BASE[[#This Row],[GASTOS IMP.
UNIT.(US$)]]*TABLA_BASE[[#This Row],[CANTIDAD
(unid.)]]</f>
        <v>0</v>
      </c>
      <c r="AI124" s="281">
        <f>TABLA_BASE[[#This Row],[GASTOS IMP.
UNIT.(US$)]]*'📋 Datos Generales'!$E$19</f>
        <v>0</v>
      </c>
      <c r="AJ124" s="281">
        <f>TABLA_BASE[[#This Row],[GASTOS IMP.
UNIT.(S/.)]]*TABLA_BASE[[#This Row],[CANTIDAD
(unid.)]]</f>
        <v>0</v>
      </c>
      <c r="AK124" s="280">
        <f>'🧮 Costos x Producto'!J128</f>
        <v>0</v>
      </c>
      <c r="AL124" s="278">
        <f>'🧮 Costos x Producto'!K128</f>
        <v>0</v>
      </c>
      <c r="AM124" s="278">
        <f>TABLA_BASE[[#This Row],[C/M UNIT.
(S/.)]]*TABLA_BASE[[#This Row],[CANTIDAD
(unid.)]]</f>
        <v>0</v>
      </c>
      <c r="AN124" s="279">
        <f>IF('🧾 Factura Comercial'!G128=0,0,'🧾 Tributos Aduana'!$F$17*(IF('🧾 Tributos Aduana'!$F$6=0,0,'🧾 Factura Comercial'!I128/'🧾 Tributos Aduana'!$F$6))/'🧾 Factura Comercial'!G128)</f>
        <v>0</v>
      </c>
      <c r="AO124" s="280">
        <f>IF('🧾 Factura Comercial'!G128=0,0,'🏦 Crédito Fiscal'!$C$16*(IF('🧾 Tributos Aduana'!$F$6=0,0,'🧾 Factura Comercial'!I128/'🧾 Tributos Aduana'!$F$6))/'🧾 Factura Comercial'!G128)</f>
        <v>0</v>
      </c>
      <c r="AP124" s="278">
        <f>TABLA_BASE[[#This Row],[CF UNIT.
✅RECUP.
(US$)]]*'📋 Datos Generales'!$E$19</f>
        <v>0</v>
      </c>
      <c r="AQ124" s="278">
        <f>TABLA_BASE[[#This Row],[CF UNIT.
✅RECUP.(S/.)]]*TABLA_BASE[[#This Row],[CANTIDAD
(unid.)]]</f>
        <v>0</v>
      </c>
      <c r="AR124" s="288">
        <f>'💰 Precio de Venta'!G129</f>
        <v>0.4</v>
      </c>
      <c r="AS124" s="278">
        <f>'💰 Precio de Venta'!H129</f>
        <v>0</v>
      </c>
      <c r="AT124" s="278">
        <f>TABLA_BASE[[#This Row],[VALOR VTA.
UNIT.(S/.)]]*TABLA_BASE[[#This Row],[CANTIDAD
(unid.)]]</f>
        <v>0</v>
      </c>
      <c r="AU124" s="281">
        <f>'💰 Precio de Venta'!I129</f>
        <v>0</v>
      </c>
      <c r="AV124" s="278">
        <f>'💰 Precio de Venta'!J129</f>
        <v>0</v>
      </c>
      <c r="AW124" s="278">
        <f>TABLA_BASE[[#This Row],[GANANCIA
UNIT.(S/.)]]*TABLA_BASE[[#This Row],[CANTIDAD
(unid.)]]</f>
        <v>0</v>
      </c>
      <c r="AX124" s="289">
        <f>'💰 Precio de Venta'!K129</f>
        <v>0</v>
      </c>
      <c r="AY124" s="278">
        <f>TABLA_BASE[[#This Row],[GANANCIA
UNIT.(S/.)]]*'🧾 Factura Comercial'!G128</f>
        <v>0</v>
      </c>
      <c r="AZ124" s="277">
        <f>IF(TABLA_BASE[[#This Row],[PRECIO VTA.
c/IGV(S/.)]]=0,0,TABLA_BASE[[#This Row],[GANANCIA
UNIT.(S/.)]]/TABLA_BASE[[#This Row],[PRECIO VTA.
c/IGV(S/.)]])</f>
        <v>0</v>
      </c>
      <c r="BA124" s="277">
        <f>IF(TABLA_BASE[[#This Row],[C/M UNIT.
(S/.)]]=0,0,TABLA_BASE[[#This Row],[GANANCIA
UNIT.(S/.)]]/TABLA_BASE[[#This Row],[C/M UNIT.
(S/.)]])</f>
        <v>0</v>
      </c>
      <c r="BB124" s="274" t="str">
        <f>IF(TABLA_BASE[[#This Row],[MARGEN
%]]&gt;=0.5,"🟢 ALTO",IF(TABLA_BASE[[#This Row],[MARGEN
%]]&gt;=0.3,"🟡 MEDIO","🔴 BAJO"))</f>
        <v>🟡 MEDIO</v>
      </c>
    </row>
    <row r="125" spans="1:54" ht="16.5" hidden="1" thickTop="1" thickBot="1" x14ac:dyDescent="0.3">
      <c r="A125" s="274">
        <f>'🧾 Factura Comercial'!E129</f>
        <v>0</v>
      </c>
      <c r="B125" s="274" t="str">
        <f>'🧾 Factura Comercial'!F129</f>
        <v>Unid.</v>
      </c>
      <c r="C125" s="275">
        <f>'🧾 Factura Comercial'!G129</f>
        <v>0</v>
      </c>
      <c r="D125" s="276">
        <f>'🧾 Factura Comercial'!H129</f>
        <v>0</v>
      </c>
      <c r="E125" s="276">
        <f>'🧾 Factura Comercial'!I129</f>
        <v>0</v>
      </c>
      <c r="F125" s="277">
        <f>IF('🧾 Tributos Aduana'!$F$6=0,0,'🧾 Factura Comercial'!I129/'🧾 Tributos Aduana'!$F$6)</f>
        <v>0</v>
      </c>
      <c r="G125" s="278">
        <f>'🧾 Factura Comercial'!H129*'📋 Datos Generales'!$E$19</f>
        <v>0</v>
      </c>
      <c r="H125" s="278">
        <f>TABLA_BASE[[#This Row],[FOB UNIT.
(S/.)]]*TABLA_BASE[[#This Row],[CANTIDAD
(unid.)]]</f>
        <v>0</v>
      </c>
      <c r="I125" s="280">
        <f>IF('🧾 Tributos Aduana'!$F$6=0,0,'🧾 Tributos Aduana'!$F$17*('🧾 Factura Comercial'!H129/'🧾 Tributos Aduana'!$F$6))</f>
        <v>0</v>
      </c>
      <c r="J125" s="280">
        <f>TABLA_BASE[[#This Row],[ADV UNIT.
(US$)
⚠️COSTO]]*TABLA_BASE[[#This Row],[CANTIDAD
(unid.)]]</f>
        <v>0</v>
      </c>
      <c r="K125" s="279">
        <f>IF('🧾 Tributos Aduana'!$F$6=0,0,'🧾 Tributos Aduana'!$F$18*('🧾 Factura Comercial'!H129/'🧾 Tributos Aduana'!$F$6))</f>
        <v>0</v>
      </c>
      <c r="L125" s="280">
        <f>TABLA_BASE[[#This Row],[IPM UNIT.
(US$)
✅CF]]*TABLA_BASE[[#This Row],[CANTIDAD
(unid.)]]</f>
        <v>0</v>
      </c>
      <c r="M125" s="279">
        <f>IF('🧾 Tributos Aduana'!$F$6=0,0,'🧾 Tributos Aduana'!$F$19*('🧾 Factura Comercial'!H129/'🧾 Tributos Aduana'!$F$6))</f>
        <v>0</v>
      </c>
      <c r="N125" s="280">
        <f>TABLA_BASE[[#This Row],[IGV UNIT.
(US$)
✅CF]]*TABLA_BASE[[#This Row],[CANTIDAD
(unid.)]]</f>
        <v>0</v>
      </c>
      <c r="O125" s="280">
        <f>IF('🧾 Tributos Aduana'!$F$6=0,0,'🧾 Tributos Aduana'!$F$23*('🧾 Factura Comercial'!H129/'🧾 Tributos Aduana'!$F$6))</f>
        <v>0</v>
      </c>
      <c r="P125" s="280">
        <f>TABLA_BASE[[#This Row],[PERCEP.
UNIT.(US$)
✅CF]]*TABLA_BASE[[#This Row],[CANTIDAD
(unid.)]]</f>
        <v>0</v>
      </c>
      <c r="Q125" s="279">
        <f>TABLA_BASE[[#This Row],[ADV UNIT.
(US$)
⚠️COSTO]]+TABLA_BASE[[#This Row],[IPM UNIT.
(US$)
✅CF]]+TABLA_BASE[[#This Row],[IGV UNIT.
(US$)
✅CF]]</f>
        <v>0</v>
      </c>
      <c r="R125" s="280">
        <f>TABLA_BASE[[#This Row],[DEUDA
ADUANERA
UNIT.]]*TABLA_BASE[[#This Row],[CANTIDAD
(unid.)]]</f>
        <v>0</v>
      </c>
      <c r="S125" s="278">
        <f>TABLA_BASE[[#This Row],[DEUDA
ADUANERA
UNIT.]]*'📋 Datos Generales'!$E$19</f>
        <v>0</v>
      </c>
      <c r="T125" s="278">
        <f>TABLA_BASE[[#This Row],[DEUDA
ADUANERA
TOTAL]]*'📋 Datos Generales'!$E$19</f>
        <v>0</v>
      </c>
      <c r="U125" s="281">
        <f>TABLA_BASE[[#This Row],[ADV UNIT.
(US$)
⚠️COSTO]]*'📋 Datos Generales'!$E$19</f>
        <v>0</v>
      </c>
      <c r="V125" s="281">
        <f>TABLA_BASE[[#This Row],[ADV UNIT.
(S/.)]]*TABLA_BASE[[#This Row],[CANTIDAD
(unid.)]]</f>
        <v>0</v>
      </c>
      <c r="W125" s="281">
        <f>TABLA_BASE[[#This Row],[IPM UNIT.
(US$)
✅CF]]*'📋 Datos Generales'!$E$19</f>
        <v>0</v>
      </c>
      <c r="X125" s="281">
        <f>TABLA_BASE[[#This Row],[IPM UNIT.
(S/.)]]*TABLA_BASE[[#This Row],[CANTIDAD
(unid.)]]</f>
        <v>0</v>
      </c>
      <c r="Y125" s="281">
        <f>TABLA_BASE[[#This Row],[IGV UNIT.
(US$)
✅CF]]*'📋 Datos Generales'!$E$19</f>
        <v>0</v>
      </c>
      <c r="Z125" s="281">
        <f>TABLA_BASE[[#This Row],[IGV UNIT.
(S/.)]]*TABLA_BASE[[#This Row],[CANTIDAD
(unid.)]]</f>
        <v>0</v>
      </c>
      <c r="AA125" s="281">
        <f>TABLA_BASE[[#This Row],[PERCEP.
UNIT.(US$)
✅CF]]*'📋 Datos Generales'!$E$19</f>
        <v>0</v>
      </c>
      <c r="AB125" s="281">
        <f>TABLA_BASE[[#This Row],[PERCEP.
UNIT.(S/.)]]*TABLA_BASE[[#This Row],[CANTIDAD
(unid.)]]</f>
        <v>0</v>
      </c>
      <c r="AC125" s="279">
        <f>TABLA_BASE[[#This Row],[ADV UNIT.
(US$)
⚠️COSTO]]+TABLA_BASE[[#This Row],[IPM UNIT.
(US$)
✅CF]]+TABLA_BASE[[#This Row],[IGV UNIT.
(US$)
✅CF]]+TABLA_BASE[[#This Row],[PERCEP.
UNIT.(US$)
✅CF]]</f>
        <v>0</v>
      </c>
      <c r="AD125" s="279">
        <f>TABLA_BASE[[#This Row],[TOTAL PAGO
SUNAT
UNIT.(US$)]]*TABLA_BASE[[#This Row],[CANTIDAD
(unid.)]]</f>
        <v>0</v>
      </c>
      <c r="AE125" s="281">
        <f>TABLA_BASE[[#This Row],[TOTAL PAGO
SUNAT
UNIT.(US$)]]*'📋 Datos Generales'!$E$19</f>
        <v>0</v>
      </c>
      <c r="AF125" s="281">
        <f>TABLA_BASE[[#This Row],[TOTAL TRIB.
UNIT.(S/.)]]*TABLA_BASE[[#This Row],[CANTIDAD
(unid.)]]</f>
        <v>0</v>
      </c>
      <c r="AG125" s="279">
        <f>IF('🧾 Factura Comercial'!G129=0,0,'📦 Gastos Importación'!$E$28*(IF('🧾 Tributos Aduana'!$F$6=0,0,'🧾 Factura Comercial'!I129/'🧾 Tributos Aduana'!$F$6))/'🧾 Factura Comercial'!G129)</f>
        <v>0</v>
      </c>
      <c r="AH125" s="279">
        <f>TABLA_BASE[[#This Row],[GASTOS IMP.
UNIT.(US$)]]*TABLA_BASE[[#This Row],[CANTIDAD
(unid.)]]</f>
        <v>0</v>
      </c>
      <c r="AI125" s="281">
        <f>TABLA_BASE[[#This Row],[GASTOS IMP.
UNIT.(US$)]]*'📋 Datos Generales'!$E$19</f>
        <v>0</v>
      </c>
      <c r="AJ125" s="281">
        <f>TABLA_BASE[[#This Row],[GASTOS IMP.
UNIT.(S/.)]]*TABLA_BASE[[#This Row],[CANTIDAD
(unid.)]]</f>
        <v>0</v>
      </c>
      <c r="AK125" s="280">
        <f>'🧮 Costos x Producto'!J129</f>
        <v>0</v>
      </c>
      <c r="AL125" s="278">
        <f>'🧮 Costos x Producto'!K129</f>
        <v>0</v>
      </c>
      <c r="AM125" s="278">
        <f>TABLA_BASE[[#This Row],[C/M UNIT.
(S/.)]]*TABLA_BASE[[#This Row],[CANTIDAD
(unid.)]]</f>
        <v>0</v>
      </c>
      <c r="AN125" s="279">
        <f>IF('🧾 Factura Comercial'!G129=0,0,'🧾 Tributos Aduana'!$F$17*(IF('🧾 Tributos Aduana'!$F$6=0,0,'🧾 Factura Comercial'!I129/'🧾 Tributos Aduana'!$F$6))/'🧾 Factura Comercial'!G129)</f>
        <v>0</v>
      </c>
      <c r="AO125" s="280">
        <f>IF('🧾 Factura Comercial'!G129=0,0,'🏦 Crédito Fiscal'!$C$16*(IF('🧾 Tributos Aduana'!$F$6=0,0,'🧾 Factura Comercial'!I129/'🧾 Tributos Aduana'!$F$6))/'🧾 Factura Comercial'!G129)</f>
        <v>0</v>
      </c>
      <c r="AP125" s="278">
        <f>TABLA_BASE[[#This Row],[CF UNIT.
✅RECUP.
(US$)]]*'📋 Datos Generales'!$E$19</f>
        <v>0</v>
      </c>
      <c r="AQ125" s="278">
        <f>TABLA_BASE[[#This Row],[CF UNIT.
✅RECUP.(S/.)]]*TABLA_BASE[[#This Row],[CANTIDAD
(unid.)]]</f>
        <v>0</v>
      </c>
      <c r="AR125" s="288">
        <f>'💰 Precio de Venta'!G130</f>
        <v>0.4</v>
      </c>
      <c r="AS125" s="278">
        <f>'💰 Precio de Venta'!H130</f>
        <v>0</v>
      </c>
      <c r="AT125" s="278">
        <f>TABLA_BASE[[#This Row],[VALOR VTA.
UNIT.(S/.)]]*TABLA_BASE[[#This Row],[CANTIDAD
(unid.)]]</f>
        <v>0</v>
      </c>
      <c r="AU125" s="281">
        <f>'💰 Precio de Venta'!I130</f>
        <v>0</v>
      </c>
      <c r="AV125" s="278">
        <f>'💰 Precio de Venta'!J130</f>
        <v>0</v>
      </c>
      <c r="AW125" s="278">
        <f>TABLA_BASE[[#This Row],[GANANCIA
UNIT.(S/.)]]*TABLA_BASE[[#This Row],[CANTIDAD
(unid.)]]</f>
        <v>0</v>
      </c>
      <c r="AX125" s="289">
        <f>'💰 Precio de Venta'!K130</f>
        <v>0</v>
      </c>
      <c r="AY125" s="278">
        <f>TABLA_BASE[[#This Row],[GANANCIA
UNIT.(S/.)]]*'🧾 Factura Comercial'!G129</f>
        <v>0</v>
      </c>
      <c r="AZ125" s="277">
        <f>IF(TABLA_BASE[[#This Row],[PRECIO VTA.
c/IGV(S/.)]]=0,0,TABLA_BASE[[#This Row],[GANANCIA
UNIT.(S/.)]]/TABLA_BASE[[#This Row],[PRECIO VTA.
c/IGV(S/.)]])</f>
        <v>0</v>
      </c>
      <c r="BA125" s="277">
        <f>IF(TABLA_BASE[[#This Row],[C/M UNIT.
(S/.)]]=0,0,TABLA_BASE[[#This Row],[GANANCIA
UNIT.(S/.)]]/TABLA_BASE[[#This Row],[C/M UNIT.
(S/.)]])</f>
        <v>0</v>
      </c>
      <c r="BB125" s="274" t="str">
        <f>IF(TABLA_BASE[[#This Row],[MARGEN
%]]&gt;=0.5,"🟢 ALTO",IF(TABLA_BASE[[#This Row],[MARGEN
%]]&gt;=0.3,"🟡 MEDIO","🔴 BAJO"))</f>
        <v>🟡 MEDIO</v>
      </c>
    </row>
    <row r="126" spans="1:54" ht="16.5" hidden="1" thickTop="1" thickBot="1" x14ac:dyDescent="0.3">
      <c r="A126" s="274">
        <f>'🧾 Factura Comercial'!E130</f>
        <v>0</v>
      </c>
      <c r="B126" s="274" t="str">
        <f>'🧾 Factura Comercial'!F130</f>
        <v>Unid.</v>
      </c>
      <c r="C126" s="275">
        <f>'🧾 Factura Comercial'!G130</f>
        <v>0</v>
      </c>
      <c r="D126" s="276">
        <f>'🧾 Factura Comercial'!H130</f>
        <v>0</v>
      </c>
      <c r="E126" s="276">
        <f>'🧾 Factura Comercial'!I130</f>
        <v>0</v>
      </c>
      <c r="F126" s="277">
        <f>IF('🧾 Tributos Aduana'!$F$6=0,0,'🧾 Factura Comercial'!I130/'🧾 Tributos Aduana'!$F$6)</f>
        <v>0</v>
      </c>
      <c r="G126" s="278">
        <f>'🧾 Factura Comercial'!H130*'📋 Datos Generales'!$E$19</f>
        <v>0</v>
      </c>
      <c r="H126" s="278">
        <f>TABLA_BASE[[#This Row],[FOB UNIT.
(S/.)]]*TABLA_BASE[[#This Row],[CANTIDAD
(unid.)]]</f>
        <v>0</v>
      </c>
      <c r="I126" s="280">
        <f>IF('🧾 Tributos Aduana'!$F$6=0,0,'🧾 Tributos Aduana'!$F$17*('🧾 Factura Comercial'!H130/'🧾 Tributos Aduana'!$F$6))</f>
        <v>0</v>
      </c>
      <c r="J126" s="280">
        <f>TABLA_BASE[[#This Row],[ADV UNIT.
(US$)
⚠️COSTO]]*TABLA_BASE[[#This Row],[CANTIDAD
(unid.)]]</f>
        <v>0</v>
      </c>
      <c r="K126" s="279">
        <f>IF('🧾 Tributos Aduana'!$F$6=0,0,'🧾 Tributos Aduana'!$F$18*('🧾 Factura Comercial'!H130/'🧾 Tributos Aduana'!$F$6))</f>
        <v>0</v>
      </c>
      <c r="L126" s="280">
        <f>TABLA_BASE[[#This Row],[IPM UNIT.
(US$)
✅CF]]*TABLA_BASE[[#This Row],[CANTIDAD
(unid.)]]</f>
        <v>0</v>
      </c>
      <c r="M126" s="279">
        <f>IF('🧾 Tributos Aduana'!$F$6=0,0,'🧾 Tributos Aduana'!$F$19*('🧾 Factura Comercial'!H130/'🧾 Tributos Aduana'!$F$6))</f>
        <v>0</v>
      </c>
      <c r="N126" s="280">
        <f>TABLA_BASE[[#This Row],[IGV UNIT.
(US$)
✅CF]]*TABLA_BASE[[#This Row],[CANTIDAD
(unid.)]]</f>
        <v>0</v>
      </c>
      <c r="O126" s="280">
        <f>IF('🧾 Tributos Aduana'!$F$6=0,0,'🧾 Tributos Aduana'!$F$23*('🧾 Factura Comercial'!H130/'🧾 Tributos Aduana'!$F$6))</f>
        <v>0</v>
      </c>
      <c r="P126" s="280">
        <f>TABLA_BASE[[#This Row],[PERCEP.
UNIT.(US$)
✅CF]]*TABLA_BASE[[#This Row],[CANTIDAD
(unid.)]]</f>
        <v>0</v>
      </c>
      <c r="Q126" s="279">
        <f>TABLA_BASE[[#This Row],[ADV UNIT.
(US$)
⚠️COSTO]]+TABLA_BASE[[#This Row],[IPM UNIT.
(US$)
✅CF]]+TABLA_BASE[[#This Row],[IGV UNIT.
(US$)
✅CF]]</f>
        <v>0</v>
      </c>
      <c r="R126" s="280">
        <f>TABLA_BASE[[#This Row],[DEUDA
ADUANERA
UNIT.]]*TABLA_BASE[[#This Row],[CANTIDAD
(unid.)]]</f>
        <v>0</v>
      </c>
      <c r="S126" s="278">
        <f>TABLA_BASE[[#This Row],[DEUDA
ADUANERA
UNIT.]]*'📋 Datos Generales'!$E$19</f>
        <v>0</v>
      </c>
      <c r="T126" s="278">
        <f>TABLA_BASE[[#This Row],[DEUDA
ADUANERA
TOTAL]]*'📋 Datos Generales'!$E$19</f>
        <v>0</v>
      </c>
      <c r="U126" s="281">
        <f>TABLA_BASE[[#This Row],[ADV UNIT.
(US$)
⚠️COSTO]]*'📋 Datos Generales'!$E$19</f>
        <v>0</v>
      </c>
      <c r="V126" s="281">
        <f>TABLA_BASE[[#This Row],[ADV UNIT.
(S/.)]]*TABLA_BASE[[#This Row],[CANTIDAD
(unid.)]]</f>
        <v>0</v>
      </c>
      <c r="W126" s="281">
        <f>TABLA_BASE[[#This Row],[IPM UNIT.
(US$)
✅CF]]*'📋 Datos Generales'!$E$19</f>
        <v>0</v>
      </c>
      <c r="X126" s="281">
        <f>TABLA_BASE[[#This Row],[IPM UNIT.
(S/.)]]*TABLA_BASE[[#This Row],[CANTIDAD
(unid.)]]</f>
        <v>0</v>
      </c>
      <c r="Y126" s="281">
        <f>TABLA_BASE[[#This Row],[IGV UNIT.
(US$)
✅CF]]*'📋 Datos Generales'!$E$19</f>
        <v>0</v>
      </c>
      <c r="Z126" s="281">
        <f>TABLA_BASE[[#This Row],[IGV UNIT.
(S/.)]]*TABLA_BASE[[#This Row],[CANTIDAD
(unid.)]]</f>
        <v>0</v>
      </c>
      <c r="AA126" s="281">
        <f>TABLA_BASE[[#This Row],[PERCEP.
UNIT.(US$)
✅CF]]*'📋 Datos Generales'!$E$19</f>
        <v>0</v>
      </c>
      <c r="AB126" s="281">
        <f>TABLA_BASE[[#This Row],[PERCEP.
UNIT.(S/.)]]*TABLA_BASE[[#This Row],[CANTIDAD
(unid.)]]</f>
        <v>0</v>
      </c>
      <c r="AC126" s="279">
        <f>TABLA_BASE[[#This Row],[ADV UNIT.
(US$)
⚠️COSTO]]+TABLA_BASE[[#This Row],[IPM UNIT.
(US$)
✅CF]]+TABLA_BASE[[#This Row],[IGV UNIT.
(US$)
✅CF]]+TABLA_BASE[[#This Row],[PERCEP.
UNIT.(US$)
✅CF]]</f>
        <v>0</v>
      </c>
      <c r="AD126" s="279">
        <f>TABLA_BASE[[#This Row],[TOTAL PAGO
SUNAT
UNIT.(US$)]]*TABLA_BASE[[#This Row],[CANTIDAD
(unid.)]]</f>
        <v>0</v>
      </c>
      <c r="AE126" s="281">
        <f>TABLA_BASE[[#This Row],[TOTAL PAGO
SUNAT
UNIT.(US$)]]*'📋 Datos Generales'!$E$19</f>
        <v>0</v>
      </c>
      <c r="AF126" s="281">
        <f>TABLA_BASE[[#This Row],[TOTAL TRIB.
UNIT.(S/.)]]*TABLA_BASE[[#This Row],[CANTIDAD
(unid.)]]</f>
        <v>0</v>
      </c>
      <c r="AG126" s="279">
        <f>IF('🧾 Factura Comercial'!G130=0,0,'📦 Gastos Importación'!$E$28*(IF('🧾 Tributos Aduana'!$F$6=0,0,'🧾 Factura Comercial'!I130/'🧾 Tributos Aduana'!$F$6))/'🧾 Factura Comercial'!G130)</f>
        <v>0</v>
      </c>
      <c r="AH126" s="279">
        <f>TABLA_BASE[[#This Row],[GASTOS IMP.
UNIT.(US$)]]*TABLA_BASE[[#This Row],[CANTIDAD
(unid.)]]</f>
        <v>0</v>
      </c>
      <c r="AI126" s="281">
        <f>TABLA_BASE[[#This Row],[GASTOS IMP.
UNIT.(US$)]]*'📋 Datos Generales'!$E$19</f>
        <v>0</v>
      </c>
      <c r="AJ126" s="281">
        <f>TABLA_BASE[[#This Row],[GASTOS IMP.
UNIT.(S/.)]]*TABLA_BASE[[#This Row],[CANTIDAD
(unid.)]]</f>
        <v>0</v>
      </c>
      <c r="AK126" s="280">
        <f>'🧮 Costos x Producto'!J130</f>
        <v>0</v>
      </c>
      <c r="AL126" s="278">
        <f>'🧮 Costos x Producto'!K130</f>
        <v>0</v>
      </c>
      <c r="AM126" s="278">
        <f>TABLA_BASE[[#This Row],[C/M UNIT.
(S/.)]]*TABLA_BASE[[#This Row],[CANTIDAD
(unid.)]]</f>
        <v>0</v>
      </c>
      <c r="AN126" s="279">
        <f>IF('🧾 Factura Comercial'!G130=0,0,'🧾 Tributos Aduana'!$F$17*(IF('🧾 Tributos Aduana'!$F$6=0,0,'🧾 Factura Comercial'!I130/'🧾 Tributos Aduana'!$F$6))/'🧾 Factura Comercial'!G130)</f>
        <v>0</v>
      </c>
      <c r="AO126" s="280">
        <f>IF('🧾 Factura Comercial'!G130=0,0,'🏦 Crédito Fiscal'!$C$16*(IF('🧾 Tributos Aduana'!$F$6=0,0,'🧾 Factura Comercial'!I130/'🧾 Tributos Aduana'!$F$6))/'🧾 Factura Comercial'!G130)</f>
        <v>0</v>
      </c>
      <c r="AP126" s="278">
        <f>TABLA_BASE[[#This Row],[CF UNIT.
✅RECUP.
(US$)]]*'📋 Datos Generales'!$E$19</f>
        <v>0</v>
      </c>
      <c r="AQ126" s="278">
        <f>TABLA_BASE[[#This Row],[CF UNIT.
✅RECUP.(S/.)]]*TABLA_BASE[[#This Row],[CANTIDAD
(unid.)]]</f>
        <v>0</v>
      </c>
      <c r="AR126" s="288">
        <f>'💰 Precio de Venta'!G131</f>
        <v>0.4</v>
      </c>
      <c r="AS126" s="278">
        <f>'💰 Precio de Venta'!H131</f>
        <v>0</v>
      </c>
      <c r="AT126" s="278">
        <f>TABLA_BASE[[#This Row],[VALOR VTA.
UNIT.(S/.)]]*TABLA_BASE[[#This Row],[CANTIDAD
(unid.)]]</f>
        <v>0</v>
      </c>
      <c r="AU126" s="281">
        <f>'💰 Precio de Venta'!I131</f>
        <v>0</v>
      </c>
      <c r="AV126" s="278">
        <f>'💰 Precio de Venta'!J131</f>
        <v>0</v>
      </c>
      <c r="AW126" s="278">
        <f>TABLA_BASE[[#This Row],[GANANCIA
UNIT.(S/.)]]*TABLA_BASE[[#This Row],[CANTIDAD
(unid.)]]</f>
        <v>0</v>
      </c>
      <c r="AX126" s="289">
        <f>'💰 Precio de Venta'!K131</f>
        <v>0</v>
      </c>
      <c r="AY126" s="278">
        <f>TABLA_BASE[[#This Row],[GANANCIA
UNIT.(S/.)]]*'🧾 Factura Comercial'!G130</f>
        <v>0</v>
      </c>
      <c r="AZ126" s="277">
        <f>IF(TABLA_BASE[[#This Row],[PRECIO VTA.
c/IGV(S/.)]]=0,0,TABLA_BASE[[#This Row],[GANANCIA
UNIT.(S/.)]]/TABLA_BASE[[#This Row],[PRECIO VTA.
c/IGV(S/.)]])</f>
        <v>0</v>
      </c>
      <c r="BA126" s="277">
        <f>IF(TABLA_BASE[[#This Row],[C/M UNIT.
(S/.)]]=0,0,TABLA_BASE[[#This Row],[GANANCIA
UNIT.(S/.)]]/TABLA_BASE[[#This Row],[C/M UNIT.
(S/.)]])</f>
        <v>0</v>
      </c>
      <c r="BB126" s="274" t="str">
        <f>IF(TABLA_BASE[[#This Row],[MARGEN
%]]&gt;=0.5,"🟢 ALTO",IF(TABLA_BASE[[#This Row],[MARGEN
%]]&gt;=0.3,"🟡 MEDIO","🔴 BAJO"))</f>
        <v>🟡 MEDIO</v>
      </c>
    </row>
    <row r="127" spans="1:54" ht="16.5" hidden="1" thickTop="1" thickBot="1" x14ac:dyDescent="0.3">
      <c r="A127" s="274">
        <f>'🧾 Factura Comercial'!E131</f>
        <v>0</v>
      </c>
      <c r="B127" s="274" t="str">
        <f>'🧾 Factura Comercial'!F131</f>
        <v>Unid.</v>
      </c>
      <c r="C127" s="275">
        <f>'🧾 Factura Comercial'!G131</f>
        <v>0</v>
      </c>
      <c r="D127" s="276">
        <f>'🧾 Factura Comercial'!H131</f>
        <v>0</v>
      </c>
      <c r="E127" s="276">
        <f>'🧾 Factura Comercial'!I131</f>
        <v>0</v>
      </c>
      <c r="F127" s="277">
        <f>IF('🧾 Tributos Aduana'!$F$6=0,0,'🧾 Factura Comercial'!I131/'🧾 Tributos Aduana'!$F$6)</f>
        <v>0</v>
      </c>
      <c r="G127" s="278">
        <f>'🧾 Factura Comercial'!H131*'📋 Datos Generales'!$E$19</f>
        <v>0</v>
      </c>
      <c r="H127" s="278">
        <f>TABLA_BASE[[#This Row],[FOB UNIT.
(S/.)]]*TABLA_BASE[[#This Row],[CANTIDAD
(unid.)]]</f>
        <v>0</v>
      </c>
      <c r="I127" s="280">
        <f>IF('🧾 Tributos Aduana'!$F$6=0,0,'🧾 Tributos Aduana'!$F$17*('🧾 Factura Comercial'!H131/'🧾 Tributos Aduana'!$F$6))</f>
        <v>0</v>
      </c>
      <c r="J127" s="280">
        <f>TABLA_BASE[[#This Row],[ADV UNIT.
(US$)
⚠️COSTO]]*TABLA_BASE[[#This Row],[CANTIDAD
(unid.)]]</f>
        <v>0</v>
      </c>
      <c r="K127" s="279">
        <f>IF('🧾 Tributos Aduana'!$F$6=0,0,'🧾 Tributos Aduana'!$F$18*('🧾 Factura Comercial'!H131/'🧾 Tributos Aduana'!$F$6))</f>
        <v>0</v>
      </c>
      <c r="L127" s="280">
        <f>TABLA_BASE[[#This Row],[IPM UNIT.
(US$)
✅CF]]*TABLA_BASE[[#This Row],[CANTIDAD
(unid.)]]</f>
        <v>0</v>
      </c>
      <c r="M127" s="279">
        <f>IF('🧾 Tributos Aduana'!$F$6=0,0,'🧾 Tributos Aduana'!$F$19*('🧾 Factura Comercial'!H131/'🧾 Tributos Aduana'!$F$6))</f>
        <v>0</v>
      </c>
      <c r="N127" s="280">
        <f>TABLA_BASE[[#This Row],[IGV UNIT.
(US$)
✅CF]]*TABLA_BASE[[#This Row],[CANTIDAD
(unid.)]]</f>
        <v>0</v>
      </c>
      <c r="O127" s="280">
        <f>IF('🧾 Tributos Aduana'!$F$6=0,0,'🧾 Tributos Aduana'!$F$23*('🧾 Factura Comercial'!H131/'🧾 Tributos Aduana'!$F$6))</f>
        <v>0</v>
      </c>
      <c r="P127" s="280">
        <f>TABLA_BASE[[#This Row],[PERCEP.
UNIT.(US$)
✅CF]]*TABLA_BASE[[#This Row],[CANTIDAD
(unid.)]]</f>
        <v>0</v>
      </c>
      <c r="Q127" s="279">
        <f>TABLA_BASE[[#This Row],[ADV UNIT.
(US$)
⚠️COSTO]]+TABLA_BASE[[#This Row],[IPM UNIT.
(US$)
✅CF]]+TABLA_BASE[[#This Row],[IGV UNIT.
(US$)
✅CF]]</f>
        <v>0</v>
      </c>
      <c r="R127" s="280">
        <f>TABLA_BASE[[#This Row],[DEUDA
ADUANERA
UNIT.]]*TABLA_BASE[[#This Row],[CANTIDAD
(unid.)]]</f>
        <v>0</v>
      </c>
      <c r="S127" s="278">
        <f>TABLA_BASE[[#This Row],[DEUDA
ADUANERA
UNIT.]]*'📋 Datos Generales'!$E$19</f>
        <v>0</v>
      </c>
      <c r="T127" s="278">
        <f>TABLA_BASE[[#This Row],[DEUDA
ADUANERA
TOTAL]]*'📋 Datos Generales'!$E$19</f>
        <v>0</v>
      </c>
      <c r="U127" s="281">
        <f>TABLA_BASE[[#This Row],[ADV UNIT.
(US$)
⚠️COSTO]]*'📋 Datos Generales'!$E$19</f>
        <v>0</v>
      </c>
      <c r="V127" s="281">
        <f>TABLA_BASE[[#This Row],[ADV UNIT.
(S/.)]]*TABLA_BASE[[#This Row],[CANTIDAD
(unid.)]]</f>
        <v>0</v>
      </c>
      <c r="W127" s="281">
        <f>TABLA_BASE[[#This Row],[IPM UNIT.
(US$)
✅CF]]*'📋 Datos Generales'!$E$19</f>
        <v>0</v>
      </c>
      <c r="X127" s="281">
        <f>TABLA_BASE[[#This Row],[IPM UNIT.
(S/.)]]*TABLA_BASE[[#This Row],[CANTIDAD
(unid.)]]</f>
        <v>0</v>
      </c>
      <c r="Y127" s="281">
        <f>TABLA_BASE[[#This Row],[IGV UNIT.
(US$)
✅CF]]*'📋 Datos Generales'!$E$19</f>
        <v>0</v>
      </c>
      <c r="Z127" s="281">
        <f>TABLA_BASE[[#This Row],[IGV UNIT.
(S/.)]]*TABLA_BASE[[#This Row],[CANTIDAD
(unid.)]]</f>
        <v>0</v>
      </c>
      <c r="AA127" s="281">
        <f>TABLA_BASE[[#This Row],[PERCEP.
UNIT.(US$)
✅CF]]*'📋 Datos Generales'!$E$19</f>
        <v>0</v>
      </c>
      <c r="AB127" s="281">
        <f>TABLA_BASE[[#This Row],[PERCEP.
UNIT.(S/.)]]*TABLA_BASE[[#This Row],[CANTIDAD
(unid.)]]</f>
        <v>0</v>
      </c>
      <c r="AC127" s="279">
        <f>TABLA_BASE[[#This Row],[ADV UNIT.
(US$)
⚠️COSTO]]+TABLA_BASE[[#This Row],[IPM UNIT.
(US$)
✅CF]]+TABLA_BASE[[#This Row],[IGV UNIT.
(US$)
✅CF]]+TABLA_BASE[[#This Row],[PERCEP.
UNIT.(US$)
✅CF]]</f>
        <v>0</v>
      </c>
      <c r="AD127" s="279">
        <f>TABLA_BASE[[#This Row],[TOTAL PAGO
SUNAT
UNIT.(US$)]]*TABLA_BASE[[#This Row],[CANTIDAD
(unid.)]]</f>
        <v>0</v>
      </c>
      <c r="AE127" s="281">
        <f>TABLA_BASE[[#This Row],[TOTAL PAGO
SUNAT
UNIT.(US$)]]*'📋 Datos Generales'!$E$19</f>
        <v>0</v>
      </c>
      <c r="AF127" s="281">
        <f>TABLA_BASE[[#This Row],[TOTAL TRIB.
UNIT.(S/.)]]*TABLA_BASE[[#This Row],[CANTIDAD
(unid.)]]</f>
        <v>0</v>
      </c>
      <c r="AG127" s="279">
        <f>IF('🧾 Factura Comercial'!G131=0,0,'📦 Gastos Importación'!$E$28*(IF('🧾 Tributos Aduana'!$F$6=0,0,'🧾 Factura Comercial'!I131/'🧾 Tributos Aduana'!$F$6))/'🧾 Factura Comercial'!G131)</f>
        <v>0</v>
      </c>
      <c r="AH127" s="279">
        <f>TABLA_BASE[[#This Row],[GASTOS IMP.
UNIT.(US$)]]*TABLA_BASE[[#This Row],[CANTIDAD
(unid.)]]</f>
        <v>0</v>
      </c>
      <c r="AI127" s="281">
        <f>TABLA_BASE[[#This Row],[GASTOS IMP.
UNIT.(US$)]]*'📋 Datos Generales'!$E$19</f>
        <v>0</v>
      </c>
      <c r="AJ127" s="281">
        <f>TABLA_BASE[[#This Row],[GASTOS IMP.
UNIT.(S/.)]]*TABLA_BASE[[#This Row],[CANTIDAD
(unid.)]]</f>
        <v>0</v>
      </c>
      <c r="AK127" s="280">
        <f>'🧮 Costos x Producto'!J131</f>
        <v>0</v>
      </c>
      <c r="AL127" s="278">
        <f>'🧮 Costos x Producto'!K131</f>
        <v>0</v>
      </c>
      <c r="AM127" s="278">
        <f>TABLA_BASE[[#This Row],[C/M UNIT.
(S/.)]]*TABLA_BASE[[#This Row],[CANTIDAD
(unid.)]]</f>
        <v>0</v>
      </c>
      <c r="AN127" s="279">
        <f>IF('🧾 Factura Comercial'!G131=0,0,'🧾 Tributos Aduana'!$F$17*(IF('🧾 Tributos Aduana'!$F$6=0,0,'🧾 Factura Comercial'!I131/'🧾 Tributos Aduana'!$F$6))/'🧾 Factura Comercial'!G131)</f>
        <v>0</v>
      </c>
      <c r="AO127" s="280">
        <f>IF('🧾 Factura Comercial'!G131=0,0,'🏦 Crédito Fiscal'!$C$16*(IF('🧾 Tributos Aduana'!$F$6=0,0,'🧾 Factura Comercial'!I131/'🧾 Tributos Aduana'!$F$6))/'🧾 Factura Comercial'!G131)</f>
        <v>0</v>
      </c>
      <c r="AP127" s="278">
        <f>TABLA_BASE[[#This Row],[CF UNIT.
✅RECUP.
(US$)]]*'📋 Datos Generales'!$E$19</f>
        <v>0</v>
      </c>
      <c r="AQ127" s="278">
        <f>TABLA_BASE[[#This Row],[CF UNIT.
✅RECUP.(S/.)]]*TABLA_BASE[[#This Row],[CANTIDAD
(unid.)]]</f>
        <v>0</v>
      </c>
      <c r="AR127" s="288">
        <f>'💰 Precio de Venta'!G132</f>
        <v>0.4</v>
      </c>
      <c r="AS127" s="278">
        <f>'💰 Precio de Venta'!H132</f>
        <v>0</v>
      </c>
      <c r="AT127" s="278">
        <f>TABLA_BASE[[#This Row],[VALOR VTA.
UNIT.(S/.)]]*TABLA_BASE[[#This Row],[CANTIDAD
(unid.)]]</f>
        <v>0</v>
      </c>
      <c r="AU127" s="281">
        <f>'💰 Precio de Venta'!I132</f>
        <v>0</v>
      </c>
      <c r="AV127" s="278">
        <f>'💰 Precio de Venta'!J132</f>
        <v>0</v>
      </c>
      <c r="AW127" s="278">
        <f>TABLA_BASE[[#This Row],[GANANCIA
UNIT.(S/.)]]*TABLA_BASE[[#This Row],[CANTIDAD
(unid.)]]</f>
        <v>0</v>
      </c>
      <c r="AX127" s="289">
        <f>'💰 Precio de Venta'!K132</f>
        <v>0</v>
      </c>
      <c r="AY127" s="278">
        <f>TABLA_BASE[[#This Row],[GANANCIA
UNIT.(S/.)]]*'🧾 Factura Comercial'!G131</f>
        <v>0</v>
      </c>
      <c r="AZ127" s="277">
        <f>IF(TABLA_BASE[[#This Row],[PRECIO VTA.
c/IGV(S/.)]]=0,0,TABLA_BASE[[#This Row],[GANANCIA
UNIT.(S/.)]]/TABLA_BASE[[#This Row],[PRECIO VTA.
c/IGV(S/.)]])</f>
        <v>0</v>
      </c>
      <c r="BA127" s="277">
        <f>IF(TABLA_BASE[[#This Row],[C/M UNIT.
(S/.)]]=0,0,TABLA_BASE[[#This Row],[GANANCIA
UNIT.(S/.)]]/TABLA_BASE[[#This Row],[C/M UNIT.
(S/.)]])</f>
        <v>0</v>
      </c>
      <c r="BB127" s="274" t="str">
        <f>IF(TABLA_BASE[[#This Row],[MARGEN
%]]&gt;=0.5,"🟢 ALTO",IF(TABLA_BASE[[#This Row],[MARGEN
%]]&gt;=0.3,"🟡 MEDIO","🔴 BAJO"))</f>
        <v>🟡 MEDIO</v>
      </c>
    </row>
    <row r="128" spans="1:54" ht="16.5" hidden="1" thickTop="1" thickBot="1" x14ac:dyDescent="0.3">
      <c r="A128" s="274">
        <f>'🧾 Factura Comercial'!E132</f>
        <v>0</v>
      </c>
      <c r="B128" s="274" t="str">
        <f>'🧾 Factura Comercial'!F132</f>
        <v>Unid.</v>
      </c>
      <c r="C128" s="275">
        <f>'🧾 Factura Comercial'!G132</f>
        <v>0</v>
      </c>
      <c r="D128" s="276">
        <f>'🧾 Factura Comercial'!H132</f>
        <v>0</v>
      </c>
      <c r="E128" s="276">
        <f>'🧾 Factura Comercial'!I132</f>
        <v>0</v>
      </c>
      <c r="F128" s="277">
        <f>IF('🧾 Tributos Aduana'!$F$6=0,0,'🧾 Factura Comercial'!I132/'🧾 Tributos Aduana'!$F$6)</f>
        <v>0</v>
      </c>
      <c r="G128" s="278">
        <f>'🧾 Factura Comercial'!H132*'📋 Datos Generales'!$E$19</f>
        <v>0</v>
      </c>
      <c r="H128" s="278">
        <f>TABLA_BASE[[#This Row],[FOB UNIT.
(S/.)]]*TABLA_BASE[[#This Row],[CANTIDAD
(unid.)]]</f>
        <v>0</v>
      </c>
      <c r="I128" s="280">
        <f>IF('🧾 Tributos Aduana'!$F$6=0,0,'🧾 Tributos Aduana'!$F$17*('🧾 Factura Comercial'!H132/'🧾 Tributos Aduana'!$F$6))</f>
        <v>0</v>
      </c>
      <c r="J128" s="280">
        <f>TABLA_BASE[[#This Row],[ADV UNIT.
(US$)
⚠️COSTO]]*TABLA_BASE[[#This Row],[CANTIDAD
(unid.)]]</f>
        <v>0</v>
      </c>
      <c r="K128" s="279">
        <f>IF('🧾 Tributos Aduana'!$F$6=0,0,'🧾 Tributos Aduana'!$F$18*('🧾 Factura Comercial'!H132/'🧾 Tributos Aduana'!$F$6))</f>
        <v>0</v>
      </c>
      <c r="L128" s="280">
        <f>TABLA_BASE[[#This Row],[IPM UNIT.
(US$)
✅CF]]*TABLA_BASE[[#This Row],[CANTIDAD
(unid.)]]</f>
        <v>0</v>
      </c>
      <c r="M128" s="279">
        <f>IF('🧾 Tributos Aduana'!$F$6=0,0,'🧾 Tributos Aduana'!$F$19*('🧾 Factura Comercial'!H132/'🧾 Tributos Aduana'!$F$6))</f>
        <v>0</v>
      </c>
      <c r="N128" s="280">
        <f>TABLA_BASE[[#This Row],[IGV UNIT.
(US$)
✅CF]]*TABLA_BASE[[#This Row],[CANTIDAD
(unid.)]]</f>
        <v>0</v>
      </c>
      <c r="O128" s="280">
        <f>IF('🧾 Tributos Aduana'!$F$6=0,0,'🧾 Tributos Aduana'!$F$23*('🧾 Factura Comercial'!H132/'🧾 Tributos Aduana'!$F$6))</f>
        <v>0</v>
      </c>
      <c r="P128" s="280">
        <f>TABLA_BASE[[#This Row],[PERCEP.
UNIT.(US$)
✅CF]]*TABLA_BASE[[#This Row],[CANTIDAD
(unid.)]]</f>
        <v>0</v>
      </c>
      <c r="Q128" s="279">
        <f>TABLA_BASE[[#This Row],[ADV UNIT.
(US$)
⚠️COSTO]]+TABLA_BASE[[#This Row],[IPM UNIT.
(US$)
✅CF]]+TABLA_BASE[[#This Row],[IGV UNIT.
(US$)
✅CF]]</f>
        <v>0</v>
      </c>
      <c r="R128" s="280">
        <f>TABLA_BASE[[#This Row],[DEUDA
ADUANERA
UNIT.]]*TABLA_BASE[[#This Row],[CANTIDAD
(unid.)]]</f>
        <v>0</v>
      </c>
      <c r="S128" s="278">
        <f>TABLA_BASE[[#This Row],[DEUDA
ADUANERA
UNIT.]]*'📋 Datos Generales'!$E$19</f>
        <v>0</v>
      </c>
      <c r="T128" s="278">
        <f>TABLA_BASE[[#This Row],[DEUDA
ADUANERA
TOTAL]]*'📋 Datos Generales'!$E$19</f>
        <v>0</v>
      </c>
      <c r="U128" s="281">
        <f>TABLA_BASE[[#This Row],[ADV UNIT.
(US$)
⚠️COSTO]]*'📋 Datos Generales'!$E$19</f>
        <v>0</v>
      </c>
      <c r="V128" s="281">
        <f>TABLA_BASE[[#This Row],[ADV UNIT.
(S/.)]]*TABLA_BASE[[#This Row],[CANTIDAD
(unid.)]]</f>
        <v>0</v>
      </c>
      <c r="W128" s="281">
        <f>TABLA_BASE[[#This Row],[IPM UNIT.
(US$)
✅CF]]*'📋 Datos Generales'!$E$19</f>
        <v>0</v>
      </c>
      <c r="X128" s="281">
        <f>TABLA_BASE[[#This Row],[IPM UNIT.
(S/.)]]*TABLA_BASE[[#This Row],[CANTIDAD
(unid.)]]</f>
        <v>0</v>
      </c>
      <c r="Y128" s="281">
        <f>TABLA_BASE[[#This Row],[IGV UNIT.
(US$)
✅CF]]*'📋 Datos Generales'!$E$19</f>
        <v>0</v>
      </c>
      <c r="Z128" s="281">
        <f>TABLA_BASE[[#This Row],[IGV UNIT.
(S/.)]]*TABLA_BASE[[#This Row],[CANTIDAD
(unid.)]]</f>
        <v>0</v>
      </c>
      <c r="AA128" s="281">
        <f>TABLA_BASE[[#This Row],[PERCEP.
UNIT.(US$)
✅CF]]*'📋 Datos Generales'!$E$19</f>
        <v>0</v>
      </c>
      <c r="AB128" s="281">
        <f>TABLA_BASE[[#This Row],[PERCEP.
UNIT.(S/.)]]*TABLA_BASE[[#This Row],[CANTIDAD
(unid.)]]</f>
        <v>0</v>
      </c>
      <c r="AC128" s="279">
        <f>TABLA_BASE[[#This Row],[ADV UNIT.
(US$)
⚠️COSTO]]+TABLA_BASE[[#This Row],[IPM UNIT.
(US$)
✅CF]]+TABLA_BASE[[#This Row],[IGV UNIT.
(US$)
✅CF]]+TABLA_BASE[[#This Row],[PERCEP.
UNIT.(US$)
✅CF]]</f>
        <v>0</v>
      </c>
      <c r="AD128" s="279">
        <f>TABLA_BASE[[#This Row],[TOTAL PAGO
SUNAT
UNIT.(US$)]]*TABLA_BASE[[#This Row],[CANTIDAD
(unid.)]]</f>
        <v>0</v>
      </c>
      <c r="AE128" s="281">
        <f>TABLA_BASE[[#This Row],[TOTAL PAGO
SUNAT
UNIT.(US$)]]*'📋 Datos Generales'!$E$19</f>
        <v>0</v>
      </c>
      <c r="AF128" s="281">
        <f>TABLA_BASE[[#This Row],[TOTAL TRIB.
UNIT.(S/.)]]*TABLA_BASE[[#This Row],[CANTIDAD
(unid.)]]</f>
        <v>0</v>
      </c>
      <c r="AG128" s="279">
        <f>IF('🧾 Factura Comercial'!G132=0,0,'📦 Gastos Importación'!$E$28*(IF('🧾 Tributos Aduana'!$F$6=0,0,'🧾 Factura Comercial'!I132/'🧾 Tributos Aduana'!$F$6))/'🧾 Factura Comercial'!G132)</f>
        <v>0</v>
      </c>
      <c r="AH128" s="279">
        <f>TABLA_BASE[[#This Row],[GASTOS IMP.
UNIT.(US$)]]*TABLA_BASE[[#This Row],[CANTIDAD
(unid.)]]</f>
        <v>0</v>
      </c>
      <c r="AI128" s="281">
        <f>TABLA_BASE[[#This Row],[GASTOS IMP.
UNIT.(US$)]]*'📋 Datos Generales'!$E$19</f>
        <v>0</v>
      </c>
      <c r="AJ128" s="281">
        <f>TABLA_BASE[[#This Row],[GASTOS IMP.
UNIT.(S/.)]]*TABLA_BASE[[#This Row],[CANTIDAD
(unid.)]]</f>
        <v>0</v>
      </c>
      <c r="AK128" s="280">
        <f>'🧮 Costos x Producto'!J132</f>
        <v>0</v>
      </c>
      <c r="AL128" s="278">
        <f>'🧮 Costos x Producto'!K132</f>
        <v>0</v>
      </c>
      <c r="AM128" s="278">
        <f>TABLA_BASE[[#This Row],[C/M UNIT.
(S/.)]]*TABLA_BASE[[#This Row],[CANTIDAD
(unid.)]]</f>
        <v>0</v>
      </c>
      <c r="AN128" s="279">
        <f>IF('🧾 Factura Comercial'!G132=0,0,'🧾 Tributos Aduana'!$F$17*(IF('🧾 Tributos Aduana'!$F$6=0,0,'🧾 Factura Comercial'!I132/'🧾 Tributos Aduana'!$F$6))/'🧾 Factura Comercial'!G132)</f>
        <v>0</v>
      </c>
      <c r="AO128" s="280">
        <f>IF('🧾 Factura Comercial'!G132=0,0,'🏦 Crédito Fiscal'!$C$16*(IF('🧾 Tributos Aduana'!$F$6=0,0,'🧾 Factura Comercial'!I132/'🧾 Tributos Aduana'!$F$6))/'🧾 Factura Comercial'!G132)</f>
        <v>0</v>
      </c>
      <c r="AP128" s="278">
        <f>TABLA_BASE[[#This Row],[CF UNIT.
✅RECUP.
(US$)]]*'📋 Datos Generales'!$E$19</f>
        <v>0</v>
      </c>
      <c r="AQ128" s="278">
        <f>TABLA_BASE[[#This Row],[CF UNIT.
✅RECUP.(S/.)]]*TABLA_BASE[[#This Row],[CANTIDAD
(unid.)]]</f>
        <v>0</v>
      </c>
      <c r="AR128" s="288">
        <f>'💰 Precio de Venta'!G133</f>
        <v>0.4</v>
      </c>
      <c r="AS128" s="278">
        <f>'💰 Precio de Venta'!H133</f>
        <v>0</v>
      </c>
      <c r="AT128" s="278">
        <f>TABLA_BASE[[#This Row],[VALOR VTA.
UNIT.(S/.)]]*TABLA_BASE[[#This Row],[CANTIDAD
(unid.)]]</f>
        <v>0</v>
      </c>
      <c r="AU128" s="281">
        <f>'💰 Precio de Venta'!I133</f>
        <v>0</v>
      </c>
      <c r="AV128" s="278">
        <f>'💰 Precio de Venta'!J133</f>
        <v>0</v>
      </c>
      <c r="AW128" s="278">
        <f>TABLA_BASE[[#This Row],[GANANCIA
UNIT.(S/.)]]*TABLA_BASE[[#This Row],[CANTIDAD
(unid.)]]</f>
        <v>0</v>
      </c>
      <c r="AX128" s="289">
        <f>'💰 Precio de Venta'!K133</f>
        <v>0</v>
      </c>
      <c r="AY128" s="278">
        <f>TABLA_BASE[[#This Row],[GANANCIA
UNIT.(S/.)]]*'🧾 Factura Comercial'!G132</f>
        <v>0</v>
      </c>
      <c r="AZ128" s="277">
        <f>IF(TABLA_BASE[[#This Row],[PRECIO VTA.
c/IGV(S/.)]]=0,0,TABLA_BASE[[#This Row],[GANANCIA
UNIT.(S/.)]]/TABLA_BASE[[#This Row],[PRECIO VTA.
c/IGV(S/.)]])</f>
        <v>0</v>
      </c>
      <c r="BA128" s="277">
        <f>IF(TABLA_BASE[[#This Row],[C/M UNIT.
(S/.)]]=0,0,TABLA_BASE[[#This Row],[GANANCIA
UNIT.(S/.)]]/TABLA_BASE[[#This Row],[C/M UNIT.
(S/.)]])</f>
        <v>0</v>
      </c>
      <c r="BB128" s="274" t="str">
        <f>IF(TABLA_BASE[[#This Row],[MARGEN
%]]&gt;=0.5,"🟢 ALTO",IF(TABLA_BASE[[#This Row],[MARGEN
%]]&gt;=0.3,"🟡 MEDIO","🔴 BAJO"))</f>
        <v>🟡 MEDIO</v>
      </c>
    </row>
    <row r="129" spans="1:54" ht="16.5" hidden="1" thickTop="1" thickBot="1" x14ac:dyDescent="0.3">
      <c r="A129" s="274">
        <f>'🧾 Factura Comercial'!E133</f>
        <v>0</v>
      </c>
      <c r="B129" s="274" t="str">
        <f>'🧾 Factura Comercial'!F133</f>
        <v>Unid.</v>
      </c>
      <c r="C129" s="275">
        <f>'🧾 Factura Comercial'!G133</f>
        <v>0</v>
      </c>
      <c r="D129" s="276">
        <f>'🧾 Factura Comercial'!H133</f>
        <v>0</v>
      </c>
      <c r="E129" s="276">
        <f>'🧾 Factura Comercial'!I133</f>
        <v>0</v>
      </c>
      <c r="F129" s="277">
        <f>IF('🧾 Tributos Aduana'!$F$6=0,0,'🧾 Factura Comercial'!I133/'🧾 Tributos Aduana'!$F$6)</f>
        <v>0</v>
      </c>
      <c r="G129" s="278">
        <f>'🧾 Factura Comercial'!H133*'📋 Datos Generales'!$E$19</f>
        <v>0</v>
      </c>
      <c r="H129" s="278">
        <f>TABLA_BASE[[#This Row],[FOB UNIT.
(S/.)]]*TABLA_BASE[[#This Row],[CANTIDAD
(unid.)]]</f>
        <v>0</v>
      </c>
      <c r="I129" s="280">
        <f>IF('🧾 Tributos Aduana'!$F$6=0,0,'🧾 Tributos Aduana'!$F$17*('🧾 Factura Comercial'!H133/'🧾 Tributos Aduana'!$F$6))</f>
        <v>0</v>
      </c>
      <c r="J129" s="280">
        <f>TABLA_BASE[[#This Row],[ADV UNIT.
(US$)
⚠️COSTO]]*TABLA_BASE[[#This Row],[CANTIDAD
(unid.)]]</f>
        <v>0</v>
      </c>
      <c r="K129" s="279">
        <f>IF('🧾 Tributos Aduana'!$F$6=0,0,'🧾 Tributos Aduana'!$F$18*('🧾 Factura Comercial'!H133/'🧾 Tributos Aduana'!$F$6))</f>
        <v>0</v>
      </c>
      <c r="L129" s="280">
        <f>TABLA_BASE[[#This Row],[IPM UNIT.
(US$)
✅CF]]*TABLA_BASE[[#This Row],[CANTIDAD
(unid.)]]</f>
        <v>0</v>
      </c>
      <c r="M129" s="279">
        <f>IF('🧾 Tributos Aduana'!$F$6=0,0,'🧾 Tributos Aduana'!$F$19*('🧾 Factura Comercial'!H133/'🧾 Tributos Aduana'!$F$6))</f>
        <v>0</v>
      </c>
      <c r="N129" s="280">
        <f>TABLA_BASE[[#This Row],[IGV UNIT.
(US$)
✅CF]]*TABLA_BASE[[#This Row],[CANTIDAD
(unid.)]]</f>
        <v>0</v>
      </c>
      <c r="O129" s="280">
        <f>IF('🧾 Tributos Aduana'!$F$6=0,0,'🧾 Tributos Aduana'!$F$23*('🧾 Factura Comercial'!H133/'🧾 Tributos Aduana'!$F$6))</f>
        <v>0</v>
      </c>
      <c r="P129" s="280">
        <f>TABLA_BASE[[#This Row],[PERCEP.
UNIT.(US$)
✅CF]]*TABLA_BASE[[#This Row],[CANTIDAD
(unid.)]]</f>
        <v>0</v>
      </c>
      <c r="Q129" s="279">
        <f>TABLA_BASE[[#This Row],[ADV UNIT.
(US$)
⚠️COSTO]]+TABLA_BASE[[#This Row],[IPM UNIT.
(US$)
✅CF]]+TABLA_BASE[[#This Row],[IGV UNIT.
(US$)
✅CF]]</f>
        <v>0</v>
      </c>
      <c r="R129" s="280">
        <f>TABLA_BASE[[#This Row],[DEUDA
ADUANERA
UNIT.]]*TABLA_BASE[[#This Row],[CANTIDAD
(unid.)]]</f>
        <v>0</v>
      </c>
      <c r="S129" s="278">
        <f>TABLA_BASE[[#This Row],[DEUDA
ADUANERA
UNIT.]]*'📋 Datos Generales'!$E$19</f>
        <v>0</v>
      </c>
      <c r="T129" s="278">
        <f>TABLA_BASE[[#This Row],[DEUDA
ADUANERA
TOTAL]]*'📋 Datos Generales'!$E$19</f>
        <v>0</v>
      </c>
      <c r="U129" s="281">
        <f>TABLA_BASE[[#This Row],[ADV UNIT.
(US$)
⚠️COSTO]]*'📋 Datos Generales'!$E$19</f>
        <v>0</v>
      </c>
      <c r="V129" s="281">
        <f>TABLA_BASE[[#This Row],[ADV UNIT.
(S/.)]]*TABLA_BASE[[#This Row],[CANTIDAD
(unid.)]]</f>
        <v>0</v>
      </c>
      <c r="W129" s="281">
        <f>TABLA_BASE[[#This Row],[IPM UNIT.
(US$)
✅CF]]*'📋 Datos Generales'!$E$19</f>
        <v>0</v>
      </c>
      <c r="X129" s="281">
        <f>TABLA_BASE[[#This Row],[IPM UNIT.
(S/.)]]*TABLA_BASE[[#This Row],[CANTIDAD
(unid.)]]</f>
        <v>0</v>
      </c>
      <c r="Y129" s="281">
        <f>TABLA_BASE[[#This Row],[IGV UNIT.
(US$)
✅CF]]*'📋 Datos Generales'!$E$19</f>
        <v>0</v>
      </c>
      <c r="Z129" s="281">
        <f>TABLA_BASE[[#This Row],[IGV UNIT.
(S/.)]]*TABLA_BASE[[#This Row],[CANTIDAD
(unid.)]]</f>
        <v>0</v>
      </c>
      <c r="AA129" s="281">
        <f>TABLA_BASE[[#This Row],[PERCEP.
UNIT.(US$)
✅CF]]*'📋 Datos Generales'!$E$19</f>
        <v>0</v>
      </c>
      <c r="AB129" s="281">
        <f>TABLA_BASE[[#This Row],[PERCEP.
UNIT.(S/.)]]*TABLA_BASE[[#This Row],[CANTIDAD
(unid.)]]</f>
        <v>0</v>
      </c>
      <c r="AC129" s="279">
        <f>TABLA_BASE[[#This Row],[ADV UNIT.
(US$)
⚠️COSTO]]+TABLA_BASE[[#This Row],[IPM UNIT.
(US$)
✅CF]]+TABLA_BASE[[#This Row],[IGV UNIT.
(US$)
✅CF]]+TABLA_BASE[[#This Row],[PERCEP.
UNIT.(US$)
✅CF]]</f>
        <v>0</v>
      </c>
      <c r="AD129" s="279">
        <f>TABLA_BASE[[#This Row],[TOTAL PAGO
SUNAT
UNIT.(US$)]]*TABLA_BASE[[#This Row],[CANTIDAD
(unid.)]]</f>
        <v>0</v>
      </c>
      <c r="AE129" s="281">
        <f>TABLA_BASE[[#This Row],[TOTAL PAGO
SUNAT
UNIT.(US$)]]*'📋 Datos Generales'!$E$19</f>
        <v>0</v>
      </c>
      <c r="AF129" s="281">
        <f>TABLA_BASE[[#This Row],[TOTAL TRIB.
UNIT.(S/.)]]*TABLA_BASE[[#This Row],[CANTIDAD
(unid.)]]</f>
        <v>0</v>
      </c>
      <c r="AG129" s="279">
        <f>IF('🧾 Factura Comercial'!G133=0,0,'📦 Gastos Importación'!$E$28*(IF('🧾 Tributos Aduana'!$F$6=0,0,'🧾 Factura Comercial'!I133/'🧾 Tributos Aduana'!$F$6))/'🧾 Factura Comercial'!G133)</f>
        <v>0</v>
      </c>
      <c r="AH129" s="279">
        <f>TABLA_BASE[[#This Row],[GASTOS IMP.
UNIT.(US$)]]*TABLA_BASE[[#This Row],[CANTIDAD
(unid.)]]</f>
        <v>0</v>
      </c>
      <c r="AI129" s="281">
        <f>TABLA_BASE[[#This Row],[GASTOS IMP.
UNIT.(US$)]]*'📋 Datos Generales'!$E$19</f>
        <v>0</v>
      </c>
      <c r="AJ129" s="281">
        <f>TABLA_BASE[[#This Row],[GASTOS IMP.
UNIT.(S/.)]]*TABLA_BASE[[#This Row],[CANTIDAD
(unid.)]]</f>
        <v>0</v>
      </c>
      <c r="AK129" s="280">
        <f>'🧮 Costos x Producto'!J133</f>
        <v>0</v>
      </c>
      <c r="AL129" s="278">
        <f>'🧮 Costos x Producto'!K133</f>
        <v>0</v>
      </c>
      <c r="AM129" s="278">
        <f>TABLA_BASE[[#This Row],[C/M UNIT.
(S/.)]]*TABLA_BASE[[#This Row],[CANTIDAD
(unid.)]]</f>
        <v>0</v>
      </c>
      <c r="AN129" s="279">
        <f>IF('🧾 Factura Comercial'!G133=0,0,'🧾 Tributos Aduana'!$F$17*(IF('🧾 Tributos Aduana'!$F$6=0,0,'🧾 Factura Comercial'!I133/'🧾 Tributos Aduana'!$F$6))/'🧾 Factura Comercial'!G133)</f>
        <v>0</v>
      </c>
      <c r="AO129" s="280">
        <f>IF('🧾 Factura Comercial'!G133=0,0,'🏦 Crédito Fiscal'!$C$16*(IF('🧾 Tributos Aduana'!$F$6=0,0,'🧾 Factura Comercial'!I133/'🧾 Tributos Aduana'!$F$6))/'🧾 Factura Comercial'!G133)</f>
        <v>0</v>
      </c>
      <c r="AP129" s="278">
        <f>TABLA_BASE[[#This Row],[CF UNIT.
✅RECUP.
(US$)]]*'📋 Datos Generales'!$E$19</f>
        <v>0</v>
      </c>
      <c r="AQ129" s="278">
        <f>TABLA_BASE[[#This Row],[CF UNIT.
✅RECUP.(S/.)]]*TABLA_BASE[[#This Row],[CANTIDAD
(unid.)]]</f>
        <v>0</v>
      </c>
      <c r="AR129" s="288">
        <f>'💰 Precio de Venta'!G134</f>
        <v>0.4</v>
      </c>
      <c r="AS129" s="278">
        <f>'💰 Precio de Venta'!H134</f>
        <v>0</v>
      </c>
      <c r="AT129" s="278">
        <f>TABLA_BASE[[#This Row],[VALOR VTA.
UNIT.(S/.)]]*TABLA_BASE[[#This Row],[CANTIDAD
(unid.)]]</f>
        <v>0</v>
      </c>
      <c r="AU129" s="281">
        <f>'💰 Precio de Venta'!I134</f>
        <v>0</v>
      </c>
      <c r="AV129" s="278">
        <f>'💰 Precio de Venta'!J134</f>
        <v>0</v>
      </c>
      <c r="AW129" s="278">
        <f>TABLA_BASE[[#This Row],[GANANCIA
UNIT.(S/.)]]*TABLA_BASE[[#This Row],[CANTIDAD
(unid.)]]</f>
        <v>0</v>
      </c>
      <c r="AX129" s="289">
        <f>'💰 Precio de Venta'!K134</f>
        <v>0</v>
      </c>
      <c r="AY129" s="278">
        <f>TABLA_BASE[[#This Row],[GANANCIA
UNIT.(S/.)]]*'🧾 Factura Comercial'!G133</f>
        <v>0</v>
      </c>
      <c r="AZ129" s="277">
        <f>IF(TABLA_BASE[[#This Row],[PRECIO VTA.
c/IGV(S/.)]]=0,0,TABLA_BASE[[#This Row],[GANANCIA
UNIT.(S/.)]]/TABLA_BASE[[#This Row],[PRECIO VTA.
c/IGV(S/.)]])</f>
        <v>0</v>
      </c>
      <c r="BA129" s="277">
        <f>IF(TABLA_BASE[[#This Row],[C/M UNIT.
(S/.)]]=0,0,TABLA_BASE[[#This Row],[GANANCIA
UNIT.(S/.)]]/TABLA_BASE[[#This Row],[C/M UNIT.
(S/.)]])</f>
        <v>0</v>
      </c>
      <c r="BB129" s="274" t="str">
        <f>IF(TABLA_BASE[[#This Row],[MARGEN
%]]&gt;=0.5,"🟢 ALTO",IF(TABLA_BASE[[#This Row],[MARGEN
%]]&gt;=0.3,"🟡 MEDIO","🔴 BAJO"))</f>
        <v>🟡 MEDIO</v>
      </c>
    </row>
    <row r="130" spans="1:54" ht="16.5" hidden="1" thickTop="1" thickBot="1" x14ac:dyDescent="0.3">
      <c r="A130" s="274">
        <f>'🧾 Factura Comercial'!E134</f>
        <v>0</v>
      </c>
      <c r="B130" s="274" t="str">
        <f>'🧾 Factura Comercial'!F134</f>
        <v>Unid.</v>
      </c>
      <c r="C130" s="275">
        <f>'🧾 Factura Comercial'!G134</f>
        <v>0</v>
      </c>
      <c r="D130" s="276">
        <f>'🧾 Factura Comercial'!H134</f>
        <v>0</v>
      </c>
      <c r="E130" s="276">
        <f>'🧾 Factura Comercial'!I134</f>
        <v>0</v>
      </c>
      <c r="F130" s="277">
        <f>IF('🧾 Tributos Aduana'!$F$6=0,0,'🧾 Factura Comercial'!I134/'🧾 Tributos Aduana'!$F$6)</f>
        <v>0</v>
      </c>
      <c r="G130" s="278">
        <f>'🧾 Factura Comercial'!H134*'📋 Datos Generales'!$E$19</f>
        <v>0</v>
      </c>
      <c r="H130" s="278">
        <f>TABLA_BASE[[#This Row],[FOB UNIT.
(S/.)]]*TABLA_BASE[[#This Row],[CANTIDAD
(unid.)]]</f>
        <v>0</v>
      </c>
      <c r="I130" s="280">
        <f>IF('🧾 Tributos Aduana'!$F$6=0,0,'🧾 Tributos Aduana'!$F$17*('🧾 Factura Comercial'!H134/'🧾 Tributos Aduana'!$F$6))</f>
        <v>0</v>
      </c>
      <c r="J130" s="280">
        <f>TABLA_BASE[[#This Row],[ADV UNIT.
(US$)
⚠️COSTO]]*TABLA_BASE[[#This Row],[CANTIDAD
(unid.)]]</f>
        <v>0</v>
      </c>
      <c r="K130" s="279">
        <f>IF('🧾 Tributos Aduana'!$F$6=0,0,'🧾 Tributos Aduana'!$F$18*('🧾 Factura Comercial'!H134/'🧾 Tributos Aduana'!$F$6))</f>
        <v>0</v>
      </c>
      <c r="L130" s="280">
        <f>TABLA_BASE[[#This Row],[IPM UNIT.
(US$)
✅CF]]*TABLA_BASE[[#This Row],[CANTIDAD
(unid.)]]</f>
        <v>0</v>
      </c>
      <c r="M130" s="279">
        <f>IF('🧾 Tributos Aduana'!$F$6=0,0,'🧾 Tributos Aduana'!$F$19*('🧾 Factura Comercial'!H134/'🧾 Tributos Aduana'!$F$6))</f>
        <v>0</v>
      </c>
      <c r="N130" s="280">
        <f>TABLA_BASE[[#This Row],[IGV UNIT.
(US$)
✅CF]]*TABLA_BASE[[#This Row],[CANTIDAD
(unid.)]]</f>
        <v>0</v>
      </c>
      <c r="O130" s="280">
        <f>IF('🧾 Tributos Aduana'!$F$6=0,0,'🧾 Tributos Aduana'!$F$23*('🧾 Factura Comercial'!H134/'🧾 Tributos Aduana'!$F$6))</f>
        <v>0</v>
      </c>
      <c r="P130" s="280">
        <f>TABLA_BASE[[#This Row],[PERCEP.
UNIT.(US$)
✅CF]]*TABLA_BASE[[#This Row],[CANTIDAD
(unid.)]]</f>
        <v>0</v>
      </c>
      <c r="Q130" s="279">
        <f>TABLA_BASE[[#This Row],[ADV UNIT.
(US$)
⚠️COSTO]]+TABLA_BASE[[#This Row],[IPM UNIT.
(US$)
✅CF]]+TABLA_BASE[[#This Row],[IGV UNIT.
(US$)
✅CF]]</f>
        <v>0</v>
      </c>
      <c r="R130" s="280">
        <f>TABLA_BASE[[#This Row],[DEUDA
ADUANERA
UNIT.]]*TABLA_BASE[[#This Row],[CANTIDAD
(unid.)]]</f>
        <v>0</v>
      </c>
      <c r="S130" s="278">
        <f>TABLA_BASE[[#This Row],[DEUDA
ADUANERA
UNIT.]]*'📋 Datos Generales'!$E$19</f>
        <v>0</v>
      </c>
      <c r="T130" s="278">
        <f>TABLA_BASE[[#This Row],[DEUDA
ADUANERA
TOTAL]]*'📋 Datos Generales'!$E$19</f>
        <v>0</v>
      </c>
      <c r="U130" s="281">
        <f>TABLA_BASE[[#This Row],[ADV UNIT.
(US$)
⚠️COSTO]]*'📋 Datos Generales'!$E$19</f>
        <v>0</v>
      </c>
      <c r="V130" s="281">
        <f>TABLA_BASE[[#This Row],[ADV UNIT.
(S/.)]]*TABLA_BASE[[#This Row],[CANTIDAD
(unid.)]]</f>
        <v>0</v>
      </c>
      <c r="W130" s="281">
        <f>TABLA_BASE[[#This Row],[IPM UNIT.
(US$)
✅CF]]*'📋 Datos Generales'!$E$19</f>
        <v>0</v>
      </c>
      <c r="X130" s="281">
        <f>TABLA_BASE[[#This Row],[IPM UNIT.
(S/.)]]*TABLA_BASE[[#This Row],[CANTIDAD
(unid.)]]</f>
        <v>0</v>
      </c>
      <c r="Y130" s="281">
        <f>TABLA_BASE[[#This Row],[IGV UNIT.
(US$)
✅CF]]*'📋 Datos Generales'!$E$19</f>
        <v>0</v>
      </c>
      <c r="Z130" s="281">
        <f>TABLA_BASE[[#This Row],[IGV UNIT.
(S/.)]]*TABLA_BASE[[#This Row],[CANTIDAD
(unid.)]]</f>
        <v>0</v>
      </c>
      <c r="AA130" s="281">
        <f>TABLA_BASE[[#This Row],[PERCEP.
UNIT.(US$)
✅CF]]*'📋 Datos Generales'!$E$19</f>
        <v>0</v>
      </c>
      <c r="AB130" s="281">
        <f>TABLA_BASE[[#This Row],[PERCEP.
UNIT.(S/.)]]*TABLA_BASE[[#This Row],[CANTIDAD
(unid.)]]</f>
        <v>0</v>
      </c>
      <c r="AC130" s="279">
        <f>TABLA_BASE[[#This Row],[ADV UNIT.
(US$)
⚠️COSTO]]+TABLA_BASE[[#This Row],[IPM UNIT.
(US$)
✅CF]]+TABLA_BASE[[#This Row],[IGV UNIT.
(US$)
✅CF]]+TABLA_BASE[[#This Row],[PERCEP.
UNIT.(US$)
✅CF]]</f>
        <v>0</v>
      </c>
      <c r="AD130" s="279">
        <f>TABLA_BASE[[#This Row],[TOTAL PAGO
SUNAT
UNIT.(US$)]]*TABLA_BASE[[#This Row],[CANTIDAD
(unid.)]]</f>
        <v>0</v>
      </c>
      <c r="AE130" s="281">
        <f>TABLA_BASE[[#This Row],[TOTAL PAGO
SUNAT
UNIT.(US$)]]*'📋 Datos Generales'!$E$19</f>
        <v>0</v>
      </c>
      <c r="AF130" s="281">
        <f>TABLA_BASE[[#This Row],[TOTAL TRIB.
UNIT.(S/.)]]*TABLA_BASE[[#This Row],[CANTIDAD
(unid.)]]</f>
        <v>0</v>
      </c>
      <c r="AG130" s="279">
        <f>IF('🧾 Factura Comercial'!G134=0,0,'📦 Gastos Importación'!$E$28*(IF('🧾 Tributos Aduana'!$F$6=0,0,'🧾 Factura Comercial'!I134/'🧾 Tributos Aduana'!$F$6))/'🧾 Factura Comercial'!G134)</f>
        <v>0</v>
      </c>
      <c r="AH130" s="279">
        <f>TABLA_BASE[[#This Row],[GASTOS IMP.
UNIT.(US$)]]*TABLA_BASE[[#This Row],[CANTIDAD
(unid.)]]</f>
        <v>0</v>
      </c>
      <c r="AI130" s="281">
        <f>TABLA_BASE[[#This Row],[GASTOS IMP.
UNIT.(US$)]]*'📋 Datos Generales'!$E$19</f>
        <v>0</v>
      </c>
      <c r="AJ130" s="281">
        <f>TABLA_BASE[[#This Row],[GASTOS IMP.
UNIT.(S/.)]]*TABLA_BASE[[#This Row],[CANTIDAD
(unid.)]]</f>
        <v>0</v>
      </c>
      <c r="AK130" s="280">
        <f>'🧮 Costos x Producto'!J134</f>
        <v>0</v>
      </c>
      <c r="AL130" s="278">
        <f>'🧮 Costos x Producto'!K134</f>
        <v>0</v>
      </c>
      <c r="AM130" s="278">
        <f>TABLA_BASE[[#This Row],[C/M UNIT.
(S/.)]]*TABLA_BASE[[#This Row],[CANTIDAD
(unid.)]]</f>
        <v>0</v>
      </c>
      <c r="AN130" s="279">
        <f>IF('🧾 Factura Comercial'!G134=0,0,'🧾 Tributos Aduana'!$F$17*(IF('🧾 Tributos Aduana'!$F$6=0,0,'🧾 Factura Comercial'!I134/'🧾 Tributos Aduana'!$F$6))/'🧾 Factura Comercial'!G134)</f>
        <v>0</v>
      </c>
      <c r="AO130" s="280">
        <f>IF('🧾 Factura Comercial'!G134=0,0,'🏦 Crédito Fiscal'!$C$16*(IF('🧾 Tributos Aduana'!$F$6=0,0,'🧾 Factura Comercial'!I134/'🧾 Tributos Aduana'!$F$6))/'🧾 Factura Comercial'!G134)</f>
        <v>0</v>
      </c>
      <c r="AP130" s="278">
        <f>TABLA_BASE[[#This Row],[CF UNIT.
✅RECUP.
(US$)]]*'📋 Datos Generales'!$E$19</f>
        <v>0</v>
      </c>
      <c r="AQ130" s="278">
        <f>TABLA_BASE[[#This Row],[CF UNIT.
✅RECUP.(S/.)]]*TABLA_BASE[[#This Row],[CANTIDAD
(unid.)]]</f>
        <v>0</v>
      </c>
      <c r="AR130" s="288">
        <f>'💰 Precio de Venta'!G135</f>
        <v>0.4</v>
      </c>
      <c r="AS130" s="278">
        <f>'💰 Precio de Venta'!H135</f>
        <v>0</v>
      </c>
      <c r="AT130" s="278">
        <f>TABLA_BASE[[#This Row],[VALOR VTA.
UNIT.(S/.)]]*TABLA_BASE[[#This Row],[CANTIDAD
(unid.)]]</f>
        <v>0</v>
      </c>
      <c r="AU130" s="281">
        <f>'💰 Precio de Venta'!I135</f>
        <v>0</v>
      </c>
      <c r="AV130" s="278">
        <f>'💰 Precio de Venta'!J135</f>
        <v>0</v>
      </c>
      <c r="AW130" s="278">
        <f>TABLA_BASE[[#This Row],[GANANCIA
UNIT.(S/.)]]*TABLA_BASE[[#This Row],[CANTIDAD
(unid.)]]</f>
        <v>0</v>
      </c>
      <c r="AX130" s="289">
        <f>'💰 Precio de Venta'!K135</f>
        <v>0</v>
      </c>
      <c r="AY130" s="278">
        <f>TABLA_BASE[[#This Row],[GANANCIA
UNIT.(S/.)]]*'🧾 Factura Comercial'!G134</f>
        <v>0</v>
      </c>
      <c r="AZ130" s="277">
        <f>IF(TABLA_BASE[[#This Row],[PRECIO VTA.
c/IGV(S/.)]]=0,0,TABLA_BASE[[#This Row],[GANANCIA
UNIT.(S/.)]]/TABLA_BASE[[#This Row],[PRECIO VTA.
c/IGV(S/.)]])</f>
        <v>0</v>
      </c>
      <c r="BA130" s="277">
        <f>IF(TABLA_BASE[[#This Row],[C/M UNIT.
(S/.)]]=0,0,TABLA_BASE[[#This Row],[GANANCIA
UNIT.(S/.)]]/TABLA_BASE[[#This Row],[C/M UNIT.
(S/.)]])</f>
        <v>0</v>
      </c>
      <c r="BB130" s="274" t="str">
        <f>IF(TABLA_BASE[[#This Row],[MARGEN
%]]&gt;=0.5,"🟢 ALTO",IF(TABLA_BASE[[#This Row],[MARGEN
%]]&gt;=0.3,"🟡 MEDIO","🔴 BAJO"))</f>
        <v>🟡 MEDIO</v>
      </c>
    </row>
    <row r="131" spans="1:54" ht="16.5" hidden="1" thickTop="1" thickBot="1" x14ac:dyDescent="0.3">
      <c r="A131" s="274">
        <f>'🧾 Factura Comercial'!E135</f>
        <v>0</v>
      </c>
      <c r="B131" s="274" t="str">
        <f>'🧾 Factura Comercial'!F135</f>
        <v>Unid.</v>
      </c>
      <c r="C131" s="275">
        <f>'🧾 Factura Comercial'!G135</f>
        <v>0</v>
      </c>
      <c r="D131" s="276">
        <f>'🧾 Factura Comercial'!H135</f>
        <v>0</v>
      </c>
      <c r="E131" s="276">
        <f>'🧾 Factura Comercial'!I135</f>
        <v>0</v>
      </c>
      <c r="F131" s="277">
        <f>IF('🧾 Tributos Aduana'!$F$6=0,0,'🧾 Factura Comercial'!I135/'🧾 Tributos Aduana'!$F$6)</f>
        <v>0</v>
      </c>
      <c r="G131" s="278">
        <f>'🧾 Factura Comercial'!H135*'📋 Datos Generales'!$E$19</f>
        <v>0</v>
      </c>
      <c r="H131" s="278">
        <f>TABLA_BASE[[#This Row],[FOB UNIT.
(S/.)]]*TABLA_BASE[[#This Row],[CANTIDAD
(unid.)]]</f>
        <v>0</v>
      </c>
      <c r="I131" s="280">
        <f>IF('🧾 Tributos Aduana'!$F$6=0,0,'🧾 Tributos Aduana'!$F$17*('🧾 Factura Comercial'!H135/'🧾 Tributos Aduana'!$F$6))</f>
        <v>0</v>
      </c>
      <c r="J131" s="280">
        <f>TABLA_BASE[[#This Row],[ADV UNIT.
(US$)
⚠️COSTO]]*TABLA_BASE[[#This Row],[CANTIDAD
(unid.)]]</f>
        <v>0</v>
      </c>
      <c r="K131" s="279">
        <f>IF('🧾 Tributos Aduana'!$F$6=0,0,'🧾 Tributos Aduana'!$F$18*('🧾 Factura Comercial'!H135/'🧾 Tributos Aduana'!$F$6))</f>
        <v>0</v>
      </c>
      <c r="L131" s="280">
        <f>TABLA_BASE[[#This Row],[IPM UNIT.
(US$)
✅CF]]*TABLA_BASE[[#This Row],[CANTIDAD
(unid.)]]</f>
        <v>0</v>
      </c>
      <c r="M131" s="279">
        <f>IF('🧾 Tributos Aduana'!$F$6=0,0,'🧾 Tributos Aduana'!$F$19*('🧾 Factura Comercial'!H135/'🧾 Tributos Aduana'!$F$6))</f>
        <v>0</v>
      </c>
      <c r="N131" s="280">
        <f>TABLA_BASE[[#This Row],[IGV UNIT.
(US$)
✅CF]]*TABLA_BASE[[#This Row],[CANTIDAD
(unid.)]]</f>
        <v>0</v>
      </c>
      <c r="O131" s="280">
        <f>IF('🧾 Tributos Aduana'!$F$6=0,0,'🧾 Tributos Aduana'!$F$23*('🧾 Factura Comercial'!H135/'🧾 Tributos Aduana'!$F$6))</f>
        <v>0</v>
      </c>
      <c r="P131" s="280">
        <f>TABLA_BASE[[#This Row],[PERCEP.
UNIT.(US$)
✅CF]]*TABLA_BASE[[#This Row],[CANTIDAD
(unid.)]]</f>
        <v>0</v>
      </c>
      <c r="Q131" s="279">
        <f>TABLA_BASE[[#This Row],[ADV UNIT.
(US$)
⚠️COSTO]]+TABLA_BASE[[#This Row],[IPM UNIT.
(US$)
✅CF]]+TABLA_BASE[[#This Row],[IGV UNIT.
(US$)
✅CF]]</f>
        <v>0</v>
      </c>
      <c r="R131" s="280">
        <f>TABLA_BASE[[#This Row],[DEUDA
ADUANERA
UNIT.]]*TABLA_BASE[[#This Row],[CANTIDAD
(unid.)]]</f>
        <v>0</v>
      </c>
      <c r="S131" s="278">
        <f>TABLA_BASE[[#This Row],[DEUDA
ADUANERA
UNIT.]]*'📋 Datos Generales'!$E$19</f>
        <v>0</v>
      </c>
      <c r="T131" s="278">
        <f>TABLA_BASE[[#This Row],[DEUDA
ADUANERA
TOTAL]]*'📋 Datos Generales'!$E$19</f>
        <v>0</v>
      </c>
      <c r="U131" s="281">
        <f>TABLA_BASE[[#This Row],[ADV UNIT.
(US$)
⚠️COSTO]]*'📋 Datos Generales'!$E$19</f>
        <v>0</v>
      </c>
      <c r="V131" s="281">
        <f>TABLA_BASE[[#This Row],[ADV UNIT.
(S/.)]]*TABLA_BASE[[#This Row],[CANTIDAD
(unid.)]]</f>
        <v>0</v>
      </c>
      <c r="W131" s="281">
        <f>TABLA_BASE[[#This Row],[IPM UNIT.
(US$)
✅CF]]*'📋 Datos Generales'!$E$19</f>
        <v>0</v>
      </c>
      <c r="X131" s="281">
        <f>TABLA_BASE[[#This Row],[IPM UNIT.
(S/.)]]*TABLA_BASE[[#This Row],[CANTIDAD
(unid.)]]</f>
        <v>0</v>
      </c>
      <c r="Y131" s="281">
        <f>TABLA_BASE[[#This Row],[IGV UNIT.
(US$)
✅CF]]*'📋 Datos Generales'!$E$19</f>
        <v>0</v>
      </c>
      <c r="Z131" s="281">
        <f>TABLA_BASE[[#This Row],[IGV UNIT.
(S/.)]]*TABLA_BASE[[#This Row],[CANTIDAD
(unid.)]]</f>
        <v>0</v>
      </c>
      <c r="AA131" s="281">
        <f>TABLA_BASE[[#This Row],[PERCEP.
UNIT.(US$)
✅CF]]*'📋 Datos Generales'!$E$19</f>
        <v>0</v>
      </c>
      <c r="AB131" s="281">
        <f>TABLA_BASE[[#This Row],[PERCEP.
UNIT.(S/.)]]*TABLA_BASE[[#This Row],[CANTIDAD
(unid.)]]</f>
        <v>0</v>
      </c>
      <c r="AC131" s="279">
        <f>TABLA_BASE[[#This Row],[ADV UNIT.
(US$)
⚠️COSTO]]+TABLA_BASE[[#This Row],[IPM UNIT.
(US$)
✅CF]]+TABLA_BASE[[#This Row],[IGV UNIT.
(US$)
✅CF]]+TABLA_BASE[[#This Row],[PERCEP.
UNIT.(US$)
✅CF]]</f>
        <v>0</v>
      </c>
      <c r="AD131" s="279">
        <f>TABLA_BASE[[#This Row],[TOTAL PAGO
SUNAT
UNIT.(US$)]]*TABLA_BASE[[#This Row],[CANTIDAD
(unid.)]]</f>
        <v>0</v>
      </c>
      <c r="AE131" s="281">
        <f>TABLA_BASE[[#This Row],[TOTAL PAGO
SUNAT
UNIT.(US$)]]*'📋 Datos Generales'!$E$19</f>
        <v>0</v>
      </c>
      <c r="AF131" s="281">
        <f>TABLA_BASE[[#This Row],[TOTAL TRIB.
UNIT.(S/.)]]*TABLA_BASE[[#This Row],[CANTIDAD
(unid.)]]</f>
        <v>0</v>
      </c>
      <c r="AG131" s="279">
        <f>IF('🧾 Factura Comercial'!G135=0,0,'📦 Gastos Importación'!$E$28*(IF('🧾 Tributos Aduana'!$F$6=0,0,'🧾 Factura Comercial'!I135/'🧾 Tributos Aduana'!$F$6))/'🧾 Factura Comercial'!G135)</f>
        <v>0</v>
      </c>
      <c r="AH131" s="279">
        <f>TABLA_BASE[[#This Row],[GASTOS IMP.
UNIT.(US$)]]*TABLA_BASE[[#This Row],[CANTIDAD
(unid.)]]</f>
        <v>0</v>
      </c>
      <c r="AI131" s="281">
        <f>TABLA_BASE[[#This Row],[GASTOS IMP.
UNIT.(US$)]]*'📋 Datos Generales'!$E$19</f>
        <v>0</v>
      </c>
      <c r="AJ131" s="281">
        <f>TABLA_BASE[[#This Row],[GASTOS IMP.
UNIT.(S/.)]]*TABLA_BASE[[#This Row],[CANTIDAD
(unid.)]]</f>
        <v>0</v>
      </c>
      <c r="AK131" s="280">
        <f>'🧮 Costos x Producto'!J135</f>
        <v>0</v>
      </c>
      <c r="AL131" s="278">
        <f>'🧮 Costos x Producto'!K135</f>
        <v>0</v>
      </c>
      <c r="AM131" s="278">
        <f>TABLA_BASE[[#This Row],[C/M UNIT.
(S/.)]]*TABLA_BASE[[#This Row],[CANTIDAD
(unid.)]]</f>
        <v>0</v>
      </c>
      <c r="AN131" s="279">
        <f>IF('🧾 Factura Comercial'!G135=0,0,'🧾 Tributos Aduana'!$F$17*(IF('🧾 Tributos Aduana'!$F$6=0,0,'🧾 Factura Comercial'!I135/'🧾 Tributos Aduana'!$F$6))/'🧾 Factura Comercial'!G135)</f>
        <v>0</v>
      </c>
      <c r="AO131" s="280">
        <f>IF('🧾 Factura Comercial'!G135=0,0,'🏦 Crédito Fiscal'!$C$16*(IF('🧾 Tributos Aduana'!$F$6=0,0,'🧾 Factura Comercial'!I135/'🧾 Tributos Aduana'!$F$6))/'🧾 Factura Comercial'!G135)</f>
        <v>0</v>
      </c>
      <c r="AP131" s="278">
        <f>TABLA_BASE[[#This Row],[CF UNIT.
✅RECUP.
(US$)]]*'📋 Datos Generales'!$E$19</f>
        <v>0</v>
      </c>
      <c r="AQ131" s="278">
        <f>TABLA_BASE[[#This Row],[CF UNIT.
✅RECUP.(S/.)]]*TABLA_BASE[[#This Row],[CANTIDAD
(unid.)]]</f>
        <v>0</v>
      </c>
      <c r="AR131" s="288">
        <f>'💰 Precio de Venta'!G136</f>
        <v>0.4</v>
      </c>
      <c r="AS131" s="278">
        <f>'💰 Precio de Venta'!H136</f>
        <v>0</v>
      </c>
      <c r="AT131" s="278">
        <f>TABLA_BASE[[#This Row],[VALOR VTA.
UNIT.(S/.)]]*TABLA_BASE[[#This Row],[CANTIDAD
(unid.)]]</f>
        <v>0</v>
      </c>
      <c r="AU131" s="281">
        <f>'💰 Precio de Venta'!I136</f>
        <v>0</v>
      </c>
      <c r="AV131" s="278">
        <f>'💰 Precio de Venta'!J136</f>
        <v>0</v>
      </c>
      <c r="AW131" s="278">
        <f>TABLA_BASE[[#This Row],[GANANCIA
UNIT.(S/.)]]*TABLA_BASE[[#This Row],[CANTIDAD
(unid.)]]</f>
        <v>0</v>
      </c>
      <c r="AX131" s="289">
        <f>'💰 Precio de Venta'!K136</f>
        <v>0</v>
      </c>
      <c r="AY131" s="278">
        <f>TABLA_BASE[[#This Row],[GANANCIA
UNIT.(S/.)]]*'🧾 Factura Comercial'!G135</f>
        <v>0</v>
      </c>
      <c r="AZ131" s="277">
        <f>IF(TABLA_BASE[[#This Row],[PRECIO VTA.
c/IGV(S/.)]]=0,0,TABLA_BASE[[#This Row],[GANANCIA
UNIT.(S/.)]]/TABLA_BASE[[#This Row],[PRECIO VTA.
c/IGV(S/.)]])</f>
        <v>0</v>
      </c>
      <c r="BA131" s="277">
        <f>IF(TABLA_BASE[[#This Row],[C/M UNIT.
(S/.)]]=0,0,TABLA_BASE[[#This Row],[GANANCIA
UNIT.(S/.)]]/TABLA_BASE[[#This Row],[C/M UNIT.
(S/.)]])</f>
        <v>0</v>
      </c>
      <c r="BB131" s="274" t="str">
        <f>IF(TABLA_BASE[[#This Row],[MARGEN
%]]&gt;=0.5,"🟢 ALTO",IF(TABLA_BASE[[#This Row],[MARGEN
%]]&gt;=0.3,"🟡 MEDIO","🔴 BAJO"))</f>
        <v>🟡 MEDIO</v>
      </c>
    </row>
    <row r="132" spans="1:54" ht="16.5" hidden="1" thickTop="1" thickBot="1" x14ac:dyDescent="0.3">
      <c r="A132" s="274">
        <f>'🧾 Factura Comercial'!E136</f>
        <v>0</v>
      </c>
      <c r="B132" s="274" t="str">
        <f>'🧾 Factura Comercial'!F136</f>
        <v>Unid.</v>
      </c>
      <c r="C132" s="275">
        <f>'🧾 Factura Comercial'!G136</f>
        <v>0</v>
      </c>
      <c r="D132" s="276">
        <f>'🧾 Factura Comercial'!H136</f>
        <v>0</v>
      </c>
      <c r="E132" s="276">
        <f>'🧾 Factura Comercial'!I136</f>
        <v>0</v>
      </c>
      <c r="F132" s="277">
        <f>IF('🧾 Tributos Aduana'!$F$6=0,0,'🧾 Factura Comercial'!I136/'🧾 Tributos Aduana'!$F$6)</f>
        <v>0</v>
      </c>
      <c r="G132" s="278">
        <f>'🧾 Factura Comercial'!H136*'📋 Datos Generales'!$E$19</f>
        <v>0</v>
      </c>
      <c r="H132" s="278">
        <f>TABLA_BASE[[#This Row],[FOB UNIT.
(S/.)]]*TABLA_BASE[[#This Row],[CANTIDAD
(unid.)]]</f>
        <v>0</v>
      </c>
      <c r="I132" s="280">
        <f>IF('🧾 Tributos Aduana'!$F$6=0,0,'🧾 Tributos Aduana'!$F$17*('🧾 Factura Comercial'!H136/'🧾 Tributos Aduana'!$F$6))</f>
        <v>0</v>
      </c>
      <c r="J132" s="280">
        <f>TABLA_BASE[[#This Row],[ADV UNIT.
(US$)
⚠️COSTO]]*TABLA_BASE[[#This Row],[CANTIDAD
(unid.)]]</f>
        <v>0</v>
      </c>
      <c r="K132" s="279">
        <f>IF('🧾 Tributos Aduana'!$F$6=0,0,'🧾 Tributos Aduana'!$F$18*('🧾 Factura Comercial'!H136/'🧾 Tributos Aduana'!$F$6))</f>
        <v>0</v>
      </c>
      <c r="L132" s="280">
        <f>TABLA_BASE[[#This Row],[IPM UNIT.
(US$)
✅CF]]*TABLA_BASE[[#This Row],[CANTIDAD
(unid.)]]</f>
        <v>0</v>
      </c>
      <c r="M132" s="279">
        <f>IF('🧾 Tributos Aduana'!$F$6=0,0,'🧾 Tributos Aduana'!$F$19*('🧾 Factura Comercial'!H136/'🧾 Tributos Aduana'!$F$6))</f>
        <v>0</v>
      </c>
      <c r="N132" s="280">
        <f>TABLA_BASE[[#This Row],[IGV UNIT.
(US$)
✅CF]]*TABLA_BASE[[#This Row],[CANTIDAD
(unid.)]]</f>
        <v>0</v>
      </c>
      <c r="O132" s="280">
        <f>IF('🧾 Tributos Aduana'!$F$6=0,0,'🧾 Tributos Aduana'!$F$23*('🧾 Factura Comercial'!H136/'🧾 Tributos Aduana'!$F$6))</f>
        <v>0</v>
      </c>
      <c r="P132" s="280">
        <f>TABLA_BASE[[#This Row],[PERCEP.
UNIT.(US$)
✅CF]]*TABLA_BASE[[#This Row],[CANTIDAD
(unid.)]]</f>
        <v>0</v>
      </c>
      <c r="Q132" s="279">
        <f>TABLA_BASE[[#This Row],[ADV UNIT.
(US$)
⚠️COSTO]]+TABLA_BASE[[#This Row],[IPM UNIT.
(US$)
✅CF]]+TABLA_BASE[[#This Row],[IGV UNIT.
(US$)
✅CF]]</f>
        <v>0</v>
      </c>
      <c r="R132" s="280">
        <f>TABLA_BASE[[#This Row],[DEUDA
ADUANERA
UNIT.]]*TABLA_BASE[[#This Row],[CANTIDAD
(unid.)]]</f>
        <v>0</v>
      </c>
      <c r="S132" s="278">
        <f>TABLA_BASE[[#This Row],[DEUDA
ADUANERA
UNIT.]]*'📋 Datos Generales'!$E$19</f>
        <v>0</v>
      </c>
      <c r="T132" s="278">
        <f>TABLA_BASE[[#This Row],[DEUDA
ADUANERA
TOTAL]]*'📋 Datos Generales'!$E$19</f>
        <v>0</v>
      </c>
      <c r="U132" s="281">
        <f>TABLA_BASE[[#This Row],[ADV UNIT.
(US$)
⚠️COSTO]]*'📋 Datos Generales'!$E$19</f>
        <v>0</v>
      </c>
      <c r="V132" s="281">
        <f>TABLA_BASE[[#This Row],[ADV UNIT.
(S/.)]]*TABLA_BASE[[#This Row],[CANTIDAD
(unid.)]]</f>
        <v>0</v>
      </c>
      <c r="W132" s="281">
        <f>TABLA_BASE[[#This Row],[IPM UNIT.
(US$)
✅CF]]*'📋 Datos Generales'!$E$19</f>
        <v>0</v>
      </c>
      <c r="X132" s="281">
        <f>TABLA_BASE[[#This Row],[IPM UNIT.
(S/.)]]*TABLA_BASE[[#This Row],[CANTIDAD
(unid.)]]</f>
        <v>0</v>
      </c>
      <c r="Y132" s="281">
        <f>TABLA_BASE[[#This Row],[IGV UNIT.
(US$)
✅CF]]*'📋 Datos Generales'!$E$19</f>
        <v>0</v>
      </c>
      <c r="Z132" s="281">
        <f>TABLA_BASE[[#This Row],[IGV UNIT.
(S/.)]]*TABLA_BASE[[#This Row],[CANTIDAD
(unid.)]]</f>
        <v>0</v>
      </c>
      <c r="AA132" s="281">
        <f>TABLA_BASE[[#This Row],[PERCEP.
UNIT.(US$)
✅CF]]*'📋 Datos Generales'!$E$19</f>
        <v>0</v>
      </c>
      <c r="AB132" s="281">
        <f>TABLA_BASE[[#This Row],[PERCEP.
UNIT.(S/.)]]*TABLA_BASE[[#This Row],[CANTIDAD
(unid.)]]</f>
        <v>0</v>
      </c>
      <c r="AC132" s="279">
        <f>TABLA_BASE[[#This Row],[ADV UNIT.
(US$)
⚠️COSTO]]+TABLA_BASE[[#This Row],[IPM UNIT.
(US$)
✅CF]]+TABLA_BASE[[#This Row],[IGV UNIT.
(US$)
✅CF]]+TABLA_BASE[[#This Row],[PERCEP.
UNIT.(US$)
✅CF]]</f>
        <v>0</v>
      </c>
      <c r="AD132" s="279">
        <f>TABLA_BASE[[#This Row],[TOTAL PAGO
SUNAT
UNIT.(US$)]]*TABLA_BASE[[#This Row],[CANTIDAD
(unid.)]]</f>
        <v>0</v>
      </c>
      <c r="AE132" s="281">
        <f>TABLA_BASE[[#This Row],[TOTAL PAGO
SUNAT
UNIT.(US$)]]*'📋 Datos Generales'!$E$19</f>
        <v>0</v>
      </c>
      <c r="AF132" s="281">
        <f>TABLA_BASE[[#This Row],[TOTAL TRIB.
UNIT.(S/.)]]*TABLA_BASE[[#This Row],[CANTIDAD
(unid.)]]</f>
        <v>0</v>
      </c>
      <c r="AG132" s="279">
        <f>IF('🧾 Factura Comercial'!G136=0,0,'📦 Gastos Importación'!$E$28*(IF('🧾 Tributos Aduana'!$F$6=0,0,'🧾 Factura Comercial'!I136/'🧾 Tributos Aduana'!$F$6))/'🧾 Factura Comercial'!G136)</f>
        <v>0</v>
      </c>
      <c r="AH132" s="279">
        <f>TABLA_BASE[[#This Row],[GASTOS IMP.
UNIT.(US$)]]*TABLA_BASE[[#This Row],[CANTIDAD
(unid.)]]</f>
        <v>0</v>
      </c>
      <c r="AI132" s="281">
        <f>TABLA_BASE[[#This Row],[GASTOS IMP.
UNIT.(US$)]]*'📋 Datos Generales'!$E$19</f>
        <v>0</v>
      </c>
      <c r="AJ132" s="281">
        <f>TABLA_BASE[[#This Row],[GASTOS IMP.
UNIT.(S/.)]]*TABLA_BASE[[#This Row],[CANTIDAD
(unid.)]]</f>
        <v>0</v>
      </c>
      <c r="AK132" s="280">
        <f>'🧮 Costos x Producto'!J136</f>
        <v>0</v>
      </c>
      <c r="AL132" s="278">
        <f>'🧮 Costos x Producto'!K136</f>
        <v>0</v>
      </c>
      <c r="AM132" s="278">
        <f>TABLA_BASE[[#This Row],[C/M UNIT.
(S/.)]]*TABLA_BASE[[#This Row],[CANTIDAD
(unid.)]]</f>
        <v>0</v>
      </c>
      <c r="AN132" s="279">
        <f>IF('🧾 Factura Comercial'!G136=0,0,'🧾 Tributos Aduana'!$F$17*(IF('🧾 Tributos Aduana'!$F$6=0,0,'🧾 Factura Comercial'!I136/'🧾 Tributos Aduana'!$F$6))/'🧾 Factura Comercial'!G136)</f>
        <v>0</v>
      </c>
      <c r="AO132" s="280">
        <f>IF('🧾 Factura Comercial'!G136=0,0,'🏦 Crédito Fiscal'!$C$16*(IF('🧾 Tributos Aduana'!$F$6=0,0,'🧾 Factura Comercial'!I136/'🧾 Tributos Aduana'!$F$6))/'🧾 Factura Comercial'!G136)</f>
        <v>0</v>
      </c>
      <c r="AP132" s="278">
        <f>TABLA_BASE[[#This Row],[CF UNIT.
✅RECUP.
(US$)]]*'📋 Datos Generales'!$E$19</f>
        <v>0</v>
      </c>
      <c r="AQ132" s="278">
        <f>TABLA_BASE[[#This Row],[CF UNIT.
✅RECUP.(S/.)]]*TABLA_BASE[[#This Row],[CANTIDAD
(unid.)]]</f>
        <v>0</v>
      </c>
      <c r="AR132" s="288">
        <f>'💰 Precio de Venta'!G137</f>
        <v>0.4</v>
      </c>
      <c r="AS132" s="278">
        <f>'💰 Precio de Venta'!H137</f>
        <v>0</v>
      </c>
      <c r="AT132" s="278">
        <f>TABLA_BASE[[#This Row],[VALOR VTA.
UNIT.(S/.)]]*TABLA_BASE[[#This Row],[CANTIDAD
(unid.)]]</f>
        <v>0</v>
      </c>
      <c r="AU132" s="281">
        <f>'💰 Precio de Venta'!I137</f>
        <v>0</v>
      </c>
      <c r="AV132" s="278">
        <f>'💰 Precio de Venta'!J137</f>
        <v>0</v>
      </c>
      <c r="AW132" s="278">
        <f>TABLA_BASE[[#This Row],[GANANCIA
UNIT.(S/.)]]*TABLA_BASE[[#This Row],[CANTIDAD
(unid.)]]</f>
        <v>0</v>
      </c>
      <c r="AX132" s="289">
        <f>'💰 Precio de Venta'!K137</f>
        <v>0</v>
      </c>
      <c r="AY132" s="278">
        <f>TABLA_BASE[[#This Row],[GANANCIA
UNIT.(S/.)]]*'🧾 Factura Comercial'!G136</f>
        <v>0</v>
      </c>
      <c r="AZ132" s="277">
        <f>IF(TABLA_BASE[[#This Row],[PRECIO VTA.
c/IGV(S/.)]]=0,0,TABLA_BASE[[#This Row],[GANANCIA
UNIT.(S/.)]]/TABLA_BASE[[#This Row],[PRECIO VTA.
c/IGV(S/.)]])</f>
        <v>0</v>
      </c>
      <c r="BA132" s="277">
        <f>IF(TABLA_BASE[[#This Row],[C/M UNIT.
(S/.)]]=0,0,TABLA_BASE[[#This Row],[GANANCIA
UNIT.(S/.)]]/TABLA_BASE[[#This Row],[C/M UNIT.
(S/.)]])</f>
        <v>0</v>
      </c>
      <c r="BB132" s="274" t="str">
        <f>IF(TABLA_BASE[[#This Row],[MARGEN
%]]&gt;=0.5,"🟢 ALTO",IF(TABLA_BASE[[#This Row],[MARGEN
%]]&gt;=0.3,"🟡 MEDIO","🔴 BAJO"))</f>
        <v>🟡 MEDIO</v>
      </c>
    </row>
    <row r="133" spans="1:54" ht="16.5" hidden="1" thickTop="1" thickBot="1" x14ac:dyDescent="0.3">
      <c r="A133" s="274">
        <f>'🧾 Factura Comercial'!E137</f>
        <v>0</v>
      </c>
      <c r="B133" s="274" t="str">
        <f>'🧾 Factura Comercial'!F137</f>
        <v>Unid.</v>
      </c>
      <c r="C133" s="275">
        <f>'🧾 Factura Comercial'!G137</f>
        <v>0</v>
      </c>
      <c r="D133" s="276">
        <f>'🧾 Factura Comercial'!H137</f>
        <v>0</v>
      </c>
      <c r="E133" s="276">
        <f>'🧾 Factura Comercial'!I137</f>
        <v>0</v>
      </c>
      <c r="F133" s="277">
        <f>IF('🧾 Tributos Aduana'!$F$6=0,0,'🧾 Factura Comercial'!I137/'🧾 Tributos Aduana'!$F$6)</f>
        <v>0</v>
      </c>
      <c r="G133" s="278">
        <f>'🧾 Factura Comercial'!H137*'📋 Datos Generales'!$E$19</f>
        <v>0</v>
      </c>
      <c r="H133" s="278">
        <f>TABLA_BASE[[#This Row],[FOB UNIT.
(S/.)]]*TABLA_BASE[[#This Row],[CANTIDAD
(unid.)]]</f>
        <v>0</v>
      </c>
      <c r="I133" s="280">
        <f>IF('🧾 Tributos Aduana'!$F$6=0,0,'🧾 Tributos Aduana'!$F$17*('🧾 Factura Comercial'!H137/'🧾 Tributos Aduana'!$F$6))</f>
        <v>0</v>
      </c>
      <c r="J133" s="280">
        <f>TABLA_BASE[[#This Row],[ADV UNIT.
(US$)
⚠️COSTO]]*TABLA_BASE[[#This Row],[CANTIDAD
(unid.)]]</f>
        <v>0</v>
      </c>
      <c r="K133" s="279">
        <f>IF('🧾 Tributos Aduana'!$F$6=0,0,'🧾 Tributos Aduana'!$F$18*('🧾 Factura Comercial'!H137/'🧾 Tributos Aduana'!$F$6))</f>
        <v>0</v>
      </c>
      <c r="L133" s="280">
        <f>TABLA_BASE[[#This Row],[IPM UNIT.
(US$)
✅CF]]*TABLA_BASE[[#This Row],[CANTIDAD
(unid.)]]</f>
        <v>0</v>
      </c>
      <c r="M133" s="279">
        <f>IF('🧾 Tributos Aduana'!$F$6=0,0,'🧾 Tributos Aduana'!$F$19*('🧾 Factura Comercial'!H137/'🧾 Tributos Aduana'!$F$6))</f>
        <v>0</v>
      </c>
      <c r="N133" s="280">
        <f>TABLA_BASE[[#This Row],[IGV UNIT.
(US$)
✅CF]]*TABLA_BASE[[#This Row],[CANTIDAD
(unid.)]]</f>
        <v>0</v>
      </c>
      <c r="O133" s="280">
        <f>IF('🧾 Tributos Aduana'!$F$6=0,0,'🧾 Tributos Aduana'!$F$23*('🧾 Factura Comercial'!H137/'🧾 Tributos Aduana'!$F$6))</f>
        <v>0</v>
      </c>
      <c r="P133" s="280">
        <f>TABLA_BASE[[#This Row],[PERCEP.
UNIT.(US$)
✅CF]]*TABLA_BASE[[#This Row],[CANTIDAD
(unid.)]]</f>
        <v>0</v>
      </c>
      <c r="Q133" s="279">
        <f>TABLA_BASE[[#This Row],[ADV UNIT.
(US$)
⚠️COSTO]]+TABLA_BASE[[#This Row],[IPM UNIT.
(US$)
✅CF]]+TABLA_BASE[[#This Row],[IGV UNIT.
(US$)
✅CF]]</f>
        <v>0</v>
      </c>
      <c r="R133" s="280">
        <f>TABLA_BASE[[#This Row],[DEUDA
ADUANERA
UNIT.]]*TABLA_BASE[[#This Row],[CANTIDAD
(unid.)]]</f>
        <v>0</v>
      </c>
      <c r="S133" s="278">
        <f>TABLA_BASE[[#This Row],[DEUDA
ADUANERA
UNIT.]]*'📋 Datos Generales'!$E$19</f>
        <v>0</v>
      </c>
      <c r="T133" s="278">
        <f>TABLA_BASE[[#This Row],[DEUDA
ADUANERA
TOTAL]]*'📋 Datos Generales'!$E$19</f>
        <v>0</v>
      </c>
      <c r="U133" s="281">
        <f>TABLA_BASE[[#This Row],[ADV UNIT.
(US$)
⚠️COSTO]]*'📋 Datos Generales'!$E$19</f>
        <v>0</v>
      </c>
      <c r="V133" s="281">
        <f>TABLA_BASE[[#This Row],[ADV UNIT.
(S/.)]]*TABLA_BASE[[#This Row],[CANTIDAD
(unid.)]]</f>
        <v>0</v>
      </c>
      <c r="W133" s="281">
        <f>TABLA_BASE[[#This Row],[IPM UNIT.
(US$)
✅CF]]*'📋 Datos Generales'!$E$19</f>
        <v>0</v>
      </c>
      <c r="X133" s="281">
        <f>TABLA_BASE[[#This Row],[IPM UNIT.
(S/.)]]*TABLA_BASE[[#This Row],[CANTIDAD
(unid.)]]</f>
        <v>0</v>
      </c>
      <c r="Y133" s="281">
        <f>TABLA_BASE[[#This Row],[IGV UNIT.
(US$)
✅CF]]*'📋 Datos Generales'!$E$19</f>
        <v>0</v>
      </c>
      <c r="Z133" s="281">
        <f>TABLA_BASE[[#This Row],[IGV UNIT.
(S/.)]]*TABLA_BASE[[#This Row],[CANTIDAD
(unid.)]]</f>
        <v>0</v>
      </c>
      <c r="AA133" s="281">
        <f>TABLA_BASE[[#This Row],[PERCEP.
UNIT.(US$)
✅CF]]*'📋 Datos Generales'!$E$19</f>
        <v>0</v>
      </c>
      <c r="AB133" s="281">
        <f>TABLA_BASE[[#This Row],[PERCEP.
UNIT.(S/.)]]*TABLA_BASE[[#This Row],[CANTIDAD
(unid.)]]</f>
        <v>0</v>
      </c>
      <c r="AC133" s="279">
        <f>TABLA_BASE[[#This Row],[ADV UNIT.
(US$)
⚠️COSTO]]+TABLA_BASE[[#This Row],[IPM UNIT.
(US$)
✅CF]]+TABLA_BASE[[#This Row],[IGV UNIT.
(US$)
✅CF]]+TABLA_BASE[[#This Row],[PERCEP.
UNIT.(US$)
✅CF]]</f>
        <v>0</v>
      </c>
      <c r="AD133" s="279">
        <f>TABLA_BASE[[#This Row],[TOTAL PAGO
SUNAT
UNIT.(US$)]]*TABLA_BASE[[#This Row],[CANTIDAD
(unid.)]]</f>
        <v>0</v>
      </c>
      <c r="AE133" s="281">
        <f>TABLA_BASE[[#This Row],[TOTAL PAGO
SUNAT
UNIT.(US$)]]*'📋 Datos Generales'!$E$19</f>
        <v>0</v>
      </c>
      <c r="AF133" s="281">
        <f>TABLA_BASE[[#This Row],[TOTAL TRIB.
UNIT.(S/.)]]*TABLA_BASE[[#This Row],[CANTIDAD
(unid.)]]</f>
        <v>0</v>
      </c>
      <c r="AG133" s="279">
        <f>IF('🧾 Factura Comercial'!G137=0,0,'📦 Gastos Importación'!$E$28*(IF('🧾 Tributos Aduana'!$F$6=0,0,'🧾 Factura Comercial'!I137/'🧾 Tributos Aduana'!$F$6))/'🧾 Factura Comercial'!G137)</f>
        <v>0</v>
      </c>
      <c r="AH133" s="279">
        <f>TABLA_BASE[[#This Row],[GASTOS IMP.
UNIT.(US$)]]*TABLA_BASE[[#This Row],[CANTIDAD
(unid.)]]</f>
        <v>0</v>
      </c>
      <c r="AI133" s="281">
        <f>TABLA_BASE[[#This Row],[GASTOS IMP.
UNIT.(US$)]]*'📋 Datos Generales'!$E$19</f>
        <v>0</v>
      </c>
      <c r="AJ133" s="281">
        <f>TABLA_BASE[[#This Row],[GASTOS IMP.
UNIT.(S/.)]]*TABLA_BASE[[#This Row],[CANTIDAD
(unid.)]]</f>
        <v>0</v>
      </c>
      <c r="AK133" s="280">
        <f>'🧮 Costos x Producto'!J137</f>
        <v>0</v>
      </c>
      <c r="AL133" s="278">
        <f>'🧮 Costos x Producto'!K137</f>
        <v>0</v>
      </c>
      <c r="AM133" s="278">
        <f>TABLA_BASE[[#This Row],[C/M UNIT.
(S/.)]]*TABLA_BASE[[#This Row],[CANTIDAD
(unid.)]]</f>
        <v>0</v>
      </c>
      <c r="AN133" s="279">
        <f>IF('🧾 Factura Comercial'!G137=0,0,'🧾 Tributos Aduana'!$F$17*(IF('🧾 Tributos Aduana'!$F$6=0,0,'🧾 Factura Comercial'!I137/'🧾 Tributos Aduana'!$F$6))/'🧾 Factura Comercial'!G137)</f>
        <v>0</v>
      </c>
      <c r="AO133" s="280">
        <f>IF('🧾 Factura Comercial'!G137=0,0,'🏦 Crédito Fiscal'!$C$16*(IF('🧾 Tributos Aduana'!$F$6=0,0,'🧾 Factura Comercial'!I137/'🧾 Tributos Aduana'!$F$6))/'🧾 Factura Comercial'!G137)</f>
        <v>0</v>
      </c>
      <c r="AP133" s="278">
        <f>TABLA_BASE[[#This Row],[CF UNIT.
✅RECUP.
(US$)]]*'📋 Datos Generales'!$E$19</f>
        <v>0</v>
      </c>
      <c r="AQ133" s="278">
        <f>TABLA_BASE[[#This Row],[CF UNIT.
✅RECUP.(S/.)]]*TABLA_BASE[[#This Row],[CANTIDAD
(unid.)]]</f>
        <v>0</v>
      </c>
      <c r="AR133" s="288">
        <f>'💰 Precio de Venta'!G138</f>
        <v>0.4</v>
      </c>
      <c r="AS133" s="278">
        <f>'💰 Precio de Venta'!H138</f>
        <v>0</v>
      </c>
      <c r="AT133" s="278">
        <f>TABLA_BASE[[#This Row],[VALOR VTA.
UNIT.(S/.)]]*TABLA_BASE[[#This Row],[CANTIDAD
(unid.)]]</f>
        <v>0</v>
      </c>
      <c r="AU133" s="281">
        <f>'💰 Precio de Venta'!I138</f>
        <v>0</v>
      </c>
      <c r="AV133" s="278">
        <f>'💰 Precio de Venta'!J138</f>
        <v>0</v>
      </c>
      <c r="AW133" s="278">
        <f>TABLA_BASE[[#This Row],[GANANCIA
UNIT.(S/.)]]*TABLA_BASE[[#This Row],[CANTIDAD
(unid.)]]</f>
        <v>0</v>
      </c>
      <c r="AX133" s="289">
        <f>'💰 Precio de Venta'!K138</f>
        <v>0</v>
      </c>
      <c r="AY133" s="278">
        <f>TABLA_BASE[[#This Row],[GANANCIA
UNIT.(S/.)]]*'🧾 Factura Comercial'!G137</f>
        <v>0</v>
      </c>
      <c r="AZ133" s="277">
        <f>IF(TABLA_BASE[[#This Row],[PRECIO VTA.
c/IGV(S/.)]]=0,0,TABLA_BASE[[#This Row],[GANANCIA
UNIT.(S/.)]]/TABLA_BASE[[#This Row],[PRECIO VTA.
c/IGV(S/.)]])</f>
        <v>0</v>
      </c>
      <c r="BA133" s="277">
        <f>IF(TABLA_BASE[[#This Row],[C/M UNIT.
(S/.)]]=0,0,TABLA_BASE[[#This Row],[GANANCIA
UNIT.(S/.)]]/TABLA_BASE[[#This Row],[C/M UNIT.
(S/.)]])</f>
        <v>0</v>
      </c>
      <c r="BB133" s="274" t="str">
        <f>IF(TABLA_BASE[[#This Row],[MARGEN
%]]&gt;=0.5,"🟢 ALTO",IF(TABLA_BASE[[#This Row],[MARGEN
%]]&gt;=0.3,"🟡 MEDIO","🔴 BAJO"))</f>
        <v>🟡 MEDIO</v>
      </c>
    </row>
    <row r="134" spans="1:54" ht="16.5" hidden="1" thickTop="1" thickBot="1" x14ac:dyDescent="0.3">
      <c r="A134" s="274">
        <f>'🧾 Factura Comercial'!E138</f>
        <v>0</v>
      </c>
      <c r="B134" s="274" t="str">
        <f>'🧾 Factura Comercial'!F138</f>
        <v>Unid.</v>
      </c>
      <c r="C134" s="275">
        <f>'🧾 Factura Comercial'!G138</f>
        <v>0</v>
      </c>
      <c r="D134" s="276">
        <f>'🧾 Factura Comercial'!H138</f>
        <v>0</v>
      </c>
      <c r="E134" s="276">
        <f>'🧾 Factura Comercial'!I138</f>
        <v>0</v>
      </c>
      <c r="F134" s="277">
        <f>IF('🧾 Tributos Aduana'!$F$6=0,0,'🧾 Factura Comercial'!I138/'🧾 Tributos Aduana'!$F$6)</f>
        <v>0</v>
      </c>
      <c r="G134" s="278">
        <f>'🧾 Factura Comercial'!H138*'📋 Datos Generales'!$E$19</f>
        <v>0</v>
      </c>
      <c r="H134" s="278">
        <f>TABLA_BASE[[#This Row],[FOB UNIT.
(S/.)]]*TABLA_BASE[[#This Row],[CANTIDAD
(unid.)]]</f>
        <v>0</v>
      </c>
      <c r="I134" s="280">
        <f>IF('🧾 Tributos Aduana'!$F$6=0,0,'🧾 Tributos Aduana'!$F$17*('🧾 Factura Comercial'!H138/'🧾 Tributos Aduana'!$F$6))</f>
        <v>0</v>
      </c>
      <c r="J134" s="280">
        <f>TABLA_BASE[[#This Row],[ADV UNIT.
(US$)
⚠️COSTO]]*TABLA_BASE[[#This Row],[CANTIDAD
(unid.)]]</f>
        <v>0</v>
      </c>
      <c r="K134" s="279">
        <f>IF('🧾 Tributos Aduana'!$F$6=0,0,'🧾 Tributos Aduana'!$F$18*('🧾 Factura Comercial'!H138/'🧾 Tributos Aduana'!$F$6))</f>
        <v>0</v>
      </c>
      <c r="L134" s="280">
        <f>TABLA_BASE[[#This Row],[IPM UNIT.
(US$)
✅CF]]*TABLA_BASE[[#This Row],[CANTIDAD
(unid.)]]</f>
        <v>0</v>
      </c>
      <c r="M134" s="279">
        <f>IF('🧾 Tributos Aduana'!$F$6=0,0,'🧾 Tributos Aduana'!$F$19*('🧾 Factura Comercial'!H138/'🧾 Tributos Aduana'!$F$6))</f>
        <v>0</v>
      </c>
      <c r="N134" s="280">
        <f>TABLA_BASE[[#This Row],[IGV UNIT.
(US$)
✅CF]]*TABLA_BASE[[#This Row],[CANTIDAD
(unid.)]]</f>
        <v>0</v>
      </c>
      <c r="O134" s="280">
        <f>IF('🧾 Tributos Aduana'!$F$6=0,0,'🧾 Tributos Aduana'!$F$23*('🧾 Factura Comercial'!H138/'🧾 Tributos Aduana'!$F$6))</f>
        <v>0</v>
      </c>
      <c r="P134" s="280">
        <f>TABLA_BASE[[#This Row],[PERCEP.
UNIT.(US$)
✅CF]]*TABLA_BASE[[#This Row],[CANTIDAD
(unid.)]]</f>
        <v>0</v>
      </c>
      <c r="Q134" s="279">
        <f>TABLA_BASE[[#This Row],[ADV UNIT.
(US$)
⚠️COSTO]]+TABLA_BASE[[#This Row],[IPM UNIT.
(US$)
✅CF]]+TABLA_BASE[[#This Row],[IGV UNIT.
(US$)
✅CF]]</f>
        <v>0</v>
      </c>
      <c r="R134" s="280">
        <f>TABLA_BASE[[#This Row],[DEUDA
ADUANERA
UNIT.]]*TABLA_BASE[[#This Row],[CANTIDAD
(unid.)]]</f>
        <v>0</v>
      </c>
      <c r="S134" s="278">
        <f>TABLA_BASE[[#This Row],[DEUDA
ADUANERA
UNIT.]]*'📋 Datos Generales'!$E$19</f>
        <v>0</v>
      </c>
      <c r="T134" s="278">
        <f>TABLA_BASE[[#This Row],[DEUDA
ADUANERA
TOTAL]]*'📋 Datos Generales'!$E$19</f>
        <v>0</v>
      </c>
      <c r="U134" s="281">
        <f>TABLA_BASE[[#This Row],[ADV UNIT.
(US$)
⚠️COSTO]]*'📋 Datos Generales'!$E$19</f>
        <v>0</v>
      </c>
      <c r="V134" s="281">
        <f>TABLA_BASE[[#This Row],[ADV UNIT.
(S/.)]]*TABLA_BASE[[#This Row],[CANTIDAD
(unid.)]]</f>
        <v>0</v>
      </c>
      <c r="W134" s="281">
        <f>TABLA_BASE[[#This Row],[IPM UNIT.
(US$)
✅CF]]*'📋 Datos Generales'!$E$19</f>
        <v>0</v>
      </c>
      <c r="X134" s="281">
        <f>TABLA_BASE[[#This Row],[IPM UNIT.
(S/.)]]*TABLA_BASE[[#This Row],[CANTIDAD
(unid.)]]</f>
        <v>0</v>
      </c>
      <c r="Y134" s="281">
        <f>TABLA_BASE[[#This Row],[IGV UNIT.
(US$)
✅CF]]*'📋 Datos Generales'!$E$19</f>
        <v>0</v>
      </c>
      <c r="Z134" s="281">
        <f>TABLA_BASE[[#This Row],[IGV UNIT.
(S/.)]]*TABLA_BASE[[#This Row],[CANTIDAD
(unid.)]]</f>
        <v>0</v>
      </c>
      <c r="AA134" s="281">
        <f>TABLA_BASE[[#This Row],[PERCEP.
UNIT.(US$)
✅CF]]*'📋 Datos Generales'!$E$19</f>
        <v>0</v>
      </c>
      <c r="AB134" s="281">
        <f>TABLA_BASE[[#This Row],[PERCEP.
UNIT.(S/.)]]*TABLA_BASE[[#This Row],[CANTIDAD
(unid.)]]</f>
        <v>0</v>
      </c>
      <c r="AC134" s="279">
        <f>TABLA_BASE[[#This Row],[ADV UNIT.
(US$)
⚠️COSTO]]+TABLA_BASE[[#This Row],[IPM UNIT.
(US$)
✅CF]]+TABLA_BASE[[#This Row],[IGV UNIT.
(US$)
✅CF]]+TABLA_BASE[[#This Row],[PERCEP.
UNIT.(US$)
✅CF]]</f>
        <v>0</v>
      </c>
      <c r="AD134" s="279">
        <f>TABLA_BASE[[#This Row],[TOTAL PAGO
SUNAT
UNIT.(US$)]]*TABLA_BASE[[#This Row],[CANTIDAD
(unid.)]]</f>
        <v>0</v>
      </c>
      <c r="AE134" s="281">
        <f>TABLA_BASE[[#This Row],[TOTAL PAGO
SUNAT
UNIT.(US$)]]*'📋 Datos Generales'!$E$19</f>
        <v>0</v>
      </c>
      <c r="AF134" s="281">
        <f>TABLA_BASE[[#This Row],[TOTAL TRIB.
UNIT.(S/.)]]*TABLA_BASE[[#This Row],[CANTIDAD
(unid.)]]</f>
        <v>0</v>
      </c>
      <c r="AG134" s="279">
        <f>IF('🧾 Factura Comercial'!G138=0,0,'📦 Gastos Importación'!$E$28*(IF('🧾 Tributos Aduana'!$F$6=0,0,'🧾 Factura Comercial'!I138/'🧾 Tributos Aduana'!$F$6))/'🧾 Factura Comercial'!G138)</f>
        <v>0</v>
      </c>
      <c r="AH134" s="279">
        <f>TABLA_BASE[[#This Row],[GASTOS IMP.
UNIT.(US$)]]*TABLA_BASE[[#This Row],[CANTIDAD
(unid.)]]</f>
        <v>0</v>
      </c>
      <c r="AI134" s="281">
        <f>TABLA_BASE[[#This Row],[GASTOS IMP.
UNIT.(US$)]]*'📋 Datos Generales'!$E$19</f>
        <v>0</v>
      </c>
      <c r="AJ134" s="281">
        <f>TABLA_BASE[[#This Row],[GASTOS IMP.
UNIT.(S/.)]]*TABLA_BASE[[#This Row],[CANTIDAD
(unid.)]]</f>
        <v>0</v>
      </c>
      <c r="AK134" s="280">
        <f>'🧮 Costos x Producto'!J138</f>
        <v>0</v>
      </c>
      <c r="AL134" s="278">
        <f>'🧮 Costos x Producto'!K138</f>
        <v>0</v>
      </c>
      <c r="AM134" s="278">
        <f>TABLA_BASE[[#This Row],[C/M UNIT.
(S/.)]]*TABLA_BASE[[#This Row],[CANTIDAD
(unid.)]]</f>
        <v>0</v>
      </c>
      <c r="AN134" s="279">
        <f>IF('🧾 Factura Comercial'!G138=0,0,'🧾 Tributos Aduana'!$F$17*(IF('🧾 Tributos Aduana'!$F$6=0,0,'🧾 Factura Comercial'!I138/'🧾 Tributos Aduana'!$F$6))/'🧾 Factura Comercial'!G138)</f>
        <v>0</v>
      </c>
      <c r="AO134" s="280">
        <f>IF('🧾 Factura Comercial'!G138=0,0,'🏦 Crédito Fiscal'!$C$16*(IF('🧾 Tributos Aduana'!$F$6=0,0,'🧾 Factura Comercial'!I138/'🧾 Tributos Aduana'!$F$6))/'🧾 Factura Comercial'!G138)</f>
        <v>0</v>
      </c>
      <c r="AP134" s="278">
        <f>TABLA_BASE[[#This Row],[CF UNIT.
✅RECUP.
(US$)]]*'📋 Datos Generales'!$E$19</f>
        <v>0</v>
      </c>
      <c r="AQ134" s="278">
        <f>TABLA_BASE[[#This Row],[CF UNIT.
✅RECUP.(S/.)]]*TABLA_BASE[[#This Row],[CANTIDAD
(unid.)]]</f>
        <v>0</v>
      </c>
      <c r="AR134" s="288">
        <f>'💰 Precio de Venta'!G139</f>
        <v>0.4</v>
      </c>
      <c r="AS134" s="278">
        <f>'💰 Precio de Venta'!H139</f>
        <v>0</v>
      </c>
      <c r="AT134" s="278">
        <f>TABLA_BASE[[#This Row],[VALOR VTA.
UNIT.(S/.)]]*TABLA_BASE[[#This Row],[CANTIDAD
(unid.)]]</f>
        <v>0</v>
      </c>
      <c r="AU134" s="281">
        <f>'💰 Precio de Venta'!I139</f>
        <v>0</v>
      </c>
      <c r="AV134" s="278">
        <f>'💰 Precio de Venta'!J139</f>
        <v>0</v>
      </c>
      <c r="AW134" s="278">
        <f>TABLA_BASE[[#This Row],[GANANCIA
UNIT.(S/.)]]*TABLA_BASE[[#This Row],[CANTIDAD
(unid.)]]</f>
        <v>0</v>
      </c>
      <c r="AX134" s="289">
        <f>'💰 Precio de Venta'!K139</f>
        <v>0</v>
      </c>
      <c r="AY134" s="278">
        <f>TABLA_BASE[[#This Row],[GANANCIA
UNIT.(S/.)]]*'🧾 Factura Comercial'!G138</f>
        <v>0</v>
      </c>
      <c r="AZ134" s="277">
        <f>IF(TABLA_BASE[[#This Row],[PRECIO VTA.
c/IGV(S/.)]]=0,0,TABLA_BASE[[#This Row],[GANANCIA
UNIT.(S/.)]]/TABLA_BASE[[#This Row],[PRECIO VTA.
c/IGV(S/.)]])</f>
        <v>0</v>
      </c>
      <c r="BA134" s="277">
        <f>IF(TABLA_BASE[[#This Row],[C/M UNIT.
(S/.)]]=0,0,TABLA_BASE[[#This Row],[GANANCIA
UNIT.(S/.)]]/TABLA_BASE[[#This Row],[C/M UNIT.
(S/.)]])</f>
        <v>0</v>
      </c>
      <c r="BB134" s="274" t="str">
        <f>IF(TABLA_BASE[[#This Row],[MARGEN
%]]&gt;=0.5,"🟢 ALTO",IF(TABLA_BASE[[#This Row],[MARGEN
%]]&gt;=0.3,"🟡 MEDIO","🔴 BAJO"))</f>
        <v>🟡 MEDIO</v>
      </c>
    </row>
    <row r="135" spans="1:54" ht="16.5" hidden="1" thickTop="1" thickBot="1" x14ac:dyDescent="0.3">
      <c r="A135" s="274">
        <f>'🧾 Factura Comercial'!E139</f>
        <v>0</v>
      </c>
      <c r="B135" s="274" t="str">
        <f>'🧾 Factura Comercial'!F139</f>
        <v>Unid.</v>
      </c>
      <c r="C135" s="275">
        <f>'🧾 Factura Comercial'!G139</f>
        <v>0</v>
      </c>
      <c r="D135" s="276">
        <f>'🧾 Factura Comercial'!H139</f>
        <v>0</v>
      </c>
      <c r="E135" s="276">
        <f>'🧾 Factura Comercial'!I139</f>
        <v>0</v>
      </c>
      <c r="F135" s="277">
        <f>IF('🧾 Tributos Aduana'!$F$6=0,0,'🧾 Factura Comercial'!I139/'🧾 Tributos Aduana'!$F$6)</f>
        <v>0</v>
      </c>
      <c r="G135" s="278">
        <f>'🧾 Factura Comercial'!H139*'📋 Datos Generales'!$E$19</f>
        <v>0</v>
      </c>
      <c r="H135" s="278">
        <f>TABLA_BASE[[#This Row],[FOB UNIT.
(S/.)]]*TABLA_BASE[[#This Row],[CANTIDAD
(unid.)]]</f>
        <v>0</v>
      </c>
      <c r="I135" s="280">
        <f>IF('🧾 Tributos Aduana'!$F$6=0,0,'🧾 Tributos Aduana'!$F$17*('🧾 Factura Comercial'!H139/'🧾 Tributos Aduana'!$F$6))</f>
        <v>0</v>
      </c>
      <c r="J135" s="280">
        <f>TABLA_BASE[[#This Row],[ADV UNIT.
(US$)
⚠️COSTO]]*TABLA_BASE[[#This Row],[CANTIDAD
(unid.)]]</f>
        <v>0</v>
      </c>
      <c r="K135" s="279">
        <f>IF('🧾 Tributos Aduana'!$F$6=0,0,'🧾 Tributos Aduana'!$F$18*('🧾 Factura Comercial'!H139/'🧾 Tributos Aduana'!$F$6))</f>
        <v>0</v>
      </c>
      <c r="L135" s="280">
        <f>TABLA_BASE[[#This Row],[IPM UNIT.
(US$)
✅CF]]*TABLA_BASE[[#This Row],[CANTIDAD
(unid.)]]</f>
        <v>0</v>
      </c>
      <c r="M135" s="279">
        <f>IF('🧾 Tributos Aduana'!$F$6=0,0,'🧾 Tributos Aduana'!$F$19*('🧾 Factura Comercial'!H139/'🧾 Tributos Aduana'!$F$6))</f>
        <v>0</v>
      </c>
      <c r="N135" s="280">
        <f>TABLA_BASE[[#This Row],[IGV UNIT.
(US$)
✅CF]]*TABLA_BASE[[#This Row],[CANTIDAD
(unid.)]]</f>
        <v>0</v>
      </c>
      <c r="O135" s="280">
        <f>IF('🧾 Tributos Aduana'!$F$6=0,0,'🧾 Tributos Aduana'!$F$23*('🧾 Factura Comercial'!H139/'🧾 Tributos Aduana'!$F$6))</f>
        <v>0</v>
      </c>
      <c r="P135" s="280">
        <f>TABLA_BASE[[#This Row],[PERCEP.
UNIT.(US$)
✅CF]]*TABLA_BASE[[#This Row],[CANTIDAD
(unid.)]]</f>
        <v>0</v>
      </c>
      <c r="Q135" s="279">
        <f>TABLA_BASE[[#This Row],[ADV UNIT.
(US$)
⚠️COSTO]]+TABLA_BASE[[#This Row],[IPM UNIT.
(US$)
✅CF]]+TABLA_BASE[[#This Row],[IGV UNIT.
(US$)
✅CF]]</f>
        <v>0</v>
      </c>
      <c r="R135" s="280">
        <f>TABLA_BASE[[#This Row],[DEUDA
ADUANERA
UNIT.]]*TABLA_BASE[[#This Row],[CANTIDAD
(unid.)]]</f>
        <v>0</v>
      </c>
      <c r="S135" s="278">
        <f>TABLA_BASE[[#This Row],[DEUDA
ADUANERA
UNIT.]]*'📋 Datos Generales'!$E$19</f>
        <v>0</v>
      </c>
      <c r="T135" s="278">
        <f>TABLA_BASE[[#This Row],[DEUDA
ADUANERA
TOTAL]]*'📋 Datos Generales'!$E$19</f>
        <v>0</v>
      </c>
      <c r="U135" s="281">
        <f>TABLA_BASE[[#This Row],[ADV UNIT.
(US$)
⚠️COSTO]]*'📋 Datos Generales'!$E$19</f>
        <v>0</v>
      </c>
      <c r="V135" s="281">
        <f>TABLA_BASE[[#This Row],[ADV UNIT.
(S/.)]]*TABLA_BASE[[#This Row],[CANTIDAD
(unid.)]]</f>
        <v>0</v>
      </c>
      <c r="W135" s="281">
        <f>TABLA_BASE[[#This Row],[IPM UNIT.
(US$)
✅CF]]*'📋 Datos Generales'!$E$19</f>
        <v>0</v>
      </c>
      <c r="X135" s="281">
        <f>TABLA_BASE[[#This Row],[IPM UNIT.
(S/.)]]*TABLA_BASE[[#This Row],[CANTIDAD
(unid.)]]</f>
        <v>0</v>
      </c>
      <c r="Y135" s="281">
        <f>TABLA_BASE[[#This Row],[IGV UNIT.
(US$)
✅CF]]*'📋 Datos Generales'!$E$19</f>
        <v>0</v>
      </c>
      <c r="Z135" s="281">
        <f>TABLA_BASE[[#This Row],[IGV UNIT.
(S/.)]]*TABLA_BASE[[#This Row],[CANTIDAD
(unid.)]]</f>
        <v>0</v>
      </c>
      <c r="AA135" s="281">
        <f>TABLA_BASE[[#This Row],[PERCEP.
UNIT.(US$)
✅CF]]*'📋 Datos Generales'!$E$19</f>
        <v>0</v>
      </c>
      <c r="AB135" s="281">
        <f>TABLA_BASE[[#This Row],[PERCEP.
UNIT.(S/.)]]*TABLA_BASE[[#This Row],[CANTIDAD
(unid.)]]</f>
        <v>0</v>
      </c>
      <c r="AC135" s="279">
        <f>TABLA_BASE[[#This Row],[ADV UNIT.
(US$)
⚠️COSTO]]+TABLA_BASE[[#This Row],[IPM UNIT.
(US$)
✅CF]]+TABLA_BASE[[#This Row],[IGV UNIT.
(US$)
✅CF]]+TABLA_BASE[[#This Row],[PERCEP.
UNIT.(US$)
✅CF]]</f>
        <v>0</v>
      </c>
      <c r="AD135" s="279">
        <f>TABLA_BASE[[#This Row],[TOTAL PAGO
SUNAT
UNIT.(US$)]]*TABLA_BASE[[#This Row],[CANTIDAD
(unid.)]]</f>
        <v>0</v>
      </c>
      <c r="AE135" s="281">
        <f>TABLA_BASE[[#This Row],[TOTAL PAGO
SUNAT
UNIT.(US$)]]*'📋 Datos Generales'!$E$19</f>
        <v>0</v>
      </c>
      <c r="AF135" s="281">
        <f>TABLA_BASE[[#This Row],[TOTAL TRIB.
UNIT.(S/.)]]*TABLA_BASE[[#This Row],[CANTIDAD
(unid.)]]</f>
        <v>0</v>
      </c>
      <c r="AG135" s="279">
        <f>IF('🧾 Factura Comercial'!G139=0,0,'📦 Gastos Importación'!$E$28*(IF('🧾 Tributos Aduana'!$F$6=0,0,'🧾 Factura Comercial'!I139/'🧾 Tributos Aduana'!$F$6))/'🧾 Factura Comercial'!G139)</f>
        <v>0</v>
      </c>
      <c r="AH135" s="279">
        <f>TABLA_BASE[[#This Row],[GASTOS IMP.
UNIT.(US$)]]*TABLA_BASE[[#This Row],[CANTIDAD
(unid.)]]</f>
        <v>0</v>
      </c>
      <c r="AI135" s="281">
        <f>TABLA_BASE[[#This Row],[GASTOS IMP.
UNIT.(US$)]]*'📋 Datos Generales'!$E$19</f>
        <v>0</v>
      </c>
      <c r="AJ135" s="281">
        <f>TABLA_BASE[[#This Row],[GASTOS IMP.
UNIT.(S/.)]]*TABLA_BASE[[#This Row],[CANTIDAD
(unid.)]]</f>
        <v>0</v>
      </c>
      <c r="AK135" s="280">
        <f>'🧮 Costos x Producto'!J139</f>
        <v>0</v>
      </c>
      <c r="AL135" s="278">
        <f>'🧮 Costos x Producto'!K139</f>
        <v>0</v>
      </c>
      <c r="AM135" s="278">
        <f>TABLA_BASE[[#This Row],[C/M UNIT.
(S/.)]]*TABLA_BASE[[#This Row],[CANTIDAD
(unid.)]]</f>
        <v>0</v>
      </c>
      <c r="AN135" s="279">
        <f>IF('🧾 Factura Comercial'!G139=0,0,'🧾 Tributos Aduana'!$F$17*(IF('🧾 Tributos Aduana'!$F$6=0,0,'🧾 Factura Comercial'!I139/'🧾 Tributos Aduana'!$F$6))/'🧾 Factura Comercial'!G139)</f>
        <v>0</v>
      </c>
      <c r="AO135" s="280">
        <f>IF('🧾 Factura Comercial'!G139=0,0,'🏦 Crédito Fiscal'!$C$16*(IF('🧾 Tributos Aduana'!$F$6=0,0,'🧾 Factura Comercial'!I139/'🧾 Tributos Aduana'!$F$6))/'🧾 Factura Comercial'!G139)</f>
        <v>0</v>
      </c>
      <c r="AP135" s="278">
        <f>TABLA_BASE[[#This Row],[CF UNIT.
✅RECUP.
(US$)]]*'📋 Datos Generales'!$E$19</f>
        <v>0</v>
      </c>
      <c r="AQ135" s="278">
        <f>TABLA_BASE[[#This Row],[CF UNIT.
✅RECUP.(S/.)]]*TABLA_BASE[[#This Row],[CANTIDAD
(unid.)]]</f>
        <v>0</v>
      </c>
      <c r="AR135" s="288">
        <f>'💰 Precio de Venta'!G140</f>
        <v>0.4</v>
      </c>
      <c r="AS135" s="278">
        <f>'💰 Precio de Venta'!H140</f>
        <v>0</v>
      </c>
      <c r="AT135" s="278">
        <f>TABLA_BASE[[#This Row],[VALOR VTA.
UNIT.(S/.)]]*TABLA_BASE[[#This Row],[CANTIDAD
(unid.)]]</f>
        <v>0</v>
      </c>
      <c r="AU135" s="281">
        <f>'💰 Precio de Venta'!I140</f>
        <v>0</v>
      </c>
      <c r="AV135" s="278">
        <f>'💰 Precio de Venta'!J140</f>
        <v>0</v>
      </c>
      <c r="AW135" s="278">
        <f>TABLA_BASE[[#This Row],[GANANCIA
UNIT.(S/.)]]*TABLA_BASE[[#This Row],[CANTIDAD
(unid.)]]</f>
        <v>0</v>
      </c>
      <c r="AX135" s="289">
        <f>'💰 Precio de Venta'!K140</f>
        <v>0</v>
      </c>
      <c r="AY135" s="278">
        <f>TABLA_BASE[[#This Row],[GANANCIA
UNIT.(S/.)]]*'🧾 Factura Comercial'!G139</f>
        <v>0</v>
      </c>
      <c r="AZ135" s="277">
        <f>IF(TABLA_BASE[[#This Row],[PRECIO VTA.
c/IGV(S/.)]]=0,0,TABLA_BASE[[#This Row],[GANANCIA
UNIT.(S/.)]]/TABLA_BASE[[#This Row],[PRECIO VTA.
c/IGV(S/.)]])</f>
        <v>0</v>
      </c>
      <c r="BA135" s="277">
        <f>IF(TABLA_BASE[[#This Row],[C/M UNIT.
(S/.)]]=0,0,TABLA_BASE[[#This Row],[GANANCIA
UNIT.(S/.)]]/TABLA_BASE[[#This Row],[C/M UNIT.
(S/.)]])</f>
        <v>0</v>
      </c>
      <c r="BB135" s="274" t="str">
        <f>IF(TABLA_BASE[[#This Row],[MARGEN
%]]&gt;=0.5,"🟢 ALTO",IF(TABLA_BASE[[#This Row],[MARGEN
%]]&gt;=0.3,"🟡 MEDIO","🔴 BAJO"))</f>
        <v>🟡 MEDIO</v>
      </c>
    </row>
    <row r="136" spans="1:54" ht="16.5" hidden="1" thickTop="1" thickBot="1" x14ac:dyDescent="0.3">
      <c r="A136" s="274">
        <f>'🧾 Factura Comercial'!E140</f>
        <v>0</v>
      </c>
      <c r="B136" s="274" t="str">
        <f>'🧾 Factura Comercial'!F140</f>
        <v>Unid.</v>
      </c>
      <c r="C136" s="275">
        <f>'🧾 Factura Comercial'!G140</f>
        <v>0</v>
      </c>
      <c r="D136" s="276">
        <f>'🧾 Factura Comercial'!H140</f>
        <v>0</v>
      </c>
      <c r="E136" s="276">
        <f>'🧾 Factura Comercial'!I140</f>
        <v>0</v>
      </c>
      <c r="F136" s="277">
        <f>IF('🧾 Tributos Aduana'!$F$6=0,0,'🧾 Factura Comercial'!I140/'🧾 Tributos Aduana'!$F$6)</f>
        <v>0</v>
      </c>
      <c r="G136" s="278">
        <f>'🧾 Factura Comercial'!H140*'📋 Datos Generales'!$E$19</f>
        <v>0</v>
      </c>
      <c r="H136" s="278">
        <f>TABLA_BASE[[#This Row],[FOB UNIT.
(S/.)]]*TABLA_BASE[[#This Row],[CANTIDAD
(unid.)]]</f>
        <v>0</v>
      </c>
      <c r="I136" s="280">
        <f>IF('🧾 Tributos Aduana'!$F$6=0,0,'🧾 Tributos Aduana'!$F$17*('🧾 Factura Comercial'!H140/'🧾 Tributos Aduana'!$F$6))</f>
        <v>0</v>
      </c>
      <c r="J136" s="280">
        <f>TABLA_BASE[[#This Row],[ADV UNIT.
(US$)
⚠️COSTO]]*TABLA_BASE[[#This Row],[CANTIDAD
(unid.)]]</f>
        <v>0</v>
      </c>
      <c r="K136" s="279">
        <f>IF('🧾 Tributos Aduana'!$F$6=0,0,'🧾 Tributos Aduana'!$F$18*('🧾 Factura Comercial'!H140/'🧾 Tributos Aduana'!$F$6))</f>
        <v>0</v>
      </c>
      <c r="L136" s="280">
        <f>TABLA_BASE[[#This Row],[IPM UNIT.
(US$)
✅CF]]*TABLA_BASE[[#This Row],[CANTIDAD
(unid.)]]</f>
        <v>0</v>
      </c>
      <c r="M136" s="279">
        <f>IF('🧾 Tributos Aduana'!$F$6=0,0,'🧾 Tributos Aduana'!$F$19*('🧾 Factura Comercial'!H140/'🧾 Tributos Aduana'!$F$6))</f>
        <v>0</v>
      </c>
      <c r="N136" s="280">
        <f>TABLA_BASE[[#This Row],[IGV UNIT.
(US$)
✅CF]]*TABLA_BASE[[#This Row],[CANTIDAD
(unid.)]]</f>
        <v>0</v>
      </c>
      <c r="O136" s="280">
        <f>IF('🧾 Tributos Aduana'!$F$6=0,0,'🧾 Tributos Aduana'!$F$23*('🧾 Factura Comercial'!H140/'🧾 Tributos Aduana'!$F$6))</f>
        <v>0</v>
      </c>
      <c r="P136" s="280">
        <f>TABLA_BASE[[#This Row],[PERCEP.
UNIT.(US$)
✅CF]]*TABLA_BASE[[#This Row],[CANTIDAD
(unid.)]]</f>
        <v>0</v>
      </c>
      <c r="Q136" s="279">
        <f>TABLA_BASE[[#This Row],[ADV UNIT.
(US$)
⚠️COSTO]]+TABLA_BASE[[#This Row],[IPM UNIT.
(US$)
✅CF]]+TABLA_BASE[[#This Row],[IGV UNIT.
(US$)
✅CF]]</f>
        <v>0</v>
      </c>
      <c r="R136" s="280">
        <f>TABLA_BASE[[#This Row],[DEUDA
ADUANERA
UNIT.]]*TABLA_BASE[[#This Row],[CANTIDAD
(unid.)]]</f>
        <v>0</v>
      </c>
      <c r="S136" s="278">
        <f>TABLA_BASE[[#This Row],[DEUDA
ADUANERA
UNIT.]]*'📋 Datos Generales'!$E$19</f>
        <v>0</v>
      </c>
      <c r="T136" s="278">
        <f>TABLA_BASE[[#This Row],[DEUDA
ADUANERA
TOTAL]]*'📋 Datos Generales'!$E$19</f>
        <v>0</v>
      </c>
      <c r="U136" s="281">
        <f>TABLA_BASE[[#This Row],[ADV UNIT.
(US$)
⚠️COSTO]]*'📋 Datos Generales'!$E$19</f>
        <v>0</v>
      </c>
      <c r="V136" s="281">
        <f>TABLA_BASE[[#This Row],[ADV UNIT.
(S/.)]]*TABLA_BASE[[#This Row],[CANTIDAD
(unid.)]]</f>
        <v>0</v>
      </c>
      <c r="W136" s="281">
        <f>TABLA_BASE[[#This Row],[IPM UNIT.
(US$)
✅CF]]*'📋 Datos Generales'!$E$19</f>
        <v>0</v>
      </c>
      <c r="X136" s="281">
        <f>TABLA_BASE[[#This Row],[IPM UNIT.
(S/.)]]*TABLA_BASE[[#This Row],[CANTIDAD
(unid.)]]</f>
        <v>0</v>
      </c>
      <c r="Y136" s="281">
        <f>TABLA_BASE[[#This Row],[IGV UNIT.
(US$)
✅CF]]*'📋 Datos Generales'!$E$19</f>
        <v>0</v>
      </c>
      <c r="Z136" s="281">
        <f>TABLA_BASE[[#This Row],[IGV UNIT.
(S/.)]]*TABLA_BASE[[#This Row],[CANTIDAD
(unid.)]]</f>
        <v>0</v>
      </c>
      <c r="AA136" s="281">
        <f>TABLA_BASE[[#This Row],[PERCEP.
UNIT.(US$)
✅CF]]*'📋 Datos Generales'!$E$19</f>
        <v>0</v>
      </c>
      <c r="AB136" s="281">
        <f>TABLA_BASE[[#This Row],[PERCEP.
UNIT.(S/.)]]*TABLA_BASE[[#This Row],[CANTIDAD
(unid.)]]</f>
        <v>0</v>
      </c>
      <c r="AC136" s="279">
        <f>TABLA_BASE[[#This Row],[ADV UNIT.
(US$)
⚠️COSTO]]+TABLA_BASE[[#This Row],[IPM UNIT.
(US$)
✅CF]]+TABLA_BASE[[#This Row],[IGV UNIT.
(US$)
✅CF]]+TABLA_BASE[[#This Row],[PERCEP.
UNIT.(US$)
✅CF]]</f>
        <v>0</v>
      </c>
      <c r="AD136" s="279">
        <f>TABLA_BASE[[#This Row],[TOTAL PAGO
SUNAT
UNIT.(US$)]]*TABLA_BASE[[#This Row],[CANTIDAD
(unid.)]]</f>
        <v>0</v>
      </c>
      <c r="AE136" s="281">
        <f>TABLA_BASE[[#This Row],[TOTAL PAGO
SUNAT
UNIT.(US$)]]*'📋 Datos Generales'!$E$19</f>
        <v>0</v>
      </c>
      <c r="AF136" s="281">
        <f>TABLA_BASE[[#This Row],[TOTAL TRIB.
UNIT.(S/.)]]*TABLA_BASE[[#This Row],[CANTIDAD
(unid.)]]</f>
        <v>0</v>
      </c>
      <c r="AG136" s="279">
        <f>IF('🧾 Factura Comercial'!G140=0,0,'📦 Gastos Importación'!$E$28*(IF('🧾 Tributos Aduana'!$F$6=0,0,'🧾 Factura Comercial'!I140/'🧾 Tributos Aduana'!$F$6))/'🧾 Factura Comercial'!G140)</f>
        <v>0</v>
      </c>
      <c r="AH136" s="279">
        <f>TABLA_BASE[[#This Row],[GASTOS IMP.
UNIT.(US$)]]*TABLA_BASE[[#This Row],[CANTIDAD
(unid.)]]</f>
        <v>0</v>
      </c>
      <c r="AI136" s="281">
        <f>TABLA_BASE[[#This Row],[GASTOS IMP.
UNIT.(US$)]]*'📋 Datos Generales'!$E$19</f>
        <v>0</v>
      </c>
      <c r="AJ136" s="281">
        <f>TABLA_BASE[[#This Row],[GASTOS IMP.
UNIT.(S/.)]]*TABLA_BASE[[#This Row],[CANTIDAD
(unid.)]]</f>
        <v>0</v>
      </c>
      <c r="AK136" s="280">
        <f>'🧮 Costos x Producto'!J140</f>
        <v>0</v>
      </c>
      <c r="AL136" s="278">
        <f>'🧮 Costos x Producto'!K140</f>
        <v>0</v>
      </c>
      <c r="AM136" s="278">
        <f>TABLA_BASE[[#This Row],[C/M UNIT.
(S/.)]]*TABLA_BASE[[#This Row],[CANTIDAD
(unid.)]]</f>
        <v>0</v>
      </c>
      <c r="AN136" s="279">
        <f>IF('🧾 Factura Comercial'!G140=0,0,'🧾 Tributos Aduana'!$F$17*(IF('🧾 Tributos Aduana'!$F$6=0,0,'🧾 Factura Comercial'!I140/'🧾 Tributos Aduana'!$F$6))/'🧾 Factura Comercial'!G140)</f>
        <v>0</v>
      </c>
      <c r="AO136" s="280">
        <f>IF('🧾 Factura Comercial'!G140=0,0,'🏦 Crédito Fiscal'!$C$16*(IF('🧾 Tributos Aduana'!$F$6=0,0,'🧾 Factura Comercial'!I140/'🧾 Tributos Aduana'!$F$6))/'🧾 Factura Comercial'!G140)</f>
        <v>0</v>
      </c>
      <c r="AP136" s="278">
        <f>TABLA_BASE[[#This Row],[CF UNIT.
✅RECUP.
(US$)]]*'📋 Datos Generales'!$E$19</f>
        <v>0</v>
      </c>
      <c r="AQ136" s="278">
        <f>TABLA_BASE[[#This Row],[CF UNIT.
✅RECUP.(S/.)]]*TABLA_BASE[[#This Row],[CANTIDAD
(unid.)]]</f>
        <v>0</v>
      </c>
      <c r="AR136" s="288">
        <f>'💰 Precio de Venta'!G141</f>
        <v>0.4</v>
      </c>
      <c r="AS136" s="278">
        <f>'💰 Precio de Venta'!H141</f>
        <v>0</v>
      </c>
      <c r="AT136" s="278">
        <f>TABLA_BASE[[#This Row],[VALOR VTA.
UNIT.(S/.)]]*TABLA_BASE[[#This Row],[CANTIDAD
(unid.)]]</f>
        <v>0</v>
      </c>
      <c r="AU136" s="281">
        <f>'💰 Precio de Venta'!I141</f>
        <v>0</v>
      </c>
      <c r="AV136" s="278">
        <f>'💰 Precio de Venta'!J141</f>
        <v>0</v>
      </c>
      <c r="AW136" s="278">
        <f>TABLA_BASE[[#This Row],[GANANCIA
UNIT.(S/.)]]*TABLA_BASE[[#This Row],[CANTIDAD
(unid.)]]</f>
        <v>0</v>
      </c>
      <c r="AX136" s="289">
        <f>'💰 Precio de Venta'!K141</f>
        <v>0</v>
      </c>
      <c r="AY136" s="278">
        <f>TABLA_BASE[[#This Row],[GANANCIA
UNIT.(S/.)]]*'🧾 Factura Comercial'!G140</f>
        <v>0</v>
      </c>
      <c r="AZ136" s="277">
        <f>IF(TABLA_BASE[[#This Row],[PRECIO VTA.
c/IGV(S/.)]]=0,0,TABLA_BASE[[#This Row],[GANANCIA
UNIT.(S/.)]]/TABLA_BASE[[#This Row],[PRECIO VTA.
c/IGV(S/.)]])</f>
        <v>0</v>
      </c>
      <c r="BA136" s="277">
        <f>IF(TABLA_BASE[[#This Row],[C/M UNIT.
(S/.)]]=0,0,TABLA_BASE[[#This Row],[GANANCIA
UNIT.(S/.)]]/TABLA_BASE[[#This Row],[C/M UNIT.
(S/.)]])</f>
        <v>0</v>
      </c>
      <c r="BB136" s="274" t="str">
        <f>IF(TABLA_BASE[[#This Row],[MARGEN
%]]&gt;=0.5,"🟢 ALTO",IF(TABLA_BASE[[#This Row],[MARGEN
%]]&gt;=0.3,"🟡 MEDIO","🔴 BAJO"))</f>
        <v>🟡 MEDIO</v>
      </c>
    </row>
    <row r="137" spans="1:54" ht="16.5" hidden="1" thickTop="1" thickBot="1" x14ac:dyDescent="0.3">
      <c r="A137" s="274">
        <f>'🧾 Factura Comercial'!E141</f>
        <v>0</v>
      </c>
      <c r="B137" s="274" t="str">
        <f>'🧾 Factura Comercial'!F141</f>
        <v>Unid.</v>
      </c>
      <c r="C137" s="275">
        <f>'🧾 Factura Comercial'!G141</f>
        <v>0</v>
      </c>
      <c r="D137" s="276">
        <f>'🧾 Factura Comercial'!H141</f>
        <v>0</v>
      </c>
      <c r="E137" s="276">
        <f>'🧾 Factura Comercial'!I141</f>
        <v>0</v>
      </c>
      <c r="F137" s="277">
        <f>IF('🧾 Tributos Aduana'!$F$6=0,0,'🧾 Factura Comercial'!I141/'🧾 Tributos Aduana'!$F$6)</f>
        <v>0</v>
      </c>
      <c r="G137" s="278">
        <f>'🧾 Factura Comercial'!H141*'📋 Datos Generales'!$E$19</f>
        <v>0</v>
      </c>
      <c r="H137" s="278">
        <f>TABLA_BASE[[#This Row],[FOB UNIT.
(S/.)]]*TABLA_BASE[[#This Row],[CANTIDAD
(unid.)]]</f>
        <v>0</v>
      </c>
      <c r="I137" s="280">
        <f>IF('🧾 Tributos Aduana'!$F$6=0,0,'🧾 Tributos Aduana'!$F$17*('🧾 Factura Comercial'!H141/'🧾 Tributos Aduana'!$F$6))</f>
        <v>0</v>
      </c>
      <c r="J137" s="280">
        <f>TABLA_BASE[[#This Row],[ADV UNIT.
(US$)
⚠️COSTO]]*TABLA_BASE[[#This Row],[CANTIDAD
(unid.)]]</f>
        <v>0</v>
      </c>
      <c r="K137" s="279">
        <f>IF('🧾 Tributos Aduana'!$F$6=0,0,'🧾 Tributos Aduana'!$F$18*('🧾 Factura Comercial'!H141/'🧾 Tributos Aduana'!$F$6))</f>
        <v>0</v>
      </c>
      <c r="L137" s="280">
        <f>TABLA_BASE[[#This Row],[IPM UNIT.
(US$)
✅CF]]*TABLA_BASE[[#This Row],[CANTIDAD
(unid.)]]</f>
        <v>0</v>
      </c>
      <c r="M137" s="279">
        <f>IF('🧾 Tributos Aduana'!$F$6=0,0,'🧾 Tributos Aduana'!$F$19*('🧾 Factura Comercial'!H141/'🧾 Tributos Aduana'!$F$6))</f>
        <v>0</v>
      </c>
      <c r="N137" s="280">
        <f>TABLA_BASE[[#This Row],[IGV UNIT.
(US$)
✅CF]]*TABLA_BASE[[#This Row],[CANTIDAD
(unid.)]]</f>
        <v>0</v>
      </c>
      <c r="O137" s="280">
        <f>IF('🧾 Tributos Aduana'!$F$6=0,0,'🧾 Tributos Aduana'!$F$23*('🧾 Factura Comercial'!H141/'🧾 Tributos Aduana'!$F$6))</f>
        <v>0</v>
      </c>
      <c r="P137" s="280">
        <f>TABLA_BASE[[#This Row],[PERCEP.
UNIT.(US$)
✅CF]]*TABLA_BASE[[#This Row],[CANTIDAD
(unid.)]]</f>
        <v>0</v>
      </c>
      <c r="Q137" s="279">
        <f>TABLA_BASE[[#This Row],[ADV UNIT.
(US$)
⚠️COSTO]]+TABLA_BASE[[#This Row],[IPM UNIT.
(US$)
✅CF]]+TABLA_BASE[[#This Row],[IGV UNIT.
(US$)
✅CF]]</f>
        <v>0</v>
      </c>
      <c r="R137" s="280">
        <f>TABLA_BASE[[#This Row],[DEUDA
ADUANERA
UNIT.]]*TABLA_BASE[[#This Row],[CANTIDAD
(unid.)]]</f>
        <v>0</v>
      </c>
      <c r="S137" s="278">
        <f>TABLA_BASE[[#This Row],[DEUDA
ADUANERA
UNIT.]]*'📋 Datos Generales'!$E$19</f>
        <v>0</v>
      </c>
      <c r="T137" s="278">
        <f>TABLA_BASE[[#This Row],[DEUDA
ADUANERA
TOTAL]]*'📋 Datos Generales'!$E$19</f>
        <v>0</v>
      </c>
      <c r="U137" s="281">
        <f>TABLA_BASE[[#This Row],[ADV UNIT.
(US$)
⚠️COSTO]]*'📋 Datos Generales'!$E$19</f>
        <v>0</v>
      </c>
      <c r="V137" s="281">
        <f>TABLA_BASE[[#This Row],[ADV UNIT.
(S/.)]]*TABLA_BASE[[#This Row],[CANTIDAD
(unid.)]]</f>
        <v>0</v>
      </c>
      <c r="W137" s="281">
        <f>TABLA_BASE[[#This Row],[IPM UNIT.
(US$)
✅CF]]*'📋 Datos Generales'!$E$19</f>
        <v>0</v>
      </c>
      <c r="X137" s="281">
        <f>TABLA_BASE[[#This Row],[IPM UNIT.
(S/.)]]*TABLA_BASE[[#This Row],[CANTIDAD
(unid.)]]</f>
        <v>0</v>
      </c>
      <c r="Y137" s="281">
        <f>TABLA_BASE[[#This Row],[IGV UNIT.
(US$)
✅CF]]*'📋 Datos Generales'!$E$19</f>
        <v>0</v>
      </c>
      <c r="Z137" s="281">
        <f>TABLA_BASE[[#This Row],[IGV UNIT.
(S/.)]]*TABLA_BASE[[#This Row],[CANTIDAD
(unid.)]]</f>
        <v>0</v>
      </c>
      <c r="AA137" s="281">
        <f>TABLA_BASE[[#This Row],[PERCEP.
UNIT.(US$)
✅CF]]*'📋 Datos Generales'!$E$19</f>
        <v>0</v>
      </c>
      <c r="AB137" s="281">
        <f>TABLA_BASE[[#This Row],[PERCEP.
UNIT.(S/.)]]*TABLA_BASE[[#This Row],[CANTIDAD
(unid.)]]</f>
        <v>0</v>
      </c>
      <c r="AC137" s="279">
        <f>TABLA_BASE[[#This Row],[ADV UNIT.
(US$)
⚠️COSTO]]+TABLA_BASE[[#This Row],[IPM UNIT.
(US$)
✅CF]]+TABLA_BASE[[#This Row],[IGV UNIT.
(US$)
✅CF]]+TABLA_BASE[[#This Row],[PERCEP.
UNIT.(US$)
✅CF]]</f>
        <v>0</v>
      </c>
      <c r="AD137" s="279">
        <f>TABLA_BASE[[#This Row],[TOTAL PAGO
SUNAT
UNIT.(US$)]]*TABLA_BASE[[#This Row],[CANTIDAD
(unid.)]]</f>
        <v>0</v>
      </c>
      <c r="AE137" s="281">
        <f>TABLA_BASE[[#This Row],[TOTAL PAGO
SUNAT
UNIT.(US$)]]*'📋 Datos Generales'!$E$19</f>
        <v>0</v>
      </c>
      <c r="AF137" s="281">
        <f>TABLA_BASE[[#This Row],[TOTAL TRIB.
UNIT.(S/.)]]*TABLA_BASE[[#This Row],[CANTIDAD
(unid.)]]</f>
        <v>0</v>
      </c>
      <c r="AG137" s="279">
        <f>IF('🧾 Factura Comercial'!G141=0,0,'📦 Gastos Importación'!$E$28*(IF('🧾 Tributos Aduana'!$F$6=0,0,'🧾 Factura Comercial'!I141/'🧾 Tributos Aduana'!$F$6))/'🧾 Factura Comercial'!G141)</f>
        <v>0</v>
      </c>
      <c r="AH137" s="279">
        <f>TABLA_BASE[[#This Row],[GASTOS IMP.
UNIT.(US$)]]*TABLA_BASE[[#This Row],[CANTIDAD
(unid.)]]</f>
        <v>0</v>
      </c>
      <c r="AI137" s="281">
        <f>TABLA_BASE[[#This Row],[GASTOS IMP.
UNIT.(US$)]]*'📋 Datos Generales'!$E$19</f>
        <v>0</v>
      </c>
      <c r="AJ137" s="281">
        <f>TABLA_BASE[[#This Row],[GASTOS IMP.
UNIT.(S/.)]]*TABLA_BASE[[#This Row],[CANTIDAD
(unid.)]]</f>
        <v>0</v>
      </c>
      <c r="AK137" s="280">
        <f>'🧮 Costos x Producto'!J141</f>
        <v>0</v>
      </c>
      <c r="AL137" s="278">
        <f>'🧮 Costos x Producto'!K141</f>
        <v>0</v>
      </c>
      <c r="AM137" s="278">
        <f>TABLA_BASE[[#This Row],[C/M UNIT.
(S/.)]]*TABLA_BASE[[#This Row],[CANTIDAD
(unid.)]]</f>
        <v>0</v>
      </c>
      <c r="AN137" s="279">
        <f>IF('🧾 Factura Comercial'!G141=0,0,'🧾 Tributos Aduana'!$F$17*(IF('🧾 Tributos Aduana'!$F$6=0,0,'🧾 Factura Comercial'!I141/'🧾 Tributos Aduana'!$F$6))/'🧾 Factura Comercial'!G141)</f>
        <v>0</v>
      </c>
      <c r="AO137" s="280">
        <f>IF('🧾 Factura Comercial'!G141=0,0,'🏦 Crédito Fiscal'!$C$16*(IF('🧾 Tributos Aduana'!$F$6=0,0,'🧾 Factura Comercial'!I141/'🧾 Tributos Aduana'!$F$6))/'🧾 Factura Comercial'!G141)</f>
        <v>0</v>
      </c>
      <c r="AP137" s="278">
        <f>TABLA_BASE[[#This Row],[CF UNIT.
✅RECUP.
(US$)]]*'📋 Datos Generales'!$E$19</f>
        <v>0</v>
      </c>
      <c r="AQ137" s="278">
        <f>TABLA_BASE[[#This Row],[CF UNIT.
✅RECUP.(S/.)]]*TABLA_BASE[[#This Row],[CANTIDAD
(unid.)]]</f>
        <v>0</v>
      </c>
      <c r="AR137" s="288">
        <f>'💰 Precio de Venta'!G142</f>
        <v>0.4</v>
      </c>
      <c r="AS137" s="278">
        <f>'💰 Precio de Venta'!H142</f>
        <v>0</v>
      </c>
      <c r="AT137" s="278">
        <f>TABLA_BASE[[#This Row],[VALOR VTA.
UNIT.(S/.)]]*TABLA_BASE[[#This Row],[CANTIDAD
(unid.)]]</f>
        <v>0</v>
      </c>
      <c r="AU137" s="281">
        <f>'💰 Precio de Venta'!I142</f>
        <v>0</v>
      </c>
      <c r="AV137" s="278">
        <f>'💰 Precio de Venta'!J142</f>
        <v>0</v>
      </c>
      <c r="AW137" s="278">
        <f>TABLA_BASE[[#This Row],[GANANCIA
UNIT.(S/.)]]*TABLA_BASE[[#This Row],[CANTIDAD
(unid.)]]</f>
        <v>0</v>
      </c>
      <c r="AX137" s="289">
        <f>'💰 Precio de Venta'!K142</f>
        <v>0</v>
      </c>
      <c r="AY137" s="278">
        <f>TABLA_BASE[[#This Row],[GANANCIA
UNIT.(S/.)]]*'🧾 Factura Comercial'!G141</f>
        <v>0</v>
      </c>
      <c r="AZ137" s="277">
        <f>IF(TABLA_BASE[[#This Row],[PRECIO VTA.
c/IGV(S/.)]]=0,0,TABLA_BASE[[#This Row],[GANANCIA
UNIT.(S/.)]]/TABLA_BASE[[#This Row],[PRECIO VTA.
c/IGV(S/.)]])</f>
        <v>0</v>
      </c>
      <c r="BA137" s="277">
        <f>IF(TABLA_BASE[[#This Row],[C/M UNIT.
(S/.)]]=0,0,TABLA_BASE[[#This Row],[GANANCIA
UNIT.(S/.)]]/TABLA_BASE[[#This Row],[C/M UNIT.
(S/.)]])</f>
        <v>0</v>
      </c>
      <c r="BB137" s="274" t="str">
        <f>IF(TABLA_BASE[[#This Row],[MARGEN
%]]&gt;=0.5,"🟢 ALTO",IF(TABLA_BASE[[#This Row],[MARGEN
%]]&gt;=0.3,"🟡 MEDIO","🔴 BAJO"))</f>
        <v>🟡 MEDIO</v>
      </c>
    </row>
    <row r="138" spans="1:54" ht="16.5" hidden="1" thickTop="1" thickBot="1" x14ac:dyDescent="0.3">
      <c r="A138" s="274">
        <f>'🧾 Factura Comercial'!E142</f>
        <v>0</v>
      </c>
      <c r="B138" s="274" t="str">
        <f>'🧾 Factura Comercial'!F142</f>
        <v>Unid.</v>
      </c>
      <c r="C138" s="275">
        <f>'🧾 Factura Comercial'!G142</f>
        <v>0</v>
      </c>
      <c r="D138" s="276">
        <f>'🧾 Factura Comercial'!H142</f>
        <v>0</v>
      </c>
      <c r="E138" s="276">
        <f>'🧾 Factura Comercial'!I142</f>
        <v>0</v>
      </c>
      <c r="F138" s="277">
        <f>IF('🧾 Tributos Aduana'!$F$6=0,0,'🧾 Factura Comercial'!I142/'🧾 Tributos Aduana'!$F$6)</f>
        <v>0</v>
      </c>
      <c r="G138" s="278">
        <f>'🧾 Factura Comercial'!H142*'📋 Datos Generales'!$E$19</f>
        <v>0</v>
      </c>
      <c r="H138" s="278">
        <f>TABLA_BASE[[#This Row],[FOB UNIT.
(S/.)]]*TABLA_BASE[[#This Row],[CANTIDAD
(unid.)]]</f>
        <v>0</v>
      </c>
      <c r="I138" s="280">
        <f>IF('🧾 Tributos Aduana'!$F$6=0,0,'🧾 Tributos Aduana'!$F$17*('🧾 Factura Comercial'!H142/'🧾 Tributos Aduana'!$F$6))</f>
        <v>0</v>
      </c>
      <c r="J138" s="280">
        <f>TABLA_BASE[[#This Row],[ADV UNIT.
(US$)
⚠️COSTO]]*TABLA_BASE[[#This Row],[CANTIDAD
(unid.)]]</f>
        <v>0</v>
      </c>
      <c r="K138" s="279">
        <f>IF('🧾 Tributos Aduana'!$F$6=0,0,'🧾 Tributos Aduana'!$F$18*('🧾 Factura Comercial'!H142/'🧾 Tributos Aduana'!$F$6))</f>
        <v>0</v>
      </c>
      <c r="L138" s="280">
        <f>TABLA_BASE[[#This Row],[IPM UNIT.
(US$)
✅CF]]*TABLA_BASE[[#This Row],[CANTIDAD
(unid.)]]</f>
        <v>0</v>
      </c>
      <c r="M138" s="279">
        <f>IF('🧾 Tributos Aduana'!$F$6=0,0,'🧾 Tributos Aduana'!$F$19*('🧾 Factura Comercial'!H142/'🧾 Tributos Aduana'!$F$6))</f>
        <v>0</v>
      </c>
      <c r="N138" s="280">
        <f>TABLA_BASE[[#This Row],[IGV UNIT.
(US$)
✅CF]]*TABLA_BASE[[#This Row],[CANTIDAD
(unid.)]]</f>
        <v>0</v>
      </c>
      <c r="O138" s="280">
        <f>IF('🧾 Tributos Aduana'!$F$6=0,0,'🧾 Tributos Aduana'!$F$23*('🧾 Factura Comercial'!H142/'🧾 Tributos Aduana'!$F$6))</f>
        <v>0</v>
      </c>
      <c r="P138" s="280">
        <f>TABLA_BASE[[#This Row],[PERCEP.
UNIT.(US$)
✅CF]]*TABLA_BASE[[#This Row],[CANTIDAD
(unid.)]]</f>
        <v>0</v>
      </c>
      <c r="Q138" s="279">
        <f>TABLA_BASE[[#This Row],[ADV UNIT.
(US$)
⚠️COSTO]]+TABLA_BASE[[#This Row],[IPM UNIT.
(US$)
✅CF]]+TABLA_BASE[[#This Row],[IGV UNIT.
(US$)
✅CF]]</f>
        <v>0</v>
      </c>
      <c r="R138" s="280">
        <f>TABLA_BASE[[#This Row],[DEUDA
ADUANERA
UNIT.]]*TABLA_BASE[[#This Row],[CANTIDAD
(unid.)]]</f>
        <v>0</v>
      </c>
      <c r="S138" s="278">
        <f>TABLA_BASE[[#This Row],[DEUDA
ADUANERA
UNIT.]]*'📋 Datos Generales'!$E$19</f>
        <v>0</v>
      </c>
      <c r="T138" s="278">
        <f>TABLA_BASE[[#This Row],[DEUDA
ADUANERA
TOTAL]]*'📋 Datos Generales'!$E$19</f>
        <v>0</v>
      </c>
      <c r="U138" s="281">
        <f>TABLA_BASE[[#This Row],[ADV UNIT.
(US$)
⚠️COSTO]]*'📋 Datos Generales'!$E$19</f>
        <v>0</v>
      </c>
      <c r="V138" s="281">
        <f>TABLA_BASE[[#This Row],[ADV UNIT.
(S/.)]]*TABLA_BASE[[#This Row],[CANTIDAD
(unid.)]]</f>
        <v>0</v>
      </c>
      <c r="W138" s="281">
        <f>TABLA_BASE[[#This Row],[IPM UNIT.
(US$)
✅CF]]*'📋 Datos Generales'!$E$19</f>
        <v>0</v>
      </c>
      <c r="X138" s="281">
        <f>TABLA_BASE[[#This Row],[IPM UNIT.
(S/.)]]*TABLA_BASE[[#This Row],[CANTIDAD
(unid.)]]</f>
        <v>0</v>
      </c>
      <c r="Y138" s="281">
        <f>TABLA_BASE[[#This Row],[IGV UNIT.
(US$)
✅CF]]*'📋 Datos Generales'!$E$19</f>
        <v>0</v>
      </c>
      <c r="Z138" s="281">
        <f>TABLA_BASE[[#This Row],[IGV UNIT.
(S/.)]]*TABLA_BASE[[#This Row],[CANTIDAD
(unid.)]]</f>
        <v>0</v>
      </c>
      <c r="AA138" s="281">
        <f>TABLA_BASE[[#This Row],[PERCEP.
UNIT.(US$)
✅CF]]*'📋 Datos Generales'!$E$19</f>
        <v>0</v>
      </c>
      <c r="AB138" s="281">
        <f>TABLA_BASE[[#This Row],[PERCEP.
UNIT.(S/.)]]*TABLA_BASE[[#This Row],[CANTIDAD
(unid.)]]</f>
        <v>0</v>
      </c>
      <c r="AC138" s="279">
        <f>TABLA_BASE[[#This Row],[ADV UNIT.
(US$)
⚠️COSTO]]+TABLA_BASE[[#This Row],[IPM UNIT.
(US$)
✅CF]]+TABLA_BASE[[#This Row],[IGV UNIT.
(US$)
✅CF]]+TABLA_BASE[[#This Row],[PERCEP.
UNIT.(US$)
✅CF]]</f>
        <v>0</v>
      </c>
      <c r="AD138" s="279">
        <f>TABLA_BASE[[#This Row],[TOTAL PAGO
SUNAT
UNIT.(US$)]]*TABLA_BASE[[#This Row],[CANTIDAD
(unid.)]]</f>
        <v>0</v>
      </c>
      <c r="AE138" s="281">
        <f>TABLA_BASE[[#This Row],[TOTAL PAGO
SUNAT
UNIT.(US$)]]*'📋 Datos Generales'!$E$19</f>
        <v>0</v>
      </c>
      <c r="AF138" s="281">
        <f>TABLA_BASE[[#This Row],[TOTAL TRIB.
UNIT.(S/.)]]*TABLA_BASE[[#This Row],[CANTIDAD
(unid.)]]</f>
        <v>0</v>
      </c>
      <c r="AG138" s="279">
        <f>IF('🧾 Factura Comercial'!G142=0,0,'📦 Gastos Importación'!$E$28*(IF('🧾 Tributos Aduana'!$F$6=0,0,'🧾 Factura Comercial'!I142/'🧾 Tributos Aduana'!$F$6))/'🧾 Factura Comercial'!G142)</f>
        <v>0</v>
      </c>
      <c r="AH138" s="279">
        <f>TABLA_BASE[[#This Row],[GASTOS IMP.
UNIT.(US$)]]*TABLA_BASE[[#This Row],[CANTIDAD
(unid.)]]</f>
        <v>0</v>
      </c>
      <c r="AI138" s="281">
        <f>TABLA_BASE[[#This Row],[GASTOS IMP.
UNIT.(US$)]]*'📋 Datos Generales'!$E$19</f>
        <v>0</v>
      </c>
      <c r="AJ138" s="281">
        <f>TABLA_BASE[[#This Row],[GASTOS IMP.
UNIT.(S/.)]]*TABLA_BASE[[#This Row],[CANTIDAD
(unid.)]]</f>
        <v>0</v>
      </c>
      <c r="AK138" s="280">
        <f>'🧮 Costos x Producto'!J142</f>
        <v>0</v>
      </c>
      <c r="AL138" s="278">
        <f>'🧮 Costos x Producto'!K142</f>
        <v>0</v>
      </c>
      <c r="AM138" s="278">
        <f>TABLA_BASE[[#This Row],[C/M UNIT.
(S/.)]]*TABLA_BASE[[#This Row],[CANTIDAD
(unid.)]]</f>
        <v>0</v>
      </c>
      <c r="AN138" s="279">
        <f>IF('🧾 Factura Comercial'!G142=0,0,'🧾 Tributos Aduana'!$F$17*(IF('🧾 Tributos Aduana'!$F$6=0,0,'🧾 Factura Comercial'!I142/'🧾 Tributos Aduana'!$F$6))/'🧾 Factura Comercial'!G142)</f>
        <v>0</v>
      </c>
      <c r="AO138" s="280">
        <f>IF('🧾 Factura Comercial'!G142=0,0,'🏦 Crédito Fiscal'!$C$16*(IF('🧾 Tributos Aduana'!$F$6=0,0,'🧾 Factura Comercial'!I142/'🧾 Tributos Aduana'!$F$6))/'🧾 Factura Comercial'!G142)</f>
        <v>0</v>
      </c>
      <c r="AP138" s="278">
        <f>TABLA_BASE[[#This Row],[CF UNIT.
✅RECUP.
(US$)]]*'📋 Datos Generales'!$E$19</f>
        <v>0</v>
      </c>
      <c r="AQ138" s="278">
        <f>TABLA_BASE[[#This Row],[CF UNIT.
✅RECUP.(S/.)]]*TABLA_BASE[[#This Row],[CANTIDAD
(unid.)]]</f>
        <v>0</v>
      </c>
      <c r="AR138" s="288">
        <f>'💰 Precio de Venta'!G143</f>
        <v>0.4</v>
      </c>
      <c r="AS138" s="278">
        <f>'💰 Precio de Venta'!H143</f>
        <v>0</v>
      </c>
      <c r="AT138" s="278">
        <f>TABLA_BASE[[#This Row],[VALOR VTA.
UNIT.(S/.)]]*TABLA_BASE[[#This Row],[CANTIDAD
(unid.)]]</f>
        <v>0</v>
      </c>
      <c r="AU138" s="281">
        <f>'💰 Precio de Venta'!I143</f>
        <v>0</v>
      </c>
      <c r="AV138" s="278">
        <f>'💰 Precio de Venta'!J143</f>
        <v>0</v>
      </c>
      <c r="AW138" s="278">
        <f>TABLA_BASE[[#This Row],[GANANCIA
UNIT.(S/.)]]*TABLA_BASE[[#This Row],[CANTIDAD
(unid.)]]</f>
        <v>0</v>
      </c>
      <c r="AX138" s="289">
        <f>'💰 Precio de Venta'!K143</f>
        <v>0</v>
      </c>
      <c r="AY138" s="278">
        <f>TABLA_BASE[[#This Row],[GANANCIA
UNIT.(S/.)]]*'🧾 Factura Comercial'!G142</f>
        <v>0</v>
      </c>
      <c r="AZ138" s="277">
        <f>IF(TABLA_BASE[[#This Row],[PRECIO VTA.
c/IGV(S/.)]]=0,0,TABLA_BASE[[#This Row],[GANANCIA
UNIT.(S/.)]]/TABLA_BASE[[#This Row],[PRECIO VTA.
c/IGV(S/.)]])</f>
        <v>0</v>
      </c>
      <c r="BA138" s="277">
        <f>IF(TABLA_BASE[[#This Row],[C/M UNIT.
(S/.)]]=0,0,TABLA_BASE[[#This Row],[GANANCIA
UNIT.(S/.)]]/TABLA_BASE[[#This Row],[C/M UNIT.
(S/.)]])</f>
        <v>0</v>
      </c>
      <c r="BB138" s="274" t="str">
        <f>IF(TABLA_BASE[[#This Row],[MARGEN
%]]&gt;=0.5,"🟢 ALTO",IF(TABLA_BASE[[#This Row],[MARGEN
%]]&gt;=0.3,"🟡 MEDIO","🔴 BAJO"))</f>
        <v>🟡 MEDIO</v>
      </c>
    </row>
    <row r="139" spans="1:54" ht="16.5" hidden="1" thickTop="1" thickBot="1" x14ac:dyDescent="0.3">
      <c r="A139" s="274">
        <f>'🧾 Factura Comercial'!E143</f>
        <v>0</v>
      </c>
      <c r="B139" s="274" t="str">
        <f>'🧾 Factura Comercial'!F143</f>
        <v>Unid.</v>
      </c>
      <c r="C139" s="275">
        <f>'🧾 Factura Comercial'!G143</f>
        <v>0</v>
      </c>
      <c r="D139" s="276">
        <f>'🧾 Factura Comercial'!H143</f>
        <v>0</v>
      </c>
      <c r="E139" s="276">
        <f>'🧾 Factura Comercial'!I143</f>
        <v>0</v>
      </c>
      <c r="F139" s="277">
        <f>IF('🧾 Tributos Aduana'!$F$6=0,0,'🧾 Factura Comercial'!I143/'🧾 Tributos Aduana'!$F$6)</f>
        <v>0</v>
      </c>
      <c r="G139" s="278">
        <f>'🧾 Factura Comercial'!H143*'📋 Datos Generales'!$E$19</f>
        <v>0</v>
      </c>
      <c r="H139" s="278">
        <f>TABLA_BASE[[#This Row],[FOB UNIT.
(S/.)]]*TABLA_BASE[[#This Row],[CANTIDAD
(unid.)]]</f>
        <v>0</v>
      </c>
      <c r="I139" s="280">
        <f>IF('🧾 Tributos Aduana'!$F$6=0,0,'🧾 Tributos Aduana'!$F$17*('🧾 Factura Comercial'!H143/'🧾 Tributos Aduana'!$F$6))</f>
        <v>0</v>
      </c>
      <c r="J139" s="280">
        <f>TABLA_BASE[[#This Row],[ADV UNIT.
(US$)
⚠️COSTO]]*TABLA_BASE[[#This Row],[CANTIDAD
(unid.)]]</f>
        <v>0</v>
      </c>
      <c r="K139" s="279">
        <f>IF('🧾 Tributos Aduana'!$F$6=0,0,'🧾 Tributos Aduana'!$F$18*('🧾 Factura Comercial'!H143/'🧾 Tributos Aduana'!$F$6))</f>
        <v>0</v>
      </c>
      <c r="L139" s="280">
        <f>TABLA_BASE[[#This Row],[IPM UNIT.
(US$)
✅CF]]*TABLA_BASE[[#This Row],[CANTIDAD
(unid.)]]</f>
        <v>0</v>
      </c>
      <c r="M139" s="279">
        <f>IF('🧾 Tributos Aduana'!$F$6=0,0,'🧾 Tributos Aduana'!$F$19*('🧾 Factura Comercial'!H143/'🧾 Tributos Aduana'!$F$6))</f>
        <v>0</v>
      </c>
      <c r="N139" s="280">
        <f>TABLA_BASE[[#This Row],[IGV UNIT.
(US$)
✅CF]]*TABLA_BASE[[#This Row],[CANTIDAD
(unid.)]]</f>
        <v>0</v>
      </c>
      <c r="O139" s="280">
        <f>IF('🧾 Tributos Aduana'!$F$6=0,0,'🧾 Tributos Aduana'!$F$23*('🧾 Factura Comercial'!H143/'🧾 Tributos Aduana'!$F$6))</f>
        <v>0</v>
      </c>
      <c r="P139" s="280">
        <f>TABLA_BASE[[#This Row],[PERCEP.
UNIT.(US$)
✅CF]]*TABLA_BASE[[#This Row],[CANTIDAD
(unid.)]]</f>
        <v>0</v>
      </c>
      <c r="Q139" s="279">
        <f>TABLA_BASE[[#This Row],[ADV UNIT.
(US$)
⚠️COSTO]]+TABLA_BASE[[#This Row],[IPM UNIT.
(US$)
✅CF]]+TABLA_BASE[[#This Row],[IGV UNIT.
(US$)
✅CF]]</f>
        <v>0</v>
      </c>
      <c r="R139" s="280">
        <f>TABLA_BASE[[#This Row],[DEUDA
ADUANERA
UNIT.]]*TABLA_BASE[[#This Row],[CANTIDAD
(unid.)]]</f>
        <v>0</v>
      </c>
      <c r="S139" s="278">
        <f>TABLA_BASE[[#This Row],[DEUDA
ADUANERA
UNIT.]]*'📋 Datos Generales'!$E$19</f>
        <v>0</v>
      </c>
      <c r="T139" s="278">
        <f>TABLA_BASE[[#This Row],[DEUDA
ADUANERA
TOTAL]]*'📋 Datos Generales'!$E$19</f>
        <v>0</v>
      </c>
      <c r="U139" s="281">
        <f>TABLA_BASE[[#This Row],[ADV UNIT.
(US$)
⚠️COSTO]]*'📋 Datos Generales'!$E$19</f>
        <v>0</v>
      </c>
      <c r="V139" s="281">
        <f>TABLA_BASE[[#This Row],[ADV UNIT.
(S/.)]]*TABLA_BASE[[#This Row],[CANTIDAD
(unid.)]]</f>
        <v>0</v>
      </c>
      <c r="W139" s="281">
        <f>TABLA_BASE[[#This Row],[IPM UNIT.
(US$)
✅CF]]*'📋 Datos Generales'!$E$19</f>
        <v>0</v>
      </c>
      <c r="X139" s="281">
        <f>TABLA_BASE[[#This Row],[IPM UNIT.
(S/.)]]*TABLA_BASE[[#This Row],[CANTIDAD
(unid.)]]</f>
        <v>0</v>
      </c>
      <c r="Y139" s="281">
        <f>TABLA_BASE[[#This Row],[IGV UNIT.
(US$)
✅CF]]*'📋 Datos Generales'!$E$19</f>
        <v>0</v>
      </c>
      <c r="Z139" s="281">
        <f>TABLA_BASE[[#This Row],[IGV UNIT.
(S/.)]]*TABLA_BASE[[#This Row],[CANTIDAD
(unid.)]]</f>
        <v>0</v>
      </c>
      <c r="AA139" s="281">
        <f>TABLA_BASE[[#This Row],[PERCEP.
UNIT.(US$)
✅CF]]*'📋 Datos Generales'!$E$19</f>
        <v>0</v>
      </c>
      <c r="AB139" s="281">
        <f>TABLA_BASE[[#This Row],[PERCEP.
UNIT.(S/.)]]*TABLA_BASE[[#This Row],[CANTIDAD
(unid.)]]</f>
        <v>0</v>
      </c>
      <c r="AC139" s="279">
        <f>TABLA_BASE[[#This Row],[ADV UNIT.
(US$)
⚠️COSTO]]+TABLA_BASE[[#This Row],[IPM UNIT.
(US$)
✅CF]]+TABLA_BASE[[#This Row],[IGV UNIT.
(US$)
✅CF]]+TABLA_BASE[[#This Row],[PERCEP.
UNIT.(US$)
✅CF]]</f>
        <v>0</v>
      </c>
      <c r="AD139" s="279">
        <f>TABLA_BASE[[#This Row],[TOTAL PAGO
SUNAT
UNIT.(US$)]]*TABLA_BASE[[#This Row],[CANTIDAD
(unid.)]]</f>
        <v>0</v>
      </c>
      <c r="AE139" s="281">
        <f>TABLA_BASE[[#This Row],[TOTAL PAGO
SUNAT
UNIT.(US$)]]*'📋 Datos Generales'!$E$19</f>
        <v>0</v>
      </c>
      <c r="AF139" s="281">
        <f>TABLA_BASE[[#This Row],[TOTAL TRIB.
UNIT.(S/.)]]*TABLA_BASE[[#This Row],[CANTIDAD
(unid.)]]</f>
        <v>0</v>
      </c>
      <c r="AG139" s="279">
        <f>IF('🧾 Factura Comercial'!G143=0,0,'📦 Gastos Importación'!$E$28*(IF('🧾 Tributos Aduana'!$F$6=0,0,'🧾 Factura Comercial'!I143/'🧾 Tributos Aduana'!$F$6))/'🧾 Factura Comercial'!G143)</f>
        <v>0</v>
      </c>
      <c r="AH139" s="279">
        <f>TABLA_BASE[[#This Row],[GASTOS IMP.
UNIT.(US$)]]*TABLA_BASE[[#This Row],[CANTIDAD
(unid.)]]</f>
        <v>0</v>
      </c>
      <c r="AI139" s="281">
        <f>TABLA_BASE[[#This Row],[GASTOS IMP.
UNIT.(US$)]]*'📋 Datos Generales'!$E$19</f>
        <v>0</v>
      </c>
      <c r="AJ139" s="281">
        <f>TABLA_BASE[[#This Row],[GASTOS IMP.
UNIT.(S/.)]]*TABLA_BASE[[#This Row],[CANTIDAD
(unid.)]]</f>
        <v>0</v>
      </c>
      <c r="AK139" s="280">
        <f>'🧮 Costos x Producto'!J143</f>
        <v>0</v>
      </c>
      <c r="AL139" s="278">
        <f>'🧮 Costos x Producto'!K143</f>
        <v>0</v>
      </c>
      <c r="AM139" s="278">
        <f>TABLA_BASE[[#This Row],[C/M UNIT.
(S/.)]]*TABLA_BASE[[#This Row],[CANTIDAD
(unid.)]]</f>
        <v>0</v>
      </c>
      <c r="AN139" s="279">
        <f>IF('🧾 Factura Comercial'!G143=0,0,'🧾 Tributos Aduana'!$F$17*(IF('🧾 Tributos Aduana'!$F$6=0,0,'🧾 Factura Comercial'!I143/'🧾 Tributos Aduana'!$F$6))/'🧾 Factura Comercial'!G143)</f>
        <v>0</v>
      </c>
      <c r="AO139" s="280">
        <f>IF('🧾 Factura Comercial'!G143=0,0,'🏦 Crédito Fiscal'!$C$16*(IF('🧾 Tributos Aduana'!$F$6=0,0,'🧾 Factura Comercial'!I143/'🧾 Tributos Aduana'!$F$6))/'🧾 Factura Comercial'!G143)</f>
        <v>0</v>
      </c>
      <c r="AP139" s="278">
        <f>TABLA_BASE[[#This Row],[CF UNIT.
✅RECUP.
(US$)]]*'📋 Datos Generales'!$E$19</f>
        <v>0</v>
      </c>
      <c r="AQ139" s="278">
        <f>TABLA_BASE[[#This Row],[CF UNIT.
✅RECUP.(S/.)]]*TABLA_BASE[[#This Row],[CANTIDAD
(unid.)]]</f>
        <v>0</v>
      </c>
      <c r="AR139" s="288">
        <f>'💰 Precio de Venta'!G144</f>
        <v>0.4</v>
      </c>
      <c r="AS139" s="278">
        <f>'💰 Precio de Venta'!H144</f>
        <v>0</v>
      </c>
      <c r="AT139" s="278">
        <f>TABLA_BASE[[#This Row],[VALOR VTA.
UNIT.(S/.)]]*TABLA_BASE[[#This Row],[CANTIDAD
(unid.)]]</f>
        <v>0</v>
      </c>
      <c r="AU139" s="281">
        <f>'💰 Precio de Venta'!I144</f>
        <v>0</v>
      </c>
      <c r="AV139" s="278">
        <f>'💰 Precio de Venta'!J144</f>
        <v>0</v>
      </c>
      <c r="AW139" s="278">
        <f>TABLA_BASE[[#This Row],[GANANCIA
UNIT.(S/.)]]*TABLA_BASE[[#This Row],[CANTIDAD
(unid.)]]</f>
        <v>0</v>
      </c>
      <c r="AX139" s="289">
        <f>'💰 Precio de Venta'!K144</f>
        <v>0</v>
      </c>
      <c r="AY139" s="278">
        <f>TABLA_BASE[[#This Row],[GANANCIA
UNIT.(S/.)]]*'🧾 Factura Comercial'!G143</f>
        <v>0</v>
      </c>
      <c r="AZ139" s="277">
        <f>IF(TABLA_BASE[[#This Row],[PRECIO VTA.
c/IGV(S/.)]]=0,0,TABLA_BASE[[#This Row],[GANANCIA
UNIT.(S/.)]]/TABLA_BASE[[#This Row],[PRECIO VTA.
c/IGV(S/.)]])</f>
        <v>0</v>
      </c>
      <c r="BA139" s="277">
        <f>IF(TABLA_BASE[[#This Row],[C/M UNIT.
(S/.)]]=0,0,TABLA_BASE[[#This Row],[GANANCIA
UNIT.(S/.)]]/TABLA_BASE[[#This Row],[C/M UNIT.
(S/.)]])</f>
        <v>0</v>
      </c>
      <c r="BB139" s="274" t="str">
        <f>IF(TABLA_BASE[[#This Row],[MARGEN
%]]&gt;=0.5,"🟢 ALTO",IF(TABLA_BASE[[#This Row],[MARGEN
%]]&gt;=0.3,"🟡 MEDIO","🔴 BAJO"))</f>
        <v>🟡 MEDIO</v>
      </c>
    </row>
    <row r="140" spans="1:54" ht="16.5" hidden="1" thickTop="1" thickBot="1" x14ac:dyDescent="0.3">
      <c r="A140" s="274">
        <f>'🧾 Factura Comercial'!E144</f>
        <v>0</v>
      </c>
      <c r="B140" s="274" t="str">
        <f>'🧾 Factura Comercial'!F144</f>
        <v>Unid.</v>
      </c>
      <c r="C140" s="275">
        <f>'🧾 Factura Comercial'!G144</f>
        <v>0</v>
      </c>
      <c r="D140" s="276">
        <f>'🧾 Factura Comercial'!H144</f>
        <v>0</v>
      </c>
      <c r="E140" s="276">
        <f>'🧾 Factura Comercial'!I144</f>
        <v>0</v>
      </c>
      <c r="F140" s="277">
        <f>IF('🧾 Tributos Aduana'!$F$6=0,0,'🧾 Factura Comercial'!I144/'🧾 Tributos Aduana'!$F$6)</f>
        <v>0</v>
      </c>
      <c r="G140" s="278">
        <f>'🧾 Factura Comercial'!H144*'📋 Datos Generales'!$E$19</f>
        <v>0</v>
      </c>
      <c r="H140" s="278">
        <f>TABLA_BASE[[#This Row],[FOB UNIT.
(S/.)]]*TABLA_BASE[[#This Row],[CANTIDAD
(unid.)]]</f>
        <v>0</v>
      </c>
      <c r="I140" s="280">
        <f>IF('🧾 Tributos Aduana'!$F$6=0,0,'🧾 Tributos Aduana'!$F$17*('🧾 Factura Comercial'!H144/'🧾 Tributos Aduana'!$F$6))</f>
        <v>0</v>
      </c>
      <c r="J140" s="280">
        <f>TABLA_BASE[[#This Row],[ADV UNIT.
(US$)
⚠️COSTO]]*TABLA_BASE[[#This Row],[CANTIDAD
(unid.)]]</f>
        <v>0</v>
      </c>
      <c r="K140" s="279">
        <f>IF('🧾 Tributos Aduana'!$F$6=0,0,'🧾 Tributos Aduana'!$F$18*('🧾 Factura Comercial'!H144/'🧾 Tributos Aduana'!$F$6))</f>
        <v>0</v>
      </c>
      <c r="L140" s="280">
        <f>TABLA_BASE[[#This Row],[IPM UNIT.
(US$)
✅CF]]*TABLA_BASE[[#This Row],[CANTIDAD
(unid.)]]</f>
        <v>0</v>
      </c>
      <c r="M140" s="279">
        <f>IF('🧾 Tributos Aduana'!$F$6=0,0,'🧾 Tributos Aduana'!$F$19*('🧾 Factura Comercial'!H144/'🧾 Tributos Aduana'!$F$6))</f>
        <v>0</v>
      </c>
      <c r="N140" s="280">
        <f>TABLA_BASE[[#This Row],[IGV UNIT.
(US$)
✅CF]]*TABLA_BASE[[#This Row],[CANTIDAD
(unid.)]]</f>
        <v>0</v>
      </c>
      <c r="O140" s="280">
        <f>IF('🧾 Tributos Aduana'!$F$6=0,0,'🧾 Tributos Aduana'!$F$23*('🧾 Factura Comercial'!H144/'🧾 Tributos Aduana'!$F$6))</f>
        <v>0</v>
      </c>
      <c r="P140" s="280">
        <f>TABLA_BASE[[#This Row],[PERCEP.
UNIT.(US$)
✅CF]]*TABLA_BASE[[#This Row],[CANTIDAD
(unid.)]]</f>
        <v>0</v>
      </c>
      <c r="Q140" s="279">
        <f>TABLA_BASE[[#This Row],[ADV UNIT.
(US$)
⚠️COSTO]]+TABLA_BASE[[#This Row],[IPM UNIT.
(US$)
✅CF]]+TABLA_BASE[[#This Row],[IGV UNIT.
(US$)
✅CF]]</f>
        <v>0</v>
      </c>
      <c r="R140" s="280">
        <f>TABLA_BASE[[#This Row],[DEUDA
ADUANERA
UNIT.]]*TABLA_BASE[[#This Row],[CANTIDAD
(unid.)]]</f>
        <v>0</v>
      </c>
      <c r="S140" s="278">
        <f>TABLA_BASE[[#This Row],[DEUDA
ADUANERA
UNIT.]]*'📋 Datos Generales'!$E$19</f>
        <v>0</v>
      </c>
      <c r="T140" s="278">
        <f>TABLA_BASE[[#This Row],[DEUDA
ADUANERA
TOTAL]]*'📋 Datos Generales'!$E$19</f>
        <v>0</v>
      </c>
      <c r="U140" s="281">
        <f>TABLA_BASE[[#This Row],[ADV UNIT.
(US$)
⚠️COSTO]]*'📋 Datos Generales'!$E$19</f>
        <v>0</v>
      </c>
      <c r="V140" s="281">
        <f>TABLA_BASE[[#This Row],[ADV UNIT.
(S/.)]]*TABLA_BASE[[#This Row],[CANTIDAD
(unid.)]]</f>
        <v>0</v>
      </c>
      <c r="W140" s="281">
        <f>TABLA_BASE[[#This Row],[IPM UNIT.
(US$)
✅CF]]*'📋 Datos Generales'!$E$19</f>
        <v>0</v>
      </c>
      <c r="X140" s="281">
        <f>TABLA_BASE[[#This Row],[IPM UNIT.
(S/.)]]*TABLA_BASE[[#This Row],[CANTIDAD
(unid.)]]</f>
        <v>0</v>
      </c>
      <c r="Y140" s="281">
        <f>TABLA_BASE[[#This Row],[IGV UNIT.
(US$)
✅CF]]*'📋 Datos Generales'!$E$19</f>
        <v>0</v>
      </c>
      <c r="Z140" s="281">
        <f>TABLA_BASE[[#This Row],[IGV UNIT.
(S/.)]]*TABLA_BASE[[#This Row],[CANTIDAD
(unid.)]]</f>
        <v>0</v>
      </c>
      <c r="AA140" s="281">
        <f>TABLA_BASE[[#This Row],[PERCEP.
UNIT.(US$)
✅CF]]*'📋 Datos Generales'!$E$19</f>
        <v>0</v>
      </c>
      <c r="AB140" s="281">
        <f>TABLA_BASE[[#This Row],[PERCEP.
UNIT.(S/.)]]*TABLA_BASE[[#This Row],[CANTIDAD
(unid.)]]</f>
        <v>0</v>
      </c>
      <c r="AC140" s="279">
        <f>TABLA_BASE[[#This Row],[ADV UNIT.
(US$)
⚠️COSTO]]+TABLA_BASE[[#This Row],[IPM UNIT.
(US$)
✅CF]]+TABLA_BASE[[#This Row],[IGV UNIT.
(US$)
✅CF]]+TABLA_BASE[[#This Row],[PERCEP.
UNIT.(US$)
✅CF]]</f>
        <v>0</v>
      </c>
      <c r="AD140" s="279">
        <f>TABLA_BASE[[#This Row],[TOTAL PAGO
SUNAT
UNIT.(US$)]]*TABLA_BASE[[#This Row],[CANTIDAD
(unid.)]]</f>
        <v>0</v>
      </c>
      <c r="AE140" s="281">
        <f>TABLA_BASE[[#This Row],[TOTAL PAGO
SUNAT
UNIT.(US$)]]*'📋 Datos Generales'!$E$19</f>
        <v>0</v>
      </c>
      <c r="AF140" s="281">
        <f>TABLA_BASE[[#This Row],[TOTAL TRIB.
UNIT.(S/.)]]*TABLA_BASE[[#This Row],[CANTIDAD
(unid.)]]</f>
        <v>0</v>
      </c>
      <c r="AG140" s="279">
        <f>IF('🧾 Factura Comercial'!G144=0,0,'📦 Gastos Importación'!$E$28*(IF('🧾 Tributos Aduana'!$F$6=0,0,'🧾 Factura Comercial'!I144/'🧾 Tributos Aduana'!$F$6))/'🧾 Factura Comercial'!G144)</f>
        <v>0</v>
      </c>
      <c r="AH140" s="279">
        <f>TABLA_BASE[[#This Row],[GASTOS IMP.
UNIT.(US$)]]*TABLA_BASE[[#This Row],[CANTIDAD
(unid.)]]</f>
        <v>0</v>
      </c>
      <c r="AI140" s="281">
        <f>TABLA_BASE[[#This Row],[GASTOS IMP.
UNIT.(US$)]]*'📋 Datos Generales'!$E$19</f>
        <v>0</v>
      </c>
      <c r="AJ140" s="281">
        <f>TABLA_BASE[[#This Row],[GASTOS IMP.
UNIT.(S/.)]]*TABLA_BASE[[#This Row],[CANTIDAD
(unid.)]]</f>
        <v>0</v>
      </c>
      <c r="AK140" s="280">
        <f>'🧮 Costos x Producto'!J144</f>
        <v>0</v>
      </c>
      <c r="AL140" s="278">
        <f>'🧮 Costos x Producto'!K144</f>
        <v>0</v>
      </c>
      <c r="AM140" s="278">
        <f>TABLA_BASE[[#This Row],[C/M UNIT.
(S/.)]]*TABLA_BASE[[#This Row],[CANTIDAD
(unid.)]]</f>
        <v>0</v>
      </c>
      <c r="AN140" s="279">
        <f>IF('🧾 Factura Comercial'!G144=0,0,'🧾 Tributos Aduana'!$F$17*(IF('🧾 Tributos Aduana'!$F$6=0,0,'🧾 Factura Comercial'!I144/'🧾 Tributos Aduana'!$F$6))/'🧾 Factura Comercial'!G144)</f>
        <v>0</v>
      </c>
      <c r="AO140" s="280">
        <f>IF('🧾 Factura Comercial'!G144=0,0,'🏦 Crédito Fiscal'!$C$16*(IF('🧾 Tributos Aduana'!$F$6=0,0,'🧾 Factura Comercial'!I144/'🧾 Tributos Aduana'!$F$6))/'🧾 Factura Comercial'!G144)</f>
        <v>0</v>
      </c>
      <c r="AP140" s="278">
        <f>TABLA_BASE[[#This Row],[CF UNIT.
✅RECUP.
(US$)]]*'📋 Datos Generales'!$E$19</f>
        <v>0</v>
      </c>
      <c r="AQ140" s="278">
        <f>TABLA_BASE[[#This Row],[CF UNIT.
✅RECUP.(S/.)]]*TABLA_BASE[[#This Row],[CANTIDAD
(unid.)]]</f>
        <v>0</v>
      </c>
      <c r="AR140" s="288">
        <f>'💰 Precio de Venta'!G145</f>
        <v>0.4</v>
      </c>
      <c r="AS140" s="278">
        <f>'💰 Precio de Venta'!H145</f>
        <v>0</v>
      </c>
      <c r="AT140" s="278">
        <f>TABLA_BASE[[#This Row],[VALOR VTA.
UNIT.(S/.)]]*TABLA_BASE[[#This Row],[CANTIDAD
(unid.)]]</f>
        <v>0</v>
      </c>
      <c r="AU140" s="281">
        <f>'💰 Precio de Venta'!I145</f>
        <v>0</v>
      </c>
      <c r="AV140" s="278">
        <f>'💰 Precio de Venta'!J145</f>
        <v>0</v>
      </c>
      <c r="AW140" s="278">
        <f>TABLA_BASE[[#This Row],[GANANCIA
UNIT.(S/.)]]*TABLA_BASE[[#This Row],[CANTIDAD
(unid.)]]</f>
        <v>0</v>
      </c>
      <c r="AX140" s="289">
        <f>'💰 Precio de Venta'!K145</f>
        <v>0</v>
      </c>
      <c r="AY140" s="278">
        <f>TABLA_BASE[[#This Row],[GANANCIA
UNIT.(S/.)]]*'🧾 Factura Comercial'!G144</f>
        <v>0</v>
      </c>
      <c r="AZ140" s="277">
        <f>IF(TABLA_BASE[[#This Row],[PRECIO VTA.
c/IGV(S/.)]]=0,0,TABLA_BASE[[#This Row],[GANANCIA
UNIT.(S/.)]]/TABLA_BASE[[#This Row],[PRECIO VTA.
c/IGV(S/.)]])</f>
        <v>0</v>
      </c>
      <c r="BA140" s="277">
        <f>IF(TABLA_BASE[[#This Row],[C/M UNIT.
(S/.)]]=0,0,TABLA_BASE[[#This Row],[GANANCIA
UNIT.(S/.)]]/TABLA_BASE[[#This Row],[C/M UNIT.
(S/.)]])</f>
        <v>0</v>
      </c>
      <c r="BB140" s="274" t="str">
        <f>IF(TABLA_BASE[[#This Row],[MARGEN
%]]&gt;=0.5,"🟢 ALTO",IF(TABLA_BASE[[#This Row],[MARGEN
%]]&gt;=0.3,"🟡 MEDIO","🔴 BAJO"))</f>
        <v>🟡 MEDIO</v>
      </c>
    </row>
    <row r="141" spans="1:54" ht="16.5" hidden="1" thickTop="1" thickBot="1" x14ac:dyDescent="0.3">
      <c r="A141" s="274">
        <f>'🧾 Factura Comercial'!E145</f>
        <v>0</v>
      </c>
      <c r="B141" s="274" t="str">
        <f>'🧾 Factura Comercial'!F145</f>
        <v>Unid.</v>
      </c>
      <c r="C141" s="275">
        <f>'🧾 Factura Comercial'!G145</f>
        <v>0</v>
      </c>
      <c r="D141" s="276">
        <f>'🧾 Factura Comercial'!H145</f>
        <v>0</v>
      </c>
      <c r="E141" s="276">
        <f>'🧾 Factura Comercial'!I145</f>
        <v>0</v>
      </c>
      <c r="F141" s="277">
        <f>IF('🧾 Tributos Aduana'!$F$6=0,0,'🧾 Factura Comercial'!I145/'🧾 Tributos Aduana'!$F$6)</f>
        <v>0</v>
      </c>
      <c r="G141" s="278">
        <f>'🧾 Factura Comercial'!H145*'📋 Datos Generales'!$E$19</f>
        <v>0</v>
      </c>
      <c r="H141" s="278">
        <f>TABLA_BASE[[#This Row],[FOB UNIT.
(S/.)]]*TABLA_BASE[[#This Row],[CANTIDAD
(unid.)]]</f>
        <v>0</v>
      </c>
      <c r="I141" s="280">
        <f>IF('🧾 Tributos Aduana'!$F$6=0,0,'🧾 Tributos Aduana'!$F$17*('🧾 Factura Comercial'!H145/'🧾 Tributos Aduana'!$F$6))</f>
        <v>0</v>
      </c>
      <c r="J141" s="280">
        <f>TABLA_BASE[[#This Row],[ADV UNIT.
(US$)
⚠️COSTO]]*TABLA_BASE[[#This Row],[CANTIDAD
(unid.)]]</f>
        <v>0</v>
      </c>
      <c r="K141" s="279">
        <f>IF('🧾 Tributos Aduana'!$F$6=0,0,'🧾 Tributos Aduana'!$F$18*('🧾 Factura Comercial'!H145/'🧾 Tributos Aduana'!$F$6))</f>
        <v>0</v>
      </c>
      <c r="L141" s="280">
        <f>TABLA_BASE[[#This Row],[IPM UNIT.
(US$)
✅CF]]*TABLA_BASE[[#This Row],[CANTIDAD
(unid.)]]</f>
        <v>0</v>
      </c>
      <c r="M141" s="279">
        <f>IF('🧾 Tributos Aduana'!$F$6=0,0,'🧾 Tributos Aduana'!$F$19*('🧾 Factura Comercial'!H145/'🧾 Tributos Aduana'!$F$6))</f>
        <v>0</v>
      </c>
      <c r="N141" s="280">
        <f>TABLA_BASE[[#This Row],[IGV UNIT.
(US$)
✅CF]]*TABLA_BASE[[#This Row],[CANTIDAD
(unid.)]]</f>
        <v>0</v>
      </c>
      <c r="O141" s="280">
        <f>IF('🧾 Tributos Aduana'!$F$6=0,0,'🧾 Tributos Aduana'!$F$23*('🧾 Factura Comercial'!H145/'🧾 Tributos Aduana'!$F$6))</f>
        <v>0</v>
      </c>
      <c r="P141" s="280">
        <f>TABLA_BASE[[#This Row],[PERCEP.
UNIT.(US$)
✅CF]]*TABLA_BASE[[#This Row],[CANTIDAD
(unid.)]]</f>
        <v>0</v>
      </c>
      <c r="Q141" s="279">
        <f>TABLA_BASE[[#This Row],[ADV UNIT.
(US$)
⚠️COSTO]]+TABLA_BASE[[#This Row],[IPM UNIT.
(US$)
✅CF]]+TABLA_BASE[[#This Row],[IGV UNIT.
(US$)
✅CF]]</f>
        <v>0</v>
      </c>
      <c r="R141" s="280">
        <f>TABLA_BASE[[#This Row],[DEUDA
ADUANERA
UNIT.]]*TABLA_BASE[[#This Row],[CANTIDAD
(unid.)]]</f>
        <v>0</v>
      </c>
      <c r="S141" s="278">
        <f>TABLA_BASE[[#This Row],[DEUDA
ADUANERA
UNIT.]]*'📋 Datos Generales'!$E$19</f>
        <v>0</v>
      </c>
      <c r="T141" s="278">
        <f>TABLA_BASE[[#This Row],[DEUDA
ADUANERA
TOTAL]]*'📋 Datos Generales'!$E$19</f>
        <v>0</v>
      </c>
      <c r="U141" s="281">
        <f>TABLA_BASE[[#This Row],[ADV UNIT.
(US$)
⚠️COSTO]]*'📋 Datos Generales'!$E$19</f>
        <v>0</v>
      </c>
      <c r="V141" s="281">
        <f>TABLA_BASE[[#This Row],[ADV UNIT.
(S/.)]]*TABLA_BASE[[#This Row],[CANTIDAD
(unid.)]]</f>
        <v>0</v>
      </c>
      <c r="W141" s="281">
        <f>TABLA_BASE[[#This Row],[IPM UNIT.
(US$)
✅CF]]*'📋 Datos Generales'!$E$19</f>
        <v>0</v>
      </c>
      <c r="X141" s="281">
        <f>TABLA_BASE[[#This Row],[IPM UNIT.
(S/.)]]*TABLA_BASE[[#This Row],[CANTIDAD
(unid.)]]</f>
        <v>0</v>
      </c>
      <c r="Y141" s="281">
        <f>TABLA_BASE[[#This Row],[IGV UNIT.
(US$)
✅CF]]*'📋 Datos Generales'!$E$19</f>
        <v>0</v>
      </c>
      <c r="Z141" s="281">
        <f>TABLA_BASE[[#This Row],[IGV UNIT.
(S/.)]]*TABLA_BASE[[#This Row],[CANTIDAD
(unid.)]]</f>
        <v>0</v>
      </c>
      <c r="AA141" s="281">
        <f>TABLA_BASE[[#This Row],[PERCEP.
UNIT.(US$)
✅CF]]*'📋 Datos Generales'!$E$19</f>
        <v>0</v>
      </c>
      <c r="AB141" s="281">
        <f>TABLA_BASE[[#This Row],[PERCEP.
UNIT.(S/.)]]*TABLA_BASE[[#This Row],[CANTIDAD
(unid.)]]</f>
        <v>0</v>
      </c>
      <c r="AC141" s="279">
        <f>TABLA_BASE[[#This Row],[ADV UNIT.
(US$)
⚠️COSTO]]+TABLA_BASE[[#This Row],[IPM UNIT.
(US$)
✅CF]]+TABLA_BASE[[#This Row],[IGV UNIT.
(US$)
✅CF]]+TABLA_BASE[[#This Row],[PERCEP.
UNIT.(US$)
✅CF]]</f>
        <v>0</v>
      </c>
      <c r="AD141" s="279">
        <f>TABLA_BASE[[#This Row],[TOTAL PAGO
SUNAT
UNIT.(US$)]]*TABLA_BASE[[#This Row],[CANTIDAD
(unid.)]]</f>
        <v>0</v>
      </c>
      <c r="AE141" s="281">
        <f>TABLA_BASE[[#This Row],[TOTAL PAGO
SUNAT
UNIT.(US$)]]*'📋 Datos Generales'!$E$19</f>
        <v>0</v>
      </c>
      <c r="AF141" s="281">
        <f>TABLA_BASE[[#This Row],[TOTAL TRIB.
UNIT.(S/.)]]*TABLA_BASE[[#This Row],[CANTIDAD
(unid.)]]</f>
        <v>0</v>
      </c>
      <c r="AG141" s="279">
        <f>IF('🧾 Factura Comercial'!G145=0,0,'📦 Gastos Importación'!$E$28*(IF('🧾 Tributos Aduana'!$F$6=0,0,'🧾 Factura Comercial'!I145/'🧾 Tributos Aduana'!$F$6))/'🧾 Factura Comercial'!G145)</f>
        <v>0</v>
      </c>
      <c r="AH141" s="279">
        <f>TABLA_BASE[[#This Row],[GASTOS IMP.
UNIT.(US$)]]*TABLA_BASE[[#This Row],[CANTIDAD
(unid.)]]</f>
        <v>0</v>
      </c>
      <c r="AI141" s="281">
        <f>TABLA_BASE[[#This Row],[GASTOS IMP.
UNIT.(US$)]]*'📋 Datos Generales'!$E$19</f>
        <v>0</v>
      </c>
      <c r="AJ141" s="281">
        <f>TABLA_BASE[[#This Row],[GASTOS IMP.
UNIT.(S/.)]]*TABLA_BASE[[#This Row],[CANTIDAD
(unid.)]]</f>
        <v>0</v>
      </c>
      <c r="AK141" s="280">
        <f>'🧮 Costos x Producto'!J145</f>
        <v>0</v>
      </c>
      <c r="AL141" s="278">
        <f>'🧮 Costos x Producto'!K145</f>
        <v>0</v>
      </c>
      <c r="AM141" s="278">
        <f>TABLA_BASE[[#This Row],[C/M UNIT.
(S/.)]]*TABLA_BASE[[#This Row],[CANTIDAD
(unid.)]]</f>
        <v>0</v>
      </c>
      <c r="AN141" s="279">
        <f>IF('🧾 Factura Comercial'!G145=0,0,'🧾 Tributos Aduana'!$F$17*(IF('🧾 Tributos Aduana'!$F$6=0,0,'🧾 Factura Comercial'!I145/'🧾 Tributos Aduana'!$F$6))/'🧾 Factura Comercial'!G145)</f>
        <v>0</v>
      </c>
      <c r="AO141" s="280">
        <f>IF('🧾 Factura Comercial'!G145=0,0,'🏦 Crédito Fiscal'!$C$16*(IF('🧾 Tributos Aduana'!$F$6=0,0,'🧾 Factura Comercial'!I145/'🧾 Tributos Aduana'!$F$6))/'🧾 Factura Comercial'!G145)</f>
        <v>0</v>
      </c>
      <c r="AP141" s="278">
        <f>TABLA_BASE[[#This Row],[CF UNIT.
✅RECUP.
(US$)]]*'📋 Datos Generales'!$E$19</f>
        <v>0</v>
      </c>
      <c r="AQ141" s="278">
        <f>TABLA_BASE[[#This Row],[CF UNIT.
✅RECUP.(S/.)]]*TABLA_BASE[[#This Row],[CANTIDAD
(unid.)]]</f>
        <v>0</v>
      </c>
      <c r="AR141" s="288">
        <f>'💰 Precio de Venta'!G146</f>
        <v>0.4</v>
      </c>
      <c r="AS141" s="278">
        <f>'💰 Precio de Venta'!H146</f>
        <v>0</v>
      </c>
      <c r="AT141" s="278">
        <f>TABLA_BASE[[#This Row],[VALOR VTA.
UNIT.(S/.)]]*TABLA_BASE[[#This Row],[CANTIDAD
(unid.)]]</f>
        <v>0</v>
      </c>
      <c r="AU141" s="281">
        <f>'💰 Precio de Venta'!I146</f>
        <v>0</v>
      </c>
      <c r="AV141" s="278">
        <f>'💰 Precio de Venta'!J146</f>
        <v>0</v>
      </c>
      <c r="AW141" s="278">
        <f>TABLA_BASE[[#This Row],[GANANCIA
UNIT.(S/.)]]*TABLA_BASE[[#This Row],[CANTIDAD
(unid.)]]</f>
        <v>0</v>
      </c>
      <c r="AX141" s="289">
        <f>'💰 Precio de Venta'!K146</f>
        <v>0</v>
      </c>
      <c r="AY141" s="278">
        <f>TABLA_BASE[[#This Row],[GANANCIA
UNIT.(S/.)]]*'🧾 Factura Comercial'!G145</f>
        <v>0</v>
      </c>
      <c r="AZ141" s="277">
        <f>IF(TABLA_BASE[[#This Row],[PRECIO VTA.
c/IGV(S/.)]]=0,0,TABLA_BASE[[#This Row],[GANANCIA
UNIT.(S/.)]]/TABLA_BASE[[#This Row],[PRECIO VTA.
c/IGV(S/.)]])</f>
        <v>0</v>
      </c>
      <c r="BA141" s="277">
        <f>IF(TABLA_BASE[[#This Row],[C/M UNIT.
(S/.)]]=0,0,TABLA_BASE[[#This Row],[GANANCIA
UNIT.(S/.)]]/TABLA_BASE[[#This Row],[C/M UNIT.
(S/.)]])</f>
        <v>0</v>
      </c>
      <c r="BB141" s="274" t="str">
        <f>IF(TABLA_BASE[[#This Row],[MARGEN
%]]&gt;=0.5,"🟢 ALTO",IF(TABLA_BASE[[#This Row],[MARGEN
%]]&gt;=0.3,"🟡 MEDIO","🔴 BAJO"))</f>
        <v>🟡 MEDIO</v>
      </c>
    </row>
    <row r="142" spans="1:54" ht="16.5" hidden="1" thickTop="1" thickBot="1" x14ac:dyDescent="0.3">
      <c r="A142" s="274">
        <f>'🧾 Factura Comercial'!E146</f>
        <v>0</v>
      </c>
      <c r="B142" s="274" t="str">
        <f>'🧾 Factura Comercial'!F146</f>
        <v>Unid.</v>
      </c>
      <c r="C142" s="275">
        <f>'🧾 Factura Comercial'!G146</f>
        <v>0</v>
      </c>
      <c r="D142" s="276">
        <f>'🧾 Factura Comercial'!H146</f>
        <v>0</v>
      </c>
      <c r="E142" s="276">
        <f>'🧾 Factura Comercial'!I146</f>
        <v>0</v>
      </c>
      <c r="F142" s="277">
        <f>IF('🧾 Tributos Aduana'!$F$6=0,0,'🧾 Factura Comercial'!I146/'🧾 Tributos Aduana'!$F$6)</f>
        <v>0</v>
      </c>
      <c r="G142" s="278">
        <f>'🧾 Factura Comercial'!H146*'📋 Datos Generales'!$E$19</f>
        <v>0</v>
      </c>
      <c r="H142" s="278">
        <f>TABLA_BASE[[#This Row],[FOB UNIT.
(S/.)]]*TABLA_BASE[[#This Row],[CANTIDAD
(unid.)]]</f>
        <v>0</v>
      </c>
      <c r="I142" s="280">
        <f>IF('🧾 Tributos Aduana'!$F$6=0,0,'🧾 Tributos Aduana'!$F$17*('🧾 Factura Comercial'!H146/'🧾 Tributos Aduana'!$F$6))</f>
        <v>0</v>
      </c>
      <c r="J142" s="280">
        <f>TABLA_BASE[[#This Row],[ADV UNIT.
(US$)
⚠️COSTO]]*TABLA_BASE[[#This Row],[CANTIDAD
(unid.)]]</f>
        <v>0</v>
      </c>
      <c r="K142" s="279">
        <f>IF('🧾 Tributos Aduana'!$F$6=0,0,'🧾 Tributos Aduana'!$F$18*('🧾 Factura Comercial'!H146/'🧾 Tributos Aduana'!$F$6))</f>
        <v>0</v>
      </c>
      <c r="L142" s="280">
        <f>TABLA_BASE[[#This Row],[IPM UNIT.
(US$)
✅CF]]*TABLA_BASE[[#This Row],[CANTIDAD
(unid.)]]</f>
        <v>0</v>
      </c>
      <c r="M142" s="279">
        <f>IF('🧾 Tributos Aduana'!$F$6=0,0,'🧾 Tributos Aduana'!$F$19*('🧾 Factura Comercial'!H146/'🧾 Tributos Aduana'!$F$6))</f>
        <v>0</v>
      </c>
      <c r="N142" s="280">
        <f>TABLA_BASE[[#This Row],[IGV UNIT.
(US$)
✅CF]]*TABLA_BASE[[#This Row],[CANTIDAD
(unid.)]]</f>
        <v>0</v>
      </c>
      <c r="O142" s="280">
        <f>IF('🧾 Tributos Aduana'!$F$6=0,0,'🧾 Tributos Aduana'!$F$23*('🧾 Factura Comercial'!H146/'🧾 Tributos Aduana'!$F$6))</f>
        <v>0</v>
      </c>
      <c r="P142" s="280">
        <f>TABLA_BASE[[#This Row],[PERCEP.
UNIT.(US$)
✅CF]]*TABLA_BASE[[#This Row],[CANTIDAD
(unid.)]]</f>
        <v>0</v>
      </c>
      <c r="Q142" s="279">
        <f>TABLA_BASE[[#This Row],[ADV UNIT.
(US$)
⚠️COSTO]]+TABLA_BASE[[#This Row],[IPM UNIT.
(US$)
✅CF]]+TABLA_BASE[[#This Row],[IGV UNIT.
(US$)
✅CF]]</f>
        <v>0</v>
      </c>
      <c r="R142" s="280">
        <f>TABLA_BASE[[#This Row],[DEUDA
ADUANERA
UNIT.]]*TABLA_BASE[[#This Row],[CANTIDAD
(unid.)]]</f>
        <v>0</v>
      </c>
      <c r="S142" s="278">
        <f>TABLA_BASE[[#This Row],[DEUDA
ADUANERA
UNIT.]]*'📋 Datos Generales'!$E$19</f>
        <v>0</v>
      </c>
      <c r="T142" s="278">
        <f>TABLA_BASE[[#This Row],[DEUDA
ADUANERA
TOTAL]]*'📋 Datos Generales'!$E$19</f>
        <v>0</v>
      </c>
      <c r="U142" s="281">
        <f>TABLA_BASE[[#This Row],[ADV UNIT.
(US$)
⚠️COSTO]]*'📋 Datos Generales'!$E$19</f>
        <v>0</v>
      </c>
      <c r="V142" s="281">
        <f>TABLA_BASE[[#This Row],[ADV UNIT.
(S/.)]]*TABLA_BASE[[#This Row],[CANTIDAD
(unid.)]]</f>
        <v>0</v>
      </c>
      <c r="W142" s="281">
        <f>TABLA_BASE[[#This Row],[IPM UNIT.
(US$)
✅CF]]*'📋 Datos Generales'!$E$19</f>
        <v>0</v>
      </c>
      <c r="X142" s="281">
        <f>TABLA_BASE[[#This Row],[IPM UNIT.
(S/.)]]*TABLA_BASE[[#This Row],[CANTIDAD
(unid.)]]</f>
        <v>0</v>
      </c>
      <c r="Y142" s="281">
        <f>TABLA_BASE[[#This Row],[IGV UNIT.
(US$)
✅CF]]*'📋 Datos Generales'!$E$19</f>
        <v>0</v>
      </c>
      <c r="Z142" s="281">
        <f>TABLA_BASE[[#This Row],[IGV UNIT.
(S/.)]]*TABLA_BASE[[#This Row],[CANTIDAD
(unid.)]]</f>
        <v>0</v>
      </c>
      <c r="AA142" s="281">
        <f>TABLA_BASE[[#This Row],[PERCEP.
UNIT.(US$)
✅CF]]*'📋 Datos Generales'!$E$19</f>
        <v>0</v>
      </c>
      <c r="AB142" s="281">
        <f>TABLA_BASE[[#This Row],[PERCEP.
UNIT.(S/.)]]*TABLA_BASE[[#This Row],[CANTIDAD
(unid.)]]</f>
        <v>0</v>
      </c>
      <c r="AC142" s="279">
        <f>TABLA_BASE[[#This Row],[ADV UNIT.
(US$)
⚠️COSTO]]+TABLA_BASE[[#This Row],[IPM UNIT.
(US$)
✅CF]]+TABLA_BASE[[#This Row],[IGV UNIT.
(US$)
✅CF]]+TABLA_BASE[[#This Row],[PERCEP.
UNIT.(US$)
✅CF]]</f>
        <v>0</v>
      </c>
      <c r="AD142" s="279">
        <f>TABLA_BASE[[#This Row],[TOTAL PAGO
SUNAT
UNIT.(US$)]]*TABLA_BASE[[#This Row],[CANTIDAD
(unid.)]]</f>
        <v>0</v>
      </c>
      <c r="AE142" s="281">
        <f>TABLA_BASE[[#This Row],[TOTAL PAGO
SUNAT
UNIT.(US$)]]*'📋 Datos Generales'!$E$19</f>
        <v>0</v>
      </c>
      <c r="AF142" s="281">
        <f>TABLA_BASE[[#This Row],[TOTAL TRIB.
UNIT.(S/.)]]*TABLA_BASE[[#This Row],[CANTIDAD
(unid.)]]</f>
        <v>0</v>
      </c>
      <c r="AG142" s="279">
        <f>IF('🧾 Factura Comercial'!G146=0,0,'📦 Gastos Importación'!$E$28*(IF('🧾 Tributos Aduana'!$F$6=0,0,'🧾 Factura Comercial'!I146/'🧾 Tributos Aduana'!$F$6))/'🧾 Factura Comercial'!G146)</f>
        <v>0</v>
      </c>
      <c r="AH142" s="279">
        <f>TABLA_BASE[[#This Row],[GASTOS IMP.
UNIT.(US$)]]*TABLA_BASE[[#This Row],[CANTIDAD
(unid.)]]</f>
        <v>0</v>
      </c>
      <c r="AI142" s="281">
        <f>TABLA_BASE[[#This Row],[GASTOS IMP.
UNIT.(US$)]]*'📋 Datos Generales'!$E$19</f>
        <v>0</v>
      </c>
      <c r="AJ142" s="281">
        <f>TABLA_BASE[[#This Row],[GASTOS IMP.
UNIT.(S/.)]]*TABLA_BASE[[#This Row],[CANTIDAD
(unid.)]]</f>
        <v>0</v>
      </c>
      <c r="AK142" s="280">
        <f>'🧮 Costos x Producto'!J146</f>
        <v>0</v>
      </c>
      <c r="AL142" s="278">
        <f>'🧮 Costos x Producto'!K146</f>
        <v>0</v>
      </c>
      <c r="AM142" s="278">
        <f>TABLA_BASE[[#This Row],[C/M UNIT.
(S/.)]]*TABLA_BASE[[#This Row],[CANTIDAD
(unid.)]]</f>
        <v>0</v>
      </c>
      <c r="AN142" s="279">
        <f>IF('🧾 Factura Comercial'!G146=0,0,'🧾 Tributos Aduana'!$F$17*(IF('🧾 Tributos Aduana'!$F$6=0,0,'🧾 Factura Comercial'!I146/'🧾 Tributos Aduana'!$F$6))/'🧾 Factura Comercial'!G146)</f>
        <v>0</v>
      </c>
      <c r="AO142" s="280">
        <f>IF('🧾 Factura Comercial'!G146=0,0,'🏦 Crédito Fiscal'!$C$16*(IF('🧾 Tributos Aduana'!$F$6=0,0,'🧾 Factura Comercial'!I146/'🧾 Tributos Aduana'!$F$6))/'🧾 Factura Comercial'!G146)</f>
        <v>0</v>
      </c>
      <c r="AP142" s="278">
        <f>TABLA_BASE[[#This Row],[CF UNIT.
✅RECUP.
(US$)]]*'📋 Datos Generales'!$E$19</f>
        <v>0</v>
      </c>
      <c r="AQ142" s="278">
        <f>TABLA_BASE[[#This Row],[CF UNIT.
✅RECUP.(S/.)]]*TABLA_BASE[[#This Row],[CANTIDAD
(unid.)]]</f>
        <v>0</v>
      </c>
      <c r="AR142" s="288">
        <f>'💰 Precio de Venta'!G147</f>
        <v>0.4</v>
      </c>
      <c r="AS142" s="278">
        <f>'💰 Precio de Venta'!H147</f>
        <v>0</v>
      </c>
      <c r="AT142" s="278">
        <f>TABLA_BASE[[#This Row],[VALOR VTA.
UNIT.(S/.)]]*TABLA_BASE[[#This Row],[CANTIDAD
(unid.)]]</f>
        <v>0</v>
      </c>
      <c r="AU142" s="281">
        <f>'💰 Precio de Venta'!I147</f>
        <v>0</v>
      </c>
      <c r="AV142" s="278">
        <f>'💰 Precio de Venta'!J147</f>
        <v>0</v>
      </c>
      <c r="AW142" s="278">
        <f>TABLA_BASE[[#This Row],[GANANCIA
UNIT.(S/.)]]*TABLA_BASE[[#This Row],[CANTIDAD
(unid.)]]</f>
        <v>0</v>
      </c>
      <c r="AX142" s="289">
        <f>'💰 Precio de Venta'!K147</f>
        <v>0</v>
      </c>
      <c r="AY142" s="278">
        <f>TABLA_BASE[[#This Row],[GANANCIA
UNIT.(S/.)]]*'🧾 Factura Comercial'!G146</f>
        <v>0</v>
      </c>
      <c r="AZ142" s="277">
        <f>IF(TABLA_BASE[[#This Row],[PRECIO VTA.
c/IGV(S/.)]]=0,0,TABLA_BASE[[#This Row],[GANANCIA
UNIT.(S/.)]]/TABLA_BASE[[#This Row],[PRECIO VTA.
c/IGV(S/.)]])</f>
        <v>0</v>
      </c>
      <c r="BA142" s="277">
        <f>IF(TABLA_BASE[[#This Row],[C/M UNIT.
(S/.)]]=0,0,TABLA_BASE[[#This Row],[GANANCIA
UNIT.(S/.)]]/TABLA_BASE[[#This Row],[C/M UNIT.
(S/.)]])</f>
        <v>0</v>
      </c>
      <c r="BB142" s="274" t="str">
        <f>IF(TABLA_BASE[[#This Row],[MARGEN
%]]&gt;=0.5,"🟢 ALTO",IF(TABLA_BASE[[#This Row],[MARGEN
%]]&gt;=0.3,"🟡 MEDIO","🔴 BAJO"))</f>
        <v>🟡 MEDIO</v>
      </c>
    </row>
    <row r="143" spans="1:54" ht="16.5" hidden="1" thickTop="1" thickBot="1" x14ac:dyDescent="0.3">
      <c r="A143" s="274">
        <f>'🧾 Factura Comercial'!E147</f>
        <v>0</v>
      </c>
      <c r="B143" s="274" t="str">
        <f>'🧾 Factura Comercial'!F147</f>
        <v>Unid.</v>
      </c>
      <c r="C143" s="275">
        <f>'🧾 Factura Comercial'!G147</f>
        <v>0</v>
      </c>
      <c r="D143" s="276">
        <f>'🧾 Factura Comercial'!H147</f>
        <v>0</v>
      </c>
      <c r="E143" s="276">
        <f>'🧾 Factura Comercial'!I147</f>
        <v>0</v>
      </c>
      <c r="F143" s="277">
        <f>IF('🧾 Tributos Aduana'!$F$6=0,0,'🧾 Factura Comercial'!I147/'🧾 Tributos Aduana'!$F$6)</f>
        <v>0</v>
      </c>
      <c r="G143" s="278">
        <f>'🧾 Factura Comercial'!H147*'📋 Datos Generales'!$E$19</f>
        <v>0</v>
      </c>
      <c r="H143" s="278">
        <f>TABLA_BASE[[#This Row],[FOB UNIT.
(S/.)]]*TABLA_BASE[[#This Row],[CANTIDAD
(unid.)]]</f>
        <v>0</v>
      </c>
      <c r="I143" s="280">
        <f>IF('🧾 Tributos Aduana'!$F$6=0,0,'🧾 Tributos Aduana'!$F$17*('🧾 Factura Comercial'!H147/'🧾 Tributos Aduana'!$F$6))</f>
        <v>0</v>
      </c>
      <c r="J143" s="280">
        <f>TABLA_BASE[[#This Row],[ADV UNIT.
(US$)
⚠️COSTO]]*TABLA_BASE[[#This Row],[CANTIDAD
(unid.)]]</f>
        <v>0</v>
      </c>
      <c r="K143" s="279">
        <f>IF('🧾 Tributos Aduana'!$F$6=0,0,'🧾 Tributos Aduana'!$F$18*('🧾 Factura Comercial'!H147/'🧾 Tributos Aduana'!$F$6))</f>
        <v>0</v>
      </c>
      <c r="L143" s="280">
        <f>TABLA_BASE[[#This Row],[IPM UNIT.
(US$)
✅CF]]*TABLA_BASE[[#This Row],[CANTIDAD
(unid.)]]</f>
        <v>0</v>
      </c>
      <c r="M143" s="279">
        <f>IF('🧾 Tributos Aduana'!$F$6=0,0,'🧾 Tributos Aduana'!$F$19*('🧾 Factura Comercial'!H147/'🧾 Tributos Aduana'!$F$6))</f>
        <v>0</v>
      </c>
      <c r="N143" s="280">
        <f>TABLA_BASE[[#This Row],[IGV UNIT.
(US$)
✅CF]]*TABLA_BASE[[#This Row],[CANTIDAD
(unid.)]]</f>
        <v>0</v>
      </c>
      <c r="O143" s="280">
        <f>IF('🧾 Tributos Aduana'!$F$6=0,0,'🧾 Tributos Aduana'!$F$23*('🧾 Factura Comercial'!H147/'🧾 Tributos Aduana'!$F$6))</f>
        <v>0</v>
      </c>
      <c r="P143" s="280">
        <f>TABLA_BASE[[#This Row],[PERCEP.
UNIT.(US$)
✅CF]]*TABLA_BASE[[#This Row],[CANTIDAD
(unid.)]]</f>
        <v>0</v>
      </c>
      <c r="Q143" s="279">
        <f>TABLA_BASE[[#This Row],[ADV UNIT.
(US$)
⚠️COSTO]]+TABLA_BASE[[#This Row],[IPM UNIT.
(US$)
✅CF]]+TABLA_BASE[[#This Row],[IGV UNIT.
(US$)
✅CF]]</f>
        <v>0</v>
      </c>
      <c r="R143" s="280">
        <f>TABLA_BASE[[#This Row],[DEUDA
ADUANERA
UNIT.]]*TABLA_BASE[[#This Row],[CANTIDAD
(unid.)]]</f>
        <v>0</v>
      </c>
      <c r="S143" s="278">
        <f>TABLA_BASE[[#This Row],[DEUDA
ADUANERA
UNIT.]]*'📋 Datos Generales'!$E$19</f>
        <v>0</v>
      </c>
      <c r="T143" s="278">
        <f>TABLA_BASE[[#This Row],[DEUDA
ADUANERA
TOTAL]]*'📋 Datos Generales'!$E$19</f>
        <v>0</v>
      </c>
      <c r="U143" s="281">
        <f>TABLA_BASE[[#This Row],[ADV UNIT.
(US$)
⚠️COSTO]]*'📋 Datos Generales'!$E$19</f>
        <v>0</v>
      </c>
      <c r="V143" s="281">
        <f>TABLA_BASE[[#This Row],[ADV UNIT.
(S/.)]]*TABLA_BASE[[#This Row],[CANTIDAD
(unid.)]]</f>
        <v>0</v>
      </c>
      <c r="W143" s="281">
        <f>TABLA_BASE[[#This Row],[IPM UNIT.
(US$)
✅CF]]*'📋 Datos Generales'!$E$19</f>
        <v>0</v>
      </c>
      <c r="X143" s="281">
        <f>TABLA_BASE[[#This Row],[IPM UNIT.
(S/.)]]*TABLA_BASE[[#This Row],[CANTIDAD
(unid.)]]</f>
        <v>0</v>
      </c>
      <c r="Y143" s="281">
        <f>TABLA_BASE[[#This Row],[IGV UNIT.
(US$)
✅CF]]*'📋 Datos Generales'!$E$19</f>
        <v>0</v>
      </c>
      <c r="Z143" s="281">
        <f>TABLA_BASE[[#This Row],[IGV UNIT.
(S/.)]]*TABLA_BASE[[#This Row],[CANTIDAD
(unid.)]]</f>
        <v>0</v>
      </c>
      <c r="AA143" s="281">
        <f>TABLA_BASE[[#This Row],[PERCEP.
UNIT.(US$)
✅CF]]*'📋 Datos Generales'!$E$19</f>
        <v>0</v>
      </c>
      <c r="AB143" s="281">
        <f>TABLA_BASE[[#This Row],[PERCEP.
UNIT.(S/.)]]*TABLA_BASE[[#This Row],[CANTIDAD
(unid.)]]</f>
        <v>0</v>
      </c>
      <c r="AC143" s="279">
        <f>TABLA_BASE[[#This Row],[ADV UNIT.
(US$)
⚠️COSTO]]+TABLA_BASE[[#This Row],[IPM UNIT.
(US$)
✅CF]]+TABLA_BASE[[#This Row],[IGV UNIT.
(US$)
✅CF]]+TABLA_BASE[[#This Row],[PERCEP.
UNIT.(US$)
✅CF]]</f>
        <v>0</v>
      </c>
      <c r="AD143" s="279">
        <f>TABLA_BASE[[#This Row],[TOTAL PAGO
SUNAT
UNIT.(US$)]]*TABLA_BASE[[#This Row],[CANTIDAD
(unid.)]]</f>
        <v>0</v>
      </c>
      <c r="AE143" s="281">
        <f>TABLA_BASE[[#This Row],[TOTAL PAGO
SUNAT
UNIT.(US$)]]*'📋 Datos Generales'!$E$19</f>
        <v>0</v>
      </c>
      <c r="AF143" s="281">
        <f>TABLA_BASE[[#This Row],[TOTAL TRIB.
UNIT.(S/.)]]*TABLA_BASE[[#This Row],[CANTIDAD
(unid.)]]</f>
        <v>0</v>
      </c>
      <c r="AG143" s="279">
        <f>IF('🧾 Factura Comercial'!G147=0,0,'📦 Gastos Importación'!$E$28*(IF('🧾 Tributos Aduana'!$F$6=0,0,'🧾 Factura Comercial'!I147/'🧾 Tributos Aduana'!$F$6))/'🧾 Factura Comercial'!G147)</f>
        <v>0</v>
      </c>
      <c r="AH143" s="279">
        <f>TABLA_BASE[[#This Row],[GASTOS IMP.
UNIT.(US$)]]*TABLA_BASE[[#This Row],[CANTIDAD
(unid.)]]</f>
        <v>0</v>
      </c>
      <c r="AI143" s="281">
        <f>TABLA_BASE[[#This Row],[GASTOS IMP.
UNIT.(US$)]]*'📋 Datos Generales'!$E$19</f>
        <v>0</v>
      </c>
      <c r="AJ143" s="281">
        <f>TABLA_BASE[[#This Row],[GASTOS IMP.
UNIT.(S/.)]]*TABLA_BASE[[#This Row],[CANTIDAD
(unid.)]]</f>
        <v>0</v>
      </c>
      <c r="AK143" s="280">
        <f>'🧮 Costos x Producto'!J147</f>
        <v>0</v>
      </c>
      <c r="AL143" s="278">
        <f>'🧮 Costos x Producto'!K147</f>
        <v>0</v>
      </c>
      <c r="AM143" s="278">
        <f>TABLA_BASE[[#This Row],[C/M UNIT.
(S/.)]]*TABLA_BASE[[#This Row],[CANTIDAD
(unid.)]]</f>
        <v>0</v>
      </c>
      <c r="AN143" s="279">
        <f>IF('🧾 Factura Comercial'!G147=0,0,'🧾 Tributos Aduana'!$F$17*(IF('🧾 Tributos Aduana'!$F$6=0,0,'🧾 Factura Comercial'!I147/'🧾 Tributos Aduana'!$F$6))/'🧾 Factura Comercial'!G147)</f>
        <v>0</v>
      </c>
      <c r="AO143" s="280">
        <f>IF('🧾 Factura Comercial'!G147=0,0,'🏦 Crédito Fiscal'!$C$16*(IF('🧾 Tributos Aduana'!$F$6=0,0,'🧾 Factura Comercial'!I147/'🧾 Tributos Aduana'!$F$6))/'🧾 Factura Comercial'!G147)</f>
        <v>0</v>
      </c>
      <c r="AP143" s="278">
        <f>TABLA_BASE[[#This Row],[CF UNIT.
✅RECUP.
(US$)]]*'📋 Datos Generales'!$E$19</f>
        <v>0</v>
      </c>
      <c r="AQ143" s="278">
        <f>TABLA_BASE[[#This Row],[CF UNIT.
✅RECUP.(S/.)]]*TABLA_BASE[[#This Row],[CANTIDAD
(unid.)]]</f>
        <v>0</v>
      </c>
      <c r="AR143" s="288">
        <f>'💰 Precio de Venta'!G148</f>
        <v>0.4</v>
      </c>
      <c r="AS143" s="278">
        <f>'💰 Precio de Venta'!H148</f>
        <v>0</v>
      </c>
      <c r="AT143" s="278">
        <f>TABLA_BASE[[#This Row],[VALOR VTA.
UNIT.(S/.)]]*TABLA_BASE[[#This Row],[CANTIDAD
(unid.)]]</f>
        <v>0</v>
      </c>
      <c r="AU143" s="281">
        <f>'💰 Precio de Venta'!I148</f>
        <v>0</v>
      </c>
      <c r="AV143" s="278">
        <f>'💰 Precio de Venta'!J148</f>
        <v>0</v>
      </c>
      <c r="AW143" s="278">
        <f>TABLA_BASE[[#This Row],[GANANCIA
UNIT.(S/.)]]*TABLA_BASE[[#This Row],[CANTIDAD
(unid.)]]</f>
        <v>0</v>
      </c>
      <c r="AX143" s="289">
        <f>'💰 Precio de Venta'!K148</f>
        <v>0</v>
      </c>
      <c r="AY143" s="278">
        <f>TABLA_BASE[[#This Row],[GANANCIA
UNIT.(S/.)]]*'🧾 Factura Comercial'!G147</f>
        <v>0</v>
      </c>
      <c r="AZ143" s="277">
        <f>IF(TABLA_BASE[[#This Row],[PRECIO VTA.
c/IGV(S/.)]]=0,0,TABLA_BASE[[#This Row],[GANANCIA
UNIT.(S/.)]]/TABLA_BASE[[#This Row],[PRECIO VTA.
c/IGV(S/.)]])</f>
        <v>0</v>
      </c>
      <c r="BA143" s="277">
        <f>IF(TABLA_BASE[[#This Row],[C/M UNIT.
(S/.)]]=0,0,TABLA_BASE[[#This Row],[GANANCIA
UNIT.(S/.)]]/TABLA_BASE[[#This Row],[C/M UNIT.
(S/.)]])</f>
        <v>0</v>
      </c>
      <c r="BB143" s="274" t="str">
        <f>IF(TABLA_BASE[[#This Row],[MARGEN
%]]&gt;=0.5,"🟢 ALTO",IF(TABLA_BASE[[#This Row],[MARGEN
%]]&gt;=0.3,"🟡 MEDIO","🔴 BAJO"))</f>
        <v>🟡 MEDIO</v>
      </c>
    </row>
    <row r="144" spans="1:54" ht="16.5" hidden="1" thickTop="1" thickBot="1" x14ac:dyDescent="0.3">
      <c r="A144" s="274">
        <f>'🧾 Factura Comercial'!E148</f>
        <v>0</v>
      </c>
      <c r="B144" s="274" t="str">
        <f>'🧾 Factura Comercial'!F148</f>
        <v>Unid.</v>
      </c>
      <c r="C144" s="275">
        <f>'🧾 Factura Comercial'!G148</f>
        <v>0</v>
      </c>
      <c r="D144" s="276">
        <f>'🧾 Factura Comercial'!H148</f>
        <v>0</v>
      </c>
      <c r="E144" s="276">
        <f>'🧾 Factura Comercial'!I148</f>
        <v>0</v>
      </c>
      <c r="F144" s="277">
        <f>IF('🧾 Tributos Aduana'!$F$6=0,0,'🧾 Factura Comercial'!I148/'🧾 Tributos Aduana'!$F$6)</f>
        <v>0</v>
      </c>
      <c r="G144" s="278">
        <f>'🧾 Factura Comercial'!H148*'📋 Datos Generales'!$E$19</f>
        <v>0</v>
      </c>
      <c r="H144" s="278">
        <f>TABLA_BASE[[#This Row],[FOB UNIT.
(S/.)]]*TABLA_BASE[[#This Row],[CANTIDAD
(unid.)]]</f>
        <v>0</v>
      </c>
      <c r="I144" s="280">
        <f>IF('🧾 Tributos Aduana'!$F$6=0,0,'🧾 Tributos Aduana'!$F$17*('🧾 Factura Comercial'!H148/'🧾 Tributos Aduana'!$F$6))</f>
        <v>0</v>
      </c>
      <c r="J144" s="280">
        <f>TABLA_BASE[[#This Row],[ADV UNIT.
(US$)
⚠️COSTO]]*TABLA_BASE[[#This Row],[CANTIDAD
(unid.)]]</f>
        <v>0</v>
      </c>
      <c r="K144" s="279">
        <f>IF('🧾 Tributos Aduana'!$F$6=0,0,'🧾 Tributos Aduana'!$F$18*('🧾 Factura Comercial'!H148/'🧾 Tributos Aduana'!$F$6))</f>
        <v>0</v>
      </c>
      <c r="L144" s="280">
        <f>TABLA_BASE[[#This Row],[IPM UNIT.
(US$)
✅CF]]*TABLA_BASE[[#This Row],[CANTIDAD
(unid.)]]</f>
        <v>0</v>
      </c>
      <c r="M144" s="279">
        <f>IF('🧾 Tributos Aduana'!$F$6=0,0,'🧾 Tributos Aduana'!$F$19*('🧾 Factura Comercial'!H148/'🧾 Tributos Aduana'!$F$6))</f>
        <v>0</v>
      </c>
      <c r="N144" s="280">
        <f>TABLA_BASE[[#This Row],[IGV UNIT.
(US$)
✅CF]]*TABLA_BASE[[#This Row],[CANTIDAD
(unid.)]]</f>
        <v>0</v>
      </c>
      <c r="O144" s="280">
        <f>IF('🧾 Tributos Aduana'!$F$6=0,0,'🧾 Tributos Aduana'!$F$23*('🧾 Factura Comercial'!H148/'🧾 Tributos Aduana'!$F$6))</f>
        <v>0</v>
      </c>
      <c r="P144" s="280">
        <f>TABLA_BASE[[#This Row],[PERCEP.
UNIT.(US$)
✅CF]]*TABLA_BASE[[#This Row],[CANTIDAD
(unid.)]]</f>
        <v>0</v>
      </c>
      <c r="Q144" s="279">
        <f>TABLA_BASE[[#This Row],[ADV UNIT.
(US$)
⚠️COSTO]]+TABLA_BASE[[#This Row],[IPM UNIT.
(US$)
✅CF]]+TABLA_BASE[[#This Row],[IGV UNIT.
(US$)
✅CF]]</f>
        <v>0</v>
      </c>
      <c r="R144" s="280">
        <f>TABLA_BASE[[#This Row],[DEUDA
ADUANERA
UNIT.]]*TABLA_BASE[[#This Row],[CANTIDAD
(unid.)]]</f>
        <v>0</v>
      </c>
      <c r="S144" s="278">
        <f>TABLA_BASE[[#This Row],[DEUDA
ADUANERA
UNIT.]]*'📋 Datos Generales'!$E$19</f>
        <v>0</v>
      </c>
      <c r="T144" s="278">
        <f>TABLA_BASE[[#This Row],[DEUDA
ADUANERA
TOTAL]]*'📋 Datos Generales'!$E$19</f>
        <v>0</v>
      </c>
      <c r="U144" s="281">
        <f>TABLA_BASE[[#This Row],[ADV UNIT.
(US$)
⚠️COSTO]]*'📋 Datos Generales'!$E$19</f>
        <v>0</v>
      </c>
      <c r="V144" s="281">
        <f>TABLA_BASE[[#This Row],[ADV UNIT.
(S/.)]]*TABLA_BASE[[#This Row],[CANTIDAD
(unid.)]]</f>
        <v>0</v>
      </c>
      <c r="W144" s="281">
        <f>TABLA_BASE[[#This Row],[IPM UNIT.
(US$)
✅CF]]*'📋 Datos Generales'!$E$19</f>
        <v>0</v>
      </c>
      <c r="X144" s="281">
        <f>TABLA_BASE[[#This Row],[IPM UNIT.
(S/.)]]*TABLA_BASE[[#This Row],[CANTIDAD
(unid.)]]</f>
        <v>0</v>
      </c>
      <c r="Y144" s="281">
        <f>TABLA_BASE[[#This Row],[IGV UNIT.
(US$)
✅CF]]*'📋 Datos Generales'!$E$19</f>
        <v>0</v>
      </c>
      <c r="Z144" s="281">
        <f>TABLA_BASE[[#This Row],[IGV UNIT.
(S/.)]]*TABLA_BASE[[#This Row],[CANTIDAD
(unid.)]]</f>
        <v>0</v>
      </c>
      <c r="AA144" s="281">
        <f>TABLA_BASE[[#This Row],[PERCEP.
UNIT.(US$)
✅CF]]*'📋 Datos Generales'!$E$19</f>
        <v>0</v>
      </c>
      <c r="AB144" s="281">
        <f>TABLA_BASE[[#This Row],[PERCEP.
UNIT.(S/.)]]*TABLA_BASE[[#This Row],[CANTIDAD
(unid.)]]</f>
        <v>0</v>
      </c>
      <c r="AC144" s="279">
        <f>TABLA_BASE[[#This Row],[ADV UNIT.
(US$)
⚠️COSTO]]+TABLA_BASE[[#This Row],[IPM UNIT.
(US$)
✅CF]]+TABLA_BASE[[#This Row],[IGV UNIT.
(US$)
✅CF]]+TABLA_BASE[[#This Row],[PERCEP.
UNIT.(US$)
✅CF]]</f>
        <v>0</v>
      </c>
      <c r="AD144" s="279">
        <f>TABLA_BASE[[#This Row],[TOTAL PAGO
SUNAT
UNIT.(US$)]]*TABLA_BASE[[#This Row],[CANTIDAD
(unid.)]]</f>
        <v>0</v>
      </c>
      <c r="AE144" s="281">
        <f>TABLA_BASE[[#This Row],[TOTAL PAGO
SUNAT
UNIT.(US$)]]*'📋 Datos Generales'!$E$19</f>
        <v>0</v>
      </c>
      <c r="AF144" s="281">
        <f>TABLA_BASE[[#This Row],[TOTAL TRIB.
UNIT.(S/.)]]*TABLA_BASE[[#This Row],[CANTIDAD
(unid.)]]</f>
        <v>0</v>
      </c>
      <c r="AG144" s="279">
        <f>IF('🧾 Factura Comercial'!G148=0,0,'📦 Gastos Importación'!$E$28*(IF('🧾 Tributos Aduana'!$F$6=0,0,'🧾 Factura Comercial'!I148/'🧾 Tributos Aduana'!$F$6))/'🧾 Factura Comercial'!G148)</f>
        <v>0</v>
      </c>
      <c r="AH144" s="279">
        <f>TABLA_BASE[[#This Row],[GASTOS IMP.
UNIT.(US$)]]*TABLA_BASE[[#This Row],[CANTIDAD
(unid.)]]</f>
        <v>0</v>
      </c>
      <c r="AI144" s="281">
        <f>TABLA_BASE[[#This Row],[GASTOS IMP.
UNIT.(US$)]]*'📋 Datos Generales'!$E$19</f>
        <v>0</v>
      </c>
      <c r="AJ144" s="281">
        <f>TABLA_BASE[[#This Row],[GASTOS IMP.
UNIT.(S/.)]]*TABLA_BASE[[#This Row],[CANTIDAD
(unid.)]]</f>
        <v>0</v>
      </c>
      <c r="AK144" s="280">
        <f>'🧮 Costos x Producto'!J148</f>
        <v>0</v>
      </c>
      <c r="AL144" s="278">
        <f>'🧮 Costos x Producto'!K148</f>
        <v>0</v>
      </c>
      <c r="AM144" s="278">
        <f>TABLA_BASE[[#This Row],[C/M UNIT.
(S/.)]]*TABLA_BASE[[#This Row],[CANTIDAD
(unid.)]]</f>
        <v>0</v>
      </c>
      <c r="AN144" s="279">
        <f>IF('🧾 Factura Comercial'!G148=0,0,'🧾 Tributos Aduana'!$F$17*(IF('🧾 Tributos Aduana'!$F$6=0,0,'🧾 Factura Comercial'!I148/'🧾 Tributos Aduana'!$F$6))/'🧾 Factura Comercial'!G148)</f>
        <v>0</v>
      </c>
      <c r="AO144" s="280">
        <f>IF('🧾 Factura Comercial'!G148=0,0,'🏦 Crédito Fiscal'!$C$16*(IF('🧾 Tributos Aduana'!$F$6=0,0,'🧾 Factura Comercial'!I148/'🧾 Tributos Aduana'!$F$6))/'🧾 Factura Comercial'!G148)</f>
        <v>0</v>
      </c>
      <c r="AP144" s="278">
        <f>TABLA_BASE[[#This Row],[CF UNIT.
✅RECUP.
(US$)]]*'📋 Datos Generales'!$E$19</f>
        <v>0</v>
      </c>
      <c r="AQ144" s="278">
        <f>TABLA_BASE[[#This Row],[CF UNIT.
✅RECUP.(S/.)]]*TABLA_BASE[[#This Row],[CANTIDAD
(unid.)]]</f>
        <v>0</v>
      </c>
      <c r="AR144" s="288">
        <f>'💰 Precio de Venta'!G149</f>
        <v>0.4</v>
      </c>
      <c r="AS144" s="278">
        <f>'💰 Precio de Venta'!H149</f>
        <v>0</v>
      </c>
      <c r="AT144" s="278">
        <f>TABLA_BASE[[#This Row],[VALOR VTA.
UNIT.(S/.)]]*TABLA_BASE[[#This Row],[CANTIDAD
(unid.)]]</f>
        <v>0</v>
      </c>
      <c r="AU144" s="281">
        <f>'💰 Precio de Venta'!I149</f>
        <v>0</v>
      </c>
      <c r="AV144" s="278">
        <f>'💰 Precio de Venta'!J149</f>
        <v>0</v>
      </c>
      <c r="AW144" s="278">
        <f>TABLA_BASE[[#This Row],[GANANCIA
UNIT.(S/.)]]*TABLA_BASE[[#This Row],[CANTIDAD
(unid.)]]</f>
        <v>0</v>
      </c>
      <c r="AX144" s="289">
        <f>'💰 Precio de Venta'!K149</f>
        <v>0</v>
      </c>
      <c r="AY144" s="278">
        <f>TABLA_BASE[[#This Row],[GANANCIA
UNIT.(S/.)]]*'🧾 Factura Comercial'!G148</f>
        <v>0</v>
      </c>
      <c r="AZ144" s="277">
        <f>IF(TABLA_BASE[[#This Row],[PRECIO VTA.
c/IGV(S/.)]]=0,0,TABLA_BASE[[#This Row],[GANANCIA
UNIT.(S/.)]]/TABLA_BASE[[#This Row],[PRECIO VTA.
c/IGV(S/.)]])</f>
        <v>0</v>
      </c>
      <c r="BA144" s="277">
        <f>IF(TABLA_BASE[[#This Row],[C/M UNIT.
(S/.)]]=0,0,TABLA_BASE[[#This Row],[GANANCIA
UNIT.(S/.)]]/TABLA_BASE[[#This Row],[C/M UNIT.
(S/.)]])</f>
        <v>0</v>
      </c>
      <c r="BB144" s="274" t="str">
        <f>IF(TABLA_BASE[[#This Row],[MARGEN
%]]&gt;=0.5,"🟢 ALTO",IF(TABLA_BASE[[#This Row],[MARGEN
%]]&gt;=0.3,"🟡 MEDIO","🔴 BAJO"))</f>
        <v>🟡 MEDIO</v>
      </c>
    </row>
    <row r="145" spans="1:54" ht="16.5" hidden="1" thickTop="1" thickBot="1" x14ac:dyDescent="0.3">
      <c r="A145" s="274">
        <f>'🧾 Factura Comercial'!E149</f>
        <v>0</v>
      </c>
      <c r="B145" s="274" t="str">
        <f>'🧾 Factura Comercial'!F149</f>
        <v>Unid.</v>
      </c>
      <c r="C145" s="275">
        <f>'🧾 Factura Comercial'!G149</f>
        <v>0</v>
      </c>
      <c r="D145" s="276">
        <f>'🧾 Factura Comercial'!H149</f>
        <v>0</v>
      </c>
      <c r="E145" s="276">
        <f>'🧾 Factura Comercial'!I149</f>
        <v>0</v>
      </c>
      <c r="F145" s="277">
        <f>IF('🧾 Tributos Aduana'!$F$6=0,0,'🧾 Factura Comercial'!I149/'🧾 Tributos Aduana'!$F$6)</f>
        <v>0</v>
      </c>
      <c r="G145" s="278">
        <f>'🧾 Factura Comercial'!H149*'📋 Datos Generales'!$E$19</f>
        <v>0</v>
      </c>
      <c r="H145" s="278">
        <f>TABLA_BASE[[#This Row],[FOB UNIT.
(S/.)]]*TABLA_BASE[[#This Row],[CANTIDAD
(unid.)]]</f>
        <v>0</v>
      </c>
      <c r="I145" s="280">
        <f>IF('🧾 Tributos Aduana'!$F$6=0,0,'🧾 Tributos Aduana'!$F$17*('🧾 Factura Comercial'!H149/'🧾 Tributos Aduana'!$F$6))</f>
        <v>0</v>
      </c>
      <c r="J145" s="280">
        <f>TABLA_BASE[[#This Row],[ADV UNIT.
(US$)
⚠️COSTO]]*TABLA_BASE[[#This Row],[CANTIDAD
(unid.)]]</f>
        <v>0</v>
      </c>
      <c r="K145" s="279">
        <f>IF('🧾 Tributos Aduana'!$F$6=0,0,'🧾 Tributos Aduana'!$F$18*('🧾 Factura Comercial'!H149/'🧾 Tributos Aduana'!$F$6))</f>
        <v>0</v>
      </c>
      <c r="L145" s="280">
        <f>TABLA_BASE[[#This Row],[IPM UNIT.
(US$)
✅CF]]*TABLA_BASE[[#This Row],[CANTIDAD
(unid.)]]</f>
        <v>0</v>
      </c>
      <c r="M145" s="279">
        <f>IF('🧾 Tributos Aduana'!$F$6=0,0,'🧾 Tributos Aduana'!$F$19*('🧾 Factura Comercial'!H149/'🧾 Tributos Aduana'!$F$6))</f>
        <v>0</v>
      </c>
      <c r="N145" s="280">
        <f>TABLA_BASE[[#This Row],[IGV UNIT.
(US$)
✅CF]]*TABLA_BASE[[#This Row],[CANTIDAD
(unid.)]]</f>
        <v>0</v>
      </c>
      <c r="O145" s="280">
        <f>IF('🧾 Tributos Aduana'!$F$6=0,0,'🧾 Tributos Aduana'!$F$23*('🧾 Factura Comercial'!H149/'🧾 Tributos Aduana'!$F$6))</f>
        <v>0</v>
      </c>
      <c r="P145" s="280">
        <f>TABLA_BASE[[#This Row],[PERCEP.
UNIT.(US$)
✅CF]]*TABLA_BASE[[#This Row],[CANTIDAD
(unid.)]]</f>
        <v>0</v>
      </c>
      <c r="Q145" s="279">
        <f>TABLA_BASE[[#This Row],[ADV UNIT.
(US$)
⚠️COSTO]]+TABLA_BASE[[#This Row],[IPM UNIT.
(US$)
✅CF]]+TABLA_BASE[[#This Row],[IGV UNIT.
(US$)
✅CF]]</f>
        <v>0</v>
      </c>
      <c r="R145" s="280">
        <f>TABLA_BASE[[#This Row],[DEUDA
ADUANERA
UNIT.]]*TABLA_BASE[[#This Row],[CANTIDAD
(unid.)]]</f>
        <v>0</v>
      </c>
      <c r="S145" s="278">
        <f>TABLA_BASE[[#This Row],[DEUDA
ADUANERA
UNIT.]]*'📋 Datos Generales'!$E$19</f>
        <v>0</v>
      </c>
      <c r="T145" s="278">
        <f>TABLA_BASE[[#This Row],[DEUDA
ADUANERA
TOTAL]]*'📋 Datos Generales'!$E$19</f>
        <v>0</v>
      </c>
      <c r="U145" s="281">
        <f>TABLA_BASE[[#This Row],[ADV UNIT.
(US$)
⚠️COSTO]]*'📋 Datos Generales'!$E$19</f>
        <v>0</v>
      </c>
      <c r="V145" s="281">
        <f>TABLA_BASE[[#This Row],[ADV UNIT.
(S/.)]]*TABLA_BASE[[#This Row],[CANTIDAD
(unid.)]]</f>
        <v>0</v>
      </c>
      <c r="W145" s="281">
        <f>TABLA_BASE[[#This Row],[IPM UNIT.
(US$)
✅CF]]*'📋 Datos Generales'!$E$19</f>
        <v>0</v>
      </c>
      <c r="X145" s="281">
        <f>TABLA_BASE[[#This Row],[IPM UNIT.
(S/.)]]*TABLA_BASE[[#This Row],[CANTIDAD
(unid.)]]</f>
        <v>0</v>
      </c>
      <c r="Y145" s="281">
        <f>TABLA_BASE[[#This Row],[IGV UNIT.
(US$)
✅CF]]*'📋 Datos Generales'!$E$19</f>
        <v>0</v>
      </c>
      <c r="Z145" s="281">
        <f>TABLA_BASE[[#This Row],[IGV UNIT.
(S/.)]]*TABLA_BASE[[#This Row],[CANTIDAD
(unid.)]]</f>
        <v>0</v>
      </c>
      <c r="AA145" s="281">
        <f>TABLA_BASE[[#This Row],[PERCEP.
UNIT.(US$)
✅CF]]*'📋 Datos Generales'!$E$19</f>
        <v>0</v>
      </c>
      <c r="AB145" s="281">
        <f>TABLA_BASE[[#This Row],[PERCEP.
UNIT.(S/.)]]*TABLA_BASE[[#This Row],[CANTIDAD
(unid.)]]</f>
        <v>0</v>
      </c>
      <c r="AC145" s="279">
        <f>TABLA_BASE[[#This Row],[ADV UNIT.
(US$)
⚠️COSTO]]+TABLA_BASE[[#This Row],[IPM UNIT.
(US$)
✅CF]]+TABLA_BASE[[#This Row],[IGV UNIT.
(US$)
✅CF]]+TABLA_BASE[[#This Row],[PERCEP.
UNIT.(US$)
✅CF]]</f>
        <v>0</v>
      </c>
      <c r="AD145" s="279">
        <f>TABLA_BASE[[#This Row],[TOTAL PAGO
SUNAT
UNIT.(US$)]]*TABLA_BASE[[#This Row],[CANTIDAD
(unid.)]]</f>
        <v>0</v>
      </c>
      <c r="AE145" s="281">
        <f>TABLA_BASE[[#This Row],[TOTAL PAGO
SUNAT
UNIT.(US$)]]*'📋 Datos Generales'!$E$19</f>
        <v>0</v>
      </c>
      <c r="AF145" s="281">
        <f>TABLA_BASE[[#This Row],[TOTAL TRIB.
UNIT.(S/.)]]*TABLA_BASE[[#This Row],[CANTIDAD
(unid.)]]</f>
        <v>0</v>
      </c>
      <c r="AG145" s="279">
        <f>IF('🧾 Factura Comercial'!G149=0,0,'📦 Gastos Importación'!$E$28*(IF('🧾 Tributos Aduana'!$F$6=0,0,'🧾 Factura Comercial'!I149/'🧾 Tributos Aduana'!$F$6))/'🧾 Factura Comercial'!G149)</f>
        <v>0</v>
      </c>
      <c r="AH145" s="279">
        <f>TABLA_BASE[[#This Row],[GASTOS IMP.
UNIT.(US$)]]*TABLA_BASE[[#This Row],[CANTIDAD
(unid.)]]</f>
        <v>0</v>
      </c>
      <c r="AI145" s="281">
        <f>TABLA_BASE[[#This Row],[GASTOS IMP.
UNIT.(US$)]]*'📋 Datos Generales'!$E$19</f>
        <v>0</v>
      </c>
      <c r="AJ145" s="281">
        <f>TABLA_BASE[[#This Row],[GASTOS IMP.
UNIT.(S/.)]]*TABLA_BASE[[#This Row],[CANTIDAD
(unid.)]]</f>
        <v>0</v>
      </c>
      <c r="AK145" s="280">
        <f>'🧮 Costos x Producto'!J149</f>
        <v>0</v>
      </c>
      <c r="AL145" s="278">
        <f>'🧮 Costos x Producto'!K149</f>
        <v>0</v>
      </c>
      <c r="AM145" s="278">
        <f>TABLA_BASE[[#This Row],[C/M UNIT.
(S/.)]]*TABLA_BASE[[#This Row],[CANTIDAD
(unid.)]]</f>
        <v>0</v>
      </c>
      <c r="AN145" s="279">
        <f>IF('🧾 Factura Comercial'!G149=0,0,'🧾 Tributos Aduana'!$F$17*(IF('🧾 Tributos Aduana'!$F$6=0,0,'🧾 Factura Comercial'!I149/'🧾 Tributos Aduana'!$F$6))/'🧾 Factura Comercial'!G149)</f>
        <v>0</v>
      </c>
      <c r="AO145" s="280">
        <f>IF('🧾 Factura Comercial'!G149=0,0,'🏦 Crédito Fiscal'!$C$16*(IF('🧾 Tributos Aduana'!$F$6=0,0,'🧾 Factura Comercial'!I149/'🧾 Tributos Aduana'!$F$6))/'🧾 Factura Comercial'!G149)</f>
        <v>0</v>
      </c>
      <c r="AP145" s="278">
        <f>TABLA_BASE[[#This Row],[CF UNIT.
✅RECUP.
(US$)]]*'📋 Datos Generales'!$E$19</f>
        <v>0</v>
      </c>
      <c r="AQ145" s="278">
        <f>TABLA_BASE[[#This Row],[CF UNIT.
✅RECUP.(S/.)]]*TABLA_BASE[[#This Row],[CANTIDAD
(unid.)]]</f>
        <v>0</v>
      </c>
      <c r="AR145" s="288">
        <f>'💰 Precio de Venta'!G150</f>
        <v>0.4</v>
      </c>
      <c r="AS145" s="278">
        <f>'💰 Precio de Venta'!H150</f>
        <v>0</v>
      </c>
      <c r="AT145" s="278">
        <f>TABLA_BASE[[#This Row],[VALOR VTA.
UNIT.(S/.)]]*TABLA_BASE[[#This Row],[CANTIDAD
(unid.)]]</f>
        <v>0</v>
      </c>
      <c r="AU145" s="281">
        <f>'💰 Precio de Venta'!I150</f>
        <v>0</v>
      </c>
      <c r="AV145" s="278">
        <f>'💰 Precio de Venta'!J150</f>
        <v>0</v>
      </c>
      <c r="AW145" s="278">
        <f>TABLA_BASE[[#This Row],[GANANCIA
UNIT.(S/.)]]*TABLA_BASE[[#This Row],[CANTIDAD
(unid.)]]</f>
        <v>0</v>
      </c>
      <c r="AX145" s="289">
        <f>'💰 Precio de Venta'!K150</f>
        <v>0</v>
      </c>
      <c r="AY145" s="278">
        <f>TABLA_BASE[[#This Row],[GANANCIA
UNIT.(S/.)]]*'🧾 Factura Comercial'!G149</f>
        <v>0</v>
      </c>
      <c r="AZ145" s="277">
        <f>IF(TABLA_BASE[[#This Row],[PRECIO VTA.
c/IGV(S/.)]]=0,0,TABLA_BASE[[#This Row],[GANANCIA
UNIT.(S/.)]]/TABLA_BASE[[#This Row],[PRECIO VTA.
c/IGV(S/.)]])</f>
        <v>0</v>
      </c>
      <c r="BA145" s="277">
        <f>IF(TABLA_BASE[[#This Row],[C/M UNIT.
(S/.)]]=0,0,TABLA_BASE[[#This Row],[GANANCIA
UNIT.(S/.)]]/TABLA_BASE[[#This Row],[C/M UNIT.
(S/.)]])</f>
        <v>0</v>
      </c>
      <c r="BB145" s="274" t="str">
        <f>IF(TABLA_BASE[[#This Row],[MARGEN
%]]&gt;=0.5,"🟢 ALTO",IF(TABLA_BASE[[#This Row],[MARGEN
%]]&gt;=0.3,"🟡 MEDIO","🔴 BAJO"))</f>
        <v>🟡 MEDIO</v>
      </c>
    </row>
    <row r="146" spans="1:54" ht="16.5" hidden="1" thickTop="1" thickBot="1" x14ac:dyDescent="0.3">
      <c r="A146" s="274">
        <f>'🧾 Factura Comercial'!E150</f>
        <v>0</v>
      </c>
      <c r="B146" s="274" t="str">
        <f>'🧾 Factura Comercial'!F150</f>
        <v>Unid.</v>
      </c>
      <c r="C146" s="275">
        <f>'🧾 Factura Comercial'!G150</f>
        <v>0</v>
      </c>
      <c r="D146" s="276">
        <f>'🧾 Factura Comercial'!H150</f>
        <v>0</v>
      </c>
      <c r="E146" s="276">
        <f>'🧾 Factura Comercial'!I150</f>
        <v>0</v>
      </c>
      <c r="F146" s="277">
        <f>IF('🧾 Tributos Aduana'!$F$6=0,0,'🧾 Factura Comercial'!I150/'🧾 Tributos Aduana'!$F$6)</f>
        <v>0</v>
      </c>
      <c r="G146" s="278">
        <f>'🧾 Factura Comercial'!H150*'📋 Datos Generales'!$E$19</f>
        <v>0</v>
      </c>
      <c r="H146" s="278">
        <f>TABLA_BASE[[#This Row],[FOB UNIT.
(S/.)]]*TABLA_BASE[[#This Row],[CANTIDAD
(unid.)]]</f>
        <v>0</v>
      </c>
      <c r="I146" s="280">
        <f>IF('🧾 Tributos Aduana'!$F$6=0,0,'🧾 Tributos Aduana'!$F$17*('🧾 Factura Comercial'!H150/'🧾 Tributos Aduana'!$F$6))</f>
        <v>0</v>
      </c>
      <c r="J146" s="280">
        <f>TABLA_BASE[[#This Row],[ADV UNIT.
(US$)
⚠️COSTO]]*TABLA_BASE[[#This Row],[CANTIDAD
(unid.)]]</f>
        <v>0</v>
      </c>
      <c r="K146" s="279">
        <f>IF('🧾 Tributos Aduana'!$F$6=0,0,'🧾 Tributos Aduana'!$F$18*('🧾 Factura Comercial'!H150/'🧾 Tributos Aduana'!$F$6))</f>
        <v>0</v>
      </c>
      <c r="L146" s="280">
        <f>TABLA_BASE[[#This Row],[IPM UNIT.
(US$)
✅CF]]*TABLA_BASE[[#This Row],[CANTIDAD
(unid.)]]</f>
        <v>0</v>
      </c>
      <c r="M146" s="279">
        <f>IF('🧾 Tributos Aduana'!$F$6=0,0,'🧾 Tributos Aduana'!$F$19*('🧾 Factura Comercial'!H150/'🧾 Tributos Aduana'!$F$6))</f>
        <v>0</v>
      </c>
      <c r="N146" s="280">
        <f>TABLA_BASE[[#This Row],[IGV UNIT.
(US$)
✅CF]]*TABLA_BASE[[#This Row],[CANTIDAD
(unid.)]]</f>
        <v>0</v>
      </c>
      <c r="O146" s="280">
        <f>IF('🧾 Tributos Aduana'!$F$6=0,0,'🧾 Tributos Aduana'!$F$23*('🧾 Factura Comercial'!H150/'🧾 Tributos Aduana'!$F$6))</f>
        <v>0</v>
      </c>
      <c r="P146" s="280">
        <f>TABLA_BASE[[#This Row],[PERCEP.
UNIT.(US$)
✅CF]]*TABLA_BASE[[#This Row],[CANTIDAD
(unid.)]]</f>
        <v>0</v>
      </c>
      <c r="Q146" s="279">
        <f>TABLA_BASE[[#This Row],[ADV UNIT.
(US$)
⚠️COSTO]]+TABLA_BASE[[#This Row],[IPM UNIT.
(US$)
✅CF]]+TABLA_BASE[[#This Row],[IGV UNIT.
(US$)
✅CF]]</f>
        <v>0</v>
      </c>
      <c r="R146" s="280">
        <f>TABLA_BASE[[#This Row],[DEUDA
ADUANERA
UNIT.]]*TABLA_BASE[[#This Row],[CANTIDAD
(unid.)]]</f>
        <v>0</v>
      </c>
      <c r="S146" s="278">
        <f>TABLA_BASE[[#This Row],[DEUDA
ADUANERA
UNIT.]]*'📋 Datos Generales'!$E$19</f>
        <v>0</v>
      </c>
      <c r="T146" s="278">
        <f>TABLA_BASE[[#This Row],[DEUDA
ADUANERA
TOTAL]]*'📋 Datos Generales'!$E$19</f>
        <v>0</v>
      </c>
      <c r="U146" s="281">
        <f>TABLA_BASE[[#This Row],[ADV UNIT.
(US$)
⚠️COSTO]]*'📋 Datos Generales'!$E$19</f>
        <v>0</v>
      </c>
      <c r="V146" s="281">
        <f>TABLA_BASE[[#This Row],[ADV UNIT.
(S/.)]]*TABLA_BASE[[#This Row],[CANTIDAD
(unid.)]]</f>
        <v>0</v>
      </c>
      <c r="W146" s="281">
        <f>TABLA_BASE[[#This Row],[IPM UNIT.
(US$)
✅CF]]*'📋 Datos Generales'!$E$19</f>
        <v>0</v>
      </c>
      <c r="X146" s="281">
        <f>TABLA_BASE[[#This Row],[IPM UNIT.
(S/.)]]*TABLA_BASE[[#This Row],[CANTIDAD
(unid.)]]</f>
        <v>0</v>
      </c>
      <c r="Y146" s="281">
        <f>TABLA_BASE[[#This Row],[IGV UNIT.
(US$)
✅CF]]*'📋 Datos Generales'!$E$19</f>
        <v>0</v>
      </c>
      <c r="Z146" s="281">
        <f>TABLA_BASE[[#This Row],[IGV UNIT.
(S/.)]]*TABLA_BASE[[#This Row],[CANTIDAD
(unid.)]]</f>
        <v>0</v>
      </c>
      <c r="AA146" s="281">
        <f>TABLA_BASE[[#This Row],[PERCEP.
UNIT.(US$)
✅CF]]*'📋 Datos Generales'!$E$19</f>
        <v>0</v>
      </c>
      <c r="AB146" s="281">
        <f>TABLA_BASE[[#This Row],[PERCEP.
UNIT.(S/.)]]*TABLA_BASE[[#This Row],[CANTIDAD
(unid.)]]</f>
        <v>0</v>
      </c>
      <c r="AC146" s="279">
        <f>TABLA_BASE[[#This Row],[ADV UNIT.
(US$)
⚠️COSTO]]+TABLA_BASE[[#This Row],[IPM UNIT.
(US$)
✅CF]]+TABLA_BASE[[#This Row],[IGV UNIT.
(US$)
✅CF]]+TABLA_BASE[[#This Row],[PERCEP.
UNIT.(US$)
✅CF]]</f>
        <v>0</v>
      </c>
      <c r="AD146" s="279">
        <f>TABLA_BASE[[#This Row],[TOTAL PAGO
SUNAT
UNIT.(US$)]]*TABLA_BASE[[#This Row],[CANTIDAD
(unid.)]]</f>
        <v>0</v>
      </c>
      <c r="AE146" s="281">
        <f>TABLA_BASE[[#This Row],[TOTAL PAGO
SUNAT
UNIT.(US$)]]*'📋 Datos Generales'!$E$19</f>
        <v>0</v>
      </c>
      <c r="AF146" s="281">
        <f>TABLA_BASE[[#This Row],[TOTAL TRIB.
UNIT.(S/.)]]*TABLA_BASE[[#This Row],[CANTIDAD
(unid.)]]</f>
        <v>0</v>
      </c>
      <c r="AG146" s="279">
        <f>IF('🧾 Factura Comercial'!G150=0,0,'📦 Gastos Importación'!$E$28*(IF('🧾 Tributos Aduana'!$F$6=0,0,'🧾 Factura Comercial'!I150/'🧾 Tributos Aduana'!$F$6))/'🧾 Factura Comercial'!G150)</f>
        <v>0</v>
      </c>
      <c r="AH146" s="279">
        <f>TABLA_BASE[[#This Row],[GASTOS IMP.
UNIT.(US$)]]*TABLA_BASE[[#This Row],[CANTIDAD
(unid.)]]</f>
        <v>0</v>
      </c>
      <c r="AI146" s="281">
        <f>TABLA_BASE[[#This Row],[GASTOS IMP.
UNIT.(US$)]]*'📋 Datos Generales'!$E$19</f>
        <v>0</v>
      </c>
      <c r="AJ146" s="281">
        <f>TABLA_BASE[[#This Row],[GASTOS IMP.
UNIT.(S/.)]]*TABLA_BASE[[#This Row],[CANTIDAD
(unid.)]]</f>
        <v>0</v>
      </c>
      <c r="AK146" s="280">
        <f>'🧮 Costos x Producto'!J150</f>
        <v>0</v>
      </c>
      <c r="AL146" s="278">
        <f>'🧮 Costos x Producto'!K150</f>
        <v>0</v>
      </c>
      <c r="AM146" s="278">
        <f>TABLA_BASE[[#This Row],[C/M UNIT.
(S/.)]]*TABLA_BASE[[#This Row],[CANTIDAD
(unid.)]]</f>
        <v>0</v>
      </c>
      <c r="AN146" s="279">
        <f>IF('🧾 Factura Comercial'!G150=0,0,'🧾 Tributos Aduana'!$F$17*(IF('🧾 Tributos Aduana'!$F$6=0,0,'🧾 Factura Comercial'!I150/'🧾 Tributos Aduana'!$F$6))/'🧾 Factura Comercial'!G150)</f>
        <v>0</v>
      </c>
      <c r="AO146" s="280">
        <f>IF('🧾 Factura Comercial'!G150=0,0,'🏦 Crédito Fiscal'!$C$16*(IF('🧾 Tributos Aduana'!$F$6=0,0,'🧾 Factura Comercial'!I150/'🧾 Tributos Aduana'!$F$6))/'🧾 Factura Comercial'!G150)</f>
        <v>0</v>
      </c>
      <c r="AP146" s="278">
        <f>TABLA_BASE[[#This Row],[CF UNIT.
✅RECUP.
(US$)]]*'📋 Datos Generales'!$E$19</f>
        <v>0</v>
      </c>
      <c r="AQ146" s="278">
        <f>TABLA_BASE[[#This Row],[CF UNIT.
✅RECUP.(S/.)]]*TABLA_BASE[[#This Row],[CANTIDAD
(unid.)]]</f>
        <v>0</v>
      </c>
      <c r="AR146" s="288">
        <f>'💰 Precio de Venta'!G151</f>
        <v>0.4</v>
      </c>
      <c r="AS146" s="278">
        <f>'💰 Precio de Venta'!H151</f>
        <v>0</v>
      </c>
      <c r="AT146" s="278">
        <f>TABLA_BASE[[#This Row],[VALOR VTA.
UNIT.(S/.)]]*TABLA_BASE[[#This Row],[CANTIDAD
(unid.)]]</f>
        <v>0</v>
      </c>
      <c r="AU146" s="281">
        <f>'💰 Precio de Venta'!I151</f>
        <v>0</v>
      </c>
      <c r="AV146" s="278">
        <f>'💰 Precio de Venta'!J151</f>
        <v>0</v>
      </c>
      <c r="AW146" s="278">
        <f>TABLA_BASE[[#This Row],[GANANCIA
UNIT.(S/.)]]*TABLA_BASE[[#This Row],[CANTIDAD
(unid.)]]</f>
        <v>0</v>
      </c>
      <c r="AX146" s="289">
        <f>'💰 Precio de Venta'!K151</f>
        <v>0</v>
      </c>
      <c r="AY146" s="278">
        <f>TABLA_BASE[[#This Row],[GANANCIA
UNIT.(S/.)]]*'🧾 Factura Comercial'!G150</f>
        <v>0</v>
      </c>
      <c r="AZ146" s="277">
        <f>IF(TABLA_BASE[[#This Row],[PRECIO VTA.
c/IGV(S/.)]]=0,0,TABLA_BASE[[#This Row],[GANANCIA
UNIT.(S/.)]]/TABLA_BASE[[#This Row],[PRECIO VTA.
c/IGV(S/.)]])</f>
        <v>0</v>
      </c>
      <c r="BA146" s="277">
        <f>IF(TABLA_BASE[[#This Row],[C/M UNIT.
(S/.)]]=0,0,TABLA_BASE[[#This Row],[GANANCIA
UNIT.(S/.)]]/TABLA_BASE[[#This Row],[C/M UNIT.
(S/.)]])</f>
        <v>0</v>
      </c>
      <c r="BB146" s="274" t="str">
        <f>IF(TABLA_BASE[[#This Row],[MARGEN
%]]&gt;=0.5,"🟢 ALTO",IF(TABLA_BASE[[#This Row],[MARGEN
%]]&gt;=0.3,"🟡 MEDIO","🔴 BAJO"))</f>
        <v>🟡 MEDIO</v>
      </c>
    </row>
    <row r="147" spans="1:54" ht="16.5" hidden="1" thickTop="1" thickBot="1" x14ac:dyDescent="0.3">
      <c r="A147" s="274">
        <f>'🧾 Factura Comercial'!E151</f>
        <v>0</v>
      </c>
      <c r="B147" s="274" t="str">
        <f>'🧾 Factura Comercial'!F151</f>
        <v>Unid.</v>
      </c>
      <c r="C147" s="275">
        <f>'🧾 Factura Comercial'!G151</f>
        <v>0</v>
      </c>
      <c r="D147" s="276">
        <f>'🧾 Factura Comercial'!H151</f>
        <v>0</v>
      </c>
      <c r="E147" s="276">
        <f>'🧾 Factura Comercial'!I151</f>
        <v>0</v>
      </c>
      <c r="F147" s="277">
        <f>IF('🧾 Tributos Aduana'!$F$6=0,0,'🧾 Factura Comercial'!I151/'🧾 Tributos Aduana'!$F$6)</f>
        <v>0</v>
      </c>
      <c r="G147" s="278">
        <f>'🧾 Factura Comercial'!H151*'📋 Datos Generales'!$E$19</f>
        <v>0</v>
      </c>
      <c r="H147" s="278">
        <f>TABLA_BASE[[#This Row],[FOB UNIT.
(S/.)]]*TABLA_BASE[[#This Row],[CANTIDAD
(unid.)]]</f>
        <v>0</v>
      </c>
      <c r="I147" s="280">
        <f>IF('🧾 Tributos Aduana'!$F$6=0,0,'🧾 Tributos Aduana'!$F$17*('🧾 Factura Comercial'!H151/'🧾 Tributos Aduana'!$F$6))</f>
        <v>0</v>
      </c>
      <c r="J147" s="280">
        <f>TABLA_BASE[[#This Row],[ADV UNIT.
(US$)
⚠️COSTO]]*TABLA_BASE[[#This Row],[CANTIDAD
(unid.)]]</f>
        <v>0</v>
      </c>
      <c r="K147" s="279">
        <f>IF('🧾 Tributos Aduana'!$F$6=0,0,'🧾 Tributos Aduana'!$F$18*('🧾 Factura Comercial'!H151/'🧾 Tributos Aduana'!$F$6))</f>
        <v>0</v>
      </c>
      <c r="L147" s="280">
        <f>TABLA_BASE[[#This Row],[IPM UNIT.
(US$)
✅CF]]*TABLA_BASE[[#This Row],[CANTIDAD
(unid.)]]</f>
        <v>0</v>
      </c>
      <c r="M147" s="279">
        <f>IF('🧾 Tributos Aduana'!$F$6=0,0,'🧾 Tributos Aduana'!$F$19*('🧾 Factura Comercial'!H151/'🧾 Tributos Aduana'!$F$6))</f>
        <v>0</v>
      </c>
      <c r="N147" s="280">
        <f>TABLA_BASE[[#This Row],[IGV UNIT.
(US$)
✅CF]]*TABLA_BASE[[#This Row],[CANTIDAD
(unid.)]]</f>
        <v>0</v>
      </c>
      <c r="O147" s="280">
        <f>IF('🧾 Tributos Aduana'!$F$6=0,0,'🧾 Tributos Aduana'!$F$23*('🧾 Factura Comercial'!H151/'🧾 Tributos Aduana'!$F$6))</f>
        <v>0</v>
      </c>
      <c r="P147" s="280">
        <f>TABLA_BASE[[#This Row],[PERCEP.
UNIT.(US$)
✅CF]]*TABLA_BASE[[#This Row],[CANTIDAD
(unid.)]]</f>
        <v>0</v>
      </c>
      <c r="Q147" s="279">
        <f>TABLA_BASE[[#This Row],[ADV UNIT.
(US$)
⚠️COSTO]]+TABLA_BASE[[#This Row],[IPM UNIT.
(US$)
✅CF]]+TABLA_BASE[[#This Row],[IGV UNIT.
(US$)
✅CF]]</f>
        <v>0</v>
      </c>
      <c r="R147" s="280">
        <f>TABLA_BASE[[#This Row],[DEUDA
ADUANERA
UNIT.]]*TABLA_BASE[[#This Row],[CANTIDAD
(unid.)]]</f>
        <v>0</v>
      </c>
      <c r="S147" s="278">
        <f>TABLA_BASE[[#This Row],[DEUDA
ADUANERA
UNIT.]]*'📋 Datos Generales'!$E$19</f>
        <v>0</v>
      </c>
      <c r="T147" s="278">
        <f>TABLA_BASE[[#This Row],[DEUDA
ADUANERA
TOTAL]]*'📋 Datos Generales'!$E$19</f>
        <v>0</v>
      </c>
      <c r="U147" s="281">
        <f>TABLA_BASE[[#This Row],[ADV UNIT.
(US$)
⚠️COSTO]]*'📋 Datos Generales'!$E$19</f>
        <v>0</v>
      </c>
      <c r="V147" s="281">
        <f>TABLA_BASE[[#This Row],[ADV UNIT.
(S/.)]]*TABLA_BASE[[#This Row],[CANTIDAD
(unid.)]]</f>
        <v>0</v>
      </c>
      <c r="W147" s="281">
        <f>TABLA_BASE[[#This Row],[IPM UNIT.
(US$)
✅CF]]*'📋 Datos Generales'!$E$19</f>
        <v>0</v>
      </c>
      <c r="X147" s="281">
        <f>TABLA_BASE[[#This Row],[IPM UNIT.
(S/.)]]*TABLA_BASE[[#This Row],[CANTIDAD
(unid.)]]</f>
        <v>0</v>
      </c>
      <c r="Y147" s="281">
        <f>TABLA_BASE[[#This Row],[IGV UNIT.
(US$)
✅CF]]*'📋 Datos Generales'!$E$19</f>
        <v>0</v>
      </c>
      <c r="Z147" s="281">
        <f>TABLA_BASE[[#This Row],[IGV UNIT.
(S/.)]]*TABLA_BASE[[#This Row],[CANTIDAD
(unid.)]]</f>
        <v>0</v>
      </c>
      <c r="AA147" s="281">
        <f>TABLA_BASE[[#This Row],[PERCEP.
UNIT.(US$)
✅CF]]*'📋 Datos Generales'!$E$19</f>
        <v>0</v>
      </c>
      <c r="AB147" s="281">
        <f>TABLA_BASE[[#This Row],[PERCEP.
UNIT.(S/.)]]*TABLA_BASE[[#This Row],[CANTIDAD
(unid.)]]</f>
        <v>0</v>
      </c>
      <c r="AC147" s="279">
        <f>TABLA_BASE[[#This Row],[ADV UNIT.
(US$)
⚠️COSTO]]+TABLA_BASE[[#This Row],[IPM UNIT.
(US$)
✅CF]]+TABLA_BASE[[#This Row],[IGV UNIT.
(US$)
✅CF]]+TABLA_BASE[[#This Row],[PERCEP.
UNIT.(US$)
✅CF]]</f>
        <v>0</v>
      </c>
      <c r="AD147" s="279">
        <f>TABLA_BASE[[#This Row],[TOTAL PAGO
SUNAT
UNIT.(US$)]]*TABLA_BASE[[#This Row],[CANTIDAD
(unid.)]]</f>
        <v>0</v>
      </c>
      <c r="AE147" s="281">
        <f>TABLA_BASE[[#This Row],[TOTAL PAGO
SUNAT
UNIT.(US$)]]*'📋 Datos Generales'!$E$19</f>
        <v>0</v>
      </c>
      <c r="AF147" s="281">
        <f>TABLA_BASE[[#This Row],[TOTAL TRIB.
UNIT.(S/.)]]*TABLA_BASE[[#This Row],[CANTIDAD
(unid.)]]</f>
        <v>0</v>
      </c>
      <c r="AG147" s="279">
        <f>IF('🧾 Factura Comercial'!G151=0,0,'📦 Gastos Importación'!$E$28*(IF('🧾 Tributos Aduana'!$F$6=0,0,'🧾 Factura Comercial'!I151/'🧾 Tributos Aduana'!$F$6))/'🧾 Factura Comercial'!G151)</f>
        <v>0</v>
      </c>
      <c r="AH147" s="279">
        <f>TABLA_BASE[[#This Row],[GASTOS IMP.
UNIT.(US$)]]*TABLA_BASE[[#This Row],[CANTIDAD
(unid.)]]</f>
        <v>0</v>
      </c>
      <c r="AI147" s="281">
        <f>TABLA_BASE[[#This Row],[GASTOS IMP.
UNIT.(US$)]]*'📋 Datos Generales'!$E$19</f>
        <v>0</v>
      </c>
      <c r="AJ147" s="281">
        <f>TABLA_BASE[[#This Row],[GASTOS IMP.
UNIT.(S/.)]]*TABLA_BASE[[#This Row],[CANTIDAD
(unid.)]]</f>
        <v>0</v>
      </c>
      <c r="AK147" s="280">
        <f>'🧮 Costos x Producto'!J151</f>
        <v>0</v>
      </c>
      <c r="AL147" s="278">
        <f>'🧮 Costos x Producto'!K151</f>
        <v>0</v>
      </c>
      <c r="AM147" s="278">
        <f>TABLA_BASE[[#This Row],[C/M UNIT.
(S/.)]]*TABLA_BASE[[#This Row],[CANTIDAD
(unid.)]]</f>
        <v>0</v>
      </c>
      <c r="AN147" s="279">
        <f>IF('🧾 Factura Comercial'!G151=0,0,'🧾 Tributos Aduana'!$F$17*(IF('🧾 Tributos Aduana'!$F$6=0,0,'🧾 Factura Comercial'!I151/'🧾 Tributos Aduana'!$F$6))/'🧾 Factura Comercial'!G151)</f>
        <v>0</v>
      </c>
      <c r="AO147" s="280">
        <f>IF('🧾 Factura Comercial'!G151=0,0,'🏦 Crédito Fiscal'!$C$16*(IF('🧾 Tributos Aduana'!$F$6=0,0,'🧾 Factura Comercial'!I151/'🧾 Tributos Aduana'!$F$6))/'🧾 Factura Comercial'!G151)</f>
        <v>0</v>
      </c>
      <c r="AP147" s="278">
        <f>TABLA_BASE[[#This Row],[CF UNIT.
✅RECUP.
(US$)]]*'📋 Datos Generales'!$E$19</f>
        <v>0</v>
      </c>
      <c r="AQ147" s="278">
        <f>TABLA_BASE[[#This Row],[CF UNIT.
✅RECUP.(S/.)]]*TABLA_BASE[[#This Row],[CANTIDAD
(unid.)]]</f>
        <v>0</v>
      </c>
      <c r="AR147" s="288">
        <f>'💰 Precio de Venta'!G152</f>
        <v>0.4</v>
      </c>
      <c r="AS147" s="278">
        <f>'💰 Precio de Venta'!H152</f>
        <v>0</v>
      </c>
      <c r="AT147" s="278">
        <f>TABLA_BASE[[#This Row],[VALOR VTA.
UNIT.(S/.)]]*TABLA_BASE[[#This Row],[CANTIDAD
(unid.)]]</f>
        <v>0</v>
      </c>
      <c r="AU147" s="281">
        <f>'💰 Precio de Venta'!I152</f>
        <v>0</v>
      </c>
      <c r="AV147" s="278">
        <f>'💰 Precio de Venta'!J152</f>
        <v>0</v>
      </c>
      <c r="AW147" s="278">
        <f>TABLA_BASE[[#This Row],[GANANCIA
UNIT.(S/.)]]*TABLA_BASE[[#This Row],[CANTIDAD
(unid.)]]</f>
        <v>0</v>
      </c>
      <c r="AX147" s="289">
        <f>'💰 Precio de Venta'!K152</f>
        <v>0</v>
      </c>
      <c r="AY147" s="278">
        <f>TABLA_BASE[[#This Row],[GANANCIA
UNIT.(S/.)]]*'🧾 Factura Comercial'!G151</f>
        <v>0</v>
      </c>
      <c r="AZ147" s="277">
        <f>IF(TABLA_BASE[[#This Row],[PRECIO VTA.
c/IGV(S/.)]]=0,0,TABLA_BASE[[#This Row],[GANANCIA
UNIT.(S/.)]]/TABLA_BASE[[#This Row],[PRECIO VTA.
c/IGV(S/.)]])</f>
        <v>0</v>
      </c>
      <c r="BA147" s="277">
        <f>IF(TABLA_BASE[[#This Row],[C/M UNIT.
(S/.)]]=0,0,TABLA_BASE[[#This Row],[GANANCIA
UNIT.(S/.)]]/TABLA_BASE[[#This Row],[C/M UNIT.
(S/.)]])</f>
        <v>0</v>
      </c>
      <c r="BB147" s="274" t="str">
        <f>IF(TABLA_BASE[[#This Row],[MARGEN
%]]&gt;=0.5,"🟢 ALTO",IF(TABLA_BASE[[#This Row],[MARGEN
%]]&gt;=0.3,"🟡 MEDIO","🔴 BAJO"))</f>
        <v>🟡 MEDIO</v>
      </c>
    </row>
    <row r="148" spans="1:54" ht="16.5" hidden="1" thickTop="1" thickBot="1" x14ac:dyDescent="0.3">
      <c r="A148" s="274">
        <f>'🧾 Factura Comercial'!E152</f>
        <v>0</v>
      </c>
      <c r="B148" s="274" t="str">
        <f>'🧾 Factura Comercial'!F152</f>
        <v>Unid.</v>
      </c>
      <c r="C148" s="275">
        <f>'🧾 Factura Comercial'!G152</f>
        <v>0</v>
      </c>
      <c r="D148" s="276">
        <f>'🧾 Factura Comercial'!H152</f>
        <v>0</v>
      </c>
      <c r="E148" s="276">
        <f>'🧾 Factura Comercial'!I152</f>
        <v>0</v>
      </c>
      <c r="F148" s="277">
        <f>IF('🧾 Tributos Aduana'!$F$6=0,0,'🧾 Factura Comercial'!I152/'🧾 Tributos Aduana'!$F$6)</f>
        <v>0</v>
      </c>
      <c r="G148" s="278">
        <f>'🧾 Factura Comercial'!H152*'📋 Datos Generales'!$E$19</f>
        <v>0</v>
      </c>
      <c r="H148" s="278">
        <f>TABLA_BASE[[#This Row],[FOB UNIT.
(S/.)]]*TABLA_BASE[[#This Row],[CANTIDAD
(unid.)]]</f>
        <v>0</v>
      </c>
      <c r="I148" s="280">
        <f>IF('🧾 Tributos Aduana'!$F$6=0,0,'🧾 Tributos Aduana'!$F$17*('🧾 Factura Comercial'!H152/'🧾 Tributos Aduana'!$F$6))</f>
        <v>0</v>
      </c>
      <c r="J148" s="280">
        <f>TABLA_BASE[[#This Row],[ADV UNIT.
(US$)
⚠️COSTO]]*TABLA_BASE[[#This Row],[CANTIDAD
(unid.)]]</f>
        <v>0</v>
      </c>
      <c r="K148" s="279">
        <f>IF('🧾 Tributos Aduana'!$F$6=0,0,'🧾 Tributos Aduana'!$F$18*('🧾 Factura Comercial'!H152/'🧾 Tributos Aduana'!$F$6))</f>
        <v>0</v>
      </c>
      <c r="L148" s="280">
        <f>TABLA_BASE[[#This Row],[IPM UNIT.
(US$)
✅CF]]*TABLA_BASE[[#This Row],[CANTIDAD
(unid.)]]</f>
        <v>0</v>
      </c>
      <c r="M148" s="279">
        <f>IF('🧾 Tributos Aduana'!$F$6=0,0,'🧾 Tributos Aduana'!$F$19*('🧾 Factura Comercial'!H152/'🧾 Tributos Aduana'!$F$6))</f>
        <v>0</v>
      </c>
      <c r="N148" s="280">
        <f>TABLA_BASE[[#This Row],[IGV UNIT.
(US$)
✅CF]]*TABLA_BASE[[#This Row],[CANTIDAD
(unid.)]]</f>
        <v>0</v>
      </c>
      <c r="O148" s="280">
        <f>IF('🧾 Tributos Aduana'!$F$6=0,0,'🧾 Tributos Aduana'!$F$23*('🧾 Factura Comercial'!H152/'🧾 Tributos Aduana'!$F$6))</f>
        <v>0</v>
      </c>
      <c r="P148" s="280">
        <f>TABLA_BASE[[#This Row],[PERCEP.
UNIT.(US$)
✅CF]]*TABLA_BASE[[#This Row],[CANTIDAD
(unid.)]]</f>
        <v>0</v>
      </c>
      <c r="Q148" s="279">
        <f>TABLA_BASE[[#This Row],[ADV UNIT.
(US$)
⚠️COSTO]]+TABLA_BASE[[#This Row],[IPM UNIT.
(US$)
✅CF]]+TABLA_BASE[[#This Row],[IGV UNIT.
(US$)
✅CF]]</f>
        <v>0</v>
      </c>
      <c r="R148" s="280">
        <f>TABLA_BASE[[#This Row],[DEUDA
ADUANERA
UNIT.]]*TABLA_BASE[[#This Row],[CANTIDAD
(unid.)]]</f>
        <v>0</v>
      </c>
      <c r="S148" s="278">
        <f>TABLA_BASE[[#This Row],[DEUDA
ADUANERA
UNIT.]]*'📋 Datos Generales'!$E$19</f>
        <v>0</v>
      </c>
      <c r="T148" s="278">
        <f>TABLA_BASE[[#This Row],[DEUDA
ADUANERA
TOTAL]]*'📋 Datos Generales'!$E$19</f>
        <v>0</v>
      </c>
      <c r="U148" s="281">
        <f>TABLA_BASE[[#This Row],[ADV UNIT.
(US$)
⚠️COSTO]]*'📋 Datos Generales'!$E$19</f>
        <v>0</v>
      </c>
      <c r="V148" s="281">
        <f>TABLA_BASE[[#This Row],[ADV UNIT.
(S/.)]]*TABLA_BASE[[#This Row],[CANTIDAD
(unid.)]]</f>
        <v>0</v>
      </c>
      <c r="W148" s="281">
        <f>TABLA_BASE[[#This Row],[IPM UNIT.
(US$)
✅CF]]*'📋 Datos Generales'!$E$19</f>
        <v>0</v>
      </c>
      <c r="X148" s="281">
        <f>TABLA_BASE[[#This Row],[IPM UNIT.
(S/.)]]*TABLA_BASE[[#This Row],[CANTIDAD
(unid.)]]</f>
        <v>0</v>
      </c>
      <c r="Y148" s="281">
        <f>TABLA_BASE[[#This Row],[IGV UNIT.
(US$)
✅CF]]*'📋 Datos Generales'!$E$19</f>
        <v>0</v>
      </c>
      <c r="Z148" s="281">
        <f>TABLA_BASE[[#This Row],[IGV UNIT.
(S/.)]]*TABLA_BASE[[#This Row],[CANTIDAD
(unid.)]]</f>
        <v>0</v>
      </c>
      <c r="AA148" s="281">
        <f>TABLA_BASE[[#This Row],[PERCEP.
UNIT.(US$)
✅CF]]*'📋 Datos Generales'!$E$19</f>
        <v>0</v>
      </c>
      <c r="AB148" s="281">
        <f>TABLA_BASE[[#This Row],[PERCEP.
UNIT.(S/.)]]*TABLA_BASE[[#This Row],[CANTIDAD
(unid.)]]</f>
        <v>0</v>
      </c>
      <c r="AC148" s="279">
        <f>TABLA_BASE[[#This Row],[ADV UNIT.
(US$)
⚠️COSTO]]+TABLA_BASE[[#This Row],[IPM UNIT.
(US$)
✅CF]]+TABLA_BASE[[#This Row],[IGV UNIT.
(US$)
✅CF]]+TABLA_BASE[[#This Row],[PERCEP.
UNIT.(US$)
✅CF]]</f>
        <v>0</v>
      </c>
      <c r="AD148" s="279">
        <f>TABLA_BASE[[#This Row],[TOTAL PAGO
SUNAT
UNIT.(US$)]]*TABLA_BASE[[#This Row],[CANTIDAD
(unid.)]]</f>
        <v>0</v>
      </c>
      <c r="AE148" s="281">
        <f>TABLA_BASE[[#This Row],[TOTAL PAGO
SUNAT
UNIT.(US$)]]*'📋 Datos Generales'!$E$19</f>
        <v>0</v>
      </c>
      <c r="AF148" s="281">
        <f>TABLA_BASE[[#This Row],[TOTAL TRIB.
UNIT.(S/.)]]*TABLA_BASE[[#This Row],[CANTIDAD
(unid.)]]</f>
        <v>0</v>
      </c>
      <c r="AG148" s="279">
        <f>IF('🧾 Factura Comercial'!G152=0,0,'📦 Gastos Importación'!$E$28*(IF('🧾 Tributos Aduana'!$F$6=0,0,'🧾 Factura Comercial'!I152/'🧾 Tributos Aduana'!$F$6))/'🧾 Factura Comercial'!G152)</f>
        <v>0</v>
      </c>
      <c r="AH148" s="279">
        <f>TABLA_BASE[[#This Row],[GASTOS IMP.
UNIT.(US$)]]*TABLA_BASE[[#This Row],[CANTIDAD
(unid.)]]</f>
        <v>0</v>
      </c>
      <c r="AI148" s="281">
        <f>TABLA_BASE[[#This Row],[GASTOS IMP.
UNIT.(US$)]]*'📋 Datos Generales'!$E$19</f>
        <v>0</v>
      </c>
      <c r="AJ148" s="281">
        <f>TABLA_BASE[[#This Row],[GASTOS IMP.
UNIT.(S/.)]]*TABLA_BASE[[#This Row],[CANTIDAD
(unid.)]]</f>
        <v>0</v>
      </c>
      <c r="AK148" s="280">
        <f>'🧮 Costos x Producto'!J152</f>
        <v>0</v>
      </c>
      <c r="AL148" s="278">
        <f>'🧮 Costos x Producto'!K152</f>
        <v>0</v>
      </c>
      <c r="AM148" s="278">
        <f>TABLA_BASE[[#This Row],[C/M UNIT.
(S/.)]]*TABLA_BASE[[#This Row],[CANTIDAD
(unid.)]]</f>
        <v>0</v>
      </c>
      <c r="AN148" s="279">
        <f>IF('🧾 Factura Comercial'!G152=0,0,'🧾 Tributos Aduana'!$F$17*(IF('🧾 Tributos Aduana'!$F$6=0,0,'🧾 Factura Comercial'!I152/'🧾 Tributos Aduana'!$F$6))/'🧾 Factura Comercial'!G152)</f>
        <v>0</v>
      </c>
      <c r="AO148" s="280">
        <f>IF('🧾 Factura Comercial'!G152=0,0,'🏦 Crédito Fiscal'!$C$16*(IF('🧾 Tributos Aduana'!$F$6=0,0,'🧾 Factura Comercial'!I152/'🧾 Tributos Aduana'!$F$6))/'🧾 Factura Comercial'!G152)</f>
        <v>0</v>
      </c>
      <c r="AP148" s="278">
        <f>TABLA_BASE[[#This Row],[CF UNIT.
✅RECUP.
(US$)]]*'📋 Datos Generales'!$E$19</f>
        <v>0</v>
      </c>
      <c r="AQ148" s="278">
        <f>TABLA_BASE[[#This Row],[CF UNIT.
✅RECUP.(S/.)]]*TABLA_BASE[[#This Row],[CANTIDAD
(unid.)]]</f>
        <v>0</v>
      </c>
      <c r="AR148" s="288">
        <f>'💰 Precio de Venta'!G153</f>
        <v>0.4</v>
      </c>
      <c r="AS148" s="278">
        <f>'💰 Precio de Venta'!H153</f>
        <v>0</v>
      </c>
      <c r="AT148" s="278">
        <f>TABLA_BASE[[#This Row],[VALOR VTA.
UNIT.(S/.)]]*TABLA_BASE[[#This Row],[CANTIDAD
(unid.)]]</f>
        <v>0</v>
      </c>
      <c r="AU148" s="281">
        <f>'💰 Precio de Venta'!I153</f>
        <v>0</v>
      </c>
      <c r="AV148" s="278">
        <f>'💰 Precio de Venta'!J153</f>
        <v>0</v>
      </c>
      <c r="AW148" s="278">
        <f>TABLA_BASE[[#This Row],[GANANCIA
UNIT.(S/.)]]*TABLA_BASE[[#This Row],[CANTIDAD
(unid.)]]</f>
        <v>0</v>
      </c>
      <c r="AX148" s="289">
        <f>'💰 Precio de Venta'!K153</f>
        <v>0</v>
      </c>
      <c r="AY148" s="278">
        <f>TABLA_BASE[[#This Row],[GANANCIA
UNIT.(S/.)]]*'🧾 Factura Comercial'!G152</f>
        <v>0</v>
      </c>
      <c r="AZ148" s="277">
        <f>IF(TABLA_BASE[[#This Row],[PRECIO VTA.
c/IGV(S/.)]]=0,0,TABLA_BASE[[#This Row],[GANANCIA
UNIT.(S/.)]]/TABLA_BASE[[#This Row],[PRECIO VTA.
c/IGV(S/.)]])</f>
        <v>0</v>
      </c>
      <c r="BA148" s="277">
        <f>IF(TABLA_BASE[[#This Row],[C/M UNIT.
(S/.)]]=0,0,TABLA_BASE[[#This Row],[GANANCIA
UNIT.(S/.)]]/TABLA_BASE[[#This Row],[C/M UNIT.
(S/.)]])</f>
        <v>0</v>
      </c>
      <c r="BB148" s="274" t="str">
        <f>IF(TABLA_BASE[[#This Row],[MARGEN
%]]&gt;=0.5,"🟢 ALTO",IF(TABLA_BASE[[#This Row],[MARGEN
%]]&gt;=0.3,"🟡 MEDIO","🔴 BAJO"))</f>
        <v>🟡 MEDIO</v>
      </c>
    </row>
    <row r="149" spans="1:54" ht="16.5" hidden="1" thickTop="1" thickBot="1" x14ac:dyDescent="0.3">
      <c r="A149" s="274">
        <f>'🧾 Factura Comercial'!E153</f>
        <v>0</v>
      </c>
      <c r="B149" s="274" t="str">
        <f>'🧾 Factura Comercial'!F153</f>
        <v>Unid.</v>
      </c>
      <c r="C149" s="275">
        <f>'🧾 Factura Comercial'!G153</f>
        <v>0</v>
      </c>
      <c r="D149" s="276">
        <f>'🧾 Factura Comercial'!H153</f>
        <v>0</v>
      </c>
      <c r="E149" s="276">
        <f>'🧾 Factura Comercial'!I153</f>
        <v>0</v>
      </c>
      <c r="F149" s="277">
        <f>IF('🧾 Tributos Aduana'!$F$6=0,0,'🧾 Factura Comercial'!I153/'🧾 Tributos Aduana'!$F$6)</f>
        <v>0</v>
      </c>
      <c r="G149" s="278">
        <f>'🧾 Factura Comercial'!H153*'📋 Datos Generales'!$E$19</f>
        <v>0</v>
      </c>
      <c r="H149" s="278">
        <f>TABLA_BASE[[#This Row],[FOB UNIT.
(S/.)]]*TABLA_BASE[[#This Row],[CANTIDAD
(unid.)]]</f>
        <v>0</v>
      </c>
      <c r="I149" s="280">
        <f>IF('🧾 Tributos Aduana'!$F$6=0,0,'🧾 Tributos Aduana'!$F$17*('🧾 Factura Comercial'!H153/'🧾 Tributos Aduana'!$F$6))</f>
        <v>0</v>
      </c>
      <c r="J149" s="280">
        <f>TABLA_BASE[[#This Row],[ADV UNIT.
(US$)
⚠️COSTO]]*TABLA_BASE[[#This Row],[CANTIDAD
(unid.)]]</f>
        <v>0</v>
      </c>
      <c r="K149" s="279">
        <f>IF('🧾 Tributos Aduana'!$F$6=0,0,'🧾 Tributos Aduana'!$F$18*('🧾 Factura Comercial'!H153/'🧾 Tributos Aduana'!$F$6))</f>
        <v>0</v>
      </c>
      <c r="L149" s="280">
        <f>TABLA_BASE[[#This Row],[IPM UNIT.
(US$)
✅CF]]*TABLA_BASE[[#This Row],[CANTIDAD
(unid.)]]</f>
        <v>0</v>
      </c>
      <c r="M149" s="279">
        <f>IF('🧾 Tributos Aduana'!$F$6=0,0,'🧾 Tributos Aduana'!$F$19*('🧾 Factura Comercial'!H153/'🧾 Tributos Aduana'!$F$6))</f>
        <v>0</v>
      </c>
      <c r="N149" s="280">
        <f>TABLA_BASE[[#This Row],[IGV UNIT.
(US$)
✅CF]]*TABLA_BASE[[#This Row],[CANTIDAD
(unid.)]]</f>
        <v>0</v>
      </c>
      <c r="O149" s="280">
        <f>IF('🧾 Tributos Aduana'!$F$6=0,0,'🧾 Tributos Aduana'!$F$23*('🧾 Factura Comercial'!H153/'🧾 Tributos Aduana'!$F$6))</f>
        <v>0</v>
      </c>
      <c r="P149" s="280">
        <f>TABLA_BASE[[#This Row],[PERCEP.
UNIT.(US$)
✅CF]]*TABLA_BASE[[#This Row],[CANTIDAD
(unid.)]]</f>
        <v>0</v>
      </c>
      <c r="Q149" s="279">
        <f>TABLA_BASE[[#This Row],[ADV UNIT.
(US$)
⚠️COSTO]]+TABLA_BASE[[#This Row],[IPM UNIT.
(US$)
✅CF]]+TABLA_BASE[[#This Row],[IGV UNIT.
(US$)
✅CF]]</f>
        <v>0</v>
      </c>
      <c r="R149" s="280">
        <f>TABLA_BASE[[#This Row],[DEUDA
ADUANERA
UNIT.]]*TABLA_BASE[[#This Row],[CANTIDAD
(unid.)]]</f>
        <v>0</v>
      </c>
      <c r="S149" s="278">
        <f>TABLA_BASE[[#This Row],[DEUDA
ADUANERA
UNIT.]]*'📋 Datos Generales'!$E$19</f>
        <v>0</v>
      </c>
      <c r="T149" s="278">
        <f>TABLA_BASE[[#This Row],[DEUDA
ADUANERA
TOTAL]]*'📋 Datos Generales'!$E$19</f>
        <v>0</v>
      </c>
      <c r="U149" s="281">
        <f>TABLA_BASE[[#This Row],[ADV UNIT.
(US$)
⚠️COSTO]]*'📋 Datos Generales'!$E$19</f>
        <v>0</v>
      </c>
      <c r="V149" s="281">
        <f>TABLA_BASE[[#This Row],[ADV UNIT.
(S/.)]]*TABLA_BASE[[#This Row],[CANTIDAD
(unid.)]]</f>
        <v>0</v>
      </c>
      <c r="W149" s="281">
        <f>TABLA_BASE[[#This Row],[IPM UNIT.
(US$)
✅CF]]*'📋 Datos Generales'!$E$19</f>
        <v>0</v>
      </c>
      <c r="X149" s="281">
        <f>TABLA_BASE[[#This Row],[IPM UNIT.
(S/.)]]*TABLA_BASE[[#This Row],[CANTIDAD
(unid.)]]</f>
        <v>0</v>
      </c>
      <c r="Y149" s="281">
        <f>TABLA_BASE[[#This Row],[IGV UNIT.
(US$)
✅CF]]*'📋 Datos Generales'!$E$19</f>
        <v>0</v>
      </c>
      <c r="Z149" s="281">
        <f>TABLA_BASE[[#This Row],[IGV UNIT.
(S/.)]]*TABLA_BASE[[#This Row],[CANTIDAD
(unid.)]]</f>
        <v>0</v>
      </c>
      <c r="AA149" s="281">
        <f>TABLA_BASE[[#This Row],[PERCEP.
UNIT.(US$)
✅CF]]*'📋 Datos Generales'!$E$19</f>
        <v>0</v>
      </c>
      <c r="AB149" s="281">
        <f>TABLA_BASE[[#This Row],[PERCEP.
UNIT.(S/.)]]*TABLA_BASE[[#This Row],[CANTIDAD
(unid.)]]</f>
        <v>0</v>
      </c>
      <c r="AC149" s="279">
        <f>TABLA_BASE[[#This Row],[ADV UNIT.
(US$)
⚠️COSTO]]+TABLA_BASE[[#This Row],[IPM UNIT.
(US$)
✅CF]]+TABLA_BASE[[#This Row],[IGV UNIT.
(US$)
✅CF]]+TABLA_BASE[[#This Row],[PERCEP.
UNIT.(US$)
✅CF]]</f>
        <v>0</v>
      </c>
      <c r="AD149" s="279">
        <f>TABLA_BASE[[#This Row],[TOTAL PAGO
SUNAT
UNIT.(US$)]]*TABLA_BASE[[#This Row],[CANTIDAD
(unid.)]]</f>
        <v>0</v>
      </c>
      <c r="AE149" s="281">
        <f>TABLA_BASE[[#This Row],[TOTAL PAGO
SUNAT
UNIT.(US$)]]*'📋 Datos Generales'!$E$19</f>
        <v>0</v>
      </c>
      <c r="AF149" s="281">
        <f>TABLA_BASE[[#This Row],[TOTAL TRIB.
UNIT.(S/.)]]*TABLA_BASE[[#This Row],[CANTIDAD
(unid.)]]</f>
        <v>0</v>
      </c>
      <c r="AG149" s="279">
        <f>IF('🧾 Factura Comercial'!G153=0,0,'📦 Gastos Importación'!$E$28*(IF('🧾 Tributos Aduana'!$F$6=0,0,'🧾 Factura Comercial'!I153/'🧾 Tributos Aduana'!$F$6))/'🧾 Factura Comercial'!G153)</f>
        <v>0</v>
      </c>
      <c r="AH149" s="279">
        <f>TABLA_BASE[[#This Row],[GASTOS IMP.
UNIT.(US$)]]*TABLA_BASE[[#This Row],[CANTIDAD
(unid.)]]</f>
        <v>0</v>
      </c>
      <c r="AI149" s="281">
        <f>TABLA_BASE[[#This Row],[GASTOS IMP.
UNIT.(US$)]]*'📋 Datos Generales'!$E$19</f>
        <v>0</v>
      </c>
      <c r="AJ149" s="281">
        <f>TABLA_BASE[[#This Row],[GASTOS IMP.
UNIT.(S/.)]]*TABLA_BASE[[#This Row],[CANTIDAD
(unid.)]]</f>
        <v>0</v>
      </c>
      <c r="AK149" s="280">
        <f>'🧮 Costos x Producto'!J153</f>
        <v>0</v>
      </c>
      <c r="AL149" s="278">
        <f>'🧮 Costos x Producto'!K153</f>
        <v>0</v>
      </c>
      <c r="AM149" s="278">
        <f>TABLA_BASE[[#This Row],[C/M UNIT.
(S/.)]]*TABLA_BASE[[#This Row],[CANTIDAD
(unid.)]]</f>
        <v>0</v>
      </c>
      <c r="AN149" s="279">
        <f>IF('🧾 Factura Comercial'!G153=0,0,'🧾 Tributos Aduana'!$F$17*(IF('🧾 Tributos Aduana'!$F$6=0,0,'🧾 Factura Comercial'!I153/'🧾 Tributos Aduana'!$F$6))/'🧾 Factura Comercial'!G153)</f>
        <v>0</v>
      </c>
      <c r="AO149" s="280">
        <f>IF('🧾 Factura Comercial'!G153=0,0,'🏦 Crédito Fiscal'!$C$16*(IF('🧾 Tributos Aduana'!$F$6=0,0,'🧾 Factura Comercial'!I153/'🧾 Tributos Aduana'!$F$6))/'🧾 Factura Comercial'!G153)</f>
        <v>0</v>
      </c>
      <c r="AP149" s="278">
        <f>TABLA_BASE[[#This Row],[CF UNIT.
✅RECUP.
(US$)]]*'📋 Datos Generales'!$E$19</f>
        <v>0</v>
      </c>
      <c r="AQ149" s="278">
        <f>TABLA_BASE[[#This Row],[CF UNIT.
✅RECUP.(S/.)]]*TABLA_BASE[[#This Row],[CANTIDAD
(unid.)]]</f>
        <v>0</v>
      </c>
      <c r="AR149" s="288">
        <f>'💰 Precio de Venta'!G154</f>
        <v>0.4</v>
      </c>
      <c r="AS149" s="278">
        <f>'💰 Precio de Venta'!H154</f>
        <v>0</v>
      </c>
      <c r="AT149" s="278">
        <f>TABLA_BASE[[#This Row],[VALOR VTA.
UNIT.(S/.)]]*TABLA_BASE[[#This Row],[CANTIDAD
(unid.)]]</f>
        <v>0</v>
      </c>
      <c r="AU149" s="281">
        <f>'💰 Precio de Venta'!I154</f>
        <v>0</v>
      </c>
      <c r="AV149" s="278">
        <f>'💰 Precio de Venta'!J154</f>
        <v>0</v>
      </c>
      <c r="AW149" s="278">
        <f>TABLA_BASE[[#This Row],[GANANCIA
UNIT.(S/.)]]*TABLA_BASE[[#This Row],[CANTIDAD
(unid.)]]</f>
        <v>0</v>
      </c>
      <c r="AX149" s="289">
        <f>'💰 Precio de Venta'!K154</f>
        <v>0</v>
      </c>
      <c r="AY149" s="278">
        <f>TABLA_BASE[[#This Row],[GANANCIA
UNIT.(S/.)]]*'🧾 Factura Comercial'!G153</f>
        <v>0</v>
      </c>
      <c r="AZ149" s="277">
        <f>IF(TABLA_BASE[[#This Row],[PRECIO VTA.
c/IGV(S/.)]]=0,0,TABLA_BASE[[#This Row],[GANANCIA
UNIT.(S/.)]]/TABLA_BASE[[#This Row],[PRECIO VTA.
c/IGV(S/.)]])</f>
        <v>0</v>
      </c>
      <c r="BA149" s="277">
        <f>IF(TABLA_BASE[[#This Row],[C/M UNIT.
(S/.)]]=0,0,TABLA_BASE[[#This Row],[GANANCIA
UNIT.(S/.)]]/TABLA_BASE[[#This Row],[C/M UNIT.
(S/.)]])</f>
        <v>0</v>
      </c>
      <c r="BB149" s="274" t="str">
        <f>IF(TABLA_BASE[[#This Row],[MARGEN
%]]&gt;=0.5,"🟢 ALTO",IF(TABLA_BASE[[#This Row],[MARGEN
%]]&gt;=0.3,"🟡 MEDIO","🔴 BAJO"))</f>
        <v>🟡 MEDIO</v>
      </c>
    </row>
    <row r="150" spans="1:54" ht="16.5" hidden="1" thickTop="1" thickBot="1" x14ac:dyDescent="0.3">
      <c r="A150" s="274">
        <f>'🧾 Factura Comercial'!E154</f>
        <v>0</v>
      </c>
      <c r="B150" s="274" t="str">
        <f>'🧾 Factura Comercial'!F154</f>
        <v>Unid.</v>
      </c>
      <c r="C150" s="275">
        <f>'🧾 Factura Comercial'!G154</f>
        <v>0</v>
      </c>
      <c r="D150" s="276">
        <f>'🧾 Factura Comercial'!H154</f>
        <v>0</v>
      </c>
      <c r="E150" s="276">
        <f>'🧾 Factura Comercial'!I154</f>
        <v>0</v>
      </c>
      <c r="F150" s="277">
        <f>IF('🧾 Tributos Aduana'!$F$6=0,0,'🧾 Factura Comercial'!I154/'🧾 Tributos Aduana'!$F$6)</f>
        <v>0</v>
      </c>
      <c r="G150" s="278">
        <f>'🧾 Factura Comercial'!H154*'📋 Datos Generales'!$E$19</f>
        <v>0</v>
      </c>
      <c r="H150" s="278">
        <f>TABLA_BASE[[#This Row],[FOB UNIT.
(S/.)]]*TABLA_BASE[[#This Row],[CANTIDAD
(unid.)]]</f>
        <v>0</v>
      </c>
      <c r="I150" s="280">
        <f>IF('🧾 Tributos Aduana'!$F$6=0,0,'🧾 Tributos Aduana'!$F$17*('🧾 Factura Comercial'!H154/'🧾 Tributos Aduana'!$F$6))</f>
        <v>0</v>
      </c>
      <c r="J150" s="280">
        <f>TABLA_BASE[[#This Row],[ADV UNIT.
(US$)
⚠️COSTO]]*TABLA_BASE[[#This Row],[CANTIDAD
(unid.)]]</f>
        <v>0</v>
      </c>
      <c r="K150" s="279">
        <f>IF('🧾 Tributos Aduana'!$F$6=0,0,'🧾 Tributos Aduana'!$F$18*('🧾 Factura Comercial'!H154/'🧾 Tributos Aduana'!$F$6))</f>
        <v>0</v>
      </c>
      <c r="L150" s="280">
        <f>TABLA_BASE[[#This Row],[IPM UNIT.
(US$)
✅CF]]*TABLA_BASE[[#This Row],[CANTIDAD
(unid.)]]</f>
        <v>0</v>
      </c>
      <c r="M150" s="279">
        <f>IF('🧾 Tributos Aduana'!$F$6=0,0,'🧾 Tributos Aduana'!$F$19*('🧾 Factura Comercial'!H154/'🧾 Tributos Aduana'!$F$6))</f>
        <v>0</v>
      </c>
      <c r="N150" s="280">
        <f>TABLA_BASE[[#This Row],[IGV UNIT.
(US$)
✅CF]]*TABLA_BASE[[#This Row],[CANTIDAD
(unid.)]]</f>
        <v>0</v>
      </c>
      <c r="O150" s="280">
        <f>IF('🧾 Tributos Aduana'!$F$6=0,0,'🧾 Tributos Aduana'!$F$23*('🧾 Factura Comercial'!H154/'🧾 Tributos Aduana'!$F$6))</f>
        <v>0</v>
      </c>
      <c r="P150" s="280">
        <f>TABLA_BASE[[#This Row],[PERCEP.
UNIT.(US$)
✅CF]]*TABLA_BASE[[#This Row],[CANTIDAD
(unid.)]]</f>
        <v>0</v>
      </c>
      <c r="Q150" s="279">
        <f>TABLA_BASE[[#This Row],[ADV UNIT.
(US$)
⚠️COSTO]]+TABLA_BASE[[#This Row],[IPM UNIT.
(US$)
✅CF]]+TABLA_BASE[[#This Row],[IGV UNIT.
(US$)
✅CF]]</f>
        <v>0</v>
      </c>
      <c r="R150" s="280">
        <f>TABLA_BASE[[#This Row],[DEUDA
ADUANERA
UNIT.]]*TABLA_BASE[[#This Row],[CANTIDAD
(unid.)]]</f>
        <v>0</v>
      </c>
      <c r="S150" s="278">
        <f>TABLA_BASE[[#This Row],[DEUDA
ADUANERA
UNIT.]]*'📋 Datos Generales'!$E$19</f>
        <v>0</v>
      </c>
      <c r="T150" s="278">
        <f>TABLA_BASE[[#This Row],[DEUDA
ADUANERA
TOTAL]]*'📋 Datos Generales'!$E$19</f>
        <v>0</v>
      </c>
      <c r="U150" s="281">
        <f>TABLA_BASE[[#This Row],[ADV UNIT.
(US$)
⚠️COSTO]]*'📋 Datos Generales'!$E$19</f>
        <v>0</v>
      </c>
      <c r="V150" s="281">
        <f>TABLA_BASE[[#This Row],[ADV UNIT.
(S/.)]]*TABLA_BASE[[#This Row],[CANTIDAD
(unid.)]]</f>
        <v>0</v>
      </c>
      <c r="W150" s="281">
        <f>TABLA_BASE[[#This Row],[IPM UNIT.
(US$)
✅CF]]*'📋 Datos Generales'!$E$19</f>
        <v>0</v>
      </c>
      <c r="X150" s="281">
        <f>TABLA_BASE[[#This Row],[IPM UNIT.
(S/.)]]*TABLA_BASE[[#This Row],[CANTIDAD
(unid.)]]</f>
        <v>0</v>
      </c>
      <c r="Y150" s="281">
        <f>TABLA_BASE[[#This Row],[IGV UNIT.
(US$)
✅CF]]*'📋 Datos Generales'!$E$19</f>
        <v>0</v>
      </c>
      <c r="Z150" s="281">
        <f>TABLA_BASE[[#This Row],[IGV UNIT.
(S/.)]]*TABLA_BASE[[#This Row],[CANTIDAD
(unid.)]]</f>
        <v>0</v>
      </c>
      <c r="AA150" s="281">
        <f>TABLA_BASE[[#This Row],[PERCEP.
UNIT.(US$)
✅CF]]*'📋 Datos Generales'!$E$19</f>
        <v>0</v>
      </c>
      <c r="AB150" s="281">
        <f>TABLA_BASE[[#This Row],[PERCEP.
UNIT.(S/.)]]*TABLA_BASE[[#This Row],[CANTIDAD
(unid.)]]</f>
        <v>0</v>
      </c>
      <c r="AC150" s="279">
        <f>TABLA_BASE[[#This Row],[ADV UNIT.
(US$)
⚠️COSTO]]+TABLA_BASE[[#This Row],[IPM UNIT.
(US$)
✅CF]]+TABLA_BASE[[#This Row],[IGV UNIT.
(US$)
✅CF]]+TABLA_BASE[[#This Row],[PERCEP.
UNIT.(US$)
✅CF]]</f>
        <v>0</v>
      </c>
      <c r="AD150" s="279">
        <f>TABLA_BASE[[#This Row],[TOTAL PAGO
SUNAT
UNIT.(US$)]]*TABLA_BASE[[#This Row],[CANTIDAD
(unid.)]]</f>
        <v>0</v>
      </c>
      <c r="AE150" s="281">
        <f>TABLA_BASE[[#This Row],[TOTAL PAGO
SUNAT
UNIT.(US$)]]*'📋 Datos Generales'!$E$19</f>
        <v>0</v>
      </c>
      <c r="AF150" s="281">
        <f>TABLA_BASE[[#This Row],[TOTAL TRIB.
UNIT.(S/.)]]*TABLA_BASE[[#This Row],[CANTIDAD
(unid.)]]</f>
        <v>0</v>
      </c>
      <c r="AG150" s="279">
        <f>IF('🧾 Factura Comercial'!G154=0,0,'📦 Gastos Importación'!$E$28*(IF('🧾 Tributos Aduana'!$F$6=0,0,'🧾 Factura Comercial'!I154/'🧾 Tributos Aduana'!$F$6))/'🧾 Factura Comercial'!G154)</f>
        <v>0</v>
      </c>
      <c r="AH150" s="279">
        <f>TABLA_BASE[[#This Row],[GASTOS IMP.
UNIT.(US$)]]*TABLA_BASE[[#This Row],[CANTIDAD
(unid.)]]</f>
        <v>0</v>
      </c>
      <c r="AI150" s="281">
        <f>TABLA_BASE[[#This Row],[GASTOS IMP.
UNIT.(US$)]]*'📋 Datos Generales'!$E$19</f>
        <v>0</v>
      </c>
      <c r="AJ150" s="281">
        <f>TABLA_BASE[[#This Row],[GASTOS IMP.
UNIT.(S/.)]]*TABLA_BASE[[#This Row],[CANTIDAD
(unid.)]]</f>
        <v>0</v>
      </c>
      <c r="AK150" s="280">
        <f>'🧮 Costos x Producto'!J154</f>
        <v>0</v>
      </c>
      <c r="AL150" s="278">
        <f>'🧮 Costos x Producto'!K154</f>
        <v>0</v>
      </c>
      <c r="AM150" s="278">
        <f>TABLA_BASE[[#This Row],[C/M UNIT.
(S/.)]]*TABLA_BASE[[#This Row],[CANTIDAD
(unid.)]]</f>
        <v>0</v>
      </c>
      <c r="AN150" s="279">
        <f>IF('🧾 Factura Comercial'!G154=0,0,'🧾 Tributos Aduana'!$F$17*(IF('🧾 Tributos Aduana'!$F$6=0,0,'🧾 Factura Comercial'!I154/'🧾 Tributos Aduana'!$F$6))/'🧾 Factura Comercial'!G154)</f>
        <v>0</v>
      </c>
      <c r="AO150" s="280">
        <f>IF('🧾 Factura Comercial'!G154=0,0,'🏦 Crédito Fiscal'!$C$16*(IF('🧾 Tributos Aduana'!$F$6=0,0,'🧾 Factura Comercial'!I154/'🧾 Tributos Aduana'!$F$6))/'🧾 Factura Comercial'!G154)</f>
        <v>0</v>
      </c>
      <c r="AP150" s="278">
        <f>TABLA_BASE[[#This Row],[CF UNIT.
✅RECUP.
(US$)]]*'📋 Datos Generales'!$E$19</f>
        <v>0</v>
      </c>
      <c r="AQ150" s="278">
        <f>TABLA_BASE[[#This Row],[CF UNIT.
✅RECUP.(S/.)]]*TABLA_BASE[[#This Row],[CANTIDAD
(unid.)]]</f>
        <v>0</v>
      </c>
      <c r="AR150" s="288">
        <f>'💰 Precio de Venta'!G155</f>
        <v>0.4</v>
      </c>
      <c r="AS150" s="278">
        <f>'💰 Precio de Venta'!H155</f>
        <v>0</v>
      </c>
      <c r="AT150" s="278">
        <f>TABLA_BASE[[#This Row],[VALOR VTA.
UNIT.(S/.)]]*TABLA_BASE[[#This Row],[CANTIDAD
(unid.)]]</f>
        <v>0</v>
      </c>
      <c r="AU150" s="281">
        <f>'💰 Precio de Venta'!I155</f>
        <v>0</v>
      </c>
      <c r="AV150" s="278">
        <f>'💰 Precio de Venta'!J155</f>
        <v>0</v>
      </c>
      <c r="AW150" s="278">
        <f>TABLA_BASE[[#This Row],[GANANCIA
UNIT.(S/.)]]*TABLA_BASE[[#This Row],[CANTIDAD
(unid.)]]</f>
        <v>0</v>
      </c>
      <c r="AX150" s="289">
        <f>'💰 Precio de Venta'!K155</f>
        <v>0</v>
      </c>
      <c r="AY150" s="278">
        <f>TABLA_BASE[[#This Row],[GANANCIA
UNIT.(S/.)]]*'🧾 Factura Comercial'!G154</f>
        <v>0</v>
      </c>
      <c r="AZ150" s="277">
        <f>IF(TABLA_BASE[[#This Row],[PRECIO VTA.
c/IGV(S/.)]]=0,0,TABLA_BASE[[#This Row],[GANANCIA
UNIT.(S/.)]]/TABLA_BASE[[#This Row],[PRECIO VTA.
c/IGV(S/.)]])</f>
        <v>0</v>
      </c>
      <c r="BA150" s="277">
        <f>IF(TABLA_BASE[[#This Row],[C/M UNIT.
(S/.)]]=0,0,TABLA_BASE[[#This Row],[GANANCIA
UNIT.(S/.)]]/TABLA_BASE[[#This Row],[C/M UNIT.
(S/.)]])</f>
        <v>0</v>
      </c>
      <c r="BB150" s="274" t="str">
        <f>IF(TABLA_BASE[[#This Row],[MARGEN
%]]&gt;=0.5,"🟢 ALTO",IF(TABLA_BASE[[#This Row],[MARGEN
%]]&gt;=0.3,"🟡 MEDIO","🔴 BAJO"))</f>
        <v>🟡 MEDIO</v>
      </c>
    </row>
    <row r="151" spans="1:54" ht="16.5" hidden="1" thickTop="1" thickBot="1" x14ac:dyDescent="0.3">
      <c r="A151" s="274">
        <f>'🧾 Factura Comercial'!E155</f>
        <v>0</v>
      </c>
      <c r="B151" s="274" t="str">
        <f>'🧾 Factura Comercial'!F155</f>
        <v>Unid.</v>
      </c>
      <c r="C151" s="275">
        <f>'🧾 Factura Comercial'!G155</f>
        <v>0</v>
      </c>
      <c r="D151" s="276">
        <f>'🧾 Factura Comercial'!H155</f>
        <v>0</v>
      </c>
      <c r="E151" s="276">
        <f>'🧾 Factura Comercial'!I155</f>
        <v>0</v>
      </c>
      <c r="F151" s="277">
        <f>IF('🧾 Tributos Aduana'!$F$6=0,0,'🧾 Factura Comercial'!I155/'🧾 Tributos Aduana'!$F$6)</f>
        <v>0</v>
      </c>
      <c r="G151" s="278">
        <f>'🧾 Factura Comercial'!H155*'📋 Datos Generales'!$E$19</f>
        <v>0</v>
      </c>
      <c r="H151" s="278">
        <f>TABLA_BASE[[#This Row],[FOB UNIT.
(S/.)]]*TABLA_BASE[[#This Row],[CANTIDAD
(unid.)]]</f>
        <v>0</v>
      </c>
      <c r="I151" s="280">
        <f>IF('🧾 Tributos Aduana'!$F$6=0,0,'🧾 Tributos Aduana'!$F$17*('🧾 Factura Comercial'!H155/'🧾 Tributos Aduana'!$F$6))</f>
        <v>0</v>
      </c>
      <c r="J151" s="280">
        <f>TABLA_BASE[[#This Row],[ADV UNIT.
(US$)
⚠️COSTO]]*TABLA_BASE[[#This Row],[CANTIDAD
(unid.)]]</f>
        <v>0</v>
      </c>
      <c r="K151" s="279">
        <f>IF('🧾 Tributos Aduana'!$F$6=0,0,'🧾 Tributos Aduana'!$F$18*('🧾 Factura Comercial'!H155/'🧾 Tributos Aduana'!$F$6))</f>
        <v>0</v>
      </c>
      <c r="L151" s="280">
        <f>TABLA_BASE[[#This Row],[IPM UNIT.
(US$)
✅CF]]*TABLA_BASE[[#This Row],[CANTIDAD
(unid.)]]</f>
        <v>0</v>
      </c>
      <c r="M151" s="279">
        <f>IF('🧾 Tributos Aduana'!$F$6=0,0,'🧾 Tributos Aduana'!$F$19*('🧾 Factura Comercial'!H155/'🧾 Tributos Aduana'!$F$6))</f>
        <v>0</v>
      </c>
      <c r="N151" s="280">
        <f>TABLA_BASE[[#This Row],[IGV UNIT.
(US$)
✅CF]]*TABLA_BASE[[#This Row],[CANTIDAD
(unid.)]]</f>
        <v>0</v>
      </c>
      <c r="O151" s="280">
        <f>IF('🧾 Tributos Aduana'!$F$6=0,0,'🧾 Tributos Aduana'!$F$23*('🧾 Factura Comercial'!H155/'🧾 Tributos Aduana'!$F$6))</f>
        <v>0</v>
      </c>
      <c r="P151" s="280">
        <f>TABLA_BASE[[#This Row],[PERCEP.
UNIT.(US$)
✅CF]]*TABLA_BASE[[#This Row],[CANTIDAD
(unid.)]]</f>
        <v>0</v>
      </c>
      <c r="Q151" s="279">
        <f>TABLA_BASE[[#This Row],[ADV UNIT.
(US$)
⚠️COSTO]]+TABLA_BASE[[#This Row],[IPM UNIT.
(US$)
✅CF]]+TABLA_BASE[[#This Row],[IGV UNIT.
(US$)
✅CF]]</f>
        <v>0</v>
      </c>
      <c r="R151" s="280">
        <f>TABLA_BASE[[#This Row],[DEUDA
ADUANERA
UNIT.]]*TABLA_BASE[[#This Row],[CANTIDAD
(unid.)]]</f>
        <v>0</v>
      </c>
      <c r="S151" s="278">
        <f>TABLA_BASE[[#This Row],[DEUDA
ADUANERA
UNIT.]]*'📋 Datos Generales'!$E$19</f>
        <v>0</v>
      </c>
      <c r="T151" s="278">
        <f>TABLA_BASE[[#This Row],[DEUDA
ADUANERA
TOTAL]]*'📋 Datos Generales'!$E$19</f>
        <v>0</v>
      </c>
      <c r="U151" s="281">
        <f>TABLA_BASE[[#This Row],[ADV UNIT.
(US$)
⚠️COSTO]]*'📋 Datos Generales'!$E$19</f>
        <v>0</v>
      </c>
      <c r="V151" s="281">
        <f>TABLA_BASE[[#This Row],[ADV UNIT.
(S/.)]]*TABLA_BASE[[#This Row],[CANTIDAD
(unid.)]]</f>
        <v>0</v>
      </c>
      <c r="W151" s="281">
        <f>TABLA_BASE[[#This Row],[IPM UNIT.
(US$)
✅CF]]*'📋 Datos Generales'!$E$19</f>
        <v>0</v>
      </c>
      <c r="X151" s="281">
        <f>TABLA_BASE[[#This Row],[IPM UNIT.
(S/.)]]*TABLA_BASE[[#This Row],[CANTIDAD
(unid.)]]</f>
        <v>0</v>
      </c>
      <c r="Y151" s="281">
        <f>TABLA_BASE[[#This Row],[IGV UNIT.
(US$)
✅CF]]*'📋 Datos Generales'!$E$19</f>
        <v>0</v>
      </c>
      <c r="Z151" s="281">
        <f>TABLA_BASE[[#This Row],[IGV UNIT.
(S/.)]]*TABLA_BASE[[#This Row],[CANTIDAD
(unid.)]]</f>
        <v>0</v>
      </c>
      <c r="AA151" s="281">
        <f>TABLA_BASE[[#This Row],[PERCEP.
UNIT.(US$)
✅CF]]*'📋 Datos Generales'!$E$19</f>
        <v>0</v>
      </c>
      <c r="AB151" s="281">
        <f>TABLA_BASE[[#This Row],[PERCEP.
UNIT.(S/.)]]*TABLA_BASE[[#This Row],[CANTIDAD
(unid.)]]</f>
        <v>0</v>
      </c>
      <c r="AC151" s="279">
        <f>TABLA_BASE[[#This Row],[ADV UNIT.
(US$)
⚠️COSTO]]+TABLA_BASE[[#This Row],[IPM UNIT.
(US$)
✅CF]]+TABLA_BASE[[#This Row],[IGV UNIT.
(US$)
✅CF]]+TABLA_BASE[[#This Row],[PERCEP.
UNIT.(US$)
✅CF]]</f>
        <v>0</v>
      </c>
      <c r="AD151" s="279">
        <f>TABLA_BASE[[#This Row],[TOTAL PAGO
SUNAT
UNIT.(US$)]]*TABLA_BASE[[#This Row],[CANTIDAD
(unid.)]]</f>
        <v>0</v>
      </c>
      <c r="AE151" s="281">
        <f>TABLA_BASE[[#This Row],[TOTAL PAGO
SUNAT
UNIT.(US$)]]*'📋 Datos Generales'!$E$19</f>
        <v>0</v>
      </c>
      <c r="AF151" s="281">
        <f>TABLA_BASE[[#This Row],[TOTAL TRIB.
UNIT.(S/.)]]*TABLA_BASE[[#This Row],[CANTIDAD
(unid.)]]</f>
        <v>0</v>
      </c>
      <c r="AG151" s="279">
        <f>IF('🧾 Factura Comercial'!G155=0,0,'📦 Gastos Importación'!$E$28*(IF('🧾 Tributos Aduana'!$F$6=0,0,'🧾 Factura Comercial'!I155/'🧾 Tributos Aduana'!$F$6))/'🧾 Factura Comercial'!G155)</f>
        <v>0</v>
      </c>
      <c r="AH151" s="279">
        <f>TABLA_BASE[[#This Row],[GASTOS IMP.
UNIT.(US$)]]*TABLA_BASE[[#This Row],[CANTIDAD
(unid.)]]</f>
        <v>0</v>
      </c>
      <c r="AI151" s="281">
        <f>TABLA_BASE[[#This Row],[GASTOS IMP.
UNIT.(US$)]]*'📋 Datos Generales'!$E$19</f>
        <v>0</v>
      </c>
      <c r="AJ151" s="281">
        <f>TABLA_BASE[[#This Row],[GASTOS IMP.
UNIT.(S/.)]]*TABLA_BASE[[#This Row],[CANTIDAD
(unid.)]]</f>
        <v>0</v>
      </c>
      <c r="AK151" s="280">
        <f>'🧮 Costos x Producto'!J155</f>
        <v>0</v>
      </c>
      <c r="AL151" s="278">
        <f>'🧮 Costos x Producto'!K155</f>
        <v>0</v>
      </c>
      <c r="AM151" s="278">
        <f>TABLA_BASE[[#This Row],[C/M UNIT.
(S/.)]]*TABLA_BASE[[#This Row],[CANTIDAD
(unid.)]]</f>
        <v>0</v>
      </c>
      <c r="AN151" s="279">
        <f>IF('🧾 Factura Comercial'!G155=0,0,'🧾 Tributos Aduana'!$F$17*(IF('🧾 Tributos Aduana'!$F$6=0,0,'🧾 Factura Comercial'!I155/'🧾 Tributos Aduana'!$F$6))/'🧾 Factura Comercial'!G155)</f>
        <v>0</v>
      </c>
      <c r="AO151" s="280">
        <f>IF('🧾 Factura Comercial'!G155=0,0,'🏦 Crédito Fiscal'!$C$16*(IF('🧾 Tributos Aduana'!$F$6=0,0,'🧾 Factura Comercial'!I155/'🧾 Tributos Aduana'!$F$6))/'🧾 Factura Comercial'!G155)</f>
        <v>0</v>
      </c>
      <c r="AP151" s="278">
        <f>TABLA_BASE[[#This Row],[CF UNIT.
✅RECUP.
(US$)]]*'📋 Datos Generales'!$E$19</f>
        <v>0</v>
      </c>
      <c r="AQ151" s="278">
        <f>TABLA_BASE[[#This Row],[CF UNIT.
✅RECUP.(S/.)]]*TABLA_BASE[[#This Row],[CANTIDAD
(unid.)]]</f>
        <v>0</v>
      </c>
      <c r="AR151" s="288">
        <f>'💰 Precio de Venta'!G156</f>
        <v>0.4</v>
      </c>
      <c r="AS151" s="278">
        <f>'💰 Precio de Venta'!H156</f>
        <v>0</v>
      </c>
      <c r="AT151" s="278">
        <f>TABLA_BASE[[#This Row],[VALOR VTA.
UNIT.(S/.)]]*TABLA_BASE[[#This Row],[CANTIDAD
(unid.)]]</f>
        <v>0</v>
      </c>
      <c r="AU151" s="281">
        <f>'💰 Precio de Venta'!I156</f>
        <v>0</v>
      </c>
      <c r="AV151" s="278">
        <f>'💰 Precio de Venta'!J156</f>
        <v>0</v>
      </c>
      <c r="AW151" s="278">
        <f>TABLA_BASE[[#This Row],[GANANCIA
UNIT.(S/.)]]*TABLA_BASE[[#This Row],[CANTIDAD
(unid.)]]</f>
        <v>0</v>
      </c>
      <c r="AX151" s="289">
        <f>'💰 Precio de Venta'!K156</f>
        <v>0</v>
      </c>
      <c r="AY151" s="278">
        <f>TABLA_BASE[[#This Row],[GANANCIA
UNIT.(S/.)]]*'🧾 Factura Comercial'!G155</f>
        <v>0</v>
      </c>
      <c r="AZ151" s="277">
        <f>IF(TABLA_BASE[[#This Row],[PRECIO VTA.
c/IGV(S/.)]]=0,0,TABLA_BASE[[#This Row],[GANANCIA
UNIT.(S/.)]]/TABLA_BASE[[#This Row],[PRECIO VTA.
c/IGV(S/.)]])</f>
        <v>0</v>
      </c>
      <c r="BA151" s="277">
        <f>IF(TABLA_BASE[[#This Row],[C/M UNIT.
(S/.)]]=0,0,TABLA_BASE[[#This Row],[GANANCIA
UNIT.(S/.)]]/TABLA_BASE[[#This Row],[C/M UNIT.
(S/.)]])</f>
        <v>0</v>
      </c>
      <c r="BB151" s="274" t="str">
        <f>IF(TABLA_BASE[[#This Row],[MARGEN
%]]&gt;=0.5,"🟢 ALTO",IF(TABLA_BASE[[#This Row],[MARGEN
%]]&gt;=0.3,"🟡 MEDIO","🔴 BAJO"))</f>
        <v>🟡 MEDIO</v>
      </c>
    </row>
    <row r="152" spans="1:54" ht="16.5" hidden="1" thickTop="1" thickBot="1" x14ac:dyDescent="0.3">
      <c r="A152" s="274">
        <f>'🧾 Factura Comercial'!E156</f>
        <v>0</v>
      </c>
      <c r="B152" s="274" t="str">
        <f>'🧾 Factura Comercial'!F156</f>
        <v>Unid.</v>
      </c>
      <c r="C152" s="275">
        <f>'🧾 Factura Comercial'!G156</f>
        <v>0</v>
      </c>
      <c r="D152" s="276">
        <f>'🧾 Factura Comercial'!H156</f>
        <v>0</v>
      </c>
      <c r="E152" s="276">
        <f>'🧾 Factura Comercial'!I156</f>
        <v>0</v>
      </c>
      <c r="F152" s="277">
        <f>IF('🧾 Tributos Aduana'!$F$6=0,0,'🧾 Factura Comercial'!I156/'🧾 Tributos Aduana'!$F$6)</f>
        <v>0</v>
      </c>
      <c r="G152" s="278">
        <f>'🧾 Factura Comercial'!H156*'📋 Datos Generales'!$E$19</f>
        <v>0</v>
      </c>
      <c r="H152" s="278">
        <f>TABLA_BASE[[#This Row],[FOB UNIT.
(S/.)]]*TABLA_BASE[[#This Row],[CANTIDAD
(unid.)]]</f>
        <v>0</v>
      </c>
      <c r="I152" s="280">
        <f>IF('🧾 Tributos Aduana'!$F$6=0,0,'🧾 Tributos Aduana'!$F$17*('🧾 Factura Comercial'!H156/'🧾 Tributos Aduana'!$F$6))</f>
        <v>0</v>
      </c>
      <c r="J152" s="280">
        <f>TABLA_BASE[[#This Row],[ADV UNIT.
(US$)
⚠️COSTO]]*TABLA_BASE[[#This Row],[CANTIDAD
(unid.)]]</f>
        <v>0</v>
      </c>
      <c r="K152" s="279">
        <f>IF('🧾 Tributos Aduana'!$F$6=0,0,'🧾 Tributos Aduana'!$F$18*('🧾 Factura Comercial'!H156/'🧾 Tributos Aduana'!$F$6))</f>
        <v>0</v>
      </c>
      <c r="L152" s="280">
        <f>TABLA_BASE[[#This Row],[IPM UNIT.
(US$)
✅CF]]*TABLA_BASE[[#This Row],[CANTIDAD
(unid.)]]</f>
        <v>0</v>
      </c>
      <c r="M152" s="279">
        <f>IF('🧾 Tributos Aduana'!$F$6=0,0,'🧾 Tributos Aduana'!$F$19*('🧾 Factura Comercial'!H156/'🧾 Tributos Aduana'!$F$6))</f>
        <v>0</v>
      </c>
      <c r="N152" s="280">
        <f>TABLA_BASE[[#This Row],[IGV UNIT.
(US$)
✅CF]]*TABLA_BASE[[#This Row],[CANTIDAD
(unid.)]]</f>
        <v>0</v>
      </c>
      <c r="O152" s="280">
        <f>IF('🧾 Tributos Aduana'!$F$6=0,0,'🧾 Tributos Aduana'!$F$23*('🧾 Factura Comercial'!H156/'🧾 Tributos Aduana'!$F$6))</f>
        <v>0</v>
      </c>
      <c r="P152" s="280">
        <f>TABLA_BASE[[#This Row],[PERCEP.
UNIT.(US$)
✅CF]]*TABLA_BASE[[#This Row],[CANTIDAD
(unid.)]]</f>
        <v>0</v>
      </c>
      <c r="Q152" s="279">
        <f>TABLA_BASE[[#This Row],[ADV UNIT.
(US$)
⚠️COSTO]]+TABLA_BASE[[#This Row],[IPM UNIT.
(US$)
✅CF]]+TABLA_BASE[[#This Row],[IGV UNIT.
(US$)
✅CF]]</f>
        <v>0</v>
      </c>
      <c r="R152" s="280">
        <f>TABLA_BASE[[#This Row],[DEUDA
ADUANERA
UNIT.]]*TABLA_BASE[[#This Row],[CANTIDAD
(unid.)]]</f>
        <v>0</v>
      </c>
      <c r="S152" s="278">
        <f>TABLA_BASE[[#This Row],[DEUDA
ADUANERA
UNIT.]]*'📋 Datos Generales'!$E$19</f>
        <v>0</v>
      </c>
      <c r="T152" s="278">
        <f>TABLA_BASE[[#This Row],[DEUDA
ADUANERA
TOTAL]]*'📋 Datos Generales'!$E$19</f>
        <v>0</v>
      </c>
      <c r="U152" s="281">
        <f>TABLA_BASE[[#This Row],[ADV UNIT.
(US$)
⚠️COSTO]]*'📋 Datos Generales'!$E$19</f>
        <v>0</v>
      </c>
      <c r="V152" s="281">
        <f>TABLA_BASE[[#This Row],[ADV UNIT.
(S/.)]]*TABLA_BASE[[#This Row],[CANTIDAD
(unid.)]]</f>
        <v>0</v>
      </c>
      <c r="W152" s="281">
        <f>TABLA_BASE[[#This Row],[IPM UNIT.
(US$)
✅CF]]*'📋 Datos Generales'!$E$19</f>
        <v>0</v>
      </c>
      <c r="X152" s="281">
        <f>TABLA_BASE[[#This Row],[IPM UNIT.
(S/.)]]*TABLA_BASE[[#This Row],[CANTIDAD
(unid.)]]</f>
        <v>0</v>
      </c>
      <c r="Y152" s="281">
        <f>TABLA_BASE[[#This Row],[IGV UNIT.
(US$)
✅CF]]*'📋 Datos Generales'!$E$19</f>
        <v>0</v>
      </c>
      <c r="Z152" s="281">
        <f>TABLA_BASE[[#This Row],[IGV UNIT.
(S/.)]]*TABLA_BASE[[#This Row],[CANTIDAD
(unid.)]]</f>
        <v>0</v>
      </c>
      <c r="AA152" s="281">
        <f>TABLA_BASE[[#This Row],[PERCEP.
UNIT.(US$)
✅CF]]*'📋 Datos Generales'!$E$19</f>
        <v>0</v>
      </c>
      <c r="AB152" s="281">
        <f>TABLA_BASE[[#This Row],[PERCEP.
UNIT.(S/.)]]*TABLA_BASE[[#This Row],[CANTIDAD
(unid.)]]</f>
        <v>0</v>
      </c>
      <c r="AC152" s="279">
        <f>TABLA_BASE[[#This Row],[ADV UNIT.
(US$)
⚠️COSTO]]+TABLA_BASE[[#This Row],[IPM UNIT.
(US$)
✅CF]]+TABLA_BASE[[#This Row],[IGV UNIT.
(US$)
✅CF]]+TABLA_BASE[[#This Row],[PERCEP.
UNIT.(US$)
✅CF]]</f>
        <v>0</v>
      </c>
      <c r="AD152" s="279">
        <f>TABLA_BASE[[#This Row],[TOTAL PAGO
SUNAT
UNIT.(US$)]]*TABLA_BASE[[#This Row],[CANTIDAD
(unid.)]]</f>
        <v>0</v>
      </c>
      <c r="AE152" s="281">
        <f>TABLA_BASE[[#This Row],[TOTAL PAGO
SUNAT
UNIT.(US$)]]*'📋 Datos Generales'!$E$19</f>
        <v>0</v>
      </c>
      <c r="AF152" s="281">
        <f>TABLA_BASE[[#This Row],[TOTAL TRIB.
UNIT.(S/.)]]*TABLA_BASE[[#This Row],[CANTIDAD
(unid.)]]</f>
        <v>0</v>
      </c>
      <c r="AG152" s="279">
        <f>IF('🧾 Factura Comercial'!G156=0,0,'📦 Gastos Importación'!$E$28*(IF('🧾 Tributos Aduana'!$F$6=0,0,'🧾 Factura Comercial'!I156/'🧾 Tributos Aduana'!$F$6))/'🧾 Factura Comercial'!G156)</f>
        <v>0</v>
      </c>
      <c r="AH152" s="279">
        <f>TABLA_BASE[[#This Row],[GASTOS IMP.
UNIT.(US$)]]*TABLA_BASE[[#This Row],[CANTIDAD
(unid.)]]</f>
        <v>0</v>
      </c>
      <c r="AI152" s="281">
        <f>TABLA_BASE[[#This Row],[GASTOS IMP.
UNIT.(US$)]]*'📋 Datos Generales'!$E$19</f>
        <v>0</v>
      </c>
      <c r="AJ152" s="281">
        <f>TABLA_BASE[[#This Row],[GASTOS IMP.
UNIT.(S/.)]]*TABLA_BASE[[#This Row],[CANTIDAD
(unid.)]]</f>
        <v>0</v>
      </c>
      <c r="AK152" s="280">
        <f>'🧮 Costos x Producto'!J156</f>
        <v>0</v>
      </c>
      <c r="AL152" s="278">
        <f>'🧮 Costos x Producto'!K156</f>
        <v>0</v>
      </c>
      <c r="AM152" s="278">
        <f>TABLA_BASE[[#This Row],[C/M UNIT.
(S/.)]]*TABLA_BASE[[#This Row],[CANTIDAD
(unid.)]]</f>
        <v>0</v>
      </c>
      <c r="AN152" s="279">
        <f>IF('🧾 Factura Comercial'!G156=0,0,'🧾 Tributos Aduana'!$F$17*(IF('🧾 Tributos Aduana'!$F$6=0,0,'🧾 Factura Comercial'!I156/'🧾 Tributos Aduana'!$F$6))/'🧾 Factura Comercial'!G156)</f>
        <v>0</v>
      </c>
      <c r="AO152" s="280">
        <f>IF('🧾 Factura Comercial'!G156=0,0,'🏦 Crédito Fiscal'!$C$16*(IF('🧾 Tributos Aduana'!$F$6=0,0,'🧾 Factura Comercial'!I156/'🧾 Tributos Aduana'!$F$6))/'🧾 Factura Comercial'!G156)</f>
        <v>0</v>
      </c>
      <c r="AP152" s="278">
        <f>TABLA_BASE[[#This Row],[CF UNIT.
✅RECUP.
(US$)]]*'📋 Datos Generales'!$E$19</f>
        <v>0</v>
      </c>
      <c r="AQ152" s="278">
        <f>TABLA_BASE[[#This Row],[CF UNIT.
✅RECUP.(S/.)]]*TABLA_BASE[[#This Row],[CANTIDAD
(unid.)]]</f>
        <v>0</v>
      </c>
      <c r="AR152" s="288">
        <f>'💰 Precio de Venta'!G157</f>
        <v>0.4</v>
      </c>
      <c r="AS152" s="278">
        <f>'💰 Precio de Venta'!H157</f>
        <v>0</v>
      </c>
      <c r="AT152" s="278">
        <f>TABLA_BASE[[#This Row],[VALOR VTA.
UNIT.(S/.)]]*TABLA_BASE[[#This Row],[CANTIDAD
(unid.)]]</f>
        <v>0</v>
      </c>
      <c r="AU152" s="281">
        <f>'💰 Precio de Venta'!I157</f>
        <v>0</v>
      </c>
      <c r="AV152" s="278">
        <f>'💰 Precio de Venta'!J157</f>
        <v>0</v>
      </c>
      <c r="AW152" s="278">
        <f>TABLA_BASE[[#This Row],[GANANCIA
UNIT.(S/.)]]*TABLA_BASE[[#This Row],[CANTIDAD
(unid.)]]</f>
        <v>0</v>
      </c>
      <c r="AX152" s="289">
        <f>'💰 Precio de Venta'!K157</f>
        <v>0</v>
      </c>
      <c r="AY152" s="278">
        <f>TABLA_BASE[[#This Row],[GANANCIA
UNIT.(S/.)]]*'🧾 Factura Comercial'!G156</f>
        <v>0</v>
      </c>
      <c r="AZ152" s="277">
        <f>IF(TABLA_BASE[[#This Row],[PRECIO VTA.
c/IGV(S/.)]]=0,0,TABLA_BASE[[#This Row],[GANANCIA
UNIT.(S/.)]]/TABLA_BASE[[#This Row],[PRECIO VTA.
c/IGV(S/.)]])</f>
        <v>0</v>
      </c>
      <c r="BA152" s="277">
        <f>IF(TABLA_BASE[[#This Row],[C/M UNIT.
(S/.)]]=0,0,TABLA_BASE[[#This Row],[GANANCIA
UNIT.(S/.)]]/TABLA_BASE[[#This Row],[C/M UNIT.
(S/.)]])</f>
        <v>0</v>
      </c>
      <c r="BB152" s="274" t="str">
        <f>IF(TABLA_BASE[[#This Row],[MARGEN
%]]&gt;=0.5,"🟢 ALTO",IF(TABLA_BASE[[#This Row],[MARGEN
%]]&gt;=0.3,"🟡 MEDIO","🔴 BAJO"))</f>
        <v>🟡 MEDIO</v>
      </c>
    </row>
    <row r="153" spans="1:54" ht="16.5" hidden="1" thickTop="1" thickBot="1" x14ac:dyDescent="0.3">
      <c r="A153" s="274">
        <f>'🧾 Factura Comercial'!E157</f>
        <v>0</v>
      </c>
      <c r="B153" s="274" t="str">
        <f>'🧾 Factura Comercial'!F157</f>
        <v>Unid.</v>
      </c>
      <c r="C153" s="275">
        <f>'🧾 Factura Comercial'!G157</f>
        <v>0</v>
      </c>
      <c r="D153" s="276">
        <f>'🧾 Factura Comercial'!H157</f>
        <v>0</v>
      </c>
      <c r="E153" s="276">
        <f>'🧾 Factura Comercial'!I157</f>
        <v>0</v>
      </c>
      <c r="F153" s="277">
        <f>IF('🧾 Tributos Aduana'!$F$6=0,0,'🧾 Factura Comercial'!I157/'🧾 Tributos Aduana'!$F$6)</f>
        <v>0</v>
      </c>
      <c r="G153" s="278">
        <f>'🧾 Factura Comercial'!H157*'📋 Datos Generales'!$E$19</f>
        <v>0</v>
      </c>
      <c r="H153" s="278">
        <f>TABLA_BASE[[#This Row],[FOB UNIT.
(S/.)]]*TABLA_BASE[[#This Row],[CANTIDAD
(unid.)]]</f>
        <v>0</v>
      </c>
      <c r="I153" s="280">
        <f>IF('🧾 Tributos Aduana'!$F$6=0,0,'🧾 Tributos Aduana'!$F$17*('🧾 Factura Comercial'!H157/'🧾 Tributos Aduana'!$F$6))</f>
        <v>0</v>
      </c>
      <c r="J153" s="280">
        <f>TABLA_BASE[[#This Row],[ADV UNIT.
(US$)
⚠️COSTO]]*TABLA_BASE[[#This Row],[CANTIDAD
(unid.)]]</f>
        <v>0</v>
      </c>
      <c r="K153" s="279">
        <f>IF('🧾 Tributos Aduana'!$F$6=0,0,'🧾 Tributos Aduana'!$F$18*('🧾 Factura Comercial'!H157/'🧾 Tributos Aduana'!$F$6))</f>
        <v>0</v>
      </c>
      <c r="L153" s="280">
        <f>TABLA_BASE[[#This Row],[IPM UNIT.
(US$)
✅CF]]*TABLA_BASE[[#This Row],[CANTIDAD
(unid.)]]</f>
        <v>0</v>
      </c>
      <c r="M153" s="279">
        <f>IF('🧾 Tributos Aduana'!$F$6=0,0,'🧾 Tributos Aduana'!$F$19*('🧾 Factura Comercial'!H157/'🧾 Tributos Aduana'!$F$6))</f>
        <v>0</v>
      </c>
      <c r="N153" s="280">
        <f>TABLA_BASE[[#This Row],[IGV UNIT.
(US$)
✅CF]]*TABLA_BASE[[#This Row],[CANTIDAD
(unid.)]]</f>
        <v>0</v>
      </c>
      <c r="O153" s="280">
        <f>IF('🧾 Tributos Aduana'!$F$6=0,0,'🧾 Tributos Aduana'!$F$23*('🧾 Factura Comercial'!H157/'🧾 Tributos Aduana'!$F$6))</f>
        <v>0</v>
      </c>
      <c r="P153" s="280">
        <f>TABLA_BASE[[#This Row],[PERCEP.
UNIT.(US$)
✅CF]]*TABLA_BASE[[#This Row],[CANTIDAD
(unid.)]]</f>
        <v>0</v>
      </c>
      <c r="Q153" s="279">
        <f>TABLA_BASE[[#This Row],[ADV UNIT.
(US$)
⚠️COSTO]]+TABLA_BASE[[#This Row],[IPM UNIT.
(US$)
✅CF]]+TABLA_BASE[[#This Row],[IGV UNIT.
(US$)
✅CF]]</f>
        <v>0</v>
      </c>
      <c r="R153" s="280">
        <f>TABLA_BASE[[#This Row],[DEUDA
ADUANERA
UNIT.]]*TABLA_BASE[[#This Row],[CANTIDAD
(unid.)]]</f>
        <v>0</v>
      </c>
      <c r="S153" s="278">
        <f>TABLA_BASE[[#This Row],[DEUDA
ADUANERA
UNIT.]]*'📋 Datos Generales'!$E$19</f>
        <v>0</v>
      </c>
      <c r="T153" s="278">
        <f>TABLA_BASE[[#This Row],[DEUDA
ADUANERA
TOTAL]]*'📋 Datos Generales'!$E$19</f>
        <v>0</v>
      </c>
      <c r="U153" s="281">
        <f>TABLA_BASE[[#This Row],[ADV UNIT.
(US$)
⚠️COSTO]]*'📋 Datos Generales'!$E$19</f>
        <v>0</v>
      </c>
      <c r="V153" s="281">
        <f>TABLA_BASE[[#This Row],[ADV UNIT.
(S/.)]]*TABLA_BASE[[#This Row],[CANTIDAD
(unid.)]]</f>
        <v>0</v>
      </c>
      <c r="W153" s="281">
        <f>TABLA_BASE[[#This Row],[IPM UNIT.
(US$)
✅CF]]*'📋 Datos Generales'!$E$19</f>
        <v>0</v>
      </c>
      <c r="X153" s="281">
        <f>TABLA_BASE[[#This Row],[IPM UNIT.
(S/.)]]*TABLA_BASE[[#This Row],[CANTIDAD
(unid.)]]</f>
        <v>0</v>
      </c>
      <c r="Y153" s="281">
        <f>TABLA_BASE[[#This Row],[IGV UNIT.
(US$)
✅CF]]*'📋 Datos Generales'!$E$19</f>
        <v>0</v>
      </c>
      <c r="Z153" s="281">
        <f>TABLA_BASE[[#This Row],[IGV UNIT.
(S/.)]]*TABLA_BASE[[#This Row],[CANTIDAD
(unid.)]]</f>
        <v>0</v>
      </c>
      <c r="AA153" s="281">
        <f>TABLA_BASE[[#This Row],[PERCEP.
UNIT.(US$)
✅CF]]*'📋 Datos Generales'!$E$19</f>
        <v>0</v>
      </c>
      <c r="AB153" s="281">
        <f>TABLA_BASE[[#This Row],[PERCEP.
UNIT.(S/.)]]*TABLA_BASE[[#This Row],[CANTIDAD
(unid.)]]</f>
        <v>0</v>
      </c>
      <c r="AC153" s="279">
        <f>TABLA_BASE[[#This Row],[ADV UNIT.
(US$)
⚠️COSTO]]+TABLA_BASE[[#This Row],[IPM UNIT.
(US$)
✅CF]]+TABLA_BASE[[#This Row],[IGV UNIT.
(US$)
✅CF]]+TABLA_BASE[[#This Row],[PERCEP.
UNIT.(US$)
✅CF]]</f>
        <v>0</v>
      </c>
      <c r="AD153" s="279">
        <f>TABLA_BASE[[#This Row],[TOTAL PAGO
SUNAT
UNIT.(US$)]]*TABLA_BASE[[#This Row],[CANTIDAD
(unid.)]]</f>
        <v>0</v>
      </c>
      <c r="AE153" s="281">
        <f>TABLA_BASE[[#This Row],[TOTAL PAGO
SUNAT
UNIT.(US$)]]*'📋 Datos Generales'!$E$19</f>
        <v>0</v>
      </c>
      <c r="AF153" s="281">
        <f>TABLA_BASE[[#This Row],[TOTAL TRIB.
UNIT.(S/.)]]*TABLA_BASE[[#This Row],[CANTIDAD
(unid.)]]</f>
        <v>0</v>
      </c>
      <c r="AG153" s="279">
        <f>IF('🧾 Factura Comercial'!G157=0,0,'📦 Gastos Importación'!$E$28*(IF('🧾 Tributos Aduana'!$F$6=0,0,'🧾 Factura Comercial'!I157/'🧾 Tributos Aduana'!$F$6))/'🧾 Factura Comercial'!G157)</f>
        <v>0</v>
      </c>
      <c r="AH153" s="279">
        <f>TABLA_BASE[[#This Row],[GASTOS IMP.
UNIT.(US$)]]*TABLA_BASE[[#This Row],[CANTIDAD
(unid.)]]</f>
        <v>0</v>
      </c>
      <c r="AI153" s="281">
        <f>TABLA_BASE[[#This Row],[GASTOS IMP.
UNIT.(US$)]]*'📋 Datos Generales'!$E$19</f>
        <v>0</v>
      </c>
      <c r="AJ153" s="281">
        <f>TABLA_BASE[[#This Row],[GASTOS IMP.
UNIT.(S/.)]]*TABLA_BASE[[#This Row],[CANTIDAD
(unid.)]]</f>
        <v>0</v>
      </c>
      <c r="AK153" s="280">
        <f>'🧮 Costos x Producto'!J157</f>
        <v>0</v>
      </c>
      <c r="AL153" s="278">
        <f>'🧮 Costos x Producto'!K157</f>
        <v>0</v>
      </c>
      <c r="AM153" s="278">
        <f>TABLA_BASE[[#This Row],[C/M UNIT.
(S/.)]]*TABLA_BASE[[#This Row],[CANTIDAD
(unid.)]]</f>
        <v>0</v>
      </c>
      <c r="AN153" s="279">
        <f>IF('🧾 Factura Comercial'!G157=0,0,'🧾 Tributos Aduana'!$F$17*(IF('🧾 Tributos Aduana'!$F$6=0,0,'🧾 Factura Comercial'!I157/'🧾 Tributos Aduana'!$F$6))/'🧾 Factura Comercial'!G157)</f>
        <v>0</v>
      </c>
      <c r="AO153" s="280">
        <f>IF('🧾 Factura Comercial'!G157=0,0,'🏦 Crédito Fiscal'!$C$16*(IF('🧾 Tributos Aduana'!$F$6=0,0,'🧾 Factura Comercial'!I157/'🧾 Tributos Aduana'!$F$6))/'🧾 Factura Comercial'!G157)</f>
        <v>0</v>
      </c>
      <c r="AP153" s="278">
        <f>TABLA_BASE[[#This Row],[CF UNIT.
✅RECUP.
(US$)]]*'📋 Datos Generales'!$E$19</f>
        <v>0</v>
      </c>
      <c r="AQ153" s="278">
        <f>TABLA_BASE[[#This Row],[CF UNIT.
✅RECUP.(S/.)]]*TABLA_BASE[[#This Row],[CANTIDAD
(unid.)]]</f>
        <v>0</v>
      </c>
      <c r="AR153" s="288">
        <f>'💰 Precio de Venta'!G158</f>
        <v>0.4</v>
      </c>
      <c r="AS153" s="278">
        <f>'💰 Precio de Venta'!H158</f>
        <v>0</v>
      </c>
      <c r="AT153" s="278">
        <f>TABLA_BASE[[#This Row],[VALOR VTA.
UNIT.(S/.)]]*TABLA_BASE[[#This Row],[CANTIDAD
(unid.)]]</f>
        <v>0</v>
      </c>
      <c r="AU153" s="281">
        <f>'💰 Precio de Venta'!I158</f>
        <v>0</v>
      </c>
      <c r="AV153" s="278">
        <f>'💰 Precio de Venta'!J158</f>
        <v>0</v>
      </c>
      <c r="AW153" s="278">
        <f>TABLA_BASE[[#This Row],[GANANCIA
UNIT.(S/.)]]*TABLA_BASE[[#This Row],[CANTIDAD
(unid.)]]</f>
        <v>0</v>
      </c>
      <c r="AX153" s="289">
        <f>'💰 Precio de Venta'!K158</f>
        <v>0</v>
      </c>
      <c r="AY153" s="278">
        <f>TABLA_BASE[[#This Row],[GANANCIA
UNIT.(S/.)]]*'🧾 Factura Comercial'!G157</f>
        <v>0</v>
      </c>
      <c r="AZ153" s="277">
        <f>IF(TABLA_BASE[[#This Row],[PRECIO VTA.
c/IGV(S/.)]]=0,0,TABLA_BASE[[#This Row],[GANANCIA
UNIT.(S/.)]]/TABLA_BASE[[#This Row],[PRECIO VTA.
c/IGV(S/.)]])</f>
        <v>0</v>
      </c>
      <c r="BA153" s="277">
        <f>IF(TABLA_BASE[[#This Row],[C/M UNIT.
(S/.)]]=0,0,TABLA_BASE[[#This Row],[GANANCIA
UNIT.(S/.)]]/TABLA_BASE[[#This Row],[C/M UNIT.
(S/.)]])</f>
        <v>0</v>
      </c>
      <c r="BB153" s="274" t="str">
        <f>IF(TABLA_BASE[[#This Row],[MARGEN
%]]&gt;=0.5,"🟢 ALTO",IF(TABLA_BASE[[#This Row],[MARGEN
%]]&gt;=0.3,"🟡 MEDIO","🔴 BAJO"))</f>
        <v>🟡 MEDIO</v>
      </c>
    </row>
    <row r="154" spans="1:54" ht="16.5" hidden="1" thickTop="1" thickBot="1" x14ac:dyDescent="0.3">
      <c r="A154" s="274">
        <f>'🧾 Factura Comercial'!E158</f>
        <v>0</v>
      </c>
      <c r="B154" s="274" t="str">
        <f>'🧾 Factura Comercial'!F158</f>
        <v>Unid.</v>
      </c>
      <c r="C154" s="275">
        <f>'🧾 Factura Comercial'!G158</f>
        <v>0</v>
      </c>
      <c r="D154" s="276">
        <f>'🧾 Factura Comercial'!H158</f>
        <v>0</v>
      </c>
      <c r="E154" s="276">
        <f>'🧾 Factura Comercial'!I158</f>
        <v>0</v>
      </c>
      <c r="F154" s="277">
        <f>IF('🧾 Tributos Aduana'!$F$6=0,0,'🧾 Factura Comercial'!I158/'🧾 Tributos Aduana'!$F$6)</f>
        <v>0</v>
      </c>
      <c r="G154" s="278">
        <f>'🧾 Factura Comercial'!H158*'📋 Datos Generales'!$E$19</f>
        <v>0</v>
      </c>
      <c r="H154" s="278">
        <f>TABLA_BASE[[#This Row],[FOB UNIT.
(S/.)]]*TABLA_BASE[[#This Row],[CANTIDAD
(unid.)]]</f>
        <v>0</v>
      </c>
      <c r="I154" s="280">
        <f>IF('🧾 Tributos Aduana'!$F$6=0,0,'🧾 Tributos Aduana'!$F$17*('🧾 Factura Comercial'!H158/'🧾 Tributos Aduana'!$F$6))</f>
        <v>0</v>
      </c>
      <c r="J154" s="280">
        <f>TABLA_BASE[[#This Row],[ADV UNIT.
(US$)
⚠️COSTO]]*TABLA_BASE[[#This Row],[CANTIDAD
(unid.)]]</f>
        <v>0</v>
      </c>
      <c r="K154" s="279">
        <f>IF('🧾 Tributos Aduana'!$F$6=0,0,'🧾 Tributos Aduana'!$F$18*('🧾 Factura Comercial'!H158/'🧾 Tributos Aduana'!$F$6))</f>
        <v>0</v>
      </c>
      <c r="L154" s="280">
        <f>TABLA_BASE[[#This Row],[IPM UNIT.
(US$)
✅CF]]*TABLA_BASE[[#This Row],[CANTIDAD
(unid.)]]</f>
        <v>0</v>
      </c>
      <c r="M154" s="279">
        <f>IF('🧾 Tributos Aduana'!$F$6=0,0,'🧾 Tributos Aduana'!$F$19*('🧾 Factura Comercial'!H158/'🧾 Tributos Aduana'!$F$6))</f>
        <v>0</v>
      </c>
      <c r="N154" s="280">
        <f>TABLA_BASE[[#This Row],[IGV UNIT.
(US$)
✅CF]]*TABLA_BASE[[#This Row],[CANTIDAD
(unid.)]]</f>
        <v>0</v>
      </c>
      <c r="O154" s="280">
        <f>IF('🧾 Tributos Aduana'!$F$6=0,0,'🧾 Tributos Aduana'!$F$23*('🧾 Factura Comercial'!H158/'🧾 Tributos Aduana'!$F$6))</f>
        <v>0</v>
      </c>
      <c r="P154" s="280">
        <f>TABLA_BASE[[#This Row],[PERCEP.
UNIT.(US$)
✅CF]]*TABLA_BASE[[#This Row],[CANTIDAD
(unid.)]]</f>
        <v>0</v>
      </c>
      <c r="Q154" s="279">
        <f>TABLA_BASE[[#This Row],[ADV UNIT.
(US$)
⚠️COSTO]]+TABLA_BASE[[#This Row],[IPM UNIT.
(US$)
✅CF]]+TABLA_BASE[[#This Row],[IGV UNIT.
(US$)
✅CF]]</f>
        <v>0</v>
      </c>
      <c r="R154" s="280">
        <f>TABLA_BASE[[#This Row],[DEUDA
ADUANERA
UNIT.]]*TABLA_BASE[[#This Row],[CANTIDAD
(unid.)]]</f>
        <v>0</v>
      </c>
      <c r="S154" s="278">
        <f>TABLA_BASE[[#This Row],[DEUDA
ADUANERA
UNIT.]]*'📋 Datos Generales'!$E$19</f>
        <v>0</v>
      </c>
      <c r="T154" s="278">
        <f>TABLA_BASE[[#This Row],[DEUDA
ADUANERA
TOTAL]]*'📋 Datos Generales'!$E$19</f>
        <v>0</v>
      </c>
      <c r="U154" s="281">
        <f>TABLA_BASE[[#This Row],[ADV UNIT.
(US$)
⚠️COSTO]]*'📋 Datos Generales'!$E$19</f>
        <v>0</v>
      </c>
      <c r="V154" s="281">
        <f>TABLA_BASE[[#This Row],[ADV UNIT.
(S/.)]]*TABLA_BASE[[#This Row],[CANTIDAD
(unid.)]]</f>
        <v>0</v>
      </c>
      <c r="W154" s="281">
        <f>TABLA_BASE[[#This Row],[IPM UNIT.
(US$)
✅CF]]*'📋 Datos Generales'!$E$19</f>
        <v>0</v>
      </c>
      <c r="X154" s="281">
        <f>TABLA_BASE[[#This Row],[IPM UNIT.
(S/.)]]*TABLA_BASE[[#This Row],[CANTIDAD
(unid.)]]</f>
        <v>0</v>
      </c>
      <c r="Y154" s="281">
        <f>TABLA_BASE[[#This Row],[IGV UNIT.
(US$)
✅CF]]*'📋 Datos Generales'!$E$19</f>
        <v>0</v>
      </c>
      <c r="Z154" s="281">
        <f>TABLA_BASE[[#This Row],[IGV UNIT.
(S/.)]]*TABLA_BASE[[#This Row],[CANTIDAD
(unid.)]]</f>
        <v>0</v>
      </c>
      <c r="AA154" s="281">
        <f>TABLA_BASE[[#This Row],[PERCEP.
UNIT.(US$)
✅CF]]*'📋 Datos Generales'!$E$19</f>
        <v>0</v>
      </c>
      <c r="AB154" s="281">
        <f>TABLA_BASE[[#This Row],[PERCEP.
UNIT.(S/.)]]*TABLA_BASE[[#This Row],[CANTIDAD
(unid.)]]</f>
        <v>0</v>
      </c>
      <c r="AC154" s="279">
        <f>TABLA_BASE[[#This Row],[ADV UNIT.
(US$)
⚠️COSTO]]+TABLA_BASE[[#This Row],[IPM UNIT.
(US$)
✅CF]]+TABLA_BASE[[#This Row],[IGV UNIT.
(US$)
✅CF]]+TABLA_BASE[[#This Row],[PERCEP.
UNIT.(US$)
✅CF]]</f>
        <v>0</v>
      </c>
      <c r="AD154" s="279">
        <f>TABLA_BASE[[#This Row],[TOTAL PAGO
SUNAT
UNIT.(US$)]]*TABLA_BASE[[#This Row],[CANTIDAD
(unid.)]]</f>
        <v>0</v>
      </c>
      <c r="AE154" s="281">
        <f>TABLA_BASE[[#This Row],[TOTAL PAGO
SUNAT
UNIT.(US$)]]*'📋 Datos Generales'!$E$19</f>
        <v>0</v>
      </c>
      <c r="AF154" s="281">
        <f>TABLA_BASE[[#This Row],[TOTAL TRIB.
UNIT.(S/.)]]*TABLA_BASE[[#This Row],[CANTIDAD
(unid.)]]</f>
        <v>0</v>
      </c>
      <c r="AG154" s="279">
        <f>IF('🧾 Factura Comercial'!G158=0,0,'📦 Gastos Importación'!$E$28*(IF('🧾 Tributos Aduana'!$F$6=0,0,'🧾 Factura Comercial'!I158/'🧾 Tributos Aduana'!$F$6))/'🧾 Factura Comercial'!G158)</f>
        <v>0</v>
      </c>
      <c r="AH154" s="279">
        <f>TABLA_BASE[[#This Row],[GASTOS IMP.
UNIT.(US$)]]*TABLA_BASE[[#This Row],[CANTIDAD
(unid.)]]</f>
        <v>0</v>
      </c>
      <c r="AI154" s="281">
        <f>TABLA_BASE[[#This Row],[GASTOS IMP.
UNIT.(US$)]]*'📋 Datos Generales'!$E$19</f>
        <v>0</v>
      </c>
      <c r="AJ154" s="281">
        <f>TABLA_BASE[[#This Row],[GASTOS IMP.
UNIT.(S/.)]]*TABLA_BASE[[#This Row],[CANTIDAD
(unid.)]]</f>
        <v>0</v>
      </c>
      <c r="AK154" s="280">
        <f>'🧮 Costos x Producto'!J158</f>
        <v>0</v>
      </c>
      <c r="AL154" s="278">
        <f>'🧮 Costos x Producto'!K158</f>
        <v>0</v>
      </c>
      <c r="AM154" s="278">
        <f>TABLA_BASE[[#This Row],[C/M UNIT.
(S/.)]]*TABLA_BASE[[#This Row],[CANTIDAD
(unid.)]]</f>
        <v>0</v>
      </c>
      <c r="AN154" s="279">
        <f>IF('🧾 Factura Comercial'!G158=0,0,'🧾 Tributos Aduana'!$F$17*(IF('🧾 Tributos Aduana'!$F$6=0,0,'🧾 Factura Comercial'!I158/'🧾 Tributos Aduana'!$F$6))/'🧾 Factura Comercial'!G158)</f>
        <v>0</v>
      </c>
      <c r="AO154" s="280">
        <f>IF('🧾 Factura Comercial'!G158=0,0,'🏦 Crédito Fiscal'!$C$16*(IF('🧾 Tributos Aduana'!$F$6=0,0,'🧾 Factura Comercial'!I158/'🧾 Tributos Aduana'!$F$6))/'🧾 Factura Comercial'!G158)</f>
        <v>0</v>
      </c>
      <c r="AP154" s="278">
        <f>TABLA_BASE[[#This Row],[CF UNIT.
✅RECUP.
(US$)]]*'📋 Datos Generales'!$E$19</f>
        <v>0</v>
      </c>
      <c r="AQ154" s="278">
        <f>TABLA_BASE[[#This Row],[CF UNIT.
✅RECUP.(S/.)]]*TABLA_BASE[[#This Row],[CANTIDAD
(unid.)]]</f>
        <v>0</v>
      </c>
      <c r="AR154" s="288">
        <f>'💰 Precio de Venta'!G159</f>
        <v>0.4</v>
      </c>
      <c r="AS154" s="278">
        <f>'💰 Precio de Venta'!H159</f>
        <v>0</v>
      </c>
      <c r="AT154" s="278">
        <f>TABLA_BASE[[#This Row],[VALOR VTA.
UNIT.(S/.)]]*TABLA_BASE[[#This Row],[CANTIDAD
(unid.)]]</f>
        <v>0</v>
      </c>
      <c r="AU154" s="281">
        <f>'💰 Precio de Venta'!I159</f>
        <v>0</v>
      </c>
      <c r="AV154" s="278">
        <f>'💰 Precio de Venta'!J159</f>
        <v>0</v>
      </c>
      <c r="AW154" s="278">
        <f>TABLA_BASE[[#This Row],[GANANCIA
UNIT.(S/.)]]*TABLA_BASE[[#This Row],[CANTIDAD
(unid.)]]</f>
        <v>0</v>
      </c>
      <c r="AX154" s="289">
        <f>'💰 Precio de Venta'!K159</f>
        <v>0</v>
      </c>
      <c r="AY154" s="278">
        <f>TABLA_BASE[[#This Row],[GANANCIA
UNIT.(S/.)]]*'🧾 Factura Comercial'!G158</f>
        <v>0</v>
      </c>
      <c r="AZ154" s="277">
        <f>IF(TABLA_BASE[[#This Row],[PRECIO VTA.
c/IGV(S/.)]]=0,0,TABLA_BASE[[#This Row],[GANANCIA
UNIT.(S/.)]]/TABLA_BASE[[#This Row],[PRECIO VTA.
c/IGV(S/.)]])</f>
        <v>0</v>
      </c>
      <c r="BA154" s="277">
        <f>IF(TABLA_BASE[[#This Row],[C/M UNIT.
(S/.)]]=0,0,TABLA_BASE[[#This Row],[GANANCIA
UNIT.(S/.)]]/TABLA_BASE[[#This Row],[C/M UNIT.
(S/.)]])</f>
        <v>0</v>
      </c>
      <c r="BB154" s="274" t="str">
        <f>IF(TABLA_BASE[[#This Row],[MARGEN
%]]&gt;=0.5,"🟢 ALTO",IF(TABLA_BASE[[#This Row],[MARGEN
%]]&gt;=0.3,"🟡 MEDIO","🔴 BAJO"))</f>
        <v>🟡 MEDIO</v>
      </c>
    </row>
    <row r="155" spans="1:54" ht="16.5" hidden="1" thickTop="1" thickBot="1" x14ac:dyDescent="0.3">
      <c r="A155" s="274">
        <f>'🧾 Factura Comercial'!E159</f>
        <v>0</v>
      </c>
      <c r="B155" s="274" t="str">
        <f>'🧾 Factura Comercial'!F159</f>
        <v>Unid.</v>
      </c>
      <c r="C155" s="275">
        <f>'🧾 Factura Comercial'!G159</f>
        <v>0</v>
      </c>
      <c r="D155" s="276">
        <f>'🧾 Factura Comercial'!H159</f>
        <v>0</v>
      </c>
      <c r="E155" s="276">
        <f>'🧾 Factura Comercial'!I159</f>
        <v>0</v>
      </c>
      <c r="F155" s="277">
        <f>IF('🧾 Tributos Aduana'!$F$6=0,0,'🧾 Factura Comercial'!I159/'🧾 Tributos Aduana'!$F$6)</f>
        <v>0</v>
      </c>
      <c r="G155" s="278">
        <f>'🧾 Factura Comercial'!H159*'📋 Datos Generales'!$E$19</f>
        <v>0</v>
      </c>
      <c r="H155" s="278">
        <f>TABLA_BASE[[#This Row],[FOB UNIT.
(S/.)]]*TABLA_BASE[[#This Row],[CANTIDAD
(unid.)]]</f>
        <v>0</v>
      </c>
      <c r="I155" s="280">
        <f>IF('🧾 Tributos Aduana'!$F$6=0,0,'🧾 Tributos Aduana'!$F$17*('🧾 Factura Comercial'!H159/'🧾 Tributos Aduana'!$F$6))</f>
        <v>0</v>
      </c>
      <c r="J155" s="280">
        <f>TABLA_BASE[[#This Row],[ADV UNIT.
(US$)
⚠️COSTO]]*TABLA_BASE[[#This Row],[CANTIDAD
(unid.)]]</f>
        <v>0</v>
      </c>
      <c r="K155" s="279">
        <f>IF('🧾 Tributos Aduana'!$F$6=0,0,'🧾 Tributos Aduana'!$F$18*('🧾 Factura Comercial'!H159/'🧾 Tributos Aduana'!$F$6))</f>
        <v>0</v>
      </c>
      <c r="L155" s="280">
        <f>TABLA_BASE[[#This Row],[IPM UNIT.
(US$)
✅CF]]*TABLA_BASE[[#This Row],[CANTIDAD
(unid.)]]</f>
        <v>0</v>
      </c>
      <c r="M155" s="279">
        <f>IF('🧾 Tributos Aduana'!$F$6=0,0,'🧾 Tributos Aduana'!$F$19*('🧾 Factura Comercial'!H159/'🧾 Tributos Aduana'!$F$6))</f>
        <v>0</v>
      </c>
      <c r="N155" s="280">
        <f>TABLA_BASE[[#This Row],[IGV UNIT.
(US$)
✅CF]]*TABLA_BASE[[#This Row],[CANTIDAD
(unid.)]]</f>
        <v>0</v>
      </c>
      <c r="O155" s="280">
        <f>IF('🧾 Tributos Aduana'!$F$6=0,0,'🧾 Tributos Aduana'!$F$23*('🧾 Factura Comercial'!H159/'🧾 Tributos Aduana'!$F$6))</f>
        <v>0</v>
      </c>
      <c r="P155" s="280">
        <f>TABLA_BASE[[#This Row],[PERCEP.
UNIT.(US$)
✅CF]]*TABLA_BASE[[#This Row],[CANTIDAD
(unid.)]]</f>
        <v>0</v>
      </c>
      <c r="Q155" s="279">
        <f>TABLA_BASE[[#This Row],[ADV UNIT.
(US$)
⚠️COSTO]]+TABLA_BASE[[#This Row],[IPM UNIT.
(US$)
✅CF]]+TABLA_BASE[[#This Row],[IGV UNIT.
(US$)
✅CF]]</f>
        <v>0</v>
      </c>
      <c r="R155" s="280">
        <f>TABLA_BASE[[#This Row],[DEUDA
ADUANERA
UNIT.]]*TABLA_BASE[[#This Row],[CANTIDAD
(unid.)]]</f>
        <v>0</v>
      </c>
      <c r="S155" s="278">
        <f>TABLA_BASE[[#This Row],[DEUDA
ADUANERA
UNIT.]]*'📋 Datos Generales'!$E$19</f>
        <v>0</v>
      </c>
      <c r="T155" s="278">
        <f>TABLA_BASE[[#This Row],[DEUDA
ADUANERA
TOTAL]]*'📋 Datos Generales'!$E$19</f>
        <v>0</v>
      </c>
      <c r="U155" s="281">
        <f>TABLA_BASE[[#This Row],[ADV UNIT.
(US$)
⚠️COSTO]]*'📋 Datos Generales'!$E$19</f>
        <v>0</v>
      </c>
      <c r="V155" s="281">
        <f>TABLA_BASE[[#This Row],[ADV UNIT.
(S/.)]]*TABLA_BASE[[#This Row],[CANTIDAD
(unid.)]]</f>
        <v>0</v>
      </c>
      <c r="W155" s="281">
        <f>TABLA_BASE[[#This Row],[IPM UNIT.
(US$)
✅CF]]*'📋 Datos Generales'!$E$19</f>
        <v>0</v>
      </c>
      <c r="X155" s="281">
        <f>TABLA_BASE[[#This Row],[IPM UNIT.
(S/.)]]*TABLA_BASE[[#This Row],[CANTIDAD
(unid.)]]</f>
        <v>0</v>
      </c>
      <c r="Y155" s="281">
        <f>TABLA_BASE[[#This Row],[IGV UNIT.
(US$)
✅CF]]*'📋 Datos Generales'!$E$19</f>
        <v>0</v>
      </c>
      <c r="Z155" s="281">
        <f>TABLA_BASE[[#This Row],[IGV UNIT.
(S/.)]]*TABLA_BASE[[#This Row],[CANTIDAD
(unid.)]]</f>
        <v>0</v>
      </c>
      <c r="AA155" s="281">
        <f>TABLA_BASE[[#This Row],[PERCEP.
UNIT.(US$)
✅CF]]*'📋 Datos Generales'!$E$19</f>
        <v>0</v>
      </c>
      <c r="AB155" s="281">
        <f>TABLA_BASE[[#This Row],[PERCEP.
UNIT.(S/.)]]*TABLA_BASE[[#This Row],[CANTIDAD
(unid.)]]</f>
        <v>0</v>
      </c>
      <c r="AC155" s="279">
        <f>TABLA_BASE[[#This Row],[ADV UNIT.
(US$)
⚠️COSTO]]+TABLA_BASE[[#This Row],[IPM UNIT.
(US$)
✅CF]]+TABLA_BASE[[#This Row],[IGV UNIT.
(US$)
✅CF]]+TABLA_BASE[[#This Row],[PERCEP.
UNIT.(US$)
✅CF]]</f>
        <v>0</v>
      </c>
      <c r="AD155" s="279">
        <f>TABLA_BASE[[#This Row],[TOTAL PAGO
SUNAT
UNIT.(US$)]]*TABLA_BASE[[#This Row],[CANTIDAD
(unid.)]]</f>
        <v>0</v>
      </c>
      <c r="AE155" s="281">
        <f>TABLA_BASE[[#This Row],[TOTAL PAGO
SUNAT
UNIT.(US$)]]*'📋 Datos Generales'!$E$19</f>
        <v>0</v>
      </c>
      <c r="AF155" s="281">
        <f>TABLA_BASE[[#This Row],[TOTAL TRIB.
UNIT.(S/.)]]*TABLA_BASE[[#This Row],[CANTIDAD
(unid.)]]</f>
        <v>0</v>
      </c>
      <c r="AG155" s="279">
        <f>IF('🧾 Factura Comercial'!G159=0,0,'📦 Gastos Importación'!$E$28*(IF('🧾 Tributos Aduana'!$F$6=0,0,'🧾 Factura Comercial'!I159/'🧾 Tributos Aduana'!$F$6))/'🧾 Factura Comercial'!G159)</f>
        <v>0</v>
      </c>
      <c r="AH155" s="279">
        <f>TABLA_BASE[[#This Row],[GASTOS IMP.
UNIT.(US$)]]*TABLA_BASE[[#This Row],[CANTIDAD
(unid.)]]</f>
        <v>0</v>
      </c>
      <c r="AI155" s="281">
        <f>TABLA_BASE[[#This Row],[GASTOS IMP.
UNIT.(US$)]]*'📋 Datos Generales'!$E$19</f>
        <v>0</v>
      </c>
      <c r="AJ155" s="281">
        <f>TABLA_BASE[[#This Row],[GASTOS IMP.
UNIT.(S/.)]]*TABLA_BASE[[#This Row],[CANTIDAD
(unid.)]]</f>
        <v>0</v>
      </c>
      <c r="AK155" s="280">
        <f>'🧮 Costos x Producto'!J159</f>
        <v>0</v>
      </c>
      <c r="AL155" s="278">
        <f>'🧮 Costos x Producto'!K159</f>
        <v>0</v>
      </c>
      <c r="AM155" s="278">
        <f>TABLA_BASE[[#This Row],[C/M UNIT.
(S/.)]]*TABLA_BASE[[#This Row],[CANTIDAD
(unid.)]]</f>
        <v>0</v>
      </c>
      <c r="AN155" s="279">
        <f>IF('🧾 Factura Comercial'!G159=0,0,'🧾 Tributos Aduana'!$F$17*(IF('🧾 Tributos Aduana'!$F$6=0,0,'🧾 Factura Comercial'!I159/'🧾 Tributos Aduana'!$F$6))/'🧾 Factura Comercial'!G159)</f>
        <v>0</v>
      </c>
      <c r="AO155" s="280">
        <f>IF('🧾 Factura Comercial'!G159=0,0,'🏦 Crédito Fiscal'!$C$16*(IF('🧾 Tributos Aduana'!$F$6=0,0,'🧾 Factura Comercial'!I159/'🧾 Tributos Aduana'!$F$6))/'🧾 Factura Comercial'!G159)</f>
        <v>0</v>
      </c>
      <c r="AP155" s="278">
        <f>TABLA_BASE[[#This Row],[CF UNIT.
✅RECUP.
(US$)]]*'📋 Datos Generales'!$E$19</f>
        <v>0</v>
      </c>
      <c r="AQ155" s="278">
        <f>TABLA_BASE[[#This Row],[CF UNIT.
✅RECUP.(S/.)]]*TABLA_BASE[[#This Row],[CANTIDAD
(unid.)]]</f>
        <v>0</v>
      </c>
      <c r="AR155" s="288">
        <f>'💰 Precio de Venta'!G160</f>
        <v>0.4</v>
      </c>
      <c r="AS155" s="278">
        <f>'💰 Precio de Venta'!H160</f>
        <v>0</v>
      </c>
      <c r="AT155" s="278">
        <f>TABLA_BASE[[#This Row],[VALOR VTA.
UNIT.(S/.)]]*TABLA_BASE[[#This Row],[CANTIDAD
(unid.)]]</f>
        <v>0</v>
      </c>
      <c r="AU155" s="281">
        <f>'💰 Precio de Venta'!I160</f>
        <v>0</v>
      </c>
      <c r="AV155" s="278">
        <f>'💰 Precio de Venta'!J160</f>
        <v>0</v>
      </c>
      <c r="AW155" s="278">
        <f>TABLA_BASE[[#This Row],[GANANCIA
UNIT.(S/.)]]*TABLA_BASE[[#This Row],[CANTIDAD
(unid.)]]</f>
        <v>0</v>
      </c>
      <c r="AX155" s="289">
        <f>'💰 Precio de Venta'!K160</f>
        <v>0</v>
      </c>
      <c r="AY155" s="278">
        <f>TABLA_BASE[[#This Row],[GANANCIA
UNIT.(S/.)]]*'🧾 Factura Comercial'!G159</f>
        <v>0</v>
      </c>
      <c r="AZ155" s="277">
        <f>IF(TABLA_BASE[[#This Row],[PRECIO VTA.
c/IGV(S/.)]]=0,0,TABLA_BASE[[#This Row],[GANANCIA
UNIT.(S/.)]]/TABLA_BASE[[#This Row],[PRECIO VTA.
c/IGV(S/.)]])</f>
        <v>0</v>
      </c>
      <c r="BA155" s="277">
        <f>IF(TABLA_BASE[[#This Row],[C/M UNIT.
(S/.)]]=0,0,TABLA_BASE[[#This Row],[GANANCIA
UNIT.(S/.)]]/TABLA_BASE[[#This Row],[C/M UNIT.
(S/.)]])</f>
        <v>0</v>
      </c>
      <c r="BB155" s="274" t="str">
        <f>IF(TABLA_BASE[[#This Row],[MARGEN
%]]&gt;=0.5,"🟢 ALTO",IF(TABLA_BASE[[#This Row],[MARGEN
%]]&gt;=0.3,"🟡 MEDIO","🔴 BAJO"))</f>
        <v>🟡 MEDIO</v>
      </c>
    </row>
    <row r="156" spans="1:54" ht="16.5" hidden="1" thickTop="1" thickBot="1" x14ac:dyDescent="0.3">
      <c r="A156" s="274">
        <f>'🧾 Factura Comercial'!E160</f>
        <v>0</v>
      </c>
      <c r="B156" s="274" t="str">
        <f>'🧾 Factura Comercial'!F160</f>
        <v>Unid.</v>
      </c>
      <c r="C156" s="275">
        <f>'🧾 Factura Comercial'!G160</f>
        <v>0</v>
      </c>
      <c r="D156" s="276">
        <f>'🧾 Factura Comercial'!H160</f>
        <v>0</v>
      </c>
      <c r="E156" s="276">
        <f>'🧾 Factura Comercial'!I160</f>
        <v>0</v>
      </c>
      <c r="F156" s="277">
        <f>IF('🧾 Tributos Aduana'!$F$6=0,0,'🧾 Factura Comercial'!I160/'🧾 Tributos Aduana'!$F$6)</f>
        <v>0</v>
      </c>
      <c r="G156" s="278">
        <f>'🧾 Factura Comercial'!H160*'📋 Datos Generales'!$E$19</f>
        <v>0</v>
      </c>
      <c r="H156" s="278">
        <f>TABLA_BASE[[#This Row],[FOB UNIT.
(S/.)]]*TABLA_BASE[[#This Row],[CANTIDAD
(unid.)]]</f>
        <v>0</v>
      </c>
      <c r="I156" s="280">
        <f>IF('🧾 Tributos Aduana'!$F$6=0,0,'🧾 Tributos Aduana'!$F$17*('🧾 Factura Comercial'!H160/'🧾 Tributos Aduana'!$F$6))</f>
        <v>0</v>
      </c>
      <c r="J156" s="280">
        <f>TABLA_BASE[[#This Row],[ADV UNIT.
(US$)
⚠️COSTO]]*TABLA_BASE[[#This Row],[CANTIDAD
(unid.)]]</f>
        <v>0</v>
      </c>
      <c r="K156" s="279">
        <f>IF('🧾 Tributos Aduana'!$F$6=0,0,'🧾 Tributos Aduana'!$F$18*('🧾 Factura Comercial'!H160/'🧾 Tributos Aduana'!$F$6))</f>
        <v>0</v>
      </c>
      <c r="L156" s="280">
        <f>TABLA_BASE[[#This Row],[IPM UNIT.
(US$)
✅CF]]*TABLA_BASE[[#This Row],[CANTIDAD
(unid.)]]</f>
        <v>0</v>
      </c>
      <c r="M156" s="279">
        <f>IF('🧾 Tributos Aduana'!$F$6=0,0,'🧾 Tributos Aduana'!$F$19*('🧾 Factura Comercial'!H160/'🧾 Tributos Aduana'!$F$6))</f>
        <v>0</v>
      </c>
      <c r="N156" s="280">
        <f>TABLA_BASE[[#This Row],[IGV UNIT.
(US$)
✅CF]]*TABLA_BASE[[#This Row],[CANTIDAD
(unid.)]]</f>
        <v>0</v>
      </c>
      <c r="O156" s="280">
        <f>IF('🧾 Tributos Aduana'!$F$6=0,0,'🧾 Tributos Aduana'!$F$23*('🧾 Factura Comercial'!H160/'🧾 Tributos Aduana'!$F$6))</f>
        <v>0</v>
      </c>
      <c r="P156" s="280">
        <f>TABLA_BASE[[#This Row],[PERCEP.
UNIT.(US$)
✅CF]]*TABLA_BASE[[#This Row],[CANTIDAD
(unid.)]]</f>
        <v>0</v>
      </c>
      <c r="Q156" s="279">
        <f>TABLA_BASE[[#This Row],[ADV UNIT.
(US$)
⚠️COSTO]]+TABLA_BASE[[#This Row],[IPM UNIT.
(US$)
✅CF]]+TABLA_BASE[[#This Row],[IGV UNIT.
(US$)
✅CF]]</f>
        <v>0</v>
      </c>
      <c r="R156" s="280">
        <f>TABLA_BASE[[#This Row],[DEUDA
ADUANERA
UNIT.]]*TABLA_BASE[[#This Row],[CANTIDAD
(unid.)]]</f>
        <v>0</v>
      </c>
      <c r="S156" s="278">
        <f>TABLA_BASE[[#This Row],[DEUDA
ADUANERA
UNIT.]]*'📋 Datos Generales'!$E$19</f>
        <v>0</v>
      </c>
      <c r="T156" s="278">
        <f>TABLA_BASE[[#This Row],[DEUDA
ADUANERA
TOTAL]]*'📋 Datos Generales'!$E$19</f>
        <v>0</v>
      </c>
      <c r="U156" s="281">
        <f>TABLA_BASE[[#This Row],[ADV UNIT.
(US$)
⚠️COSTO]]*'📋 Datos Generales'!$E$19</f>
        <v>0</v>
      </c>
      <c r="V156" s="281">
        <f>TABLA_BASE[[#This Row],[ADV UNIT.
(S/.)]]*TABLA_BASE[[#This Row],[CANTIDAD
(unid.)]]</f>
        <v>0</v>
      </c>
      <c r="W156" s="281">
        <f>TABLA_BASE[[#This Row],[IPM UNIT.
(US$)
✅CF]]*'📋 Datos Generales'!$E$19</f>
        <v>0</v>
      </c>
      <c r="X156" s="281">
        <f>TABLA_BASE[[#This Row],[IPM UNIT.
(S/.)]]*TABLA_BASE[[#This Row],[CANTIDAD
(unid.)]]</f>
        <v>0</v>
      </c>
      <c r="Y156" s="281">
        <f>TABLA_BASE[[#This Row],[IGV UNIT.
(US$)
✅CF]]*'📋 Datos Generales'!$E$19</f>
        <v>0</v>
      </c>
      <c r="Z156" s="281">
        <f>TABLA_BASE[[#This Row],[IGV UNIT.
(S/.)]]*TABLA_BASE[[#This Row],[CANTIDAD
(unid.)]]</f>
        <v>0</v>
      </c>
      <c r="AA156" s="281">
        <f>TABLA_BASE[[#This Row],[PERCEP.
UNIT.(US$)
✅CF]]*'📋 Datos Generales'!$E$19</f>
        <v>0</v>
      </c>
      <c r="AB156" s="281">
        <f>TABLA_BASE[[#This Row],[PERCEP.
UNIT.(S/.)]]*TABLA_BASE[[#This Row],[CANTIDAD
(unid.)]]</f>
        <v>0</v>
      </c>
      <c r="AC156" s="279">
        <f>TABLA_BASE[[#This Row],[ADV UNIT.
(US$)
⚠️COSTO]]+TABLA_BASE[[#This Row],[IPM UNIT.
(US$)
✅CF]]+TABLA_BASE[[#This Row],[IGV UNIT.
(US$)
✅CF]]+TABLA_BASE[[#This Row],[PERCEP.
UNIT.(US$)
✅CF]]</f>
        <v>0</v>
      </c>
      <c r="AD156" s="279">
        <f>TABLA_BASE[[#This Row],[TOTAL PAGO
SUNAT
UNIT.(US$)]]*TABLA_BASE[[#This Row],[CANTIDAD
(unid.)]]</f>
        <v>0</v>
      </c>
      <c r="AE156" s="281">
        <f>TABLA_BASE[[#This Row],[TOTAL PAGO
SUNAT
UNIT.(US$)]]*'📋 Datos Generales'!$E$19</f>
        <v>0</v>
      </c>
      <c r="AF156" s="281">
        <f>TABLA_BASE[[#This Row],[TOTAL TRIB.
UNIT.(S/.)]]*TABLA_BASE[[#This Row],[CANTIDAD
(unid.)]]</f>
        <v>0</v>
      </c>
      <c r="AG156" s="279">
        <f>IF('🧾 Factura Comercial'!G160=0,0,'📦 Gastos Importación'!$E$28*(IF('🧾 Tributos Aduana'!$F$6=0,0,'🧾 Factura Comercial'!I160/'🧾 Tributos Aduana'!$F$6))/'🧾 Factura Comercial'!G160)</f>
        <v>0</v>
      </c>
      <c r="AH156" s="279">
        <f>TABLA_BASE[[#This Row],[GASTOS IMP.
UNIT.(US$)]]*TABLA_BASE[[#This Row],[CANTIDAD
(unid.)]]</f>
        <v>0</v>
      </c>
      <c r="AI156" s="281">
        <f>TABLA_BASE[[#This Row],[GASTOS IMP.
UNIT.(US$)]]*'📋 Datos Generales'!$E$19</f>
        <v>0</v>
      </c>
      <c r="AJ156" s="281">
        <f>TABLA_BASE[[#This Row],[GASTOS IMP.
UNIT.(S/.)]]*TABLA_BASE[[#This Row],[CANTIDAD
(unid.)]]</f>
        <v>0</v>
      </c>
      <c r="AK156" s="280">
        <f>'🧮 Costos x Producto'!J160</f>
        <v>0</v>
      </c>
      <c r="AL156" s="278">
        <f>'🧮 Costos x Producto'!K160</f>
        <v>0</v>
      </c>
      <c r="AM156" s="278">
        <f>TABLA_BASE[[#This Row],[C/M UNIT.
(S/.)]]*TABLA_BASE[[#This Row],[CANTIDAD
(unid.)]]</f>
        <v>0</v>
      </c>
      <c r="AN156" s="279">
        <f>IF('🧾 Factura Comercial'!G160=0,0,'🧾 Tributos Aduana'!$F$17*(IF('🧾 Tributos Aduana'!$F$6=0,0,'🧾 Factura Comercial'!I160/'🧾 Tributos Aduana'!$F$6))/'🧾 Factura Comercial'!G160)</f>
        <v>0</v>
      </c>
      <c r="AO156" s="280">
        <f>IF('🧾 Factura Comercial'!G160=0,0,'🏦 Crédito Fiscal'!$C$16*(IF('🧾 Tributos Aduana'!$F$6=0,0,'🧾 Factura Comercial'!I160/'🧾 Tributos Aduana'!$F$6))/'🧾 Factura Comercial'!G160)</f>
        <v>0</v>
      </c>
      <c r="AP156" s="278">
        <f>TABLA_BASE[[#This Row],[CF UNIT.
✅RECUP.
(US$)]]*'📋 Datos Generales'!$E$19</f>
        <v>0</v>
      </c>
      <c r="AQ156" s="278">
        <f>TABLA_BASE[[#This Row],[CF UNIT.
✅RECUP.(S/.)]]*TABLA_BASE[[#This Row],[CANTIDAD
(unid.)]]</f>
        <v>0</v>
      </c>
      <c r="AR156" s="288">
        <f>'💰 Precio de Venta'!G161</f>
        <v>0.4</v>
      </c>
      <c r="AS156" s="278">
        <f>'💰 Precio de Venta'!H161</f>
        <v>0</v>
      </c>
      <c r="AT156" s="278">
        <f>TABLA_BASE[[#This Row],[VALOR VTA.
UNIT.(S/.)]]*TABLA_BASE[[#This Row],[CANTIDAD
(unid.)]]</f>
        <v>0</v>
      </c>
      <c r="AU156" s="281">
        <f>'💰 Precio de Venta'!I161</f>
        <v>0</v>
      </c>
      <c r="AV156" s="278">
        <f>'💰 Precio de Venta'!J161</f>
        <v>0</v>
      </c>
      <c r="AW156" s="278">
        <f>TABLA_BASE[[#This Row],[GANANCIA
UNIT.(S/.)]]*TABLA_BASE[[#This Row],[CANTIDAD
(unid.)]]</f>
        <v>0</v>
      </c>
      <c r="AX156" s="289">
        <f>'💰 Precio de Venta'!K161</f>
        <v>0</v>
      </c>
      <c r="AY156" s="278">
        <f>TABLA_BASE[[#This Row],[GANANCIA
UNIT.(S/.)]]*'🧾 Factura Comercial'!G160</f>
        <v>0</v>
      </c>
      <c r="AZ156" s="277">
        <f>IF(TABLA_BASE[[#This Row],[PRECIO VTA.
c/IGV(S/.)]]=0,0,TABLA_BASE[[#This Row],[GANANCIA
UNIT.(S/.)]]/TABLA_BASE[[#This Row],[PRECIO VTA.
c/IGV(S/.)]])</f>
        <v>0</v>
      </c>
      <c r="BA156" s="277">
        <f>IF(TABLA_BASE[[#This Row],[C/M UNIT.
(S/.)]]=0,0,TABLA_BASE[[#This Row],[GANANCIA
UNIT.(S/.)]]/TABLA_BASE[[#This Row],[C/M UNIT.
(S/.)]])</f>
        <v>0</v>
      </c>
      <c r="BB156" s="274" t="str">
        <f>IF(TABLA_BASE[[#This Row],[MARGEN
%]]&gt;=0.5,"🟢 ALTO",IF(TABLA_BASE[[#This Row],[MARGEN
%]]&gt;=0.3,"🟡 MEDIO","🔴 BAJO"))</f>
        <v>🟡 MEDIO</v>
      </c>
    </row>
    <row r="157" spans="1:54" ht="16.5" hidden="1" thickTop="1" thickBot="1" x14ac:dyDescent="0.3">
      <c r="A157" s="274">
        <f>'🧾 Factura Comercial'!E161</f>
        <v>0</v>
      </c>
      <c r="B157" s="274" t="str">
        <f>'🧾 Factura Comercial'!F161</f>
        <v>Unid.</v>
      </c>
      <c r="C157" s="275">
        <f>'🧾 Factura Comercial'!G161</f>
        <v>0</v>
      </c>
      <c r="D157" s="276">
        <f>'🧾 Factura Comercial'!H161</f>
        <v>0</v>
      </c>
      <c r="E157" s="276">
        <f>'🧾 Factura Comercial'!I161</f>
        <v>0</v>
      </c>
      <c r="F157" s="277">
        <f>IF('🧾 Tributos Aduana'!$F$6=0,0,'🧾 Factura Comercial'!I161/'🧾 Tributos Aduana'!$F$6)</f>
        <v>0</v>
      </c>
      <c r="G157" s="278">
        <f>'🧾 Factura Comercial'!H161*'📋 Datos Generales'!$E$19</f>
        <v>0</v>
      </c>
      <c r="H157" s="278">
        <f>TABLA_BASE[[#This Row],[FOB UNIT.
(S/.)]]*TABLA_BASE[[#This Row],[CANTIDAD
(unid.)]]</f>
        <v>0</v>
      </c>
      <c r="I157" s="280">
        <f>IF('🧾 Tributos Aduana'!$F$6=0,0,'🧾 Tributos Aduana'!$F$17*('🧾 Factura Comercial'!H161/'🧾 Tributos Aduana'!$F$6))</f>
        <v>0</v>
      </c>
      <c r="J157" s="280">
        <f>TABLA_BASE[[#This Row],[ADV UNIT.
(US$)
⚠️COSTO]]*TABLA_BASE[[#This Row],[CANTIDAD
(unid.)]]</f>
        <v>0</v>
      </c>
      <c r="K157" s="279">
        <f>IF('🧾 Tributos Aduana'!$F$6=0,0,'🧾 Tributos Aduana'!$F$18*('🧾 Factura Comercial'!H161/'🧾 Tributos Aduana'!$F$6))</f>
        <v>0</v>
      </c>
      <c r="L157" s="280">
        <f>TABLA_BASE[[#This Row],[IPM UNIT.
(US$)
✅CF]]*TABLA_BASE[[#This Row],[CANTIDAD
(unid.)]]</f>
        <v>0</v>
      </c>
      <c r="M157" s="279">
        <f>IF('🧾 Tributos Aduana'!$F$6=0,0,'🧾 Tributos Aduana'!$F$19*('🧾 Factura Comercial'!H161/'🧾 Tributos Aduana'!$F$6))</f>
        <v>0</v>
      </c>
      <c r="N157" s="280">
        <f>TABLA_BASE[[#This Row],[IGV UNIT.
(US$)
✅CF]]*TABLA_BASE[[#This Row],[CANTIDAD
(unid.)]]</f>
        <v>0</v>
      </c>
      <c r="O157" s="280">
        <f>IF('🧾 Tributos Aduana'!$F$6=0,0,'🧾 Tributos Aduana'!$F$23*('🧾 Factura Comercial'!H161/'🧾 Tributos Aduana'!$F$6))</f>
        <v>0</v>
      </c>
      <c r="P157" s="280">
        <f>TABLA_BASE[[#This Row],[PERCEP.
UNIT.(US$)
✅CF]]*TABLA_BASE[[#This Row],[CANTIDAD
(unid.)]]</f>
        <v>0</v>
      </c>
      <c r="Q157" s="279">
        <f>TABLA_BASE[[#This Row],[ADV UNIT.
(US$)
⚠️COSTO]]+TABLA_BASE[[#This Row],[IPM UNIT.
(US$)
✅CF]]+TABLA_BASE[[#This Row],[IGV UNIT.
(US$)
✅CF]]</f>
        <v>0</v>
      </c>
      <c r="R157" s="280">
        <f>TABLA_BASE[[#This Row],[DEUDA
ADUANERA
UNIT.]]*TABLA_BASE[[#This Row],[CANTIDAD
(unid.)]]</f>
        <v>0</v>
      </c>
      <c r="S157" s="278">
        <f>TABLA_BASE[[#This Row],[DEUDA
ADUANERA
UNIT.]]*'📋 Datos Generales'!$E$19</f>
        <v>0</v>
      </c>
      <c r="T157" s="278">
        <f>TABLA_BASE[[#This Row],[DEUDA
ADUANERA
TOTAL]]*'📋 Datos Generales'!$E$19</f>
        <v>0</v>
      </c>
      <c r="U157" s="281">
        <f>TABLA_BASE[[#This Row],[ADV UNIT.
(US$)
⚠️COSTO]]*'📋 Datos Generales'!$E$19</f>
        <v>0</v>
      </c>
      <c r="V157" s="281">
        <f>TABLA_BASE[[#This Row],[ADV UNIT.
(S/.)]]*TABLA_BASE[[#This Row],[CANTIDAD
(unid.)]]</f>
        <v>0</v>
      </c>
      <c r="W157" s="281">
        <f>TABLA_BASE[[#This Row],[IPM UNIT.
(US$)
✅CF]]*'📋 Datos Generales'!$E$19</f>
        <v>0</v>
      </c>
      <c r="X157" s="281">
        <f>TABLA_BASE[[#This Row],[IPM UNIT.
(S/.)]]*TABLA_BASE[[#This Row],[CANTIDAD
(unid.)]]</f>
        <v>0</v>
      </c>
      <c r="Y157" s="281">
        <f>TABLA_BASE[[#This Row],[IGV UNIT.
(US$)
✅CF]]*'📋 Datos Generales'!$E$19</f>
        <v>0</v>
      </c>
      <c r="Z157" s="281">
        <f>TABLA_BASE[[#This Row],[IGV UNIT.
(S/.)]]*TABLA_BASE[[#This Row],[CANTIDAD
(unid.)]]</f>
        <v>0</v>
      </c>
      <c r="AA157" s="281">
        <f>TABLA_BASE[[#This Row],[PERCEP.
UNIT.(US$)
✅CF]]*'📋 Datos Generales'!$E$19</f>
        <v>0</v>
      </c>
      <c r="AB157" s="281">
        <f>TABLA_BASE[[#This Row],[PERCEP.
UNIT.(S/.)]]*TABLA_BASE[[#This Row],[CANTIDAD
(unid.)]]</f>
        <v>0</v>
      </c>
      <c r="AC157" s="279">
        <f>TABLA_BASE[[#This Row],[ADV UNIT.
(US$)
⚠️COSTO]]+TABLA_BASE[[#This Row],[IPM UNIT.
(US$)
✅CF]]+TABLA_BASE[[#This Row],[IGV UNIT.
(US$)
✅CF]]+TABLA_BASE[[#This Row],[PERCEP.
UNIT.(US$)
✅CF]]</f>
        <v>0</v>
      </c>
      <c r="AD157" s="279">
        <f>TABLA_BASE[[#This Row],[TOTAL PAGO
SUNAT
UNIT.(US$)]]*TABLA_BASE[[#This Row],[CANTIDAD
(unid.)]]</f>
        <v>0</v>
      </c>
      <c r="AE157" s="281">
        <f>TABLA_BASE[[#This Row],[TOTAL PAGO
SUNAT
UNIT.(US$)]]*'📋 Datos Generales'!$E$19</f>
        <v>0</v>
      </c>
      <c r="AF157" s="281">
        <f>TABLA_BASE[[#This Row],[TOTAL TRIB.
UNIT.(S/.)]]*TABLA_BASE[[#This Row],[CANTIDAD
(unid.)]]</f>
        <v>0</v>
      </c>
      <c r="AG157" s="279">
        <f>IF('🧾 Factura Comercial'!G161=0,0,'📦 Gastos Importación'!$E$28*(IF('🧾 Tributos Aduana'!$F$6=0,0,'🧾 Factura Comercial'!I161/'🧾 Tributos Aduana'!$F$6))/'🧾 Factura Comercial'!G161)</f>
        <v>0</v>
      </c>
      <c r="AH157" s="279">
        <f>TABLA_BASE[[#This Row],[GASTOS IMP.
UNIT.(US$)]]*TABLA_BASE[[#This Row],[CANTIDAD
(unid.)]]</f>
        <v>0</v>
      </c>
      <c r="AI157" s="281">
        <f>TABLA_BASE[[#This Row],[GASTOS IMP.
UNIT.(US$)]]*'📋 Datos Generales'!$E$19</f>
        <v>0</v>
      </c>
      <c r="AJ157" s="281">
        <f>TABLA_BASE[[#This Row],[GASTOS IMP.
UNIT.(S/.)]]*TABLA_BASE[[#This Row],[CANTIDAD
(unid.)]]</f>
        <v>0</v>
      </c>
      <c r="AK157" s="280">
        <f>'🧮 Costos x Producto'!J161</f>
        <v>0</v>
      </c>
      <c r="AL157" s="278">
        <f>'🧮 Costos x Producto'!K161</f>
        <v>0</v>
      </c>
      <c r="AM157" s="278">
        <f>TABLA_BASE[[#This Row],[C/M UNIT.
(S/.)]]*TABLA_BASE[[#This Row],[CANTIDAD
(unid.)]]</f>
        <v>0</v>
      </c>
      <c r="AN157" s="279">
        <f>IF('🧾 Factura Comercial'!G161=0,0,'🧾 Tributos Aduana'!$F$17*(IF('🧾 Tributos Aduana'!$F$6=0,0,'🧾 Factura Comercial'!I161/'🧾 Tributos Aduana'!$F$6))/'🧾 Factura Comercial'!G161)</f>
        <v>0</v>
      </c>
      <c r="AO157" s="280">
        <f>IF('🧾 Factura Comercial'!G161=0,0,'🏦 Crédito Fiscal'!$C$16*(IF('🧾 Tributos Aduana'!$F$6=0,0,'🧾 Factura Comercial'!I161/'🧾 Tributos Aduana'!$F$6))/'🧾 Factura Comercial'!G161)</f>
        <v>0</v>
      </c>
      <c r="AP157" s="278">
        <f>TABLA_BASE[[#This Row],[CF UNIT.
✅RECUP.
(US$)]]*'📋 Datos Generales'!$E$19</f>
        <v>0</v>
      </c>
      <c r="AQ157" s="278">
        <f>TABLA_BASE[[#This Row],[CF UNIT.
✅RECUP.(S/.)]]*TABLA_BASE[[#This Row],[CANTIDAD
(unid.)]]</f>
        <v>0</v>
      </c>
      <c r="AR157" s="288">
        <f>'💰 Precio de Venta'!G162</f>
        <v>0.4</v>
      </c>
      <c r="AS157" s="278">
        <f>'💰 Precio de Venta'!H162</f>
        <v>0</v>
      </c>
      <c r="AT157" s="278">
        <f>TABLA_BASE[[#This Row],[VALOR VTA.
UNIT.(S/.)]]*TABLA_BASE[[#This Row],[CANTIDAD
(unid.)]]</f>
        <v>0</v>
      </c>
      <c r="AU157" s="281">
        <f>'💰 Precio de Venta'!I162</f>
        <v>0</v>
      </c>
      <c r="AV157" s="278">
        <f>'💰 Precio de Venta'!J162</f>
        <v>0</v>
      </c>
      <c r="AW157" s="278">
        <f>TABLA_BASE[[#This Row],[GANANCIA
UNIT.(S/.)]]*TABLA_BASE[[#This Row],[CANTIDAD
(unid.)]]</f>
        <v>0</v>
      </c>
      <c r="AX157" s="289">
        <f>'💰 Precio de Venta'!K162</f>
        <v>0</v>
      </c>
      <c r="AY157" s="278">
        <f>TABLA_BASE[[#This Row],[GANANCIA
UNIT.(S/.)]]*'🧾 Factura Comercial'!G161</f>
        <v>0</v>
      </c>
      <c r="AZ157" s="277">
        <f>IF(TABLA_BASE[[#This Row],[PRECIO VTA.
c/IGV(S/.)]]=0,0,TABLA_BASE[[#This Row],[GANANCIA
UNIT.(S/.)]]/TABLA_BASE[[#This Row],[PRECIO VTA.
c/IGV(S/.)]])</f>
        <v>0</v>
      </c>
      <c r="BA157" s="277">
        <f>IF(TABLA_BASE[[#This Row],[C/M UNIT.
(S/.)]]=0,0,TABLA_BASE[[#This Row],[GANANCIA
UNIT.(S/.)]]/TABLA_BASE[[#This Row],[C/M UNIT.
(S/.)]])</f>
        <v>0</v>
      </c>
      <c r="BB157" s="274" t="str">
        <f>IF(TABLA_BASE[[#This Row],[MARGEN
%]]&gt;=0.5,"🟢 ALTO",IF(TABLA_BASE[[#This Row],[MARGEN
%]]&gt;=0.3,"🟡 MEDIO","🔴 BAJO"))</f>
        <v>🟡 MEDIO</v>
      </c>
    </row>
    <row r="158" spans="1:54" ht="16.5" hidden="1" thickTop="1" thickBot="1" x14ac:dyDescent="0.3">
      <c r="A158" s="274">
        <f>'🧾 Factura Comercial'!E162</f>
        <v>0</v>
      </c>
      <c r="B158" s="274" t="str">
        <f>'🧾 Factura Comercial'!F162</f>
        <v>Unid.</v>
      </c>
      <c r="C158" s="275">
        <f>'🧾 Factura Comercial'!G162</f>
        <v>0</v>
      </c>
      <c r="D158" s="276">
        <f>'🧾 Factura Comercial'!H162</f>
        <v>0</v>
      </c>
      <c r="E158" s="276">
        <f>'🧾 Factura Comercial'!I162</f>
        <v>0</v>
      </c>
      <c r="F158" s="277">
        <f>IF('🧾 Tributos Aduana'!$F$6=0,0,'🧾 Factura Comercial'!I162/'🧾 Tributos Aduana'!$F$6)</f>
        <v>0</v>
      </c>
      <c r="G158" s="278">
        <f>'🧾 Factura Comercial'!H162*'📋 Datos Generales'!$E$19</f>
        <v>0</v>
      </c>
      <c r="H158" s="278">
        <f>TABLA_BASE[[#This Row],[FOB UNIT.
(S/.)]]*TABLA_BASE[[#This Row],[CANTIDAD
(unid.)]]</f>
        <v>0</v>
      </c>
      <c r="I158" s="280">
        <f>IF('🧾 Tributos Aduana'!$F$6=0,0,'🧾 Tributos Aduana'!$F$17*('🧾 Factura Comercial'!H162/'🧾 Tributos Aduana'!$F$6))</f>
        <v>0</v>
      </c>
      <c r="J158" s="280">
        <f>TABLA_BASE[[#This Row],[ADV UNIT.
(US$)
⚠️COSTO]]*TABLA_BASE[[#This Row],[CANTIDAD
(unid.)]]</f>
        <v>0</v>
      </c>
      <c r="K158" s="279">
        <f>IF('🧾 Tributos Aduana'!$F$6=0,0,'🧾 Tributos Aduana'!$F$18*('🧾 Factura Comercial'!H162/'🧾 Tributos Aduana'!$F$6))</f>
        <v>0</v>
      </c>
      <c r="L158" s="280">
        <f>TABLA_BASE[[#This Row],[IPM UNIT.
(US$)
✅CF]]*TABLA_BASE[[#This Row],[CANTIDAD
(unid.)]]</f>
        <v>0</v>
      </c>
      <c r="M158" s="279">
        <f>IF('🧾 Tributos Aduana'!$F$6=0,0,'🧾 Tributos Aduana'!$F$19*('🧾 Factura Comercial'!H162/'🧾 Tributos Aduana'!$F$6))</f>
        <v>0</v>
      </c>
      <c r="N158" s="280">
        <f>TABLA_BASE[[#This Row],[IGV UNIT.
(US$)
✅CF]]*TABLA_BASE[[#This Row],[CANTIDAD
(unid.)]]</f>
        <v>0</v>
      </c>
      <c r="O158" s="280">
        <f>IF('🧾 Tributos Aduana'!$F$6=0,0,'🧾 Tributos Aduana'!$F$23*('🧾 Factura Comercial'!H162/'🧾 Tributos Aduana'!$F$6))</f>
        <v>0</v>
      </c>
      <c r="P158" s="280">
        <f>TABLA_BASE[[#This Row],[PERCEP.
UNIT.(US$)
✅CF]]*TABLA_BASE[[#This Row],[CANTIDAD
(unid.)]]</f>
        <v>0</v>
      </c>
      <c r="Q158" s="279">
        <f>TABLA_BASE[[#This Row],[ADV UNIT.
(US$)
⚠️COSTO]]+TABLA_BASE[[#This Row],[IPM UNIT.
(US$)
✅CF]]+TABLA_BASE[[#This Row],[IGV UNIT.
(US$)
✅CF]]</f>
        <v>0</v>
      </c>
      <c r="R158" s="280">
        <f>TABLA_BASE[[#This Row],[DEUDA
ADUANERA
UNIT.]]*TABLA_BASE[[#This Row],[CANTIDAD
(unid.)]]</f>
        <v>0</v>
      </c>
      <c r="S158" s="278">
        <f>TABLA_BASE[[#This Row],[DEUDA
ADUANERA
UNIT.]]*'📋 Datos Generales'!$E$19</f>
        <v>0</v>
      </c>
      <c r="T158" s="278">
        <f>TABLA_BASE[[#This Row],[DEUDA
ADUANERA
TOTAL]]*'📋 Datos Generales'!$E$19</f>
        <v>0</v>
      </c>
      <c r="U158" s="281">
        <f>TABLA_BASE[[#This Row],[ADV UNIT.
(US$)
⚠️COSTO]]*'📋 Datos Generales'!$E$19</f>
        <v>0</v>
      </c>
      <c r="V158" s="281">
        <f>TABLA_BASE[[#This Row],[ADV UNIT.
(S/.)]]*TABLA_BASE[[#This Row],[CANTIDAD
(unid.)]]</f>
        <v>0</v>
      </c>
      <c r="W158" s="281">
        <f>TABLA_BASE[[#This Row],[IPM UNIT.
(US$)
✅CF]]*'📋 Datos Generales'!$E$19</f>
        <v>0</v>
      </c>
      <c r="X158" s="281">
        <f>TABLA_BASE[[#This Row],[IPM UNIT.
(S/.)]]*TABLA_BASE[[#This Row],[CANTIDAD
(unid.)]]</f>
        <v>0</v>
      </c>
      <c r="Y158" s="281">
        <f>TABLA_BASE[[#This Row],[IGV UNIT.
(US$)
✅CF]]*'📋 Datos Generales'!$E$19</f>
        <v>0</v>
      </c>
      <c r="Z158" s="281">
        <f>TABLA_BASE[[#This Row],[IGV UNIT.
(S/.)]]*TABLA_BASE[[#This Row],[CANTIDAD
(unid.)]]</f>
        <v>0</v>
      </c>
      <c r="AA158" s="281">
        <f>TABLA_BASE[[#This Row],[PERCEP.
UNIT.(US$)
✅CF]]*'📋 Datos Generales'!$E$19</f>
        <v>0</v>
      </c>
      <c r="AB158" s="281">
        <f>TABLA_BASE[[#This Row],[PERCEP.
UNIT.(S/.)]]*TABLA_BASE[[#This Row],[CANTIDAD
(unid.)]]</f>
        <v>0</v>
      </c>
      <c r="AC158" s="279">
        <f>TABLA_BASE[[#This Row],[ADV UNIT.
(US$)
⚠️COSTO]]+TABLA_BASE[[#This Row],[IPM UNIT.
(US$)
✅CF]]+TABLA_BASE[[#This Row],[IGV UNIT.
(US$)
✅CF]]+TABLA_BASE[[#This Row],[PERCEP.
UNIT.(US$)
✅CF]]</f>
        <v>0</v>
      </c>
      <c r="AD158" s="279">
        <f>TABLA_BASE[[#This Row],[TOTAL PAGO
SUNAT
UNIT.(US$)]]*TABLA_BASE[[#This Row],[CANTIDAD
(unid.)]]</f>
        <v>0</v>
      </c>
      <c r="AE158" s="281">
        <f>TABLA_BASE[[#This Row],[TOTAL PAGO
SUNAT
UNIT.(US$)]]*'📋 Datos Generales'!$E$19</f>
        <v>0</v>
      </c>
      <c r="AF158" s="281">
        <f>TABLA_BASE[[#This Row],[TOTAL TRIB.
UNIT.(S/.)]]*TABLA_BASE[[#This Row],[CANTIDAD
(unid.)]]</f>
        <v>0</v>
      </c>
      <c r="AG158" s="279">
        <f>IF('🧾 Factura Comercial'!G162=0,0,'📦 Gastos Importación'!$E$28*(IF('🧾 Tributos Aduana'!$F$6=0,0,'🧾 Factura Comercial'!I162/'🧾 Tributos Aduana'!$F$6))/'🧾 Factura Comercial'!G162)</f>
        <v>0</v>
      </c>
      <c r="AH158" s="279">
        <f>TABLA_BASE[[#This Row],[GASTOS IMP.
UNIT.(US$)]]*TABLA_BASE[[#This Row],[CANTIDAD
(unid.)]]</f>
        <v>0</v>
      </c>
      <c r="AI158" s="281">
        <f>TABLA_BASE[[#This Row],[GASTOS IMP.
UNIT.(US$)]]*'📋 Datos Generales'!$E$19</f>
        <v>0</v>
      </c>
      <c r="AJ158" s="281">
        <f>TABLA_BASE[[#This Row],[GASTOS IMP.
UNIT.(S/.)]]*TABLA_BASE[[#This Row],[CANTIDAD
(unid.)]]</f>
        <v>0</v>
      </c>
      <c r="AK158" s="280">
        <f>'🧮 Costos x Producto'!J162</f>
        <v>0</v>
      </c>
      <c r="AL158" s="278">
        <f>'🧮 Costos x Producto'!K162</f>
        <v>0</v>
      </c>
      <c r="AM158" s="278">
        <f>TABLA_BASE[[#This Row],[C/M UNIT.
(S/.)]]*TABLA_BASE[[#This Row],[CANTIDAD
(unid.)]]</f>
        <v>0</v>
      </c>
      <c r="AN158" s="279">
        <f>IF('🧾 Factura Comercial'!G162=0,0,'🧾 Tributos Aduana'!$F$17*(IF('🧾 Tributos Aduana'!$F$6=0,0,'🧾 Factura Comercial'!I162/'🧾 Tributos Aduana'!$F$6))/'🧾 Factura Comercial'!G162)</f>
        <v>0</v>
      </c>
      <c r="AO158" s="280">
        <f>IF('🧾 Factura Comercial'!G162=0,0,'🏦 Crédito Fiscal'!$C$16*(IF('🧾 Tributos Aduana'!$F$6=0,0,'🧾 Factura Comercial'!I162/'🧾 Tributos Aduana'!$F$6))/'🧾 Factura Comercial'!G162)</f>
        <v>0</v>
      </c>
      <c r="AP158" s="278">
        <f>TABLA_BASE[[#This Row],[CF UNIT.
✅RECUP.
(US$)]]*'📋 Datos Generales'!$E$19</f>
        <v>0</v>
      </c>
      <c r="AQ158" s="278">
        <f>TABLA_BASE[[#This Row],[CF UNIT.
✅RECUP.(S/.)]]*TABLA_BASE[[#This Row],[CANTIDAD
(unid.)]]</f>
        <v>0</v>
      </c>
      <c r="AR158" s="288">
        <f>'💰 Precio de Venta'!G163</f>
        <v>0.4</v>
      </c>
      <c r="AS158" s="278">
        <f>'💰 Precio de Venta'!H163</f>
        <v>0</v>
      </c>
      <c r="AT158" s="278">
        <f>TABLA_BASE[[#This Row],[VALOR VTA.
UNIT.(S/.)]]*TABLA_BASE[[#This Row],[CANTIDAD
(unid.)]]</f>
        <v>0</v>
      </c>
      <c r="AU158" s="281">
        <f>'💰 Precio de Venta'!I163</f>
        <v>0</v>
      </c>
      <c r="AV158" s="278">
        <f>'💰 Precio de Venta'!J163</f>
        <v>0</v>
      </c>
      <c r="AW158" s="278">
        <f>TABLA_BASE[[#This Row],[GANANCIA
UNIT.(S/.)]]*TABLA_BASE[[#This Row],[CANTIDAD
(unid.)]]</f>
        <v>0</v>
      </c>
      <c r="AX158" s="289">
        <f>'💰 Precio de Venta'!K163</f>
        <v>0</v>
      </c>
      <c r="AY158" s="278">
        <f>TABLA_BASE[[#This Row],[GANANCIA
UNIT.(S/.)]]*'🧾 Factura Comercial'!G162</f>
        <v>0</v>
      </c>
      <c r="AZ158" s="277">
        <f>IF(TABLA_BASE[[#This Row],[PRECIO VTA.
c/IGV(S/.)]]=0,0,TABLA_BASE[[#This Row],[GANANCIA
UNIT.(S/.)]]/TABLA_BASE[[#This Row],[PRECIO VTA.
c/IGV(S/.)]])</f>
        <v>0</v>
      </c>
      <c r="BA158" s="277">
        <f>IF(TABLA_BASE[[#This Row],[C/M UNIT.
(S/.)]]=0,0,TABLA_BASE[[#This Row],[GANANCIA
UNIT.(S/.)]]/TABLA_BASE[[#This Row],[C/M UNIT.
(S/.)]])</f>
        <v>0</v>
      </c>
      <c r="BB158" s="274" t="str">
        <f>IF(TABLA_BASE[[#This Row],[MARGEN
%]]&gt;=0.5,"🟢 ALTO",IF(TABLA_BASE[[#This Row],[MARGEN
%]]&gt;=0.3,"🟡 MEDIO","🔴 BAJO"))</f>
        <v>🟡 MEDIO</v>
      </c>
    </row>
    <row r="159" spans="1:54" ht="16.5" hidden="1" thickTop="1" thickBot="1" x14ac:dyDescent="0.3">
      <c r="A159" s="274">
        <f>'🧾 Factura Comercial'!E163</f>
        <v>0</v>
      </c>
      <c r="B159" s="274" t="str">
        <f>'🧾 Factura Comercial'!F163</f>
        <v>Unid.</v>
      </c>
      <c r="C159" s="275">
        <f>'🧾 Factura Comercial'!G163</f>
        <v>0</v>
      </c>
      <c r="D159" s="276">
        <f>'🧾 Factura Comercial'!H163</f>
        <v>0</v>
      </c>
      <c r="E159" s="276">
        <f>'🧾 Factura Comercial'!I163</f>
        <v>0</v>
      </c>
      <c r="F159" s="277">
        <f>IF('🧾 Tributos Aduana'!$F$6=0,0,'🧾 Factura Comercial'!I163/'🧾 Tributos Aduana'!$F$6)</f>
        <v>0</v>
      </c>
      <c r="G159" s="278">
        <f>'🧾 Factura Comercial'!H163*'📋 Datos Generales'!$E$19</f>
        <v>0</v>
      </c>
      <c r="H159" s="278">
        <f>TABLA_BASE[[#This Row],[FOB UNIT.
(S/.)]]*TABLA_BASE[[#This Row],[CANTIDAD
(unid.)]]</f>
        <v>0</v>
      </c>
      <c r="I159" s="280">
        <f>IF('🧾 Tributos Aduana'!$F$6=0,0,'🧾 Tributos Aduana'!$F$17*('🧾 Factura Comercial'!H163/'🧾 Tributos Aduana'!$F$6))</f>
        <v>0</v>
      </c>
      <c r="J159" s="280">
        <f>TABLA_BASE[[#This Row],[ADV UNIT.
(US$)
⚠️COSTO]]*TABLA_BASE[[#This Row],[CANTIDAD
(unid.)]]</f>
        <v>0</v>
      </c>
      <c r="K159" s="279">
        <f>IF('🧾 Tributos Aduana'!$F$6=0,0,'🧾 Tributos Aduana'!$F$18*('🧾 Factura Comercial'!H163/'🧾 Tributos Aduana'!$F$6))</f>
        <v>0</v>
      </c>
      <c r="L159" s="280">
        <f>TABLA_BASE[[#This Row],[IPM UNIT.
(US$)
✅CF]]*TABLA_BASE[[#This Row],[CANTIDAD
(unid.)]]</f>
        <v>0</v>
      </c>
      <c r="M159" s="279">
        <f>IF('🧾 Tributos Aduana'!$F$6=0,0,'🧾 Tributos Aduana'!$F$19*('🧾 Factura Comercial'!H163/'🧾 Tributos Aduana'!$F$6))</f>
        <v>0</v>
      </c>
      <c r="N159" s="280">
        <f>TABLA_BASE[[#This Row],[IGV UNIT.
(US$)
✅CF]]*TABLA_BASE[[#This Row],[CANTIDAD
(unid.)]]</f>
        <v>0</v>
      </c>
      <c r="O159" s="280">
        <f>IF('🧾 Tributos Aduana'!$F$6=0,0,'🧾 Tributos Aduana'!$F$23*('🧾 Factura Comercial'!H163/'🧾 Tributos Aduana'!$F$6))</f>
        <v>0</v>
      </c>
      <c r="P159" s="280">
        <f>TABLA_BASE[[#This Row],[PERCEP.
UNIT.(US$)
✅CF]]*TABLA_BASE[[#This Row],[CANTIDAD
(unid.)]]</f>
        <v>0</v>
      </c>
      <c r="Q159" s="279">
        <f>TABLA_BASE[[#This Row],[ADV UNIT.
(US$)
⚠️COSTO]]+TABLA_BASE[[#This Row],[IPM UNIT.
(US$)
✅CF]]+TABLA_BASE[[#This Row],[IGV UNIT.
(US$)
✅CF]]</f>
        <v>0</v>
      </c>
      <c r="R159" s="280">
        <f>TABLA_BASE[[#This Row],[DEUDA
ADUANERA
UNIT.]]*TABLA_BASE[[#This Row],[CANTIDAD
(unid.)]]</f>
        <v>0</v>
      </c>
      <c r="S159" s="278">
        <f>TABLA_BASE[[#This Row],[DEUDA
ADUANERA
UNIT.]]*'📋 Datos Generales'!$E$19</f>
        <v>0</v>
      </c>
      <c r="T159" s="278">
        <f>TABLA_BASE[[#This Row],[DEUDA
ADUANERA
TOTAL]]*'📋 Datos Generales'!$E$19</f>
        <v>0</v>
      </c>
      <c r="U159" s="281">
        <f>TABLA_BASE[[#This Row],[ADV UNIT.
(US$)
⚠️COSTO]]*'📋 Datos Generales'!$E$19</f>
        <v>0</v>
      </c>
      <c r="V159" s="281">
        <f>TABLA_BASE[[#This Row],[ADV UNIT.
(S/.)]]*TABLA_BASE[[#This Row],[CANTIDAD
(unid.)]]</f>
        <v>0</v>
      </c>
      <c r="W159" s="281">
        <f>TABLA_BASE[[#This Row],[IPM UNIT.
(US$)
✅CF]]*'📋 Datos Generales'!$E$19</f>
        <v>0</v>
      </c>
      <c r="X159" s="281">
        <f>TABLA_BASE[[#This Row],[IPM UNIT.
(S/.)]]*TABLA_BASE[[#This Row],[CANTIDAD
(unid.)]]</f>
        <v>0</v>
      </c>
      <c r="Y159" s="281">
        <f>TABLA_BASE[[#This Row],[IGV UNIT.
(US$)
✅CF]]*'📋 Datos Generales'!$E$19</f>
        <v>0</v>
      </c>
      <c r="Z159" s="281">
        <f>TABLA_BASE[[#This Row],[IGV UNIT.
(S/.)]]*TABLA_BASE[[#This Row],[CANTIDAD
(unid.)]]</f>
        <v>0</v>
      </c>
      <c r="AA159" s="281">
        <f>TABLA_BASE[[#This Row],[PERCEP.
UNIT.(US$)
✅CF]]*'📋 Datos Generales'!$E$19</f>
        <v>0</v>
      </c>
      <c r="AB159" s="281">
        <f>TABLA_BASE[[#This Row],[PERCEP.
UNIT.(S/.)]]*TABLA_BASE[[#This Row],[CANTIDAD
(unid.)]]</f>
        <v>0</v>
      </c>
      <c r="AC159" s="279">
        <f>TABLA_BASE[[#This Row],[ADV UNIT.
(US$)
⚠️COSTO]]+TABLA_BASE[[#This Row],[IPM UNIT.
(US$)
✅CF]]+TABLA_BASE[[#This Row],[IGV UNIT.
(US$)
✅CF]]+TABLA_BASE[[#This Row],[PERCEP.
UNIT.(US$)
✅CF]]</f>
        <v>0</v>
      </c>
      <c r="AD159" s="279">
        <f>TABLA_BASE[[#This Row],[TOTAL PAGO
SUNAT
UNIT.(US$)]]*TABLA_BASE[[#This Row],[CANTIDAD
(unid.)]]</f>
        <v>0</v>
      </c>
      <c r="AE159" s="281">
        <f>TABLA_BASE[[#This Row],[TOTAL PAGO
SUNAT
UNIT.(US$)]]*'📋 Datos Generales'!$E$19</f>
        <v>0</v>
      </c>
      <c r="AF159" s="281">
        <f>TABLA_BASE[[#This Row],[TOTAL TRIB.
UNIT.(S/.)]]*TABLA_BASE[[#This Row],[CANTIDAD
(unid.)]]</f>
        <v>0</v>
      </c>
      <c r="AG159" s="279">
        <f>IF('🧾 Factura Comercial'!G163=0,0,'📦 Gastos Importación'!$E$28*(IF('🧾 Tributos Aduana'!$F$6=0,0,'🧾 Factura Comercial'!I163/'🧾 Tributos Aduana'!$F$6))/'🧾 Factura Comercial'!G163)</f>
        <v>0</v>
      </c>
      <c r="AH159" s="279">
        <f>TABLA_BASE[[#This Row],[GASTOS IMP.
UNIT.(US$)]]*TABLA_BASE[[#This Row],[CANTIDAD
(unid.)]]</f>
        <v>0</v>
      </c>
      <c r="AI159" s="281">
        <f>TABLA_BASE[[#This Row],[GASTOS IMP.
UNIT.(US$)]]*'📋 Datos Generales'!$E$19</f>
        <v>0</v>
      </c>
      <c r="AJ159" s="281">
        <f>TABLA_BASE[[#This Row],[GASTOS IMP.
UNIT.(S/.)]]*TABLA_BASE[[#This Row],[CANTIDAD
(unid.)]]</f>
        <v>0</v>
      </c>
      <c r="AK159" s="280">
        <f>'🧮 Costos x Producto'!J163</f>
        <v>0</v>
      </c>
      <c r="AL159" s="278">
        <f>'🧮 Costos x Producto'!K163</f>
        <v>0</v>
      </c>
      <c r="AM159" s="278">
        <f>TABLA_BASE[[#This Row],[C/M UNIT.
(S/.)]]*TABLA_BASE[[#This Row],[CANTIDAD
(unid.)]]</f>
        <v>0</v>
      </c>
      <c r="AN159" s="279">
        <f>IF('🧾 Factura Comercial'!G163=0,0,'🧾 Tributos Aduana'!$F$17*(IF('🧾 Tributos Aduana'!$F$6=0,0,'🧾 Factura Comercial'!I163/'🧾 Tributos Aduana'!$F$6))/'🧾 Factura Comercial'!G163)</f>
        <v>0</v>
      </c>
      <c r="AO159" s="280">
        <f>IF('🧾 Factura Comercial'!G163=0,0,'🏦 Crédito Fiscal'!$C$16*(IF('🧾 Tributos Aduana'!$F$6=0,0,'🧾 Factura Comercial'!I163/'🧾 Tributos Aduana'!$F$6))/'🧾 Factura Comercial'!G163)</f>
        <v>0</v>
      </c>
      <c r="AP159" s="278">
        <f>TABLA_BASE[[#This Row],[CF UNIT.
✅RECUP.
(US$)]]*'📋 Datos Generales'!$E$19</f>
        <v>0</v>
      </c>
      <c r="AQ159" s="278">
        <f>TABLA_BASE[[#This Row],[CF UNIT.
✅RECUP.(S/.)]]*TABLA_BASE[[#This Row],[CANTIDAD
(unid.)]]</f>
        <v>0</v>
      </c>
      <c r="AR159" s="288">
        <f>'💰 Precio de Venta'!G164</f>
        <v>0.4</v>
      </c>
      <c r="AS159" s="278">
        <f>'💰 Precio de Venta'!H164</f>
        <v>0</v>
      </c>
      <c r="AT159" s="278">
        <f>TABLA_BASE[[#This Row],[VALOR VTA.
UNIT.(S/.)]]*TABLA_BASE[[#This Row],[CANTIDAD
(unid.)]]</f>
        <v>0</v>
      </c>
      <c r="AU159" s="281">
        <f>'💰 Precio de Venta'!I164</f>
        <v>0</v>
      </c>
      <c r="AV159" s="278">
        <f>'💰 Precio de Venta'!J164</f>
        <v>0</v>
      </c>
      <c r="AW159" s="278">
        <f>TABLA_BASE[[#This Row],[GANANCIA
UNIT.(S/.)]]*TABLA_BASE[[#This Row],[CANTIDAD
(unid.)]]</f>
        <v>0</v>
      </c>
      <c r="AX159" s="289">
        <f>'💰 Precio de Venta'!K164</f>
        <v>0</v>
      </c>
      <c r="AY159" s="278">
        <f>TABLA_BASE[[#This Row],[GANANCIA
UNIT.(S/.)]]*'🧾 Factura Comercial'!G163</f>
        <v>0</v>
      </c>
      <c r="AZ159" s="277">
        <f>IF(TABLA_BASE[[#This Row],[PRECIO VTA.
c/IGV(S/.)]]=0,0,TABLA_BASE[[#This Row],[GANANCIA
UNIT.(S/.)]]/TABLA_BASE[[#This Row],[PRECIO VTA.
c/IGV(S/.)]])</f>
        <v>0</v>
      </c>
      <c r="BA159" s="277">
        <f>IF(TABLA_BASE[[#This Row],[C/M UNIT.
(S/.)]]=0,0,TABLA_BASE[[#This Row],[GANANCIA
UNIT.(S/.)]]/TABLA_BASE[[#This Row],[C/M UNIT.
(S/.)]])</f>
        <v>0</v>
      </c>
      <c r="BB159" s="274" t="str">
        <f>IF(TABLA_BASE[[#This Row],[MARGEN
%]]&gt;=0.5,"🟢 ALTO",IF(TABLA_BASE[[#This Row],[MARGEN
%]]&gt;=0.3,"🟡 MEDIO","🔴 BAJO"))</f>
        <v>🟡 MEDIO</v>
      </c>
    </row>
    <row r="160" spans="1:54" ht="16.5" hidden="1" thickTop="1" thickBot="1" x14ac:dyDescent="0.3">
      <c r="A160" s="274">
        <f>'🧾 Factura Comercial'!E164</f>
        <v>0</v>
      </c>
      <c r="B160" s="274" t="str">
        <f>'🧾 Factura Comercial'!F164</f>
        <v>Unid.</v>
      </c>
      <c r="C160" s="275">
        <f>'🧾 Factura Comercial'!G164</f>
        <v>0</v>
      </c>
      <c r="D160" s="276">
        <f>'🧾 Factura Comercial'!H164</f>
        <v>0</v>
      </c>
      <c r="E160" s="276">
        <f>'🧾 Factura Comercial'!I164</f>
        <v>0</v>
      </c>
      <c r="F160" s="277">
        <f>IF('🧾 Tributos Aduana'!$F$6=0,0,'🧾 Factura Comercial'!I164/'🧾 Tributos Aduana'!$F$6)</f>
        <v>0</v>
      </c>
      <c r="G160" s="278">
        <f>'🧾 Factura Comercial'!H164*'📋 Datos Generales'!$E$19</f>
        <v>0</v>
      </c>
      <c r="H160" s="278">
        <f>TABLA_BASE[[#This Row],[FOB UNIT.
(S/.)]]*TABLA_BASE[[#This Row],[CANTIDAD
(unid.)]]</f>
        <v>0</v>
      </c>
      <c r="I160" s="280">
        <f>IF('🧾 Tributos Aduana'!$F$6=0,0,'🧾 Tributos Aduana'!$F$17*('🧾 Factura Comercial'!H164/'🧾 Tributos Aduana'!$F$6))</f>
        <v>0</v>
      </c>
      <c r="J160" s="280">
        <f>TABLA_BASE[[#This Row],[ADV UNIT.
(US$)
⚠️COSTO]]*TABLA_BASE[[#This Row],[CANTIDAD
(unid.)]]</f>
        <v>0</v>
      </c>
      <c r="K160" s="279">
        <f>IF('🧾 Tributos Aduana'!$F$6=0,0,'🧾 Tributos Aduana'!$F$18*('🧾 Factura Comercial'!H164/'🧾 Tributos Aduana'!$F$6))</f>
        <v>0</v>
      </c>
      <c r="L160" s="280">
        <f>TABLA_BASE[[#This Row],[IPM UNIT.
(US$)
✅CF]]*TABLA_BASE[[#This Row],[CANTIDAD
(unid.)]]</f>
        <v>0</v>
      </c>
      <c r="M160" s="279">
        <f>IF('🧾 Tributos Aduana'!$F$6=0,0,'🧾 Tributos Aduana'!$F$19*('🧾 Factura Comercial'!H164/'🧾 Tributos Aduana'!$F$6))</f>
        <v>0</v>
      </c>
      <c r="N160" s="280">
        <f>TABLA_BASE[[#This Row],[IGV UNIT.
(US$)
✅CF]]*TABLA_BASE[[#This Row],[CANTIDAD
(unid.)]]</f>
        <v>0</v>
      </c>
      <c r="O160" s="280">
        <f>IF('🧾 Tributos Aduana'!$F$6=0,0,'🧾 Tributos Aduana'!$F$23*('🧾 Factura Comercial'!H164/'🧾 Tributos Aduana'!$F$6))</f>
        <v>0</v>
      </c>
      <c r="P160" s="280">
        <f>TABLA_BASE[[#This Row],[PERCEP.
UNIT.(US$)
✅CF]]*TABLA_BASE[[#This Row],[CANTIDAD
(unid.)]]</f>
        <v>0</v>
      </c>
      <c r="Q160" s="279">
        <f>TABLA_BASE[[#This Row],[ADV UNIT.
(US$)
⚠️COSTO]]+TABLA_BASE[[#This Row],[IPM UNIT.
(US$)
✅CF]]+TABLA_BASE[[#This Row],[IGV UNIT.
(US$)
✅CF]]</f>
        <v>0</v>
      </c>
      <c r="R160" s="280">
        <f>TABLA_BASE[[#This Row],[DEUDA
ADUANERA
UNIT.]]*TABLA_BASE[[#This Row],[CANTIDAD
(unid.)]]</f>
        <v>0</v>
      </c>
      <c r="S160" s="278">
        <f>TABLA_BASE[[#This Row],[DEUDA
ADUANERA
UNIT.]]*'📋 Datos Generales'!$E$19</f>
        <v>0</v>
      </c>
      <c r="T160" s="278">
        <f>TABLA_BASE[[#This Row],[DEUDA
ADUANERA
TOTAL]]*'📋 Datos Generales'!$E$19</f>
        <v>0</v>
      </c>
      <c r="U160" s="281">
        <f>TABLA_BASE[[#This Row],[ADV UNIT.
(US$)
⚠️COSTO]]*'📋 Datos Generales'!$E$19</f>
        <v>0</v>
      </c>
      <c r="V160" s="281">
        <f>TABLA_BASE[[#This Row],[ADV UNIT.
(S/.)]]*TABLA_BASE[[#This Row],[CANTIDAD
(unid.)]]</f>
        <v>0</v>
      </c>
      <c r="W160" s="281">
        <f>TABLA_BASE[[#This Row],[IPM UNIT.
(US$)
✅CF]]*'📋 Datos Generales'!$E$19</f>
        <v>0</v>
      </c>
      <c r="X160" s="281">
        <f>TABLA_BASE[[#This Row],[IPM UNIT.
(S/.)]]*TABLA_BASE[[#This Row],[CANTIDAD
(unid.)]]</f>
        <v>0</v>
      </c>
      <c r="Y160" s="281">
        <f>TABLA_BASE[[#This Row],[IGV UNIT.
(US$)
✅CF]]*'📋 Datos Generales'!$E$19</f>
        <v>0</v>
      </c>
      <c r="Z160" s="281">
        <f>TABLA_BASE[[#This Row],[IGV UNIT.
(S/.)]]*TABLA_BASE[[#This Row],[CANTIDAD
(unid.)]]</f>
        <v>0</v>
      </c>
      <c r="AA160" s="281">
        <f>TABLA_BASE[[#This Row],[PERCEP.
UNIT.(US$)
✅CF]]*'📋 Datos Generales'!$E$19</f>
        <v>0</v>
      </c>
      <c r="AB160" s="281">
        <f>TABLA_BASE[[#This Row],[PERCEP.
UNIT.(S/.)]]*TABLA_BASE[[#This Row],[CANTIDAD
(unid.)]]</f>
        <v>0</v>
      </c>
      <c r="AC160" s="279">
        <f>TABLA_BASE[[#This Row],[ADV UNIT.
(US$)
⚠️COSTO]]+TABLA_BASE[[#This Row],[IPM UNIT.
(US$)
✅CF]]+TABLA_BASE[[#This Row],[IGV UNIT.
(US$)
✅CF]]+TABLA_BASE[[#This Row],[PERCEP.
UNIT.(US$)
✅CF]]</f>
        <v>0</v>
      </c>
      <c r="AD160" s="279">
        <f>TABLA_BASE[[#This Row],[TOTAL PAGO
SUNAT
UNIT.(US$)]]*TABLA_BASE[[#This Row],[CANTIDAD
(unid.)]]</f>
        <v>0</v>
      </c>
      <c r="AE160" s="281">
        <f>TABLA_BASE[[#This Row],[TOTAL PAGO
SUNAT
UNIT.(US$)]]*'📋 Datos Generales'!$E$19</f>
        <v>0</v>
      </c>
      <c r="AF160" s="281">
        <f>TABLA_BASE[[#This Row],[TOTAL TRIB.
UNIT.(S/.)]]*TABLA_BASE[[#This Row],[CANTIDAD
(unid.)]]</f>
        <v>0</v>
      </c>
      <c r="AG160" s="279">
        <f>IF('🧾 Factura Comercial'!G164=0,0,'📦 Gastos Importación'!$E$28*(IF('🧾 Tributos Aduana'!$F$6=0,0,'🧾 Factura Comercial'!I164/'🧾 Tributos Aduana'!$F$6))/'🧾 Factura Comercial'!G164)</f>
        <v>0</v>
      </c>
      <c r="AH160" s="279">
        <f>TABLA_BASE[[#This Row],[GASTOS IMP.
UNIT.(US$)]]*TABLA_BASE[[#This Row],[CANTIDAD
(unid.)]]</f>
        <v>0</v>
      </c>
      <c r="AI160" s="281">
        <f>TABLA_BASE[[#This Row],[GASTOS IMP.
UNIT.(US$)]]*'📋 Datos Generales'!$E$19</f>
        <v>0</v>
      </c>
      <c r="AJ160" s="281">
        <f>TABLA_BASE[[#This Row],[GASTOS IMP.
UNIT.(S/.)]]*TABLA_BASE[[#This Row],[CANTIDAD
(unid.)]]</f>
        <v>0</v>
      </c>
      <c r="AK160" s="280">
        <f>'🧮 Costos x Producto'!J164</f>
        <v>0</v>
      </c>
      <c r="AL160" s="278">
        <f>'🧮 Costos x Producto'!K164</f>
        <v>0</v>
      </c>
      <c r="AM160" s="278">
        <f>TABLA_BASE[[#This Row],[C/M UNIT.
(S/.)]]*TABLA_BASE[[#This Row],[CANTIDAD
(unid.)]]</f>
        <v>0</v>
      </c>
      <c r="AN160" s="279">
        <f>IF('🧾 Factura Comercial'!G164=0,0,'🧾 Tributos Aduana'!$F$17*(IF('🧾 Tributos Aduana'!$F$6=0,0,'🧾 Factura Comercial'!I164/'🧾 Tributos Aduana'!$F$6))/'🧾 Factura Comercial'!G164)</f>
        <v>0</v>
      </c>
      <c r="AO160" s="280">
        <f>IF('🧾 Factura Comercial'!G164=0,0,'🏦 Crédito Fiscal'!$C$16*(IF('🧾 Tributos Aduana'!$F$6=0,0,'🧾 Factura Comercial'!I164/'🧾 Tributos Aduana'!$F$6))/'🧾 Factura Comercial'!G164)</f>
        <v>0</v>
      </c>
      <c r="AP160" s="278">
        <f>TABLA_BASE[[#This Row],[CF UNIT.
✅RECUP.
(US$)]]*'📋 Datos Generales'!$E$19</f>
        <v>0</v>
      </c>
      <c r="AQ160" s="278">
        <f>TABLA_BASE[[#This Row],[CF UNIT.
✅RECUP.(S/.)]]*TABLA_BASE[[#This Row],[CANTIDAD
(unid.)]]</f>
        <v>0</v>
      </c>
      <c r="AR160" s="288">
        <f>'💰 Precio de Venta'!G165</f>
        <v>0.4</v>
      </c>
      <c r="AS160" s="278">
        <f>'💰 Precio de Venta'!H165</f>
        <v>0</v>
      </c>
      <c r="AT160" s="278">
        <f>TABLA_BASE[[#This Row],[VALOR VTA.
UNIT.(S/.)]]*TABLA_BASE[[#This Row],[CANTIDAD
(unid.)]]</f>
        <v>0</v>
      </c>
      <c r="AU160" s="281">
        <f>'💰 Precio de Venta'!I165</f>
        <v>0</v>
      </c>
      <c r="AV160" s="278">
        <f>'💰 Precio de Venta'!J165</f>
        <v>0</v>
      </c>
      <c r="AW160" s="278">
        <f>TABLA_BASE[[#This Row],[GANANCIA
UNIT.(S/.)]]*TABLA_BASE[[#This Row],[CANTIDAD
(unid.)]]</f>
        <v>0</v>
      </c>
      <c r="AX160" s="289">
        <f>'💰 Precio de Venta'!K165</f>
        <v>0</v>
      </c>
      <c r="AY160" s="278">
        <f>TABLA_BASE[[#This Row],[GANANCIA
UNIT.(S/.)]]*'🧾 Factura Comercial'!G164</f>
        <v>0</v>
      </c>
      <c r="AZ160" s="277">
        <f>IF(TABLA_BASE[[#This Row],[PRECIO VTA.
c/IGV(S/.)]]=0,0,TABLA_BASE[[#This Row],[GANANCIA
UNIT.(S/.)]]/TABLA_BASE[[#This Row],[PRECIO VTA.
c/IGV(S/.)]])</f>
        <v>0</v>
      </c>
      <c r="BA160" s="277">
        <f>IF(TABLA_BASE[[#This Row],[C/M UNIT.
(S/.)]]=0,0,TABLA_BASE[[#This Row],[GANANCIA
UNIT.(S/.)]]/TABLA_BASE[[#This Row],[C/M UNIT.
(S/.)]])</f>
        <v>0</v>
      </c>
      <c r="BB160" s="274" t="str">
        <f>IF(TABLA_BASE[[#This Row],[MARGEN
%]]&gt;=0.5,"🟢 ALTO",IF(TABLA_BASE[[#This Row],[MARGEN
%]]&gt;=0.3,"🟡 MEDIO","🔴 BAJO"))</f>
        <v>🟡 MEDIO</v>
      </c>
    </row>
    <row r="161" spans="1:54" ht="16.5" hidden="1" thickTop="1" thickBot="1" x14ac:dyDescent="0.3">
      <c r="A161" s="274">
        <f>'🧾 Factura Comercial'!E165</f>
        <v>0</v>
      </c>
      <c r="B161" s="274" t="str">
        <f>'🧾 Factura Comercial'!F165</f>
        <v>Unid.</v>
      </c>
      <c r="C161" s="275">
        <f>'🧾 Factura Comercial'!G165</f>
        <v>0</v>
      </c>
      <c r="D161" s="276">
        <f>'🧾 Factura Comercial'!H165</f>
        <v>0</v>
      </c>
      <c r="E161" s="276">
        <f>'🧾 Factura Comercial'!I165</f>
        <v>0</v>
      </c>
      <c r="F161" s="277">
        <f>IF('🧾 Tributos Aduana'!$F$6=0,0,'🧾 Factura Comercial'!I165/'🧾 Tributos Aduana'!$F$6)</f>
        <v>0</v>
      </c>
      <c r="G161" s="278">
        <f>'🧾 Factura Comercial'!H165*'📋 Datos Generales'!$E$19</f>
        <v>0</v>
      </c>
      <c r="H161" s="278">
        <f>TABLA_BASE[[#This Row],[FOB UNIT.
(S/.)]]*TABLA_BASE[[#This Row],[CANTIDAD
(unid.)]]</f>
        <v>0</v>
      </c>
      <c r="I161" s="280">
        <f>IF('🧾 Tributos Aduana'!$F$6=0,0,'🧾 Tributos Aduana'!$F$17*('🧾 Factura Comercial'!H165/'🧾 Tributos Aduana'!$F$6))</f>
        <v>0</v>
      </c>
      <c r="J161" s="280">
        <f>TABLA_BASE[[#This Row],[ADV UNIT.
(US$)
⚠️COSTO]]*TABLA_BASE[[#This Row],[CANTIDAD
(unid.)]]</f>
        <v>0</v>
      </c>
      <c r="K161" s="279">
        <f>IF('🧾 Tributos Aduana'!$F$6=0,0,'🧾 Tributos Aduana'!$F$18*('🧾 Factura Comercial'!H165/'🧾 Tributos Aduana'!$F$6))</f>
        <v>0</v>
      </c>
      <c r="L161" s="280">
        <f>TABLA_BASE[[#This Row],[IPM UNIT.
(US$)
✅CF]]*TABLA_BASE[[#This Row],[CANTIDAD
(unid.)]]</f>
        <v>0</v>
      </c>
      <c r="M161" s="279">
        <f>IF('🧾 Tributos Aduana'!$F$6=0,0,'🧾 Tributos Aduana'!$F$19*('🧾 Factura Comercial'!H165/'🧾 Tributos Aduana'!$F$6))</f>
        <v>0</v>
      </c>
      <c r="N161" s="280">
        <f>TABLA_BASE[[#This Row],[IGV UNIT.
(US$)
✅CF]]*TABLA_BASE[[#This Row],[CANTIDAD
(unid.)]]</f>
        <v>0</v>
      </c>
      <c r="O161" s="280">
        <f>IF('🧾 Tributos Aduana'!$F$6=0,0,'🧾 Tributos Aduana'!$F$23*('🧾 Factura Comercial'!H165/'🧾 Tributos Aduana'!$F$6))</f>
        <v>0</v>
      </c>
      <c r="P161" s="280">
        <f>TABLA_BASE[[#This Row],[PERCEP.
UNIT.(US$)
✅CF]]*TABLA_BASE[[#This Row],[CANTIDAD
(unid.)]]</f>
        <v>0</v>
      </c>
      <c r="Q161" s="279">
        <f>TABLA_BASE[[#This Row],[ADV UNIT.
(US$)
⚠️COSTO]]+TABLA_BASE[[#This Row],[IPM UNIT.
(US$)
✅CF]]+TABLA_BASE[[#This Row],[IGV UNIT.
(US$)
✅CF]]</f>
        <v>0</v>
      </c>
      <c r="R161" s="280">
        <f>TABLA_BASE[[#This Row],[DEUDA
ADUANERA
UNIT.]]*TABLA_BASE[[#This Row],[CANTIDAD
(unid.)]]</f>
        <v>0</v>
      </c>
      <c r="S161" s="278">
        <f>TABLA_BASE[[#This Row],[DEUDA
ADUANERA
UNIT.]]*'📋 Datos Generales'!$E$19</f>
        <v>0</v>
      </c>
      <c r="T161" s="278">
        <f>TABLA_BASE[[#This Row],[DEUDA
ADUANERA
TOTAL]]*'📋 Datos Generales'!$E$19</f>
        <v>0</v>
      </c>
      <c r="U161" s="281">
        <f>TABLA_BASE[[#This Row],[ADV UNIT.
(US$)
⚠️COSTO]]*'📋 Datos Generales'!$E$19</f>
        <v>0</v>
      </c>
      <c r="V161" s="281">
        <f>TABLA_BASE[[#This Row],[ADV UNIT.
(S/.)]]*TABLA_BASE[[#This Row],[CANTIDAD
(unid.)]]</f>
        <v>0</v>
      </c>
      <c r="W161" s="281">
        <f>TABLA_BASE[[#This Row],[IPM UNIT.
(US$)
✅CF]]*'📋 Datos Generales'!$E$19</f>
        <v>0</v>
      </c>
      <c r="X161" s="281">
        <f>TABLA_BASE[[#This Row],[IPM UNIT.
(S/.)]]*TABLA_BASE[[#This Row],[CANTIDAD
(unid.)]]</f>
        <v>0</v>
      </c>
      <c r="Y161" s="281">
        <f>TABLA_BASE[[#This Row],[IGV UNIT.
(US$)
✅CF]]*'📋 Datos Generales'!$E$19</f>
        <v>0</v>
      </c>
      <c r="Z161" s="281">
        <f>TABLA_BASE[[#This Row],[IGV UNIT.
(S/.)]]*TABLA_BASE[[#This Row],[CANTIDAD
(unid.)]]</f>
        <v>0</v>
      </c>
      <c r="AA161" s="281">
        <f>TABLA_BASE[[#This Row],[PERCEP.
UNIT.(US$)
✅CF]]*'📋 Datos Generales'!$E$19</f>
        <v>0</v>
      </c>
      <c r="AB161" s="281">
        <f>TABLA_BASE[[#This Row],[PERCEP.
UNIT.(S/.)]]*TABLA_BASE[[#This Row],[CANTIDAD
(unid.)]]</f>
        <v>0</v>
      </c>
      <c r="AC161" s="279">
        <f>TABLA_BASE[[#This Row],[ADV UNIT.
(US$)
⚠️COSTO]]+TABLA_BASE[[#This Row],[IPM UNIT.
(US$)
✅CF]]+TABLA_BASE[[#This Row],[IGV UNIT.
(US$)
✅CF]]+TABLA_BASE[[#This Row],[PERCEP.
UNIT.(US$)
✅CF]]</f>
        <v>0</v>
      </c>
      <c r="AD161" s="279">
        <f>TABLA_BASE[[#This Row],[TOTAL PAGO
SUNAT
UNIT.(US$)]]*TABLA_BASE[[#This Row],[CANTIDAD
(unid.)]]</f>
        <v>0</v>
      </c>
      <c r="AE161" s="281">
        <f>TABLA_BASE[[#This Row],[TOTAL PAGO
SUNAT
UNIT.(US$)]]*'📋 Datos Generales'!$E$19</f>
        <v>0</v>
      </c>
      <c r="AF161" s="281">
        <f>TABLA_BASE[[#This Row],[TOTAL TRIB.
UNIT.(S/.)]]*TABLA_BASE[[#This Row],[CANTIDAD
(unid.)]]</f>
        <v>0</v>
      </c>
      <c r="AG161" s="279">
        <f>IF('🧾 Factura Comercial'!G165=0,0,'📦 Gastos Importación'!$E$28*(IF('🧾 Tributos Aduana'!$F$6=0,0,'🧾 Factura Comercial'!I165/'🧾 Tributos Aduana'!$F$6))/'🧾 Factura Comercial'!G165)</f>
        <v>0</v>
      </c>
      <c r="AH161" s="279">
        <f>TABLA_BASE[[#This Row],[GASTOS IMP.
UNIT.(US$)]]*TABLA_BASE[[#This Row],[CANTIDAD
(unid.)]]</f>
        <v>0</v>
      </c>
      <c r="AI161" s="281">
        <f>TABLA_BASE[[#This Row],[GASTOS IMP.
UNIT.(US$)]]*'📋 Datos Generales'!$E$19</f>
        <v>0</v>
      </c>
      <c r="AJ161" s="281">
        <f>TABLA_BASE[[#This Row],[GASTOS IMP.
UNIT.(S/.)]]*TABLA_BASE[[#This Row],[CANTIDAD
(unid.)]]</f>
        <v>0</v>
      </c>
      <c r="AK161" s="280">
        <f>'🧮 Costos x Producto'!J165</f>
        <v>0</v>
      </c>
      <c r="AL161" s="278">
        <f>'🧮 Costos x Producto'!K165</f>
        <v>0</v>
      </c>
      <c r="AM161" s="278">
        <f>TABLA_BASE[[#This Row],[C/M UNIT.
(S/.)]]*TABLA_BASE[[#This Row],[CANTIDAD
(unid.)]]</f>
        <v>0</v>
      </c>
      <c r="AN161" s="279">
        <f>IF('🧾 Factura Comercial'!G165=0,0,'🧾 Tributos Aduana'!$F$17*(IF('🧾 Tributos Aduana'!$F$6=0,0,'🧾 Factura Comercial'!I165/'🧾 Tributos Aduana'!$F$6))/'🧾 Factura Comercial'!G165)</f>
        <v>0</v>
      </c>
      <c r="AO161" s="280">
        <f>IF('🧾 Factura Comercial'!G165=0,0,'🏦 Crédito Fiscal'!$C$16*(IF('🧾 Tributos Aduana'!$F$6=0,0,'🧾 Factura Comercial'!I165/'🧾 Tributos Aduana'!$F$6))/'🧾 Factura Comercial'!G165)</f>
        <v>0</v>
      </c>
      <c r="AP161" s="278">
        <f>TABLA_BASE[[#This Row],[CF UNIT.
✅RECUP.
(US$)]]*'📋 Datos Generales'!$E$19</f>
        <v>0</v>
      </c>
      <c r="AQ161" s="278">
        <f>TABLA_BASE[[#This Row],[CF UNIT.
✅RECUP.(S/.)]]*TABLA_BASE[[#This Row],[CANTIDAD
(unid.)]]</f>
        <v>0</v>
      </c>
      <c r="AR161" s="288">
        <f>'💰 Precio de Venta'!G166</f>
        <v>0.4</v>
      </c>
      <c r="AS161" s="278">
        <f>'💰 Precio de Venta'!H166</f>
        <v>0</v>
      </c>
      <c r="AT161" s="278">
        <f>TABLA_BASE[[#This Row],[VALOR VTA.
UNIT.(S/.)]]*TABLA_BASE[[#This Row],[CANTIDAD
(unid.)]]</f>
        <v>0</v>
      </c>
      <c r="AU161" s="281">
        <f>'💰 Precio de Venta'!I166</f>
        <v>0</v>
      </c>
      <c r="AV161" s="278">
        <f>'💰 Precio de Venta'!J166</f>
        <v>0</v>
      </c>
      <c r="AW161" s="278">
        <f>TABLA_BASE[[#This Row],[GANANCIA
UNIT.(S/.)]]*TABLA_BASE[[#This Row],[CANTIDAD
(unid.)]]</f>
        <v>0</v>
      </c>
      <c r="AX161" s="289">
        <f>'💰 Precio de Venta'!K166</f>
        <v>0</v>
      </c>
      <c r="AY161" s="278">
        <f>TABLA_BASE[[#This Row],[GANANCIA
UNIT.(S/.)]]*'🧾 Factura Comercial'!G165</f>
        <v>0</v>
      </c>
      <c r="AZ161" s="277">
        <f>IF(TABLA_BASE[[#This Row],[PRECIO VTA.
c/IGV(S/.)]]=0,0,TABLA_BASE[[#This Row],[GANANCIA
UNIT.(S/.)]]/TABLA_BASE[[#This Row],[PRECIO VTA.
c/IGV(S/.)]])</f>
        <v>0</v>
      </c>
      <c r="BA161" s="277">
        <f>IF(TABLA_BASE[[#This Row],[C/M UNIT.
(S/.)]]=0,0,TABLA_BASE[[#This Row],[GANANCIA
UNIT.(S/.)]]/TABLA_BASE[[#This Row],[C/M UNIT.
(S/.)]])</f>
        <v>0</v>
      </c>
      <c r="BB161" s="274" t="str">
        <f>IF(TABLA_BASE[[#This Row],[MARGEN
%]]&gt;=0.5,"🟢 ALTO",IF(TABLA_BASE[[#This Row],[MARGEN
%]]&gt;=0.3,"🟡 MEDIO","🔴 BAJO"))</f>
        <v>🟡 MEDIO</v>
      </c>
    </row>
    <row r="162" spans="1:54" ht="16.5" hidden="1" thickTop="1" thickBot="1" x14ac:dyDescent="0.3">
      <c r="A162" s="274">
        <f>'🧾 Factura Comercial'!E166</f>
        <v>0</v>
      </c>
      <c r="B162" s="274" t="str">
        <f>'🧾 Factura Comercial'!F166</f>
        <v>Unid.</v>
      </c>
      <c r="C162" s="275">
        <f>'🧾 Factura Comercial'!G166</f>
        <v>0</v>
      </c>
      <c r="D162" s="276">
        <f>'🧾 Factura Comercial'!H166</f>
        <v>0</v>
      </c>
      <c r="E162" s="276">
        <f>'🧾 Factura Comercial'!I166</f>
        <v>0</v>
      </c>
      <c r="F162" s="277">
        <f>IF('🧾 Tributos Aduana'!$F$6=0,0,'🧾 Factura Comercial'!I166/'🧾 Tributos Aduana'!$F$6)</f>
        <v>0</v>
      </c>
      <c r="G162" s="278">
        <f>'🧾 Factura Comercial'!H166*'📋 Datos Generales'!$E$19</f>
        <v>0</v>
      </c>
      <c r="H162" s="278">
        <f>TABLA_BASE[[#This Row],[FOB UNIT.
(S/.)]]*TABLA_BASE[[#This Row],[CANTIDAD
(unid.)]]</f>
        <v>0</v>
      </c>
      <c r="I162" s="280">
        <f>IF('🧾 Tributos Aduana'!$F$6=0,0,'🧾 Tributos Aduana'!$F$17*('🧾 Factura Comercial'!H166/'🧾 Tributos Aduana'!$F$6))</f>
        <v>0</v>
      </c>
      <c r="J162" s="280">
        <f>TABLA_BASE[[#This Row],[ADV UNIT.
(US$)
⚠️COSTO]]*TABLA_BASE[[#This Row],[CANTIDAD
(unid.)]]</f>
        <v>0</v>
      </c>
      <c r="K162" s="279">
        <f>IF('🧾 Tributos Aduana'!$F$6=0,0,'🧾 Tributos Aduana'!$F$18*('🧾 Factura Comercial'!H166/'🧾 Tributos Aduana'!$F$6))</f>
        <v>0</v>
      </c>
      <c r="L162" s="280">
        <f>TABLA_BASE[[#This Row],[IPM UNIT.
(US$)
✅CF]]*TABLA_BASE[[#This Row],[CANTIDAD
(unid.)]]</f>
        <v>0</v>
      </c>
      <c r="M162" s="279">
        <f>IF('🧾 Tributos Aduana'!$F$6=0,0,'🧾 Tributos Aduana'!$F$19*('🧾 Factura Comercial'!H166/'🧾 Tributos Aduana'!$F$6))</f>
        <v>0</v>
      </c>
      <c r="N162" s="280">
        <f>TABLA_BASE[[#This Row],[IGV UNIT.
(US$)
✅CF]]*TABLA_BASE[[#This Row],[CANTIDAD
(unid.)]]</f>
        <v>0</v>
      </c>
      <c r="O162" s="280">
        <f>IF('🧾 Tributos Aduana'!$F$6=0,0,'🧾 Tributos Aduana'!$F$23*('🧾 Factura Comercial'!H166/'🧾 Tributos Aduana'!$F$6))</f>
        <v>0</v>
      </c>
      <c r="P162" s="280">
        <f>TABLA_BASE[[#This Row],[PERCEP.
UNIT.(US$)
✅CF]]*TABLA_BASE[[#This Row],[CANTIDAD
(unid.)]]</f>
        <v>0</v>
      </c>
      <c r="Q162" s="279">
        <f>TABLA_BASE[[#This Row],[ADV UNIT.
(US$)
⚠️COSTO]]+TABLA_BASE[[#This Row],[IPM UNIT.
(US$)
✅CF]]+TABLA_BASE[[#This Row],[IGV UNIT.
(US$)
✅CF]]</f>
        <v>0</v>
      </c>
      <c r="R162" s="280">
        <f>TABLA_BASE[[#This Row],[DEUDA
ADUANERA
UNIT.]]*TABLA_BASE[[#This Row],[CANTIDAD
(unid.)]]</f>
        <v>0</v>
      </c>
      <c r="S162" s="278">
        <f>TABLA_BASE[[#This Row],[DEUDA
ADUANERA
UNIT.]]*'📋 Datos Generales'!$E$19</f>
        <v>0</v>
      </c>
      <c r="T162" s="278">
        <f>TABLA_BASE[[#This Row],[DEUDA
ADUANERA
TOTAL]]*'📋 Datos Generales'!$E$19</f>
        <v>0</v>
      </c>
      <c r="U162" s="281">
        <f>TABLA_BASE[[#This Row],[ADV UNIT.
(US$)
⚠️COSTO]]*'📋 Datos Generales'!$E$19</f>
        <v>0</v>
      </c>
      <c r="V162" s="281">
        <f>TABLA_BASE[[#This Row],[ADV UNIT.
(S/.)]]*TABLA_BASE[[#This Row],[CANTIDAD
(unid.)]]</f>
        <v>0</v>
      </c>
      <c r="W162" s="281">
        <f>TABLA_BASE[[#This Row],[IPM UNIT.
(US$)
✅CF]]*'📋 Datos Generales'!$E$19</f>
        <v>0</v>
      </c>
      <c r="X162" s="281">
        <f>TABLA_BASE[[#This Row],[IPM UNIT.
(S/.)]]*TABLA_BASE[[#This Row],[CANTIDAD
(unid.)]]</f>
        <v>0</v>
      </c>
      <c r="Y162" s="281">
        <f>TABLA_BASE[[#This Row],[IGV UNIT.
(US$)
✅CF]]*'📋 Datos Generales'!$E$19</f>
        <v>0</v>
      </c>
      <c r="Z162" s="281">
        <f>TABLA_BASE[[#This Row],[IGV UNIT.
(S/.)]]*TABLA_BASE[[#This Row],[CANTIDAD
(unid.)]]</f>
        <v>0</v>
      </c>
      <c r="AA162" s="281">
        <f>TABLA_BASE[[#This Row],[PERCEP.
UNIT.(US$)
✅CF]]*'📋 Datos Generales'!$E$19</f>
        <v>0</v>
      </c>
      <c r="AB162" s="281">
        <f>TABLA_BASE[[#This Row],[PERCEP.
UNIT.(S/.)]]*TABLA_BASE[[#This Row],[CANTIDAD
(unid.)]]</f>
        <v>0</v>
      </c>
      <c r="AC162" s="279">
        <f>TABLA_BASE[[#This Row],[ADV UNIT.
(US$)
⚠️COSTO]]+TABLA_BASE[[#This Row],[IPM UNIT.
(US$)
✅CF]]+TABLA_BASE[[#This Row],[IGV UNIT.
(US$)
✅CF]]+TABLA_BASE[[#This Row],[PERCEP.
UNIT.(US$)
✅CF]]</f>
        <v>0</v>
      </c>
      <c r="AD162" s="279">
        <f>TABLA_BASE[[#This Row],[TOTAL PAGO
SUNAT
UNIT.(US$)]]*TABLA_BASE[[#This Row],[CANTIDAD
(unid.)]]</f>
        <v>0</v>
      </c>
      <c r="AE162" s="281">
        <f>TABLA_BASE[[#This Row],[TOTAL PAGO
SUNAT
UNIT.(US$)]]*'📋 Datos Generales'!$E$19</f>
        <v>0</v>
      </c>
      <c r="AF162" s="281">
        <f>TABLA_BASE[[#This Row],[TOTAL TRIB.
UNIT.(S/.)]]*TABLA_BASE[[#This Row],[CANTIDAD
(unid.)]]</f>
        <v>0</v>
      </c>
      <c r="AG162" s="279">
        <f>IF('🧾 Factura Comercial'!G166=0,0,'📦 Gastos Importación'!$E$28*(IF('🧾 Tributos Aduana'!$F$6=0,0,'🧾 Factura Comercial'!I166/'🧾 Tributos Aduana'!$F$6))/'🧾 Factura Comercial'!G166)</f>
        <v>0</v>
      </c>
      <c r="AH162" s="279">
        <f>TABLA_BASE[[#This Row],[GASTOS IMP.
UNIT.(US$)]]*TABLA_BASE[[#This Row],[CANTIDAD
(unid.)]]</f>
        <v>0</v>
      </c>
      <c r="AI162" s="281">
        <f>TABLA_BASE[[#This Row],[GASTOS IMP.
UNIT.(US$)]]*'📋 Datos Generales'!$E$19</f>
        <v>0</v>
      </c>
      <c r="AJ162" s="281">
        <f>TABLA_BASE[[#This Row],[GASTOS IMP.
UNIT.(S/.)]]*TABLA_BASE[[#This Row],[CANTIDAD
(unid.)]]</f>
        <v>0</v>
      </c>
      <c r="AK162" s="280">
        <f>'🧮 Costos x Producto'!J166</f>
        <v>0</v>
      </c>
      <c r="AL162" s="278">
        <f>'🧮 Costos x Producto'!K166</f>
        <v>0</v>
      </c>
      <c r="AM162" s="278">
        <f>TABLA_BASE[[#This Row],[C/M UNIT.
(S/.)]]*TABLA_BASE[[#This Row],[CANTIDAD
(unid.)]]</f>
        <v>0</v>
      </c>
      <c r="AN162" s="279">
        <f>IF('🧾 Factura Comercial'!G166=0,0,'🧾 Tributos Aduana'!$F$17*(IF('🧾 Tributos Aduana'!$F$6=0,0,'🧾 Factura Comercial'!I166/'🧾 Tributos Aduana'!$F$6))/'🧾 Factura Comercial'!G166)</f>
        <v>0</v>
      </c>
      <c r="AO162" s="280">
        <f>IF('🧾 Factura Comercial'!G166=0,0,'🏦 Crédito Fiscal'!$C$16*(IF('🧾 Tributos Aduana'!$F$6=0,0,'🧾 Factura Comercial'!I166/'🧾 Tributos Aduana'!$F$6))/'🧾 Factura Comercial'!G166)</f>
        <v>0</v>
      </c>
      <c r="AP162" s="278">
        <f>TABLA_BASE[[#This Row],[CF UNIT.
✅RECUP.
(US$)]]*'📋 Datos Generales'!$E$19</f>
        <v>0</v>
      </c>
      <c r="AQ162" s="278">
        <f>TABLA_BASE[[#This Row],[CF UNIT.
✅RECUP.(S/.)]]*TABLA_BASE[[#This Row],[CANTIDAD
(unid.)]]</f>
        <v>0</v>
      </c>
      <c r="AR162" s="288">
        <f>'💰 Precio de Venta'!G167</f>
        <v>0.4</v>
      </c>
      <c r="AS162" s="278">
        <f>'💰 Precio de Venta'!H167</f>
        <v>0</v>
      </c>
      <c r="AT162" s="278">
        <f>TABLA_BASE[[#This Row],[VALOR VTA.
UNIT.(S/.)]]*TABLA_BASE[[#This Row],[CANTIDAD
(unid.)]]</f>
        <v>0</v>
      </c>
      <c r="AU162" s="281">
        <f>'💰 Precio de Venta'!I167</f>
        <v>0</v>
      </c>
      <c r="AV162" s="278">
        <f>'💰 Precio de Venta'!J167</f>
        <v>0</v>
      </c>
      <c r="AW162" s="278">
        <f>TABLA_BASE[[#This Row],[GANANCIA
UNIT.(S/.)]]*TABLA_BASE[[#This Row],[CANTIDAD
(unid.)]]</f>
        <v>0</v>
      </c>
      <c r="AX162" s="289">
        <f>'💰 Precio de Venta'!K167</f>
        <v>0</v>
      </c>
      <c r="AY162" s="278">
        <f>TABLA_BASE[[#This Row],[GANANCIA
UNIT.(S/.)]]*'🧾 Factura Comercial'!G166</f>
        <v>0</v>
      </c>
      <c r="AZ162" s="277">
        <f>IF(TABLA_BASE[[#This Row],[PRECIO VTA.
c/IGV(S/.)]]=0,0,TABLA_BASE[[#This Row],[GANANCIA
UNIT.(S/.)]]/TABLA_BASE[[#This Row],[PRECIO VTA.
c/IGV(S/.)]])</f>
        <v>0</v>
      </c>
      <c r="BA162" s="277">
        <f>IF(TABLA_BASE[[#This Row],[C/M UNIT.
(S/.)]]=0,0,TABLA_BASE[[#This Row],[GANANCIA
UNIT.(S/.)]]/TABLA_BASE[[#This Row],[C/M UNIT.
(S/.)]])</f>
        <v>0</v>
      </c>
      <c r="BB162" s="274" t="str">
        <f>IF(TABLA_BASE[[#This Row],[MARGEN
%]]&gt;=0.5,"🟢 ALTO",IF(TABLA_BASE[[#This Row],[MARGEN
%]]&gt;=0.3,"🟡 MEDIO","🔴 BAJO"))</f>
        <v>🟡 MEDIO</v>
      </c>
    </row>
    <row r="163" spans="1:54" ht="16.5" hidden="1" thickTop="1" thickBot="1" x14ac:dyDescent="0.3">
      <c r="A163" s="274">
        <f>'🧾 Factura Comercial'!E167</f>
        <v>0</v>
      </c>
      <c r="B163" s="274" t="str">
        <f>'🧾 Factura Comercial'!F167</f>
        <v>Unid.</v>
      </c>
      <c r="C163" s="275">
        <f>'🧾 Factura Comercial'!G167</f>
        <v>0</v>
      </c>
      <c r="D163" s="276">
        <f>'🧾 Factura Comercial'!H167</f>
        <v>0</v>
      </c>
      <c r="E163" s="276">
        <f>'🧾 Factura Comercial'!I167</f>
        <v>0</v>
      </c>
      <c r="F163" s="277">
        <f>IF('🧾 Tributos Aduana'!$F$6=0,0,'🧾 Factura Comercial'!I167/'🧾 Tributos Aduana'!$F$6)</f>
        <v>0</v>
      </c>
      <c r="G163" s="278">
        <f>'🧾 Factura Comercial'!H167*'📋 Datos Generales'!$E$19</f>
        <v>0</v>
      </c>
      <c r="H163" s="278">
        <f>TABLA_BASE[[#This Row],[FOB UNIT.
(S/.)]]*TABLA_BASE[[#This Row],[CANTIDAD
(unid.)]]</f>
        <v>0</v>
      </c>
      <c r="I163" s="280">
        <f>IF('🧾 Tributos Aduana'!$F$6=0,0,'🧾 Tributos Aduana'!$F$17*('🧾 Factura Comercial'!H167/'🧾 Tributos Aduana'!$F$6))</f>
        <v>0</v>
      </c>
      <c r="J163" s="280">
        <f>TABLA_BASE[[#This Row],[ADV UNIT.
(US$)
⚠️COSTO]]*TABLA_BASE[[#This Row],[CANTIDAD
(unid.)]]</f>
        <v>0</v>
      </c>
      <c r="K163" s="279">
        <f>IF('🧾 Tributos Aduana'!$F$6=0,0,'🧾 Tributos Aduana'!$F$18*('🧾 Factura Comercial'!H167/'🧾 Tributos Aduana'!$F$6))</f>
        <v>0</v>
      </c>
      <c r="L163" s="280">
        <f>TABLA_BASE[[#This Row],[IPM UNIT.
(US$)
✅CF]]*TABLA_BASE[[#This Row],[CANTIDAD
(unid.)]]</f>
        <v>0</v>
      </c>
      <c r="M163" s="279">
        <f>IF('🧾 Tributos Aduana'!$F$6=0,0,'🧾 Tributos Aduana'!$F$19*('🧾 Factura Comercial'!H167/'🧾 Tributos Aduana'!$F$6))</f>
        <v>0</v>
      </c>
      <c r="N163" s="280">
        <f>TABLA_BASE[[#This Row],[IGV UNIT.
(US$)
✅CF]]*TABLA_BASE[[#This Row],[CANTIDAD
(unid.)]]</f>
        <v>0</v>
      </c>
      <c r="O163" s="280">
        <f>IF('🧾 Tributos Aduana'!$F$6=0,0,'🧾 Tributos Aduana'!$F$23*('🧾 Factura Comercial'!H167/'🧾 Tributos Aduana'!$F$6))</f>
        <v>0</v>
      </c>
      <c r="P163" s="280">
        <f>TABLA_BASE[[#This Row],[PERCEP.
UNIT.(US$)
✅CF]]*TABLA_BASE[[#This Row],[CANTIDAD
(unid.)]]</f>
        <v>0</v>
      </c>
      <c r="Q163" s="279">
        <f>TABLA_BASE[[#This Row],[ADV UNIT.
(US$)
⚠️COSTO]]+TABLA_BASE[[#This Row],[IPM UNIT.
(US$)
✅CF]]+TABLA_BASE[[#This Row],[IGV UNIT.
(US$)
✅CF]]</f>
        <v>0</v>
      </c>
      <c r="R163" s="280">
        <f>TABLA_BASE[[#This Row],[DEUDA
ADUANERA
UNIT.]]*TABLA_BASE[[#This Row],[CANTIDAD
(unid.)]]</f>
        <v>0</v>
      </c>
      <c r="S163" s="278">
        <f>TABLA_BASE[[#This Row],[DEUDA
ADUANERA
UNIT.]]*'📋 Datos Generales'!$E$19</f>
        <v>0</v>
      </c>
      <c r="T163" s="278">
        <f>TABLA_BASE[[#This Row],[DEUDA
ADUANERA
TOTAL]]*'📋 Datos Generales'!$E$19</f>
        <v>0</v>
      </c>
      <c r="U163" s="281">
        <f>TABLA_BASE[[#This Row],[ADV UNIT.
(US$)
⚠️COSTO]]*'📋 Datos Generales'!$E$19</f>
        <v>0</v>
      </c>
      <c r="V163" s="281">
        <f>TABLA_BASE[[#This Row],[ADV UNIT.
(S/.)]]*TABLA_BASE[[#This Row],[CANTIDAD
(unid.)]]</f>
        <v>0</v>
      </c>
      <c r="W163" s="281">
        <f>TABLA_BASE[[#This Row],[IPM UNIT.
(US$)
✅CF]]*'📋 Datos Generales'!$E$19</f>
        <v>0</v>
      </c>
      <c r="X163" s="281">
        <f>TABLA_BASE[[#This Row],[IPM UNIT.
(S/.)]]*TABLA_BASE[[#This Row],[CANTIDAD
(unid.)]]</f>
        <v>0</v>
      </c>
      <c r="Y163" s="281">
        <f>TABLA_BASE[[#This Row],[IGV UNIT.
(US$)
✅CF]]*'📋 Datos Generales'!$E$19</f>
        <v>0</v>
      </c>
      <c r="Z163" s="281">
        <f>TABLA_BASE[[#This Row],[IGV UNIT.
(S/.)]]*TABLA_BASE[[#This Row],[CANTIDAD
(unid.)]]</f>
        <v>0</v>
      </c>
      <c r="AA163" s="281">
        <f>TABLA_BASE[[#This Row],[PERCEP.
UNIT.(US$)
✅CF]]*'📋 Datos Generales'!$E$19</f>
        <v>0</v>
      </c>
      <c r="AB163" s="281">
        <f>TABLA_BASE[[#This Row],[PERCEP.
UNIT.(S/.)]]*TABLA_BASE[[#This Row],[CANTIDAD
(unid.)]]</f>
        <v>0</v>
      </c>
      <c r="AC163" s="279">
        <f>TABLA_BASE[[#This Row],[ADV UNIT.
(US$)
⚠️COSTO]]+TABLA_BASE[[#This Row],[IPM UNIT.
(US$)
✅CF]]+TABLA_BASE[[#This Row],[IGV UNIT.
(US$)
✅CF]]+TABLA_BASE[[#This Row],[PERCEP.
UNIT.(US$)
✅CF]]</f>
        <v>0</v>
      </c>
      <c r="AD163" s="279">
        <f>TABLA_BASE[[#This Row],[TOTAL PAGO
SUNAT
UNIT.(US$)]]*TABLA_BASE[[#This Row],[CANTIDAD
(unid.)]]</f>
        <v>0</v>
      </c>
      <c r="AE163" s="281">
        <f>TABLA_BASE[[#This Row],[TOTAL PAGO
SUNAT
UNIT.(US$)]]*'📋 Datos Generales'!$E$19</f>
        <v>0</v>
      </c>
      <c r="AF163" s="281">
        <f>TABLA_BASE[[#This Row],[TOTAL TRIB.
UNIT.(S/.)]]*TABLA_BASE[[#This Row],[CANTIDAD
(unid.)]]</f>
        <v>0</v>
      </c>
      <c r="AG163" s="279">
        <f>IF('🧾 Factura Comercial'!G167=0,0,'📦 Gastos Importación'!$E$28*(IF('🧾 Tributos Aduana'!$F$6=0,0,'🧾 Factura Comercial'!I167/'🧾 Tributos Aduana'!$F$6))/'🧾 Factura Comercial'!G167)</f>
        <v>0</v>
      </c>
      <c r="AH163" s="279">
        <f>TABLA_BASE[[#This Row],[GASTOS IMP.
UNIT.(US$)]]*TABLA_BASE[[#This Row],[CANTIDAD
(unid.)]]</f>
        <v>0</v>
      </c>
      <c r="AI163" s="281">
        <f>TABLA_BASE[[#This Row],[GASTOS IMP.
UNIT.(US$)]]*'📋 Datos Generales'!$E$19</f>
        <v>0</v>
      </c>
      <c r="AJ163" s="281">
        <f>TABLA_BASE[[#This Row],[GASTOS IMP.
UNIT.(S/.)]]*TABLA_BASE[[#This Row],[CANTIDAD
(unid.)]]</f>
        <v>0</v>
      </c>
      <c r="AK163" s="280">
        <f>'🧮 Costos x Producto'!J167</f>
        <v>0</v>
      </c>
      <c r="AL163" s="278">
        <f>'🧮 Costos x Producto'!K167</f>
        <v>0</v>
      </c>
      <c r="AM163" s="278">
        <f>TABLA_BASE[[#This Row],[C/M UNIT.
(S/.)]]*TABLA_BASE[[#This Row],[CANTIDAD
(unid.)]]</f>
        <v>0</v>
      </c>
      <c r="AN163" s="279">
        <f>IF('🧾 Factura Comercial'!G167=0,0,'🧾 Tributos Aduana'!$F$17*(IF('🧾 Tributos Aduana'!$F$6=0,0,'🧾 Factura Comercial'!I167/'🧾 Tributos Aduana'!$F$6))/'🧾 Factura Comercial'!G167)</f>
        <v>0</v>
      </c>
      <c r="AO163" s="280">
        <f>IF('🧾 Factura Comercial'!G167=0,0,'🏦 Crédito Fiscal'!$C$16*(IF('🧾 Tributos Aduana'!$F$6=0,0,'🧾 Factura Comercial'!I167/'🧾 Tributos Aduana'!$F$6))/'🧾 Factura Comercial'!G167)</f>
        <v>0</v>
      </c>
      <c r="AP163" s="278">
        <f>TABLA_BASE[[#This Row],[CF UNIT.
✅RECUP.
(US$)]]*'📋 Datos Generales'!$E$19</f>
        <v>0</v>
      </c>
      <c r="AQ163" s="278">
        <f>TABLA_BASE[[#This Row],[CF UNIT.
✅RECUP.(S/.)]]*TABLA_BASE[[#This Row],[CANTIDAD
(unid.)]]</f>
        <v>0</v>
      </c>
      <c r="AR163" s="288">
        <f>'💰 Precio de Venta'!G168</f>
        <v>0.4</v>
      </c>
      <c r="AS163" s="278">
        <f>'💰 Precio de Venta'!H168</f>
        <v>0</v>
      </c>
      <c r="AT163" s="278">
        <f>TABLA_BASE[[#This Row],[VALOR VTA.
UNIT.(S/.)]]*TABLA_BASE[[#This Row],[CANTIDAD
(unid.)]]</f>
        <v>0</v>
      </c>
      <c r="AU163" s="281">
        <f>'💰 Precio de Venta'!I168</f>
        <v>0</v>
      </c>
      <c r="AV163" s="278">
        <f>'💰 Precio de Venta'!J168</f>
        <v>0</v>
      </c>
      <c r="AW163" s="278">
        <f>TABLA_BASE[[#This Row],[GANANCIA
UNIT.(S/.)]]*TABLA_BASE[[#This Row],[CANTIDAD
(unid.)]]</f>
        <v>0</v>
      </c>
      <c r="AX163" s="289">
        <f>'💰 Precio de Venta'!K168</f>
        <v>0</v>
      </c>
      <c r="AY163" s="278">
        <f>TABLA_BASE[[#This Row],[GANANCIA
UNIT.(S/.)]]*'🧾 Factura Comercial'!G167</f>
        <v>0</v>
      </c>
      <c r="AZ163" s="277">
        <f>IF(TABLA_BASE[[#This Row],[PRECIO VTA.
c/IGV(S/.)]]=0,0,TABLA_BASE[[#This Row],[GANANCIA
UNIT.(S/.)]]/TABLA_BASE[[#This Row],[PRECIO VTA.
c/IGV(S/.)]])</f>
        <v>0</v>
      </c>
      <c r="BA163" s="277">
        <f>IF(TABLA_BASE[[#This Row],[C/M UNIT.
(S/.)]]=0,0,TABLA_BASE[[#This Row],[GANANCIA
UNIT.(S/.)]]/TABLA_BASE[[#This Row],[C/M UNIT.
(S/.)]])</f>
        <v>0</v>
      </c>
      <c r="BB163" s="274" t="str">
        <f>IF(TABLA_BASE[[#This Row],[MARGEN
%]]&gt;=0.5,"🟢 ALTO",IF(TABLA_BASE[[#This Row],[MARGEN
%]]&gt;=0.3,"🟡 MEDIO","🔴 BAJO"))</f>
        <v>🟡 MEDIO</v>
      </c>
    </row>
    <row r="164" spans="1:54" ht="16.5" hidden="1" thickTop="1" thickBot="1" x14ac:dyDescent="0.3">
      <c r="A164" s="274">
        <f>'🧾 Factura Comercial'!E168</f>
        <v>0</v>
      </c>
      <c r="B164" s="274" t="str">
        <f>'🧾 Factura Comercial'!F168</f>
        <v>Unid.</v>
      </c>
      <c r="C164" s="275">
        <f>'🧾 Factura Comercial'!G168</f>
        <v>0</v>
      </c>
      <c r="D164" s="276">
        <f>'🧾 Factura Comercial'!H168</f>
        <v>0</v>
      </c>
      <c r="E164" s="276">
        <f>'🧾 Factura Comercial'!I168</f>
        <v>0</v>
      </c>
      <c r="F164" s="277">
        <f>IF('🧾 Tributos Aduana'!$F$6=0,0,'🧾 Factura Comercial'!I168/'🧾 Tributos Aduana'!$F$6)</f>
        <v>0</v>
      </c>
      <c r="G164" s="278">
        <f>'🧾 Factura Comercial'!H168*'📋 Datos Generales'!$E$19</f>
        <v>0</v>
      </c>
      <c r="H164" s="278">
        <f>TABLA_BASE[[#This Row],[FOB UNIT.
(S/.)]]*TABLA_BASE[[#This Row],[CANTIDAD
(unid.)]]</f>
        <v>0</v>
      </c>
      <c r="I164" s="280">
        <f>IF('🧾 Tributos Aduana'!$F$6=0,0,'🧾 Tributos Aduana'!$F$17*('🧾 Factura Comercial'!H168/'🧾 Tributos Aduana'!$F$6))</f>
        <v>0</v>
      </c>
      <c r="J164" s="280">
        <f>TABLA_BASE[[#This Row],[ADV UNIT.
(US$)
⚠️COSTO]]*TABLA_BASE[[#This Row],[CANTIDAD
(unid.)]]</f>
        <v>0</v>
      </c>
      <c r="K164" s="279">
        <f>IF('🧾 Tributos Aduana'!$F$6=0,0,'🧾 Tributos Aduana'!$F$18*('🧾 Factura Comercial'!H168/'🧾 Tributos Aduana'!$F$6))</f>
        <v>0</v>
      </c>
      <c r="L164" s="280">
        <f>TABLA_BASE[[#This Row],[IPM UNIT.
(US$)
✅CF]]*TABLA_BASE[[#This Row],[CANTIDAD
(unid.)]]</f>
        <v>0</v>
      </c>
      <c r="M164" s="279">
        <f>IF('🧾 Tributos Aduana'!$F$6=0,0,'🧾 Tributos Aduana'!$F$19*('🧾 Factura Comercial'!H168/'🧾 Tributos Aduana'!$F$6))</f>
        <v>0</v>
      </c>
      <c r="N164" s="280">
        <f>TABLA_BASE[[#This Row],[IGV UNIT.
(US$)
✅CF]]*TABLA_BASE[[#This Row],[CANTIDAD
(unid.)]]</f>
        <v>0</v>
      </c>
      <c r="O164" s="280">
        <f>IF('🧾 Tributos Aduana'!$F$6=0,0,'🧾 Tributos Aduana'!$F$23*('🧾 Factura Comercial'!H168/'🧾 Tributos Aduana'!$F$6))</f>
        <v>0</v>
      </c>
      <c r="P164" s="280">
        <f>TABLA_BASE[[#This Row],[PERCEP.
UNIT.(US$)
✅CF]]*TABLA_BASE[[#This Row],[CANTIDAD
(unid.)]]</f>
        <v>0</v>
      </c>
      <c r="Q164" s="279">
        <f>TABLA_BASE[[#This Row],[ADV UNIT.
(US$)
⚠️COSTO]]+TABLA_BASE[[#This Row],[IPM UNIT.
(US$)
✅CF]]+TABLA_BASE[[#This Row],[IGV UNIT.
(US$)
✅CF]]</f>
        <v>0</v>
      </c>
      <c r="R164" s="280">
        <f>TABLA_BASE[[#This Row],[DEUDA
ADUANERA
UNIT.]]*TABLA_BASE[[#This Row],[CANTIDAD
(unid.)]]</f>
        <v>0</v>
      </c>
      <c r="S164" s="278">
        <f>TABLA_BASE[[#This Row],[DEUDA
ADUANERA
UNIT.]]*'📋 Datos Generales'!$E$19</f>
        <v>0</v>
      </c>
      <c r="T164" s="278">
        <f>TABLA_BASE[[#This Row],[DEUDA
ADUANERA
TOTAL]]*'📋 Datos Generales'!$E$19</f>
        <v>0</v>
      </c>
      <c r="U164" s="281">
        <f>TABLA_BASE[[#This Row],[ADV UNIT.
(US$)
⚠️COSTO]]*'📋 Datos Generales'!$E$19</f>
        <v>0</v>
      </c>
      <c r="V164" s="281">
        <f>TABLA_BASE[[#This Row],[ADV UNIT.
(S/.)]]*TABLA_BASE[[#This Row],[CANTIDAD
(unid.)]]</f>
        <v>0</v>
      </c>
      <c r="W164" s="281">
        <f>TABLA_BASE[[#This Row],[IPM UNIT.
(US$)
✅CF]]*'📋 Datos Generales'!$E$19</f>
        <v>0</v>
      </c>
      <c r="X164" s="281">
        <f>TABLA_BASE[[#This Row],[IPM UNIT.
(S/.)]]*TABLA_BASE[[#This Row],[CANTIDAD
(unid.)]]</f>
        <v>0</v>
      </c>
      <c r="Y164" s="281">
        <f>TABLA_BASE[[#This Row],[IGV UNIT.
(US$)
✅CF]]*'📋 Datos Generales'!$E$19</f>
        <v>0</v>
      </c>
      <c r="Z164" s="281">
        <f>TABLA_BASE[[#This Row],[IGV UNIT.
(S/.)]]*TABLA_BASE[[#This Row],[CANTIDAD
(unid.)]]</f>
        <v>0</v>
      </c>
      <c r="AA164" s="281">
        <f>TABLA_BASE[[#This Row],[PERCEP.
UNIT.(US$)
✅CF]]*'📋 Datos Generales'!$E$19</f>
        <v>0</v>
      </c>
      <c r="AB164" s="281">
        <f>TABLA_BASE[[#This Row],[PERCEP.
UNIT.(S/.)]]*TABLA_BASE[[#This Row],[CANTIDAD
(unid.)]]</f>
        <v>0</v>
      </c>
      <c r="AC164" s="279">
        <f>TABLA_BASE[[#This Row],[ADV UNIT.
(US$)
⚠️COSTO]]+TABLA_BASE[[#This Row],[IPM UNIT.
(US$)
✅CF]]+TABLA_BASE[[#This Row],[IGV UNIT.
(US$)
✅CF]]+TABLA_BASE[[#This Row],[PERCEP.
UNIT.(US$)
✅CF]]</f>
        <v>0</v>
      </c>
      <c r="AD164" s="279">
        <f>TABLA_BASE[[#This Row],[TOTAL PAGO
SUNAT
UNIT.(US$)]]*TABLA_BASE[[#This Row],[CANTIDAD
(unid.)]]</f>
        <v>0</v>
      </c>
      <c r="AE164" s="281">
        <f>TABLA_BASE[[#This Row],[TOTAL PAGO
SUNAT
UNIT.(US$)]]*'📋 Datos Generales'!$E$19</f>
        <v>0</v>
      </c>
      <c r="AF164" s="281">
        <f>TABLA_BASE[[#This Row],[TOTAL TRIB.
UNIT.(S/.)]]*TABLA_BASE[[#This Row],[CANTIDAD
(unid.)]]</f>
        <v>0</v>
      </c>
      <c r="AG164" s="279">
        <f>IF('🧾 Factura Comercial'!G168=0,0,'📦 Gastos Importación'!$E$28*(IF('🧾 Tributos Aduana'!$F$6=0,0,'🧾 Factura Comercial'!I168/'🧾 Tributos Aduana'!$F$6))/'🧾 Factura Comercial'!G168)</f>
        <v>0</v>
      </c>
      <c r="AH164" s="279">
        <f>TABLA_BASE[[#This Row],[GASTOS IMP.
UNIT.(US$)]]*TABLA_BASE[[#This Row],[CANTIDAD
(unid.)]]</f>
        <v>0</v>
      </c>
      <c r="AI164" s="281">
        <f>TABLA_BASE[[#This Row],[GASTOS IMP.
UNIT.(US$)]]*'📋 Datos Generales'!$E$19</f>
        <v>0</v>
      </c>
      <c r="AJ164" s="281">
        <f>TABLA_BASE[[#This Row],[GASTOS IMP.
UNIT.(S/.)]]*TABLA_BASE[[#This Row],[CANTIDAD
(unid.)]]</f>
        <v>0</v>
      </c>
      <c r="AK164" s="280">
        <f>'🧮 Costos x Producto'!J168</f>
        <v>0</v>
      </c>
      <c r="AL164" s="278">
        <f>'🧮 Costos x Producto'!K168</f>
        <v>0</v>
      </c>
      <c r="AM164" s="278">
        <f>TABLA_BASE[[#This Row],[C/M UNIT.
(S/.)]]*TABLA_BASE[[#This Row],[CANTIDAD
(unid.)]]</f>
        <v>0</v>
      </c>
      <c r="AN164" s="279">
        <f>IF('🧾 Factura Comercial'!G168=0,0,'🧾 Tributos Aduana'!$F$17*(IF('🧾 Tributos Aduana'!$F$6=0,0,'🧾 Factura Comercial'!I168/'🧾 Tributos Aduana'!$F$6))/'🧾 Factura Comercial'!G168)</f>
        <v>0</v>
      </c>
      <c r="AO164" s="280">
        <f>IF('🧾 Factura Comercial'!G168=0,0,'🏦 Crédito Fiscal'!$C$16*(IF('🧾 Tributos Aduana'!$F$6=0,0,'🧾 Factura Comercial'!I168/'🧾 Tributos Aduana'!$F$6))/'🧾 Factura Comercial'!G168)</f>
        <v>0</v>
      </c>
      <c r="AP164" s="278">
        <f>TABLA_BASE[[#This Row],[CF UNIT.
✅RECUP.
(US$)]]*'📋 Datos Generales'!$E$19</f>
        <v>0</v>
      </c>
      <c r="AQ164" s="278">
        <f>TABLA_BASE[[#This Row],[CF UNIT.
✅RECUP.(S/.)]]*TABLA_BASE[[#This Row],[CANTIDAD
(unid.)]]</f>
        <v>0</v>
      </c>
      <c r="AR164" s="288">
        <f>'💰 Precio de Venta'!G169</f>
        <v>0.4</v>
      </c>
      <c r="AS164" s="278">
        <f>'💰 Precio de Venta'!H169</f>
        <v>0</v>
      </c>
      <c r="AT164" s="278">
        <f>TABLA_BASE[[#This Row],[VALOR VTA.
UNIT.(S/.)]]*TABLA_BASE[[#This Row],[CANTIDAD
(unid.)]]</f>
        <v>0</v>
      </c>
      <c r="AU164" s="281">
        <f>'💰 Precio de Venta'!I169</f>
        <v>0</v>
      </c>
      <c r="AV164" s="278">
        <f>'💰 Precio de Venta'!J169</f>
        <v>0</v>
      </c>
      <c r="AW164" s="278">
        <f>TABLA_BASE[[#This Row],[GANANCIA
UNIT.(S/.)]]*TABLA_BASE[[#This Row],[CANTIDAD
(unid.)]]</f>
        <v>0</v>
      </c>
      <c r="AX164" s="289">
        <f>'💰 Precio de Venta'!K169</f>
        <v>0</v>
      </c>
      <c r="AY164" s="278">
        <f>TABLA_BASE[[#This Row],[GANANCIA
UNIT.(S/.)]]*'🧾 Factura Comercial'!G168</f>
        <v>0</v>
      </c>
      <c r="AZ164" s="277">
        <f>IF(TABLA_BASE[[#This Row],[PRECIO VTA.
c/IGV(S/.)]]=0,0,TABLA_BASE[[#This Row],[GANANCIA
UNIT.(S/.)]]/TABLA_BASE[[#This Row],[PRECIO VTA.
c/IGV(S/.)]])</f>
        <v>0</v>
      </c>
      <c r="BA164" s="277">
        <f>IF(TABLA_BASE[[#This Row],[C/M UNIT.
(S/.)]]=0,0,TABLA_BASE[[#This Row],[GANANCIA
UNIT.(S/.)]]/TABLA_BASE[[#This Row],[C/M UNIT.
(S/.)]])</f>
        <v>0</v>
      </c>
      <c r="BB164" s="274" t="str">
        <f>IF(TABLA_BASE[[#This Row],[MARGEN
%]]&gt;=0.5,"🟢 ALTO",IF(TABLA_BASE[[#This Row],[MARGEN
%]]&gt;=0.3,"🟡 MEDIO","🔴 BAJO"))</f>
        <v>🟡 MEDIO</v>
      </c>
    </row>
    <row r="165" spans="1:54" ht="16.5" hidden="1" thickTop="1" thickBot="1" x14ac:dyDescent="0.3">
      <c r="A165" s="274">
        <f>'🧾 Factura Comercial'!E169</f>
        <v>0</v>
      </c>
      <c r="B165" s="274" t="str">
        <f>'🧾 Factura Comercial'!F169</f>
        <v>Unid.</v>
      </c>
      <c r="C165" s="275">
        <f>'🧾 Factura Comercial'!G169</f>
        <v>0</v>
      </c>
      <c r="D165" s="276">
        <f>'🧾 Factura Comercial'!H169</f>
        <v>0</v>
      </c>
      <c r="E165" s="276">
        <f>'🧾 Factura Comercial'!I169</f>
        <v>0</v>
      </c>
      <c r="F165" s="277">
        <f>IF('🧾 Tributos Aduana'!$F$6=0,0,'🧾 Factura Comercial'!I169/'🧾 Tributos Aduana'!$F$6)</f>
        <v>0</v>
      </c>
      <c r="G165" s="278">
        <f>'🧾 Factura Comercial'!H169*'📋 Datos Generales'!$E$19</f>
        <v>0</v>
      </c>
      <c r="H165" s="278">
        <f>TABLA_BASE[[#This Row],[FOB UNIT.
(S/.)]]*TABLA_BASE[[#This Row],[CANTIDAD
(unid.)]]</f>
        <v>0</v>
      </c>
      <c r="I165" s="280">
        <f>IF('🧾 Tributos Aduana'!$F$6=0,0,'🧾 Tributos Aduana'!$F$17*('🧾 Factura Comercial'!H169/'🧾 Tributos Aduana'!$F$6))</f>
        <v>0</v>
      </c>
      <c r="J165" s="280">
        <f>TABLA_BASE[[#This Row],[ADV UNIT.
(US$)
⚠️COSTO]]*TABLA_BASE[[#This Row],[CANTIDAD
(unid.)]]</f>
        <v>0</v>
      </c>
      <c r="K165" s="279">
        <f>IF('🧾 Tributos Aduana'!$F$6=0,0,'🧾 Tributos Aduana'!$F$18*('🧾 Factura Comercial'!H169/'🧾 Tributos Aduana'!$F$6))</f>
        <v>0</v>
      </c>
      <c r="L165" s="280">
        <f>TABLA_BASE[[#This Row],[IPM UNIT.
(US$)
✅CF]]*TABLA_BASE[[#This Row],[CANTIDAD
(unid.)]]</f>
        <v>0</v>
      </c>
      <c r="M165" s="279">
        <f>IF('🧾 Tributos Aduana'!$F$6=0,0,'🧾 Tributos Aduana'!$F$19*('🧾 Factura Comercial'!H169/'🧾 Tributos Aduana'!$F$6))</f>
        <v>0</v>
      </c>
      <c r="N165" s="280">
        <f>TABLA_BASE[[#This Row],[IGV UNIT.
(US$)
✅CF]]*TABLA_BASE[[#This Row],[CANTIDAD
(unid.)]]</f>
        <v>0</v>
      </c>
      <c r="O165" s="280">
        <f>IF('🧾 Tributos Aduana'!$F$6=0,0,'🧾 Tributos Aduana'!$F$23*('🧾 Factura Comercial'!H169/'🧾 Tributos Aduana'!$F$6))</f>
        <v>0</v>
      </c>
      <c r="P165" s="280">
        <f>TABLA_BASE[[#This Row],[PERCEP.
UNIT.(US$)
✅CF]]*TABLA_BASE[[#This Row],[CANTIDAD
(unid.)]]</f>
        <v>0</v>
      </c>
      <c r="Q165" s="279">
        <f>TABLA_BASE[[#This Row],[ADV UNIT.
(US$)
⚠️COSTO]]+TABLA_BASE[[#This Row],[IPM UNIT.
(US$)
✅CF]]+TABLA_BASE[[#This Row],[IGV UNIT.
(US$)
✅CF]]</f>
        <v>0</v>
      </c>
      <c r="R165" s="280">
        <f>TABLA_BASE[[#This Row],[DEUDA
ADUANERA
UNIT.]]*TABLA_BASE[[#This Row],[CANTIDAD
(unid.)]]</f>
        <v>0</v>
      </c>
      <c r="S165" s="278">
        <f>TABLA_BASE[[#This Row],[DEUDA
ADUANERA
UNIT.]]*'📋 Datos Generales'!$E$19</f>
        <v>0</v>
      </c>
      <c r="T165" s="278">
        <f>TABLA_BASE[[#This Row],[DEUDA
ADUANERA
TOTAL]]*'📋 Datos Generales'!$E$19</f>
        <v>0</v>
      </c>
      <c r="U165" s="281">
        <f>TABLA_BASE[[#This Row],[ADV UNIT.
(US$)
⚠️COSTO]]*'📋 Datos Generales'!$E$19</f>
        <v>0</v>
      </c>
      <c r="V165" s="281">
        <f>TABLA_BASE[[#This Row],[ADV UNIT.
(S/.)]]*TABLA_BASE[[#This Row],[CANTIDAD
(unid.)]]</f>
        <v>0</v>
      </c>
      <c r="W165" s="281">
        <f>TABLA_BASE[[#This Row],[IPM UNIT.
(US$)
✅CF]]*'📋 Datos Generales'!$E$19</f>
        <v>0</v>
      </c>
      <c r="X165" s="281">
        <f>TABLA_BASE[[#This Row],[IPM UNIT.
(S/.)]]*TABLA_BASE[[#This Row],[CANTIDAD
(unid.)]]</f>
        <v>0</v>
      </c>
      <c r="Y165" s="281">
        <f>TABLA_BASE[[#This Row],[IGV UNIT.
(US$)
✅CF]]*'📋 Datos Generales'!$E$19</f>
        <v>0</v>
      </c>
      <c r="Z165" s="281">
        <f>TABLA_BASE[[#This Row],[IGV UNIT.
(S/.)]]*TABLA_BASE[[#This Row],[CANTIDAD
(unid.)]]</f>
        <v>0</v>
      </c>
      <c r="AA165" s="281">
        <f>TABLA_BASE[[#This Row],[PERCEP.
UNIT.(US$)
✅CF]]*'📋 Datos Generales'!$E$19</f>
        <v>0</v>
      </c>
      <c r="AB165" s="281">
        <f>TABLA_BASE[[#This Row],[PERCEP.
UNIT.(S/.)]]*TABLA_BASE[[#This Row],[CANTIDAD
(unid.)]]</f>
        <v>0</v>
      </c>
      <c r="AC165" s="279">
        <f>TABLA_BASE[[#This Row],[ADV UNIT.
(US$)
⚠️COSTO]]+TABLA_BASE[[#This Row],[IPM UNIT.
(US$)
✅CF]]+TABLA_BASE[[#This Row],[IGV UNIT.
(US$)
✅CF]]+TABLA_BASE[[#This Row],[PERCEP.
UNIT.(US$)
✅CF]]</f>
        <v>0</v>
      </c>
      <c r="AD165" s="279">
        <f>TABLA_BASE[[#This Row],[TOTAL PAGO
SUNAT
UNIT.(US$)]]*TABLA_BASE[[#This Row],[CANTIDAD
(unid.)]]</f>
        <v>0</v>
      </c>
      <c r="AE165" s="281">
        <f>TABLA_BASE[[#This Row],[TOTAL PAGO
SUNAT
UNIT.(US$)]]*'📋 Datos Generales'!$E$19</f>
        <v>0</v>
      </c>
      <c r="AF165" s="281">
        <f>TABLA_BASE[[#This Row],[TOTAL TRIB.
UNIT.(S/.)]]*TABLA_BASE[[#This Row],[CANTIDAD
(unid.)]]</f>
        <v>0</v>
      </c>
      <c r="AG165" s="279">
        <f>IF('🧾 Factura Comercial'!G169=0,0,'📦 Gastos Importación'!$E$28*(IF('🧾 Tributos Aduana'!$F$6=0,0,'🧾 Factura Comercial'!I169/'🧾 Tributos Aduana'!$F$6))/'🧾 Factura Comercial'!G169)</f>
        <v>0</v>
      </c>
      <c r="AH165" s="279">
        <f>TABLA_BASE[[#This Row],[GASTOS IMP.
UNIT.(US$)]]*TABLA_BASE[[#This Row],[CANTIDAD
(unid.)]]</f>
        <v>0</v>
      </c>
      <c r="AI165" s="281">
        <f>TABLA_BASE[[#This Row],[GASTOS IMP.
UNIT.(US$)]]*'📋 Datos Generales'!$E$19</f>
        <v>0</v>
      </c>
      <c r="AJ165" s="281">
        <f>TABLA_BASE[[#This Row],[GASTOS IMP.
UNIT.(S/.)]]*TABLA_BASE[[#This Row],[CANTIDAD
(unid.)]]</f>
        <v>0</v>
      </c>
      <c r="AK165" s="280">
        <f>'🧮 Costos x Producto'!J169</f>
        <v>0</v>
      </c>
      <c r="AL165" s="278">
        <f>'🧮 Costos x Producto'!K169</f>
        <v>0</v>
      </c>
      <c r="AM165" s="278">
        <f>TABLA_BASE[[#This Row],[C/M UNIT.
(S/.)]]*TABLA_BASE[[#This Row],[CANTIDAD
(unid.)]]</f>
        <v>0</v>
      </c>
      <c r="AN165" s="279">
        <f>IF('🧾 Factura Comercial'!G169=0,0,'🧾 Tributos Aduana'!$F$17*(IF('🧾 Tributos Aduana'!$F$6=0,0,'🧾 Factura Comercial'!I169/'🧾 Tributos Aduana'!$F$6))/'🧾 Factura Comercial'!G169)</f>
        <v>0</v>
      </c>
      <c r="AO165" s="280">
        <f>IF('🧾 Factura Comercial'!G169=0,0,'🏦 Crédito Fiscal'!$C$16*(IF('🧾 Tributos Aduana'!$F$6=0,0,'🧾 Factura Comercial'!I169/'🧾 Tributos Aduana'!$F$6))/'🧾 Factura Comercial'!G169)</f>
        <v>0</v>
      </c>
      <c r="AP165" s="278">
        <f>TABLA_BASE[[#This Row],[CF UNIT.
✅RECUP.
(US$)]]*'📋 Datos Generales'!$E$19</f>
        <v>0</v>
      </c>
      <c r="AQ165" s="278">
        <f>TABLA_BASE[[#This Row],[CF UNIT.
✅RECUP.(S/.)]]*TABLA_BASE[[#This Row],[CANTIDAD
(unid.)]]</f>
        <v>0</v>
      </c>
      <c r="AR165" s="288">
        <f>'💰 Precio de Venta'!G170</f>
        <v>0.4</v>
      </c>
      <c r="AS165" s="278">
        <f>'💰 Precio de Venta'!H170</f>
        <v>0</v>
      </c>
      <c r="AT165" s="278">
        <f>TABLA_BASE[[#This Row],[VALOR VTA.
UNIT.(S/.)]]*TABLA_BASE[[#This Row],[CANTIDAD
(unid.)]]</f>
        <v>0</v>
      </c>
      <c r="AU165" s="281">
        <f>'💰 Precio de Venta'!I170</f>
        <v>0</v>
      </c>
      <c r="AV165" s="278">
        <f>'💰 Precio de Venta'!J170</f>
        <v>0</v>
      </c>
      <c r="AW165" s="278">
        <f>TABLA_BASE[[#This Row],[GANANCIA
UNIT.(S/.)]]*TABLA_BASE[[#This Row],[CANTIDAD
(unid.)]]</f>
        <v>0</v>
      </c>
      <c r="AX165" s="289">
        <f>'💰 Precio de Venta'!K170</f>
        <v>0</v>
      </c>
      <c r="AY165" s="278">
        <f>TABLA_BASE[[#This Row],[GANANCIA
UNIT.(S/.)]]*'🧾 Factura Comercial'!G169</f>
        <v>0</v>
      </c>
      <c r="AZ165" s="277">
        <f>IF(TABLA_BASE[[#This Row],[PRECIO VTA.
c/IGV(S/.)]]=0,0,TABLA_BASE[[#This Row],[GANANCIA
UNIT.(S/.)]]/TABLA_BASE[[#This Row],[PRECIO VTA.
c/IGV(S/.)]])</f>
        <v>0</v>
      </c>
      <c r="BA165" s="277">
        <f>IF(TABLA_BASE[[#This Row],[C/M UNIT.
(S/.)]]=0,0,TABLA_BASE[[#This Row],[GANANCIA
UNIT.(S/.)]]/TABLA_BASE[[#This Row],[C/M UNIT.
(S/.)]])</f>
        <v>0</v>
      </c>
      <c r="BB165" s="274" t="str">
        <f>IF(TABLA_BASE[[#This Row],[MARGEN
%]]&gt;=0.5,"🟢 ALTO",IF(TABLA_BASE[[#This Row],[MARGEN
%]]&gt;=0.3,"🟡 MEDIO","🔴 BAJO"))</f>
        <v>🟡 MEDIO</v>
      </c>
    </row>
    <row r="166" spans="1:54" ht="16.5" hidden="1" thickTop="1" thickBot="1" x14ac:dyDescent="0.3">
      <c r="A166" s="274">
        <f>'🧾 Factura Comercial'!E170</f>
        <v>0</v>
      </c>
      <c r="B166" s="274" t="str">
        <f>'🧾 Factura Comercial'!F170</f>
        <v>Unid.</v>
      </c>
      <c r="C166" s="275">
        <f>'🧾 Factura Comercial'!G170</f>
        <v>0</v>
      </c>
      <c r="D166" s="276">
        <f>'🧾 Factura Comercial'!H170</f>
        <v>0</v>
      </c>
      <c r="E166" s="276">
        <f>'🧾 Factura Comercial'!I170</f>
        <v>0</v>
      </c>
      <c r="F166" s="277">
        <f>IF('🧾 Tributos Aduana'!$F$6=0,0,'🧾 Factura Comercial'!I170/'🧾 Tributos Aduana'!$F$6)</f>
        <v>0</v>
      </c>
      <c r="G166" s="278">
        <f>'🧾 Factura Comercial'!H170*'📋 Datos Generales'!$E$19</f>
        <v>0</v>
      </c>
      <c r="H166" s="278">
        <f>TABLA_BASE[[#This Row],[FOB UNIT.
(S/.)]]*TABLA_BASE[[#This Row],[CANTIDAD
(unid.)]]</f>
        <v>0</v>
      </c>
      <c r="I166" s="280">
        <f>IF('🧾 Tributos Aduana'!$F$6=0,0,'🧾 Tributos Aduana'!$F$17*('🧾 Factura Comercial'!H170/'🧾 Tributos Aduana'!$F$6))</f>
        <v>0</v>
      </c>
      <c r="J166" s="280">
        <f>TABLA_BASE[[#This Row],[ADV UNIT.
(US$)
⚠️COSTO]]*TABLA_BASE[[#This Row],[CANTIDAD
(unid.)]]</f>
        <v>0</v>
      </c>
      <c r="K166" s="279">
        <f>IF('🧾 Tributos Aduana'!$F$6=0,0,'🧾 Tributos Aduana'!$F$18*('🧾 Factura Comercial'!H170/'🧾 Tributos Aduana'!$F$6))</f>
        <v>0</v>
      </c>
      <c r="L166" s="280">
        <f>TABLA_BASE[[#This Row],[IPM UNIT.
(US$)
✅CF]]*TABLA_BASE[[#This Row],[CANTIDAD
(unid.)]]</f>
        <v>0</v>
      </c>
      <c r="M166" s="279">
        <f>IF('🧾 Tributos Aduana'!$F$6=0,0,'🧾 Tributos Aduana'!$F$19*('🧾 Factura Comercial'!H170/'🧾 Tributos Aduana'!$F$6))</f>
        <v>0</v>
      </c>
      <c r="N166" s="280">
        <f>TABLA_BASE[[#This Row],[IGV UNIT.
(US$)
✅CF]]*TABLA_BASE[[#This Row],[CANTIDAD
(unid.)]]</f>
        <v>0</v>
      </c>
      <c r="O166" s="280">
        <f>IF('🧾 Tributos Aduana'!$F$6=0,0,'🧾 Tributos Aduana'!$F$23*('🧾 Factura Comercial'!H170/'🧾 Tributos Aduana'!$F$6))</f>
        <v>0</v>
      </c>
      <c r="P166" s="280">
        <f>TABLA_BASE[[#This Row],[PERCEP.
UNIT.(US$)
✅CF]]*TABLA_BASE[[#This Row],[CANTIDAD
(unid.)]]</f>
        <v>0</v>
      </c>
      <c r="Q166" s="279">
        <f>TABLA_BASE[[#This Row],[ADV UNIT.
(US$)
⚠️COSTO]]+TABLA_BASE[[#This Row],[IPM UNIT.
(US$)
✅CF]]+TABLA_BASE[[#This Row],[IGV UNIT.
(US$)
✅CF]]</f>
        <v>0</v>
      </c>
      <c r="R166" s="280">
        <f>TABLA_BASE[[#This Row],[DEUDA
ADUANERA
UNIT.]]*TABLA_BASE[[#This Row],[CANTIDAD
(unid.)]]</f>
        <v>0</v>
      </c>
      <c r="S166" s="278">
        <f>TABLA_BASE[[#This Row],[DEUDA
ADUANERA
UNIT.]]*'📋 Datos Generales'!$E$19</f>
        <v>0</v>
      </c>
      <c r="T166" s="278">
        <f>TABLA_BASE[[#This Row],[DEUDA
ADUANERA
TOTAL]]*'📋 Datos Generales'!$E$19</f>
        <v>0</v>
      </c>
      <c r="U166" s="281">
        <f>TABLA_BASE[[#This Row],[ADV UNIT.
(US$)
⚠️COSTO]]*'📋 Datos Generales'!$E$19</f>
        <v>0</v>
      </c>
      <c r="V166" s="281">
        <f>TABLA_BASE[[#This Row],[ADV UNIT.
(S/.)]]*TABLA_BASE[[#This Row],[CANTIDAD
(unid.)]]</f>
        <v>0</v>
      </c>
      <c r="W166" s="281">
        <f>TABLA_BASE[[#This Row],[IPM UNIT.
(US$)
✅CF]]*'📋 Datos Generales'!$E$19</f>
        <v>0</v>
      </c>
      <c r="X166" s="281">
        <f>TABLA_BASE[[#This Row],[IPM UNIT.
(S/.)]]*TABLA_BASE[[#This Row],[CANTIDAD
(unid.)]]</f>
        <v>0</v>
      </c>
      <c r="Y166" s="281">
        <f>TABLA_BASE[[#This Row],[IGV UNIT.
(US$)
✅CF]]*'📋 Datos Generales'!$E$19</f>
        <v>0</v>
      </c>
      <c r="Z166" s="281">
        <f>TABLA_BASE[[#This Row],[IGV UNIT.
(S/.)]]*TABLA_BASE[[#This Row],[CANTIDAD
(unid.)]]</f>
        <v>0</v>
      </c>
      <c r="AA166" s="281">
        <f>TABLA_BASE[[#This Row],[PERCEP.
UNIT.(US$)
✅CF]]*'📋 Datos Generales'!$E$19</f>
        <v>0</v>
      </c>
      <c r="AB166" s="281">
        <f>TABLA_BASE[[#This Row],[PERCEP.
UNIT.(S/.)]]*TABLA_BASE[[#This Row],[CANTIDAD
(unid.)]]</f>
        <v>0</v>
      </c>
      <c r="AC166" s="279">
        <f>TABLA_BASE[[#This Row],[ADV UNIT.
(US$)
⚠️COSTO]]+TABLA_BASE[[#This Row],[IPM UNIT.
(US$)
✅CF]]+TABLA_BASE[[#This Row],[IGV UNIT.
(US$)
✅CF]]+TABLA_BASE[[#This Row],[PERCEP.
UNIT.(US$)
✅CF]]</f>
        <v>0</v>
      </c>
      <c r="AD166" s="279">
        <f>TABLA_BASE[[#This Row],[TOTAL PAGO
SUNAT
UNIT.(US$)]]*TABLA_BASE[[#This Row],[CANTIDAD
(unid.)]]</f>
        <v>0</v>
      </c>
      <c r="AE166" s="281">
        <f>TABLA_BASE[[#This Row],[TOTAL PAGO
SUNAT
UNIT.(US$)]]*'📋 Datos Generales'!$E$19</f>
        <v>0</v>
      </c>
      <c r="AF166" s="281">
        <f>TABLA_BASE[[#This Row],[TOTAL TRIB.
UNIT.(S/.)]]*TABLA_BASE[[#This Row],[CANTIDAD
(unid.)]]</f>
        <v>0</v>
      </c>
      <c r="AG166" s="279">
        <f>IF('🧾 Factura Comercial'!G170=0,0,'📦 Gastos Importación'!$E$28*(IF('🧾 Tributos Aduana'!$F$6=0,0,'🧾 Factura Comercial'!I170/'🧾 Tributos Aduana'!$F$6))/'🧾 Factura Comercial'!G170)</f>
        <v>0</v>
      </c>
      <c r="AH166" s="279">
        <f>TABLA_BASE[[#This Row],[GASTOS IMP.
UNIT.(US$)]]*TABLA_BASE[[#This Row],[CANTIDAD
(unid.)]]</f>
        <v>0</v>
      </c>
      <c r="AI166" s="281">
        <f>TABLA_BASE[[#This Row],[GASTOS IMP.
UNIT.(US$)]]*'📋 Datos Generales'!$E$19</f>
        <v>0</v>
      </c>
      <c r="AJ166" s="281">
        <f>TABLA_BASE[[#This Row],[GASTOS IMP.
UNIT.(S/.)]]*TABLA_BASE[[#This Row],[CANTIDAD
(unid.)]]</f>
        <v>0</v>
      </c>
      <c r="AK166" s="280">
        <f>'🧮 Costos x Producto'!J170</f>
        <v>0</v>
      </c>
      <c r="AL166" s="278">
        <f>'🧮 Costos x Producto'!K170</f>
        <v>0</v>
      </c>
      <c r="AM166" s="278">
        <f>TABLA_BASE[[#This Row],[C/M UNIT.
(S/.)]]*TABLA_BASE[[#This Row],[CANTIDAD
(unid.)]]</f>
        <v>0</v>
      </c>
      <c r="AN166" s="279">
        <f>IF('🧾 Factura Comercial'!G170=0,0,'🧾 Tributos Aduana'!$F$17*(IF('🧾 Tributos Aduana'!$F$6=0,0,'🧾 Factura Comercial'!I170/'🧾 Tributos Aduana'!$F$6))/'🧾 Factura Comercial'!G170)</f>
        <v>0</v>
      </c>
      <c r="AO166" s="280">
        <f>IF('🧾 Factura Comercial'!G170=0,0,'🏦 Crédito Fiscal'!$C$16*(IF('🧾 Tributos Aduana'!$F$6=0,0,'🧾 Factura Comercial'!I170/'🧾 Tributos Aduana'!$F$6))/'🧾 Factura Comercial'!G170)</f>
        <v>0</v>
      </c>
      <c r="AP166" s="278">
        <f>TABLA_BASE[[#This Row],[CF UNIT.
✅RECUP.
(US$)]]*'📋 Datos Generales'!$E$19</f>
        <v>0</v>
      </c>
      <c r="AQ166" s="278">
        <f>TABLA_BASE[[#This Row],[CF UNIT.
✅RECUP.(S/.)]]*TABLA_BASE[[#This Row],[CANTIDAD
(unid.)]]</f>
        <v>0</v>
      </c>
      <c r="AR166" s="288">
        <f>'💰 Precio de Venta'!G171</f>
        <v>0.4</v>
      </c>
      <c r="AS166" s="278">
        <f>'💰 Precio de Venta'!H171</f>
        <v>0</v>
      </c>
      <c r="AT166" s="278">
        <f>TABLA_BASE[[#This Row],[VALOR VTA.
UNIT.(S/.)]]*TABLA_BASE[[#This Row],[CANTIDAD
(unid.)]]</f>
        <v>0</v>
      </c>
      <c r="AU166" s="281">
        <f>'💰 Precio de Venta'!I171</f>
        <v>0</v>
      </c>
      <c r="AV166" s="278">
        <f>'💰 Precio de Venta'!J171</f>
        <v>0</v>
      </c>
      <c r="AW166" s="278">
        <f>TABLA_BASE[[#This Row],[GANANCIA
UNIT.(S/.)]]*TABLA_BASE[[#This Row],[CANTIDAD
(unid.)]]</f>
        <v>0</v>
      </c>
      <c r="AX166" s="289">
        <f>'💰 Precio de Venta'!K171</f>
        <v>0</v>
      </c>
      <c r="AY166" s="278">
        <f>TABLA_BASE[[#This Row],[GANANCIA
UNIT.(S/.)]]*'🧾 Factura Comercial'!G170</f>
        <v>0</v>
      </c>
      <c r="AZ166" s="277">
        <f>IF(TABLA_BASE[[#This Row],[PRECIO VTA.
c/IGV(S/.)]]=0,0,TABLA_BASE[[#This Row],[GANANCIA
UNIT.(S/.)]]/TABLA_BASE[[#This Row],[PRECIO VTA.
c/IGV(S/.)]])</f>
        <v>0</v>
      </c>
      <c r="BA166" s="277">
        <f>IF(TABLA_BASE[[#This Row],[C/M UNIT.
(S/.)]]=0,0,TABLA_BASE[[#This Row],[GANANCIA
UNIT.(S/.)]]/TABLA_BASE[[#This Row],[C/M UNIT.
(S/.)]])</f>
        <v>0</v>
      </c>
      <c r="BB166" s="274" t="str">
        <f>IF(TABLA_BASE[[#This Row],[MARGEN
%]]&gt;=0.5,"🟢 ALTO",IF(TABLA_BASE[[#This Row],[MARGEN
%]]&gt;=0.3,"🟡 MEDIO","🔴 BAJO"))</f>
        <v>🟡 MEDIO</v>
      </c>
    </row>
    <row r="167" spans="1:54" ht="16.5" hidden="1" thickTop="1" thickBot="1" x14ac:dyDescent="0.3">
      <c r="A167" s="274">
        <f>'🧾 Factura Comercial'!E171</f>
        <v>0</v>
      </c>
      <c r="B167" s="274" t="str">
        <f>'🧾 Factura Comercial'!F171</f>
        <v>Unid.</v>
      </c>
      <c r="C167" s="275">
        <f>'🧾 Factura Comercial'!G171</f>
        <v>0</v>
      </c>
      <c r="D167" s="276">
        <f>'🧾 Factura Comercial'!H171</f>
        <v>0</v>
      </c>
      <c r="E167" s="276">
        <f>'🧾 Factura Comercial'!I171</f>
        <v>0</v>
      </c>
      <c r="F167" s="277">
        <f>IF('🧾 Tributos Aduana'!$F$6=0,0,'🧾 Factura Comercial'!I171/'🧾 Tributos Aduana'!$F$6)</f>
        <v>0</v>
      </c>
      <c r="G167" s="278">
        <f>'🧾 Factura Comercial'!H171*'📋 Datos Generales'!$E$19</f>
        <v>0</v>
      </c>
      <c r="H167" s="278">
        <f>TABLA_BASE[[#This Row],[FOB UNIT.
(S/.)]]*TABLA_BASE[[#This Row],[CANTIDAD
(unid.)]]</f>
        <v>0</v>
      </c>
      <c r="I167" s="280">
        <f>IF('🧾 Tributos Aduana'!$F$6=0,0,'🧾 Tributos Aduana'!$F$17*('🧾 Factura Comercial'!H171/'🧾 Tributos Aduana'!$F$6))</f>
        <v>0</v>
      </c>
      <c r="J167" s="280">
        <f>TABLA_BASE[[#This Row],[ADV UNIT.
(US$)
⚠️COSTO]]*TABLA_BASE[[#This Row],[CANTIDAD
(unid.)]]</f>
        <v>0</v>
      </c>
      <c r="K167" s="279">
        <f>IF('🧾 Tributos Aduana'!$F$6=0,0,'🧾 Tributos Aduana'!$F$18*('🧾 Factura Comercial'!H171/'🧾 Tributos Aduana'!$F$6))</f>
        <v>0</v>
      </c>
      <c r="L167" s="280">
        <f>TABLA_BASE[[#This Row],[IPM UNIT.
(US$)
✅CF]]*TABLA_BASE[[#This Row],[CANTIDAD
(unid.)]]</f>
        <v>0</v>
      </c>
      <c r="M167" s="279">
        <f>IF('🧾 Tributos Aduana'!$F$6=0,0,'🧾 Tributos Aduana'!$F$19*('🧾 Factura Comercial'!H171/'🧾 Tributos Aduana'!$F$6))</f>
        <v>0</v>
      </c>
      <c r="N167" s="280">
        <f>TABLA_BASE[[#This Row],[IGV UNIT.
(US$)
✅CF]]*TABLA_BASE[[#This Row],[CANTIDAD
(unid.)]]</f>
        <v>0</v>
      </c>
      <c r="O167" s="280">
        <f>IF('🧾 Tributos Aduana'!$F$6=0,0,'🧾 Tributos Aduana'!$F$23*('🧾 Factura Comercial'!H171/'🧾 Tributos Aduana'!$F$6))</f>
        <v>0</v>
      </c>
      <c r="P167" s="280">
        <f>TABLA_BASE[[#This Row],[PERCEP.
UNIT.(US$)
✅CF]]*TABLA_BASE[[#This Row],[CANTIDAD
(unid.)]]</f>
        <v>0</v>
      </c>
      <c r="Q167" s="279">
        <f>TABLA_BASE[[#This Row],[ADV UNIT.
(US$)
⚠️COSTO]]+TABLA_BASE[[#This Row],[IPM UNIT.
(US$)
✅CF]]+TABLA_BASE[[#This Row],[IGV UNIT.
(US$)
✅CF]]</f>
        <v>0</v>
      </c>
      <c r="R167" s="280">
        <f>TABLA_BASE[[#This Row],[DEUDA
ADUANERA
UNIT.]]*TABLA_BASE[[#This Row],[CANTIDAD
(unid.)]]</f>
        <v>0</v>
      </c>
      <c r="S167" s="278">
        <f>TABLA_BASE[[#This Row],[DEUDA
ADUANERA
UNIT.]]*'📋 Datos Generales'!$E$19</f>
        <v>0</v>
      </c>
      <c r="T167" s="278">
        <f>TABLA_BASE[[#This Row],[DEUDA
ADUANERA
TOTAL]]*'📋 Datos Generales'!$E$19</f>
        <v>0</v>
      </c>
      <c r="U167" s="281">
        <f>TABLA_BASE[[#This Row],[ADV UNIT.
(US$)
⚠️COSTO]]*'📋 Datos Generales'!$E$19</f>
        <v>0</v>
      </c>
      <c r="V167" s="281">
        <f>TABLA_BASE[[#This Row],[ADV UNIT.
(S/.)]]*TABLA_BASE[[#This Row],[CANTIDAD
(unid.)]]</f>
        <v>0</v>
      </c>
      <c r="W167" s="281">
        <f>TABLA_BASE[[#This Row],[IPM UNIT.
(US$)
✅CF]]*'📋 Datos Generales'!$E$19</f>
        <v>0</v>
      </c>
      <c r="X167" s="281">
        <f>TABLA_BASE[[#This Row],[IPM UNIT.
(S/.)]]*TABLA_BASE[[#This Row],[CANTIDAD
(unid.)]]</f>
        <v>0</v>
      </c>
      <c r="Y167" s="281">
        <f>TABLA_BASE[[#This Row],[IGV UNIT.
(US$)
✅CF]]*'📋 Datos Generales'!$E$19</f>
        <v>0</v>
      </c>
      <c r="Z167" s="281">
        <f>TABLA_BASE[[#This Row],[IGV UNIT.
(S/.)]]*TABLA_BASE[[#This Row],[CANTIDAD
(unid.)]]</f>
        <v>0</v>
      </c>
      <c r="AA167" s="281">
        <f>TABLA_BASE[[#This Row],[PERCEP.
UNIT.(US$)
✅CF]]*'📋 Datos Generales'!$E$19</f>
        <v>0</v>
      </c>
      <c r="AB167" s="281">
        <f>TABLA_BASE[[#This Row],[PERCEP.
UNIT.(S/.)]]*TABLA_BASE[[#This Row],[CANTIDAD
(unid.)]]</f>
        <v>0</v>
      </c>
      <c r="AC167" s="279">
        <f>TABLA_BASE[[#This Row],[ADV UNIT.
(US$)
⚠️COSTO]]+TABLA_BASE[[#This Row],[IPM UNIT.
(US$)
✅CF]]+TABLA_BASE[[#This Row],[IGV UNIT.
(US$)
✅CF]]+TABLA_BASE[[#This Row],[PERCEP.
UNIT.(US$)
✅CF]]</f>
        <v>0</v>
      </c>
      <c r="AD167" s="279">
        <f>TABLA_BASE[[#This Row],[TOTAL PAGO
SUNAT
UNIT.(US$)]]*TABLA_BASE[[#This Row],[CANTIDAD
(unid.)]]</f>
        <v>0</v>
      </c>
      <c r="AE167" s="281">
        <f>TABLA_BASE[[#This Row],[TOTAL PAGO
SUNAT
UNIT.(US$)]]*'📋 Datos Generales'!$E$19</f>
        <v>0</v>
      </c>
      <c r="AF167" s="281">
        <f>TABLA_BASE[[#This Row],[TOTAL TRIB.
UNIT.(S/.)]]*TABLA_BASE[[#This Row],[CANTIDAD
(unid.)]]</f>
        <v>0</v>
      </c>
      <c r="AG167" s="279">
        <f>IF('🧾 Factura Comercial'!G171=0,0,'📦 Gastos Importación'!$E$28*(IF('🧾 Tributos Aduana'!$F$6=0,0,'🧾 Factura Comercial'!I171/'🧾 Tributos Aduana'!$F$6))/'🧾 Factura Comercial'!G171)</f>
        <v>0</v>
      </c>
      <c r="AH167" s="279">
        <f>TABLA_BASE[[#This Row],[GASTOS IMP.
UNIT.(US$)]]*TABLA_BASE[[#This Row],[CANTIDAD
(unid.)]]</f>
        <v>0</v>
      </c>
      <c r="AI167" s="281">
        <f>TABLA_BASE[[#This Row],[GASTOS IMP.
UNIT.(US$)]]*'📋 Datos Generales'!$E$19</f>
        <v>0</v>
      </c>
      <c r="AJ167" s="281">
        <f>TABLA_BASE[[#This Row],[GASTOS IMP.
UNIT.(S/.)]]*TABLA_BASE[[#This Row],[CANTIDAD
(unid.)]]</f>
        <v>0</v>
      </c>
      <c r="AK167" s="280">
        <f>'🧮 Costos x Producto'!J171</f>
        <v>0</v>
      </c>
      <c r="AL167" s="278">
        <f>'🧮 Costos x Producto'!K171</f>
        <v>0</v>
      </c>
      <c r="AM167" s="278">
        <f>TABLA_BASE[[#This Row],[C/M UNIT.
(S/.)]]*TABLA_BASE[[#This Row],[CANTIDAD
(unid.)]]</f>
        <v>0</v>
      </c>
      <c r="AN167" s="279">
        <f>IF('🧾 Factura Comercial'!G171=0,0,'🧾 Tributos Aduana'!$F$17*(IF('🧾 Tributos Aduana'!$F$6=0,0,'🧾 Factura Comercial'!I171/'🧾 Tributos Aduana'!$F$6))/'🧾 Factura Comercial'!G171)</f>
        <v>0</v>
      </c>
      <c r="AO167" s="280">
        <f>IF('🧾 Factura Comercial'!G171=0,0,'🏦 Crédito Fiscal'!$C$16*(IF('🧾 Tributos Aduana'!$F$6=0,0,'🧾 Factura Comercial'!I171/'🧾 Tributos Aduana'!$F$6))/'🧾 Factura Comercial'!G171)</f>
        <v>0</v>
      </c>
      <c r="AP167" s="278">
        <f>TABLA_BASE[[#This Row],[CF UNIT.
✅RECUP.
(US$)]]*'📋 Datos Generales'!$E$19</f>
        <v>0</v>
      </c>
      <c r="AQ167" s="278">
        <f>TABLA_BASE[[#This Row],[CF UNIT.
✅RECUP.(S/.)]]*TABLA_BASE[[#This Row],[CANTIDAD
(unid.)]]</f>
        <v>0</v>
      </c>
      <c r="AR167" s="288">
        <f>'💰 Precio de Venta'!G172</f>
        <v>0.4</v>
      </c>
      <c r="AS167" s="278">
        <f>'💰 Precio de Venta'!H172</f>
        <v>0</v>
      </c>
      <c r="AT167" s="278">
        <f>TABLA_BASE[[#This Row],[VALOR VTA.
UNIT.(S/.)]]*TABLA_BASE[[#This Row],[CANTIDAD
(unid.)]]</f>
        <v>0</v>
      </c>
      <c r="AU167" s="281">
        <f>'💰 Precio de Venta'!I172</f>
        <v>0</v>
      </c>
      <c r="AV167" s="278">
        <f>'💰 Precio de Venta'!J172</f>
        <v>0</v>
      </c>
      <c r="AW167" s="278">
        <f>TABLA_BASE[[#This Row],[GANANCIA
UNIT.(S/.)]]*TABLA_BASE[[#This Row],[CANTIDAD
(unid.)]]</f>
        <v>0</v>
      </c>
      <c r="AX167" s="289">
        <f>'💰 Precio de Venta'!K172</f>
        <v>0</v>
      </c>
      <c r="AY167" s="278">
        <f>TABLA_BASE[[#This Row],[GANANCIA
UNIT.(S/.)]]*'🧾 Factura Comercial'!G171</f>
        <v>0</v>
      </c>
      <c r="AZ167" s="277">
        <f>IF(TABLA_BASE[[#This Row],[PRECIO VTA.
c/IGV(S/.)]]=0,0,TABLA_BASE[[#This Row],[GANANCIA
UNIT.(S/.)]]/TABLA_BASE[[#This Row],[PRECIO VTA.
c/IGV(S/.)]])</f>
        <v>0</v>
      </c>
      <c r="BA167" s="277">
        <f>IF(TABLA_BASE[[#This Row],[C/M UNIT.
(S/.)]]=0,0,TABLA_BASE[[#This Row],[GANANCIA
UNIT.(S/.)]]/TABLA_BASE[[#This Row],[C/M UNIT.
(S/.)]])</f>
        <v>0</v>
      </c>
      <c r="BB167" s="274" t="str">
        <f>IF(TABLA_BASE[[#This Row],[MARGEN
%]]&gt;=0.5,"🟢 ALTO",IF(TABLA_BASE[[#This Row],[MARGEN
%]]&gt;=0.3,"🟡 MEDIO","🔴 BAJO"))</f>
        <v>🟡 MEDIO</v>
      </c>
    </row>
    <row r="168" spans="1:54" ht="16.5" hidden="1" thickTop="1" thickBot="1" x14ac:dyDescent="0.3">
      <c r="A168" s="274">
        <f>'🧾 Factura Comercial'!E172</f>
        <v>0</v>
      </c>
      <c r="B168" s="274" t="str">
        <f>'🧾 Factura Comercial'!F172</f>
        <v>Unid.</v>
      </c>
      <c r="C168" s="275">
        <f>'🧾 Factura Comercial'!G172</f>
        <v>0</v>
      </c>
      <c r="D168" s="276">
        <f>'🧾 Factura Comercial'!H172</f>
        <v>0</v>
      </c>
      <c r="E168" s="276">
        <f>'🧾 Factura Comercial'!I172</f>
        <v>0</v>
      </c>
      <c r="F168" s="277">
        <f>IF('🧾 Tributos Aduana'!$F$6=0,0,'🧾 Factura Comercial'!I172/'🧾 Tributos Aduana'!$F$6)</f>
        <v>0</v>
      </c>
      <c r="G168" s="278">
        <f>'🧾 Factura Comercial'!H172*'📋 Datos Generales'!$E$19</f>
        <v>0</v>
      </c>
      <c r="H168" s="278">
        <f>TABLA_BASE[[#This Row],[FOB UNIT.
(S/.)]]*TABLA_BASE[[#This Row],[CANTIDAD
(unid.)]]</f>
        <v>0</v>
      </c>
      <c r="I168" s="280">
        <f>IF('🧾 Tributos Aduana'!$F$6=0,0,'🧾 Tributos Aduana'!$F$17*('🧾 Factura Comercial'!H172/'🧾 Tributos Aduana'!$F$6))</f>
        <v>0</v>
      </c>
      <c r="J168" s="280">
        <f>TABLA_BASE[[#This Row],[ADV UNIT.
(US$)
⚠️COSTO]]*TABLA_BASE[[#This Row],[CANTIDAD
(unid.)]]</f>
        <v>0</v>
      </c>
      <c r="K168" s="279">
        <f>IF('🧾 Tributos Aduana'!$F$6=0,0,'🧾 Tributos Aduana'!$F$18*('🧾 Factura Comercial'!H172/'🧾 Tributos Aduana'!$F$6))</f>
        <v>0</v>
      </c>
      <c r="L168" s="280">
        <f>TABLA_BASE[[#This Row],[IPM UNIT.
(US$)
✅CF]]*TABLA_BASE[[#This Row],[CANTIDAD
(unid.)]]</f>
        <v>0</v>
      </c>
      <c r="M168" s="279">
        <f>IF('🧾 Tributos Aduana'!$F$6=0,0,'🧾 Tributos Aduana'!$F$19*('🧾 Factura Comercial'!H172/'🧾 Tributos Aduana'!$F$6))</f>
        <v>0</v>
      </c>
      <c r="N168" s="280">
        <f>TABLA_BASE[[#This Row],[IGV UNIT.
(US$)
✅CF]]*TABLA_BASE[[#This Row],[CANTIDAD
(unid.)]]</f>
        <v>0</v>
      </c>
      <c r="O168" s="280">
        <f>IF('🧾 Tributos Aduana'!$F$6=0,0,'🧾 Tributos Aduana'!$F$23*('🧾 Factura Comercial'!H172/'🧾 Tributos Aduana'!$F$6))</f>
        <v>0</v>
      </c>
      <c r="P168" s="280">
        <f>TABLA_BASE[[#This Row],[PERCEP.
UNIT.(US$)
✅CF]]*TABLA_BASE[[#This Row],[CANTIDAD
(unid.)]]</f>
        <v>0</v>
      </c>
      <c r="Q168" s="279">
        <f>TABLA_BASE[[#This Row],[ADV UNIT.
(US$)
⚠️COSTO]]+TABLA_BASE[[#This Row],[IPM UNIT.
(US$)
✅CF]]+TABLA_BASE[[#This Row],[IGV UNIT.
(US$)
✅CF]]</f>
        <v>0</v>
      </c>
      <c r="R168" s="280">
        <f>TABLA_BASE[[#This Row],[DEUDA
ADUANERA
UNIT.]]*TABLA_BASE[[#This Row],[CANTIDAD
(unid.)]]</f>
        <v>0</v>
      </c>
      <c r="S168" s="278">
        <f>TABLA_BASE[[#This Row],[DEUDA
ADUANERA
UNIT.]]*'📋 Datos Generales'!$E$19</f>
        <v>0</v>
      </c>
      <c r="T168" s="278">
        <f>TABLA_BASE[[#This Row],[DEUDA
ADUANERA
TOTAL]]*'📋 Datos Generales'!$E$19</f>
        <v>0</v>
      </c>
      <c r="U168" s="281">
        <f>TABLA_BASE[[#This Row],[ADV UNIT.
(US$)
⚠️COSTO]]*'📋 Datos Generales'!$E$19</f>
        <v>0</v>
      </c>
      <c r="V168" s="281">
        <f>TABLA_BASE[[#This Row],[ADV UNIT.
(S/.)]]*TABLA_BASE[[#This Row],[CANTIDAD
(unid.)]]</f>
        <v>0</v>
      </c>
      <c r="W168" s="281">
        <f>TABLA_BASE[[#This Row],[IPM UNIT.
(US$)
✅CF]]*'📋 Datos Generales'!$E$19</f>
        <v>0</v>
      </c>
      <c r="X168" s="281">
        <f>TABLA_BASE[[#This Row],[IPM UNIT.
(S/.)]]*TABLA_BASE[[#This Row],[CANTIDAD
(unid.)]]</f>
        <v>0</v>
      </c>
      <c r="Y168" s="281">
        <f>TABLA_BASE[[#This Row],[IGV UNIT.
(US$)
✅CF]]*'📋 Datos Generales'!$E$19</f>
        <v>0</v>
      </c>
      <c r="Z168" s="281">
        <f>TABLA_BASE[[#This Row],[IGV UNIT.
(S/.)]]*TABLA_BASE[[#This Row],[CANTIDAD
(unid.)]]</f>
        <v>0</v>
      </c>
      <c r="AA168" s="281">
        <f>TABLA_BASE[[#This Row],[PERCEP.
UNIT.(US$)
✅CF]]*'📋 Datos Generales'!$E$19</f>
        <v>0</v>
      </c>
      <c r="AB168" s="281">
        <f>TABLA_BASE[[#This Row],[PERCEP.
UNIT.(S/.)]]*TABLA_BASE[[#This Row],[CANTIDAD
(unid.)]]</f>
        <v>0</v>
      </c>
      <c r="AC168" s="279">
        <f>TABLA_BASE[[#This Row],[ADV UNIT.
(US$)
⚠️COSTO]]+TABLA_BASE[[#This Row],[IPM UNIT.
(US$)
✅CF]]+TABLA_BASE[[#This Row],[IGV UNIT.
(US$)
✅CF]]+TABLA_BASE[[#This Row],[PERCEP.
UNIT.(US$)
✅CF]]</f>
        <v>0</v>
      </c>
      <c r="AD168" s="279">
        <f>TABLA_BASE[[#This Row],[TOTAL PAGO
SUNAT
UNIT.(US$)]]*TABLA_BASE[[#This Row],[CANTIDAD
(unid.)]]</f>
        <v>0</v>
      </c>
      <c r="AE168" s="281">
        <f>TABLA_BASE[[#This Row],[TOTAL PAGO
SUNAT
UNIT.(US$)]]*'📋 Datos Generales'!$E$19</f>
        <v>0</v>
      </c>
      <c r="AF168" s="281">
        <f>TABLA_BASE[[#This Row],[TOTAL TRIB.
UNIT.(S/.)]]*TABLA_BASE[[#This Row],[CANTIDAD
(unid.)]]</f>
        <v>0</v>
      </c>
      <c r="AG168" s="279">
        <f>IF('🧾 Factura Comercial'!G172=0,0,'📦 Gastos Importación'!$E$28*(IF('🧾 Tributos Aduana'!$F$6=0,0,'🧾 Factura Comercial'!I172/'🧾 Tributos Aduana'!$F$6))/'🧾 Factura Comercial'!G172)</f>
        <v>0</v>
      </c>
      <c r="AH168" s="279">
        <f>TABLA_BASE[[#This Row],[GASTOS IMP.
UNIT.(US$)]]*TABLA_BASE[[#This Row],[CANTIDAD
(unid.)]]</f>
        <v>0</v>
      </c>
      <c r="AI168" s="281">
        <f>TABLA_BASE[[#This Row],[GASTOS IMP.
UNIT.(US$)]]*'📋 Datos Generales'!$E$19</f>
        <v>0</v>
      </c>
      <c r="AJ168" s="281">
        <f>TABLA_BASE[[#This Row],[GASTOS IMP.
UNIT.(S/.)]]*TABLA_BASE[[#This Row],[CANTIDAD
(unid.)]]</f>
        <v>0</v>
      </c>
      <c r="AK168" s="280">
        <f>'🧮 Costos x Producto'!J172</f>
        <v>0</v>
      </c>
      <c r="AL168" s="278">
        <f>'🧮 Costos x Producto'!K172</f>
        <v>0</v>
      </c>
      <c r="AM168" s="278">
        <f>TABLA_BASE[[#This Row],[C/M UNIT.
(S/.)]]*TABLA_BASE[[#This Row],[CANTIDAD
(unid.)]]</f>
        <v>0</v>
      </c>
      <c r="AN168" s="279">
        <f>IF('🧾 Factura Comercial'!G172=0,0,'🧾 Tributos Aduana'!$F$17*(IF('🧾 Tributos Aduana'!$F$6=0,0,'🧾 Factura Comercial'!I172/'🧾 Tributos Aduana'!$F$6))/'🧾 Factura Comercial'!G172)</f>
        <v>0</v>
      </c>
      <c r="AO168" s="280">
        <f>IF('🧾 Factura Comercial'!G172=0,0,'🏦 Crédito Fiscal'!$C$16*(IF('🧾 Tributos Aduana'!$F$6=0,0,'🧾 Factura Comercial'!I172/'🧾 Tributos Aduana'!$F$6))/'🧾 Factura Comercial'!G172)</f>
        <v>0</v>
      </c>
      <c r="AP168" s="278">
        <f>TABLA_BASE[[#This Row],[CF UNIT.
✅RECUP.
(US$)]]*'📋 Datos Generales'!$E$19</f>
        <v>0</v>
      </c>
      <c r="AQ168" s="278">
        <f>TABLA_BASE[[#This Row],[CF UNIT.
✅RECUP.(S/.)]]*TABLA_BASE[[#This Row],[CANTIDAD
(unid.)]]</f>
        <v>0</v>
      </c>
      <c r="AR168" s="288">
        <f>'💰 Precio de Venta'!G173</f>
        <v>0.4</v>
      </c>
      <c r="AS168" s="278">
        <f>'💰 Precio de Venta'!H173</f>
        <v>0</v>
      </c>
      <c r="AT168" s="278">
        <f>TABLA_BASE[[#This Row],[VALOR VTA.
UNIT.(S/.)]]*TABLA_BASE[[#This Row],[CANTIDAD
(unid.)]]</f>
        <v>0</v>
      </c>
      <c r="AU168" s="281">
        <f>'💰 Precio de Venta'!I173</f>
        <v>0</v>
      </c>
      <c r="AV168" s="278">
        <f>'💰 Precio de Venta'!J173</f>
        <v>0</v>
      </c>
      <c r="AW168" s="278">
        <f>TABLA_BASE[[#This Row],[GANANCIA
UNIT.(S/.)]]*TABLA_BASE[[#This Row],[CANTIDAD
(unid.)]]</f>
        <v>0</v>
      </c>
      <c r="AX168" s="289">
        <f>'💰 Precio de Venta'!K173</f>
        <v>0</v>
      </c>
      <c r="AY168" s="278">
        <f>TABLA_BASE[[#This Row],[GANANCIA
UNIT.(S/.)]]*'🧾 Factura Comercial'!G172</f>
        <v>0</v>
      </c>
      <c r="AZ168" s="277">
        <f>IF(TABLA_BASE[[#This Row],[PRECIO VTA.
c/IGV(S/.)]]=0,0,TABLA_BASE[[#This Row],[GANANCIA
UNIT.(S/.)]]/TABLA_BASE[[#This Row],[PRECIO VTA.
c/IGV(S/.)]])</f>
        <v>0</v>
      </c>
      <c r="BA168" s="277">
        <f>IF(TABLA_BASE[[#This Row],[C/M UNIT.
(S/.)]]=0,0,TABLA_BASE[[#This Row],[GANANCIA
UNIT.(S/.)]]/TABLA_BASE[[#This Row],[C/M UNIT.
(S/.)]])</f>
        <v>0</v>
      </c>
      <c r="BB168" s="274" t="str">
        <f>IF(TABLA_BASE[[#This Row],[MARGEN
%]]&gt;=0.5,"🟢 ALTO",IF(TABLA_BASE[[#This Row],[MARGEN
%]]&gt;=0.3,"🟡 MEDIO","🔴 BAJO"))</f>
        <v>🟡 MEDIO</v>
      </c>
    </row>
    <row r="169" spans="1:54" ht="16.5" hidden="1" thickTop="1" thickBot="1" x14ac:dyDescent="0.3">
      <c r="A169" s="274">
        <f>'🧾 Factura Comercial'!E173</f>
        <v>0</v>
      </c>
      <c r="B169" s="274" t="str">
        <f>'🧾 Factura Comercial'!F173</f>
        <v>Unid.</v>
      </c>
      <c r="C169" s="275">
        <f>'🧾 Factura Comercial'!G173</f>
        <v>0</v>
      </c>
      <c r="D169" s="276">
        <f>'🧾 Factura Comercial'!H173</f>
        <v>0</v>
      </c>
      <c r="E169" s="276">
        <f>'🧾 Factura Comercial'!I173</f>
        <v>0</v>
      </c>
      <c r="F169" s="277">
        <f>IF('🧾 Tributos Aduana'!$F$6=0,0,'🧾 Factura Comercial'!I173/'🧾 Tributos Aduana'!$F$6)</f>
        <v>0</v>
      </c>
      <c r="G169" s="278">
        <f>'🧾 Factura Comercial'!H173*'📋 Datos Generales'!$E$19</f>
        <v>0</v>
      </c>
      <c r="H169" s="278">
        <f>TABLA_BASE[[#This Row],[FOB UNIT.
(S/.)]]*TABLA_BASE[[#This Row],[CANTIDAD
(unid.)]]</f>
        <v>0</v>
      </c>
      <c r="I169" s="280">
        <f>IF('🧾 Tributos Aduana'!$F$6=0,0,'🧾 Tributos Aduana'!$F$17*('🧾 Factura Comercial'!H173/'🧾 Tributos Aduana'!$F$6))</f>
        <v>0</v>
      </c>
      <c r="J169" s="280">
        <f>TABLA_BASE[[#This Row],[ADV UNIT.
(US$)
⚠️COSTO]]*TABLA_BASE[[#This Row],[CANTIDAD
(unid.)]]</f>
        <v>0</v>
      </c>
      <c r="K169" s="279">
        <f>IF('🧾 Tributos Aduana'!$F$6=0,0,'🧾 Tributos Aduana'!$F$18*('🧾 Factura Comercial'!H173/'🧾 Tributos Aduana'!$F$6))</f>
        <v>0</v>
      </c>
      <c r="L169" s="280">
        <f>TABLA_BASE[[#This Row],[IPM UNIT.
(US$)
✅CF]]*TABLA_BASE[[#This Row],[CANTIDAD
(unid.)]]</f>
        <v>0</v>
      </c>
      <c r="M169" s="279">
        <f>IF('🧾 Tributos Aduana'!$F$6=0,0,'🧾 Tributos Aduana'!$F$19*('🧾 Factura Comercial'!H173/'🧾 Tributos Aduana'!$F$6))</f>
        <v>0</v>
      </c>
      <c r="N169" s="280">
        <f>TABLA_BASE[[#This Row],[IGV UNIT.
(US$)
✅CF]]*TABLA_BASE[[#This Row],[CANTIDAD
(unid.)]]</f>
        <v>0</v>
      </c>
      <c r="O169" s="280">
        <f>IF('🧾 Tributos Aduana'!$F$6=0,0,'🧾 Tributos Aduana'!$F$23*('🧾 Factura Comercial'!H173/'🧾 Tributos Aduana'!$F$6))</f>
        <v>0</v>
      </c>
      <c r="P169" s="280">
        <f>TABLA_BASE[[#This Row],[PERCEP.
UNIT.(US$)
✅CF]]*TABLA_BASE[[#This Row],[CANTIDAD
(unid.)]]</f>
        <v>0</v>
      </c>
      <c r="Q169" s="279">
        <f>TABLA_BASE[[#This Row],[ADV UNIT.
(US$)
⚠️COSTO]]+TABLA_BASE[[#This Row],[IPM UNIT.
(US$)
✅CF]]+TABLA_BASE[[#This Row],[IGV UNIT.
(US$)
✅CF]]</f>
        <v>0</v>
      </c>
      <c r="R169" s="280">
        <f>TABLA_BASE[[#This Row],[DEUDA
ADUANERA
UNIT.]]*TABLA_BASE[[#This Row],[CANTIDAD
(unid.)]]</f>
        <v>0</v>
      </c>
      <c r="S169" s="278">
        <f>TABLA_BASE[[#This Row],[DEUDA
ADUANERA
UNIT.]]*'📋 Datos Generales'!$E$19</f>
        <v>0</v>
      </c>
      <c r="T169" s="278">
        <f>TABLA_BASE[[#This Row],[DEUDA
ADUANERA
TOTAL]]*'📋 Datos Generales'!$E$19</f>
        <v>0</v>
      </c>
      <c r="U169" s="281">
        <f>TABLA_BASE[[#This Row],[ADV UNIT.
(US$)
⚠️COSTO]]*'📋 Datos Generales'!$E$19</f>
        <v>0</v>
      </c>
      <c r="V169" s="281">
        <f>TABLA_BASE[[#This Row],[ADV UNIT.
(S/.)]]*TABLA_BASE[[#This Row],[CANTIDAD
(unid.)]]</f>
        <v>0</v>
      </c>
      <c r="W169" s="281">
        <f>TABLA_BASE[[#This Row],[IPM UNIT.
(US$)
✅CF]]*'📋 Datos Generales'!$E$19</f>
        <v>0</v>
      </c>
      <c r="X169" s="281">
        <f>TABLA_BASE[[#This Row],[IPM UNIT.
(S/.)]]*TABLA_BASE[[#This Row],[CANTIDAD
(unid.)]]</f>
        <v>0</v>
      </c>
      <c r="Y169" s="281">
        <f>TABLA_BASE[[#This Row],[IGV UNIT.
(US$)
✅CF]]*'📋 Datos Generales'!$E$19</f>
        <v>0</v>
      </c>
      <c r="Z169" s="281">
        <f>TABLA_BASE[[#This Row],[IGV UNIT.
(S/.)]]*TABLA_BASE[[#This Row],[CANTIDAD
(unid.)]]</f>
        <v>0</v>
      </c>
      <c r="AA169" s="281">
        <f>TABLA_BASE[[#This Row],[PERCEP.
UNIT.(US$)
✅CF]]*'📋 Datos Generales'!$E$19</f>
        <v>0</v>
      </c>
      <c r="AB169" s="281">
        <f>TABLA_BASE[[#This Row],[PERCEP.
UNIT.(S/.)]]*TABLA_BASE[[#This Row],[CANTIDAD
(unid.)]]</f>
        <v>0</v>
      </c>
      <c r="AC169" s="279">
        <f>TABLA_BASE[[#This Row],[ADV UNIT.
(US$)
⚠️COSTO]]+TABLA_BASE[[#This Row],[IPM UNIT.
(US$)
✅CF]]+TABLA_BASE[[#This Row],[IGV UNIT.
(US$)
✅CF]]+TABLA_BASE[[#This Row],[PERCEP.
UNIT.(US$)
✅CF]]</f>
        <v>0</v>
      </c>
      <c r="AD169" s="279">
        <f>TABLA_BASE[[#This Row],[TOTAL PAGO
SUNAT
UNIT.(US$)]]*TABLA_BASE[[#This Row],[CANTIDAD
(unid.)]]</f>
        <v>0</v>
      </c>
      <c r="AE169" s="281">
        <f>TABLA_BASE[[#This Row],[TOTAL PAGO
SUNAT
UNIT.(US$)]]*'📋 Datos Generales'!$E$19</f>
        <v>0</v>
      </c>
      <c r="AF169" s="281">
        <f>TABLA_BASE[[#This Row],[TOTAL TRIB.
UNIT.(S/.)]]*TABLA_BASE[[#This Row],[CANTIDAD
(unid.)]]</f>
        <v>0</v>
      </c>
      <c r="AG169" s="279">
        <f>IF('🧾 Factura Comercial'!G173=0,0,'📦 Gastos Importación'!$E$28*(IF('🧾 Tributos Aduana'!$F$6=0,0,'🧾 Factura Comercial'!I173/'🧾 Tributos Aduana'!$F$6))/'🧾 Factura Comercial'!G173)</f>
        <v>0</v>
      </c>
      <c r="AH169" s="279">
        <f>TABLA_BASE[[#This Row],[GASTOS IMP.
UNIT.(US$)]]*TABLA_BASE[[#This Row],[CANTIDAD
(unid.)]]</f>
        <v>0</v>
      </c>
      <c r="AI169" s="281">
        <f>TABLA_BASE[[#This Row],[GASTOS IMP.
UNIT.(US$)]]*'📋 Datos Generales'!$E$19</f>
        <v>0</v>
      </c>
      <c r="AJ169" s="281">
        <f>TABLA_BASE[[#This Row],[GASTOS IMP.
UNIT.(S/.)]]*TABLA_BASE[[#This Row],[CANTIDAD
(unid.)]]</f>
        <v>0</v>
      </c>
      <c r="AK169" s="280">
        <f>'🧮 Costos x Producto'!J173</f>
        <v>0</v>
      </c>
      <c r="AL169" s="278">
        <f>'🧮 Costos x Producto'!K173</f>
        <v>0</v>
      </c>
      <c r="AM169" s="278">
        <f>TABLA_BASE[[#This Row],[C/M UNIT.
(S/.)]]*TABLA_BASE[[#This Row],[CANTIDAD
(unid.)]]</f>
        <v>0</v>
      </c>
      <c r="AN169" s="279">
        <f>IF('🧾 Factura Comercial'!G173=0,0,'🧾 Tributos Aduana'!$F$17*(IF('🧾 Tributos Aduana'!$F$6=0,0,'🧾 Factura Comercial'!I173/'🧾 Tributos Aduana'!$F$6))/'🧾 Factura Comercial'!G173)</f>
        <v>0</v>
      </c>
      <c r="AO169" s="280">
        <f>IF('🧾 Factura Comercial'!G173=0,0,'🏦 Crédito Fiscal'!$C$16*(IF('🧾 Tributos Aduana'!$F$6=0,0,'🧾 Factura Comercial'!I173/'🧾 Tributos Aduana'!$F$6))/'🧾 Factura Comercial'!G173)</f>
        <v>0</v>
      </c>
      <c r="AP169" s="278">
        <f>TABLA_BASE[[#This Row],[CF UNIT.
✅RECUP.
(US$)]]*'📋 Datos Generales'!$E$19</f>
        <v>0</v>
      </c>
      <c r="AQ169" s="278">
        <f>TABLA_BASE[[#This Row],[CF UNIT.
✅RECUP.(S/.)]]*TABLA_BASE[[#This Row],[CANTIDAD
(unid.)]]</f>
        <v>0</v>
      </c>
      <c r="AR169" s="288">
        <f>'💰 Precio de Venta'!G174</f>
        <v>0.4</v>
      </c>
      <c r="AS169" s="278">
        <f>'💰 Precio de Venta'!H174</f>
        <v>0</v>
      </c>
      <c r="AT169" s="278">
        <f>TABLA_BASE[[#This Row],[VALOR VTA.
UNIT.(S/.)]]*TABLA_BASE[[#This Row],[CANTIDAD
(unid.)]]</f>
        <v>0</v>
      </c>
      <c r="AU169" s="281">
        <f>'💰 Precio de Venta'!I174</f>
        <v>0</v>
      </c>
      <c r="AV169" s="278">
        <f>'💰 Precio de Venta'!J174</f>
        <v>0</v>
      </c>
      <c r="AW169" s="278">
        <f>TABLA_BASE[[#This Row],[GANANCIA
UNIT.(S/.)]]*TABLA_BASE[[#This Row],[CANTIDAD
(unid.)]]</f>
        <v>0</v>
      </c>
      <c r="AX169" s="289">
        <f>'💰 Precio de Venta'!K174</f>
        <v>0</v>
      </c>
      <c r="AY169" s="278">
        <f>TABLA_BASE[[#This Row],[GANANCIA
UNIT.(S/.)]]*'🧾 Factura Comercial'!G173</f>
        <v>0</v>
      </c>
      <c r="AZ169" s="277">
        <f>IF(TABLA_BASE[[#This Row],[PRECIO VTA.
c/IGV(S/.)]]=0,0,TABLA_BASE[[#This Row],[GANANCIA
UNIT.(S/.)]]/TABLA_BASE[[#This Row],[PRECIO VTA.
c/IGV(S/.)]])</f>
        <v>0</v>
      </c>
      <c r="BA169" s="277">
        <f>IF(TABLA_BASE[[#This Row],[C/M UNIT.
(S/.)]]=0,0,TABLA_BASE[[#This Row],[GANANCIA
UNIT.(S/.)]]/TABLA_BASE[[#This Row],[C/M UNIT.
(S/.)]])</f>
        <v>0</v>
      </c>
      <c r="BB169" s="274" t="str">
        <f>IF(TABLA_BASE[[#This Row],[MARGEN
%]]&gt;=0.5,"🟢 ALTO",IF(TABLA_BASE[[#This Row],[MARGEN
%]]&gt;=0.3,"🟡 MEDIO","🔴 BAJO"))</f>
        <v>🟡 MEDIO</v>
      </c>
    </row>
    <row r="170" spans="1:54" ht="16.5" hidden="1" thickTop="1" thickBot="1" x14ac:dyDescent="0.3">
      <c r="A170" s="274">
        <f>'🧾 Factura Comercial'!E174</f>
        <v>0</v>
      </c>
      <c r="B170" s="274" t="str">
        <f>'🧾 Factura Comercial'!F174</f>
        <v>Unid.</v>
      </c>
      <c r="C170" s="275">
        <f>'🧾 Factura Comercial'!G174</f>
        <v>0</v>
      </c>
      <c r="D170" s="276">
        <f>'🧾 Factura Comercial'!H174</f>
        <v>0</v>
      </c>
      <c r="E170" s="276">
        <f>'🧾 Factura Comercial'!I174</f>
        <v>0</v>
      </c>
      <c r="F170" s="277">
        <f>IF('🧾 Tributos Aduana'!$F$6=0,0,'🧾 Factura Comercial'!I174/'🧾 Tributos Aduana'!$F$6)</f>
        <v>0</v>
      </c>
      <c r="G170" s="278">
        <f>'🧾 Factura Comercial'!H174*'📋 Datos Generales'!$E$19</f>
        <v>0</v>
      </c>
      <c r="H170" s="278">
        <f>TABLA_BASE[[#This Row],[FOB UNIT.
(S/.)]]*TABLA_BASE[[#This Row],[CANTIDAD
(unid.)]]</f>
        <v>0</v>
      </c>
      <c r="I170" s="280">
        <f>IF('🧾 Tributos Aduana'!$F$6=0,0,'🧾 Tributos Aduana'!$F$17*('🧾 Factura Comercial'!H174/'🧾 Tributos Aduana'!$F$6))</f>
        <v>0</v>
      </c>
      <c r="J170" s="280">
        <f>TABLA_BASE[[#This Row],[ADV UNIT.
(US$)
⚠️COSTO]]*TABLA_BASE[[#This Row],[CANTIDAD
(unid.)]]</f>
        <v>0</v>
      </c>
      <c r="K170" s="279">
        <f>IF('🧾 Tributos Aduana'!$F$6=0,0,'🧾 Tributos Aduana'!$F$18*('🧾 Factura Comercial'!H174/'🧾 Tributos Aduana'!$F$6))</f>
        <v>0</v>
      </c>
      <c r="L170" s="280">
        <f>TABLA_BASE[[#This Row],[IPM UNIT.
(US$)
✅CF]]*TABLA_BASE[[#This Row],[CANTIDAD
(unid.)]]</f>
        <v>0</v>
      </c>
      <c r="M170" s="279">
        <f>IF('🧾 Tributos Aduana'!$F$6=0,0,'🧾 Tributos Aduana'!$F$19*('🧾 Factura Comercial'!H174/'🧾 Tributos Aduana'!$F$6))</f>
        <v>0</v>
      </c>
      <c r="N170" s="280">
        <f>TABLA_BASE[[#This Row],[IGV UNIT.
(US$)
✅CF]]*TABLA_BASE[[#This Row],[CANTIDAD
(unid.)]]</f>
        <v>0</v>
      </c>
      <c r="O170" s="280">
        <f>IF('🧾 Tributos Aduana'!$F$6=0,0,'🧾 Tributos Aduana'!$F$23*('🧾 Factura Comercial'!H174/'🧾 Tributos Aduana'!$F$6))</f>
        <v>0</v>
      </c>
      <c r="P170" s="280">
        <f>TABLA_BASE[[#This Row],[PERCEP.
UNIT.(US$)
✅CF]]*TABLA_BASE[[#This Row],[CANTIDAD
(unid.)]]</f>
        <v>0</v>
      </c>
      <c r="Q170" s="279">
        <f>TABLA_BASE[[#This Row],[ADV UNIT.
(US$)
⚠️COSTO]]+TABLA_BASE[[#This Row],[IPM UNIT.
(US$)
✅CF]]+TABLA_BASE[[#This Row],[IGV UNIT.
(US$)
✅CF]]</f>
        <v>0</v>
      </c>
      <c r="R170" s="280">
        <f>TABLA_BASE[[#This Row],[DEUDA
ADUANERA
UNIT.]]*TABLA_BASE[[#This Row],[CANTIDAD
(unid.)]]</f>
        <v>0</v>
      </c>
      <c r="S170" s="278">
        <f>TABLA_BASE[[#This Row],[DEUDA
ADUANERA
UNIT.]]*'📋 Datos Generales'!$E$19</f>
        <v>0</v>
      </c>
      <c r="T170" s="278">
        <f>TABLA_BASE[[#This Row],[DEUDA
ADUANERA
TOTAL]]*'📋 Datos Generales'!$E$19</f>
        <v>0</v>
      </c>
      <c r="U170" s="281">
        <f>TABLA_BASE[[#This Row],[ADV UNIT.
(US$)
⚠️COSTO]]*'📋 Datos Generales'!$E$19</f>
        <v>0</v>
      </c>
      <c r="V170" s="281">
        <f>TABLA_BASE[[#This Row],[ADV UNIT.
(S/.)]]*TABLA_BASE[[#This Row],[CANTIDAD
(unid.)]]</f>
        <v>0</v>
      </c>
      <c r="W170" s="281">
        <f>TABLA_BASE[[#This Row],[IPM UNIT.
(US$)
✅CF]]*'📋 Datos Generales'!$E$19</f>
        <v>0</v>
      </c>
      <c r="X170" s="281">
        <f>TABLA_BASE[[#This Row],[IPM UNIT.
(S/.)]]*TABLA_BASE[[#This Row],[CANTIDAD
(unid.)]]</f>
        <v>0</v>
      </c>
      <c r="Y170" s="281">
        <f>TABLA_BASE[[#This Row],[IGV UNIT.
(US$)
✅CF]]*'📋 Datos Generales'!$E$19</f>
        <v>0</v>
      </c>
      <c r="Z170" s="281">
        <f>TABLA_BASE[[#This Row],[IGV UNIT.
(S/.)]]*TABLA_BASE[[#This Row],[CANTIDAD
(unid.)]]</f>
        <v>0</v>
      </c>
      <c r="AA170" s="281">
        <f>TABLA_BASE[[#This Row],[PERCEP.
UNIT.(US$)
✅CF]]*'📋 Datos Generales'!$E$19</f>
        <v>0</v>
      </c>
      <c r="AB170" s="281">
        <f>TABLA_BASE[[#This Row],[PERCEP.
UNIT.(S/.)]]*TABLA_BASE[[#This Row],[CANTIDAD
(unid.)]]</f>
        <v>0</v>
      </c>
      <c r="AC170" s="279">
        <f>TABLA_BASE[[#This Row],[ADV UNIT.
(US$)
⚠️COSTO]]+TABLA_BASE[[#This Row],[IPM UNIT.
(US$)
✅CF]]+TABLA_BASE[[#This Row],[IGV UNIT.
(US$)
✅CF]]+TABLA_BASE[[#This Row],[PERCEP.
UNIT.(US$)
✅CF]]</f>
        <v>0</v>
      </c>
      <c r="AD170" s="279">
        <f>TABLA_BASE[[#This Row],[TOTAL PAGO
SUNAT
UNIT.(US$)]]*TABLA_BASE[[#This Row],[CANTIDAD
(unid.)]]</f>
        <v>0</v>
      </c>
      <c r="AE170" s="281">
        <f>TABLA_BASE[[#This Row],[TOTAL PAGO
SUNAT
UNIT.(US$)]]*'📋 Datos Generales'!$E$19</f>
        <v>0</v>
      </c>
      <c r="AF170" s="281">
        <f>TABLA_BASE[[#This Row],[TOTAL TRIB.
UNIT.(S/.)]]*TABLA_BASE[[#This Row],[CANTIDAD
(unid.)]]</f>
        <v>0</v>
      </c>
      <c r="AG170" s="279">
        <f>IF('🧾 Factura Comercial'!G174=0,0,'📦 Gastos Importación'!$E$28*(IF('🧾 Tributos Aduana'!$F$6=0,0,'🧾 Factura Comercial'!I174/'🧾 Tributos Aduana'!$F$6))/'🧾 Factura Comercial'!G174)</f>
        <v>0</v>
      </c>
      <c r="AH170" s="279">
        <f>TABLA_BASE[[#This Row],[GASTOS IMP.
UNIT.(US$)]]*TABLA_BASE[[#This Row],[CANTIDAD
(unid.)]]</f>
        <v>0</v>
      </c>
      <c r="AI170" s="281">
        <f>TABLA_BASE[[#This Row],[GASTOS IMP.
UNIT.(US$)]]*'📋 Datos Generales'!$E$19</f>
        <v>0</v>
      </c>
      <c r="AJ170" s="281">
        <f>TABLA_BASE[[#This Row],[GASTOS IMP.
UNIT.(S/.)]]*TABLA_BASE[[#This Row],[CANTIDAD
(unid.)]]</f>
        <v>0</v>
      </c>
      <c r="AK170" s="280">
        <f>'🧮 Costos x Producto'!J174</f>
        <v>0</v>
      </c>
      <c r="AL170" s="278">
        <f>'🧮 Costos x Producto'!K174</f>
        <v>0</v>
      </c>
      <c r="AM170" s="278">
        <f>TABLA_BASE[[#This Row],[C/M UNIT.
(S/.)]]*TABLA_BASE[[#This Row],[CANTIDAD
(unid.)]]</f>
        <v>0</v>
      </c>
      <c r="AN170" s="279">
        <f>IF('🧾 Factura Comercial'!G174=0,0,'🧾 Tributos Aduana'!$F$17*(IF('🧾 Tributos Aduana'!$F$6=0,0,'🧾 Factura Comercial'!I174/'🧾 Tributos Aduana'!$F$6))/'🧾 Factura Comercial'!G174)</f>
        <v>0</v>
      </c>
      <c r="AO170" s="280">
        <f>IF('🧾 Factura Comercial'!G174=0,0,'🏦 Crédito Fiscal'!$C$16*(IF('🧾 Tributos Aduana'!$F$6=0,0,'🧾 Factura Comercial'!I174/'🧾 Tributos Aduana'!$F$6))/'🧾 Factura Comercial'!G174)</f>
        <v>0</v>
      </c>
      <c r="AP170" s="278">
        <f>TABLA_BASE[[#This Row],[CF UNIT.
✅RECUP.
(US$)]]*'📋 Datos Generales'!$E$19</f>
        <v>0</v>
      </c>
      <c r="AQ170" s="278">
        <f>TABLA_BASE[[#This Row],[CF UNIT.
✅RECUP.(S/.)]]*TABLA_BASE[[#This Row],[CANTIDAD
(unid.)]]</f>
        <v>0</v>
      </c>
      <c r="AR170" s="288">
        <f>'💰 Precio de Venta'!G175</f>
        <v>0.4</v>
      </c>
      <c r="AS170" s="278">
        <f>'💰 Precio de Venta'!H175</f>
        <v>0</v>
      </c>
      <c r="AT170" s="278">
        <f>TABLA_BASE[[#This Row],[VALOR VTA.
UNIT.(S/.)]]*TABLA_BASE[[#This Row],[CANTIDAD
(unid.)]]</f>
        <v>0</v>
      </c>
      <c r="AU170" s="281">
        <f>'💰 Precio de Venta'!I175</f>
        <v>0</v>
      </c>
      <c r="AV170" s="278">
        <f>'💰 Precio de Venta'!J175</f>
        <v>0</v>
      </c>
      <c r="AW170" s="278">
        <f>TABLA_BASE[[#This Row],[GANANCIA
UNIT.(S/.)]]*TABLA_BASE[[#This Row],[CANTIDAD
(unid.)]]</f>
        <v>0</v>
      </c>
      <c r="AX170" s="289">
        <f>'💰 Precio de Venta'!K175</f>
        <v>0</v>
      </c>
      <c r="AY170" s="278">
        <f>TABLA_BASE[[#This Row],[GANANCIA
UNIT.(S/.)]]*'🧾 Factura Comercial'!G174</f>
        <v>0</v>
      </c>
      <c r="AZ170" s="277">
        <f>IF(TABLA_BASE[[#This Row],[PRECIO VTA.
c/IGV(S/.)]]=0,0,TABLA_BASE[[#This Row],[GANANCIA
UNIT.(S/.)]]/TABLA_BASE[[#This Row],[PRECIO VTA.
c/IGV(S/.)]])</f>
        <v>0</v>
      </c>
      <c r="BA170" s="277">
        <f>IF(TABLA_BASE[[#This Row],[C/M UNIT.
(S/.)]]=0,0,TABLA_BASE[[#This Row],[GANANCIA
UNIT.(S/.)]]/TABLA_BASE[[#This Row],[C/M UNIT.
(S/.)]])</f>
        <v>0</v>
      </c>
      <c r="BB170" s="274" t="str">
        <f>IF(TABLA_BASE[[#This Row],[MARGEN
%]]&gt;=0.5,"🟢 ALTO",IF(TABLA_BASE[[#This Row],[MARGEN
%]]&gt;=0.3,"🟡 MEDIO","🔴 BAJO"))</f>
        <v>🟡 MEDIO</v>
      </c>
    </row>
    <row r="171" spans="1:54" ht="16.5" hidden="1" thickTop="1" thickBot="1" x14ac:dyDescent="0.3">
      <c r="A171" s="274">
        <f>'🧾 Factura Comercial'!E175</f>
        <v>0</v>
      </c>
      <c r="B171" s="274" t="str">
        <f>'🧾 Factura Comercial'!F175</f>
        <v>Unid.</v>
      </c>
      <c r="C171" s="275">
        <f>'🧾 Factura Comercial'!G175</f>
        <v>0</v>
      </c>
      <c r="D171" s="276">
        <f>'🧾 Factura Comercial'!H175</f>
        <v>0</v>
      </c>
      <c r="E171" s="276">
        <f>'🧾 Factura Comercial'!I175</f>
        <v>0</v>
      </c>
      <c r="F171" s="277">
        <f>IF('🧾 Tributos Aduana'!$F$6=0,0,'🧾 Factura Comercial'!I175/'🧾 Tributos Aduana'!$F$6)</f>
        <v>0</v>
      </c>
      <c r="G171" s="278">
        <f>'🧾 Factura Comercial'!H175*'📋 Datos Generales'!$E$19</f>
        <v>0</v>
      </c>
      <c r="H171" s="278">
        <f>TABLA_BASE[[#This Row],[FOB UNIT.
(S/.)]]*TABLA_BASE[[#This Row],[CANTIDAD
(unid.)]]</f>
        <v>0</v>
      </c>
      <c r="I171" s="280">
        <f>IF('🧾 Tributos Aduana'!$F$6=0,0,'🧾 Tributos Aduana'!$F$17*('🧾 Factura Comercial'!H175/'🧾 Tributos Aduana'!$F$6))</f>
        <v>0</v>
      </c>
      <c r="J171" s="280">
        <f>TABLA_BASE[[#This Row],[ADV UNIT.
(US$)
⚠️COSTO]]*TABLA_BASE[[#This Row],[CANTIDAD
(unid.)]]</f>
        <v>0</v>
      </c>
      <c r="K171" s="279">
        <f>IF('🧾 Tributos Aduana'!$F$6=0,0,'🧾 Tributos Aduana'!$F$18*('🧾 Factura Comercial'!H175/'🧾 Tributos Aduana'!$F$6))</f>
        <v>0</v>
      </c>
      <c r="L171" s="280">
        <f>TABLA_BASE[[#This Row],[IPM UNIT.
(US$)
✅CF]]*TABLA_BASE[[#This Row],[CANTIDAD
(unid.)]]</f>
        <v>0</v>
      </c>
      <c r="M171" s="279">
        <f>IF('🧾 Tributos Aduana'!$F$6=0,0,'🧾 Tributos Aduana'!$F$19*('🧾 Factura Comercial'!H175/'🧾 Tributos Aduana'!$F$6))</f>
        <v>0</v>
      </c>
      <c r="N171" s="280">
        <f>TABLA_BASE[[#This Row],[IGV UNIT.
(US$)
✅CF]]*TABLA_BASE[[#This Row],[CANTIDAD
(unid.)]]</f>
        <v>0</v>
      </c>
      <c r="O171" s="280">
        <f>IF('🧾 Tributos Aduana'!$F$6=0,0,'🧾 Tributos Aduana'!$F$23*('🧾 Factura Comercial'!H175/'🧾 Tributos Aduana'!$F$6))</f>
        <v>0</v>
      </c>
      <c r="P171" s="280">
        <f>TABLA_BASE[[#This Row],[PERCEP.
UNIT.(US$)
✅CF]]*TABLA_BASE[[#This Row],[CANTIDAD
(unid.)]]</f>
        <v>0</v>
      </c>
      <c r="Q171" s="279">
        <f>TABLA_BASE[[#This Row],[ADV UNIT.
(US$)
⚠️COSTO]]+TABLA_BASE[[#This Row],[IPM UNIT.
(US$)
✅CF]]+TABLA_BASE[[#This Row],[IGV UNIT.
(US$)
✅CF]]</f>
        <v>0</v>
      </c>
      <c r="R171" s="280">
        <f>TABLA_BASE[[#This Row],[DEUDA
ADUANERA
UNIT.]]*TABLA_BASE[[#This Row],[CANTIDAD
(unid.)]]</f>
        <v>0</v>
      </c>
      <c r="S171" s="278">
        <f>TABLA_BASE[[#This Row],[DEUDA
ADUANERA
UNIT.]]*'📋 Datos Generales'!$E$19</f>
        <v>0</v>
      </c>
      <c r="T171" s="278">
        <f>TABLA_BASE[[#This Row],[DEUDA
ADUANERA
TOTAL]]*'📋 Datos Generales'!$E$19</f>
        <v>0</v>
      </c>
      <c r="U171" s="281">
        <f>TABLA_BASE[[#This Row],[ADV UNIT.
(US$)
⚠️COSTO]]*'📋 Datos Generales'!$E$19</f>
        <v>0</v>
      </c>
      <c r="V171" s="281">
        <f>TABLA_BASE[[#This Row],[ADV UNIT.
(S/.)]]*TABLA_BASE[[#This Row],[CANTIDAD
(unid.)]]</f>
        <v>0</v>
      </c>
      <c r="W171" s="281">
        <f>TABLA_BASE[[#This Row],[IPM UNIT.
(US$)
✅CF]]*'📋 Datos Generales'!$E$19</f>
        <v>0</v>
      </c>
      <c r="X171" s="281">
        <f>TABLA_BASE[[#This Row],[IPM UNIT.
(S/.)]]*TABLA_BASE[[#This Row],[CANTIDAD
(unid.)]]</f>
        <v>0</v>
      </c>
      <c r="Y171" s="281">
        <f>TABLA_BASE[[#This Row],[IGV UNIT.
(US$)
✅CF]]*'📋 Datos Generales'!$E$19</f>
        <v>0</v>
      </c>
      <c r="Z171" s="281">
        <f>TABLA_BASE[[#This Row],[IGV UNIT.
(S/.)]]*TABLA_BASE[[#This Row],[CANTIDAD
(unid.)]]</f>
        <v>0</v>
      </c>
      <c r="AA171" s="281">
        <f>TABLA_BASE[[#This Row],[PERCEP.
UNIT.(US$)
✅CF]]*'📋 Datos Generales'!$E$19</f>
        <v>0</v>
      </c>
      <c r="AB171" s="281">
        <f>TABLA_BASE[[#This Row],[PERCEP.
UNIT.(S/.)]]*TABLA_BASE[[#This Row],[CANTIDAD
(unid.)]]</f>
        <v>0</v>
      </c>
      <c r="AC171" s="279">
        <f>TABLA_BASE[[#This Row],[ADV UNIT.
(US$)
⚠️COSTO]]+TABLA_BASE[[#This Row],[IPM UNIT.
(US$)
✅CF]]+TABLA_BASE[[#This Row],[IGV UNIT.
(US$)
✅CF]]+TABLA_BASE[[#This Row],[PERCEP.
UNIT.(US$)
✅CF]]</f>
        <v>0</v>
      </c>
      <c r="AD171" s="279">
        <f>TABLA_BASE[[#This Row],[TOTAL PAGO
SUNAT
UNIT.(US$)]]*TABLA_BASE[[#This Row],[CANTIDAD
(unid.)]]</f>
        <v>0</v>
      </c>
      <c r="AE171" s="281">
        <f>TABLA_BASE[[#This Row],[TOTAL PAGO
SUNAT
UNIT.(US$)]]*'📋 Datos Generales'!$E$19</f>
        <v>0</v>
      </c>
      <c r="AF171" s="281">
        <f>TABLA_BASE[[#This Row],[TOTAL TRIB.
UNIT.(S/.)]]*TABLA_BASE[[#This Row],[CANTIDAD
(unid.)]]</f>
        <v>0</v>
      </c>
      <c r="AG171" s="279">
        <f>IF('🧾 Factura Comercial'!G175=0,0,'📦 Gastos Importación'!$E$28*(IF('🧾 Tributos Aduana'!$F$6=0,0,'🧾 Factura Comercial'!I175/'🧾 Tributos Aduana'!$F$6))/'🧾 Factura Comercial'!G175)</f>
        <v>0</v>
      </c>
      <c r="AH171" s="279">
        <f>TABLA_BASE[[#This Row],[GASTOS IMP.
UNIT.(US$)]]*TABLA_BASE[[#This Row],[CANTIDAD
(unid.)]]</f>
        <v>0</v>
      </c>
      <c r="AI171" s="281">
        <f>TABLA_BASE[[#This Row],[GASTOS IMP.
UNIT.(US$)]]*'📋 Datos Generales'!$E$19</f>
        <v>0</v>
      </c>
      <c r="AJ171" s="281">
        <f>TABLA_BASE[[#This Row],[GASTOS IMP.
UNIT.(S/.)]]*TABLA_BASE[[#This Row],[CANTIDAD
(unid.)]]</f>
        <v>0</v>
      </c>
      <c r="AK171" s="280">
        <f>'🧮 Costos x Producto'!J175</f>
        <v>0</v>
      </c>
      <c r="AL171" s="278">
        <f>'🧮 Costos x Producto'!K175</f>
        <v>0</v>
      </c>
      <c r="AM171" s="278">
        <f>TABLA_BASE[[#This Row],[C/M UNIT.
(S/.)]]*TABLA_BASE[[#This Row],[CANTIDAD
(unid.)]]</f>
        <v>0</v>
      </c>
      <c r="AN171" s="279">
        <f>IF('🧾 Factura Comercial'!G175=0,0,'🧾 Tributos Aduana'!$F$17*(IF('🧾 Tributos Aduana'!$F$6=0,0,'🧾 Factura Comercial'!I175/'🧾 Tributos Aduana'!$F$6))/'🧾 Factura Comercial'!G175)</f>
        <v>0</v>
      </c>
      <c r="AO171" s="280">
        <f>IF('🧾 Factura Comercial'!G175=0,0,'🏦 Crédito Fiscal'!$C$16*(IF('🧾 Tributos Aduana'!$F$6=0,0,'🧾 Factura Comercial'!I175/'🧾 Tributos Aduana'!$F$6))/'🧾 Factura Comercial'!G175)</f>
        <v>0</v>
      </c>
      <c r="AP171" s="278">
        <f>TABLA_BASE[[#This Row],[CF UNIT.
✅RECUP.
(US$)]]*'📋 Datos Generales'!$E$19</f>
        <v>0</v>
      </c>
      <c r="AQ171" s="278">
        <f>TABLA_BASE[[#This Row],[CF UNIT.
✅RECUP.(S/.)]]*TABLA_BASE[[#This Row],[CANTIDAD
(unid.)]]</f>
        <v>0</v>
      </c>
      <c r="AR171" s="288">
        <f>'💰 Precio de Venta'!G176</f>
        <v>0.4</v>
      </c>
      <c r="AS171" s="278">
        <f>'💰 Precio de Venta'!H176</f>
        <v>0</v>
      </c>
      <c r="AT171" s="278">
        <f>TABLA_BASE[[#This Row],[VALOR VTA.
UNIT.(S/.)]]*TABLA_BASE[[#This Row],[CANTIDAD
(unid.)]]</f>
        <v>0</v>
      </c>
      <c r="AU171" s="281">
        <f>'💰 Precio de Venta'!I176</f>
        <v>0</v>
      </c>
      <c r="AV171" s="278">
        <f>'💰 Precio de Venta'!J176</f>
        <v>0</v>
      </c>
      <c r="AW171" s="278">
        <f>TABLA_BASE[[#This Row],[GANANCIA
UNIT.(S/.)]]*TABLA_BASE[[#This Row],[CANTIDAD
(unid.)]]</f>
        <v>0</v>
      </c>
      <c r="AX171" s="289">
        <f>'💰 Precio de Venta'!K176</f>
        <v>0</v>
      </c>
      <c r="AY171" s="278">
        <f>TABLA_BASE[[#This Row],[GANANCIA
UNIT.(S/.)]]*'🧾 Factura Comercial'!G175</f>
        <v>0</v>
      </c>
      <c r="AZ171" s="277">
        <f>IF(TABLA_BASE[[#This Row],[PRECIO VTA.
c/IGV(S/.)]]=0,0,TABLA_BASE[[#This Row],[GANANCIA
UNIT.(S/.)]]/TABLA_BASE[[#This Row],[PRECIO VTA.
c/IGV(S/.)]])</f>
        <v>0</v>
      </c>
      <c r="BA171" s="277">
        <f>IF(TABLA_BASE[[#This Row],[C/M UNIT.
(S/.)]]=0,0,TABLA_BASE[[#This Row],[GANANCIA
UNIT.(S/.)]]/TABLA_BASE[[#This Row],[C/M UNIT.
(S/.)]])</f>
        <v>0</v>
      </c>
      <c r="BB171" s="274" t="str">
        <f>IF(TABLA_BASE[[#This Row],[MARGEN
%]]&gt;=0.5,"🟢 ALTO",IF(TABLA_BASE[[#This Row],[MARGEN
%]]&gt;=0.3,"🟡 MEDIO","🔴 BAJO"))</f>
        <v>🟡 MEDIO</v>
      </c>
    </row>
    <row r="172" spans="1:54" ht="16.5" hidden="1" thickTop="1" thickBot="1" x14ac:dyDescent="0.3">
      <c r="A172" s="274">
        <f>'🧾 Factura Comercial'!E176</f>
        <v>0</v>
      </c>
      <c r="B172" s="274" t="str">
        <f>'🧾 Factura Comercial'!F176</f>
        <v>Unid.</v>
      </c>
      <c r="C172" s="275">
        <f>'🧾 Factura Comercial'!G176</f>
        <v>0</v>
      </c>
      <c r="D172" s="276">
        <f>'🧾 Factura Comercial'!H176</f>
        <v>0</v>
      </c>
      <c r="E172" s="276">
        <f>'🧾 Factura Comercial'!I176</f>
        <v>0</v>
      </c>
      <c r="F172" s="277">
        <f>IF('🧾 Tributos Aduana'!$F$6=0,0,'🧾 Factura Comercial'!I176/'🧾 Tributos Aduana'!$F$6)</f>
        <v>0</v>
      </c>
      <c r="G172" s="278">
        <f>'🧾 Factura Comercial'!H176*'📋 Datos Generales'!$E$19</f>
        <v>0</v>
      </c>
      <c r="H172" s="278">
        <f>TABLA_BASE[[#This Row],[FOB UNIT.
(S/.)]]*TABLA_BASE[[#This Row],[CANTIDAD
(unid.)]]</f>
        <v>0</v>
      </c>
      <c r="I172" s="280">
        <f>IF('🧾 Tributos Aduana'!$F$6=0,0,'🧾 Tributos Aduana'!$F$17*('🧾 Factura Comercial'!H176/'🧾 Tributos Aduana'!$F$6))</f>
        <v>0</v>
      </c>
      <c r="J172" s="280">
        <f>TABLA_BASE[[#This Row],[ADV UNIT.
(US$)
⚠️COSTO]]*TABLA_BASE[[#This Row],[CANTIDAD
(unid.)]]</f>
        <v>0</v>
      </c>
      <c r="K172" s="279">
        <f>IF('🧾 Tributos Aduana'!$F$6=0,0,'🧾 Tributos Aduana'!$F$18*('🧾 Factura Comercial'!H176/'🧾 Tributos Aduana'!$F$6))</f>
        <v>0</v>
      </c>
      <c r="L172" s="280">
        <f>TABLA_BASE[[#This Row],[IPM UNIT.
(US$)
✅CF]]*TABLA_BASE[[#This Row],[CANTIDAD
(unid.)]]</f>
        <v>0</v>
      </c>
      <c r="M172" s="279">
        <f>IF('🧾 Tributos Aduana'!$F$6=0,0,'🧾 Tributos Aduana'!$F$19*('🧾 Factura Comercial'!H176/'🧾 Tributos Aduana'!$F$6))</f>
        <v>0</v>
      </c>
      <c r="N172" s="280">
        <f>TABLA_BASE[[#This Row],[IGV UNIT.
(US$)
✅CF]]*TABLA_BASE[[#This Row],[CANTIDAD
(unid.)]]</f>
        <v>0</v>
      </c>
      <c r="O172" s="280">
        <f>IF('🧾 Tributos Aduana'!$F$6=0,0,'🧾 Tributos Aduana'!$F$23*('🧾 Factura Comercial'!H176/'🧾 Tributos Aduana'!$F$6))</f>
        <v>0</v>
      </c>
      <c r="P172" s="280">
        <f>TABLA_BASE[[#This Row],[PERCEP.
UNIT.(US$)
✅CF]]*TABLA_BASE[[#This Row],[CANTIDAD
(unid.)]]</f>
        <v>0</v>
      </c>
      <c r="Q172" s="279">
        <f>TABLA_BASE[[#This Row],[ADV UNIT.
(US$)
⚠️COSTO]]+TABLA_BASE[[#This Row],[IPM UNIT.
(US$)
✅CF]]+TABLA_BASE[[#This Row],[IGV UNIT.
(US$)
✅CF]]</f>
        <v>0</v>
      </c>
      <c r="R172" s="280">
        <f>TABLA_BASE[[#This Row],[DEUDA
ADUANERA
UNIT.]]*TABLA_BASE[[#This Row],[CANTIDAD
(unid.)]]</f>
        <v>0</v>
      </c>
      <c r="S172" s="278">
        <f>TABLA_BASE[[#This Row],[DEUDA
ADUANERA
UNIT.]]*'📋 Datos Generales'!$E$19</f>
        <v>0</v>
      </c>
      <c r="T172" s="278">
        <f>TABLA_BASE[[#This Row],[DEUDA
ADUANERA
TOTAL]]*'📋 Datos Generales'!$E$19</f>
        <v>0</v>
      </c>
      <c r="U172" s="281">
        <f>TABLA_BASE[[#This Row],[ADV UNIT.
(US$)
⚠️COSTO]]*'📋 Datos Generales'!$E$19</f>
        <v>0</v>
      </c>
      <c r="V172" s="281">
        <f>TABLA_BASE[[#This Row],[ADV UNIT.
(S/.)]]*TABLA_BASE[[#This Row],[CANTIDAD
(unid.)]]</f>
        <v>0</v>
      </c>
      <c r="W172" s="281">
        <f>TABLA_BASE[[#This Row],[IPM UNIT.
(US$)
✅CF]]*'📋 Datos Generales'!$E$19</f>
        <v>0</v>
      </c>
      <c r="X172" s="281">
        <f>TABLA_BASE[[#This Row],[IPM UNIT.
(S/.)]]*TABLA_BASE[[#This Row],[CANTIDAD
(unid.)]]</f>
        <v>0</v>
      </c>
      <c r="Y172" s="281">
        <f>TABLA_BASE[[#This Row],[IGV UNIT.
(US$)
✅CF]]*'📋 Datos Generales'!$E$19</f>
        <v>0</v>
      </c>
      <c r="Z172" s="281">
        <f>TABLA_BASE[[#This Row],[IGV UNIT.
(S/.)]]*TABLA_BASE[[#This Row],[CANTIDAD
(unid.)]]</f>
        <v>0</v>
      </c>
      <c r="AA172" s="281">
        <f>TABLA_BASE[[#This Row],[PERCEP.
UNIT.(US$)
✅CF]]*'📋 Datos Generales'!$E$19</f>
        <v>0</v>
      </c>
      <c r="AB172" s="281">
        <f>TABLA_BASE[[#This Row],[PERCEP.
UNIT.(S/.)]]*TABLA_BASE[[#This Row],[CANTIDAD
(unid.)]]</f>
        <v>0</v>
      </c>
      <c r="AC172" s="279">
        <f>TABLA_BASE[[#This Row],[ADV UNIT.
(US$)
⚠️COSTO]]+TABLA_BASE[[#This Row],[IPM UNIT.
(US$)
✅CF]]+TABLA_BASE[[#This Row],[IGV UNIT.
(US$)
✅CF]]+TABLA_BASE[[#This Row],[PERCEP.
UNIT.(US$)
✅CF]]</f>
        <v>0</v>
      </c>
      <c r="AD172" s="279">
        <f>TABLA_BASE[[#This Row],[TOTAL PAGO
SUNAT
UNIT.(US$)]]*TABLA_BASE[[#This Row],[CANTIDAD
(unid.)]]</f>
        <v>0</v>
      </c>
      <c r="AE172" s="281">
        <f>TABLA_BASE[[#This Row],[TOTAL PAGO
SUNAT
UNIT.(US$)]]*'📋 Datos Generales'!$E$19</f>
        <v>0</v>
      </c>
      <c r="AF172" s="281">
        <f>TABLA_BASE[[#This Row],[TOTAL TRIB.
UNIT.(S/.)]]*TABLA_BASE[[#This Row],[CANTIDAD
(unid.)]]</f>
        <v>0</v>
      </c>
      <c r="AG172" s="279">
        <f>IF('🧾 Factura Comercial'!G176=0,0,'📦 Gastos Importación'!$E$28*(IF('🧾 Tributos Aduana'!$F$6=0,0,'🧾 Factura Comercial'!I176/'🧾 Tributos Aduana'!$F$6))/'🧾 Factura Comercial'!G176)</f>
        <v>0</v>
      </c>
      <c r="AH172" s="279">
        <f>TABLA_BASE[[#This Row],[GASTOS IMP.
UNIT.(US$)]]*TABLA_BASE[[#This Row],[CANTIDAD
(unid.)]]</f>
        <v>0</v>
      </c>
      <c r="AI172" s="281">
        <f>TABLA_BASE[[#This Row],[GASTOS IMP.
UNIT.(US$)]]*'📋 Datos Generales'!$E$19</f>
        <v>0</v>
      </c>
      <c r="AJ172" s="281">
        <f>TABLA_BASE[[#This Row],[GASTOS IMP.
UNIT.(S/.)]]*TABLA_BASE[[#This Row],[CANTIDAD
(unid.)]]</f>
        <v>0</v>
      </c>
      <c r="AK172" s="280">
        <f>'🧮 Costos x Producto'!J176</f>
        <v>0</v>
      </c>
      <c r="AL172" s="278">
        <f>'🧮 Costos x Producto'!K176</f>
        <v>0</v>
      </c>
      <c r="AM172" s="278">
        <f>TABLA_BASE[[#This Row],[C/M UNIT.
(S/.)]]*TABLA_BASE[[#This Row],[CANTIDAD
(unid.)]]</f>
        <v>0</v>
      </c>
      <c r="AN172" s="279">
        <f>IF('🧾 Factura Comercial'!G176=0,0,'🧾 Tributos Aduana'!$F$17*(IF('🧾 Tributos Aduana'!$F$6=0,0,'🧾 Factura Comercial'!I176/'🧾 Tributos Aduana'!$F$6))/'🧾 Factura Comercial'!G176)</f>
        <v>0</v>
      </c>
      <c r="AO172" s="280">
        <f>IF('🧾 Factura Comercial'!G176=0,0,'🏦 Crédito Fiscal'!$C$16*(IF('🧾 Tributos Aduana'!$F$6=0,0,'🧾 Factura Comercial'!I176/'🧾 Tributos Aduana'!$F$6))/'🧾 Factura Comercial'!G176)</f>
        <v>0</v>
      </c>
      <c r="AP172" s="278">
        <f>TABLA_BASE[[#This Row],[CF UNIT.
✅RECUP.
(US$)]]*'📋 Datos Generales'!$E$19</f>
        <v>0</v>
      </c>
      <c r="AQ172" s="278">
        <f>TABLA_BASE[[#This Row],[CF UNIT.
✅RECUP.(S/.)]]*TABLA_BASE[[#This Row],[CANTIDAD
(unid.)]]</f>
        <v>0</v>
      </c>
      <c r="AR172" s="288">
        <f>'💰 Precio de Venta'!G177</f>
        <v>0.4</v>
      </c>
      <c r="AS172" s="278">
        <f>'💰 Precio de Venta'!H177</f>
        <v>0</v>
      </c>
      <c r="AT172" s="278">
        <f>TABLA_BASE[[#This Row],[VALOR VTA.
UNIT.(S/.)]]*TABLA_BASE[[#This Row],[CANTIDAD
(unid.)]]</f>
        <v>0</v>
      </c>
      <c r="AU172" s="281">
        <f>'💰 Precio de Venta'!I177</f>
        <v>0</v>
      </c>
      <c r="AV172" s="278">
        <f>'💰 Precio de Venta'!J177</f>
        <v>0</v>
      </c>
      <c r="AW172" s="278">
        <f>TABLA_BASE[[#This Row],[GANANCIA
UNIT.(S/.)]]*TABLA_BASE[[#This Row],[CANTIDAD
(unid.)]]</f>
        <v>0</v>
      </c>
      <c r="AX172" s="289">
        <f>'💰 Precio de Venta'!K177</f>
        <v>0</v>
      </c>
      <c r="AY172" s="278">
        <f>TABLA_BASE[[#This Row],[GANANCIA
UNIT.(S/.)]]*'🧾 Factura Comercial'!G176</f>
        <v>0</v>
      </c>
      <c r="AZ172" s="277">
        <f>IF(TABLA_BASE[[#This Row],[PRECIO VTA.
c/IGV(S/.)]]=0,0,TABLA_BASE[[#This Row],[GANANCIA
UNIT.(S/.)]]/TABLA_BASE[[#This Row],[PRECIO VTA.
c/IGV(S/.)]])</f>
        <v>0</v>
      </c>
      <c r="BA172" s="277">
        <f>IF(TABLA_BASE[[#This Row],[C/M UNIT.
(S/.)]]=0,0,TABLA_BASE[[#This Row],[GANANCIA
UNIT.(S/.)]]/TABLA_BASE[[#This Row],[C/M UNIT.
(S/.)]])</f>
        <v>0</v>
      </c>
      <c r="BB172" s="274" t="str">
        <f>IF(TABLA_BASE[[#This Row],[MARGEN
%]]&gt;=0.5,"🟢 ALTO",IF(TABLA_BASE[[#This Row],[MARGEN
%]]&gt;=0.3,"🟡 MEDIO","🔴 BAJO"))</f>
        <v>🟡 MEDIO</v>
      </c>
    </row>
    <row r="173" spans="1:54" ht="16.5" hidden="1" thickTop="1" thickBot="1" x14ac:dyDescent="0.3">
      <c r="A173" s="274">
        <f>'🧾 Factura Comercial'!E177</f>
        <v>0</v>
      </c>
      <c r="B173" s="274" t="str">
        <f>'🧾 Factura Comercial'!F177</f>
        <v>Unid.</v>
      </c>
      <c r="C173" s="275">
        <f>'🧾 Factura Comercial'!G177</f>
        <v>0</v>
      </c>
      <c r="D173" s="276">
        <f>'🧾 Factura Comercial'!H177</f>
        <v>0</v>
      </c>
      <c r="E173" s="276">
        <f>'🧾 Factura Comercial'!I177</f>
        <v>0</v>
      </c>
      <c r="F173" s="277">
        <f>IF('🧾 Tributos Aduana'!$F$6=0,0,'🧾 Factura Comercial'!I177/'🧾 Tributos Aduana'!$F$6)</f>
        <v>0</v>
      </c>
      <c r="G173" s="278">
        <f>'🧾 Factura Comercial'!H177*'📋 Datos Generales'!$E$19</f>
        <v>0</v>
      </c>
      <c r="H173" s="278">
        <f>TABLA_BASE[[#This Row],[FOB UNIT.
(S/.)]]*TABLA_BASE[[#This Row],[CANTIDAD
(unid.)]]</f>
        <v>0</v>
      </c>
      <c r="I173" s="280">
        <f>IF('🧾 Tributos Aduana'!$F$6=0,0,'🧾 Tributos Aduana'!$F$17*('🧾 Factura Comercial'!H177/'🧾 Tributos Aduana'!$F$6))</f>
        <v>0</v>
      </c>
      <c r="J173" s="280">
        <f>TABLA_BASE[[#This Row],[ADV UNIT.
(US$)
⚠️COSTO]]*TABLA_BASE[[#This Row],[CANTIDAD
(unid.)]]</f>
        <v>0</v>
      </c>
      <c r="K173" s="279">
        <f>IF('🧾 Tributos Aduana'!$F$6=0,0,'🧾 Tributos Aduana'!$F$18*('🧾 Factura Comercial'!H177/'🧾 Tributos Aduana'!$F$6))</f>
        <v>0</v>
      </c>
      <c r="L173" s="280">
        <f>TABLA_BASE[[#This Row],[IPM UNIT.
(US$)
✅CF]]*TABLA_BASE[[#This Row],[CANTIDAD
(unid.)]]</f>
        <v>0</v>
      </c>
      <c r="M173" s="279">
        <f>IF('🧾 Tributos Aduana'!$F$6=0,0,'🧾 Tributos Aduana'!$F$19*('🧾 Factura Comercial'!H177/'🧾 Tributos Aduana'!$F$6))</f>
        <v>0</v>
      </c>
      <c r="N173" s="280">
        <f>TABLA_BASE[[#This Row],[IGV UNIT.
(US$)
✅CF]]*TABLA_BASE[[#This Row],[CANTIDAD
(unid.)]]</f>
        <v>0</v>
      </c>
      <c r="O173" s="280">
        <f>IF('🧾 Tributos Aduana'!$F$6=0,0,'🧾 Tributos Aduana'!$F$23*('🧾 Factura Comercial'!H177/'🧾 Tributos Aduana'!$F$6))</f>
        <v>0</v>
      </c>
      <c r="P173" s="280">
        <f>TABLA_BASE[[#This Row],[PERCEP.
UNIT.(US$)
✅CF]]*TABLA_BASE[[#This Row],[CANTIDAD
(unid.)]]</f>
        <v>0</v>
      </c>
      <c r="Q173" s="279">
        <f>TABLA_BASE[[#This Row],[ADV UNIT.
(US$)
⚠️COSTO]]+TABLA_BASE[[#This Row],[IPM UNIT.
(US$)
✅CF]]+TABLA_BASE[[#This Row],[IGV UNIT.
(US$)
✅CF]]</f>
        <v>0</v>
      </c>
      <c r="R173" s="280">
        <f>TABLA_BASE[[#This Row],[DEUDA
ADUANERA
UNIT.]]*TABLA_BASE[[#This Row],[CANTIDAD
(unid.)]]</f>
        <v>0</v>
      </c>
      <c r="S173" s="278">
        <f>TABLA_BASE[[#This Row],[DEUDA
ADUANERA
UNIT.]]*'📋 Datos Generales'!$E$19</f>
        <v>0</v>
      </c>
      <c r="T173" s="278">
        <f>TABLA_BASE[[#This Row],[DEUDA
ADUANERA
TOTAL]]*'📋 Datos Generales'!$E$19</f>
        <v>0</v>
      </c>
      <c r="U173" s="281">
        <f>TABLA_BASE[[#This Row],[ADV UNIT.
(US$)
⚠️COSTO]]*'📋 Datos Generales'!$E$19</f>
        <v>0</v>
      </c>
      <c r="V173" s="281">
        <f>TABLA_BASE[[#This Row],[ADV UNIT.
(S/.)]]*TABLA_BASE[[#This Row],[CANTIDAD
(unid.)]]</f>
        <v>0</v>
      </c>
      <c r="W173" s="281">
        <f>TABLA_BASE[[#This Row],[IPM UNIT.
(US$)
✅CF]]*'📋 Datos Generales'!$E$19</f>
        <v>0</v>
      </c>
      <c r="X173" s="281">
        <f>TABLA_BASE[[#This Row],[IPM UNIT.
(S/.)]]*TABLA_BASE[[#This Row],[CANTIDAD
(unid.)]]</f>
        <v>0</v>
      </c>
      <c r="Y173" s="281">
        <f>TABLA_BASE[[#This Row],[IGV UNIT.
(US$)
✅CF]]*'📋 Datos Generales'!$E$19</f>
        <v>0</v>
      </c>
      <c r="Z173" s="281">
        <f>TABLA_BASE[[#This Row],[IGV UNIT.
(S/.)]]*TABLA_BASE[[#This Row],[CANTIDAD
(unid.)]]</f>
        <v>0</v>
      </c>
      <c r="AA173" s="281">
        <f>TABLA_BASE[[#This Row],[PERCEP.
UNIT.(US$)
✅CF]]*'📋 Datos Generales'!$E$19</f>
        <v>0</v>
      </c>
      <c r="AB173" s="281">
        <f>TABLA_BASE[[#This Row],[PERCEP.
UNIT.(S/.)]]*TABLA_BASE[[#This Row],[CANTIDAD
(unid.)]]</f>
        <v>0</v>
      </c>
      <c r="AC173" s="279">
        <f>TABLA_BASE[[#This Row],[ADV UNIT.
(US$)
⚠️COSTO]]+TABLA_BASE[[#This Row],[IPM UNIT.
(US$)
✅CF]]+TABLA_BASE[[#This Row],[IGV UNIT.
(US$)
✅CF]]+TABLA_BASE[[#This Row],[PERCEP.
UNIT.(US$)
✅CF]]</f>
        <v>0</v>
      </c>
      <c r="AD173" s="279">
        <f>TABLA_BASE[[#This Row],[TOTAL PAGO
SUNAT
UNIT.(US$)]]*TABLA_BASE[[#This Row],[CANTIDAD
(unid.)]]</f>
        <v>0</v>
      </c>
      <c r="AE173" s="281">
        <f>TABLA_BASE[[#This Row],[TOTAL PAGO
SUNAT
UNIT.(US$)]]*'📋 Datos Generales'!$E$19</f>
        <v>0</v>
      </c>
      <c r="AF173" s="281">
        <f>TABLA_BASE[[#This Row],[TOTAL TRIB.
UNIT.(S/.)]]*TABLA_BASE[[#This Row],[CANTIDAD
(unid.)]]</f>
        <v>0</v>
      </c>
      <c r="AG173" s="279">
        <f>IF('🧾 Factura Comercial'!G177=0,0,'📦 Gastos Importación'!$E$28*(IF('🧾 Tributos Aduana'!$F$6=0,0,'🧾 Factura Comercial'!I177/'🧾 Tributos Aduana'!$F$6))/'🧾 Factura Comercial'!G177)</f>
        <v>0</v>
      </c>
      <c r="AH173" s="279">
        <f>TABLA_BASE[[#This Row],[GASTOS IMP.
UNIT.(US$)]]*TABLA_BASE[[#This Row],[CANTIDAD
(unid.)]]</f>
        <v>0</v>
      </c>
      <c r="AI173" s="281">
        <f>TABLA_BASE[[#This Row],[GASTOS IMP.
UNIT.(US$)]]*'📋 Datos Generales'!$E$19</f>
        <v>0</v>
      </c>
      <c r="AJ173" s="281">
        <f>TABLA_BASE[[#This Row],[GASTOS IMP.
UNIT.(S/.)]]*TABLA_BASE[[#This Row],[CANTIDAD
(unid.)]]</f>
        <v>0</v>
      </c>
      <c r="AK173" s="280">
        <f>'🧮 Costos x Producto'!J177</f>
        <v>0</v>
      </c>
      <c r="AL173" s="278">
        <f>'🧮 Costos x Producto'!K177</f>
        <v>0</v>
      </c>
      <c r="AM173" s="278">
        <f>TABLA_BASE[[#This Row],[C/M UNIT.
(S/.)]]*TABLA_BASE[[#This Row],[CANTIDAD
(unid.)]]</f>
        <v>0</v>
      </c>
      <c r="AN173" s="279">
        <f>IF('🧾 Factura Comercial'!G177=0,0,'🧾 Tributos Aduana'!$F$17*(IF('🧾 Tributos Aduana'!$F$6=0,0,'🧾 Factura Comercial'!I177/'🧾 Tributos Aduana'!$F$6))/'🧾 Factura Comercial'!G177)</f>
        <v>0</v>
      </c>
      <c r="AO173" s="280">
        <f>IF('🧾 Factura Comercial'!G177=0,0,'🏦 Crédito Fiscal'!$C$16*(IF('🧾 Tributos Aduana'!$F$6=0,0,'🧾 Factura Comercial'!I177/'🧾 Tributos Aduana'!$F$6))/'🧾 Factura Comercial'!G177)</f>
        <v>0</v>
      </c>
      <c r="AP173" s="278">
        <f>TABLA_BASE[[#This Row],[CF UNIT.
✅RECUP.
(US$)]]*'📋 Datos Generales'!$E$19</f>
        <v>0</v>
      </c>
      <c r="AQ173" s="278">
        <f>TABLA_BASE[[#This Row],[CF UNIT.
✅RECUP.(S/.)]]*TABLA_BASE[[#This Row],[CANTIDAD
(unid.)]]</f>
        <v>0</v>
      </c>
      <c r="AR173" s="288">
        <f>'💰 Precio de Venta'!G178</f>
        <v>0.4</v>
      </c>
      <c r="AS173" s="278">
        <f>'💰 Precio de Venta'!H178</f>
        <v>0</v>
      </c>
      <c r="AT173" s="278">
        <f>TABLA_BASE[[#This Row],[VALOR VTA.
UNIT.(S/.)]]*TABLA_BASE[[#This Row],[CANTIDAD
(unid.)]]</f>
        <v>0</v>
      </c>
      <c r="AU173" s="281">
        <f>'💰 Precio de Venta'!I178</f>
        <v>0</v>
      </c>
      <c r="AV173" s="278">
        <f>'💰 Precio de Venta'!J178</f>
        <v>0</v>
      </c>
      <c r="AW173" s="278">
        <f>TABLA_BASE[[#This Row],[GANANCIA
UNIT.(S/.)]]*TABLA_BASE[[#This Row],[CANTIDAD
(unid.)]]</f>
        <v>0</v>
      </c>
      <c r="AX173" s="289">
        <f>'💰 Precio de Venta'!K178</f>
        <v>0</v>
      </c>
      <c r="AY173" s="278">
        <f>TABLA_BASE[[#This Row],[GANANCIA
UNIT.(S/.)]]*'🧾 Factura Comercial'!G177</f>
        <v>0</v>
      </c>
      <c r="AZ173" s="277">
        <f>IF(TABLA_BASE[[#This Row],[PRECIO VTA.
c/IGV(S/.)]]=0,0,TABLA_BASE[[#This Row],[GANANCIA
UNIT.(S/.)]]/TABLA_BASE[[#This Row],[PRECIO VTA.
c/IGV(S/.)]])</f>
        <v>0</v>
      </c>
      <c r="BA173" s="277">
        <f>IF(TABLA_BASE[[#This Row],[C/M UNIT.
(S/.)]]=0,0,TABLA_BASE[[#This Row],[GANANCIA
UNIT.(S/.)]]/TABLA_BASE[[#This Row],[C/M UNIT.
(S/.)]])</f>
        <v>0</v>
      </c>
      <c r="BB173" s="274" t="str">
        <f>IF(TABLA_BASE[[#This Row],[MARGEN
%]]&gt;=0.5,"🟢 ALTO",IF(TABLA_BASE[[#This Row],[MARGEN
%]]&gt;=0.3,"🟡 MEDIO","🔴 BAJO"))</f>
        <v>🟡 MEDIO</v>
      </c>
    </row>
    <row r="174" spans="1:54" ht="16.5" hidden="1" thickTop="1" thickBot="1" x14ac:dyDescent="0.3">
      <c r="A174" s="274">
        <f>'🧾 Factura Comercial'!E178</f>
        <v>0</v>
      </c>
      <c r="B174" s="274" t="str">
        <f>'🧾 Factura Comercial'!F178</f>
        <v>Unid.</v>
      </c>
      <c r="C174" s="275">
        <f>'🧾 Factura Comercial'!G178</f>
        <v>0</v>
      </c>
      <c r="D174" s="276">
        <f>'🧾 Factura Comercial'!H178</f>
        <v>0</v>
      </c>
      <c r="E174" s="276">
        <f>'🧾 Factura Comercial'!I178</f>
        <v>0</v>
      </c>
      <c r="F174" s="277">
        <f>IF('🧾 Tributos Aduana'!$F$6=0,0,'🧾 Factura Comercial'!I178/'🧾 Tributos Aduana'!$F$6)</f>
        <v>0</v>
      </c>
      <c r="G174" s="278">
        <f>'🧾 Factura Comercial'!H178*'📋 Datos Generales'!$E$19</f>
        <v>0</v>
      </c>
      <c r="H174" s="278">
        <f>TABLA_BASE[[#This Row],[FOB UNIT.
(S/.)]]*TABLA_BASE[[#This Row],[CANTIDAD
(unid.)]]</f>
        <v>0</v>
      </c>
      <c r="I174" s="280">
        <f>IF('🧾 Tributos Aduana'!$F$6=0,0,'🧾 Tributos Aduana'!$F$17*('🧾 Factura Comercial'!H178/'🧾 Tributos Aduana'!$F$6))</f>
        <v>0</v>
      </c>
      <c r="J174" s="280">
        <f>TABLA_BASE[[#This Row],[ADV UNIT.
(US$)
⚠️COSTO]]*TABLA_BASE[[#This Row],[CANTIDAD
(unid.)]]</f>
        <v>0</v>
      </c>
      <c r="K174" s="279">
        <f>IF('🧾 Tributos Aduana'!$F$6=0,0,'🧾 Tributos Aduana'!$F$18*('🧾 Factura Comercial'!H178/'🧾 Tributos Aduana'!$F$6))</f>
        <v>0</v>
      </c>
      <c r="L174" s="280">
        <f>TABLA_BASE[[#This Row],[IPM UNIT.
(US$)
✅CF]]*TABLA_BASE[[#This Row],[CANTIDAD
(unid.)]]</f>
        <v>0</v>
      </c>
      <c r="M174" s="279">
        <f>IF('🧾 Tributos Aduana'!$F$6=0,0,'🧾 Tributos Aduana'!$F$19*('🧾 Factura Comercial'!H178/'🧾 Tributos Aduana'!$F$6))</f>
        <v>0</v>
      </c>
      <c r="N174" s="280">
        <f>TABLA_BASE[[#This Row],[IGV UNIT.
(US$)
✅CF]]*TABLA_BASE[[#This Row],[CANTIDAD
(unid.)]]</f>
        <v>0</v>
      </c>
      <c r="O174" s="280">
        <f>IF('🧾 Tributos Aduana'!$F$6=0,0,'🧾 Tributos Aduana'!$F$23*('🧾 Factura Comercial'!H178/'🧾 Tributos Aduana'!$F$6))</f>
        <v>0</v>
      </c>
      <c r="P174" s="280">
        <f>TABLA_BASE[[#This Row],[PERCEP.
UNIT.(US$)
✅CF]]*TABLA_BASE[[#This Row],[CANTIDAD
(unid.)]]</f>
        <v>0</v>
      </c>
      <c r="Q174" s="279">
        <f>TABLA_BASE[[#This Row],[ADV UNIT.
(US$)
⚠️COSTO]]+TABLA_BASE[[#This Row],[IPM UNIT.
(US$)
✅CF]]+TABLA_BASE[[#This Row],[IGV UNIT.
(US$)
✅CF]]</f>
        <v>0</v>
      </c>
      <c r="R174" s="280">
        <f>TABLA_BASE[[#This Row],[DEUDA
ADUANERA
UNIT.]]*TABLA_BASE[[#This Row],[CANTIDAD
(unid.)]]</f>
        <v>0</v>
      </c>
      <c r="S174" s="278">
        <f>TABLA_BASE[[#This Row],[DEUDA
ADUANERA
UNIT.]]*'📋 Datos Generales'!$E$19</f>
        <v>0</v>
      </c>
      <c r="T174" s="278">
        <f>TABLA_BASE[[#This Row],[DEUDA
ADUANERA
TOTAL]]*'📋 Datos Generales'!$E$19</f>
        <v>0</v>
      </c>
      <c r="U174" s="281">
        <f>TABLA_BASE[[#This Row],[ADV UNIT.
(US$)
⚠️COSTO]]*'📋 Datos Generales'!$E$19</f>
        <v>0</v>
      </c>
      <c r="V174" s="281">
        <f>TABLA_BASE[[#This Row],[ADV UNIT.
(S/.)]]*TABLA_BASE[[#This Row],[CANTIDAD
(unid.)]]</f>
        <v>0</v>
      </c>
      <c r="W174" s="281">
        <f>TABLA_BASE[[#This Row],[IPM UNIT.
(US$)
✅CF]]*'📋 Datos Generales'!$E$19</f>
        <v>0</v>
      </c>
      <c r="X174" s="281">
        <f>TABLA_BASE[[#This Row],[IPM UNIT.
(S/.)]]*TABLA_BASE[[#This Row],[CANTIDAD
(unid.)]]</f>
        <v>0</v>
      </c>
      <c r="Y174" s="281">
        <f>TABLA_BASE[[#This Row],[IGV UNIT.
(US$)
✅CF]]*'📋 Datos Generales'!$E$19</f>
        <v>0</v>
      </c>
      <c r="Z174" s="281">
        <f>TABLA_BASE[[#This Row],[IGV UNIT.
(S/.)]]*TABLA_BASE[[#This Row],[CANTIDAD
(unid.)]]</f>
        <v>0</v>
      </c>
      <c r="AA174" s="281">
        <f>TABLA_BASE[[#This Row],[PERCEP.
UNIT.(US$)
✅CF]]*'📋 Datos Generales'!$E$19</f>
        <v>0</v>
      </c>
      <c r="AB174" s="281">
        <f>TABLA_BASE[[#This Row],[PERCEP.
UNIT.(S/.)]]*TABLA_BASE[[#This Row],[CANTIDAD
(unid.)]]</f>
        <v>0</v>
      </c>
      <c r="AC174" s="279">
        <f>TABLA_BASE[[#This Row],[ADV UNIT.
(US$)
⚠️COSTO]]+TABLA_BASE[[#This Row],[IPM UNIT.
(US$)
✅CF]]+TABLA_BASE[[#This Row],[IGV UNIT.
(US$)
✅CF]]+TABLA_BASE[[#This Row],[PERCEP.
UNIT.(US$)
✅CF]]</f>
        <v>0</v>
      </c>
      <c r="AD174" s="279">
        <f>TABLA_BASE[[#This Row],[TOTAL PAGO
SUNAT
UNIT.(US$)]]*TABLA_BASE[[#This Row],[CANTIDAD
(unid.)]]</f>
        <v>0</v>
      </c>
      <c r="AE174" s="281">
        <f>TABLA_BASE[[#This Row],[TOTAL PAGO
SUNAT
UNIT.(US$)]]*'📋 Datos Generales'!$E$19</f>
        <v>0</v>
      </c>
      <c r="AF174" s="281">
        <f>TABLA_BASE[[#This Row],[TOTAL TRIB.
UNIT.(S/.)]]*TABLA_BASE[[#This Row],[CANTIDAD
(unid.)]]</f>
        <v>0</v>
      </c>
      <c r="AG174" s="279">
        <f>IF('🧾 Factura Comercial'!G178=0,0,'📦 Gastos Importación'!$E$28*(IF('🧾 Tributos Aduana'!$F$6=0,0,'🧾 Factura Comercial'!I178/'🧾 Tributos Aduana'!$F$6))/'🧾 Factura Comercial'!G178)</f>
        <v>0</v>
      </c>
      <c r="AH174" s="279">
        <f>TABLA_BASE[[#This Row],[GASTOS IMP.
UNIT.(US$)]]*TABLA_BASE[[#This Row],[CANTIDAD
(unid.)]]</f>
        <v>0</v>
      </c>
      <c r="AI174" s="281">
        <f>TABLA_BASE[[#This Row],[GASTOS IMP.
UNIT.(US$)]]*'📋 Datos Generales'!$E$19</f>
        <v>0</v>
      </c>
      <c r="AJ174" s="281">
        <f>TABLA_BASE[[#This Row],[GASTOS IMP.
UNIT.(S/.)]]*TABLA_BASE[[#This Row],[CANTIDAD
(unid.)]]</f>
        <v>0</v>
      </c>
      <c r="AK174" s="280">
        <f>'🧮 Costos x Producto'!J178</f>
        <v>0</v>
      </c>
      <c r="AL174" s="278">
        <f>'🧮 Costos x Producto'!K178</f>
        <v>0</v>
      </c>
      <c r="AM174" s="278">
        <f>TABLA_BASE[[#This Row],[C/M UNIT.
(S/.)]]*TABLA_BASE[[#This Row],[CANTIDAD
(unid.)]]</f>
        <v>0</v>
      </c>
      <c r="AN174" s="279">
        <f>IF('🧾 Factura Comercial'!G178=0,0,'🧾 Tributos Aduana'!$F$17*(IF('🧾 Tributos Aduana'!$F$6=0,0,'🧾 Factura Comercial'!I178/'🧾 Tributos Aduana'!$F$6))/'🧾 Factura Comercial'!G178)</f>
        <v>0</v>
      </c>
      <c r="AO174" s="280">
        <f>IF('🧾 Factura Comercial'!G178=0,0,'🏦 Crédito Fiscal'!$C$16*(IF('🧾 Tributos Aduana'!$F$6=0,0,'🧾 Factura Comercial'!I178/'🧾 Tributos Aduana'!$F$6))/'🧾 Factura Comercial'!G178)</f>
        <v>0</v>
      </c>
      <c r="AP174" s="278">
        <f>TABLA_BASE[[#This Row],[CF UNIT.
✅RECUP.
(US$)]]*'📋 Datos Generales'!$E$19</f>
        <v>0</v>
      </c>
      <c r="AQ174" s="278">
        <f>TABLA_BASE[[#This Row],[CF UNIT.
✅RECUP.(S/.)]]*TABLA_BASE[[#This Row],[CANTIDAD
(unid.)]]</f>
        <v>0</v>
      </c>
      <c r="AR174" s="288">
        <f>'💰 Precio de Venta'!G179</f>
        <v>0.4</v>
      </c>
      <c r="AS174" s="278">
        <f>'💰 Precio de Venta'!H179</f>
        <v>0</v>
      </c>
      <c r="AT174" s="278">
        <f>TABLA_BASE[[#This Row],[VALOR VTA.
UNIT.(S/.)]]*TABLA_BASE[[#This Row],[CANTIDAD
(unid.)]]</f>
        <v>0</v>
      </c>
      <c r="AU174" s="281">
        <f>'💰 Precio de Venta'!I179</f>
        <v>0</v>
      </c>
      <c r="AV174" s="278">
        <f>'💰 Precio de Venta'!J179</f>
        <v>0</v>
      </c>
      <c r="AW174" s="278">
        <f>TABLA_BASE[[#This Row],[GANANCIA
UNIT.(S/.)]]*TABLA_BASE[[#This Row],[CANTIDAD
(unid.)]]</f>
        <v>0</v>
      </c>
      <c r="AX174" s="289">
        <f>'💰 Precio de Venta'!K179</f>
        <v>0</v>
      </c>
      <c r="AY174" s="278">
        <f>TABLA_BASE[[#This Row],[GANANCIA
UNIT.(S/.)]]*'🧾 Factura Comercial'!G178</f>
        <v>0</v>
      </c>
      <c r="AZ174" s="277">
        <f>IF(TABLA_BASE[[#This Row],[PRECIO VTA.
c/IGV(S/.)]]=0,0,TABLA_BASE[[#This Row],[GANANCIA
UNIT.(S/.)]]/TABLA_BASE[[#This Row],[PRECIO VTA.
c/IGV(S/.)]])</f>
        <v>0</v>
      </c>
      <c r="BA174" s="277">
        <f>IF(TABLA_BASE[[#This Row],[C/M UNIT.
(S/.)]]=0,0,TABLA_BASE[[#This Row],[GANANCIA
UNIT.(S/.)]]/TABLA_BASE[[#This Row],[C/M UNIT.
(S/.)]])</f>
        <v>0</v>
      </c>
      <c r="BB174" s="274" t="str">
        <f>IF(TABLA_BASE[[#This Row],[MARGEN
%]]&gt;=0.5,"🟢 ALTO",IF(TABLA_BASE[[#This Row],[MARGEN
%]]&gt;=0.3,"🟡 MEDIO","🔴 BAJO"))</f>
        <v>🟡 MEDIO</v>
      </c>
    </row>
    <row r="175" spans="1:54" ht="16.5" hidden="1" thickTop="1" thickBot="1" x14ac:dyDescent="0.3">
      <c r="A175" s="274">
        <f>'🧾 Factura Comercial'!E179</f>
        <v>0</v>
      </c>
      <c r="B175" s="274" t="str">
        <f>'🧾 Factura Comercial'!F179</f>
        <v>Unid.</v>
      </c>
      <c r="C175" s="275">
        <f>'🧾 Factura Comercial'!G179</f>
        <v>0</v>
      </c>
      <c r="D175" s="276">
        <f>'🧾 Factura Comercial'!H179</f>
        <v>0</v>
      </c>
      <c r="E175" s="276">
        <f>'🧾 Factura Comercial'!I179</f>
        <v>0</v>
      </c>
      <c r="F175" s="277">
        <f>IF('🧾 Tributos Aduana'!$F$6=0,0,'🧾 Factura Comercial'!I179/'🧾 Tributos Aduana'!$F$6)</f>
        <v>0</v>
      </c>
      <c r="G175" s="278">
        <f>'🧾 Factura Comercial'!H179*'📋 Datos Generales'!$E$19</f>
        <v>0</v>
      </c>
      <c r="H175" s="278">
        <f>TABLA_BASE[[#This Row],[FOB UNIT.
(S/.)]]*TABLA_BASE[[#This Row],[CANTIDAD
(unid.)]]</f>
        <v>0</v>
      </c>
      <c r="I175" s="280">
        <f>IF('🧾 Tributos Aduana'!$F$6=0,0,'🧾 Tributos Aduana'!$F$17*('🧾 Factura Comercial'!H179/'🧾 Tributos Aduana'!$F$6))</f>
        <v>0</v>
      </c>
      <c r="J175" s="280">
        <f>TABLA_BASE[[#This Row],[ADV UNIT.
(US$)
⚠️COSTO]]*TABLA_BASE[[#This Row],[CANTIDAD
(unid.)]]</f>
        <v>0</v>
      </c>
      <c r="K175" s="279">
        <f>IF('🧾 Tributos Aduana'!$F$6=0,0,'🧾 Tributos Aduana'!$F$18*('🧾 Factura Comercial'!H179/'🧾 Tributos Aduana'!$F$6))</f>
        <v>0</v>
      </c>
      <c r="L175" s="280">
        <f>TABLA_BASE[[#This Row],[IPM UNIT.
(US$)
✅CF]]*TABLA_BASE[[#This Row],[CANTIDAD
(unid.)]]</f>
        <v>0</v>
      </c>
      <c r="M175" s="279">
        <f>IF('🧾 Tributos Aduana'!$F$6=0,0,'🧾 Tributos Aduana'!$F$19*('🧾 Factura Comercial'!H179/'🧾 Tributos Aduana'!$F$6))</f>
        <v>0</v>
      </c>
      <c r="N175" s="280">
        <f>TABLA_BASE[[#This Row],[IGV UNIT.
(US$)
✅CF]]*TABLA_BASE[[#This Row],[CANTIDAD
(unid.)]]</f>
        <v>0</v>
      </c>
      <c r="O175" s="280">
        <f>IF('🧾 Tributos Aduana'!$F$6=0,0,'🧾 Tributos Aduana'!$F$23*('🧾 Factura Comercial'!H179/'🧾 Tributos Aduana'!$F$6))</f>
        <v>0</v>
      </c>
      <c r="P175" s="280">
        <f>TABLA_BASE[[#This Row],[PERCEP.
UNIT.(US$)
✅CF]]*TABLA_BASE[[#This Row],[CANTIDAD
(unid.)]]</f>
        <v>0</v>
      </c>
      <c r="Q175" s="279">
        <f>TABLA_BASE[[#This Row],[ADV UNIT.
(US$)
⚠️COSTO]]+TABLA_BASE[[#This Row],[IPM UNIT.
(US$)
✅CF]]+TABLA_BASE[[#This Row],[IGV UNIT.
(US$)
✅CF]]</f>
        <v>0</v>
      </c>
      <c r="R175" s="280">
        <f>TABLA_BASE[[#This Row],[DEUDA
ADUANERA
UNIT.]]*TABLA_BASE[[#This Row],[CANTIDAD
(unid.)]]</f>
        <v>0</v>
      </c>
      <c r="S175" s="278">
        <f>TABLA_BASE[[#This Row],[DEUDA
ADUANERA
UNIT.]]*'📋 Datos Generales'!$E$19</f>
        <v>0</v>
      </c>
      <c r="T175" s="278">
        <f>TABLA_BASE[[#This Row],[DEUDA
ADUANERA
TOTAL]]*'📋 Datos Generales'!$E$19</f>
        <v>0</v>
      </c>
      <c r="U175" s="281">
        <f>TABLA_BASE[[#This Row],[ADV UNIT.
(US$)
⚠️COSTO]]*'📋 Datos Generales'!$E$19</f>
        <v>0</v>
      </c>
      <c r="V175" s="281">
        <f>TABLA_BASE[[#This Row],[ADV UNIT.
(S/.)]]*TABLA_BASE[[#This Row],[CANTIDAD
(unid.)]]</f>
        <v>0</v>
      </c>
      <c r="W175" s="281">
        <f>TABLA_BASE[[#This Row],[IPM UNIT.
(US$)
✅CF]]*'📋 Datos Generales'!$E$19</f>
        <v>0</v>
      </c>
      <c r="X175" s="281">
        <f>TABLA_BASE[[#This Row],[IPM UNIT.
(S/.)]]*TABLA_BASE[[#This Row],[CANTIDAD
(unid.)]]</f>
        <v>0</v>
      </c>
      <c r="Y175" s="281">
        <f>TABLA_BASE[[#This Row],[IGV UNIT.
(US$)
✅CF]]*'📋 Datos Generales'!$E$19</f>
        <v>0</v>
      </c>
      <c r="Z175" s="281">
        <f>TABLA_BASE[[#This Row],[IGV UNIT.
(S/.)]]*TABLA_BASE[[#This Row],[CANTIDAD
(unid.)]]</f>
        <v>0</v>
      </c>
      <c r="AA175" s="281">
        <f>TABLA_BASE[[#This Row],[PERCEP.
UNIT.(US$)
✅CF]]*'📋 Datos Generales'!$E$19</f>
        <v>0</v>
      </c>
      <c r="AB175" s="281">
        <f>TABLA_BASE[[#This Row],[PERCEP.
UNIT.(S/.)]]*TABLA_BASE[[#This Row],[CANTIDAD
(unid.)]]</f>
        <v>0</v>
      </c>
      <c r="AC175" s="279">
        <f>TABLA_BASE[[#This Row],[ADV UNIT.
(US$)
⚠️COSTO]]+TABLA_BASE[[#This Row],[IPM UNIT.
(US$)
✅CF]]+TABLA_BASE[[#This Row],[IGV UNIT.
(US$)
✅CF]]+TABLA_BASE[[#This Row],[PERCEP.
UNIT.(US$)
✅CF]]</f>
        <v>0</v>
      </c>
      <c r="AD175" s="279">
        <f>TABLA_BASE[[#This Row],[TOTAL PAGO
SUNAT
UNIT.(US$)]]*TABLA_BASE[[#This Row],[CANTIDAD
(unid.)]]</f>
        <v>0</v>
      </c>
      <c r="AE175" s="281">
        <f>TABLA_BASE[[#This Row],[TOTAL PAGO
SUNAT
UNIT.(US$)]]*'📋 Datos Generales'!$E$19</f>
        <v>0</v>
      </c>
      <c r="AF175" s="281">
        <f>TABLA_BASE[[#This Row],[TOTAL TRIB.
UNIT.(S/.)]]*TABLA_BASE[[#This Row],[CANTIDAD
(unid.)]]</f>
        <v>0</v>
      </c>
      <c r="AG175" s="279">
        <f>IF('🧾 Factura Comercial'!G179=0,0,'📦 Gastos Importación'!$E$28*(IF('🧾 Tributos Aduana'!$F$6=0,0,'🧾 Factura Comercial'!I179/'🧾 Tributos Aduana'!$F$6))/'🧾 Factura Comercial'!G179)</f>
        <v>0</v>
      </c>
      <c r="AH175" s="279">
        <f>TABLA_BASE[[#This Row],[GASTOS IMP.
UNIT.(US$)]]*TABLA_BASE[[#This Row],[CANTIDAD
(unid.)]]</f>
        <v>0</v>
      </c>
      <c r="AI175" s="281">
        <f>TABLA_BASE[[#This Row],[GASTOS IMP.
UNIT.(US$)]]*'📋 Datos Generales'!$E$19</f>
        <v>0</v>
      </c>
      <c r="AJ175" s="281">
        <f>TABLA_BASE[[#This Row],[GASTOS IMP.
UNIT.(S/.)]]*TABLA_BASE[[#This Row],[CANTIDAD
(unid.)]]</f>
        <v>0</v>
      </c>
      <c r="AK175" s="280">
        <f>'🧮 Costos x Producto'!J179</f>
        <v>0</v>
      </c>
      <c r="AL175" s="278">
        <f>'🧮 Costos x Producto'!K179</f>
        <v>0</v>
      </c>
      <c r="AM175" s="278">
        <f>TABLA_BASE[[#This Row],[C/M UNIT.
(S/.)]]*TABLA_BASE[[#This Row],[CANTIDAD
(unid.)]]</f>
        <v>0</v>
      </c>
      <c r="AN175" s="279">
        <f>IF('🧾 Factura Comercial'!G179=0,0,'🧾 Tributos Aduana'!$F$17*(IF('🧾 Tributos Aduana'!$F$6=0,0,'🧾 Factura Comercial'!I179/'🧾 Tributos Aduana'!$F$6))/'🧾 Factura Comercial'!G179)</f>
        <v>0</v>
      </c>
      <c r="AO175" s="280">
        <f>IF('🧾 Factura Comercial'!G179=0,0,'🏦 Crédito Fiscal'!$C$16*(IF('🧾 Tributos Aduana'!$F$6=0,0,'🧾 Factura Comercial'!I179/'🧾 Tributos Aduana'!$F$6))/'🧾 Factura Comercial'!G179)</f>
        <v>0</v>
      </c>
      <c r="AP175" s="278">
        <f>TABLA_BASE[[#This Row],[CF UNIT.
✅RECUP.
(US$)]]*'📋 Datos Generales'!$E$19</f>
        <v>0</v>
      </c>
      <c r="AQ175" s="278">
        <f>TABLA_BASE[[#This Row],[CF UNIT.
✅RECUP.(S/.)]]*TABLA_BASE[[#This Row],[CANTIDAD
(unid.)]]</f>
        <v>0</v>
      </c>
      <c r="AR175" s="288">
        <f>'💰 Precio de Venta'!G180</f>
        <v>0.4</v>
      </c>
      <c r="AS175" s="278">
        <f>'💰 Precio de Venta'!H180</f>
        <v>0</v>
      </c>
      <c r="AT175" s="278">
        <f>TABLA_BASE[[#This Row],[VALOR VTA.
UNIT.(S/.)]]*TABLA_BASE[[#This Row],[CANTIDAD
(unid.)]]</f>
        <v>0</v>
      </c>
      <c r="AU175" s="281">
        <f>'💰 Precio de Venta'!I180</f>
        <v>0</v>
      </c>
      <c r="AV175" s="278">
        <f>'💰 Precio de Venta'!J180</f>
        <v>0</v>
      </c>
      <c r="AW175" s="278">
        <f>TABLA_BASE[[#This Row],[GANANCIA
UNIT.(S/.)]]*TABLA_BASE[[#This Row],[CANTIDAD
(unid.)]]</f>
        <v>0</v>
      </c>
      <c r="AX175" s="289">
        <f>'💰 Precio de Venta'!K180</f>
        <v>0</v>
      </c>
      <c r="AY175" s="278">
        <f>TABLA_BASE[[#This Row],[GANANCIA
UNIT.(S/.)]]*'🧾 Factura Comercial'!G179</f>
        <v>0</v>
      </c>
      <c r="AZ175" s="277">
        <f>IF(TABLA_BASE[[#This Row],[PRECIO VTA.
c/IGV(S/.)]]=0,0,TABLA_BASE[[#This Row],[GANANCIA
UNIT.(S/.)]]/TABLA_BASE[[#This Row],[PRECIO VTA.
c/IGV(S/.)]])</f>
        <v>0</v>
      </c>
      <c r="BA175" s="277">
        <f>IF(TABLA_BASE[[#This Row],[C/M UNIT.
(S/.)]]=0,0,TABLA_BASE[[#This Row],[GANANCIA
UNIT.(S/.)]]/TABLA_BASE[[#This Row],[C/M UNIT.
(S/.)]])</f>
        <v>0</v>
      </c>
      <c r="BB175" s="274" t="str">
        <f>IF(TABLA_BASE[[#This Row],[MARGEN
%]]&gt;=0.5,"🟢 ALTO",IF(TABLA_BASE[[#This Row],[MARGEN
%]]&gt;=0.3,"🟡 MEDIO","🔴 BAJO"))</f>
        <v>🟡 MEDIO</v>
      </c>
    </row>
    <row r="176" spans="1:54" ht="16.5" hidden="1" thickTop="1" thickBot="1" x14ac:dyDescent="0.3">
      <c r="A176" s="274">
        <f>'🧾 Factura Comercial'!E180</f>
        <v>0</v>
      </c>
      <c r="B176" s="274" t="str">
        <f>'🧾 Factura Comercial'!F180</f>
        <v>Unid.</v>
      </c>
      <c r="C176" s="275">
        <f>'🧾 Factura Comercial'!G180</f>
        <v>0</v>
      </c>
      <c r="D176" s="276">
        <f>'🧾 Factura Comercial'!H180</f>
        <v>0</v>
      </c>
      <c r="E176" s="276">
        <f>'🧾 Factura Comercial'!I180</f>
        <v>0</v>
      </c>
      <c r="F176" s="277">
        <f>IF('🧾 Tributos Aduana'!$F$6=0,0,'🧾 Factura Comercial'!I180/'🧾 Tributos Aduana'!$F$6)</f>
        <v>0</v>
      </c>
      <c r="G176" s="278">
        <f>'🧾 Factura Comercial'!H180*'📋 Datos Generales'!$E$19</f>
        <v>0</v>
      </c>
      <c r="H176" s="278">
        <f>TABLA_BASE[[#This Row],[FOB UNIT.
(S/.)]]*TABLA_BASE[[#This Row],[CANTIDAD
(unid.)]]</f>
        <v>0</v>
      </c>
      <c r="I176" s="280">
        <f>IF('🧾 Tributos Aduana'!$F$6=0,0,'🧾 Tributos Aduana'!$F$17*('🧾 Factura Comercial'!H180/'🧾 Tributos Aduana'!$F$6))</f>
        <v>0</v>
      </c>
      <c r="J176" s="280">
        <f>TABLA_BASE[[#This Row],[ADV UNIT.
(US$)
⚠️COSTO]]*TABLA_BASE[[#This Row],[CANTIDAD
(unid.)]]</f>
        <v>0</v>
      </c>
      <c r="K176" s="279">
        <f>IF('🧾 Tributos Aduana'!$F$6=0,0,'🧾 Tributos Aduana'!$F$18*('🧾 Factura Comercial'!H180/'🧾 Tributos Aduana'!$F$6))</f>
        <v>0</v>
      </c>
      <c r="L176" s="280">
        <f>TABLA_BASE[[#This Row],[IPM UNIT.
(US$)
✅CF]]*TABLA_BASE[[#This Row],[CANTIDAD
(unid.)]]</f>
        <v>0</v>
      </c>
      <c r="M176" s="279">
        <f>IF('🧾 Tributos Aduana'!$F$6=0,0,'🧾 Tributos Aduana'!$F$19*('🧾 Factura Comercial'!H180/'🧾 Tributos Aduana'!$F$6))</f>
        <v>0</v>
      </c>
      <c r="N176" s="280">
        <f>TABLA_BASE[[#This Row],[IGV UNIT.
(US$)
✅CF]]*TABLA_BASE[[#This Row],[CANTIDAD
(unid.)]]</f>
        <v>0</v>
      </c>
      <c r="O176" s="280">
        <f>IF('🧾 Tributos Aduana'!$F$6=0,0,'🧾 Tributos Aduana'!$F$23*('🧾 Factura Comercial'!H180/'🧾 Tributos Aduana'!$F$6))</f>
        <v>0</v>
      </c>
      <c r="P176" s="280">
        <f>TABLA_BASE[[#This Row],[PERCEP.
UNIT.(US$)
✅CF]]*TABLA_BASE[[#This Row],[CANTIDAD
(unid.)]]</f>
        <v>0</v>
      </c>
      <c r="Q176" s="279">
        <f>TABLA_BASE[[#This Row],[ADV UNIT.
(US$)
⚠️COSTO]]+TABLA_BASE[[#This Row],[IPM UNIT.
(US$)
✅CF]]+TABLA_BASE[[#This Row],[IGV UNIT.
(US$)
✅CF]]</f>
        <v>0</v>
      </c>
      <c r="R176" s="280">
        <f>TABLA_BASE[[#This Row],[DEUDA
ADUANERA
UNIT.]]*TABLA_BASE[[#This Row],[CANTIDAD
(unid.)]]</f>
        <v>0</v>
      </c>
      <c r="S176" s="278">
        <f>TABLA_BASE[[#This Row],[DEUDA
ADUANERA
UNIT.]]*'📋 Datos Generales'!$E$19</f>
        <v>0</v>
      </c>
      <c r="T176" s="278">
        <f>TABLA_BASE[[#This Row],[DEUDA
ADUANERA
TOTAL]]*'📋 Datos Generales'!$E$19</f>
        <v>0</v>
      </c>
      <c r="U176" s="281">
        <f>TABLA_BASE[[#This Row],[ADV UNIT.
(US$)
⚠️COSTO]]*'📋 Datos Generales'!$E$19</f>
        <v>0</v>
      </c>
      <c r="V176" s="281">
        <f>TABLA_BASE[[#This Row],[ADV UNIT.
(S/.)]]*TABLA_BASE[[#This Row],[CANTIDAD
(unid.)]]</f>
        <v>0</v>
      </c>
      <c r="W176" s="281">
        <f>TABLA_BASE[[#This Row],[IPM UNIT.
(US$)
✅CF]]*'📋 Datos Generales'!$E$19</f>
        <v>0</v>
      </c>
      <c r="X176" s="281">
        <f>TABLA_BASE[[#This Row],[IPM UNIT.
(S/.)]]*TABLA_BASE[[#This Row],[CANTIDAD
(unid.)]]</f>
        <v>0</v>
      </c>
      <c r="Y176" s="281">
        <f>TABLA_BASE[[#This Row],[IGV UNIT.
(US$)
✅CF]]*'📋 Datos Generales'!$E$19</f>
        <v>0</v>
      </c>
      <c r="Z176" s="281">
        <f>TABLA_BASE[[#This Row],[IGV UNIT.
(S/.)]]*TABLA_BASE[[#This Row],[CANTIDAD
(unid.)]]</f>
        <v>0</v>
      </c>
      <c r="AA176" s="281">
        <f>TABLA_BASE[[#This Row],[PERCEP.
UNIT.(US$)
✅CF]]*'📋 Datos Generales'!$E$19</f>
        <v>0</v>
      </c>
      <c r="AB176" s="281">
        <f>TABLA_BASE[[#This Row],[PERCEP.
UNIT.(S/.)]]*TABLA_BASE[[#This Row],[CANTIDAD
(unid.)]]</f>
        <v>0</v>
      </c>
      <c r="AC176" s="279">
        <f>TABLA_BASE[[#This Row],[ADV UNIT.
(US$)
⚠️COSTO]]+TABLA_BASE[[#This Row],[IPM UNIT.
(US$)
✅CF]]+TABLA_BASE[[#This Row],[IGV UNIT.
(US$)
✅CF]]+TABLA_BASE[[#This Row],[PERCEP.
UNIT.(US$)
✅CF]]</f>
        <v>0</v>
      </c>
      <c r="AD176" s="279">
        <f>TABLA_BASE[[#This Row],[TOTAL PAGO
SUNAT
UNIT.(US$)]]*TABLA_BASE[[#This Row],[CANTIDAD
(unid.)]]</f>
        <v>0</v>
      </c>
      <c r="AE176" s="281">
        <f>TABLA_BASE[[#This Row],[TOTAL PAGO
SUNAT
UNIT.(US$)]]*'📋 Datos Generales'!$E$19</f>
        <v>0</v>
      </c>
      <c r="AF176" s="281">
        <f>TABLA_BASE[[#This Row],[TOTAL TRIB.
UNIT.(S/.)]]*TABLA_BASE[[#This Row],[CANTIDAD
(unid.)]]</f>
        <v>0</v>
      </c>
      <c r="AG176" s="279">
        <f>IF('🧾 Factura Comercial'!G180=0,0,'📦 Gastos Importación'!$E$28*(IF('🧾 Tributos Aduana'!$F$6=0,0,'🧾 Factura Comercial'!I180/'🧾 Tributos Aduana'!$F$6))/'🧾 Factura Comercial'!G180)</f>
        <v>0</v>
      </c>
      <c r="AH176" s="279">
        <f>TABLA_BASE[[#This Row],[GASTOS IMP.
UNIT.(US$)]]*TABLA_BASE[[#This Row],[CANTIDAD
(unid.)]]</f>
        <v>0</v>
      </c>
      <c r="AI176" s="281">
        <f>TABLA_BASE[[#This Row],[GASTOS IMP.
UNIT.(US$)]]*'📋 Datos Generales'!$E$19</f>
        <v>0</v>
      </c>
      <c r="AJ176" s="281">
        <f>TABLA_BASE[[#This Row],[GASTOS IMP.
UNIT.(S/.)]]*TABLA_BASE[[#This Row],[CANTIDAD
(unid.)]]</f>
        <v>0</v>
      </c>
      <c r="AK176" s="280">
        <f>'🧮 Costos x Producto'!J180</f>
        <v>0</v>
      </c>
      <c r="AL176" s="278">
        <f>'🧮 Costos x Producto'!K180</f>
        <v>0</v>
      </c>
      <c r="AM176" s="278">
        <f>TABLA_BASE[[#This Row],[C/M UNIT.
(S/.)]]*TABLA_BASE[[#This Row],[CANTIDAD
(unid.)]]</f>
        <v>0</v>
      </c>
      <c r="AN176" s="279">
        <f>IF('🧾 Factura Comercial'!G180=0,0,'🧾 Tributos Aduana'!$F$17*(IF('🧾 Tributos Aduana'!$F$6=0,0,'🧾 Factura Comercial'!I180/'🧾 Tributos Aduana'!$F$6))/'🧾 Factura Comercial'!G180)</f>
        <v>0</v>
      </c>
      <c r="AO176" s="280">
        <f>IF('🧾 Factura Comercial'!G180=0,0,'🏦 Crédito Fiscal'!$C$16*(IF('🧾 Tributos Aduana'!$F$6=0,0,'🧾 Factura Comercial'!I180/'🧾 Tributos Aduana'!$F$6))/'🧾 Factura Comercial'!G180)</f>
        <v>0</v>
      </c>
      <c r="AP176" s="278">
        <f>TABLA_BASE[[#This Row],[CF UNIT.
✅RECUP.
(US$)]]*'📋 Datos Generales'!$E$19</f>
        <v>0</v>
      </c>
      <c r="AQ176" s="278">
        <f>TABLA_BASE[[#This Row],[CF UNIT.
✅RECUP.(S/.)]]*TABLA_BASE[[#This Row],[CANTIDAD
(unid.)]]</f>
        <v>0</v>
      </c>
      <c r="AR176" s="288">
        <f>'💰 Precio de Venta'!G181</f>
        <v>0.4</v>
      </c>
      <c r="AS176" s="278">
        <f>'💰 Precio de Venta'!H181</f>
        <v>0</v>
      </c>
      <c r="AT176" s="278">
        <f>TABLA_BASE[[#This Row],[VALOR VTA.
UNIT.(S/.)]]*TABLA_BASE[[#This Row],[CANTIDAD
(unid.)]]</f>
        <v>0</v>
      </c>
      <c r="AU176" s="281">
        <f>'💰 Precio de Venta'!I181</f>
        <v>0</v>
      </c>
      <c r="AV176" s="278">
        <f>'💰 Precio de Venta'!J181</f>
        <v>0</v>
      </c>
      <c r="AW176" s="278">
        <f>TABLA_BASE[[#This Row],[GANANCIA
UNIT.(S/.)]]*TABLA_BASE[[#This Row],[CANTIDAD
(unid.)]]</f>
        <v>0</v>
      </c>
      <c r="AX176" s="289">
        <f>'💰 Precio de Venta'!K181</f>
        <v>0</v>
      </c>
      <c r="AY176" s="278">
        <f>TABLA_BASE[[#This Row],[GANANCIA
UNIT.(S/.)]]*'🧾 Factura Comercial'!G180</f>
        <v>0</v>
      </c>
      <c r="AZ176" s="277">
        <f>IF(TABLA_BASE[[#This Row],[PRECIO VTA.
c/IGV(S/.)]]=0,0,TABLA_BASE[[#This Row],[GANANCIA
UNIT.(S/.)]]/TABLA_BASE[[#This Row],[PRECIO VTA.
c/IGV(S/.)]])</f>
        <v>0</v>
      </c>
      <c r="BA176" s="277">
        <f>IF(TABLA_BASE[[#This Row],[C/M UNIT.
(S/.)]]=0,0,TABLA_BASE[[#This Row],[GANANCIA
UNIT.(S/.)]]/TABLA_BASE[[#This Row],[C/M UNIT.
(S/.)]])</f>
        <v>0</v>
      </c>
      <c r="BB176" s="274" t="str">
        <f>IF(TABLA_BASE[[#This Row],[MARGEN
%]]&gt;=0.5,"🟢 ALTO",IF(TABLA_BASE[[#This Row],[MARGEN
%]]&gt;=0.3,"🟡 MEDIO","🔴 BAJO"))</f>
        <v>🟡 MEDIO</v>
      </c>
    </row>
    <row r="177" spans="1:54" ht="16.5" hidden="1" thickTop="1" thickBot="1" x14ac:dyDescent="0.3">
      <c r="A177" s="274">
        <f>'🧾 Factura Comercial'!E181</f>
        <v>0</v>
      </c>
      <c r="B177" s="274" t="str">
        <f>'🧾 Factura Comercial'!F181</f>
        <v>Unid.</v>
      </c>
      <c r="C177" s="275">
        <f>'🧾 Factura Comercial'!G181</f>
        <v>0</v>
      </c>
      <c r="D177" s="276">
        <f>'🧾 Factura Comercial'!H181</f>
        <v>0</v>
      </c>
      <c r="E177" s="276">
        <f>'🧾 Factura Comercial'!I181</f>
        <v>0</v>
      </c>
      <c r="F177" s="277">
        <f>IF('🧾 Tributos Aduana'!$F$6=0,0,'🧾 Factura Comercial'!I181/'🧾 Tributos Aduana'!$F$6)</f>
        <v>0</v>
      </c>
      <c r="G177" s="278">
        <f>'🧾 Factura Comercial'!H181*'📋 Datos Generales'!$E$19</f>
        <v>0</v>
      </c>
      <c r="H177" s="278">
        <f>TABLA_BASE[[#This Row],[FOB UNIT.
(S/.)]]*TABLA_BASE[[#This Row],[CANTIDAD
(unid.)]]</f>
        <v>0</v>
      </c>
      <c r="I177" s="280">
        <f>IF('🧾 Tributos Aduana'!$F$6=0,0,'🧾 Tributos Aduana'!$F$17*('🧾 Factura Comercial'!H181/'🧾 Tributos Aduana'!$F$6))</f>
        <v>0</v>
      </c>
      <c r="J177" s="280">
        <f>TABLA_BASE[[#This Row],[ADV UNIT.
(US$)
⚠️COSTO]]*TABLA_BASE[[#This Row],[CANTIDAD
(unid.)]]</f>
        <v>0</v>
      </c>
      <c r="K177" s="279">
        <f>IF('🧾 Tributos Aduana'!$F$6=0,0,'🧾 Tributos Aduana'!$F$18*('🧾 Factura Comercial'!H181/'🧾 Tributos Aduana'!$F$6))</f>
        <v>0</v>
      </c>
      <c r="L177" s="280">
        <f>TABLA_BASE[[#This Row],[IPM UNIT.
(US$)
✅CF]]*TABLA_BASE[[#This Row],[CANTIDAD
(unid.)]]</f>
        <v>0</v>
      </c>
      <c r="M177" s="279">
        <f>IF('🧾 Tributos Aduana'!$F$6=0,0,'🧾 Tributos Aduana'!$F$19*('🧾 Factura Comercial'!H181/'🧾 Tributos Aduana'!$F$6))</f>
        <v>0</v>
      </c>
      <c r="N177" s="280">
        <f>TABLA_BASE[[#This Row],[IGV UNIT.
(US$)
✅CF]]*TABLA_BASE[[#This Row],[CANTIDAD
(unid.)]]</f>
        <v>0</v>
      </c>
      <c r="O177" s="280">
        <f>IF('🧾 Tributos Aduana'!$F$6=0,0,'🧾 Tributos Aduana'!$F$23*('🧾 Factura Comercial'!H181/'🧾 Tributos Aduana'!$F$6))</f>
        <v>0</v>
      </c>
      <c r="P177" s="280">
        <f>TABLA_BASE[[#This Row],[PERCEP.
UNIT.(US$)
✅CF]]*TABLA_BASE[[#This Row],[CANTIDAD
(unid.)]]</f>
        <v>0</v>
      </c>
      <c r="Q177" s="279">
        <f>TABLA_BASE[[#This Row],[ADV UNIT.
(US$)
⚠️COSTO]]+TABLA_BASE[[#This Row],[IPM UNIT.
(US$)
✅CF]]+TABLA_BASE[[#This Row],[IGV UNIT.
(US$)
✅CF]]</f>
        <v>0</v>
      </c>
      <c r="R177" s="280">
        <f>TABLA_BASE[[#This Row],[DEUDA
ADUANERA
UNIT.]]*TABLA_BASE[[#This Row],[CANTIDAD
(unid.)]]</f>
        <v>0</v>
      </c>
      <c r="S177" s="278">
        <f>TABLA_BASE[[#This Row],[DEUDA
ADUANERA
UNIT.]]*'📋 Datos Generales'!$E$19</f>
        <v>0</v>
      </c>
      <c r="T177" s="278">
        <f>TABLA_BASE[[#This Row],[DEUDA
ADUANERA
TOTAL]]*'📋 Datos Generales'!$E$19</f>
        <v>0</v>
      </c>
      <c r="U177" s="281">
        <f>TABLA_BASE[[#This Row],[ADV UNIT.
(US$)
⚠️COSTO]]*'📋 Datos Generales'!$E$19</f>
        <v>0</v>
      </c>
      <c r="V177" s="281">
        <f>TABLA_BASE[[#This Row],[ADV UNIT.
(S/.)]]*TABLA_BASE[[#This Row],[CANTIDAD
(unid.)]]</f>
        <v>0</v>
      </c>
      <c r="W177" s="281">
        <f>TABLA_BASE[[#This Row],[IPM UNIT.
(US$)
✅CF]]*'📋 Datos Generales'!$E$19</f>
        <v>0</v>
      </c>
      <c r="X177" s="281">
        <f>TABLA_BASE[[#This Row],[IPM UNIT.
(S/.)]]*TABLA_BASE[[#This Row],[CANTIDAD
(unid.)]]</f>
        <v>0</v>
      </c>
      <c r="Y177" s="281">
        <f>TABLA_BASE[[#This Row],[IGV UNIT.
(US$)
✅CF]]*'📋 Datos Generales'!$E$19</f>
        <v>0</v>
      </c>
      <c r="Z177" s="281">
        <f>TABLA_BASE[[#This Row],[IGV UNIT.
(S/.)]]*TABLA_BASE[[#This Row],[CANTIDAD
(unid.)]]</f>
        <v>0</v>
      </c>
      <c r="AA177" s="281">
        <f>TABLA_BASE[[#This Row],[PERCEP.
UNIT.(US$)
✅CF]]*'📋 Datos Generales'!$E$19</f>
        <v>0</v>
      </c>
      <c r="AB177" s="281">
        <f>TABLA_BASE[[#This Row],[PERCEP.
UNIT.(S/.)]]*TABLA_BASE[[#This Row],[CANTIDAD
(unid.)]]</f>
        <v>0</v>
      </c>
      <c r="AC177" s="279">
        <f>TABLA_BASE[[#This Row],[ADV UNIT.
(US$)
⚠️COSTO]]+TABLA_BASE[[#This Row],[IPM UNIT.
(US$)
✅CF]]+TABLA_BASE[[#This Row],[IGV UNIT.
(US$)
✅CF]]+TABLA_BASE[[#This Row],[PERCEP.
UNIT.(US$)
✅CF]]</f>
        <v>0</v>
      </c>
      <c r="AD177" s="279">
        <f>TABLA_BASE[[#This Row],[TOTAL PAGO
SUNAT
UNIT.(US$)]]*TABLA_BASE[[#This Row],[CANTIDAD
(unid.)]]</f>
        <v>0</v>
      </c>
      <c r="AE177" s="281">
        <f>TABLA_BASE[[#This Row],[TOTAL PAGO
SUNAT
UNIT.(US$)]]*'📋 Datos Generales'!$E$19</f>
        <v>0</v>
      </c>
      <c r="AF177" s="281">
        <f>TABLA_BASE[[#This Row],[TOTAL TRIB.
UNIT.(S/.)]]*TABLA_BASE[[#This Row],[CANTIDAD
(unid.)]]</f>
        <v>0</v>
      </c>
      <c r="AG177" s="279">
        <f>IF('🧾 Factura Comercial'!G181=0,0,'📦 Gastos Importación'!$E$28*(IF('🧾 Tributos Aduana'!$F$6=0,0,'🧾 Factura Comercial'!I181/'🧾 Tributos Aduana'!$F$6))/'🧾 Factura Comercial'!G181)</f>
        <v>0</v>
      </c>
      <c r="AH177" s="279">
        <f>TABLA_BASE[[#This Row],[GASTOS IMP.
UNIT.(US$)]]*TABLA_BASE[[#This Row],[CANTIDAD
(unid.)]]</f>
        <v>0</v>
      </c>
      <c r="AI177" s="281">
        <f>TABLA_BASE[[#This Row],[GASTOS IMP.
UNIT.(US$)]]*'📋 Datos Generales'!$E$19</f>
        <v>0</v>
      </c>
      <c r="AJ177" s="281">
        <f>TABLA_BASE[[#This Row],[GASTOS IMP.
UNIT.(S/.)]]*TABLA_BASE[[#This Row],[CANTIDAD
(unid.)]]</f>
        <v>0</v>
      </c>
      <c r="AK177" s="280">
        <f>'🧮 Costos x Producto'!J181</f>
        <v>0</v>
      </c>
      <c r="AL177" s="278">
        <f>'🧮 Costos x Producto'!K181</f>
        <v>0</v>
      </c>
      <c r="AM177" s="278">
        <f>TABLA_BASE[[#This Row],[C/M UNIT.
(S/.)]]*TABLA_BASE[[#This Row],[CANTIDAD
(unid.)]]</f>
        <v>0</v>
      </c>
      <c r="AN177" s="279">
        <f>IF('🧾 Factura Comercial'!G181=0,0,'🧾 Tributos Aduana'!$F$17*(IF('🧾 Tributos Aduana'!$F$6=0,0,'🧾 Factura Comercial'!I181/'🧾 Tributos Aduana'!$F$6))/'🧾 Factura Comercial'!G181)</f>
        <v>0</v>
      </c>
      <c r="AO177" s="280">
        <f>IF('🧾 Factura Comercial'!G181=0,0,'🏦 Crédito Fiscal'!$C$16*(IF('🧾 Tributos Aduana'!$F$6=0,0,'🧾 Factura Comercial'!I181/'🧾 Tributos Aduana'!$F$6))/'🧾 Factura Comercial'!G181)</f>
        <v>0</v>
      </c>
      <c r="AP177" s="278">
        <f>TABLA_BASE[[#This Row],[CF UNIT.
✅RECUP.
(US$)]]*'📋 Datos Generales'!$E$19</f>
        <v>0</v>
      </c>
      <c r="AQ177" s="278">
        <f>TABLA_BASE[[#This Row],[CF UNIT.
✅RECUP.(S/.)]]*TABLA_BASE[[#This Row],[CANTIDAD
(unid.)]]</f>
        <v>0</v>
      </c>
      <c r="AR177" s="288">
        <f>'💰 Precio de Venta'!G182</f>
        <v>0.4</v>
      </c>
      <c r="AS177" s="278">
        <f>'💰 Precio de Venta'!H182</f>
        <v>0</v>
      </c>
      <c r="AT177" s="278">
        <f>TABLA_BASE[[#This Row],[VALOR VTA.
UNIT.(S/.)]]*TABLA_BASE[[#This Row],[CANTIDAD
(unid.)]]</f>
        <v>0</v>
      </c>
      <c r="AU177" s="281">
        <f>'💰 Precio de Venta'!I182</f>
        <v>0</v>
      </c>
      <c r="AV177" s="278">
        <f>'💰 Precio de Venta'!J182</f>
        <v>0</v>
      </c>
      <c r="AW177" s="278">
        <f>TABLA_BASE[[#This Row],[GANANCIA
UNIT.(S/.)]]*TABLA_BASE[[#This Row],[CANTIDAD
(unid.)]]</f>
        <v>0</v>
      </c>
      <c r="AX177" s="289">
        <f>'💰 Precio de Venta'!K182</f>
        <v>0</v>
      </c>
      <c r="AY177" s="278">
        <f>TABLA_BASE[[#This Row],[GANANCIA
UNIT.(S/.)]]*'🧾 Factura Comercial'!G181</f>
        <v>0</v>
      </c>
      <c r="AZ177" s="277">
        <f>IF(TABLA_BASE[[#This Row],[PRECIO VTA.
c/IGV(S/.)]]=0,0,TABLA_BASE[[#This Row],[GANANCIA
UNIT.(S/.)]]/TABLA_BASE[[#This Row],[PRECIO VTA.
c/IGV(S/.)]])</f>
        <v>0</v>
      </c>
      <c r="BA177" s="277">
        <f>IF(TABLA_BASE[[#This Row],[C/M UNIT.
(S/.)]]=0,0,TABLA_BASE[[#This Row],[GANANCIA
UNIT.(S/.)]]/TABLA_BASE[[#This Row],[C/M UNIT.
(S/.)]])</f>
        <v>0</v>
      </c>
      <c r="BB177" s="274" t="str">
        <f>IF(TABLA_BASE[[#This Row],[MARGEN
%]]&gt;=0.5,"🟢 ALTO",IF(TABLA_BASE[[#This Row],[MARGEN
%]]&gt;=0.3,"🟡 MEDIO","🔴 BAJO"))</f>
        <v>🟡 MEDIO</v>
      </c>
    </row>
    <row r="178" spans="1:54" ht="16.5" hidden="1" thickTop="1" thickBot="1" x14ac:dyDescent="0.3">
      <c r="A178" s="274">
        <f>'🧾 Factura Comercial'!E182</f>
        <v>0</v>
      </c>
      <c r="B178" s="274" t="str">
        <f>'🧾 Factura Comercial'!F182</f>
        <v>Unid.</v>
      </c>
      <c r="C178" s="275">
        <f>'🧾 Factura Comercial'!G182</f>
        <v>0</v>
      </c>
      <c r="D178" s="276">
        <f>'🧾 Factura Comercial'!H182</f>
        <v>0</v>
      </c>
      <c r="E178" s="276">
        <f>'🧾 Factura Comercial'!I182</f>
        <v>0</v>
      </c>
      <c r="F178" s="277">
        <f>IF('🧾 Tributos Aduana'!$F$6=0,0,'🧾 Factura Comercial'!I182/'🧾 Tributos Aduana'!$F$6)</f>
        <v>0</v>
      </c>
      <c r="G178" s="278">
        <f>'🧾 Factura Comercial'!H182*'📋 Datos Generales'!$E$19</f>
        <v>0</v>
      </c>
      <c r="H178" s="278">
        <f>TABLA_BASE[[#This Row],[FOB UNIT.
(S/.)]]*TABLA_BASE[[#This Row],[CANTIDAD
(unid.)]]</f>
        <v>0</v>
      </c>
      <c r="I178" s="280">
        <f>IF('🧾 Tributos Aduana'!$F$6=0,0,'🧾 Tributos Aduana'!$F$17*('🧾 Factura Comercial'!H182/'🧾 Tributos Aduana'!$F$6))</f>
        <v>0</v>
      </c>
      <c r="J178" s="280">
        <f>TABLA_BASE[[#This Row],[ADV UNIT.
(US$)
⚠️COSTO]]*TABLA_BASE[[#This Row],[CANTIDAD
(unid.)]]</f>
        <v>0</v>
      </c>
      <c r="K178" s="279">
        <f>IF('🧾 Tributos Aduana'!$F$6=0,0,'🧾 Tributos Aduana'!$F$18*('🧾 Factura Comercial'!H182/'🧾 Tributos Aduana'!$F$6))</f>
        <v>0</v>
      </c>
      <c r="L178" s="280">
        <f>TABLA_BASE[[#This Row],[IPM UNIT.
(US$)
✅CF]]*TABLA_BASE[[#This Row],[CANTIDAD
(unid.)]]</f>
        <v>0</v>
      </c>
      <c r="M178" s="279">
        <f>IF('🧾 Tributos Aduana'!$F$6=0,0,'🧾 Tributos Aduana'!$F$19*('🧾 Factura Comercial'!H182/'🧾 Tributos Aduana'!$F$6))</f>
        <v>0</v>
      </c>
      <c r="N178" s="280">
        <f>TABLA_BASE[[#This Row],[IGV UNIT.
(US$)
✅CF]]*TABLA_BASE[[#This Row],[CANTIDAD
(unid.)]]</f>
        <v>0</v>
      </c>
      <c r="O178" s="280">
        <f>IF('🧾 Tributos Aduana'!$F$6=0,0,'🧾 Tributos Aduana'!$F$23*('🧾 Factura Comercial'!H182/'🧾 Tributos Aduana'!$F$6))</f>
        <v>0</v>
      </c>
      <c r="P178" s="280">
        <f>TABLA_BASE[[#This Row],[PERCEP.
UNIT.(US$)
✅CF]]*TABLA_BASE[[#This Row],[CANTIDAD
(unid.)]]</f>
        <v>0</v>
      </c>
      <c r="Q178" s="279">
        <f>TABLA_BASE[[#This Row],[ADV UNIT.
(US$)
⚠️COSTO]]+TABLA_BASE[[#This Row],[IPM UNIT.
(US$)
✅CF]]+TABLA_BASE[[#This Row],[IGV UNIT.
(US$)
✅CF]]</f>
        <v>0</v>
      </c>
      <c r="R178" s="280">
        <f>TABLA_BASE[[#This Row],[DEUDA
ADUANERA
UNIT.]]*TABLA_BASE[[#This Row],[CANTIDAD
(unid.)]]</f>
        <v>0</v>
      </c>
      <c r="S178" s="278">
        <f>TABLA_BASE[[#This Row],[DEUDA
ADUANERA
UNIT.]]*'📋 Datos Generales'!$E$19</f>
        <v>0</v>
      </c>
      <c r="T178" s="278">
        <f>TABLA_BASE[[#This Row],[DEUDA
ADUANERA
TOTAL]]*'📋 Datos Generales'!$E$19</f>
        <v>0</v>
      </c>
      <c r="U178" s="281">
        <f>TABLA_BASE[[#This Row],[ADV UNIT.
(US$)
⚠️COSTO]]*'📋 Datos Generales'!$E$19</f>
        <v>0</v>
      </c>
      <c r="V178" s="281">
        <f>TABLA_BASE[[#This Row],[ADV UNIT.
(S/.)]]*TABLA_BASE[[#This Row],[CANTIDAD
(unid.)]]</f>
        <v>0</v>
      </c>
      <c r="W178" s="281">
        <f>TABLA_BASE[[#This Row],[IPM UNIT.
(US$)
✅CF]]*'📋 Datos Generales'!$E$19</f>
        <v>0</v>
      </c>
      <c r="X178" s="281">
        <f>TABLA_BASE[[#This Row],[IPM UNIT.
(S/.)]]*TABLA_BASE[[#This Row],[CANTIDAD
(unid.)]]</f>
        <v>0</v>
      </c>
      <c r="Y178" s="281">
        <f>TABLA_BASE[[#This Row],[IGV UNIT.
(US$)
✅CF]]*'📋 Datos Generales'!$E$19</f>
        <v>0</v>
      </c>
      <c r="Z178" s="281">
        <f>TABLA_BASE[[#This Row],[IGV UNIT.
(S/.)]]*TABLA_BASE[[#This Row],[CANTIDAD
(unid.)]]</f>
        <v>0</v>
      </c>
      <c r="AA178" s="281">
        <f>TABLA_BASE[[#This Row],[PERCEP.
UNIT.(US$)
✅CF]]*'📋 Datos Generales'!$E$19</f>
        <v>0</v>
      </c>
      <c r="AB178" s="281">
        <f>TABLA_BASE[[#This Row],[PERCEP.
UNIT.(S/.)]]*TABLA_BASE[[#This Row],[CANTIDAD
(unid.)]]</f>
        <v>0</v>
      </c>
      <c r="AC178" s="279">
        <f>TABLA_BASE[[#This Row],[ADV UNIT.
(US$)
⚠️COSTO]]+TABLA_BASE[[#This Row],[IPM UNIT.
(US$)
✅CF]]+TABLA_BASE[[#This Row],[IGV UNIT.
(US$)
✅CF]]+TABLA_BASE[[#This Row],[PERCEP.
UNIT.(US$)
✅CF]]</f>
        <v>0</v>
      </c>
      <c r="AD178" s="279">
        <f>TABLA_BASE[[#This Row],[TOTAL PAGO
SUNAT
UNIT.(US$)]]*TABLA_BASE[[#This Row],[CANTIDAD
(unid.)]]</f>
        <v>0</v>
      </c>
      <c r="AE178" s="281">
        <f>TABLA_BASE[[#This Row],[TOTAL PAGO
SUNAT
UNIT.(US$)]]*'📋 Datos Generales'!$E$19</f>
        <v>0</v>
      </c>
      <c r="AF178" s="281">
        <f>TABLA_BASE[[#This Row],[TOTAL TRIB.
UNIT.(S/.)]]*TABLA_BASE[[#This Row],[CANTIDAD
(unid.)]]</f>
        <v>0</v>
      </c>
      <c r="AG178" s="279">
        <f>IF('🧾 Factura Comercial'!G182=0,0,'📦 Gastos Importación'!$E$28*(IF('🧾 Tributos Aduana'!$F$6=0,0,'🧾 Factura Comercial'!I182/'🧾 Tributos Aduana'!$F$6))/'🧾 Factura Comercial'!G182)</f>
        <v>0</v>
      </c>
      <c r="AH178" s="279">
        <f>TABLA_BASE[[#This Row],[GASTOS IMP.
UNIT.(US$)]]*TABLA_BASE[[#This Row],[CANTIDAD
(unid.)]]</f>
        <v>0</v>
      </c>
      <c r="AI178" s="281">
        <f>TABLA_BASE[[#This Row],[GASTOS IMP.
UNIT.(US$)]]*'📋 Datos Generales'!$E$19</f>
        <v>0</v>
      </c>
      <c r="AJ178" s="281">
        <f>TABLA_BASE[[#This Row],[GASTOS IMP.
UNIT.(S/.)]]*TABLA_BASE[[#This Row],[CANTIDAD
(unid.)]]</f>
        <v>0</v>
      </c>
      <c r="AK178" s="280">
        <f>'🧮 Costos x Producto'!J182</f>
        <v>0</v>
      </c>
      <c r="AL178" s="278">
        <f>'🧮 Costos x Producto'!K182</f>
        <v>0</v>
      </c>
      <c r="AM178" s="278">
        <f>TABLA_BASE[[#This Row],[C/M UNIT.
(S/.)]]*TABLA_BASE[[#This Row],[CANTIDAD
(unid.)]]</f>
        <v>0</v>
      </c>
      <c r="AN178" s="279">
        <f>IF('🧾 Factura Comercial'!G182=0,0,'🧾 Tributos Aduana'!$F$17*(IF('🧾 Tributos Aduana'!$F$6=0,0,'🧾 Factura Comercial'!I182/'🧾 Tributos Aduana'!$F$6))/'🧾 Factura Comercial'!G182)</f>
        <v>0</v>
      </c>
      <c r="AO178" s="280">
        <f>IF('🧾 Factura Comercial'!G182=0,0,'🏦 Crédito Fiscal'!$C$16*(IF('🧾 Tributos Aduana'!$F$6=0,0,'🧾 Factura Comercial'!I182/'🧾 Tributos Aduana'!$F$6))/'🧾 Factura Comercial'!G182)</f>
        <v>0</v>
      </c>
      <c r="AP178" s="278">
        <f>TABLA_BASE[[#This Row],[CF UNIT.
✅RECUP.
(US$)]]*'📋 Datos Generales'!$E$19</f>
        <v>0</v>
      </c>
      <c r="AQ178" s="278">
        <f>TABLA_BASE[[#This Row],[CF UNIT.
✅RECUP.(S/.)]]*TABLA_BASE[[#This Row],[CANTIDAD
(unid.)]]</f>
        <v>0</v>
      </c>
      <c r="AR178" s="288">
        <f>'💰 Precio de Venta'!G183</f>
        <v>0.4</v>
      </c>
      <c r="AS178" s="278">
        <f>'💰 Precio de Venta'!H183</f>
        <v>0</v>
      </c>
      <c r="AT178" s="278">
        <f>TABLA_BASE[[#This Row],[VALOR VTA.
UNIT.(S/.)]]*TABLA_BASE[[#This Row],[CANTIDAD
(unid.)]]</f>
        <v>0</v>
      </c>
      <c r="AU178" s="281">
        <f>'💰 Precio de Venta'!I183</f>
        <v>0</v>
      </c>
      <c r="AV178" s="278">
        <f>'💰 Precio de Venta'!J183</f>
        <v>0</v>
      </c>
      <c r="AW178" s="278">
        <f>TABLA_BASE[[#This Row],[GANANCIA
UNIT.(S/.)]]*TABLA_BASE[[#This Row],[CANTIDAD
(unid.)]]</f>
        <v>0</v>
      </c>
      <c r="AX178" s="289">
        <f>'💰 Precio de Venta'!K183</f>
        <v>0</v>
      </c>
      <c r="AY178" s="278">
        <f>TABLA_BASE[[#This Row],[GANANCIA
UNIT.(S/.)]]*'🧾 Factura Comercial'!G182</f>
        <v>0</v>
      </c>
      <c r="AZ178" s="277">
        <f>IF(TABLA_BASE[[#This Row],[PRECIO VTA.
c/IGV(S/.)]]=0,0,TABLA_BASE[[#This Row],[GANANCIA
UNIT.(S/.)]]/TABLA_BASE[[#This Row],[PRECIO VTA.
c/IGV(S/.)]])</f>
        <v>0</v>
      </c>
      <c r="BA178" s="277">
        <f>IF(TABLA_BASE[[#This Row],[C/M UNIT.
(S/.)]]=0,0,TABLA_BASE[[#This Row],[GANANCIA
UNIT.(S/.)]]/TABLA_BASE[[#This Row],[C/M UNIT.
(S/.)]])</f>
        <v>0</v>
      </c>
      <c r="BB178" s="274" t="str">
        <f>IF(TABLA_BASE[[#This Row],[MARGEN
%]]&gt;=0.5,"🟢 ALTO",IF(TABLA_BASE[[#This Row],[MARGEN
%]]&gt;=0.3,"🟡 MEDIO","🔴 BAJO"))</f>
        <v>🟡 MEDIO</v>
      </c>
    </row>
    <row r="179" spans="1:54" ht="16.5" hidden="1" thickTop="1" thickBot="1" x14ac:dyDescent="0.3">
      <c r="A179" s="274">
        <f>'🧾 Factura Comercial'!E183</f>
        <v>0</v>
      </c>
      <c r="B179" s="274" t="str">
        <f>'🧾 Factura Comercial'!F183</f>
        <v>Unid.</v>
      </c>
      <c r="C179" s="275">
        <f>'🧾 Factura Comercial'!G183</f>
        <v>0</v>
      </c>
      <c r="D179" s="276">
        <f>'🧾 Factura Comercial'!H183</f>
        <v>0</v>
      </c>
      <c r="E179" s="276">
        <f>'🧾 Factura Comercial'!I183</f>
        <v>0</v>
      </c>
      <c r="F179" s="277">
        <f>IF('🧾 Tributos Aduana'!$F$6=0,0,'🧾 Factura Comercial'!I183/'🧾 Tributos Aduana'!$F$6)</f>
        <v>0</v>
      </c>
      <c r="G179" s="278">
        <f>'🧾 Factura Comercial'!H183*'📋 Datos Generales'!$E$19</f>
        <v>0</v>
      </c>
      <c r="H179" s="278">
        <f>TABLA_BASE[[#This Row],[FOB UNIT.
(S/.)]]*TABLA_BASE[[#This Row],[CANTIDAD
(unid.)]]</f>
        <v>0</v>
      </c>
      <c r="I179" s="280">
        <f>IF('🧾 Tributos Aduana'!$F$6=0,0,'🧾 Tributos Aduana'!$F$17*('🧾 Factura Comercial'!H183/'🧾 Tributos Aduana'!$F$6))</f>
        <v>0</v>
      </c>
      <c r="J179" s="280">
        <f>TABLA_BASE[[#This Row],[ADV UNIT.
(US$)
⚠️COSTO]]*TABLA_BASE[[#This Row],[CANTIDAD
(unid.)]]</f>
        <v>0</v>
      </c>
      <c r="K179" s="279">
        <f>IF('🧾 Tributos Aduana'!$F$6=0,0,'🧾 Tributos Aduana'!$F$18*('🧾 Factura Comercial'!H183/'🧾 Tributos Aduana'!$F$6))</f>
        <v>0</v>
      </c>
      <c r="L179" s="280">
        <f>TABLA_BASE[[#This Row],[IPM UNIT.
(US$)
✅CF]]*TABLA_BASE[[#This Row],[CANTIDAD
(unid.)]]</f>
        <v>0</v>
      </c>
      <c r="M179" s="279">
        <f>IF('🧾 Tributos Aduana'!$F$6=0,0,'🧾 Tributos Aduana'!$F$19*('🧾 Factura Comercial'!H183/'🧾 Tributos Aduana'!$F$6))</f>
        <v>0</v>
      </c>
      <c r="N179" s="280">
        <f>TABLA_BASE[[#This Row],[IGV UNIT.
(US$)
✅CF]]*TABLA_BASE[[#This Row],[CANTIDAD
(unid.)]]</f>
        <v>0</v>
      </c>
      <c r="O179" s="280">
        <f>IF('🧾 Tributos Aduana'!$F$6=0,0,'🧾 Tributos Aduana'!$F$23*('🧾 Factura Comercial'!H183/'🧾 Tributos Aduana'!$F$6))</f>
        <v>0</v>
      </c>
      <c r="P179" s="280">
        <f>TABLA_BASE[[#This Row],[PERCEP.
UNIT.(US$)
✅CF]]*TABLA_BASE[[#This Row],[CANTIDAD
(unid.)]]</f>
        <v>0</v>
      </c>
      <c r="Q179" s="279">
        <f>TABLA_BASE[[#This Row],[ADV UNIT.
(US$)
⚠️COSTO]]+TABLA_BASE[[#This Row],[IPM UNIT.
(US$)
✅CF]]+TABLA_BASE[[#This Row],[IGV UNIT.
(US$)
✅CF]]</f>
        <v>0</v>
      </c>
      <c r="R179" s="280">
        <f>TABLA_BASE[[#This Row],[DEUDA
ADUANERA
UNIT.]]*TABLA_BASE[[#This Row],[CANTIDAD
(unid.)]]</f>
        <v>0</v>
      </c>
      <c r="S179" s="278">
        <f>TABLA_BASE[[#This Row],[DEUDA
ADUANERA
UNIT.]]*'📋 Datos Generales'!$E$19</f>
        <v>0</v>
      </c>
      <c r="T179" s="278">
        <f>TABLA_BASE[[#This Row],[DEUDA
ADUANERA
TOTAL]]*'📋 Datos Generales'!$E$19</f>
        <v>0</v>
      </c>
      <c r="U179" s="281">
        <f>TABLA_BASE[[#This Row],[ADV UNIT.
(US$)
⚠️COSTO]]*'📋 Datos Generales'!$E$19</f>
        <v>0</v>
      </c>
      <c r="V179" s="281">
        <f>TABLA_BASE[[#This Row],[ADV UNIT.
(S/.)]]*TABLA_BASE[[#This Row],[CANTIDAD
(unid.)]]</f>
        <v>0</v>
      </c>
      <c r="W179" s="281">
        <f>TABLA_BASE[[#This Row],[IPM UNIT.
(US$)
✅CF]]*'📋 Datos Generales'!$E$19</f>
        <v>0</v>
      </c>
      <c r="X179" s="281">
        <f>TABLA_BASE[[#This Row],[IPM UNIT.
(S/.)]]*TABLA_BASE[[#This Row],[CANTIDAD
(unid.)]]</f>
        <v>0</v>
      </c>
      <c r="Y179" s="281">
        <f>TABLA_BASE[[#This Row],[IGV UNIT.
(US$)
✅CF]]*'📋 Datos Generales'!$E$19</f>
        <v>0</v>
      </c>
      <c r="Z179" s="281">
        <f>TABLA_BASE[[#This Row],[IGV UNIT.
(S/.)]]*TABLA_BASE[[#This Row],[CANTIDAD
(unid.)]]</f>
        <v>0</v>
      </c>
      <c r="AA179" s="281">
        <f>TABLA_BASE[[#This Row],[PERCEP.
UNIT.(US$)
✅CF]]*'📋 Datos Generales'!$E$19</f>
        <v>0</v>
      </c>
      <c r="AB179" s="281">
        <f>TABLA_BASE[[#This Row],[PERCEP.
UNIT.(S/.)]]*TABLA_BASE[[#This Row],[CANTIDAD
(unid.)]]</f>
        <v>0</v>
      </c>
      <c r="AC179" s="279">
        <f>TABLA_BASE[[#This Row],[ADV UNIT.
(US$)
⚠️COSTO]]+TABLA_BASE[[#This Row],[IPM UNIT.
(US$)
✅CF]]+TABLA_BASE[[#This Row],[IGV UNIT.
(US$)
✅CF]]+TABLA_BASE[[#This Row],[PERCEP.
UNIT.(US$)
✅CF]]</f>
        <v>0</v>
      </c>
      <c r="AD179" s="279">
        <f>TABLA_BASE[[#This Row],[TOTAL PAGO
SUNAT
UNIT.(US$)]]*TABLA_BASE[[#This Row],[CANTIDAD
(unid.)]]</f>
        <v>0</v>
      </c>
      <c r="AE179" s="281">
        <f>TABLA_BASE[[#This Row],[TOTAL PAGO
SUNAT
UNIT.(US$)]]*'📋 Datos Generales'!$E$19</f>
        <v>0</v>
      </c>
      <c r="AF179" s="281">
        <f>TABLA_BASE[[#This Row],[TOTAL TRIB.
UNIT.(S/.)]]*TABLA_BASE[[#This Row],[CANTIDAD
(unid.)]]</f>
        <v>0</v>
      </c>
      <c r="AG179" s="279">
        <f>IF('🧾 Factura Comercial'!G183=0,0,'📦 Gastos Importación'!$E$28*(IF('🧾 Tributos Aduana'!$F$6=0,0,'🧾 Factura Comercial'!I183/'🧾 Tributos Aduana'!$F$6))/'🧾 Factura Comercial'!G183)</f>
        <v>0</v>
      </c>
      <c r="AH179" s="279">
        <f>TABLA_BASE[[#This Row],[GASTOS IMP.
UNIT.(US$)]]*TABLA_BASE[[#This Row],[CANTIDAD
(unid.)]]</f>
        <v>0</v>
      </c>
      <c r="AI179" s="281">
        <f>TABLA_BASE[[#This Row],[GASTOS IMP.
UNIT.(US$)]]*'📋 Datos Generales'!$E$19</f>
        <v>0</v>
      </c>
      <c r="AJ179" s="281">
        <f>TABLA_BASE[[#This Row],[GASTOS IMP.
UNIT.(S/.)]]*TABLA_BASE[[#This Row],[CANTIDAD
(unid.)]]</f>
        <v>0</v>
      </c>
      <c r="AK179" s="280">
        <f>'🧮 Costos x Producto'!J183</f>
        <v>0</v>
      </c>
      <c r="AL179" s="278">
        <f>'🧮 Costos x Producto'!K183</f>
        <v>0</v>
      </c>
      <c r="AM179" s="278">
        <f>TABLA_BASE[[#This Row],[C/M UNIT.
(S/.)]]*TABLA_BASE[[#This Row],[CANTIDAD
(unid.)]]</f>
        <v>0</v>
      </c>
      <c r="AN179" s="279">
        <f>IF('🧾 Factura Comercial'!G183=0,0,'🧾 Tributos Aduana'!$F$17*(IF('🧾 Tributos Aduana'!$F$6=0,0,'🧾 Factura Comercial'!I183/'🧾 Tributos Aduana'!$F$6))/'🧾 Factura Comercial'!G183)</f>
        <v>0</v>
      </c>
      <c r="AO179" s="280">
        <f>IF('🧾 Factura Comercial'!G183=0,0,'🏦 Crédito Fiscal'!$C$16*(IF('🧾 Tributos Aduana'!$F$6=0,0,'🧾 Factura Comercial'!I183/'🧾 Tributos Aduana'!$F$6))/'🧾 Factura Comercial'!G183)</f>
        <v>0</v>
      </c>
      <c r="AP179" s="278">
        <f>TABLA_BASE[[#This Row],[CF UNIT.
✅RECUP.
(US$)]]*'📋 Datos Generales'!$E$19</f>
        <v>0</v>
      </c>
      <c r="AQ179" s="278">
        <f>TABLA_BASE[[#This Row],[CF UNIT.
✅RECUP.(S/.)]]*TABLA_BASE[[#This Row],[CANTIDAD
(unid.)]]</f>
        <v>0</v>
      </c>
      <c r="AR179" s="288">
        <f>'💰 Precio de Venta'!G184</f>
        <v>0.4</v>
      </c>
      <c r="AS179" s="278">
        <f>'💰 Precio de Venta'!H184</f>
        <v>0</v>
      </c>
      <c r="AT179" s="278">
        <f>TABLA_BASE[[#This Row],[VALOR VTA.
UNIT.(S/.)]]*TABLA_BASE[[#This Row],[CANTIDAD
(unid.)]]</f>
        <v>0</v>
      </c>
      <c r="AU179" s="281">
        <f>'💰 Precio de Venta'!I184</f>
        <v>0</v>
      </c>
      <c r="AV179" s="278">
        <f>'💰 Precio de Venta'!J184</f>
        <v>0</v>
      </c>
      <c r="AW179" s="278">
        <f>TABLA_BASE[[#This Row],[GANANCIA
UNIT.(S/.)]]*TABLA_BASE[[#This Row],[CANTIDAD
(unid.)]]</f>
        <v>0</v>
      </c>
      <c r="AX179" s="289">
        <f>'💰 Precio de Venta'!K184</f>
        <v>0</v>
      </c>
      <c r="AY179" s="278">
        <f>TABLA_BASE[[#This Row],[GANANCIA
UNIT.(S/.)]]*'🧾 Factura Comercial'!G183</f>
        <v>0</v>
      </c>
      <c r="AZ179" s="277">
        <f>IF(TABLA_BASE[[#This Row],[PRECIO VTA.
c/IGV(S/.)]]=0,0,TABLA_BASE[[#This Row],[GANANCIA
UNIT.(S/.)]]/TABLA_BASE[[#This Row],[PRECIO VTA.
c/IGV(S/.)]])</f>
        <v>0</v>
      </c>
      <c r="BA179" s="277">
        <f>IF(TABLA_BASE[[#This Row],[C/M UNIT.
(S/.)]]=0,0,TABLA_BASE[[#This Row],[GANANCIA
UNIT.(S/.)]]/TABLA_BASE[[#This Row],[C/M UNIT.
(S/.)]])</f>
        <v>0</v>
      </c>
      <c r="BB179" s="274" t="str">
        <f>IF(TABLA_BASE[[#This Row],[MARGEN
%]]&gt;=0.5,"🟢 ALTO",IF(TABLA_BASE[[#This Row],[MARGEN
%]]&gt;=0.3,"🟡 MEDIO","🔴 BAJO"))</f>
        <v>🟡 MEDIO</v>
      </c>
    </row>
    <row r="180" spans="1:54" ht="16.5" hidden="1" thickTop="1" thickBot="1" x14ac:dyDescent="0.3">
      <c r="A180" s="274">
        <f>'🧾 Factura Comercial'!E184</f>
        <v>0</v>
      </c>
      <c r="B180" s="274" t="str">
        <f>'🧾 Factura Comercial'!F184</f>
        <v>Unid.</v>
      </c>
      <c r="C180" s="275">
        <f>'🧾 Factura Comercial'!G184</f>
        <v>0</v>
      </c>
      <c r="D180" s="276">
        <f>'🧾 Factura Comercial'!H184</f>
        <v>0</v>
      </c>
      <c r="E180" s="276">
        <f>'🧾 Factura Comercial'!I184</f>
        <v>0</v>
      </c>
      <c r="F180" s="277">
        <f>IF('🧾 Tributos Aduana'!$F$6=0,0,'🧾 Factura Comercial'!I184/'🧾 Tributos Aduana'!$F$6)</f>
        <v>0</v>
      </c>
      <c r="G180" s="278">
        <f>'🧾 Factura Comercial'!H184*'📋 Datos Generales'!$E$19</f>
        <v>0</v>
      </c>
      <c r="H180" s="278">
        <f>TABLA_BASE[[#This Row],[FOB UNIT.
(S/.)]]*TABLA_BASE[[#This Row],[CANTIDAD
(unid.)]]</f>
        <v>0</v>
      </c>
      <c r="I180" s="280">
        <f>IF('🧾 Tributos Aduana'!$F$6=0,0,'🧾 Tributos Aduana'!$F$17*('🧾 Factura Comercial'!H184/'🧾 Tributos Aduana'!$F$6))</f>
        <v>0</v>
      </c>
      <c r="J180" s="280">
        <f>TABLA_BASE[[#This Row],[ADV UNIT.
(US$)
⚠️COSTO]]*TABLA_BASE[[#This Row],[CANTIDAD
(unid.)]]</f>
        <v>0</v>
      </c>
      <c r="K180" s="279">
        <f>IF('🧾 Tributos Aduana'!$F$6=0,0,'🧾 Tributos Aduana'!$F$18*('🧾 Factura Comercial'!H184/'🧾 Tributos Aduana'!$F$6))</f>
        <v>0</v>
      </c>
      <c r="L180" s="280">
        <f>TABLA_BASE[[#This Row],[IPM UNIT.
(US$)
✅CF]]*TABLA_BASE[[#This Row],[CANTIDAD
(unid.)]]</f>
        <v>0</v>
      </c>
      <c r="M180" s="279">
        <f>IF('🧾 Tributos Aduana'!$F$6=0,0,'🧾 Tributos Aduana'!$F$19*('🧾 Factura Comercial'!H184/'🧾 Tributos Aduana'!$F$6))</f>
        <v>0</v>
      </c>
      <c r="N180" s="280">
        <f>TABLA_BASE[[#This Row],[IGV UNIT.
(US$)
✅CF]]*TABLA_BASE[[#This Row],[CANTIDAD
(unid.)]]</f>
        <v>0</v>
      </c>
      <c r="O180" s="280">
        <f>IF('🧾 Tributos Aduana'!$F$6=0,0,'🧾 Tributos Aduana'!$F$23*('🧾 Factura Comercial'!H184/'🧾 Tributos Aduana'!$F$6))</f>
        <v>0</v>
      </c>
      <c r="P180" s="280">
        <f>TABLA_BASE[[#This Row],[PERCEP.
UNIT.(US$)
✅CF]]*TABLA_BASE[[#This Row],[CANTIDAD
(unid.)]]</f>
        <v>0</v>
      </c>
      <c r="Q180" s="279">
        <f>TABLA_BASE[[#This Row],[ADV UNIT.
(US$)
⚠️COSTO]]+TABLA_BASE[[#This Row],[IPM UNIT.
(US$)
✅CF]]+TABLA_BASE[[#This Row],[IGV UNIT.
(US$)
✅CF]]</f>
        <v>0</v>
      </c>
      <c r="R180" s="280">
        <f>TABLA_BASE[[#This Row],[DEUDA
ADUANERA
UNIT.]]*TABLA_BASE[[#This Row],[CANTIDAD
(unid.)]]</f>
        <v>0</v>
      </c>
      <c r="S180" s="278">
        <f>TABLA_BASE[[#This Row],[DEUDA
ADUANERA
UNIT.]]*'📋 Datos Generales'!$E$19</f>
        <v>0</v>
      </c>
      <c r="T180" s="278">
        <f>TABLA_BASE[[#This Row],[DEUDA
ADUANERA
TOTAL]]*'📋 Datos Generales'!$E$19</f>
        <v>0</v>
      </c>
      <c r="U180" s="281">
        <f>TABLA_BASE[[#This Row],[ADV UNIT.
(US$)
⚠️COSTO]]*'📋 Datos Generales'!$E$19</f>
        <v>0</v>
      </c>
      <c r="V180" s="281">
        <f>TABLA_BASE[[#This Row],[ADV UNIT.
(S/.)]]*TABLA_BASE[[#This Row],[CANTIDAD
(unid.)]]</f>
        <v>0</v>
      </c>
      <c r="W180" s="281">
        <f>TABLA_BASE[[#This Row],[IPM UNIT.
(US$)
✅CF]]*'📋 Datos Generales'!$E$19</f>
        <v>0</v>
      </c>
      <c r="X180" s="281">
        <f>TABLA_BASE[[#This Row],[IPM UNIT.
(S/.)]]*TABLA_BASE[[#This Row],[CANTIDAD
(unid.)]]</f>
        <v>0</v>
      </c>
      <c r="Y180" s="281">
        <f>TABLA_BASE[[#This Row],[IGV UNIT.
(US$)
✅CF]]*'📋 Datos Generales'!$E$19</f>
        <v>0</v>
      </c>
      <c r="Z180" s="281">
        <f>TABLA_BASE[[#This Row],[IGV UNIT.
(S/.)]]*TABLA_BASE[[#This Row],[CANTIDAD
(unid.)]]</f>
        <v>0</v>
      </c>
      <c r="AA180" s="281">
        <f>TABLA_BASE[[#This Row],[PERCEP.
UNIT.(US$)
✅CF]]*'📋 Datos Generales'!$E$19</f>
        <v>0</v>
      </c>
      <c r="AB180" s="281">
        <f>TABLA_BASE[[#This Row],[PERCEP.
UNIT.(S/.)]]*TABLA_BASE[[#This Row],[CANTIDAD
(unid.)]]</f>
        <v>0</v>
      </c>
      <c r="AC180" s="279">
        <f>TABLA_BASE[[#This Row],[ADV UNIT.
(US$)
⚠️COSTO]]+TABLA_BASE[[#This Row],[IPM UNIT.
(US$)
✅CF]]+TABLA_BASE[[#This Row],[IGV UNIT.
(US$)
✅CF]]+TABLA_BASE[[#This Row],[PERCEP.
UNIT.(US$)
✅CF]]</f>
        <v>0</v>
      </c>
      <c r="AD180" s="279">
        <f>TABLA_BASE[[#This Row],[TOTAL PAGO
SUNAT
UNIT.(US$)]]*TABLA_BASE[[#This Row],[CANTIDAD
(unid.)]]</f>
        <v>0</v>
      </c>
      <c r="AE180" s="281">
        <f>TABLA_BASE[[#This Row],[TOTAL PAGO
SUNAT
UNIT.(US$)]]*'📋 Datos Generales'!$E$19</f>
        <v>0</v>
      </c>
      <c r="AF180" s="281">
        <f>TABLA_BASE[[#This Row],[TOTAL TRIB.
UNIT.(S/.)]]*TABLA_BASE[[#This Row],[CANTIDAD
(unid.)]]</f>
        <v>0</v>
      </c>
      <c r="AG180" s="279">
        <f>IF('🧾 Factura Comercial'!G184=0,0,'📦 Gastos Importación'!$E$28*(IF('🧾 Tributos Aduana'!$F$6=0,0,'🧾 Factura Comercial'!I184/'🧾 Tributos Aduana'!$F$6))/'🧾 Factura Comercial'!G184)</f>
        <v>0</v>
      </c>
      <c r="AH180" s="279">
        <f>TABLA_BASE[[#This Row],[GASTOS IMP.
UNIT.(US$)]]*TABLA_BASE[[#This Row],[CANTIDAD
(unid.)]]</f>
        <v>0</v>
      </c>
      <c r="AI180" s="281">
        <f>TABLA_BASE[[#This Row],[GASTOS IMP.
UNIT.(US$)]]*'📋 Datos Generales'!$E$19</f>
        <v>0</v>
      </c>
      <c r="AJ180" s="281">
        <f>TABLA_BASE[[#This Row],[GASTOS IMP.
UNIT.(S/.)]]*TABLA_BASE[[#This Row],[CANTIDAD
(unid.)]]</f>
        <v>0</v>
      </c>
      <c r="AK180" s="280">
        <f>'🧮 Costos x Producto'!J184</f>
        <v>0</v>
      </c>
      <c r="AL180" s="278">
        <f>'🧮 Costos x Producto'!K184</f>
        <v>0</v>
      </c>
      <c r="AM180" s="278">
        <f>TABLA_BASE[[#This Row],[C/M UNIT.
(S/.)]]*TABLA_BASE[[#This Row],[CANTIDAD
(unid.)]]</f>
        <v>0</v>
      </c>
      <c r="AN180" s="279">
        <f>IF('🧾 Factura Comercial'!G184=0,0,'🧾 Tributos Aduana'!$F$17*(IF('🧾 Tributos Aduana'!$F$6=0,0,'🧾 Factura Comercial'!I184/'🧾 Tributos Aduana'!$F$6))/'🧾 Factura Comercial'!G184)</f>
        <v>0</v>
      </c>
      <c r="AO180" s="280">
        <f>IF('🧾 Factura Comercial'!G184=0,0,'🏦 Crédito Fiscal'!$C$16*(IF('🧾 Tributos Aduana'!$F$6=0,0,'🧾 Factura Comercial'!I184/'🧾 Tributos Aduana'!$F$6))/'🧾 Factura Comercial'!G184)</f>
        <v>0</v>
      </c>
      <c r="AP180" s="278">
        <f>TABLA_BASE[[#This Row],[CF UNIT.
✅RECUP.
(US$)]]*'📋 Datos Generales'!$E$19</f>
        <v>0</v>
      </c>
      <c r="AQ180" s="278">
        <f>TABLA_BASE[[#This Row],[CF UNIT.
✅RECUP.(S/.)]]*TABLA_BASE[[#This Row],[CANTIDAD
(unid.)]]</f>
        <v>0</v>
      </c>
      <c r="AR180" s="288">
        <f>'💰 Precio de Venta'!G185</f>
        <v>0.4</v>
      </c>
      <c r="AS180" s="278">
        <f>'💰 Precio de Venta'!H185</f>
        <v>0</v>
      </c>
      <c r="AT180" s="278">
        <f>TABLA_BASE[[#This Row],[VALOR VTA.
UNIT.(S/.)]]*TABLA_BASE[[#This Row],[CANTIDAD
(unid.)]]</f>
        <v>0</v>
      </c>
      <c r="AU180" s="281">
        <f>'💰 Precio de Venta'!I185</f>
        <v>0</v>
      </c>
      <c r="AV180" s="278">
        <f>'💰 Precio de Venta'!J185</f>
        <v>0</v>
      </c>
      <c r="AW180" s="278">
        <f>TABLA_BASE[[#This Row],[GANANCIA
UNIT.(S/.)]]*TABLA_BASE[[#This Row],[CANTIDAD
(unid.)]]</f>
        <v>0</v>
      </c>
      <c r="AX180" s="289">
        <f>'💰 Precio de Venta'!K185</f>
        <v>0</v>
      </c>
      <c r="AY180" s="278">
        <f>TABLA_BASE[[#This Row],[GANANCIA
UNIT.(S/.)]]*'🧾 Factura Comercial'!G184</f>
        <v>0</v>
      </c>
      <c r="AZ180" s="277">
        <f>IF(TABLA_BASE[[#This Row],[PRECIO VTA.
c/IGV(S/.)]]=0,0,TABLA_BASE[[#This Row],[GANANCIA
UNIT.(S/.)]]/TABLA_BASE[[#This Row],[PRECIO VTA.
c/IGV(S/.)]])</f>
        <v>0</v>
      </c>
      <c r="BA180" s="277">
        <f>IF(TABLA_BASE[[#This Row],[C/M UNIT.
(S/.)]]=0,0,TABLA_BASE[[#This Row],[GANANCIA
UNIT.(S/.)]]/TABLA_BASE[[#This Row],[C/M UNIT.
(S/.)]])</f>
        <v>0</v>
      </c>
      <c r="BB180" s="274" t="str">
        <f>IF(TABLA_BASE[[#This Row],[MARGEN
%]]&gt;=0.5,"🟢 ALTO",IF(TABLA_BASE[[#This Row],[MARGEN
%]]&gt;=0.3,"🟡 MEDIO","🔴 BAJO"))</f>
        <v>🟡 MEDIO</v>
      </c>
    </row>
    <row r="181" spans="1:54" ht="16.5" hidden="1" thickTop="1" thickBot="1" x14ac:dyDescent="0.3">
      <c r="A181" s="274">
        <f>'🧾 Factura Comercial'!E185</f>
        <v>0</v>
      </c>
      <c r="B181" s="274" t="str">
        <f>'🧾 Factura Comercial'!F185</f>
        <v>Unid.</v>
      </c>
      <c r="C181" s="275">
        <f>'🧾 Factura Comercial'!G185</f>
        <v>0</v>
      </c>
      <c r="D181" s="276">
        <f>'🧾 Factura Comercial'!H185</f>
        <v>0</v>
      </c>
      <c r="E181" s="276">
        <f>'🧾 Factura Comercial'!I185</f>
        <v>0</v>
      </c>
      <c r="F181" s="277">
        <f>IF('🧾 Tributos Aduana'!$F$6=0,0,'🧾 Factura Comercial'!I185/'🧾 Tributos Aduana'!$F$6)</f>
        <v>0</v>
      </c>
      <c r="G181" s="278">
        <f>'🧾 Factura Comercial'!H185*'📋 Datos Generales'!$E$19</f>
        <v>0</v>
      </c>
      <c r="H181" s="278">
        <f>TABLA_BASE[[#This Row],[FOB UNIT.
(S/.)]]*TABLA_BASE[[#This Row],[CANTIDAD
(unid.)]]</f>
        <v>0</v>
      </c>
      <c r="I181" s="280">
        <f>IF('🧾 Tributos Aduana'!$F$6=0,0,'🧾 Tributos Aduana'!$F$17*('🧾 Factura Comercial'!H185/'🧾 Tributos Aduana'!$F$6))</f>
        <v>0</v>
      </c>
      <c r="J181" s="280">
        <f>TABLA_BASE[[#This Row],[ADV UNIT.
(US$)
⚠️COSTO]]*TABLA_BASE[[#This Row],[CANTIDAD
(unid.)]]</f>
        <v>0</v>
      </c>
      <c r="K181" s="279">
        <f>IF('🧾 Tributos Aduana'!$F$6=0,0,'🧾 Tributos Aduana'!$F$18*('🧾 Factura Comercial'!H185/'🧾 Tributos Aduana'!$F$6))</f>
        <v>0</v>
      </c>
      <c r="L181" s="280">
        <f>TABLA_BASE[[#This Row],[IPM UNIT.
(US$)
✅CF]]*TABLA_BASE[[#This Row],[CANTIDAD
(unid.)]]</f>
        <v>0</v>
      </c>
      <c r="M181" s="279">
        <f>IF('🧾 Tributos Aduana'!$F$6=0,0,'🧾 Tributos Aduana'!$F$19*('🧾 Factura Comercial'!H185/'🧾 Tributos Aduana'!$F$6))</f>
        <v>0</v>
      </c>
      <c r="N181" s="280">
        <f>TABLA_BASE[[#This Row],[IGV UNIT.
(US$)
✅CF]]*TABLA_BASE[[#This Row],[CANTIDAD
(unid.)]]</f>
        <v>0</v>
      </c>
      <c r="O181" s="280">
        <f>IF('🧾 Tributos Aduana'!$F$6=0,0,'🧾 Tributos Aduana'!$F$23*('🧾 Factura Comercial'!H185/'🧾 Tributos Aduana'!$F$6))</f>
        <v>0</v>
      </c>
      <c r="P181" s="280">
        <f>TABLA_BASE[[#This Row],[PERCEP.
UNIT.(US$)
✅CF]]*TABLA_BASE[[#This Row],[CANTIDAD
(unid.)]]</f>
        <v>0</v>
      </c>
      <c r="Q181" s="279">
        <f>TABLA_BASE[[#This Row],[ADV UNIT.
(US$)
⚠️COSTO]]+TABLA_BASE[[#This Row],[IPM UNIT.
(US$)
✅CF]]+TABLA_BASE[[#This Row],[IGV UNIT.
(US$)
✅CF]]</f>
        <v>0</v>
      </c>
      <c r="R181" s="280">
        <f>TABLA_BASE[[#This Row],[DEUDA
ADUANERA
UNIT.]]*TABLA_BASE[[#This Row],[CANTIDAD
(unid.)]]</f>
        <v>0</v>
      </c>
      <c r="S181" s="278">
        <f>TABLA_BASE[[#This Row],[DEUDA
ADUANERA
UNIT.]]*'📋 Datos Generales'!$E$19</f>
        <v>0</v>
      </c>
      <c r="T181" s="278">
        <f>TABLA_BASE[[#This Row],[DEUDA
ADUANERA
TOTAL]]*'📋 Datos Generales'!$E$19</f>
        <v>0</v>
      </c>
      <c r="U181" s="281">
        <f>TABLA_BASE[[#This Row],[ADV UNIT.
(US$)
⚠️COSTO]]*'📋 Datos Generales'!$E$19</f>
        <v>0</v>
      </c>
      <c r="V181" s="281">
        <f>TABLA_BASE[[#This Row],[ADV UNIT.
(S/.)]]*TABLA_BASE[[#This Row],[CANTIDAD
(unid.)]]</f>
        <v>0</v>
      </c>
      <c r="W181" s="281">
        <f>TABLA_BASE[[#This Row],[IPM UNIT.
(US$)
✅CF]]*'📋 Datos Generales'!$E$19</f>
        <v>0</v>
      </c>
      <c r="X181" s="281">
        <f>TABLA_BASE[[#This Row],[IPM UNIT.
(S/.)]]*TABLA_BASE[[#This Row],[CANTIDAD
(unid.)]]</f>
        <v>0</v>
      </c>
      <c r="Y181" s="281">
        <f>TABLA_BASE[[#This Row],[IGV UNIT.
(US$)
✅CF]]*'📋 Datos Generales'!$E$19</f>
        <v>0</v>
      </c>
      <c r="Z181" s="281">
        <f>TABLA_BASE[[#This Row],[IGV UNIT.
(S/.)]]*TABLA_BASE[[#This Row],[CANTIDAD
(unid.)]]</f>
        <v>0</v>
      </c>
      <c r="AA181" s="281">
        <f>TABLA_BASE[[#This Row],[PERCEP.
UNIT.(US$)
✅CF]]*'📋 Datos Generales'!$E$19</f>
        <v>0</v>
      </c>
      <c r="AB181" s="281">
        <f>TABLA_BASE[[#This Row],[PERCEP.
UNIT.(S/.)]]*TABLA_BASE[[#This Row],[CANTIDAD
(unid.)]]</f>
        <v>0</v>
      </c>
      <c r="AC181" s="279">
        <f>TABLA_BASE[[#This Row],[ADV UNIT.
(US$)
⚠️COSTO]]+TABLA_BASE[[#This Row],[IPM UNIT.
(US$)
✅CF]]+TABLA_BASE[[#This Row],[IGV UNIT.
(US$)
✅CF]]+TABLA_BASE[[#This Row],[PERCEP.
UNIT.(US$)
✅CF]]</f>
        <v>0</v>
      </c>
      <c r="AD181" s="279">
        <f>TABLA_BASE[[#This Row],[TOTAL PAGO
SUNAT
UNIT.(US$)]]*TABLA_BASE[[#This Row],[CANTIDAD
(unid.)]]</f>
        <v>0</v>
      </c>
      <c r="AE181" s="281">
        <f>TABLA_BASE[[#This Row],[TOTAL PAGO
SUNAT
UNIT.(US$)]]*'📋 Datos Generales'!$E$19</f>
        <v>0</v>
      </c>
      <c r="AF181" s="281">
        <f>TABLA_BASE[[#This Row],[TOTAL TRIB.
UNIT.(S/.)]]*TABLA_BASE[[#This Row],[CANTIDAD
(unid.)]]</f>
        <v>0</v>
      </c>
      <c r="AG181" s="279">
        <f>IF('🧾 Factura Comercial'!G185=0,0,'📦 Gastos Importación'!$E$28*(IF('🧾 Tributos Aduana'!$F$6=0,0,'🧾 Factura Comercial'!I185/'🧾 Tributos Aduana'!$F$6))/'🧾 Factura Comercial'!G185)</f>
        <v>0</v>
      </c>
      <c r="AH181" s="279">
        <f>TABLA_BASE[[#This Row],[GASTOS IMP.
UNIT.(US$)]]*TABLA_BASE[[#This Row],[CANTIDAD
(unid.)]]</f>
        <v>0</v>
      </c>
      <c r="AI181" s="281">
        <f>TABLA_BASE[[#This Row],[GASTOS IMP.
UNIT.(US$)]]*'📋 Datos Generales'!$E$19</f>
        <v>0</v>
      </c>
      <c r="AJ181" s="281">
        <f>TABLA_BASE[[#This Row],[GASTOS IMP.
UNIT.(S/.)]]*TABLA_BASE[[#This Row],[CANTIDAD
(unid.)]]</f>
        <v>0</v>
      </c>
      <c r="AK181" s="280">
        <f>'🧮 Costos x Producto'!J185</f>
        <v>0</v>
      </c>
      <c r="AL181" s="278">
        <f>'🧮 Costos x Producto'!K185</f>
        <v>0</v>
      </c>
      <c r="AM181" s="278">
        <f>TABLA_BASE[[#This Row],[C/M UNIT.
(S/.)]]*TABLA_BASE[[#This Row],[CANTIDAD
(unid.)]]</f>
        <v>0</v>
      </c>
      <c r="AN181" s="279">
        <f>IF('🧾 Factura Comercial'!G185=0,0,'🧾 Tributos Aduana'!$F$17*(IF('🧾 Tributos Aduana'!$F$6=0,0,'🧾 Factura Comercial'!I185/'🧾 Tributos Aduana'!$F$6))/'🧾 Factura Comercial'!G185)</f>
        <v>0</v>
      </c>
      <c r="AO181" s="280">
        <f>IF('🧾 Factura Comercial'!G185=0,0,'🏦 Crédito Fiscal'!$C$16*(IF('🧾 Tributos Aduana'!$F$6=0,0,'🧾 Factura Comercial'!I185/'🧾 Tributos Aduana'!$F$6))/'🧾 Factura Comercial'!G185)</f>
        <v>0</v>
      </c>
      <c r="AP181" s="278">
        <f>TABLA_BASE[[#This Row],[CF UNIT.
✅RECUP.
(US$)]]*'📋 Datos Generales'!$E$19</f>
        <v>0</v>
      </c>
      <c r="AQ181" s="278">
        <f>TABLA_BASE[[#This Row],[CF UNIT.
✅RECUP.(S/.)]]*TABLA_BASE[[#This Row],[CANTIDAD
(unid.)]]</f>
        <v>0</v>
      </c>
      <c r="AR181" s="288">
        <f>'💰 Precio de Venta'!G186</f>
        <v>0.4</v>
      </c>
      <c r="AS181" s="278">
        <f>'💰 Precio de Venta'!H186</f>
        <v>0</v>
      </c>
      <c r="AT181" s="278">
        <f>TABLA_BASE[[#This Row],[VALOR VTA.
UNIT.(S/.)]]*TABLA_BASE[[#This Row],[CANTIDAD
(unid.)]]</f>
        <v>0</v>
      </c>
      <c r="AU181" s="281">
        <f>'💰 Precio de Venta'!I186</f>
        <v>0</v>
      </c>
      <c r="AV181" s="278">
        <f>'💰 Precio de Venta'!J186</f>
        <v>0</v>
      </c>
      <c r="AW181" s="278">
        <f>TABLA_BASE[[#This Row],[GANANCIA
UNIT.(S/.)]]*TABLA_BASE[[#This Row],[CANTIDAD
(unid.)]]</f>
        <v>0</v>
      </c>
      <c r="AX181" s="289">
        <f>'💰 Precio de Venta'!K186</f>
        <v>0</v>
      </c>
      <c r="AY181" s="278">
        <f>TABLA_BASE[[#This Row],[GANANCIA
UNIT.(S/.)]]*'🧾 Factura Comercial'!G185</f>
        <v>0</v>
      </c>
      <c r="AZ181" s="277">
        <f>IF(TABLA_BASE[[#This Row],[PRECIO VTA.
c/IGV(S/.)]]=0,0,TABLA_BASE[[#This Row],[GANANCIA
UNIT.(S/.)]]/TABLA_BASE[[#This Row],[PRECIO VTA.
c/IGV(S/.)]])</f>
        <v>0</v>
      </c>
      <c r="BA181" s="277">
        <f>IF(TABLA_BASE[[#This Row],[C/M UNIT.
(S/.)]]=0,0,TABLA_BASE[[#This Row],[GANANCIA
UNIT.(S/.)]]/TABLA_BASE[[#This Row],[C/M UNIT.
(S/.)]])</f>
        <v>0</v>
      </c>
      <c r="BB181" s="274" t="str">
        <f>IF(TABLA_BASE[[#This Row],[MARGEN
%]]&gt;=0.5,"🟢 ALTO",IF(TABLA_BASE[[#This Row],[MARGEN
%]]&gt;=0.3,"🟡 MEDIO","🔴 BAJO"))</f>
        <v>🟡 MEDIO</v>
      </c>
    </row>
    <row r="182" spans="1:54" ht="16.5" hidden="1" thickTop="1" thickBot="1" x14ac:dyDescent="0.3">
      <c r="A182" s="274">
        <f>'🧾 Factura Comercial'!E186</f>
        <v>0</v>
      </c>
      <c r="B182" s="274" t="str">
        <f>'🧾 Factura Comercial'!F186</f>
        <v>Unid.</v>
      </c>
      <c r="C182" s="275">
        <f>'🧾 Factura Comercial'!G186</f>
        <v>0</v>
      </c>
      <c r="D182" s="276">
        <f>'🧾 Factura Comercial'!H186</f>
        <v>0</v>
      </c>
      <c r="E182" s="276">
        <f>'🧾 Factura Comercial'!I186</f>
        <v>0</v>
      </c>
      <c r="F182" s="277">
        <f>IF('🧾 Tributos Aduana'!$F$6=0,0,'🧾 Factura Comercial'!I186/'🧾 Tributos Aduana'!$F$6)</f>
        <v>0</v>
      </c>
      <c r="G182" s="278">
        <f>'🧾 Factura Comercial'!H186*'📋 Datos Generales'!$E$19</f>
        <v>0</v>
      </c>
      <c r="H182" s="278">
        <f>TABLA_BASE[[#This Row],[FOB UNIT.
(S/.)]]*TABLA_BASE[[#This Row],[CANTIDAD
(unid.)]]</f>
        <v>0</v>
      </c>
      <c r="I182" s="280">
        <f>IF('🧾 Tributos Aduana'!$F$6=0,0,'🧾 Tributos Aduana'!$F$17*('🧾 Factura Comercial'!H186/'🧾 Tributos Aduana'!$F$6))</f>
        <v>0</v>
      </c>
      <c r="J182" s="280">
        <f>TABLA_BASE[[#This Row],[ADV UNIT.
(US$)
⚠️COSTO]]*TABLA_BASE[[#This Row],[CANTIDAD
(unid.)]]</f>
        <v>0</v>
      </c>
      <c r="K182" s="279">
        <f>IF('🧾 Tributos Aduana'!$F$6=0,0,'🧾 Tributos Aduana'!$F$18*('🧾 Factura Comercial'!H186/'🧾 Tributos Aduana'!$F$6))</f>
        <v>0</v>
      </c>
      <c r="L182" s="280">
        <f>TABLA_BASE[[#This Row],[IPM UNIT.
(US$)
✅CF]]*TABLA_BASE[[#This Row],[CANTIDAD
(unid.)]]</f>
        <v>0</v>
      </c>
      <c r="M182" s="279">
        <f>IF('🧾 Tributos Aduana'!$F$6=0,0,'🧾 Tributos Aduana'!$F$19*('🧾 Factura Comercial'!H186/'🧾 Tributos Aduana'!$F$6))</f>
        <v>0</v>
      </c>
      <c r="N182" s="280">
        <f>TABLA_BASE[[#This Row],[IGV UNIT.
(US$)
✅CF]]*TABLA_BASE[[#This Row],[CANTIDAD
(unid.)]]</f>
        <v>0</v>
      </c>
      <c r="O182" s="280">
        <f>IF('🧾 Tributos Aduana'!$F$6=0,0,'🧾 Tributos Aduana'!$F$23*('🧾 Factura Comercial'!H186/'🧾 Tributos Aduana'!$F$6))</f>
        <v>0</v>
      </c>
      <c r="P182" s="280">
        <f>TABLA_BASE[[#This Row],[PERCEP.
UNIT.(US$)
✅CF]]*TABLA_BASE[[#This Row],[CANTIDAD
(unid.)]]</f>
        <v>0</v>
      </c>
      <c r="Q182" s="279">
        <f>TABLA_BASE[[#This Row],[ADV UNIT.
(US$)
⚠️COSTO]]+TABLA_BASE[[#This Row],[IPM UNIT.
(US$)
✅CF]]+TABLA_BASE[[#This Row],[IGV UNIT.
(US$)
✅CF]]</f>
        <v>0</v>
      </c>
      <c r="R182" s="280">
        <f>TABLA_BASE[[#This Row],[DEUDA
ADUANERA
UNIT.]]*TABLA_BASE[[#This Row],[CANTIDAD
(unid.)]]</f>
        <v>0</v>
      </c>
      <c r="S182" s="278">
        <f>TABLA_BASE[[#This Row],[DEUDA
ADUANERA
UNIT.]]*'📋 Datos Generales'!$E$19</f>
        <v>0</v>
      </c>
      <c r="T182" s="278">
        <f>TABLA_BASE[[#This Row],[DEUDA
ADUANERA
TOTAL]]*'📋 Datos Generales'!$E$19</f>
        <v>0</v>
      </c>
      <c r="U182" s="281">
        <f>TABLA_BASE[[#This Row],[ADV UNIT.
(US$)
⚠️COSTO]]*'📋 Datos Generales'!$E$19</f>
        <v>0</v>
      </c>
      <c r="V182" s="281">
        <f>TABLA_BASE[[#This Row],[ADV UNIT.
(S/.)]]*TABLA_BASE[[#This Row],[CANTIDAD
(unid.)]]</f>
        <v>0</v>
      </c>
      <c r="W182" s="281">
        <f>TABLA_BASE[[#This Row],[IPM UNIT.
(US$)
✅CF]]*'📋 Datos Generales'!$E$19</f>
        <v>0</v>
      </c>
      <c r="X182" s="281">
        <f>TABLA_BASE[[#This Row],[IPM UNIT.
(S/.)]]*TABLA_BASE[[#This Row],[CANTIDAD
(unid.)]]</f>
        <v>0</v>
      </c>
      <c r="Y182" s="281">
        <f>TABLA_BASE[[#This Row],[IGV UNIT.
(US$)
✅CF]]*'📋 Datos Generales'!$E$19</f>
        <v>0</v>
      </c>
      <c r="Z182" s="281">
        <f>TABLA_BASE[[#This Row],[IGV UNIT.
(S/.)]]*TABLA_BASE[[#This Row],[CANTIDAD
(unid.)]]</f>
        <v>0</v>
      </c>
      <c r="AA182" s="281">
        <f>TABLA_BASE[[#This Row],[PERCEP.
UNIT.(US$)
✅CF]]*'📋 Datos Generales'!$E$19</f>
        <v>0</v>
      </c>
      <c r="AB182" s="281">
        <f>TABLA_BASE[[#This Row],[PERCEP.
UNIT.(S/.)]]*TABLA_BASE[[#This Row],[CANTIDAD
(unid.)]]</f>
        <v>0</v>
      </c>
      <c r="AC182" s="279">
        <f>TABLA_BASE[[#This Row],[ADV UNIT.
(US$)
⚠️COSTO]]+TABLA_BASE[[#This Row],[IPM UNIT.
(US$)
✅CF]]+TABLA_BASE[[#This Row],[IGV UNIT.
(US$)
✅CF]]+TABLA_BASE[[#This Row],[PERCEP.
UNIT.(US$)
✅CF]]</f>
        <v>0</v>
      </c>
      <c r="AD182" s="279">
        <f>TABLA_BASE[[#This Row],[TOTAL PAGO
SUNAT
UNIT.(US$)]]*TABLA_BASE[[#This Row],[CANTIDAD
(unid.)]]</f>
        <v>0</v>
      </c>
      <c r="AE182" s="281">
        <f>TABLA_BASE[[#This Row],[TOTAL PAGO
SUNAT
UNIT.(US$)]]*'📋 Datos Generales'!$E$19</f>
        <v>0</v>
      </c>
      <c r="AF182" s="281">
        <f>TABLA_BASE[[#This Row],[TOTAL TRIB.
UNIT.(S/.)]]*TABLA_BASE[[#This Row],[CANTIDAD
(unid.)]]</f>
        <v>0</v>
      </c>
      <c r="AG182" s="279">
        <f>IF('🧾 Factura Comercial'!G186=0,0,'📦 Gastos Importación'!$E$28*(IF('🧾 Tributos Aduana'!$F$6=0,0,'🧾 Factura Comercial'!I186/'🧾 Tributos Aduana'!$F$6))/'🧾 Factura Comercial'!G186)</f>
        <v>0</v>
      </c>
      <c r="AH182" s="279">
        <f>TABLA_BASE[[#This Row],[GASTOS IMP.
UNIT.(US$)]]*TABLA_BASE[[#This Row],[CANTIDAD
(unid.)]]</f>
        <v>0</v>
      </c>
      <c r="AI182" s="281">
        <f>TABLA_BASE[[#This Row],[GASTOS IMP.
UNIT.(US$)]]*'📋 Datos Generales'!$E$19</f>
        <v>0</v>
      </c>
      <c r="AJ182" s="281">
        <f>TABLA_BASE[[#This Row],[GASTOS IMP.
UNIT.(S/.)]]*TABLA_BASE[[#This Row],[CANTIDAD
(unid.)]]</f>
        <v>0</v>
      </c>
      <c r="AK182" s="280">
        <f>'🧮 Costos x Producto'!J186</f>
        <v>0</v>
      </c>
      <c r="AL182" s="278">
        <f>'🧮 Costos x Producto'!K186</f>
        <v>0</v>
      </c>
      <c r="AM182" s="278">
        <f>TABLA_BASE[[#This Row],[C/M UNIT.
(S/.)]]*TABLA_BASE[[#This Row],[CANTIDAD
(unid.)]]</f>
        <v>0</v>
      </c>
      <c r="AN182" s="279">
        <f>IF('🧾 Factura Comercial'!G186=0,0,'🧾 Tributos Aduana'!$F$17*(IF('🧾 Tributos Aduana'!$F$6=0,0,'🧾 Factura Comercial'!I186/'🧾 Tributos Aduana'!$F$6))/'🧾 Factura Comercial'!G186)</f>
        <v>0</v>
      </c>
      <c r="AO182" s="280">
        <f>IF('🧾 Factura Comercial'!G186=0,0,'🏦 Crédito Fiscal'!$C$16*(IF('🧾 Tributos Aduana'!$F$6=0,0,'🧾 Factura Comercial'!I186/'🧾 Tributos Aduana'!$F$6))/'🧾 Factura Comercial'!G186)</f>
        <v>0</v>
      </c>
      <c r="AP182" s="278">
        <f>TABLA_BASE[[#This Row],[CF UNIT.
✅RECUP.
(US$)]]*'📋 Datos Generales'!$E$19</f>
        <v>0</v>
      </c>
      <c r="AQ182" s="278">
        <f>TABLA_BASE[[#This Row],[CF UNIT.
✅RECUP.(S/.)]]*TABLA_BASE[[#This Row],[CANTIDAD
(unid.)]]</f>
        <v>0</v>
      </c>
      <c r="AR182" s="288">
        <f>'💰 Precio de Venta'!G187</f>
        <v>0.4</v>
      </c>
      <c r="AS182" s="278">
        <f>'💰 Precio de Venta'!H187</f>
        <v>0</v>
      </c>
      <c r="AT182" s="278">
        <f>TABLA_BASE[[#This Row],[VALOR VTA.
UNIT.(S/.)]]*TABLA_BASE[[#This Row],[CANTIDAD
(unid.)]]</f>
        <v>0</v>
      </c>
      <c r="AU182" s="281">
        <f>'💰 Precio de Venta'!I187</f>
        <v>0</v>
      </c>
      <c r="AV182" s="278">
        <f>'💰 Precio de Venta'!J187</f>
        <v>0</v>
      </c>
      <c r="AW182" s="278">
        <f>TABLA_BASE[[#This Row],[GANANCIA
UNIT.(S/.)]]*TABLA_BASE[[#This Row],[CANTIDAD
(unid.)]]</f>
        <v>0</v>
      </c>
      <c r="AX182" s="289">
        <f>'💰 Precio de Venta'!K187</f>
        <v>0</v>
      </c>
      <c r="AY182" s="278">
        <f>TABLA_BASE[[#This Row],[GANANCIA
UNIT.(S/.)]]*'🧾 Factura Comercial'!G186</f>
        <v>0</v>
      </c>
      <c r="AZ182" s="277">
        <f>IF(TABLA_BASE[[#This Row],[PRECIO VTA.
c/IGV(S/.)]]=0,0,TABLA_BASE[[#This Row],[GANANCIA
UNIT.(S/.)]]/TABLA_BASE[[#This Row],[PRECIO VTA.
c/IGV(S/.)]])</f>
        <v>0</v>
      </c>
      <c r="BA182" s="277">
        <f>IF(TABLA_BASE[[#This Row],[C/M UNIT.
(S/.)]]=0,0,TABLA_BASE[[#This Row],[GANANCIA
UNIT.(S/.)]]/TABLA_BASE[[#This Row],[C/M UNIT.
(S/.)]])</f>
        <v>0</v>
      </c>
      <c r="BB182" s="274" t="str">
        <f>IF(TABLA_BASE[[#This Row],[MARGEN
%]]&gt;=0.5,"🟢 ALTO",IF(TABLA_BASE[[#This Row],[MARGEN
%]]&gt;=0.3,"🟡 MEDIO","🔴 BAJO"))</f>
        <v>🟡 MEDIO</v>
      </c>
    </row>
    <row r="183" spans="1:54" ht="16.5" hidden="1" thickTop="1" thickBot="1" x14ac:dyDescent="0.3">
      <c r="A183" s="274">
        <f>'🧾 Factura Comercial'!E187</f>
        <v>0</v>
      </c>
      <c r="B183" s="274" t="str">
        <f>'🧾 Factura Comercial'!F187</f>
        <v>Unid.</v>
      </c>
      <c r="C183" s="275">
        <f>'🧾 Factura Comercial'!G187</f>
        <v>0</v>
      </c>
      <c r="D183" s="276">
        <f>'🧾 Factura Comercial'!H187</f>
        <v>0</v>
      </c>
      <c r="E183" s="276">
        <f>'🧾 Factura Comercial'!I187</f>
        <v>0</v>
      </c>
      <c r="F183" s="277">
        <f>IF('🧾 Tributos Aduana'!$F$6=0,0,'🧾 Factura Comercial'!I187/'🧾 Tributos Aduana'!$F$6)</f>
        <v>0</v>
      </c>
      <c r="G183" s="278">
        <f>'🧾 Factura Comercial'!H187*'📋 Datos Generales'!$E$19</f>
        <v>0</v>
      </c>
      <c r="H183" s="278">
        <f>TABLA_BASE[[#This Row],[FOB UNIT.
(S/.)]]*TABLA_BASE[[#This Row],[CANTIDAD
(unid.)]]</f>
        <v>0</v>
      </c>
      <c r="I183" s="280">
        <f>IF('🧾 Tributos Aduana'!$F$6=0,0,'🧾 Tributos Aduana'!$F$17*('🧾 Factura Comercial'!H187/'🧾 Tributos Aduana'!$F$6))</f>
        <v>0</v>
      </c>
      <c r="J183" s="280">
        <f>TABLA_BASE[[#This Row],[ADV UNIT.
(US$)
⚠️COSTO]]*TABLA_BASE[[#This Row],[CANTIDAD
(unid.)]]</f>
        <v>0</v>
      </c>
      <c r="K183" s="279">
        <f>IF('🧾 Tributos Aduana'!$F$6=0,0,'🧾 Tributos Aduana'!$F$18*('🧾 Factura Comercial'!H187/'🧾 Tributos Aduana'!$F$6))</f>
        <v>0</v>
      </c>
      <c r="L183" s="280">
        <f>TABLA_BASE[[#This Row],[IPM UNIT.
(US$)
✅CF]]*TABLA_BASE[[#This Row],[CANTIDAD
(unid.)]]</f>
        <v>0</v>
      </c>
      <c r="M183" s="279">
        <f>IF('🧾 Tributos Aduana'!$F$6=0,0,'🧾 Tributos Aduana'!$F$19*('🧾 Factura Comercial'!H187/'🧾 Tributos Aduana'!$F$6))</f>
        <v>0</v>
      </c>
      <c r="N183" s="280">
        <f>TABLA_BASE[[#This Row],[IGV UNIT.
(US$)
✅CF]]*TABLA_BASE[[#This Row],[CANTIDAD
(unid.)]]</f>
        <v>0</v>
      </c>
      <c r="O183" s="280">
        <f>IF('🧾 Tributos Aduana'!$F$6=0,0,'🧾 Tributos Aduana'!$F$23*('🧾 Factura Comercial'!H187/'🧾 Tributos Aduana'!$F$6))</f>
        <v>0</v>
      </c>
      <c r="P183" s="280">
        <f>TABLA_BASE[[#This Row],[PERCEP.
UNIT.(US$)
✅CF]]*TABLA_BASE[[#This Row],[CANTIDAD
(unid.)]]</f>
        <v>0</v>
      </c>
      <c r="Q183" s="279">
        <f>TABLA_BASE[[#This Row],[ADV UNIT.
(US$)
⚠️COSTO]]+TABLA_BASE[[#This Row],[IPM UNIT.
(US$)
✅CF]]+TABLA_BASE[[#This Row],[IGV UNIT.
(US$)
✅CF]]</f>
        <v>0</v>
      </c>
      <c r="R183" s="280">
        <f>TABLA_BASE[[#This Row],[DEUDA
ADUANERA
UNIT.]]*TABLA_BASE[[#This Row],[CANTIDAD
(unid.)]]</f>
        <v>0</v>
      </c>
      <c r="S183" s="278">
        <f>TABLA_BASE[[#This Row],[DEUDA
ADUANERA
UNIT.]]*'📋 Datos Generales'!$E$19</f>
        <v>0</v>
      </c>
      <c r="T183" s="278">
        <f>TABLA_BASE[[#This Row],[DEUDA
ADUANERA
TOTAL]]*'📋 Datos Generales'!$E$19</f>
        <v>0</v>
      </c>
      <c r="U183" s="281">
        <f>TABLA_BASE[[#This Row],[ADV UNIT.
(US$)
⚠️COSTO]]*'📋 Datos Generales'!$E$19</f>
        <v>0</v>
      </c>
      <c r="V183" s="281">
        <f>TABLA_BASE[[#This Row],[ADV UNIT.
(S/.)]]*TABLA_BASE[[#This Row],[CANTIDAD
(unid.)]]</f>
        <v>0</v>
      </c>
      <c r="W183" s="281">
        <f>TABLA_BASE[[#This Row],[IPM UNIT.
(US$)
✅CF]]*'📋 Datos Generales'!$E$19</f>
        <v>0</v>
      </c>
      <c r="X183" s="281">
        <f>TABLA_BASE[[#This Row],[IPM UNIT.
(S/.)]]*TABLA_BASE[[#This Row],[CANTIDAD
(unid.)]]</f>
        <v>0</v>
      </c>
      <c r="Y183" s="281">
        <f>TABLA_BASE[[#This Row],[IGV UNIT.
(US$)
✅CF]]*'📋 Datos Generales'!$E$19</f>
        <v>0</v>
      </c>
      <c r="Z183" s="281">
        <f>TABLA_BASE[[#This Row],[IGV UNIT.
(S/.)]]*TABLA_BASE[[#This Row],[CANTIDAD
(unid.)]]</f>
        <v>0</v>
      </c>
      <c r="AA183" s="281">
        <f>TABLA_BASE[[#This Row],[PERCEP.
UNIT.(US$)
✅CF]]*'📋 Datos Generales'!$E$19</f>
        <v>0</v>
      </c>
      <c r="AB183" s="281">
        <f>TABLA_BASE[[#This Row],[PERCEP.
UNIT.(S/.)]]*TABLA_BASE[[#This Row],[CANTIDAD
(unid.)]]</f>
        <v>0</v>
      </c>
      <c r="AC183" s="279">
        <f>TABLA_BASE[[#This Row],[ADV UNIT.
(US$)
⚠️COSTO]]+TABLA_BASE[[#This Row],[IPM UNIT.
(US$)
✅CF]]+TABLA_BASE[[#This Row],[IGV UNIT.
(US$)
✅CF]]+TABLA_BASE[[#This Row],[PERCEP.
UNIT.(US$)
✅CF]]</f>
        <v>0</v>
      </c>
      <c r="AD183" s="279">
        <f>TABLA_BASE[[#This Row],[TOTAL PAGO
SUNAT
UNIT.(US$)]]*TABLA_BASE[[#This Row],[CANTIDAD
(unid.)]]</f>
        <v>0</v>
      </c>
      <c r="AE183" s="281">
        <f>TABLA_BASE[[#This Row],[TOTAL PAGO
SUNAT
UNIT.(US$)]]*'📋 Datos Generales'!$E$19</f>
        <v>0</v>
      </c>
      <c r="AF183" s="281">
        <f>TABLA_BASE[[#This Row],[TOTAL TRIB.
UNIT.(S/.)]]*TABLA_BASE[[#This Row],[CANTIDAD
(unid.)]]</f>
        <v>0</v>
      </c>
      <c r="AG183" s="279">
        <f>IF('🧾 Factura Comercial'!G187=0,0,'📦 Gastos Importación'!$E$28*(IF('🧾 Tributos Aduana'!$F$6=0,0,'🧾 Factura Comercial'!I187/'🧾 Tributos Aduana'!$F$6))/'🧾 Factura Comercial'!G187)</f>
        <v>0</v>
      </c>
      <c r="AH183" s="279">
        <f>TABLA_BASE[[#This Row],[GASTOS IMP.
UNIT.(US$)]]*TABLA_BASE[[#This Row],[CANTIDAD
(unid.)]]</f>
        <v>0</v>
      </c>
      <c r="AI183" s="281">
        <f>TABLA_BASE[[#This Row],[GASTOS IMP.
UNIT.(US$)]]*'📋 Datos Generales'!$E$19</f>
        <v>0</v>
      </c>
      <c r="AJ183" s="281">
        <f>TABLA_BASE[[#This Row],[GASTOS IMP.
UNIT.(S/.)]]*TABLA_BASE[[#This Row],[CANTIDAD
(unid.)]]</f>
        <v>0</v>
      </c>
      <c r="AK183" s="280">
        <f>'🧮 Costos x Producto'!J187</f>
        <v>0</v>
      </c>
      <c r="AL183" s="278">
        <f>'🧮 Costos x Producto'!K187</f>
        <v>0</v>
      </c>
      <c r="AM183" s="278">
        <f>TABLA_BASE[[#This Row],[C/M UNIT.
(S/.)]]*TABLA_BASE[[#This Row],[CANTIDAD
(unid.)]]</f>
        <v>0</v>
      </c>
      <c r="AN183" s="279">
        <f>IF('🧾 Factura Comercial'!G187=0,0,'🧾 Tributos Aduana'!$F$17*(IF('🧾 Tributos Aduana'!$F$6=0,0,'🧾 Factura Comercial'!I187/'🧾 Tributos Aduana'!$F$6))/'🧾 Factura Comercial'!G187)</f>
        <v>0</v>
      </c>
      <c r="AO183" s="280">
        <f>IF('🧾 Factura Comercial'!G187=0,0,'🏦 Crédito Fiscal'!$C$16*(IF('🧾 Tributos Aduana'!$F$6=0,0,'🧾 Factura Comercial'!I187/'🧾 Tributos Aduana'!$F$6))/'🧾 Factura Comercial'!G187)</f>
        <v>0</v>
      </c>
      <c r="AP183" s="278">
        <f>TABLA_BASE[[#This Row],[CF UNIT.
✅RECUP.
(US$)]]*'📋 Datos Generales'!$E$19</f>
        <v>0</v>
      </c>
      <c r="AQ183" s="278">
        <f>TABLA_BASE[[#This Row],[CF UNIT.
✅RECUP.(S/.)]]*TABLA_BASE[[#This Row],[CANTIDAD
(unid.)]]</f>
        <v>0</v>
      </c>
      <c r="AR183" s="288">
        <f>'💰 Precio de Venta'!G188</f>
        <v>0.4</v>
      </c>
      <c r="AS183" s="278">
        <f>'💰 Precio de Venta'!H188</f>
        <v>0</v>
      </c>
      <c r="AT183" s="278">
        <f>TABLA_BASE[[#This Row],[VALOR VTA.
UNIT.(S/.)]]*TABLA_BASE[[#This Row],[CANTIDAD
(unid.)]]</f>
        <v>0</v>
      </c>
      <c r="AU183" s="281">
        <f>'💰 Precio de Venta'!I188</f>
        <v>0</v>
      </c>
      <c r="AV183" s="278">
        <f>'💰 Precio de Venta'!J188</f>
        <v>0</v>
      </c>
      <c r="AW183" s="278">
        <f>TABLA_BASE[[#This Row],[GANANCIA
UNIT.(S/.)]]*TABLA_BASE[[#This Row],[CANTIDAD
(unid.)]]</f>
        <v>0</v>
      </c>
      <c r="AX183" s="289">
        <f>'💰 Precio de Venta'!K188</f>
        <v>0</v>
      </c>
      <c r="AY183" s="278">
        <f>TABLA_BASE[[#This Row],[GANANCIA
UNIT.(S/.)]]*'🧾 Factura Comercial'!G187</f>
        <v>0</v>
      </c>
      <c r="AZ183" s="277">
        <f>IF(TABLA_BASE[[#This Row],[PRECIO VTA.
c/IGV(S/.)]]=0,0,TABLA_BASE[[#This Row],[GANANCIA
UNIT.(S/.)]]/TABLA_BASE[[#This Row],[PRECIO VTA.
c/IGV(S/.)]])</f>
        <v>0</v>
      </c>
      <c r="BA183" s="277">
        <f>IF(TABLA_BASE[[#This Row],[C/M UNIT.
(S/.)]]=0,0,TABLA_BASE[[#This Row],[GANANCIA
UNIT.(S/.)]]/TABLA_BASE[[#This Row],[C/M UNIT.
(S/.)]])</f>
        <v>0</v>
      </c>
      <c r="BB183" s="274" t="str">
        <f>IF(TABLA_BASE[[#This Row],[MARGEN
%]]&gt;=0.5,"🟢 ALTO",IF(TABLA_BASE[[#This Row],[MARGEN
%]]&gt;=0.3,"🟡 MEDIO","🔴 BAJO"))</f>
        <v>🟡 MEDIO</v>
      </c>
    </row>
    <row r="184" spans="1:54" ht="16.5" hidden="1" thickTop="1" thickBot="1" x14ac:dyDescent="0.3">
      <c r="A184" s="274">
        <f>'🧾 Factura Comercial'!E188</f>
        <v>0</v>
      </c>
      <c r="B184" s="274" t="str">
        <f>'🧾 Factura Comercial'!F188</f>
        <v>Unid.</v>
      </c>
      <c r="C184" s="275">
        <f>'🧾 Factura Comercial'!G188</f>
        <v>0</v>
      </c>
      <c r="D184" s="276">
        <f>'🧾 Factura Comercial'!H188</f>
        <v>0</v>
      </c>
      <c r="E184" s="276">
        <f>'🧾 Factura Comercial'!I188</f>
        <v>0</v>
      </c>
      <c r="F184" s="277">
        <f>IF('🧾 Tributos Aduana'!$F$6=0,0,'🧾 Factura Comercial'!I188/'🧾 Tributos Aduana'!$F$6)</f>
        <v>0</v>
      </c>
      <c r="G184" s="278">
        <f>'🧾 Factura Comercial'!H188*'📋 Datos Generales'!$E$19</f>
        <v>0</v>
      </c>
      <c r="H184" s="278">
        <f>TABLA_BASE[[#This Row],[FOB UNIT.
(S/.)]]*TABLA_BASE[[#This Row],[CANTIDAD
(unid.)]]</f>
        <v>0</v>
      </c>
      <c r="I184" s="280">
        <f>IF('🧾 Tributos Aduana'!$F$6=0,0,'🧾 Tributos Aduana'!$F$17*('🧾 Factura Comercial'!H188/'🧾 Tributos Aduana'!$F$6))</f>
        <v>0</v>
      </c>
      <c r="J184" s="280">
        <f>TABLA_BASE[[#This Row],[ADV UNIT.
(US$)
⚠️COSTO]]*TABLA_BASE[[#This Row],[CANTIDAD
(unid.)]]</f>
        <v>0</v>
      </c>
      <c r="K184" s="279">
        <f>IF('🧾 Tributos Aduana'!$F$6=0,0,'🧾 Tributos Aduana'!$F$18*('🧾 Factura Comercial'!H188/'🧾 Tributos Aduana'!$F$6))</f>
        <v>0</v>
      </c>
      <c r="L184" s="280">
        <f>TABLA_BASE[[#This Row],[IPM UNIT.
(US$)
✅CF]]*TABLA_BASE[[#This Row],[CANTIDAD
(unid.)]]</f>
        <v>0</v>
      </c>
      <c r="M184" s="279">
        <f>IF('🧾 Tributos Aduana'!$F$6=0,0,'🧾 Tributos Aduana'!$F$19*('🧾 Factura Comercial'!H188/'🧾 Tributos Aduana'!$F$6))</f>
        <v>0</v>
      </c>
      <c r="N184" s="280">
        <f>TABLA_BASE[[#This Row],[IGV UNIT.
(US$)
✅CF]]*TABLA_BASE[[#This Row],[CANTIDAD
(unid.)]]</f>
        <v>0</v>
      </c>
      <c r="O184" s="280">
        <f>IF('🧾 Tributos Aduana'!$F$6=0,0,'🧾 Tributos Aduana'!$F$23*('🧾 Factura Comercial'!H188/'🧾 Tributos Aduana'!$F$6))</f>
        <v>0</v>
      </c>
      <c r="P184" s="280">
        <f>TABLA_BASE[[#This Row],[PERCEP.
UNIT.(US$)
✅CF]]*TABLA_BASE[[#This Row],[CANTIDAD
(unid.)]]</f>
        <v>0</v>
      </c>
      <c r="Q184" s="279">
        <f>TABLA_BASE[[#This Row],[ADV UNIT.
(US$)
⚠️COSTO]]+TABLA_BASE[[#This Row],[IPM UNIT.
(US$)
✅CF]]+TABLA_BASE[[#This Row],[IGV UNIT.
(US$)
✅CF]]</f>
        <v>0</v>
      </c>
      <c r="R184" s="280">
        <f>TABLA_BASE[[#This Row],[DEUDA
ADUANERA
UNIT.]]*TABLA_BASE[[#This Row],[CANTIDAD
(unid.)]]</f>
        <v>0</v>
      </c>
      <c r="S184" s="278">
        <f>TABLA_BASE[[#This Row],[DEUDA
ADUANERA
UNIT.]]*'📋 Datos Generales'!$E$19</f>
        <v>0</v>
      </c>
      <c r="T184" s="278">
        <f>TABLA_BASE[[#This Row],[DEUDA
ADUANERA
TOTAL]]*'📋 Datos Generales'!$E$19</f>
        <v>0</v>
      </c>
      <c r="U184" s="281">
        <f>TABLA_BASE[[#This Row],[ADV UNIT.
(US$)
⚠️COSTO]]*'📋 Datos Generales'!$E$19</f>
        <v>0</v>
      </c>
      <c r="V184" s="281">
        <f>TABLA_BASE[[#This Row],[ADV UNIT.
(S/.)]]*TABLA_BASE[[#This Row],[CANTIDAD
(unid.)]]</f>
        <v>0</v>
      </c>
      <c r="W184" s="281">
        <f>TABLA_BASE[[#This Row],[IPM UNIT.
(US$)
✅CF]]*'📋 Datos Generales'!$E$19</f>
        <v>0</v>
      </c>
      <c r="X184" s="281">
        <f>TABLA_BASE[[#This Row],[IPM UNIT.
(S/.)]]*TABLA_BASE[[#This Row],[CANTIDAD
(unid.)]]</f>
        <v>0</v>
      </c>
      <c r="Y184" s="281">
        <f>TABLA_BASE[[#This Row],[IGV UNIT.
(US$)
✅CF]]*'📋 Datos Generales'!$E$19</f>
        <v>0</v>
      </c>
      <c r="Z184" s="281">
        <f>TABLA_BASE[[#This Row],[IGV UNIT.
(S/.)]]*TABLA_BASE[[#This Row],[CANTIDAD
(unid.)]]</f>
        <v>0</v>
      </c>
      <c r="AA184" s="281">
        <f>TABLA_BASE[[#This Row],[PERCEP.
UNIT.(US$)
✅CF]]*'📋 Datos Generales'!$E$19</f>
        <v>0</v>
      </c>
      <c r="AB184" s="281">
        <f>TABLA_BASE[[#This Row],[PERCEP.
UNIT.(S/.)]]*TABLA_BASE[[#This Row],[CANTIDAD
(unid.)]]</f>
        <v>0</v>
      </c>
      <c r="AC184" s="279">
        <f>TABLA_BASE[[#This Row],[ADV UNIT.
(US$)
⚠️COSTO]]+TABLA_BASE[[#This Row],[IPM UNIT.
(US$)
✅CF]]+TABLA_BASE[[#This Row],[IGV UNIT.
(US$)
✅CF]]+TABLA_BASE[[#This Row],[PERCEP.
UNIT.(US$)
✅CF]]</f>
        <v>0</v>
      </c>
      <c r="AD184" s="279">
        <f>TABLA_BASE[[#This Row],[TOTAL PAGO
SUNAT
UNIT.(US$)]]*TABLA_BASE[[#This Row],[CANTIDAD
(unid.)]]</f>
        <v>0</v>
      </c>
      <c r="AE184" s="281">
        <f>TABLA_BASE[[#This Row],[TOTAL PAGO
SUNAT
UNIT.(US$)]]*'📋 Datos Generales'!$E$19</f>
        <v>0</v>
      </c>
      <c r="AF184" s="281">
        <f>TABLA_BASE[[#This Row],[TOTAL TRIB.
UNIT.(S/.)]]*TABLA_BASE[[#This Row],[CANTIDAD
(unid.)]]</f>
        <v>0</v>
      </c>
      <c r="AG184" s="279">
        <f>IF('🧾 Factura Comercial'!G188=0,0,'📦 Gastos Importación'!$E$28*(IF('🧾 Tributos Aduana'!$F$6=0,0,'🧾 Factura Comercial'!I188/'🧾 Tributos Aduana'!$F$6))/'🧾 Factura Comercial'!G188)</f>
        <v>0</v>
      </c>
      <c r="AH184" s="279">
        <f>TABLA_BASE[[#This Row],[GASTOS IMP.
UNIT.(US$)]]*TABLA_BASE[[#This Row],[CANTIDAD
(unid.)]]</f>
        <v>0</v>
      </c>
      <c r="AI184" s="281">
        <f>TABLA_BASE[[#This Row],[GASTOS IMP.
UNIT.(US$)]]*'📋 Datos Generales'!$E$19</f>
        <v>0</v>
      </c>
      <c r="AJ184" s="281">
        <f>TABLA_BASE[[#This Row],[GASTOS IMP.
UNIT.(S/.)]]*TABLA_BASE[[#This Row],[CANTIDAD
(unid.)]]</f>
        <v>0</v>
      </c>
      <c r="AK184" s="280">
        <f>'🧮 Costos x Producto'!J188</f>
        <v>0</v>
      </c>
      <c r="AL184" s="278">
        <f>'🧮 Costos x Producto'!K188</f>
        <v>0</v>
      </c>
      <c r="AM184" s="278">
        <f>TABLA_BASE[[#This Row],[C/M UNIT.
(S/.)]]*TABLA_BASE[[#This Row],[CANTIDAD
(unid.)]]</f>
        <v>0</v>
      </c>
      <c r="AN184" s="279">
        <f>IF('🧾 Factura Comercial'!G188=0,0,'🧾 Tributos Aduana'!$F$17*(IF('🧾 Tributos Aduana'!$F$6=0,0,'🧾 Factura Comercial'!I188/'🧾 Tributos Aduana'!$F$6))/'🧾 Factura Comercial'!G188)</f>
        <v>0</v>
      </c>
      <c r="AO184" s="280">
        <f>IF('🧾 Factura Comercial'!G188=0,0,'🏦 Crédito Fiscal'!$C$16*(IF('🧾 Tributos Aduana'!$F$6=0,0,'🧾 Factura Comercial'!I188/'🧾 Tributos Aduana'!$F$6))/'🧾 Factura Comercial'!G188)</f>
        <v>0</v>
      </c>
      <c r="AP184" s="278">
        <f>TABLA_BASE[[#This Row],[CF UNIT.
✅RECUP.
(US$)]]*'📋 Datos Generales'!$E$19</f>
        <v>0</v>
      </c>
      <c r="AQ184" s="278">
        <f>TABLA_BASE[[#This Row],[CF UNIT.
✅RECUP.(S/.)]]*TABLA_BASE[[#This Row],[CANTIDAD
(unid.)]]</f>
        <v>0</v>
      </c>
      <c r="AR184" s="288">
        <f>'💰 Precio de Venta'!G189</f>
        <v>0.4</v>
      </c>
      <c r="AS184" s="278">
        <f>'💰 Precio de Venta'!H189</f>
        <v>0</v>
      </c>
      <c r="AT184" s="278">
        <f>TABLA_BASE[[#This Row],[VALOR VTA.
UNIT.(S/.)]]*TABLA_BASE[[#This Row],[CANTIDAD
(unid.)]]</f>
        <v>0</v>
      </c>
      <c r="AU184" s="281">
        <f>'💰 Precio de Venta'!I189</f>
        <v>0</v>
      </c>
      <c r="AV184" s="278">
        <f>'💰 Precio de Venta'!J189</f>
        <v>0</v>
      </c>
      <c r="AW184" s="278">
        <f>TABLA_BASE[[#This Row],[GANANCIA
UNIT.(S/.)]]*TABLA_BASE[[#This Row],[CANTIDAD
(unid.)]]</f>
        <v>0</v>
      </c>
      <c r="AX184" s="289">
        <f>'💰 Precio de Venta'!K189</f>
        <v>0</v>
      </c>
      <c r="AY184" s="278">
        <f>TABLA_BASE[[#This Row],[GANANCIA
UNIT.(S/.)]]*'🧾 Factura Comercial'!G188</f>
        <v>0</v>
      </c>
      <c r="AZ184" s="277">
        <f>IF(TABLA_BASE[[#This Row],[PRECIO VTA.
c/IGV(S/.)]]=0,0,TABLA_BASE[[#This Row],[GANANCIA
UNIT.(S/.)]]/TABLA_BASE[[#This Row],[PRECIO VTA.
c/IGV(S/.)]])</f>
        <v>0</v>
      </c>
      <c r="BA184" s="277">
        <f>IF(TABLA_BASE[[#This Row],[C/M UNIT.
(S/.)]]=0,0,TABLA_BASE[[#This Row],[GANANCIA
UNIT.(S/.)]]/TABLA_BASE[[#This Row],[C/M UNIT.
(S/.)]])</f>
        <v>0</v>
      </c>
      <c r="BB184" s="274" t="str">
        <f>IF(TABLA_BASE[[#This Row],[MARGEN
%]]&gt;=0.5,"🟢 ALTO",IF(TABLA_BASE[[#This Row],[MARGEN
%]]&gt;=0.3,"🟡 MEDIO","🔴 BAJO"))</f>
        <v>🟡 MEDIO</v>
      </c>
    </row>
    <row r="185" spans="1:54" ht="16.5" hidden="1" thickTop="1" thickBot="1" x14ac:dyDescent="0.3">
      <c r="A185" s="274">
        <f>'🧾 Factura Comercial'!E189</f>
        <v>0</v>
      </c>
      <c r="B185" s="274" t="str">
        <f>'🧾 Factura Comercial'!F189</f>
        <v>Unid.</v>
      </c>
      <c r="C185" s="275">
        <f>'🧾 Factura Comercial'!G189</f>
        <v>0</v>
      </c>
      <c r="D185" s="276">
        <f>'🧾 Factura Comercial'!H189</f>
        <v>0</v>
      </c>
      <c r="E185" s="276">
        <f>'🧾 Factura Comercial'!I189</f>
        <v>0</v>
      </c>
      <c r="F185" s="277">
        <f>IF('🧾 Tributos Aduana'!$F$6=0,0,'🧾 Factura Comercial'!I189/'🧾 Tributos Aduana'!$F$6)</f>
        <v>0</v>
      </c>
      <c r="G185" s="278">
        <f>'🧾 Factura Comercial'!H189*'📋 Datos Generales'!$E$19</f>
        <v>0</v>
      </c>
      <c r="H185" s="278">
        <f>TABLA_BASE[[#This Row],[FOB UNIT.
(S/.)]]*TABLA_BASE[[#This Row],[CANTIDAD
(unid.)]]</f>
        <v>0</v>
      </c>
      <c r="I185" s="280">
        <f>IF('🧾 Tributos Aduana'!$F$6=0,0,'🧾 Tributos Aduana'!$F$17*('🧾 Factura Comercial'!H189/'🧾 Tributos Aduana'!$F$6))</f>
        <v>0</v>
      </c>
      <c r="J185" s="280">
        <f>TABLA_BASE[[#This Row],[ADV UNIT.
(US$)
⚠️COSTO]]*TABLA_BASE[[#This Row],[CANTIDAD
(unid.)]]</f>
        <v>0</v>
      </c>
      <c r="K185" s="279">
        <f>IF('🧾 Tributos Aduana'!$F$6=0,0,'🧾 Tributos Aduana'!$F$18*('🧾 Factura Comercial'!H189/'🧾 Tributos Aduana'!$F$6))</f>
        <v>0</v>
      </c>
      <c r="L185" s="280">
        <f>TABLA_BASE[[#This Row],[IPM UNIT.
(US$)
✅CF]]*TABLA_BASE[[#This Row],[CANTIDAD
(unid.)]]</f>
        <v>0</v>
      </c>
      <c r="M185" s="279">
        <f>IF('🧾 Tributos Aduana'!$F$6=0,0,'🧾 Tributos Aduana'!$F$19*('🧾 Factura Comercial'!H189/'🧾 Tributos Aduana'!$F$6))</f>
        <v>0</v>
      </c>
      <c r="N185" s="280">
        <f>TABLA_BASE[[#This Row],[IGV UNIT.
(US$)
✅CF]]*TABLA_BASE[[#This Row],[CANTIDAD
(unid.)]]</f>
        <v>0</v>
      </c>
      <c r="O185" s="280">
        <f>IF('🧾 Tributos Aduana'!$F$6=0,0,'🧾 Tributos Aduana'!$F$23*('🧾 Factura Comercial'!H189/'🧾 Tributos Aduana'!$F$6))</f>
        <v>0</v>
      </c>
      <c r="P185" s="280">
        <f>TABLA_BASE[[#This Row],[PERCEP.
UNIT.(US$)
✅CF]]*TABLA_BASE[[#This Row],[CANTIDAD
(unid.)]]</f>
        <v>0</v>
      </c>
      <c r="Q185" s="279">
        <f>TABLA_BASE[[#This Row],[ADV UNIT.
(US$)
⚠️COSTO]]+TABLA_BASE[[#This Row],[IPM UNIT.
(US$)
✅CF]]+TABLA_BASE[[#This Row],[IGV UNIT.
(US$)
✅CF]]</f>
        <v>0</v>
      </c>
      <c r="R185" s="280">
        <f>TABLA_BASE[[#This Row],[DEUDA
ADUANERA
UNIT.]]*TABLA_BASE[[#This Row],[CANTIDAD
(unid.)]]</f>
        <v>0</v>
      </c>
      <c r="S185" s="278">
        <f>TABLA_BASE[[#This Row],[DEUDA
ADUANERA
UNIT.]]*'📋 Datos Generales'!$E$19</f>
        <v>0</v>
      </c>
      <c r="T185" s="278">
        <f>TABLA_BASE[[#This Row],[DEUDA
ADUANERA
TOTAL]]*'📋 Datos Generales'!$E$19</f>
        <v>0</v>
      </c>
      <c r="U185" s="281">
        <f>TABLA_BASE[[#This Row],[ADV UNIT.
(US$)
⚠️COSTO]]*'📋 Datos Generales'!$E$19</f>
        <v>0</v>
      </c>
      <c r="V185" s="281">
        <f>TABLA_BASE[[#This Row],[ADV UNIT.
(S/.)]]*TABLA_BASE[[#This Row],[CANTIDAD
(unid.)]]</f>
        <v>0</v>
      </c>
      <c r="W185" s="281">
        <f>TABLA_BASE[[#This Row],[IPM UNIT.
(US$)
✅CF]]*'📋 Datos Generales'!$E$19</f>
        <v>0</v>
      </c>
      <c r="X185" s="281">
        <f>TABLA_BASE[[#This Row],[IPM UNIT.
(S/.)]]*TABLA_BASE[[#This Row],[CANTIDAD
(unid.)]]</f>
        <v>0</v>
      </c>
      <c r="Y185" s="281">
        <f>TABLA_BASE[[#This Row],[IGV UNIT.
(US$)
✅CF]]*'📋 Datos Generales'!$E$19</f>
        <v>0</v>
      </c>
      <c r="Z185" s="281">
        <f>TABLA_BASE[[#This Row],[IGV UNIT.
(S/.)]]*TABLA_BASE[[#This Row],[CANTIDAD
(unid.)]]</f>
        <v>0</v>
      </c>
      <c r="AA185" s="281">
        <f>TABLA_BASE[[#This Row],[PERCEP.
UNIT.(US$)
✅CF]]*'📋 Datos Generales'!$E$19</f>
        <v>0</v>
      </c>
      <c r="AB185" s="281">
        <f>TABLA_BASE[[#This Row],[PERCEP.
UNIT.(S/.)]]*TABLA_BASE[[#This Row],[CANTIDAD
(unid.)]]</f>
        <v>0</v>
      </c>
      <c r="AC185" s="279">
        <f>TABLA_BASE[[#This Row],[ADV UNIT.
(US$)
⚠️COSTO]]+TABLA_BASE[[#This Row],[IPM UNIT.
(US$)
✅CF]]+TABLA_BASE[[#This Row],[IGV UNIT.
(US$)
✅CF]]+TABLA_BASE[[#This Row],[PERCEP.
UNIT.(US$)
✅CF]]</f>
        <v>0</v>
      </c>
      <c r="AD185" s="279">
        <f>TABLA_BASE[[#This Row],[TOTAL PAGO
SUNAT
UNIT.(US$)]]*TABLA_BASE[[#This Row],[CANTIDAD
(unid.)]]</f>
        <v>0</v>
      </c>
      <c r="AE185" s="281">
        <f>TABLA_BASE[[#This Row],[TOTAL PAGO
SUNAT
UNIT.(US$)]]*'📋 Datos Generales'!$E$19</f>
        <v>0</v>
      </c>
      <c r="AF185" s="281">
        <f>TABLA_BASE[[#This Row],[TOTAL TRIB.
UNIT.(S/.)]]*TABLA_BASE[[#This Row],[CANTIDAD
(unid.)]]</f>
        <v>0</v>
      </c>
      <c r="AG185" s="279">
        <f>IF('🧾 Factura Comercial'!G189=0,0,'📦 Gastos Importación'!$E$28*(IF('🧾 Tributos Aduana'!$F$6=0,0,'🧾 Factura Comercial'!I189/'🧾 Tributos Aduana'!$F$6))/'🧾 Factura Comercial'!G189)</f>
        <v>0</v>
      </c>
      <c r="AH185" s="279">
        <f>TABLA_BASE[[#This Row],[GASTOS IMP.
UNIT.(US$)]]*TABLA_BASE[[#This Row],[CANTIDAD
(unid.)]]</f>
        <v>0</v>
      </c>
      <c r="AI185" s="281">
        <f>TABLA_BASE[[#This Row],[GASTOS IMP.
UNIT.(US$)]]*'📋 Datos Generales'!$E$19</f>
        <v>0</v>
      </c>
      <c r="AJ185" s="281">
        <f>TABLA_BASE[[#This Row],[GASTOS IMP.
UNIT.(S/.)]]*TABLA_BASE[[#This Row],[CANTIDAD
(unid.)]]</f>
        <v>0</v>
      </c>
      <c r="AK185" s="280">
        <f>'🧮 Costos x Producto'!J189</f>
        <v>0</v>
      </c>
      <c r="AL185" s="278">
        <f>'🧮 Costos x Producto'!K189</f>
        <v>0</v>
      </c>
      <c r="AM185" s="278">
        <f>TABLA_BASE[[#This Row],[C/M UNIT.
(S/.)]]*TABLA_BASE[[#This Row],[CANTIDAD
(unid.)]]</f>
        <v>0</v>
      </c>
      <c r="AN185" s="279">
        <f>IF('🧾 Factura Comercial'!G189=0,0,'🧾 Tributos Aduana'!$F$17*(IF('🧾 Tributos Aduana'!$F$6=0,0,'🧾 Factura Comercial'!I189/'🧾 Tributos Aduana'!$F$6))/'🧾 Factura Comercial'!G189)</f>
        <v>0</v>
      </c>
      <c r="AO185" s="280">
        <f>IF('🧾 Factura Comercial'!G189=0,0,'🏦 Crédito Fiscal'!$C$16*(IF('🧾 Tributos Aduana'!$F$6=0,0,'🧾 Factura Comercial'!I189/'🧾 Tributos Aduana'!$F$6))/'🧾 Factura Comercial'!G189)</f>
        <v>0</v>
      </c>
      <c r="AP185" s="278">
        <f>TABLA_BASE[[#This Row],[CF UNIT.
✅RECUP.
(US$)]]*'📋 Datos Generales'!$E$19</f>
        <v>0</v>
      </c>
      <c r="AQ185" s="278">
        <f>TABLA_BASE[[#This Row],[CF UNIT.
✅RECUP.(S/.)]]*TABLA_BASE[[#This Row],[CANTIDAD
(unid.)]]</f>
        <v>0</v>
      </c>
      <c r="AR185" s="288">
        <f>'💰 Precio de Venta'!G190</f>
        <v>0.4</v>
      </c>
      <c r="AS185" s="278">
        <f>'💰 Precio de Venta'!H190</f>
        <v>0</v>
      </c>
      <c r="AT185" s="278">
        <f>TABLA_BASE[[#This Row],[VALOR VTA.
UNIT.(S/.)]]*TABLA_BASE[[#This Row],[CANTIDAD
(unid.)]]</f>
        <v>0</v>
      </c>
      <c r="AU185" s="281">
        <f>'💰 Precio de Venta'!I190</f>
        <v>0</v>
      </c>
      <c r="AV185" s="278">
        <f>'💰 Precio de Venta'!J190</f>
        <v>0</v>
      </c>
      <c r="AW185" s="278">
        <f>TABLA_BASE[[#This Row],[GANANCIA
UNIT.(S/.)]]*TABLA_BASE[[#This Row],[CANTIDAD
(unid.)]]</f>
        <v>0</v>
      </c>
      <c r="AX185" s="289">
        <f>'💰 Precio de Venta'!K190</f>
        <v>0</v>
      </c>
      <c r="AY185" s="278">
        <f>TABLA_BASE[[#This Row],[GANANCIA
UNIT.(S/.)]]*'🧾 Factura Comercial'!G189</f>
        <v>0</v>
      </c>
      <c r="AZ185" s="277">
        <f>IF(TABLA_BASE[[#This Row],[PRECIO VTA.
c/IGV(S/.)]]=0,0,TABLA_BASE[[#This Row],[GANANCIA
UNIT.(S/.)]]/TABLA_BASE[[#This Row],[PRECIO VTA.
c/IGV(S/.)]])</f>
        <v>0</v>
      </c>
      <c r="BA185" s="277">
        <f>IF(TABLA_BASE[[#This Row],[C/M UNIT.
(S/.)]]=0,0,TABLA_BASE[[#This Row],[GANANCIA
UNIT.(S/.)]]/TABLA_BASE[[#This Row],[C/M UNIT.
(S/.)]])</f>
        <v>0</v>
      </c>
      <c r="BB185" s="274" t="str">
        <f>IF(TABLA_BASE[[#This Row],[MARGEN
%]]&gt;=0.5,"🟢 ALTO",IF(TABLA_BASE[[#This Row],[MARGEN
%]]&gt;=0.3,"🟡 MEDIO","🔴 BAJO"))</f>
        <v>🟡 MEDIO</v>
      </c>
    </row>
    <row r="186" spans="1:54" ht="16.5" hidden="1" thickTop="1" thickBot="1" x14ac:dyDescent="0.3">
      <c r="A186" s="274">
        <f>'🧾 Factura Comercial'!E190</f>
        <v>0</v>
      </c>
      <c r="B186" s="274" t="str">
        <f>'🧾 Factura Comercial'!F190</f>
        <v>Unid.</v>
      </c>
      <c r="C186" s="275">
        <f>'🧾 Factura Comercial'!G190</f>
        <v>0</v>
      </c>
      <c r="D186" s="276">
        <f>'🧾 Factura Comercial'!H190</f>
        <v>0</v>
      </c>
      <c r="E186" s="276">
        <f>'🧾 Factura Comercial'!I190</f>
        <v>0</v>
      </c>
      <c r="F186" s="277">
        <f>IF('🧾 Tributos Aduana'!$F$6=0,0,'🧾 Factura Comercial'!I190/'🧾 Tributos Aduana'!$F$6)</f>
        <v>0</v>
      </c>
      <c r="G186" s="278">
        <f>'🧾 Factura Comercial'!H190*'📋 Datos Generales'!$E$19</f>
        <v>0</v>
      </c>
      <c r="H186" s="278">
        <f>TABLA_BASE[[#This Row],[FOB UNIT.
(S/.)]]*TABLA_BASE[[#This Row],[CANTIDAD
(unid.)]]</f>
        <v>0</v>
      </c>
      <c r="I186" s="280">
        <f>IF('🧾 Tributos Aduana'!$F$6=0,0,'🧾 Tributos Aduana'!$F$17*('🧾 Factura Comercial'!H190/'🧾 Tributos Aduana'!$F$6))</f>
        <v>0</v>
      </c>
      <c r="J186" s="280">
        <f>TABLA_BASE[[#This Row],[ADV UNIT.
(US$)
⚠️COSTO]]*TABLA_BASE[[#This Row],[CANTIDAD
(unid.)]]</f>
        <v>0</v>
      </c>
      <c r="K186" s="279">
        <f>IF('🧾 Tributos Aduana'!$F$6=0,0,'🧾 Tributos Aduana'!$F$18*('🧾 Factura Comercial'!H190/'🧾 Tributos Aduana'!$F$6))</f>
        <v>0</v>
      </c>
      <c r="L186" s="280">
        <f>TABLA_BASE[[#This Row],[IPM UNIT.
(US$)
✅CF]]*TABLA_BASE[[#This Row],[CANTIDAD
(unid.)]]</f>
        <v>0</v>
      </c>
      <c r="M186" s="279">
        <f>IF('🧾 Tributos Aduana'!$F$6=0,0,'🧾 Tributos Aduana'!$F$19*('🧾 Factura Comercial'!H190/'🧾 Tributos Aduana'!$F$6))</f>
        <v>0</v>
      </c>
      <c r="N186" s="280">
        <f>TABLA_BASE[[#This Row],[IGV UNIT.
(US$)
✅CF]]*TABLA_BASE[[#This Row],[CANTIDAD
(unid.)]]</f>
        <v>0</v>
      </c>
      <c r="O186" s="280">
        <f>IF('🧾 Tributos Aduana'!$F$6=0,0,'🧾 Tributos Aduana'!$F$23*('🧾 Factura Comercial'!H190/'🧾 Tributos Aduana'!$F$6))</f>
        <v>0</v>
      </c>
      <c r="P186" s="280">
        <f>TABLA_BASE[[#This Row],[PERCEP.
UNIT.(US$)
✅CF]]*TABLA_BASE[[#This Row],[CANTIDAD
(unid.)]]</f>
        <v>0</v>
      </c>
      <c r="Q186" s="279">
        <f>TABLA_BASE[[#This Row],[ADV UNIT.
(US$)
⚠️COSTO]]+TABLA_BASE[[#This Row],[IPM UNIT.
(US$)
✅CF]]+TABLA_BASE[[#This Row],[IGV UNIT.
(US$)
✅CF]]</f>
        <v>0</v>
      </c>
      <c r="R186" s="280">
        <f>TABLA_BASE[[#This Row],[DEUDA
ADUANERA
UNIT.]]*TABLA_BASE[[#This Row],[CANTIDAD
(unid.)]]</f>
        <v>0</v>
      </c>
      <c r="S186" s="278">
        <f>TABLA_BASE[[#This Row],[DEUDA
ADUANERA
UNIT.]]*'📋 Datos Generales'!$E$19</f>
        <v>0</v>
      </c>
      <c r="T186" s="278">
        <f>TABLA_BASE[[#This Row],[DEUDA
ADUANERA
TOTAL]]*'📋 Datos Generales'!$E$19</f>
        <v>0</v>
      </c>
      <c r="U186" s="281">
        <f>TABLA_BASE[[#This Row],[ADV UNIT.
(US$)
⚠️COSTO]]*'📋 Datos Generales'!$E$19</f>
        <v>0</v>
      </c>
      <c r="V186" s="281">
        <f>TABLA_BASE[[#This Row],[ADV UNIT.
(S/.)]]*TABLA_BASE[[#This Row],[CANTIDAD
(unid.)]]</f>
        <v>0</v>
      </c>
      <c r="W186" s="281">
        <f>TABLA_BASE[[#This Row],[IPM UNIT.
(US$)
✅CF]]*'📋 Datos Generales'!$E$19</f>
        <v>0</v>
      </c>
      <c r="X186" s="281">
        <f>TABLA_BASE[[#This Row],[IPM UNIT.
(S/.)]]*TABLA_BASE[[#This Row],[CANTIDAD
(unid.)]]</f>
        <v>0</v>
      </c>
      <c r="Y186" s="281">
        <f>TABLA_BASE[[#This Row],[IGV UNIT.
(US$)
✅CF]]*'📋 Datos Generales'!$E$19</f>
        <v>0</v>
      </c>
      <c r="Z186" s="281">
        <f>TABLA_BASE[[#This Row],[IGV UNIT.
(S/.)]]*TABLA_BASE[[#This Row],[CANTIDAD
(unid.)]]</f>
        <v>0</v>
      </c>
      <c r="AA186" s="281">
        <f>TABLA_BASE[[#This Row],[PERCEP.
UNIT.(US$)
✅CF]]*'📋 Datos Generales'!$E$19</f>
        <v>0</v>
      </c>
      <c r="AB186" s="281">
        <f>TABLA_BASE[[#This Row],[PERCEP.
UNIT.(S/.)]]*TABLA_BASE[[#This Row],[CANTIDAD
(unid.)]]</f>
        <v>0</v>
      </c>
      <c r="AC186" s="279">
        <f>TABLA_BASE[[#This Row],[ADV UNIT.
(US$)
⚠️COSTO]]+TABLA_BASE[[#This Row],[IPM UNIT.
(US$)
✅CF]]+TABLA_BASE[[#This Row],[IGV UNIT.
(US$)
✅CF]]+TABLA_BASE[[#This Row],[PERCEP.
UNIT.(US$)
✅CF]]</f>
        <v>0</v>
      </c>
      <c r="AD186" s="279">
        <f>TABLA_BASE[[#This Row],[TOTAL PAGO
SUNAT
UNIT.(US$)]]*TABLA_BASE[[#This Row],[CANTIDAD
(unid.)]]</f>
        <v>0</v>
      </c>
      <c r="AE186" s="281">
        <f>TABLA_BASE[[#This Row],[TOTAL PAGO
SUNAT
UNIT.(US$)]]*'📋 Datos Generales'!$E$19</f>
        <v>0</v>
      </c>
      <c r="AF186" s="281">
        <f>TABLA_BASE[[#This Row],[TOTAL TRIB.
UNIT.(S/.)]]*TABLA_BASE[[#This Row],[CANTIDAD
(unid.)]]</f>
        <v>0</v>
      </c>
      <c r="AG186" s="279">
        <f>IF('🧾 Factura Comercial'!G190=0,0,'📦 Gastos Importación'!$E$28*(IF('🧾 Tributos Aduana'!$F$6=0,0,'🧾 Factura Comercial'!I190/'🧾 Tributos Aduana'!$F$6))/'🧾 Factura Comercial'!G190)</f>
        <v>0</v>
      </c>
      <c r="AH186" s="279">
        <f>TABLA_BASE[[#This Row],[GASTOS IMP.
UNIT.(US$)]]*TABLA_BASE[[#This Row],[CANTIDAD
(unid.)]]</f>
        <v>0</v>
      </c>
      <c r="AI186" s="281">
        <f>TABLA_BASE[[#This Row],[GASTOS IMP.
UNIT.(US$)]]*'📋 Datos Generales'!$E$19</f>
        <v>0</v>
      </c>
      <c r="AJ186" s="281">
        <f>TABLA_BASE[[#This Row],[GASTOS IMP.
UNIT.(S/.)]]*TABLA_BASE[[#This Row],[CANTIDAD
(unid.)]]</f>
        <v>0</v>
      </c>
      <c r="AK186" s="280">
        <f>'🧮 Costos x Producto'!J190</f>
        <v>0</v>
      </c>
      <c r="AL186" s="278">
        <f>'🧮 Costos x Producto'!K190</f>
        <v>0</v>
      </c>
      <c r="AM186" s="278">
        <f>TABLA_BASE[[#This Row],[C/M UNIT.
(S/.)]]*TABLA_BASE[[#This Row],[CANTIDAD
(unid.)]]</f>
        <v>0</v>
      </c>
      <c r="AN186" s="279">
        <f>IF('🧾 Factura Comercial'!G190=0,0,'🧾 Tributos Aduana'!$F$17*(IF('🧾 Tributos Aduana'!$F$6=0,0,'🧾 Factura Comercial'!I190/'🧾 Tributos Aduana'!$F$6))/'🧾 Factura Comercial'!G190)</f>
        <v>0</v>
      </c>
      <c r="AO186" s="280">
        <f>IF('🧾 Factura Comercial'!G190=0,0,'🏦 Crédito Fiscal'!$C$16*(IF('🧾 Tributos Aduana'!$F$6=0,0,'🧾 Factura Comercial'!I190/'🧾 Tributos Aduana'!$F$6))/'🧾 Factura Comercial'!G190)</f>
        <v>0</v>
      </c>
      <c r="AP186" s="278">
        <f>TABLA_BASE[[#This Row],[CF UNIT.
✅RECUP.
(US$)]]*'📋 Datos Generales'!$E$19</f>
        <v>0</v>
      </c>
      <c r="AQ186" s="278">
        <f>TABLA_BASE[[#This Row],[CF UNIT.
✅RECUP.(S/.)]]*TABLA_BASE[[#This Row],[CANTIDAD
(unid.)]]</f>
        <v>0</v>
      </c>
      <c r="AR186" s="288">
        <f>'💰 Precio de Venta'!G191</f>
        <v>0.4</v>
      </c>
      <c r="AS186" s="278">
        <f>'💰 Precio de Venta'!H191</f>
        <v>0</v>
      </c>
      <c r="AT186" s="278">
        <f>TABLA_BASE[[#This Row],[VALOR VTA.
UNIT.(S/.)]]*TABLA_BASE[[#This Row],[CANTIDAD
(unid.)]]</f>
        <v>0</v>
      </c>
      <c r="AU186" s="281">
        <f>'💰 Precio de Venta'!I191</f>
        <v>0</v>
      </c>
      <c r="AV186" s="278">
        <f>'💰 Precio de Venta'!J191</f>
        <v>0</v>
      </c>
      <c r="AW186" s="278">
        <f>TABLA_BASE[[#This Row],[GANANCIA
UNIT.(S/.)]]*TABLA_BASE[[#This Row],[CANTIDAD
(unid.)]]</f>
        <v>0</v>
      </c>
      <c r="AX186" s="289">
        <f>'💰 Precio de Venta'!K191</f>
        <v>0</v>
      </c>
      <c r="AY186" s="278">
        <f>TABLA_BASE[[#This Row],[GANANCIA
UNIT.(S/.)]]*'🧾 Factura Comercial'!G190</f>
        <v>0</v>
      </c>
      <c r="AZ186" s="277">
        <f>IF(TABLA_BASE[[#This Row],[PRECIO VTA.
c/IGV(S/.)]]=0,0,TABLA_BASE[[#This Row],[GANANCIA
UNIT.(S/.)]]/TABLA_BASE[[#This Row],[PRECIO VTA.
c/IGV(S/.)]])</f>
        <v>0</v>
      </c>
      <c r="BA186" s="277">
        <f>IF(TABLA_BASE[[#This Row],[C/M UNIT.
(S/.)]]=0,0,TABLA_BASE[[#This Row],[GANANCIA
UNIT.(S/.)]]/TABLA_BASE[[#This Row],[C/M UNIT.
(S/.)]])</f>
        <v>0</v>
      </c>
      <c r="BB186" s="274" t="str">
        <f>IF(TABLA_BASE[[#This Row],[MARGEN
%]]&gt;=0.5,"🟢 ALTO",IF(TABLA_BASE[[#This Row],[MARGEN
%]]&gt;=0.3,"🟡 MEDIO","🔴 BAJO"))</f>
        <v>🟡 MEDIO</v>
      </c>
    </row>
    <row r="187" spans="1:54" ht="16.5" hidden="1" thickTop="1" thickBot="1" x14ac:dyDescent="0.3">
      <c r="A187" s="274">
        <f>'🧾 Factura Comercial'!E191</f>
        <v>0</v>
      </c>
      <c r="B187" s="274" t="str">
        <f>'🧾 Factura Comercial'!F191</f>
        <v>Unid.</v>
      </c>
      <c r="C187" s="275">
        <f>'🧾 Factura Comercial'!G191</f>
        <v>0</v>
      </c>
      <c r="D187" s="276">
        <f>'🧾 Factura Comercial'!H191</f>
        <v>0</v>
      </c>
      <c r="E187" s="276">
        <f>'🧾 Factura Comercial'!I191</f>
        <v>0</v>
      </c>
      <c r="F187" s="277">
        <f>IF('🧾 Tributos Aduana'!$F$6=0,0,'🧾 Factura Comercial'!I191/'🧾 Tributos Aduana'!$F$6)</f>
        <v>0</v>
      </c>
      <c r="G187" s="278">
        <f>'🧾 Factura Comercial'!H191*'📋 Datos Generales'!$E$19</f>
        <v>0</v>
      </c>
      <c r="H187" s="278">
        <f>TABLA_BASE[[#This Row],[FOB UNIT.
(S/.)]]*TABLA_BASE[[#This Row],[CANTIDAD
(unid.)]]</f>
        <v>0</v>
      </c>
      <c r="I187" s="280">
        <f>IF('🧾 Tributos Aduana'!$F$6=0,0,'🧾 Tributos Aduana'!$F$17*('🧾 Factura Comercial'!H191/'🧾 Tributos Aduana'!$F$6))</f>
        <v>0</v>
      </c>
      <c r="J187" s="280">
        <f>TABLA_BASE[[#This Row],[ADV UNIT.
(US$)
⚠️COSTO]]*TABLA_BASE[[#This Row],[CANTIDAD
(unid.)]]</f>
        <v>0</v>
      </c>
      <c r="K187" s="279">
        <f>IF('🧾 Tributos Aduana'!$F$6=0,0,'🧾 Tributos Aduana'!$F$18*('🧾 Factura Comercial'!H191/'🧾 Tributos Aduana'!$F$6))</f>
        <v>0</v>
      </c>
      <c r="L187" s="280">
        <f>TABLA_BASE[[#This Row],[IPM UNIT.
(US$)
✅CF]]*TABLA_BASE[[#This Row],[CANTIDAD
(unid.)]]</f>
        <v>0</v>
      </c>
      <c r="M187" s="279">
        <f>IF('🧾 Tributos Aduana'!$F$6=0,0,'🧾 Tributos Aduana'!$F$19*('🧾 Factura Comercial'!H191/'🧾 Tributos Aduana'!$F$6))</f>
        <v>0</v>
      </c>
      <c r="N187" s="280">
        <f>TABLA_BASE[[#This Row],[IGV UNIT.
(US$)
✅CF]]*TABLA_BASE[[#This Row],[CANTIDAD
(unid.)]]</f>
        <v>0</v>
      </c>
      <c r="O187" s="280">
        <f>IF('🧾 Tributos Aduana'!$F$6=0,0,'🧾 Tributos Aduana'!$F$23*('🧾 Factura Comercial'!H191/'🧾 Tributos Aduana'!$F$6))</f>
        <v>0</v>
      </c>
      <c r="P187" s="280">
        <f>TABLA_BASE[[#This Row],[PERCEP.
UNIT.(US$)
✅CF]]*TABLA_BASE[[#This Row],[CANTIDAD
(unid.)]]</f>
        <v>0</v>
      </c>
      <c r="Q187" s="279">
        <f>TABLA_BASE[[#This Row],[ADV UNIT.
(US$)
⚠️COSTO]]+TABLA_BASE[[#This Row],[IPM UNIT.
(US$)
✅CF]]+TABLA_BASE[[#This Row],[IGV UNIT.
(US$)
✅CF]]</f>
        <v>0</v>
      </c>
      <c r="R187" s="280">
        <f>TABLA_BASE[[#This Row],[DEUDA
ADUANERA
UNIT.]]*TABLA_BASE[[#This Row],[CANTIDAD
(unid.)]]</f>
        <v>0</v>
      </c>
      <c r="S187" s="278">
        <f>TABLA_BASE[[#This Row],[DEUDA
ADUANERA
UNIT.]]*'📋 Datos Generales'!$E$19</f>
        <v>0</v>
      </c>
      <c r="T187" s="278">
        <f>TABLA_BASE[[#This Row],[DEUDA
ADUANERA
TOTAL]]*'📋 Datos Generales'!$E$19</f>
        <v>0</v>
      </c>
      <c r="U187" s="281">
        <f>TABLA_BASE[[#This Row],[ADV UNIT.
(US$)
⚠️COSTO]]*'📋 Datos Generales'!$E$19</f>
        <v>0</v>
      </c>
      <c r="V187" s="281">
        <f>TABLA_BASE[[#This Row],[ADV UNIT.
(S/.)]]*TABLA_BASE[[#This Row],[CANTIDAD
(unid.)]]</f>
        <v>0</v>
      </c>
      <c r="W187" s="281">
        <f>TABLA_BASE[[#This Row],[IPM UNIT.
(US$)
✅CF]]*'📋 Datos Generales'!$E$19</f>
        <v>0</v>
      </c>
      <c r="X187" s="281">
        <f>TABLA_BASE[[#This Row],[IPM UNIT.
(S/.)]]*TABLA_BASE[[#This Row],[CANTIDAD
(unid.)]]</f>
        <v>0</v>
      </c>
      <c r="Y187" s="281">
        <f>TABLA_BASE[[#This Row],[IGV UNIT.
(US$)
✅CF]]*'📋 Datos Generales'!$E$19</f>
        <v>0</v>
      </c>
      <c r="Z187" s="281">
        <f>TABLA_BASE[[#This Row],[IGV UNIT.
(S/.)]]*TABLA_BASE[[#This Row],[CANTIDAD
(unid.)]]</f>
        <v>0</v>
      </c>
      <c r="AA187" s="281">
        <f>TABLA_BASE[[#This Row],[PERCEP.
UNIT.(US$)
✅CF]]*'📋 Datos Generales'!$E$19</f>
        <v>0</v>
      </c>
      <c r="AB187" s="281">
        <f>TABLA_BASE[[#This Row],[PERCEP.
UNIT.(S/.)]]*TABLA_BASE[[#This Row],[CANTIDAD
(unid.)]]</f>
        <v>0</v>
      </c>
      <c r="AC187" s="279">
        <f>TABLA_BASE[[#This Row],[ADV UNIT.
(US$)
⚠️COSTO]]+TABLA_BASE[[#This Row],[IPM UNIT.
(US$)
✅CF]]+TABLA_BASE[[#This Row],[IGV UNIT.
(US$)
✅CF]]+TABLA_BASE[[#This Row],[PERCEP.
UNIT.(US$)
✅CF]]</f>
        <v>0</v>
      </c>
      <c r="AD187" s="279">
        <f>TABLA_BASE[[#This Row],[TOTAL PAGO
SUNAT
UNIT.(US$)]]*TABLA_BASE[[#This Row],[CANTIDAD
(unid.)]]</f>
        <v>0</v>
      </c>
      <c r="AE187" s="281">
        <f>TABLA_BASE[[#This Row],[TOTAL PAGO
SUNAT
UNIT.(US$)]]*'📋 Datos Generales'!$E$19</f>
        <v>0</v>
      </c>
      <c r="AF187" s="281">
        <f>TABLA_BASE[[#This Row],[TOTAL TRIB.
UNIT.(S/.)]]*TABLA_BASE[[#This Row],[CANTIDAD
(unid.)]]</f>
        <v>0</v>
      </c>
      <c r="AG187" s="279">
        <f>IF('🧾 Factura Comercial'!G191=0,0,'📦 Gastos Importación'!$E$28*(IF('🧾 Tributos Aduana'!$F$6=0,0,'🧾 Factura Comercial'!I191/'🧾 Tributos Aduana'!$F$6))/'🧾 Factura Comercial'!G191)</f>
        <v>0</v>
      </c>
      <c r="AH187" s="279">
        <f>TABLA_BASE[[#This Row],[GASTOS IMP.
UNIT.(US$)]]*TABLA_BASE[[#This Row],[CANTIDAD
(unid.)]]</f>
        <v>0</v>
      </c>
      <c r="AI187" s="281">
        <f>TABLA_BASE[[#This Row],[GASTOS IMP.
UNIT.(US$)]]*'📋 Datos Generales'!$E$19</f>
        <v>0</v>
      </c>
      <c r="AJ187" s="281">
        <f>TABLA_BASE[[#This Row],[GASTOS IMP.
UNIT.(S/.)]]*TABLA_BASE[[#This Row],[CANTIDAD
(unid.)]]</f>
        <v>0</v>
      </c>
      <c r="AK187" s="280">
        <f>'🧮 Costos x Producto'!J191</f>
        <v>0</v>
      </c>
      <c r="AL187" s="278">
        <f>'🧮 Costos x Producto'!K191</f>
        <v>0</v>
      </c>
      <c r="AM187" s="278">
        <f>TABLA_BASE[[#This Row],[C/M UNIT.
(S/.)]]*TABLA_BASE[[#This Row],[CANTIDAD
(unid.)]]</f>
        <v>0</v>
      </c>
      <c r="AN187" s="279">
        <f>IF('🧾 Factura Comercial'!G191=0,0,'🧾 Tributos Aduana'!$F$17*(IF('🧾 Tributos Aduana'!$F$6=0,0,'🧾 Factura Comercial'!I191/'🧾 Tributos Aduana'!$F$6))/'🧾 Factura Comercial'!G191)</f>
        <v>0</v>
      </c>
      <c r="AO187" s="280">
        <f>IF('🧾 Factura Comercial'!G191=0,0,'🏦 Crédito Fiscal'!$C$16*(IF('🧾 Tributos Aduana'!$F$6=0,0,'🧾 Factura Comercial'!I191/'🧾 Tributos Aduana'!$F$6))/'🧾 Factura Comercial'!G191)</f>
        <v>0</v>
      </c>
      <c r="AP187" s="278">
        <f>TABLA_BASE[[#This Row],[CF UNIT.
✅RECUP.
(US$)]]*'📋 Datos Generales'!$E$19</f>
        <v>0</v>
      </c>
      <c r="AQ187" s="278">
        <f>TABLA_BASE[[#This Row],[CF UNIT.
✅RECUP.(S/.)]]*TABLA_BASE[[#This Row],[CANTIDAD
(unid.)]]</f>
        <v>0</v>
      </c>
      <c r="AR187" s="288">
        <f>'💰 Precio de Venta'!G192</f>
        <v>0.4</v>
      </c>
      <c r="AS187" s="278">
        <f>'💰 Precio de Venta'!H192</f>
        <v>0</v>
      </c>
      <c r="AT187" s="278">
        <f>TABLA_BASE[[#This Row],[VALOR VTA.
UNIT.(S/.)]]*TABLA_BASE[[#This Row],[CANTIDAD
(unid.)]]</f>
        <v>0</v>
      </c>
      <c r="AU187" s="281">
        <f>'💰 Precio de Venta'!I192</f>
        <v>0</v>
      </c>
      <c r="AV187" s="278">
        <f>'💰 Precio de Venta'!J192</f>
        <v>0</v>
      </c>
      <c r="AW187" s="278">
        <f>TABLA_BASE[[#This Row],[GANANCIA
UNIT.(S/.)]]*TABLA_BASE[[#This Row],[CANTIDAD
(unid.)]]</f>
        <v>0</v>
      </c>
      <c r="AX187" s="289">
        <f>'💰 Precio de Venta'!K192</f>
        <v>0</v>
      </c>
      <c r="AY187" s="278">
        <f>TABLA_BASE[[#This Row],[GANANCIA
UNIT.(S/.)]]*'🧾 Factura Comercial'!G191</f>
        <v>0</v>
      </c>
      <c r="AZ187" s="277">
        <f>IF(TABLA_BASE[[#This Row],[PRECIO VTA.
c/IGV(S/.)]]=0,0,TABLA_BASE[[#This Row],[GANANCIA
UNIT.(S/.)]]/TABLA_BASE[[#This Row],[PRECIO VTA.
c/IGV(S/.)]])</f>
        <v>0</v>
      </c>
      <c r="BA187" s="277">
        <f>IF(TABLA_BASE[[#This Row],[C/M UNIT.
(S/.)]]=0,0,TABLA_BASE[[#This Row],[GANANCIA
UNIT.(S/.)]]/TABLA_BASE[[#This Row],[C/M UNIT.
(S/.)]])</f>
        <v>0</v>
      </c>
      <c r="BB187" s="274" t="str">
        <f>IF(TABLA_BASE[[#This Row],[MARGEN
%]]&gt;=0.5,"🟢 ALTO",IF(TABLA_BASE[[#This Row],[MARGEN
%]]&gt;=0.3,"🟡 MEDIO","🔴 BAJO"))</f>
        <v>🟡 MEDIO</v>
      </c>
    </row>
    <row r="188" spans="1:54" ht="16.5" hidden="1" thickTop="1" thickBot="1" x14ac:dyDescent="0.3">
      <c r="A188" s="274">
        <f>'🧾 Factura Comercial'!E192</f>
        <v>0</v>
      </c>
      <c r="B188" s="274" t="str">
        <f>'🧾 Factura Comercial'!F192</f>
        <v>Unid.</v>
      </c>
      <c r="C188" s="275">
        <f>'🧾 Factura Comercial'!G192</f>
        <v>0</v>
      </c>
      <c r="D188" s="276">
        <f>'🧾 Factura Comercial'!H192</f>
        <v>0</v>
      </c>
      <c r="E188" s="276">
        <f>'🧾 Factura Comercial'!I192</f>
        <v>0</v>
      </c>
      <c r="F188" s="277">
        <f>IF('🧾 Tributos Aduana'!$F$6=0,0,'🧾 Factura Comercial'!I192/'🧾 Tributos Aduana'!$F$6)</f>
        <v>0</v>
      </c>
      <c r="G188" s="278">
        <f>'🧾 Factura Comercial'!H192*'📋 Datos Generales'!$E$19</f>
        <v>0</v>
      </c>
      <c r="H188" s="278">
        <f>TABLA_BASE[[#This Row],[FOB UNIT.
(S/.)]]*TABLA_BASE[[#This Row],[CANTIDAD
(unid.)]]</f>
        <v>0</v>
      </c>
      <c r="I188" s="280">
        <f>IF('🧾 Tributos Aduana'!$F$6=0,0,'🧾 Tributos Aduana'!$F$17*('🧾 Factura Comercial'!H192/'🧾 Tributos Aduana'!$F$6))</f>
        <v>0</v>
      </c>
      <c r="J188" s="280">
        <f>TABLA_BASE[[#This Row],[ADV UNIT.
(US$)
⚠️COSTO]]*TABLA_BASE[[#This Row],[CANTIDAD
(unid.)]]</f>
        <v>0</v>
      </c>
      <c r="K188" s="279">
        <f>IF('🧾 Tributos Aduana'!$F$6=0,0,'🧾 Tributos Aduana'!$F$18*('🧾 Factura Comercial'!H192/'🧾 Tributos Aduana'!$F$6))</f>
        <v>0</v>
      </c>
      <c r="L188" s="280">
        <f>TABLA_BASE[[#This Row],[IPM UNIT.
(US$)
✅CF]]*TABLA_BASE[[#This Row],[CANTIDAD
(unid.)]]</f>
        <v>0</v>
      </c>
      <c r="M188" s="279">
        <f>IF('🧾 Tributos Aduana'!$F$6=0,0,'🧾 Tributos Aduana'!$F$19*('🧾 Factura Comercial'!H192/'🧾 Tributos Aduana'!$F$6))</f>
        <v>0</v>
      </c>
      <c r="N188" s="280">
        <f>TABLA_BASE[[#This Row],[IGV UNIT.
(US$)
✅CF]]*TABLA_BASE[[#This Row],[CANTIDAD
(unid.)]]</f>
        <v>0</v>
      </c>
      <c r="O188" s="280">
        <f>IF('🧾 Tributos Aduana'!$F$6=0,0,'🧾 Tributos Aduana'!$F$23*('🧾 Factura Comercial'!H192/'🧾 Tributos Aduana'!$F$6))</f>
        <v>0</v>
      </c>
      <c r="P188" s="280">
        <f>TABLA_BASE[[#This Row],[PERCEP.
UNIT.(US$)
✅CF]]*TABLA_BASE[[#This Row],[CANTIDAD
(unid.)]]</f>
        <v>0</v>
      </c>
      <c r="Q188" s="279">
        <f>TABLA_BASE[[#This Row],[ADV UNIT.
(US$)
⚠️COSTO]]+TABLA_BASE[[#This Row],[IPM UNIT.
(US$)
✅CF]]+TABLA_BASE[[#This Row],[IGV UNIT.
(US$)
✅CF]]</f>
        <v>0</v>
      </c>
      <c r="R188" s="280">
        <f>TABLA_BASE[[#This Row],[DEUDA
ADUANERA
UNIT.]]*TABLA_BASE[[#This Row],[CANTIDAD
(unid.)]]</f>
        <v>0</v>
      </c>
      <c r="S188" s="278">
        <f>TABLA_BASE[[#This Row],[DEUDA
ADUANERA
UNIT.]]*'📋 Datos Generales'!$E$19</f>
        <v>0</v>
      </c>
      <c r="T188" s="278">
        <f>TABLA_BASE[[#This Row],[DEUDA
ADUANERA
TOTAL]]*'📋 Datos Generales'!$E$19</f>
        <v>0</v>
      </c>
      <c r="U188" s="281">
        <f>TABLA_BASE[[#This Row],[ADV UNIT.
(US$)
⚠️COSTO]]*'📋 Datos Generales'!$E$19</f>
        <v>0</v>
      </c>
      <c r="V188" s="281">
        <f>TABLA_BASE[[#This Row],[ADV UNIT.
(S/.)]]*TABLA_BASE[[#This Row],[CANTIDAD
(unid.)]]</f>
        <v>0</v>
      </c>
      <c r="W188" s="281">
        <f>TABLA_BASE[[#This Row],[IPM UNIT.
(US$)
✅CF]]*'📋 Datos Generales'!$E$19</f>
        <v>0</v>
      </c>
      <c r="X188" s="281">
        <f>TABLA_BASE[[#This Row],[IPM UNIT.
(S/.)]]*TABLA_BASE[[#This Row],[CANTIDAD
(unid.)]]</f>
        <v>0</v>
      </c>
      <c r="Y188" s="281">
        <f>TABLA_BASE[[#This Row],[IGV UNIT.
(US$)
✅CF]]*'📋 Datos Generales'!$E$19</f>
        <v>0</v>
      </c>
      <c r="Z188" s="281">
        <f>TABLA_BASE[[#This Row],[IGV UNIT.
(S/.)]]*TABLA_BASE[[#This Row],[CANTIDAD
(unid.)]]</f>
        <v>0</v>
      </c>
      <c r="AA188" s="281">
        <f>TABLA_BASE[[#This Row],[PERCEP.
UNIT.(US$)
✅CF]]*'📋 Datos Generales'!$E$19</f>
        <v>0</v>
      </c>
      <c r="AB188" s="281">
        <f>TABLA_BASE[[#This Row],[PERCEP.
UNIT.(S/.)]]*TABLA_BASE[[#This Row],[CANTIDAD
(unid.)]]</f>
        <v>0</v>
      </c>
      <c r="AC188" s="279">
        <f>TABLA_BASE[[#This Row],[ADV UNIT.
(US$)
⚠️COSTO]]+TABLA_BASE[[#This Row],[IPM UNIT.
(US$)
✅CF]]+TABLA_BASE[[#This Row],[IGV UNIT.
(US$)
✅CF]]+TABLA_BASE[[#This Row],[PERCEP.
UNIT.(US$)
✅CF]]</f>
        <v>0</v>
      </c>
      <c r="AD188" s="279">
        <f>TABLA_BASE[[#This Row],[TOTAL PAGO
SUNAT
UNIT.(US$)]]*TABLA_BASE[[#This Row],[CANTIDAD
(unid.)]]</f>
        <v>0</v>
      </c>
      <c r="AE188" s="281">
        <f>TABLA_BASE[[#This Row],[TOTAL PAGO
SUNAT
UNIT.(US$)]]*'📋 Datos Generales'!$E$19</f>
        <v>0</v>
      </c>
      <c r="AF188" s="281">
        <f>TABLA_BASE[[#This Row],[TOTAL TRIB.
UNIT.(S/.)]]*TABLA_BASE[[#This Row],[CANTIDAD
(unid.)]]</f>
        <v>0</v>
      </c>
      <c r="AG188" s="279">
        <f>IF('🧾 Factura Comercial'!G192=0,0,'📦 Gastos Importación'!$E$28*(IF('🧾 Tributos Aduana'!$F$6=0,0,'🧾 Factura Comercial'!I192/'🧾 Tributos Aduana'!$F$6))/'🧾 Factura Comercial'!G192)</f>
        <v>0</v>
      </c>
      <c r="AH188" s="279">
        <f>TABLA_BASE[[#This Row],[GASTOS IMP.
UNIT.(US$)]]*TABLA_BASE[[#This Row],[CANTIDAD
(unid.)]]</f>
        <v>0</v>
      </c>
      <c r="AI188" s="281">
        <f>TABLA_BASE[[#This Row],[GASTOS IMP.
UNIT.(US$)]]*'📋 Datos Generales'!$E$19</f>
        <v>0</v>
      </c>
      <c r="AJ188" s="281">
        <f>TABLA_BASE[[#This Row],[GASTOS IMP.
UNIT.(S/.)]]*TABLA_BASE[[#This Row],[CANTIDAD
(unid.)]]</f>
        <v>0</v>
      </c>
      <c r="AK188" s="280">
        <f>'🧮 Costos x Producto'!J192</f>
        <v>0</v>
      </c>
      <c r="AL188" s="278">
        <f>'🧮 Costos x Producto'!K192</f>
        <v>0</v>
      </c>
      <c r="AM188" s="278">
        <f>TABLA_BASE[[#This Row],[C/M UNIT.
(S/.)]]*TABLA_BASE[[#This Row],[CANTIDAD
(unid.)]]</f>
        <v>0</v>
      </c>
      <c r="AN188" s="279">
        <f>IF('🧾 Factura Comercial'!G192=0,0,'🧾 Tributos Aduana'!$F$17*(IF('🧾 Tributos Aduana'!$F$6=0,0,'🧾 Factura Comercial'!I192/'🧾 Tributos Aduana'!$F$6))/'🧾 Factura Comercial'!G192)</f>
        <v>0</v>
      </c>
      <c r="AO188" s="280">
        <f>IF('🧾 Factura Comercial'!G192=0,0,'🏦 Crédito Fiscal'!$C$16*(IF('🧾 Tributos Aduana'!$F$6=0,0,'🧾 Factura Comercial'!I192/'🧾 Tributos Aduana'!$F$6))/'🧾 Factura Comercial'!G192)</f>
        <v>0</v>
      </c>
      <c r="AP188" s="278">
        <f>TABLA_BASE[[#This Row],[CF UNIT.
✅RECUP.
(US$)]]*'📋 Datos Generales'!$E$19</f>
        <v>0</v>
      </c>
      <c r="AQ188" s="278">
        <f>TABLA_BASE[[#This Row],[CF UNIT.
✅RECUP.(S/.)]]*TABLA_BASE[[#This Row],[CANTIDAD
(unid.)]]</f>
        <v>0</v>
      </c>
      <c r="AR188" s="288">
        <f>'💰 Precio de Venta'!G193</f>
        <v>0.4</v>
      </c>
      <c r="AS188" s="278">
        <f>'💰 Precio de Venta'!H193</f>
        <v>0</v>
      </c>
      <c r="AT188" s="278">
        <f>TABLA_BASE[[#This Row],[VALOR VTA.
UNIT.(S/.)]]*TABLA_BASE[[#This Row],[CANTIDAD
(unid.)]]</f>
        <v>0</v>
      </c>
      <c r="AU188" s="281">
        <f>'💰 Precio de Venta'!I193</f>
        <v>0</v>
      </c>
      <c r="AV188" s="278">
        <f>'💰 Precio de Venta'!J193</f>
        <v>0</v>
      </c>
      <c r="AW188" s="278">
        <f>TABLA_BASE[[#This Row],[GANANCIA
UNIT.(S/.)]]*TABLA_BASE[[#This Row],[CANTIDAD
(unid.)]]</f>
        <v>0</v>
      </c>
      <c r="AX188" s="289">
        <f>'💰 Precio de Venta'!K193</f>
        <v>0</v>
      </c>
      <c r="AY188" s="278">
        <f>TABLA_BASE[[#This Row],[GANANCIA
UNIT.(S/.)]]*'🧾 Factura Comercial'!G192</f>
        <v>0</v>
      </c>
      <c r="AZ188" s="277">
        <f>IF(TABLA_BASE[[#This Row],[PRECIO VTA.
c/IGV(S/.)]]=0,0,TABLA_BASE[[#This Row],[GANANCIA
UNIT.(S/.)]]/TABLA_BASE[[#This Row],[PRECIO VTA.
c/IGV(S/.)]])</f>
        <v>0</v>
      </c>
      <c r="BA188" s="277">
        <f>IF(TABLA_BASE[[#This Row],[C/M UNIT.
(S/.)]]=0,0,TABLA_BASE[[#This Row],[GANANCIA
UNIT.(S/.)]]/TABLA_BASE[[#This Row],[C/M UNIT.
(S/.)]])</f>
        <v>0</v>
      </c>
      <c r="BB188" s="274" t="str">
        <f>IF(TABLA_BASE[[#This Row],[MARGEN
%]]&gt;=0.5,"🟢 ALTO",IF(TABLA_BASE[[#This Row],[MARGEN
%]]&gt;=0.3,"🟡 MEDIO","🔴 BAJO"))</f>
        <v>🟡 MEDIO</v>
      </c>
    </row>
    <row r="189" spans="1:54" ht="16.5" hidden="1" thickTop="1" thickBot="1" x14ac:dyDescent="0.3">
      <c r="A189" s="274">
        <f>'🧾 Factura Comercial'!E193</f>
        <v>0</v>
      </c>
      <c r="B189" s="274" t="str">
        <f>'🧾 Factura Comercial'!F193</f>
        <v>Unid.</v>
      </c>
      <c r="C189" s="275">
        <f>'🧾 Factura Comercial'!G193</f>
        <v>0</v>
      </c>
      <c r="D189" s="276">
        <f>'🧾 Factura Comercial'!H193</f>
        <v>0</v>
      </c>
      <c r="E189" s="276">
        <f>'🧾 Factura Comercial'!I193</f>
        <v>0</v>
      </c>
      <c r="F189" s="277">
        <f>IF('🧾 Tributos Aduana'!$F$6=0,0,'🧾 Factura Comercial'!I193/'🧾 Tributos Aduana'!$F$6)</f>
        <v>0</v>
      </c>
      <c r="G189" s="278">
        <f>'🧾 Factura Comercial'!H193*'📋 Datos Generales'!$E$19</f>
        <v>0</v>
      </c>
      <c r="H189" s="278">
        <f>TABLA_BASE[[#This Row],[FOB UNIT.
(S/.)]]*TABLA_BASE[[#This Row],[CANTIDAD
(unid.)]]</f>
        <v>0</v>
      </c>
      <c r="I189" s="280">
        <f>IF('🧾 Tributos Aduana'!$F$6=0,0,'🧾 Tributos Aduana'!$F$17*('🧾 Factura Comercial'!H193/'🧾 Tributos Aduana'!$F$6))</f>
        <v>0</v>
      </c>
      <c r="J189" s="280">
        <f>TABLA_BASE[[#This Row],[ADV UNIT.
(US$)
⚠️COSTO]]*TABLA_BASE[[#This Row],[CANTIDAD
(unid.)]]</f>
        <v>0</v>
      </c>
      <c r="K189" s="279">
        <f>IF('🧾 Tributos Aduana'!$F$6=0,0,'🧾 Tributos Aduana'!$F$18*('🧾 Factura Comercial'!H193/'🧾 Tributos Aduana'!$F$6))</f>
        <v>0</v>
      </c>
      <c r="L189" s="280">
        <f>TABLA_BASE[[#This Row],[IPM UNIT.
(US$)
✅CF]]*TABLA_BASE[[#This Row],[CANTIDAD
(unid.)]]</f>
        <v>0</v>
      </c>
      <c r="M189" s="279">
        <f>IF('🧾 Tributos Aduana'!$F$6=0,0,'🧾 Tributos Aduana'!$F$19*('🧾 Factura Comercial'!H193/'🧾 Tributos Aduana'!$F$6))</f>
        <v>0</v>
      </c>
      <c r="N189" s="280">
        <f>TABLA_BASE[[#This Row],[IGV UNIT.
(US$)
✅CF]]*TABLA_BASE[[#This Row],[CANTIDAD
(unid.)]]</f>
        <v>0</v>
      </c>
      <c r="O189" s="280">
        <f>IF('🧾 Tributos Aduana'!$F$6=0,0,'🧾 Tributos Aduana'!$F$23*('🧾 Factura Comercial'!H193/'🧾 Tributos Aduana'!$F$6))</f>
        <v>0</v>
      </c>
      <c r="P189" s="280">
        <f>TABLA_BASE[[#This Row],[PERCEP.
UNIT.(US$)
✅CF]]*TABLA_BASE[[#This Row],[CANTIDAD
(unid.)]]</f>
        <v>0</v>
      </c>
      <c r="Q189" s="279">
        <f>TABLA_BASE[[#This Row],[ADV UNIT.
(US$)
⚠️COSTO]]+TABLA_BASE[[#This Row],[IPM UNIT.
(US$)
✅CF]]+TABLA_BASE[[#This Row],[IGV UNIT.
(US$)
✅CF]]</f>
        <v>0</v>
      </c>
      <c r="R189" s="280">
        <f>TABLA_BASE[[#This Row],[DEUDA
ADUANERA
UNIT.]]*TABLA_BASE[[#This Row],[CANTIDAD
(unid.)]]</f>
        <v>0</v>
      </c>
      <c r="S189" s="278">
        <f>TABLA_BASE[[#This Row],[DEUDA
ADUANERA
UNIT.]]*'📋 Datos Generales'!$E$19</f>
        <v>0</v>
      </c>
      <c r="T189" s="278">
        <f>TABLA_BASE[[#This Row],[DEUDA
ADUANERA
TOTAL]]*'📋 Datos Generales'!$E$19</f>
        <v>0</v>
      </c>
      <c r="U189" s="281">
        <f>TABLA_BASE[[#This Row],[ADV UNIT.
(US$)
⚠️COSTO]]*'📋 Datos Generales'!$E$19</f>
        <v>0</v>
      </c>
      <c r="V189" s="281">
        <f>TABLA_BASE[[#This Row],[ADV UNIT.
(S/.)]]*TABLA_BASE[[#This Row],[CANTIDAD
(unid.)]]</f>
        <v>0</v>
      </c>
      <c r="W189" s="281">
        <f>TABLA_BASE[[#This Row],[IPM UNIT.
(US$)
✅CF]]*'📋 Datos Generales'!$E$19</f>
        <v>0</v>
      </c>
      <c r="X189" s="281">
        <f>TABLA_BASE[[#This Row],[IPM UNIT.
(S/.)]]*TABLA_BASE[[#This Row],[CANTIDAD
(unid.)]]</f>
        <v>0</v>
      </c>
      <c r="Y189" s="281">
        <f>TABLA_BASE[[#This Row],[IGV UNIT.
(US$)
✅CF]]*'📋 Datos Generales'!$E$19</f>
        <v>0</v>
      </c>
      <c r="Z189" s="281">
        <f>TABLA_BASE[[#This Row],[IGV UNIT.
(S/.)]]*TABLA_BASE[[#This Row],[CANTIDAD
(unid.)]]</f>
        <v>0</v>
      </c>
      <c r="AA189" s="281">
        <f>TABLA_BASE[[#This Row],[PERCEP.
UNIT.(US$)
✅CF]]*'📋 Datos Generales'!$E$19</f>
        <v>0</v>
      </c>
      <c r="AB189" s="281">
        <f>TABLA_BASE[[#This Row],[PERCEP.
UNIT.(S/.)]]*TABLA_BASE[[#This Row],[CANTIDAD
(unid.)]]</f>
        <v>0</v>
      </c>
      <c r="AC189" s="279">
        <f>TABLA_BASE[[#This Row],[ADV UNIT.
(US$)
⚠️COSTO]]+TABLA_BASE[[#This Row],[IPM UNIT.
(US$)
✅CF]]+TABLA_BASE[[#This Row],[IGV UNIT.
(US$)
✅CF]]+TABLA_BASE[[#This Row],[PERCEP.
UNIT.(US$)
✅CF]]</f>
        <v>0</v>
      </c>
      <c r="AD189" s="279">
        <f>TABLA_BASE[[#This Row],[TOTAL PAGO
SUNAT
UNIT.(US$)]]*TABLA_BASE[[#This Row],[CANTIDAD
(unid.)]]</f>
        <v>0</v>
      </c>
      <c r="AE189" s="281">
        <f>TABLA_BASE[[#This Row],[TOTAL PAGO
SUNAT
UNIT.(US$)]]*'📋 Datos Generales'!$E$19</f>
        <v>0</v>
      </c>
      <c r="AF189" s="281">
        <f>TABLA_BASE[[#This Row],[TOTAL TRIB.
UNIT.(S/.)]]*TABLA_BASE[[#This Row],[CANTIDAD
(unid.)]]</f>
        <v>0</v>
      </c>
      <c r="AG189" s="279">
        <f>IF('🧾 Factura Comercial'!G193=0,0,'📦 Gastos Importación'!$E$28*(IF('🧾 Tributos Aduana'!$F$6=0,0,'🧾 Factura Comercial'!I193/'🧾 Tributos Aduana'!$F$6))/'🧾 Factura Comercial'!G193)</f>
        <v>0</v>
      </c>
      <c r="AH189" s="279">
        <f>TABLA_BASE[[#This Row],[GASTOS IMP.
UNIT.(US$)]]*TABLA_BASE[[#This Row],[CANTIDAD
(unid.)]]</f>
        <v>0</v>
      </c>
      <c r="AI189" s="281">
        <f>TABLA_BASE[[#This Row],[GASTOS IMP.
UNIT.(US$)]]*'📋 Datos Generales'!$E$19</f>
        <v>0</v>
      </c>
      <c r="AJ189" s="281">
        <f>TABLA_BASE[[#This Row],[GASTOS IMP.
UNIT.(S/.)]]*TABLA_BASE[[#This Row],[CANTIDAD
(unid.)]]</f>
        <v>0</v>
      </c>
      <c r="AK189" s="280">
        <f>'🧮 Costos x Producto'!J193</f>
        <v>0</v>
      </c>
      <c r="AL189" s="278">
        <f>'🧮 Costos x Producto'!K193</f>
        <v>0</v>
      </c>
      <c r="AM189" s="278">
        <f>TABLA_BASE[[#This Row],[C/M UNIT.
(S/.)]]*TABLA_BASE[[#This Row],[CANTIDAD
(unid.)]]</f>
        <v>0</v>
      </c>
      <c r="AN189" s="279">
        <f>IF('🧾 Factura Comercial'!G193=0,0,'🧾 Tributos Aduana'!$F$17*(IF('🧾 Tributos Aduana'!$F$6=0,0,'🧾 Factura Comercial'!I193/'🧾 Tributos Aduana'!$F$6))/'🧾 Factura Comercial'!G193)</f>
        <v>0</v>
      </c>
      <c r="AO189" s="280">
        <f>IF('🧾 Factura Comercial'!G193=0,0,'🏦 Crédito Fiscal'!$C$16*(IF('🧾 Tributos Aduana'!$F$6=0,0,'🧾 Factura Comercial'!I193/'🧾 Tributos Aduana'!$F$6))/'🧾 Factura Comercial'!G193)</f>
        <v>0</v>
      </c>
      <c r="AP189" s="278">
        <f>TABLA_BASE[[#This Row],[CF UNIT.
✅RECUP.
(US$)]]*'📋 Datos Generales'!$E$19</f>
        <v>0</v>
      </c>
      <c r="AQ189" s="278">
        <f>TABLA_BASE[[#This Row],[CF UNIT.
✅RECUP.(S/.)]]*TABLA_BASE[[#This Row],[CANTIDAD
(unid.)]]</f>
        <v>0</v>
      </c>
      <c r="AR189" s="288">
        <f>'💰 Precio de Venta'!G194</f>
        <v>0.4</v>
      </c>
      <c r="AS189" s="278">
        <f>'💰 Precio de Venta'!H194</f>
        <v>0</v>
      </c>
      <c r="AT189" s="278">
        <f>TABLA_BASE[[#This Row],[VALOR VTA.
UNIT.(S/.)]]*TABLA_BASE[[#This Row],[CANTIDAD
(unid.)]]</f>
        <v>0</v>
      </c>
      <c r="AU189" s="281">
        <f>'💰 Precio de Venta'!I194</f>
        <v>0</v>
      </c>
      <c r="AV189" s="278">
        <f>'💰 Precio de Venta'!J194</f>
        <v>0</v>
      </c>
      <c r="AW189" s="278">
        <f>TABLA_BASE[[#This Row],[GANANCIA
UNIT.(S/.)]]*TABLA_BASE[[#This Row],[CANTIDAD
(unid.)]]</f>
        <v>0</v>
      </c>
      <c r="AX189" s="289">
        <f>'💰 Precio de Venta'!K194</f>
        <v>0</v>
      </c>
      <c r="AY189" s="278">
        <f>TABLA_BASE[[#This Row],[GANANCIA
UNIT.(S/.)]]*'🧾 Factura Comercial'!G193</f>
        <v>0</v>
      </c>
      <c r="AZ189" s="277">
        <f>IF(TABLA_BASE[[#This Row],[PRECIO VTA.
c/IGV(S/.)]]=0,0,TABLA_BASE[[#This Row],[GANANCIA
UNIT.(S/.)]]/TABLA_BASE[[#This Row],[PRECIO VTA.
c/IGV(S/.)]])</f>
        <v>0</v>
      </c>
      <c r="BA189" s="277">
        <f>IF(TABLA_BASE[[#This Row],[C/M UNIT.
(S/.)]]=0,0,TABLA_BASE[[#This Row],[GANANCIA
UNIT.(S/.)]]/TABLA_BASE[[#This Row],[C/M UNIT.
(S/.)]])</f>
        <v>0</v>
      </c>
      <c r="BB189" s="274" t="str">
        <f>IF(TABLA_BASE[[#This Row],[MARGEN
%]]&gt;=0.5,"🟢 ALTO",IF(TABLA_BASE[[#This Row],[MARGEN
%]]&gt;=0.3,"🟡 MEDIO","🔴 BAJO"))</f>
        <v>🟡 MEDIO</v>
      </c>
    </row>
    <row r="190" spans="1:54" ht="16.5" hidden="1" thickTop="1" thickBot="1" x14ac:dyDescent="0.3">
      <c r="A190" s="274">
        <f>'🧾 Factura Comercial'!E194</f>
        <v>0</v>
      </c>
      <c r="B190" s="274" t="str">
        <f>'🧾 Factura Comercial'!F194</f>
        <v>Unid.</v>
      </c>
      <c r="C190" s="275">
        <f>'🧾 Factura Comercial'!G194</f>
        <v>0</v>
      </c>
      <c r="D190" s="276">
        <f>'🧾 Factura Comercial'!H194</f>
        <v>0</v>
      </c>
      <c r="E190" s="276">
        <f>'🧾 Factura Comercial'!I194</f>
        <v>0</v>
      </c>
      <c r="F190" s="277">
        <f>IF('🧾 Tributos Aduana'!$F$6=0,0,'🧾 Factura Comercial'!I194/'🧾 Tributos Aduana'!$F$6)</f>
        <v>0</v>
      </c>
      <c r="G190" s="278">
        <f>'🧾 Factura Comercial'!H194*'📋 Datos Generales'!$E$19</f>
        <v>0</v>
      </c>
      <c r="H190" s="278">
        <f>TABLA_BASE[[#This Row],[FOB UNIT.
(S/.)]]*TABLA_BASE[[#This Row],[CANTIDAD
(unid.)]]</f>
        <v>0</v>
      </c>
      <c r="I190" s="280">
        <f>IF('🧾 Tributos Aduana'!$F$6=0,0,'🧾 Tributos Aduana'!$F$17*('🧾 Factura Comercial'!H194/'🧾 Tributos Aduana'!$F$6))</f>
        <v>0</v>
      </c>
      <c r="J190" s="280">
        <f>TABLA_BASE[[#This Row],[ADV UNIT.
(US$)
⚠️COSTO]]*TABLA_BASE[[#This Row],[CANTIDAD
(unid.)]]</f>
        <v>0</v>
      </c>
      <c r="K190" s="279">
        <f>IF('🧾 Tributos Aduana'!$F$6=0,0,'🧾 Tributos Aduana'!$F$18*('🧾 Factura Comercial'!H194/'🧾 Tributos Aduana'!$F$6))</f>
        <v>0</v>
      </c>
      <c r="L190" s="280">
        <f>TABLA_BASE[[#This Row],[IPM UNIT.
(US$)
✅CF]]*TABLA_BASE[[#This Row],[CANTIDAD
(unid.)]]</f>
        <v>0</v>
      </c>
      <c r="M190" s="279">
        <f>IF('🧾 Tributos Aduana'!$F$6=0,0,'🧾 Tributos Aduana'!$F$19*('🧾 Factura Comercial'!H194/'🧾 Tributos Aduana'!$F$6))</f>
        <v>0</v>
      </c>
      <c r="N190" s="280">
        <f>TABLA_BASE[[#This Row],[IGV UNIT.
(US$)
✅CF]]*TABLA_BASE[[#This Row],[CANTIDAD
(unid.)]]</f>
        <v>0</v>
      </c>
      <c r="O190" s="280">
        <f>IF('🧾 Tributos Aduana'!$F$6=0,0,'🧾 Tributos Aduana'!$F$23*('🧾 Factura Comercial'!H194/'🧾 Tributos Aduana'!$F$6))</f>
        <v>0</v>
      </c>
      <c r="P190" s="280">
        <f>TABLA_BASE[[#This Row],[PERCEP.
UNIT.(US$)
✅CF]]*TABLA_BASE[[#This Row],[CANTIDAD
(unid.)]]</f>
        <v>0</v>
      </c>
      <c r="Q190" s="279">
        <f>TABLA_BASE[[#This Row],[ADV UNIT.
(US$)
⚠️COSTO]]+TABLA_BASE[[#This Row],[IPM UNIT.
(US$)
✅CF]]+TABLA_BASE[[#This Row],[IGV UNIT.
(US$)
✅CF]]</f>
        <v>0</v>
      </c>
      <c r="R190" s="280">
        <f>TABLA_BASE[[#This Row],[DEUDA
ADUANERA
UNIT.]]*TABLA_BASE[[#This Row],[CANTIDAD
(unid.)]]</f>
        <v>0</v>
      </c>
      <c r="S190" s="278">
        <f>TABLA_BASE[[#This Row],[DEUDA
ADUANERA
UNIT.]]*'📋 Datos Generales'!$E$19</f>
        <v>0</v>
      </c>
      <c r="T190" s="278">
        <f>TABLA_BASE[[#This Row],[DEUDA
ADUANERA
TOTAL]]*'📋 Datos Generales'!$E$19</f>
        <v>0</v>
      </c>
      <c r="U190" s="281">
        <f>TABLA_BASE[[#This Row],[ADV UNIT.
(US$)
⚠️COSTO]]*'📋 Datos Generales'!$E$19</f>
        <v>0</v>
      </c>
      <c r="V190" s="281">
        <f>TABLA_BASE[[#This Row],[ADV UNIT.
(S/.)]]*TABLA_BASE[[#This Row],[CANTIDAD
(unid.)]]</f>
        <v>0</v>
      </c>
      <c r="W190" s="281">
        <f>TABLA_BASE[[#This Row],[IPM UNIT.
(US$)
✅CF]]*'📋 Datos Generales'!$E$19</f>
        <v>0</v>
      </c>
      <c r="X190" s="281">
        <f>TABLA_BASE[[#This Row],[IPM UNIT.
(S/.)]]*TABLA_BASE[[#This Row],[CANTIDAD
(unid.)]]</f>
        <v>0</v>
      </c>
      <c r="Y190" s="281">
        <f>TABLA_BASE[[#This Row],[IGV UNIT.
(US$)
✅CF]]*'📋 Datos Generales'!$E$19</f>
        <v>0</v>
      </c>
      <c r="Z190" s="281">
        <f>TABLA_BASE[[#This Row],[IGV UNIT.
(S/.)]]*TABLA_BASE[[#This Row],[CANTIDAD
(unid.)]]</f>
        <v>0</v>
      </c>
      <c r="AA190" s="281">
        <f>TABLA_BASE[[#This Row],[PERCEP.
UNIT.(US$)
✅CF]]*'📋 Datos Generales'!$E$19</f>
        <v>0</v>
      </c>
      <c r="AB190" s="281">
        <f>TABLA_BASE[[#This Row],[PERCEP.
UNIT.(S/.)]]*TABLA_BASE[[#This Row],[CANTIDAD
(unid.)]]</f>
        <v>0</v>
      </c>
      <c r="AC190" s="279">
        <f>TABLA_BASE[[#This Row],[ADV UNIT.
(US$)
⚠️COSTO]]+TABLA_BASE[[#This Row],[IPM UNIT.
(US$)
✅CF]]+TABLA_BASE[[#This Row],[IGV UNIT.
(US$)
✅CF]]+TABLA_BASE[[#This Row],[PERCEP.
UNIT.(US$)
✅CF]]</f>
        <v>0</v>
      </c>
      <c r="AD190" s="279">
        <f>TABLA_BASE[[#This Row],[TOTAL PAGO
SUNAT
UNIT.(US$)]]*TABLA_BASE[[#This Row],[CANTIDAD
(unid.)]]</f>
        <v>0</v>
      </c>
      <c r="AE190" s="281">
        <f>TABLA_BASE[[#This Row],[TOTAL PAGO
SUNAT
UNIT.(US$)]]*'📋 Datos Generales'!$E$19</f>
        <v>0</v>
      </c>
      <c r="AF190" s="281">
        <f>TABLA_BASE[[#This Row],[TOTAL TRIB.
UNIT.(S/.)]]*TABLA_BASE[[#This Row],[CANTIDAD
(unid.)]]</f>
        <v>0</v>
      </c>
      <c r="AG190" s="279">
        <f>IF('🧾 Factura Comercial'!G194=0,0,'📦 Gastos Importación'!$E$28*(IF('🧾 Tributos Aduana'!$F$6=0,0,'🧾 Factura Comercial'!I194/'🧾 Tributos Aduana'!$F$6))/'🧾 Factura Comercial'!G194)</f>
        <v>0</v>
      </c>
      <c r="AH190" s="279">
        <f>TABLA_BASE[[#This Row],[GASTOS IMP.
UNIT.(US$)]]*TABLA_BASE[[#This Row],[CANTIDAD
(unid.)]]</f>
        <v>0</v>
      </c>
      <c r="AI190" s="281">
        <f>TABLA_BASE[[#This Row],[GASTOS IMP.
UNIT.(US$)]]*'📋 Datos Generales'!$E$19</f>
        <v>0</v>
      </c>
      <c r="AJ190" s="281">
        <f>TABLA_BASE[[#This Row],[GASTOS IMP.
UNIT.(S/.)]]*TABLA_BASE[[#This Row],[CANTIDAD
(unid.)]]</f>
        <v>0</v>
      </c>
      <c r="AK190" s="280">
        <f>'🧮 Costos x Producto'!J194</f>
        <v>0</v>
      </c>
      <c r="AL190" s="278">
        <f>'🧮 Costos x Producto'!K194</f>
        <v>0</v>
      </c>
      <c r="AM190" s="278">
        <f>TABLA_BASE[[#This Row],[C/M UNIT.
(S/.)]]*TABLA_BASE[[#This Row],[CANTIDAD
(unid.)]]</f>
        <v>0</v>
      </c>
      <c r="AN190" s="279">
        <f>IF('🧾 Factura Comercial'!G194=0,0,'🧾 Tributos Aduana'!$F$17*(IF('🧾 Tributos Aduana'!$F$6=0,0,'🧾 Factura Comercial'!I194/'🧾 Tributos Aduana'!$F$6))/'🧾 Factura Comercial'!G194)</f>
        <v>0</v>
      </c>
      <c r="AO190" s="280">
        <f>IF('🧾 Factura Comercial'!G194=0,0,'🏦 Crédito Fiscal'!$C$16*(IF('🧾 Tributos Aduana'!$F$6=0,0,'🧾 Factura Comercial'!I194/'🧾 Tributos Aduana'!$F$6))/'🧾 Factura Comercial'!G194)</f>
        <v>0</v>
      </c>
      <c r="AP190" s="278">
        <f>TABLA_BASE[[#This Row],[CF UNIT.
✅RECUP.
(US$)]]*'📋 Datos Generales'!$E$19</f>
        <v>0</v>
      </c>
      <c r="AQ190" s="278">
        <f>TABLA_BASE[[#This Row],[CF UNIT.
✅RECUP.(S/.)]]*TABLA_BASE[[#This Row],[CANTIDAD
(unid.)]]</f>
        <v>0</v>
      </c>
      <c r="AR190" s="288">
        <f>'💰 Precio de Venta'!G195</f>
        <v>0.4</v>
      </c>
      <c r="AS190" s="278">
        <f>'💰 Precio de Venta'!H195</f>
        <v>0</v>
      </c>
      <c r="AT190" s="278">
        <f>TABLA_BASE[[#This Row],[VALOR VTA.
UNIT.(S/.)]]*TABLA_BASE[[#This Row],[CANTIDAD
(unid.)]]</f>
        <v>0</v>
      </c>
      <c r="AU190" s="281">
        <f>'💰 Precio de Venta'!I195</f>
        <v>0</v>
      </c>
      <c r="AV190" s="278">
        <f>'💰 Precio de Venta'!J195</f>
        <v>0</v>
      </c>
      <c r="AW190" s="278">
        <f>TABLA_BASE[[#This Row],[GANANCIA
UNIT.(S/.)]]*TABLA_BASE[[#This Row],[CANTIDAD
(unid.)]]</f>
        <v>0</v>
      </c>
      <c r="AX190" s="289">
        <f>'💰 Precio de Venta'!K195</f>
        <v>0</v>
      </c>
      <c r="AY190" s="278">
        <f>TABLA_BASE[[#This Row],[GANANCIA
UNIT.(S/.)]]*'🧾 Factura Comercial'!G194</f>
        <v>0</v>
      </c>
      <c r="AZ190" s="277">
        <f>IF(TABLA_BASE[[#This Row],[PRECIO VTA.
c/IGV(S/.)]]=0,0,TABLA_BASE[[#This Row],[GANANCIA
UNIT.(S/.)]]/TABLA_BASE[[#This Row],[PRECIO VTA.
c/IGV(S/.)]])</f>
        <v>0</v>
      </c>
      <c r="BA190" s="277">
        <f>IF(TABLA_BASE[[#This Row],[C/M UNIT.
(S/.)]]=0,0,TABLA_BASE[[#This Row],[GANANCIA
UNIT.(S/.)]]/TABLA_BASE[[#This Row],[C/M UNIT.
(S/.)]])</f>
        <v>0</v>
      </c>
      <c r="BB190" s="274" t="str">
        <f>IF(TABLA_BASE[[#This Row],[MARGEN
%]]&gt;=0.5,"🟢 ALTO",IF(TABLA_BASE[[#This Row],[MARGEN
%]]&gt;=0.3,"🟡 MEDIO","🔴 BAJO"))</f>
        <v>🟡 MEDIO</v>
      </c>
    </row>
    <row r="191" spans="1:54" ht="16.5" hidden="1" thickTop="1" thickBot="1" x14ac:dyDescent="0.3">
      <c r="A191" s="274">
        <f>'🧾 Factura Comercial'!E195</f>
        <v>0</v>
      </c>
      <c r="B191" s="274" t="str">
        <f>'🧾 Factura Comercial'!F195</f>
        <v>Unid.</v>
      </c>
      <c r="C191" s="275">
        <f>'🧾 Factura Comercial'!G195</f>
        <v>0</v>
      </c>
      <c r="D191" s="276">
        <f>'🧾 Factura Comercial'!H195</f>
        <v>0</v>
      </c>
      <c r="E191" s="276">
        <f>'🧾 Factura Comercial'!I195</f>
        <v>0</v>
      </c>
      <c r="F191" s="277">
        <f>IF('🧾 Tributos Aduana'!$F$6=0,0,'🧾 Factura Comercial'!I195/'🧾 Tributos Aduana'!$F$6)</f>
        <v>0</v>
      </c>
      <c r="G191" s="278">
        <f>'🧾 Factura Comercial'!H195*'📋 Datos Generales'!$E$19</f>
        <v>0</v>
      </c>
      <c r="H191" s="278">
        <f>TABLA_BASE[[#This Row],[FOB UNIT.
(S/.)]]*TABLA_BASE[[#This Row],[CANTIDAD
(unid.)]]</f>
        <v>0</v>
      </c>
      <c r="I191" s="280">
        <f>IF('🧾 Tributos Aduana'!$F$6=0,0,'🧾 Tributos Aduana'!$F$17*('🧾 Factura Comercial'!H195/'🧾 Tributos Aduana'!$F$6))</f>
        <v>0</v>
      </c>
      <c r="J191" s="280">
        <f>TABLA_BASE[[#This Row],[ADV UNIT.
(US$)
⚠️COSTO]]*TABLA_BASE[[#This Row],[CANTIDAD
(unid.)]]</f>
        <v>0</v>
      </c>
      <c r="K191" s="279">
        <f>IF('🧾 Tributos Aduana'!$F$6=0,0,'🧾 Tributos Aduana'!$F$18*('🧾 Factura Comercial'!H195/'🧾 Tributos Aduana'!$F$6))</f>
        <v>0</v>
      </c>
      <c r="L191" s="280">
        <f>TABLA_BASE[[#This Row],[IPM UNIT.
(US$)
✅CF]]*TABLA_BASE[[#This Row],[CANTIDAD
(unid.)]]</f>
        <v>0</v>
      </c>
      <c r="M191" s="279">
        <f>IF('🧾 Tributos Aduana'!$F$6=0,0,'🧾 Tributos Aduana'!$F$19*('🧾 Factura Comercial'!H195/'🧾 Tributos Aduana'!$F$6))</f>
        <v>0</v>
      </c>
      <c r="N191" s="280">
        <f>TABLA_BASE[[#This Row],[IGV UNIT.
(US$)
✅CF]]*TABLA_BASE[[#This Row],[CANTIDAD
(unid.)]]</f>
        <v>0</v>
      </c>
      <c r="O191" s="280">
        <f>IF('🧾 Tributos Aduana'!$F$6=0,0,'🧾 Tributos Aduana'!$F$23*('🧾 Factura Comercial'!H195/'🧾 Tributos Aduana'!$F$6))</f>
        <v>0</v>
      </c>
      <c r="P191" s="280">
        <f>TABLA_BASE[[#This Row],[PERCEP.
UNIT.(US$)
✅CF]]*TABLA_BASE[[#This Row],[CANTIDAD
(unid.)]]</f>
        <v>0</v>
      </c>
      <c r="Q191" s="279">
        <f>TABLA_BASE[[#This Row],[ADV UNIT.
(US$)
⚠️COSTO]]+TABLA_BASE[[#This Row],[IPM UNIT.
(US$)
✅CF]]+TABLA_BASE[[#This Row],[IGV UNIT.
(US$)
✅CF]]</f>
        <v>0</v>
      </c>
      <c r="R191" s="280">
        <f>TABLA_BASE[[#This Row],[DEUDA
ADUANERA
UNIT.]]*TABLA_BASE[[#This Row],[CANTIDAD
(unid.)]]</f>
        <v>0</v>
      </c>
      <c r="S191" s="278">
        <f>TABLA_BASE[[#This Row],[DEUDA
ADUANERA
UNIT.]]*'📋 Datos Generales'!$E$19</f>
        <v>0</v>
      </c>
      <c r="T191" s="278">
        <f>TABLA_BASE[[#This Row],[DEUDA
ADUANERA
TOTAL]]*'📋 Datos Generales'!$E$19</f>
        <v>0</v>
      </c>
      <c r="U191" s="281">
        <f>TABLA_BASE[[#This Row],[ADV UNIT.
(US$)
⚠️COSTO]]*'📋 Datos Generales'!$E$19</f>
        <v>0</v>
      </c>
      <c r="V191" s="281">
        <f>TABLA_BASE[[#This Row],[ADV UNIT.
(S/.)]]*TABLA_BASE[[#This Row],[CANTIDAD
(unid.)]]</f>
        <v>0</v>
      </c>
      <c r="W191" s="281">
        <f>TABLA_BASE[[#This Row],[IPM UNIT.
(US$)
✅CF]]*'📋 Datos Generales'!$E$19</f>
        <v>0</v>
      </c>
      <c r="X191" s="281">
        <f>TABLA_BASE[[#This Row],[IPM UNIT.
(S/.)]]*TABLA_BASE[[#This Row],[CANTIDAD
(unid.)]]</f>
        <v>0</v>
      </c>
      <c r="Y191" s="281">
        <f>TABLA_BASE[[#This Row],[IGV UNIT.
(US$)
✅CF]]*'📋 Datos Generales'!$E$19</f>
        <v>0</v>
      </c>
      <c r="Z191" s="281">
        <f>TABLA_BASE[[#This Row],[IGV UNIT.
(S/.)]]*TABLA_BASE[[#This Row],[CANTIDAD
(unid.)]]</f>
        <v>0</v>
      </c>
      <c r="AA191" s="281">
        <f>TABLA_BASE[[#This Row],[PERCEP.
UNIT.(US$)
✅CF]]*'📋 Datos Generales'!$E$19</f>
        <v>0</v>
      </c>
      <c r="AB191" s="281">
        <f>TABLA_BASE[[#This Row],[PERCEP.
UNIT.(S/.)]]*TABLA_BASE[[#This Row],[CANTIDAD
(unid.)]]</f>
        <v>0</v>
      </c>
      <c r="AC191" s="279">
        <f>TABLA_BASE[[#This Row],[ADV UNIT.
(US$)
⚠️COSTO]]+TABLA_BASE[[#This Row],[IPM UNIT.
(US$)
✅CF]]+TABLA_BASE[[#This Row],[IGV UNIT.
(US$)
✅CF]]+TABLA_BASE[[#This Row],[PERCEP.
UNIT.(US$)
✅CF]]</f>
        <v>0</v>
      </c>
      <c r="AD191" s="279">
        <f>TABLA_BASE[[#This Row],[TOTAL PAGO
SUNAT
UNIT.(US$)]]*TABLA_BASE[[#This Row],[CANTIDAD
(unid.)]]</f>
        <v>0</v>
      </c>
      <c r="AE191" s="281">
        <f>TABLA_BASE[[#This Row],[TOTAL PAGO
SUNAT
UNIT.(US$)]]*'📋 Datos Generales'!$E$19</f>
        <v>0</v>
      </c>
      <c r="AF191" s="281">
        <f>TABLA_BASE[[#This Row],[TOTAL TRIB.
UNIT.(S/.)]]*TABLA_BASE[[#This Row],[CANTIDAD
(unid.)]]</f>
        <v>0</v>
      </c>
      <c r="AG191" s="279">
        <f>IF('🧾 Factura Comercial'!G195=0,0,'📦 Gastos Importación'!$E$28*(IF('🧾 Tributos Aduana'!$F$6=0,0,'🧾 Factura Comercial'!I195/'🧾 Tributos Aduana'!$F$6))/'🧾 Factura Comercial'!G195)</f>
        <v>0</v>
      </c>
      <c r="AH191" s="279">
        <f>TABLA_BASE[[#This Row],[GASTOS IMP.
UNIT.(US$)]]*TABLA_BASE[[#This Row],[CANTIDAD
(unid.)]]</f>
        <v>0</v>
      </c>
      <c r="AI191" s="281">
        <f>TABLA_BASE[[#This Row],[GASTOS IMP.
UNIT.(US$)]]*'📋 Datos Generales'!$E$19</f>
        <v>0</v>
      </c>
      <c r="AJ191" s="281">
        <f>TABLA_BASE[[#This Row],[GASTOS IMP.
UNIT.(S/.)]]*TABLA_BASE[[#This Row],[CANTIDAD
(unid.)]]</f>
        <v>0</v>
      </c>
      <c r="AK191" s="280">
        <f>'🧮 Costos x Producto'!J195</f>
        <v>0</v>
      </c>
      <c r="AL191" s="278">
        <f>'🧮 Costos x Producto'!K195</f>
        <v>0</v>
      </c>
      <c r="AM191" s="278">
        <f>TABLA_BASE[[#This Row],[C/M UNIT.
(S/.)]]*TABLA_BASE[[#This Row],[CANTIDAD
(unid.)]]</f>
        <v>0</v>
      </c>
      <c r="AN191" s="279">
        <f>IF('🧾 Factura Comercial'!G195=0,0,'🧾 Tributos Aduana'!$F$17*(IF('🧾 Tributos Aduana'!$F$6=0,0,'🧾 Factura Comercial'!I195/'🧾 Tributos Aduana'!$F$6))/'🧾 Factura Comercial'!G195)</f>
        <v>0</v>
      </c>
      <c r="AO191" s="280">
        <f>IF('🧾 Factura Comercial'!G195=0,0,'🏦 Crédito Fiscal'!$C$16*(IF('🧾 Tributos Aduana'!$F$6=0,0,'🧾 Factura Comercial'!I195/'🧾 Tributos Aduana'!$F$6))/'🧾 Factura Comercial'!G195)</f>
        <v>0</v>
      </c>
      <c r="AP191" s="278">
        <f>TABLA_BASE[[#This Row],[CF UNIT.
✅RECUP.
(US$)]]*'📋 Datos Generales'!$E$19</f>
        <v>0</v>
      </c>
      <c r="AQ191" s="278">
        <f>TABLA_BASE[[#This Row],[CF UNIT.
✅RECUP.(S/.)]]*TABLA_BASE[[#This Row],[CANTIDAD
(unid.)]]</f>
        <v>0</v>
      </c>
      <c r="AR191" s="288">
        <f>'💰 Precio de Venta'!G196</f>
        <v>0.4</v>
      </c>
      <c r="AS191" s="278">
        <f>'💰 Precio de Venta'!H196</f>
        <v>0</v>
      </c>
      <c r="AT191" s="278">
        <f>TABLA_BASE[[#This Row],[VALOR VTA.
UNIT.(S/.)]]*TABLA_BASE[[#This Row],[CANTIDAD
(unid.)]]</f>
        <v>0</v>
      </c>
      <c r="AU191" s="281">
        <f>'💰 Precio de Venta'!I196</f>
        <v>0</v>
      </c>
      <c r="AV191" s="278">
        <f>'💰 Precio de Venta'!J196</f>
        <v>0</v>
      </c>
      <c r="AW191" s="278">
        <f>TABLA_BASE[[#This Row],[GANANCIA
UNIT.(S/.)]]*TABLA_BASE[[#This Row],[CANTIDAD
(unid.)]]</f>
        <v>0</v>
      </c>
      <c r="AX191" s="289">
        <f>'💰 Precio de Venta'!K196</f>
        <v>0</v>
      </c>
      <c r="AY191" s="278">
        <f>TABLA_BASE[[#This Row],[GANANCIA
UNIT.(S/.)]]*'🧾 Factura Comercial'!G195</f>
        <v>0</v>
      </c>
      <c r="AZ191" s="277">
        <f>IF(TABLA_BASE[[#This Row],[PRECIO VTA.
c/IGV(S/.)]]=0,0,TABLA_BASE[[#This Row],[GANANCIA
UNIT.(S/.)]]/TABLA_BASE[[#This Row],[PRECIO VTA.
c/IGV(S/.)]])</f>
        <v>0</v>
      </c>
      <c r="BA191" s="277">
        <f>IF(TABLA_BASE[[#This Row],[C/M UNIT.
(S/.)]]=0,0,TABLA_BASE[[#This Row],[GANANCIA
UNIT.(S/.)]]/TABLA_BASE[[#This Row],[C/M UNIT.
(S/.)]])</f>
        <v>0</v>
      </c>
      <c r="BB191" s="274" t="str">
        <f>IF(TABLA_BASE[[#This Row],[MARGEN
%]]&gt;=0.5,"🟢 ALTO",IF(TABLA_BASE[[#This Row],[MARGEN
%]]&gt;=0.3,"🟡 MEDIO","🔴 BAJO"))</f>
        <v>🟡 MEDIO</v>
      </c>
    </row>
    <row r="192" spans="1:54" ht="16.5" hidden="1" thickTop="1" thickBot="1" x14ac:dyDescent="0.3">
      <c r="A192" s="274">
        <f>'🧾 Factura Comercial'!E196</f>
        <v>0</v>
      </c>
      <c r="B192" s="274" t="str">
        <f>'🧾 Factura Comercial'!F196</f>
        <v>Unid.</v>
      </c>
      <c r="C192" s="275">
        <f>'🧾 Factura Comercial'!G196</f>
        <v>0</v>
      </c>
      <c r="D192" s="276">
        <f>'🧾 Factura Comercial'!H196</f>
        <v>0</v>
      </c>
      <c r="E192" s="276">
        <f>'🧾 Factura Comercial'!I196</f>
        <v>0</v>
      </c>
      <c r="F192" s="277">
        <f>IF('🧾 Tributos Aduana'!$F$6=0,0,'🧾 Factura Comercial'!I196/'🧾 Tributos Aduana'!$F$6)</f>
        <v>0</v>
      </c>
      <c r="G192" s="278">
        <f>'🧾 Factura Comercial'!H196*'📋 Datos Generales'!$E$19</f>
        <v>0</v>
      </c>
      <c r="H192" s="278">
        <f>TABLA_BASE[[#This Row],[FOB UNIT.
(S/.)]]*TABLA_BASE[[#This Row],[CANTIDAD
(unid.)]]</f>
        <v>0</v>
      </c>
      <c r="I192" s="280">
        <f>IF('🧾 Tributos Aduana'!$F$6=0,0,'🧾 Tributos Aduana'!$F$17*('🧾 Factura Comercial'!H196/'🧾 Tributos Aduana'!$F$6))</f>
        <v>0</v>
      </c>
      <c r="J192" s="280">
        <f>TABLA_BASE[[#This Row],[ADV UNIT.
(US$)
⚠️COSTO]]*TABLA_BASE[[#This Row],[CANTIDAD
(unid.)]]</f>
        <v>0</v>
      </c>
      <c r="K192" s="279">
        <f>IF('🧾 Tributos Aduana'!$F$6=0,0,'🧾 Tributos Aduana'!$F$18*('🧾 Factura Comercial'!H196/'🧾 Tributos Aduana'!$F$6))</f>
        <v>0</v>
      </c>
      <c r="L192" s="280">
        <f>TABLA_BASE[[#This Row],[IPM UNIT.
(US$)
✅CF]]*TABLA_BASE[[#This Row],[CANTIDAD
(unid.)]]</f>
        <v>0</v>
      </c>
      <c r="M192" s="279">
        <f>IF('🧾 Tributos Aduana'!$F$6=0,0,'🧾 Tributos Aduana'!$F$19*('🧾 Factura Comercial'!H196/'🧾 Tributos Aduana'!$F$6))</f>
        <v>0</v>
      </c>
      <c r="N192" s="280">
        <f>TABLA_BASE[[#This Row],[IGV UNIT.
(US$)
✅CF]]*TABLA_BASE[[#This Row],[CANTIDAD
(unid.)]]</f>
        <v>0</v>
      </c>
      <c r="O192" s="280">
        <f>IF('🧾 Tributos Aduana'!$F$6=0,0,'🧾 Tributos Aduana'!$F$23*('🧾 Factura Comercial'!H196/'🧾 Tributos Aduana'!$F$6))</f>
        <v>0</v>
      </c>
      <c r="P192" s="280">
        <f>TABLA_BASE[[#This Row],[PERCEP.
UNIT.(US$)
✅CF]]*TABLA_BASE[[#This Row],[CANTIDAD
(unid.)]]</f>
        <v>0</v>
      </c>
      <c r="Q192" s="279">
        <f>TABLA_BASE[[#This Row],[ADV UNIT.
(US$)
⚠️COSTO]]+TABLA_BASE[[#This Row],[IPM UNIT.
(US$)
✅CF]]+TABLA_BASE[[#This Row],[IGV UNIT.
(US$)
✅CF]]</f>
        <v>0</v>
      </c>
      <c r="R192" s="280">
        <f>TABLA_BASE[[#This Row],[DEUDA
ADUANERA
UNIT.]]*TABLA_BASE[[#This Row],[CANTIDAD
(unid.)]]</f>
        <v>0</v>
      </c>
      <c r="S192" s="278">
        <f>TABLA_BASE[[#This Row],[DEUDA
ADUANERA
UNIT.]]*'📋 Datos Generales'!$E$19</f>
        <v>0</v>
      </c>
      <c r="T192" s="278">
        <f>TABLA_BASE[[#This Row],[DEUDA
ADUANERA
TOTAL]]*'📋 Datos Generales'!$E$19</f>
        <v>0</v>
      </c>
      <c r="U192" s="281">
        <f>TABLA_BASE[[#This Row],[ADV UNIT.
(US$)
⚠️COSTO]]*'📋 Datos Generales'!$E$19</f>
        <v>0</v>
      </c>
      <c r="V192" s="281">
        <f>TABLA_BASE[[#This Row],[ADV UNIT.
(S/.)]]*TABLA_BASE[[#This Row],[CANTIDAD
(unid.)]]</f>
        <v>0</v>
      </c>
      <c r="W192" s="281">
        <f>TABLA_BASE[[#This Row],[IPM UNIT.
(US$)
✅CF]]*'📋 Datos Generales'!$E$19</f>
        <v>0</v>
      </c>
      <c r="X192" s="281">
        <f>TABLA_BASE[[#This Row],[IPM UNIT.
(S/.)]]*TABLA_BASE[[#This Row],[CANTIDAD
(unid.)]]</f>
        <v>0</v>
      </c>
      <c r="Y192" s="281">
        <f>TABLA_BASE[[#This Row],[IGV UNIT.
(US$)
✅CF]]*'📋 Datos Generales'!$E$19</f>
        <v>0</v>
      </c>
      <c r="Z192" s="281">
        <f>TABLA_BASE[[#This Row],[IGV UNIT.
(S/.)]]*TABLA_BASE[[#This Row],[CANTIDAD
(unid.)]]</f>
        <v>0</v>
      </c>
      <c r="AA192" s="281">
        <f>TABLA_BASE[[#This Row],[PERCEP.
UNIT.(US$)
✅CF]]*'📋 Datos Generales'!$E$19</f>
        <v>0</v>
      </c>
      <c r="AB192" s="281">
        <f>TABLA_BASE[[#This Row],[PERCEP.
UNIT.(S/.)]]*TABLA_BASE[[#This Row],[CANTIDAD
(unid.)]]</f>
        <v>0</v>
      </c>
      <c r="AC192" s="279">
        <f>TABLA_BASE[[#This Row],[ADV UNIT.
(US$)
⚠️COSTO]]+TABLA_BASE[[#This Row],[IPM UNIT.
(US$)
✅CF]]+TABLA_BASE[[#This Row],[IGV UNIT.
(US$)
✅CF]]+TABLA_BASE[[#This Row],[PERCEP.
UNIT.(US$)
✅CF]]</f>
        <v>0</v>
      </c>
      <c r="AD192" s="279">
        <f>TABLA_BASE[[#This Row],[TOTAL PAGO
SUNAT
UNIT.(US$)]]*TABLA_BASE[[#This Row],[CANTIDAD
(unid.)]]</f>
        <v>0</v>
      </c>
      <c r="AE192" s="281">
        <f>TABLA_BASE[[#This Row],[TOTAL PAGO
SUNAT
UNIT.(US$)]]*'📋 Datos Generales'!$E$19</f>
        <v>0</v>
      </c>
      <c r="AF192" s="281">
        <f>TABLA_BASE[[#This Row],[TOTAL TRIB.
UNIT.(S/.)]]*TABLA_BASE[[#This Row],[CANTIDAD
(unid.)]]</f>
        <v>0</v>
      </c>
      <c r="AG192" s="279">
        <f>IF('🧾 Factura Comercial'!G196=0,0,'📦 Gastos Importación'!$E$28*(IF('🧾 Tributos Aduana'!$F$6=0,0,'🧾 Factura Comercial'!I196/'🧾 Tributos Aduana'!$F$6))/'🧾 Factura Comercial'!G196)</f>
        <v>0</v>
      </c>
      <c r="AH192" s="279">
        <f>TABLA_BASE[[#This Row],[GASTOS IMP.
UNIT.(US$)]]*TABLA_BASE[[#This Row],[CANTIDAD
(unid.)]]</f>
        <v>0</v>
      </c>
      <c r="AI192" s="281">
        <f>TABLA_BASE[[#This Row],[GASTOS IMP.
UNIT.(US$)]]*'📋 Datos Generales'!$E$19</f>
        <v>0</v>
      </c>
      <c r="AJ192" s="281">
        <f>TABLA_BASE[[#This Row],[GASTOS IMP.
UNIT.(S/.)]]*TABLA_BASE[[#This Row],[CANTIDAD
(unid.)]]</f>
        <v>0</v>
      </c>
      <c r="AK192" s="280">
        <f>'🧮 Costos x Producto'!J196</f>
        <v>0</v>
      </c>
      <c r="AL192" s="278">
        <f>'🧮 Costos x Producto'!K196</f>
        <v>0</v>
      </c>
      <c r="AM192" s="278">
        <f>TABLA_BASE[[#This Row],[C/M UNIT.
(S/.)]]*TABLA_BASE[[#This Row],[CANTIDAD
(unid.)]]</f>
        <v>0</v>
      </c>
      <c r="AN192" s="279">
        <f>IF('🧾 Factura Comercial'!G196=0,0,'🧾 Tributos Aduana'!$F$17*(IF('🧾 Tributos Aduana'!$F$6=0,0,'🧾 Factura Comercial'!I196/'🧾 Tributos Aduana'!$F$6))/'🧾 Factura Comercial'!G196)</f>
        <v>0</v>
      </c>
      <c r="AO192" s="280">
        <f>IF('🧾 Factura Comercial'!G196=0,0,'🏦 Crédito Fiscal'!$C$16*(IF('🧾 Tributos Aduana'!$F$6=0,0,'🧾 Factura Comercial'!I196/'🧾 Tributos Aduana'!$F$6))/'🧾 Factura Comercial'!G196)</f>
        <v>0</v>
      </c>
      <c r="AP192" s="278">
        <f>TABLA_BASE[[#This Row],[CF UNIT.
✅RECUP.
(US$)]]*'📋 Datos Generales'!$E$19</f>
        <v>0</v>
      </c>
      <c r="AQ192" s="278">
        <f>TABLA_BASE[[#This Row],[CF UNIT.
✅RECUP.(S/.)]]*TABLA_BASE[[#This Row],[CANTIDAD
(unid.)]]</f>
        <v>0</v>
      </c>
      <c r="AR192" s="288">
        <f>'💰 Precio de Venta'!G197</f>
        <v>0.4</v>
      </c>
      <c r="AS192" s="278">
        <f>'💰 Precio de Venta'!H197</f>
        <v>0</v>
      </c>
      <c r="AT192" s="278">
        <f>TABLA_BASE[[#This Row],[VALOR VTA.
UNIT.(S/.)]]*TABLA_BASE[[#This Row],[CANTIDAD
(unid.)]]</f>
        <v>0</v>
      </c>
      <c r="AU192" s="281">
        <f>'💰 Precio de Venta'!I197</f>
        <v>0</v>
      </c>
      <c r="AV192" s="278">
        <f>'💰 Precio de Venta'!J197</f>
        <v>0</v>
      </c>
      <c r="AW192" s="278">
        <f>TABLA_BASE[[#This Row],[GANANCIA
UNIT.(S/.)]]*TABLA_BASE[[#This Row],[CANTIDAD
(unid.)]]</f>
        <v>0</v>
      </c>
      <c r="AX192" s="289">
        <f>'💰 Precio de Venta'!K197</f>
        <v>0</v>
      </c>
      <c r="AY192" s="278">
        <f>TABLA_BASE[[#This Row],[GANANCIA
UNIT.(S/.)]]*'🧾 Factura Comercial'!G196</f>
        <v>0</v>
      </c>
      <c r="AZ192" s="277">
        <f>IF(TABLA_BASE[[#This Row],[PRECIO VTA.
c/IGV(S/.)]]=0,0,TABLA_BASE[[#This Row],[GANANCIA
UNIT.(S/.)]]/TABLA_BASE[[#This Row],[PRECIO VTA.
c/IGV(S/.)]])</f>
        <v>0</v>
      </c>
      <c r="BA192" s="277">
        <f>IF(TABLA_BASE[[#This Row],[C/M UNIT.
(S/.)]]=0,0,TABLA_BASE[[#This Row],[GANANCIA
UNIT.(S/.)]]/TABLA_BASE[[#This Row],[C/M UNIT.
(S/.)]])</f>
        <v>0</v>
      </c>
      <c r="BB192" s="274" t="str">
        <f>IF(TABLA_BASE[[#This Row],[MARGEN
%]]&gt;=0.5,"🟢 ALTO",IF(TABLA_BASE[[#This Row],[MARGEN
%]]&gt;=0.3,"🟡 MEDIO","🔴 BAJO"))</f>
        <v>🟡 MEDIO</v>
      </c>
    </row>
    <row r="193" spans="1:54" ht="16.5" hidden="1" thickTop="1" thickBot="1" x14ac:dyDescent="0.3">
      <c r="A193" s="274">
        <f>'🧾 Factura Comercial'!E197</f>
        <v>0</v>
      </c>
      <c r="B193" s="274" t="str">
        <f>'🧾 Factura Comercial'!F197</f>
        <v>Unid.</v>
      </c>
      <c r="C193" s="275">
        <f>'🧾 Factura Comercial'!G197</f>
        <v>0</v>
      </c>
      <c r="D193" s="276">
        <f>'🧾 Factura Comercial'!H197</f>
        <v>0</v>
      </c>
      <c r="E193" s="276">
        <f>'🧾 Factura Comercial'!I197</f>
        <v>0</v>
      </c>
      <c r="F193" s="277">
        <f>IF('🧾 Tributos Aduana'!$F$6=0,0,'🧾 Factura Comercial'!I197/'🧾 Tributos Aduana'!$F$6)</f>
        <v>0</v>
      </c>
      <c r="G193" s="278">
        <f>'🧾 Factura Comercial'!H197*'📋 Datos Generales'!$E$19</f>
        <v>0</v>
      </c>
      <c r="H193" s="278">
        <f>TABLA_BASE[[#This Row],[FOB UNIT.
(S/.)]]*TABLA_BASE[[#This Row],[CANTIDAD
(unid.)]]</f>
        <v>0</v>
      </c>
      <c r="I193" s="280">
        <f>IF('🧾 Tributos Aduana'!$F$6=0,0,'🧾 Tributos Aduana'!$F$17*('🧾 Factura Comercial'!H197/'🧾 Tributos Aduana'!$F$6))</f>
        <v>0</v>
      </c>
      <c r="J193" s="280">
        <f>TABLA_BASE[[#This Row],[ADV UNIT.
(US$)
⚠️COSTO]]*TABLA_BASE[[#This Row],[CANTIDAD
(unid.)]]</f>
        <v>0</v>
      </c>
      <c r="K193" s="279">
        <f>IF('🧾 Tributos Aduana'!$F$6=0,0,'🧾 Tributos Aduana'!$F$18*('🧾 Factura Comercial'!H197/'🧾 Tributos Aduana'!$F$6))</f>
        <v>0</v>
      </c>
      <c r="L193" s="280">
        <f>TABLA_BASE[[#This Row],[IPM UNIT.
(US$)
✅CF]]*TABLA_BASE[[#This Row],[CANTIDAD
(unid.)]]</f>
        <v>0</v>
      </c>
      <c r="M193" s="279">
        <f>IF('🧾 Tributos Aduana'!$F$6=0,0,'🧾 Tributos Aduana'!$F$19*('🧾 Factura Comercial'!H197/'🧾 Tributos Aduana'!$F$6))</f>
        <v>0</v>
      </c>
      <c r="N193" s="280">
        <f>TABLA_BASE[[#This Row],[IGV UNIT.
(US$)
✅CF]]*TABLA_BASE[[#This Row],[CANTIDAD
(unid.)]]</f>
        <v>0</v>
      </c>
      <c r="O193" s="280">
        <f>IF('🧾 Tributos Aduana'!$F$6=0,0,'🧾 Tributos Aduana'!$F$23*('🧾 Factura Comercial'!H197/'🧾 Tributos Aduana'!$F$6))</f>
        <v>0</v>
      </c>
      <c r="P193" s="280">
        <f>TABLA_BASE[[#This Row],[PERCEP.
UNIT.(US$)
✅CF]]*TABLA_BASE[[#This Row],[CANTIDAD
(unid.)]]</f>
        <v>0</v>
      </c>
      <c r="Q193" s="279">
        <f>TABLA_BASE[[#This Row],[ADV UNIT.
(US$)
⚠️COSTO]]+TABLA_BASE[[#This Row],[IPM UNIT.
(US$)
✅CF]]+TABLA_BASE[[#This Row],[IGV UNIT.
(US$)
✅CF]]</f>
        <v>0</v>
      </c>
      <c r="R193" s="280">
        <f>TABLA_BASE[[#This Row],[DEUDA
ADUANERA
UNIT.]]*TABLA_BASE[[#This Row],[CANTIDAD
(unid.)]]</f>
        <v>0</v>
      </c>
      <c r="S193" s="278">
        <f>TABLA_BASE[[#This Row],[DEUDA
ADUANERA
UNIT.]]*'📋 Datos Generales'!$E$19</f>
        <v>0</v>
      </c>
      <c r="T193" s="278">
        <f>TABLA_BASE[[#This Row],[DEUDA
ADUANERA
TOTAL]]*'📋 Datos Generales'!$E$19</f>
        <v>0</v>
      </c>
      <c r="U193" s="281">
        <f>TABLA_BASE[[#This Row],[ADV UNIT.
(US$)
⚠️COSTO]]*'📋 Datos Generales'!$E$19</f>
        <v>0</v>
      </c>
      <c r="V193" s="281">
        <f>TABLA_BASE[[#This Row],[ADV UNIT.
(S/.)]]*TABLA_BASE[[#This Row],[CANTIDAD
(unid.)]]</f>
        <v>0</v>
      </c>
      <c r="W193" s="281">
        <f>TABLA_BASE[[#This Row],[IPM UNIT.
(US$)
✅CF]]*'📋 Datos Generales'!$E$19</f>
        <v>0</v>
      </c>
      <c r="X193" s="281">
        <f>TABLA_BASE[[#This Row],[IPM UNIT.
(S/.)]]*TABLA_BASE[[#This Row],[CANTIDAD
(unid.)]]</f>
        <v>0</v>
      </c>
      <c r="Y193" s="281">
        <f>TABLA_BASE[[#This Row],[IGV UNIT.
(US$)
✅CF]]*'📋 Datos Generales'!$E$19</f>
        <v>0</v>
      </c>
      <c r="Z193" s="281">
        <f>TABLA_BASE[[#This Row],[IGV UNIT.
(S/.)]]*TABLA_BASE[[#This Row],[CANTIDAD
(unid.)]]</f>
        <v>0</v>
      </c>
      <c r="AA193" s="281">
        <f>TABLA_BASE[[#This Row],[PERCEP.
UNIT.(US$)
✅CF]]*'📋 Datos Generales'!$E$19</f>
        <v>0</v>
      </c>
      <c r="AB193" s="281">
        <f>TABLA_BASE[[#This Row],[PERCEP.
UNIT.(S/.)]]*TABLA_BASE[[#This Row],[CANTIDAD
(unid.)]]</f>
        <v>0</v>
      </c>
      <c r="AC193" s="279">
        <f>TABLA_BASE[[#This Row],[ADV UNIT.
(US$)
⚠️COSTO]]+TABLA_BASE[[#This Row],[IPM UNIT.
(US$)
✅CF]]+TABLA_BASE[[#This Row],[IGV UNIT.
(US$)
✅CF]]+TABLA_BASE[[#This Row],[PERCEP.
UNIT.(US$)
✅CF]]</f>
        <v>0</v>
      </c>
      <c r="AD193" s="279">
        <f>TABLA_BASE[[#This Row],[TOTAL PAGO
SUNAT
UNIT.(US$)]]*TABLA_BASE[[#This Row],[CANTIDAD
(unid.)]]</f>
        <v>0</v>
      </c>
      <c r="AE193" s="281">
        <f>TABLA_BASE[[#This Row],[TOTAL PAGO
SUNAT
UNIT.(US$)]]*'📋 Datos Generales'!$E$19</f>
        <v>0</v>
      </c>
      <c r="AF193" s="281">
        <f>TABLA_BASE[[#This Row],[TOTAL TRIB.
UNIT.(S/.)]]*TABLA_BASE[[#This Row],[CANTIDAD
(unid.)]]</f>
        <v>0</v>
      </c>
      <c r="AG193" s="279">
        <f>IF('🧾 Factura Comercial'!G197=0,0,'📦 Gastos Importación'!$E$28*(IF('🧾 Tributos Aduana'!$F$6=0,0,'🧾 Factura Comercial'!I197/'🧾 Tributos Aduana'!$F$6))/'🧾 Factura Comercial'!G197)</f>
        <v>0</v>
      </c>
      <c r="AH193" s="279">
        <f>TABLA_BASE[[#This Row],[GASTOS IMP.
UNIT.(US$)]]*TABLA_BASE[[#This Row],[CANTIDAD
(unid.)]]</f>
        <v>0</v>
      </c>
      <c r="AI193" s="281">
        <f>TABLA_BASE[[#This Row],[GASTOS IMP.
UNIT.(US$)]]*'📋 Datos Generales'!$E$19</f>
        <v>0</v>
      </c>
      <c r="AJ193" s="281">
        <f>TABLA_BASE[[#This Row],[GASTOS IMP.
UNIT.(S/.)]]*TABLA_BASE[[#This Row],[CANTIDAD
(unid.)]]</f>
        <v>0</v>
      </c>
      <c r="AK193" s="280">
        <f>'🧮 Costos x Producto'!J197</f>
        <v>0</v>
      </c>
      <c r="AL193" s="278">
        <f>'🧮 Costos x Producto'!K197</f>
        <v>0</v>
      </c>
      <c r="AM193" s="278">
        <f>TABLA_BASE[[#This Row],[C/M UNIT.
(S/.)]]*TABLA_BASE[[#This Row],[CANTIDAD
(unid.)]]</f>
        <v>0</v>
      </c>
      <c r="AN193" s="279">
        <f>IF('🧾 Factura Comercial'!G197=0,0,'🧾 Tributos Aduana'!$F$17*(IF('🧾 Tributos Aduana'!$F$6=0,0,'🧾 Factura Comercial'!I197/'🧾 Tributos Aduana'!$F$6))/'🧾 Factura Comercial'!G197)</f>
        <v>0</v>
      </c>
      <c r="AO193" s="280">
        <f>IF('🧾 Factura Comercial'!G197=0,0,'🏦 Crédito Fiscal'!$C$16*(IF('🧾 Tributos Aduana'!$F$6=0,0,'🧾 Factura Comercial'!I197/'🧾 Tributos Aduana'!$F$6))/'🧾 Factura Comercial'!G197)</f>
        <v>0</v>
      </c>
      <c r="AP193" s="278">
        <f>TABLA_BASE[[#This Row],[CF UNIT.
✅RECUP.
(US$)]]*'📋 Datos Generales'!$E$19</f>
        <v>0</v>
      </c>
      <c r="AQ193" s="278">
        <f>TABLA_BASE[[#This Row],[CF UNIT.
✅RECUP.(S/.)]]*TABLA_BASE[[#This Row],[CANTIDAD
(unid.)]]</f>
        <v>0</v>
      </c>
      <c r="AR193" s="288">
        <f>'💰 Precio de Venta'!G198</f>
        <v>0.4</v>
      </c>
      <c r="AS193" s="278">
        <f>'💰 Precio de Venta'!H198</f>
        <v>0</v>
      </c>
      <c r="AT193" s="278">
        <f>TABLA_BASE[[#This Row],[VALOR VTA.
UNIT.(S/.)]]*TABLA_BASE[[#This Row],[CANTIDAD
(unid.)]]</f>
        <v>0</v>
      </c>
      <c r="AU193" s="281">
        <f>'💰 Precio de Venta'!I198</f>
        <v>0</v>
      </c>
      <c r="AV193" s="278">
        <f>'💰 Precio de Venta'!J198</f>
        <v>0</v>
      </c>
      <c r="AW193" s="278">
        <f>TABLA_BASE[[#This Row],[GANANCIA
UNIT.(S/.)]]*TABLA_BASE[[#This Row],[CANTIDAD
(unid.)]]</f>
        <v>0</v>
      </c>
      <c r="AX193" s="289">
        <f>'💰 Precio de Venta'!K198</f>
        <v>0</v>
      </c>
      <c r="AY193" s="278">
        <f>TABLA_BASE[[#This Row],[GANANCIA
UNIT.(S/.)]]*'🧾 Factura Comercial'!G197</f>
        <v>0</v>
      </c>
      <c r="AZ193" s="277">
        <f>IF(TABLA_BASE[[#This Row],[PRECIO VTA.
c/IGV(S/.)]]=0,0,TABLA_BASE[[#This Row],[GANANCIA
UNIT.(S/.)]]/TABLA_BASE[[#This Row],[PRECIO VTA.
c/IGV(S/.)]])</f>
        <v>0</v>
      </c>
      <c r="BA193" s="277">
        <f>IF(TABLA_BASE[[#This Row],[C/M UNIT.
(S/.)]]=0,0,TABLA_BASE[[#This Row],[GANANCIA
UNIT.(S/.)]]/TABLA_BASE[[#This Row],[C/M UNIT.
(S/.)]])</f>
        <v>0</v>
      </c>
      <c r="BB193" s="274" t="str">
        <f>IF(TABLA_BASE[[#This Row],[MARGEN
%]]&gt;=0.5,"🟢 ALTO",IF(TABLA_BASE[[#This Row],[MARGEN
%]]&gt;=0.3,"🟡 MEDIO","🔴 BAJO"))</f>
        <v>🟡 MEDIO</v>
      </c>
    </row>
    <row r="194" spans="1:54" ht="16.5" hidden="1" thickTop="1" thickBot="1" x14ac:dyDescent="0.3">
      <c r="A194" s="274">
        <f>'🧾 Factura Comercial'!E198</f>
        <v>0</v>
      </c>
      <c r="B194" s="274" t="str">
        <f>'🧾 Factura Comercial'!F198</f>
        <v>Unid.</v>
      </c>
      <c r="C194" s="275">
        <f>'🧾 Factura Comercial'!G198</f>
        <v>0</v>
      </c>
      <c r="D194" s="276">
        <f>'🧾 Factura Comercial'!H198</f>
        <v>0</v>
      </c>
      <c r="E194" s="276">
        <f>'🧾 Factura Comercial'!I198</f>
        <v>0</v>
      </c>
      <c r="F194" s="277">
        <f>IF('🧾 Tributos Aduana'!$F$6=0,0,'🧾 Factura Comercial'!I198/'🧾 Tributos Aduana'!$F$6)</f>
        <v>0</v>
      </c>
      <c r="G194" s="278">
        <f>'🧾 Factura Comercial'!H198*'📋 Datos Generales'!$E$19</f>
        <v>0</v>
      </c>
      <c r="H194" s="278">
        <f>TABLA_BASE[[#This Row],[FOB UNIT.
(S/.)]]*TABLA_BASE[[#This Row],[CANTIDAD
(unid.)]]</f>
        <v>0</v>
      </c>
      <c r="I194" s="280">
        <f>IF('🧾 Tributos Aduana'!$F$6=0,0,'🧾 Tributos Aduana'!$F$17*('🧾 Factura Comercial'!H198/'🧾 Tributos Aduana'!$F$6))</f>
        <v>0</v>
      </c>
      <c r="J194" s="280">
        <f>TABLA_BASE[[#This Row],[ADV UNIT.
(US$)
⚠️COSTO]]*TABLA_BASE[[#This Row],[CANTIDAD
(unid.)]]</f>
        <v>0</v>
      </c>
      <c r="K194" s="279">
        <f>IF('🧾 Tributos Aduana'!$F$6=0,0,'🧾 Tributos Aduana'!$F$18*('🧾 Factura Comercial'!H198/'🧾 Tributos Aduana'!$F$6))</f>
        <v>0</v>
      </c>
      <c r="L194" s="280">
        <f>TABLA_BASE[[#This Row],[IPM UNIT.
(US$)
✅CF]]*TABLA_BASE[[#This Row],[CANTIDAD
(unid.)]]</f>
        <v>0</v>
      </c>
      <c r="M194" s="279">
        <f>IF('🧾 Tributos Aduana'!$F$6=0,0,'🧾 Tributos Aduana'!$F$19*('🧾 Factura Comercial'!H198/'🧾 Tributos Aduana'!$F$6))</f>
        <v>0</v>
      </c>
      <c r="N194" s="280">
        <f>TABLA_BASE[[#This Row],[IGV UNIT.
(US$)
✅CF]]*TABLA_BASE[[#This Row],[CANTIDAD
(unid.)]]</f>
        <v>0</v>
      </c>
      <c r="O194" s="280">
        <f>IF('🧾 Tributos Aduana'!$F$6=0,0,'🧾 Tributos Aduana'!$F$23*('🧾 Factura Comercial'!H198/'🧾 Tributos Aduana'!$F$6))</f>
        <v>0</v>
      </c>
      <c r="P194" s="280">
        <f>TABLA_BASE[[#This Row],[PERCEP.
UNIT.(US$)
✅CF]]*TABLA_BASE[[#This Row],[CANTIDAD
(unid.)]]</f>
        <v>0</v>
      </c>
      <c r="Q194" s="279">
        <f>TABLA_BASE[[#This Row],[ADV UNIT.
(US$)
⚠️COSTO]]+TABLA_BASE[[#This Row],[IPM UNIT.
(US$)
✅CF]]+TABLA_BASE[[#This Row],[IGV UNIT.
(US$)
✅CF]]</f>
        <v>0</v>
      </c>
      <c r="R194" s="280">
        <f>TABLA_BASE[[#This Row],[DEUDA
ADUANERA
UNIT.]]*TABLA_BASE[[#This Row],[CANTIDAD
(unid.)]]</f>
        <v>0</v>
      </c>
      <c r="S194" s="278">
        <f>TABLA_BASE[[#This Row],[DEUDA
ADUANERA
UNIT.]]*'📋 Datos Generales'!$E$19</f>
        <v>0</v>
      </c>
      <c r="T194" s="278">
        <f>TABLA_BASE[[#This Row],[DEUDA
ADUANERA
TOTAL]]*'📋 Datos Generales'!$E$19</f>
        <v>0</v>
      </c>
      <c r="U194" s="281">
        <f>TABLA_BASE[[#This Row],[ADV UNIT.
(US$)
⚠️COSTO]]*'📋 Datos Generales'!$E$19</f>
        <v>0</v>
      </c>
      <c r="V194" s="281">
        <f>TABLA_BASE[[#This Row],[ADV UNIT.
(S/.)]]*TABLA_BASE[[#This Row],[CANTIDAD
(unid.)]]</f>
        <v>0</v>
      </c>
      <c r="W194" s="281">
        <f>TABLA_BASE[[#This Row],[IPM UNIT.
(US$)
✅CF]]*'📋 Datos Generales'!$E$19</f>
        <v>0</v>
      </c>
      <c r="X194" s="281">
        <f>TABLA_BASE[[#This Row],[IPM UNIT.
(S/.)]]*TABLA_BASE[[#This Row],[CANTIDAD
(unid.)]]</f>
        <v>0</v>
      </c>
      <c r="Y194" s="281">
        <f>TABLA_BASE[[#This Row],[IGV UNIT.
(US$)
✅CF]]*'📋 Datos Generales'!$E$19</f>
        <v>0</v>
      </c>
      <c r="Z194" s="281">
        <f>TABLA_BASE[[#This Row],[IGV UNIT.
(S/.)]]*TABLA_BASE[[#This Row],[CANTIDAD
(unid.)]]</f>
        <v>0</v>
      </c>
      <c r="AA194" s="281">
        <f>TABLA_BASE[[#This Row],[PERCEP.
UNIT.(US$)
✅CF]]*'📋 Datos Generales'!$E$19</f>
        <v>0</v>
      </c>
      <c r="AB194" s="281">
        <f>TABLA_BASE[[#This Row],[PERCEP.
UNIT.(S/.)]]*TABLA_BASE[[#This Row],[CANTIDAD
(unid.)]]</f>
        <v>0</v>
      </c>
      <c r="AC194" s="279">
        <f>TABLA_BASE[[#This Row],[ADV UNIT.
(US$)
⚠️COSTO]]+TABLA_BASE[[#This Row],[IPM UNIT.
(US$)
✅CF]]+TABLA_BASE[[#This Row],[IGV UNIT.
(US$)
✅CF]]+TABLA_BASE[[#This Row],[PERCEP.
UNIT.(US$)
✅CF]]</f>
        <v>0</v>
      </c>
      <c r="AD194" s="279">
        <f>TABLA_BASE[[#This Row],[TOTAL PAGO
SUNAT
UNIT.(US$)]]*TABLA_BASE[[#This Row],[CANTIDAD
(unid.)]]</f>
        <v>0</v>
      </c>
      <c r="AE194" s="281">
        <f>TABLA_BASE[[#This Row],[TOTAL PAGO
SUNAT
UNIT.(US$)]]*'📋 Datos Generales'!$E$19</f>
        <v>0</v>
      </c>
      <c r="AF194" s="281">
        <f>TABLA_BASE[[#This Row],[TOTAL TRIB.
UNIT.(S/.)]]*TABLA_BASE[[#This Row],[CANTIDAD
(unid.)]]</f>
        <v>0</v>
      </c>
      <c r="AG194" s="279">
        <f>IF('🧾 Factura Comercial'!G198=0,0,'📦 Gastos Importación'!$E$28*(IF('🧾 Tributos Aduana'!$F$6=0,0,'🧾 Factura Comercial'!I198/'🧾 Tributos Aduana'!$F$6))/'🧾 Factura Comercial'!G198)</f>
        <v>0</v>
      </c>
      <c r="AH194" s="279">
        <f>TABLA_BASE[[#This Row],[GASTOS IMP.
UNIT.(US$)]]*TABLA_BASE[[#This Row],[CANTIDAD
(unid.)]]</f>
        <v>0</v>
      </c>
      <c r="AI194" s="281">
        <f>TABLA_BASE[[#This Row],[GASTOS IMP.
UNIT.(US$)]]*'📋 Datos Generales'!$E$19</f>
        <v>0</v>
      </c>
      <c r="AJ194" s="281">
        <f>TABLA_BASE[[#This Row],[GASTOS IMP.
UNIT.(S/.)]]*TABLA_BASE[[#This Row],[CANTIDAD
(unid.)]]</f>
        <v>0</v>
      </c>
      <c r="AK194" s="280">
        <f>'🧮 Costos x Producto'!J198</f>
        <v>0</v>
      </c>
      <c r="AL194" s="278">
        <f>'🧮 Costos x Producto'!K198</f>
        <v>0</v>
      </c>
      <c r="AM194" s="278">
        <f>TABLA_BASE[[#This Row],[C/M UNIT.
(S/.)]]*TABLA_BASE[[#This Row],[CANTIDAD
(unid.)]]</f>
        <v>0</v>
      </c>
      <c r="AN194" s="279">
        <f>IF('🧾 Factura Comercial'!G198=0,0,'🧾 Tributos Aduana'!$F$17*(IF('🧾 Tributos Aduana'!$F$6=0,0,'🧾 Factura Comercial'!I198/'🧾 Tributos Aduana'!$F$6))/'🧾 Factura Comercial'!G198)</f>
        <v>0</v>
      </c>
      <c r="AO194" s="280">
        <f>IF('🧾 Factura Comercial'!G198=0,0,'🏦 Crédito Fiscal'!$C$16*(IF('🧾 Tributos Aduana'!$F$6=0,0,'🧾 Factura Comercial'!I198/'🧾 Tributos Aduana'!$F$6))/'🧾 Factura Comercial'!G198)</f>
        <v>0</v>
      </c>
      <c r="AP194" s="278">
        <f>TABLA_BASE[[#This Row],[CF UNIT.
✅RECUP.
(US$)]]*'📋 Datos Generales'!$E$19</f>
        <v>0</v>
      </c>
      <c r="AQ194" s="278">
        <f>TABLA_BASE[[#This Row],[CF UNIT.
✅RECUP.(S/.)]]*TABLA_BASE[[#This Row],[CANTIDAD
(unid.)]]</f>
        <v>0</v>
      </c>
      <c r="AR194" s="288">
        <f>'💰 Precio de Venta'!G199</f>
        <v>0.4</v>
      </c>
      <c r="AS194" s="278">
        <f>'💰 Precio de Venta'!H199</f>
        <v>0</v>
      </c>
      <c r="AT194" s="278">
        <f>TABLA_BASE[[#This Row],[VALOR VTA.
UNIT.(S/.)]]*TABLA_BASE[[#This Row],[CANTIDAD
(unid.)]]</f>
        <v>0</v>
      </c>
      <c r="AU194" s="281">
        <f>'💰 Precio de Venta'!I199</f>
        <v>0</v>
      </c>
      <c r="AV194" s="278">
        <f>'💰 Precio de Venta'!J199</f>
        <v>0</v>
      </c>
      <c r="AW194" s="278">
        <f>TABLA_BASE[[#This Row],[GANANCIA
UNIT.(S/.)]]*TABLA_BASE[[#This Row],[CANTIDAD
(unid.)]]</f>
        <v>0</v>
      </c>
      <c r="AX194" s="289">
        <f>'💰 Precio de Venta'!K199</f>
        <v>0</v>
      </c>
      <c r="AY194" s="278">
        <f>TABLA_BASE[[#This Row],[GANANCIA
UNIT.(S/.)]]*'🧾 Factura Comercial'!G198</f>
        <v>0</v>
      </c>
      <c r="AZ194" s="277">
        <f>IF(TABLA_BASE[[#This Row],[PRECIO VTA.
c/IGV(S/.)]]=0,0,TABLA_BASE[[#This Row],[GANANCIA
UNIT.(S/.)]]/TABLA_BASE[[#This Row],[PRECIO VTA.
c/IGV(S/.)]])</f>
        <v>0</v>
      </c>
      <c r="BA194" s="277">
        <f>IF(TABLA_BASE[[#This Row],[C/M UNIT.
(S/.)]]=0,0,TABLA_BASE[[#This Row],[GANANCIA
UNIT.(S/.)]]/TABLA_BASE[[#This Row],[C/M UNIT.
(S/.)]])</f>
        <v>0</v>
      </c>
      <c r="BB194" s="274" t="str">
        <f>IF(TABLA_BASE[[#This Row],[MARGEN
%]]&gt;=0.5,"🟢 ALTO",IF(TABLA_BASE[[#This Row],[MARGEN
%]]&gt;=0.3,"🟡 MEDIO","🔴 BAJO"))</f>
        <v>🟡 MEDIO</v>
      </c>
    </row>
    <row r="195" spans="1:54" ht="16.5" hidden="1" thickTop="1" thickBot="1" x14ac:dyDescent="0.3">
      <c r="A195" s="274">
        <f>'🧾 Factura Comercial'!E199</f>
        <v>0</v>
      </c>
      <c r="B195" s="274" t="str">
        <f>'🧾 Factura Comercial'!F199</f>
        <v>Unid.</v>
      </c>
      <c r="C195" s="275">
        <f>'🧾 Factura Comercial'!G199</f>
        <v>0</v>
      </c>
      <c r="D195" s="276">
        <f>'🧾 Factura Comercial'!H199</f>
        <v>0</v>
      </c>
      <c r="E195" s="276">
        <f>'🧾 Factura Comercial'!I199</f>
        <v>0</v>
      </c>
      <c r="F195" s="277">
        <f>IF('🧾 Tributos Aduana'!$F$6=0,0,'🧾 Factura Comercial'!I199/'🧾 Tributos Aduana'!$F$6)</f>
        <v>0</v>
      </c>
      <c r="G195" s="278">
        <f>'🧾 Factura Comercial'!H199*'📋 Datos Generales'!$E$19</f>
        <v>0</v>
      </c>
      <c r="H195" s="278">
        <f>TABLA_BASE[[#This Row],[FOB UNIT.
(S/.)]]*TABLA_BASE[[#This Row],[CANTIDAD
(unid.)]]</f>
        <v>0</v>
      </c>
      <c r="I195" s="280">
        <f>IF('🧾 Tributos Aduana'!$F$6=0,0,'🧾 Tributos Aduana'!$F$17*('🧾 Factura Comercial'!H199/'🧾 Tributos Aduana'!$F$6))</f>
        <v>0</v>
      </c>
      <c r="J195" s="280">
        <f>TABLA_BASE[[#This Row],[ADV UNIT.
(US$)
⚠️COSTO]]*TABLA_BASE[[#This Row],[CANTIDAD
(unid.)]]</f>
        <v>0</v>
      </c>
      <c r="K195" s="279">
        <f>IF('🧾 Tributos Aduana'!$F$6=0,0,'🧾 Tributos Aduana'!$F$18*('🧾 Factura Comercial'!H199/'🧾 Tributos Aduana'!$F$6))</f>
        <v>0</v>
      </c>
      <c r="L195" s="280">
        <f>TABLA_BASE[[#This Row],[IPM UNIT.
(US$)
✅CF]]*TABLA_BASE[[#This Row],[CANTIDAD
(unid.)]]</f>
        <v>0</v>
      </c>
      <c r="M195" s="279">
        <f>IF('🧾 Tributos Aduana'!$F$6=0,0,'🧾 Tributos Aduana'!$F$19*('🧾 Factura Comercial'!H199/'🧾 Tributos Aduana'!$F$6))</f>
        <v>0</v>
      </c>
      <c r="N195" s="280">
        <f>TABLA_BASE[[#This Row],[IGV UNIT.
(US$)
✅CF]]*TABLA_BASE[[#This Row],[CANTIDAD
(unid.)]]</f>
        <v>0</v>
      </c>
      <c r="O195" s="280">
        <f>IF('🧾 Tributos Aduana'!$F$6=0,0,'🧾 Tributos Aduana'!$F$23*('🧾 Factura Comercial'!H199/'🧾 Tributos Aduana'!$F$6))</f>
        <v>0</v>
      </c>
      <c r="P195" s="280">
        <f>TABLA_BASE[[#This Row],[PERCEP.
UNIT.(US$)
✅CF]]*TABLA_BASE[[#This Row],[CANTIDAD
(unid.)]]</f>
        <v>0</v>
      </c>
      <c r="Q195" s="279">
        <f>TABLA_BASE[[#This Row],[ADV UNIT.
(US$)
⚠️COSTO]]+TABLA_BASE[[#This Row],[IPM UNIT.
(US$)
✅CF]]+TABLA_BASE[[#This Row],[IGV UNIT.
(US$)
✅CF]]</f>
        <v>0</v>
      </c>
      <c r="R195" s="280">
        <f>TABLA_BASE[[#This Row],[DEUDA
ADUANERA
UNIT.]]*TABLA_BASE[[#This Row],[CANTIDAD
(unid.)]]</f>
        <v>0</v>
      </c>
      <c r="S195" s="278">
        <f>TABLA_BASE[[#This Row],[DEUDA
ADUANERA
UNIT.]]*'📋 Datos Generales'!$E$19</f>
        <v>0</v>
      </c>
      <c r="T195" s="278">
        <f>TABLA_BASE[[#This Row],[DEUDA
ADUANERA
TOTAL]]*'📋 Datos Generales'!$E$19</f>
        <v>0</v>
      </c>
      <c r="U195" s="281">
        <f>TABLA_BASE[[#This Row],[ADV UNIT.
(US$)
⚠️COSTO]]*'📋 Datos Generales'!$E$19</f>
        <v>0</v>
      </c>
      <c r="V195" s="281">
        <f>TABLA_BASE[[#This Row],[ADV UNIT.
(S/.)]]*TABLA_BASE[[#This Row],[CANTIDAD
(unid.)]]</f>
        <v>0</v>
      </c>
      <c r="W195" s="281">
        <f>TABLA_BASE[[#This Row],[IPM UNIT.
(US$)
✅CF]]*'📋 Datos Generales'!$E$19</f>
        <v>0</v>
      </c>
      <c r="X195" s="281">
        <f>TABLA_BASE[[#This Row],[IPM UNIT.
(S/.)]]*TABLA_BASE[[#This Row],[CANTIDAD
(unid.)]]</f>
        <v>0</v>
      </c>
      <c r="Y195" s="281">
        <f>TABLA_BASE[[#This Row],[IGV UNIT.
(US$)
✅CF]]*'📋 Datos Generales'!$E$19</f>
        <v>0</v>
      </c>
      <c r="Z195" s="281">
        <f>TABLA_BASE[[#This Row],[IGV UNIT.
(S/.)]]*TABLA_BASE[[#This Row],[CANTIDAD
(unid.)]]</f>
        <v>0</v>
      </c>
      <c r="AA195" s="281">
        <f>TABLA_BASE[[#This Row],[PERCEP.
UNIT.(US$)
✅CF]]*'📋 Datos Generales'!$E$19</f>
        <v>0</v>
      </c>
      <c r="AB195" s="281">
        <f>TABLA_BASE[[#This Row],[PERCEP.
UNIT.(S/.)]]*TABLA_BASE[[#This Row],[CANTIDAD
(unid.)]]</f>
        <v>0</v>
      </c>
      <c r="AC195" s="279">
        <f>TABLA_BASE[[#This Row],[ADV UNIT.
(US$)
⚠️COSTO]]+TABLA_BASE[[#This Row],[IPM UNIT.
(US$)
✅CF]]+TABLA_BASE[[#This Row],[IGV UNIT.
(US$)
✅CF]]+TABLA_BASE[[#This Row],[PERCEP.
UNIT.(US$)
✅CF]]</f>
        <v>0</v>
      </c>
      <c r="AD195" s="279">
        <f>TABLA_BASE[[#This Row],[TOTAL PAGO
SUNAT
UNIT.(US$)]]*TABLA_BASE[[#This Row],[CANTIDAD
(unid.)]]</f>
        <v>0</v>
      </c>
      <c r="AE195" s="281">
        <f>TABLA_BASE[[#This Row],[TOTAL PAGO
SUNAT
UNIT.(US$)]]*'📋 Datos Generales'!$E$19</f>
        <v>0</v>
      </c>
      <c r="AF195" s="281">
        <f>TABLA_BASE[[#This Row],[TOTAL TRIB.
UNIT.(S/.)]]*TABLA_BASE[[#This Row],[CANTIDAD
(unid.)]]</f>
        <v>0</v>
      </c>
      <c r="AG195" s="279">
        <f>IF('🧾 Factura Comercial'!G199=0,0,'📦 Gastos Importación'!$E$28*(IF('🧾 Tributos Aduana'!$F$6=0,0,'🧾 Factura Comercial'!I199/'🧾 Tributos Aduana'!$F$6))/'🧾 Factura Comercial'!G199)</f>
        <v>0</v>
      </c>
      <c r="AH195" s="279">
        <f>TABLA_BASE[[#This Row],[GASTOS IMP.
UNIT.(US$)]]*TABLA_BASE[[#This Row],[CANTIDAD
(unid.)]]</f>
        <v>0</v>
      </c>
      <c r="AI195" s="281">
        <f>TABLA_BASE[[#This Row],[GASTOS IMP.
UNIT.(US$)]]*'📋 Datos Generales'!$E$19</f>
        <v>0</v>
      </c>
      <c r="AJ195" s="281">
        <f>TABLA_BASE[[#This Row],[GASTOS IMP.
UNIT.(S/.)]]*TABLA_BASE[[#This Row],[CANTIDAD
(unid.)]]</f>
        <v>0</v>
      </c>
      <c r="AK195" s="280">
        <f>'🧮 Costos x Producto'!J199</f>
        <v>0</v>
      </c>
      <c r="AL195" s="278">
        <f>'🧮 Costos x Producto'!K199</f>
        <v>0</v>
      </c>
      <c r="AM195" s="278">
        <f>TABLA_BASE[[#This Row],[C/M UNIT.
(S/.)]]*TABLA_BASE[[#This Row],[CANTIDAD
(unid.)]]</f>
        <v>0</v>
      </c>
      <c r="AN195" s="279">
        <f>IF('🧾 Factura Comercial'!G199=0,0,'🧾 Tributos Aduana'!$F$17*(IF('🧾 Tributos Aduana'!$F$6=0,0,'🧾 Factura Comercial'!I199/'🧾 Tributos Aduana'!$F$6))/'🧾 Factura Comercial'!G199)</f>
        <v>0</v>
      </c>
      <c r="AO195" s="280">
        <f>IF('🧾 Factura Comercial'!G199=0,0,'🏦 Crédito Fiscal'!$C$16*(IF('🧾 Tributos Aduana'!$F$6=0,0,'🧾 Factura Comercial'!I199/'🧾 Tributos Aduana'!$F$6))/'🧾 Factura Comercial'!G199)</f>
        <v>0</v>
      </c>
      <c r="AP195" s="278">
        <f>TABLA_BASE[[#This Row],[CF UNIT.
✅RECUP.
(US$)]]*'📋 Datos Generales'!$E$19</f>
        <v>0</v>
      </c>
      <c r="AQ195" s="278">
        <f>TABLA_BASE[[#This Row],[CF UNIT.
✅RECUP.(S/.)]]*TABLA_BASE[[#This Row],[CANTIDAD
(unid.)]]</f>
        <v>0</v>
      </c>
      <c r="AR195" s="288">
        <f>'💰 Precio de Venta'!G200</f>
        <v>0.4</v>
      </c>
      <c r="AS195" s="278">
        <f>'💰 Precio de Venta'!H200</f>
        <v>0</v>
      </c>
      <c r="AT195" s="278">
        <f>TABLA_BASE[[#This Row],[VALOR VTA.
UNIT.(S/.)]]*TABLA_BASE[[#This Row],[CANTIDAD
(unid.)]]</f>
        <v>0</v>
      </c>
      <c r="AU195" s="281">
        <f>'💰 Precio de Venta'!I200</f>
        <v>0</v>
      </c>
      <c r="AV195" s="278">
        <f>'💰 Precio de Venta'!J200</f>
        <v>0</v>
      </c>
      <c r="AW195" s="278">
        <f>TABLA_BASE[[#This Row],[GANANCIA
UNIT.(S/.)]]*TABLA_BASE[[#This Row],[CANTIDAD
(unid.)]]</f>
        <v>0</v>
      </c>
      <c r="AX195" s="289">
        <f>'💰 Precio de Venta'!K200</f>
        <v>0</v>
      </c>
      <c r="AY195" s="278">
        <f>TABLA_BASE[[#This Row],[GANANCIA
UNIT.(S/.)]]*'🧾 Factura Comercial'!G199</f>
        <v>0</v>
      </c>
      <c r="AZ195" s="277">
        <f>IF(TABLA_BASE[[#This Row],[PRECIO VTA.
c/IGV(S/.)]]=0,0,TABLA_BASE[[#This Row],[GANANCIA
UNIT.(S/.)]]/TABLA_BASE[[#This Row],[PRECIO VTA.
c/IGV(S/.)]])</f>
        <v>0</v>
      </c>
      <c r="BA195" s="277">
        <f>IF(TABLA_BASE[[#This Row],[C/M UNIT.
(S/.)]]=0,0,TABLA_BASE[[#This Row],[GANANCIA
UNIT.(S/.)]]/TABLA_BASE[[#This Row],[C/M UNIT.
(S/.)]])</f>
        <v>0</v>
      </c>
      <c r="BB195" s="274" t="str">
        <f>IF(TABLA_BASE[[#This Row],[MARGEN
%]]&gt;=0.5,"🟢 ALTO",IF(TABLA_BASE[[#This Row],[MARGEN
%]]&gt;=0.3,"🟡 MEDIO","🔴 BAJO"))</f>
        <v>🟡 MEDIO</v>
      </c>
    </row>
    <row r="196" spans="1:54" ht="16.5" hidden="1" thickTop="1" thickBot="1" x14ac:dyDescent="0.3">
      <c r="A196" s="274">
        <f>'🧾 Factura Comercial'!E200</f>
        <v>0</v>
      </c>
      <c r="B196" s="274" t="str">
        <f>'🧾 Factura Comercial'!F200</f>
        <v>Unid.</v>
      </c>
      <c r="C196" s="275">
        <f>'🧾 Factura Comercial'!G200</f>
        <v>0</v>
      </c>
      <c r="D196" s="276">
        <f>'🧾 Factura Comercial'!H200</f>
        <v>0</v>
      </c>
      <c r="E196" s="276">
        <f>'🧾 Factura Comercial'!I200</f>
        <v>0</v>
      </c>
      <c r="F196" s="277">
        <f>IF('🧾 Tributos Aduana'!$F$6=0,0,'🧾 Factura Comercial'!I200/'🧾 Tributos Aduana'!$F$6)</f>
        <v>0</v>
      </c>
      <c r="G196" s="278">
        <f>'🧾 Factura Comercial'!H200*'📋 Datos Generales'!$E$19</f>
        <v>0</v>
      </c>
      <c r="H196" s="278">
        <f>TABLA_BASE[[#This Row],[FOB UNIT.
(S/.)]]*TABLA_BASE[[#This Row],[CANTIDAD
(unid.)]]</f>
        <v>0</v>
      </c>
      <c r="I196" s="280">
        <f>IF('🧾 Tributos Aduana'!$F$6=0,0,'🧾 Tributos Aduana'!$F$17*('🧾 Factura Comercial'!H200/'🧾 Tributos Aduana'!$F$6))</f>
        <v>0</v>
      </c>
      <c r="J196" s="280">
        <f>TABLA_BASE[[#This Row],[ADV UNIT.
(US$)
⚠️COSTO]]*TABLA_BASE[[#This Row],[CANTIDAD
(unid.)]]</f>
        <v>0</v>
      </c>
      <c r="K196" s="279">
        <f>IF('🧾 Tributos Aduana'!$F$6=0,0,'🧾 Tributos Aduana'!$F$18*('🧾 Factura Comercial'!H200/'🧾 Tributos Aduana'!$F$6))</f>
        <v>0</v>
      </c>
      <c r="L196" s="280">
        <f>TABLA_BASE[[#This Row],[IPM UNIT.
(US$)
✅CF]]*TABLA_BASE[[#This Row],[CANTIDAD
(unid.)]]</f>
        <v>0</v>
      </c>
      <c r="M196" s="279">
        <f>IF('🧾 Tributos Aduana'!$F$6=0,0,'🧾 Tributos Aduana'!$F$19*('🧾 Factura Comercial'!H200/'🧾 Tributos Aduana'!$F$6))</f>
        <v>0</v>
      </c>
      <c r="N196" s="280">
        <f>TABLA_BASE[[#This Row],[IGV UNIT.
(US$)
✅CF]]*TABLA_BASE[[#This Row],[CANTIDAD
(unid.)]]</f>
        <v>0</v>
      </c>
      <c r="O196" s="280">
        <f>IF('🧾 Tributos Aduana'!$F$6=0,0,'🧾 Tributos Aduana'!$F$23*('🧾 Factura Comercial'!H200/'🧾 Tributos Aduana'!$F$6))</f>
        <v>0</v>
      </c>
      <c r="P196" s="280">
        <f>TABLA_BASE[[#This Row],[PERCEP.
UNIT.(US$)
✅CF]]*TABLA_BASE[[#This Row],[CANTIDAD
(unid.)]]</f>
        <v>0</v>
      </c>
      <c r="Q196" s="279">
        <f>TABLA_BASE[[#This Row],[ADV UNIT.
(US$)
⚠️COSTO]]+TABLA_BASE[[#This Row],[IPM UNIT.
(US$)
✅CF]]+TABLA_BASE[[#This Row],[IGV UNIT.
(US$)
✅CF]]</f>
        <v>0</v>
      </c>
      <c r="R196" s="280">
        <f>TABLA_BASE[[#This Row],[DEUDA
ADUANERA
UNIT.]]*TABLA_BASE[[#This Row],[CANTIDAD
(unid.)]]</f>
        <v>0</v>
      </c>
      <c r="S196" s="278">
        <f>TABLA_BASE[[#This Row],[DEUDA
ADUANERA
UNIT.]]*'📋 Datos Generales'!$E$19</f>
        <v>0</v>
      </c>
      <c r="T196" s="278">
        <f>TABLA_BASE[[#This Row],[DEUDA
ADUANERA
TOTAL]]*'📋 Datos Generales'!$E$19</f>
        <v>0</v>
      </c>
      <c r="U196" s="281">
        <f>TABLA_BASE[[#This Row],[ADV UNIT.
(US$)
⚠️COSTO]]*'📋 Datos Generales'!$E$19</f>
        <v>0</v>
      </c>
      <c r="V196" s="281">
        <f>TABLA_BASE[[#This Row],[ADV UNIT.
(S/.)]]*TABLA_BASE[[#This Row],[CANTIDAD
(unid.)]]</f>
        <v>0</v>
      </c>
      <c r="W196" s="281">
        <f>TABLA_BASE[[#This Row],[IPM UNIT.
(US$)
✅CF]]*'📋 Datos Generales'!$E$19</f>
        <v>0</v>
      </c>
      <c r="X196" s="281">
        <f>TABLA_BASE[[#This Row],[IPM UNIT.
(S/.)]]*TABLA_BASE[[#This Row],[CANTIDAD
(unid.)]]</f>
        <v>0</v>
      </c>
      <c r="Y196" s="281">
        <f>TABLA_BASE[[#This Row],[IGV UNIT.
(US$)
✅CF]]*'📋 Datos Generales'!$E$19</f>
        <v>0</v>
      </c>
      <c r="Z196" s="281">
        <f>TABLA_BASE[[#This Row],[IGV UNIT.
(S/.)]]*TABLA_BASE[[#This Row],[CANTIDAD
(unid.)]]</f>
        <v>0</v>
      </c>
      <c r="AA196" s="281">
        <f>TABLA_BASE[[#This Row],[PERCEP.
UNIT.(US$)
✅CF]]*'📋 Datos Generales'!$E$19</f>
        <v>0</v>
      </c>
      <c r="AB196" s="281">
        <f>TABLA_BASE[[#This Row],[PERCEP.
UNIT.(S/.)]]*TABLA_BASE[[#This Row],[CANTIDAD
(unid.)]]</f>
        <v>0</v>
      </c>
      <c r="AC196" s="279">
        <f>TABLA_BASE[[#This Row],[ADV UNIT.
(US$)
⚠️COSTO]]+TABLA_BASE[[#This Row],[IPM UNIT.
(US$)
✅CF]]+TABLA_BASE[[#This Row],[IGV UNIT.
(US$)
✅CF]]+TABLA_BASE[[#This Row],[PERCEP.
UNIT.(US$)
✅CF]]</f>
        <v>0</v>
      </c>
      <c r="AD196" s="279">
        <f>TABLA_BASE[[#This Row],[TOTAL PAGO
SUNAT
UNIT.(US$)]]*TABLA_BASE[[#This Row],[CANTIDAD
(unid.)]]</f>
        <v>0</v>
      </c>
      <c r="AE196" s="281">
        <f>TABLA_BASE[[#This Row],[TOTAL PAGO
SUNAT
UNIT.(US$)]]*'📋 Datos Generales'!$E$19</f>
        <v>0</v>
      </c>
      <c r="AF196" s="281">
        <f>TABLA_BASE[[#This Row],[TOTAL TRIB.
UNIT.(S/.)]]*TABLA_BASE[[#This Row],[CANTIDAD
(unid.)]]</f>
        <v>0</v>
      </c>
      <c r="AG196" s="279">
        <f>IF('🧾 Factura Comercial'!G200=0,0,'📦 Gastos Importación'!$E$28*(IF('🧾 Tributos Aduana'!$F$6=0,0,'🧾 Factura Comercial'!I200/'🧾 Tributos Aduana'!$F$6))/'🧾 Factura Comercial'!G200)</f>
        <v>0</v>
      </c>
      <c r="AH196" s="279">
        <f>TABLA_BASE[[#This Row],[GASTOS IMP.
UNIT.(US$)]]*TABLA_BASE[[#This Row],[CANTIDAD
(unid.)]]</f>
        <v>0</v>
      </c>
      <c r="AI196" s="281">
        <f>TABLA_BASE[[#This Row],[GASTOS IMP.
UNIT.(US$)]]*'📋 Datos Generales'!$E$19</f>
        <v>0</v>
      </c>
      <c r="AJ196" s="281">
        <f>TABLA_BASE[[#This Row],[GASTOS IMP.
UNIT.(S/.)]]*TABLA_BASE[[#This Row],[CANTIDAD
(unid.)]]</f>
        <v>0</v>
      </c>
      <c r="AK196" s="280">
        <f>'🧮 Costos x Producto'!J200</f>
        <v>0</v>
      </c>
      <c r="AL196" s="278">
        <f>'🧮 Costos x Producto'!K200</f>
        <v>0</v>
      </c>
      <c r="AM196" s="278">
        <f>TABLA_BASE[[#This Row],[C/M UNIT.
(S/.)]]*TABLA_BASE[[#This Row],[CANTIDAD
(unid.)]]</f>
        <v>0</v>
      </c>
      <c r="AN196" s="279">
        <f>IF('🧾 Factura Comercial'!G200=0,0,'🧾 Tributos Aduana'!$F$17*(IF('🧾 Tributos Aduana'!$F$6=0,0,'🧾 Factura Comercial'!I200/'🧾 Tributos Aduana'!$F$6))/'🧾 Factura Comercial'!G200)</f>
        <v>0</v>
      </c>
      <c r="AO196" s="280">
        <f>IF('🧾 Factura Comercial'!G200=0,0,'🏦 Crédito Fiscal'!$C$16*(IF('🧾 Tributos Aduana'!$F$6=0,0,'🧾 Factura Comercial'!I200/'🧾 Tributos Aduana'!$F$6))/'🧾 Factura Comercial'!G200)</f>
        <v>0</v>
      </c>
      <c r="AP196" s="278">
        <f>TABLA_BASE[[#This Row],[CF UNIT.
✅RECUP.
(US$)]]*'📋 Datos Generales'!$E$19</f>
        <v>0</v>
      </c>
      <c r="AQ196" s="278">
        <f>TABLA_BASE[[#This Row],[CF UNIT.
✅RECUP.(S/.)]]*TABLA_BASE[[#This Row],[CANTIDAD
(unid.)]]</f>
        <v>0</v>
      </c>
      <c r="AR196" s="288">
        <f>'💰 Precio de Venta'!G201</f>
        <v>0.4</v>
      </c>
      <c r="AS196" s="278">
        <f>'💰 Precio de Venta'!H201</f>
        <v>0</v>
      </c>
      <c r="AT196" s="278">
        <f>TABLA_BASE[[#This Row],[VALOR VTA.
UNIT.(S/.)]]*TABLA_BASE[[#This Row],[CANTIDAD
(unid.)]]</f>
        <v>0</v>
      </c>
      <c r="AU196" s="281">
        <f>'💰 Precio de Venta'!I201</f>
        <v>0</v>
      </c>
      <c r="AV196" s="278">
        <f>'💰 Precio de Venta'!J201</f>
        <v>0</v>
      </c>
      <c r="AW196" s="278">
        <f>TABLA_BASE[[#This Row],[GANANCIA
UNIT.(S/.)]]*TABLA_BASE[[#This Row],[CANTIDAD
(unid.)]]</f>
        <v>0</v>
      </c>
      <c r="AX196" s="289">
        <f>'💰 Precio de Venta'!K201</f>
        <v>0</v>
      </c>
      <c r="AY196" s="278">
        <f>TABLA_BASE[[#This Row],[GANANCIA
UNIT.(S/.)]]*'🧾 Factura Comercial'!G200</f>
        <v>0</v>
      </c>
      <c r="AZ196" s="277">
        <f>IF(TABLA_BASE[[#This Row],[PRECIO VTA.
c/IGV(S/.)]]=0,0,TABLA_BASE[[#This Row],[GANANCIA
UNIT.(S/.)]]/TABLA_BASE[[#This Row],[PRECIO VTA.
c/IGV(S/.)]])</f>
        <v>0</v>
      </c>
      <c r="BA196" s="277">
        <f>IF(TABLA_BASE[[#This Row],[C/M UNIT.
(S/.)]]=0,0,TABLA_BASE[[#This Row],[GANANCIA
UNIT.(S/.)]]/TABLA_BASE[[#This Row],[C/M UNIT.
(S/.)]])</f>
        <v>0</v>
      </c>
      <c r="BB196" s="274" t="str">
        <f>IF(TABLA_BASE[[#This Row],[MARGEN
%]]&gt;=0.5,"🟢 ALTO",IF(TABLA_BASE[[#This Row],[MARGEN
%]]&gt;=0.3,"🟡 MEDIO","🔴 BAJO"))</f>
        <v>🟡 MEDIO</v>
      </c>
    </row>
    <row r="197" spans="1:54" ht="16.5" hidden="1" thickTop="1" thickBot="1" x14ac:dyDescent="0.3">
      <c r="A197" s="274">
        <f>'🧾 Factura Comercial'!E201</f>
        <v>0</v>
      </c>
      <c r="B197" s="274" t="str">
        <f>'🧾 Factura Comercial'!F201</f>
        <v>Unid.</v>
      </c>
      <c r="C197" s="275">
        <f>'🧾 Factura Comercial'!G201</f>
        <v>0</v>
      </c>
      <c r="D197" s="276">
        <f>'🧾 Factura Comercial'!H201</f>
        <v>0</v>
      </c>
      <c r="E197" s="276">
        <f>'🧾 Factura Comercial'!I201</f>
        <v>0</v>
      </c>
      <c r="F197" s="277">
        <f>IF('🧾 Tributos Aduana'!$F$6=0,0,'🧾 Factura Comercial'!I201/'🧾 Tributos Aduana'!$F$6)</f>
        <v>0</v>
      </c>
      <c r="G197" s="278">
        <f>'🧾 Factura Comercial'!H201*'📋 Datos Generales'!$E$19</f>
        <v>0</v>
      </c>
      <c r="H197" s="278">
        <f>TABLA_BASE[[#This Row],[FOB UNIT.
(S/.)]]*TABLA_BASE[[#This Row],[CANTIDAD
(unid.)]]</f>
        <v>0</v>
      </c>
      <c r="I197" s="280">
        <f>IF('🧾 Tributos Aduana'!$F$6=0,0,'🧾 Tributos Aduana'!$F$17*('🧾 Factura Comercial'!H201/'🧾 Tributos Aduana'!$F$6))</f>
        <v>0</v>
      </c>
      <c r="J197" s="280">
        <f>TABLA_BASE[[#This Row],[ADV UNIT.
(US$)
⚠️COSTO]]*TABLA_BASE[[#This Row],[CANTIDAD
(unid.)]]</f>
        <v>0</v>
      </c>
      <c r="K197" s="279">
        <f>IF('🧾 Tributos Aduana'!$F$6=0,0,'🧾 Tributos Aduana'!$F$18*('🧾 Factura Comercial'!H201/'🧾 Tributos Aduana'!$F$6))</f>
        <v>0</v>
      </c>
      <c r="L197" s="280">
        <f>TABLA_BASE[[#This Row],[IPM UNIT.
(US$)
✅CF]]*TABLA_BASE[[#This Row],[CANTIDAD
(unid.)]]</f>
        <v>0</v>
      </c>
      <c r="M197" s="279">
        <f>IF('🧾 Tributos Aduana'!$F$6=0,0,'🧾 Tributos Aduana'!$F$19*('🧾 Factura Comercial'!H201/'🧾 Tributos Aduana'!$F$6))</f>
        <v>0</v>
      </c>
      <c r="N197" s="280">
        <f>TABLA_BASE[[#This Row],[IGV UNIT.
(US$)
✅CF]]*TABLA_BASE[[#This Row],[CANTIDAD
(unid.)]]</f>
        <v>0</v>
      </c>
      <c r="O197" s="280">
        <f>IF('🧾 Tributos Aduana'!$F$6=0,0,'🧾 Tributos Aduana'!$F$23*('🧾 Factura Comercial'!H201/'🧾 Tributos Aduana'!$F$6))</f>
        <v>0</v>
      </c>
      <c r="P197" s="280">
        <f>TABLA_BASE[[#This Row],[PERCEP.
UNIT.(US$)
✅CF]]*TABLA_BASE[[#This Row],[CANTIDAD
(unid.)]]</f>
        <v>0</v>
      </c>
      <c r="Q197" s="279">
        <f>TABLA_BASE[[#This Row],[ADV UNIT.
(US$)
⚠️COSTO]]+TABLA_BASE[[#This Row],[IPM UNIT.
(US$)
✅CF]]+TABLA_BASE[[#This Row],[IGV UNIT.
(US$)
✅CF]]</f>
        <v>0</v>
      </c>
      <c r="R197" s="280">
        <f>TABLA_BASE[[#This Row],[DEUDA
ADUANERA
UNIT.]]*TABLA_BASE[[#This Row],[CANTIDAD
(unid.)]]</f>
        <v>0</v>
      </c>
      <c r="S197" s="278">
        <f>TABLA_BASE[[#This Row],[DEUDA
ADUANERA
UNIT.]]*'📋 Datos Generales'!$E$19</f>
        <v>0</v>
      </c>
      <c r="T197" s="278">
        <f>TABLA_BASE[[#This Row],[DEUDA
ADUANERA
TOTAL]]*'📋 Datos Generales'!$E$19</f>
        <v>0</v>
      </c>
      <c r="U197" s="281">
        <f>TABLA_BASE[[#This Row],[ADV UNIT.
(US$)
⚠️COSTO]]*'📋 Datos Generales'!$E$19</f>
        <v>0</v>
      </c>
      <c r="V197" s="281">
        <f>TABLA_BASE[[#This Row],[ADV UNIT.
(S/.)]]*TABLA_BASE[[#This Row],[CANTIDAD
(unid.)]]</f>
        <v>0</v>
      </c>
      <c r="W197" s="281">
        <f>TABLA_BASE[[#This Row],[IPM UNIT.
(US$)
✅CF]]*'📋 Datos Generales'!$E$19</f>
        <v>0</v>
      </c>
      <c r="X197" s="281">
        <f>TABLA_BASE[[#This Row],[IPM UNIT.
(S/.)]]*TABLA_BASE[[#This Row],[CANTIDAD
(unid.)]]</f>
        <v>0</v>
      </c>
      <c r="Y197" s="281">
        <f>TABLA_BASE[[#This Row],[IGV UNIT.
(US$)
✅CF]]*'📋 Datos Generales'!$E$19</f>
        <v>0</v>
      </c>
      <c r="Z197" s="281">
        <f>TABLA_BASE[[#This Row],[IGV UNIT.
(S/.)]]*TABLA_BASE[[#This Row],[CANTIDAD
(unid.)]]</f>
        <v>0</v>
      </c>
      <c r="AA197" s="281">
        <f>TABLA_BASE[[#This Row],[PERCEP.
UNIT.(US$)
✅CF]]*'📋 Datos Generales'!$E$19</f>
        <v>0</v>
      </c>
      <c r="AB197" s="281">
        <f>TABLA_BASE[[#This Row],[PERCEP.
UNIT.(S/.)]]*TABLA_BASE[[#This Row],[CANTIDAD
(unid.)]]</f>
        <v>0</v>
      </c>
      <c r="AC197" s="279">
        <f>TABLA_BASE[[#This Row],[ADV UNIT.
(US$)
⚠️COSTO]]+TABLA_BASE[[#This Row],[IPM UNIT.
(US$)
✅CF]]+TABLA_BASE[[#This Row],[IGV UNIT.
(US$)
✅CF]]+TABLA_BASE[[#This Row],[PERCEP.
UNIT.(US$)
✅CF]]</f>
        <v>0</v>
      </c>
      <c r="AD197" s="279">
        <f>TABLA_BASE[[#This Row],[TOTAL PAGO
SUNAT
UNIT.(US$)]]*TABLA_BASE[[#This Row],[CANTIDAD
(unid.)]]</f>
        <v>0</v>
      </c>
      <c r="AE197" s="281">
        <f>TABLA_BASE[[#This Row],[TOTAL PAGO
SUNAT
UNIT.(US$)]]*'📋 Datos Generales'!$E$19</f>
        <v>0</v>
      </c>
      <c r="AF197" s="281">
        <f>TABLA_BASE[[#This Row],[TOTAL TRIB.
UNIT.(S/.)]]*TABLA_BASE[[#This Row],[CANTIDAD
(unid.)]]</f>
        <v>0</v>
      </c>
      <c r="AG197" s="279">
        <f>IF('🧾 Factura Comercial'!G201=0,0,'📦 Gastos Importación'!$E$28*(IF('🧾 Tributos Aduana'!$F$6=0,0,'🧾 Factura Comercial'!I201/'🧾 Tributos Aduana'!$F$6))/'🧾 Factura Comercial'!G201)</f>
        <v>0</v>
      </c>
      <c r="AH197" s="279">
        <f>TABLA_BASE[[#This Row],[GASTOS IMP.
UNIT.(US$)]]*TABLA_BASE[[#This Row],[CANTIDAD
(unid.)]]</f>
        <v>0</v>
      </c>
      <c r="AI197" s="281">
        <f>TABLA_BASE[[#This Row],[GASTOS IMP.
UNIT.(US$)]]*'📋 Datos Generales'!$E$19</f>
        <v>0</v>
      </c>
      <c r="AJ197" s="281">
        <f>TABLA_BASE[[#This Row],[GASTOS IMP.
UNIT.(S/.)]]*TABLA_BASE[[#This Row],[CANTIDAD
(unid.)]]</f>
        <v>0</v>
      </c>
      <c r="AK197" s="280">
        <f>'🧮 Costos x Producto'!J201</f>
        <v>0</v>
      </c>
      <c r="AL197" s="278">
        <f>'🧮 Costos x Producto'!K201</f>
        <v>0</v>
      </c>
      <c r="AM197" s="278">
        <f>TABLA_BASE[[#This Row],[C/M UNIT.
(S/.)]]*TABLA_BASE[[#This Row],[CANTIDAD
(unid.)]]</f>
        <v>0</v>
      </c>
      <c r="AN197" s="279">
        <f>IF('🧾 Factura Comercial'!G201=0,0,'🧾 Tributos Aduana'!$F$17*(IF('🧾 Tributos Aduana'!$F$6=0,0,'🧾 Factura Comercial'!I201/'🧾 Tributos Aduana'!$F$6))/'🧾 Factura Comercial'!G201)</f>
        <v>0</v>
      </c>
      <c r="AO197" s="280">
        <f>IF('🧾 Factura Comercial'!G201=0,0,'🏦 Crédito Fiscal'!$C$16*(IF('🧾 Tributos Aduana'!$F$6=0,0,'🧾 Factura Comercial'!I201/'🧾 Tributos Aduana'!$F$6))/'🧾 Factura Comercial'!G201)</f>
        <v>0</v>
      </c>
      <c r="AP197" s="278">
        <f>TABLA_BASE[[#This Row],[CF UNIT.
✅RECUP.
(US$)]]*'📋 Datos Generales'!$E$19</f>
        <v>0</v>
      </c>
      <c r="AQ197" s="278">
        <f>TABLA_BASE[[#This Row],[CF UNIT.
✅RECUP.(S/.)]]*TABLA_BASE[[#This Row],[CANTIDAD
(unid.)]]</f>
        <v>0</v>
      </c>
      <c r="AR197" s="288">
        <f>'💰 Precio de Venta'!G202</f>
        <v>0.4</v>
      </c>
      <c r="AS197" s="278">
        <f>'💰 Precio de Venta'!H202</f>
        <v>0</v>
      </c>
      <c r="AT197" s="278">
        <f>TABLA_BASE[[#This Row],[VALOR VTA.
UNIT.(S/.)]]*TABLA_BASE[[#This Row],[CANTIDAD
(unid.)]]</f>
        <v>0</v>
      </c>
      <c r="AU197" s="281">
        <f>'💰 Precio de Venta'!I202</f>
        <v>0</v>
      </c>
      <c r="AV197" s="278">
        <f>'💰 Precio de Venta'!J202</f>
        <v>0</v>
      </c>
      <c r="AW197" s="278">
        <f>TABLA_BASE[[#This Row],[GANANCIA
UNIT.(S/.)]]*TABLA_BASE[[#This Row],[CANTIDAD
(unid.)]]</f>
        <v>0</v>
      </c>
      <c r="AX197" s="289">
        <f>'💰 Precio de Venta'!K202</f>
        <v>0</v>
      </c>
      <c r="AY197" s="278">
        <f>TABLA_BASE[[#This Row],[GANANCIA
UNIT.(S/.)]]*'🧾 Factura Comercial'!G201</f>
        <v>0</v>
      </c>
      <c r="AZ197" s="277">
        <f>IF(TABLA_BASE[[#This Row],[PRECIO VTA.
c/IGV(S/.)]]=0,0,TABLA_BASE[[#This Row],[GANANCIA
UNIT.(S/.)]]/TABLA_BASE[[#This Row],[PRECIO VTA.
c/IGV(S/.)]])</f>
        <v>0</v>
      </c>
      <c r="BA197" s="277">
        <f>IF(TABLA_BASE[[#This Row],[C/M UNIT.
(S/.)]]=0,0,TABLA_BASE[[#This Row],[GANANCIA
UNIT.(S/.)]]/TABLA_BASE[[#This Row],[C/M UNIT.
(S/.)]])</f>
        <v>0</v>
      </c>
      <c r="BB197" s="274" t="str">
        <f>IF(TABLA_BASE[[#This Row],[MARGEN
%]]&gt;=0.5,"🟢 ALTO",IF(TABLA_BASE[[#This Row],[MARGEN
%]]&gt;=0.3,"🟡 MEDIO","🔴 BAJO"))</f>
        <v>🟡 MEDIO</v>
      </c>
    </row>
    <row r="198" spans="1:54" ht="16.5" hidden="1" thickTop="1" thickBot="1" x14ac:dyDescent="0.3">
      <c r="A198" s="274">
        <f>'🧾 Factura Comercial'!E202</f>
        <v>0</v>
      </c>
      <c r="B198" s="274" t="str">
        <f>'🧾 Factura Comercial'!F202</f>
        <v>Unid.</v>
      </c>
      <c r="C198" s="275">
        <f>'🧾 Factura Comercial'!G202</f>
        <v>0</v>
      </c>
      <c r="D198" s="276">
        <f>'🧾 Factura Comercial'!H202</f>
        <v>0</v>
      </c>
      <c r="E198" s="276">
        <f>'🧾 Factura Comercial'!I202</f>
        <v>0</v>
      </c>
      <c r="F198" s="277">
        <f>IF('🧾 Tributos Aduana'!$F$6=0,0,'🧾 Factura Comercial'!I202/'🧾 Tributos Aduana'!$F$6)</f>
        <v>0</v>
      </c>
      <c r="G198" s="278">
        <f>'🧾 Factura Comercial'!H202*'📋 Datos Generales'!$E$19</f>
        <v>0</v>
      </c>
      <c r="H198" s="278">
        <f>TABLA_BASE[[#This Row],[FOB UNIT.
(S/.)]]*TABLA_BASE[[#This Row],[CANTIDAD
(unid.)]]</f>
        <v>0</v>
      </c>
      <c r="I198" s="280">
        <f>IF('🧾 Tributos Aduana'!$F$6=0,0,'🧾 Tributos Aduana'!$F$17*('🧾 Factura Comercial'!H202/'🧾 Tributos Aduana'!$F$6))</f>
        <v>0</v>
      </c>
      <c r="J198" s="280">
        <f>TABLA_BASE[[#This Row],[ADV UNIT.
(US$)
⚠️COSTO]]*TABLA_BASE[[#This Row],[CANTIDAD
(unid.)]]</f>
        <v>0</v>
      </c>
      <c r="K198" s="279">
        <f>IF('🧾 Tributos Aduana'!$F$6=0,0,'🧾 Tributos Aduana'!$F$18*('🧾 Factura Comercial'!H202/'🧾 Tributos Aduana'!$F$6))</f>
        <v>0</v>
      </c>
      <c r="L198" s="280">
        <f>TABLA_BASE[[#This Row],[IPM UNIT.
(US$)
✅CF]]*TABLA_BASE[[#This Row],[CANTIDAD
(unid.)]]</f>
        <v>0</v>
      </c>
      <c r="M198" s="279">
        <f>IF('🧾 Tributos Aduana'!$F$6=0,0,'🧾 Tributos Aduana'!$F$19*('🧾 Factura Comercial'!H202/'🧾 Tributos Aduana'!$F$6))</f>
        <v>0</v>
      </c>
      <c r="N198" s="280">
        <f>TABLA_BASE[[#This Row],[IGV UNIT.
(US$)
✅CF]]*TABLA_BASE[[#This Row],[CANTIDAD
(unid.)]]</f>
        <v>0</v>
      </c>
      <c r="O198" s="280">
        <f>IF('🧾 Tributos Aduana'!$F$6=0,0,'🧾 Tributos Aduana'!$F$23*('🧾 Factura Comercial'!H202/'🧾 Tributos Aduana'!$F$6))</f>
        <v>0</v>
      </c>
      <c r="P198" s="280">
        <f>TABLA_BASE[[#This Row],[PERCEP.
UNIT.(US$)
✅CF]]*TABLA_BASE[[#This Row],[CANTIDAD
(unid.)]]</f>
        <v>0</v>
      </c>
      <c r="Q198" s="279">
        <f>TABLA_BASE[[#This Row],[ADV UNIT.
(US$)
⚠️COSTO]]+TABLA_BASE[[#This Row],[IPM UNIT.
(US$)
✅CF]]+TABLA_BASE[[#This Row],[IGV UNIT.
(US$)
✅CF]]</f>
        <v>0</v>
      </c>
      <c r="R198" s="280">
        <f>TABLA_BASE[[#This Row],[DEUDA
ADUANERA
UNIT.]]*TABLA_BASE[[#This Row],[CANTIDAD
(unid.)]]</f>
        <v>0</v>
      </c>
      <c r="S198" s="278">
        <f>TABLA_BASE[[#This Row],[DEUDA
ADUANERA
UNIT.]]*'📋 Datos Generales'!$E$19</f>
        <v>0</v>
      </c>
      <c r="T198" s="278">
        <f>TABLA_BASE[[#This Row],[DEUDA
ADUANERA
TOTAL]]*'📋 Datos Generales'!$E$19</f>
        <v>0</v>
      </c>
      <c r="U198" s="281">
        <f>TABLA_BASE[[#This Row],[ADV UNIT.
(US$)
⚠️COSTO]]*'📋 Datos Generales'!$E$19</f>
        <v>0</v>
      </c>
      <c r="V198" s="281">
        <f>TABLA_BASE[[#This Row],[ADV UNIT.
(S/.)]]*TABLA_BASE[[#This Row],[CANTIDAD
(unid.)]]</f>
        <v>0</v>
      </c>
      <c r="W198" s="281">
        <f>TABLA_BASE[[#This Row],[IPM UNIT.
(US$)
✅CF]]*'📋 Datos Generales'!$E$19</f>
        <v>0</v>
      </c>
      <c r="X198" s="281">
        <f>TABLA_BASE[[#This Row],[IPM UNIT.
(S/.)]]*TABLA_BASE[[#This Row],[CANTIDAD
(unid.)]]</f>
        <v>0</v>
      </c>
      <c r="Y198" s="281">
        <f>TABLA_BASE[[#This Row],[IGV UNIT.
(US$)
✅CF]]*'📋 Datos Generales'!$E$19</f>
        <v>0</v>
      </c>
      <c r="Z198" s="281">
        <f>TABLA_BASE[[#This Row],[IGV UNIT.
(S/.)]]*TABLA_BASE[[#This Row],[CANTIDAD
(unid.)]]</f>
        <v>0</v>
      </c>
      <c r="AA198" s="281">
        <f>TABLA_BASE[[#This Row],[PERCEP.
UNIT.(US$)
✅CF]]*'📋 Datos Generales'!$E$19</f>
        <v>0</v>
      </c>
      <c r="AB198" s="281">
        <f>TABLA_BASE[[#This Row],[PERCEP.
UNIT.(S/.)]]*TABLA_BASE[[#This Row],[CANTIDAD
(unid.)]]</f>
        <v>0</v>
      </c>
      <c r="AC198" s="279">
        <f>TABLA_BASE[[#This Row],[ADV UNIT.
(US$)
⚠️COSTO]]+TABLA_BASE[[#This Row],[IPM UNIT.
(US$)
✅CF]]+TABLA_BASE[[#This Row],[IGV UNIT.
(US$)
✅CF]]+TABLA_BASE[[#This Row],[PERCEP.
UNIT.(US$)
✅CF]]</f>
        <v>0</v>
      </c>
      <c r="AD198" s="279">
        <f>TABLA_BASE[[#This Row],[TOTAL PAGO
SUNAT
UNIT.(US$)]]*TABLA_BASE[[#This Row],[CANTIDAD
(unid.)]]</f>
        <v>0</v>
      </c>
      <c r="AE198" s="281">
        <f>TABLA_BASE[[#This Row],[TOTAL PAGO
SUNAT
UNIT.(US$)]]*'📋 Datos Generales'!$E$19</f>
        <v>0</v>
      </c>
      <c r="AF198" s="281">
        <f>TABLA_BASE[[#This Row],[TOTAL TRIB.
UNIT.(S/.)]]*TABLA_BASE[[#This Row],[CANTIDAD
(unid.)]]</f>
        <v>0</v>
      </c>
      <c r="AG198" s="279">
        <f>IF('🧾 Factura Comercial'!G202=0,0,'📦 Gastos Importación'!$E$28*(IF('🧾 Tributos Aduana'!$F$6=0,0,'🧾 Factura Comercial'!I202/'🧾 Tributos Aduana'!$F$6))/'🧾 Factura Comercial'!G202)</f>
        <v>0</v>
      </c>
      <c r="AH198" s="279">
        <f>TABLA_BASE[[#This Row],[GASTOS IMP.
UNIT.(US$)]]*TABLA_BASE[[#This Row],[CANTIDAD
(unid.)]]</f>
        <v>0</v>
      </c>
      <c r="AI198" s="281">
        <f>TABLA_BASE[[#This Row],[GASTOS IMP.
UNIT.(US$)]]*'📋 Datos Generales'!$E$19</f>
        <v>0</v>
      </c>
      <c r="AJ198" s="281">
        <f>TABLA_BASE[[#This Row],[GASTOS IMP.
UNIT.(S/.)]]*TABLA_BASE[[#This Row],[CANTIDAD
(unid.)]]</f>
        <v>0</v>
      </c>
      <c r="AK198" s="280">
        <f>'🧮 Costos x Producto'!J202</f>
        <v>0</v>
      </c>
      <c r="AL198" s="278">
        <f>'🧮 Costos x Producto'!K202</f>
        <v>0</v>
      </c>
      <c r="AM198" s="278">
        <f>TABLA_BASE[[#This Row],[C/M UNIT.
(S/.)]]*TABLA_BASE[[#This Row],[CANTIDAD
(unid.)]]</f>
        <v>0</v>
      </c>
      <c r="AN198" s="279">
        <f>IF('🧾 Factura Comercial'!G202=0,0,'🧾 Tributos Aduana'!$F$17*(IF('🧾 Tributos Aduana'!$F$6=0,0,'🧾 Factura Comercial'!I202/'🧾 Tributos Aduana'!$F$6))/'🧾 Factura Comercial'!G202)</f>
        <v>0</v>
      </c>
      <c r="AO198" s="280">
        <f>IF('🧾 Factura Comercial'!G202=0,0,'🏦 Crédito Fiscal'!$C$16*(IF('🧾 Tributos Aduana'!$F$6=0,0,'🧾 Factura Comercial'!I202/'🧾 Tributos Aduana'!$F$6))/'🧾 Factura Comercial'!G202)</f>
        <v>0</v>
      </c>
      <c r="AP198" s="278">
        <f>TABLA_BASE[[#This Row],[CF UNIT.
✅RECUP.
(US$)]]*'📋 Datos Generales'!$E$19</f>
        <v>0</v>
      </c>
      <c r="AQ198" s="278">
        <f>TABLA_BASE[[#This Row],[CF UNIT.
✅RECUP.(S/.)]]*TABLA_BASE[[#This Row],[CANTIDAD
(unid.)]]</f>
        <v>0</v>
      </c>
      <c r="AR198" s="288">
        <f>'💰 Precio de Venta'!G203</f>
        <v>0.4</v>
      </c>
      <c r="AS198" s="278">
        <f>'💰 Precio de Venta'!H203</f>
        <v>0</v>
      </c>
      <c r="AT198" s="278">
        <f>TABLA_BASE[[#This Row],[VALOR VTA.
UNIT.(S/.)]]*TABLA_BASE[[#This Row],[CANTIDAD
(unid.)]]</f>
        <v>0</v>
      </c>
      <c r="AU198" s="281">
        <f>'💰 Precio de Venta'!I203</f>
        <v>0</v>
      </c>
      <c r="AV198" s="278">
        <f>'💰 Precio de Venta'!J203</f>
        <v>0</v>
      </c>
      <c r="AW198" s="278">
        <f>TABLA_BASE[[#This Row],[GANANCIA
UNIT.(S/.)]]*TABLA_BASE[[#This Row],[CANTIDAD
(unid.)]]</f>
        <v>0</v>
      </c>
      <c r="AX198" s="289">
        <f>'💰 Precio de Venta'!K203</f>
        <v>0</v>
      </c>
      <c r="AY198" s="278">
        <f>TABLA_BASE[[#This Row],[GANANCIA
UNIT.(S/.)]]*'🧾 Factura Comercial'!G202</f>
        <v>0</v>
      </c>
      <c r="AZ198" s="277">
        <f>IF(TABLA_BASE[[#This Row],[PRECIO VTA.
c/IGV(S/.)]]=0,0,TABLA_BASE[[#This Row],[GANANCIA
UNIT.(S/.)]]/TABLA_BASE[[#This Row],[PRECIO VTA.
c/IGV(S/.)]])</f>
        <v>0</v>
      </c>
      <c r="BA198" s="277">
        <f>IF(TABLA_BASE[[#This Row],[C/M UNIT.
(S/.)]]=0,0,TABLA_BASE[[#This Row],[GANANCIA
UNIT.(S/.)]]/TABLA_BASE[[#This Row],[C/M UNIT.
(S/.)]])</f>
        <v>0</v>
      </c>
      <c r="BB198" s="274" t="str">
        <f>IF(TABLA_BASE[[#This Row],[MARGEN
%]]&gt;=0.5,"🟢 ALTO",IF(TABLA_BASE[[#This Row],[MARGEN
%]]&gt;=0.3,"🟡 MEDIO","🔴 BAJO"))</f>
        <v>🟡 MEDIO</v>
      </c>
    </row>
    <row r="199" spans="1:54" ht="16.5" hidden="1" thickTop="1" thickBot="1" x14ac:dyDescent="0.3">
      <c r="A199" s="274">
        <f>'🧾 Factura Comercial'!E203</f>
        <v>0</v>
      </c>
      <c r="B199" s="274" t="str">
        <f>'🧾 Factura Comercial'!F203</f>
        <v>Unid.</v>
      </c>
      <c r="C199" s="275">
        <f>'🧾 Factura Comercial'!G203</f>
        <v>0</v>
      </c>
      <c r="D199" s="276">
        <f>'🧾 Factura Comercial'!H203</f>
        <v>0</v>
      </c>
      <c r="E199" s="276">
        <f>'🧾 Factura Comercial'!I203</f>
        <v>0</v>
      </c>
      <c r="F199" s="277">
        <f>IF('🧾 Tributos Aduana'!$F$6=0,0,'🧾 Factura Comercial'!I203/'🧾 Tributos Aduana'!$F$6)</f>
        <v>0</v>
      </c>
      <c r="G199" s="278">
        <f>'🧾 Factura Comercial'!H203*'📋 Datos Generales'!$E$19</f>
        <v>0</v>
      </c>
      <c r="H199" s="278">
        <f>TABLA_BASE[[#This Row],[FOB UNIT.
(S/.)]]*TABLA_BASE[[#This Row],[CANTIDAD
(unid.)]]</f>
        <v>0</v>
      </c>
      <c r="I199" s="280">
        <f>IF('🧾 Tributos Aduana'!$F$6=0,0,'🧾 Tributos Aduana'!$F$17*('🧾 Factura Comercial'!H203/'🧾 Tributos Aduana'!$F$6))</f>
        <v>0</v>
      </c>
      <c r="J199" s="280">
        <f>TABLA_BASE[[#This Row],[ADV UNIT.
(US$)
⚠️COSTO]]*TABLA_BASE[[#This Row],[CANTIDAD
(unid.)]]</f>
        <v>0</v>
      </c>
      <c r="K199" s="279">
        <f>IF('🧾 Tributos Aduana'!$F$6=0,0,'🧾 Tributos Aduana'!$F$18*('🧾 Factura Comercial'!H203/'🧾 Tributos Aduana'!$F$6))</f>
        <v>0</v>
      </c>
      <c r="L199" s="280">
        <f>TABLA_BASE[[#This Row],[IPM UNIT.
(US$)
✅CF]]*TABLA_BASE[[#This Row],[CANTIDAD
(unid.)]]</f>
        <v>0</v>
      </c>
      <c r="M199" s="279">
        <f>IF('🧾 Tributos Aduana'!$F$6=0,0,'🧾 Tributos Aduana'!$F$19*('🧾 Factura Comercial'!H203/'🧾 Tributos Aduana'!$F$6))</f>
        <v>0</v>
      </c>
      <c r="N199" s="280">
        <f>TABLA_BASE[[#This Row],[IGV UNIT.
(US$)
✅CF]]*TABLA_BASE[[#This Row],[CANTIDAD
(unid.)]]</f>
        <v>0</v>
      </c>
      <c r="O199" s="280">
        <f>IF('🧾 Tributos Aduana'!$F$6=0,0,'🧾 Tributos Aduana'!$F$23*('🧾 Factura Comercial'!H203/'🧾 Tributos Aduana'!$F$6))</f>
        <v>0</v>
      </c>
      <c r="P199" s="280">
        <f>TABLA_BASE[[#This Row],[PERCEP.
UNIT.(US$)
✅CF]]*TABLA_BASE[[#This Row],[CANTIDAD
(unid.)]]</f>
        <v>0</v>
      </c>
      <c r="Q199" s="279">
        <f>TABLA_BASE[[#This Row],[ADV UNIT.
(US$)
⚠️COSTO]]+TABLA_BASE[[#This Row],[IPM UNIT.
(US$)
✅CF]]+TABLA_BASE[[#This Row],[IGV UNIT.
(US$)
✅CF]]</f>
        <v>0</v>
      </c>
      <c r="R199" s="280">
        <f>TABLA_BASE[[#This Row],[DEUDA
ADUANERA
UNIT.]]*TABLA_BASE[[#This Row],[CANTIDAD
(unid.)]]</f>
        <v>0</v>
      </c>
      <c r="S199" s="278">
        <f>TABLA_BASE[[#This Row],[DEUDA
ADUANERA
UNIT.]]*'📋 Datos Generales'!$E$19</f>
        <v>0</v>
      </c>
      <c r="T199" s="278">
        <f>TABLA_BASE[[#This Row],[DEUDA
ADUANERA
TOTAL]]*'📋 Datos Generales'!$E$19</f>
        <v>0</v>
      </c>
      <c r="U199" s="281">
        <f>TABLA_BASE[[#This Row],[ADV UNIT.
(US$)
⚠️COSTO]]*'📋 Datos Generales'!$E$19</f>
        <v>0</v>
      </c>
      <c r="V199" s="281">
        <f>TABLA_BASE[[#This Row],[ADV UNIT.
(S/.)]]*TABLA_BASE[[#This Row],[CANTIDAD
(unid.)]]</f>
        <v>0</v>
      </c>
      <c r="W199" s="281">
        <f>TABLA_BASE[[#This Row],[IPM UNIT.
(US$)
✅CF]]*'📋 Datos Generales'!$E$19</f>
        <v>0</v>
      </c>
      <c r="X199" s="281">
        <f>TABLA_BASE[[#This Row],[IPM UNIT.
(S/.)]]*TABLA_BASE[[#This Row],[CANTIDAD
(unid.)]]</f>
        <v>0</v>
      </c>
      <c r="Y199" s="281">
        <f>TABLA_BASE[[#This Row],[IGV UNIT.
(US$)
✅CF]]*'📋 Datos Generales'!$E$19</f>
        <v>0</v>
      </c>
      <c r="Z199" s="281">
        <f>TABLA_BASE[[#This Row],[IGV UNIT.
(S/.)]]*TABLA_BASE[[#This Row],[CANTIDAD
(unid.)]]</f>
        <v>0</v>
      </c>
      <c r="AA199" s="281">
        <f>TABLA_BASE[[#This Row],[PERCEP.
UNIT.(US$)
✅CF]]*'📋 Datos Generales'!$E$19</f>
        <v>0</v>
      </c>
      <c r="AB199" s="281">
        <f>TABLA_BASE[[#This Row],[PERCEP.
UNIT.(S/.)]]*TABLA_BASE[[#This Row],[CANTIDAD
(unid.)]]</f>
        <v>0</v>
      </c>
      <c r="AC199" s="279">
        <f>TABLA_BASE[[#This Row],[ADV UNIT.
(US$)
⚠️COSTO]]+TABLA_BASE[[#This Row],[IPM UNIT.
(US$)
✅CF]]+TABLA_BASE[[#This Row],[IGV UNIT.
(US$)
✅CF]]+TABLA_BASE[[#This Row],[PERCEP.
UNIT.(US$)
✅CF]]</f>
        <v>0</v>
      </c>
      <c r="AD199" s="279">
        <f>TABLA_BASE[[#This Row],[TOTAL PAGO
SUNAT
UNIT.(US$)]]*TABLA_BASE[[#This Row],[CANTIDAD
(unid.)]]</f>
        <v>0</v>
      </c>
      <c r="AE199" s="281">
        <f>TABLA_BASE[[#This Row],[TOTAL PAGO
SUNAT
UNIT.(US$)]]*'📋 Datos Generales'!$E$19</f>
        <v>0</v>
      </c>
      <c r="AF199" s="281">
        <f>TABLA_BASE[[#This Row],[TOTAL TRIB.
UNIT.(S/.)]]*TABLA_BASE[[#This Row],[CANTIDAD
(unid.)]]</f>
        <v>0</v>
      </c>
      <c r="AG199" s="279">
        <f>IF('🧾 Factura Comercial'!G203=0,0,'📦 Gastos Importación'!$E$28*(IF('🧾 Tributos Aduana'!$F$6=0,0,'🧾 Factura Comercial'!I203/'🧾 Tributos Aduana'!$F$6))/'🧾 Factura Comercial'!G203)</f>
        <v>0</v>
      </c>
      <c r="AH199" s="279">
        <f>TABLA_BASE[[#This Row],[GASTOS IMP.
UNIT.(US$)]]*TABLA_BASE[[#This Row],[CANTIDAD
(unid.)]]</f>
        <v>0</v>
      </c>
      <c r="AI199" s="281">
        <f>TABLA_BASE[[#This Row],[GASTOS IMP.
UNIT.(US$)]]*'📋 Datos Generales'!$E$19</f>
        <v>0</v>
      </c>
      <c r="AJ199" s="281">
        <f>TABLA_BASE[[#This Row],[GASTOS IMP.
UNIT.(S/.)]]*TABLA_BASE[[#This Row],[CANTIDAD
(unid.)]]</f>
        <v>0</v>
      </c>
      <c r="AK199" s="280">
        <f>'🧮 Costos x Producto'!J203</f>
        <v>0</v>
      </c>
      <c r="AL199" s="278">
        <f>'🧮 Costos x Producto'!K203</f>
        <v>0</v>
      </c>
      <c r="AM199" s="278">
        <f>TABLA_BASE[[#This Row],[C/M UNIT.
(S/.)]]*TABLA_BASE[[#This Row],[CANTIDAD
(unid.)]]</f>
        <v>0</v>
      </c>
      <c r="AN199" s="279">
        <f>IF('🧾 Factura Comercial'!G203=0,0,'🧾 Tributos Aduana'!$F$17*(IF('🧾 Tributos Aduana'!$F$6=0,0,'🧾 Factura Comercial'!I203/'🧾 Tributos Aduana'!$F$6))/'🧾 Factura Comercial'!G203)</f>
        <v>0</v>
      </c>
      <c r="AO199" s="280">
        <f>IF('🧾 Factura Comercial'!G203=0,0,'🏦 Crédito Fiscal'!$C$16*(IF('🧾 Tributos Aduana'!$F$6=0,0,'🧾 Factura Comercial'!I203/'🧾 Tributos Aduana'!$F$6))/'🧾 Factura Comercial'!G203)</f>
        <v>0</v>
      </c>
      <c r="AP199" s="278">
        <f>TABLA_BASE[[#This Row],[CF UNIT.
✅RECUP.
(US$)]]*'📋 Datos Generales'!$E$19</f>
        <v>0</v>
      </c>
      <c r="AQ199" s="278">
        <f>TABLA_BASE[[#This Row],[CF UNIT.
✅RECUP.(S/.)]]*TABLA_BASE[[#This Row],[CANTIDAD
(unid.)]]</f>
        <v>0</v>
      </c>
      <c r="AR199" s="288">
        <f>'💰 Precio de Venta'!G204</f>
        <v>0.4</v>
      </c>
      <c r="AS199" s="278">
        <f>'💰 Precio de Venta'!H204</f>
        <v>0</v>
      </c>
      <c r="AT199" s="278">
        <f>TABLA_BASE[[#This Row],[VALOR VTA.
UNIT.(S/.)]]*TABLA_BASE[[#This Row],[CANTIDAD
(unid.)]]</f>
        <v>0</v>
      </c>
      <c r="AU199" s="281">
        <f>'💰 Precio de Venta'!I204</f>
        <v>0</v>
      </c>
      <c r="AV199" s="278">
        <f>'💰 Precio de Venta'!J204</f>
        <v>0</v>
      </c>
      <c r="AW199" s="278">
        <f>TABLA_BASE[[#This Row],[GANANCIA
UNIT.(S/.)]]*TABLA_BASE[[#This Row],[CANTIDAD
(unid.)]]</f>
        <v>0</v>
      </c>
      <c r="AX199" s="289">
        <f>'💰 Precio de Venta'!K204</f>
        <v>0</v>
      </c>
      <c r="AY199" s="278">
        <f>TABLA_BASE[[#This Row],[GANANCIA
UNIT.(S/.)]]*'🧾 Factura Comercial'!G203</f>
        <v>0</v>
      </c>
      <c r="AZ199" s="277">
        <f>IF(TABLA_BASE[[#This Row],[PRECIO VTA.
c/IGV(S/.)]]=0,0,TABLA_BASE[[#This Row],[GANANCIA
UNIT.(S/.)]]/TABLA_BASE[[#This Row],[PRECIO VTA.
c/IGV(S/.)]])</f>
        <v>0</v>
      </c>
      <c r="BA199" s="277">
        <f>IF(TABLA_BASE[[#This Row],[C/M UNIT.
(S/.)]]=0,0,TABLA_BASE[[#This Row],[GANANCIA
UNIT.(S/.)]]/TABLA_BASE[[#This Row],[C/M UNIT.
(S/.)]])</f>
        <v>0</v>
      </c>
      <c r="BB199" s="274" t="str">
        <f>IF(TABLA_BASE[[#This Row],[MARGEN
%]]&gt;=0.5,"🟢 ALTO",IF(TABLA_BASE[[#This Row],[MARGEN
%]]&gt;=0.3,"🟡 MEDIO","🔴 BAJO"))</f>
        <v>🟡 MEDIO</v>
      </c>
    </row>
    <row r="200" spans="1:54" ht="16.5" hidden="1" thickTop="1" thickBot="1" x14ac:dyDescent="0.3">
      <c r="A200" s="274">
        <f>'🧾 Factura Comercial'!E204</f>
        <v>0</v>
      </c>
      <c r="B200" s="274" t="str">
        <f>'🧾 Factura Comercial'!F204</f>
        <v>Unid.</v>
      </c>
      <c r="C200" s="275">
        <f>'🧾 Factura Comercial'!G204</f>
        <v>0</v>
      </c>
      <c r="D200" s="276">
        <f>'🧾 Factura Comercial'!H204</f>
        <v>0</v>
      </c>
      <c r="E200" s="276">
        <f>'🧾 Factura Comercial'!I204</f>
        <v>0</v>
      </c>
      <c r="F200" s="277">
        <f>IF('🧾 Tributos Aduana'!$F$6=0,0,'🧾 Factura Comercial'!I204/'🧾 Tributos Aduana'!$F$6)</f>
        <v>0</v>
      </c>
      <c r="G200" s="278">
        <f>'🧾 Factura Comercial'!H204*'📋 Datos Generales'!$E$19</f>
        <v>0</v>
      </c>
      <c r="H200" s="278">
        <f>TABLA_BASE[[#This Row],[FOB UNIT.
(S/.)]]*TABLA_BASE[[#This Row],[CANTIDAD
(unid.)]]</f>
        <v>0</v>
      </c>
      <c r="I200" s="280">
        <f>IF('🧾 Tributos Aduana'!$F$6=0,0,'🧾 Tributos Aduana'!$F$17*('🧾 Factura Comercial'!H204/'🧾 Tributos Aduana'!$F$6))</f>
        <v>0</v>
      </c>
      <c r="J200" s="280">
        <f>TABLA_BASE[[#This Row],[ADV UNIT.
(US$)
⚠️COSTO]]*TABLA_BASE[[#This Row],[CANTIDAD
(unid.)]]</f>
        <v>0</v>
      </c>
      <c r="K200" s="279">
        <f>IF('🧾 Tributos Aduana'!$F$6=0,0,'🧾 Tributos Aduana'!$F$18*('🧾 Factura Comercial'!H204/'🧾 Tributos Aduana'!$F$6))</f>
        <v>0</v>
      </c>
      <c r="L200" s="280">
        <f>TABLA_BASE[[#This Row],[IPM UNIT.
(US$)
✅CF]]*TABLA_BASE[[#This Row],[CANTIDAD
(unid.)]]</f>
        <v>0</v>
      </c>
      <c r="M200" s="279">
        <f>IF('🧾 Tributos Aduana'!$F$6=0,0,'🧾 Tributos Aduana'!$F$19*('🧾 Factura Comercial'!H204/'🧾 Tributos Aduana'!$F$6))</f>
        <v>0</v>
      </c>
      <c r="N200" s="280">
        <f>TABLA_BASE[[#This Row],[IGV UNIT.
(US$)
✅CF]]*TABLA_BASE[[#This Row],[CANTIDAD
(unid.)]]</f>
        <v>0</v>
      </c>
      <c r="O200" s="280">
        <f>IF('🧾 Tributos Aduana'!$F$6=0,0,'🧾 Tributos Aduana'!$F$23*('🧾 Factura Comercial'!H204/'🧾 Tributos Aduana'!$F$6))</f>
        <v>0</v>
      </c>
      <c r="P200" s="280">
        <f>TABLA_BASE[[#This Row],[PERCEP.
UNIT.(US$)
✅CF]]*TABLA_BASE[[#This Row],[CANTIDAD
(unid.)]]</f>
        <v>0</v>
      </c>
      <c r="Q200" s="279">
        <f>TABLA_BASE[[#This Row],[ADV UNIT.
(US$)
⚠️COSTO]]+TABLA_BASE[[#This Row],[IPM UNIT.
(US$)
✅CF]]+TABLA_BASE[[#This Row],[IGV UNIT.
(US$)
✅CF]]</f>
        <v>0</v>
      </c>
      <c r="R200" s="280">
        <f>TABLA_BASE[[#This Row],[DEUDA
ADUANERA
UNIT.]]*TABLA_BASE[[#This Row],[CANTIDAD
(unid.)]]</f>
        <v>0</v>
      </c>
      <c r="S200" s="278">
        <f>TABLA_BASE[[#This Row],[DEUDA
ADUANERA
UNIT.]]*'📋 Datos Generales'!$E$19</f>
        <v>0</v>
      </c>
      <c r="T200" s="278">
        <f>TABLA_BASE[[#This Row],[DEUDA
ADUANERA
TOTAL]]*'📋 Datos Generales'!$E$19</f>
        <v>0</v>
      </c>
      <c r="U200" s="281">
        <f>TABLA_BASE[[#This Row],[ADV UNIT.
(US$)
⚠️COSTO]]*'📋 Datos Generales'!$E$19</f>
        <v>0</v>
      </c>
      <c r="V200" s="281">
        <f>TABLA_BASE[[#This Row],[ADV UNIT.
(S/.)]]*TABLA_BASE[[#This Row],[CANTIDAD
(unid.)]]</f>
        <v>0</v>
      </c>
      <c r="W200" s="281">
        <f>TABLA_BASE[[#This Row],[IPM UNIT.
(US$)
✅CF]]*'📋 Datos Generales'!$E$19</f>
        <v>0</v>
      </c>
      <c r="X200" s="281">
        <f>TABLA_BASE[[#This Row],[IPM UNIT.
(S/.)]]*TABLA_BASE[[#This Row],[CANTIDAD
(unid.)]]</f>
        <v>0</v>
      </c>
      <c r="Y200" s="281">
        <f>TABLA_BASE[[#This Row],[IGV UNIT.
(US$)
✅CF]]*'📋 Datos Generales'!$E$19</f>
        <v>0</v>
      </c>
      <c r="Z200" s="281">
        <f>TABLA_BASE[[#This Row],[IGV UNIT.
(S/.)]]*TABLA_BASE[[#This Row],[CANTIDAD
(unid.)]]</f>
        <v>0</v>
      </c>
      <c r="AA200" s="281">
        <f>TABLA_BASE[[#This Row],[PERCEP.
UNIT.(US$)
✅CF]]*'📋 Datos Generales'!$E$19</f>
        <v>0</v>
      </c>
      <c r="AB200" s="281">
        <f>TABLA_BASE[[#This Row],[PERCEP.
UNIT.(S/.)]]*TABLA_BASE[[#This Row],[CANTIDAD
(unid.)]]</f>
        <v>0</v>
      </c>
      <c r="AC200" s="279">
        <f>TABLA_BASE[[#This Row],[ADV UNIT.
(US$)
⚠️COSTO]]+TABLA_BASE[[#This Row],[IPM UNIT.
(US$)
✅CF]]+TABLA_BASE[[#This Row],[IGV UNIT.
(US$)
✅CF]]+TABLA_BASE[[#This Row],[PERCEP.
UNIT.(US$)
✅CF]]</f>
        <v>0</v>
      </c>
      <c r="AD200" s="279">
        <f>TABLA_BASE[[#This Row],[TOTAL PAGO
SUNAT
UNIT.(US$)]]*TABLA_BASE[[#This Row],[CANTIDAD
(unid.)]]</f>
        <v>0</v>
      </c>
      <c r="AE200" s="281">
        <f>TABLA_BASE[[#This Row],[TOTAL PAGO
SUNAT
UNIT.(US$)]]*'📋 Datos Generales'!$E$19</f>
        <v>0</v>
      </c>
      <c r="AF200" s="281">
        <f>TABLA_BASE[[#This Row],[TOTAL TRIB.
UNIT.(S/.)]]*TABLA_BASE[[#This Row],[CANTIDAD
(unid.)]]</f>
        <v>0</v>
      </c>
      <c r="AG200" s="279">
        <f>IF('🧾 Factura Comercial'!G204=0,0,'📦 Gastos Importación'!$E$28*(IF('🧾 Tributos Aduana'!$F$6=0,0,'🧾 Factura Comercial'!I204/'🧾 Tributos Aduana'!$F$6))/'🧾 Factura Comercial'!G204)</f>
        <v>0</v>
      </c>
      <c r="AH200" s="279">
        <f>TABLA_BASE[[#This Row],[GASTOS IMP.
UNIT.(US$)]]*TABLA_BASE[[#This Row],[CANTIDAD
(unid.)]]</f>
        <v>0</v>
      </c>
      <c r="AI200" s="281">
        <f>TABLA_BASE[[#This Row],[GASTOS IMP.
UNIT.(US$)]]*'📋 Datos Generales'!$E$19</f>
        <v>0</v>
      </c>
      <c r="AJ200" s="281">
        <f>TABLA_BASE[[#This Row],[GASTOS IMP.
UNIT.(S/.)]]*TABLA_BASE[[#This Row],[CANTIDAD
(unid.)]]</f>
        <v>0</v>
      </c>
      <c r="AK200" s="280">
        <f>'🧮 Costos x Producto'!J204</f>
        <v>0</v>
      </c>
      <c r="AL200" s="278">
        <f>'🧮 Costos x Producto'!K204</f>
        <v>0</v>
      </c>
      <c r="AM200" s="278">
        <f>TABLA_BASE[[#This Row],[C/M UNIT.
(S/.)]]*TABLA_BASE[[#This Row],[CANTIDAD
(unid.)]]</f>
        <v>0</v>
      </c>
      <c r="AN200" s="279">
        <f>IF('🧾 Factura Comercial'!G204=0,0,'🧾 Tributos Aduana'!$F$17*(IF('🧾 Tributos Aduana'!$F$6=0,0,'🧾 Factura Comercial'!I204/'🧾 Tributos Aduana'!$F$6))/'🧾 Factura Comercial'!G204)</f>
        <v>0</v>
      </c>
      <c r="AO200" s="280">
        <f>IF('🧾 Factura Comercial'!G204=0,0,'🏦 Crédito Fiscal'!$C$16*(IF('🧾 Tributos Aduana'!$F$6=0,0,'🧾 Factura Comercial'!I204/'🧾 Tributos Aduana'!$F$6))/'🧾 Factura Comercial'!G204)</f>
        <v>0</v>
      </c>
      <c r="AP200" s="278">
        <f>TABLA_BASE[[#This Row],[CF UNIT.
✅RECUP.
(US$)]]*'📋 Datos Generales'!$E$19</f>
        <v>0</v>
      </c>
      <c r="AQ200" s="278">
        <f>TABLA_BASE[[#This Row],[CF UNIT.
✅RECUP.(S/.)]]*TABLA_BASE[[#This Row],[CANTIDAD
(unid.)]]</f>
        <v>0</v>
      </c>
      <c r="AR200" s="288">
        <f>'💰 Precio de Venta'!G205</f>
        <v>0.4</v>
      </c>
      <c r="AS200" s="278">
        <f>'💰 Precio de Venta'!H205</f>
        <v>0</v>
      </c>
      <c r="AT200" s="278">
        <f>TABLA_BASE[[#This Row],[VALOR VTA.
UNIT.(S/.)]]*TABLA_BASE[[#This Row],[CANTIDAD
(unid.)]]</f>
        <v>0</v>
      </c>
      <c r="AU200" s="281">
        <f>'💰 Precio de Venta'!I205</f>
        <v>0</v>
      </c>
      <c r="AV200" s="278">
        <f>'💰 Precio de Venta'!J205</f>
        <v>0</v>
      </c>
      <c r="AW200" s="278">
        <f>TABLA_BASE[[#This Row],[GANANCIA
UNIT.(S/.)]]*TABLA_BASE[[#This Row],[CANTIDAD
(unid.)]]</f>
        <v>0</v>
      </c>
      <c r="AX200" s="289">
        <f>'💰 Precio de Venta'!K205</f>
        <v>0</v>
      </c>
      <c r="AY200" s="278">
        <f>TABLA_BASE[[#This Row],[GANANCIA
UNIT.(S/.)]]*'🧾 Factura Comercial'!G204</f>
        <v>0</v>
      </c>
      <c r="AZ200" s="277">
        <f>IF(TABLA_BASE[[#This Row],[PRECIO VTA.
c/IGV(S/.)]]=0,0,TABLA_BASE[[#This Row],[GANANCIA
UNIT.(S/.)]]/TABLA_BASE[[#This Row],[PRECIO VTA.
c/IGV(S/.)]])</f>
        <v>0</v>
      </c>
      <c r="BA200" s="277">
        <f>IF(TABLA_BASE[[#This Row],[C/M UNIT.
(S/.)]]=0,0,TABLA_BASE[[#This Row],[GANANCIA
UNIT.(S/.)]]/TABLA_BASE[[#This Row],[C/M UNIT.
(S/.)]])</f>
        <v>0</v>
      </c>
      <c r="BB200" s="274" t="str">
        <f>IF(TABLA_BASE[[#This Row],[MARGEN
%]]&gt;=0.5,"🟢 ALTO",IF(TABLA_BASE[[#This Row],[MARGEN
%]]&gt;=0.3,"🟡 MEDIO","🔴 BAJO"))</f>
        <v>🟡 MEDIO</v>
      </c>
    </row>
    <row r="201" spans="1:54" ht="16.5" hidden="1" thickTop="1" thickBot="1" x14ac:dyDescent="0.3">
      <c r="A201" s="274">
        <f>'🧾 Factura Comercial'!E205</f>
        <v>0</v>
      </c>
      <c r="B201" s="274" t="str">
        <f>'🧾 Factura Comercial'!F205</f>
        <v>Unid.</v>
      </c>
      <c r="C201" s="275">
        <f>'🧾 Factura Comercial'!G205</f>
        <v>0</v>
      </c>
      <c r="D201" s="276">
        <f>'🧾 Factura Comercial'!H205</f>
        <v>0</v>
      </c>
      <c r="E201" s="276">
        <f>'🧾 Factura Comercial'!I205</f>
        <v>0</v>
      </c>
      <c r="F201" s="277">
        <f>IF('🧾 Tributos Aduana'!$F$6=0,0,'🧾 Factura Comercial'!I205/'🧾 Tributos Aduana'!$F$6)</f>
        <v>0</v>
      </c>
      <c r="G201" s="278">
        <f>'🧾 Factura Comercial'!H205*'📋 Datos Generales'!$E$19</f>
        <v>0</v>
      </c>
      <c r="H201" s="278">
        <f>TABLA_BASE[[#This Row],[FOB UNIT.
(S/.)]]*TABLA_BASE[[#This Row],[CANTIDAD
(unid.)]]</f>
        <v>0</v>
      </c>
      <c r="I201" s="280">
        <f>IF('🧾 Tributos Aduana'!$F$6=0,0,'🧾 Tributos Aduana'!$F$17*('🧾 Factura Comercial'!H205/'🧾 Tributos Aduana'!$F$6))</f>
        <v>0</v>
      </c>
      <c r="J201" s="280">
        <f>TABLA_BASE[[#This Row],[ADV UNIT.
(US$)
⚠️COSTO]]*TABLA_BASE[[#This Row],[CANTIDAD
(unid.)]]</f>
        <v>0</v>
      </c>
      <c r="K201" s="279">
        <f>IF('🧾 Tributos Aduana'!$F$6=0,0,'🧾 Tributos Aduana'!$F$18*('🧾 Factura Comercial'!H205/'🧾 Tributos Aduana'!$F$6))</f>
        <v>0</v>
      </c>
      <c r="L201" s="280">
        <f>TABLA_BASE[[#This Row],[IPM UNIT.
(US$)
✅CF]]*TABLA_BASE[[#This Row],[CANTIDAD
(unid.)]]</f>
        <v>0</v>
      </c>
      <c r="M201" s="279">
        <f>IF('🧾 Tributos Aduana'!$F$6=0,0,'🧾 Tributos Aduana'!$F$19*('🧾 Factura Comercial'!H205/'🧾 Tributos Aduana'!$F$6))</f>
        <v>0</v>
      </c>
      <c r="N201" s="280">
        <f>TABLA_BASE[[#This Row],[IGV UNIT.
(US$)
✅CF]]*TABLA_BASE[[#This Row],[CANTIDAD
(unid.)]]</f>
        <v>0</v>
      </c>
      <c r="O201" s="280">
        <f>IF('🧾 Tributos Aduana'!$F$6=0,0,'🧾 Tributos Aduana'!$F$23*('🧾 Factura Comercial'!H205/'🧾 Tributos Aduana'!$F$6))</f>
        <v>0</v>
      </c>
      <c r="P201" s="280">
        <f>TABLA_BASE[[#This Row],[PERCEP.
UNIT.(US$)
✅CF]]*TABLA_BASE[[#This Row],[CANTIDAD
(unid.)]]</f>
        <v>0</v>
      </c>
      <c r="Q201" s="279">
        <f>TABLA_BASE[[#This Row],[ADV UNIT.
(US$)
⚠️COSTO]]+TABLA_BASE[[#This Row],[IPM UNIT.
(US$)
✅CF]]+TABLA_BASE[[#This Row],[IGV UNIT.
(US$)
✅CF]]</f>
        <v>0</v>
      </c>
      <c r="R201" s="280">
        <f>TABLA_BASE[[#This Row],[DEUDA
ADUANERA
UNIT.]]*TABLA_BASE[[#This Row],[CANTIDAD
(unid.)]]</f>
        <v>0</v>
      </c>
      <c r="S201" s="278">
        <f>TABLA_BASE[[#This Row],[DEUDA
ADUANERA
UNIT.]]*'📋 Datos Generales'!$E$19</f>
        <v>0</v>
      </c>
      <c r="T201" s="278">
        <f>TABLA_BASE[[#This Row],[DEUDA
ADUANERA
TOTAL]]*'📋 Datos Generales'!$E$19</f>
        <v>0</v>
      </c>
      <c r="U201" s="281">
        <f>TABLA_BASE[[#This Row],[ADV UNIT.
(US$)
⚠️COSTO]]*'📋 Datos Generales'!$E$19</f>
        <v>0</v>
      </c>
      <c r="V201" s="281">
        <f>TABLA_BASE[[#This Row],[ADV UNIT.
(S/.)]]*TABLA_BASE[[#This Row],[CANTIDAD
(unid.)]]</f>
        <v>0</v>
      </c>
      <c r="W201" s="281">
        <f>TABLA_BASE[[#This Row],[IPM UNIT.
(US$)
✅CF]]*'📋 Datos Generales'!$E$19</f>
        <v>0</v>
      </c>
      <c r="X201" s="281">
        <f>TABLA_BASE[[#This Row],[IPM UNIT.
(S/.)]]*TABLA_BASE[[#This Row],[CANTIDAD
(unid.)]]</f>
        <v>0</v>
      </c>
      <c r="Y201" s="281">
        <f>TABLA_BASE[[#This Row],[IGV UNIT.
(US$)
✅CF]]*'📋 Datos Generales'!$E$19</f>
        <v>0</v>
      </c>
      <c r="Z201" s="281">
        <f>TABLA_BASE[[#This Row],[IGV UNIT.
(S/.)]]*TABLA_BASE[[#This Row],[CANTIDAD
(unid.)]]</f>
        <v>0</v>
      </c>
      <c r="AA201" s="281">
        <f>TABLA_BASE[[#This Row],[PERCEP.
UNIT.(US$)
✅CF]]*'📋 Datos Generales'!$E$19</f>
        <v>0</v>
      </c>
      <c r="AB201" s="281">
        <f>TABLA_BASE[[#This Row],[PERCEP.
UNIT.(S/.)]]*TABLA_BASE[[#This Row],[CANTIDAD
(unid.)]]</f>
        <v>0</v>
      </c>
      <c r="AC201" s="279">
        <f>TABLA_BASE[[#This Row],[ADV UNIT.
(US$)
⚠️COSTO]]+TABLA_BASE[[#This Row],[IPM UNIT.
(US$)
✅CF]]+TABLA_BASE[[#This Row],[IGV UNIT.
(US$)
✅CF]]+TABLA_BASE[[#This Row],[PERCEP.
UNIT.(US$)
✅CF]]</f>
        <v>0</v>
      </c>
      <c r="AD201" s="279">
        <f>TABLA_BASE[[#This Row],[TOTAL PAGO
SUNAT
UNIT.(US$)]]*TABLA_BASE[[#This Row],[CANTIDAD
(unid.)]]</f>
        <v>0</v>
      </c>
      <c r="AE201" s="281">
        <f>TABLA_BASE[[#This Row],[TOTAL PAGO
SUNAT
UNIT.(US$)]]*'📋 Datos Generales'!$E$19</f>
        <v>0</v>
      </c>
      <c r="AF201" s="281">
        <f>TABLA_BASE[[#This Row],[TOTAL TRIB.
UNIT.(S/.)]]*TABLA_BASE[[#This Row],[CANTIDAD
(unid.)]]</f>
        <v>0</v>
      </c>
      <c r="AG201" s="279">
        <f>IF('🧾 Factura Comercial'!G205=0,0,'📦 Gastos Importación'!$E$28*(IF('🧾 Tributos Aduana'!$F$6=0,0,'🧾 Factura Comercial'!I205/'🧾 Tributos Aduana'!$F$6))/'🧾 Factura Comercial'!G205)</f>
        <v>0</v>
      </c>
      <c r="AH201" s="279">
        <f>TABLA_BASE[[#This Row],[GASTOS IMP.
UNIT.(US$)]]*TABLA_BASE[[#This Row],[CANTIDAD
(unid.)]]</f>
        <v>0</v>
      </c>
      <c r="AI201" s="281">
        <f>TABLA_BASE[[#This Row],[GASTOS IMP.
UNIT.(US$)]]*'📋 Datos Generales'!$E$19</f>
        <v>0</v>
      </c>
      <c r="AJ201" s="281">
        <f>TABLA_BASE[[#This Row],[GASTOS IMP.
UNIT.(S/.)]]*TABLA_BASE[[#This Row],[CANTIDAD
(unid.)]]</f>
        <v>0</v>
      </c>
      <c r="AK201" s="280">
        <f>'🧮 Costos x Producto'!J205</f>
        <v>0</v>
      </c>
      <c r="AL201" s="278">
        <f>'🧮 Costos x Producto'!K205</f>
        <v>0</v>
      </c>
      <c r="AM201" s="278">
        <f>TABLA_BASE[[#This Row],[C/M UNIT.
(S/.)]]*TABLA_BASE[[#This Row],[CANTIDAD
(unid.)]]</f>
        <v>0</v>
      </c>
      <c r="AN201" s="279">
        <f>IF('🧾 Factura Comercial'!G205=0,0,'🧾 Tributos Aduana'!$F$17*(IF('🧾 Tributos Aduana'!$F$6=0,0,'🧾 Factura Comercial'!I205/'🧾 Tributos Aduana'!$F$6))/'🧾 Factura Comercial'!G205)</f>
        <v>0</v>
      </c>
      <c r="AO201" s="280">
        <f>IF('🧾 Factura Comercial'!G205=0,0,'🏦 Crédito Fiscal'!$C$16*(IF('🧾 Tributos Aduana'!$F$6=0,0,'🧾 Factura Comercial'!I205/'🧾 Tributos Aduana'!$F$6))/'🧾 Factura Comercial'!G205)</f>
        <v>0</v>
      </c>
      <c r="AP201" s="278">
        <f>TABLA_BASE[[#This Row],[CF UNIT.
✅RECUP.
(US$)]]*'📋 Datos Generales'!$E$19</f>
        <v>0</v>
      </c>
      <c r="AQ201" s="278">
        <f>TABLA_BASE[[#This Row],[CF UNIT.
✅RECUP.(S/.)]]*TABLA_BASE[[#This Row],[CANTIDAD
(unid.)]]</f>
        <v>0</v>
      </c>
      <c r="AR201" s="288">
        <f>'💰 Precio de Venta'!G206</f>
        <v>0.4</v>
      </c>
      <c r="AS201" s="278">
        <f>'💰 Precio de Venta'!H206</f>
        <v>0</v>
      </c>
      <c r="AT201" s="278">
        <f>TABLA_BASE[[#This Row],[VALOR VTA.
UNIT.(S/.)]]*TABLA_BASE[[#This Row],[CANTIDAD
(unid.)]]</f>
        <v>0</v>
      </c>
      <c r="AU201" s="281">
        <f>'💰 Precio de Venta'!I206</f>
        <v>0</v>
      </c>
      <c r="AV201" s="278">
        <f>'💰 Precio de Venta'!J206</f>
        <v>0</v>
      </c>
      <c r="AW201" s="278">
        <f>TABLA_BASE[[#This Row],[GANANCIA
UNIT.(S/.)]]*TABLA_BASE[[#This Row],[CANTIDAD
(unid.)]]</f>
        <v>0</v>
      </c>
      <c r="AX201" s="289">
        <f>'💰 Precio de Venta'!K206</f>
        <v>0</v>
      </c>
      <c r="AY201" s="278">
        <f>TABLA_BASE[[#This Row],[GANANCIA
UNIT.(S/.)]]*'🧾 Factura Comercial'!G205</f>
        <v>0</v>
      </c>
      <c r="AZ201" s="277">
        <f>IF(TABLA_BASE[[#This Row],[PRECIO VTA.
c/IGV(S/.)]]=0,0,TABLA_BASE[[#This Row],[GANANCIA
UNIT.(S/.)]]/TABLA_BASE[[#This Row],[PRECIO VTA.
c/IGV(S/.)]])</f>
        <v>0</v>
      </c>
      <c r="BA201" s="277">
        <f>IF(TABLA_BASE[[#This Row],[C/M UNIT.
(S/.)]]=0,0,TABLA_BASE[[#This Row],[GANANCIA
UNIT.(S/.)]]/TABLA_BASE[[#This Row],[C/M UNIT.
(S/.)]])</f>
        <v>0</v>
      </c>
      <c r="BB201" s="274" t="str">
        <f>IF(TABLA_BASE[[#This Row],[MARGEN
%]]&gt;=0.5,"🟢 ALTO",IF(TABLA_BASE[[#This Row],[MARGEN
%]]&gt;=0.3,"🟡 MEDIO","🔴 BAJO"))</f>
        <v>🟡 MEDIO</v>
      </c>
    </row>
    <row r="202" spans="1:54" ht="16.5" hidden="1" thickTop="1" thickBot="1" x14ac:dyDescent="0.3">
      <c r="A202" s="274">
        <f>'🧾 Factura Comercial'!E206</f>
        <v>0</v>
      </c>
      <c r="B202" s="274" t="str">
        <f>'🧾 Factura Comercial'!F206</f>
        <v>Unid.</v>
      </c>
      <c r="C202" s="275">
        <f>'🧾 Factura Comercial'!G206</f>
        <v>0</v>
      </c>
      <c r="D202" s="276">
        <f>'🧾 Factura Comercial'!H206</f>
        <v>0</v>
      </c>
      <c r="E202" s="276">
        <f>'🧾 Factura Comercial'!I206</f>
        <v>0</v>
      </c>
      <c r="F202" s="277">
        <f>IF('🧾 Tributos Aduana'!$F$6=0,0,'🧾 Factura Comercial'!I206/'🧾 Tributos Aduana'!$F$6)</f>
        <v>0</v>
      </c>
      <c r="G202" s="278">
        <f>'🧾 Factura Comercial'!H206*'📋 Datos Generales'!$E$19</f>
        <v>0</v>
      </c>
      <c r="H202" s="278">
        <f>TABLA_BASE[[#This Row],[FOB UNIT.
(S/.)]]*TABLA_BASE[[#This Row],[CANTIDAD
(unid.)]]</f>
        <v>0</v>
      </c>
      <c r="I202" s="280">
        <f>IF('🧾 Tributos Aduana'!$F$6=0,0,'🧾 Tributos Aduana'!$F$17*('🧾 Factura Comercial'!H206/'🧾 Tributos Aduana'!$F$6))</f>
        <v>0</v>
      </c>
      <c r="J202" s="280">
        <f>TABLA_BASE[[#This Row],[ADV UNIT.
(US$)
⚠️COSTO]]*TABLA_BASE[[#This Row],[CANTIDAD
(unid.)]]</f>
        <v>0</v>
      </c>
      <c r="K202" s="279">
        <f>IF('🧾 Tributos Aduana'!$F$6=0,0,'🧾 Tributos Aduana'!$F$18*('🧾 Factura Comercial'!H206/'🧾 Tributos Aduana'!$F$6))</f>
        <v>0</v>
      </c>
      <c r="L202" s="280">
        <f>TABLA_BASE[[#This Row],[IPM UNIT.
(US$)
✅CF]]*TABLA_BASE[[#This Row],[CANTIDAD
(unid.)]]</f>
        <v>0</v>
      </c>
      <c r="M202" s="279">
        <f>IF('🧾 Tributos Aduana'!$F$6=0,0,'🧾 Tributos Aduana'!$F$19*('🧾 Factura Comercial'!H206/'🧾 Tributos Aduana'!$F$6))</f>
        <v>0</v>
      </c>
      <c r="N202" s="280">
        <f>TABLA_BASE[[#This Row],[IGV UNIT.
(US$)
✅CF]]*TABLA_BASE[[#This Row],[CANTIDAD
(unid.)]]</f>
        <v>0</v>
      </c>
      <c r="O202" s="280">
        <f>IF('🧾 Tributos Aduana'!$F$6=0,0,'🧾 Tributos Aduana'!$F$23*('🧾 Factura Comercial'!H206/'🧾 Tributos Aduana'!$F$6))</f>
        <v>0</v>
      </c>
      <c r="P202" s="280">
        <f>TABLA_BASE[[#This Row],[PERCEP.
UNIT.(US$)
✅CF]]*TABLA_BASE[[#This Row],[CANTIDAD
(unid.)]]</f>
        <v>0</v>
      </c>
      <c r="Q202" s="279">
        <f>TABLA_BASE[[#This Row],[ADV UNIT.
(US$)
⚠️COSTO]]+TABLA_BASE[[#This Row],[IPM UNIT.
(US$)
✅CF]]+TABLA_BASE[[#This Row],[IGV UNIT.
(US$)
✅CF]]</f>
        <v>0</v>
      </c>
      <c r="R202" s="280">
        <f>TABLA_BASE[[#This Row],[DEUDA
ADUANERA
UNIT.]]*TABLA_BASE[[#This Row],[CANTIDAD
(unid.)]]</f>
        <v>0</v>
      </c>
      <c r="S202" s="278">
        <f>TABLA_BASE[[#This Row],[DEUDA
ADUANERA
UNIT.]]*'📋 Datos Generales'!$E$19</f>
        <v>0</v>
      </c>
      <c r="T202" s="278">
        <f>TABLA_BASE[[#This Row],[DEUDA
ADUANERA
TOTAL]]*'📋 Datos Generales'!$E$19</f>
        <v>0</v>
      </c>
      <c r="U202" s="281">
        <f>TABLA_BASE[[#This Row],[ADV UNIT.
(US$)
⚠️COSTO]]*'📋 Datos Generales'!$E$19</f>
        <v>0</v>
      </c>
      <c r="V202" s="281">
        <f>TABLA_BASE[[#This Row],[ADV UNIT.
(S/.)]]*TABLA_BASE[[#This Row],[CANTIDAD
(unid.)]]</f>
        <v>0</v>
      </c>
      <c r="W202" s="281">
        <f>TABLA_BASE[[#This Row],[IPM UNIT.
(US$)
✅CF]]*'📋 Datos Generales'!$E$19</f>
        <v>0</v>
      </c>
      <c r="X202" s="281">
        <f>TABLA_BASE[[#This Row],[IPM UNIT.
(S/.)]]*TABLA_BASE[[#This Row],[CANTIDAD
(unid.)]]</f>
        <v>0</v>
      </c>
      <c r="Y202" s="281">
        <f>TABLA_BASE[[#This Row],[IGV UNIT.
(US$)
✅CF]]*'📋 Datos Generales'!$E$19</f>
        <v>0</v>
      </c>
      <c r="Z202" s="281">
        <f>TABLA_BASE[[#This Row],[IGV UNIT.
(S/.)]]*TABLA_BASE[[#This Row],[CANTIDAD
(unid.)]]</f>
        <v>0</v>
      </c>
      <c r="AA202" s="281">
        <f>TABLA_BASE[[#This Row],[PERCEP.
UNIT.(US$)
✅CF]]*'📋 Datos Generales'!$E$19</f>
        <v>0</v>
      </c>
      <c r="AB202" s="281">
        <f>TABLA_BASE[[#This Row],[PERCEP.
UNIT.(S/.)]]*TABLA_BASE[[#This Row],[CANTIDAD
(unid.)]]</f>
        <v>0</v>
      </c>
      <c r="AC202" s="279">
        <f>TABLA_BASE[[#This Row],[ADV UNIT.
(US$)
⚠️COSTO]]+TABLA_BASE[[#This Row],[IPM UNIT.
(US$)
✅CF]]+TABLA_BASE[[#This Row],[IGV UNIT.
(US$)
✅CF]]+TABLA_BASE[[#This Row],[PERCEP.
UNIT.(US$)
✅CF]]</f>
        <v>0</v>
      </c>
      <c r="AD202" s="279">
        <f>TABLA_BASE[[#This Row],[TOTAL PAGO
SUNAT
UNIT.(US$)]]*TABLA_BASE[[#This Row],[CANTIDAD
(unid.)]]</f>
        <v>0</v>
      </c>
      <c r="AE202" s="281">
        <f>TABLA_BASE[[#This Row],[TOTAL PAGO
SUNAT
UNIT.(US$)]]*'📋 Datos Generales'!$E$19</f>
        <v>0</v>
      </c>
      <c r="AF202" s="281">
        <f>TABLA_BASE[[#This Row],[TOTAL TRIB.
UNIT.(S/.)]]*TABLA_BASE[[#This Row],[CANTIDAD
(unid.)]]</f>
        <v>0</v>
      </c>
      <c r="AG202" s="279">
        <f>IF('🧾 Factura Comercial'!G206=0,0,'📦 Gastos Importación'!$E$28*(IF('🧾 Tributos Aduana'!$F$6=0,0,'🧾 Factura Comercial'!I206/'🧾 Tributos Aduana'!$F$6))/'🧾 Factura Comercial'!G206)</f>
        <v>0</v>
      </c>
      <c r="AH202" s="279">
        <f>TABLA_BASE[[#This Row],[GASTOS IMP.
UNIT.(US$)]]*TABLA_BASE[[#This Row],[CANTIDAD
(unid.)]]</f>
        <v>0</v>
      </c>
      <c r="AI202" s="281">
        <f>TABLA_BASE[[#This Row],[GASTOS IMP.
UNIT.(US$)]]*'📋 Datos Generales'!$E$19</f>
        <v>0</v>
      </c>
      <c r="AJ202" s="281">
        <f>TABLA_BASE[[#This Row],[GASTOS IMP.
UNIT.(S/.)]]*TABLA_BASE[[#This Row],[CANTIDAD
(unid.)]]</f>
        <v>0</v>
      </c>
      <c r="AK202" s="280">
        <f>'🧮 Costos x Producto'!J206</f>
        <v>0</v>
      </c>
      <c r="AL202" s="278">
        <f>'🧮 Costos x Producto'!K206</f>
        <v>0</v>
      </c>
      <c r="AM202" s="278">
        <f>TABLA_BASE[[#This Row],[C/M UNIT.
(S/.)]]*TABLA_BASE[[#This Row],[CANTIDAD
(unid.)]]</f>
        <v>0</v>
      </c>
      <c r="AN202" s="279">
        <f>IF('🧾 Factura Comercial'!G206=0,0,'🧾 Tributos Aduana'!$F$17*(IF('🧾 Tributos Aduana'!$F$6=0,0,'🧾 Factura Comercial'!I206/'🧾 Tributos Aduana'!$F$6))/'🧾 Factura Comercial'!G206)</f>
        <v>0</v>
      </c>
      <c r="AO202" s="280">
        <f>IF('🧾 Factura Comercial'!G206=0,0,'🏦 Crédito Fiscal'!$C$16*(IF('🧾 Tributos Aduana'!$F$6=0,0,'🧾 Factura Comercial'!I206/'🧾 Tributos Aduana'!$F$6))/'🧾 Factura Comercial'!G206)</f>
        <v>0</v>
      </c>
      <c r="AP202" s="278">
        <f>TABLA_BASE[[#This Row],[CF UNIT.
✅RECUP.
(US$)]]*'📋 Datos Generales'!$E$19</f>
        <v>0</v>
      </c>
      <c r="AQ202" s="278">
        <f>TABLA_BASE[[#This Row],[CF UNIT.
✅RECUP.(S/.)]]*TABLA_BASE[[#This Row],[CANTIDAD
(unid.)]]</f>
        <v>0</v>
      </c>
      <c r="AR202" s="288">
        <f>'💰 Precio de Venta'!G207</f>
        <v>0.4</v>
      </c>
      <c r="AS202" s="278">
        <f>'💰 Precio de Venta'!H207</f>
        <v>0</v>
      </c>
      <c r="AT202" s="278">
        <f>TABLA_BASE[[#This Row],[VALOR VTA.
UNIT.(S/.)]]*TABLA_BASE[[#This Row],[CANTIDAD
(unid.)]]</f>
        <v>0</v>
      </c>
      <c r="AU202" s="281">
        <f>'💰 Precio de Venta'!I207</f>
        <v>0</v>
      </c>
      <c r="AV202" s="278">
        <f>'💰 Precio de Venta'!J207</f>
        <v>0</v>
      </c>
      <c r="AW202" s="278">
        <f>TABLA_BASE[[#This Row],[GANANCIA
UNIT.(S/.)]]*TABLA_BASE[[#This Row],[CANTIDAD
(unid.)]]</f>
        <v>0</v>
      </c>
      <c r="AX202" s="289">
        <f>'💰 Precio de Venta'!K207</f>
        <v>0</v>
      </c>
      <c r="AY202" s="278">
        <f>TABLA_BASE[[#This Row],[GANANCIA
UNIT.(S/.)]]*'🧾 Factura Comercial'!G206</f>
        <v>0</v>
      </c>
      <c r="AZ202" s="277">
        <f>IF(TABLA_BASE[[#This Row],[PRECIO VTA.
c/IGV(S/.)]]=0,0,TABLA_BASE[[#This Row],[GANANCIA
UNIT.(S/.)]]/TABLA_BASE[[#This Row],[PRECIO VTA.
c/IGV(S/.)]])</f>
        <v>0</v>
      </c>
      <c r="BA202" s="277">
        <f>IF(TABLA_BASE[[#This Row],[C/M UNIT.
(S/.)]]=0,0,TABLA_BASE[[#This Row],[GANANCIA
UNIT.(S/.)]]/TABLA_BASE[[#This Row],[C/M UNIT.
(S/.)]])</f>
        <v>0</v>
      </c>
      <c r="BB202" s="274" t="str">
        <f>IF(TABLA_BASE[[#This Row],[MARGEN
%]]&gt;=0.5,"🟢 ALTO",IF(TABLA_BASE[[#This Row],[MARGEN
%]]&gt;=0.3,"🟡 MEDIO","🔴 BAJO"))</f>
        <v>🟡 MEDIO</v>
      </c>
    </row>
    <row r="203" spans="1:54" ht="16.5" hidden="1" thickTop="1" thickBot="1" x14ac:dyDescent="0.3">
      <c r="A203" s="274">
        <f>'🧾 Factura Comercial'!E207</f>
        <v>0</v>
      </c>
      <c r="B203" s="274" t="str">
        <f>'🧾 Factura Comercial'!F207</f>
        <v>Unid.</v>
      </c>
      <c r="C203" s="275">
        <f>'🧾 Factura Comercial'!G207</f>
        <v>0</v>
      </c>
      <c r="D203" s="276">
        <f>'🧾 Factura Comercial'!H207</f>
        <v>0</v>
      </c>
      <c r="E203" s="276">
        <f>'🧾 Factura Comercial'!I207</f>
        <v>0</v>
      </c>
      <c r="F203" s="277">
        <f>IF('🧾 Tributos Aduana'!$F$6=0,0,'🧾 Factura Comercial'!I207/'🧾 Tributos Aduana'!$F$6)</f>
        <v>0</v>
      </c>
      <c r="G203" s="278">
        <f>'🧾 Factura Comercial'!H207*'📋 Datos Generales'!$E$19</f>
        <v>0</v>
      </c>
      <c r="H203" s="278">
        <f>TABLA_BASE[[#This Row],[FOB UNIT.
(S/.)]]*TABLA_BASE[[#This Row],[CANTIDAD
(unid.)]]</f>
        <v>0</v>
      </c>
      <c r="I203" s="280">
        <f>IF('🧾 Tributos Aduana'!$F$6=0,0,'🧾 Tributos Aduana'!$F$17*('🧾 Factura Comercial'!H207/'🧾 Tributos Aduana'!$F$6))</f>
        <v>0</v>
      </c>
      <c r="J203" s="280">
        <f>TABLA_BASE[[#This Row],[ADV UNIT.
(US$)
⚠️COSTO]]*TABLA_BASE[[#This Row],[CANTIDAD
(unid.)]]</f>
        <v>0</v>
      </c>
      <c r="K203" s="279">
        <f>IF('🧾 Tributos Aduana'!$F$6=0,0,'🧾 Tributos Aduana'!$F$18*('🧾 Factura Comercial'!H207/'🧾 Tributos Aduana'!$F$6))</f>
        <v>0</v>
      </c>
      <c r="L203" s="280">
        <f>TABLA_BASE[[#This Row],[IPM UNIT.
(US$)
✅CF]]*TABLA_BASE[[#This Row],[CANTIDAD
(unid.)]]</f>
        <v>0</v>
      </c>
      <c r="M203" s="279">
        <f>IF('🧾 Tributos Aduana'!$F$6=0,0,'🧾 Tributos Aduana'!$F$19*('🧾 Factura Comercial'!H207/'🧾 Tributos Aduana'!$F$6))</f>
        <v>0</v>
      </c>
      <c r="N203" s="280">
        <f>TABLA_BASE[[#This Row],[IGV UNIT.
(US$)
✅CF]]*TABLA_BASE[[#This Row],[CANTIDAD
(unid.)]]</f>
        <v>0</v>
      </c>
      <c r="O203" s="280">
        <f>IF('🧾 Tributos Aduana'!$F$6=0,0,'🧾 Tributos Aduana'!$F$23*('🧾 Factura Comercial'!H207/'🧾 Tributos Aduana'!$F$6))</f>
        <v>0</v>
      </c>
      <c r="P203" s="280">
        <f>TABLA_BASE[[#This Row],[PERCEP.
UNIT.(US$)
✅CF]]*TABLA_BASE[[#This Row],[CANTIDAD
(unid.)]]</f>
        <v>0</v>
      </c>
      <c r="Q203" s="279">
        <f>TABLA_BASE[[#This Row],[ADV UNIT.
(US$)
⚠️COSTO]]+TABLA_BASE[[#This Row],[IPM UNIT.
(US$)
✅CF]]+TABLA_BASE[[#This Row],[IGV UNIT.
(US$)
✅CF]]</f>
        <v>0</v>
      </c>
      <c r="R203" s="280">
        <f>TABLA_BASE[[#This Row],[DEUDA
ADUANERA
UNIT.]]*TABLA_BASE[[#This Row],[CANTIDAD
(unid.)]]</f>
        <v>0</v>
      </c>
      <c r="S203" s="278">
        <f>TABLA_BASE[[#This Row],[DEUDA
ADUANERA
UNIT.]]*'📋 Datos Generales'!$E$19</f>
        <v>0</v>
      </c>
      <c r="T203" s="278">
        <f>TABLA_BASE[[#This Row],[DEUDA
ADUANERA
TOTAL]]*'📋 Datos Generales'!$E$19</f>
        <v>0</v>
      </c>
      <c r="U203" s="281">
        <f>TABLA_BASE[[#This Row],[ADV UNIT.
(US$)
⚠️COSTO]]*'📋 Datos Generales'!$E$19</f>
        <v>0</v>
      </c>
      <c r="V203" s="281">
        <f>TABLA_BASE[[#This Row],[ADV UNIT.
(S/.)]]*TABLA_BASE[[#This Row],[CANTIDAD
(unid.)]]</f>
        <v>0</v>
      </c>
      <c r="W203" s="281">
        <f>TABLA_BASE[[#This Row],[IPM UNIT.
(US$)
✅CF]]*'📋 Datos Generales'!$E$19</f>
        <v>0</v>
      </c>
      <c r="X203" s="281">
        <f>TABLA_BASE[[#This Row],[IPM UNIT.
(S/.)]]*TABLA_BASE[[#This Row],[CANTIDAD
(unid.)]]</f>
        <v>0</v>
      </c>
      <c r="Y203" s="281">
        <f>TABLA_BASE[[#This Row],[IGV UNIT.
(US$)
✅CF]]*'📋 Datos Generales'!$E$19</f>
        <v>0</v>
      </c>
      <c r="Z203" s="281">
        <f>TABLA_BASE[[#This Row],[IGV UNIT.
(S/.)]]*TABLA_BASE[[#This Row],[CANTIDAD
(unid.)]]</f>
        <v>0</v>
      </c>
      <c r="AA203" s="281">
        <f>TABLA_BASE[[#This Row],[PERCEP.
UNIT.(US$)
✅CF]]*'📋 Datos Generales'!$E$19</f>
        <v>0</v>
      </c>
      <c r="AB203" s="281">
        <f>TABLA_BASE[[#This Row],[PERCEP.
UNIT.(S/.)]]*TABLA_BASE[[#This Row],[CANTIDAD
(unid.)]]</f>
        <v>0</v>
      </c>
      <c r="AC203" s="279">
        <f>TABLA_BASE[[#This Row],[ADV UNIT.
(US$)
⚠️COSTO]]+TABLA_BASE[[#This Row],[IPM UNIT.
(US$)
✅CF]]+TABLA_BASE[[#This Row],[IGV UNIT.
(US$)
✅CF]]+TABLA_BASE[[#This Row],[PERCEP.
UNIT.(US$)
✅CF]]</f>
        <v>0</v>
      </c>
      <c r="AD203" s="279">
        <f>TABLA_BASE[[#This Row],[TOTAL PAGO
SUNAT
UNIT.(US$)]]*TABLA_BASE[[#This Row],[CANTIDAD
(unid.)]]</f>
        <v>0</v>
      </c>
      <c r="AE203" s="281">
        <f>TABLA_BASE[[#This Row],[TOTAL PAGO
SUNAT
UNIT.(US$)]]*'📋 Datos Generales'!$E$19</f>
        <v>0</v>
      </c>
      <c r="AF203" s="281">
        <f>TABLA_BASE[[#This Row],[TOTAL TRIB.
UNIT.(S/.)]]*TABLA_BASE[[#This Row],[CANTIDAD
(unid.)]]</f>
        <v>0</v>
      </c>
      <c r="AG203" s="279">
        <f>IF('🧾 Factura Comercial'!G207=0,0,'📦 Gastos Importación'!$E$28*(IF('🧾 Tributos Aduana'!$F$6=0,0,'🧾 Factura Comercial'!I207/'🧾 Tributos Aduana'!$F$6))/'🧾 Factura Comercial'!G207)</f>
        <v>0</v>
      </c>
      <c r="AH203" s="279">
        <f>TABLA_BASE[[#This Row],[GASTOS IMP.
UNIT.(US$)]]*TABLA_BASE[[#This Row],[CANTIDAD
(unid.)]]</f>
        <v>0</v>
      </c>
      <c r="AI203" s="281">
        <f>TABLA_BASE[[#This Row],[GASTOS IMP.
UNIT.(US$)]]*'📋 Datos Generales'!$E$19</f>
        <v>0</v>
      </c>
      <c r="AJ203" s="281">
        <f>TABLA_BASE[[#This Row],[GASTOS IMP.
UNIT.(S/.)]]*TABLA_BASE[[#This Row],[CANTIDAD
(unid.)]]</f>
        <v>0</v>
      </c>
      <c r="AK203" s="280">
        <f>'🧮 Costos x Producto'!J207</f>
        <v>0</v>
      </c>
      <c r="AL203" s="278">
        <f>'🧮 Costos x Producto'!K207</f>
        <v>0</v>
      </c>
      <c r="AM203" s="278">
        <f>TABLA_BASE[[#This Row],[C/M UNIT.
(S/.)]]*TABLA_BASE[[#This Row],[CANTIDAD
(unid.)]]</f>
        <v>0</v>
      </c>
      <c r="AN203" s="279">
        <f>IF('🧾 Factura Comercial'!G207=0,0,'🧾 Tributos Aduana'!$F$17*(IF('🧾 Tributos Aduana'!$F$6=0,0,'🧾 Factura Comercial'!I207/'🧾 Tributos Aduana'!$F$6))/'🧾 Factura Comercial'!G207)</f>
        <v>0</v>
      </c>
      <c r="AO203" s="280">
        <f>IF('🧾 Factura Comercial'!G207=0,0,'🏦 Crédito Fiscal'!$C$16*(IF('🧾 Tributos Aduana'!$F$6=0,0,'🧾 Factura Comercial'!I207/'🧾 Tributos Aduana'!$F$6))/'🧾 Factura Comercial'!G207)</f>
        <v>0</v>
      </c>
      <c r="AP203" s="278">
        <f>TABLA_BASE[[#This Row],[CF UNIT.
✅RECUP.
(US$)]]*'📋 Datos Generales'!$E$19</f>
        <v>0</v>
      </c>
      <c r="AQ203" s="278">
        <f>TABLA_BASE[[#This Row],[CF UNIT.
✅RECUP.(S/.)]]*TABLA_BASE[[#This Row],[CANTIDAD
(unid.)]]</f>
        <v>0</v>
      </c>
      <c r="AR203" s="288">
        <f>'💰 Precio de Venta'!G208</f>
        <v>0.4</v>
      </c>
      <c r="AS203" s="278">
        <f>'💰 Precio de Venta'!H208</f>
        <v>0</v>
      </c>
      <c r="AT203" s="278">
        <f>TABLA_BASE[[#This Row],[VALOR VTA.
UNIT.(S/.)]]*TABLA_BASE[[#This Row],[CANTIDAD
(unid.)]]</f>
        <v>0</v>
      </c>
      <c r="AU203" s="281">
        <f>'💰 Precio de Venta'!I208</f>
        <v>0</v>
      </c>
      <c r="AV203" s="278">
        <f>'💰 Precio de Venta'!J208</f>
        <v>0</v>
      </c>
      <c r="AW203" s="278">
        <f>TABLA_BASE[[#This Row],[GANANCIA
UNIT.(S/.)]]*TABLA_BASE[[#This Row],[CANTIDAD
(unid.)]]</f>
        <v>0</v>
      </c>
      <c r="AX203" s="289">
        <f>'💰 Precio de Venta'!K208</f>
        <v>0</v>
      </c>
      <c r="AY203" s="278">
        <f>TABLA_BASE[[#This Row],[GANANCIA
UNIT.(S/.)]]*'🧾 Factura Comercial'!G207</f>
        <v>0</v>
      </c>
      <c r="AZ203" s="277">
        <f>IF(TABLA_BASE[[#This Row],[PRECIO VTA.
c/IGV(S/.)]]=0,0,TABLA_BASE[[#This Row],[GANANCIA
UNIT.(S/.)]]/TABLA_BASE[[#This Row],[PRECIO VTA.
c/IGV(S/.)]])</f>
        <v>0</v>
      </c>
      <c r="BA203" s="277">
        <f>IF(TABLA_BASE[[#This Row],[C/M UNIT.
(S/.)]]=0,0,TABLA_BASE[[#This Row],[GANANCIA
UNIT.(S/.)]]/TABLA_BASE[[#This Row],[C/M UNIT.
(S/.)]])</f>
        <v>0</v>
      </c>
      <c r="BB203" s="274" t="str">
        <f>IF(TABLA_BASE[[#This Row],[MARGEN
%]]&gt;=0.5,"🟢 ALTO",IF(TABLA_BASE[[#This Row],[MARGEN
%]]&gt;=0.3,"🟡 MEDIO","🔴 BAJO"))</f>
        <v>🟡 MEDIO</v>
      </c>
    </row>
    <row r="204" spans="1:54" ht="16.5" hidden="1" thickTop="1" thickBot="1" x14ac:dyDescent="0.3">
      <c r="A204" s="274">
        <f>'🧾 Factura Comercial'!E208</f>
        <v>0</v>
      </c>
      <c r="B204" s="274" t="str">
        <f>'🧾 Factura Comercial'!F208</f>
        <v>Unid.</v>
      </c>
      <c r="C204" s="275">
        <f>'🧾 Factura Comercial'!G208</f>
        <v>0</v>
      </c>
      <c r="D204" s="276">
        <f>'🧾 Factura Comercial'!H208</f>
        <v>0</v>
      </c>
      <c r="E204" s="276">
        <f>'🧾 Factura Comercial'!I208</f>
        <v>0</v>
      </c>
      <c r="F204" s="277">
        <f>IF('🧾 Tributos Aduana'!$F$6=0,0,'🧾 Factura Comercial'!I208/'🧾 Tributos Aduana'!$F$6)</f>
        <v>0</v>
      </c>
      <c r="G204" s="278">
        <f>'🧾 Factura Comercial'!H208*'📋 Datos Generales'!$E$19</f>
        <v>0</v>
      </c>
      <c r="H204" s="278">
        <f>TABLA_BASE[[#This Row],[FOB UNIT.
(S/.)]]*TABLA_BASE[[#This Row],[CANTIDAD
(unid.)]]</f>
        <v>0</v>
      </c>
      <c r="I204" s="280">
        <f>IF('🧾 Tributos Aduana'!$F$6=0,0,'🧾 Tributos Aduana'!$F$17*('🧾 Factura Comercial'!H208/'🧾 Tributos Aduana'!$F$6))</f>
        <v>0</v>
      </c>
      <c r="J204" s="280">
        <f>TABLA_BASE[[#This Row],[ADV UNIT.
(US$)
⚠️COSTO]]*TABLA_BASE[[#This Row],[CANTIDAD
(unid.)]]</f>
        <v>0</v>
      </c>
      <c r="K204" s="279">
        <f>IF('🧾 Tributos Aduana'!$F$6=0,0,'🧾 Tributos Aduana'!$F$18*('🧾 Factura Comercial'!H208/'🧾 Tributos Aduana'!$F$6))</f>
        <v>0</v>
      </c>
      <c r="L204" s="280">
        <f>TABLA_BASE[[#This Row],[IPM UNIT.
(US$)
✅CF]]*TABLA_BASE[[#This Row],[CANTIDAD
(unid.)]]</f>
        <v>0</v>
      </c>
      <c r="M204" s="279">
        <f>IF('🧾 Tributos Aduana'!$F$6=0,0,'🧾 Tributos Aduana'!$F$19*('🧾 Factura Comercial'!H208/'🧾 Tributos Aduana'!$F$6))</f>
        <v>0</v>
      </c>
      <c r="N204" s="280">
        <f>TABLA_BASE[[#This Row],[IGV UNIT.
(US$)
✅CF]]*TABLA_BASE[[#This Row],[CANTIDAD
(unid.)]]</f>
        <v>0</v>
      </c>
      <c r="O204" s="280">
        <f>IF('🧾 Tributos Aduana'!$F$6=0,0,'🧾 Tributos Aduana'!$F$23*('🧾 Factura Comercial'!H208/'🧾 Tributos Aduana'!$F$6))</f>
        <v>0</v>
      </c>
      <c r="P204" s="280">
        <f>TABLA_BASE[[#This Row],[PERCEP.
UNIT.(US$)
✅CF]]*TABLA_BASE[[#This Row],[CANTIDAD
(unid.)]]</f>
        <v>0</v>
      </c>
      <c r="Q204" s="279">
        <f>TABLA_BASE[[#This Row],[ADV UNIT.
(US$)
⚠️COSTO]]+TABLA_BASE[[#This Row],[IPM UNIT.
(US$)
✅CF]]+TABLA_BASE[[#This Row],[IGV UNIT.
(US$)
✅CF]]</f>
        <v>0</v>
      </c>
      <c r="R204" s="280">
        <f>TABLA_BASE[[#This Row],[DEUDA
ADUANERA
UNIT.]]*TABLA_BASE[[#This Row],[CANTIDAD
(unid.)]]</f>
        <v>0</v>
      </c>
      <c r="S204" s="278">
        <f>TABLA_BASE[[#This Row],[DEUDA
ADUANERA
UNIT.]]*'📋 Datos Generales'!$E$19</f>
        <v>0</v>
      </c>
      <c r="T204" s="278">
        <f>TABLA_BASE[[#This Row],[DEUDA
ADUANERA
TOTAL]]*'📋 Datos Generales'!$E$19</f>
        <v>0</v>
      </c>
      <c r="U204" s="281">
        <f>TABLA_BASE[[#This Row],[ADV UNIT.
(US$)
⚠️COSTO]]*'📋 Datos Generales'!$E$19</f>
        <v>0</v>
      </c>
      <c r="V204" s="281">
        <f>TABLA_BASE[[#This Row],[ADV UNIT.
(S/.)]]*TABLA_BASE[[#This Row],[CANTIDAD
(unid.)]]</f>
        <v>0</v>
      </c>
      <c r="W204" s="281">
        <f>TABLA_BASE[[#This Row],[IPM UNIT.
(US$)
✅CF]]*'📋 Datos Generales'!$E$19</f>
        <v>0</v>
      </c>
      <c r="X204" s="281">
        <f>TABLA_BASE[[#This Row],[IPM UNIT.
(S/.)]]*TABLA_BASE[[#This Row],[CANTIDAD
(unid.)]]</f>
        <v>0</v>
      </c>
      <c r="Y204" s="281">
        <f>TABLA_BASE[[#This Row],[IGV UNIT.
(US$)
✅CF]]*'📋 Datos Generales'!$E$19</f>
        <v>0</v>
      </c>
      <c r="Z204" s="281">
        <f>TABLA_BASE[[#This Row],[IGV UNIT.
(S/.)]]*TABLA_BASE[[#This Row],[CANTIDAD
(unid.)]]</f>
        <v>0</v>
      </c>
      <c r="AA204" s="281">
        <f>TABLA_BASE[[#This Row],[PERCEP.
UNIT.(US$)
✅CF]]*'📋 Datos Generales'!$E$19</f>
        <v>0</v>
      </c>
      <c r="AB204" s="281">
        <f>TABLA_BASE[[#This Row],[PERCEP.
UNIT.(S/.)]]*TABLA_BASE[[#This Row],[CANTIDAD
(unid.)]]</f>
        <v>0</v>
      </c>
      <c r="AC204" s="279">
        <f>TABLA_BASE[[#This Row],[ADV UNIT.
(US$)
⚠️COSTO]]+TABLA_BASE[[#This Row],[IPM UNIT.
(US$)
✅CF]]+TABLA_BASE[[#This Row],[IGV UNIT.
(US$)
✅CF]]+TABLA_BASE[[#This Row],[PERCEP.
UNIT.(US$)
✅CF]]</f>
        <v>0</v>
      </c>
      <c r="AD204" s="279">
        <f>TABLA_BASE[[#This Row],[TOTAL PAGO
SUNAT
UNIT.(US$)]]*TABLA_BASE[[#This Row],[CANTIDAD
(unid.)]]</f>
        <v>0</v>
      </c>
      <c r="AE204" s="281">
        <f>TABLA_BASE[[#This Row],[TOTAL PAGO
SUNAT
UNIT.(US$)]]*'📋 Datos Generales'!$E$19</f>
        <v>0</v>
      </c>
      <c r="AF204" s="281">
        <f>TABLA_BASE[[#This Row],[TOTAL TRIB.
UNIT.(S/.)]]*TABLA_BASE[[#This Row],[CANTIDAD
(unid.)]]</f>
        <v>0</v>
      </c>
      <c r="AG204" s="279">
        <f>IF('🧾 Factura Comercial'!G208=0,0,'📦 Gastos Importación'!$E$28*(IF('🧾 Tributos Aduana'!$F$6=0,0,'🧾 Factura Comercial'!I208/'🧾 Tributos Aduana'!$F$6))/'🧾 Factura Comercial'!G208)</f>
        <v>0</v>
      </c>
      <c r="AH204" s="279">
        <f>TABLA_BASE[[#This Row],[GASTOS IMP.
UNIT.(US$)]]*TABLA_BASE[[#This Row],[CANTIDAD
(unid.)]]</f>
        <v>0</v>
      </c>
      <c r="AI204" s="281">
        <f>TABLA_BASE[[#This Row],[GASTOS IMP.
UNIT.(US$)]]*'📋 Datos Generales'!$E$19</f>
        <v>0</v>
      </c>
      <c r="AJ204" s="281">
        <f>TABLA_BASE[[#This Row],[GASTOS IMP.
UNIT.(S/.)]]*TABLA_BASE[[#This Row],[CANTIDAD
(unid.)]]</f>
        <v>0</v>
      </c>
      <c r="AK204" s="280">
        <f>'🧮 Costos x Producto'!J208</f>
        <v>0</v>
      </c>
      <c r="AL204" s="278">
        <f>'🧮 Costos x Producto'!K208</f>
        <v>0</v>
      </c>
      <c r="AM204" s="278">
        <f>TABLA_BASE[[#This Row],[C/M UNIT.
(S/.)]]*TABLA_BASE[[#This Row],[CANTIDAD
(unid.)]]</f>
        <v>0</v>
      </c>
      <c r="AN204" s="279">
        <f>IF('🧾 Factura Comercial'!G208=0,0,'🧾 Tributos Aduana'!$F$17*(IF('🧾 Tributos Aduana'!$F$6=0,0,'🧾 Factura Comercial'!I208/'🧾 Tributos Aduana'!$F$6))/'🧾 Factura Comercial'!G208)</f>
        <v>0</v>
      </c>
      <c r="AO204" s="280">
        <f>IF('🧾 Factura Comercial'!G208=0,0,'🏦 Crédito Fiscal'!$C$16*(IF('🧾 Tributos Aduana'!$F$6=0,0,'🧾 Factura Comercial'!I208/'🧾 Tributos Aduana'!$F$6))/'🧾 Factura Comercial'!G208)</f>
        <v>0</v>
      </c>
      <c r="AP204" s="278">
        <f>TABLA_BASE[[#This Row],[CF UNIT.
✅RECUP.
(US$)]]*'📋 Datos Generales'!$E$19</f>
        <v>0</v>
      </c>
      <c r="AQ204" s="278">
        <f>TABLA_BASE[[#This Row],[CF UNIT.
✅RECUP.(S/.)]]*TABLA_BASE[[#This Row],[CANTIDAD
(unid.)]]</f>
        <v>0</v>
      </c>
      <c r="AR204" s="288">
        <f>'💰 Precio de Venta'!G209</f>
        <v>0.4</v>
      </c>
      <c r="AS204" s="278">
        <f>'💰 Precio de Venta'!H209</f>
        <v>0</v>
      </c>
      <c r="AT204" s="278">
        <f>TABLA_BASE[[#This Row],[VALOR VTA.
UNIT.(S/.)]]*TABLA_BASE[[#This Row],[CANTIDAD
(unid.)]]</f>
        <v>0</v>
      </c>
      <c r="AU204" s="281">
        <f>'💰 Precio de Venta'!I209</f>
        <v>0</v>
      </c>
      <c r="AV204" s="278">
        <f>'💰 Precio de Venta'!J209</f>
        <v>0</v>
      </c>
      <c r="AW204" s="278">
        <f>TABLA_BASE[[#This Row],[GANANCIA
UNIT.(S/.)]]*TABLA_BASE[[#This Row],[CANTIDAD
(unid.)]]</f>
        <v>0</v>
      </c>
      <c r="AX204" s="289">
        <f>'💰 Precio de Venta'!K209</f>
        <v>0</v>
      </c>
      <c r="AY204" s="278">
        <f>TABLA_BASE[[#This Row],[GANANCIA
UNIT.(S/.)]]*'🧾 Factura Comercial'!G208</f>
        <v>0</v>
      </c>
      <c r="AZ204" s="277">
        <f>IF(TABLA_BASE[[#This Row],[PRECIO VTA.
c/IGV(S/.)]]=0,0,TABLA_BASE[[#This Row],[GANANCIA
UNIT.(S/.)]]/TABLA_BASE[[#This Row],[PRECIO VTA.
c/IGV(S/.)]])</f>
        <v>0</v>
      </c>
      <c r="BA204" s="277">
        <f>IF(TABLA_BASE[[#This Row],[C/M UNIT.
(S/.)]]=0,0,TABLA_BASE[[#This Row],[GANANCIA
UNIT.(S/.)]]/TABLA_BASE[[#This Row],[C/M UNIT.
(S/.)]])</f>
        <v>0</v>
      </c>
      <c r="BB204" s="274" t="str">
        <f>IF(TABLA_BASE[[#This Row],[MARGEN
%]]&gt;=0.5,"🟢 ALTO",IF(TABLA_BASE[[#This Row],[MARGEN
%]]&gt;=0.3,"🟡 MEDIO","🔴 BAJO"))</f>
        <v>🟡 MEDIO</v>
      </c>
    </row>
    <row r="205" spans="1:54" ht="16.5" hidden="1" thickTop="1" thickBot="1" x14ac:dyDescent="0.3">
      <c r="A205" s="274">
        <f>'🧾 Factura Comercial'!E209</f>
        <v>0</v>
      </c>
      <c r="B205" s="274" t="str">
        <f>'🧾 Factura Comercial'!F209</f>
        <v>Unid.</v>
      </c>
      <c r="C205" s="275">
        <f>'🧾 Factura Comercial'!G209</f>
        <v>0</v>
      </c>
      <c r="D205" s="276">
        <f>'🧾 Factura Comercial'!H209</f>
        <v>0</v>
      </c>
      <c r="E205" s="276">
        <f>'🧾 Factura Comercial'!I209</f>
        <v>0</v>
      </c>
      <c r="F205" s="277">
        <f>IF('🧾 Tributos Aduana'!$F$6=0,0,'🧾 Factura Comercial'!I209/'🧾 Tributos Aduana'!$F$6)</f>
        <v>0</v>
      </c>
      <c r="G205" s="278">
        <f>'🧾 Factura Comercial'!H209*'📋 Datos Generales'!$E$19</f>
        <v>0</v>
      </c>
      <c r="H205" s="278">
        <f>TABLA_BASE[[#This Row],[FOB UNIT.
(S/.)]]*TABLA_BASE[[#This Row],[CANTIDAD
(unid.)]]</f>
        <v>0</v>
      </c>
      <c r="I205" s="280">
        <f>IF('🧾 Tributos Aduana'!$F$6=0,0,'🧾 Tributos Aduana'!$F$17*('🧾 Factura Comercial'!H209/'🧾 Tributos Aduana'!$F$6))</f>
        <v>0</v>
      </c>
      <c r="J205" s="280">
        <f>TABLA_BASE[[#This Row],[ADV UNIT.
(US$)
⚠️COSTO]]*TABLA_BASE[[#This Row],[CANTIDAD
(unid.)]]</f>
        <v>0</v>
      </c>
      <c r="K205" s="279">
        <f>IF('🧾 Tributos Aduana'!$F$6=0,0,'🧾 Tributos Aduana'!$F$18*('🧾 Factura Comercial'!H209/'🧾 Tributos Aduana'!$F$6))</f>
        <v>0</v>
      </c>
      <c r="L205" s="280">
        <f>TABLA_BASE[[#This Row],[IPM UNIT.
(US$)
✅CF]]*TABLA_BASE[[#This Row],[CANTIDAD
(unid.)]]</f>
        <v>0</v>
      </c>
      <c r="M205" s="279">
        <f>IF('🧾 Tributos Aduana'!$F$6=0,0,'🧾 Tributos Aduana'!$F$19*('🧾 Factura Comercial'!H209/'🧾 Tributos Aduana'!$F$6))</f>
        <v>0</v>
      </c>
      <c r="N205" s="280">
        <f>TABLA_BASE[[#This Row],[IGV UNIT.
(US$)
✅CF]]*TABLA_BASE[[#This Row],[CANTIDAD
(unid.)]]</f>
        <v>0</v>
      </c>
      <c r="O205" s="280">
        <f>IF('🧾 Tributos Aduana'!$F$6=0,0,'🧾 Tributos Aduana'!$F$23*('🧾 Factura Comercial'!H209/'🧾 Tributos Aduana'!$F$6))</f>
        <v>0</v>
      </c>
      <c r="P205" s="280">
        <f>TABLA_BASE[[#This Row],[PERCEP.
UNIT.(US$)
✅CF]]*TABLA_BASE[[#This Row],[CANTIDAD
(unid.)]]</f>
        <v>0</v>
      </c>
      <c r="Q205" s="279">
        <f>TABLA_BASE[[#This Row],[ADV UNIT.
(US$)
⚠️COSTO]]+TABLA_BASE[[#This Row],[IPM UNIT.
(US$)
✅CF]]+TABLA_BASE[[#This Row],[IGV UNIT.
(US$)
✅CF]]</f>
        <v>0</v>
      </c>
      <c r="R205" s="280">
        <f>TABLA_BASE[[#This Row],[DEUDA
ADUANERA
UNIT.]]*TABLA_BASE[[#This Row],[CANTIDAD
(unid.)]]</f>
        <v>0</v>
      </c>
      <c r="S205" s="278">
        <f>TABLA_BASE[[#This Row],[DEUDA
ADUANERA
UNIT.]]*'📋 Datos Generales'!$E$19</f>
        <v>0</v>
      </c>
      <c r="T205" s="278">
        <f>TABLA_BASE[[#This Row],[DEUDA
ADUANERA
TOTAL]]*'📋 Datos Generales'!$E$19</f>
        <v>0</v>
      </c>
      <c r="U205" s="281">
        <f>TABLA_BASE[[#This Row],[ADV UNIT.
(US$)
⚠️COSTO]]*'📋 Datos Generales'!$E$19</f>
        <v>0</v>
      </c>
      <c r="V205" s="281">
        <f>TABLA_BASE[[#This Row],[ADV UNIT.
(S/.)]]*TABLA_BASE[[#This Row],[CANTIDAD
(unid.)]]</f>
        <v>0</v>
      </c>
      <c r="W205" s="281">
        <f>TABLA_BASE[[#This Row],[IPM UNIT.
(US$)
✅CF]]*'📋 Datos Generales'!$E$19</f>
        <v>0</v>
      </c>
      <c r="X205" s="281">
        <f>TABLA_BASE[[#This Row],[IPM UNIT.
(S/.)]]*TABLA_BASE[[#This Row],[CANTIDAD
(unid.)]]</f>
        <v>0</v>
      </c>
      <c r="Y205" s="281">
        <f>TABLA_BASE[[#This Row],[IGV UNIT.
(US$)
✅CF]]*'📋 Datos Generales'!$E$19</f>
        <v>0</v>
      </c>
      <c r="Z205" s="281">
        <f>TABLA_BASE[[#This Row],[IGV UNIT.
(S/.)]]*TABLA_BASE[[#This Row],[CANTIDAD
(unid.)]]</f>
        <v>0</v>
      </c>
      <c r="AA205" s="281">
        <f>TABLA_BASE[[#This Row],[PERCEP.
UNIT.(US$)
✅CF]]*'📋 Datos Generales'!$E$19</f>
        <v>0</v>
      </c>
      <c r="AB205" s="281">
        <f>TABLA_BASE[[#This Row],[PERCEP.
UNIT.(S/.)]]*TABLA_BASE[[#This Row],[CANTIDAD
(unid.)]]</f>
        <v>0</v>
      </c>
      <c r="AC205" s="279">
        <f>TABLA_BASE[[#This Row],[ADV UNIT.
(US$)
⚠️COSTO]]+TABLA_BASE[[#This Row],[IPM UNIT.
(US$)
✅CF]]+TABLA_BASE[[#This Row],[IGV UNIT.
(US$)
✅CF]]+TABLA_BASE[[#This Row],[PERCEP.
UNIT.(US$)
✅CF]]</f>
        <v>0</v>
      </c>
      <c r="AD205" s="279">
        <f>TABLA_BASE[[#This Row],[TOTAL PAGO
SUNAT
UNIT.(US$)]]*TABLA_BASE[[#This Row],[CANTIDAD
(unid.)]]</f>
        <v>0</v>
      </c>
      <c r="AE205" s="281">
        <f>TABLA_BASE[[#This Row],[TOTAL PAGO
SUNAT
UNIT.(US$)]]*'📋 Datos Generales'!$E$19</f>
        <v>0</v>
      </c>
      <c r="AF205" s="281">
        <f>TABLA_BASE[[#This Row],[TOTAL TRIB.
UNIT.(S/.)]]*TABLA_BASE[[#This Row],[CANTIDAD
(unid.)]]</f>
        <v>0</v>
      </c>
      <c r="AG205" s="279">
        <f>IF('🧾 Factura Comercial'!G209=0,0,'📦 Gastos Importación'!$E$28*(IF('🧾 Tributos Aduana'!$F$6=0,0,'🧾 Factura Comercial'!I209/'🧾 Tributos Aduana'!$F$6))/'🧾 Factura Comercial'!G209)</f>
        <v>0</v>
      </c>
      <c r="AH205" s="279">
        <f>TABLA_BASE[[#This Row],[GASTOS IMP.
UNIT.(US$)]]*TABLA_BASE[[#This Row],[CANTIDAD
(unid.)]]</f>
        <v>0</v>
      </c>
      <c r="AI205" s="281">
        <f>TABLA_BASE[[#This Row],[GASTOS IMP.
UNIT.(US$)]]*'📋 Datos Generales'!$E$19</f>
        <v>0</v>
      </c>
      <c r="AJ205" s="281">
        <f>TABLA_BASE[[#This Row],[GASTOS IMP.
UNIT.(S/.)]]*TABLA_BASE[[#This Row],[CANTIDAD
(unid.)]]</f>
        <v>0</v>
      </c>
      <c r="AK205" s="280">
        <f>'🧮 Costos x Producto'!J209</f>
        <v>0</v>
      </c>
      <c r="AL205" s="278">
        <f>'🧮 Costos x Producto'!K209</f>
        <v>0</v>
      </c>
      <c r="AM205" s="278">
        <f>TABLA_BASE[[#This Row],[C/M UNIT.
(S/.)]]*TABLA_BASE[[#This Row],[CANTIDAD
(unid.)]]</f>
        <v>0</v>
      </c>
      <c r="AN205" s="279">
        <f>IF('🧾 Factura Comercial'!G209=0,0,'🧾 Tributos Aduana'!$F$17*(IF('🧾 Tributos Aduana'!$F$6=0,0,'🧾 Factura Comercial'!I209/'🧾 Tributos Aduana'!$F$6))/'🧾 Factura Comercial'!G209)</f>
        <v>0</v>
      </c>
      <c r="AO205" s="280">
        <f>IF('🧾 Factura Comercial'!G209=0,0,'🏦 Crédito Fiscal'!$C$16*(IF('🧾 Tributos Aduana'!$F$6=0,0,'🧾 Factura Comercial'!I209/'🧾 Tributos Aduana'!$F$6))/'🧾 Factura Comercial'!G209)</f>
        <v>0</v>
      </c>
      <c r="AP205" s="278">
        <f>TABLA_BASE[[#This Row],[CF UNIT.
✅RECUP.
(US$)]]*'📋 Datos Generales'!$E$19</f>
        <v>0</v>
      </c>
      <c r="AQ205" s="278">
        <f>TABLA_BASE[[#This Row],[CF UNIT.
✅RECUP.(S/.)]]*TABLA_BASE[[#This Row],[CANTIDAD
(unid.)]]</f>
        <v>0</v>
      </c>
      <c r="AR205" s="288">
        <f>'💰 Precio de Venta'!G210</f>
        <v>0.4</v>
      </c>
      <c r="AS205" s="278">
        <f>'💰 Precio de Venta'!H210</f>
        <v>0</v>
      </c>
      <c r="AT205" s="278">
        <f>TABLA_BASE[[#This Row],[VALOR VTA.
UNIT.(S/.)]]*TABLA_BASE[[#This Row],[CANTIDAD
(unid.)]]</f>
        <v>0</v>
      </c>
      <c r="AU205" s="281">
        <f>'💰 Precio de Venta'!I210</f>
        <v>0</v>
      </c>
      <c r="AV205" s="278">
        <f>'💰 Precio de Venta'!J210</f>
        <v>0</v>
      </c>
      <c r="AW205" s="278">
        <f>TABLA_BASE[[#This Row],[GANANCIA
UNIT.(S/.)]]*TABLA_BASE[[#This Row],[CANTIDAD
(unid.)]]</f>
        <v>0</v>
      </c>
      <c r="AX205" s="289">
        <f>'💰 Precio de Venta'!K210</f>
        <v>0</v>
      </c>
      <c r="AY205" s="278">
        <f>TABLA_BASE[[#This Row],[GANANCIA
UNIT.(S/.)]]*'🧾 Factura Comercial'!G209</f>
        <v>0</v>
      </c>
      <c r="AZ205" s="277">
        <f>IF(TABLA_BASE[[#This Row],[PRECIO VTA.
c/IGV(S/.)]]=0,0,TABLA_BASE[[#This Row],[GANANCIA
UNIT.(S/.)]]/TABLA_BASE[[#This Row],[PRECIO VTA.
c/IGV(S/.)]])</f>
        <v>0</v>
      </c>
      <c r="BA205" s="277">
        <f>IF(TABLA_BASE[[#This Row],[C/M UNIT.
(S/.)]]=0,0,TABLA_BASE[[#This Row],[GANANCIA
UNIT.(S/.)]]/TABLA_BASE[[#This Row],[C/M UNIT.
(S/.)]])</f>
        <v>0</v>
      </c>
      <c r="BB205" s="274" t="str">
        <f>IF(TABLA_BASE[[#This Row],[MARGEN
%]]&gt;=0.5,"🟢 ALTO",IF(TABLA_BASE[[#This Row],[MARGEN
%]]&gt;=0.3,"🟡 MEDIO","🔴 BAJO"))</f>
        <v>🟡 MEDIO</v>
      </c>
    </row>
    <row r="206" spans="1:54" ht="16.5" hidden="1" thickTop="1" thickBot="1" x14ac:dyDescent="0.3">
      <c r="A206" s="274">
        <f>'🧾 Factura Comercial'!E210</f>
        <v>0</v>
      </c>
      <c r="B206" s="274" t="str">
        <f>'🧾 Factura Comercial'!F210</f>
        <v>Unid.</v>
      </c>
      <c r="C206" s="275">
        <f>'🧾 Factura Comercial'!G210</f>
        <v>0</v>
      </c>
      <c r="D206" s="276">
        <f>'🧾 Factura Comercial'!H210</f>
        <v>0</v>
      </c>
      <c r="E206" s="276">
        <f>'🧾 Factura Comercial'!I210</f>
        <v>0</v>
      </c>
      <c r="F206" s="277">
        <f>IF('🧾 Tributos Aduana'!$F$6=0,0,'🧾 Factura Comercial'!I210/'🧾 Tributos Aduana'!$F$6)</f>
        <v>0</v>
      </c>
      <c r="G206" s="278">
        <f>'🧾 Factura Comercial'!H210*'📋 Datos Generales'!$E$19</f>
        <v>0</v>
      </c>
      <c r="H206" s="278">
        <f>TABLA_BASE[[#This Row],[FOB UNIT.
(S/.)]]*TABLA_BASE[[#This Row],[CANTIDAD
(unid.)]]</f>
        <v>0</v>
      </c>
      <c r="I206" s="280">
        <f>IF('🧾 Tributos Aduana'!$F$6=0,0,'🧾 Tributos Aduana'!$F$17*('🧾 Factura Comercial'!H210/'🧾 Tributos Aduana'!$F$6))</f>
        <v>0</v>
      </c>
      <c r="J206" s="280">
        <f>TABLA_BASE[[#This Row],[ADV UNIT.
(US$)
⚠️COSTO]]*TABLA_BASE[[#This Row],[CANTIDAD
(unid.)]]</f>
        <v>0</v>
      </c>
      <c r="K206" s="279">
        <f>IF('🧾 Tributos Aduana'!$F$6=0,0,'🧾 Tributos Aduana'!$F$18*('🧾 Factura Comercial'!H210/'🧾 Tributos Aduana'!$F$6))</f>
        <v>0</v>
      </c>
      <c r="L206" s="280">
        <f>TABLA_BASE[[#This Row],[IPM UNIT.
(US$)
✅CF]]*TABLA_BASE[[#This Row],[CANTIDAD
(unid.)]]</f>
        <v>0</v>
      </c>
      <c r="M206" s="279">
        <f>IF('🧾 Tributos Aduana'!$F$6=0,0,'🧾 Tributos Aduana'!$F$19*('🧾 Factura Comercial'!H210/'🧾 Tributos Aduana'!$F$6))</f>
        <v>0</v>
      </c>
      <c r="N206" s="280">
        <f>TABLA_BASE[[#This Row],[IGV UNIT.
(US$)
✅CF]]*TABLA_BASE[[#This Row],[CANTIDAD
(unid.)]]</f>
        <v>0</v>
      </c>
      <c r="O206" s="280">
        <f>IF('🧾 Tributos Aduana'!$F$6=0,0,'🧾 Tributos Aduana'!$F$23*('🧾 Factura Comercial'!H210/'🧾 Tributos Aduana'!$F$6))</f>
        <v>0</v>
      </c>
      <c r="P206" s="280">
        <f>TABLA_BASE[[#This Row],[PERCEP.
UNIT.(US$)
✅CF]]*TABLA_BASE[[#This Row],[CANTIDAD
(unid.)]]</f>
        <v>0</v>
      </c>
      <c r="Q206" s="279">
        <f>TABLA_BASE[[#This Row],[ADV UNIT.
(US$)
⚠️COSTO]]+TABLA_BASE[[#This Row],[IPM UNIT.
(US$)
✅CF]]+TABLA_BASE[[#This Row],[IGV UNIT.
(US$)
✅CF]]</f>
        <v>0</v>
      </c>
      <c r="R206" s="280">
        <f>TABLA_BASE[[#This Row],[DEUDA
ADUANERA
UNIT.]]*TABLA_BASE[[#This Row],[CANTIDAD
(unid.)]]</f>
        <v>0</v>
      </c>
      <c r="S206" s="278">
        <f>TABLA_BASE[[#This Row],[DEUDA
ADUANERA
UNIT.]]*'📋 Datos Generales'!$E$19</f>
        <v>0</v>
      </c>
      <c r="T206" s="278">
        <f>TABLA_BASE[[#This Row],[DEUDA
ADUANERA
TOTAL]]*'📋 Datos Generales'!$E$19</f>
        <v>0</v>
      </c>
      <c r="U206" s="281">
        <f>TABLA_BASE[[#This Row],[ADV UNIT.
(US$)
⚠️COSTO]]*'📋 Datos Generales'!$E$19</f>
        <v>0</v>
      </c>
      <c r="V206" s="281">
        <f>TABLA_BASE[[#This Row],[ADV UNIT.
(S/.)]]*TABLA_BASE[[#This Row],[CANTIDAD
(unid.)]]</f>
        <v>0</v>
      </c>
      <c r="W206" s="281">
        <f>TABLA_BASE[[#This Row],[IPM UNIT.
(US$)
✅CF]]*'📋 Datos Generales'!$E$19</f>
        <v>0</v>
      </c>
      <c r="X206" s="281">
        <f>TABLA_BASE[[#This Row],[IPM UNIT.
(S/.)]]*TABLA_BASE[[#This Row],[CANTIDAD
(unid.)]]</f>
        <v>0</v>
      </c>
      <c r="Y206" s="281">
        <f>TABLA_BASE[[#This Row],[IGV UNIT.
(US$)
✅CF]]*'📋 Datos Generales'!$E$19</f>
        <v>0</v>
      </c>
      <c r="Z206" s="281">
        <f>TABLA_BASE[[#This Row],[IGV UNIT.
(S/.)]]*TABLA_BASE[[#This Row],[CANTIDAD
(unid.)]]</f>
        <v>0</v>
      </c>
      <c r="AA206" s="281">
        <f>TABLA_BASE[[#This Row],[PERCEP.
UNIT.(US$)
✅CF]]*'📋 Datos Generales'!$E$19</f>
        <v>0</v>
      </c>
      <c r="AB206" s="281">
        <f>TABLA_BASE[[#This Row],[PERCEP.
UNIT.(S/.)]]*TABLA_BASE[[#This Row],[CANTIDAD
(unid.)]]</f>
        <v>0</v>
      </c>
      <c r="AC206" s="279">
        <f>TABLA_BASE[[#This Row],[ADV UNIT.
(US$)
⚠️COSTO]]+TABLA_BASE[[#This Row],[IPM UNIT.
(US$)
✅CF]]+TABLA_BASE[[#This Row],[IGV UNIT.
(US$)
✅CF]]+TABLA_BASE[[#This Row],[PERCEP.
UNIT.(US$)
✅CF]]</f>
        <v>0</v>
      </c>
      <c r="AD206" s="279">
        <f>TABLA_BASE[[#This Row],[TOTAL PAGO
SUNAT
UNIT.(US$)]]*TABLA_BASE[[#This Row],[CANTIDAD
(unid.)]]</f>
        <v>0</v>
      </c>
      <c r="AE206" s="281">
        <f>TABLA_BASE[[#This Row],[TOTAL PAGO
SUNAT
UNIT.(US$)]]*'📋 Datos Generales'!$E$19</f>
        <v>0</v>
      </c>
      <c r="AF206" s="281">
        <f>TABLA_BASE[[#This Row],[TOTAL TRIB.
UNIT.(S/.)]]*TABLA_BASE[[#This Row],[CANTIDAD
(unid.)]]</f>
        <v>0</v>
      </c>
      <c r="AG206" s="279">
        <f>IF('🧾 Factura Comercial'!G210=0,0,'📦 Gastos Importación'!$E$28*(IF('🧾 Tributos Aduana'!$F$6=0,0,'🧾 Factura Comercial'!I210/'🧾 Tributos Aduana'!$F$6))/'🧾 Factura Comercial'!G210)</f>
        <v>0</v>
      </c>
      <c r="AH206" s="279">
        <f>TABLA_BASE[[#This Row],[GASTOS IMP.
UNIT.(US$)]]*TABLA_BASE[[#This Row],[CANTIDAD
(unid.)]]</f>
        <v>0</v>
      </c>
      <c r="AI206" s="281">
        <f>TABLA_BASE[[#This Row],[GASTOS IMP.
UNIT.(US$)]]*'📋 Datos Generales'!$E$19</f>
        <v>0</v>
      </c>
      <c r="AJ206" s="281">
        <f>TABLA_BASE[[#This Row],[GASTOS IMP.
UNIT.(S/.)]]*TABLA_BASE[[#This Row],[CANTIDAD
(unid.)]]</f>
        <v>0</v>
      </c>
      <c r="AK206" s="280">
        <f>'🧮 Costos x Producto'!J210</f>
        <v>0</v>
      </c>
      <c r="AL206" s="278">
        <f>'🧮 Costos x Producto'!K210</f>
        <v>0</v>
      </c>
      <c r="AM206" s="278">
        <f>TABLA_BASE[[#This Row],[C/M UNIT.
(S/.)]]*TABLA_BASE[[#This Row],[CANTIDAD
(unid.)]]</f>
        <v>0</v>
      </c>
      <c r="AN206" s="279">
        <f>IF('🧾 Factura Comercial'!G210=0,0,'🧾 Tributos Aduana'!$F$17*(IF('🧾 Tributos Aduana'!$F$6=0,0,'🧾 Factura Comercial'!I210/'🧾 Tributos Aduana'!$F$6))/'🧾 Factura Comercial'!G210)</f>
        <v>0</v>
      </c>
      <c r="AO206" s="280">
        <f>IF('🧾 Factura Comercial'!G210=0,0,'🏦 Crédito Fiscal'!$C$16*(IF('🧾 Tributos Aduana'!$F$6=0,0,'🧾 Factura Comercial'!I210/'🧾 Tributos Aduana'!$F$6))/'🧾 Factura Comercial'!G210)</f>
        <v>0</v>
      </c>
      <c r="AP206" s="278">
        <f>TABLA_BASE[[#This Row],[CF UNIT.
✅RECUP.
(US$)]]*'📋 Datos Generales'!$E$19</f>
        <v>0</v>
      </c>
      <c r="AQ206" s="278">
        <f>TABLA_BASE[[#This Row],[CF UNIT.
✅RECUP.(S/.)]]*TABLA_BASE[[#This Row],[CANTIDAD
(unid.)]]</f>
        <v>0</v>
      </c>
      <c r="AR206" s="288">
        <f>'💰 Precio de Venta'!G211</f>
        <v>0.4</v>
      </c>
      <c r="AS206" s="278">
        <f>'💰 Precio de Venta'!H211</f>
        <v>0</v>
      </c>
      <c r="AT206" s="278">
        <f>TABLA_BASE[[#This Row],[VALOR VTA.
UNIT.(S/.)]]*TABLA_BASE[[#This Row],[CANTIDAD
(unid.)]]</f>
        <v>0</v>
      </c>
      <c r="AU206" s="281">
        <f>'💰 Precio de Venta'!I211</f>
        <v>0</v>
      </c>
      <c r="AV206" s="278">
        <f>'💰 Precio de Venta'!J211</f>
        <v>0</v>
      </c>
      <c r="AW206" s="278">
        <f>TABLA_BASE[[#This Row],[GANANCIA
UNIT.(S/.)]]*TABLA_BASE[[#This Row],[CANTIDAD
(unid.)]]</f>
        <v>0</v>
      </c>
      <c r="AX206" s="289">
        <f>'💰 Precio de Venta'!K211</f>
        <v>0</v>
      </c>
      <c r="AY206" s="278">
        <f>TABLA_BASE[[#This Row],[GANANCIA
UNIT.(S/.)]]*'🧾 Factura Comercial'!G210</f>
        <v>0</v>
      </c>
      <c r="AZ206" s="277">
        <f>IF(TABLA_BASE[[#This Row],[PRECIO VTA.
c/IGV(S/.)]]=0,0,TABLA_BASE[[#This Row],[GANANCIA
UNIT.(S/.)]]/TABLA_BASE[[#This Row],[PRECIO VTA.
c/IGV(S/.)]])</f>
        <v>0</v>
      </c>
      <c r="BA206" s="277">
        <f>IF(TABLA_BASE[[#This Row],[C/M UNIT.
(S/.)]]=0,0,TABLA_BASE[[#This Row],[GANANCIA
UNIT.(S/.)]]/TABLA_BASE[[#This Row],[C/M UNIT.
(S/.)]])</f>
        <v>0</v>
      </c>
      <c r="BB206" s="274" t="str">
        <f>IF(TABLA_BASE[[#This Row],[MARGEN
%]]&gt;=0.5,"🟢 ALTO",IF(TABLA_BASE[[#This Row],[MARGEN
%]]&gt;=0.3,"🟡 MEDIO","🔴 BAJO"))</f>
        <v>🟡 MEDIO</v>
      </c>
    </row>
    <row r="207" spans="1:54" ht="16.5" hidden="1" thickTop="1" thickBot="1" x14ac:dyDescent="0.3">
      <c r="A207" s="274">
        <f>'🧾 Factura Comercial'!E211</f>
        <v>0</v>
      </c>
      <c r="B207" s="274" t="str">
        <f>'🧾 Factura Comercial'!F211</f>
        <v>Unid.</v>
      </c>
      <c r="C207" s="275">
        <f>'🧾 Factura Comercial'!G211</f>
        <v>0</v>
      </c>
      <c r="D207" s="276">
        <f>'🧾 Factura Comercial'!H211</f>
        <v>0</v>
      </c>
      <c r="E207" s="276">
        <f>'🧾 Factura Comercial'!I211</f>
        <v>0</v>
      </c>
      <c r="F207" s="277">
        <f>IF('🧾 Tributos Aduana'!$F$6=0,0,'🧾 Factura Comercial'!I211/'🧾 Tributos Aduana'!$F$6)</f>
        <v>0</v>
      </c>
      <c r="G207" s="278">
        <f>'🧾 Factura Comercial'!H211*'📋 Datos Generales'!$E$19</f>
        <v>0</v>
      </c>
      <c r="H207" s="278">
        <f>TABLA_BASE[[#This Row],[FOB UNIT.
(S/.)]]*TABLA_BASE[[#This Row],[CANTIDAD
(unid.)]]</f>
        <v>0</v>
      </c>
      <c r="I207" s="280">
        <f>IF('🧾 Tributos Aduana'!$F$6=0,0,'🧾 Tributos Aduana'!$F$17*('🧾 Factura Comercial'!H211/'🧾 Tributos Aduana'!$F$6))</f>
        <v>0</v>
      </c>
      <c r="J207" s="280">
        <f>TABLA_BASE[[#This Row],[ADV UNIT.
(US$)
⚠️COSTO]]*TABLA_BASE[[#This Row],[CANTIDAD
(unid.)]]</f>
        <v>0</v>
      </c>
      <c r="K207" s="279">
        <f>IF('🧾 Tributos Aduana'!$F$6=0,0,'🧾 Tributos Aduana'!$F$18*('🧾 Factura Comercial'!H211/'🧾 Tributos Aduana'!$F$6))</f>
        <v>0</v>
      </c>
      <c r="L207" s="280">
        <f>TABLA_BASE[[#This Row],[IPM UNIT.
(US$)
✅CF]]*TABLA_BASE[[#This Row],[CANTIDAD
(unid.)]]</f>
        <v>0</v>
      </c>
      <c r="M207" s="279">
        <f>IF('🧾 Tributos Aduana'!$F$6=0,0,'🧾 Tributos Aduana'!$F$19*('🧾 Factura Comercial'!H211/'🧾 Tributos Aduana'!$F$6))</f>
        <v>0</v>
      </c>
      <c r="N207" s="280">
        <f>TABLA_BASE[[#This Row],[IGV UNIT.
(US$)
✅CF]]*TABLA_BASE[[#This Row],[CANTIDAD
(unid.)]]</f>
        <v>0</v>
      </c>
      <c r="O207" s="280">
        <f>IF('🧾 Tributos Aduana'!$F$6=0,0,'🧾 Tributos Aduana'!$F$23*('🧾 Factura Comercial'!H211/'🧾 Tributos Aduana'!$F$6))</f>
        <v>0</v>
      </c>
      <c r="P207" s="280">
        <f>TABLA_BASE[[#This Row],[PERCEP.
UNIT.(US$)
✅CF]]*TABLA_BASE[[#This Row],[CANTIDAD
(unid.)]]</f>
        <v>0</v>
      </c>
      <c r="Q207" s="279">
        <f>TABLA_BASE[[#This Row],[ADV UNIT.
(US$)
⚠️COSTO]]+TABLA_BASE[[#This Row],[IPM UNIT.
(US$)
✅CF]]+TABLA_BASE[[#This Row],[IGV UNIT.
(US$)
✅CF]]</f>
        <v>0</v>
      </c>
      <c r="R207" s="280">
        <f>TABLA_BASE[[#This Row],[DEUDA
ADUANERA
UNIT.]]*TABLA_BASE[[#This Row],[CANTIDAD
(unid.)]]</f>
        <v>0</v>
      </c>
      <c r="S207" s="278">
        <f>TABLA_BASE[[#This Row],[DEUDA
ADUANERA
UNIT.]]*'📋 Datos Generales'!$E$19</f>
        <v>0</v>
      </c>
      <c r="T207" s="278">
        <f>TABLA_BASE[[#This Row],[DEUDA
ADUANERA
TOTAL]]*'📋 Datos Generales'!$E$19</f>
        <v>0</v>
      </c>
      <c r="U207" s="281">
        <f>TABLA_BASE[[#This Row],[ADV UNIT.
(US$)
⚠️COSTO]]*'📋 Datos Generales'!$E$19</f>
        <v>0</v>
      </c>
      <c r="V207" s="281">
        <f>TABLA_BASE[[#This Row],[ADV UNIT.
(S/.)]]*TABLA_BASE[[#This Row],[CANTIDAD
(unid.)]]</f>
        <v>0</v>
      </c>
      <c r="W207" s="281">
        <f>TABLA_BASE[[#This Row],[IPM UNIT.
(US$)
✅CF]]*'📋 Datos Generales'!$E$19</f>
        <v>0</v>
      </c>
      <c r="X207" s="281">
        <f>TABLA_BASE[[#This Row],[IPM UNIT.
(S/.)]]*TABLA_BASE[[#This Row],[CANTIDAD
(unid.)]]</f>
        <v>0</v>
      </c>
      <c r="Y207" s="281">
        <f>TABLA_BASE[[#This Row],[IGV UNIT.
(US$)
✅CF]]*'📋 Datos Generales'!$E$19</f>
        <v>0</v>
      </c>
      <c r="Z207" s="281">
        <f>TABLA_BASE[[#This Row],[IGV UNIT.
(S/.)]]*TABLA_BASE[[#This Row],[CANTIDAD
(unid.)]]</f>
        <v>0</v>
      </c>
      <c r="AA207" s="281">
        <f>TABLA_BASE[[#This Row],[PERCEP.
UNIT.(US$)
✅CF]]*'📋 Datos Generales'!$E$19</f>
        <v>0</v>
      </c>
      <c r="AB207" s="281">
        <f>TABLA_BASE[[#This Row],[PERCEP.
UNIT.(S/.)]]*TABLA_BASE[[#This Row],[CANTIDAD
(unid.)]]</f>
        <v>0</v>
      </c>
      <c r="AC207" s="279">
        <f>TABLA_BASE[[#This Row],[ADV UNIT.
(US$)
⚠️COSTO]]+TABLA_BASE[[#This Row],[IPM UNIT.
(US$)
✅CF]]+TABLA_BASE[[#This Row],[IGV UNIT.
(US$)
✅CF]]+TABLA_BASE[[#This Row],[PERCEP.
UNIT.(US$)
✅CF]]</f>
        <v>0</v>
      </c>
      <c r="AD207" s="279">
        <f>TABLA_BASE[[#This Row],[TOTAL PAGO
SUNAT
UNIT.(US$)]]*TABLA_BASE[[#This Row],[CANTIDAD
(unid.)]]</f>
        <v>0</v>
      </c>
      <c r="AE207" s="281">
        <f>TABLA_BASE[[#This Row],[TOTAL PAGO
SUNAT
UNIT.(US$)]]*'📋 Datos Generales'!$E$19</f>
        <v>0</v>
      </c>
      <c r="AF207" s="281">
        <f>TABLA_BASE[[#This Row],[TOTAL TRIB.
UNIT.(S/.)]]*TABLA_BASE[[#This Row],[CANTIDAD
(unid.)]]</f>
        <v>0</v>
      </c>
      <c r="AG207" s="279">
        <f>IF('🧾 Factura Comercial'!G211=0,0,'📦 Gastos Importación'!$E$28*(IF('🧾 Tributos Aduana'!$F$6=0,0,'🧾 Factura Comercial'!I211/'🧾 Tributos Aduana'!$F$6))/'🧾 Factura Comercial'!G211)</f>
        <v>0</v>
      </c>
      <c r="AH207" s="279">
        <f>TABLA_BASE[[#This Row],[GASTOS IMP.
UNIT.(US$)]]*TABLA_BASE[[#This Row],[CANTIDAD
(unid.)]]</f>
        <v>0</v>
      </c>
      <c r="AI207" s="281">
        <f>TABLA_BASE[[#This Row],[GASTOS IMP.
UNIT.(US$)]]*'📋 Datos Generales'!$E$19</f>
        <v>0</v>
      </c>
      <c r="AJ207" s="281">
        <f>TABLA_BASE[[#This Row],[GASTOS IMP.
UNIT.(S/.)]]*TABLA_BASE[[#This Row],[CANTIDAD
(unid.)]]</f>
        <v>0</v>
      </c>
      <c r="AK207" s="280">
        <f>'🧮 Costos x Producto'!J211</f>
        <v>0</v>
      </c>
      <c r="AL207" s="278">
        <f>'🧮 Costos x Producto'!K211</f>
        <v>0</v>
      </c>
      <c r="AM207" s="278">
        <f>TABLA_BASE[[#This Row],[C/M UNIT.
(S/.)]]*TABLA_BASE[[#This Row],[CANTIDAD
(unid.)]]</f>
        <v>0</v>
      </c>
      <c r="AN207" s="279">
        <f>IF('🧾 Factura Comercial'!G211=0,0,'🧾 Tributos Aduana'!$F$17*(IF('🧾 Tributos Aduana'!$F$6=0,0,'🧾 Factura Comercial'!I211/'🧾 Tributos Aduana'!$F$6))/'🧾 Factura Comercial'!G211)</f>
        <v>0</v>
      </c>
      <c r="AO207" s="280">
        <f>IF('🧾 Factura Comercial'!G211=0,0,'🏦 Crédito Fiscal'!$C$16*(IF('🧾 Tributos Aduana'!$F$6=0,0,'🧾 Factura Comercial'!I211/'🧾 Tributos Aduana'!$F$6))/'🧾 Factura Comercial'!G211)</f>
        <v>0</v>
      </c>
      <c r="AP207" s="278">
        <f>TABLA_BASE[[#This Row],[CF UNIT.
✅RECUP.
(US$)]]*'📋 Datos Generales'!$E$19</f>
        <v>0</v>
      </c>
      <c r="AQ207" s="278">
        <f>TABLA_BASE[[#This Row],[CF UNIT.
✅RECUP.(S/.)]]*TABLA_BASE[[#This Row],[CANTIDAD
(unid.)]]</f>
        <v>0</v>
      </c>
      <c r="AR207" s="288">
        <f>'💰 Precio de Venta'!G212</f>
        <v>0.4</v>
      </c>
      <c r="AS207" s="278">
        <f>'💰 Precio de Venta'!H212</f>
        <v>0</v>
      </c>
      <c r="AT207" s="278">
        <f>TABLA_BASE[[#This Row],[VALOR VTA.
UNIT.(S/.)]]*TABLA_BASE[[#This Row],[CANTIDAD
(unid.)]]</f>
        <v>0</v>
      </c>
      <c r="AU207" s="281">
        <f>'💰 Precio de Venta'!I212</f>
        <v>0</v>
      </c>
      <c r="AV207" s="278">
        <f>'💰 Precio de Venta'!J212</f>
        <v>0</v>
      </c>
      <c r="AW207" s="278">
        <f>TABLA_BASE[[#This Row],[GANANCIA
UNIT.(S/.)]]*TABLA_BASE[[#This Row],[CANTIDAD
(unid.)]]</f>
        <v>0</v>
      </c>
      <c r="AX207" s="289">
        <f>'💰 Precio de Venta'!K212</f>
        <v>0</v>
      </c>
      <c r="AY207" s="278">
        <f>TABLA_BASE[[#This Row],[GANANCIA
UNIT.(S/.)]]*'🧾 Factura Comercial'!G211</f>
        <v>0</v>
      </c>
      <c r="AZ207" s="277">
        <f>IF(TABLA_BASE[[#This Row],[PRECIO VTA.
c/IGV(S/.)]]=0,0,TABLA_BASE[[#This Row],[GANANCIA
UNIT.(S/.)]]/TABLA_BASE[[#This Row],[PRECIO VTA.
c/IGV(S/.)]])</f>
        <v>0</v>
      </c>
      <c r="BA207" s="277">
        <f>IF(TABLA_BASE[[#This Row],[C/M UNIT.
(S/.)]]=0,0,TABLA_BASE[[#This Row],[GANANCIA
UNIT.(S/.)]]/TABLA_BASE[[#This Row],[C/M UNIT.
(S/.)]])</f>
        <v>0</v>
      </c>
      <c r="BB207" s="274" t="str">
        <f>IF(TABLA_BASE[[#This Row],[MARGEN
%]]&gt;=0.5,"🟢 ALTO",IF(TABLA_BASE[[#This Row],[MARGEN
%]]&gt;=0.3,"🟡 MEDIO","🔴 BAJO"))</f>
        <v>🟡 MEDIO</v>
      </c>
    </row>
    <row r="208" spans="1:54" ht="16.5" hidden="1" thickTop="1" thickBot="1" x14ac:dyDescent="0.3">
      <c r="A208" s="274">
        <f>'🧾 Factura Comercial'!E212</f>
        <v>0</v>
      </c>
      <c r="B208" s="274" t="str">
        <f>'🧾 Factura Comercial'!F212</f>
        <v>Unid.</v>
      </c>
      <c r="C208" s="275">
        <f>'🧾 Factura Comercial'!G212</f>
        <v>0</v>
      </c>
      <c r="D208" s="276">
        <f>'🧾 Factura Comercial'!H212</f>
        <v>0</v>
      </c>
      <c r="E208" s="276">
        <f>'🧾 Factura Comercial'!I212</f>
        <v>0</v>
      </c>
      <c r="F208" s="277">
        <f>IF('🧾 Tributos Aduana'!$F$6=0,0,'🧾 Factura Comercial'!I212/'🧾 Tributos Aduana'!$F$6)</f>
        <v>0</v>
      </c>
      <c r="G208" s="278">
        <f>'🧾 Factura Comercial'!H212*'📋 Datos Generales'!$E$19</f>
        <v>0</v>
      </c>
      <c r="H208" s="278">
        <f>TABLA_BASE[[#This Row],[FOB UNIT.
(S/.)]]*TABLA_BASE[[#This Row],[CANTIDAD
(unid.)]]</f>
        <v>0</v>
      </c>
      <c r="I208" s="280">
        <f>IF('🧾 Tributos Aduana'!$F$6=0,0,'🧾 Tributos Aduana'!$F$17*('🧾 Factura Comercial'!H212/'🧾 Tributos Aduana'!$F$6))</f>
        <v>0</v>
      </c>
      <c r="J208" s="280">
        <f>TABLA_BASE[[#This Row],[ADV UNIT.
(US$)
⚠️COSTO]]*TABLA_BASE[[#This Row],[CANTIDAD
(unid.)]]</f>
        <v>0</v>
      </c>
      <c r="K208" s="279">
        <f>IF('🧾 Tributos Aduana'!$F$6=0,0,'🧾 Tributos Aduana'!$F$18*('🧾 Factura Comercial'!H212/'🧾 Tributos Aduana'!$F$6))</f>
        <v>0</v>
      </c>
      <c r="L208" s="280">
        <f>TABLA_BASE[[#This Row],[IPM UNIT.
(US$)
✅CF]]*TABLA_BASE[[#This Row],[CANTIDAD
(unid.)]]</f>
        <v>0</v>
      </c>
      <c r="M208" s="279">
        <f>IF('🧾 Tributos Aduana'!$F$6=0,0,'🧾 Tributos Aduana'!$F$19*('🧾 Factura Comercial'!H212/'🧾 Tributos Aduana'!$F$6))</f>
        <v>0</v>
      </c>
      <c r="N208" s="280">
        <f>TABLA_BASE[[#This Row],[IGV UNIT.
(US$)
✅CF]]*TABLA_BASE[[#This Row],[CANTIDAD
(unid.)]]</f>
        <v>0</v>
      </c>
      <c r="O208" s="280">
        <f>IF('🧾 Tributos Aduana'!$F$6=0,0,'🧾 Tributos Aduana'!$F$23*('🧾 Factura Comercial'!H212/'🧾 Tributos Aduana'!$F$6))</f>
        <v>0</v>
      </c>
      <c r="P208" s="280">
        <f>TABLA_BASE[[#This Row],[PERCEP.
UNIT.(US$)
✅CF]]*TABLA_BASE[[#This Row],[CANTIDAD
(unid.)]]</f>
        <v>0</v>
      </c>
      <c r="Q208" s="279">
        <f>TABLA_BASE[[#This Row],[ADV UNIT.
(US$)
⚠️COSTO]]+TABLA_BASE[[#This Row],[IPM UNIT.
(US$)
✅CF]]+TABLA_BASE[[#This Row],[IGV UNIT.
(US$)
✅CF]]</f>
        <v>0</v>
      </c>
      <c r="R208" s="280">
        <f>TABLA_BASE[[#This Row],[DEUDA
ADUANERA
UNIT.]]*TABLA_BASE[[#This Row],[CANTIDAD
(unid.)]]</f>
        <v>0</v>
      </c>
      <c r="S208" s="278">
        <f>TABLA_BASE[[#This Row],[DEUDA
ADUANERA
UNIT.]]*'📋 Datos Generales'!$E$19</f>
        <v>0</v>
      </c>
      <c r="T208" s="278">
        <f>TABLA_BASE[[#This Row],[DEUDA
ADUANERA
TOTAL]]*'📋 Datos Generales'!$E$19</f>
        <v>0</v>
      </c>
      <c r="U208" s="281">
        <f>TABLA_BASE[[#This Row],[ADV UNIT.
(US$)
⚠️COSTO]]*'📋 Datos Generales'!$E$19</f>
        <v>0</v>
      </c>
      <c r="V208" s="281">
        <f>TABLA_BASE[[#This Row],[ADV UNIT.
(S/.)]]*TABLA_BASE[[#This Row],[CANTIDAD
(unid.)]]</f>
        <v>0</v>
      </c>
      <c r="W208" s="281">
        <f>TABLA_BASE[[#This Row],[IPM UNIT.
(US$)
✅CF]]*'📋 Datos Generales'!$E$19</f>
        <v>0</v>
      </c>
      <c r="X208" s="281">
        <f>TABLA_BASE[[#This Row],[IPM UNIT.
(S/.)]]*TABLA_BASE[[#This Row],[CANTIDAD
(unid.)]]</f>
        <v>0</v>
      </c>
      <c r="Y208" s="281">
        <f>TABLA_BASE[[#This Row],[IGV UNIT.
(US$)
✅CF]]*'📋 Datos Generales'!$E$19</f>
        <v>0</v>
      </c>
      <c r="Z208" s="281">
        <f>TABLA_BASE[[#This Row],[IGV UNIT.
(S/.)]]*TABLA_BASE[[#This Row],[CANTIDAD
(unid.)]]</f>
        <v>0</v>
      </c>
      <c r="AA208" s="281">
        <f>TABLA_BASE[[#This Row],[PERCEP.
UNIT.(US$)
✅CF]]*'📋 Datos Generales'!$E$19</f>
        <v>0</v>
      </c>
      <c r="AB208" s="281">
        <f>TABLA_BASE[[#This Row],[PERCEP.
UNIT.(S/.)]]*TABLA_BASE[[#This Row],[CANTIDAD
(unid.)]]</f>
        <v>0</v>
      </c>
      <c r="AC208" s="279">
        <f>TABLA_BASE[[#This Row],[ADV UNIT.
(US$)
⚠️COSTO]]+TABLA_BASE[[#This Row],[IPM UNIT.
(US$)
✅CF]]+TABLA_BASE[[#This Row],[IGV UNIT.
(US$)
✅CF]]+TABLA_BASE[[#This Row],[PERCEP.
UNIT.(US$)
✅CF]]</f>
        <v>0</v>
      </c>
      <c r="AD208" s="279">
        <f>TABLA_BASE[[#This Row],[TOTAL PAGO
SUNAT
UNIT.(US$)]]*TABLA_BASE[[#This Row],[CANTIDAD
(unid.)]]</f>
        <v>0</v>
      </c>
      <c r="AE208" s="281">
        <f>TABLA_BASE[[#This Row],[TOTAL PAGO
SUNAT
UNIT.(US$)]]*'📋 Datos Generales'!$E$19</f>
        <v>0</v>
      </c>
      <c r="AF208" s="281">
        <f>TABLA_BASE[[#This Row],[TOTAL TRIB.
UNIT.(S/.)]]*TABLA_BASE[[#This Row],[CANTIDAD
(unid.)]]</f>
        <v>0</v>
      </c>
      <c r="AG208" s="279">
        <f>IF('🧾 Factura Comercial'!G212=0,0,'📦 Gastos Importación'!$E$28*(IF('🧾 Tributos Aduana'!$F$6=0,0,'🧾 Factura Comercial'!I212/'🧾 Tributos Aduana'!$F$6))/'🧾 Factura Comercial'!G212)</f>
        <v>0</v>
      </c>
      <c r="AH208" s="279">
        <f>TABLA_BASE[[#This Row],[GASTOS IMP.
UNIT.(US$)]]*TABLA_BASE[[#This Row],[CANTIDAD
(unid.)]]</f>
        <v>0</v>
      </c>
      <c r="AI208" s="281">
        <f>TABLA_BASE[[#This Row],[GASTOS IMP.
UNIT.(US$)]]*'📋 Datos Generales'!$E$19</f>
        <v>0</v>
      </c>
      <c r="AJ208" s="281">
        <f>TABLA_BASE[[#This Row],[GASTOS IMP.
UNIT.(S/.)]]*TABLA_BASE[[#This Row],[CANTIDAD
(unid.)]]</f>
        <v>0</v>
      </c>
      <c r="AK208" s="280">
        <f>'🧮 Costos x Producto'!J212</f>
        <v>0</v>
      </c>
      <c r="AL208" s="278">
        <f>'🧮 Costos x Producto'!K212</f>
        <v>0</v>
      </c>
      <c r="AM208" s="278">
        <f>TABLA_BASE[[#This Row],[C/M UNIT.
(S/.)]]*TABLA_BASE[[#This Row],[CANTIDAD
(unid.)]]</f>
        <v>0</v>
      </c>
      <c r="AN208" s="279">
        <f>IF('🧾 Factura Comercial'!G212=0,0,'🧾 Tributos Aduana'!$F$17*(IF('🧾 Tributos Aduana'!$F$6=0,0,'🧾 Factura Comercial'!I212/'🧾 Tributos Aduana'!$F$6))/'🧾 Factura Comercial'!G212)</f>
        <v>0</v>
      </c>
      <c r="AO208" s="280">
        <f>IF('🧾 Factura Comercial'!G212=0,0,'🏦 Crédito Fiscal'!$C$16*(IF('🧾 Tributos Aduana'!$F$6=0,0,'🧾 Factura Comercial'!I212/'🧾 Tributos Aduana'!$F$6))/'🧾 Factura Comercial'!G212)</f>
        <v>0</v>
      </c>
      <c r="AP208" s="278">
        <f>TABLA_BASE[[#This Row],[CF UNIT.
✅RECUP.
(US$)]]*'📋 Datos Generales'!$E$19</f>
        <v>0</v>
      </c>
      <c r="AQ208" s="278">
        <f>TABLA_BASE[[#This Row],[CF UNIT.
✅RECUP.(S/.)]]*TABLA_BASE[[#This Row],[CANTIDAD
(unid.)]]</f>
        <v>0</v>
      </c>
      <c r="AR208" s="288">
        <f>'💰 Precio de Venta'!G213</f>
        <v>0.4</v>
      </c>
      <c r="AS208" s="278">
        <f>'💰 Precio de Venta'!H213</f>
        <v>0</v>
      </c>
      <c r="AT208" s="278">
        <f>TABLA_BASE[[#This Row],[VALOR VTA.
UNIT.(S/.)]]*TABLA_BASE[[#This Row],[CANTIDAD
(unid.)]]</f>
        <v>0</v>
      </c>
      <c r="AU208" s="281">
        <f>'💰 Precio de Venta'!I213</f>
        <v>0</v>
      </c>
      <c r="AV208" s="278">
        <f>'💰 Precio de Venta'!J213</f>
        <v>0</v>
      </c>
      <c r="AW208" s="278">
        <f>TABLA_BASE[[#This Row],[GANANCIA
UNIT.(S/.)]]*TABLA_BASE[[#This Row],[CANTIDAD
(unid.)]]</f>
        <v>0</v>
      </c>
      <c r="AX208" s="289">
        <f>'💰 Precio de Venta'!K213</f>
        <v>0</v>
      </c>
      <c r="AY208" s="278">
        <f>TABLA_BASE[[#This Row],[GANANCIA
UNIT.(S/.)]]*'🧾 Factura Comercial'!G212</f>
        <v>0</v>
      </c>
      <c r="AZ208" s="277">
        <f>IF(TABLA_BASE[[#This Row],[PRECIO VTA.
c/IGV(S/.)]]=0,0,TABLA_BASE[[#This Row],[GANANCIA
UNIT.(S/.)]]/TABLA_BASE[[#This Row],[PRECIO VTA.
c/IGV(S/.)]])</f>
        <v>0</v>
      </c>
      <c r="BA208" s="277">
        <f>IF(TABLA_BASE[[#This Row],[C/M UNIT.
(S/.)]]=0,0,TABLA_BASE[[#This Row],[GANANCIA
UNIT.(S/.)]]/TABLA_BASE[[#This Row],[C/M UNIT.
(S/.)]])</f>
        <v>0</v>
      </c>
      <c r="BB208" s="274" t="str">
        <f>IF(TABLA_BASE[[#This Row],[MARGEN
%]]&gt;=0.5,"🟢 ALTO",IF(TABLA_BASE[[#This Row],[MARGEN
%]]&gt;=0.3,"🟡 MEDIO","🔴 BAJO"))</f>
        <v>🟡 MEDIO</v>
      </c>
    </row>
    <row r="209" spans="1:54" ht="16.5" hidden="1" thickTop="1" thickBot="1" x14ac:dyDescent="0.3">
      <c r="A209" s="274">
        <f>'🧾 Factura Comercial'!E213</f>
        <v>0</v>
      </c>
      <c r="B209" s="274" t="str">
        <f>'🧾 Factura Comercial'!F213</f>
        <v>Unid.</v>
      </c>
      <c r="C209" s="275">
        <f>'🧾 Factura Comercial'!G213</f>
        <v>0</v>
      </c>
      <c r="D209" s="276">
        <f>'🧾 Factura Comercial'!H213</f>
        <v>0</v>
      </c>
      <c r="E209" s="276">
        <f>'🧾 Factura Comercial'!I213</f>
        <v>0</v>
      </c>
      <c r="F209" s="277">
        <f>IF('🧾 Tributos Aduana'!$F$6=0,0,'🧾 Factura Comercial'!I213/'🧾 Tributos Aduana'!$F$6)</f>
        <v>0</v>
      </c>
      <c r="G209" s="278">
        <f>'🧾 Factura Comercial'!H213*'📋 Datos Generales'!$E$19</f>
        <v>0</v>
      </c>
      <c r="H209" s="278">
        <f>TABLA_BASE[[#This Row],[FOB UNIT.
(S/.)]]*TABLA_BASE[[#This Row],[CANTIDAD
(unid.)]]</f>
        <v>0</v>
      </c>
      <c r="I209" s="280">
        <f>IF('🧾 Tributos Aduana'!$F$6=0,0,'🧾 Tributos Aduana'!$F$17*('🧾 Factura Comercial'!H213/'🧾 Tributos Aduana'!$F$6))</f>
        <v>0</v>
      </c>
      <c r="J209" s="280">
        <f>TABLA_BASE[[#This Row],[ADV UNIT.
(US$)
⚠️COSTO]]*TABLA_BASE[[#This Row],[CANTIDAD
(unid.)]]</f>
        <v>0</v>
      </c>
      <c r="K209" s="279">
        <f>IF('🧾 Tributos Aduana'!$F$6=0,0,'🧾 Tributos Aduana'!$F$18*('🧾 Factura Comercial'!H213/'🧾 Tributos Aduana'!$F$6))</f>
        <v>0</v>
      </c>
      <c r="L209" s="280">
        <f>TABLA_BASE[[#This Row],[IPM UNIT.
(US$)
✅CF]]*TABLA_BASE[[#This Row],[CANTIDAD
(unid.)]]</f>
        <v>0</v>
      </c>
      <c r="M209" s="279">
        <f>IF('🧾 Tributos Aduana'!$F$6=0,0,'🧾 Tributos Aduana'!$F$19*('🧾 Factura Comercial'!H213/'🧾 Tributos Aduana'!$F$6))</f>
        <v>0</v>
      </c>
      <c r="N209" s="280">
        <f>TABLA_BASE[[#This Row],[IGV UNIT.
(US$)
✅CF]]*TABLA_BASE[[#This Row],[CANTIDAD
(unid.)]]</f>
        <v>0</v>
      </c>
      <c r="O209" s="280">
        <f>IF('🧾 Tributos Aduana'!$F$6=0,0,'🧾 Tributos Aduana'!$F$23*('🧾 Factura Comercial'!H213/'🧾 Tributos Aduana'!$F$6))</f>
        <v>0</v>
      </c>
      <c r="P209" s="280">
        <f>TABLA_BASE[[#This Row],[PERCEP.
UNIT.(US$)
✅CF]]*TABLA_BASE[[#This Row],[CANTIDAD
(unid.)]]</f>
        <v>0</v>
      </c>
      <c r="Q209" s="279">
        <f>TABLA_BASE[[#This Row],[ADV UNIT.
(US$)
⚠️COSTO]]+TABLA_BASE[[#This Row],[IPM UNIT.
(US$)
✅CF]]+TABLA_BASE[[#This Row],[IGV UNIT.
(US$)
✅CF]]</f>
        <v>0</v>
      </c>
      <c r="R209" s="280">
        <f>TABLA_BASE[[#This Row],[DEUDA
ADUANERA
UNIT.]]*TABLA_BASE[[#This Row],[CANTIDAD
(unid.)]]</f>
        <v>0</v>
      </c>
      <c r="S209" s="278">
        <f>TABLA_BASE[[#This Row],[DEUDA
ADUANERA
UNIT.]]*'📋 Datos Generales'!$E$19</f>
        <v>0</v>
      </c>
      <c r="T209" s="278">
        <f>TABLA_BASE[[#This Row],[DEUDA
ADUANERA
TOTAL]]*'📋 Datos Generales'!$E$19</f>
        <v>0</v>
      </c>
      <c r="U209" s="281">
        <f>TABLA_BASE[[#This Row],[ADV UNIT.
(US$)
⚠️COSTO]]*'📋 Datos Generales'!$E$19</f>
        <v>0</v>
      </c>
      <c r="V209" s="281">
        <f>TABLA_BASE[[#This Row],[ADV UNIT.
(S/.)]]*TABLA_BASE[[#This Row],[CANTIDAD
(unid.)]]</f>
        <v>0</v>
      </c>
      <c r="W209" s="281">
        <f>TABLA_BASE[[#This Row],[IPM UNIT.
(US$)
✅CF]]*'📋 Datos Generales'!$E$19</f>
        <v>0</v>
      </c>
      <c r="X209" s="281">
        <f>TABLA_BASE[[#This Row],[IPM UNIT.
(S/.)]]*TABLA_BASE[[#This Row],[CANTIDAD
(unid.)]]</f>
        <v>0</v>
      </c>
      <c r="Y209" s="281">
        <f>TABLA_BASE[[#This Row],[IGV UNIT.
(US$)
✅CF]]*'📋 Datos Generales'!$E$19</f>
        <v>0</v>
      </c>
      <c r="Z209" s="281">
        <f>TABLA_BASE[[#This Row],[IGV UNIT.
(S/.)]]*TABLA_BASE[[#This Row],[CANTIDAD
(unid.)]]</f>
        <v>0</v>
      </c>
      <c r="AA209" s="281">
        <f>TABLA_BASE[[#This Row],[PERCEP.
UNIT.(US$)
✅CF]]*'📋 Datos Generales'!$E$19</f>
        <v>0</v>
      </c>
      <c r="AB209" s="281">
        <f>TABLA_BASE[[#This Row],[PERCEP.
UNIT.(S/.)]]*TABLA_BASE[[#This Row],[CANTIDAD
(unid.)]]</f>
        <v>0</v>
      </c>
      <c r="AC209" s="279">
        <f>TABLA_BASE[[#This Row],[ADV UNIT.
(US$)
⚠️COSTO]]+TABLA_BASE[[#This Row],[IPM UNIT.
(US$)
✅CF]]+TABLA_BASE[[#This Row],[IGV UNIT.
(US$)
✅CF]]+TABLA_BASE[[#This Row],[PERCEP.
UNIT.(US$)
✅CF]]</f>
        <v>0</v>
      </c>
      <c r="AD209" s="279">
        <f>TABLA_BASE[[#This Row],[TOTAL PAGO
SUNAT
UNIT.(US$)]]*TABLA_BASE[[#This Row],[CANTIDAD
(unid.)]]</f>
        <v>0</v>
      </c>
      <c r="AE209" s="281">
        <f>TABLA_BASE[[#This Row],[TOTAL PAGO
SUNAT
UNIT.(US$)]]*'📋 Datos Generales'!$E$19</f>
        <v>0</v>
      </c>
      <c r="AF209" s="281">
        <f>TABLA_BASE[[#This Row],[TOTAL TRIB.
UNIT.(S/.)]]*TABLA_BASE[[#This Row],[CANTIDAD
(unid.)]]</f>
        <v>0</v>
      </c>
      <c r="AG209" s="279">
        <f>IF('🧾 Factura Comercial'!G213=0,0,'📦 Gastos Importación'!$E$28*(IF('🧾 Tributos Aduana'!$F$6=0,0,'🧾 Factura Comercial'!I213/'🧾 Tributos Aduana'!$F$6))/'🧾 Factura Comercial'!G213)</f>
        <v>0</v>
      </c>
      <c r="AH209" s="279">
        <f>TABLA_BASE[[#This Row],[GASTOS IMP.
UNIT.(US$)]]*TABLA_BASE[[#This Row],[CANTIDAD
(unid.)]]</f>
        <v>0</v>
      </c>
      <c r="AI209" s="281">
        <f>TABLA_BASE[[#This Row],[GASTOS IMP.
UNIT.(US$)]]*'📋 Datos Generales'!$E$19</f>
        <v>0</v>
      </c>
      <c r="AJ209" s="281">
        <f>TABLA_BASE[[#This Row],[GASTOS IMP.
UNIT.(S/.)]]*TABLA_BASE[[#This Row],[CANTIDAD
(unid.)]]</f>
        <v>0</v>
      </c>
      <c r="AK209" s="280">
        <f>'🧮 Costos x Producto'!J213</f>
        <v>0</v>
      </c>
      <c r="AL209" s="278">
        <f>'🧮 Costos x Producto'!K213</f>
        <v>0</v>
      </c>
      <c r="AM209" s="278">
        <f>TABLA_BASE[[#This Row],[C/M UNIT.
(S/.)]]*TABLA_BASE[[#This Row],[CANTIDAD
(unid.)]]</f>
        <v>0</v>
      </c>
      <c r="AN209" s="279">
        <f>IF('🧾 Factura Comercial'!G213=0,0,'🧾 Tributos Aduana'!$F$17*(IF('🧾 Tributos Aduana'!$F$6=0,0,'🧾 Factura Comercial'!I213/'🧾 Tributos Aduana'!$F$6))/'🧾 Factura Comercial'!G213)</f>
        <v>0</v>
      </c>
      <c r="AO209" s="280">
        <f>IF('🧾 Factura Comercial'!G213=0,0,'🏦 Crédito Fiscal'!$C$16*(IF('🧾 Tributos Aduana'!$F$6=0,0,'🧾 Factura Comercial'!I213/'🧾 Tributos Aduana'!$F$6))/'🧾 Factura Comercial'!G213)</f>
        <v>0</v>
      </c>
      <c r="AP209" s="278">
        <f>TABLA_BASE[[#This Row],[CF UNIT.
✅RECUP.
(US$)]]*'📋 Datos Generales'!$E$19</f>
        <v>0</v>
      </c>
      <c r="AQ209" s="278">
        <f>TABLA_BASE[[#This Row],[CF UNIT.
✅RECUP.(S/.)]]*TABLA_BASE[[#This Row],[CANTIDAD
(unid.)]]</f>
        <v>0</v>
      </c>
      <c r="AR209" s="288">
        <f>'💰 Precio de Venta'!G214</f>
        <v>0.4</v>
      </c>
      <c r="AS209" s="278">
        <f>'💰 Precio de Venta'!H214</f>
        <v>0</v>
      </c>
      <c r="AT209" s="278">
        <f>TABLA_BASE[[#This Row],[VALOR VTA.
UNIT.(S/.)]]*TABLA_BASE[[#This Row],[CANTIDAD
(unid.)]]</f>
        <v>0</v>
      </c>
      <c r="AU209" s="281">
        <f>'💰 Precio de Venta'!I214</f>
        <v>0</v>
      </c>
      <c r="AV209" s="278">
        <f>'💰 Precio de Venta'!J214</f>
        <v>0</v>
      </c>
      <c r="AW209" s="278">
        <f>TABLA_BASE[[#This Row],[GANANCIA
UNIT.(S/.)]]*TABLA_BASE[[#This Row],[CANTIDAD
(unid.)]]</f>
        <v>0</v>
      </c>
      <c r="AX209" s="289">
        <f>'💰 Precio de Venta'!K214</f>
        <v>0</v>
      </c>
      <c r="AY209" s="278">
        <f>TABLA_BASE[[#This Row],[GANANCIA
UNIT.(S/.)]]*'🧾 Factura Comercial'!G213</f>
        <v>0</v>
      </c>
      <c r="AZ209" s="277">
        <f>IF(TABLA_BASE[[#This Row],[PRECIO VTA.
c/IGV(S/.)]]=0,0,TABLA_BASE[[#This Row],[GANANCIA
UNIT.(S/.)]]/TABLA_BASE[[#This Row],[PRECIO VTA.
c/IGV(S/.)]])</f>
        <v>0</v>
      </c>
      <c r="BA209" s="277">
        <f>IF(TABLA_BASE[[#This Row],[C/M UNIT.
(S/.)]]=0,0,TABLA_BASE[[#This Row],[GANANCIA
UNIT.(S/.)]]/TABLA_BASE[[#This Row],[C/M UNIT.
(S/.)]])</f>
        <v>0</v>
      </c>
      <c r="BB209" s="274" t="str">
        <f>IF(TABLA_BASE[[#This Row],[MARGEN
%]]&gt;=0.5,"🟢 ALTO",IF(TABLA_BASE[[#This Row],[MARGEN
%]]&gt;=0.3,"🟡 MEDIO","🔴 BAJO"))</f>
        <v>🟡 MEDIO</v>
      </c>
    </row>
    <row r="210" spans="1:54" ht="16.5" hidden="1" thickTop="1" thickBot="1" x14ac:dyDescent="0.3">
      <c r="A210" s="274">
        <f>'🧾 Factura Comercial'!E214</f>
        <v>0</v>
      </c>
      <c r="B210" s="274" t="str">
        <f>'🧾 Factura Comercial'!F214</f>
        <v>Unid.</v>
      </c>
      <c r="C210" s="275">
        <f>'🧾 Factura Comercial'!G214</f>
        <v>0</v>
      </c>
      <c r="D210" s="276">
        <f>'🧾 Factura Comercial'!H214</f>
        <v>0</v>
      </c>
      <c r="E210" s="276">
        <f>'🧾 Factura Comercial'!I214</f>
        <v>0</v>
      </c>
      <c r="F210" s="277">
        <f>IF('🧾 Tributos Aduana'!$F$6=0,0,'🧾 Factura Comercial'!I214/'🧾 Tributos Aduana'!$F$6)</f>
        <v>0</v>
      </c>
      <c r="G210" s="278">
        <f>'🧾 Factura Comercial'!H214*'📋 Datos Generales'!$E$19</f>
        <v>0</v>
      </c>
      <c r="H210" s="278">
        <f>TABLA_BASE[[#This Row],[FOB UNIT.
(S/.)]]*TABLA_BASE[[#This Row],[CANTIDAD
(unid.)]]</f>
        <v>0</v>
      </c>
      <c r="I210" s="280">
        <f>IF('🧾 Tributos Aduana'!$F$6=0,0,'🧾 Tributos Aduana'!$F$17*('🧾 Factura Comercial'!H214/'🧾 Tributos Aduana'!$F$6))</f>
        <v>0</v>
      </c>
      <c r="J210" s="280">
        <f>TABLA_BASE[[#This Row],[ADV UNIT.
(US$)
⚠️COSTO]]*TABLA_BASE[[#This Row],[CANTIDAD
(unid.)]]</f>
        <v>0</v>
      </c>
      <c r="K210" s="279">
        <f>IF('🧾 Tributos Aduana'!$F$6=0,0,'🧾 Tributos Aduana'!$F$18*('🧾 Factura Comercial'!H214/'🧾 Tributos Aduana'!$F$6))</f>
        <v>0</v>
      </c>
      <c r="L210" s="280">
        <f>TABLA_BASE[[#This Row],[IPM UNIT.
(US$)
✅CF]]*TABLA_BASE[[#This Row],[CANTIDAD
(unid.)]]</f>
        <v>0</v>
      </c>
      <c r="M210" s="279">
        <f>IF('🧾 Tributos Aduana'!$F$6=0,0,'🧾 Tributos Aduana'!$F$19*('🧾 Factura Comercial'!H214/'🧾 Tributos Aduana'!$F$6))</f>
        <v>0</v>
      </c>
      <c r="N210" s="280">
        <f>TABLA_BASE[[#This Row],[IGV UNIT.
(US$)
✅CF]]*TABLA_BASE[[#This Row],[CANTIDAD
(unid.)]]</f>
        <v>0</v>
      </c>
      <c r="O210" s="280">
        <f>IF('🧾 Tributos Aduana'!$F$6=0,0,'🧾 Tributos Aduana'!$F$23*('🧾 Factura Comercial'!H214/'🧾 Tributos Aduana'!$F$6))</f>
        <v>0</v>
      </c>
      <c r="P210" s="280">
        <f>TABLA_BASE[[#This Row],[PERCEP.
UNIT.(US$)
✅CF]]*TABLA_BASE[[#This Row],[CANTIDAD
(unid.)]]</f>
        <v>0</v>
      </c>
      <c r="Q210" s="279">
        <f>TABLA_BASE[[#This Row],[ADV UNIT.
(US$)
⚠️COSTO]]+TABLA_BASE[[#This Row],[IPM UNIT.
(US$)
✅CF]]+TABLA_BASE[[#This Row],[IGV UNIT.
(US$)
✅CF]]</f>
        <v>0</v>
      </c>
      <c r="R210" s="280">
        <f>TABLA_BASE[[#This Row],[DEUDA
ADUANERA
UNIT.]]*TABLA_BASE[[#This Row],[CANTIDAD
(unid.)]]</f>
        <v>0</v>
      </c>
      <c r="S210" s="278">
        <f>TABLA_BASE[[#This Row],[DEUDA
ADUANERA
UNIT.]]*'📋 Datos Generales'!$E$19</f>
        <v>0</v>
      </c>
      <c r="T210" s="278">
        <f>TABLA_BASE[[#This Row],[DEUDA
ADUANERA
TOTAL]]*'📋 Datos Generales'!$E$19</f>
        <v>0</v>
      </c>
      <c r="U210" s="281">
        <f>TABLA_BASE[[#This Row],[ADV UNIT.
(US$)
⚠️COSTO]]*'📋 Datos Generales'!$E$19</f>
        <v>0</v>
      </c>
      <c r="V210" s="281">
        <f>TABLA_BASE[[#This Row],[ADV UNIT.
(S/.)]]*TABLA_BASE[[#This Row],[CANTIDAD
(unid.)]]</f>
        <v>0</v>
      </c>
      <c r="W210" s="281">
        <f>TABLA_BASE[[#This Row],[IPM UNIT.
(US$)
✅CF]]*'📋 Datos Generales'!$E$19</f>
        <v>0</v>
      </c>
      <c r="X210" s="281">
        <f>TABLA_BASE[[#This Row],[IPM UNIT.
(S/.)]]*TABLA_BASE[[#This Row],[CANTIDAD
(unid.)]]</f>
        <v>0</v>
      </c>
      <c r="Y210" s="281">
        <f>TABLA_BASE[[#This Row],[IGV UNIT.
(US$)
✅CF]]*'📋 Datos Generales'!$E$19</f>
        <v>0</v>
      </c>
      <c r="Z210" s="281">
        <f>TABLA_BASE[[#This Row],[IGV UNIT.
(S/.)]]*TABLA_BASE[[#This Row],[CANTIDAD
(unid.)]]</f>
        <v>0</v>
      </c>
      <c r="AA210" s="281">
        <f>TABLA_BASE[[#This Row],[PERCEP.
UNIT.(US$)
✅CF]]*'📋 Datos Generales'!$E$19</f>
        <v>0</v>
      </c>
      <c r="AB210" s="281">
        <f>TABLA_BASE[[#This Row],[PERCEP.
UNIT.(S/.)]]*TABLA_BASE[[#This Row],[CANTIDAD
(unid.)]]</f>
        <v>0</v>
      </c>
      <c r="AC210" s="279">
        <f>TABLA_BASE[[#This Row],[ADV UNIT.
(US$)
⚠️COSTO]]+TABLA_BASE[[#This Row],[IPM UNIT.
(US$)
✅CF]]+TABLA_BASE[[#This Row],[IGV UNIT.
(US$)
✅CF]]+TABLA_BASE[[#This Row],[PERCEP.
UNIT.(US$)
✅CF]]</f>
        <v>0</v>
      </c>
      <c r="AD210" s="279">
        <f>TABLA_BASE[[#This Row],[TOTAL PAGO
SUNAT
UNIT.(US$)]]*TABLA_BASE[[#This Row],[CANTIDAD
(unid.)]]</f>
        <v>0</v>
      </c>
      <c r="AE210" s="281">
        <f>TABLA_BASE[[#This Row],[TOTAL PAGO
SUNAT
UNIT.(US$)]]*'📋 Datos Generales'!$E$19</f>
        <v>0</v>
      </c>
      <c r="AF210" s="281">
        <f>TABLA_BASE[[#This Row],[TOTAL TRIB.
UNIT.(S/.)]]*TABLA_BASE[[#This Row],[CANTIDAD
(unid.)]]</f>
        <v>0</v>
      </c>
      <c r="AG210" s="279">
        <f>IF('🧾 Factura Comercial'!G214=0,0,'📦 Gastos Importación'!$E$28*(IF('🧾 Tributos Aduana'!$F$6=0,0,'🧾 Factura Comercial'!I214/'🧾 Tributos Aduana'!$F$6))/'🧾 Factura Comercial'!G214)</f>
        <v>0</v>
      </c>
      <c r="AH210" s="279">
        <f>TABLA_BASE[[#This Row],[GASTOS IMP.
UNIT.(US$)]]*TABLA_BASE[[#This Row],[CANTIDAD
(unid.)]]</f>
        <v>0</v>
      </c>
      <c r="AI210" s="281">
        <f>TABLA_BASE[[#This Row],[GASTOS IMP.
UNIT.(US$)]]*'📋 Datos Generales'!$E$19</f>
        <v>0</v>
      </c>
      <c r="AJ210" s="281">
        <f>TABLA_BASE[[#This Row],[GASTOS IMP.
UNIT.(S/.)]]*TABLA_BASE[[#This Row],[CANTIDAD
(unid.)]]</f>
        <v>0</v>
      </c>
      <c r="AK210" s="280">
        <f>'🧮 Costos x Producto'!J214</f>
        <v>0</v>
      </c>
      <c r="AL210" s="278">
        <f>'🧮 Costos x Producto'!K214</f>
        <v>0</v>
      </c>
      <c r="AM210" s="278">
        <f>TABLA_BASE[[#This Row],[C/M UNIT.
(S/.)]]*TABLA_BASE[[#This Row],[CANTIDAD
(unid.)]]</f>
        <v>0</v>
      </c>
      <c r="AN210" s="279">
        <f>IF('🧾 Factura Comercial'!G214=0,0,'🧾 Tributos Aduana'!$F$17*(IF('🧾 Tributos Aduana'!$F$6=0,0,'🧾 Factura Comercial'!I214/'🧾 Tributos Aduana'!$F$6))/'🧾 Factura Comercial'!G214)</f>
        <v>0</v>
      </c>
      <c r="AO210" s="280">
        <f>IF('🧾 Factura Comercial'!G214=0,0,'🏦 Crédito Fiscal'!$C$16*(IF('🧾 Tributos Aduana'!$F$6=0,0,'🧾 Factura Comercial'!I214/'🧾 Tributos Aduana'!$F$6))/'🧾 Factura Comercial'!G214)</f>
        <v>0</v>
      </c>
      <c r="AP210" s="278">
        <f>TABLA_BASE[[#This Row],[CF UNIT.
✅RECUP.
(US$)]]*'📋 Datos Generales'!$E$19</f>
        <v>0</v>
      </c>
      <c r="AQ210" s="278">
        <f>TABLA_BASE[[#This Row],[CF UNIT.
✅RECUP.(S/.)]]*TABLA_BASE[[#This Row],[CANTIDAD
(unid.)]]</f>
        <v>0</v>
      </c>
      <c r="AR210" s="288">
        <f>'💰 Precio de Venta'!G215</f>
        <v>0.4</v>
      </c>
      <c r="AS210" s="278">
        <f>'💰 Precio de Venta'!H215</f>
        <v>0</v>
      </c>
      <c r="AT210" s="278">
        <f>TABLA_BASE[[#This Row],[VALOR VTA.
UNIT.(S/.)]]*TABLA_BASE[[#This Row],[CANTIDAD
(unid.)]]</f>
        <v>0</v>
      </c>
      <c r="AU210" s="281">
        <f>'💰 Precio de Venta'!I215</f>
        <v>0</v>
      </c>
      <c r="AV210" s="278">
        <f>'💰 Precio de Venta'!J215</f>
        <v>0</v>
      </c>
      <c r="AW210" s="278">
        <f>TABLA_BASE[[#This Row],[GANANCIA
UNIT.(S/.)]]*TABLA_BASE[[#This Row],[CANTIDAD
(unid.)]]</f>
        <v>0</v>
      </c>
      <c r="AX210" s="289">
        <f>'💰 Precio de Venta'!K215</f>
        <v>0</v>
      </c>
      <c r="AY210" s="278">
        <f>TABLA_BASE[[#This Row],[GANANCIA
UNIT.(S/.)]]*'🧾 Factura Comercial'!G214</f>
        <v>0</v>
      </c>
      <c r="AZ210" s="277">
        <f>IF(TABLA_BASE[[#This Row],[PRECIO VTA.
c/IGV(S/.)]]=0,0,TABLA_BASE[[#This Row],[GANANCIA
UNIT.(S/.)]]/TABLA_BASE[[#This Row],[PRECIO VTA.
c/IGV(S/.)]])</f>
        <v>0</v>
      </c>
      <c r="BA210" s="277">
        <f>IF(TABLA_BASE[[#This Row],[C/M UNIT.
(S/.)]]=0,0,TABLA_BASE[[#This Row],[GANANCIA
UNIT.(S/.)]]/TABLA_BASE[[#This Row],[C/M UNIT.
(S/.)]])</f>
        <v>0</v>
      </c>
      <c r="BB210" s="274" t="str">
        <f>IF(TABLA_BASE[[#This Row],[MARGEN
%]]&gt;=0.5,"🟢 ALTO",IF(TABLA_BASE[[#This Row],[MARGEN
%]]&gt;=0.3,"🟡 MEDIO","🔴 BAJO"))</f>
        <v>🟡 MEDIO</v>
      </c>
    </row>
    <row r="211" spans="1:54" ht="16.5" hidden="1" thickTop="1" thickBot="1" x14ac:dyDescent="0.3">
      <c r="A211" s="274">
        <f>'🧾 Factura Comercial'!E215</f>
        <v>0</v>
      </c>
      <c r="B211" s="274" t="str">
        <f>'🧾 Factura Comercial'!F215</f>
        <v>Unid.</v>
      </c>
      <c r="C211" s="275">
        <f>'🧾 Factura Comercial'!G215</f>
        <v>0</v>
      </c>
      <c r="D211" s="276">
        <f>'🧾 Factura Comercial'!H215</f>
        <v>0</v>
      </c>
      <c r="E211" s="276">
        <f>'🧾 Factura Comercial'!I215</f>
        <v>0</v>
      </c>
      <c r="F211" s="277">
        <f>IF('🧾 Tributos Aduana'!$F$6=0,0,'🧾 Factura Comercial'!I215/'🧾 Tributos Aduana'!$F$6)</f>
        <v>0</v>
      </c>
      <c r="G211" s="278">
        <f>'🧾 Factura Comercial'!H215*'📋 Datos Generales'!$E$19</f>
        <v>0</v>
      </c>
      <c r="H211" s="278">
        <f>TABLA_BASE[[#This Row],[FOB UNIT.
(S/.)]]*TABLA_BASE[[#This Row],[CANTIDAD
(unid.)]]</f>
        <v>0</v>
      </c>
      <c r="I211" s="280">
        <f>IF('🧾 Tributos Aduana'!$F$6=0,0,'🧾 Tributos Aduana'!$F$17*('🧾 Factura Comercial'!H215/'🧾 Tributos Aduana'!$F$6))</f>
        <v>0</v>
      </c>
      <c r="J211" s="280">
        <f>TABLA_BASE[[#This Row],[ADV UNIT.
(US$)
⚠️COSTO]]*TABLA_BASE[[#This Row],[CANTIDAD
(unid.)]]</f>
        <v>0</v>
      </c>
      <c r="K211" s="279">
        <f>IF('🧾 Tributos Aduana'!$F$6=0,0,'🧾 Tributos Aduana'!$F$18*('🧾 Factura Comercial'!H215/'🧾 Tributos Aduana'!$F$6))</f>
        <v>0</v>
      </c>
      <c r="L211" s="280">
        <f>TABLA_BASE[[#This Row],[IPM UNIT.
(US$)
✅CF]]*TABLA_BASE[[#This Row],[CANTIDAD
(unid.)]]</f>
        <v>0</v>
      </c>
      <c r="M211" s="279">
        <f>IF('🧾 Tributos Aduana'!$F$6=0,0,'🧾 Tributos Aduana'!$F$19*('🧾 Factura Comercial'!H215/'🧾 Tributos Aduana'!$F$6))</f>
        <v>0</v>
      </c>
      <c r="N211" s="280">
        <f>TABLA_BASE[[#This Row],[IGV UNIT.
(US$)
✅CF]]*TABLA_BASE[[#This Row],[CANTIDAD
(unid.)]]</f>
        <v>0</v>
      </c>
      <c r="O211" s="280">
        <f>IF('🧾 Tributos Aduana'!$F$6=0,0,'🧾 Tributos Aduana'!$F$23*('🧾 Factura Comercial'!H215/'🧾 Tributos Aduana'!$F$6))</f>
        <v>0</v>
      </c>
      <c r="P211" s="280">
        <f>TABLA_BASE[[#This Row],[PERCEP.
UNIT.(US$)
✅CF]]*TABLA_BASE[[#This Row],[CANTIDAD
(unid.)]]</f>
        <v>0</v>
      </c>
      <c r="Q211" s="279">
        <f>TABLA_BASE[[#This Row],[ADV UNIT.
(US$)
⚠️COSTO]]+TABLA_BASE[[#This Row],[IPM UNIT.
(US$)
✅CF]]+TABLA_BASE[[#This Row],[IGV UNIT.
(US$)
✅CF]]</f>
        <v>0</v>
      </c>
      <c r="R211" s="280">
        <f>TABLA_BASE[[#This Row],[DEUDA
ADUANERA
UNIT.]]*TABLA_BASE[[#This Row],[CANTIDAD
(unid.)]]</f>
        <v>0</v>
      </c>
      <c r="S211" s="278">
        <f>TABLA_BASE[[#This Row],[DEUDA
ADUANERA
UNIT.]]*'📋 Datos Generales'!$E$19</f>
        <v>0</v>
      </c>
      <c r="T211" s="278">
        <f>TABLA_BASE[[#This Row],[DEUDA
ADUANERA
TOTAL]]*'📋 Datos Generales'!$E$19</f>
        <v>0</v>
      </c>
      <c r="U211" s="281">
        <f>TABLA_BASE[[#This Row],[ADV UNIT.
(US$)
⚠️COSTO]]*'📋 Datos Generales'!$E$19</f>
        <v>0</v>
      </c>
      <c r="V211" s="281">
        <f>TABLA_BASE[[#This Row],[ADV UNIT.
(S/.)]]*TABLA_BASE[[#This Row],[CANTIDAD
(unid.)]]</f>
        <v>0</v>
      </c>
      <c r="W211" s="281">
        <f>TABLA_BASE[[#This Row],[IPM UNIT.
(US$)
✅CF]]*'📋 Datos Generales'!$E$19</f>
        <v>0</v>
      </c>
      <c r="X211" s="281">
        <f>TABLA_BASE[[#This Row],[IPM UNIT.
(S/.)]]*TABLA_BASE[[#This Row],[CANTIDAD
(unid.)]]</f>
        <v>0</v>
      </c>
      <c r="Y211" s="281">
        <f>TABLA_BASE[[#This Row],[IGV UNIT.
(US$)
✅CF]]*'📋 Datos Generales'!$E$19</f>
        <v>0</v>
      </c>
      <c r="Z211" s="281">
        <f>TABLA_BASE[[#This Row],[IGV UNIT.
(S/.)]]*TABLA_BASE[[#This Row],[CANTIDAD
(unid.)]]</f>
        <v>0</v>
      </c>
      <c r="AA211" s="281">
        <f>TABLA_BASE[[#This Row],[PERCEP.
UNIT.(US$)
✅CF]]*'📋 Datos Generales'!$E$19</f>
        <v>0</v>
      </c>
      <c r="AB211" s="281">
        <f>TABLA_BASE[[#This Row],[PERCEP.
UNIT.(S/.)]]*TABLA_BASE[[#This Row],[CANTIDAD
(unid.)]]</f>
        <v>0</v>
      </c>
      <c r="AC211" s="279">
        <f>TABLA_BASE[[#This Row],[ADV UNIT.
(US$)
⚠️COSTO]]+TABLA_BASE[[#This Row],[IPM UNIT.
(US$)
✅CF]]+TABLA_BASE[[#This Row],[IGV UNIT.
(US$)
✅CF]]+TABLA_BASE[[#This Row],[PERCEP.
UNIT.(US$)
✅CF]]</f>
        <v>0</v>
      </c>
      <c r="AD211" s="279">
        <f>TABLA_BASE[[#This Row],[TOTAL PAGO
SUNAT
UNIT.(US$)]]*TABLA_BASE[[#This Row],[CANTIDAD
(unid.)]]</f>
        <v>0</v>
      </c>
      <c r="AE211" s="281">
        <f>TABLA_BASE[[#This Row],[TOTAL PAGO
SUNAT
UNIT.(US$)]]*'📋 Datos Generales'!$E$19</f>
        <v>0</v>
      </c>
      <c r="AF211" s="281">
        <f>TABLA_BASE[[#This Row],[TOTAL TRIB.
UNIT.(S/.)]]*TABLA_BASE[[#This Row],[CANTIDAD
(unid.)]]</f>
        <v>0</v>
      </c>
      <c r="AG211" s="279">
        <f>IF('🧾 Factura Comercial'!G215=0,0,'📦 Gastos Importación'!$E$28*(IF('🧾 Tributos Aduana'!$F$6=0,0,'🧾 Factura Comercial'!I215/'🧾 Tributos Aduana'!$F$6))/'🧾 Factura Comercial'!G215)</f>
        <v>0</v>
      </c>
      <c r="AH211" s="279">
        <f>TABLA_BASE[[#This Row],[GASTOS IMP.
UNIT.(US$)]]*TABLA_BASE[[#This Row],[CANTIDAD
(unid.)]]</f>
        <v>0</v>
      </c>
      <c r="AI211" s="281">
        <f>TABLA_BASE[[#This Row],[GASTOS IMP.
UNIT.(US$)]]*'📋 Datos Generales'!$E$19</f>
        <v>0</v>
      </c>
      <c r="AJ211" s="281">
        <f>TABLA_BASE[[#This Row],[GASTOS IMP.
UNIT.(S/.)]]*TABLA_BASE[[#This Row],[CANTIDAD
(unid.)]]</f>
        <v>0</v>
      </c>
      <c r="AK211" s="280">
        <f>'🧮 Costos x Producto'!J215</f>
        <v>0</v>
      </c>
      <c r="AL211" s="278">
        <f>'🧮 Costos x Producto'!K215</f>
        <v>0</v>
      </c>
      <c r="AM211" s="278">
        <f>TABLA_BASE[[#This Row],[C/M UNIT.
(S/.)]]*TABLA_BASE[[#This Row],[CANTIDAD
(unid.)]]</f>
        <v>0</v>
      </c>
      <c r="AN211" s="279">
        <f>IF('🧾 Factura Comercial'!G215=0,0,'🧾 Tributos Aduana'!$F$17*(IF('🧾 Tributos Aduana'!$F$6=0,0,'🧾 Factura Comercial'!I215/'🧾 Tributos Aduana'!$F$6))/'🧾 Factura Comercial'!G215)</f>
        <v>0</v>
      </c>
      <c r="AO211" s="280">
        <f>IF('🧾 Factura Comercial'!G215=0,0,'🏦 Crédito Fiscal'!$C$16*(IF('🧾 Tributos Aduana'!$F$6=0,0,'🧾 Factura Comercial'!I215/'🧾 Tributos Aduana'!$F$6))/'🧾 Factura Comercial'!G215)</f>
        <v>0</v>
      </c>
      <c r="AP211" s="278">
        <f>TABLA_BASE[[#This Row],[CF UNIT.
✅RECUP.
(US$)]]*'📋 Datos Generales'!$E$19</f>
        <v>0</v>
      </c>
      <c r="AQ211" s="278">
        <f>TABLA_BASE[[#This Row],[CF UNIT.
✅RECUP.(S/.)]]*TABLA_BASE[[#This Row],[CANTIDAD
(unid.)]]</f>
        <v>0</v>
      </c>
      <c r="AR211" s="288">
        <f>'💰 Precio de Venta'!G216</f>
        <v>0.4</v>
      </c>
      <c r="AS211" s="278">
        <f>'💰 Precio de Venta'!H216</f>
        <v>0</v>
      </c>
      <c r="AT211" s="278">
        <f>TABLA_BASE[[#This Row],[VALOR VTA.
UNIT.(S/.)]]*TABLA_BASE[[#This Row],[CANTIDAD
(unid.)]]</f>
        <v>0</v>
      </c>
      <c r="AU211" s="281">
        <f>'💰 Precio de Venta'!I216</f>
        <v>0</v>
      </c>
      <c r="AV211" s="278">
        <f>'💰 Precio de Venta'!J216</f>
        <v>0</v>
      </c>
      <c r="AW211" s="278">
        <f>TABLA_BASE[[#This Row],[GANANCIA
UNIT.(S/.)]]*TABLA_BASE[[#This Row],[CANTIDAD
(unid.)]]</f>
        <v>0</v>
      </c>
      <c r="AX211" s="289">
        <f>'💰 Precio de Venta'!K216</f>
        <v>0</v>
      </c>
      <c r="AY211" s="278">
        <f>TABLA_BASE[[#This Row],[GANANCIA
UNIT.(S/.)]]*'🧾 Factura Comercial'!G215</f>
        <v>0</v>
      </c>
      <c r="AZ211" s="277">
        <f>IF(TABLA_BASE[[#This Row],[PRECIO VTA.
c/IGV(S/.)]]=0,0,TABLA_BASE[[#This Row],[GANANCIA
UNIT.(S/.)]]/TABLA_BASE[[#This Row],[PRECIO VTA.
c/IGV(S/.)]])</f>
        <v>0</v>
      </c>
      <c r="BA211" s="277">
        <f>IF(TABLA_BASE[[#This Row],[C/M UNIT.
(S/.)]]=0,0,TABLA_BASE[[#This Row],[GANANCIA
UNIT.(S/.)]]/TABLA_BASE[[#This Row],[C/M UNIT.
(S/.)]])</f>
        <v>0</v>
      </c>
      <c r="BB211" s="274" t="str">
        <f>IF(TABLA_BASE[[#This Row],[MARGEN
%]]&gt;=0.5,"🟢 ALTO",IF(TABLA_BASE[[#This Row],[MARGEN
%]]&gt;=0.3,"🟡 MEDIO","🔴 BAJO"))</f>
        <v>🟡 MEDIO</v>
      </c>
    </row>
    <row r="212" spans="1:54" ht="16.5" hidden="1" thickTop="1" thickBot="1" x14ac:dyDescent="0.3">
      <c r="A212" s="274">
        <f>'🧾 Factura Comercial'!E216</f>
        <v>0</v>
      </c>
      <c r="B212" s="274" t="str">
        <f>'🧾 Factura Comercial'!F216</f>
        <v>Unid.</v>
      </c>
      <c r="C212" s="275">
        <f>'🧾 Factura Comercial'!G216</f>
        <v>0</v>
      </c>
      <c r="D212" s="276">
        <f>'🧾 Factura Comercial'!H216</f>
        <v>0</v>
      </c>
      <c r="E212" s="276">
        <f>'🧾 Factura Comercial'!I216</f>
        <v>0</v>
      </c>
      <c r="F212" s="277">
        <f>IF('🧾 Tributos Aduana'!$F$6=0,0,'🧾 Factura Comercial'!I216/'🧾 Tributos Aduana'!$F$6)</f>
        <v>0</v>
      </c>
      <c r="G212" s="278">
        <f>'🧾 Factura Comercial'!H216*'📋 Datos Generales'!$E$19</f>
        <v>0</v>
      </c>
      <c r="H212" s="278">
        <f>TABLA_BASE[[#This Row],[FOB UNIT.
(S/.)]]*TABLA_BASE[[#This Row],[CANTIDAD
(unid.)]]</f>
        <v>0</v>
      </c>
      <c r="I212" s="280">
        <f>IF('🧾 Tributos Aduana'!$F$6=0,0,'🧾 Tributos Aduana'!$F$17*('🧾 Factura Comercial'!H216/'🧾 Tributos Aduana'!$F$6))</f>
        <v>0</v>
      </c>
      <c r="J212" s="280">
        <f>TABLA_BASE[[#This Row],[ADV UNIT.
(US$)
⚠️COSTO]]*TABLA_BASE[[#This Row],[CANTIDAD
(unid.)]]</f>
        <v>0</v>
      </c>
      <c r="K212" s="279">
        <f>IF('🧾 Tributos Aduana'!$F$6=0,0,'🧾 Tributos Aduana'!$F$18*('🧾 Factura Comercial'!H216/'🧾 Tributos Aduana'!$F$6))</f>
        <v>0</v>
      </c>
      <c r="L212" s="280">
        <f>TABLA_BASE[[#This Row],[IPM UNIT.
(US$)
✅CF]]*TABLA_BASE[[#This Row],[CANTIDAD
(unid.)]]</f>
        <v>0</v>
      </c>
      <c r="M212" s="279">
        <f>IF('🧾 Tributos Aduana'!$F$6=0,0,'🧾 Tributos Aduana'!$F$19*('🧾 Factura Comercial'!H216/'🧾 Tributos Aduana'!$F$6))</f>
        <v>0</v>
      </c>
      <c r="N212" s="280">
        <f>TABLA_BASE[[#This Row],[IGV UNIT.
(US$)
✅CF]]*TABLA_BASE[[#This Row],[CANTIDAD
(unid.)]]</f>
        <v>0</v>
      </c>
      <c r="O212" s="280">
        <f>IF('🧾 Tributos Aduana'!$F$6=0,0,'🧾 Tributos Aduana'!$F$23*('🧾 Factura Comercial'!H216/'🧾 Tributos Aduana'!$F$6))</f>
        <v>0</v>
      </c>
      <c r="P212" s="280">
        <f>TABLA_BASE[[#This Row],[PERCEP.
UNIT.(US$)
✅CF]]*TABLA_BASE[[#This Row],[CANTIDAD
(unid.)]]</f>
        <v>0</v>
      </c>
      <c r="Q212" s="279">
        <f>TABLA_BASE[[#This Row],[ADV UNIT.
(US$)
⚠️COSTO]]+TABLA_BASE[[#This Row],[IPM UNIT.
(US$)
✅CF]]+TABLA_BASE[[#This Row],[IGV UNIT.
(US$)
✅CF]]</f>
        <v>0</v>
      </c>
      <c r="R212" s="280">
        <f>TABLA_BASE[[#This Row],[DEUDA
ADUANERA
UNIT.]]*TABLA_BASE[[#This Row],[CANTIDAD
(unid.)]]</f>
        <v>0</v>
      </c>
      <c r="S212" s="278">
        <f>TABLA_BASE[[#This Row],[DEUDA
ADUANERA
UNIT.]]*'📋 Datos Generales'!$E$19</f>
        <v>0</v>
      </c>
      <c r="T212" s="278">
        <f>TABLA_BASE[[#This Row],[DEUDA
ADUANERA
TOTAL]]*'📋 Datos Generales'!$E$19</f>
        <v>0</v>
      </c>
      <c r="U212" s="281">
        <f>TABLA_BASE[[#This Row],[ADV UNIT.
(US$)
⚠️COSTO]]*'📋 Datos Generales'!$E$19</f>
        <v>0</v>
      </c>
      <c r="V212" s="281">
        <f>TABLA_BASE[[#This Row],[ADV UNIT.
(S/.)]]*TABLA_BASE[[#This Row],[CANTIDAD
(unid.)]]</f>
        <v>0</v>
      </c>
      <c r="W212" s="281">
        <f>TABLA_BASE[[#This Row],[IPM UNIT.
(US$)
✅CF]]*'📋 Datos Generales'!$E$19</f>
        <v>0</v>
      </c>
      <c r="X212" s="281">
        <f>TABLA_BASE[[#This Row],[IPM UNIT.
(S/.)]]*TABLA_BASE[[#This Row],[CANTIDAD
(unid.)]]</f>
        <v>0</v>
      </c>
      <c r="Y212" s="281">
        <f>TABLA_BASE[[#This Row],[IGV UNIT.
(US$)
✅CF]]*'📋 Datos Generales'!$E$19</f>
        <v>0</v>
      </c>
      <c r="Z212" s="281">
        <f>TABLA_BASE[[#This Row],[IGV UNIT.
(S/.)]]*TABLA_BASE[[#This Row],[CANTIDAD
(unid.)]]</f>
        <v>0</v>
      </c>
      <c r="AA212" s="281">
        <f>TABLA_BASE[[#This Row],[PERCEP.
UNIT.(US$)
✅CF]]*'📋 Datos Generales'!$E$19</f>
        <v>0</v>
      </c>
      <c r="AB212" s="281">
        <f>TABLA_BASE[[#This Row],[PERCEP.
UNIT.(S/.)]]*TABLA_BASE[[#This Row],[CANTIDAD
(unid.)]]</f>
        <v>0</v>
      </c>
      <c r="AC212" s="279">
        <f>TABLA_BASE[[#This Row],[ADV UNIT.
(US$)
⚠️COSTO]]+TABLA_BASE[[#This Row],[IPM UNIT.
(US$)
✅CF]]+TABLA_BASE[[#This Row],[IGV UNIT.
(US$)
✅CF]]+TABLA_BASE[[#This Row],[PERCEP.
UNIT.(US$)
✅CF]]</f>
        <v>0</v>
      </c>
      <c r="AD212" s="279">
        <f>TABLA_BASE[[#This Row],[TOTAL PAGO
SUNAT
UNIT.(US$)]]*TABLA_BASE[[#This Row],[CANTIDAD
(unid.)]]</f>
        <v>0</v>
      </c>
      <c r="AE212" s="281">
        <f>TABLA_BASE[[#This Row],[TOTAL PAGO
SUNAT
UNIT.(US$)]]*'📋 Datos Generales'!$E$19</f>
        <v>0</v>
      </c>
      <c r="AF212" s="281">
        <f>TABLA_BASE[[#This Row],[TOTAL TRIB.
UNIT.(S/.)]]*TABLA_BASE[[#This Row],[CANTIDAD
(unid.)]]</f>
        <v>0</v>
      </c>
      <c r="AG212" s="279">
        <f>IF('🧾 Factura Comercial'!G216=0,0,'📦 Gastos Importación'!$E$28*(IF('🧾 Tributos Aduana'!$F$6=0,0,'🧾 Factura Comercial'!I216/'🧾 Tributos Aduana'!$F$6))/'🧾 Factura Comercial'!G216)</f>
        <v>0</v>
      </c>
      <c r="AH212" s="279">
        <f>TABLA_BASE[[#This Row],[GASTOS IMP.
UNIT.(US$)]]*TABLA_BASE[[#This Row],[CANTIDAD
(unid.)]]</f>
        <v>0</v>
      </c>
      <c r="AI212" s="281">
        <f>TABLA_BASE[[#This Row],[GASTOS IMP.
UNIT.(US$)]]*'📋 Datos Generales'!$E$19</f>
        <v>0</v>
      </c>
      <c r="AJ212" s="281">
        <f>TABLA_BASE[[#This Row],[GASTOS IMP.
UNIT.(S/.)]]*TABLA_BASE[[#This Row],[CANTIDAD
(unid.)]]</f>
        <v>0</v>
      </c>
      <c r="AK212" s="280">
        <f>'🧮 Costos x Producto'!J216</f>
        <v>0</v>
      </c>
      <c r="AL212" s="278">
        <f>'🧮 Costos x Producto'!K216</f>
        <v>0</v>
      </c>
      <c r="AM212" s="278">
        <f>TABLA_BASE[[#This Row],[C/M UNIT.
(S/.)]]*TABLA_BASE[[#This Row],[CANTIDAD
(unid.)]]</f>
        <v>0</v>
      </c>
      <c r="AN212" s="279">
        <f>IF('🧾 Factura Comercial'!G216=0,0,'🧾 Tributos Aduana'!$F$17*(IF('🧾 Tributos Aduana'!$F$6=0,0,'🧾 Factura Comercial'!I216/'🧾 Tributos Aduana'!$F$6))/'🧾 Factura Comercial'!G216)</f>
        <v>0</v>
      </c>
      <c r="AO212" s="280">
        <f>IF('🧾 Factura Comercial'!G216=0,0,'🏦 Crédito Fiscal'!$C$16*(IF('🧾 Tributos Aduana'!$F$6=0,0,'🧾 Factura Comercial'!I216/'🧾 Tributos Aduana'!$F$6))/'🧾 Factura Comercial'!G216)</f>
        <v>0</v>
      </c>
      <c r="AP212" s="278">
        <f>TABLA_BASE[[#This Row],[CF UNIT.
✅RECUP.
(US$)]]*'📋 Datos Generales'!$E$19</f>
        <v>0</v>
      </c>
      <c r="AQ212" s="278">
        <f>TABLA_BASE[[#This Row],[CF UNIT.
✅RECUP.(S/.)]]*TABLA_BASE[[#This Row],[CANTIDAD
(unid.)]]</f>
        <v>0</v>
      </c>
      <c r="AR212" s="288">
        <f>'💰 Precio de Venta'!G217</f>
        <v>0.4</v>
      </c>
      <c r="AS212" s="278">
        <f>'💰 Precio de Venta'!H217</f>
        <v>0</v>
      </c>
      <c r="AT212" s="278">
        <f>TABLA_BASE[[#This Row],[VALOR VTA.
UNIT.(S/.)]]*TABLA_BASE[[#This Row],[CANTIDAD
(unid.)]]</f>
        <v>0</v>
      </c>
      <c r="AU212" s="281">
        <f>'💰 Precio de Venta'!I217</f>
        <v>0</v>
      </c>
      <c r="AV212" s="278">
        <f>'💰 Precio de Venta'!J217</f>
        <v>0</v>
      </c>
      <c r="AW212" s="278">
        <f>TABLA_BASE[[#This Row],[GANANCIA
UNIT.(S/.)]]*TABLA_BASE[[#This Row],[CANTIDAD
(unid.)]]</f>
        <v>0</v>
      </c>
      <c r="AX212" s="289">
        <f>'💰 Precio de Venta'!K217</f>
        <v>0</v>
      </c>
      <c r="AY212" s="278">
        <f>TABLA_BASE[[#This Row],[GANANCIA
UNIT.(S/.)]]*'🧾 Factura Comercial'!G216</f>
        <v>0</v>
      </c>
      <c r="AZ212" s="277">
        <f>IF(TABLA_BASE[[#This Row],[PRECIO VTA.
c/IGV(S/.)]]=0,0,TABLA_BASE[[#This Row],[GANANCIA
UNIT.(S/.)]]/TABLA_BASE[[#This Row],[PRECIO VTA.
c/IGV(S/.)]])</f>
        <v>0</v>
      </c>
      <c r="BA212" s="277">
        <f>IF(TABLA_BASE[[#This Row],[C/M UNIT.
(S/.)]]=0,0,TABLA_BASE[[#This Row],[GANANCIA
UNIT.(S/.)]]/TABLA_BASE[[#This Row],[C/M UNIT.
(S/.)]])</f>
        <v>0</v>
      </c>
      <c r="BB212" s="274" t="str">
        <f>IF(TABLA_BASE[[#This Row],[MARGEN
%]]&gt;=0.5,"🟢 ALTO",IF(TABLA_BASE[[#This Row],[MARGEN
%]]&gt;=0.3,"🟡 MEDIO","🔴 BAJO"))</f>
        <v>🟡 MEDIO</v>
      </c>
    </row>
    <row r="213" spans="1:54" ht="16.5" hidden="1" thickTop="1" thickBot="1" x14ac:dyDescent="0.3">
      <c r="A213" s="274">
        <f>'🧾 Factura Comercial'!E217</f>
        <v>0</v>
      </c>
      <c r="B213" s="274" t="str">
        <f>'🧾 Factura Comercial'!F217</f>
        <v>Unid.</v>
      </c>
      <c r="C213" s="275">
        <f>'🧾 Factura Comercial'!G217</f>
        <v>0</v>
      </c>
      <c r="D213" s="276">
        <f>'🧾 Factura Comercial'!H217</f>
        <v>0</v>
      </c>
      <c r="E213" s="276">
        <f>'🧾 Factura Comercial'!I217</f>
        <v>0</v>
      </c>
      <c r="F213" s="277">
        <f>IF('🧾 Tributos Aduana'!$F$6=0,0,'🧾 Factura Comercial'!I217/'🧾 Tributos Aduana'!$F$6)</f>
        <v>0</v>
      </c>
      <c r="G213" s="278">
        <f>'🧾 Factura Comercial'!H217*'📋 Datos Generales'!$E$19</f>
        <v>0</v>
      </c>
      <c r="H213" s="278">
        <f>TABLA_BASE[[#This Row],[FOB UNIT.
(S/.)]]*TABLA_BASE[[#This Row],[CANTIDAD
(unid.)]]</f>
        <v>0</v>
      </c>
      <c r="I213" s="280">
        <f>IF('🧾 Tributos Aduana'!$F$6=0,0,'🧾 Tributos Aduana'!$F$17*('🧾 Factura Comercial'!H217/'🧾 Tributos Aduana'!$F$6))</f>
        <v>0</v>
      </c>
      <c r="J213" s="280">
        <f>TABLA_BASE[[#This Row],[ADV UNIT.
(US$)
⚠️COSTO]]*TABLA_BASE[[#This Row],[CANTIDAD
(unid.)]]</f>
        <v>0</v>
      </c>
      <c r="K213" s="279">
        <f>IF('🧾 Tributos Aduana'!$F$6=0,0,'🧾 Tributos Aduana'!$F$18*('🧾 Factura Comercial'!H217/'🧾 Tributos Aduana'!$F$6))</f>
        <v>0</v>
      </c>
      <c r="L213" s="280">
        <f>TABLA_BASE[[#This Row],[IPM UNIT.
(US$)
✅CF]]*TABLA_BASE[[#This Row],[CANTIDAD
(unid.)]]</f>
        <v>0</v>
      </c>
      <c r="M213" s="279">
        <f>IF('🧾 Tributos Aduana'!$F$6=0,0,'🧾 Tributos Aduana'!$F$19*('🧾 Factura Comercial'!H217/'🧾 Tributos Aduana'!$F$6))</f>
        <v>0</v>
      </c>
      <c r="N213" s="280">
        <f>TABLA_BASE[[#This Row],[IGV UNIT.
(US$)
✅CF]]*TABLA_BASE[[#This Row],[CANTIDAD
(unid.)]]</f>
        <v>0</v>
      </c>
      <c r="O213" s="280">
        <f>IF('🧾 Tributos Aduana'!$F$6=0,0,'🧾 Tributos Aduana'!$F$23*('🧾 Factura Comercial'!H217/'🧾 Tributos Aduana'!$F$6))</f>
        <v>0</v>
      </c>
      <c r="P213" s="280">
        <f>TABLA_BASE[[#This Row],[PERCEP.
UNIT.(US$)
✅CF]]*TABLA_BASE[[#This Row],[CANTIDAD
(unid.)]]</f>
        <v>0</v>
      </c>
      <c r="Q213" s="279">
        <f>TABLA_BASE[[#This Row],[ADV UNIT.
(US$)
⚠️COSTO]]+TABLA_BASE[[#This Row],[IPM UNIT.
(US$)
✅CF]]+TABLA_BASE[[#This Row],[IGV UNIT.
(US$)
✅CF]]</f>
        <v>0</v>
      </c>
      <c r="R213" s="280">
        <f>TABLA_BASE[[#This Row],[DEUDA
ADUANERA
UNIT.]]*TABLA_BASE[[#This Row],[CANTIDAD
(unid.)]]</f>
        <v>0</v>
      </c>
      <c r="S213" s="278">
        <f>TABLA_BASE[[#This Row],[DEUDA
ADUANERA
UNIT.]]*'📋 Datos Generales'!$E$19</f>
        <v>0</v>
      </c>
      <c r="T213" s="278">
        <f>TABLA_BASE[[#This Row],[DEUDA
ADUANERA
TOTAL]]*'📋 Datos Generales'!$E$19</f>
        <v>0</v>
      </c>
      <c r="U213" s="281">
        <f>TABLA_BASE[[#This Row],[ADV UNIT.
(US$)
⚠️COSTO]]*'📋 Datos Generales'!$E$19</f>
        <v>0</v>
      </c>
      <c r="V213" s="281">
        <f>TABLA_BASE[[#This Row],[ADV UNIT.
(S/.)]]*TABLA_BASE[[#This Row],[CANTIDAD
(unid.)]]</f>
        <v>0</v>
      </c>
      <c r="W213" s="281">
        <f>TABLA_BASE[[#This Row],[IPM UNIT.
(US$)
✅CF]]*'📋 Datos Generales'!$E$19</f>
        <v>0</v>
      </c>
      <c r="X213" s="281">
        <f>TABLA_BASE[[#This Row],[IPM UNIT.
(S/.)]]*TABLA_BASE[[#This Row],[CANTIDAD
(unid.)]]</f>
        <v>0</v>
      </c>
      <c r="Y213" s="281">
        <f>TABLA_BASE[[#This Row],[IGV UNIT.
(US$)
✅CF]]*'📋 Datos Generales'!$E$19</f>
        <v>0</v>
      </c>
      <c r="Z213" s="281">
        <f>TABLA_BASE[[#This Row],[IGV UNIT.
(S/.)]]*TABLA_BASE[[#This Row],[CANTIDAD
(unid.)]]</f>
        <v>0</v>
      </c>
      <c r="AA213" s="281">
        <f>TABLA_BASE[[#This Row],[PERCEP.
UNIT.(US$)
✅CF]]*'📋 Datos Generales'!$E$19</f>
        <v>0</v>
      </c>
      <c r="AB213" s="281">
        <f>TABLA_BASE[[#This Row],[PERCEP.
UNIT.(S/.)]]*TABLA_BASE[[#This Row],[CANTIDAD
(unid.)]]</f>
        <v>0</v>
      </c>
      <c r="AC213" s="279">
        <f>TABLA_BASE[[#This Row],[ADV UNIT.
(US$)
⚠️COSTO]]+TABLA_BASE[[#This Row],[IPM UNIT.
(US$)
✅CF]]+TABLA_BASE[[#This Row],[IGV UNIT.
(US$)
✅CF]]+TABLA_BASE[[#This Row],[PERCEP.
UNIT.(US$)
✅CF]]</f>
        <v>0</v>
      </c>
      <c r="AD213" s="279">
        <f>TABLA_BASE[[#This Row],[TOTAL PAGO
SUNAT
UNIT.(US$)]]*TABLA_BASE[[#This Row],[CANTIDAD
(unid.)]]</f>
        <v>0</v>
      </c>
      <c r="AE213" s="281">
        <f>TABLA_BASE[[#This Row],[TOTAL PAGO
SUNAT
UNIT.(US$)]]*'📋 Datos Generales'!$E$19</f>
        <v>0</v>
      </c>
      <c r="AF213" s="281">
        <f>TABLA_BASE[[#This Row],[TOTAL TRIB.
UNIT.(S/.)]]*TABLA_BASE[[#This Row],[CANTIDAD
(unid.)]]</f>
        <v>0</v>
      </c>
      <c r="AG213" s="279">
        <f>IF('🧾 Factura Comercial'!G217=0,0,'📦 Gastos Importación'!$E$28*(IF('🧾 Tributos Aduana'!$F$6=0,0,'🧾 Factura Comercial'!I217/'🧾 Tributos Aduana'!$F$6))/'🧾 Factura Comercial'!G217)</f>
        <v>0</v>
      </c>
      <c r="AH213" s="279">
        <f>TABLA_BASE[[#This Row],[GASTOS IMP.
UNIT.(US$)]]*TABLA_BASE[[#This Row],[CANTIDAD
(unid.)]]</f>
        <v>0</v>
      </c>
      <c r="AI213" s="281">
        <f>TABLA_BASE[[#This Row],[GASTOS IMP.
UNIT.(US$)]]*'📋 Datos Generales'!$E$19</f>
        <v>0</v>
      </c>
      <c r="AJ213" s="281">
        <f>TABLA_BASE[[#This Row],[GASTOS IMP.
UNIT.(S/.)]]*TABLA_BASE[[#This Row],[CANTIDAD
(unid.)]]</f>
        <v>0</v>
      </c>
      <c r="AK213" s="280">
        <f>'🧮 Costos x Producto'!J217</f>
        <v>0</v>
      </c>
      <c r="AL213" s="278">
        <f>'🧮 Costos x Producto'!K217</f>
        <v>0</v>
      </c>
      <c r="AM213" s="278">
        <f>TABLA_BASE[[#This Row],[C/M UNIT.
(S/.)]]*TABLA_BASE[[#This Row],[CANTIDAD
(unid.)]]</f>
        <v>0</v>
      </c>
      <c r="AN213" s="279">
        <f>IF('🧾 Factura Comercial'!G217=0,0,'🧾 Tributos Aduana'!$F$17*(IF('🧾 Tributos Aduana'!$F$6=0,0,'🧾 Factura Comercial'!I217/'🧾 Tributos Aduana'!$F$6))/'🧾 Factura Comercial'!G217)</f>
        <v>0</v>
      </c>
      <c r="AO213" s="280">
        <f>IF('🧾 Factura Comercial'!G217=0,0,'🏦 Crédito Fiscal'!$C$16*(IF('🧾 Tributos Aduana'!$F$6=0,0,'🧾 Factura Comercial'!I217/'🧾 Tributos Aduana'!$F$6))/'🧾 Factura Comercial'!G217)</f>
        <v>0</v>
      </c>
      <c r="AP213" s="278">
        <f>TABLA_BASE[[#This Row],[CF UNIT.
✅RECUP.
(US$)]]*'📋 Datos Generales'!$E$19</f>
        <v>0</v>
      </c>
      <c r="AQ213" s="278">
        <f>TABLA_BASE[[#This Row],[CF UNIT.
✅RECUP.(S/.)]]*TABLA_BASE[[#This Row],[CANTIDAD
(unid.)]]</f>
        <v>0</v>
      </c>
      <c r="AR213" s="288">
        <f>'💰 Precio de Venta'!G218</f>
        <v>0.4</v>
      </c>
      <c r="AS213" s="278">
        <f>'💰 Precio de Venta'!H218</f>
        <v>0</v>
      </c>
      <c r="AT213" s="278">
        <f>TABLA_BASE[[#This Row],[VALOR VTA.
UNIT.(S/.)]]*TABLA_BASE[[#This Row],[CANTIDAD
(unid.)]]</f>
        <v>0</v>
      </c>
      <c r="AU213" s="281">
        <f>'💰 Precio de Venta'!I218</f>
        <v>0</v>
      </c>
      <c r="AV213" s="278">
        <f>'💰 Precio de Venta'!J218</f>
        <v>0</v>
      </c>
      <c r="AW213" s="278">
        <f>TABLA_BASE[[#This Row],[GANANCIA
UNIT.(S/.)]]*TABLA_BASE[[#This Row],[CANTIDAD
(unid.)]]</f>
        <v>0</v>
      </c>
      <c r="AX213" s="289">
        <f>'💰 Precio de Venta'!K218</f>
        <v>0</v>
      </c>
      <c r="AY213" s="278">
        <f>TABLA_BASE[[#This Row],[GANANCIA
UNIT.(S/.)]]*'🧾 Factura Comercial'!G217</f>
        <v>0</v>
      </c>
      <c r="AZ213" s="277">
        <f>IF(TABLA_BASE[[#This Row],[PRECIO VTA.
c/IGV(S/.)]]=0,0,TABLA_BASE[[#This Row],[GANANCIA
UNIT.(S/.)]]/TABLA_BASE[[#This Row],[PRECIO VTA.
c/IGV(S/.)]])</f>
        <v>0</v>
      </c>
      <c r="BA213" s="277">
        <f>IF(TABLA_BASE[[#This Row],[C/M UNIT.
(S/.)]]=0,0,TABLA_BASE[[#This Row],[GANANCIA
UNIT.(S/.)]]/TABLA_BASE[[#This Row],[C/M UNIT.
(S/.)]])</f>
        <v>0</v>
      </c>
      <c r="BB213" s="274" t="str">
        <f>IF(TABLA_BASE[[#This Row],[MARGEN
%]]&gt;=0.5,"🟢 ALTO",IF(TABLA_BASE[[#This Row],[MARGEN
%]]&gt;=0.3,"🟡 MEDIO","🔴 BAJO"))</f>
        <v>🟡 MEDIO</v>
      </c>
    </row>
    <row r="214" spans="1:54" ht="16.5" hidden="1" thickTop="1" thickBot="1" x14ac:dyDescent="0.3">
      <c r="A214" s="274">
        <f>'🧾 Factura Comercial'!E218</f>
        <v>0</v>
      </c>
      <c r="B214" s="274" t="str">
        <f>'🧾 Factura Comercial'!F218</f>
        <v>Unid.</v>
      </c>
      <c r="C214" s="275">
        <f>'🧾 Factura Comercial'!G218</f>
        <v>0</v>
      </c>
      <c r="D214" s="276">
        <f>'🧾 Factura Comercial'!H218</f>
        <v>0</v>
      </c>
      <c r="E214" s="276">
        <f>'🧾 Factura Comercial'!I218</f>
        <v>0</v>
      </c>
      <c r="F214" s="277">
        <f>IF('🧾 Tributos Aduana'!$F$6=0,0,'🧾 Factura Comercial'!I218/'🧾 Tributos Aduana'!$F$6)</f>
        <v>0</v>
      </c>
      <c r="G214" s="278">
        <f>'🧾 Factura Comercial'!H218*'📋 Datos Generales'!$E$19</f>
        <v>0</v>
      </c>
      <c r="H214" s="278">
        <f>TABLA_BASE[[#This Row],[FOB UNIT.
(S/.)]]*TABLA_BASE[[#This Row],[CANTIDAD
(unid.)]]</f>
        <v>0</v>
      </c>
      <c r="I214" s="280">
        <f>IF('🧾 Tributos Aduana'!$F$6=0,0,'🧾 Tributos Aduana'!$F$17*('🧾 Factura Comercial'!H218/'🧾 Tributos Aduana'!$F$6))</f>
        <v>0</v>
      </c>
      <c r="J214" s="280">
        <f>TABLA_BASE[[#This Row],[ADV UNIT.
(US$)
⚠️COSTO]]*TABLA_BASE[[#This Row],[CANTIDAD
(unid.)]]</f>
        <v>0</v>
      </c>
      <c r="K214" s="279">
        <f>IF('🧾 Tributos Aduana'!$F$6=0,0,'🧾 Tributos Aduana'!$F$18*('🧾 Factura Comercial'!H218/'🧾 Tributos Aduana'!$F$6))</f>
        <v>0</v>
      </c>
      <c r="L214" s="280">
        <f>TABLA_BASE[[#This Row],[IPM UNIT.
(US$)
✅CF]]*TABLA_BASE[[#This Row],[CANTIDAD
(unid.)]]</f>
        <v>0</v>
      </c>
      <c r="M214" s="279">
        <f>IF('🧾 Tributos Aduana'!$F$6=0,0,'🧾 Tributos Aduana'!$F$19*('🧾 Factura Comercial'!H218/'🧾 Tributos Aduana'!$F$6))</f>
        <v>0</v>
      </c>
      <c r="N214" s="280">
        <f>TABLA_BASE[[#This Row],[IGV UNIT.
(US$)
✅CF]]*TABLA_BASE[[#This Row],[CANTIDAD
(unid.)]]</f>
        <v>0</v>
      </c>
      <c r="O214" s="280">
        <f>IF('🧾 Tributos Aduana'!$F$6=0,0,'🧾 Tributos Aduana'!$F$23*('🧾 Factura Comercial'!H218/'🧾 Tributos Aduana'!$F$6))</f>
        <v>0</v>
      </c>
      <c r="P214" s="280">
        <f>TABLA_BASE[[#This Row],[PERCEP.
UNIT.(US$)
✅CF]]*TABLA_BASE[[#This Row],[CANTIDAD
(unid.)]]</f>
        <v>0</v>
      </c>
      <c r="Q214" s="279">
        <f>TABLA_BASE[[#This Row],[ADV UNIT.
(US$)
⚠️COSTO]]+TABLA_BASE[[#This Row],[IPM UNIT.
(US$)
✅CF]]+TABLA_BASE[[#This Row],[IGV UNIT.
(US$)
✅CF]]</f>
        <v>0</v>
      </c>
      <c r="R214" s="280">
        <f>TABLA_BASE[[#This Row],[DEUDA
ADUANERA
UNIT.]]*TABLA_BASE[[#This Row],[CANTIDAD
(unid.)]]</f>
        <v>0</v>
      </c>
      <c r="S214" s="278">
        <f>TABLA_BASE[[#This Row],[DEUDA
ADUANERA
UNIT.]]*'📋 Datos Generales'!$E$19</f>
        <v>0</v>
      </c>
      <c r="T214" s="278">
        <f>TABLA_BASE[[#This Row],[DEUDA
ADUANERA
TOTAL]]*'📋 Datos Generales'!$E$19</f>
        <v>0</v>
      </c>
      <c r="U214" s="281">
        <f>TABLA_BASE[[#This Row],[ADV UNIT.
(US$)
⚠️COSTO]]*'📋 Datos Generales'!$E$19</f>
        <v>0</v>
      </c>
      <c r="V214" s="281">
        <f>TABLA_BASE[[#This Row],[ADV UNIT.
(S/.)]]*TABLA_BASE[[#This Row],[CANTIDAD
(unid.)]]</f>
        <v>0</v>
      </c>
      <c r="W214" s="281">
        <f>TABLA_BASE[[#This Row],[IPM UNIT.
(US$)
✅CF]]*'📋 Datos Generales'!$E$19</f>
        <v>0</v>
      </c>
      <c r="X214" s="281">
        <f>TABLA_BASE[[#This Row],[IPM UNIT.
(S/.)]]*TABLA_BASE[[#This Row],[CANTIDAD
(unid.)]]</f>
        <v>0</v>
      </c>
      <c r="Y214" s="281">
        <f>TABLA_BASE[[#This Row],[IGV UNIT.
(US$)
✅CF]]*'📋 Datos Generales'!$E$19</f>
        <v>0</v>
      </c>
      <c r="Z214" s="281">
        <f>TABLA_BASE[[#This Row],[IGV UNIT.
(S/.)]]*TABLA_BASE[[#This Row],[CANTIDAD
(unid.)]]</f>
        <v>0</v>
      </c>
      <c r="AA214" s="281">
        <f>TABLA_BASE[[#This Row],[PERCEP.
UNIT.(US$)
✅CF]]*'📋 Datos Generales'!$E$19</f>
        <v>0</v>
      </c>
      <c r="AB214" s="281">
        <f>TABLA_BASE[[#This Row],[PERCEP.
UNIT.(S/.)]]*TABLA_BASE[[#This Row],[CANTIDAD
(unid.)]]</f>
        <v>0</v>
      </c>
      <c r="AC214" s="279">
        <f>TABLA_BASE[[#This Row],[ADV UNIT.
(US$)
⚠️COSTO]]+TABLA_BASE[[#This Row],[IPM UNIT.
(US$)
✅CF]]+TABLA_BASE[[#This Row],[IGV UNIT.
(US$)
✅CF]]+TABLA_BASE[[#This Row],[PERCEP.
UNIT.(US$)
✅CF]]</f>
        <v>0</v>
      </c>
      <c r="AD214" s="279">
        <f>TABLA_BASE[[#This Row],[TOTAL PAGO
SUNAT
UNIT.(US$)]]*TABLA_BASE[[#This Row],[CANTIDAD
(unid.)]]</f>
        <v>0</v>
      </c>
      <c r="AE214" s="281">
        <f>TABLA_BASE[[#This Row],[TOTAL PAGO
SUNAT
UNIT.(US$)]]*'📋 Datos Generales'!$E$19</f>
        <v>0</v>
      </c>
      <c r="AF214" s="281">
        <f>TABLA_BASE[[#This Row],[TOTAL TRIB.
UNIT.(S/.)]]*TABLA_BASE[[#This Row],[CANTIDAD
(unid.)]]</f>
        <v>0</v>
      </c>
      <c r="AG214" s="279">
        <f>IF('🧾 Factura Comercial'!G218=0,0,'📦 Gastos Importación'!$E$28*(IF('🧾 Tributos Aduana'!$F$6=0,0,'🧾 Factura Comercial'!I218/'🧾 Tributos Aduana'!$F$6))/'🧾 Factura Comercial'!G218)</f>
        <v>0</v>
      </c>
      <c r="AH214" s="279">
        <f>TABLA_BASE[[#This Row],[GASTOS IMP.
UNIT.(US$)]]*TABLA_BASE[[#This Row],[CANTIDAD
(unid.)]]</f>
        <v>0</v>
      </c>
      <c r="AI214" s="281">
        <f>TABLA_BASE[[#This Row],[GASTOS IMP.
UNIT.(US$)]]*'📋 Datos Generales'!$E$19</f>
        <v>0</v>
      </c>
      <c r="AJ214" s="281">
        <f>TABLA_BASE[[#This Row],[GASTOS IMP.
UNIT.(S/.)]]*TABLA_BASE[[#This Row],[CANTIDAD
(unid.)]]</f>
        <v>0</v>
      </c>
      <c r="AK214" s="280">
        <f>'🧮 Costos x Producto'!J218</f>
        <v>0</v>
      </c>
      <c r="AL214" s="278">
        <f>'🧮 Costos x Producto'!K218</f>
        <v>0</v>
      </c>
      <c r="AM214" s="278">
        <f>TABLA_BASE[[#This Row],[C/M UNIT.
(S/.)]]*TABLA_BASE[[#This Row],[CANTIDAD
(unid.)]]</f>
        <v>0</v>
      </c>
      <c r="AN214" s="279">
        <f>IF('🧾 Factura Comercial'!G218=0,0,'🧾 Tributos Aduana'!$F$17*(IF('🧾 Tributos Aduana'!$F$6=0,0,'🧾 Factura Comercial'!I218/'🧾 Tributos Aduana'!$F$6))/'🧾 Factura Comercial'!G218)</f>
        <v>0</v>
      </c>
      <c r="AO214" s="280">
        <f>IF('🧾 Factura Comercial'!G218=0,0,'🏦 Crédito Fiscal'!$C$16*(IF('🧾 Tributos Aduana'!$F$6=0,0,'🧾 Factura Comercial'!I218/'🧾 Tributos Aduana'!$F$6))/'🧾 Factura Comercial'!G218)</f>
        <v>0</v>
      </c>
      <c r="AP214" s="278">
        <f>TABLA_BASE[[#This Row],[CF UNIT.
✅RECUP.
(US$)]]*'📋 Datos Generales'!$E$19</f>
        <v>0</v>
      </c>
      <c r="AQ214" s="278">
        <f>TABLA_BASE[[#This Row],[CF UNIT.
✅RECUP.(S/.)]]*TABLA_BASE[[#This Row],[CANTIDAD
(unid.)]]</f>
        <v>0</v>
      </c>
      <c r="AR214" s="288">
        <f>'💰 Precio de Venta'!G219</f>
        <v>0.4</v>
      </c>
      <c r="AS214" s="278">
        <f>'💰 Precio de Venta'!H219</f>
        <v>0</v>
      </c>
      <c r="AT214" s="278">
        <f>TABLA_BASE[[#This Row],[VALOR VTA.
UNIT.(S/.)]]*TABLA_BASE[[#This Row],[CANTIDAD
(unid.)]]</f>
        <v>0</v>
      </c>
      <c r="AU214" s="281">
        <f>'💰 Precio de Venta'!I219</f>
        <v>0</v>
      </c>
      <c r="AV214" s="278">
        <f>'💰 Precio de Venta'!J219</f>
        <v>0</v>
      </c>
      <c r="AW214" s="278">
        <f>TABLA_BASE[[#This Row],[GANANCIA
UNIT.(S/.)]]*TABLA_BASE[[#This Row],[CANTIDAD
(unid.)]]</f>
        <v>0</v>
      </c>
      <c r="AX214" s="289">
        <f>'💰 Precio de Venta'!K219</f>
        <v>0</v>
      </c>
      <c r="AY214" s="278">
        <f>TABLA_BASE[[#This Row],[GANANCIA
UNIT.(S/.)]]*'🧾 Factura Comercial'!G218</f>
        <v>0</v>
      </c>
      <c r="AZ214" s="277">
        <f>IF(TABLA_BASE[[#This Row],[PRECIO VTA.
c/IGV(S/.)]]=0,0,TABLA_BASE[[#This Row],[GANANCIA
UNIT.(S/.)]]/TABLA_BASE[[#This Row],[PRECIO VTA.
c/IGV(S/.)]])</f>
        <v>0</v>
      </c>
      <c r="BA214" s="277">
        <f>IF(TABLA_BASE[[#This Row],[C/M UNIT.
(S/.)]]=0,0,TABLA_BASE[[#This Row],[GANANCIA
UNIT.(S/.)]]/TABLA_BASE[[#This Row],[C/M UNIT.
(S/.)]])</f>
        <v>0</v>
      </c>
      <c r="BB214" s="274" t="str">
        <f>IF(TABLA_BASE[[#This Row],[MARGEN
%]]&gt;=0.5,"🟢 ALTO",IF(TABLA_BASE[[#This Row],[MARGEN
%]]&gt;=0.3,"🟡 MEDIO","🔴 BAJO"))</f>
        <v>🟡 MEDIO</v>
      </c>
    </row>
    <row r="215" spans="1:54" ht="16.5" hidden="1" thickTop="1" thickBot="1" x14ac:dyDescent="0.3">
      <c r="A215" s="274">
        <f>'🧾 Factura Comercial'!E219</f>
        <v>0</v>
      </c>
      <c r="B215" s="274" t="str">
        <f>'🧾 Factura Comercial'!F219</f>
        <v>Unid.</v>
      </c>
      <c r="C215" s="275">
        <f>'🧾 Factura Comercial'!G219</f>
        <v>0</v>
      </c>
      <c r="D215" s="276">
        <f>'🧾 Factura Comercial'!H219</f>
        <v>0</v>
      </c>
      <c r="E215" s="276">
        <f>'🧾 Factura Comercial'!I219</f>
        <v>0</v>
      </c>
      <c r="F215" s="277">
        <f>IF('🧾 Tributos Aduana'!$F$6=0,0,'🧾 Factura Comercial'!I219/'🧾 Tributos Aduana'!$F$6)</f>
        <v>0</v>
      </c>
      <c r="G215" s="278">
        <f>'🧾 Factura Comercial'!H219*'📋 Datos Generales'!$E$19</f>
        <v>0</v>
      </c>
      <c r="H215" s="278">
        <f>TABLA_BASE[[#This Row],[FOB UNIT.
(S/.)]]*TABLA_BASE[[#This Row],[CANTIDAD
(unid.)]]</f>
        <v>0</v>
      </c>
      <c r="I215" s="280">
        <f>IF('🧾 Tributos Aduana'!$F$6=0,0,'🧾 Tributos Aduana'!$F$17*('🧾 Factura Comercial'!H219/'🧾 Tributos Aduana'!$F$6))</f>
        <v>0</v>
      </c>
      <c r="J215" s="280">
        <f>TABLA_BASE[[#This Row],[ADV UNIT.
(US$)
⚠️COSTO]]*TABLA_BASE[[#This Row],[CANTIDAD
(unid.)]]</f>
        <v>0</v>
      </c>
      <c r="K215" s="279">
        <f>IF('🧾 Tributos Aduana'!$F$6=0,0,'🧾 Tributos Aduana'!$F$18*('🧾 Factura Comercial'!H219/'🧾 Tributos Aduana'!$F$6))</f>
        <v>0</v>
      </c>
      <c r="L215" s="280">
        <f>TABLA_BASE[[#This Row],[IPM UNIT.
(US$)
✅CF]]*TABLA_BASE[[#This Row],[CANTIDAD
(unid.)]]</f>
        <v>0</v>
      </c>
      <c r="M215" s="279">
        <f>IF('🧾 Tributos Aduana'!$F$6=0,0,'🧾 Tributos Aduana'!$F$19*('🧾 Factura Comercial'!H219/'🧾 Tributos Aduana'!$F$6))</f>
        <v>0</v>
      </c>
      <c r="N215" s="280">
        <f>TABLA_BASE[[#This Row],[IGV UNIT.
(US$)
✅CF]]*TABLA_BASE[[#This Row],[CANTIDAD
(unid.)]]</f>
        <v>0</v>
      </c>
      <c r="O215" s="280">
        <f>IF('🧾 Tributos Aduana'!$F$6=0,0,'🧾 Tributos Aduana'!$F$23*('🧾 Factura Comercial'!H219/'🧾 Tributos Aduana'!$F$6))</f>
        <v>0</v>
      </c>
      <c r="P215" s="280">
        <f>TABLA_BASE[[#This Row],[PERCEP.
UNIT.(US$)
✅CF]]*TABLA_BASE[[#This Row],[CANTIDAD
(unid.)]]</f>
        <v>0</v>
      </c>
      <c r="Q215" s="279">
        <f>TABLA_BASE[[#This Row],[ADV UNIT.
(US$)
⚠️COSTO]]+TABLA_BASE[[#This Row],[IPM UNIT.
(US$)
✅CF]]+TABLA_BASE[[#This Row],[IGV UNIT.
(US$)
✅CF]]</f>
        <v>0</v>
      </c>
      <c r="R215" s="280">
        <f>TABLA_BASE[[#This Row],[DEUDA
ADUANERA
UNIT.]]*TABLA_BASE[[#This Row],[CANTIDAD
(unid.)]]</f>
        <v>0</v>
      </c>
      <c r="S215" s="278">
        <f>TABLA_BASE[[#This Row],[DEUDA
ADUANERA
UNIT.]]*'📋 Datos Generales'!$E$19</f>
        <v>0</v>
      </c>
      <c r="T215" s="278">
        <f>TABLA_BASE[[#This Row],[DEUDA
ADUANERA
TOTAL]]*'📋 Datos Generales'!$E$19</f>
        <v>0</v>
      </c>
      <c r="U215" s="281">
        <f>TABLA_BASE[[#This Row],[ADV UNIT.
(US$)
⚠️COSTO]]*'📋 Datos Generales'!$E$19</f>
        <v>0</v>
      </c>
      <c r="V215" s="281">
        <f>TABLA_BASE[[#This Row],[ADV UNIT.
(S/.)]]*TABLA_BASE[[#This Row],[CANTIDAD
(unid.)]]</f>
        <v>0</v>
      </c>
      <c r="W215" s="281">
        <f>TABLA_BASE[[#This Row],[IPM UNIT.
(US$)
✅CF]]*'📋 Datos Generales'!$E$19</f>
        <v>0</v>
      </c>
      <c r="X215" s="281">
        <f>TABLA_BASE[[#This Row],[IPM UNIT.
(S/.)]]*TABLA_BASE[[#This Row],[CANTIDAD
(unid.)]]</f>
        <v>0</v>
      </c>
      <c r="Y215" s="281">
        <f>TABLA_BASE[[#This Row],[IGV UNIT.
(US$)
✅CF]]*'📋 Datos Generales'!$E$19</f>
        <v>0</v>
      </c>
      <c r="Z215" s="281">
        <f>TABLA_BASE[[#This Row],[IGV UNIT.
(S/.)]]*TABLA_BASE[[#This Row],[CANTIDAD
(unid.)]]</f>
        <v>0</v>
      </c>
      <c r="AA215" s="281">
        <f>TABLA_BASE[[#This Row],[PERCEP.
UNIT.(US$)
✅CF]]*'📋 Datos Generales'!$E$19</f>
        <v>0</v>
      </c>
      <c r="AB215" s="281">
        <f>TABLA_BASE[[#This Row],[PERCEP.
UNIT.(S/.)]]*TABLA_BASE[[#This Row],[CANTIDAD
(unid.)]]</f>
        <v>0</v>
      </c>
      <c r="AC215" s="279">
        <f>TABLA_BASE[[#This Row],[ADV UNIT.
(US$)
⚠️COSTO]]+TABLA_BASE[[#This Row],[IPM UNIT.
(US$)
✅CF]]+TABLA_BASE[[#This Row],[IGV UNIT.
(US$)
✅CF]]+TABLA_BASE[[#This Row],[PERCEP.
UNIT.(US$)
✅CF]]</f>
        <v>0</v>
      </c>
      <c r="AD215" s="279">
        <f>TABLA_BASE[[#This Row],[TOTAL PAGO
SUNAT
UNIT.(US$)]]*TABLA_BASE[[#This Row],[CANTIDAD
(unid.)]]</f>
        <v>0</v>
      </c>
      <c r="AE215" s="281">
        <f>TABLA_BASE[[#This Row],[TOTAL PAGO
SUNAT
UNIT.(US$)]]*'📋 Datos Generales'!$E$19</f>
        <v>0</v>
      </c>
      <c r="AF215" s="281">
        <f>TABLA_BASE[[#This Row],[TOTAL TRIB.
UNIT.(S/.)]]*TABLA_BASE[[#This Row],[CANTIDAD
(unid.)]]</f>
        <v>0</v>
      </c>
      <c r="AG215" s="279">
        <f>IF('🧾 Factura Comercial'!G219=0,0,'📦 Gastos Importación'!$E$28*(IF('🧾 Tributos Aduana'!$F$6=0,0,'🧾 Factura Comercial'!I219/'🧾 Tributos Aduana'!$F$6))/'🧾 Factura Comercial'!G219)</f>
        <v>0</v>
      </c>
      <c r="AH215" s="279">
        <f>TABLA_BASE[[#This Row],[GASTOS IMP.
UNIT.(US$)]]*TABLA_BASE[[#This Row],[CANTIDAD
(unid.)]]</f>
        <v>0</v>
      </c>
      <c r="AI215" s="281">
        <f>TABLA_BASE[[#This Row],[GASTOS IMP.
UNIT.(US$)]]*'📋 Datos Generales'!$E$19</f>
        <v>0</v>
      </c>
      <c r="AJ215" s="281">
        <f>TABLA_BASE[[#This Row],[GASTOS IMP.
UNIT.(S/.)]]*TABLA_BASE[[#This Row],[CANTIDAD
(unid.)]]</f>
        <v>0</v>
      </c>
      <c r="AK215" s="280">
        <f>'🧮 Costos x Producto'!J219</f>
        <v>0</v>
      </c>
      <c r="AL215" s="278">
        <f>'🧮 Costos x Producto'!K219</f>
        <v>0</v>
      </c>
      <c r="AM215" s="278">
        <f>TABLA_BASE[[#This Row],[C/M UNIT.
(S/.)]]*TABLA_BASE[[#This Row],[CANTIDAD
(unid.)]]</f>
        <v>0</v>
      </c>
      <c r="AN215" s="279">
        <f>IF('🧾 Factura Comercial'!G219=0,0,'🧾 Tributos Aduana'!$F$17*(IF('🧾 Tributos Aduana'!$F$6=0,0,'🧾 Factura Comercial'!I219/'🧾 Tributos Aduana'!$F$6))/'🧾 Factura Comercial'!G219)</f>
        <v>0</v>
      </c>
      <c r="AO215" s="280">
        <f>IF('🧾 Factura Comercial'!G219=0,0,'🏦 Crédito Fiscal'!$C$16*(IF('🧾 Tributos Aduana'!$F$6=0,0,'🧾 Factura Comercial'!I219/'🧾 Tributos Aduana'!$F$6))/'🧾 Factura Comercial'!G219)</f>
        <v>0</v>
      </c>
      <c r="AP215" s="278">
        <f>TABLA_BASE[[#This Row],[CF UNIT.
✅RECUP.
(US$)]]*'📋 Datos Generales'!$E$19</f>
        <v>0</v>
      </c>
      <c r="AQ215" s="278">
        <f>TABLA_BASE[[#This Row],[CF UNIT.
✅RECUP.(S/.)]]*TABLA_BASE[[#This Row],[CANTIDAD
(unid.)]]</f>
        <v>0</v>
      </c>
      <c r="AR215" s="288">
        <f>'💰 Precio de Venta'!G220</f>
        <v>0.4</v>
      </c>
      <c r="AS215" s="278">
        <f>'💰 Precio de Venta'!H220</f>
        <v>0</v>
      </c>
      <c r="AT215" s="278">
        <f>TABLA_BASE[[#This Row],[VALOR VTA.
UNIT.(S/.)]]*TABLA_BASE[[#This Row],[CANTIDAD
(unid.)]]</f>
        <v>0</v>
      </c>
      <c r="AU215" s="281">
        <f>'💰 Precio de Venta'!I220</f>
        <v>0</v>
      </c>
      <c r="AV215" s="278">
        <f>'💰 Precio de Venta'!J220</f>
        <v>0</v>
      </c>
      <c r="AW215" s="278">
        <f>TABLA_BASE[[#This Row],[GANANCIA
UNIT.(S/.)]]*TABLA_BASE[[#This Row],[CANTIDAD
(unid.)]]</f>
        <v>0</v>
      </c>
      <c r="AX215" s="289">
        <f>'💰 Precio de Venta'!K220</f>
        <v>0</v>
      </c>
      <c r="AY215" s="278">
        <f>TABLA_BASE[[#This Row],[GANANCIA
UNIT.(S/.)]]*'🧾 Factura Comercial'!G219</f>
        <v>0</v>
      </c>
      <c r="AZ215" s="277">
        <f>IF(TABLA_BASE[[#This Row],[PRECIO VTA.
c/IGV(S/.)]]=0,0,TABLA_BASE[[#This Row],[GANANCIA
UNIT.(S/.)]]/TABLA_BASE[[#This Row],[PRECIO VTA.
c/IGV(S/.)]])</f>
        <v>0</v>
      </c>
      <c r="BA215" s="277">
        <f>IF(TABLA_BASE[[#This Row],[C/M UNIT.
(S/.)]]=0,0,TABLA_BASE[[#This Row],[GANANCIA
UNIT.(S/.)]]/TABLA_BASE[[#This Row],[C/M UNIT.
(S/.)]])</f>
        <v>0</v>
      </c>
      <c r="BB215" s="274" t="str">
        <f>IF(TABLA_BASE[[#This Row],[MARGEN
%]]&gt;=0.5,"🟢 ALTO",IF(TABLA_BASE[[#This Row],[MARGEN
%]]&gt;=0.3,"🟡 MEDIO","🔴 BAJO"))</f>
        <v>🟡 MEDIO</v>
      </c>
    </row>
    <row r="216" spans="1:54" ht="16.5" hidden="1" thickTop="1" thickBot="1" x14ac:dyDescent="0.3">
      <c r="A216" s="274">
        <f>'🧾 Factura Comercial'!E220</f>
        <v>0</v>
      </c>
      <c r="B216" s="274" t="str">
        <f>'🧾 Factura Comercial'!F220</f>
        <v>Unid.</v>
      </c>
      <c r="C216" s="275">
        <f>'🧾 Factura Comercial'!G220</f>
        <v>0</v>
      </c>
      <c r="D216" s="276">
        <f>'🧾 Factura Comercial'!H220</f>
        <v>0</v>
      </c>
      <c r="E216" s="276">
        <f>'🧾 Factura Comercial'!I220</f>
        <v>0</v>
      </c>
      <c r="F216" s="277">
        <f>IF('🧾 Tributos Aduana'!$F$6=0,0,'🧾 Factura Comercial'!I220/'🧾 Tributos Aduana'!$F$6)</f>
        <v>0</v>
      </c>
      <c r="G216" s="278">
        <f>'🧾 Factura Comercial'!H220*'📋 Datos Generales'!$E$19</f>
        <v>0</v>
      </c>
      <c r="H216" s="278">
        <f>TABLA_BASE[[#This Row],[FOB UNIT.
(S/.)]]*TABLA_BASE[[#This Row],[CANTIDAD
(unid.)]]</f>
        <v>0</v>
      </c>
      <c r="I216" s="280">
        <f>IF('🧾 Tributos Aduana'!$F$6=0,0,'🧾 Tributos Aduana'!$F$17*('🧾 Factura Comercial'!H220/'🧾 Tributos Aduana'!$F$6))</f>
        <v>0</v>
      </c>
      <c r="J216" s="280">
        <f>TABLA_BASE[[#This Row],[ADV UNIT.
(US$)
⚠️COSTO]]*TABLA_BASE[[#This Row],[CANTIDAD
(unid.)]]</f>
        <v>0</v>
      </c>
      <c r="K216" s="279">
        <f>IF('🧾 Tributos Aduana'!$F$6=0,0,'🧾 Tributos Aduana'!$F$18*('🧾 Factura Comercial'!H220/'🧾 Tributos Aduana'!$F$6))</f>
        <v>0</v>
      </c>
      <c r="L216" s="280">
        <f>TABLA_BASE[[#This Row],[IPM UNIT.
(US$)
✅CF]]*TABLA_BASE[[#This Row],[CANTIDAD
(unid.)]]</f>
        <v>0</v>
      </c>
      <c r="M216" s="279">
        <f>IF('🧾 Tributos Aduana'!$F$6=0,0,'🧾 Tributos Aduana'!$F$19*('🧾 Factura Comercial'!H220/'🧾 Tributos Aduana'!$F$6))</f>
        <v>0</v>
      </c>
      <c r="N216" s="280">
        <f>TABLA_BASE[[#This Row],[IGV UNIT.
(US$)
✅CF]]*TABLA_BASE[[#This Row],[CANTIDAD
(unid.)]]</f>
        <v>0</v>
      </c>
      <c r="O216" s="280">
        <f>IF('🧾 Tributos Aduana'!$F$6=0,0,'🧾 Tributos Aduana'!$F$23*('🧾 Factura Comercial'!H220/'🧾 Tributos Aduana'!$F$6))</f>
        <v>0</v>
      </c>
      <c r="P216" s="280">
        <f>TABLA_BASE[[#This Row],[PERCEP.
UNIT.(US$)
✅CF]]*TABLA_BASE[[#This Row],[CANTIDAD
(unid.)]]</f>
        <v>0</v>
      </c>
      <c r="Q216" s="279">
        <f>TABLA_BASE[[#This Row],[ADV UNIT.
(US$)
⚠️COSTO]]+TABLA_BASE[[#This Row],[IPM UNIT.
(US$)
✅CF]]+TABLA_BASE[[#This Row],[IGV UNIT.
(US$)
✅CF]]</f>
        <v>0</v>
      </c>
      <c r="R216" s="280">
        <f>TABLA_BASE[[#This Row],[DEUDA
ADUANERA
UNIT.]]*TABLA_BASE[[#This Row],[CANTIDAD
(unid.)]]</f>
        <v>0</v>
      </c>
      <c r="S216" s="278">
        <f>TABLA_BASE[[#This Row],[DEUDA
ADUANERA
UNIT.]]*'📋 Datos Generales'!$E$19</f>
        <v>0</v>
      </c>
      <c r="T216" s="278">
        <f>TABLA_BASE[[#This Row],[DEUDA
ADUANERA
TOTAL]]*'📋 Datos Generales'!$E$19</f>
        <v>0</v>
      </c>
      <c r="U216" s="281">
        <f>TABLA_BASE[[#This Row],[ADV UNIT.
(US$)
⚠️COSTO]]*'📋 Datos Generales'!$E$19</f>
        <v>0</v>
      </c>
      <c r="V216" s="281">
        <f>TABLA_BASE[[#This Row],[ADV UNIT.
(S/.)]]*TABLA_BASE[[#This Row],[CANTIDAD
(unid.)]]</f>
        <v>0</v>
      </c>
      <c r="W216" s="281">
        <f>TABLA_BASE[[#This Row],[IPM UNIT.
(US$)
✅CF]]*'📋 Datos Generales'!$E$19</f>
        <v>0</v>
      </c>
      <c r="X216" s="281">
        <f>TABLA_BASE[[#This Row],[IPM UNIT.
(S/.)]]*TABLA_BASE[[#This Row],[CANTIDAD
(unid.)]]</f>
        <v>0</v>
      </c>
      <c r="Y216" s="281">
        <f>TABLA_BASE[[#This Row],[IGV UNIT.
(US$)
✅CF]]*'📋 Datos Generales'!$E$19</f>
        <v>0</v>
      </c>
      <c r="Z216" s="281">
        <f>TABLA_BASE[[#This Row],[IGV UNIT.
(S/.)]]*TABLA_BASE[[#This Row],[CANTIDAD
(unid.)]]</f>
        <v>0</v>
      </c>
      <c r="AA216" s="281">
        <f>TABLA_BASE[[#This Row],[PERCEP.
UNIT.(US$)
✅CF]]*'📋 Datos Generales'!$E$19</f>
        <v>0</v>
      </c>
      <c r="AB216" s="281">
        <f>TABLA_BASE[[#This Row],[PERCEP.
UNIT.(S/.)]]*TABLA_BASE[[#This Row],[CANTIDAD
(unid.)]]</f>
        <v>0</v>
      </c>
      <c r="AC216" s="279">
        <f>TABLA_BASE[[#This Row],[ADV UNIT.
(US$)
⚠️COSTO]]+TABLA_BASE[[#This Row],[IPM UNIT.
(US$)
✅CF]]+TABLA_BASE[[#This Row],[IGV UNIT.
(US$)
✅CF]]+TABLA_BASE[[#This Row],[PERCEP.
UNIT.(US$)
✅CF]]</f>
        <v>0</v>
      </c>
      <c r="AD216" s="279">
        <f>TABLA_BASE[[#This Row],[TOTAL PAGO
SUNAT
UNIT.(US$)]]*TABLA_BASE[[#This Row],[CANTIDAD
(unid.)]]</f>
        <v>0</v>
      </c>
      <c r="AE216" s="281">
        <f>TABLA_BASE[[#This Row],[TOTAL PAGO
SUNAT
UNIT.(US$)]]*'📋 Datos Generales'!$E$19</f>
        <v>0</v>
      </c>
      <c r="AF216" s="281">
        <f>TABLA_BASE[[#This Row],[TOTAL TRIB.
UNIT.(S/.)]]*TABLA_BASE[[#This Row],[CANTIDAD
(unid.)]]</f>
        <v>0</v>
      </c>
      <c r="AG216" s="279">
        <f>IF('🧾 Factura Comercial'!G220=0,0,'📦 Gastos Importación'!$E$28*(IF('🧾 Tributos Aduana'!$F$6=0,0,'🧾 Factura Comercial'!I220/'🧾 Tributos Aduana'!$F$6))/'🧾 Factura Comercial'!G220)</f>
        <v>0</v>
      </c>
      <c r="AH216" s="279">
        <f>TABLA_BASE[[#This Row],[GASTOS IMP.
UNIT.(US$)]]*TABLA_BASE[[#This Row],[CANTIDAD
(unid.)]]</f>
        <v>0</v>
      </c>
      <c r="AI216" s="281">
        <f>TABLA_BASE[[#This Row],[GASTOS IMP.
UNIT.(US$)]]*'📋 Datos Generales'!$E$19</f>
        <v>0</v>
      </c>
      <c r="AJ216" s="281">
        <f>TABLA_BASE[[#This Row],[GASTOS IMP.
UNIT.(S/.)]]*TABLA_BASE[[#This Row],[CANTIDAD
(unid.)]]</f>
        <v>0</v>
      </c>
      <c r="AK216" s="280">
        <f>'🧮 Costos x Producto'!J220</f>
        <v>0</v>
      </c>
      <c r="AL216" s="278">
        <f>'🧮 Costos x Producto'!K220</f>
        <v>0</v>
      </c>
      <c r="AM216" s="278">
        <f>TABLA_BASE[[#This Row],[C/M UNIT.
(S/.)]]*TABLA_BASE[[#This Row],[CANTIDAD
(unid.)]]</f>
        <v>0</v>
      </c>
      <c r="AN216" s="279">
        <f>IF('🧾 Factura Comercial'!G220=0,0,'🧾 Tributos Aduana'!$F$17*(IF('🧾 Tributos Aduana'!$F$6=0,0,'🧾 Factura Comercial'!I220/'🧾 Tributos Aduana'!$F$6))/'🧾 Factura Comercial'!G220)</f>
        <v>0</v>
      </c>
      <c r="AO216" s="280">
        <f>IF('🧾 Factura Comercial'!G220=0,0,'🏦 Crédito Fiscal'!$C$16*(IF('🧾 Tributos Aduana'!$F$6=0,0,'🧾 Factura Comercial'!I220/'🧾 Tributos Aduana'!$F$6))/'🧾 Factura Comercial'!G220)</f>
        <v>0</v>
      </c>
      <c r="AP216" s="278">
        <f>TABLA_BASE[[#This Row],[CF UNIT.
✅RECUP.
(US$)]]*'📋 Datos Generales'!$E$19</f>
        <v>0</v>
      </c>
      <c r="AQ216" s="278">
        <f>TABLA_BASE[[#This Row],[CF UNIT.
✅RECUP.(S/.)]]*TABLA_BASE[[#This Row],[CANTIDAD
(unid.)]]</f>
        <v>0</v>
      </c>
      <c r="AR216" s="288">
        <f>'💰 Precio de Venta'!G221</f>
        <v>0.4</v>
      </c>
      <c r="AS216" s="278">
        <f>'💰 Precio de Venta'!H221</f>
        <v>0</v>
      </c>
      <c r="AT216" s="278">
        <f>TABLA_BASE[[#This Row],[VALOR VTA.
UNIT.(S/.)]]*TABLA_BASE[[#This Row],[CANTIDAD
(unid.)]]</f>
        <v>0</v>
      </c>
      <c r="AU216" s="281">
        <f>'💰 Precio de Venta'!I221</f>
        <v>0</v>
      </c>
      <c r="AV216" s="278">
        <f>'💰 Precio de Venta'!J221</f>
        <v>0</v>
      </c>
      <c r="AW216" s="278">
        <f>TABLA_BASE[[#This Row],[GANANCIA
UNIT.(S/.)]]*TABLA_BASE[[#This Row],[CANTIDAD
(unid.)]]</f>
        <v>0</v>
      </c>
      <c r="AX216" s="289">
        <f>'💰 Precio de Venta'!K221</f>
        <v>0</v>
      </c>
      <c r="AY216" s="278">
        <f>TABLA_BASE[[#This Row],[GANANCIA
UNIT.(S/.)]]*'🧾 Factura Comercial'!G220</f>
        <v>0</v>
      </c>
      <c r="AZ216" s="277">
        <f>IF(TABLA_BASE[[#This Row],[PRECIO VTA.
c/IGV(S/.)]]=0,0,TABLA_BASE[[#This Row],[GANANCIA
UNIT.(S/.)]]/TABLA_BASE[[#This Row],[PRECIO VTA.
c/IGV(S/.)]])</f>
        <v>0</v>
      </c>
      <c r="BA216" s="277">
        <f>IF(TABLA_BASE[[#This Row],[C/M UNIT.
(S/.)]]=0,0,TABLA_BASE[[#This Row],[GANANCIA
UNIT.(S/.)]]/TABLA_BASE[[#This Row],[C/M UNIT.
(S/.)]])</f>
        <v>0</v>
      </c>
      <c r="BB216" s="274" t="str">
        <f>IF(TABLA_BASE[[#This Row],[MARGEN
%]]&gt;=0.5,"🟢 ALTO",IF(TABLA_BASE[[#This Row],[MARGEN
%]]&gt;=0.3,"🟡 MEDIO","🔴 BAJO"))</f>
        <v>🟡 MEDIO</v>
      </c>
    </row>
    <row r="217" spans="1:54" ht="16.5" hidden="1" thickTop="1" thickBot="1" x14ac:dyDescent="0.3">
      <c r="A217" s="274">
        <f>'🧾 Factura Comercial'!E221</f>
        <v>0</v>
      </c>
      <c r="B217" s="274" t="str">
        <f>'🧾 Factura Comercial'!F221</f>
        <v>Unid.</v>
      </c>
      <c r="C217" s="275">
        <f>'🧾 Factura Comercial'!G221</f>
        <v>0</v>
      </c>
      <c r="D217" s="276">
        <f>'🧾 Factura Comercial'!H221</f>
        <v>0</v>
      </c>
      <c r="E217" s="276">
        <f>'🧾 Factura Comercial'!I221</f>
        <v>0</v>
      </c>
      <c r="F217" s="277">
        <f>IF('🧾 Tributos Aduana'!$F$6=0,0,'🧾 Factura Comercial'!I221/'🧾 Tributos Aduana'!$F$6)</f>
        <v>0</v>
      </c>
      <c r="G217" s="278">
        <f>'🧾 Factura Comercial'!H221*'📋 Datos Generales'!$E$19</f>
        <v>0</v>
      </c>
      <c r="H217" s="278">
        <f>TABLA_BASE[[#This Row],[FOB UNIT.
(S/.)]]*TABLA_BASE[[#This Row],[CANTIDAD
(unid.)]]</f>
        <v>0</v>
      </c>
      <c r="I217" s="280">
        <f>IF('🧾 Tributos Aduana'!$F$6=0,0,'🧾 Tributos Aduana'!$F$17*('🧾 Factura Comercial'!H221/'🧾 Tributos Aduana'!$F$6))</f>
        <v>0</v>
      </c>
      <c r="J217" s="280">
        <f>TABLA_BASE[[#This Row],[ADV UNIT.
(US$)
⚠️COSTO]]*TABLA_BASE[[#This Row],[CANTIDAD
(unid.)]]</f>
        <v>0</v>
      </c>
      <c r="K217" s="279">
        <f>IF('🧾 Tributos Aduana'!$F$6=0,0,'🧾 Tributos Aduana'!$F$18*('🧾 Factura Comercial'!H221/'🧾 Tributos Aduana'!$F$6))</f>
        <v>0</v>
      </c>
      <c r="L217" s="280">
        <f>TABLA_BASE[[#This Row],[IPM UNIT.
(US$)
✅CF]]*TABLA_BASE[[#This Row],[CANTIDAD
(unid.)]]</f>
        <v>0</v>
      </c>
      <c r="M217" s="279">
        <f>IF('🧾 Tributos Aduana'!$F$6=0,0,'🧾 Tributos Aduana'!$F$19*('🧾 Factura Comercial'!H221/'🧾 Tributos Aduana'!$F$6))</f>
        <v>0</v>
      </c>
      <c r="N217" s="280">
        <f>TABLA_BASE[[#This Row],[IGV UNIT.
(US$)
✅CF]]*TABLA_BASE[[#This Row],[CANTIDAD
(unid.)]]</f>
        <v>0</v>
      </c>
      <c r="O217" s="280">
        <f>IF('🧾 Tributos Aduana'!$F$6=0,0,'🧾 Tributos Aduana'!$F$23*('🧾 Factura Comercial'!H221/'🧾 Tributos Aduana'!$F$6))</f>
        <v>0</v>
      </c>
      <c r="P217" s="280">
        <f>TABLA_BASE[[#This Row],[PERCEP.
UNIT.(US$)
✅CF]]*TABLA_BASE[[#This Row],[CANTIDAD
(unid.)]]</f>
        <v>0</v>
      </c>
      <c r="Q217" s="279">
        <f>TABLA_BASE[[#This Row],[ADV UNIT.
(US$)
⚠️COSTO]]+TABLA_BASE[[#This Row],[IPM UNIT.
(US$)
✅CF]]+TABLA_BASE[[#This Row],[IGV UNIT.
(US$)
✅CF]]</f>
        <v>0</v>
      </c>
      <c r="R217" s="280">
        <f>TABLA_BASE[[#This Row],[DEUDA
ADUANERA
UNIT.]]*TABLA_BASE[[#This Row],[CANTIDAD
(unid.)]]</f>
        <v>0</v>
      </c>
      <c r="S217" s="278">
        <f>TABLA_BASE[[#This Row],[DEUDA
ADUANERA
UNIT.]]*'📋 Datos Generales'!$E$19</f>
        <v>0</v>
      </c>
      <c r="T217" s="278">
        <f>TABLA_BASE[[#This Row],[DEUDA
ADUANERA
TOTAL]]*'📋 Datos Generales'!$E$19</f>
        <v>0</v>
      </c>
      <c r="U217" s="281">
        <f>TABLA_BASE[[#This Row],[ADV UNIT.
(US$)
⚠️COSTO]]*'📋 Datos Generales'!$E$19</f>
        <v>0</v>
      </c>
      <c r="V217" s="281">
        <f>TABLA_BASE[[#This Row],[ADV UNIT.
(S/.)]]*TABLA_BASE[[#This Row],[CANTIDAD
(unid.)]]</f>
        <v>0</v>
      </c>
      <c r="W217" s="281">
        <f>TABLA_BASE[[#This Row],[IPM UNIT.
(US$)
✅CF]]*'📋 Datos Generales'!$E$19</f>
        <v>0</v>
      </c>
      <c r="X217" s="281">
        <f>TABLA_BASE[[#This Row],[IPM UNIT.
(S/.)]]*TABLA_BASE[[#This Row],[CANTIDAD
(unid.)]]</f>
        <v>0</v>
      </c>
      <c r="Y217" s="281">
        <f>TABLA_BASE[[#This Row],[IGV UNIT.
(US$)
✅CF]]*'📋 Datos Generales'!$E$19</f>
        <v>0</v>
      </c>
      <c r="Z217" s="281">
        <f>TABLA_BASE[[#This Row],[IGV UNIT.
(S/.)]]*TABLA_BASE[[#This Row],[CANTIDAD
(unid.)]]</f>
        <v>0</v>
      </c>
      <c r="AA217" s="281">
        <f>TABLA_BASE[[#This Row],[PERCEP.
UNIT.(US$)
✅CF]]*'📋 Datos Generales'!$E$19</f>
        <v>0</v>
      </c>
      <c r="AB217" s="281">
        <f>TABLA_BASE[[#This Row],[PERCEP.
UNIT.(S/.)]]*TABLA_BASE[[#This Row],[CANTIDAD
(unid.)]]</f>
        <v>0</v>
      </c>
      <c r="AC217" s="279">
        <f>TABLA_BASE[[#This Row],[ADV UNIT.
(US$)
⚠️COSTO]]+TABLA_BASE[[#This Row],[IPM UNIT.
(US$)
✅CF]]+TABLA_BASE[[#This Row],[IGV UNIT.
(US$)
✅CF]]+TABLA_BASE[[#This Row],[PERCEP.
UNIT.(US$)
✅CF]]</f>
        <v>0</v>
      </c>
      <c r="AD217" s="279">
        <f>TABLA_BASE[[#This Row],[TOTAL PAGO
SUNAT
UNIT.(US$)]]*TABLA_BASE[[#This Row],[CANTIDAD
(unid.)]]</f>
        <v>0</v>
      </c>
      <c r="AE217" s="281">
        <f>TABLA_BASE[[#This Row],[TOTAL PAGO
SUNAT
UNIT.(US$)]]*'📋 Datos Generales'!$E$19</f>
        <v>0</v>
      </c>
      <c r="AF217" s="281">
        <f>TABLA_BASE[[#This Row],[TOTAL TRIB.
UNIT.(S/.)]]*TABLA_BASE[[#This Row],[CANTIDAD
(unid.)]]</f>
        <v>0</v>
      </c>
      <c r="AG217" s="279">
        <f>IF('🧾 Factura Comercial'!G221=0,0,'📦 Gastos Importación'!$E$28*(IF('🧾 Tributos Aduana'!$F$6=0,0,'🧾 Factura Comercial'!I221/'🧾 Tributos Aduana'!$F$6))/'🧾 Factura Comercial'!G221)</f>
        <v>0</v>
      </c>
      <c r="AH217" s="279">
        <f>TABLA_BASE[[#This Row],[GASTOS IMP.
UNIT.(US$)]]*TABLA_BASE[[#This Row],[CANTIDAD
(unid.)]]</f>
        <v>0</v>
      </c>
      <c r="AI217" s="281">
        <f>TABLA_BASE[[#This Row],[GASTOS IMP.
UNIT.(US$)]]*'📋 Datos Generales'!$E$19</f>
        <v>0</v>
      </c>
      <c r="AJ217" s="281">
        <f>TABLA_BASE[[#This Row],[GASTOS IMP.
UNIT.(S/.)]]*TABLA_BASE[[#This Row],[CANTIDAD
(unid.)]]</f>
        <v>0</v>
      </c>
      <c r="AK217" s="280">
        <f>'🧮 Costos x Producto'!J221</f>
        <v>0</v>
      </c>
      <c r="AL217" s="278">
        <f>'🧮 Costos x Producto'!K221</f>
        <v>0</v>
      </c>
      <c r="AM217" s="278">
        <f>TABLA_BASE[[#This Row],[C/M UNIT.
(S/.)]]*TABLA_BASE[[#This Row],[CANTIDAD
(unid.)]]</f>
        <v>0</v>
      </c>
      <c r="AN217" s="279">
        <f>IF('🧾 Factura Comercial'!G221=0,0,'🧾 Tributos Aduana'!$F$17*(IF('🧾 Tributos Aduana'!$F$6=0,0,'🧾 Factura Comercial'!I221/'🧾 Tributos Aduana'!$F$6))/'🧾 Factura Comercial'!G221)</f>
        <v>0</v>
      </c>
      <c r="AO217" s="280">
        <f>IF('🧾 Factura Comercial'!G221=0,0,'🏦 Crédito Fiscal'!$C$16*(IF('🧾 Tributos Aduana'!$F$6=0,0,'🧾 Factura Comercial'!I221/'🧾 Tributos Aduana'!$F$6))/'🧾 Factura Comercial'!G221)</f>
        <v>0</v>
      </c>
      <c r="AP217" s="278">
        <f>TABLA_BASE[[#This Row],[CF UNIT.
✅RECUP.
(US$)]]*'📋 Datos Generales'!$E$19</f>
        <v>0</v>
      </c>
      <c r="AQ217" s="278">
        <f>TABLA_BASE[[#This Row],[CF UNIT.
✅RECUP.(S/.)]]*TABLA_BASE[[#This Row],[CANTIDAD
(unid.)]]</f>
        <v>0</v>
      </c>
      <c r="AR217" s="288">
        <f>'💰 Precio de Venta'!G222</f>
        <v>0.4</v>
      </c>
      <c r="AS217" s="278">
        <f>'💰 Precio de Venta'!H222</f>
        <v>0</v>
      </c>
      <c r="AT217" s="278">
        <f>TABLA_BASE[[#This Row],[VALOR VTA.
UNIT.(S/.)]]*TABLA_BASE[[#This Row],[CANTIDAD
(unid.)]]</f>
        <v>0</v>
      </c>
      <c r="AU217" s="281">
        <f>'💰 Precio de Venta'!I222</f>
        <v>0</v>
      </c>
      <c r="AV217" s="278">
        <f>'💰 Precio de Venta'!J222</f>
        <v>0</v>
      </c>
      <c r="AW217" s="278">
        <f>TABLA_BASE[[#This Row],[GANANCIA
UNIT.(S/.)]]*TABLA_BASE[[#This Row],[CANTIDAD
(unid.)]]</f>
        <v>0</v>
      </c>
      <c r="AX217" s="289">
        <f>'💰 Precio de Venta'!K222</f>
        <v>0</v>
      </c>
      <c r="AY217" s="278">
        <f>TABLA_BASE[[#This Row],[GANANCIA
UNIT.(S/.)]]*'🧾 Factura Comercial'!G221</f>
        <v>0</v>
      </c>
      <c r="AZ217" s="277">
        <f>IF(TABLA_BASE[[#This Row],[PRECIO VTA.
c/IGV(S/.)]]=0,0,TABLA_BASE[[#This Row],[GANANCIA
UNIT.(S/.)]]/TABLA_BASE[[#This Row],[PRECIO VTA.
c/IGV(S/.)]])</f>
        <v>0</v>
      </c>
      <c r="BA217" s="277">
        <f>IF(TABLA_BASE[[#This Row],[C/M UNIT.
(S/.)]]=0,0,TABLA_BASE[[#This Row],[GANANCIA
UNIT.(S/.)]]/TABLA_BASE[[#This Row],[C/M UNIT.
(S/.)]])</f>
        <v>0</v>
      </c>
      <c r="BB217" s="274" t="str">
        <f>IF(TABLA_BASE[[#This Row],[MARGEN
%]]&gt;=0.5,"🟢 ALTO",IF(TABLA_BASE[[#This Row],[MARGEN
%]]&gt;=0.3,"🟡 MEDIO","🔴 BAJO"))</f>
        <v>🟡 MEDIO</v>
      </c>
    </row>
    <row r="218" spans="1:54" ht="16.5" hidden="1" thickTop="1" thickBot="1" x14ac:dyDescent="0.3">
      <c r="A218" s="274">
        <f>'🧾 Factura Comercial'!E222</f>
        <v>0</v>
      </c>
      <c r="B218" s="274" t="str">
        <f>'🧾 Factura Comercial'!F222</f>
        <v>Unid.</v>
      </c>
      <c r="C218" s="275">
        <f>'🧾 Factura Comercial'!G222</f>
        <v>0</v>
      </c>
      <c r="D218" s="276">
        <f>'🧾 Factura Comercial'!H222</f>
        <v>0</v>
      </c>
      <c r="E218" s="276">
        <f>'🧾 Factura Comercial'!I222</f>
        <v>0</v>
      </c>
      <c r="F218" s="277">
        <f>IF('🧾 Tributos Aduana'!$F$6=0,0,'🧾 Factura Comercial'!I222/'🧾 Tributos Aduana'!$F$6)</f>
        <v>0</v>
      </c>
      <c r="G218" s="278">
        <f>'🧾 Factura Comercial'!H222*'📋 Datos Generales'!$E$19</f>
        <v>0</v>
      </c>
      <c r="H218" s="278">
        <f>TABLA_BASE[[#This Row],[FOB UNIT.
(S/.)]]*TABLA_BASE[[#This Row],[CANTIDAD
(unid.)]]</f>
        <v>0</v>
      </c>
      <c r="I218" s="280">
        <f>IF('🧾 Tributos Aduana'!$F$6=0,0,'🧾 Tributos Aduana'!$F$17*('🧾 Factura Comercial'!H222/'🧾 Tributos Aduana'!$F$6))</f>
        <v>0</v>
      </c>
      <c r="J218" s="280">
        <f>TABLA_BASE[[#This Row],[ADV UNIT.
(US$)
⚠️COSTO]]*TABLA_BASE[[#This Row],[CANTIDAD
(unid.)]]</f>
        <v>0</v>
      </c>
      <c r="K218" s="279">
        <f>IF('🧾 Tributos Aduana'!$F$6=0,0,'🧾 Tributos Aduana'!$F$18*('🧾 Factura Comercial'!H222/'🧾 Tributos Aduana'!$F$6))</f>
        <v>0</v>
      </c>
      <c r="L218" s="280">
        <f>TABLA_BASE[[#This Row],[IPM UNIT.
(US$)
✅CF]]*TABLA_BASE[[#This Row],[CANTIDAD
(unid.)]]</f>
        <v>0</v>
      </c>
      <c r="M218" s="279">
        <f>IF('🧾 Tributos Aduana'!$F$6=0,0,'🧾 Tributos Aduana'!$F$19*('🧾 Factura Comercial'!H222/'🧾 Tributos Aduana'!$F$6))</f>
        <v>0</v>
      </c>
      <c r="N218" s="280">
        <f>TABLA_BASE[[#This Row],[IGV UNIT.
(US$)
✅CF]]*TABLA_BASE[[#This Row],[CANTIDAD
(unid.)]]</f>
        <v>0</v>
      </c>
      <c r="O218" s="280">
        <f>IF('🧾 Tributos Aduana'!$F$6=0,0,'🧾 Tributos Aduana'!$F$23*('🧾 Factura Comercial'!H222/'🧾 Tributos Aduana'!$F$6))</f>
        <v>0</v>
      </c>
      <c r="P218" s="280">
        <f>TABLA_BASE[[#This Row],[PERCEP.
UNIT.(US$)
✅CF]]*TABLA_BASE[[#This Row],[CANTIDAD
(unid.)]]</f>
        <v>0</v>
      </c>
      <c r="Q218" s="279">
        <f>TABLA_BASE[[#This Row],[ADV UNIT.
(US$)
⚠️COSTO]]+TABLA_BASE[[#This Row],[IPM UNIT.
(US$)
✅CF]]+TABLA_BASE[[#This Row],[IGV UNIT.
(US$)
✅CF]]</f>
        <v>0</v>
      </c>
      <c r="R218" s="280">
        <f>TABLA_BASE[[#This Row],[DEUDA
ADUANERA
UNIT.]]*TABLA_BASE[[#This Row],[CANTIDAD
(unid.)]]</f>
        <v>0</v>
      </c>
      <c r="S218" s="278">
        <f>TABLA_BASE[[#This Row],[DEUDA
ADUANERA
UNIT.]]*'📋 Datos Generales'!$E$19</f>
        <v>0</v>
      </c>
      <c r="T218" s="278">
        <f>TABLA_BASE[[#This Row],[DEUDA
ADUANERA
TOTAL]]*'📋 Datos Generales'!$E$19</f>
        <v>0</v>
      </c>
      <c r="U218" s="281">
        <f>TABLA_BASE[[#This Row],[ADV UNIT.
(US$)
⚠️COSTO]]*'📋 Datos Generales'!$E$19</f>
        <v>0</v>
      </c>
      <c r="V218" s="281">
        <f>TABLA_BASE[[#This Row],[ADV UNIT.
(S/.)]]*TABLA_BASE[[#This Row],[CANTIDAD
(unid.)]]</f>
        <v>0</v>
      </c>
      <c r="W218" s="281">
        <f>TABLA_BASE[[#This Row],[IPM UNIT.
(US$)
✅CF]]*'📋 Datos Generales'!$E$19</f>
        <v>0</v>
      </c>
      <c r="X218" s="281">
        <f>TABLA_BASE[[#This Row],[IPM UNIT.
(S/.)]]*TABLA_BASE[[#This Row],[CANTIDAD
(unid.)]]</f>
        <v>0</v>
      </c>
      <c r="Y218" s="281">
        <f>TABLA_BASE[[#This Row],[IGV UNIT.
(US$)
✅CF]]*'📋 Datos Generales'!$E$19</f>
        <v>0</v>
      </c>
      <c r="Z218" s="281">
        <f>TABLA_BASE[[#This Row],[IGV UNIT.
(S/.)]]*TABLA_BASE[[#This Row],[CANTIDAD
(unid.)]]</f>
        <v>0</v>
      </c>
      <c r="AA218" s="281">
        <f>TABLA_BASE[[#This Row],[PERCEP.
UNIT.(US$)
✅CF]]*'📋 Datos Generales'!$E$19</f>
        <v>0</v>
      </c>
      <c r="AB218" s="281">
        <f>TABLA_BASE[[#This Row],[PERCEP.
UNIT.(S/.)]]*TABLA_BASE[[#This Row],[CANTIDAD
(unid.)]]</f>
        <v>0</v>
      </c>
      <c r="AC218" s="279">
        <f>TABLA_BASE[[#This Row],[ADV UNIT.
(US$)
⚠️COSTO]]+TABLA_BASE[[#This Row],[IPM UNIT.
(US$)
✅CF]]+TABLA_BASE[[#This Row],[IGV UNIT.
(US$)
✅CF]]+TABLA_BASE[[#This Row],[PERCEP.
UNIT.(US$)
✅CF]]</f>
        <v>0</v>
      </c>
      <c r="AD218" s="279">
        <f>TABLA_BASE[[#This Row],[TOTAL PAGO
SUNAT
UNIT.(US$)]]*TABLA_BASE[[#This Row],[CANTIDAD
(unid.)]]</f>
        <v>0</v>
      </c>
      <c r="AE218" s="281">
        <f>TABLA_BASE[[#This Row],[TOTAL PAGO
SUNAT
UNIT.(US$)]]*'📋 Datos Generales'!$E$19</f>
        <v>0</v>
      </c>
      <c r="AF218" s="281">
        <f>TABLA_BASE[[#This Row],[TOTAL TRIB.
UNIT.(S/.)]]*TABLA_BASE[[#This Row],[CANTIDAD
(unid.)]]</f>
        <v>0</v>
      </c>
      <c r="AG218" s="279">
        <f>IF('🧾 Factura Comercial'!G222=0,0,'📦 Gastos Importación'!$E$28*(IF('🧾 Tributos Aduana'!$F$6=0,0,'🧾 Factura Comercial'!I222/'🧾 Tributos Aduana'!$F$6))/'🧾 Factura Comercial'!G222)</f>
        <v>0</v>
      </c>
      <c r="AH218" s="279">
        <f>TABLA_BASE[[#This Row],[GASTOS IMP.
UNIT.(US$)]]*TABLA_BASE[[#This Row],[CANTIDAD
(unid.)]]</f>
        <v>0</v>
      </c>
      <c r="AI218" s="281">
        <f>TABLA_BASE[[#This Row],[GASTOS IMP.
UNIT.(US$)]]*'📋 Datos Generales'!$E$19</f>
        <v>0</v>
      </c>
      <c r="AJ218" s="281">
        <f>TABLA_BASE[[#This Row],[GASTOS IMP.
UNIT.(S/.)]]*TABLA_BASE[[#This Row],[CANTIDAD
(unid.)]]</f>
        <v>0</v>
      </c>
      <c r="AK218" s="280">
        <f>'🧮 Costos x Producto'!J222</f>
        <v>0</v>
      </c>
      <c r="AL218" s="278">
        <f>'🧮 Costos x Producto'!K222</f>
        <v>0</v>
      </c>
      <c r="AM218" s="278">
        <f>TABLA_BASE[[#This Row],[C/M UNIT.
(S/.)]]*TABLA_BASE[[#This Row],[CANTIDAD
(unid.)]]</f>
        <v>0</v>
      </c>
      <c r="AN218" s="279">
        <f>IF('🧾 Factura Comercial'!G222=0,0,'🧾 Tributos Aduana'!$F$17*(IF('🧾 Tributos Aduana'!$F$6=0,0,'🧾 Factura Comercial'!I222/'🧾 Tributos Aduana'!$F$6))/'🧾 Factura Comercial'!G222)</f>
        <v>0</v>
      </c>
      <c r="AO218" s="280">
        <f>IF('🧾 Factura Comercial'!G222=0,0,'🏦 Crédito Fiscal'!$C$16*(IF('🧾 Tributos Aduana'!$F$6=0,0,'🧾 Factura Comercial'!I222/'🧾 Tributos Aduana'!$F$6))/'🧾 Factura Comercial'!G222)</f>
        <v>0</v>
      </c>
      <c r="AP218" s="278">
        <f>TABLA_BASE[[#This Row],[CF UNIT.
✅RECUP.
(US$)]]*'📋 Datos Generales'!$E$19</f>
        <v>0</v>
      </c>
      <c r="AQ218" s="278">
        <f>TABLA_BASE[[#This Row],[CF UNIT.
✅RECUP.(S/.)]]*TABLA_BASE[[#This Row],[CANTIDAD
(unid.)]]</f>
        <v>0</v>
      </c>
      <c r="AR218" s="288">
        <f>'💰 Precio de Venta'!G223</f>
        <v>0.4</v>
      </c>
      <c r="AS218" s="278">
        <f>'💰 Precio de Venta'!H223</f>
        <v>0</v>
      </c>
      <c r="AT218" s="278">
        <f>TABLA_BASE[[#This Row],[VALOR VTA.
UNIT.(S/.)]]*TABLA_BASE[[#This Row],[CANTIDAD
(unid.)]]</f>
        <v>0</v>
      </c>
      <c r="AU218" s="281">
        <f>'💰 Precio de Venta'!I223</f>
        <v>0</v>
      </c>
      <c r="AV218" s="278">
        <f>'💰 Precio de Venta'!J223</f>
        <v>0</v>
      </c>
      <c r="AW218" s="278">
        <f>TABLA_BASE[[#This Row],[GANANCIA
UNIT.(S/.)]]*TABLA_BASE[[#This Row],[CANTIDAD
(unid.)]]</f>
        <v>0</v>
      </c>
      <c r="AX218" s="289">
        <f>'💰 Precio de Venta'!K223</f>
        <v>0</v>
      </c>
      <c r="AY218" s="278">
        <f>TABLA_BASE[[#This Row],[GANANCIA
UNIT.(S/.)]]*'🧾 Factura Comercial'!G222</f>
        <v>0</v>
      </c>
      <c r="AZ218" s="277">
        <f>IF(TABLA_BASE[[#This Row],[PRECIO VTA.
c/IGV(S/.)]]=0,0,TABLA_BASE[[#This Row],[GANANCIA
UNIT.(S/.)]]/TABLA_BASE[[#This Row],[PRECIO VTA.
c/IGV(S/.)]])</f>
        <v>0</v>
      </c>
      <c r="BA218" s="277">
        <f>IF(TABLA_BASE[[#This Row],[C/M UNIT.
(S/.)]]=0,0,TABLA_BASE[[#This Row],[GANANCIA
UNIT.(S/.)]]/TABLA_BASE[[#This Row],[C/M UNIT.
(S/.)]])</f>
        <v>0</v>
      </c>
      <c r="BB218" s="274" t="str">
        <f>IF(TABLA_BASE[[#This Row],[MARGEN
%]]&gt;=0.5,"🟢 ALTO",IF(TABLA_BASE[[#This Row],[MARGEN
%]]&gt;=0.3,"🟡 MEDIO","🔴 BAJO"))</f>
        <v>🟡 MEDIO</v>
      </c>
    </row>
    <row r="219" spans="1:54" ht="16.5" hidden="1" thickTop="1" thickBot="1" x14ac:dyDescent="0.3">
      <c r="A219" s="274">
        <f>'🧾 Factura Comercial'!E223</f>
        <v>0</v>
      </c>
      <c r="B219" s="274" t="str">
        <f>'🧾 Factura Comercial'!F223</f>
        <v>Unid.</v>
      </c>
      <c r="C219" s="275">
        <f>'🧾 Factura Comercial'!G223</f>
        <v>0</v>
      </c>
      <c r="D219" s="276">
        <f>'🧾 Factura Comercial'!H223</f>
        <v>0</v>
      </c>
      <c r="E219" s="276">
        <f>'🧾 Factura Comercial'!I223</f>
        <v>0</v>
      </c>
      <c r="F219" s="277">
        <f>IF('🧾 Tributos Aduana'!$F$6=0,0,'🧾 Factura Comercial'!I223/'🧾 Tributos Aduana'!$F$6)</f>
        <v>0</v>
      </c>
      <c r="G219" s="278">
        <f>'🧾 Factura Comercial'!H223*'📋 Datos Generales'!$E$19</f>
        <v>0</v>
      </c>
      <c r="H219" s="278">
        <f>TABLA_BASE[[#This Row],[FOB UNIT.
(S/.)]]*TABLA_BASE[[#This Row],[CANTIDAD
(unid.)]]</f>
        <v>0</v>
      </c>
      <c r="I219" s="280">
        <f>IF('🧾 Tributos Aduana'!$F$6=0,0,'🧾 Tributos Aduana'!$F$17*('🧾 Factura Comercial'!H223/'🧾 Tributos Aduana'!$F$6))</f>
        <v>0</v>
      </c>
      <c r="J219" s="280">
        <f>TABLA_BASE[[#This Row],[ADV UNIT.
(US$)
⚠️COSTO]]*TABLA_BASE[[#This Row],[CANTIDAD
(unid.)]]</f>
        <v>0</v>
      </c>
      <c r="K219" s="279">
        <f>IF('🧾 Tributos Aduana'!$F$6=0,0,'🧾 Tributos Aduana'!$F$18*('🧾 Factura Comercial'!H223/'🧾 Tributos Aduana'!$F$6))</f>
        <v>0</v>
      </c>
      <c r="L219" s="280">
        <f>TABLA_BASE[[#This Row],[IPM UNIT.
(US$)
✅CF]]*TABLA_BASE[[#This Row],[CANTIDAD
(unid.)]]</f>
        <v>0</v>
      </c>
      <c r="M219" s="279">
        <f>IF('🧾 Tributos Aduana'!$F$6=0,0,'🧾 Tributos Aduana'!$F$19*('🧾 Factura Comercial'!H223/'🧾 Tributos Aduana'!$F$6))</f>
        <v>0</v>
      </c>
      <c r="N219" s="280">
        <f>TABLA_BASE[[#This Row],[IGV UNIT.
(US$)
✅CF]]*TABLA_BASE[[#This Row],[CANTIDAD
(unid.)]]</f>
        <v>0</v>
      </c>
      <c r="O219" s="280">
        <f>IF('🧾 Tributos Aduana'!$F$6=0,0,'🧾 Tributos Aduana'!$F$23*('🧾 Factura Comercial'!H223/'🧾 Tributos Aduana'!$F$6))</f>
        <v>0</v>
      </c>
      <c r="P219" s="280">
        <f>TABLA_BASE[[#This Row],[PERCEP.
UNIT.(US$)
✅CF]]*TABLA_BASE[[#This Row],[CANTIDAD
(unid.)]]</f>
        <v>0</v>
      </c>
      <c r="Q219" s="279">
        <f>TABLA_BASE[[#This Row],[ADV UNIT.
(US$)
⚠️COSTO]]+TABLA_BASE[[#This Row],[IPM UNIT.
(US$)
✅CF]]+TABLA_BASE[[#This Row],[IGV UNIT.
(US$)
✅CF]]</f>
        <v>0</v>
      </c>
      <c r="R219" s="280">
        <f>TABLA_BASE[[#This Row],[DEUDA
ADUANERA
UNIT.]]*TABLA_BASE[[#This Row],[CANTIDAD
(unid.)]]</f>
        <v>0</v>
      </c>
      <c r="S219" s="278">
        <f>TABLA_BASE[[#This Row],[DEUDA
ADUANERA
UNIT.]]*'📋 Datos Generales'!$E$19</f>
        <v>0</v>
      </c>
      <c r="T219" s="278">
        <f>TABLA_BASE[[#This Row],[DEUDA
ADUANERA
TOTAL]]*'📋 Datos Generales'!$E$19</f>
        <v>0</v>
      </c>
      <c r="U219" s="281">
        <f>TABLA_BASE[[#This Row],[ADV UNIT.
(US$)
⚠️COSTO]]*'📋 Datos Generales'!$E$19</f>
        <v>0</v>
      </c>
      <c r="V219" s="281">
        <f>TABLA_BASE[[#This Row],[ADV UNIT.
(S/.)]]*TABLA_BASE[[#This Row],[CANTIDAD
(unid.)]]</f>
        <v>0</v>
      </c>
      <c r="W219" s="281">
        <f>TABLA_BASE[[#This Row],[IPM UNIT.
(US$)
✅CF]]*'📋 Datos Generales'!$E$19</f>
        <v>0</v>
      </c>
      <c r="X219" s="281">
        <f>TABLA_BASE[[#This Row],[IPM UNIT.
(S/.)]]*TABLA_BASE[[#This Row],[CANTIDAD
(unid.)]]</f>
        <v>0</v>
      </c>
      <c r="Y219" s="281">
        <f>TABLA_BASE[[#This Row],[IGV UNIT.
(US$)
✅CF]]*'📋 Datos Generales'!$E$19</f>
        <v>0</v>
      </c>
      <c r="Z219" s="281">
        <f>TABLA_BASE[[#This Row],[IGV UNIT.
(S/.)]]*TABLA_BASE[[#This Row],[CANTIDAD
(unid.)]]</f>
        <v>0</v>
      </c>
      <c r="AA219" s="281">
        <f>TABLA_BASE[[#This Row],[PERCEP.
UNIT.(US$)
✅CF]]*'📋 Datos Generales'!$E$19</f>
        <v>0</v>
      </c>
      <c r="AB219" s="281">
        <f>TABLA_BASE[[#This Row],[PERCEP.
UNIT.(S/.)]]*TABLA_BASE[[#This Row],[CANTIDAD
(unid.)]]</f>
        <v>0</v>
      </c>
      <c r="AC219" s="279">
        <f>TABLA_BASE[[#This Row],[ADV UNIT.
(US$)
⚠️COSTO]]+TABLA_BASE[[#This Row],[IPM UNIT.
(US$)
✅CF]]+TABLA_BASE[[#This Row],[IGV UNIT.
(US$)
✅CF]]+TABLA_BASE[[#This Row],[PERCEP.
UNIT.(US$)
✅CF]]</f>
        <v>0</v>
      </c>
      <c r="AD219" s="279">
        <f>TABLA_BASE[[#This Row],[TOTAL PAGO
SUNAT
UNIT.(US$)]]*TABLA_BASE[[#This Row],[CANTIDAD
(unid.)]]</f>
        <v>0</v>
      </c>
      <c r="AE219" s="281">
        <f>TABLA_BASE[[#This Row],[TOTAL PAGO
SUNAT
UNIT.(US$)]]*'📋 Datos Generales'!$E$19</f>
        <v>0</v>
      </c>
      <c r="AF219" s="281">
        <f>TABLA_BASE[[#This Row],[TOTAL TRIB.
UNIT.(S/.)]]*TABLA_BASE[[#This Row],[CANTIDAD
(unid.)]]</f>
        <v>0</v>
      </c>
      <c r="AG219" s="279">
        <f>IF('🧾 Factura Comercial'!G223=0,0,'📦 Gastos Importación'!$E$28*(IF('🧾 Tributos Aduana'!$F$6=0,0,'🧾 Factura Comercial'!I223/'🧾 Tributos Aduana'!$F$6))/'🧾 Factura Comercial'!G223)</f>
        <v>0</v>
      </c>
      <c r="AH219" s="279">
        <f>TABLA_BASE[[#This Row],[GASTOS IMP.
UNIT.(US$)]]*TABLA_BASE[[#This Row],[CANTIDAD
(unid.)]]</f>
        <v>0</v>
      </c>
      <c r="AI219" s="281">
        <f>TABLA_BASE[[#This Row],[GASTOS IMP.
UNIT.(US$)]]*'📋 Datos Generales'!$E$19</f>
        <v>0</v>
      </c>
      <c r="AJ219" s="281">
        <f>TABLA_BASE[[#This Row],[GASTOS IMP.
UNIT.(S/.)]]*TABLA_BASE[[#This Row],[CANTIDAD
(unid.)]]</f>
        <v>0</v>
      </c>
      <c r="AK219" s="280">
        <f>'🧮 Costos x Producto'!J223</f>
        <v>0</v>
      </c>
      <c r="AL219" s="278">
        <f>'🧮 Costos x Producto'!K223</f>
        <v>0</v>
      </c>
      <c r="AM219" s="278">
        <f>TABLA_BASE[[#This Row],[C/M UNIT.
(S/.)]]*TABLA_BASE[[#This Row],[CANTIDAD
(unid.)]]</f>
        <v>0</v>
      </c>
      <c r="AN219" s="279">
        <f>IF('🧾 Factura Comercial'!G223=0,0,'🧾 Tributos Aduana'!$F$17*(IF('🧾 Tributos Aduana'!$F$6=0,0,'🧾 Factura Comercial'!I223/'🧾 Tributos Aduana'!$F$6))/'🧾 Factura Comercial'!G223)</f>
        <v>0</v>
      </c>
      <c r="AO219" s="280">
        <f>IF('🧾 Factura Comercial'!G223=0,0,'🏦 Crédito Fiscal'!$C$16*(IF('🧾 Tributos Aduana'!$F$6=0,0,'🧾 Factura Comercial'!I223/'🧾 Tributos Aduana'!$F$6))/'🧾 Factura Comercial'!G223)</f>
        <v>0</v>
      </c>
      <c r="AP219" s="278">
        <f>TABLA_BASE[[#This Row],[CF UNIT.
✅RECUP.
(US$)]]*'📋 Datos Generales'!$E$19</f>
        <v>0</v>
      </c>
      <c r="AQ219" s="278">
        <f>TABLA_BASE[[#This Row],[CF UNIT.
✅RECUP.(S/.)]]*TABLA_BASE[[#This Row],[CANTIDAD
(unid.)]]</f>
        <v>0</v>
      </c>
      <c r="AR219" s="288">
        <f>'💰 Precio de Venta'!G224</f>
        <v>0.4</v>
      </c>
      <c r="AS219" s="278">
        <f>'💰 Precio de Venta'!H224</f>
        <v>0</v>
      </c>
      <c r="AT219" s="278">
        <f>TABLA_BASE[[#This Row],[VALOR VTA.
UNIT.(S/.)]]*TABLA_BASE[[#This Row],[CANTIDAD
(unid.)]]</f>
        <v>0</v>
      </c>
      <c r="AU219" s="281">
        <f>'💰 Precio de Venta'!I224</f>
        <v>0</v>
      </c>
      <c r="AV219" s="278">
        <f>'💰 Precio de Venta'!J224</f>
        <v>0</v>
      </c>
      <c r="AW219" s="278">
        <f>TABLA_BASE[[#This Row],[GANANCIA
UNIT.(S/.)]]*TABLA_BASE[[#This Row],[CANTIDAD
(unid.)]]</f>
        <v>0</v>
      </c>
      <c r="AX219" s="289">
        <f>'💰 Precio de Venta'!K224</f>
        <v>0</v>
      </c>
      <c r="AY219" s="278">
        <f>TABLA_BASE[[#This Row],[GANANCIA
UNIT.(S/.)]]*'🧾 Factura Comercial'!G223</f>
        <v>0</v>
      </c>
      <c r="AZ219" s="277">
        <f>IF(TABLA_BASE[[#This Row],[PRECIO VTA.
c/IGV(S/.)]]=0,0,TABLA_BASE[[#This Row],[GANANCIA
UNIT.(S/.)]]/TABLA_BASE[[#This Row],[PRECIO VTA.
c/IGV(S/.)]])</f>
        <v>0</v>
      </c>
      <c r="BA219" s="277">
        <f>IF(TABLA_BASE[[#This Row],[C/M UNIT.
(S/.)]]=0,0,TABLA_BASE[[#This Row],[GANANCIA
UNIT.(S/.)]]/TABLA_BASE[[#This Row],[C/M UNIT.
(S/.)]])</f>
        <v>0</v>
      </c>
      <c r="BB219" s="274" t="str">
        <f>IF(TABLA_BASE[[#This Row],[MARGEN
%]]&gt;=0.5,"🟢 ALTO",IF(TABLA_BASE[[#This Row],[MARGEN
%]]&gt;=0.3,"🟡 MEDIO","🔴 BAJO"))</f>
        <v>🟡 MEDIO</v>
      </c>
    </row>
    <row r="220" spans="1:54" ht="16.5" hidden="1" thickTop="1" thickBot="1" x14ac:dyDescent="0.3">
      <c r="A220" s="274">
        <f>'🧾 Factura Comercial'!E224</f>
        <v>0</v>
      </c>
      <c r="B220" s="274" t="str">
        <f>'🧾 Factura Comercial'!F224</f>
        <v>Unid.</v>
      </c>
      <c r="C220" s="275">
        <f>'🧾 Factura Comercial'!G224</f>
        <v>0</v>
      </c>
      <c r="D220" s="276">
        <f>'🧾 Factura Comercial'!H224</f>
        <v>0</v>
      </c>
      <c r="E220" s="276">
        <f>'🧾 Factura Comercial'!I224</f>
        <v>0</v>
      </c>
      <c r="F220" s="277">
        <f>IF('🧾 Tributos Aduana'!$F$6=0,0,'🧾 Factura Comercial'!I224/'🧾 Tributos Aduana'!$F$6)</f>
        <v>0</v>
      </c>
      <c r="G220" s="278">
        <f>'🧾 Factura Comercial'!H224*'📋 Datos Generales'!$E$19</f>
        <v>0</v>
      </c>
      <c r="H220" s="278">
        <f>TABLA_BASE[[#This Row],[FOB UNIT.
(S/.)]]*TABLA_BASE[[#This Row],[CANTIDAD
(unid.)]]</f>
        <v>0</v>
      </c>
      <c r="I220" s="280">
        <f>IF('🧾 Tributos Aduana'!$F$6=0,0,'🧾 Tributos Aduana'!$F$17*('🧾 Factura Comercial'!H224/'🧾 Tributos Aduana'!$F$6))</f>
        <v>0</v>
      </c>
      <c r="J220" s="280">
        <f>TABLA_BASE[[#This Row],[ADV UNIT.
(US$)
⚠️COSTO]]*TABLA_BASE[[#This Row],[CANTIDAD
(unid.)]]</f>
        <v>0</v>
      </c>
      <c r="K220" s="279">
        <f>IF('🧾 Tributos Aduana'!$F$6=0,0,'🧾 Tributos Aduana'!$F$18*('🧾 Factura Comercial'!H224/'🧾 Tributos Aduana'!$F$6))</f>
        <v>0</v>
      </c>
      <c r="L220" s="280">
        <f>TABLA_BASE[[#This Row],[IPM UNIT.
(US$)
✅CF]]*TABLA_BASE[[#This Row],[CANTIDAD
(unid.)]]</f>
        <v>0</v>
      </c>
      <c r="M220" s="279">
        <f>IF('🧾 Tributos Aduana'!$F$6=0,0,'🧾 Tributos Aduana'!$F$19*('🧾 Factura Comercial'!H224/'🧾 Tributos Aduana'!$F$6))</f>
        <v>0</v>
      </c>
      <c r="N220" s="280">
        <f>TABLA_BASE[[#This Row],[IGV UNIT.
(US$)
✅CF]]*TABLA_BASE[[#This Row],[CANTIDAD
(unid.)]]</f>
        <v>0</v>
      </c>
      <c r="O220" s="280">
        <f>IF('🧾 Tributos Aduana'!$F$6=0,0,'🧾 Tributos Aduana'!$F$23*('🧾 Factura Comercial'!H224/'🧾 Tributos Aduana'!$F$6))</f>
        <v>0</v>
      </c>
      <c r="P220" s="280">
        <f>TABLA_BASE[[#This Row],[PERCEP.
UNIT.(US$)
✅CF]]*TABLA_BASE[[#This Row],[CANTIDAD
(unid.)]]</f>
        <v>0</v>
      </c>
      <c r="Q220" s="279">
        <f>TABLA_BASE[[#This Row],[ADV UNIT.
(US$)
⚠️COSTO]]+TABLA_BASE[[#This Row],[IPM UNIT.
(US$)
✅CF]]+TABLA_BASE[[#This Row],[IGV UNIT.
(US$)
✅CF]]</f>
        <v>0</v>
      </c>
      <c r="R220" s="280">
        <f>TABLA_BASE[[#This Row],[DEUDA
ADUANERA
UNIT.]]*TABLA_BASE[[#This Row],[CANTIDAD
(unid.)]]</f>
        <v>0</v>
      </c>
      <c r="S220" s="278">
        <f>TABLA_BASE[[#This Row],[DEUDA
ADUANERA
UNIT.]]*'📋 Datos Generales'!$E$19</f>
        <v>0</v>
      </c>
      <c r="T220" s="278">
        <f>TABLA_BASE[[#This Row],[DEUDA
ADUANERA
TOTAL]]*'📋 Datos Generales'!$E$19</f>
        <v>0</v>
      </c>
      <c r="U220" s="281">
        <f>TABLA_BASE[[#This Row],[ADV UNIT.
(US$)
⚠️COSTO]]*'📋 Datos Generales'!$E$19</f>
        <v>0</v>
      </c>
      <c r="V220" s="281">
        <f>TABLA_BASE[[#This Row],[ADV UNIT.
(S/.)]]*TABLA_BASE[[#This Row],[CANTIDAD
(unid.)]]</f>
        <v>0</v>
      </c>
      <c r="W220" s="281">
        <f>TABLA_BASE[[#This Row],[IPM UNIT.
(US$)
✅CF]]*'📋 Datos Generales'!$E$19</f>
        <v>0</v>
      </c>
      <c r="X220" s="281">
        <f>TABLA_BASE[[#This Row],[IPM UNIT.
(S/.)]]*TABLA_BASE[[#This Row],[CANTIDAD
(unid.)]]</f>
        <v>0</v>
      </c>
      <c r="Y220" s="281">
        <f>TABLA_BASE[[#This Row],[IGV UNIT.
(US$)
✅CF]]*'📋 Datos Generales'!$E$19</f>
        <v>0</v>
      </c>
      <c r="Z220" s="281">
        <f>TABLA_BASE[[#This Row],[IGV UNIT.
(S/.)]]*TABLA_BASE[[#This Row],[CANTIDAD
(unid.)]]</f>
        <v>0</v>
      </c>
      <c r="AA220" s="281">
        <f>TABLA_BASE[[#This Row],[PERCEP.
UNIT.(US$)
✅CF]]*'📋 Datos Generales'!$E$19</f>
        <v>0</v>
      </c>
      <c r="AB220" s="281">
        <f>TABLA_BASE[[#This Row],[PERCEP.
UNIT.(S/.)]]*TABLA_BASE[[#This Row],[CANTIDAD
(unid.)]]</f>
        <v>0</v>
      </c>
      <c r="AC220" s="279">
        <f>TABLA_BASE[[#This Row],[ADV UNIT.
(US$)
⚠️COSTO]]+TABLA_BASE[[#This Row],[IPM UNIT.
(US$)
✅CF]]+TABLA_BASE[[#This Row],[IGV UNIT.
(US$)
✅CF]]+TABLA_BASE[[#This Row],[PERCEP.
UNIT.(US$)
✅CF]]</f>
        <v>0</v>
      </c>
      <c r="AD220" s="279">
        <f>TABLA_BASE[[#This Row],[TOTAL PAGO
SUNAT
UNIT.(US$)]]*TABLA_BASE[[#This Row],[CANTIDAD
(unid.)]]</f>
        <v>0</v>
      </c>
      <c r="AE220" s="281">
        <f>TABLA_BASE[[#This Row],[TOTAL PAGO
SUNAT
UNIT.(US$)]]*'📋 Datos Generales'!$E$19</f>
        <v>0</v>
      </c>
      <c r="AF220" s="281">
        <f>TABLA_BASE[[#This Row],[TOTAL TRIB.
UNIT.(S/.)]]*TABLA_BASE[[#This Row],[CANTIDAD
(unid.)]]</f>
        <v>0</v>
      </c>
      <c r="AG220" s="279">
        <f>IF('🧾 Factura Comercial'!G224=0,0,'📦 Gastos Importación'!$E$28*(IF('🧾 Tributos Aduana'!$F$6=0,0,'🧾 Factura Comercial'!I224/'🧾 Tributos Aduana'!$F$6))/'🧾 Factura Comercial'!G224)</f>
        <v>0</v>
      </c>
      <c r="AH220" s="279">
        <f>TABLA_BASE[[#This Row],[GASTOS IMP.
UNIT.(US$)]]*TABLA_BASE[[#This Row],[CANTIDAD
(unid.)]]</f>
        <v>0</v>
      </c>
      <c r="AI220" s="281">
        <f>TABLA_BASE[[#This Row],[GASTOS IMP.
UNIT.(US$)]]*'📋 Datos Generales'!$E$19</f>
        <v>0</v>
      </c>
      <c r="AJ220" s="281">
        <f>TABLA_BASE[[#This Row],[GASTOS IMP.
UNIT.(S/.)]]*TABLA_BASE[[#This Row],[CANTIDAD
(unid.)]]</f>
        <v>0</v>
      </c>
      <c r="AK220" s="280">
        <f>'🧮 Costos x Producto'!J224</f>
        <v>0</v>
      </c>
      <c r="AL220" s="278">
        <f>'🧮 Costos x Producto'!K224</f>
        <v>0</v>
      </c>
      <c r="AM220" s="278">
        <f>TABLA_BASE[[#This Row],[C/M UNIT.
(S/.)]]*TABLA_BASE[[#This Row],[CANTIDAD
(unid.)]]</f>
        <v>0</v>
      </c>
      <c r="AN220" s="279">
        <f>IF('🧾 Factura Comercial'!G224=0,0,'🧾 Tributos Aduana'!$F$17*(IF('🧾 Tributos Aduana'!$F$6=0,0,'🧾 Factura Comercial'!I224/'🧾 Tributos Aduana'!$F$6))/'🧾 Factura Comercial'!G224)</f>
        <v>0</v>
      </c>
      <c r="AO220" s="280">
        <f>IF('🧾 Factura Comercial'!G224=0,0,'🏦 Crédito Fiscal'!$C$16*(IF('🧾 Tributos Aduana'!$F$6=0,0,'🧾 Factura Comercial'!I224/'🧾 Tributos Aduana'!$F$6))/'🧾 Factura Comercial'!G224)</f>
        <v>0</v>
      </c>
      <c r="AP220" s="278">
        <f>TABLA_BASE[[#This Row],[CF UNIT.
✅RECUP.
(US$)]]*'📋 Datos Generales'!$E$19</f>
        <v>0</v>
      </c>
      <c r="AQ220" s="278">
        <f>TABLA_BASE[[#This Row],[CF UNIT.
✅RECUP.(S/.)]]*TABLA_BASE[[#This Row],[CANTIDAD
(unid.)]]</f>
        <v>0</v>
      </c>
      <c r="AR220" s="288">
        <f>'💰 Precio de Venta'!G225</f>
        <v>0.4</v>
      </c>
      <c r="AS220" s="278">
        <f>'💰 Precio de Venta'!H225</f>
        <v>0</v>
      </c>
      <c r="AT220" s="278">
        <f>TABLA_BASE[[#This Row],[VALOR VTA.
UNIT.(S/.)]]*TABLA_BASE[[#This Row],[CANTIDAD
(unid.)]]</f>
        <v>0</v>
      </c>
      <c r="AU220" s="281">
        <f>'💰 Precio de Venta'!I225</f>
        <v>0</v>
      </c>
      <c r="AV220" s="278">
        <f>'💰 Precio de Venta'!J225</f>
        <v>0</v>
      </c>
      <c r="AW220" s="278">
        <f>TABLA_BASE[[#This Row],[GANANCIA
UNIT.(S/.)]]*TABLA_BASE[[#This Row],[CANTIDAD
(unid.)]]</f>
        <v>0</v>
      </c>
      <c r="AX220" s="289">
        <f>'💰 Precio de Venta'!K225</f>
        <v>0</v>
      </c>
      <c r="AY220" s="278">
        <f>TABLA_BASE[[#This Row],[GANANCIA
UNIT.(S/.)]]*'🧾 Factura Comercial'!G224</f>
        <v>0</v>
      </c>
      <c r="AZ220" s="277">
        <f>IF(TABLA_BASE[[#This Row],[PRECIO VTA.
c/IGV(S/.)]]=0,0,TABLA_BASE[[#This Row],[GANANCIA
UNIT.(S/.)]]/TABLA_BASE[[#This Row],[PRECIO VTA.
c/IGV(S/.)]])</f>
        <v>0</v>
      </c>
      <c r="BA220" s="277">
        <f>IF(TABLA_BASE[[#This Row],[C/M UNIT.
(S/.)]]=0,0,TABLA_BASE[[#This Row],[GANANCIA
UNIT.(S/.)]]/TABLA_BASE[[#This Row],[C/M UNIT.
(S/.)]])</f>
        <v>0</v>
      </c>
      <c r="BB220" s="274" t="str">
        <f>IF(TABLA_BASE[[#This Row],[MARGEN
%]]&gt;=0.5,"🟢 ALTO",IF(TABLA_BASE[[#This Row],[MARGEN
%]]&gt;=0.3,"🟡 MEDIO","🔴 BAJO"))</f>
        <v>🟡 MEDIO</v>
      </c>
    </row>
    <row r="221" spans="1:54" ht="16.5" hidden="1" thickTop="1" thickBot="1" x14ac:dyDescent="0.3">
      <c r="A221" s="274">
        <f>'🧾 Factura Comercial'!E225</f>
        <v>0</v>
      </c>
      <c r="B221" s="274" t="str">
        <f>'🧾 Factura Comercial'!F225</f>
        <v>Unid.</v>
      </c>
      <c r="C221" s="275">
        <f>'🧾 Factura Comercial'!G225</f>
        <v>0</v>
      </c>
      <c r="D221" s="276">
        <f>'🧾 Factura Comercial'!H225</f>
        <v>0</v>
      </c>
      <c r="E221" s="276">
        <f>'🧾 Factura Comercial'!I225</f>
        <v>0</v>
      </c>
      <c r="F221" s="277">
        <f>IF('🧾 Tributos Aduana'!$F$6=0,0,'🧾 Factura Comercial'!I225/'🧾 Tributos Aduana'!$F$6)</f>
        <v>0</v>
      </c>
      <c r="G221" s="278">
        <f>'🧾 Factura Comercial'!H225*'📋 Datos Generales'!$E$19</f>
        <v>0</v>
      </c>
      <c r="H221" s="278">
        <f>TABLA_BASE[[#This Row],[FOB UNIT.
(S/.)]]*TABLA_BASE[[#This Row],[CANTIDAD
(unid.)]]</f>
        <v>0</v>
      </c>
      <c r="I221" s="280">
        <f>IF('🧾 Tributos Aduana'!$F$6=0,0,'🧾 Tributos Aduana'!$F$17*('🧾 Factura Comercial'!H225/'🧾 Tributos Aduana'!$F$6))</f>
        <v>0</v>
      </c>
      <c r="J221" s="280">
        <f>TABLA_BASE[[#This Row],[ADV UNIT.
(US$)
⚠️COSTO]]*TABLA_BASE[[#This Row],[CANTIDAD
(unid.)]]</f>
        <v>0</v>
      </c>
      <c r="K221" s="279">
        <f>IF('🧾 Tributos Aduana'!$F$6=0,0,'🧾 Tributos Aduana'!$F$18*('🧾 Factura Comercial'!H225/'🧾 Tributos Aduana'!$F$6))</f>
        <v>0</v>
      </c>
      <c r="L221" s="280">
        <f>TABLA_BASE[[#This Row],[IPM UNIT.
(US$)
✅CF]]*TABLA_BASE[[#This Row],[CANTIDAD
(unid.)]]</f>
        <v>0</v>
      </c>
      <c r="M221" s="279">
        <f>IF('🧾 Tributos Aduana'!$F$6=0,0,'🧾 Tributos Aduana'!$F$19*('🧾 Factura Comercial'!H225/'🧾 Tributos Aduana'!$F$6))</f>
        <v>0</v>
      </c>
      <c r="N221" s="280">
        <f>TABLA_BASE[[#This Row],[IGV UNIT.
(US$)
✅CF]]*TABLA_BASE[[#This Row],[CANTIDAD
(unid.)]]</f>
        <v>0</v>
      </c>
      <c r="O221" s="280">
        <f>IF('🧾 Tributos Aduana'!$F$6=0,0,'🧾 Tributos Aduana'!$F$23*('🧾 Factura Comercial'!H225/'🧾 Tributos Aduana'!$F$6))</f>
        <v>0</v>
      </c>
      <c r="P221" s="280">
        <f>TABLA_BASE[[#This Row],[PERCEP.
UNIT.(US$)
✅CF]]*TABLA_BASE[[#This Row],[CANTIDAD
(unid.)]]</f>
        <v>0</v>
      </c>
      <c r="Q221" s="279">
        <f>TABLA_BASE[[#This Row],[ADV UNIT.
(US$)
⚠️COSTO]]+TABLA_BASE[[#This Row],[IPM UNIT.
(US$)
✅CF]]+TABLA_BASE[[#This Row],[IGV UNIT.
(US$)
✅CF]]</f>
        <v>0</v>
      </c>
      <c r="R221" s="280">
        <f>TABLA_BASE[[#This Row],[DEUDA
ADUANERA
UNIT.]]*TABLA_BASE[[#This Row],[CANTIDAD
(unid.)]]</f>
        <v>0</v>
      </c>
      <c r="S221" s="278">
        <f>TABLA_BASE[[#This Row],[DEUDA
ADUANERA
UNIT.]]*'📋 Datos Generales'!$E$19</f>
        <v>0</v>
      </c>
      <c r="T221" s="278">
        <f>TABLA_BASE[[#This Row],[DEUDA
ADUANERA
TOTAL]]*'📋 Datos Generales'!$E$19</f>
        <v>0</v>
      </c>
      <c r="U221" s="281">
        <f>TABLA_BASE[[#This Row],[ADV UNIT.
(US$)
⚠️COSTO]]*'📋 Datos Generales'!$E$19</f>
        <v>0</v>
      </c>
      <c r="V221" s="281">
        <f>TABLA_BASE[[#This Row],[ADV UNIT.
(S/.)]]*TABLA_BASE[[#This Row],[CANTIDAD
(unid.)]]</f>
        <v>0</v>
      </c>
      <c r="W221" s="281">
        <f>TABLA_BASE[[#This Row],[IPM UNIT.
(US$)
✅CF]]*'📋 Datos Generales'!$E$19</f>
        <v>0</v>
      </c>
      <c r="X221" s="281">
        <f>TABLA_BASE[[#This Row],[IPM UNIT.
(S/.)]]*TABLA_BASE[[#This Row],[CANTIDAD
(unid.)]]</f>
        <v>0</v>
      </c>
      <c r="Y221" s="281">
        <f>TABLA_BASE[[#This Row],[IGV UNIT.
(US$)
✅CF]]*'📋 Datos Generales'!$E$19</f>
        <v>0</v>
      </c>
      <c r="Z221" s="281">
        <f>TABLA_BASE[[#This Row],[IGV UNIT.
(S/.)]]*TABLA_BASE[[#This Row],[CANTIDAD
(unid.)]]</f>
        <v>0</v>
      </c>
      <c r="AA221" s="281">
        <f>TABLA_BASE[[#This Row],[PERCEP.
UNIT.(US$)
✅CF]]*'📋 Datos Generales'!$E$19</f>
        <v>0</v>
      </c>
      <c r="AB221" s="281">
        <f>TABLA_BASE[[#This Row],[PERCEP.
UNIT.(S/.)]]*TABLA_BASE[[#This Row],[CANTIDAD
(unid.)]]</f>
        <v>0</v>
      </c>
      <c r="AC221" s="279">
        <f>TABLA_BASE[[#This Row],[ADV UNIT.
(US$)
⚠️COSTO]]+TABLA_BASE[[#This Row],[IPM UNIT.
(US$)
✅CF]]+TABLA_BASE[[#This Row],[IGV UNIT.
(US$)
✅CF]]+TABLA_BASE[[#This Row],[PERCEP.
UNIT.(US$)
✅CF]]</f>
        <v>0</v>
      </c>
      <c r="AD221" s="279">
        <f>TABLA_BASE[[#This Row],[TOTAL PAGO
SUNAT
UNIT.(US$)]]*TABLA_BASE[[#This Row],[CANTIDAD
(unid.)]]</f>
        <v>0</v>
      </c>
      <c r="AE221" s="281">
        <f>TABLA_BASE[[#This Row],[TOTAL PAGO
SUNAT
UNIT.(US$)]]*'📋 Datos Generales'!$E$19</f>
        <v>0</v>
      </c>
      <c r="AF221" s="281">
        <f>TABLA_BASE[[#This Row],[TOTAL TRIB.
UNIT.(S/.)]]*TABLA_BASE[[#This Row],[CANTIDAD
(unid.)]]</f>
        <v>0</v>
      </c>
      <c r="AG221" s="279">
        <f>IF('🧾 Factura Comercial'!G225=0,0,'📦 Gastos Importación'!$E$28*(IF('🧾 Tributos Aduana'!$F$6=0,0,'🧾 Factura Comercial'!I225/'🧾 Tributos Aduana'!$F$6))/'🧾 Factura Comercial'!G225)</f>
        <v>0</v>
      </c>
      <c r="AH221" s="279">
        <f>TABLA_BASE[[#This Row],[GASTOS IMP.
UNIT.(US$)]]*TABLA_BASE[[#This Row],[CANTIDAD
(unid.)]]</f>
        <v>0</v>
      </c>
      <c r="AI221" s="281">
        <f>TABLA_BASE[[#This Row],[GASTOS IMP.
UNIT.(US$)]]*'📋 Datos Generales'!$E$19</f>
        <v>0</v>
      </c>
      <c r="AJ221" s="281">
        <f>TABLA_BASE[[#This Row],[GASTOS IMP.
UNIT.(S/.)]]*TABLA_BASE[[#This Row],[CANTIDAD
(unid.)]]</f>
        <v>0</v>
      </c>
      <c r="AK221" s="280">
        <f>'🧮 Costos x Producto'!J225</f>
        <v>0</v>
      </c>
      <c r="AL221" s="278">
        <f>'🧮 Costos x Producto'!K225</f>
        <v>0</v>
      </c>
      <c r="AM221" s="278">
        <f>TABLA_BASE[[#This Row],[C/M UNIT.
(S/.)]]*TABLA_BASE[[#This Row],[CANTIDAD
(unid.)]]</f>
        <v>0</v>
      </c>
      <c r="AN221" s="279">
        <f>IF('🧾 Factura Comercial'!G225=0,0,'🧾 Tributos Aduana'!$F$17*(IF('🧾 Tributos Aduana'!$F$6=0,0,'🧾 Factura Comercial'!I225/'🧾 Tributos Aduana'!$F$6))/'🧾 Factura Comercial'!G225)</f>
        <v>0</v>
      </c>
      <c r="AO221" s="280">
        <f>IF('🧾 Factura Comercial'!G225=0,0,'🏦 Crédito Fiscal'!$C$16*(IF('🧾 Tributos Aduana'!$F$6=0,0,'🧾 Factura Comercial'!I225/'🧾 Tributos Aduana'!$F$6))/'🧾 Factura Comercial'!G225)</f>
        <v>0</v>
      </c>
      <c r="AP221" s="278">
        <f>TABLA_BASE[[#This Row],[CF UNIT.
✅RECUP.
(US$)]]*'📋 Datos Generales'!$E$19</f>
        <v>0</v>
      </c>
      <c r="AQ221" s="278">
        <f>TABLA_BASE[[#This Row],[CF UNIT.
✅RECUP.(S/.)]]*TABLA_BASE[[#This Row],[CANTIDAD
(unid.)]]</f>
        <v>0</v>
      </c>
      <c r="AR221" s="288">
        <f>'💰 Precio de Venta'!G226</f>
        <v>0.4</v>
      </c>
      <c r="AS221" s="278">
        <f>'💰 Precio de Venta'!H226</f>
        <v>0</v>
      </c>
      <c r="AT221" s="278">
        <f>TABLA_BASE[[#This Row],[VALOR VTA.
UNIT.(S/.)]]*TABLA_BASE[[#This Row],[CANTIDAD
(unid.)]]</f>
        <v>0</v>
      </c>
      <c r="AU221" s="281">
        <f>'💰 Precio de Venta'!I226</f>
        <v>0</v>
      </c>
      <c r="AV221" s="278">
        <f>'💰 Precio de Venta'!J226</f>
        <v>0</v>
      </c>
      <c r="AW221" s="278">
        <f>TABLA_BASE[[#This Row],[GANANCIA
UNIT.(S/.)]]*TABLA_BASE[[#This Row],[CANTIDAD
(unid.)]]</f>
        <v>0</v>
      </c>
      <c r="AX221" s="289">
        <f>'💰 Precio de Venta'!K226</f>
        <v>0</v>
      </c>
      <c r="AY221" s="278">
        <f>TABLA_BASE[[#This Row],[GANANCIA
UNIT.(S/.)]]*'🧾 Factura Comercial'!G225</f>
        <v>0</v>
      </c>
      <c r="AZ221" s="277">
        <f>IF(TABLA_BASE[[#This Row],[PRECIO VTA.
c/IGV(S/.)]]=0,0,TABLA_BASE[[#This Row],[GANANCIA
UNIT.(S/.)]]/TABLA_BASE[[#This Row],[PRECIO VTA.
c/IGV(S/.)]])</f>
        <v>0</v>
      </c>
      <c r="BA221" s="277">
        <f>IF(TABLA_BASE[[#This Row],[C/M UNIT.
(S/.)]]=0,0,TABLA_BASE[[#This Row],[GANANCIA
UNIT.(S/.)]]/TABLA_BASE[[#This Row],[C/M UNIT.
(S/.)]])</f>
        <v>0</v>
      </c>
      <c r="BB221" s="274" t="str">
        <f>IF(TABLA_BASE[[#This Row],[MARGEN
%]]&gt;=0.5,"🟢 ALTO",IF(TABLA_BASE[[#This Row],[MARGEN
%]]&gt;=0.3,"🟡 MEDIO","🔴 BAJO"))</f>
        <v>🟡 MEDIO</v>
      </c>
    </row>
    <row r="222" spans="1:54" ht="16.5" hidden="1" thickTop="1" thickBot="1" x14ac:dyDescent="0.3">
      <c r="A222" s="274">
        <f>'🧾 Factura Comercial'!E226</f>
        <v>0</v>
      </c>
      <c r="B222" s="274" t="str">
        <f>'🧾 Factura Comercial'!F226</f>
        <v>Unid.</v>
      </c>
      <c r="C222" s="275">
        <f>'🧾 Factura Comercial'!G226</f>
        <v>0</v>
      </c>
      <c r="D222" s="276">
        <f>'🧾 Factura Comercial'!H226</f>
        <v>0</v>
      </c>
      <c r="E222" s="276">
        <f>'🧾 Factura Comercial'!I226</f>
        <v>0</v>
      </c>
      <c r="F222" s="277">
        <f>IF('🧾 Tributos Aduana'!$F$6=0,0,'🧾 Factura Comercial'!I226/'🧾 Tributos Aduana'!$F$6)</f>
        <v>0</v>
      </c>
      <c r="G222" s="278">
        <f>'🧾 Factura Comercial'!H226*'📋 Datos Generales'!$E$19</f>
        <v>0</v>
      </c>
      <c r="H222" s="278">
        <f>TABLA_BASE[[#This Row],[FOB UNIT.
(S/.)]]*TABLA_BASE[[#This Row],[CANTIDAD
(unid.)]]</f>
        <v>0</v>
      </c>
      <c r="I222" s="280">
        <f>IF('🧾 Tributos Aduana'!$F$6=0,0,'🧾 Tributos Aduana'!$F$17*('🧾 Factura Comercial'!H226/'🧾 Tributos Aduana'!$F$6))</f>
        <v>0</v>
      </c>
      <c r="J222" s="280">
        <f>TABLA_BASE[[#This Row],[ADV UNIT.
(US$)
⚠️COSTO]]*TABLA_BASE[[#This Row],[CANTIDAD
(unid.)]]</f>
        <v>0</v>
      </c>
      <c r="K222" s="279">
        <f>IF('🧾 Tributos Aduana'!$F$6=0,0,'🧾 Tributos Aduana'!$F$18*('🧾 Factura Comercial'!H226/'🧾 Tributos Aduana'!$F$6))</f>
        <v>0</v>
      </c>
      <c r="L222" s="280">
        <f>TABLA_BASE[[#This Row],[IPM UNIT.
(US$)
✅CF]]*TABLA_BASE[[#This Row],[CANTIDAD
(unid.)]]</f>
        <v>0</v>
      </c>
      <c r="M222" s="279">
        <f>IF('🧾 Tributos Aduana'!$F$6=0,0,'🧾 Tributos Aduana'!$F$19*('🧾 Factura Comercial'!H226/'🧾 Tributos Aduana'!$F$6))</f>
        <v>0</v>
      </c>
      <c r="N222" s="280">
        <f>TABLA_BASE[[#This Row],[IGV UNIT.
(US$)
✅CF]]*TABLA_BASE[[#This Row],[CANTIDAD
(unid.)]]</f>
        <v>0</v>
      </c>
      <c r="O222" s="280">
        <f>IF('🧾 Tributos Aduana'!$F$6=0,0,'🧾 Tributos Aduana'!$F$23*('🧾 Factura Comercial'!H226/'🧾 Tributos Aduana'!$F$6))</f>
        <v>0</v>
      </c>
      <c r="P222" s="280">
        <f>TABLA_BASE[[#This Row],[PERCEP.
UNIT.(US$)
✅CF]]*TABLA_BASE[[#This Row],[CANTIDAD
(unid.)]]</f>
        <v>0</v>
      </c>
      <c r="Q222" s="279">
        <f>TABLA_BASE[[#This Row],[ADV UNIT.
(US$)
⚠️COSTO]]+TABLA_BASE[[#This Row],[IPM UNIT.
(US$)
✅CF]]+TABLA_BASE[[#This Row],[IGV UNIT.
(US$)
✅CF]]</f>
        <v>0</v>
      </c>
      <c r="R222" s="280">
        <f>TABLA_BASE[[#This Row],[DEUDA
ADUANERA
UNIT.]]*TABLA_BASE[[#This Row],[CANTIDAD
(unid.)]]</f>
        <v>0</v>
      </c>
      <c r="S222" s="278">
        <f>TABLA_BASE[[#This Row],[DEUDA
ADUANERA
UNIT.]]*'📋 Datos Generales'!$E$19</f>
        <v>0</v>
      </c>
      <c r="T222" s="278">
        <f>TABLA_BASE[[#This Row],[DEUDA
ADUANERA
TOTAL]]*'📋 Datos Generales'!$E$19</f>
        <v>0</v>
      </c>
      <c r="U222" s="281">
        <f>TABLA_BASE[[#This Row],[ADV UNIT.
(US$)
⚠️COSTO]]*'📋 Datos Generales'!$E$19</f>
        <v>0</v>
      </c>
      <c r="V222" s="281">
        <f>TABLA_BASE[[#This Row],[ADV UNIT.
(S/.)]]*TABLA_BASE[[#This Row],[CANTIDAD
(unid.)]]</f>
        <v>0</v>
      </c>
      <c r="W222" s="281">
        <f>TABLA_BASE[[#This Row],[IPM UNIT.
(US$)
✅CF]]*'📋 Datos Generales'!$E$19</f>
        <v>0</v>
      </c>
      <c r="X222" s="281">
        <f>TABLA_BASE[[#This Row],[IPM UNIT.
(S/.)]]*TABLA_BASE[[#This Row],[CANTIDAD
(unid.)]]</f>
        <v>0</v>
      </c>
      <c r="Y222" s="281">
        <f>TABLA_BASE[[#This Row],[IGV UNIT.
(US$)
✅CF]]*'📋 Datos Generales'!$E$19</f>
        <v>0</v>
      </c>
      <c r="Z222" s="281">
        <f>TABLA_BASE[[#This Row],[IGV UNIT.
(S/.)]]*TABLA_BASE[[#This Row],[CANTIDAD
(unid.)]]</f>
        <v>0</v>
      </c>
      <c r="AA222" s="281">
        <f>TABLA_BASE[[#This Row],[PERCEP.
UNIT.(US$)
✅CF]]*'📋 Datos Generales'!$E$19</f>
        <v>0</v>
      </c>
      <c r="AB222" s="281">
        <f>TABLA_BASE[[#This Row],[PERCEP.
UNIT.(S/.)]]*TABLA_BASE[[#This Row],[CANTIDAD
(unid.)]]</f>
        <v>0</v>
      </c>
      <c r="AC222" s="279">
        <f>TABLA_BASE[[#This Row],[ADV UNIT.
(US$)
⚠️COSTO]]+TABLA_BASE[[#This Row],[IPM UNIT.
(US$)
✅CF]]+TABLA_BASE[[#This Row],[IGV UNIT.
(US$)
✅CF]]+TABLA_BASE[[#This Row],[PERCEP.
UNIT.(US$)
✅CF]]</f>
        <v>0</v>
      </c>
      <c r="AD222" s="279">
        <f>TABLA_BASE[[#This Row],[TOTAL PAGO
SUNAT
UNIT.(US$)]]*TABLA_BASE[[#This Row],[CANTIDAD
(unid.)]]</f>
        <v>0</v>
      </c>
      <c r="AE222" s="281">
        <f>TABLA_BASE[[#This Row],[TOTAL PAGO
SUNAT
UNIT.(US$)]]*'📋 Datos Generales'!$E$19</f>
        <v>0</v>
      </c>
      <c r="AF222" s="281">
        <f>TABLA_BASE[[#This Row],[TOTAL TRIB.
UNIT.(S/.)]]*TABLA_BASE[[#This Row],[CANTIDAD
(unid.)]]</f>
        <v>0</v>
      </c>
      <c r="AG222" s="279">
        <f>IF('🧾 Factura Comercial'!G226=0,0,'📦 Gastos Importación'!$E$28*(IF('🧾 Tributos Aduana'!$F$6=0,0,'🧾 Factura Comercial'!I226/'🧾 Tributos Aduana'!$F$6))/'🧾 Factura Comercial'!G226)</f>
        <v>0</v>
      </c>
      <c r="AH222" s="279">
        <f>TABLA_BASE[[#This Row],[GASTOS IMP.
UNIT.(US$)]]*TABLA_BASE[[#This Row],[CANTIDAD
(unid.)]]</f>
        <v>0</v>
      </c>
      <c r="AI222" s="281">
        <f>TABLA_BASE[[#This Row],[GASTOS IMP.
UNIT.(US$)]]*'📋 Datos Generales'!$E$19</f>
        <v>0</v>
      </c>
      <c r="AJ222" s="281">
        <f>TABLA_BASE[[#This Row],[GASTOS IMP.
UNIT.(S/.)]]*TABLA_BASE[[#This Row],[CANTIDAD
(unid.)]]</f>
        <v>0</v>
      </c>
      <c r="AK222" s="280">
        <f>'🧮 Costos x Producto'!J226</f>
        <v>0</v>
      </c>
      <c r="AL222" s="278">
        <f>'🧮 Costos x Producto'!K226</f>
        <v>0</v>
      </c>
      <c r="AM222" s="278">
        <f>TABLA_BASE[[#This Row],[C/M UNIT.
(S/.)]]*TABLA_BASE[[#This Row],[CANTIDAD
(unid.)]]</f>
        <v>0</v>
      </c>
      <c r="AN222" s="279">
        <f>IF('🧾 Factura Comercial'!G226=0,0,'🧾 Tributos Aduana'!$F$17*(IF('🧾 Tributos Aduana'!$F$6=0,0,'🧾 Factura Comercial'!I226/'🧾 Tributos Aduana'!$F$6))/'🧾 Factura Comercial'!G226)</f>
        <v>0</v>
      </c>
      <c r="AO222" s="280">
        <f>IF('🧾 Factura Comercial'!G226=0,0,'🏦 Crédito Fiscal'!$C$16*(IF('🧾 Tributos Aduana'!$F$6=0,0,'🧾 Factura Comercial'!I226/'🧾 Tributos Aduana'!$F$6))/'🧾 Factura Comercial'!G226)</f>
        <v>0</v>
      </c>
      <c r="AP222" s="278">
        <f>TABLA_BASE[[#This Row],[CF UNIT.
✅RECUP.
(US$)]]*'📋 Datos Generales'!$E$19</f>
        <v>0</v>
      </c>
      <c r="AQ222" s="278">
        <f>TABLA_BASE[[#This Row],[CF UNIT.
✅RECUP.(S/.)]]*TABLA_BASE[[#This Row],[CANTIDAD
(unid.)]]</f>
        <v>0</v>
      </c>
      <c r="AR222" s="288">
        <f>'💰 Precio de Venta'!G227</f>
        <v>0.4</v>
      </c>
      <c r="AS222" s="278">
        <f>'💰 Precio de Venta'!H227</f>
        <v>0</v>
      </c>
      <c r="AT222" s="278">
        <f>TABLA_BASE[[#This Row],[VALOR VTA.
UNIT.(S/.)]]*TABLA_BASE[[#This Row],[CANTIDAD
(unid.)]]</f>
        <v>0</v>
      </c>
      <c r="AU222" s="281">
        <f>'💰 Precio de Venta'!I227</f>
        <v>0</v>
      </c>
      <c r="AV222" s="278">
        <f>'💰 Precio de Venta'!J227</f>
        <v>0</v>
      </c>
      <c r="AW222" s="278">
        <f>TABLA_BASE[[#This Row],[GANANCIA
UNIT.(S/.)]]*TABLA_BASE[[#This Row],[CANTIDAD
(unid.)]]</f>
        <v>0</v>
      </c>
      <c r="AX222" s="289">
        <f>'💰 Precio de Venta'!K227</f>
        <v>0</v>
      </c>
      <c r="AY222" s="278">
        <f>TABLA_BASE[[#This Row],[GANANCIA
UNIT.(S/.)]]*'🧾 Factura Comercial'!G226</f>
        <v>0</v>
      </c>
      <c r="AZ222" s="277">
        <f>IF(TABLA_BASE[[#This Row],[PRECIO VTA.
c/IGV(S/.)]]=0,0,TABLA_BASE[[#This Row],[GANANCIA
UNIT.(S/.)]]/TABLA_BASE[[#This Row],[PRECIO VTA.
c/IGV(S/.)]])</f>
        <v>0</v>
      </c>
      <c r="BA222" s="277">
        <f>IF(TABLA_BASE[[#This Row],[C/M UNIT.
(S/.)]]=0,0,TABLA_BASE[[#This Row],[GANANCIA
UNIT.(S/.)]]/TABLA_BASE[[#This Row],[C/M UNIT.
(S/.)]])</f>
        <v>0</v>
      </c>
      <c r="BB222" s="274" t="str">
        <f>IF(TABLA_BASE[[#This Row],[MARGEN
%]]&gt;=0.5,"🟢 ALTO",IF(TABLA_BASE[[#This Row],[MARGEN
%]]&gt;=0.3,"🟡 MEDIO","🔴 BAJO"))</f>
        <v>🟡 MEDIO</v>
      </c>
    </row>
    <row r="223" spans="1:54" ht="16.5" hidden="1" thickTop="1" thickBot="1" x14ac:dyDescent="0.3">
      <c r="A223" s="274">
        <f>'🧾 Factura Comercial'!E227</f>
        <v>0</v>
      </c>
      <c r="B223" s="274" t="str">
        <f>'🧾 Factura Comercial'!F227</f>
        <v>Unid.</v>
      </c>
      <c r="C223" s="275">
        <f>'🧾 Factura Comercial'!G227</f>
        <v>0</v>
      </c>
      <c r="D223" s="276">
        <f>'🧾 Factura Comercial'!H227</f>
        <v>0</v>
      </c>
      <c r="E223" s="276">
        <f>'🧾 Factura Comercial'!I227</f>
        <v>0</v>
      </c>
      <c r="F223" s="277">
        <f>IF('🧾 Tributos Aduana'!$F$6=0,0,'🧾 Factura Comercial'!I227/'🧾 Tributos Aduana'!$F$6)</f>
        <v>0</v>
      </c>
      <c r="G223" s="278">
        <f>'🧾 Factura Comercial'!H227*'📋 Datos Generales'!$E$19</f>
        <v>0</v>
      </c>
      <c r="H223" s="278">
        <f>TABLA_BASE[[#This Row],[FOB UNIT.
(S/.)]]*TABLA_BASE[[#This Row],[CANTIDAD
(unid.)]]</f>
        <v>0</v>
      </c>
      <c r="I223" s="280">
        <f>IF('🧾 Tributos Aduana'!$F$6=0,0,'🧾 Tributos Aduana'!$F$17*('🧾 Factura Comercial'!H227/'🧾 Tributos Aduana'!$F$6))</f>
        <v>0</v>
      </c>
      <c r="J223" s="280">
        <f>TABLA_BASE[[#This Row],[ADV UNIT.
(US$)
⚠️COSTO]]*TABLA_BASE[[#This Row],[CANTIDAD
(unid.)]]</f>
        <v>0</v>
      </c>
      <c r="K223" s="279">
        <f>IF('🧾 Tributos Aduana'!$F$6=0,0,'🧾 Tributos Aduana'!$F$18*('🧾 Factura Comercial'!H227/'🧾 Tributos Aduana'!$F$6))</f>
        <v>0</v>
      </c>
      <c r="L223" s="280">
        <f>TABLA_BASE[[#This Row],[IPM UNIT.
(US$)
✅CF]]*TABLA_BASE[[#This Row],[CANTIDAD
(unid.)]]</f>
        <v>0</v>
      </c>
      <c r="M223" s="279">
        <f>IF('🧾 Tributos Aduana'!$F$6=0,0,'🧾 Tributos Aduana'!$F$19*('🧾 Factura Comercial'!H227/'🧾 Tributos Aduana'!$F$6))</f>
        <v>0</v>
      </c>
      <c r="N223" s="280">
        <f>TABLA_BASE[[#This Row],[IGV UNIT.
(US$)
✅CF]]*TABLA_BASE[[#This Row],[CANTIDAD
(unid.)]]</f>
        <v>0</v>
      </c>
      <c r="O223" s="280">
        <f>IF('🧾 Tributos Aduana'!$F$6=0,0,'🧾 Tributos Aduana'!$F$23*('🧾 Factura Comercial'!H227/'🧾 Tributos Aduana'!$F$6))</f>
        <v>0</v>
      </c>
      <c r="P223" s="280">
        <f>TABLA_BASE[[#This Row],[PERCEP.
UNIT.(US$)
✅CF]]*TABLA_BASE[[#This Row],[CANTIDAD
(unid.)]]</f>
        <v>0</v>
      </c>
      <c r="Q223" s="279">
        <f>TABLA_BASE[[#This Row],[ADV UNIT.
(US$)
⚠️COSTO]]+TABLA_BASE[[#This Row],[IPM UNIT.
(US$)
✅CF]]+TABLA_BASE[[#This Row],[IGV UNIT.
(US$)
✅CF]]</f>
        <v>0</v>
      </c>
      <c r="R223" s="280">
        <f>TABLA_BASE[[#This Row],[DEUDA
ADUANERA
UNIT.]]*TABLA_BASE[[#This Row],[CANTIDAD
(unid.)]]</f>
        <v>0</v>
      </c>
      <c r="S223" s="278">
        <f>TABLA_BASE[[#This Row],[DEUDA
ADUANERA
UNIT.]]*'📋 Datos Generales'!$E$19</f>
        <v>0</v>
      </c>
      <c r="T223" s="278">
        <f>TABLA_BASE[[#This Row],[DEUDA
ADUANERA
TOTAL]]*'📋 Datos Generales'!$E$19</f>
        <v>0</v>
      </c>
      <c r="U223" s="281">
        <f>TABLA_BASE[[#This Row],[ADV UNIT.
(US$)
⚠️COSTO]]*'📋 Datos Generales'!$E$19</f>
        <v>0</v>
      </c>
      <c r="V223" s="281">
        <f>TABLA_BASE[[#This Row],[ADV UNIT.
(S/.)]]*TABLA_BASE[[#This Row],[CANTIDAD
(unid.)]]</f>
        <v>0</v>
      </c>
      <c r="W223" s="281">
        <f>TABLA_BASE[[#This Row],[IPM UNIT.
(US$)
✅CF]]*'📋 Datos Generales'!$E$19</f>
        <v>0</v>
      </c>
      <c r="X223" s="281">
        <f>TABLA_BASE[[#This Row],[IPM UNIT.
(S/.)]]*TABLA_BASE[[#This Row],[CANTIDAD
(unid.)]]</f>
        <v>0</v>
      </c>
      <c r="Y223" s="281">
        <f>TABLA_BASE[[#This Row],[IGV UNIT.
(US$)
✅CF]]*'📋 Datos Generales'!$E$19</f>
        <v>0</v>
      </c>
      <c r="Z223" s="281">
        <f>TABLA_BASE[[#This Row],[IGV UNIT.
(S/.)]]*TABLA_BASE[[#This Row],[CANTIDAD
(unid.)]]</f>
        <v>0</v>
      </c>
      <c r="AA223" s="281">
        <f>TABLA_BASE[[#This Row],[PERCEP.
UNIT.(US$)
✅CF]]*'📋 Datos Generales'!$E$19</f>
        <v>0</v>
      </c>
      <c r="AB223" s="281">
        <f>TABLA_BASE[[#This Row],[PERCEP.
UNIT.(S/.)]]*TABLA_BASE[[#This Row],[CANTIDAD
(unid.)]]</f>
        <v>0</v>
      </c>
      <c r="AC223" s="279">
        <f>TABLA_BASE[[#This Row],[ADV UNIT.
(US$)
⚠️COSTO]]+TABLA_BASE[[#This Row],[IPM UNIT.
(US$)
✅CF]]+TABLA_BASE[[#This Row],[IGV UNIT.
(US$)
✅CF]]+TABLA_BASE[[#This Row],[PERCEP.
UNIT.(US$)
✅CF]]</f>
        <v>0</v>
      </c>
      <c r="AD223" s="279">
        <f>TABLA_BASE[[#This Row],[TOTAL PAGO
SUNAT
UNIT.(US$)]]*TABLA_BASE[[#This Row],[CANTIDAD
(unid.)]]</f>
        <v>0</v>
      </c>
      <c r="AE223" s="281">
        <f>TABLA_BASE[[#This Row],[TOTAL PAGO
SUNAT
UNIT.(US$)]]*'📋 Datos Generales'!$E$19</f>
        <v>0</v>
      </c>
      <c r="AF223" s="281">
        <f>TABLA_BASE[[#This Row],[TOTAL TRIB.
UNIT.(S/.)]]*TABLA_BASE[[#This Row],[CANTIDAD
(unid.)]]</f>
        <v>0</v>
      </c>
      <c r="AG223" s="279">
        <f>IF('🧾 Factura Comercial'!G227=0,0,'📦 Gastos Importación'!$E$28*(IF('🧾 Tributos Aduana'!$F$6=0,0,'🧾 Factura Comercial'!I227/'🧾 Tributos Aduana'!$F$6))/'🧾 Factura Comercial'!G227)</f>
        <v>0</v>
      </c>
      <c r="AH223" s="279">
        <f>TABLA_BASE[[#This Row],[GASTOS IMP.
UNIT.(US$)]]*TABLA_BASE[[#This Row],[CANTIDAD
(unid.)]]</f>
        <v>0</v>
      </c>
      <c r="AI223" s="281">
        <f>TABLA_BASE[[#This Row],[GASTOS IMP.
UNIT.(US$)]]*'📋 Datos Generales'!$E$19</f>
        <v>0</v>
      </c>
      <c r="AJ223" s="281">
        <f>TABLA_BASE[[#This Row],[GASTOS IMP.
UNIT.(S/.)]]*TABLA_BASE[[#This Row],[CANTIDAD
(unid.)]]</f>
        <v>0</v>
      </c>
      <c r="AK223" s="280">
        <f>'🧮 Costos x Producto'!J227</f>
        <v>0</v>
      </c>
      <c r="AL223" s="278">
        <f>'🧮 Costos x Producto'!K227</f>
        <v>0</v>
      </c>
      <c r="AM223" s="278">
        <f>TABLA_BASE[[#This Row],[C/M UNIT.
(S/.)]]*TABLA_BASE[[#This Row],[CANTIDAD
(unid.)]]</f>
        <v>0</v>
      </c>
      <c r="AN223" s="279">
        <f>IF('🧾 Factura Comercial'!G227=0,0,'🧾 Tributos Aduana'!$F$17*(IF('🧾 Tributos Aduana'!$F$6=0,0,'🧾 Factura Comercial'!I227/'🧾 Tributos Aduana'!$F$6))/'🧾 Factura Comercial'!G227)</f>
        <v>0</v>
      </c>
      <c r="AO223" s="280">
        <f>IF('🧾 Factura Comercial'!G227=0,0,'🏦 Crédito Fiscal'!$C$16*(IF('🧾 Tributos Aduana'!$F$6=0,0,'🧾 Factura Comercial'!I227/'🧾 Tributos Aduana'!$F$6))/'🧾 Factura Comercial'!G227)</f>
        <v>0</v>
      </c>
      <c r="AP223" s="278">
        <f>TABLA_BASE[[#This Row],[CF UNIT.
✅RECUP.
(US$)]]*'📋 Datos Generales'!$E$19</f>
        <v>0</v>
      </c>
      <c r="AQ223" s="278">
        <f>TABLA_BASE[[#This Row],[CF UNIT.
✅RECUP.(S/.)]]*TABLA_BASE[[#This Row],[CANTIDAD
(unid.)]]</f>
        <v>0</v>
      </c>
      <c r="AR223" s="288">
        <f>'💰 Precio de Venta'!G228</f>
        <v>0.4</v>
      </c>
      <c r="AS223" s="278">
        <f>'💰 Precio de Venta'!H228</f>
        <v>0</v>
      </c>
      <c r="AT223" s="278">
        <f>TABLA_BASE[[#This Row],[VALOR VTA.
UNIT.(S/.)]]*TABLA_BASE[[#This Row],[CANTIDAD
(unid.)]]</f>
        <v>0</v>
      </c>
      <c r="AU223" s="281">
        <f>'💰 Precio de Venta'!I228</f>
        <v>0</v>
      </c>
      <c r="AV223" s="278">
        <f>'💰 Precio de Venta'!J228</f>
        <v>0</v>
      </c>
      <c r="AW223" s="278">
        <f>TABLA_BASE[[#This Row],[GANANCIA
UNIT.(S/.)]]*TABLA_BASE[[#This Row],[CANTIDAD
(unid.)]]</f>
        <v>0</v>
      </c>
      <c r="AX223" s="289">
        <f>'💰 Precio de Venta'!K228</f>
        <v>0</v>
      </c>
      <c r="AY223" s="278">
        <f>TABLA_BASE[[#This Row],[GANANCIA
UNIT.(S/.)]]*'🧾 Factura Comercial'!G227</f>
        <v>0</v>
      </c>
      <c r="AZ223" s="277">
        <f>IF(TABLA_BASE[[#This Row],[PRECIO VTA.
c/IGV(S/.)]]=0,0,TABLA_BASE[[#This Row],[GANANCIA
UNIT.(S/.)]]/TABLA_BASE[[#This Row],[PRECIO VTA.
c/IGV(S/.)]])</f>
        <v>0</v>
      </c>
      <c r="BA223" s="277">
        <f>IF(TABLA_BASE[[#This Row],[C/M UNIT.
(S/.)]]=0,0,TABLA_BASE[[#This Row],[GANANCIA
UNIT.(S/.)]]/TABLA_BASE[[#This Row],[C/M UNIT.
(S/.)]])</f>
        <v>0</v>
      </c>
      <c r="BB223" s="274" t="str">
        <f>IF(TABLA_BASE[[#This Row],[MARGEN
%]]&gt;=0.5,"🟢 ALTO",IF(TABLA_BASE[[#This Row],[MARGEN
%]]&gt;=0.3,"🟡 MEDIO","🔴 BAJO"))</f>
        <v>🟡 MEDIO</v>
      </c>
    </row>
    <row r="224" spans="1:54" ht="16.5" hidden="1" thickTop="1" thickBot="1" x14ac:dyDescent="0.3">
      <c r="A224" s="274">
        <f>'🧾 Factura Comercial'!E228</f>
        <v>0</v>
      </c>
      <c r="B224" s="274" t="str">
        <f>'🧾 Factura Comercial'!F228</f>
        <v>Unid.</v>
      </c>
      <c r="C224" s="275">
        <f>'🧾 Factura Comercial'!G228</f>
        <v>0</v>
      </c>
      <c r="D224" s="276">
        <f>'🧾 Factura Comercial'!H228</f>
        <v>0</v>
      </c>
      <c r="E224" s="276">
        <f>'🧾 Factura Comercial'!I228</f>
        <v>0</v>
      </c>
      <c r="F224" s="277">
        <f>IF('🧾 Tributos Aduana'!$F$6=0,0,'🧾 Factura Comercial'!I228/'🧾 Tributos Aduana'!$F$6)</f>
        <v>0</v>
      </c>
      <c r="G224" s="278">
        <f>'🧾 Factura Comercial'!H228*'📋 Datos Generales'!$E$19</f>
        <v>0</v>
      </c>
      <c r="H224" s="278">
        <f>TABLA_BASE[[#This Row],[FOB UNIT.
(S/.)]]*TABLA_BASE[[#This Row],[CANTIDAD
(unid.)]]</f>
        <v>0</v>
      </c>
      <c r="I224" s="280">
        <f>IF('🧾 Tributos Aduana'!$F$6=0,0,'🧾 Tributos Aduana'!$F$17*('🧾 Factura Comercial'!H228/'🧾 Tributos Aduana'!$F$6))</f>
        <v>0</v>
      </c>
      <c r="J224" s="280">
        <f>TABLA_BASE[[#This Row],[ADV UNIT.
(US$)
⚠️COSTO]]*TABLA_BASE[[#This Row],[CANTIDAD
(unid.)]]</f>
        <v>0</v>
      </c>
      <c r="K224" s="279">
        <f>IF('🧾 Tributos Aduana'!$F$6=0,0,'🧾 Tributos Aduana'!$F$18*('🧾 Factura Comercial'!H228/'🧾 Tributos Aduana'!$F$6))</f>
        <v>0</v>
      </c>
      <c r="L224" s="280">
        <f>TABLA_BASE[[#This Row],[IPM UNIT.
(US$)
✅CF]]*TABLA_BASE[[#This Row],[CANTIDAD
(unid.)]]</f>
        <v>0</v>
      </c>
      <c r="M224" s="279">
        <f>IF('🧾 Tributos Aduana'!$F$6=0,0,'🧾 Tributos Aduana'!$F$19*('🧾 Factura Comercial'!H228/'🧾 Tributos Aduana'!$F$6))</f>
        <v>0</v>
      </c>
      <c r="N224" s="280">
        <f>TABLA_BASE[[#This Row],[IGV UNIT.
(US$)
✅CF]]*TABLA_BASE[[#This Row],[CANTIDAD
(unid.)]]</f>
        <v>0</v>
      </c>
      <c r="O224" s="280">
        <f>IF('🧾 Tributos Aduana'!$F$6=0,0,'🧾 Tributos Aduana'!$F$23*('🧾 Factura Comercial'!H228/'🧾 Tributos Aduana'!$F$6))</f>
        <v>0</v>
      </c>
      <c r="P224" s="280">
        <f>TABLA_BASE[[#This Row],[PERCEP.
UNIT.(US$)
✅CF]]*TABLA_BASE[[#This Row],[CANTIDAD
(unid.)]]</f>
        <v>0</v>
      </c>
      <c r="Q224" s="279">
        <f>TABLA_BASE[[#This Row],[ADV UNIT.
(US$)
⚠️COSTO]]+TABLA_BASE[[#This Row],[IPM UNIT.
(US$)
✅CF]]+TABLA_BASE[[#This Row],[IGV UNIT.
(US$)
✅CF]]</f>
        <v>0</v>
      </c>
      <c r="R224" s="280">
        <f>TABLA_BASE[[#This Row],[DEUDA
ADUANERA
UNIT.]]*TABLA_BASE[[#This Row],[CANTIDAD
(unid.)]]</f>
        <v>0</v>
      </c>
      <c r="S224" s="278">
        <f>TABLA_BASE[[#This Row],[DEUDA
ADUANERA
UNIT.]]*'📋 Datos Generales'!$E$19</f>
        <v>0</v>
      </c>
      <c r="T224" s="278">
        <f>TABLA_BASE[[#This Row],[DEUDA
ADUANERA
TOTAL]]*'📋 Datos Generales'!$E$19</f>
        <v>0</v>
      </c>
      <c r="U224" s="281">
        <f>TABLA_BASE[[#This Row],[ADV UNIT.
(US$)
⚠️COSTO]]*'📋 Datos Generales'!$E$19</f>
        <v>0</v>
      </c>
      <c r="V224" s="281">
        <f>TABLA_BASE[[#This Row],[ADV UNIT.
(S/.)]]*TABLA_BASE[[#This Row],[CANTIDAD
(unid.)]]</f>
        <v>0</v>
      </c>
      <c r="W224" s="281">
        <f>TABLA_BASE[[#This Row],[IPM UNIT.
(US$)
✅CF]]*'📋 Datos Generales'!$E$19</f>
        <v>0</v>
      </c>
      <c r="X224" s="281">
        <f>TABLA_BASE[[#This Row],[IPM UNIT.
(S/.)]]*TABLA_BASE[[#This Row],[CANTIDAD
(unid.)]]</f>
        <v>0</v>
      </c>
      <c r="Y224" s="281">
        <f>TABLA_BASE[[#This Row],[IGV UNIT.
(US$)
✅CF]]*'📋 Datos Generales'!$E$19</f>
        <v>0</v>
      </c>
      <c r="Z224" s="281">
        <f>TABLA_BASE[[#This Row],[IGV UNIT.
(S/.)]]*TABLA_BASE[[#This Row],[CANTIDAD
(unid.)]]</f>
        <v>0</v>
      </c>
      <c r="AA224" s="281">
        <f>TABLA_BASE[[#This Row],[PERCEP.
UNIT.(US$)
✅CF]]*'📋 Datos Generales'!$E$19</f>
        <v>0</v>
      </c>
      <c r="AB224" s="281">
        <f>TABLA_BASE[[#This Row],[PERCEP.
UNIT.(S/.)]]*TABLA_BASE[[#This Row],[CANTIDAD
(unid.)]]</f>
        <v>0</v>
      </c>
      <c r="AC224" s="279">
        <f>TABLA_BASE[[#This Row],[ADV UNIT.
(US$)
⚠️COSTO]]+TABLA_BASE[[#This Row],[IPM UNIT.
(US$)
✅CF]]+TABLA_BASE[[#This Row],[IGV UNIT.
(US$)
✅CF]]+TABLA_BASE[[#This Row],[PERCEP.
UNIT.(US$)
✅CF]]</f>
        <v>0</v>
      </c>
      <c r="AD224" s="279">
        <f>TABLA_BASE[[#This Row],[TOTAL PAGO
SUNAT
UNIT.(US$)]]*TABLA_BASE[[#This Row],[CANTIDAD
(unid.)]]</f>
        <v>0</v>
      </c>
      <c r="AE224" s="281">
        <f>TABLA_BASE[[#This Row],[TOTAL PAGO
SUNAT
UNIT.(US$)]]*'📋 Datos Generales'!$E$19</f>
        <v>0</v>
      </c>
      <c r="AF224" s="281">
        <f>TABLA_BASE[[#This Row],[TOTAL TRIB.
UNIT.(S/.)]]*TABLA_BASE[[#This Row],[CANTIDAD
(unid.)]]</f>
        <v>0</v>
      </c>
      <c r="AG224" s="279">
        <f>IF('🧾 Factura Comercial'!G228=0,0,'📦 Gastos Importación'!$E$28*(IF('🧾 Tributos Aduana'!$F$6=0,0,'🧾 Factura Comercial'!I228/'🧾 Tributos Aduana'!$F$6))/'🧾 Factura Comercial'!G228)</f>
        <v>0</v>
      </c>
      <c r="AH224" s="279">
        <f>TABLA_BASE[[#This Row],[GASTOS IMP.
UNIT.(US$)]]*TABLA_BASE[[#This Row],[CANTIDAD
(unid.)]]</f>
        <v>0</v>
      </c>
      <c r="AI224" s="281">
        <f>TABLA_BASE[[#This Row],[GASTOS IMP.
UNIT.(US$)]]*'📋 Datos Generales'!$E$19</f>
        <v>0</v>
      </c>
      <c r="AJ224" s="281">
        <f>TABLA_BASE[[#This Row],[GASTOS IMP.
UNIT.(S/.)]]*TABLA_BASE[[#This Row],[CANTIDAD
(unid.)]]</f>
        <v>0</v>
      </c>
      <c r="AK224" s="280">
        <f>'🧮 Costos x Producto'!J228</f>
        <v>0</v>
      </c>
      <c r="AL224" s="278">
        <f>'🧮 Costos x Producto'!K228</f>
        <v>0</v>
      </c>
      <c r="AM224" s="278">
        <f>TABLA_BASE[[#This Row],[C/M UNIT.
(S/.)]]*TABLA_BASE[[#This Row],[CANTIDAD
(unid.)]]</f>
        <v>0</v>
      </c>
      <c r="AN224" s="279">
        <f>IF('🧾 Factura Comercial'!G228=0,0,'🧾 Tributos Aduana'!$F$17*(IF('🧾 Tributos Aduana'!$F$6=0,0,'🧾 Factura Comercial'!I228/'🧾 Tributos Aduana'!$F$6))/'🧾 Factura Comercial'!G228)</f>
        <v>0</v>
      </c>
      <c r="AO224" s="280">
        <f>IF('🧾 Factura Comercial'!G228=0,0,'🏦 Crédito Fiscal'!$C$16*(IF('🧾 Tributos Aduana'!$F$6=0,0,'🧾 Factura Comercial'!I228/'🧾 Tributos Aduana'!$F$6))/'🧾 Factura Comercial'!G228)</f>
        <v>0</v>
      </c>
      <c r="AP224" s="278">
        <f>TABLA_BASE[[#This Row],[CF UNIT.
✅RECUP.
(US$)]]*'📋 Datos Generales'!$E$19</f>
        <v>0</v>
      </c>
      <c r="AQ224" s="278">
        <f>TABLA_BASE[[#This Row],[CF UNIT.
✅RECUP.(S/.)]]*TABLA_BASE[[#This Row],[CANTIDAD
(unid.)]]</f>
        <v>0</v>
      </c>
      <c r="AR224" s="288">
        <f>'💰 Precio de Venta'!G229</f>
        <v>0.4</v>
      </c>
      <c r="AS224" s="278">
        <f>'💰 Precio de Venta'!H229</f>
        <v>0</v>
      </c>
      <c r="AT224" s="278">
        <f>TABLA_BASE[[#This Row],[VALOR VTA.
UNIT.(S/.)]]*TABLA_BASE[[#This Row],[CANTIDAD
(unid.)]]</f>
        <v>0</v>
      </c>
      <c r="AU224" s="281">
        <f>'💰 Precio de Venta'!I229</f>
        <v>0</v>
      </c>
      <c r="AV224" s="278">
        <f>'💰 Precio de Venta'!J229</f>
        <v>0</v>
      </c>
      <c r="AW224" s="278">
        <f>TABLA_BASE[[#This Row],[GANANCIA
UNIT.(S/.)]]*TABLA_BASE[[#This Row],[CANTIDAD
(unid.)]]</f>
        <v>0</v>
      </c>
      <c r="AX224" s="289">
        <f>'💰 Precio de Venta'!K229</f>
        <v>0</v>
      </c>
      <c r="AY224" s="278">
        <f>TABLA_BASE[[#This Row],[GANANCIA
UNIT.(S/.)]]*'🧾 Factura Comercial'!G228</f>
        <v>0</v>
      </c>
      <c r="AZ224" s="277">
        <f>IF(TABLA_BASE[[#This Row],[PRECIO VTA.
c/IGV(S/.)]]=0,0,TABLA_BASE[[#This Row],[GANANCIA
UNIT.(S/.)]]/TABLA_BASE[[#This Row],[PRECIO VTA.
c/IGV(S/.)]])</f>
        <v>0</v>
      </c>
      <c r="BA224" s="277">
        <f>IF(TABLA_BASE[[#This Row],[C/M UNIT.
(S/.)]]=0,0,TABLA_BASE[[#This Row],[GANANCIA
UNIT.(S/.)]]/TABLA_BASE[[#This Row],[C/M UNIT.
(S/.)]])</f>
        <v>0</v>
      </c>
      <c r="BB224" s="274" t="str">
        <f>IF(TABLA_BASE[[#This Row],[MARGEN
%]]&gt;=0.5,"🟢 ALTO",IF(TABLA_BASE[[#This Row],[MARGEN
%]]&gt;=0.3,"🟡 MEDIO","🔴 BAJO"))</f>
        <v>🟡 MEDIO</v>
      </c>
    </row>
    <row r="225" spans="1:54" ht="16.5" hidden="1" thickTop="1" thickBot="1" x14ac:dyDescent="0.3">
      <c r="A225" s="274">
        <f>'🧾 Factura Comercial'!E229</f>
        <v>0</v>
      </c>
      <c r="B225" s="274" t="str">
        <f>'🧾 Factura Comercial'!F229</f>
        <v>Unid.</v>
      </c>
      <c r="C225" s="275">
        <f>'🧾 Factura Comercial'!G229</f>
        <v>0</v>
      </c>
      <c r="D225" s="276">
        <f>'🧾 Factura Comercial'!H229</f>
        <v>0</v>
      </c>
      <c r="E225" s="276">
        <f>'🧾 Factura Comercial'!I229</f>
        <v>0</v>
      </c>
      <c r="F225" s="277">
        <f>IF('🧾 Tributos Aduana'!$F$6=0,0,'🧾 Factura Comercial'!I229/'🧾 Tributos Aduana'!$F$6)</f>
        <v>0</v>
      </c>
      <c r="G225" s="278">
        <f>'🧾 Factura Comercial'!H229*'📋 Datos Generales'!$E$19</f>
        <v>0</v>
      </c>
      <c r="H225" s="278">
        <f>TABLA_BASE[[#This Row],[FOB UNIT.
(S/.)]]*TABLA_BASE[[#This Row],[CANTIDAD
(unid.)]]</f>
        <v>0</v>
      </c>
      <c r="I225" s="280">
        <f>IF('🧾 Tributos Aduana'!$F$6=0,0,'🧾 Tributos Aduana'!$F$17*('🧾 Factura Comercial'!H229/'🧾 Tributos Aduana'!$F$6))</f>
        <v>0</v>
      </c>
      <c r="J225" s="280">
        <f>TABLA_BASE[[#This Row],[ADV UNIT.
(US$)
⚠️COSTO]]*TABLA_BASE[[#This Row],[CANTIDAD
(unid.)]]</f>
        <v>0</v>
      </c>
      <c r="K225" s="279">
        <f>IF('🧾 Tributos Aduana'!$F$6=0,0,'🧾 Tributos Aduana'!$F$18*('🧾 Factura Comercial'!H229/'🧾 Tributos Aduana'!$F$6))</f>
        <v>0</v>
      </c>
      <c r="L225" s="280">
        <f>TABLA_BASE[[#This Row],[IPM UNIT.
(US$)
✅CF]]*TABLA_BASE[[#This Row],[CANTIDAD
(unid.)]]</f>
        <v>0</v>
      </c>
      <c r="M225" s="279">
        <f>IF('🧾 Tributos Aduana'!$F$6=0,0,'🧾 Tributos Aduana'!$F$19*('🧾 Factura Comercial'!H229/'🧾 Tributos Aduana'!$F$6))</f>
        <v>0</v>
      </c>
      <c r="N225" s="280">
        <f>TABLA_BASE[[#This Row],[IGV UNIT.
(US$)
✅CF]]*TABLA_BASE[[#This Row],[CANTIDAD
(unid.)]]</f>
        <v>0</v>
      </c>
      <c r="O225" s="280">
        <f>IF('🧾 Tributos Aduana'!$F$6=0,0,'🧾 Tributos Aduana'!$F$23*('🧾 Factura Comercial'!H229/'🧾 Tributos Aduana'!$F$6))</f>
        <v>0</v>
      </c>
      <c r="P225" s="280">
        <f>TABLA_BASE[[#This Row],[PERCEP.
UNIT.(US$)
✅CF]]*TABLA_BASE[[#This Row],[CANTIDAD
(unid.)]]</f>
        <v>0</v>
      </c>
      <c r="Q225" s="279">
        <f>TABLA_BASE[[#This Row],[ADV UNIT.
(US$)
⚠️COSTO]]+TABLA_BASE[[#This Row],[IPM UNIT.
(US$)
✅CF]]+TABLA_BASE[[#This Row],[IGV UNIT.
(US$)
✅CF]]</f>
        <v>0</v>
      </c>
      <c r="R225" s="280">
        <f>TABLA_BASE[[#This Row],[DEUDA
ADUANERA
UNIT.]]*TABLA_BASE[[#This Row],[CANTIDAD
(unid.)]]</f>
        <v>0</v>
      </c>
      <c r="S225" s="278">
        <f>TABLA_BASE[[#This Row],[DEUDA
ADUANERA
UNIT.]]*'📋 Datos Generales'!$E$19</f>
        <v>0</v>
      </c>
      <c r="T225" s="278">
        <f>TABLA_BASE[[#This Row],[DEUDA
ADUANERA
TOTAL]]*'📋 Datos Generales'!$E$19</f>
        <v>0</v>
      </c>
      <c r="U225" s="281">
        <f>TABLA_BASE[[#This Row],[ADV UNIT.
(US$)
⚠️COSTO]]*'📋 Datos Generales'!$E$19</f>
        <v>0</v>
      </c>
      <c r="V225" s="281">
        <f>TABLA_BASE[[#This Row],[ADV UNIT.
(S/.)]]*TABLA_BASE[[#This Row],[CANTIDAD
(unid.)]]</f>
        <v>0</v>
      </c>
      <c r="W225" s="281">
        <f>TABLA_BASE[[#This Row],[IPM UNIT.
(US$)
✅CF]]*'📋 Datos Generales'!$E$19</f>
        <v>0</v>
      </c>
      <c r="X225" s="281">
        <f>TABLA_BASE[[#This Row],[IPM UNIT.
(S/.)]]*TABLA_BASE[[#This Row],[CANTIDAD
(unid.)]]</f>
        <v>0</v>
      </c>
      <c r="Y225" s="281">
        <f>TABLA_BASE[[#This Row],[IGV UNIT.
(US$)
✅CF]]*'📋 Datos Generales'!$E$19</f>
        <v>0</v>
      </c>
      <c r="Z225" s="281">
        <f>TABLA_BASE[[#This Row],[IGV UNIT.
(S/.)]]*TABLA_BASE[[#This Row],[CANTIDAD
(unid.)]]</f>
        <v>0</v>
      </c>
      <c r="AA225" s="281">
        <f>TABLA_BASE[[#This Row],[PERCEP.
UNIT.(US$)
✅CF]]*'📋 Datos Generales'!$E$19</f>
        <v>0</v>
      </c>
      <c r="AB225" s="281">
        <f>TABLA_BASE[[#This Row],[PERCEP.
UNIT.(S/.)]]*TABLA_BASE[[#This Row],[CANTIDAD
(unid.)]]</f>
        <v>0</v>
      </c>
      <c r="AC225" s="279">
        <f>TABLA_BASE[[#This Row],[ADV UNIT.
(US$)
⚠️COSTO]]+TABLA_BASE[[#This Row],[IPM UNIT.
(US$)
✅CF]]+TABLA_BASE[[#This Row],[IGV UNIT.
(US$)
✅CF]]+TABLA_BASE[[#This Row],[PERCEP.
UNIT.(US$)
✅CF]]</f>
        <v>0</v>
      </c>
      <c r="AD225" s="279">
        <f>TABLA_BASE[[#This Row],[TOTAL PAGO
SUNAT
UNIT.(US$)]]*TABLA_BASE[[#This Row],[CANTIDAD
(unid.)]]</f>
        <v>0</v>
      </c>
      <c r="AE225" s="281">
        <f>TABLA_BASE[[#This Row],[TOTAL PAGO
SUNAT
UNIT.(US$)]]*'📋 Datos Generales'!$E$19</f>
        <v>0</v>
      </c>
      <c r="AF225" s="281">
        <f>TABLA_BASE[[#This Row],[TOTAL TRIB.
UNIT.(S/.)]]*TABLA_BASE[[#This Row],[CANTIDAD
(unid.)]]</f>
        <v>0</v>
      </c>
      <c r="AG225" s="279">
        <f>IF('🧾 Factura Comercial'!G229=0,0,'📦 Gastos Importación'!$E$28*(IF('🧾 Tributos Aduana'!$F$6=0,0,'🧾 Factura Comercial'!I229/'🧾 Tributos Aduana'!$F$6))/'🧾 Factura Comercial'!G229)</f>
        <v>0</v>
      </c>
      <c r="AH225" s="279">
        <f>TABLA_BASE[[#This Row],[GASTOS IMP.
UNIT.(US$)]]*TABLA_BASE[[#This Row],[CANTIDAD
(unid.)]]</f>
        <v>0</v>
      </c>
      <c r="AI225" s="281">
        <f>TABLA_BASE[[#This Row],[GASTOS IMP.
UNIT.(US$)]]*'📋 Datos Generales'!$E$19</f>
        <v>0</v>
      </c>
      <c r="AJ225" s="281">
        <f>TABLA_BASE[[#This Row],[GASTOS IMP.
UNIT.(S/.)]]*TABLA_BASE[[#This Row],[CANTIDAD
(unid.)]]</f>
        <v>0</v>
      </c>
      <c r="AK225" s="280">
        <f>'🧮 Costos x Producto'!J229</f>
        <v>0</v>
      </c>
      <c r="AL225" s="278">
        <f>'🧮 Costos x Producto'!K229</f>
        <v>0</v>
      </c>
      <c r="AM225" s="278">
        <f>TABLA_BASE[[#This Row],[C/M UNIT.
(S/.)]]*TABLA_BASE[[#This Row],[CANTIDAD
(unid.)]]</f>
        <v>0</v>
      </c>
      <c r="AN225" s="279">
        <f>IF('🧾 Factura Comercial'!G229=0,0,'🧾 Tributos Aduana'!$F$17*(IF('🧾 Tributos Aduana'!$F$6=0,0,'🧾 Factura Comercial'!I229/'🧾 Tributos Aduana'!$F$6))/'🧾 Factura Comercial'!G229)</f>
        <v>0</v>
      </c>
      <c r="AO225" s="280">
        <f>IF('🧾 Factura Comercial'!G229=0,0,'🏦 Crédito Fiscal'!$C$16*(IF('🧾 Tributos Aduana'!$F$6=0,0,'🧾 Factura Comercial'!I229/'🧾 Tributos Aduana'!$F$6))/'🧾 Factura Comercial'!G229)</f>
        <v>0</v>
      </c>
      <c r="AP225" s="278">
        <f>TABLA_BASE[[#This Row],[CF UNIT.
✅RECUP.
(US$)]]*'📋 Datos Generales'!$E$19</f>
        <v>0</v>
      </c>
      <c r="AQ225" s="278">
        <f>TABLA_BASE[[#This Row],[CF UNIT.
✅RECUP.(S/.)]]*TABLA_BASE[[#This Row],[CANTIDAD
(unid.)]]</f>
        <v>0</v>
      </c>
      <c r="AR225" s="288">
        <f>'💰 Precio de Venta'!G230</f>
        <v>0.4</v>
      </c>
      <c r="AS225" s="278">
        <f>'💰 Precio de Venta'!H230</f>
        <v>0</v>
      </c>
      <c r="AT225" s="278">
        <f>TABLA_BASE[[#This Row],[VALOR VTA.
UNIT.(S/.)]]*TABLA_BASE[[#This Row],[CANTIDAD
(unid.)]]</f>
        <v>0</v>
      </c>
      <c r="AU225" s="281">
        <f>'💰 Precio de Venta'!I230</f>
        <v>0</v>
      </c>
      <c r="AV225" s="278">
        <f>'💰 Precio de Venta'!J230</f>
        <v>0</v>
      </c>
      <c r="AW225" s="278">
        <f>TABLA_BASE[[#This Row],[GANANCIA
UNIT.(S/.)]]*TABLA_BASE[[#This Row],[CANTIDAD
(unid.)]]</f>
        <v>0</v>
      </c>
      <c r="AX225" s="289">
        <f>'💰 Precio de Venta'!K230</f>
        <v>0</v>
      </c>
      <c r="AY225" s="278">
        <f>TABLA_BASE[[#This Row],[GANANCIA
UNIT.(S/.)]]*'🧾 Factura Comercial'!G229</f>
        <v>0</v>
      </c>
      <c r="AZ225" s="277">
        <f>IF(TABLA_BASE[[#This Row],[PRECIO VTA.
c/IGV(S/.)]]=0,0,TABLA_BASE[[#This Row],[GANANCIA
UNIT.(S/.)]]/TABLA_BASE[[#This Row],[PRECIO VTA.
c/IGV(S/.)]])</f>
        <v>0</v>
      </c>
      <c r="BA225" s="277">
        <f>IF(TABLA_BASE[[#This Row],[C/M UNIT.
(S/.)]]=0,0,TABLA_BASE[[#This Row],[GANANCIA
UNIT.(S/.)]]/TABLA_BASE[[#This Row],[C/M UNIT.
(S/.)]])</f>
        <v>0</v>
      </c>
      <c r="BB225" s="274" t="str">
        <f>IF(TABLA_BASE[[#This Row],[MARGEN
%]]&gt;=0.5,"🟢 ALTO",IF(TABLA_BASE[[#This Row],[MARGEN
%]]&gt;=0.3,"🟡 MEDIO","🔴 BAJO"))</f>
        <v>🟡 MEDIO</v>
      </c>
    </row>
    <row r="226" spans="1:54" ht="16.5" hidden="1" thickTop="1" thickBot="1" x14ac:dyDescent="0.3">
      <c r="A226" s="274">
        <f>'🧾 Factura Comercial'!E230</f>
        <v>0</v>
      </c>
      <c r="B226" s="274" t="str">
        <f>'🧾 Factura Comercial'!F230</f>
        <v>Unid.</v>
      </c>
      <c r="C226" s="275">
        <f>'🧾 Factura Comercial'!G230</f>
        <v>0</v>
      </c>
      <c r="D226" s="276">
        <f>'🧾 Factura Comercial'!H230</f>
        <v>0</v>
      </c>
      <c r="E226" s="276">
        <f>'🧾 Factura Comercial'!I230</f>
        <v>0</v>
      </c>
      <c r="F226" s="277">
        <f>IF('🧾 Tributos Aduana'!$F$6=0,0,'🧾 Factura Comercial'!I230/'🧾 Tributos Aduana'!$F$6)</f>
        <v>0</v>
      </c>
      <c r="G226" s="278">
        <f>'🧾 Factura Comercial'!H230*'📋 Datos Generales'!$E$19</f>
        <v>0</v>
      </c>
      <c r="H226" s="278">
        <f>TABLA_BASE[[#This Row],[FOB UNIT.
(S/.)]]*TABLA_BASE[[#This Row],[CANTIDAD
(unid.)]]</f>
        <v>0</v>
      </c>
      <c r="I226" s="280">
        <f>IF('🧾 Tributos Aduana'!$F$6=0,0,'🧾 Tributos Aduana'!$F$17*('🧾 Factura Comercial'!H230/'🧾 Tributos Aduana'!$F$6))</f>
        <v>0</v>
      </c>
      <c r="J226" s="280">
        <f>TABLA_BASE[[#This Row],[ADV UNIT.
(US$)
⚠️COSTO]]*TABLA_BASE[[#This Row],[CANTIDAD
(unid.)]]</f>
        <v>0</v>
      </c>
      <c r="K226" s="279">
        <f>IF('🧾 Tributos Aduana'!$F$6=0,0,'🧾 Tributos Aduana'!$F$18*('🧾 Factura Comercial'!H230/'🧾 Tributos Aduana'!$F$6))</f>
        <v>0</v>
      </c>
      <c r="L226" s="280">
        <f>TABLA_BASE[[#This Row],[IPM UNIT.
(US$)
✅CF]]*TABLA_BASE[[#This Row],[CANTIDAD
(unid.)]]</f>
        <v>0</v>
      </c>
      <c r="M226" s="279">
        <f>IF('🧾 Tributos Aduana'!$F$6=0,0,'🧾 Tributos Aduana'!$F$19*('🧾 Factura Comercial'!H230/'🧾 Tributos Aduana'!$F$6))</f>
        <v>0</v>
      </c>
      <c r="N226" s="280">
        <f>TABLA_BASE[[#This Row],[IGV UNIT.
(US$)
✅CF]]*TABLA_BASE[[#This Row],[CANTIDAD
(unid.)]]</f>
        <v>0</v>
      </c>
      <c r="O226" s="280">
        <f>IF('🧾 Tributos Aduana'!$F$6=0,0,'🧾 Tributos Aduana'!$F$23*('🧾 Factura Comercial'!H230/'🧾 Tributos Aduana'!$F$6))</f>
        <v>0</v>
      </c>
      <c r="P226" s="280">
        <f>TABLA_BASE[[#This Row],[PERCEP.
UNIT.(US$)
✅CF]]*TABLA_BASE[[#This Row],[CANTIDAD
(unid.)]]</f>
        <v>0</v>
      </c>
      <c r="Q226" s="279">
        <f>TABLA_BASE[[#This Row],[ADV UNIT.
(US$)
⚠️COSTO]]+TABLA_BASE[[#This Row],[IPM UNIT.
(US$)
✅CF]]+TABLA_BASE[[#This Row],[IGV UNIT.
(US$)
✅CF]]</f>
        <v>0</v>
      </c>
      <c r="R226" s="280">
        <f>TABLA_BASE[[#This Row],[DEUDA
ADUANERA
UNIT.]]*TABLA_BASE[[#This Row],[CANTIDAD
(unid.)]]</f>
        <v>0</v>
      </c>
      <c r="S226" s="278">
        <f>TABLA_BASE[[#This Row],[DEUDA
ADUANERA
UNIT.]]*'📋 Datos Generales'!$E$19</f>
        <v>0</v>
      </c>
      <c r="T226" s="278">
        <f>TABLA_BASE[[#This Row],[DEUDA
ADUANERA
TOTAL]]*'📋 Datos Generales'!$E$19</f>
        <v>0</v>
      </c>
      <c r="U226" s="281">
        <f>TABLA_BASE[[#This Row],[ADV UNIT.
(US$)
⚠️COSTO]]*'📋 Datos Generales'!$E$19</f>
        <v>0</v>
      </c>
      <c r="V226" s="281">
        <f>TABLA_BASE[[#This Row],[ADV UNIT.
(S/.)]]*TABLA_BASE[[#This Row],[CANTIDAD
(unid.)]]</f>
        <v>0</v>
      </c>
      <c r="W226" s="281">
        <f>TABLA_BASE[[#This Row],[IPM UNIT.
(US$)
✅CF]]*'📋 Datos Generales'!$E$19</f>
        <v>0</v>
      </c>
      <c r="X226" s="281">
        <f>TABLA_BASE[[#This Row],[IPM UNIT.
(S/.)]]*TABLA_BASE[[#This Row],[CANTIDAD
(unid.)]]</f>
        <v>0</v>
      </c>
      <c r="Y226" s="281">
        <f>TABLA_BASE[[#This Row],[IGV UNIT.
(US$)
✅CF]]*'📋 Datos Generales'!$E$19</f>
        <v>0</v>
      </c>
      <c r="Z226" s="281">
        <f>TABLA_BASE[[#This Row],[IGV UNIT.
(S/.)]]*TABLA_BASE[[#This Row],[CANTIDAD
(unid.)]]</f>
        <v>0</v>
      </c>
      <c r="AA226" s="281">
        <f>TABLA_BASE[[#This Row],[PERCEP.
UNIT.(US$)
✅CF]]*'📋 Datos Generales'!$E$19</f>
        <v>0</v>
      </c>
      <c r="AB226" s="281">
        <f>TABLA_BASE[[#This Row],[PERCEP.
UNIT.(S/.)]]*TABLA_BASE[[#This Row],[CANTIDAD
(unid.)]]</f>
        <v>0</v>
      </c>
      <c r="AC226" s="279">
        <f>TABLA_BASE[[#This Row],[ADV UNIT.
(US$)
⚠️COSTO]]+TABLA_BASE[[#This Row],[IPM UNIT.
(US$)
✅CF]]+TABLA_BASE[[#This Row],[IGV UNIT.
(US$)
✅CF]]+TABLA_BASE[[#This Row],[PERCEP.
UNIT.(US$)
✅CF]]</f>
        <v>0</v>
      </c>
      <c r="AD226" s="279">
        <f>TABLA_BASE[[#This Row],[TOTAL PAGO
SUNAT
UNIT.(US$)]]*TABLA_BASE[[#This Row],[CANTIDAD
(unid.)]]</f>
        <v>0</v>
      </c>
      <c r="AE226" s="281">
        <f>TABLA_BASE[[#This Row],[TOTAL PAGO
SUNAT
UNIT.(US$)]]*'📋 Datos Generales'!$E$19</f>
        <v>0</v>
      </c>
      <c r="AF226" s="281">
        <f>TABLA_BASE[[#This Row],[TOTAL TRIB.
UNIT.(S/.)]]*TABLA_BASE[[#This Row],[CANTIDAD
(unid.)]]</f>
        <v>0</v>
      </c>
      <c r="AG226" s="279">
        <f>IF('🧾 Factura Comercial'!G230=0,0,'📦 Gastos Importación'!$E$28*(IF('🧾 Tributos Aduana'!$F$6=0,0,'🧾 Factura Comercial'!I230/'🧾 Tributos Aduana'!$F$6))/'🧾 Factura Comercial'!G230)</f>
        <v>0</v>
      </c>
      <c r="AH226" s="279">
        <f>TABLA_BASE[[#This Row],[GASTOS IMP.
UNIT.(US$)]]*TABLA_BASE[[#This Row],[CANTIDAD
(unid.)]]</f>
        <v>0</v>
      </c>
      <c r="AI226" s="281">
        <f>TABLA_BASE[[#This Row],[GASTOS IMP.
UNIT.(US$)]]*'📋 Datos Generales'!$E$19</f>
        <v>0</v>
      </c>
      <c r="AJ226" s="281">
        <f>TABLA_BASE[[#This Row],[GASTOS IMP.
UNIT.(S/.)]]*TABLA_BASE[[#This Row],[CANTIDAD
(unid.)]]</f>
        <v>0</v>
      </c>
      <c r="AK226" s="280">
        <f>'🧮 Costos x Producto'!J230</f>
        <v>0</v>
      </c>
      <c r="AL226" s="278">
        <f>'🧮 Costos x Producto'!K230</f>
        <v>0</v>
      </c>
      <c r="AM226" s="278">
        <f>TABLA_BASE[[#This Row],[C/M UNIT.
(S/.)]]*TABLA_BASE[[#This Row],[CANTIDAD
(unid.)]]</f>
        <v>0</v>
      </c>
      <c r="AN226" s="279">
        <f>IF('🧾 Factura Comercial'!G230=0,0,'🧾 Tributos Aduana'!$F$17*(IF('🧾 Tributos Aduana'!$F$6=0,0,'🧾 Factura Comercial'!I230/'🧾 Tributos Aduana'!$F$6))/'🧾 Factura Comercial'!G230)</f>
        <v>0</v>
      </c>
      <c r="AO226" s="280">
        <f>IF('🧾 Factura Comercial'!G230=0,0,'🏦 Crédito Fiscal'!$C$16*(IF('🧾 Tributos Aduana'!$F$6=0,0,'🧾 Factura Comercial'!I230/'🧾 Tributos Aduana'!$F$6))/'🧾 Factura Comercial'!G230)</f>
        <v>0</v>
      </c>
      <c r="AP226" s="278">
        <f>TABLA_BASE[[#This Row],[CF UNIT.
✅RECUP.
(US$)]]*'📋 Datos Generales'!$E$19</f>
        <v>0</v>
      </c>
      <c r="AQ226" s="278">
        <f>TABLA_BASE[[#This Row],[CF UNIT.
✅RECUP.(S/.)]]*TABLA_BASE[[#This Row],[CANTIDAD
(unid.)]]</f>
        <v>0</v>
      </c>
      <c r="AR226" s="288">
        <f>'💰 Precio de Venta'!G231</f>
        <v>0.4</v>
      </c>
      <c r="AS226" s="278">
        <f>'💰 Precio de Venta'!H231</f>
        <v>0</v>
      </c>
      <c r="AT226" s="278">
        <f>TABLA_BASE[[#This Row],[VALOR VTA.
UNIT.(S/.)]]*TABLA_BASE[[#This Row],[CANTIDAD
(unid.)]]</f>
        <v>0</v>
      </c>
      <c r="AU226" s="281">
        <f>'💰 Precio de Venta'!I231</f>
        <v>0</v>
      </c>
      <c r="AV226" s="278">
        <f>'💰 Precio de Venta'!J231</f>
        <v>0</v>
      </c>
      <c r="AW226" s="278">
        <f>TABLA_BASE[[#This Row],[GANANCIA
UNIT.(S/.)]]*TABLA_BASE[[#This Row],[CANTIDAD
(unid.)]]</f>
        <v>0</v>
      </c>
      <c r="AX226" s="289">
        <f>'💰 Precio de Venta'!K231</f>
        <v>0</v>
      </c>
      <c r="AY226" s="278">
        <f>TABLA_BASE[[#This Row],[GANANCIA
UNIT.(S/.)]]*'🧾 Factura Comercial'!G230</f>
        <v>0</v>
      </c>
      <c r="AZ226" s="277">
        <f>IF(TABLA_BASE[[#This Row],[PRECIO VTA.
c/IGV(S/.)]]=0,0,TABLA_BASE[[#This Row],[GANANCIA
UNIT.(S/.)]]/TABLA_BASE[[#This Row],[PRECIO VTA.
c/IGV(S/.)]])</f>
        <v>0</v>
      </c>
      <c r="BA226" s="277">
        <f>IF(TABLA_BASE[[#This Row],[C/M UNIT.
(S/.)]]=0,0,TABLA_BASE[[#This Row],[GANANCIA
UNIT.(S/.)]]/TABLA_BASE[[#This Row],[C/M UNIT.
(S/.)]])</f>
        <v>0</v>
      </c>
      <c r="BB226" s="274" t="str">
        <f>IF(TABLA_BASE[[#This Row],[MARGEN
%]]&gt;=0.5,"🟢 ALTO",IF(TABLA_BASE[[#This Row],[MARGEN
%]]&gt;=0.3,"🟡 MEDIO","🔴 BAJO"))</f>
        <v>🟡 MEDIO</v>
      </c>
    </row>
    <row r="227" spans="1:54" ht="16.5" hidden="1" thickTop="1" thickBot="1" x14ac:dyDescent="0.3">
      <c r="A227" s="274">
        <f>'🧾 Factura Comercial'!E231</f>
        <v>0</v>
      </c>
      <c r="B227" s="274" t="str">
        <f>'🧾 Factura Comercial'!F231</f>
        <v>Unid.</v>
      </c>
      <c r="C227" s="275">
        <f>'🧾 Factura Comercial'!G231</f>
        <v>0</v>
      </c>
      <c r="D227" s="276">
        <f>'🧾 Factura Comercial'!H231</f>
        <v>0</v>
      </c>
      <c r="E227" s="276">
        <f>'🧾 Factura Comercial'!I231</f>
        <v>0</v>
      </c>
      <c r="F227" s="277">
        <f>IF('🧾 Tributos Aduana'!$F$6=0,0,'🧾 Factura Comercial'!I231/'🧾 Tributos Aduana'!$F$6)</f>
        <v>0</v>
      </c>
      <c r="G227" s="278">
        <f>'🧾 Factura Comercial'!H231*'📋 Datos Generales'!$E$19</f>
        <v>0</v>
      </c>
      <c r="H227" s="278">
        <f>TABLA_BASE[[#This Row],[FOB UNIT.
(S/.)]]*TABLA_BASE[[#This Row],[CANTIDAD
(unid.)]]</f>
        <v>0</v>
      </c>
      <c r="I227" s="280">
        <f>IF('🧾 Tributos Aduana'!$F$6=0,0,'🧾 Tributos Aduana'!$F$17*('🧾 Factura Comercial'!H231/'🧾 Tributos Aduana'!$F$6))</f>
        <v>0</v>
      </c>
      <c r="J227" s="280">
        <f>TABLA_BASE[[#This Row],[ADV UNIT.
(US$)
⚠️COSTO]]*TABLA_BASE[[#This Row],[CANTIDAD
(unid.)]]</f>
        <v>0</v>
      </c>
      <c r="K227" s="279">
        <f>IF('🧾 Tributos Aduana'!$F$6=0,0,'🧾 Tributos Aduana'!$F$18*('🧾 Factura Comercial'!H231/'🧾 Tributos Aduana'!$F$6))</f>
        <v>0</v>
      </c>
      <c r="L227" s="280">
        <f>TABLA_BASE[[#This Row],[IPM UNIT.
(US$)
✅CF]]*TABLA_BASE[[#This Row],[CANTIDAD
(unid.)]]</f>
        <v>0</v>
      </c>
      <c r="M227" s="279">
        <f>IF('🧾 Tributos Aduana'!$F$6=0,0,'🧾 Tributos Aduana'!$F$19*('🧾 Factura Comercial'!H231/'🧾 Tributos Aduana'!$F$6))</f>
        <v>0</v>
      </c>
      <c r="N227" s="280">
        <f>TABLA_BASE[[#This Row],[IGV UNIT.
(US$)
✅CF]]*TABLA_BASE[[#This Row],[CANTIDAD
(unid.)]]</f>
        <v>0</v>
      </c>
      <c r="O227" s="280">
        <f>IF('🧾 Tributos Aduana'!$F$6=0,0,'🧾 Tributos Aduana'!$F$23*('🧾 Factura Comercial'!H231/'🧾 Tributos Aduana'!$F$6))</f>
        <v>0</v>
      </c>
      <c r="P227" s="280">
        <f>TABLA_BASE[[#This Row],[PERCEP.
UNIT.(US$)
✅CF]]*TABLA_BASE[[#This Row],[CANTIDAD
(unid.)]]</f>
        <v>0</v>
      </c>
      <c r="Q227" s="279">
        <f>TABLA_BASE[[#This Row],[ADV UNIT.
(US$)
⚠️COSTO]]+TABLA_BASE[[#This Row],[IPM UNIT.
(US$)
✅CF]]+TABLA_BASE[[#This Row],[IGV UNIT.
(US$)
✅CF]]</f>
        <v>0</v>
      </c>
      <c r="R227" s="280">
        <f>TABLA_BASE[[#This Row],[DEUDA
ADUANERA
UNIT.]]*TABLA_BASE[[#This Row],[CANTIDAD
(unid.)]]</f>
        <v>0</v>
      </c>
      <c r="S227" s="278">
        <f>TABLA_BASE[[#This Row],[DEUDA
ADUANERA
UNIT.]]*'📋 Datos Generales'!$E$19</f>
        <v>0</v>
      </c>
      <c r="T227" s="278">
        <f>TABLA_BASE[[#This Row],[DEUDA
ADUANERA
TOTAL]]*'📋 Datos Generales'!$E$19</f>
        <v>0</v>
      </c>
      <c r="U227" s="281">
        <f>TABLA_BASE[[#This Row],[ADV UNIT.
(US$)
⚠️COSTO]]*'📋 Datos Generales'!$E$19</f>
        <v>0</v>
      </c>
      <c r="V227" s="281">
        <f>TABLA_BASE[[#This Row],[ADV UNIT.
(S/.)]]*TABLA_BASE[[#This Row],[CANTIDAD
(unid.)]]</f>
        <v>0</v>
      </c>
      <c r="W227" s="281">
        <f>TABLA_BASE[[#This Row],[IPM UNIT.
(US$)
✅CF]]*'📋 Datos Generales'!$E$19</f>
        <v>0</v>
      </c>
      <c r="X227" s="281">
        <f>TABLA_BASE[[#This Row],[IPM UNIT.
(S/.)]]*TABLA_BASE[[#This Row],[CANTIDAD
(unid.)]]</f>
        <v>0</v>
      </c>
      <c r="Y227" s="281">
        <f>TABLA_BASE[[#This Row],[IGV UNIT.
(US$)
✅CF]]*'📋 Datos Generales'!$E$19</f>
        <v>0</v>
      </c>
      <c r="Z227" s="281">
        <f>TABLA_BASE[[#This Row],[IGV UNIT.
(S/.)]]*TABLA_BASE[[#This Row],[CANTIDAD
(unid.)]]</f>
        <v>0</v>
      </c>
      <c r="AA227" s="281">
        <f>TABLA_BASE[[#This Row],[PERCEP.
UNIT.(US$)
✅CF]]*'📋 Datos Generales'!$E$19</f>
        <v>0</v>
      </c>
      <c r="AB227" s="281">
        <f>TABLA_BASE[[#This Row],[PERCEP.
UNIT.(S/.)]]*TABLA_BASE[[#This Row],[CANTIDAD
(unid.)]]</f>
        <v>0</v>
      </c>
      <c r="AC227" s="279">
        <f>TABLA_BASE[[#This Row],[ADV UNIT.
(US$)
⚠️COSTO]]+TABLA_BASE[[#This Row],[IPM UNIT.
(US$)
✅CF]]+TABLA_BASE[[#This Row],[IGV UNIT.
(US$)
✅CF]]+TABLA_BASE[[#This Row],[PERCEP.
UNIT.(US$)
✅CF]]</f>
        <v>0</v>
      </c>
      <c r="AD227" s="279">
        <f>TABLA_BASE[[#This Row],[TOTAL PAGO
SUNAT
UNIT.(US$)]]*TABLA_BASE[[#This Row],[CANTIDAD
(unid.)]]</f>
        <v>0</v>
      </c>
      <c r="AE227" s="281">
        <f>TABLA_BASE[[#This Row],[TOTAL PAGO
SUNAT
UNIT.(US$)]]*'📋 Datos Generales'!$E$19</f>
        <v>0</v>
      </c>
      <c r="AF227" s="281">
        <f>TABLA_BASE[[#This Row],[TOTAL TRIB.
UNIT.(S/.)]]*TABLA_BASE[[#This Row],[CANTIDAD
(unid.)]]</f>
        <v>0</v>
      </c>
      <c r="AG227" s="279">
        <f>IF('🧾 Factura Comercial'!G231=0,0,'📦 Gastos Importación'!$E$28*(IF('🧾 Tributos Aduana'!$F$6=0,0,'🧾 Factura Comercial'!I231/'🧾 Tributos Aduana'!$F$6))/'🧾 Factura Comercial'!G231)</f>
        <v>0</v>
      </c>
      <c r="AH227" s="279">
        <f>TABLA_BASE[[#This Row],[GASTOS IMP.
UNIT.(US$)]]*TABLA_BASE[[#This Row],[CANTIDAD
(unid.)]]</f>
        <v>0</v>
      </c>
      <c r="AI227" s="281">
        <f>TABLA_BASE[[#This Row],[GASTOS IMP.
UNIT.(US$)]]*'📋 Datos Generales'!$E$19</f>
        <v>0</v>
      </c>
      <c r="AJ227" s="281">
        <f>TABLA_BASE[[#This Row],[GASTOS IMP.
UNIT.(S/.)]]*TABLA_BASE[[#This Row],[CANTIDAD
(unid.)]]</f>
        <v>0</v>
      </c>
      <c r="AK227" s="280">
        <f>'🧮 Costos x Producto'!J231</f>
        <v>0</v>
      </c>
      <c r="AL227" s="278">
        <f>'🧮 Costos x Producto'!K231</f>
        <v>0</v>
      </c>
      <c r="AM227" s="278">
        <f>TABLA_BASE[[#This Row],[C/M UNIT.
(S/.)]]*TABLA_BASE[[#This Row],[CANTIDAD
(unid.)]]</f>
        <v>0</v>
      </c>
      <c r="AN227" s="279">
        <f>IF('🧾 Factura Comercial'!G231=0,0,'🧾 Tributos Aduana'!$F$17*(IF('🧾 Tributos Aduana'!$F$6=0,0,'🧾 Factura Comercial'!I231/'🧾 Tributos Aduana'!$F$6))/'🧾 Factura Comercial'!G231)</f>
        <v>0</v>
      </c>
      <c r="AO227" s="280">
        <f>IF('🧾 Factura Comercial'!G231=0,0,'🏦 Crédito Fiscal'!$C$16*(IF('🧾 Tributos Aduana'!$F$6=0,0,'🧾 Factura Comercial'!I231/'🧾 Tributos Aduana'!$F$6))/'🧾 Factura Comercial'!G231)</f>
        <v>0</v>
      </c>
      <c r="AP227" s="278">
        <f>TABLA_BASE[[#This Row],[CF UNIT.
✅RECUP.
(US$)]]*'📋 Datos Generales'!$E$19</f>
        <v>0</v>
      </c>
      <c r="AQ227" s="278">
        <f>TABLA_BASE[[#This Row],[CF UNIT.
✅RECUP.(S/.)]]*TABLA_BASE[[#This Row],[CANTIDAD
(unid.)]]</f>
        <v>0</v>
      </c>
      <c r="AR227" s="288">
        <f>'💰 Precio de Venta'!G232</f>
        <v>0.4</v>
      </c>
      <c r="AS227" s="278">
        <f>'💰 Precio de Venta'!H232</f>
        <v>0</v>
      </c>
      <c r="AT227" s="278">
        <f>TABLA_BASE[[#This Row],[VALOR VTA.
UNIT.(S/.)]]*TABLA_BASE[[#This Row],[CANTIDAD
(unid.)]]</f>
        <v>0</v>
      </c>
      <c r="AU227" s="281">
        <f>'💰 Precio de Venta'!I232</f>
        <v>0</v>
      </c>
      <c r="AV227" s="278">
        <f>'💰 Precio de Venta'!J232</f>
        <v>0</v>
      </c>
      <c r="AW227" s="278">
        <f>TABLA_BASE[[#This Row],[GANANCIA
UNIT.(S/.)]]*TABLA_BASE[[#This Row],[CANTIDAD
(unid.)]]</f>
        <v>0</v>
      </c>
      <c r="AX227" s="289">
        <f>'💰 Precio de Venta'!K232</f>
        <v>0</v>
      </c>
      <c r="AY227" s="278">
        <f>TABLA_BASE[[#This Row],[GANANCIA
UNIT.(S/.)]]*'🧾 Factura Comercial'!G231</f>
        <v>0</v>
      </c>
      <c r="AZ227" s="277">
        <f>IF(TABLA_BASE[[#This Row],[PRECIO VTA.
c/IGV(S/.)]]=0,0,TABLA_BASE[[#This Row],[GANANCIA
UNIT.(S/.)]]/TABLA_BASE[[#This Row],[PRECIO VTA.
c/IGV(S/.)]])</f>
        <v>0</v>
      </c>
      <c r="BA227" s="277">
        <f>IF(TABLA_BASE[[#This Row],[C/M UNIT.
(S/.)]]=0,0,TABLA_BASE[[#This Row],[GANANCIA
UNIT.(S/.)]]/TABLA_BASE[[#This Row],[C/M UNIT.
(S/.)]])</f>
        <v>0</v>
      </c>
      <c r="BB227" s="274" t="str">
        <f>IF(TABLA_BASE[[#This Row],[MARGEN
%]]&gt;=0.5,"🟢 ALTO",IF(TABLA_BASE[[#This Row],[MARGEN
%]]&gt;=0.3,"🟡 MEDIO","🔴 BAJO"))</f>
        <v>🟡 MEDIO</v>
      </c>
    </row>
    <row r="228" spans="1:54" ht="16.5" hidden="1" thickTop="1" thickBot="1" x14ac:dyDescent="0.3">
      <c r="A228" s="274">
        <f>'🧾 Factura Comercial'!E232</f>
        <v>0</v>
      </c>
      <c r="B228" s="274" t="str">
        <f>'🧾 Factura Comercial'!F232</f>
        <v>Unid.</v>
      </c>
      <c r="C228" s="275">
        <f>'🧾 Factura Comercial'!G232</f>
        <v>0</v>
      </c>
      <c r="D228" s="276">
        <f>'🧾 Factura Comercial'!H232</f>
        <v>0</v>
      </c>
      <c r="E228" s="276">
        <f>'🧾 Factura Comercial'!I232</f>
        <v>0</v>
      </c>
      <c r="F228" s="277">
        <f>IF('🧾 Tributos Aduana'!$F$6=0,0,'🧾 Factura Comercial'!I232/'🧾 Tributos Aduana'!$F$6)</f>
        <v>0</v>
      </c>
      <c r="G228" s="278">
        <f>'🧾 Factura Comercial'!H232*'📋 Datos Generales'!$E$19</f>
        <v>0</v>
      </c>
      <c r="H228" s="278">
        <f>TABLA_BASE[[#This Row],[FOB UNIT.
(S/.)]]*TABLA_BASE[[#This Row],[CANTIDAD
(unid.)]]</f>
        <v>0</v>
      </c>
      <c r="I228" s="280">
        <f>IF('🧾 Tributos Aduana'!$F$6=0,0,'🧾 Tributos Aduana'!$F$17*('🧾 Factura Comercial'!H232/'🧾 Tributos Aduana'!$F$6))</f>
        <v>0</v>
      </c>
      <c r="J228" s="280">
        <f>TABLA_BASE[[#This Row],[ADV UNIT.
(US$)
⚠️COSTO]]*TABLA_BASE[[#This Row],[CANTIDAD
(unid.)]]</f>
        <v>0</v>
      </c>
      <c r="K228" s="279">
        <f>IF('🧾 Tributos Aduana'!$F$6=0,0,'🧾 Tributos Aduana'!$F$18*('🧾 Factura Comercial'!H232/'🧾 Tributos Aduana'!$F$6))</f>
        <v>0</v>
      </c>
      <c r="L228" s="280">
        <f>TABLA_BASE[[#This Row],[IPM UNIT.
(US$)
✅CF]]*TABLA_BASE[[#This Row],[CANTIDAD
(unid.)]]</f>
        <v>0</v>
      </c>
      <c r="M228" s="279">
        <f>IF('🧾 Tributos Aduana'!$F$6=0,0,'🧾 Tributos Aduana'!$F$19*('🧾 Factura Comercial'!H232/'🧾 Tributos Aduana'!$F$6))</f>
        <v>0</v>
      </c>
      <c r="N228" s="280">
        <f>TABLA_BASE[[#This Row],[IGV UNIT.
(US$)
✅CF]]*TABLA_BASE[[#This Row],[CANTIDAD
(unid.)]]</f>
        <v>0</v>
      </c>
      <c r="O228" s="280">
        <f>IF('🧾 Tributos Aduana'!$F$6=0,0,'🧾 Tributos Aduana'!$F$23*('🧾 Factura Comercial'!H232/'🧾 Tributos Aduana'!$F$6))</f>
        <v>0</v>
      </c>
      <c r="P228" s="280">
        <f>TABLA_BASE[[#This Row],[PERCEP.
UNIT.(US$)
✅CF]]*TABLA_BASE[[#This Row],[CANTIDAD
(unid.)]]</f>
        <v>0</v>
      </c>
      <c r="Q228" s="279">
        <f>TABLA_BASE[[#This Row],[ADV UNIT.
(US$)
⚠️COSTO]]+TABLA_BASE[[#This Row],[IPM UNIT.
(US$)
✅CF]]+TABLA_BASE[[#This Row],[IGV UNIT.
(US$)
✅CF]]</f>
        <v>0</v>
      </c>
      <c r="R228" s="280">
        <f>TABLA_BASE[[#This Row],[DEUDA
ADUANERA
UNIT.]]*TABLA_BASE[[#This Row],[CANTIDAD
(unid.)]]</f>
        <v>0</v>
      </c>
      <c r="S228" s="278">
        <f>TABLA_BASE[[#This Row],[DEUDA
ADUANERA
UNIT.]]*'📋 Datos Generales'!$E$19</f>
        <v>0</v>
      </c>
      <c r="T228" s="278">
        <f>TABLA_BASE[[#This Row],[DEUDA
ADUANERA
TOTAL]]*'📋 Datos Generales'!$E$19</f>
        <v>0</v>
      </c>
      <c r="U228" s="281">
        <f>TABLA_BASE[[#This Row],[ADV UNIT.
(US$)
⚠️COSTO]]*'📋 Datos Generales'!$E$19</f>
        <v>0</v>
      </c>
      <c r="V228" s="281">
        <f>TABLA_BASE[[#This Row],[ADV UNIT.
(S/.)]]*TABLA_BASE[[#This Row],[CANTIDAD
(unid.)]]</f>
        <v>0</v>
      </c>
      <c r="W228" s="281">
        <f>TABLA_BASE[[#This Row],[IPM UNIT.
(US$)
✅CF]]*'📋 Datos Generales'!$E$19</f>
        <v>0</v>
      </c>
      <c r="X228" s="281">
        <f>TABLA_BASE[[#This Row],[IPM UNIT.
(S/.)]]*TABLA_BASE[[#This Row],[CANTIDAD
(unid.)]]</f>
        <v>0</v>
      </c>
      <c r="Y228" s="281">
        <f>TABLA_BASE[[#This Row],[IGV UNIT.
(US$)
✅CF]]*'📋 Datos Generales'!$E$19</f>
        <v>0</v>
      </c>
      <c r="Z228" s="281">
        <f>TABLA_BASE[[#This Row],[IGV UNIT.
(S/.)]]*TABLA_BASE[[#This Row],[CANTIDAD
(unid.)]]</f>
        <v>0</v>
      </c>
      <c r="AA228" s="281">
        <f>TABLA_BASE[[#This Row],[PERCEP.
UNIT.(US$)
✅CF]]*'📋 Datos Generales'!$E$19</f>
        <v>0</v>
      </c>
      <c r="AB228" s="281">
        <f>TABLA_BASE[[#This Row],[PERCEP.
UNIT.(S/.)]]*TABLA_BASE[[#This Row],[CANTIDAD
(unid.)]]</f>
        <v>0</v>
      </c>
      <c r="AC228" s="279">
        <f>TABLA_BASE[[#This Row],[ADV UNIT.
(US$)
⚠️COSTO]]+TABLA_BASE[[#This Row],[IPM UNIT.
(US$)
✅CF]]+TABLA_BASE[[#This Row],[IGV UNIT.
(US$)
✅CF]]+TABLA_BASE[[#This Row],[PERCEP.
UNIT.(US$)
✅CF]]</f>
        <v>0</v>
      </c>
      <c r="AD228" s="279">
        <f>TABLA_BASE[[#This Row],[TOTAL PAGO
SUNAT
UNIT.(US$)]]*TABLA_BASE[[#This Row],[CANTIDAD
(unid.)]]</f>
        <v>0</v>
      </c>
      <c r="AE228" s="281">
        <f>TABLA_BASE[[#This Row],[TOTAL PAGO
SUNAT
UNIT.(US$)]]*'📋 Datos Generales'!$E$19</f>
        <v>0</v>
      </c>
      <c r="AF228" s="281">
        <f>TABLA_BASE[[#This Row],[TOTAL TRIB.
UNIT.(S/.)]]*TABLA_BASE[[#This Row],[CANTIDAD
(unid.)]]</f>
        <v>0</v>
      </c>
      <c r="AG228" s="279">
        <f>IF('🧾 Factura Comercial'!G232=0,0,'📦 Gastos Importación'!$E$28*(IF('🧾 Tributos Aduana'!$F$6=0,0,'🧾 Factura Comercial'!I232/'🧾 Tributos Aduana'!$F$6))/'🧾 Factura Comercial'!G232)</f>
        <v>0</v>
      </c>
      <c r="AH228" s="279">
        <f>TABLA_BASE[[#This Row],[GASTOS IMP.
UNIT.(US$)]]*TABLA_BASE[[#This Row],[CANTIDAD
(unid.)]]</f>
        <v>0</v>
      </c>
      <c r="AI228" s="281">
        <f>TABLA_BASE[[#This Row],[GASTOS IMP.
UNIT.(US$)]]*'📋 Datos Generales'!$E$19</f>
        <v>0</v>
      </c>
      <c r="AJ228" s="281">
        <f>TABLA_BASE[[#This Row],[GASTOS IMP.
UNIT.(S/.)]]*TABLA_BASE[[#This Row],[CANTIDAD
(unid.)]]</f>
        <v>0</v>
      </c>
      <c r="AK228" s="280">
        <f>'🧮 Costos x Producto'!J232</f>
        <v>0</v>
      </c>
      <c r="AL228" s="278">
        <f>'🧮 Costos x Producto'!K232</f>
        <v>0</v>
      </c>
      <c r="AM228" s="278">
        <f>TABLA_BASE[[#This Row],[C/M UNIT.
(S/.)]]*TABLA_BASE[[#This Row],[CANTIDAD
(unid.)]]</f>
        <v>0</v>
      </c>
      <c r="AN228" s="279">
        <f>IF('🧾 Factura Comercial'!G232=0,0,'🧾 Tributos Aduana'!$F$17*(IF('🧾 Tributos Aduana'!$F$6=0,0,'🧾 Factura Comercial'!I232/'🧾 Tributos Aduana'!$F$6))/'🧾 Factura Comercial'!G232)</f>
        <v>0</v>
      </c>
      <c r="AO228" s="280">
        <f>IF('🧾 Factura Comercial'!G232=0,0,'🏦 Crédito Fiscal'!$C$16*(IF('🧾 Tributos Aduana'!$F$6=0,0,'🧾 Factura Comercial'!I232/'🧾 Tributos Aduana'!$F$6))/'🧾 Factura Comercial'!G232)</f>
        <v>0</v>
      </c>
      <c r="AP228" s="278">
        <f>TABLA_BASE[[#This Row],[CF UNIT.
✅RECUP.
(US$)]]*'📋 Datos Generales'!$E$19</f>
        <v>0</v>
      </c>
      <c r="AQ228" s="278">
        <f>TABLA_BASE[[#This Row],[CF UNIT.
✅RECUP.(S/.)]]*TABLA_BASE[[#This Row],[CANTIDAD
(unid.)]]</f>
        <v>0</v>
      </c>
      <c r="AR228" s="288">
        <f>'💰 Precio de Venta'!G233</f>
        <v>0.4</v>
      </c>
      <c r="AS228" s="278">
        <f>'💰 Precio de Venta'!H233</f>
        <v>0</v>
      </c>
      <c r="AT228" s="278">
        <f>TABLA_BASE[[#This Row],[VALOR VTA.
UNIT.(S/.)]]*TABLA_BASE[[#This Row],[CANTIDAD
(unid.)]]</f>
        <v>0</v>
      </c>
      <c r="AU228" s="281">
        <f>'💰 Precio de Venta'!I233</f>
        <v>0</v>
      </c>
      <c r="AV228" s="278">
        <f>'💰 Precio de Venta'!J233</f>
        <v>0</v>
      </c>
      <c r="AW228" s="278">
        <f>TABLA_BASE[[#This Row],[GANANCIA
UNIT.(S/.)]]*TABLA_BASE[[#This Row],[CANTIDAD
(unid.)]]</f>
        <v>0</v>
      </c>
      <c r="AX228" s="289">
        <f>'💰 Precio de Venta'!K233</f>
        <v>0</v>
      </c>
      <c r="AY228" s="278">
        <f>TABLA_BASE[[#This Row],[GANANCIA
UNIT.(S/.)]]*'🧾 Factura Comercial'!G232</f>
        <v>0</v>
      </c>
      <c r="AZ228" s="277">
        <f>IF(TABLA_BASE[[#This Row],[PRECIO VTA.
c/IGV(S/.)]]=0,0,TABLA_BASE[[#This Row],[GANANCIA
UNIT.(S/.)]]/TABLA_BASE[[#This Row],[PRECIO VTA.
c/IGV(S/.)]])</f>
        <v>0</v>
      </c>
      <c r="BA228" s="277">
        <f>IF(TABLA_BASE[[#This Row],[C/M UNIT.
(S/.)]]=0,0,TABLA_BASE[[#This Row],[GANANCIA
UNIT.(S/.)]]/TABLA_BASE[[#This Row],[C/M UNIT.
(S/.)]])</f>
        <v>0</v>
      </c>
      <c r="BB228" s="274" t="str">
        <f>IF(TABLA_BASE[[#This Row],[MARGEN
%]]&gt;=0.5,"🟢 ALTO",IF(TABLA_BASE[[#This Row],[MARGEN
%]]&gt;=0.3,"🟡 MEDIO","🔴 BAJO"))</f>
        <v>🟡 MEDIO</v>
      </c>
    </row>
    <row r="229" spans="1:54" ht="16.5" hidden="1" thickTop="1" thickBot="1" x14ac:dyDescent="0.3">
      <c r="A229" s="274">
        <f>'🧾 Factura Comercial'!E233</f>
        <v>0</v>
      </c>
      <c r="B229" s="274" t="str">
        <f>'🧾 Factura Comercial'!F233</f>
        <v>Unid.</v>
      </c>
      <c r="C229" s="275">
        <f>'🧾 Factura Comercial'!G233</f>
        <v>0</v>
      </c>
      <c r="D229" s="276">
        <f>'🧾 Factura Comercial'!H233</f>
        <v>0</v>
      </c>
      <c r="E229" s="276">
        <f>'🧾 Factura Comercial'!I233</f>
        <v>0</v>
      </c>
      <c r="F229" s="277">
        <f>IF('🧾 Tributos Aduana'!$F$6=0,0,'🧾 Factura Comercial'!I233/'🧾 Tributos Aduana'!$F$6)</f>
        <v>0</v>
      </c>
      <c r="G229" s="278">
        <f>'🧾 Factura Comercial'!H233*'📋 Datos Generales'!$E$19</f>
        <v>0</v>
      </c>
      <c r="H229" s="278">
        <f>TABLA_BASE[[#This Row],[FOB UNIT.
(S/.)]]*TABLA_BASE[[#This Row],[CANTIDAD
(unid.)]]</f>
        <v>0</v>
      </c>
      <c r="I229" s="280">
        <f>IF('🧾 Tributos Aduana'!$F$6=0,0,'🧾 Tributos Aduana'!$F$17*('🧾 Factura Comercial'!H233/'🧾 Tributos Aduana'!$F$6))</f>
        <v>0</v>
      </c>
      <c r="J229" s="280">
        <f>TABLA_BASE[[#This Row],[ADV UNIT.
(US$)
⚠️COSTO]]*TABLA_BASE[[#This Row],[CANTIDAD
(unid.)]]</f>
        <v>0</v>
      </c>
      <c r="K229" s="279">
        <f>IF('🧾 Tributos Aduana'!$F$6=0,0,'🧾 Tributos Aduana'!$F$18*('🧾 Factura Comercial'!H233/'🧾 Tributos Aduana'!$F$6))</f>
        <v>0</v>
      </c>
      <c r="L229" s="280">
        <f>TABLA_BASE[[#This Row],[IPM UNIT.
(US$)
✅CF]]*TABLA_BASE[[#This Row],[CANTIDAD
(unid.)]]</f>
        <v>0</v>
      </c>
      <c r="M229" s="279">
        <f>IF('🧾 Tributos Aduana'!$F$6=0,0,'🧾 Tributos Aduana'!$F$19*('🧾 Factura Comercial'!H233/'🧾 Tributos Aduana'!$F$6))</f>
        <v>0</v>
      </c>
      <c r="N229" s="280">
        <f>TABLA_BASE[[#This Row],[IGV UNIT.
(US$)
✅CF]]*TABLA_BASE[[#This Row],[CANTIDAD
(unid.)]]</f>
        <v>0</v>
      </c>
      <c r="O229" s="280">
        <f>IF('🧾 Tributos Aduana'!$F$6=0,0,'🧾 Tributos Aduana'!$F$23*('🧾 Factura Comercial'!H233/'🧾 Tributos Aduana'!$F$6))</f>
        <v>0</v>
      </c>
      <c r="P229" s="280">
        <f>TABLA_BASE[[#This Row],[PERCEP.
UNIT.(US$)
✅CF]]*TABLA_BASE[[#This Row],[CANTIDAD
(unid.)]]</f>
        <v>0</v>
      </c>
      <c r="Q229" s="279">
        <f>TABLA_BASE[[#This Row],[ADV UNIT.
(US$)
⚠️COSTO]]+TABLA_BASE[[#This Row],[IPM UNIT.
(US$)
✅CF]]+TABLA_BASE[[#This Row],[IGV UNIT.
(US$)
✅CF]]</f>
        <v>0</v>
      </c>
      <c r="R229" s="280">
        <f>TABLA_BASE[[#This Row],[DEUDA
ADUANERA
UNIT.]]*TABLA_BASE[[#This Row],[CANTIDAD
(unid.)]]</f>
        <v>0</v>
      </c>
      <c r="S229" s="278">
        <f>TABLA_BASE[[#This Row],[DEUDA
ADUANERA
UNIT.]]*'📋 Datos Generales'!$E$19</f>
        <v>0</v>
      </c>
      <c r="T229" s="278">
        <f>TABLA_BASE[[#This Row],[DEUDA
ADUANERA
TOTAL]]*'📋 Datos Generales'!$E$19</f>
        <v>0</v>
      </c>
      <c r="U229" s="281">
        <f>TABLA_BASE[[#This Row],[ADV UNIT.
(US$)
⚠️COSTO]]*'📋 Datos Generales'!$E$19</f>
        <v>0</v>
      </c>
      <c r="V229" s="281">
        <f>TABLA_BASE[[#This Row],[ADV UNIT.
(S/.)]]*TABLA_BASE[[#This Row],[CANTIDAD
(unid.)]]</f>
        <v>0</v>
      </c>
      <c r="W229" s="281">
        <f>TABLA_BASE[[#This Row],[IPM UNIT.
(US$)
✅CF]]*'📋 Datos Generales'!$E$19</f>
        <v>0</v>
      </c>
      <c r="X229" s="281">
        <f>TABLA_BASE[[#This Row],[IPM UNIT.
(S/.)]]*TABLA_BASE[[#This Row],[CANTIDAD
(unid.)]]</f>
        <v>0</v>
      </c>
      <c r="Y229" s="281">
        <f>TABLA_BASE[[#This Row],[IGV UNIT.
(US$)
✅CF]]*'📋 Datos Generales'!$E$19</f>
        <v>0</v>
      </c>
      <c r="Z229" s="281">
        <f>TABLA_BASE[[#This Row],[IGV UNIT.
(S/.)]]*TABLA_BASE[[#This Row],[CANTIDAD
(unid.)]]</f>
        <v>0</v>
      </c>
      <c r="AA229" s="281">
        <f>TABLA_BASE[[#This Row],[PERCEP.
UNIT.(US$)
✅CF]]*'📋 Datos Generales'!$E$19</f>
        <v>0</v>
      </c>
      <c r="AB229" s="281">
        <f>TABLA_BASE[[#This Row],[PERCEP.
UNIT.(S/.)]]*TABLA_BASE[[#This Row],[CANTIDAD
(unid.)]]</f>
        <v>0</v>
      </c>
      <c r="AC229" s="279">
        <f>TABLA_BASE[[#This Row],[ADV UNIT.
(US$)
⚠️COSTO]]+TABLA_BASE[[#This Row],[IPM UNIT.
(US$)
✅CF]]+TABLA_BASE[[#This Row],[IGV UNIT.
(US$)
✅CF]]+TABLA_BASE[[#This Row],[PERCEP.
UNIT.(US$)
✅CF]]</f>
        <v>0</v>
      </c>
      <c r="AD229" s="279">
        <f>TABLA_BASE[[#This Row],[TOTAL PAGO
SUNAT
UNIT.(US$)]]*TABLA_BASE[[#This Row],[CANTIDAD
(unid.)]]</f>
        <v>0</v>
      </c>
      <c r="AE229" s="281">
        <f>TABLA_BASE[[#This Row],[TOTAL PAGO
SUNAT
UNIT.(US$)]]*'📋 Datos Generales'!$E$19</f>
        <v>0</v>
      </c>
      <c r="AF229" s="281">
        <f>TABLA_BASE[[#This Row],[TOTAL TRIB.
UNIT.(S/.)]]*TABLA_BASE[[#This Row],[CANTIDAD
(unid.)]]</f>
        <v>0</v>
      </c>
      <c r="AG229" s="279">
        <f>IF('🧾 Factura Comercial'!G233=0,0,'📦 Gastos Importación'!$E$28*(IF('🧾 Tributos Aduana'!$F$6=0,0,'🧾 Factura Comercial'!I233/'🧾 Tributos Aduana'!$F$6))/'🧾 Factura Comercial'!G233)</f>
        <v>0</v>
      </c>
      <c r="AH229" s="279">
        <f>TABLA_BASE[[#This Row],[GASTOS IMP.
UNIT.(US$)]]*TABLA_BASE[[#This Row],[CANTIDAD
(unid.)]]</f>
        <v>0</v>
      </c>
      <c r="AI229" s="281">
        <f>TABLA_BASE[[#This Row],[GASTOS IMP.
UNIT.(US$)]]*'📋 Datos Generales'!$E$19</f>
        <v>0</v>
      </c>
      <c r="AJ229" s="281">
        <f>TABLA_BASE[[#This Row],[GASTOS IMP.
UNIT.(S/.)]]*TABLA_BASE[[#This Row],[CANTIDAD
(unid.)]]</f>
        <v>0</v>
      </c>
      <c r="AK229" s="280">
        <f>'🧮 Costos x Producto'!J233</f>
        <v>0</v>
      </c>
      <c r="AL229" s="278">
        <f>'🧮 Costos x Producto'!K233</f>
        <v>0</v>
      </c>
      <c r="AM229" s="278">
        <f>TABLA_BASE[[#This Row],[C/M UNIT.
(S/.)]]*TABLA_BASE[[#This Row],[CANTIDAD
(unid.)]]</f>
        <v>0</v>
      </c>
      <c r="AN229" s="279">
        <f>IF('🧾 Factura Comercial'!G233=0,0,'🧾 Tributos Aduana'!$F$17*(IF('🧾 Tributos Aduana'!$F$6=0,0,'🧾 Factura Comercial'!I233/'🧾 Tributos Aduana'!$F$6))/'🧾 Factura Comercial'!G233)</f>
        <v>0</v>
      </c>
      <c r="AO229" s="280">
        <f>IF('🧾 Factura Comercial'!G233=0,0,'🏦 Crédito Fiscal'!$C$16*(IF('🧾 Tributos Aduana'!$F$6=0,0,'🧾 Factura Comercial'!I233/'🧾 Tributos Aduana'!$F$6))/'🧾 Factura Comercial'!G233)</f>
        <v>0</v>
      </c>
      <c r="AP229" s="278">
        <f>TABLA_BASE[[#This Row],[CF UNIT.
✅RECUP.
(US$)]]*'📋 Datos Generales'!$E$19</f>
        <v>0</v>
      </c>
      <c r="AQ229" s="278">
        <f>TABLA_BASE[[#This Row],[CF UNIT.
✅RECUP.(S/.)]]*TABLA_BASE[[#This Row],[CANTIDAD
(unid.)]]</f>
        <v>0</v>
      </c>
      <c r="AR229" s="288">
        <f>'💰 Precio de Venta'!G234</f>
        <v>0.4</v>
      </c>
      <c r="AS229" s="278">
        <f>'💰 Precio de Venta'!H234</f>
        <v>0</v>
      </c>
      <c r="AT229" s="278">
        <f>TABLA_BASE[[#This Row],[VALOR VTA.
UNIT.(S/.)]]*TABLA_BASE[[#This Row],[CANTIDAD
(unid.)]]</f>
        <v>0</v>
      </c>
      <c r="AU229" s="281">
        <f>'💰 Precio de Venta'!I234</f>
        <v>0</v>
      </c>
      <c r="AV229" s="278">
        <f>'💰 Precio de Venta'!J234</f>
        <v>0</v>
      </c>
      <c r="AW229" s="278">
        <f>TABLA_BASE[[#This Row],[GANANCIA
UNIT.(S/.)]]*TABLA_BASE[[#This Row],[CANTIDAD
(unid.)]]</f>
        <v>0</v>
      </c>
      <c r="AX229" s="289">
        <f>'💰 Precio de Venta'!K234</f>
        <v>0</v>
      </c>
      <c r="AY229" s="278">
        <f>TABLA_BASE[[#This Row],[GANANCIA
UNIT.(S/.)]]*'🧾 Factura Comercial'!G233</f>
        <v>0</v>
      </c>
      <c r="AZ229" s="277">
        <f>IF(TABLA_BASE[[#This Row],[PRECIO VTA.
c/IGV(S/.)]]=0,0,TABLA_BASE[[#This Row],[GANANCIA
UNIT.(S/.)]]/TABLA_BASE[[#This Row],[PRECIO VTA.
c/IGV(S/.)]])</f>
        <v>0</v>
      </c>
      <c r="BA229" s="277">
        <f>IF(TABLA_BASE[[#This Row],[C/M UNIT.
(S/.)]]=0,0,TABLA_BASE[[#This Row],[GANANCIA
UNIT.(S/.)]]/TABLA_BASE[[#This Row],[C/M UNIT.
(S/.)]])</f>
        <v>0</v>
      </c>
      <c r="BB229" s="274" t="str">
        <f>IF(TABLA_BASE[[#This Row],[MARGEN
%]]&gt;=0.5,"🟢 ALTO",IF(TABLA_BASE[[#This Row],[MARGEN
%]]&gt;=0.3,"🟡 MEDIO","🔴 BAJO"))</f>
        <v>🟡 MEDIO</v>
      </c>
    </row>
    <row r="230" spans="1:54" ht="16.5" hidden="1" thickTop="1" thickBot="1" x14ac:dyDescent="0.3">
      <c r="A230" s="274">
        <f>'🧾 Factura Comercial'!E234</f>
        <v>0</v>
      </c>
      <c r="B230" s="274" t="str">
        <f>'🧾 Factura Comercial'!F234</f>
        <v>Unid.</v>
      </c>
      <c r="C230" s="275">
        <f>'🧾 Factura Comercial'!G234</f>
        <v>0</v>
      </c>
      <c r="D230" s="276">
        <f>'🧾 Factura Comercial'!H234</f>
        <v>0</v>
      </c>
      <c r="E230" s="276">
        <f>'🧾 Factura Comercial'!I234</f>
        <v>0</v>
      </c>
      <c r="F230" s="277">
        <f>IF('🧾 Tributos Aduana'!$F$6=0,0,'🧾 Factura Comercial'!I234/'🧾 Tributos Aduana'!$F$6)</f>
        <v>0</v>
      </c>
      <c r="G230" s="278">
        <f>'🧾 Factura Comercial'!H234*'📋 Datos Generales'!$E$19</f>
        <v>0</v>
      </c>
      <c r="H230" s="278">
        <f>TABLA_BASE[[#This Row],[FOB UNIT.
(S/.)]]*TABLA_BASE[[#This Row],[CANTIDAD
(unid.)]]</f>
        <v>0</v>
      </c>
      <c r="I230" s="280">
        <f>IF('🧾 Tributos Aduana'!$F$6=0,0,'🧾 Tributos Aduana'!$F$17*('🧾 Factura Comercial'!H234/'🧾 Tributos Aduana'!$F$6))</f>
        <v>0</v>
      </c>
      <c r="J230" s="280">
        <f>TABLA_BASE[[#This Row],[ADV UNIT.
(US$)
⚠️COSTO]]*TABLA_BASE[[#This Row],[CANTIDAD
(unid.)]]</f>
        <v>0</v>
      </c>
      <c r="K230" s="279">
        <f>IF('🧾 Tributos Aduana'!$F$6=0,0,'🧾 Tributos Aduana'!$F$18*('🧾 Factura Comercial'!H234/'🧾 Tributos Aduana'!$F$6))</f>
        <v>0</v>
      </c>
      <c r="L230" s="280">
        <f>TABLA_BASE[[#This Row],[IPM UNIT.
(US$)
✅CF]]*TABLA_BASE[[#This Row],[CANTIDAD
(unid.)]]</f>
        <v>0</v>
      </c>
      <c r="M230" s="279">
        <f>IF('🧾 Tributos Aduana'!$F$6=0,0,'🧾 Tributos Aduana'!$F$19*('🧾 Factura Comercial'!H234/'🧾 Tributos Aduana'!$F$6))</f>
        <v>0</v>
      </c>
      <c r="N230" s="280">
        <f>TABLA_BASE[[#This Row],[IGV UNIT.
(US$)
✅CF]]*TABLA_BASE[[#This Row],[CANTIDAD
(unid.)]]</f>
        <v>0</v>
      </c>
      <c r="O230" s="280">
        <f>IF('🧾 Tributos Aduana'!$F$6=0,0,'🧾 Tributos Aduana'!$F$23*('🧾 Factura Comercial'!H234/'🧾 Tributos Aduana'!$F$6))</f>
        <v>0</v>
      </c>
      <c r="P230" s="280">
        <f>TABLA_BASE[[#This Row],[PERCEP.
UNIT.(US$)
✅CF]]*TABLA_BASE[[#This Row],[CANTIDAD
(unid.)]]</f>
        <v>0</v>
      </c>
      <c r="Q230" s="279">
        <f>TABLA_BASE[[#This Row],[ADV UNIT.
(US$)
⚠️COSTO]]+TABLA_BASE[[#This Row],[IPM UNIT.
(US$)
✅CF]]+TABLA_BASE[[#This Row],[IGV UNIT.
(US$)
✅CF]]</f>
        <v>0</v>
      </c>
      <c r="R230" s="280">
        <f>TABLA_BASE[[#This Row],[DEUDA
ADUANERA
UNIT.]]*TABLA_BASE[[#This Row],[CANTIDAD
(unid.)]]</f>
        <v>0</v>
      </c>
      <c r="S230" s="278">
        <f>TABLA_BASE[[#This Row],[DEUDA
ADUANERA
UNIT.]]*'📋 Datos Generales'!$E$19</f>
        <v>0</v>
      </c>
      <c r="T230" s="278">
        <f>TABLA_BASE[[#This Row],[DEUDA
ADUANERA
TOTAL]]*'📋 Datos Generales'!$E$19</f>
        <v>0</v>
      </c>
      <c r="U230" s="281">
        <f>TABLA_BASE[[#This Row],[ADV UNIT.
(US$)
⚠️COSTO]]*'📋 Datos Generales'!$E$19</f>
        <v>0</v>
      </c>
      <c r="V230" s="281">
        <f>TABLA_BASE[[#This Row],[ADV UNIT.
(S/.)]]*TABLA_BASE[[#This Row],[CANTIDAD
(unid.)]]</f>
        <v>0</v>
      </c>
      <c r="W230" s="281">
        <f>TABLA_BASE[[#This Row],[IPM UNIT.
(US$)
✅CF]]*'📋 Datos Generales'!$E$19</f>
        <v>0</v>
      </c>
      <c r="X230" s="281">
        <f>TABLA_BASE[[#This Row],[IPM UNIT.
(S/.)]]*TABLA_BASE[[#This Row],[CANTIDAD
(unid.)]]</f>
        <v>0</v>
      </c>
      <c r="Y230" s="281">
        <f>TABLA_BASE[[#This Row],[IGV UNIT.
(US$)
✅CF]]*'📋 Datos Generales'!$E$19</f>
        <v>0</v>
      </c>
      <c r="Z230" s="281">
        <f>TABLA_BASE[[#This Row],[IGV UNIT.
(S/.)]]*TABLA_BASE[[#This Row],[CANTIDAD
(unid.)]]</f>
        <v>0</v>
      </c>
      <c r="AA230" s="281">
        <f>TABLA_BASE[[#This Row],[PERCEP.
UNIT.(US$)
✅CF]]*'📋 Datos Generales'!$E$19</f>
        <v>0</v>
      </c>
      <c r="AB230" s="281">
        <f>TABLA_BASE[[#This Row],[PERCEP.
UNIT.(S/.)]]*TABLA_BASE[[#This Row],[CANTIDAD
(unid.)]]</f>
        <v>0</v>
      </c>
      <c r="AC230" s="279">
        <f>TABLA_BASE[[#This Row],[ADV UNIT.
(US$)
⚠️COSTO]]+TABLA_BASE[[#This Row],[IPM UNIT.
(US$)
✅CF]]+TABLA_BASE[[#This Row],[IGV UNIT.
(US$)
✅CF]]+TABLA_BASE[[#This Row],[PERCEP.
UNIT.(US$)
✅CF]]</f>
        <v>0</v>
      </c>
      <c r="AD230" s="279">
        <f>TABLA_BASE[[#This Row],[TOTAL PAGO
SUNAT
UNIT.(US$)]]*TABLA_BASE[[#This Row],[CANTIDAD
(unid.)]]</f>
        <v>0</v>
      </c>
      <c r="AE230" s="281">
        <f>TABLA_BASE[[#This Row],[TOTAL PAGO
SUNAT
UNIT.(US$)]]*'📋 Datos Generales'!$E$19</f>
        <v>0</v>
      </c>
      <c r="AF230" s="281">
        <f>TABLA_BASE[[#This Row],[TOTAL TRIB.
UNIT.(S/.)]]*TABLA_BASE[[#This Row],[CANTIDAD
(unid.)]]</f>
        <v>0</v>
      </c>
      <c r="AG230" s="279">
        <f>IF('🧾 Factura Comercial'!G234=0,0,'📦 Gastos Importación'!$E$28*(IF('🧾 Tributos Aduana'!$F$6=0,0,'🧾 Factura Comercial'!I234/'🧾 Tributos Aduana'!$F$6))/'🧾 Factura Comercial'!G234)</f>
        <v>0</v>
      </c>
      <c r="AH230" s="279">
        <f>TABLA_BASE[[#This Row],[GASTOS IMP.
UNIT.(US$)]]*TABLA_BASE[[#This Row],[CANTIDAD
(unid.)]]</f>
        <v>0</v>
      </c>
      <c r="AI230" s="281">
        <f>TABLA_BASE[[#This Row],[GASTOS IMP.
UNIT.(US$)]]*'📋 Datos Generales'!$E$19</f>
        <v>0</v>
      </c>
      <c r="AJ230" s="281">
        <f>TABLA_BASE[[#This Row],[GASTOS IMP.
UNIT.(S/.)]]*TABLA_BASE[[#This Row],[CANTIDAD
(unid.)]]</f>
        <v>0</v>
      </c>
      <c r="AK230" s="280">
        <f>'🧮 Costos x Producto'!J234</f>
        <v>0</v>
      </c>
      <c r="AL230" s="278">
        <f>'🧮 Costos x Producto'!K234</f>
        <v>0</v>
      </c>
      <c r="AM230" s="278">
        <f>TABLA_BASE[[#This Row],[C/M UNIT.
(S/.)]]*TABLA_BASE[[#This Row],[CANTIDAD
(unid.)]]</f>
        <v>0</v>
      </c>
      <c r="AN230" s="279">
        <f>IF('🧾 Factura Comercial'!G234=0,0,'🧾 Tributos Aduana'!$F$17*(IF('🧾 Tributos Aduana'!$F$6=0,0,'🧾 Factura Comercial'!I234/'🧾 Tributos Aduana'!$F$6))/'🧾 Factura Comercial'!G234)</f>
        <v>0</v>
      </c>
      <c r="AO230" s="280">
        <f>IF('🧾 Factura Comercial'!G234=0,0,'🏦 Crédito Fiscal'!$C$16*(IF('🧾 Tributos Aduana'!$F$6=0,0,'🧾 Factura Comercial'!I234/'🧾 Tributos Aduana'!$F$6))/'🧾 Factura Comercial'!G234)</f>
        <v>0</v>
      </c>
      <c r="AP230" s="278">
        <f>TABLA_BASE[[#This Row],[CF UNIT.
✅RECUP.
(US$)]]*'📋 Datos Generales'!$E$19</f>
        <v>0</v>
      </c>
      <c r="AQ230" s="278">
        <f>TABLA_BASE[[#This Row],[CF UNIT.
✅RECUP.(S/.)]]*TABLA_BASE[[#This Row],[CANTIDAD
(unid.)]]</f>
        <v>0</v>
      </c>
      <c r="AR230" s="288">
        <f>'💰 Precio de Venta'!G235</f>
        <v>0.4</v>
      </c>
      <c r="AS230" s="278">
        <f>'💰 Precio de Venta'!H235</f>
        <v>0</v>
      </c>
      <c r="AT230" s="278">
        <f>TABLA_BASE[[#This Row],[VALOR VTA.
UNIT.(S/.)]]*TABLA_BASE[[#This Row],[CANTIDAD
(unid.)]]</f>
        <v>0</v>
      </c>
      <c r="AU230" s="281">
        <f>'💰 Precio de Venta'!I235</f>
        <v>0</v>
      </c>
      <c r="AV230" s="278">
        <f>'💰 Precio de Venta'!J235</f>
        <v>0</v>
      </c>
      <c r="AW230" s="278">
        <f>TABLA_BASE[[#This Row],[GANANCIA
UNIT.(S/.)]]*TABLA_BASE[[#This Row],[CANTIDAD
(unid.)]]</f>
        <v>0</v>
      </c>
      <c r="AX230" s="289">
        <f>'💰 Precio de Venta'!K235</f>
        <v>0</v>
      </c>
      <c r="AY230" s="278">
        <f>TABLA_BASE[[#This Row],[GANANCIA
UNIT.(S/.)]]*'🧾 Factura Comercial'!G234</f>
        <v>0</v>
      </c>
      <c r="AZ230" s="277">
        <f>IF(TABLA_BASE[[#This Row],[PRECIO VTA.
c/IGV(S/.)]]=0,0,TABLA_BASE[[#This Row],[GANANCIA
UNIT.(S/.)]]/TABLA_BASE[[#This Row],[PRECIO VTA.
c/IGV(S/.)]])</f>
        <v>0</v>
      </c>
      <c r="BA230" s="277">
        <f>IF(TABLA_BASE[[#This Row],[C/M UNIT.
(S/.)]]=0,0,TABLA_BASE[[#This Row],[GANANCIA
UNIT.(S/.)]]/TABLA_BASE[[#This Row],[C/M UNIT.
(S/.)]])</f>
        <v>0</v>
      </c>
      <c r="BB230" s="274" t="str">
        <f>IF(TABLA_BASE[[#This Row],[MARGEN
%]]&gt;=0.5,"🟢 ALTO",IF(TABLA_BASE[[#This Row],[MARGEN
%]]&gt;=0.3,"🟡 MEDIO","🔴 BAJO"))</f>
        <v>🟡 MEDIO</v>
      </c>
    </row>
    <row r="231" spans="1:54" ht="16.5" hidden="1" thickTop="1" thickBot="1" x14ac:dyDescent="0.3">
      <c r="A231" s="274">
        <f>'🧾 Factura Comercial'!E235</f>
        <v>0</v>
      </c>
      <c r="B231" s="274" t="str">
        <f>'🧾 Factura Comercial'!F235</f>
        <v>Unid.</v>
      </c>
      <c r="C231" s="275">
        <f>'🧾 Factura Comercial'!G235</f>
        <v>0</v>
      </c>
      <c r="D231" s="276">
        <f>'🧾 Factura Comercial'!H235</f>
        <v>0</v>
      </c>
      <c r="E231" s="276">
        <f>'🧾 Factura Comercial'!I235</f>
        <v>0</v>
      </c>
      <c r="F231" s="277">
        <f>IF('🧾 Tributos Aduana'!$F$6=0,0,'🧾 Factura Comercial'!I235/'🧾 Tributos Aduana'!$F$6)</f>
        <v>0</v>
      </c>
      <c r="G231" s="278">
        <f>'🧾 Factura Comercial'!H235*'📋 Datos Generales'!$E$19</f>
        <v>0</v>
      </c>
      <c r="H231" s="278">
        <f>TABLA_BASE[[#This Row],[FOB UNIT.
(S/.)]]*TABLA_BASE[[#This Row],[CANTIDAD
(unid.)]]</f>
        <v>0</v>
      </c>
      <c r="I231" s="280">
        <f>IF('🧾 Tributos Aduana'!$F$6=0,0,'🧾 Tributos Aduana'!$F$17*('🧾 Factura Comercial'!H235/'🧾 Tributos Aduana'!$F$6))</f>
        <v>0</v>
      </c>
      <c r="J231" s="280">
        <f>TABLA_BASE[[#This Row],[ADV UNIT.
(US$)
⚠️COSTO]]*TABLA_BASE[[#This Row],[CANTIDAD
(unid.)]]</f>
        <v>0</v>
      </c>
      <c r="K231" s="279">
        <f>IF('🧾 Tributos Aduana'!$F$6=0,0,'🧾 Tributos Aduana'!$F$18*('🧾 Factura Comercial'!H235/'🧾 Tributos Aduana'!$F$6))</f>
        <v>0</v>
      </c>
      <c r="L231" s="280">
        <f>TABLA_BASE[[#This Row],[IPM UNIT.
(US$)
✅CF]]*TABLA_BASE[[#This Row],[CANTIDAD
(unid.)]]</f>
        <v>0</v>
      </c>
      <c r="M231" s="279">
        <f>IF('🧾 Tributos Aduana'!$F$6=0,0,'🧾 Tributos Aduana'!$F$19*('🧾 Factura Comercial'!H235/'🧾 Tributos Aduana'!$F$6))</f>
        <v>0</v>
      </c>
      <c r="N231" s="280">
        <f>TABLA_BASE[[#This Row],[IGV UNIT.
(US$)
✅CF]]*TABLA_BASE[[#This Row],[CANTIDAD
(unid.)]]</f>
        <v>0</v>
      </c>
      <c r="O231" s="280">
        <f>IF('🧾 Tributos Aduana'!$F$6=0,0,'🧾 Tributos Aduana'!$F$23*('🧾 Factura Comercial'!H235/'🧾 Tributos Aduana'!$F$6))</f>
        <v>0</v>
      </c>
      <c r="P231" s="280">
        <f>TABLA_BASE[[#This Row],[PERCEP.
UNIT.(US$)
✅CF]]*TABLA_BASE[[#This Row],[CANTIDAD
(unid.)]]</f>
        <v>0</v>
      </c>
      <c r="Q231" s="279">
        <f>TABLA_BASE[[#This Row],[ADV UNIT.
(US$)
⚠️COSTO]]+TABLA_BASE[[#This Row],[IPM UNIT.
(US$)
✅CF]]+TABLA_BASE[[#This Row],[IGV UNIT.
(US$)
✅CF]]</f>
        <v>0</v>
      </c>
      <c r="R231" s="280">
        <f>TABLA_BASE[[#This Row],[DEUDA
ADUANERA
UNIT.]]*TABLA_BASE[[#This Row],[CANTIDAD
(unid.)]]</f>
        <v>0</v>
      </c>
      <c r="S231" s="278">
        <f>TABLA_BASE[[#This Row],[DEUDA
ADUANERA
UNIT.]]*'📋 Datos Generales'!$E$19</f>
        <v>0</v>
      </c>
      <c r="T231" s="278">
        <f>TABLA_BASE[[#This Row],[DEUDA
ADUANERA
TOTAL]]*'📋 Datos Generales'!$E$19</f>
        <v>0</v>
      </c>
      <c r="U231" s="281">
        <f>TABLA_BASE[[#This Row],[ADV UNIT.
(US$)
⚠️COSTO]]*'📋 Datos Generales'!$E$19</f>
        <v>0</v>
      </c>
      <c r="V231" s="281">
        <f>TABLA_BASE[[#This Row],[ADV UNIT.
(S/.)]]*TABLA_BASE[[#This Row],[CANTIDAD
(unid.)]]</f>
        <v>0</v>
      </c>
      <c r="W231" s="281">
        <f>TABLA_BASE[[#This Row],[IPM UNIT.
(US$)
✅CF]]*'📋 Datos Generales'!$E$19</f>
        <v>0</v>
      </c>
      <c r="X231" s="281">
        <f>TABLA_BASE[[#This Row],[IPM UNIT.
(S/.)]]*TABLA_BASE[[#This Row],[CANTIDAD
(unid.)]]</f>
        <v>0</v>
      </c>
      <c r="Y231" s="281">
        <f>TABLA_BASE[[#This Row],[IGV UNIT.
(US$)
✅CF]]*'📋 Datos Generales'!$E$19</f>
        <v>0</v>
      </c>
      <c r="Z231" s="281">
        <f>TABLA_BASE[[#This Row],[IGV UNIT.
(S/.)]]*TABLA_BASE[[#This Row],[CANTIDAD
(unid.)]]</f>
        <v>0</v>
      </c>
      <c r="AA231" s="281">
        <f>TABLA_BASE[[#This Row],[PERCEP.
UNIT.(US$)
✅CF]]*'📋 Datos Generales'!$E$19</f>
        <v>0</v>
      </c>
      <c r="AB231" s="281">
        <f>TABLA_BASE[[#This Row],[PERCEP.
UNIT.(S/.)]]*TABLA_BASE[[#This Row],[CANTIDAD
(unid.)]]</f>
        <v>0</v>
      </c>
      <c r="AC231" s="279">
        <f>TABLA_BASE[[#This Row],[ADV UNIT.
(US$)
⚠️COSTO]]+TABLA_BASE[[#This Row],[IPM UNIT.
(US$)
✅CF]]+TABLA_BASE[[#This Row],[IGV UNIT.
(US$)
✅CF]]+TABLA_BASE[[#This Row],[PERCEP.
UNIT.(US$)
✅CF]]</f>
        <v>0</v>
      </c>
      <c r="AD231" s="279">
        <f>TABLA_BASE[[#This Row],[TOTAL PAGO
SUNAT
UNIT.(US$)]]*TABLA_BASE[[#This Row],[CANTIDAD
(unid.)]]</f>
        <v>0</v>
      </c>
      <c r="AE231" s="281">
        <f>TABLA_BASE[[#This Row],[TOTAL PAGO
SUNAT
UNIT.(US$)]]*'📋 Datos Generales'!$E$19</f>
        <v>0</v>
      </c>
      <c r="AF231" s="281">
        <f>TABLA_BASE[[#This Row],[TOTAL TRIB.
UNIT.(S/.)]]*TABLA_BASE[[#This Row],[CANTIDAD
(unid.)]]</f>
        <v>0</v>
      </c>
      <c r="AG231" s="279">
        <f>IF('🧾 Factura Comercial'!G235=0,0,'📦 Gastos Importación'!$E$28*(IF('🧾 Tributos Aduana'!$F$6=0,0,'🧾 Factura Comercial'!I235/'🧾 Tributos Aduana'!$F$6))/'🧾 Factura Comercial'!G235)</f>
        <v>0</v>
      </c>
      <c r="AH231" s="279">
        <f>TABLA_BASE[[#This Row],[GASTOS IMP.
UNIT.(US$)]]*TABLA_BASE[[#This Row],[CANTIDAD
(unid.)]]</f>
        <v>0</v>
      </c>
      <c r="AI231" s="281">
        <f>TABLA_BASE[[#This Row],[GASTOS IMP.
UNIT.(US$)]]*'📋 Datos Generales'!$E$19</f>
        <v>0</v>
      </c>
      <c r="AJ231" s="281">
        <f>TABLA_BASE[[#This Row],[GASTOS IMP.
UNIT.(S/.)]]*TABLA_BASE[[#This Row],[CANTIDAD
(unid.)]]</f>
        <v>0</v>
      </c>
      <c r="AK231" s="280">
        <f>'🧮 Costos x Producto'!J235</f>
        <v>0</v>
      </c>
      <c r="AL231" s="278">
        <f>'🧮 Costos x Producto'!K235</f>
        <v>0</v>
      </c>
      <c r="AM231" s="278">
        <f>TABLA_BASE[[#This Row],[C/M UNIT.
(S/.)]]*TABLA_BASE[[#This Row],[CANTIDAD
(unid.)]]</f>
        <v>0</v>
      </c>
      <c r="AN231" s="279">
        <f>IF('🧾 Factura Comercial'!G235=0,0,'🧾 Tributos Aduana'!$F$17*(IF('🧾 Tributos Aduana'!$F$6=0,0,'🧾 Factura Comercial'!I235/'🧾 Tributos Aduana'!$F$6))/'🧾 Factura Comercial'!G235)</f>
        <v>0</v>
      </c>
      <c r="AO231" s="280">
        <f>IF('🧾 Factura Comercial'!G235=0,0,'🏦 Crédito Fiscal'!$C$16*(IF('🧾 Tributos Aduana'!$F$6=0,0,'🧾 Factura Comercial'!I235/'🧾 Tributos Aduana'!$F$6))/'🧾 Factura Comercial'!G235)</f>
        <v>0</v>
      </c>
      <c r="AP231" s="278">
        <f>TABLA_BASE[[#This Row],[CF UNIT.
✅RECUP.
(US$)]]*'📋 Datos Generales'!$E$19</f>
        <v>0</v>
      </c>
      <c r="AQ231" s="278">
        <f>TABLA_BASE[[#This Row],[CF UNIT.
✅RECUP.(S/.)]]*TABLA_BASE[[#This Row],[CANTIDAD
(unid.)]]</f>
        <v>0</v>
      </c>
      <c r="AR231" s="288">
        <f>'💰 Precio de Venta'!G236</f>
        <v>0.4</v>
      </c>
      <c r="AS231" s="278">
        <f>'💰 Precio de Venta'!H236</f>
        <v>0</v>
      </c>
      <c r="AT231" s="278">
        <f>TABLA_BASE[[#This Row],[VALOR VTA.
UNIT.(S/.)]]*TABLA_BASE[[#This Row],[CANTIDAD
(unid.)]]</f>
        <v>0</v>
      </c>
      <c r="AU231" s="281">
        <f>'💰 Precio de Venta'!I236</f>
        <v>0</v>
      </c>
      <c r="AV231" s="278">
        <f>'💰 Precio de Venta'!J236</f>
        <v>0</v>
      </c>
      <c r="AW231" s="278">
        <f>TABLA_BASE[[#This Row],[GANANCIA
UNIT.(S/.)]]*TABLA_BASE[[#This Row],[CANTIDAD
(unid.)]]</f>
        <v>0</v>
      </c>
      <c r="AX231" s="289">
        <f>'💰 Precio de Venta'!K236</f>
        <v>0</v>
      </c>
      <c r="AY231" s="278">
        <f>TABLA_BASE[[#This Row],[GANANCIA
UNIT.(S/.)]]*'🧾 Factura Comercial'!G235</f>
        <v>0</v>
      </c>
      <c r="AZ231" s="277">
        <f>IF(TABLA_BASE[[#This Row],[PRECIO VTA.
c/IGV(S/.)]]=0,0,TABLA_BASE[[#This Row],[GANANCIA
UNIT.(S/.)]]/TABLA_BASE[[#This Row],[PRECIO VTA.
c/IGV(S/.)]])</f>
        <v>0</v>
      </c>
      <c r="BA231" s="277">
        <f>IF(TABLA_BASE[[#This Row],[C/M UNIT.
(S/.)]]=0,0,TABLA_BASE[[#This Row],[GANANCIA
UNIT.(S/.)]]/TABLA_BASE[[#This Row],[C/M UNIT.
(S/.)]])</f>
        <v>0</v>
      </c>
      <c r="BB231" s="274" t="str">
        <f>IF(TABLA_BASE[[#This Row],[MARGEN
%]]&gt;=0.5,"🟢 ALTO",IF(TABLA_BASE[[#This Row],[MARGEN
%]]&gt;=0.3,"🟡 MEDIO","🔴 BAJO"))</f>
        <v>🟡 MEDIO</v>
      </c>
    </row>
    <row r="232" spans="1:54" ht="16.5" hidden="1" thickTop="1" thickBot="1" x14ac:dyDescent="0.3">
      <c r="A232" s="274">
        <f>'🧾 Factura Comercial'!E236</f>
        <v>0</v>
      </c>
      <c r="B232" s="274" t="str">
        <f>'🧾 Factura Comercial'!F236</f>
        <v>Unid.</v>
      </c>
      <c r="C232" s="275">
        <f>'🧾 Factura Comercial'!G236</f>
        <v>0</v>
      </c>
      <c r="D232" s="276">
        <f>'🧾 Factura Comercial'!H236</f>
        <v>0</v>
      </c>
      <c r="E232" s="276">
        <f>'🧾 Factura Comercial'!I236</f>
        <v>0</v>
      </c>
      <c r="F232" s="277">
        <f>IF('🧾 Tributos Aduana'!$F$6=0,0,'🧾 Factura Comercial'!I236/'🧾 Tributos Aduana'!$F$6)</f>
        <v>0</v>
      </c>
      <c r="G232" s="278">
        <f>'🧾 Factura Comercial'!H236*'📋 Datos Generales'!$E$19</f>
        <v>0</v>
      </c>
      <c r="H232" s="278">
        <f>TABLA_BASE[[#This Row],[FOB UNIT.
(S/.)]]*TABLA_BASE[[#This Row],[CANTIDAD
(unid.)]]</f>
        <v>0</v>
      </c>
      <c r="I232" s="280">
        <f>IF('🧾 Tributos Aduana'!$F$6=0,0,'🧾 Tributos Aduana'!$F$17*('🧾 Factura Comercial'!H236/'🧾 Tributos Aduana'!$F$6))</f>
        <v>0</v>
      </c>
      <c r="J232" s="280">
        <f>TABLA_BASE[[#This Row],[ADV UNIT.
(US$)
⚠️COSTO]]*TABLA_BASE[[#This Row],[CANTIDAD
(unid.)]]</f>
        <v>0</v>
      </c>
      <c r="K232" s="279">
        <f>IF('🧾 Tributos Aduana'!$F$6=0,0,'🧾 Tributos Aduana'!$F$18*('🧾 Factura Comercial'!H236/'🧾 Tributos Aduana'!$F$6))</f>
        <v>0</v>
      </c>
      <c r="L232" s="280">
        <f>TABLA_BASE[[#This Row],[IPM UNIT.
(US$)
✅CF]]*TABLA_BASE[[#This Row],[CANTIDAD
(unid.)]]</f>
        <v>0</v>
      </c>
      <c r="M232" s="279">
        <f>IF('🧾 Tributos Aduana'!$F$6=0,0,'🧾 Tributos Aduana'!$F$19*('🧾 Factura Comercial'!H236/'🧾 Tributos Aduana'!$F$6))</f>
        <v>0</v>
      </c>
      <c r="N232" s="280">
        <f>TABLA_BASE[[#This Row],[IGV UNIT.
(US$)
✅CF]]*TABLA_BASE[[#This Row],[CANTIDAD
(unid.)]]</f>
        <v>0</v>
      </c>
      <c r="O232" s="280">
        <f>IF('🧾 Tributos Aduana'!$F$6=0,0,'🧾 Tributos Aduana'!$F$23*('🧾 Factura Comercial'!H236/'🧾 Tributos Aduana'!$F$6))</f>
        <v>0</v>
      </c>
      <c r="P232" s="280">
        <f>TABLA_BASE[[#This Row],[PERCEP.
UNIT.(US$)
✅CF]]*TABLA_BASE[[#This Row],[CANTIDAD
(unid.)]]</f>
        <v>0</v>
      </c>
      <c r="Q232" s="279">
        <f>TABLA_BASE[[#This Row],[ADV UNIT.
(US$)
⚠️COSTO]]+TABLA_BASE[[#This Row],[IPM UNIT.
(US$)
✅CF]]+TABLA_BASE[[#This Row],[IGV UNIT.
(US$)
✅CF]]</f>
        <v>0</v>
      </c>
      <c r="R232" s="280">
        <f>TABLA_BASE[[#This Row],[DEUDA
ADUANERA
UNIT.]]*TABLA_BASE[[#This Row],[CANTIDAD
(unid.)]]</f>
        <v>0</v>
      </c>
      <c r="S232" s="278">
        <f>TABLA_BASE[[#This Row],[DEUDA
ADUANERA
UNIT.]]*'📋 Datos Generales'!$E$19</f>
        <v>0</v>
      </c>
      <c r="T232" s="278">
        <f>TABLA_BASE[[#This Row],[DEUDA
ADUANERA
TOTAL]]*'📋 Datos Generales'!$E$19</f>
        <v>0</v>
      </c>
      <c r="U232" s="281">
        <f>TABLA_BASE[[#This Row],[ADV UNIT.
(US$)
⚠️COSTO]]*'📋 Datos Generales'!$E$19</f>
        <v>0</v>
      </c>
      <c r="V232" s="281">
        <f>TABLA_BASE[[#This Row],[ADV UNIT.
(S/.)]]*TABLA_BASE[[#This Row],[CANTIDAD
(unid.)]]</f>
        <v>0</v>
      </c>
      <c r="W232" s="281">
        <f>TABLA_BASE[[#This Row],[IPM UNIT.
(US$)
✅CF]]*'📋 Datos Generales'!$E$19</f>
        <v>0</v>
      </c>
      <c r="X232" s="281">
        <f>TABLA_BASE[[#This Row],[IPM UNIT.
(S/.)]]*TABLA_BASE[[#This Row],[CANTIDAD
(unid.)]]</f>
        <v>0</v>
      </c>
      <c r="Y232" s="281">
        <f>TABLA_BASE[[#This Row],[IGV UNIT.
(US$)
✅CF]]*'📋 Datos Generales'!$E$19</f>
        <v>0</v>
      </c>
      <c r="Z232" s="281">
        <f>TABLA_BASE[[#This Row],[IGV UNIT.
(S/.)]]*TABLA_BASE[[#This Row],[CANTIDAD
(unid.)]]</f>
        <v>0</v>
      </c>
      <c r="AA232" s="281">
        <f>TABLA_BASE[[#This Row],[PERCEP.
UNIT.(US$)
✅CF]]*'📋 Datos Generales'!$E$19</f>
        <v>0</v>
      </c>
      <c r="AB232" s="281">
        <f>TABLA_BASE[[#This Row],[PERCEP.
UNIT.(S/.)]]*TABLA_BASE[[#This Row],[CANTIDAD
(unid.)]]</f>
        <v>0</v>
      </c>
      <c r="AC232" s="279">
        <f>TABLA_BASE[[#This Row],[ADV UNIT.
(US$)
⚠️COSTO]]+TABLA_BASE[[#This Row],[IPM UNIT.
(US$)
✅CF]]+TABLA_BASE[[#This Row],[IGV UNIT.
(US$)
✅CF]]+TABLA_BASE[[#This Row],[PERCEP.
UNIT.(US$)
✅CF]]</f>
        <v>0</v>
      </c>
      <c r="AD232" s="279">
        <f>TABLA_BASE[[#This Row],[TOTAL PAGO
SUNAT
UNIT.(US$)]]*TABLA_BASE[[#This Row],[CANTIDAD
(unid.)]]</f>
        <v>0</v>
      </c>
      <c r="AE232" s="281">
        <f>TABLA_BASE[[#This Row],[TOTAL PAGO
SUNAT
UNIT.(US$)]]*'📋 Datos Generales'!$E$19</f>
        <v>0</v>
      </c>
      <c r="AF232" s="281">
        <f>TABLA_BASE[[#This Row],[TOTAL TRIB.
UNIT.(S/.)]]*TABLA_BASE[[#This Row],[CANTIDAD
(unid.)]]</f>
        <v>0</v>
      </c>
      <c r="AG232" s="279">
        <f>IF('🧾 Factura Comercial'!G236=0,0,'📦 Gastos Importación'!$E$28*(IF('🧾 Tributos Aduana'!$F$6=0,0,'🧾 Factura Comercial'!I236/'🧾 Tributos Aduana'!$F$6))/'🧾 Factura Comercial'!G236)</f>
        <v>0</v>
      </c>
      <c r="AH232" s="279">
        <f>TABLA_BASE[[#This Row],[GASTOS IMP.
UNIT.(US$)]]*TABLA_BASE[[#This Row],[CANTIDAD
(unid.)]]</f>
        <v>0</v>
      </c>
      <c r="AI232" s="281">
        <f>TABLA_BASE[[#This Row],[GASTOS IMP.
UNIT.(US$)]]*'📋 Datos Generales'!$E$19</f>
        <v>0</v>
      </c>
      <c r="AJ232" s="281">
        <f>TABLA_BASE[[#This Row],[GASTOS IMP.
UNIT.(S/.)]]*TABLA_BASE[[#This Row],[CANTIDAD
(unid.)]]</f>
        <v>0</v>
      </c>
      <c r="AK232" s="280">
        <f>'🧮 Costos x Producto'!J236</f>
        <v>0</v>
      </c>
      <c r="AL232" s="278">
        <f>'🧮 Costos x Producto'!K236</f>
        <v>0</v>
      </c>
      <c r="AM232" s="278">
        <f>TABLA_BASE[[#This Row],[C/M UNIT.
(S/.)]]*TABLA_BASE[[#This Row],[CANTIDAD
(unid.)]]</f>
        <v>0</v>
      </c>
      <c r="AN232" s="279">
        <f>IF('🧾 Factura Comercial'!G236=0,0,'🧾 Tributos Aduana'!$F$17*(IF('🧾 Tributos Aduana'!$F$6=0,0,'🧾 Factura Comercial'!I236/'🧾 Tributos Aduana'!$F$6))/'🧾 Factura Comercial'!G236)</f>
        <v>0</v>
      </c>
      <c r="AO232" s="280">
        <f>IF('🧾 Factura Comercial'!G236=0,0,'🏦 Crédito Fiscal'!$C$16*(IF('🧾 Tributos Aduana'!$F$6=0,0,'🧾 Factura Comercial'!I236/'🧾 Tributos Aduana'!$F$6))/'🧾 Factura Comercial'!G236)</f>
        <v>0</v>
      </c>
      <c r="AP232" s="278">
        <f>TABLA_BASE[[#This Row],[CF UNIT.
✅RECUP.
(US$)]]*'📋 Datos Generales'!$E$19</f>
        <v>0</v>
      </c>
      <c r="AQ232" s="278">
        <f>TABLA_BASE[[#This Row],[CF UNIT.
✅RECUP.(S/.)]]*TABLA_BASE[[#This Row],[CANTIDAD
(unid.)]]</f>
        <v>0</v>
      </c>
      <c r="AR232" s="288">
        <f>'💰 Precio de Venta'!G237</f>
        <v>0.4</v>
      </c>
      <c r="AS232" s="278">
        <f>'💰 Precio de Venta'!H237</f>
        <v>0</v>
      </c>
      <c r="AT232" s="278">
        <f>TABLA_BASE[[#This Row],[VALOR VTA.
UNIT.(S/.)]]*TABLA_BASE[[#This Row],[CANTIDAD
(unid.)]]</f>
        <v>0</v>
      </c>
      <c r="AU232" s="281">
        <f>'💰 Precio de Venta'!I237</f>
        <v>0</v>
      </c>
      <c r="AV232" s="278">
        <f>'💰 Precio de Venta'!J237</f>
        <v>0</v>
      </c>
      <c r="AW232" s="278">
        <f>TABLA_BASE[[#This Row],[GANANCIA
UNIT.(S/.)]]*TABLA_BASE[[#This Row],[CANTIDAD
(unid.)]]</f>
        <v>0</v>
      </c>
      <c r="AX232" s="289">
        <f>'💰 Precio de Venta'!K237</f>
        <v>0</v>
      </c>
      <c r="AY232" s="278">
        <f>TABLA_BASE[[#This Row],[GANANCIA
UNIT.(S/.)]]*'🧾 Factura Comercial'!G236</f>
        <v>0</v>
      </c>
      <c r="AZ232" s="277">
        <f>IF(TABLA_BASE[[#This Row],[PRECIO VTA.
c/IGV(S/.)]]=0,0,TABLA_BASE[[#This Row],[GANANCIA
UNIT.(S/.)]]/TABLA_BASE[[#This Row],[PRECIO VTA.
c/IGV(S/.)]])</f>
        <v>0</v>
      </c>
      <c r="BA232" s="277">
        <f>IF(TABLA_BASE[[#This Row],[C/M UNIT.
(S/.)]]=0,0,TABLA_BASE[[#This Row],[GANANCIA
UNIT.(S/.)]]/TABLA_BASE[[#This Row],[C/M UNIT.
(S/.)]])</f>
        <v>0</v>
      </c>
      <c r="BB232" s="274" t="str">
        <f>IF(TABLA_BASE[[#This Row],[MARGEN
%]]&gt;=0.5,"🟢 ALTO",IF(TABLA_BASE[[#This Row],[MARGEN
%]]&gt;=0.3,"🟡 MEDIO","🔴 BAJO"))</f>
        <v>🟡 MEDIO</v>
      </c>
    </row>
    <row r="233" spans="1:54" ht="16.5" hidden="1" thickTop="1" thickBot="1" x14ac:dyDescent="0.3">
      <c r="A233" s="274">
        <f>'🧾 Factura Comercial'!E237</f>
        <v>0</v>
      </c>
      <c r="B233" s="274" t="str">
        <f>'🧾 Factura Comercial'!F237</f>
        <v>Unid.</v>
      </c>
      <c r="C233" s="275">
        <f>'🧾 Factura Comercial'!G237</f>
        <v>0</v>
      </c>
      <c r="D233" s="276">
        <f>'🧾 Factura Comercial'!H237</f>
        <v>0</v>
      </c>
      <c r="E233" s="276">
        <f>'🧾 Factura Comercial'!I237</f>
        <v>0</v>
      </c>
      <c r="F233" s="277">
        <f>IF('🧾 Tributos Aduana'!$F$6=0,0,'🧾 Factura Comercial'!I237/'🧾 Tributos Aduana'!$F$6)</f>
        <v>0</v>
      </c>
      <c r="G233" s="278">
        <f>'🧾 Factura Comercial'!H237*'📋 Datos Generales'!$E$19</f>
        <v>0</v>
      </c>
      <c r="H233" s="278">
        <f>TABLA_BASE[[#This Row],[FOB UNIT.
(S/.)]]*TABLA_BASE[[#This Row],[CANTIDAD
(unid.)]]</f>
        <v>0</v>
      </c>
      <c r="I233" s="280">
        <f>IF('🧾 Tributos Aduana'!$F$6=0,0,'🧾 Tributos Aduana'!$F$17*('🧾 Factura Comercial'!H237/'🧾 Tributos Aduana'!$F$6))</f>
        <v>0</v>
      </c>
      <c r="J233" s="280">
        <f>TABLA_BASE[[#This Row],[ADV UNIT.
(US$)
⚠️COSTO]]*TABLA_BASE[[#This Row],[CANTIDAD
(unid.)]]</f>
        <v>0</v>
      </c>
      <c r="K233" s="279">
        <f>IF('🧾 Tributos Aduana'!$F$6=0,0,'🧾 Tributos Aduana'!$F$18*('🧾 Factura Comercial'!H237/'🧾 Tributos Aduana'!$F$6))</f>
        <v>0</v>
      </c>
      <c r="L233" s="280">
        <f>TABLA_BASE[[#This Row],[IPM UNIT.
(US$)
✅CF]]*TABLA_BASE[[#This Row],[CANTIDAD
(unid.)]]</f>
        <v>0</v>
      </c>
      <c r="M233" s="279">
        <f>IF('🧾 Tributos Aduana'!$F$6=0,0,'🧾 Tributos Aduana'!$F$19*('🧾 Factura Comercial'!H237/'🧾 Tributos Aduana'!$F$6))</f>
        <v>0</v>
      </c>
      <c r="N233" s="280">
        <f>TABLA_BASE[[#This Row],[IGV UNIT.
(US$)
✅CF]]*TABLA_BASE[[#This Row],[CANTIDAD
(unid.)]]</f>
        <v>0</v>
      </c>
      <c r="O233" s="280">
        <f>IF('🧾 Tributos Aduana'!$F$6=0,0,'🧾 Tributos Aduana'!$F$23*('🧾 Factura Comercial'!H237/'🧾 Tributos Aduana'!$F$6))</f>
        <v>0</v>
      </c>
      <c r="P233" s="280">
        <f>TABLA_BASE[[#This Row],[PERCEP.
UNIT.(US$)
✅CF]]*TABLA_BASE[[#This Row],[CANTIDAD
(unid.)]]</f>
        <v>0</v>
      </c>
      <c r="Q233" s="279">
        <f>TABLA_BASE[[#This Row],[ADV UNIT.
(US$)
⚠️COSTO]]+TABLA_BASE[[#This Row],[IPM UNIT.
(US$)
✅CF]]+TABLA_BASE[[#This Row],[IGV UNIT.
(US$)
✅CF]]</f>
        <v>0</v>
      </c>
      <c r="R233" s="280">
        <f>TABLA_BASE[[#This Row],[DEUDA
ADUANERA
UNIT.]]*TABLA_BASE[[#This Row],[CANTIDAD
(unid.)]]</f>
        <v>0</v>
      </c>
      <c r="S233" s="278">
        <f>TABLA_BASE[[#This Row],[DEUDA
ADUANERA
UNIT.]]*'📋 Datos Generales'!$E$19</f>
        <v>0</v>
      </c>
      <c r="T233" s="278">
        <f>TABLA_BASE[[#This Row],[DEUDA
ADUANERA
TOTAL]]*'📋 Datos Generales'!$E$19</f>
        <v>0</v>
      </c>
      <c r="U233" s="281">
        <f>TABLA_BASE[[#This Row],[ADV UNIT.
(US$)
⚠️COSTO]]*'📋 Datos Generales'!$E$19</f>
        <v>0</v>
      </c>
      <c r="V233" s="281">
        <f>TABLA_BASE[[#This Row],[ADV UNIT.
(S/.)]]*TABLA_BASE[[#This Row],[CANTIDAD
(unid.)]]</f>
        <v>0</v>
      </c>
      <c r="W233" s="281">
        <f>TABLA_BASE[[#This Row],[IPM UNIT.
(US$)
✅CF]]*'📋 Datos Generales'!$E$19</f>
        <v>0</v>
      </c>
      <c r="X233" s="281">
        <f>TABLA_BASE[[#This Row],[IPM UNIT.
(S/.)]]*TABLA_BASE[[#This Row],[CANTIDAD
(unid.)]]</f>
        <v>0</v>
      </c>
      <c r="Y233" s="281">
        <f>TABLA_BASE[[#This Row],[IGV UNIT.
(US$)
✅CF]]*'📋 Datos Generales'!$E$19</f>
        <v>0</v>
      </c>
      <c r="Z233" s="281">
        <f>TABLA_BASE[[#This Row],[IGV UNIT.
(S/.)]]*TABLA_BASE[[#This Row],[CANTIDAD
(unid.)]]</f>
        <v>0</v>
      </c>
      <c r="AA233" s="281">
        <f>TABLA_BASE[[#This Row],[PERCEP.
UNIT.(US$)
✅CF]]*'📋 Datos Generales'!$E$19</f>
        <v>0</v>
      </c>
      <c r="AB233" s="281">
        <f>TABLA_BASE[[#This Row],[PERCEP.
UNIT.(S/.)]]*TABLA_BASE[[#This Row],[CANTIDAD
(unid.)]]</f>
        <v>0</v>
      </c>
      <c r="AC233" s="279">
        <f>TABLA_BASE[[#This Row],[ADV UNIT.
(US$)
⚠️COSTO]]+TABLA_BASE[[#This Row],[IPM UNIT.
(US$)
✅CF]]+TABLA_BASE[[#This Row],[IGV UNIT.
(US$)
✅CF]]+TABLA_BASE[[#This Row],[PERCEP.
UNIT.(US$)
✅CF]]</f>
        <v>0</v>
      </c>
      <c r="AD233" s="279">
        <f>TABLA_BASE[[#This Row],[TOTAL PAGO
SUNAT
UNIT.(US$)]]*TABLA_BASE[[#This Row],[CANTIDAD
(unid.)]]</f>
        <v>0</v>
      </c>
      <c r="AE233" s="281">
        <f>TABLA_BASE[[#This Row],[TOTAL PAGO
SUNAT
UNIT.(US$)]]*'📋 Datos Generales'!$E$19</f>
        <v>0</v>
      </c>
      <c r="AF233" s="281">
        <f>TABLA_BASE[[#This Row],[TOTAL TRIB.
UNIT.(S/.)]]*TABLA_BASE[[#This Row],[CANTIDAD
(unid.)]]</f>
        <v>0</v>
      </c>
      <c r="AG233" s="279">
        <f>IF('🧾 Factura Comercial'!G237=0,0,'📦 Gastos Importación'!$E$28*(IF('🧾 Tributos Aduana'!$F$6=0,0,'🧾 Factura Comercial'!I237/'🧾 Tributos Aduana'!$F$6))/'🧾 Factura Comercial'!G237)</f>
        <v>0</v>
      </c>
      <c r="AH233" s="279">
        <f>TABLA_BASE[[#This Row],[GASTOS IMP.
UNIT.(US$)]]*TABLA_BASE[[#This Row],[CANTIDAD
(unid.)]]</f>
        <v>0</v>
      </c>
      <c r="AI233" s="281">
        <f>TABLA_BASE[[#This Row],[GASTOS IMP.
UNIT.(US$)]]*'📋 Datos Generales'!$E$19</f>
        <v>0</v>
      </c>
      <c r="AJ233" s="281">
        <f>TABLA_BASE[[#This Row],[GASTOS IMP.
UNIT.(S/.)]]*TABLA_BASE[[#This Row],[CANTIDAD
(unid.)]]</f>
        <v>0</v>
      </c>
      <c r="AK233" s="280">
        <f>'🧮 Costos x Producto'!J237</f>
        <v>0</v>
      </c>
      <c r="AL233" s="278">
        <f>'🧮 Costos x Producto'!K237</f>
        <v>0</v>
      </c>
      <c r="AM233" s="278">
        <f>TABLA_BASE[[#This Row],[C/M UNIT.
(S/.)]]*TABLA_BASE[[#This Row],[CANTIDAD
(unid.)]]</f>
        <v>0</v>
      </c>
      <c r="AN233" s="279">
        <f>IF('🧾 Factura Comercial'!G237=0,0,'🧾 Tributos Aduana'!$F$17*(IF('🧾 Tributos Aduana'!$F$6=0,0,'🧾 Factura Comercial'!I237/'🧾 Tributos Aduana'!$F$6))/'🧾 Factura Comercial'!G237)</f>
        <v>0</v>
      </c>
      <c r="AO233" s="280">
        <f>IF('🧾 Factura Comercial'!G237=0,0,'🏦 Crédito Fiscal'!$C$16*(IF('🧾 Tributos Aduana'!$F$6=0,0,'🧾 Factura Comercial'!I237/'🧾 Tributos Aduana'!$F$6))/'🧾 Factura Comercial'!G237)</f>
        <v>0</v>
      </c>
      <c r="AP233" s="278">
        <f>TABLA_BASE[[#This Row],[CF UNIT.
✅RECUP.
(US$)]]*'📋 Datos Generales'!$E$19</f>
        <v>0</v>
      </c>
      <c r="AQ233" s="278">
        <f>TABLA_BASE[[#This Row],[CF UNIT.
✅RECUP.(S/.)]]*TABLA_BASE[[#This Row],[CANTIDAD
(unid.)]]</f>
        <v>0</v>
      </c>
      <c r="AR233" s="288">
        <f>'💰 Precio de Venta'!G238</f>
        <v>0.4</v>
      </c>
      <c r="AS233" s="278">
        <f>'💰 Precio de Venta'!H238</f>
        <v>0</v>
      </c>
      <c r="AT233" s="278">
        <f>TABLA_BASE[[#This Row],[VALOR VTA.
UNIT.(S/.)]]*TABLA_BASE[[#This Row],[CANTIDAD
(unid.)]]</f>
        <v>0</v>
      </c>
      <c r="AU233" s="281">
        <f>'💰 Precio de Venta'!I238</f>
        <v>0</v>
      </c>
      <c r="AV233" s="278">
        <f>'💰 Precio de Venta'!J238</f>
        <v>0</v>
      </c>
      <c r="AW233" s="278">
        <f>TABLA_BASE[[#This Row],[GANANCIA
UNIT.(S/.)]]*TABLA_BASE[[#This Row],[CANTIDAD
(unid.)]]</f>
        <v>0</v>
      </c>
      <c r="AX233" s="289">
        <f>'💰 Precio de Venta'!K238</f>
        <v>0</v>
      </c>
      <c r="AY233" s="278">
        <f>TABLA_BASE[[#This Row],[GANANCIA
UNIT.(S/.)]]*'🧾 Factura Comercial'!G237</f>
        <v>0</v>
      </c>
      <c r="AZ233" s="277">
        <f>IF(TABLA_BASE[[#This Row],[PRECIO VTA.
c/IGV(S/.)]]=0,0,TABLA_BASE[[#This Row],[GANANCIA
UNIT.(S/.)]]/TABLA_BASE[[#This Row],[PRECIO VTA.
c/IGV(S/.)]])</f>
        <v>0</v>
      </c>
      <c r="BA233" s="277">
        <f>IF(TABLA_BASE[[#This Row],[C/M UNIT.
(S/.)]]=0,0,TABLA_BASE[[#This Row],[GANANCIA
UNIT.(S/.)]]/TABLA_BASE[[#This Row],[C/M UNIT.
(S/.)]])</f>
        <v>0</v>
      </c>
      <c r="BB233" s="274" t="str">
        <f>IF(TABLA_BASE[[#This Row],[MARGEN
%]]&gt;=0.5,"🟢 ALTO",IF(TABLA_BASE[[#This Row],[MARGEN
%]]&gt;=0.3,"🟡 MEDIO","🔴 BAJO"))</f>
        <v>🟡 MEDIO</v>
      </c>
    </row>
    <row r="234" spans="1:54" ht="16.5" hidden="1" thickTop="1" thickBot="1" x14ac:dyDescent="0.3">
      <c r="A234" s="274">
        <f>'🧾 Factura Comercial'!E238</f>
        <v>0</v>
      </c>
      <c r="B234" s="274" t="str">
        <f>'🧾 Factura Comercial'!F238</f>
        <v>Unid.</v>
      </c>
      <c r="C234" s="275">
        <f>'🧾 Factura Comercial'!G238</f>
        <v>0</v>
      </c>
      <c r="D234" s="276">
        <f>'🧾 Factura Comercial'!H238</f>
        <v>0</v>
      </c>
      <c r="E234" s="276">
        <f>'🧾 Factura Comercial'!I238</f>
        <v>0</v>
      </c>
      <c r="F234" s="277">
        <f>IF('🧾 Tributos Aduana'!$F$6=0,0,'🧾 Factura Comercial'!I238/'🧾 Tributos Aduana'!$F$6)</f>
        <v>0</v>
      </c>
      <c r="G234" s="278">
        <f>'🧾 Factura Comercial'!H238*'📋 Datos Generales'!$E$19</f>
        <v>0</v>
      </c>
      <c r="H234" s="278">
        <f>TABLA_BASE[[#This Row],[FOB UNIT.
(S/.)]]*TABLA_BASE[[#This Row],[CANTIDAD
(unid.)]]</f>
        <v>0</v>
      </c>
      <c r="I234" s="280">
        <f>IF('🧾 Tributos Aduana'!$F$6=0,0,'🧾 Tributos Aduana'!$F$17*('🧾 Factura Comercial'!H238/'🧾 Tributos Aduana'!$F$6))</f>
        <v>0</v>
      </c>
      <c r="J234" s="280">
        <f>TABLA_BASE[[#This Row],[ADV UNIT.
(US$)
⚠️COSTO]]*TABLA_BASE[[#This Row],[CANTIDAD
(unid.)]]</f>
        <v>0</v>
      </c>
      <c r="K234" s="279">
        <f>IF('🧾 Tributos Aduana'!$F$6=0,0,'🧾 Tributos Aduana'!$F$18*('🧾 Factura Comercial'!H238/'🧾 Tributos Aduana'!$F$6))</f>
        <v>0</v>
      </c>
      <c r="L234" s="280">
        <f>TABLA_BASE[[#This Row],[IPM UNIT.
(US$)
✅CF]]*TABLA_BASE[[#This Row],[CANTIDAD
(unid.)]]</f>
        <v>0</v>
      </c>
      <c r="M234" s="279">
        <f>IF('🧾 Tributos Aduana'!$F$6=0,0,'🧾 Tributos Aduana'!$F$19*('🧾 Factura Comercial'!H238/'🧾 Tributos Aduana'!$F$6))</f>
        <v>0</v>
      </c>
      <c r="N234" s="280">
        <f>TABLA_BASE[[#This Row],[IGV UNIT.
(US$)
✅CF]]*TABLA_BASE[[#This Row],[CANTIDAD
(unid.)]]</f>
        <v>0</v>
      </c>
      <c r="O234" s="280">
        <f>IF('🧾 Tributos Aduana'!$F$6=0,0,'🧾 Tributos Aduana'!$F$23*('🧾 Factura Comercial'!H238/'🧾 Tributos Aduana'!$F$6))</f>
        <v>0</v>
      </c>
      <c r="P234" s="280">
        <f>TABLA_BASE[[#This Row],[PERCEP.
UNIT.(US$)
✅CF]]*TABLA_BASE[[#This Row],[CANTIDAD
(unid.)]]</f>
        <v>0</v>
      </c>
      <c r="Q234" s="279">
        <f>TABLA_BASE[[#This Row],[ADV UNIT.
(US$)
⚠️COSTO]]+TABLA_BASE[[#This Row],[IPM UNIT.
(US$)
✅CF]]+TABLA_BASE[[#This Row],[IGV UNIT.
(US$)
✅CF]]</f>
        <v>0</v>
      </c>
      <c r="R234" s="280">
        <f>TABLA_BASE[[#This Row],[DEUDA
ADUANERA
UNIT.]]*TABLA_BASE[[#This Row],[CANTIDAD
(unid.)]]</f>
        <v>0</v>
      </c>
      <c r="S234" s="278">
        <f>TABLA_BASE[[#This Row],[DEUDA
ADUANERA
UNIT.]]*'📋 Datos Generales'!$E$19</f>
        <v>0</v>
      </c>
      <c r="T234" s="278">
        <f>TABLA_BASE[[#This Row],[DEUDA
ADUANERA
TOTAL]]*'📋 Datos Generales'!$E$19</f>
        <v>0</v>
      </c>
      <c r="U234" s="281">
        <f>TABLA_BASE[[#This Row],[ADV UNIT.
(US$)
⚠️COSTO]]*'📋 Datos Generales'!$E$19</f>
        <v>0</v>
      </c>
      <c r="V234" s="281">
        <f>TABLA_BASE[[#This Row],[ADV UNIT.
(S/.)]]*TABLA_BASE[[#This Row],[CANTIDAD
(unid.)]]</f>
        <v>0</v>
      </c>
      <c r="W234" s="281">
        <f>TABLA_BASE[[#This Row],[IPM UNIT.
(US$)
✅CF]]*'📋 Datos Generales'!$E$19</f>
        <v>0</v>
      </c>
      <c r="X234" s="281">
        <f>TABLA_BASE[[#This Row],[IPM UNIT.
(S/.)]]*TABLA_BASE[[#This Row],[CANTIDAD
(unid.)]]</f>
        <v>0</v>
      </c>
      <c r="Y234" s="281">
        <f>TABLA_BASE[[#This Row],[IGV UNIT.
(US$)
✅CF]]*'📋 Datos Generales'!$E$19</f>
        <v>0</v>
      </c>
      <c r="Z234" s="281">
        <f>TABLA_BASE[[#This Row],[IGV UNIT.
(S/.)]]*TABLA_BASE[[#This Row],[CANTIDAD
(unid.)]]</f>
        <v>0</v>
      </c>
      <c r="AA234" s="281">
        <f>TABLA_BASE[[#This Row],[PERCEP.
UNIT.(US$)
✅CF]]*'📋 Datos Generales'!$E$19</f>
        <v>0</v>
      </c>
      <c r="AB234" s="281">
        <f>TABLA_BASE[[#This Row],[PERCEP.
UNIT.(S/.)]]*TABLA_BASE[[#This Row],[CANTIDAD
(unid.)]]</f>
        <v>0</v>
      </c>
      <c r="AC234" s="279">
        <f>TABLA_BASE[[#This Row],[ADV UNIT.
(US$)
⚠️COSTO]]+TABLA_BASE[[#This Row],[IPM UNIT.
(US$)
✅CF]]+TABLA_BASE[[#This Row],[IGV UNIT.
(US$)
✅CF]]+TABLA_BASE[[#This Row],[PERCEP.
UNIT.(US$)
✅CF]]</f>
        <v>0</v>
      </c>
      <c r="AD234" s="279">
        <f>TABLA_BASE[[#This Row],[TOTAL PAGO
SUNAT
UNIT.(US$)]]*TABLA_BASE[[#This Row],[CANTIDAD
(unid.)]]</f>
        <v>0</v>
      </c>
      <c r="AE234" s="281">
        <f>TABLA_BASE[[#This Row],[TOTAL PAGO
SUNAT
UNIT.(US$)]]*'📋 Datos Generales'!$E$19</f>
        <v>0</v>
      </c>
      <c r="AF234" s="281">
        <f>TABLA_BASE[[#This Row],[TOTAL TRIB.
UNIT.(S/.)]]*TABLA_BASE[[#This Row],[CANTIDAD
(unid.)]]</f>
        <v>0</v>
      </c>
      <c r="AG234" s="279">
        <f>IF('🧾 Factura Comercial'!G238=0,0,'📦 Gastos Importación'!$E$28*(IF('🧾 Tributos Aduana'!$F$6=0,0,'🧾 Factura Comercial'!I238/'🧾 Tributos Aduana'!$F$6))/'🧾 Factura Comercial'!G238)</f>
        <v>0</v>
      </c>
      <c r="AH234" s="279">
        <f>TABLA_BASE[[#This Row],[GASTOS IMP.
UNIT.(US$)]]*TABLA_BASE[[#This Row],[CANTIDAD
(unid.)]]</f>
        <v>0</v>
      </c>
      <c r="AI234" s="281">
        <f>TABLA_BASE[[#This Row],[GASTOS IMP.
UNIT.(US$)]]*'📋 Datos Generales'!$E$19</f>
        <v>0</v>
      </c>
      <c r="AJ234" s="281">
        <f>TABLA_BASE[[#This Row],[GASTOS IMP.
UNIT.(S/.)]]*TABLA_BASE[[#This Row],[CANTIDAD
(unid.)]]</f>
        <v>0</v>
      </c>
      <c r="AK234" s="280">
        <f>'🧮 Costos x Producto'!J238</f>
        <v>0</v>
      </c>
      <c r="AL234" s="278">
        <f>'🧮 Costos x Producto'!K238</f>
        <v>0</v>
      </c>
      <c r="AM234" s="278">
        <f>TABLA_BASE[[#This Row],[C/M UNIT.
(S/.)]]*TABLA_BASE[[#This Row],[CANTIDAD
(unid.)]]</f>
        <v>0</v>
      </c>
      <c r="AN234" s="279">
        <f>IF('🧾 Factura Comercial'!G238=0,0,'🧾 Tributos Aduana'!$F$17*(IF('🧾 Tributos Aduana'!$F$6=0,0,'🧾 Factura Comercial'!I238/'🧾 Tributos Aduana'!$F$6))/'🧾 Factura Comercial'!G238)</f>
        <v>0</v>
      </c>
      <c r="AO234" s="280">
        <f>IF('🧾 Factura Comercial'!G238=0,0,'🏦 Crédito Fiscal'!$C$16*(IF('🧾 Tributos Aduana'!$F$6=0,0,'🧾 Factura Comercial'!I238/'🧾 Tributos Aduana'!$F$6))/'🧾 Factura Comercial'!G238)</f>
        <v>0</v>
      </c>
      <c r="AP234" s="278">
        <f>TABLA_BASE[[#This Row],[CF UNIT.
✅RECUP.
(US$)]]*'📋 Datos Generales'!$E$19</f>
        <v>0</v>
      </c>
      <c r="AQ234" s="278">
        <f>TABLA_BASE[[#This Row],[CF UNIT.
✅RECUP.(S/.)]]*TABLA_BASE[[#This Row],[CANTIDAD
(unid.)]]</f>
        <v>0</v>
      </c>
      <c r="AR234" s="288">
        <f>'💰 Precio de Venta'!G239</f>
        <v>0.4</v>
      </c>
      <c r="AS234" s="278">
        <f>'💰 Precio de Venta'!H239</f>
        <v>0</v>
      </c>
      <c r="AT234" s="278">
        <f>TABLA_BASE[[#This Row],[VALOR VTA.
UNIT.(S/.)]]*TABLA_BASE[[#This Row],[CANTIDAD
(unid.)]]</f>
        <v>0</v>
      </c>
      <c r="AU234" s="281">
        <f>'💰 Precio de Venta'!I239</f>
        <v>0</v>
      </c>
      <c r="AV234" s="278">
        <f>'💰 Precio de Venta'!J239</f>
        <v>0</v>
      </c>
      <c r="AW234" s="278">
        <f>TABLA_BASE[[#This Row],[GANANCIA
UNIT.(S/.)]]*TABLA_BASE[[#This Row],[CANTIDAD
(unid.)]]</f>
        <v>0</v>
      </c>
      <c r="AX234" s="289">
        <f>'💰 Precio de Venta'!K239</f>
        <v>0</v>
      </c>
      <c r="AY234" s="278">
        <f>TABLA_BASE[[#This Row],[GANANCIA
UNIT.(S/.)]]*'🧾 Factura Comercial'!G238</f>
        <v>0</v>
      </c>
      <c r="AZ234" s="277">
        <f>IF(TABLA_BASE[[#This Row],[PRECIO VTA.
c/IGV(S/.)]]=0,0,TABLA_BASE[[#This Row],[GANANCIA
UNIT.(S/.)]]/TABLA_BASE[[#This Row],[PRECIO VTA.
c/IGV(S/.)]])</f>
        <v>0</v>
      </c>
      <c r="BA234" s="277">
        <f>IF(TABLA_BASE[[#This Row],[C/M UNIT.
(S/.)]]=0,0,TABLA_BASE[[#This Row],[GANANCIA
UNIT.(S/.)]]/TABLA_BASE[[#This Row],[C/M UNIT.
(S/.)]])</f>
        <v>0</v>
      </c>
      <c r="BB234" s="274" t="str">
        <f>IF(TABLA_BASE[[#This Row],[MARGEN
%]]&gt;=0.5,"🟢 ALTO",IF(TABLA_BASE[[#This Row],[MARGEN
%]]&gt;=0.3,"🟡 MEDIO","🔴 BAJO"))</f>
        <v>🟡 MEDIO</v>
      </c>
    </row>
    <row r="235" spans="1:54" ht="16.5" hidden="1" thickTop="1" thickBot="1" x14ac:dyDescent="0.3">
      <c r="A235" s="274">
        <f>'🧾 Factura Comercial'!E239</f>
        <v>0</v>
      </c>
      <c r="B235" s="274" t="str">
        <f>'🧾 Factura Comercial'!F239</f>
        <v>Unid.</v>
      </c>
      <c r="C235" s="275">
        <f>'🧾 Factura Comercial'!G239</f>
        <v>0</v>
      </c>
      <c r="D235" s="276">
        <f>'🧾 Factura Comercial'!H239</f>
        <v>0</v>
      </c>
      <c r="E235" s="276">
        <f>'🧾 Factura Comercial'!I239</f>
        <v>0</v>
      </c>
      <c r="F235" s="277">
        <f>IF('🧾 Tributos Aduana'!$F$6=0,0,'🧾 Factura Comercial'!I239/'🧾 Tributos Aduana'!$F$6)</f>
        <v>0</v>
      </c>
      <c r="G235" s="278">
        <f>'🧾 Factura Comercial'!H239*'📋 Datos Generales'!$E$19</f>
        <v>0</v>
      </c>
      <c r="H235" s="278">
        <f>TABLA_BASE[[#This Row],[FOB UNIT.
(S/.)]]*TABLA_BASE[[#This Row],[CANTIDAD
(unid.)]]</f>
        <v>0</v>
      </c>
      <c r="I235" s="280">
        <f>IF('🧾 Tributos Aduana'!$F$6=0,0,'🧾 Tributos Aduana'!$F$17*('🧾 Factura Comercial'!H239/'🧾 Tributos Aduana'!$F$6))</f>
        <v>0</v>
      </c>
      <c r="J235" s="280">
        <f>TABLA_BASE[[#This Row],[ADV UNIT.
(US$)
⚠️COSTO]]*TABLA_BASE[[#This Row],[CANTIDAD
(unid.)]]</f>
        <v>0</v>
      </c>
      <c r="K235" s="279">
        <f>IF('🧾 Tributos Aduana'!$F$6=0,0,'🧾 Tributos Aduana'!$F$18*('🧾 Factura Comercial'!H239/'🧾 Tributos Aduana'!$F$6))</f>
        <v>0</v>
      </c>
      <c r="L235" s="280">
        <f>TABLA_BASE[[#This Row],[IPM UNIT.
(US$)
✅CF]]*TABLA_BASE[[#This Row],[CANTIDAD
(unid.)]]</f>
        <v>0</v>
      </c>
      <c r="M235" s="279">
        <f>IF('🧾 Tributos Aduana'!$F$6=0,0,'🧾 Tributos Aduana'!$F$19*('🧾 Factura Comercial'!H239/'🧾 Tributos Aduana'!$F$6))</f>
        <v>0</v>
      </c>
      <c r="N235" s="280">
        <f>TABLA_BASE[[#This Row],[IGV UNIT.
(US$)
✅CF]]*TABLA_BASE[[#This Row],[CANTIDAD
(unid.)]]</f>
        <v>0</v>
      </c>
      <c r="O235" s="280">
        <f>IF('🧾 Tributos Aduana'!$F$6=0,0,'🧾 Tributos Aduana'!$F$23*('🧾 Factura Comercial'!H239/'🧾 Tributos Aduana'!$F$6))</f>
        <v>0</v>
      </c>
      <c r="P235" s="280">
        <f>TABLA_BASE[[#This Row],[PERCEP.
UNIT.(US$)
✅CF]]*TABLA_BASE[[#This Row],[CANTIDAD
(unid.)]]</f>
        <v>0</v>
      </c>
      <c r="Q235" s="279">
        <f>TABLA_BASE[[#This Row],[ADV UNIT.
(US$)
⚠️COSTO]]+TABLA_BASE[[#This Row],[IPM UNIT.
(US$)
✅CF]]+TABLA_BASE[[#This Row],[IGV UNIT.
(US$)
✅CF]]</f>
        <v>0</v>
      </c>
      <c r="R235" s="280">
        <f>TABLA_BASE[[#This Row],[DEUDA
ADUANERA
UNIT.]]*TABLA_BASE[[#This Row],[CANTIDAD
(unid.)]]</f>
        <v>0</v>
      </c>
      <c r="S235" s="278">
        <f>TABLA_BASE[[#This Row],[DEUDA
ADUANERA
UNIT.]]*'📋 Datos Generales'!$E$19</f>
        <v>0</v>
      </c>
      <c r="T235" s="278">
        <f>TABLA_BASE[[#This Row],[DEUDA
ADUANERA
TOTAL]]*'📋 Datos Generales'!$E$19</f>
        <v>0</v>
      </c>
      <c r="U235" s="281">
        <f>TABLA_BASE[[#This Row],[ADV UNIT.
(US$)
⚠️COSTO]]*'📋 Datos Generales'!$E$19</f>
        <v>0</v>
      </c>
      <c r="V235" s="281">
        <f>TABLA_BASE[[#This Row],[ADV UNIT.
(S/.)]]*TABLA_BASE[[#This Row],[CANTIDAD
(unid.)]]</f>
        <v>0</v>
      </c>
      <c r="W235" s="281">
        <f>TABLA_BASE[[#This Row],[IPM UNIT.
(US$)
✅CF]]*'📋 Datos Generales'!$E$19</f>
        <v>0</v>
      </c>
      <c r="X235" s="281">
        <f>TABLA_BASE[[#This Row],[IPM UNIT.
(S/.)]]*TABLA_BASE[[#This Row],[CANTIDAD
(unid.)]]</f>
        <v>0</v>
      </c>
      <c r="Y235" s="281">
        <f>TABLA_BASE[[#This Row],[IGV UNIT.
(US$)
✅CF]]*'📋 Datos Generales'!$E$19</f>
        <v>0</v>
      </c>
      <c r="Z235" s="281">
        <f>TABLA_BASE[[#This Row],[IGV UNIT.
(S/.)]]*TABLA_BASE[[#This Row],[CANTIDAD
(unid.)]]</f>
        <v>0</v>
      </c>
      <c r="AA235" s="281">
        <f>TABLA_BASE[[#This Row],[PERCEP.
UNIT.(US$)
✅CF]]*'📋 Datos Generales'!$E$19</f>
        <v>0</v>
      </c>
      <c r="AB235" s="281">
        <f>TABLA_BASE[[#This Row],[PERCEP.
UNIT.(S/.)]]*TABLA_BASE[[#This Row],[CANTIDAD
(unid.)]]</f>
        <v>0</v>
      </c>
      <c r="AC235" s="279">
        <f>TABLA_BASE[[#This Row],[ADV UNIT.
(US$)
⚠️COSTO]]+TABLA_BASE[[#This Row],[IPM UNIT.
(US$)
✅CF]]+TABLA_BASE[[#This Row],[IGV UNIT.
(US$)
✅CF]]+TABLA_BASE[[#This Row],[PERCEP.
UNIT.(US$)
✅CF]]</f>
        <v>0</v>
      </c>
      <c r="AD235" s="279">
        <f>TABLA_BASE[[#This Row],[TOTAL PAGO
SUNAT
UNIT.(US$)]]*TABLA_BASE[[#This Row],[CANTIDAD
(unid.)]]</f>
        <v>0</v>
      </c>
      <c r="AE235" s="281">
        <f>TABLA_BASE[[#This Row],[TOTAL PAGO
SUNAT
UNIT.(US$)]]*'📋 Datos Generales'!$E$19</f>
        <v>0</v>
      </c>
      <c r="AF235" s="281">
        <f>TABLA_BASE[[#This Row],[TOTAL TRIB.
UNIT.(S/.)]]*TABLA_BASE[[#This Row],[CANTIDAD
(unid.)]]</f>
        <v>0</v>
      </c>
      <c r="AG235" s="279">
        <f>IF('🧾 Factura Comercial'!G239=0,0,'📦 Gastos Importación'!$E$28*(IF('🧾 Tributos Aduana'!$F$6=0,0,'🧾 Factura Comercial'!I239/'🧾 Tributos Aduana'!$F$6))/'🧾 Factura Comercial'!G239)</f>
        <v>0</v>
      </c>
      <c r="AH235" s="279">
        <f>TABLA_BASE[[#This Row],[GASTOS IMP.
UNIT.(US$)]]*TABLA_BASE[[#This Row],[CANTIDAD
(unid.)]]</f>
        <v>0</v>
      </c>
      <c r="AI235" s="281">
        <f>TABLA_BASE[[#This Row],[GASTOS IMP.
UNIT.(US$)]]*'📋 Datos Generales'!$E$19</f>
        <v>0</v>
      </c>
      <c r="AJ235" s="281">
        <f>TABLA_BASE[[#This Row],[GASTOS IMP.
UNIT.(S/.)]]*TABLA_BASE[[#This Row],[CANTIDAD
(unid.)]]</f>
        <v>0</v>
      </c>
      <c r="AK235" s="280">
        <f>'🧮 Costos x Producto'!J239</f>
        <v>0</v>
      </c>
      <c r="AL235" s="278">
        <f>'🧮 Costos x Producto'!K239</f>
        <v>0</v>
      </c>
      <c r="AM235" s="278">
        <f>TABLA_BASE[[#This Row],[C/M UNIT.
(S/.)]]*TABLA_BASE[[#This Row],[CANTIDAD
(unid.)]]</f>
        <v>0</v>
      </c>
      <c r="AN235" s="279">
        <f>IF('🧾 Factura Comercial'!G239=0,0,'🧾 Tributos Aduana'!$F$17*(IF('🧾 Tributos Aduana'!$F$6=0,0,'🧾 Factura Comercial'!I239/'🧾 Tributos Aduana'!$F$6))/'🧾 Factura Comercial'!G239)</f>
        <v>0</v>
      </c>
      <c r="AO235" s="280">
        <f>IF('🧾 Factura Comercial'!G239=0,0,'🏦 Crédito Fiscal'!$C$16*(IF('🧾 Tributos Aduana'!$F$6=0,0,'🧾 Factura Comercial'!I239/'🧾 Tributos Aduana'!$F$6))/'🧾 Factura Comercial'!G239)</f>
        <v>0</v>
      </c>
      <c r="AP235" s="278">
        <f>TABLA_BASE[[#This Row],[CF UNIT.
✅RECUP.
(US$)]]*'📋 Datos Generales'!$E$19</f>
        <v>0</v>
      </c>
      <c r="AQ235" s="278">
        <f>TABLA_BASE[[#This Row],[CF UNIT.
✅RECUP.(S/.)]]*TABLA_BASE[[#This Row],[CANTIDAD
(unid.)]]</f>
        <v>0</v>
      </c>
      <c r="AR235" s="288">
        <f>'💰 Precio de Venta'!G240</f>
        <v>0.4</v>
      </c>
      <c r="AS235" s="278">
        <f>'💰 Precio de Venta'!H240</f>
        <v>0</v>
      </c>
      <c r="AT235" s="278">
        <f>TABLA_BASE[[#This Row],[VALOR VTA.
UNIT.(S/.)]]*TABLA_BASE[[#This Row],[CANTIDAD
(unid.)]]</f>
        <v>0</v>
      </c>
      <c r="AU235" s="281">
        <f>'💰 Precio de Venta'!I240</f>
        <v>0</v>
      </c>
      <c r="AV235" s="278">
        <f>'💰 Precio de Venta'!J240</f>
        <v>0</v>
      </c>
      <c r="AW235" s="278">
        <f>TABLA_BASE[[#This Row],[GANANCIA
UNIT.(S/.)]]*TABLA_BASE[[#This Row],[CANTIDAD
(unid.)]]</f>
        <v>0</v>
      </c>
      <c r="AX235" s="289">
        <f>'💰 Precio de Venta'!K240</f>
        <v>0</v>
      </c>
      <c r="AY235" s="278">
        <f>TABLA_BASE[[#This Row],[GANANCIA
UNIT.(S/.)]]*'🧾 Factura Comercial'!G239</f>
        <v>0</v>
      </c>
      <c r="AZ235" s="277">
        <f>IF(TABLA_BASE[[#This Row],[PRECIO VTA.
c/IGV(S/.)]]=0,0,TABLA_BASE[[#This Row],[GANANCIA
UNIT.(S/.)]]/TABLA_BASE[[#This Row],[PRECIO VTA.
c/IGV(S/.)]])</f>
        <v>0</v>
      </c>
      <c r="BA235" s="277">
        <f>IF(TABLA_BASE[[#This Row],[C/M UNIT.
(S/.)]]=0,0,TABLA_BASE[[#This Row],[GANANCIA
UNIT.(S/.)]]/TABLA_BASE[[#This Row],[C/M UNIT.
(S/.)]])</f>
        <v>0</v>
      </c>
      <c r="BB235" s="274" t="str">
        <f>IF(TABLA_BASE[[#This Row],[MARGEN
%]]&gt;=0.5,"🟢 ALTO",IF(TABLA_BASE[[#This Row],[MARGEN
%]]&gt;=0.3,"🟡 MEDIO","🔴 BAJO"))</f>
        <v>🟡 MEDIO</v>
      </c>
    </row>
    <row r="236" spans="1:54" ht="16.5" hidden="1" thickTop="1" thickBot="1" x14ac:dyDescent="0.3">
      <c r="A236" s="274">
        <f>'🧾 Factura Comercial'!E240</f>
        <v>0</v>
      </c>
      <c r="B236" s="274" t="str">
        <f>'🧾 Factura Comercial'!F240</f>
        <v>Unid.</v>
      </c>
      <c r="C236" s="275">
        <f>'🧾 Factura Comercial'!G240</f>
        <v>0</v>
      </c>
      <c r="D236" s="276">
        <f>'🧾 Factura Comercial'!H240</f>
        <v>0</v>
      </c>
      <c r="E236" s="276">
        <f>'🧾 Factura Comercial'!I240</f>
        <v>0</v>
      </c>
      <c r="F236" s="277">
        <f>IF('🧾 Tributos Aduana'!$F$6=0,0,'🧾 Factura Comercial'!I240/'🧾 Tributos Aduana'!$F$6)</f>
        <v>0</v>
      </c>
      <c r="G236" s="278">
        <f>'🧾 Factura Comercial'!H240*'📋 Datos Generales'!$E$19</f>
        <v>0</v>
      </c>
      <c r="H236" s="278">
        <f>TABLA_BASE[[#This Row],[FOB UNIT.
(S/.)]]*TABLA_BASE[[#This Row],[CANTIDAD
(unid.)]]</f>
        <v>0</v>
      </c>
      <c r="I236" s="280">
        <f>IF('🧾 Tributos Aduana'!$F$6=0,0,'🧾 Tributos Aduana'!$F$17*('🧾 Factura Comercial'!H240/'🧾 Tributos Aduana'!$F$6))</f>
        <v>0</v>
      </c>
      <c r="J236" s="280">
        <f>TABLA_BASE[[#This Row],[ADV UNIT.
(US$)
⚠️COSTO]]*TABLA_BASE[[#This Row],[CANTIDAD
(unid.)]]</f>
        <v>0</v>
      </c>
      <c r="K236" s="279">
        <f>IF('🧾 Tributos Aduana'!$F$6=0,0,'🧾 Tributos Aduana'!$F$18*('🧾 Factura Comercial'!H240/'🧾 Tributos Aduana'!$F$6))</f>
        <v>0</v>
      </c>
      <c r="L236" s="280">
        <f>TABLA_BASE[[#This Row],[IPM UNIT.
(US$)
✅CF]]*TABLA_BASE[[#This Row],[CANTIDAD
(unid.)]]</f>
        <v>0</v>
      </c>
      <c r="M236" s="279">
        <f>IF('🧾 Tributos Aduana'!$F$6=0,0,'🧾 Tributos Aduana'!$F$19*('🧾 Factura Comercial'!H240/'🧾 Tributos Aduana'!$F$6))</f>
        <v>0</v>
      </c>
      <c r="N236" s="280">
        <f>TABLA_BASE[[#This Row],[IGV UNIT.
(US$)
✅CF]]*TABLA_BASE[[#This Row],[CANTIDAD
(unid.)]]</f>
        <v>0</v>
      </c>
      <c r="O236" s="280">
        <f>IF('🧾 Tributos Aduana'!$F$6=0,0,'🧾 Tributos Aduana'!$F$23*('🧾 Factura Comercial'!H240/'🧾 Tributos Aduana'!$F$6))</f>
        <v>0</v>
      </c>
      <c r="P236" s="280">
        <f>TABLA_BASE[[#This Row],[PERCEP.
UNIT.(US$)
✅CF]]*TABLA_BASE[[#This Row],[CANTIDAD
(unid.)]]</f>
        <v>0</v>
      </c>
      <c r="Q236" s="279">
        <f>TABLA_BASE[[#This Row],[ADV UNIT.
(US$)
⚠️COSTO]]+TABLA_BASE[[#This Row],[IPM UNIT.
(US$)
✅CF]]+TABLA_BASE[[#This Row],[IGV UNIT.
(US$)
✅CF]]</f>
        <v>0</v>
      </c>
      <c r="R236" s="280">
        <f>TABLA_BASE[[#This Row],[DEUDA
ADUANERA
UNIT.]]*TABLA_BASE[[#This Row],[CANTIDAD
(unid.)]]</f>
        <v>0</v>
      </c>
      <c r="S236" s="278">
        <f>TABLA_BASE[[#This Row],[DEUDA
ADUANERA
UNIT.]]*'📋 Datos Generales'!$E$19</f>
        <v>0</v>
      </c>
      <c r="T236" s="278">
        <f>TABLA_BASE[[#This Row],[DEUDA
ADUANERA
TOTAL]]*'📋 Datos Generales'!$E$19</f>
        <v>0</v>
      </c>
      <c r="U236" s="281">
        <f>TABLA_BASE[[#This Row],[ADV UNIT.
(US$)
⚠️COSTO]]*'📋 Datos Generales'!$E$19</f>
        <v>0</v>
      </c>
      <c r="V236" s="281">
        <f>TABLA_BASE[[#This Row],[ADV UNIT.
(S/.)]]*TABLA_BASE[[#This Row],[CANTIDAD
(unid.)]]</f>
        <v>0</v>
      </c>
      <c r="W236" s="281">
        <f>TABLA_BASE[[#This Row],[IPM UNIT.
(US$)
✅CF]]*'📋 Datos Generales'!$E$19</f>
        <v>0</v>
      </c>
      <c r="X236" s="281">
        <f>TABLA_BASE[[#This Row],[IPM UNIT.
(S/.)]]*TABLA_BASE[[#This Row],[CANTIDAD
(unid.)]]</f>
        <v>0</v>
      </c>
      <c r="Y236" s="281">
        <f>TABLA_BASE[[#This Row],[IGV UNIT.
(US$)
✅CF]]*'📋 Datos Generales'!$E$19</f>
        <v>0</v>
      </c>
      <c r="Z236" s="281">
        <f>TABLA_BASE[[#This Row],[IGV UNIT.
(S/.)]]*TABLA_BASE[[#This Row],[CANTIDAD
(unid.)]]</f>
        <v>0</v>
      </c>
      <c r="AA236" s="281">
        <f>TABLA_BASE[[#This Row],[PERCEP.
UNIT.(US$)
✅CF]]*'📋 Datos Generales'!$E$19</f>
        <v>0</v>
      </c>
      <c r="AB236" s="281">
        <f>TABLA_BASE[[#This Row],[PERCEP.
UNIT.(S/.)]]*TABLA_BASE[[#This Row],[CANTIDAD
(unid.)]]</f>
        <v>0</v>
      </c>
      <c r="AC236" s="279">
        <f>TABLA_BASE[[#This Row],[ADV UNIT.
(US$)
⚠️COSTO]]+TABLA_BASE[[#This Row],[IPM UNIT.
(US$)
✅CF]]+TABLA_BASE[[#This Row],[IGV UNIT.
(US$)
✅CF]]+TABLA_BASE[[#This Row],[PERCEP.
UNIT.(US$)
✅CF]]</f>
        <v>0</v>
      </c>
      <c r="AD236" s="279">
        <f>TABLA_BASE[[#This Row],[TOTAL PAGO
SUNAT
UNIT.(US$)]]*TABLA_BASE[[#This Row],[CANTIDAD
(unid.)]]</f>
        <v>0</v>
      </c>
      <c r="AE236" s="281">
        <f>TABLA_BASE[[#This Row],[TOTAL PAGO
SUNAT
UNIT.(US$)]]*'📋 Datos Generales'!$E$19</f>
        <v>0</v>
      </c>
      <c r="AF236" s="281">
        <f>TABLA_BASE[[#This Row],[TOTAL TRIB.
UNIT.(S/.)]]*TABLA_BASE[[#This Row],[CANTIDAD
(unid.)]]</f>
        <v>0</v>
      </c>
      <c r="AG236" s="279">
        <f>IF('🧾 Factura Comercial'!G240=0,0,'📦 Gastos Importación'!$E$28*(IF('🧾 Tributos Aduana'!$F$6=0,0,'🧾 Factura Comercial'!I240/'🧾 Tributos Aduana'!$F$6))/'🧾 Factura Comercial'!G240)</f>
        <v>0</v>
      </c>
      <c r="AH236" s="279">
        <f>TABLA_BASE[[#This Row],[GASTOS IMP.
UNIT.(US$)]]*TABLA_BASE[[#This Row],[CANTIDAD
(unid.)]]</f>
        <v>0</v>
      </c>
      <c r="AI236" s="281">
        <f>TABLA_BASE[[#This Row],[GASTOS IMP.
UNIT.(US$)]]*'📋 Datos Generales'!$E$19</f>
        <v>0</v>
      </c>
      <c r="AJ236" s="281">
        <f>TABLA_BASE[[#This Row],[GASTOS IMP.
UNIT.(S/.)]]*TABLA_BASE[[#This Row],[CANTIDAD
(unid.)]]</f>
        <v>0</v>
      </c>
      <c r="AK236" s="280">
        <f>'🧮 Costos x Producto'!J240</f>
        <v>0</v>
      </c>
      <c r="AL236" s="278">
        <f>'🧮 Costos x Producto'!K240</f>
        <v>0</v>
      </c>
      <c r="AM236" s="278">
        <f>TABLA_BASE[[#This Row],[C/M UNIT.
(S/.)]]*TABLA_BASE[[#This Row],[CANTIDAD
(unid.)]]</f>
        <v>0</v>
      </c>
      <c r="AN236" s="279">
        <f>IF('🧾 Factura Comercial'!G240=0,0,'🧾 Tributos Aduana'!$F$17*(IF('🧾 Tributos Aduana'!$F$6=0,0,'🧾 Factura Comercial'!I240/'🧾 Tributos Aduana'!$F$6))/'🧾 Factura Comercial'!G240)</f>
        <v>0</v>
      </c>
      <c r="AO236" s="280">
        <f>IF('🧾 Factura Comercial'!G240=0,0,'🏦 Crédito Fiscal'!$C$16*(IF('🧾 Tributos Aduana'!$F$6=0,0,'🧾 Factura Comercial'!I240/'🧾 Tributos Aduana'!$F$6))/'🧾 Factura Comercial'!G240)</f>
        <v>0</v>
      </c>
      <c r="AP236" s="278">
        <f>TABLA_BASE[[#This Row],[CF UNIT.
✅RECUP.
(US$)]]*'📋 Datos Generales'!$E$19</f>
        <v>0</v>
      </c>
      <c r="AQ236" s="278">
        <f>TABLA_BASE[[#This Row],[CF UNIT.
✅RECUP.(S/.)]]*TABLA_BASE[[#This Row],[CANTIDAD
(unid.)]]</f>
        <v>0</v>
      </c>
      <c r="AR236" s="288">
        <f>'💰 Precio de Venta'!G241</f>
        <v>0.4</v>
      </c>
      <c r="AS236" s="278">
        <f>'💰 Precio de Venta'!H241</f>
        <v>0</v>
      </c>
      <c r="AT236" s="278">
        <f>TABLA_BASE[[#This Row],[VALOR VTA.
UNIT.(S/.)]]*TABLA_BASE[[#This Row],[CANTIDAD
(unid.)]]</f>
        <v>0</v>
      </c>
      <c r="AU236" s="281">
        <f>'💰 Precio de Venta'!I241</f>
        <v>0</v>
      </c>
      <c r="AV236" s="278">
        <f>'💰 Precio de Venta'!J241</f>
        <v>0</v>
      </c>
      <c r="AW236" s="278">
        <f>TABLA_BASE[[#This Row],[GANANCIA
UNIT.(S/.)]]*TABLA_BASE[[#This Row],[CANTIDAD
(unid.)]]</f>
        <v>0</v>
      </c>
      <c r="AX236" s="289">
        <f>'💰 Precio de Venta'!K241</f>
        <v>0</v>
      </c>
      <c r="AY236" s="278">
        <f>TABLA_BASE[[#This Row],[GANANCIA
UNIT.(S/.)]]*'🧾 Factura Comercial'!G240</f>
        <v>0</v>
      </c>
      <c r="AZ236" s="277">
        <f>IF(TABLA_BASE[[#This Row],[PRECIO VTA.
c/IGV(S/.)]]=0,0,TABLA_BASE[[#This Row],[GANANCIA
UNIT.(S/.)]]/TABLA_BASE[[#This Row],[PRECIO VTA.
c/IGV(S/.)]])</f>
        <v>0</v>
      </c>
      <c r="BA236" s="277">
        <f>IF(TABLA_BASE[[#This Row],[C/M UNIT.
(S/.)]]=0,0,TABLA_BASE[[#This Row],[GANANCIA
UNIT.(S/.)]]/TABLA_BASE[[#This Row],[C/M UNIT.
(S/.)]])</f>
        <v>0</v>
      </c>
      <c r="BB236" s="274" t="str">
        <f>IF(TABLA_BASE[[#This Row],[MARGEN
%]]&gt;=0.5,"🟢 ALTO",IF(TABLA_BASE[[#This Row],[MARGEN
%]]&gt;=0.3,"🟡 MEDIO","🔴 BAJO"))</f>
        <v>🟡 MEDIO</v>
      </c>
    </row>
    <row r="237" spans="1:54" ht="16.5" hidden="1" thickTop="1" thickBot="1" x14ac:dyDescent="0.3">
      <c r="A237" s="274">
        <f>'🧾 Factura Comercial'!E241</f>
        <v>0</v>
      </c>
      <c r="B237" s="274" t="str">
        <f>'🧾 Factura Comercial'!F241</f>
        <v>Unid.</v>
      </c>
      <c r="C237" s="275">
        <f>'🧾 Factura Comercial'!G241</f>
        <v>0</v>
      </c>
      <c r="D237" s="276">
        <f>'🧾 Factura Comercial'!H241</f>
        <v>0</v>
      </c>
      <c r="E237" s="276">
        <f>'🧾 Factura Comercial'!I241</f>
        <v>0</v>
      </c>
      <c r="F237" s="277">
        <f>IF('🧾 Tributos Aduana'!$F$6=0,0,'🧾 Factura Comercial'!I241/'🧾 Tributos Aduana'!$F$6)</f>
        <v>0</v>
      </c>
      <c r="G237" s="278">
        <f>'🧾 Factura Comercial'!H241*'📋 Datos Generales'!$E$19</f>
        <v>0</v>
      </c>
      <c r="H237" s="278">
        <f>TABLA_BASE[[#This Row],[FOB UNIT.
(S/.)]]*TABLA_BASE[[#This Row],[CANTIDAD
(unid.)]]</f>
        <v>0</v>
      </c>
      <c r="I237" s="280">
        <f>IF('🧾 Tributos Aduana'!$F$6=0,0,'🧾 Tributos Aduana'!$F$17*('🧾 Factura Comercial'!H241/'🧾 Tributos Aduana'!$F$6))</f>
        <v>0</v>
      </c>
      <c r="J237" s="280">
        <f>TABLA_BASE[[#This Row],[ADV UNIT.
(US$)
⚠️COSTO]]*TABLA_BASE[[#This Row],[CANTIDAD
(unid.)]]</f>
        <v>0</v>
      </c>
      <c r="K237" s="279">
        <f>IF('🧾 Tributos Aduana'!$F$6=0,0,'🧾 Tributos Aduana'!$F$18*('🧾 Factura Comercial'!H241/'🧾 Tributos Aduana'!$F$6))</f>
        <v>0</v>
      </c>
      <c r="L237" s="280">
        <f>TABLA_BASE[[#This Row],[IPM UNIT.
(US$)
✅CF]]*TABLA_BASE[[#This Row],[CANTIDAD
(unid.)]]</f>
        <v>0</v>
      </c>
      <c r="M237" s="279">
        <f>IF('🧾 Tributos Aduana'!$F$6=0,0,'🧾 Tributos Aduana'!$F$19*('🧾 Factura Comercial'!H241/'🧾 Tributos Aduana'!$F$6))</f>
        <v>0</v>
      </c>
      <c r="N237" s="280">
        <f>TABLA_BASE[[#This Row],[IGV UNIT.
(US$)
✅CF]]*TABLA_BASE[[#This Row],[CANTIDAD
(unid.)]]</f>
        <v>0</v>
      </c>
      <c r="O237" s="280">
        <f>IF('🧾 Tributos Aduana'!$F$6=0,0,'🧾 Tributos Aduana'!$F$23*('🧾 Factura Comercial'!H241/'🧾 Tributos Aduana'!$F$6))</f>
        <v>0</v>
      </c>
      <c r="P237" s="280">
        <f>TABLA_BASE[[#This Row],[PERCEP.
UNIT.(US$)
✅CF]]*TABLA_BASE[[#This Row],[CANTIDAD
(unid.)]]</f>
        <v>0</v>
      </c>
      <c r="Q237" s="279">
        <f>TABLA_BASE[[#This Row],[ADV UNIT.
(US$)
⚠️COSTO]]+TABLA_BASE[[#This Row],[IPM UNIT.
(US$)
✅CF]]+TABLA_BASE[[#This Row],[IGV UNIT.
(US$)
✅CF]]</f>
        <v>0</v>
      </c>
      <c r="R237" s="280">
        <f>TABLA_BASE[[#This Row],[DEUDA
ADUANERA
UNIT.]]*TABLA_BASE[[#This Row],[CANTIDAD
(unid.)]]</f>
        <v>0</v>
      </c>
      <c r="S237" s="278">
        <f>TABLA_BASE[[#This Row],[DEUDA
ADUANERA
UNIT.]]*'📋 Datos Generales'!$E$19</f>
        <v>0</v>
      </c>
      <c r="T237" s="278">
        <f>TABLA_BASE[[#This Row],[DEUDA
ADUANERA
TOTAL]]*'📋 Datos Generales'!$E$19</f>
        <v>0</v>
      </c>
      <c r="U237" s="281">
        <f>TABLA_BASE[[#This Row],[ADV UNIT.
(US$)
⚠️COSTO]]*'📋 Datos Generales'!$E$19</f>
        <v>0</v>
      </c>
      <c r="V237" s="281">
        <f>TABLA_BASE[[#This Row],[ADV UNIT.
(S/.)]]*TABLA_BASE[[#This Row],[CANTIDAD
(unid.)]]</f>
        <v>0</v>
      </c>
      <c r="W237" s="281">
        <f>TABLA_BASE[[#This Row],[IPM UNIT.
(US$)
✅CF]]*'📋 Datos Generales'!$E$19</f>
        <v>0</v>
      </c>
      <c r="X237" s="281">
        <f>TABLA_BASE[[#This Row],[IPM UNIT.
(S/.)]]*TABLA_BASE[[#This Row],[CANTIDAD
(unid.)]]</f>
        <v>0</v>
      </c>
      <c r="Y237" s="281">
        <f>TABLA_BASE[[#This Row],[IGV UNIT.
(US$)
✅CF]]*'📋 Datos Generales'!$E$19</f>
        <v>0</v>
      </c>
      <c r="Z237" s="281">
        <f>TABLA_BASE[[#This Row],[IGV UNIT.
(S/.)]]*TABLA_BASE[[#This Row],[CANTIDAD
(unid.)]]</f>
        <v>0</v>
      </c>
      <c r="AA237" s="281">
        <f>TABLA_BASE[[#This Row],[PERCEP.
UNIT.(US$)
✅CF]]*'📋 Datos Generales'!$E$19</f>
        <v>0</v>
      </c>
      <c r="AB237" s="281">
        <f>TABLA_BASE[[#This Row],[PERCEP.
UNIT.(S/.)]]*TABLA_BASE[[#This Row],[CANTIDAD
(unid.)]]</f>
        <v>0</v>
      </c>
      <c r="AC237" s="279">
        <f>TABLA_BASE[[#This Row],[ADV UNIT.
(US$)
⚠️COSTO]]+TABLA_BASE[[#This Row],[IPM UNIT.
(US$)
✅CF]]+TABLA_BASE[[#This Row],[IGV UNIT.
(US$)
✅CF]]+TABLA_BASE[[#This Row],[PERCEP.
UNIT.(US$)
✅CF]]</f>
        <v>0</v>
      </c>
      <c r="AD237" s="279">
        <f>TABLA_BASE[[#This Row],[TOTAL PAGO
SUNAT
UNIT.(US$)]]*TABLA_BASE[[#This Row],[CANTIDAD
(unid.)]]</f>
        <v>0</v>
      </c>
      <c r="AE237" s="281">
        <f>TABLA_BASE[[#This Row],[TOTAL PAGO
SUNAT
UNIT.(US$)]]*'📋 Datos Generales'!$E$19</f>
        <v>0</v>
      </c>
      <c r="AF237" s="281">
        <f>TABLA_BASE[[#This Row],[TOTAL TRIB.
UNIT.(S/.)]]*TABLA_BASE[[#This Row],[CANTIDAD
(unid.)]]</f>
        <v>0</v>
      </c>
      <c r="AG237" s="279">
        <f>IF('🧾 Factura Comercial'!G241=0,0,'📦 Gastos Importación'!$E$28*(IF('🧾 Tributos Aduana'!$F$6=0,0,'🧾 Factura Comercial'!I241/'🧾 Tributos Aduana'!$F$6))/'🧾 Factura Comercial'!G241)</f>
        <v>0</v>
      </c>
      <c r="AH237" s="279">
        <f>TABLA_BASE[[#This Row],[GASTOS IMP.
UNIT.(US$)]]*TABLA_BASE[[#This Row],[CANTIDAD
(unid.)]]</f>
        <v>0</v>
      </c>
      <c r="AI237" s="281">
        <f>TABLA_BASE[[#This Row],[GASTOS IMP.
UNIT.(US$)]]*'📋 Datos Generales'!$E$19</f>
        <v>0</v>
      </c>
      <c r="AJ237" s="281">
        <f>TABLA_BASE[[#This Row],[GASTOS IMP.
UNIT.(S/.)]]*TABLA_BASE[[#This Row],[CANTIDAD
(unid.)]]</f>
        <v>0</v>
      </c>
      <c r="AK237" s="280">
        <f>'🧮 Costos x Producto'!J241</f>
        <v>0</v>
      </c>
      <c r="AL237" s="278">
        <f>'🧮 Costos x Producto'!K241</f>
        <v>0</v>
      </c>
      <c r="AM237" s="278">
        <f>TABLA_BASE[[#This Row],[C/M UNIT.
(S/.)]]*TABLA_BASE[[#This Row],[CANTIDAD
(unid.)]]</f>
        <v>0</v>
      </c>
      <c r="AN237" s="279">
        <f>IF('🧾 Factura Comercial'!G241=0,0,'🧾 Tributos Aduana'!$F$17*(IF('🧾 Tributos Aduana'!$F$6=0,0,'🧾 Factura Comercial'!I241/'🧾 Tributos Aduana'!$F$6))/'🧾 Factura Comercial'!G241)</f>
        <v>0</v>
      </c>
      <c r="AO237" s="280">
        <f>IF('🧾 Factura Comercial'!G241=0,0,'🏦 Crédito Fiscal'!$C$16*(IF('🧾 Tributos Aduana'!$F$6=0,0,'🧾 Factura Comercial'!I241/'🧾 Tributos Aduana'!$F$6))/'🧾 Factura Comercial'!G241)</f>
        <v>0</v>
      </c>
      <c r="AP237" s="278">
        <f>TABLA_BASE[[#This Row],[CF UNIT.
✅RECUP.
(US$)]]*'📋 Datos Generales'!$E$19</f>
        <v>0</v>
      </c>
      <c r="AQ237" s="278">
        <f>TABLA_BASE[[#This Row],[CF UNIT.
✅RECUP.(S/.)]]*TABLA_BASE[[#This Row],[CANTIDAD
(unid.)]]</f>
        <v>0</v>
      </c>
      <c r="AR237" s="288">
        <f>'💰 Precio de Venta'!G242</f>
        <v>0.4</v>
      </c>
      <c r="AS237" s="278">
        <f>'💰 Precio de Venta'!H242</f>
        <v>0</v>
      </c>
      <c r="AT237" s="278">
        <f>TABLA_BASE[[#This Row],[VALOR VTA.
UNIT.(S/.)]]*TABLA_BASE[[#This Row],[CANTIDAD
(unid.)]]</f>
        <v>0</v>
      </c>
      <c r="AU237" s="281">
        <f>'💰 Precio de Venta'!I242</f>
        <v>0</v>
      </c>
      <c r="AV237" s="278">
        <f>'💰 Precio de Venta'!J242</f>
        <v>0</v>
      </c>
      <c r="AW237" s="278">
        <f>TABLA_BASE[[#This Row],[GANANCIA
UNIT.(S/.)]]*TABLA_BASE[[#This Row],[CANTIDAD
(unid.)]]</f>
        <v>0</v>
      </c>
      <c r="AX237" s="289">
        <f>'💰 Precio de Venta'!K242</f>
        <v>0</v>
      </c>
      <c r="AY237" s="278">
        <f>TABLA_BASE[[#This Row],[GANANCIA
UNIT.(S/.)]]*'🧾 Factura Comercial'!G241</f>
        <v>0</v>
      </c>
      <c r="AZ237" s="277">
        <f>IF(TABLA_BASE[[#This Row],[PRECIO VTA.
c/IGV(S/.)]]=0,0,TABLA_BASE[[#This Row],[GANANCIA
UNIT.(S/.)]]/TABLA_BASE[[#This Row],[PRECIO VTA.
c/IGV(S/.)]])</f>
        <v>0</v>
      </c>
      <c r="BA237" s="277">
        <f>IF(TABLA_BASE[[#This Row],[C/M UNIT.
(S/.)]]=0,0,TABLA_BASE[[#This Row],[GANANCIA
UNIT.(S/.)]]/TABLA_BASE[[#This Row],[C/M UNIT.
(S/.)]])</f>
        <v>0</v>
      </c>
      <c r="BB237" s="274" t="str">
        <f>IF(TABLA_BASE[[#This Row],[MARGEN
%]]&gt;=0.5,"🟢 ALTO",IF(TABLA_BASE[[#This Row],[MARGEN
%]]&gt;=0.3,"🟡 MEDIO","🔴 BAJO"))</f>
        <v>🟡 MEDIO</v>
      </c>
    </row>
    <row r="238" spans="1:54" ht="16.5" hidden="1" thickTop="1" thickBot="1" x14ac:dyDescent="0.3">
      <c r="A238" s="274">
        <f>'🧾 Factura Comercial'!E242</f>
        <v>0</v>
      </c>
      <c r="B238" s="274" t="str">
        <f>'🧾 Factura Comercial'!F242</f>
        <v>Unid.</v>
      </c>
      <c r="C238" s="275">
        <f>'🧾 Factura Comercial'!G242</f>
        <v>0</v>
      </c>
      <c r="D238" s="276">
        <f>'🧾 Factura Comercial'!H242</f>
        <v>0</v>
      </c>
      <c r="E238" s="276">
        <f>'🧾 Factura Comercial'!I242</f>
        <v>0</v>
      </c>
      <c r="F238" s="277">
        <f>IF('🧾 Tributos Aduana'!$F$6=0,0,'🧾 Factura Comercial'!I242/'🧾 Tributos Aduana'!$F$6)</f>
        <v>0</v>
      </c>
      <c r="G238" s="278">
        <f>'🧾 Factura Comercial'!H242*'📋 Datos Generales'!$E$19</f>
        <v>0</v>
      </c>
      <c r="H238" s="278">
        <f>TABLA_BASE[[#This Row],[FOB UNIT.
(S/.)]]*TABLA_BASE[[#This Row],[CANTIDAD
(unid.)]]</f>
        <v>0</v>
      </c>
      <c r="I238" s="280">
        <f>IF('🧾 Tributos Aduana'!$F$6=0,0,'🧾 Tributos Aduana'!$F$17*('🧾 Factura Comercial'!H242/'🧾 Tributos Aduana'!$F$6))</f>
        <v>0</v>
      </c>
      <c r="J238" s="280">
        <f>TABLA_BASE[[#This Row],[ADV UNIT.
(US$)
⚠️COSTO]]*TABLA_BASE[[#This Row],[CANTIDAD
(unid.)]]</f>
        <v>0</v>
      </c>
      <c r="K238" s="279">
        <f>IF('🧾 Tributos Aduana'!$F$6=0,0,'🧾 Tributos Aduana'!$F$18*('🧾 Factura Comercial'!H242/'🧾 Tributos Aduana'!$F$6))</f>
        <v>0</v>
      </c>
      <c r="L238" s="280">
        <f>TABLA_BASE[[#This Row],[IPM UNIT.
(US$)
✅CF]]*TABLA_BASE[[#This Row],[CANTIDAD
(unid.)]]</f>
        <v>0</v>
      </c>
      <c r="M238" s="279">
        <f>IF('🧾 Tributos Aduana'!$F$6=0,0,'🧾 Tributos Aduana'!$F$19*('🧾 Factura Comercial'!H242/'🧾 Tributos Aduana'!$F$6))</f>
        <v>0</v>
      </c>
      <c r="N238" s="280">
        <f>TABLA_BASE[[#This Row],[IGV UNIT.
(US$)
✅CF]]*TABLA_BASE[[#This Row],[CANTIDAD
(unid.)]]</f>
        <v>0</v>
      </c>
      <c r="O238" s="280">
        <f>IF('🧾 Tributos Aduana'!$F$6=0,0,'🧾 Tributos Aduana'!$F$23*('🧾 Factura Comercial'!H242/'🧾 Tributos Aduana'!$F$6))</f>
        <v>0</v>
      </c>
      <c r="P238" s="280">
        <f>TABLA_BASE[[#This Row],[PERCEP.
UNIT.(US$)
✅CF]]*TABLA_BASE[[#This Row],[CANTIDAD
(unid.)]]</f>
        <v>0</v>
      </c>
      <c r="Q238" s="279">
        <f>TABLA_BASE[[#This Row],[ADV UNIT.
(US$)
⚠️COSTO]]+TABLA_BASE[[#This Row],[IPM UNIT.
(US$)
✅CF]]+TABLA_BASE[[#This Row],[IGV UNIT.
(US$)
✅CF]]</f>
        <v>0</v>
      </c>
      <c r="R238" s="280">
        <f>TABLA_BASE[[#This Row],[DEUDA
ADUANERA
UNIT.]]*TABLA_BASE[[#This Row],[CANTIDAD
(unid.)]]</f>
        <v>0</v>
      </c>
      <c r="S238" s="278">
        <f>TABLA_BASE[[#This Row],[DEUDA
ADUANERA
UNIT.]]*'📋 Datos Generales'!$E$19</f>
        <v>0</v>
      </c>
      <c r="T238" s="278">
        <f>TABLA_BASE[[#This Row],[DEUDA
ADUANERA
TOTAL]]*'📋 Datos Generales'!$E$19</f>
        <v>0</v>
      </c>
      <c r="U238" s="281">
        <f>TABLA_BASE[[#This Row],[ADV UNIT.
(US$)
⚠️COSTO]]*'📋 Datos Generales'!$E$19</f>
        <v>0</v>
      </c>
      <c r="V238" s="281">
        <f>TABLA_BASE[[#This Row],[ADV UNIT.
(S/.)]]*TABLA_BASE[[#This Row],[CANTIDAD
(unid.)]]</f>
        <v>0</v>
      </c>
      <c r="W238" s="281">
        <f>TABLA_BASE[[#This Row],[IPM UNIT.
(US$)
✅CF]]*'📋 Datos Generales'!$E$19</f>
        <v>0</v>
      </c>
      <c r="X238" s="281">
        <f>TABLA_BASE[[#This Row],[IPM UNIT.
(S/.)]]*TABLA_BASE[[#This Row],[CANTIDAD
(unid.)]]</f>
        <v>0</v>
      </c>
      <c r="Y238" s="281">
        <f>TABLA_BASE[[#This Row],[IGV UNIT.
(US$)
✅CF]]*'📋 Datos Generales'!$E$19</f>
        <v>0</v>
      </c>
      <c r="Z238" s="281">
        <f>TABLA_BASE[[#This Row],[IGV UNIT.
(S/.)]]*TABLA_BASE[[#This Row],[CANTIDAD
(unid.)]]</f>
        <v>0</v>
      </c>
      <c r="AA238" s="281">
        <f>TABLA_BASE[[#This Row],[PERCEP.
UNIT.(US$)
✅CF]]*'📋 Datos Generales'!$E$19</f>
        <v>0</v>
      </c>
      <c r="AB238" s="281">
        <f>TABLA_BASE[[#This Row],[PERCEP.
UNIT.(S/.)]]*TABLA_BASE[[#This Row],[CANTIDAD
(unid.)]]</f>
        <v>0</v>
      </c>
      <c r="AC238" s="279">
        <f>TABLA_BASE[[#This Row],[ADV UNIT.
(US$)
⚠️COSTO]]+TABLA_BASE[[#This Row],[IPM UNIT.
(US$)
✅CF]]+TABLA_BASE[[#This Row],[IGV UNIT.
(US$)
✅CF]]+TABLA_BASE[[#This Row],[PERCEP.
UNIT.(US$)
✅CF]]</f>
        <v>0</v>
      </c>
      <c r="AD238" s="279">
        <f>TABLA_BASE[[#This Row],[TOTAL PAGO
SUNAT
UNIT.(US$)]]*TABLA_BASE[[#This Row],[CANTIDAD
(unid.)]]</f>
        <v>0</v>
      </c>
      <c r="AE238" s="281">
        <f>TABLA_BASE[[#This Row],[TOTAL PAGO
SUNAT
UNIT.(US$)]]*'📋 Datos Generales'!$E$19</f>
        <v>0</v>
      </c>
      <c r="AF238" s="281">
        <f>TABLA_BASE[[#This Row],[TOTAL TRIB.
UNIT.(S/.)]]*TABLA_BASE[[#This Row],[CANTIDAD
(unid.)]]</f>
        <v>0</v>
      </c>
      <c r="AG238" s="279">
        <f>IF('🧾 Factura Comercial'!G242=0,0,'📦 Gastos Importación'!$E$28*(IF('🧾 Tributos Aduana'!$F$6=0,0,'🧾 Factura Comercial'!I242/'🧾 Tributos Aduana'!$F$6))/'🧾 Factura Comercial'!G242)</f>
        <v>0</v>
      </c>
      <c r="AH238" s="279">
        <f>TABLA_BASE[[#This Row],[GASTOS IMP.
UNIT.(US$)]]*TABLA_BASE[[#This Row],[CANTIDAD
(unid.)]]</f>
        <v>0</v>
      </c>
      <c r="AI238" s="281">
        <f>TABLA_BASE[[#This Row],[GASTOS IMP.
UNIT.(US$)]]*'📋 Datos Generales'!$E$19</f>
        <v>0</v>
      </c>
      <c r="AJ238" s="281">
        <f>TABLA_BASE[[#This Row],[GASTOS IMP.
UNIT.(S/.)]]*TABLA_BASE[[#This Row],[CANTIDAD
(unid.)]]</f>
        <v>0</v>
      </c>
      <c r="AK238" s="280">
        <f>'🧮 Costos x Producto'!J242</f>
        <v>0</v>
      </c>
      <c r="AL238" s="278">
        <f>'🧮 Costos x Producto'!K242</f>
        <v>0</v>
      </c>
      <c r="AM238" s="278">
        <f>TABLA_BASE[[#This Row],[C/M UNIT.
(S/.)]]*TABLA_BASE[[#This Row],[CANTIDAD
(unid.)]]</f>
        <v>0</v>
      </c>
      <c r="AN238" s="279">
        <f>IF('🧾 Factura Comercial'!G242=0,0,'🧾 Tributos Aduana'!$F$17*(IF('🧾 Tributos Aduana'!$F$6=0,0,'🧾 Factura Comercial'!I242/'🧾 Tributos Aduana'!$F$6))/'🧾 Factura Comercial'!G242)</f>
        <v>0</v>
      </c>
      <c r="AO238" s="280">
        <f>IF('🧾 Factura Comercial'!G242=0,0,'🏦 Crédito Fiscal'!$C$16*(IF('🧾 Tributos Aduana'!$F$6=0,0,'🧾 Factura Comercial'!I242/'🧾 Tributos Aduana'!$F$6))/'🧾 Factura Comercial'!G242)</f>
        <v>0</v>
      </c>
      <c r="AP238" s="278">
        <f>TABLA_BASE[[#This Row],[CF UNIT.
✅RECUP.
(US$)]]*'📋 Datos Generales'!$E$19</f>
        <v>0</v>
      </c>
      <c r="AQ238" s="278">
        <f>TABLA_BASE[[#This Row],[CF UNIT.
✅RECUP.(S/.)]]*TABLA_BASE[[#This Row],[CANTIDAD
(unid.)]]</f>
        <v>0</v>
      </c>
      <c r="AR238" s="288">
        <f>'💰 Precio de Venta'!G243</f>
        <v>0.4</v>
      </c>
      <c r="AS238" s="278">
        <f>'💰 Precio de Venta'!H243</f>
        <v>0</v>
      </c>
      <c r="AT238" s="278">
        <f>TABLA_BASE[[#This Row],[VALOR VTA.
UNIT.(S/.)]]*TABLA_BASE[[#This Row],[CANTIDAD
(unid.)]]</f>
        <v>0</v>
      </c>
      <c r="AU238" s="281">
        <f>'💰 Precio de Venta'!I243</f>
        <v>0</v>
      </c>
      <c r="AV238" s="278">
        <f>'💰 Precio de Venta'!J243</f>
        <v>0</v>
      </c>
      <c r="AW238" s="278">
        <f>TABLA_BASE[[#This Row],[GANANCIA
UNIT.(S/.)]]*TABLA_BASE[[#This Row],[CANTIDAD
(unid.)]]</f>
        <v>0</v>
      </c>
      <c r="AX238" s="289">
        <f>'💰 Precio de Venta'!K243</f>
        <v>0</v>
      </c>
      <c r="AY238" s="278">
        <f>TABLA_BASE[[#This Row],[GANANCIA
UNIT.(S/.)]]*'🧾 Factura Comercial'!G242</f>
        <v>0</v>
      </c>
      <c r="AZ238" s="277">
        <f>IF(TABLA_BASE[[#This Row],[PRECIO VTA.
c/IGV(S/.)]]=0,0,TABLA_BASE[[#This Row],[GANANCIA
UNIT.(S/.)]]/TABLA_BASE[[#This Row],[PRECIO VTA.
c/IGV(S/.)]])</f>
        <v>0</v>
      </c>
      <c r="BA238" s="277">
        <f>IF(TABLA_BASE[[#This Row],[C/M UNIT.
(S/.)]]=0,0,TABLA_BASE[[#This Row],[GANANCIA
UNIT.(S/.)]]/TABLA_BASE[[#This Row],[C/M UNIT.
(S/.)]])</f>
        <v>0</v>
      </c>
      <c r="BB238" s="274" t="str">
        <f>IF(TABLA_BASE[[#This Row],[MARGEN
%]]&gt;=0.5,"🟢 ALTO",IF(TABLA_BASE[[#This Row],[MARGEN
%]]&gt;=0.3,"🟡 MEDIO","🔴 BAJO"))</f>
        <v>🟡 MEDIO</v>
      </c>
    </row>
    <row r="239" spans="1:54" ht="16.5" hidden="1" thickTop="1" thickBot="1" x14ac:dyDescent="0.3">
      <c r="A239" s="274">
        <f>'🧾 Factura Comercial'!E243</f>
        <v>0</v>
      </c>
      <c r="B239" s="274" t="str">
        <f>'🧾 Factura Comercial'!F243</f>
        <v>Unid.</v>
      </c>
      <c r="C239" s="275">
        <f>'🧾 Factura Comercial'!G243</f>
        <v>0</v>
      </c>
      <c r="D239" s="276">
        <f>'🧾 Factura Comercial'!H243</f>
        <v>0</v>
      </c>
      <c r="E239" s="276">
        <f>'🧾 Factura Comercial'!I243</f>
        <v>0</v>
      </c>
      <c r="F239" s="277">
        <f>IF('🧾 Tributos Aduana'!$F$6=0,0,'🧾 Factura Comercial'!I243/'🧾 Tributos Aduana'!$F$6)</f>
        <v>0</v>
      </c>
      <c r="G239" s="278">
        <f>'🧾 Factura Comercial'!H243*'📋 Datos Generales'!$E$19</f>
        <v>0</v>
      </c>
      <c r="H239" s="278">
        <f>TABLA_BASE[[#This Row],[FOB UNIT.
(S/.)]]*TABLA_BASE[[#This Row],[CANTIDAD
(unid.)]]</f>
        <v>0</v>
      </c>
      <c r="I239" s="280">
        <f>IF('🧾 Tributos Aduana'!$F$6=0,0,'🧾 Tributos Aduana'!$F$17*('🧾 Factura Comercial'!H243/'🧾 Tributos Aduana'!$F$6))</f>
        <v>0</v>
      </c>
      <c r="J239" s="280">
        <f>TABLA_BASE[[#This Row],[ADV UNIT.
(US$)
⚠️COSTO]]*TABLA_BASE[[#This Row],[CANTIDAD
(unid.)]]</f>
        <v>0</v>
      </c>
      <c r="K239" s="279">
        <f>IF('🧾 Tributos Aduana'!$F$6=0,0,'🧾 Tributos Aduana'!$F$18*('🧾 Factura Comercial'!H243/'🧾 Tributos Aduana'!$F$6))</f>
        <v>0</v>
      </c>
      <c r="L239" s="280">
        <f>TABLA_BASE[[#This Row],[IPM UNIT.
(US$)
✅CF]]*TABLA_BASE[[#This Row],[CANTIDAD
(unid.)]]</f>
        <v>0</v>
      </c>
      <c r="M239" s="279">
        <f>IF('🧾 Tributos Aduana'!$F$6=0,0,'🧾 Tributos Aduana'!$F$19*('🧾 Factura Comercial'!H243/'🧾 Tributos Aduana'!$F$6))</f>
        <v>0</v>
      </c>
      <c r="N239" s="280">
        <f>TABLA_BASE[[#This Row],[IGV UNIT.
(US$)
✅CF]]*TABLA_BASE[[#This Row],[CANTIDAD
(unid.)]]</f>
        <v>0</v>
      </c>
      <c r="O239" s="280">
        <f>IF('🧾 Tributos Aduana'!$F$6=0,0,'🧾 Tributos Aduana'!$F$23*('🧾 Factura Comercial'!H243/'🧾 Tributos Aduana'!$F$6))</f>
        <v>0</v>
      </c>
      <c r="P239" s="280">
        <f>TABLA_BASE[[#This Row],[PERCEP.
UNIT.(US$)
✅CF]]*TABLA_BASE[[#This Row],[CANTIDAD
(unid.)]]</f>
        <v>0</v>
      </c>
      <c r="Q239" s="279">
        <f>TABLA_BASE[[#This Row],[ADV UNIT.
(US$)
⚠️COSTO]]+TABLA_BASE[[#This Row],[IPM UNIT.
(US$)
✅CF]]+TABLA_BASE[[#This Row],[IGV UNIT.
(US$)
✅CF]]</f>
        <v>0</v>
      </c>
      <c r="R239" s="280">
        <f>TABLA_BASE[[#This Row],[DEUDA
ADUANERA
UNIT.]]*TABLA_BASE[[#This Row],[CANTIDAD
(unid.)]]</f>
        <v>0</v>
      </c>
      <c r="S239" s="278">
        <f>TABLA_BASE[[#This Row],[DEUDA
ADUANERA
UNIT.]]*'📋 Datos Generales'!$E$19</f>
        <v>0</v>
      </c>
      <c r="T239" s="278">
        <f>TABLA_BASE[[#This Row],[DEUDA
ADUANERA
TOTAL]]*'📋 Datos Generales'!$E$19</f>
        <v>0</v>
      </c>
      <c r="U239" s="281">
        <f>TABLA_BASE[[#This Row],[ADV UNIT.
(US$)
⚠️COSTO]]*'📋 Datos Generales'!$E$19</f>
        <v>0</v>
      </c>
      <c r="V239" s="281">
        <f>TABLA_BASE[[#This Row],[ADV UNIT.
(S/.)]]*TABLA_BASE[[#This Row],[CANTIDAD
(unid.)]]</f>
        <v>0</v>
      </c>
      <c r="W239" s="281">
        <f>TABLA_BASE[[#This Row],[IPM UNIT.
(US$)
✅CF]]*'📋 Datos Generales'!$E$19</f>
        <v>0</v>
      </c>
      <c r="X239" s="281">
        <f>TABLA_BASE[[#This Row],[IPM UNIT.
(S/.)]]*TABLA_BASE[[#This Row],[CANTIDAD
(unid.)]]</f>
        <v>0</v>
      </c>
      <c r="Y239" s="281">
        <f>TABLA_BASE[[#This Row],[IGV UNIT.
(US$)
✅CF]]*'📋 Datos Generales'!$E$19</f>
        <v>0</v>
      </c>
      <c r="Z239" s="281">
        <f>TABLA_BASE[[#This Row],[IGV UNIT.
(S/.)]]*TABLA_BASE[[#This Row],[CANTIDAD
(unid.)]]</f>
        <v>0</v>
      </c>
      <c r="AA239" s="281">
        <f>TABLA_BASE[[#This Row],[PERCEP.
UNIT.(US$)
✅CF]]*'📋 Datos Generales'!$E$19</f>
        <v>0</v>
      </c>
      <c r="AB239" s="281">
        <f>TABLA_BASE[[#This Row],[PERCEP.
UNIT.(S/.)]]*TABLA_BASE[[#This Row],[CANTIDAD
(unid.)]]</f>
        <v>0</v>
      </c>
      <c r="AC239" s="279">
        <f>TABLA_BASE[[#This Row],[ADV UNIT.
(US$)
⚠️COSTO]]+TABLA_BASE[[#This Row],[IPM UNIT.
(US$)
✅CF]]+TABLA_BASE[[#This Row],[IGV UNIT.
(US$)
✅CF]]+TABLA_BASE[[#This Row],[PERCEP.
UNIT.(US$)
✅CF]]</f>
        <v>0</v>
      </c>
      <c r="AD239" s="279">
        <f>TABLA_BASE[[#This Row],[TOTAL PAGO
SUNAT
UNIT.(US$)]]*TABLA_BASE[[#This Row],[CANTIDAD
(unid.)]]</f>
        <v>0</v>
      </c>
      <c r="AE239" s="281">
        <f>TABLA_BASE[[#This Row],[TOTAL PAGO
SUNAT
UNIT.(US$)]]*'📋 Datos Generales'!$E$19</f>
        <v>0</v>
      </c>
      <c r="AF239" s="281">
        <f>TABLA_BASE[[#This Row],[TOTAL TRIB.
UNIT.(S/.)]]*TABLA_BASE[[#This Row],[CANTIDAD
(unid.)]]</f>
        <v>0</v>
      </c>
      <c r="AG239" s="279">
        <f>IF('🧾 Factura Comercial'!G243=0,0,'📦 Gastos Importación'!$E$28*(IF('🧾 Tributos Aduana'!$F$6=0,0,'🧾 Factura Comercial'!I243/'🧾 Tributos Aduana'!$F$6))/'🧾 Factura Comercial'!G243)</f>
        <v>0</v>
      </c>
      <c r="AH239" s="279">
        <f>TABLA_BASE[[#This Row],[GASTOS IMP.
UNIT.(US$)]]*TABLA_BASE[[#This Row],[CANTIDAD
(unid.)]]</f>
        <v>0</v>
      </c>
      <c r="AI239" s="281">
        <f>TABLA_BASE[[#This Row],[GASTOS IMP.
UNIT.(US$)]]*'📋 Datos Generales'!$E$19</f>
        <v>0</v>
      </c>
      <c r="AJ239" s="281">
        <f>TABLA_BASE[[#This Row],[GASTOS IMP.
UNIT.(S/.)]]*TABLA_BASE[[#This Row],[CANTIDAD
(unid.)]]</f>
        <v>0</v>
      </c>
      <c r="AK239" s="280">
        <f>'🧮 Costos x Producto'!J243</f>
        <v>0</v>
      </c>
      <c r="AL239" s="278">
        <f>'🧮 Costos x Producto'!K243</f>
        <v>0</v>
      </c>
      <c r="AM239" s="278">
        <f>TABLA_BASE[[#This Row],[C/M UNIT.
(S/.)]]*TABLA_BASE[[#This Row],[CANTIDAD
(unid.)]]</f>
        <v>0</v>
      </c>
      <c r="AN239" s="279">
        <f>IF('🧾 Factura Comercial'!G243=0,0,'🧾 Tributos Aduana'!$F$17*(IF('🧾 Tributos Aduana'!$F$6=0,0,'🧾 Factura Comercial'!I243/'🧾 Tributos Aduana'!$F$6))/'🧾 Factura Comercial'!G243)</f>
        <v>0</v>
      </c>
      <c r="AO239" s="280">
        <f>IF('🧾 Factura Comercial'!G243=0,0,'🏦 Crédito Fiscal'!$C$16*(IF('🧾 Tributos Aduana'!$F$6=0,0,'🧾 Factura Comercial'!I243/'🧾 Tributos Aduana'!$F$6))/'🧾 Factura Comercial'!G243)</f>
        <v>0</v>
      </c>
      <c r="AP239" s="278">
        <f>TABLA_BASE[[#This Row],[CF UNIT.
✅RECUP.
(US$)]]*'📋 Datos Generales'!$E$19</f>
        <v>0</v>
      </c>
      <c r="AQ239" s="278">
        <f>TABLA_BASE[[#This Row],[CF UNIT.
✅RECUP.(S/.)]]*TABLA_BASE[[#This Row],[CANTIDAD
(unid.)]]</f>
        <v>0</v>
      </c>
      <c r="AR239" s="288">
        <f>'💰 Precio de Venta'!G244</f>
        <v>0.4</v>
      </c>
      <c r="AS239" s="278">
        <f>'💰 Precio de Venta'!H244</f>
        <v>0</v>
      </c>
      <c r="AT239" s="278">
        <f>TABLA_BASE[[#This Row],[VALOR VTA.
UNIT.(S/.)]]*TABLA_BASE[[#This Row],[CANTIDAD
(unid.)]]</f>
        <v>0</v>
      </c>
      <c r="AU239" s="281">
        <f>'💰 Precio de Venta'!I244</f>
        <v>0</v>
      </c>
      <c r="AV239" s="278">
        <f>'💰 Precio de Venta'!J244</f>
        <v>0</v>
      </c>
      <c r="AW239" s="278">
        <f>TABLA_BASE[[#This Row],[GANANCIA
UNIT.(S/.)]]*TABLA_BASE[[#This Row],[CANTIDAD
(unid.)]]</f>
        <v>0</v>
      </c>
      <c r="AX239" s="289">
        <f>'💰 Precio de Venta'!K244</f>
        <v>0</v>
      </c>
      <c r="AY239" s="278">
        <f>TABLA_BASE[[#This Row],[GANANCIA
UNIT.(S/.)]]*'🧾 Factura Comercial'!G243</f>
        <v>0</v>
      </c>
      <c r="AZ239" s="277">
        <f>IF(TABLA_BASE[[#This Row],[PRECIO VTA.
c/IGV(S/.)]]=0,0,TABLA_BASE[[#This Row],[GANANCIA
UNIT.(S/.)]]/TABLA_BASE[[#This Row],[PRECIO VTA.
c/IGV(S/.)]])</f>
        <v>0</v>
      </c>
      <c r="BA239" s="277">
        <f>IF(TABLA_BASE[[#This Row],[C/M UNIT.
(S/.)]]=0,0,TABLA_BASE[[#This Row],[GANANCIA
UNIT.(S/.)]]/TABLA_BASE[[#This Row],[C/M UNIT.
(S/.)]])</f>
        <v>0</v>
      </c>
      <c r="BB239" s="274" t="str">
        <f>IF(TABLA_BASE[[#This Row],[MARGEN
%]]&gt;=0.5,"🟢 ALTO",IF(TABLA_BASE[[#This Row],[MARGEN
%]]&gt;=0.3,"🟡 MEDIO","🔴 BAJO"))</f>
        <v>🟡 MEDIO</v>
      </c>
    </row>
    <row r="240" spans="1:54" ht="16.5" hidden="1" thickTop="1" thickBot="1" x14ac:dyDescent="0.3">
      <c r="A240" s="274">
        <f>'🧾 Factura Comercial'!E244</f>
        <v>0</v>
      </c>
      <c r="B240" s="274" t="str">
        <f>'🧾 Factura Comercial'!F244</f>
        <v>Unid.</v>
      </c>
      <c r="C240" s="275">
        <f>'🧾 Factura Comercial'!G244</f>
        <v>0</v>
      </c>
      <c r="D240" s="276">
        <f>'🧾 Factura Comercial'!H244</f>
        <v>0</v>
      </c>
      <c r="E240" s="276">
        <f>'🧾 Factura Comercial'!I244</f>
        <v>0</v>
      </c>
      <c r="F240" s="277">
        <f>IF('🧾 Tributos Aduana'!$F$6=0,0,'🧾 Factura Comercial'!I244/'🧾 Tributos Aduana'!$F$6)</f>
        <v>0</v>
      </c>
      <c r="G240" s="278">
        <f>'🧾 Factura Comercial'!H244*'📋 Datos Generales'!$E$19</f>
        <v>0</v>
      </c>
      <c r="H240" s="278">
        <f>TABLA_BASE[[#This Row],[FOB UNIT.
(S/.)]]*TABLA_BASE[[#This Row],[CANTIDAD
(unid.)]]</f>
        <v>0</v>
      </c>
      <c r="I240" s="280">
        <f>IF('🧾 Tributos Aduana'!$F$6=0,0,'🧾 Tributos Aduana'!$F$17*('🧾 Factura Comercial'!H244/'🧾 Tributos Aduana'!$F$6))</f>
        <v>0</v>
      </c>
      <c r="J240" s="280">
        <f>TABLA_BASE[[#This Row],[ADV UNIT.
(US$)
⚠️COSTO]]*TABLA_BASE[[#This Row],[CANTIDAD
(unid.)]]</f>
        <v>0</v>
      </c>
      <c r="K240" s="279">
        <f>IF('🧾 Tributos Aduana'!$F$6=0,0,'🧾 Tributos Aduana'!$F$18*('🧾 Factura Comercial'!H244/'🧾 Tributos Aduana'!$F$6))</f>
        <v>0</v>
      </c>
      <c r="L240" s="280">
        <f>TABLA_BASE[[#This Row],[IPM UNIT.
(US$)
✅CF]]*TABLA_BASE[[#This Row],[CANTIDAD
(unid.)]]</f>
        <v>0</v>
      </c>
      <c r="M240" s="279">
        <f>IF('🧾 Tributos Aduana'!$F$6=0,0,'🧾 Tributos Aduana'!$F$19*('🧾 Factura Comercial'!H244/'🧾 Tributos Aduana'!$F$6))</f>
        <v>0</v>
      </c>
      <c r="N240" s="280">
        <f>TABLA_BASE[[#This Row],[IGV UNIT.
(US$)
✅CF]]*TABLA_BASE[[#This Row],[CANTIDAD
(unid.)]]</f>
        <v>0</v>
      </c>
      <c r="O240" s="280">
        <f>IF('🧾 Tributos Aduana'!$F$6=0,0,'🧾 Tributos Aduana'!$F$23*('🧾 Factura Comercial'!H244/'🧾 Tributos Aduana'!$F$6))</f>
        <v>0</v>
      </c>
      <c r="P240" s="280">
        <f>TABLA_BASE[[#This Row],[PERCEP.
UNIT.(US$)
✅CF]]*TABLA_BASE[[#This Row],[CANTIDAD
(unid.)]]</f>
        <v>0</v>
      </c>
      <c r="Q240" s="279">
        <f>TABLA_BASE[[#This Row],[ADV UNIT.
(US$)
⚠️COSTO]]+TABLA_BASE[[#This Row],[IPM UNIT.
(US$)
✅CF]]+TABLA_BASE[[#This Row],[IGV UNIT.
(US$)
✅CF]]</f>
        <v>0</v>
      </c>
      <c r="R240" s="280">
        <f>TABLA_BASE[[#This Row],[DEUDA
ADUANERA
UNIT.]]*TABLA_BASE[[#This Row],[CANTIDAD
(unid.)]]</f>
        <v>0</v>
      </c>
      <c r="S240" s="278">
        <f>TABLA_BASE[[#This Row],[DEUDA
ADUANERA
UNIT.]]*'📋 Datos Generales'!$E$19</f>
        <v>0</v>
      </c>
      <c r="T240" s="278">
        <f>TABLA_BASE[[#This Row],[DEUDA
ADUANERA
TOTAL]]*'📋 Datos Generales'!$E$19</f>
        <v>0</v>
      </c>
      <c r="U240" s="281">
        <f>TABLA_BASE[[#This Row],[ADV UNIT.
(US$)
⚠️COSTO]]*'📋 Datos Generales'!$E$19</f>
        <v>0</v>
      </c>
      <c r="V240" s="281">
        <f>TABLA_BASE[[#This Row],[ADV UNIT.
(S/.)]]*TABLA_BASE[[#This Row],[CANTIDAD
(unid.)]]</f>
        <v>0</v>
      </c>
      <c r="W240" s="281">
        <f>TABLA_BASE[[#This Row],[IPM UNIT.
(US$)
✅CF]]*'📋 Datos Generales'!$E$19</f>
        <v>0</v>
      </c>
      <c r="X240" s="281">
        <f>TABLA_BASE[[#This Row],[IPM UNIT.
(S/.)]]*TABLA_BASE[[#This Row],[CANTIDAD
(unid.)]]</f>
        <v>0</v>
      </c>
      <c r="Y240" s="281">
        <f>TABLA_BASE[[#This Row],[IGV UNIT.
(US$)
✅CF]]*'📋 Datos Generales'!$E$19</f>
        <v>0</v>
      </c>
      <c r="Z240" s="281">
        <f>TABLA_BASE[[#This Row],[IGV UNIT.
(S/.)]]*TABLA_BASE[[#This Row],[CANTIDAD
(unid.)]]</f>
        <v>0</v>
      </c>
      <c r="AA240" s="281">
        <f>TABLA_BASE[[#This Row],[PERCEP.
UNIT.(US$)
✅CF]]*'📋 Datos Generales'!$E$19</f>
        <v>0</v>
      </c>
      <c r="AB240" s="281">
        <f>TABLA_BASE[[#This Row],[PERCEP.
UNIT.(S/.)]]*TABLA_BASE[[#This Row],[CANTIDAD
(unid.)]]</f>
        <v>0</v>
      </c>
      <c r="AC240" s="279">
        <f>TABLA_BASE[[#This Row],[ADV UNIT.
(US$)
⚠️COSTO]]+TABLA_BASE[[#This Row],[IPM UNIT.
(US$)
✅CF]]+TABLA_BASE[[#This Row],[IGV UNIT.
(US$)
✅CF]]+TABLA_BASE[[#This Row],[PERCEP.
UNIT.(US$)
✅CF]]</f>
        <v>0</v>
      </c>
      <c r="AD240" s="279">
        <f>TABLA_BASE[[#This Row],[TOTAL PAGO
SUNAT
UNIT.(US$)]]*TABLA_BASE[[#This Row],[CANTIDAD
(unid.)]]</f>
        <v>0</v>
      </c>
      <c r="AE240" s="281">
        <f>TABLA_BASE[[#This Row],[TOTAL PAGO
SUNAT
UNIT.(US$)]]*'📋 Datos Generales'!$E$19</f>
        <v>0</v>
      </c>
      <c r="AF240" s="281">
        <f>TABLA_BASE[[#This Row],[TOTAL TRIB.
UNIT.(S/.)]]*TABLA_BASE[[#This Row],[CANTIDAD
(unid.)]]</f>
        <v>0</v>
      </c>
      <c r="AG240" s="279">
        <f>IF('🧾 Factura Comercial'!G244=0,0,'📦 Gastos Importación'!$E$28*(IF('🧾 Tributos Aduana'!$F$6=0,0,'🧾 Factura Comercial'!I244/'🧾 Tributos Aduana'!$F$6))/'🧾 Factura Comercial'!G244)</f>
        <v>0</v>
      </c>
      <c r="AH240" s="279">
        <f>TABLA_BASE[[#This Row],[GASTOS IMP.
UNIT.(US$)]]*TABLA_BASE[[#This Row],[CANTIDAD
(unid.)]]</f>
        <v>0</v>
      </c>
      <c r="AI240" s="281">
        <f>TABLA_BASE[[#This Row],[GASTOS IMP.
UNIT.(US$)]]*'📋 Datos Generales'!$E$19</f>
        <v>0</v>
      </c>
      <c r="AJ240" s="281">
        <f>TABLA_BASE[[#This Row],[GASTOS IMP.
UNIT.(S/.)]]*TABLA_BASE[[#This Row],[CANTIDAD
(unid.)]]</f>
        <v>0</v>
      </c>
      <c r="AK240" s="280">
        <f>'🧮 Costos x Producto'!J244</f>
        <v>0</v>
      </c>
      <c r="AL240" s="278">
        <f>'🧮 Costos x Producto'!K244</f>
        <v>0</v>
      </c>
      <c r="AM240" s="278">
        <f>TABLA_BASE[[#This Row],[C/M UNIT.
(S/.)]]*TABLA_BASE[[#This Row],[CANTIDAD
(unid.)]]</f>
        <v>0</v>
      </c>
      <c r="AN240" s="279">
        <f>IF('🧾 Factura Comercial'!G244=0,0,'🧾 Tributos Aduana'!$F$17*(IF('🧾 Tributos Aduana'!$F$6=0,0,'🧾 Factura Comercial'!I244/'🧾 Tributos Aduana'!$F$6))/'🧾 Factura Comercial'!G244)</f>
        <v>0</v>
      </c>
      <c r="AO240" s="280">
        <f>IF('🧾 Factura Comercial'!G244=0,0,'🏦 Crédito Fiscal'!$C$16*(IF('🧾 Tributos Aduana'!$F$6=0,0,'🧾 Factura Comercial'!I244/'🧾 Tributos Aduana'!$F$6))/'🧾 Factura Comercial'!G244)</f>
        <v>0</v>
      </c>
      <c r="AP240" s="278">
        <f>TABLA_BASE[[#This Row],[CF UNIT.
✅RECUP.
(US$)]]*'📋 Datos Generales'!$E$19</f>
        <v>0</v>
      </c>
      <c r="AQ240" s="278">
        <f>TABLA_BASE[[#This Row],[CF UNIT.
✅RECUP.(S/.)]]*TABLA_BASE[[#This Row],[CANTIDAD
(unid.)]]</f>
        <v>0</v>
      </c>
      <c r="AR240" s="288">
        <f>'💰 Precio de Venta'!G245</f>
        <v>0.4</v>
      </c>
      <c r="AS240" s="278">
        <f>'💰 Precio de Venta'!H245</f>
        <v>0</v>
      </c>
      <c r="AT240" s="278">
        <f>TABLA_BASE[[#This Row],[VALOR VTA.
UNIT.(S/.)]]*TABLA_BASE[[#This Row],[CANTIDAD
(unid.)]]</f>
        <v>0</v>
      </c>
      <c r="AU240" s="281">
        <f>'💰 Precio de Venta'!I245</f>
        <v>0</v>
      </c>
      <c r="AV240" s="278">
        <f>'💰 Precio de Venta'!J245</f>
        <v>0</v>
      </c>
      <c r="AW240" s="278">
        <f>TABLA_BASE[[#This Row],[GANANCIA
UNIT.(S/.)]]*TABLA_BASE[[#This Row],[CANTIDAD
(unid.)]]</f>
        <v>0</v>
      </c>
      <c r="AX240" s="289">
        <f>'💰 Precio de Venta'!K245</f>
        <v>0</v>
      </c>
      <c r="AY240" s="278">
        <f>TABLA_BASE[[#This Row],[GANANCIA
UNIT.(S/.)]]*'🧾 Factura Comercial'!G244</f>
        <v>0</v>
      </c>
      <c r="AZ240" s="277">
        <f>IF(TABLA_BASE[[#This Row],[PRECIO VTA.
c/IGV(S/.)]]=0,0,TABLA_BASE[[#This Row],[GANANCIA
UNIT.(S/.)]]/TABLA_BASE[[#This Row],[PRECIO VTA.
c/IGV(S/.)]])</f>
        <v>0</v>
      </c>
      <c r="BA240" s="277">
        <f>IF(TABLA_BASE[[#This Row],[C/M UNIT.
(S/.)]]=0,0,TABLA_BASE[[#This Row],[GANANCIA
UNIT.(S/.)]]/TABLA_BASE[[#This Row],[C/M UNIT.
(S/.)]])</f>
        <v>0</v>
      </c>
      <c r="BB240" s="274" t="str">
        <f>IF(TABLA_BASE[[#This Row],[MARGEN
%]]&gt;=0.5,"🟢 ALTO",IF(TABLA_BASE[[#This Row],[MARGEN
%]]&gt;=0.3,"🟡 MEDIO","🔴 BAJO"))</f>
        <v>🟡 MEDIO</v>
      </c>
    </row>
    <row r="241" spans="1:54" ht="16.5" hidden="1" thickTop="1" thickBot="1" x14ac:dyDescent="0.3">
      <c r="A241" s="274">
        <f>'🧾 Factura Comercial'!E245</f>
        <v>0</v>
      </c>
      <c r="B241" s="274" t="str">
        <f>'🧾 Factura Comercial'!F245</f>
        <v>Unid.</v>
      </c>
      <c r="C241" s="275">
        <f>'🧾 Factura Comercial'!G245</f>
        <v>0</v>
      </c>
      <c r="D241" s="276">
        <f>'🧾 Factura Comercial'!H245</f>
        <v>0</v>
      </c>
      <c r="E241" s="276">
        <f>'🧾 Factura Comercial'!I245</f>
        <v>0</v>
      </c>
      <c r="F241" s="277">
        <f>IF('🧾 Tributos Aduana'!$F$6=0,0,'🧾 Factura Comercial'!I245/'🧾 Tributos Aduana'!$F$6)</f>
        <v>0</v>
      </c>
      <c r="G241" s="278">
        <f>'🧾 Factura Comercial'!H245*'📋 Datos Generales'!$E$19</f>
        <v>0</v>
      </c>
      <c r="H241" s="278">
        <f>TABLA_BASE[[#This Row],[FOB UNIT.
(S/.)]]*TABLA_BASE[[#This Row],[CANTIDAD
(unid.)]]</f>
        <v>0</v>
      </c>
      <c r="I241" s="280">
        <f>IF('🧾 Tributos Aduana'!$F$6=0,0,'🧾 Tributos Aduana'!$F$17*('🧾 Factura Comercial'!H245/'🧾 Tributos Aduana'!$F$6))</f>
        <v>0</v>
      </c>
      <c r="J241" s="280">
        <f>TABLA_BASE[[#This Row],[ADV UNIT.
(US$)
⚠️COSTO]]*TABLA_BASE[[#This Row],[CANTIDAD
(unid.)]]</f>
        <v>0</v>
      </c>
      <c r="K241" s="279">
        <f>IF('🧾 Tributos Aduana'!$F$6=0,0,'🧾 Tributos Aduana'!$F$18*('🧾 Factura Comercial'!H245/'🧾 Tributos Aduana'!$F$6))</f>
        <v>0</v>
      </c>
      <c r="L241" s="280">
        <f>TABLA_BASE[[#This Row],[IPM UNIT.
(US$)
✅CF]]*TABLA_BASE[[#This Row],[CANTIDAD
(unid.)]]</f>
        <v>0</v>
      </c>
      <c r="M241" s="279">
        <f>IF('🧾 Tributos Aduana'!$F$6=0,0,'🧾 Tributos Aduana'!$F$19*('🧾 Factura Comercial'!H245/'🧾 Tributos Aduana'!$F$6))</f>
        <v>0</v>
      </c>
      <c r="N241" s="280">
        <f>TABLA_BASE[[#This Row],[IGV UNIT.
(US$)
✅CF]]*TABLA_BASE[[#This Row],[CANTIDAD
(unid.)]]</f>
        <v>0</v>
      </c>
      <c r="O241" s="280">
        <f>IF('🧾 Tributos Aduana'!$F$6=0,0,'🧾 Tributos Aduana'!$F$23*('🧾 Factura Comercial'!H245/'🧾 Tributos Aduana'!$F$6))</f>
        <v>0</v>
      </c>
      <c r="P241" s="280">
        <f>TABLA_BASE[[#This Row],[PERCEP.
UNIT.(US$)
✅CF]]*TABLA_BASE[[#This Row],[CANTIDAD
(unid.)]]</f>
        <v>0</v>
      </c>
      <c r="Q241" s="279">
        <f>TABLA_BASE[[#This Row],[ADV UNIT.
(US$)
⚠️COSTO]]+TABLA_BASE[[#This Row],[IPM UNIT.
(US$)
✅CF]]+TABLA_BASE[[#This Row],[IGV UNIT.
(US$)
✅CF]]</f>
        <v>0</v>
      </c>
      <c r="R241" s="280">
        <f>TABLA_BASE[[#This Row],[DEUDA
ADUANERA
UNIT.]]*TABLA_BASE[[#This Row],[CANTIDAD
(unid.)]]</f>
        <v>0</v>
      </c>
      <c r="S241" s="278">
        <f>TABLA_BASE[[#This Row],[DEUDA
ADUANERA
UNIT.]]*'📋 Datos Generales'!$E$19</f>
        <v>0</v>
      </c>
      <c r="T241" s="278">
        <f>TABLA_BASE[[#This Row],[DEUDA
ADUANERA
TOTAL]]*'📋 Datos Generales'!$E$19</f>
        <v>0</v>
      </c>
      <c r="U241" s="281">
        <f>TABLA_BASE[[#This Row],[ADV UNIT.
(US$)
⚠️COSTO]]*'📋 Datos Generales'!$E$19</f>
        <v>0</v>
      </c>
      <c r="V241" s="281">
        <f>TABLA_BASE[[#This Row],[ADV UNIT.
(S/.)]]*TABLA_BASE[[#This Row],[CANTIDAD
(unid.)]]</f>
        <v>0</v>
      </c>
      <c r="W241" s="281">
        <f>TABLA_BASE[[#This Row],[IPM UNIT.
(US$)
✅CF]]*'📋 Datos Generales'!$E$19</f>
        <v>0</v>
      </c>
      <c r="X241" s="281">
        <f>TABLA_BASE[[#This Row],[IPM UNIT.
(S/.)]]*TABLA_BASE[[#This Row],[CANTIDAD
(unid.)]]</f>
        <v>0</v>
      </c>
      <c r="Y241" s="281">
        <f>TABLA_BASE[[#This Row],[IGV UNIT.
(US$)
✅CF]]*'📋 Datos Generales'!$E$19</f>
        <v>0</v>
      </c>
      <c r="Z241" s="281">
        <f>TABLA_BASE[[#This Row],[IGV UNIT.
(S/.)]]*TABLA_BASE[[#This Row],[CANTIDAD
(unid.)]]</f>
        <v>0</v>
      </c>
      <c r="AA241" s="281">
        <f>TABLA_BASE[[#This Row],[PERCEP.
UNIT.(US$)
✅CF]]*'📋 Datos Generales'!$E$19</f>
        <v>0</v>
      </c>
      <c r="AB241" s="281">
        <f>TABLA_BASE[[#This Row],[PERCEP.
UNIT.(S/.)]]*TABLA_BASE[[#This Row],[CANTIDAD
(unid.)]]</f>
        <v>0</v>
      </c>
      <c r="AC241" s="279">
        <f>TABLA_BASE[[#This Row],[ADV UNIT.
(US$)
⚠️COSTO]]+TABLA_BASE[[#This Row],[IPM UNIT.
(US$)
✅CF]]+TABLA_BASE[[#This Row],[IGV UNIT.
(US$)
✅CF]]+TABLA_BASE[[#This Row],[PERCEP.
UNIT.(US$)
✅CF]]</f>
        <v>0</v>
      </c>
      <c r="AD241" s="279">
        <f>TABLA_BASE[[#This Row],[TOTAL PAGO
SUNAT
UNIT.(US$)]]*TABLA_BASE[[#This Row],[CANTIDAD
(unid.)]]</f>
        <v>0</v>
      </c>
      <c r="AE241" s="281">
        <f>TABLA_BASE[[#This Row],[TOTAL PAGO
SUNAT
UNIT.(US$)]]*'📋 Datos Generales'!$E$19</f>
        <v>0</v>
      </c>
      <c r="AF241" s="281">
        <f>TABLA_BASE[[#This Row],[TOTAL TRIB.
UNIT.(S/.)]]*TABLA_BASE[[#This Row],[CANTIDAD
(unid.)]]</f>
        <v>0</v>
      </c>
      <c r="AG241" s="279">
        <f>IF('🧾 Factura Comercial'!G245=0,0,'📦 Gastos Importación'!$E$28*(IF('🧾 Tributos Aduana'!$F$6=0,0,'🧾 Factura Comercial'!I245/'🧾 Tributos Aduana'!$F$6))/'🧾 Factura Comercial'!G245)</f>
        <v>0</v>
      </c>
      <c r="AH241" s="279">
        <f>TABLA_BASE[[#This Row],[GASTOS IMP.
UNIT.(US$)]]*TABLA_BASE[[#This Row],[CANTIDAD
(unid.)]]</f>
        <v>0</v>
      </c>
      <c r="AI241" s="281">
        <f>TABLA_BASE[[#This Row],[GASTOS IMP.
UNIT.(US$)]]*'📋 Datos Generales'!$E$19</f>
        <v>0</v>
      </c>
      <c r="AJ241" s="281">
        <f>TABLA_BASE[[#This Row],[GASTOS IMP.
UNIT.(S/.)]]*TABLA_BASE[[#This Row],[CANTIDAD
(unid.)]]</f>
        <v>0</v>
      </c>
      <c r="AK241" s="280">
        <f>'🧮 Costos x Producto'!J245</f>
        <v>0</v>
      </c>
      <c r="AL241" s="278">
        <f>'🧮 Costos x Producto'!K245</f>
        <v>0</v>
      </c>
      <c r="AM241" s="278">
        <f>TABLA_BASE[[#This Row],[C/M UNIT.
(S/.)]]*TABLA_BASE[[#This Row],[CANTIDAD
(unid.)]]</f>
        <v>0</v>
      </c>
      <c r="AN241" s="279">
        <f>IF('🧾 Factura Comercial'!G245=0,0,'🧾 Tributos Aduana'!$F$17*(IF('🧾 Tributos Aduana'!$F$6=0,0,'🧾 Factura Comercial'!I245/'🧾 Tributos Aduana'!$F$6))/'🧾 Factura Comercial'!G245)</f>
        <v>0</v>
      </c>
      <c r="AO241" s="280">
        <f>IF('🧾 Factura Comercial'!G245=0,0,'🏦 Crédito Fiscal'!$C$16*(IF('🧾 Tributos Aduana'!$F$6=0,0,'🧾 Factura Comercial'!I245/'🧾 Tributos Aduana'!$F$6))/'🧾 Factura Comercial'!G245)</f>
        <v>0</v>
      </c>
      <c r="AP241" s="278">
        <f>TABLA_BASE[[#This Row],[CF UNIT.
✅RECUP.
(US$)]]*'📋 Datos Generales'!$E$19</f>
        <v>0</v>
      </c>
      <c r="AQ241" s="278">
        <f>TABLA_BASE[[#This Row],[CF UNIT.
✅RECUP.(S/.)]]*TABLA_BASE[[#This Row],[CANTIDAD
(unid.)]]</f>
        <v>0</v>
      </c>
      <c r="AR241" s="288">
        <f>'💰 Precio de Venta'!G246</f>
        <v>0.4</v>
      </c>
      <c r="AS241" s="278">
        <f>'💰 Precio de Venta'!H246</f>
        <v>0</v>
      </c>
      <c r="AT241" s="278">
        <f>TABLA_BASE[[#This Row],[VALOR VTA.
UNIT.(S/.)]]*TABLA_BASE[[#This Row],[CANTIDAD
(unid.)]]</f>
        <v>0</v>
      </c>
      <c r="AU241" s="281">
        <f>'💰 Precio de Venta'!I246</f>
        <v>0</v>
      </c>
      <c r="AV241" s="278">
        <f>'💰 Precio de Venta'!J246</f>
        <v>0</v>
      </c>
      <c r="AW241" s="278">
        <f>TABLA_BASE[[#This Row],[GANANCIA
UNIT.(S/.)]]*TABLA_BASE[[#This Row],[CANTIDAD
(unid.)]]</f>
        <v>0</v>
      </c>
      <c r="AX241" s="289">
        <f>'💰 Precio de Venta'!K246</f>
        <v>0</v>
      </c>
      <c r="AY241" s="278">
        <f>TABLA_BASE[[#This Row],[GANANCIA
UNIT.(S/.)]]*'🧾 Factura Comercial'!G245</f>
        <v>0</v>
      </c>
      <c r="AZ241" s="277">
        <f>IF(TABLA_BASE[[#This Row],[PRECIO VTA.
c/IGV(S/.)]]=0,0,TABLA_BASE[[#This Row],[GANANCIA
UNIT.(S/.)]]/TABLA_BASE[[#This Row],[PRECIO VTA.
c/IGV(S/.)]])</f>
        <v>0</v>
      </c>
      <c r="BA241" s="277">
        <f>IF(TABLA_BASE[[#This Row],[C/M UNIT.
(S/.)]]=0,0,TABLA_BASE[[#This Row],[GANANCIA
UNIT.(S/.)]]/TABLA_BASE[[#This Row],[C/M UNIT.
(S/.)]])</f>
        <v>0</v>
      </c>
      <c r="BB241" s="274" t="str">
        <f>IF(TABLA_BASE[[#This Row],[MARGEN
%]]&gt;=0.5,"🟢 ALTO",IF(TABLA_BASE[[#This Row],[MARGEN
%]]&gt;=0.3,"🟡 MEDIO","🔴 BAJO"))</f>
        <v>🟡 MEDIO</v>
      </c>
    </row>
    <row r="242" spans="1:54" ht="16.5" hidden="1" thickTop="1" thickBot="1" x14ac:dyDescent="0.3">
      <c r="A242" s="274">
        <f>'🧾 Factura Comercial'!E246</f>
        <v>0</v>
      </c>
      <c r="B242" s="274" t="str">
        <f>'🧾 Factura Comercial'!F246</f>
        <v>Unid.</v>
      </c>
      <c r="C242" s="275">
        <f>'🧾 Factura Comercial'!G246</f>
        <v>0</v>
      </c>
      <c r="D242" s="276">
        <f>'🧾 Factura Comercial'!H246</f>
        <v>0</v>
      </c>
      <c r="E242" s="276">
        <f>'🧾 Factura Comercial'!I246</f>
        <v>0</v>
      </c>
      <c r="F242" s="277">
        <f>IF('🧾 Tributos Aduana'!$F$6=0,0,'🧾 Factura Comercial'!I246/'🧾 Tributos Aduana'!$F$6)</f>
        <v>0</v>
      </c>
      <c r="G242" s="278">
        <f>'🧾 Factura Comercial'!H246*'📋 Datos Generales'!$E$19</f>
        <v>0</v>
      </c>
      <c r="H242" s="278">
        <f>TABLA_BASE[[#This Row],[FOB UNIT.
(S/.)]]*TABLA_BASE[[#This Row],[CANTIDAD
(unid.)]]</f>
        <v>0</v>
      </c>
      <c r="I242" s="280">
        <f>IF('🧾 Tributos Aduana'!$F$6=0,0,'🧾 Tributos Aduana'!$F$17*('🧾 Factura Comercial'!H246/'🧾 Tributos Aduana'!$F$6))</f>
        <v>0</v>
      </c>
      <c r="J242" s="280">
        <f>TABLA_BASE[[#This Row],[ADV UNIT.
(US$)
⚠️COSTO]]*TABLA_BASE[[#This Row],[CANTIDAD
(unid.)]]</f>
        <v>0</v>
      </c>
      <c r="K242" s="279">
        <f>IF('🧾 Tributos Aduana'!$F$6=0,0,'🧾 Tributos Aduana'!$F$18*('🧾 Factura Comercial'!H246/'🧾 Tributos Aduana'!$F$6))</f>
        <v>0</v>
      </c>
      <c r="L242" s="280">
        <f>TABLA_BASE[[#This Row],[IPM UNIT.
(US$)
✅CF]]*TABLA_BASE[[#This Row],[CANTIDAD
(unid.)]]</f>
        <v>0</v>
      </c>
      <c r="M242" s="279">
        <f>IF('🧾 Tributos Aduana'!$F$6=0,0,'🧾 Tributos Aduana'!$F$19*('🧾 Factura Comercial'!H246/'🧾 Tributos Aduana'!$F$6))</f>
        <v>0</v>
      </c>
      <c r="N242" s="280">
        <f>TABLA_BASE[[#This Row],[IGV UNIT.
(US$)
✅CF]]*TABLA_BASE[[#This Row],[CANTIDAD
(unid.)]]</f>
        <v>0</v>
      </c>
      <c r="O242" s="280">
        <f>IF('🧾 Tributos Aduana'!$F$6=0,0,'🧾 Tributos Aduana'!$F$23*('🧾 Factura Comercial'!H246/'🧾 Tributos Aduana'!$F$6))</f>
        <v>0</v>
      </c>
      <c r="P242" s="280">
        <f>TABLA_BASE[[#This Row],[PERCEP.
UNIT.(US$)
✅CF]]*TABLA_BASE[[#This Row],[CANTIDAD
(unid.)]]</f>
        <v>0</v>
      </c>
      <c r="Q242" s="279">
        <f>TABLA_BASE[[#This Row],[ADV UNIT.
(US$)
⚠️COSTO]]+TABLA_BASE[[#This Row],[IPM UNIT.
(US$)
✅CF]]+TABLA_BASE[[#This Row],[IGV UNIT.
(US$)
✅CF]]</f>
        <v>0</v>
      </c>
      <c r="R242" s="280">
        <f>TABLA_BASE[[#This Row],[DEUDA
ADUANERA
UNIT.]]*TABLA_BASE[[#This Row],[CANTIDAD
(unid.)]]</f>
        <v>0</v>
      </c>
      <c r="S242" s="278">
        <f>TABLA_BASE[[#This Row],[DEUDA
ADUANERA
UNIT.]]*'📋 Datos Generales'!$E$19</f>
        <v>0</v>
      </c>
      <c r="T242" s="278">
        <f>TABLA_BASE[[#This Row],[DEUDA
ADUANERA
TOTAL]]*'📋 Datos Generales'!$E$19</f>
        <v>0</v>
      </c>
      <c r="U242" s="281">
        <f>TABLA_BASE[[#This Row],[ADV UNIT.
(US$)
⚠️COSTO]]*'📋 Datos Generales'!$E$19</f>
        <v>0</v>
      </c>
      <c r="V242" s="281">
        <f>TABLA_BASE[[#This Row],[ADV UNIT.
(S/.)]]*TABLA_BASE[[#This Row],[CANTIDAD
(unid.)]]</f>
        <v>0</v>
      </c>
      <c r="W242" s="281">
        <f>TABLA_BASE[[#This Row],[IPM UNIT.
(US$)
✅CF]]*'📋 Datos Generales'!$E$19</f>
        <v>0</v>
      </c>
      <c r="X242" s="281">
        <f>TABLA_BASE[[#This Row],[IPM UNIT.
(S/.)]]*TABLA_BASE[[#This Row],[CANTIDAD
(unid.)]]</f>
        <v>0</v>
      </c>
      <c r="Y242" s="281">
        <f>TABLA_BASE[[#This Row],[IGV UNIT.
(US$)
✅CF]]*'📋 Datos Generales'!$E$19</f>
        <v>0</v>
      </c>
      <c r="Z242" s="281">
        <f>TABLA_BASE[[#This Row],[IGV UNIT.
(S/.)]]*TABLA_BASE[[#This Row],[CANTIDAD
(unid.)]]</f>
        <v>0</v>
      </c>
      <c r="AA242" s="281">
        <f>TABLA_BASE[[#This Row],[PERCEP.
UNIT.(US$)
✅CF]]*'📋 Datos Generales'!$E$19</f>
        <v>0</v>
      </c>
      <c r="AB242" s="281">
        <f>TABLA_BASE[[#This Row],[PERCEP.
UNIT.(S/.)]]*TABLA_BASE[[#This Row],[CANTIDAD
(unid.)]]</f>
        <v>0</v>
      </c>
      <c r="AC242" s="279">
        <f>TABLA_BASE[[#This Row],[ADV UNIT.
(US$)
⚠️COSTO]]+TABLA_BASE[[#This Row],[IPM UNIT.
(US$)
✅CF]]+TABLA_BASE[[#This Row],[IGV UNIT.
(US$)
✅CF]]+TABLA_BASE[[#This Row],[PERCEP.
UNIT.(US$)
✅CF]]</f>
        <v>0</v>
      </c>
      <c r="AD242" s="279">
        <f>TABLA_BASE[[#This Row],[TOTAL PAGO
SUNAT
UNIT.(US$)]]*TABLA_BASE[[#This Row],[CANTIDAD
(unid.)]]</f>
        <v>0</v>
      </c>
      <c r="AE242" s="281">
        <f>TABLA_BASE[[#This Row],[TOTAL PAGO
SUNAT
UNIT.(US$)]]*'📋 Datos Generales'!$E$19</f>
        <v>0</v>
      </c>
      <c r="AF242" s="281">
        <f>TABLA_BASE[[#This Row],[TOTAL TRIB.
UNIT.(S/.)]]*TABLA_BASE[[#This Row],[CANTIDAD
(unid.)]]</f>
        <v>0</v>
      </c>
      <c r="AG242" s="279">
        <f>IF('🧾 Factura Comercial'!G246=0,0,'📦 Gastos Importación'!$E$28*(IF('🧾 Tributos Aduana'!$F$6=0,0,'🧾 Factura Comercial'!I246/'🧾 Tributos Aduana'!$F$6))/'🧾 Factura Comercial'!G246)</f>
        <v>0</v>
      </c>
      <c r="AH242" s="279">
        <f>TABLA_BASE[[#This Row],[GASTOS IMP.
UNIT.(US$)]]*TABLA_BASE[[#This Row],[CANTIDAD
(unid.)]]</f>
        <v>0</v>
      </c>
      <c r="AI242" s="281">
        <f>TABLA_BASE[[#This Row],[GASTOS IMP.
UNIT.(US$)]]*'📋 Datos Generales'!$E$19</f>
        <v>0</v>
      </c>
      <c r="AJ242" s="281">
        <f>TABLA_BASE[[#This Row],[GASTOS IMP.
UNIT.(S/.)]]*TABLA_BASE[[#This Row],[CANTIDAD
(unid.)]]</f>
        <v>0</v>
      </c>
      <c r="AK242" s="280">
        <f>'🧮 Costos x Producto'!J246</f>
        <v>0</v>
      </c>
      <c r="AL242" s="278">
        <f>'🧮 Costos x Producto'!K246</f>
        <v>0</v>
      </c>
      <c r="AM242" s="278">
        <f>TABLA_BASE[[#This Row],[C/M UNIT.
(S/.)]]*TABLA_BASE[[#This Row],[CANTIDAD
(unid.)]]</f>
        <v>0</v>
      </c>
      <c r="AN242" s="279">
        <f>IF('🧾 Factura Comercial'!G246=0,0,'🧾 Tributos Aduana'!$F$17*(IF('🧾 Tributos Aduana'!$F$6=0,0,'🧾 Factura Comercial'!I246/'🧾 Tributos Aduana'!$F$6))/'🧾 Factura Comercial'!G246)</f>
        <v>0</v>
      </c>
      <c r="AO242" s="280">
        <f>IF('🧾 Factura Comercial'!G246=0,0,'🏦 Crédito Fiscal'!$C$16*(IF('🧾 Tributos Aduana'!$F$6=0,0,'🧾 Factura Comercial'!I246/'🧾 Tributos Aduana'!$F$6))/'🧾 Factura Comercial'!G246)</f>
        <v>0</v>
      </c>
      <c r="AP242" s="278">
        <f>TABLA_BASE[[#This Row],[CF UNIT.
✅RECUP.
(US$)]]*'📋 Datos Generales'!$E$19</f>
        <v>0</v>
      </c>
      <c r="AQ242" s="278">
        <f>TABLA_BASE[[#This Row],[CF UNIT.
✅RECUP.(S/.)]]*TABLA_BASE[[#This Row],[CANTIDAD
(unid.)]]</f>
        <v>0</v>
      </c>
      <c r="AR242" s="288">
        <f>'💰 Precio de Venta'!G247</f>
        <v>0.4</v>
      </c>
      <c r="AS242" s="278">
        <f>'💰 Precio de Venta'!H247</f>
        <v>0</v>
      </c>
      <c r="AT242" s="278">
        <f>TABLA_BASE[[#This Row],[VALOR VTA.
UNIT.(S/.)]]*TABLA_BASE[[#This Row],[CANTIDAD
(unid.)]]</f>
        <v>0</v>
      </c>
      <c r="AU242" s="281">
        <f>'💰 Precio de Venta'!I247</f>
        <v>0</v>
      </c>
      <c r="AV242" s="278">
        <f>'💰 Precio de Venta'!J247</f>
        <v>0</v>
      </c>
      <c r="AW242" s="278">
        <f>TABLA_BASE[[#This Row],[GANANCIA
UNIT.(S/.)]]*TABLA_BASE[[#This Row],[CANTIDAD
(unid.)]]</f>
        <v>0</v>
      </c>
      <c r="AX242" s="289">
        <f>'💰 Precio de Venta'!K247</f>
        <v>0</v>
      </c>
      <c r="AY242" s="278">
        <f>TABLA_BASE[[#This Row],[GANANCIA
UNIT.(S/.)]]*'🧾 Factura Comercial'!G246</f>
        <v>0</v>
      </c>
      <c r="AZ242" s="277">
        <f>IF(TABLA_BASE[[#This Row],[PRECIO VTA.
c/IGV(S/.)]]=0,0,TABLA_BASE[[#This Row],[GANANCIA
UNIT.(S/.)]]/TABLA_BASE[[#This Row],[PRECIO VTA.
c/IGV(S/.)]])</f>
        <v>0</v>
      </c>
      <c r="BA242" s="277">
        <f>IF(TABLA_BASE[[#This Row],[C/M UNIT.
(S/.)]]=0,0,TABLA_BASE[[#This Row],[GANANCIA
UNIT.(S/.)]]/TABLA_BASE[[#This Row],[C/M UNIT.
(S/.)]])</f>
        <v>0</v>
      </c>
      <c r="BB242" s="274" t="str">
        <f>IF(TABLA_BASE[[#This Row],[MARGEN
%]]&gt;=0.5,"🟢 ALTO",IF(TABLA_BASE[[#This Row],[MARGEN
%]]&gt;=0.3,"🟡 MEDIO","🔴 BAJO"))</f>
        <v>🟡 MEDIO</v>
      </c>
    </row>
    <row r="243" spans="1:54" ht="16.5" hidden="1" thickTop="1" thickBot="1" x14ac:dyDescent="0.3">
      <c r="A243" s="274">
        <f>'🧾 Factura Comercial'!E247</f>
        <v>0</v>
      </c>
      <c r="B243" s="274" t="str">
        <f>'🧾 Factura Comercial'!F247</f>
        <v>Unid.</v>
      </c>
      <c r="C243" s="275">
        <f>'🧾 Factura Comercial'!G247</f>
        <v>0</v>
      </c>
      <c r="D243" s="276">
        <f>'🧾 Factura Comercial'!H247</f>
        <v>0</v>
      </c>
      <c r="E243" s="276">
        <f>'🧾 Factura Comercial'!I247</f>
        <v>0</v>
      </c>
      <c r="F243" s="277">
        <f>IF('🧾 Tributos Aduana'!$F$6=0,0,'🧾 Factura Comercial'!I247/'🧾 Tributos Aduana'!$F$6)</f>
        <v>0</v>
      </c>
      <c r="G243" s="278">
        <f>'🧾 Factura Comercial'!H247*'📋 Datos Generales'!$E$19</f>
        <v>0</v>
      </c>
      <c r="H243" s="278">
        <f>TABLA_BASE[[#This Row],[FOB UNIT.
(S/.)]]*TABLA_BASE[[#This Row],[CANTIDAD
(unid.)]]</f>
        <v>0</v>
      </c>
      <c r="I243" s="280">
        <f>IF('🧾 Tributos Aduana'!$F$6=0,0,'🧾 Tributos Aduana'!$F$17*('🧾 Factura Comercial'!H247/'🧾 Tributos Aduana'!$F$6))</f>
        <v>0</v>
      </c>
      <c r="J243" s="280">
        <f>TABLA_BASE[[#This Row],[ADV UNIT.
(US$)
⚠️COSTO]]*TABLA_BASE[[#This Row],[CANTIDAD
(unid.)]]</f>
        <v>0</v>
      </c>
      <c r="K243" s="279">
        <f>IF('🧾 Tributos Aduana'!$F$6=0,0,'🧾 Tributos Aduana'!$F$18*('🧾 Factura Comercial'!H247/'🧾 Tributos Aduana'!$F$6))</f>
        <v>0</v>
      </c>
      <c r="L243" s="280">
        <f>TABLA_BASE[[#This Row],[IPM UNIT.
(US$)
✅CF]]*TABLA_BASE[[#This Row],[CANTIDAD
(unid.)]]</f>
        <v>0</v>
      </c>
      <c r="M243" s="279">
        <f>IF('🧾 Tributos Aduana'!$F$6=0,0,'🧾 Tributos Aduana'!$F$19*('🧾 Factura Comercial'!H247/'🧾 Tributos Aduana'!$F$6))</f>
        <v>0</v>
      </c>
      <c r="N243" s="280">
        <f>TABLA_BASE[[#This Row],[IGV UNIT.
(US$)
✅CF]]*TABLA_BASE[[#This Row],[CANTIDAD
(unid.)]]</f>
        <v>0</v>
      </c>
      <c r="O243" s="280">
        <f>IF('🧾 Tributos Aduana'!$F$6=0,0,'🧾 Tributos Aduana'!$F$23*('🧾 Factura Comercial'!H247/'🧾 Tributos Aduana'!$F$6))</f>
        <v>0</v>
      </c>
      <c r="P243" s="280">
        <f>TABLA_BASE[[#This Row],[PERCEP.
UNIT.(US$)
✅CF]]*TABLA_BASE[[#This Row],[CANTIDAD
(unid.)]]</f>
        <v>0</v>
      </c>
      <c r="Q243" s="279">
        <f>TABLA_BASE[[#This Row],[ADV UNIT.
(US$)
⚠️COSTO]]+TABLA_BASE[[#This Row],[IPM UNIT.
(US$)
✅CF]]+TABLA_BASE[[#This Row],[IGV UNIT.
(US$)
✅CF]]</f>
        <v>0</v>
      </c>
      <c r="R243" s="280">
        <f>TABLA_BASE[[#This Row],[DEUDA
ADUANERA
UNIT.]]*TABLA_BASE[[#This Row],[CANTIDAD
(unid.)]]</f>
        <v>0</v>
      </c>
      <c r="S243" s="278">
        <f>TABLA_BASE[[#This Row],[DEUDA
ADUANERA
UNIT.]]*'📋 Datos Generales'!$E$19</f>
        <v>0</v>
      </c>
      <c r="T243" s="278">
        <f>TABLA_BASE[[#This Row],[DEUDA
ADUANERA
TOTAL]]*'📋 Datos Generales'!$E$19</f>
        <v>0</v>
      </c>
      <c r="U243" s="281">
        <f>TABLA_BASE[[#This Row],[ADV UNIT.
(US$)
⚠️COSTO]]*'📋 Datos Generales'!$E$19</f>
        <v>0</v>
      </c>
      <c r="V243" s="281">
        <f>TABLA_BASE[[#This Row],[ADV UNIT.
(S/.)]]*TABLA_BASE[[#This Row],[CANTIDAD
(unid.)]]</f>
        <v>0</v>
      </c>
      <c r="W243" s="281">
        <f>TABLA_BASE[[#This Row],[IPM UNIT.
(US$)
✅CF]]*'📋 Datos Generales'!$E$19</f>
        <v>0</v>
      </c>
      <c r="X243" s="281">
        <f>TABLA_BASE[[#This Row],[IPM UNIT.
(S/.)]]*TABLA_BASE[[#This Row],[CANTIDAD
(unid.)]]</f>
        <v>0</v>
      </c>
      <c r="Y243" s="281">
        <f>TABLA_BASE[[#This Row],[IGV UNIT.
(US$)
✅CF]]*'📋 Datos Generales'!$E$19</f>
        <v>0</v>
      </c>
      <c r="Z243" s="281">
        <f>TABLA_BASE[[#This Row],[IGV UNIT.
(S/.)]]*TABLA_BASE[[#This Row],[CANTIDAD
(unid.)]]</f>
        <v>0</v>
      </c>
      <c r="AA243" s="281">
        <f>TABLA_BASE[[#This Row],[PERCEP.
UNIT.(US$)
✅CF]]*'📋 Datos Generales'!$E$19</f>
        <v>0</v>
      </c>
      <c r="AB243" s="281">
        <f>TABLA_BASE[[#This Row],[PERCEP.
UNIT.(S/.)]]*TABLA_BASE[[#This Row],[CANTIDAD
(unid.)]]</f>
        <v>0</v>
      </c>
      <c r="AC243" s="279">
        <f>TABLA_BASE[[#This Row],[ADV UNIT.
(US$)
⚠️COSTO]]+TABLA_BASE[[#This Row],[IPM UNIT.
(US$)
✅CF]]+TABLA_BASE[[#This Row],[IGV UNIT.
(US$)
✅CF]]+TABLA_BASE[[#This Row],[PERCEP.
UNIT.(US$)
✅CF]]</f>
        <v>0</v>
      </c>
      <c r="AD243" s="279">
        <f>TABLA_BASE[[#This Row],[TOTAL PAGO
SUNAT
UNIT.(US$)]]*TABLA_BASE[[#This Row],[CANTIDAD
(unid.)]]</f>
        <v>0</v>
      </c>
      <c r="AE243" s="281">
        <f>TABLA_BASE[[#This Row],[TOTAL PAGO
SUNAT
UNIT.(US$)]]*'📋 Datos Generales'!$E$19</f>
        <v>0</v>
      </c>
      <c r="AF243" s="281">
        <f>TABLA_BASE[[#This Row],[TOTAL TRIB.
UNIT.(S/.)]]*TABLA_BASE[[#This Row],[CANTIDAD
(unid.)]]</f>
        <v>0</v>
      </c>
      <c r="AG243" s="279">
        <f>IF('🧾 Factura Comercial'!G247=0,0,'📦 Gastos Importación'!$E$28*(IF('🧾 Tributos Aduana'!$F$6=0,0,'🧾 Factura Comercial'!I247/'🧾 Tributos Aduana'!$F$6))/'🧾 Factura Comercial'!G247)</f>
        <v>0</v>
      </c>
      <c r="AH243" s="279">
        <f>TABLA_BASE[[#This Row],[GASTOS IMP.
UNIT.(US$)]]*TABLA_BASE[[#This Row],[CANTIDAD
(unid.)]]</f>
        <v>0</v>
      </c>
      <c r="AI243" s="281">
        <f>TABLA_BASE[[#This Row],[GASTOS IMP.
UNIT.(US$)]]*'📋 Datos Generales'!$E$19</f>
        <v>0</v>
      </c>
      <c r="AJ243" s="281">
        <f>TABLA_BASE[[#This Row],[GASTOS IMP.
UNIT.(S/.)]]*TABLA_BASE[[#This Row],[CANTIDAD
(unid.)]]</f>
        <v>0</v>
      </c>
      <c r="AK243" s="280">
        <f>'🧮 Costos x Producto'!J247</f>
        <v>0</v>
      </c>
      <c r="AL243" s="278">
        <f>'🧮 Costos x Producto'!K247</f>
        <v>0</v>
      </c>
      <c r="AM243" s="278">
        <f>TABLA_BASE[[#This Row],[C/M UNIT.
(S/.)]]*TABLA_BASE[[#This Row],[CANTIDAD
(unid.)]]</f>
        <v>0</v>
      </c>
      <c r="AN243" s="279">
        <f>IF('🧾 Factura Comercial'!G247=0,0,'🧾 Tributos Aduana'!$F$17*(IF('🧾 Tributos Aduana'!$F$6=0,0,'🧾 Factura Comercial'!I247/'🧾 Tributos Aduana'!$F$6))/'🧾 Factura Comercial'!G247)</f>
        <v>0</v>
      </c>
      <c r="AO243" s="280">
        <f>IF('🧾 Factura Comercial'!G247=0,0,'🏦 Crédito Fiscal'!$C$16*(IF('🧾 Tributos Aduana'!$F$6=0,0,'🧾 Factura Comercial'!I247/'🧾 Tributos Aduana'!$F$6))/'🧾 Factura Comercial'!G247)</f>
        <v>0</v>
      </c>
      <c r="AP243" s="278">
        <f>TABLA_BASE[[#This Row],[CF UNIT.
✅RECUP.
(US$)]]*'📋 Datos Generales'!$E$19</f>
        <v>0</v>
      </c>
      <c r="AQ243" s="278">
        <f>TABLA_BASE[[#This Row],[CF UNIT.
✅RECUP.(S/.)]]*TABLA_BASE[[#This Row],[CANTIDAD
(unid.)]]</f>
        <v>0</v>
      </c>
      <c r="AR243" s="288">
        <f>'💰 Precio de Venta'!G248</f>
        <v>0.4</v>
      </c>
      <c r="AS243" s="278">
        <f>'💰 Precio de Venta'!H248</f>
        <v>0</v>
      </c>
      <c r="AT243" s="278">
        <f>TABLA_BASE[[#This Row],[VALOR VTA.
UNIT.(S/.)]]*TABLA_BASE[[#This Row],[CANTIDAD
(unid.)]]</f>
        <v>0</v>
      </c>
      <c r="AU243" s="281">
        <f>'💰 Precio de Venta'!I248</f>
        <v>0</v>
      </c>
      <c r="AV243" s="278">
        <f>'💰 Precio de Venta'!J248</f>
        <v>0</v>
      </c>
      <c r="AW243" s="278">
        <f>TABLA_BASE[[#This Row],[GANANCIA
UNIT.(S/.)]]*TABLA_BASE[[#This Row],[CANTIDAD
(unid.)]]</f>
        <v>0</v>
      </c>
      <c r="AX243" s="289">
        <f>'💰 Precio de Venta'!K248</f>
        <v>0</v>
      </c>
      <c r="AY243" s="278">
        <f>TABLA_BASE[[#This Row],[GANANCIA
UNIT.(S/.)]]*'🧾 Factura Comercial'!G247</f>
        <v>0</v>
      </c>
      <c r="AZ243" s="277">
        <f>IF(TABLA_BASE[[#This Row],[PRECIO VTA.
c/IGV(S/.)]]=0,0,TABLA_BASE[[#This Row],[GANANCIA
UNIT.(S/.)]]/TABLA_BASE[[#This Row],[PRECIO VTA.
c/IGV(S/.)]])</f>
        <v>0</v>
      </c>
      <c r="BA243" s="277">
        <f>IF(TABLA_BASE[[#This Row],[C/M UNIT.
(S/.)]]=0,0,TABLA_BASE[[#This Row],[GANANCIA
UNIT.(S/.)]]/TABLA_BASE[[#This Row],[C/M UNIT.
(S/.)]])</f>
        <v>0</v>
      </c>
      <c r="BB243" s="274" t="str">
        <f>IF(TABLA_BASE[[#This Row],[MARGEN
%]]&gt;=0.5,"🟢 ALTO",IF(TABLA_BASE[[#This Row],[MARGEN
%]]&gt;=0.3,"🟡 MEDIO","🔴 BAJO"))</f>
        <v>🟡 MEDIO</v>
      </c>
    </row>
    <row r="244" spans="1:54" ht="16.5" hidden="1" thickTop="1" thickBot="1" x14ac:dyDescent="0.3">
      <c r="A244" s="274">
        <f>'🧾 Factura Comercial'!E248</f>
        <v>0</v>
      </c>
      <c r="B244" s="274" t="str">
        <f>'🧾 Factura Comercial'!F248</f>
        <v>Unid.</v>
      </c>
      <c r="C244" s="275">
        <f>'🧾 Factura Comercial'!G248</f>
        <v>0</v>
      </c>
      <c r="D244" s="276">
        <f>'🧾 Factura Comercial'!H248</f>
        <v>0</v>
      </c>
      <c r="E244" s="276">
        <f>'🧾 Factura Comercial'!I248</f>
        <v>0</v>
      </c>
      <c r="F244" s="277">
        <f>IF('🧾 Tributos Aduana'!$F$6=0,0,'🧾 Factura Comercial'!I248/'🧾 Tributos Aduana'!$F$6)</f>
        <v>0</v>
      </c>
      <c r="G244" s="278">
        <f>'🧾 Factura Comercial'!H248*'📋 Datos Generales'!$E$19</f>
        <v>0</v>
      </c>
      <c r="H244" s="278">
        <f>TABLA_BASE[[#This Row],[FOB UNIT.
(S/.)]]*TABLA_BASE[[#This Row],[CANTIDAD
(unid.)]]</f>
        <v>0</v>
      </c>
      <c r="I244" s="280">
        <f>IF('🧾 Tributos Aduana'!$F$6=0,0,'🧾 Tributos Aduana'!$F$17*('🧾 Factura Comercial'!H248/'🧾 Tributos Aduana'!$F$6))</f>
        <v>0</v>
      </c>
      <c r="J244" s="280">
        <f>TABLA_BASE[[#This Row],[ADV UNIT.
(US$)
⚠️COSTO]]*TABLA_BASE[[#This Row],[CANTIDAD
(unid.)]]</f>
        <v>0</v>
      </c>
      <c r="K244" s="279">
        <f>IF('🧾 Tributos Aduana'!$F$6=0,0,'🧾 Tributos Aduana'!$F$18*('🧾 Factura Comercial'!H248/'🧾 Tributos Aduana'!$F$6))</f>
        <v>0</v>
      </c>
      <c r="L244" s="280">
        <f>TABLA_BASE[[#This Row],[IPM UNIT.
(US$)
✅CF]]*TABLA_BASE[[#This Row],[CANTIDAD
(unid.)]]</f>
        <v>0</v>
      </c>
      <c r="M244" s="279">
        <f>IF('🧾 Tributos Aduana'!$F$6=0,0,'🧾 Tributos Aduana'!$F$19*('🧾 Factura Comercial'!H248/'🧾 Tributos Aduana'!$F$6))</f>
        <v>0</v>
      </c>
      <c r="N244" s="280">
        <f>TABLA_BASE[[#This Row],[IGV UNIT.
(US$)
✅CF]]*TABLA_BASE[[#This Row],[CANTIDAD
(unid.)]]</f>
        <v>0</v>
      </c>
      <c r="O244" s="280">
        <f>IF('🧾 Tributos Aduana'!$F$6=0,0,'🧾 Tributos Aduana'!$F$23*('🧾 Factura Comercial'!H248/'🧾 Tributos Aduana'!$F$6))</f>
        <v>0</v>
      </c>
      <c r="P244" s="280">
        <f>TABLA_BASE[[#This Row],[PERCEP.
UNIT.(US$)
✅CF]]*TABLA_BASE[[#This Row],[CANTIDAD
(unid.)]]</f>
        <v>0</v>
      </c>
      <c r="Q244" s="279">
        <f>TABLA_BASE[[#This Row],[ADV UNIT.
(US$)
⚠️COSTO]]+TABLA_BASE[[#This Row],[IPM UNIT.
(US$)
✅CF]]+TABLA_BASE[[#This Row],[IGV UNIT.
(US$)
✅CF]]</f>
        <v>0</v>
      </c>
      <c r="R244" s="280">
        <f>TABLA_BASE[[#This Row],[DEUDA
ADUANERA
UNIT.]]*TABLA_BASE[[#This Row],[CANTIDAD
(unid.)]]</f>
        <v>0</v>
      </c>
      <c r="S244" s="278">
        <f>TABLA_BASE[[#This Row],[DEUDA
ADUANERA
UNIT.]]*'📋 Datos Generales'!$E$19</f>
        <v>0</v>
      </c>
      <c r="T244" s="278">
        <f>TABLA_BASE[[#This Row],[DEUDA
ADUANERA
TOTAL]]*'📋 Datos Generales'!$E$19</f>
        <v>0</v>
      </c>
      <c r="U244" s="281">
        <f>TABLA_BASE[[#This Row],[ADV UNIT.
(US$)
⚠️COSTO]]*'📋 Datos Generales'!$E$19</f>
        <v>0</v>
      </c>
      <c r="V244" s="281">
        <f>TABLA_BASE[[#This Row],[ADV UNIT.
(S/.)]]*TABLA_BASE[[#This Row],[CANTIDAD
(unid.)]]</f>
        <v>0</v>
      </c>
      <c r="W244" s="281">
        <f>TABLA_BASE[[#This Row],[IPM UNIT.
(US$)
✅CF]]*'📋 Datos Generales'!$E$19</f>
        <v>0</v>
      </c>
      <c r="X244" s="281">
        <f>TABLA_BASE[[#This Row],[IPM UNIT.
(S/.)]]*TABLA_BASE[[#This Row],[CANTIDAD
(unid.)]]</f>
        <v>0</v>
      </c>
      <c r="Y244" s="281">
        <f>TABLA_BASE[[#This Row],[IGV UNIT.
(US$)
✅CF]]*'📋 Datos Generales'!$E$19</f>
        <v>0</v>
      </c>
      <c r="Z244" s="281">
        <f>TABLA_BASE[[#This Row],[IGV UNIT.
(S/.)]]*TABLA_BASE[[#This Row],[CANTIDAD
(unid.)]]</f>
        <v>0</v>
      </c>
      <c r="AA244" s="281">
        <f>TABLA_BASE[[#This Row],[PERCEP.
UNIT.(US$)
✅CF]]*'📋 Datos Generales'!$E$19</f>
        <v>0</v>
      </c>
      <c r="AB244" s="281">
        <f>TABLA_BASE[[#This Row],[PERCEP.
UNIT.(S/.)]]*TABLA_BASE[[#This Row],[CANTIDAD
(unid.)]]</f>
        <v>0</v>
      </c>
      <c r="AC244" s="279">
        <f>TABLA_BASE[[#This Row],[ADV UNIT.
(US$)
⚠️COSTO]]+TABLA_BASE[[#This Row],[IPM UNIT.
(US$)
✅CF]]+TABLA_BASE[[#This Row],[IGV UNIT.
(US$)
✅CF]]+TABLA_BASE[[#This Row],[PERCEP.
UNIT.(US$)
✅CF]]</f>
        <v>0</v>
      </c>
      <c r="AD244" s="279">
        <f>TABLA_BASE[[#This Row],[TOTAL PAGO
SUNAT
UNIT.(US$)]]*TABLA_BASE[[#This Row],[CANTIDAD
(unid.)]]</f>
        <v>0</v>
      </c>
      <c r="AE244" s="281">
        <f>TABLA_BASE[[#This Row],[TOTAL PAGO
SUNAT
UNIT.(US$)]]*'📋 Datos Generales'!$E$19</f>
        <v>0</v>
      </c>
      <c r="AF244" s="281">
        <f>TABLA_BASE[[#This Row],[TOTAL TRIB.
UNIT.(S/.)]]*TABLA_BASE[[#This Row],[CANTIDAD
(unid.)]]</f>
        <v>0</v>
      </c>
      <c r="AG244" s="279">
        <f>IF('🧾 Factura Comercial'!G248=0,0,'📦 Gastos Importación'!$E$28*(IF('🧾 Tributos Aduana'!$F$6=0,0,'🧾 Factura Comercial'!I248/'🧾 Tributos Aduana'!$F$6))/'🧾 Factura Comercial'!G248)</f>
        <v>0</v>
      </c>
      <c r="AH244" s="279">
        <f>TABLA_BASE[[#This Row],[GASTOS IMP.
UNIT.(US$)]]*TABLA_BASE[[#This Row],[CANTIDAD
(unid.)]]</f>
        <v>0</v>
      </c>
      <c r="AI244" s="281">
        <f>TABLA_BASE[[#This Row],[GASTOS IMP.
UNIT.(US$)]]*'📋 Datos Generales'!$E$19</f>
        <v>0</v>
      </c>
      <c r="AJ244" s="281">
        <f>TABLA_BASE[[#This Row],[GASTOS IMP.
UNIT.(S/.)]]*TABLA_BASE[[#This Row],[CANTIDAD
(unid.)]]</f>
        <v>0</v>
      </c>
      <c r="AK244" s="280">
        <f>'🧮 Costos x Producto'!J248</f>
        <v>0</v>
      </c>
      <c r="AL244" s="278">
        <f>'🧮 Costos x Producto'!K248</f>
        <v>0</v>
      </c>
      <c r="AM244" s="278">
        <f>TABLA_BASE[[#This Row],[C/M UNIT.
(S/.)]]*TABLA_BASE[[#This Row],[CANTIDAD
(unid.)]]</f>
        <v>0</v>
      </c>
      <c r="AN244" s="279">
        <f>IF('🧾 Factura Comercial'!G248=0,0,'🧾 Tributos Aduana'!$F$17*(IF('🧾 Tributos Aduana'!$F$6=0,0,'🧾 Factura Comercial'!I248/'🧾 Tributos Aduana'!$F$6))/'🧾 Factura Comercial'!G248)</f>
        <v>0</v>
      </c>
      <c r="AO244" s="280">
        <f>IF('🧾 Factura Comercial'!G248=0,0,'🏦 Crédito Fiscal'!$C$16*(IF('🧾 Tributos Aduana'!$F$6=0,0,'🧾 Factura Comercial'!I248/'🧾 Tributos Aduana'!$F$6))/'🧾 Factura Comercial'!G248)</f>
        <v>0</v>
      </c>
      <c r="AP244" s="278">
        <f>TABLA_BASE[[#This Row],[CF UNIT.
✅RECUP.
(US$)]]*'📋 Datos Generales'!$E$19</f>
        <v>0</v>
      </c>
      <c r="AQ244" s="278">
        <f>TABLA_BASE[[#This Row],[CF UNIT.
✅RECUP.(S/.)]]*TABLA_BASE[[#This Row],[CANTIDAD
(unid.)]]</f>
        <v>0</v>
      </c>
      <c r="AR244" s="288">
        <f>'💰 Precio de Venta'!G249</f>
        <v>0.4</v>
      </c>
      <c r="AS244" s="278">
        <f>'💰 Precio de Venta'!H249</f>
        <v>0</v>
      </c>
      <c r="AT244" s="278">
        <f>TABLA_BASE[[#This Row],[VALOR VTA.
UNIT.(S/.)]]*TABLA_BASE[[#This Row],[CANTIDAD
(unid.)]]</f>
        <v>0</v>
      </c>
      <c r="AU244" s="281">
        <f>'💰 Precio de Venta'!I249</f>
        <v>0</v>
      </c>
      <c r="AV244" s="278">
        <f>'💰 Precio de Venta'!J249</f>
        <v>0</v>
      </c>
      <c r="AW244" s="278">
        <f>TABLA_BASE[[#This Row],[GANANCIA
UNIT.(S/.)]]*TABLA_BASE[[#This Row],[CANTIDAD
(unid.)]]</f>
        <v>0</v>
      </c>
      <c r="AX244" s="289">
        <f>'💰 Precio de Venta'!K249</f>
        <v>0</v>
      </c>
      <c r="AY244" s="278">
        <f>TABLA_BASE[[#This Row],[GANANCIA
UNIT.(S/.)]]*'🧾 Factura Comercial'!G248</f>
        <v>0</v>
      </c>
      <c r="AZ244" s="277">
        <f>IF(TABLA_BASE[[#This Row],[PRECIO VTA.
c/IGV(S/.)]]=0,0,TABLA_BASE[[#This Row],[GANANCIA
UNIT.(S/.)]]/TABLA_BASE[[#This Row],[PRECIO VTA.
c/IGV(S/.)]])</f>
        <v>0</v>
      </c>
      <c r="BA244" s="277">
        <f>IF(TABLA_BASE[[#This Row],[C/M UNIT.
(S/.)]]=0,0,TABLA_BASE[[#This Row],[GANANCIA
UNIT.(S/.)]]/TABLA_BASE[[#This Row],[C/M UNIT.
(S/.)]])</f>
        <v>0</v>
      </c>
      <c r="BB244" s="274" t="str">
        <f>IF(TABLA_BASE[[#This Row],[MARGEN
%]]&gt;=0.5,"🟢 ALTO",IF(TABLA_BASE[[#This Row],[MARGEN
%]]&gt;=0.3,"🟡 MEDIO","🔴 BAJO"))</f>
        <v>🟡 MEDIO</v>
      </c>
    </row>
    <row r="245" spans="1:54" ht="16.5" hidden="1" thickTop="1" thickBot="1" x14ac:dyDescent="0.3">
      <c r="A245" s="274">
        <f>'🧾 Factura Comercial'!E249</f>
        <v>0</v>
      </c>
      <c r="B245" s="274" t="str">
        <f>'🧾 Factura Comercial'!F249</f>
        <v>Unid.</v>
      </c>
      <c r="C245" s="275">
        <f>'🧾 Factura Comercial'!G249</f>
        <v>0</v>
      </c>
      <c r="D245" s="276">
        <f>'🧾 Factura Comercial'!H249</f>
        <v>0</v>
      </c>
      <c r="E245" s="276">
        <f>'🧾 Factura Comercial'!I249</f>
        <v>0</v>
      </c>
      <c r="F245" s="277">
        <f>IF('🧾 Tributos Aduana'!$F$6=0,0,'🧾 Factura Comercial'!I249/'🧾 Tributos Aduana'!$F$6)</f>
        <v>0</v>
      </c>
      <c r="G245" s="278">
        <f>'🧾 Factura Comercial'!H249*'📋 Datos Generales'!$E$19</f>
        <v>0</v>
      </c>
      <c r="H245" s="278">
        <f>TABLA_BASE[[#This Row],[FOB UNIT.
(S/.)]]*TABLA_BASE[[#This Row],[CANTIDAD
(unid.)]]</f>
        <v>0</v>
      </c>
      <c r="I245" s="280">
        <f>IF('🧾 Tributos Aduana'!$F$6=0,0,'🧾 Tributos Aduana'!$F$17*('🧾 Factura Comercial'!H249/'🧾 Tributos Aduana'!$F$6))</f>
        <v>0</v>
      </c>
      <c r="J245" s="280">
        <f>TABLA_BASE[[#This Row],[ADV UNIT.
(US$)
⚠️COSTO]]*TABLA_BASE[[#This Row],[CANTIDAD
(unid.)]]</f>
        <v>0</v>
      </c>
      <c r="K245" s="279">
        <f>IF('🧾 Tributos Aduana'!$F$6=0,0,'🧾 Tributos Aduana'!$F$18*('🧾 Factura Comercial'!H249/'🧾 Tributos Aduana'!$F$6))</f>
        <v>0</v>
      </c>
      <c r="L245" s="280">
        <f>TABLA_BASE[[#This Row],[IPM UNIT.
(US$)
✅CF]]*TABLA_BASE[[#This Row],[CANTIDAD
(unid.)]]</f>
        <v>0</v>
      </c>
      <c r="M245" s="279">
        <f>IF('🧾 Tributos Aduana'!$F$6=0,0,'🧾 Tributos Aduana'!$F$19*('🧾 Factura Comercial'!H249/'🧾 Tributos Aduana'!$F$6))</f>
        <v>0</v>
      </c>
      <c r="N245" s="280">
        <f>TABLA_BASE[[#This Row],[IGV UNIT.
(US$)
✅CF]]*TABLA_BASE[[#This Row],[CANTIDAD
(unid.)]]</f>
        <v>0</v>
      </c>
      <c r="O245" s="280">
        <f>IF('🧾 Tributos Aduana'!$F$6=0,0,'🧾 Tributos Aduana'!$F$23*('🧾 Factura Comercial'!H249/'🧾 Tributos Aduana'!$F$6))</f>
        <v>0</v>
      </c>
      <c r="P245" s="280">
        <f>TABLA_BASE[[#This Row],[PERCEP.
UNIT.(US$)
✅CF]]*TABLA_BASE[[#This Row],[CANTIDAD
(unid.)]]</f>
        <v>0</v>
      </c>
      <c r="Q245" s="279">
        <f>TABLA_BASE[[#This Row],[ADV UNIT.
(US$)
⚠️COSTO]]+TABLA_BASE[[#This Row],[IPM UNIT.
(US$)
✅CF]]+TABLA_BASE[[#This Row],[IGV UNIT.
(US$)
✅CF]]</f>
        <v>0</v>
      </c>
      <c r="R245" s="280">
        <f>TABLA_BASE[[#This Row],[DEUDA
ADUANERA
UNIT.]]*TABLA_BASE[[#This Row],[CANTIDAD
(unid.)]]</f>
        <v>0</v>
      </c>
      <c r="S245" s="278">
        <f>TABLA_BASE[[#This Row],[DEUDA
ADUANERA
UNIT.]]*'📋 Datos Generales'!$E$19</f>
        <v>0</v>
      </c>
      <c r="T245" s="278">
        <f>TABLA_BASE[[#This Row],[DEUDA
ADUANERA
TOTAL]]*'📋 Datos Generales'!$E$19</f>
        <v>0</v>
      </c>
      <c r="U245" s="281">
        <f>TABLA_BASE[[#This Row],[ADV UNIT.
(US$)
⚠️COSTO]]*'📋 Datos Generales'!$E$19</f>
        <v>0</v>
      </c>
      <c r="V245" s="281">
        <f>TABLA_BASE[[#This Row],[ADV UNIT.
(S/.)]]*TABLA_BASE[[#This Row],[CANTIDAD
(unid.)]]</f>
        <v>0</v>
      </c>
      <c r="W245" s="281">
        <f>TABLA_BASE[[#This Row],[IPM UNIT.
(US$)
✅CF]]*'📋 Datos Generales'!$E$19</f>
        <v>0</v>
      </c>
      <c r="X245" s="281">
        <f>TABLA_BASE[[#This Row],[IPM UNIT.
(S/.)]]*TABLA_BASE[[#This Row],[CANTIDAD
(unid.)]]</f>
        <v>0</v>
      </c>
      <c r="Y245" s="281">
        <f>TABLA_BASE[[#This Row],[IGV UNIT.
(US$)
✅CF]]*'📋 Datos Generales'!$E$19</f>
        <v>0</v>
      </c>
      <c r="Z245" s="281">
        <f>TABLA_BASE[[#This Row],[IGV UNIT.
(S/.)]]*TABLA_BASE[[#This Row],[CANTIDAD
(unid.)]]</f>
        <v>0</v>
      </c>
      <c r="AA245" s="281">
        <f>TABLA_BASE[[#This Row],[PERCEP.
UNIT.(US$)
✅CF]]*'📋 Datos Generales'!$E$19</f>
        <v>0</v>
      </c>
      <c r="AB245" s="281">
        <f>TABLA_BASE[[#This Row],[PERCEP.
UNIT.(S/.)]]*TABLA_BASE[[#This Row],[CANTIDAD
(unid.)]]</f>
        <v>0</v>
      </c>
      <c r="AC245" s="279">
        <f>TABLA_BASE[[#This Row],[ADV UNIT.
(US$)
⚠️COSTO]]+TABLA_BASE[[#This Row],[IPM UNIT.
(US$)
✅CF]]+TABLA_BASE[[#This Row],[IGV UNIT.
(US$)
✅CF]]+TABLA_BASE[[#This Row],[PERCEP.
UNIT.(US$)
✅CF]]</f>
        <v>0</v>
      </c>
      <c r="AD245" s="279">
        <f>TABLA_BASE[[#This Row],[TOTAL PAGO
SUNAT
UNIT.(US$)]]*TABLA_BASE[[#This Row],[CANTIDAD
(unid.)]]</f>
        <v>0</v>
      </c>
      <c r="AE245" s="281">
        <f>TABLA_BASE[[#This Row],[TOTAL PAGO
SUNAT
UNIT.(US$)]]*'📋 Datos Generales'!$E$19</f>
        <v>0</v>
      </c>
      <c r="AF245" s="281">
        <f>TABLA_BASE[[#This Row],[TOTAL TRIB.
UNIT.(S/.)]]*TABLA_BASE[[#This Row],[CANTIDAD
(unid.)]]</f>
        <v>0</v>
      </c>
      <c r="AG245" s="279">
        <f>IF('🧾 Factura Comercial'!G249=0,0,'📦 Gastos Importación'!$E$28*(IF('🧾 Tributos Aduana'!$F$6=0,0,'🧾 Factura Comercial'!I249/'🧾 Tributos Aduana'!$F$6))/'🧾 Factura Comercial'!G249)</f>
        <v>0</v>
      </c>
      <c r="AH245" s="279">
        <f>TABLA_BASE[[#This Row],[GASTOS IMP.
UNIT.(US$)]]*TABLA_BASE[[#This Row],[CANTIDAD
(unid.)]]</f>
        <v>0</v>
      </c>
      <c r="AI245" s="281">
        <f>TABLA_BASE[[#This Row],[GASTOS IMP.
UNIT.(US$)]]*'📋 Datos Generales'!$E$19</f>
        <v>0</v>
      </c>
      <c r="AJ245" s="281">
        <f>TABLA_BASE[[#This Row],[GASTOS IMP.
UNIT.(S/.)]]*TABLA_BASE[[#This Row],[CANTIDAD
(unid.)]]</f>
        <v>0</v>
      </c>
      <c r="AK245" s="280">
        <f>'🧮 Costos x Producto'!J249</f>
        <v>0</v>
      </c>
      <c r="AL245" s="278">
        <f>'🧮 Costos x Producto'!K249</f>
        <v>0</v>
      </c>
      <c r="AM245" s="278">
        <f>TABLA_BASE[[#This Row],[C/M UNIT.
(S/.)]]*TABLA_BASE[[#This Row],[CANTIDAD
(unid.)]]</f>
        <v>0</v>
      </c>
      <c r="AN245" s="279">
        <f>IF('🧾 Factura Comercial'!G249=0,0,'🧾 Tributos Aduana'!$F$17*(IF('🧾 Tributos Aduana'!$F$6=0,0,'🧾 Factura Comercial'!I249/'🧾 Tributos Aduana'!$F$6))/'🧾 Factura Comercial'!G249)</f>
        <v>0</v>
      </c>
      <c r="AO245" s="280">
        <f>IF('🧾 Factura Comercial'!G249=0,0,'🏦 Crédito Fiscal'!$C$16*(IF('🧾 Tributos Aduana'!$F$6=0,0,'🧾 Factura Comercial'!I249/'🧾 Tributos Aduana'!$F$6))/'🧾 Factura Comercial'!G249)</f>
        <v>0</v>
      </c>
      <c r="AP245" s="278">
        <f>TABLA_BASE[[#This Row],[CF UNIT.
✅RECUP.
(US$)]]*'📋 Datos Generales'!$E$19</f>
        <v>0</v>
      </c>
      <c r="AQ245" s="278">
        <f>TABLA_BASE[[#This Row],[CF UNIT.
✅RECUP.(S/.)]]*TABLA_BASE[[#This Row],[CANTIDAD
(unid.)]]</f>
        <v>0</v>
      </c>
      <c r="AR245" s="288">
        <f>'💰 Precio de Venta'!G250</f>
        <v>0.4</v>
      </c>
      <c r="AS245" s="278">
        <f>'💰 Precio de Venta'!H250</f>
        <v>0</v>
      </c>
      <c r="AT245" s="278">
        <f>TABLA_BASE[[#This Row],[VALOR VTA.
UNIT.(S/.)]]*TABLA_BASE[[#This Row],[CANTIDAD
(unid.)]]</f>
        <v>0</v>
      </c>
      <c r="AU245" s="281">
        <f>'💰 Precio de Venta'!I250</f>
        <v>0</v>
      </c>
      <c r="AV245" s="278">
        <f>'💰 Precio de Venta'!J250</f>
        <v>0</v>
      </c>
      <c r="AW245" s="278">
        <f>TABLA_BASE[[#This Row],[GANANCIA
UNIT.(S/.)]]*TABLA_BASE[[#This Row],[CANTIDAD
(unid.)]]</f>
        <v>0</v>
      </c>
      <c r="AX245" s="289">
        <f>'💰 Precio de Venta'!K250</f>
        <v>0</v>
      </c>
      <c r="AY245" s="278">
        <f>TABLA_BASE[[#This Row],[GANANCIA
UNIT.(S/.)]]*'🧾 Factura Comercial'!G249</f>
        <v>0</v>
      </c>
      <c r="AZ245" s="277">
        <f>IF(TABLA_BASE[[#This Row],[PRECIO VTA.
c/IGV(S/.)]]=0,0,TABLA_BASE[[#This Row],[GANANCIA
UNIT.(S/.)]]/TABLA_BASE[[#This Row],[PRECIO VTA.
c/IGV(S/.)]])</f>
        <v>0</v>
      </c>
      <c r="BA245" s="277">
        <f>IF(TABLA_BASE[[#This Row],[C/M UNIT.
(S/.)]]=0,0,TABLA_BASE[[#This Row],[GANANCIA
UNIT.(S/.)]]/TABLA_BASE[[#This Row],[C/M UNIT.
(S/.)]])</f>
        <v>0</v>
      </c>
      <c r="BB245" s="274" t="str">
        <f>IF(TABLA_BASE[[#This Row],[MARGEN
%]]&gt;=0.5,"🟢 ALTO",IF(TABLA_BASE[[#This Row],[MARGEN
%]]&gt;=0.3,"🟡 MEDIO","🔴 BAJO"))</f>
        <v>🟡 MEDIO</v>
      </c>
    </row>
    <row r="246" spans="1:54" ht="16.5" hidden="1" thickTop="1" thickBot="1" x14ac:dyDescent="0.3">
      <c r="A246" s="274">
        <f>'🧾 Factura Comercial'!E250</f>
        <v>0</v>
      </c>
      <c r="B246" s="274" t="str">
        <f>'🧾 Factura Comercial'!F250</f>
        <v>Unid.</v>
      </c>
      <c r="C246" s="275">
        <f>'🧾 Factura Comercial'!G250</f>
        <v>0</v>
      </c>
      <c r="D246" s="276">
        <f>'🧾 Factura Comercial'!H250</f>
        <v>0</v>
      </c>
      <c r="E246" s="276">
        <f>'🧾 Factura Comercial'!I250</f>
        <v>0</v>
      </c>
      <c r="F246" s="277">
        <f>IF('🧾 Tributos Aduana'!$F$6=0,0,'🧾 Factura Comercial'!I250/'🧾 Tributos Aduana'!$F$6)</f>
        <v>0</v>
      </c>
      <c r="G246" s="278">
        <f>'🧾 Factura Comercial'!H250*'📋 Datos Generales'!$E$19</f>
        <v>0</v>
      </c>
      <c r="H246" s="278">
        <f>TABLA_BASE[[#This Row],[FOB UNIT.
(S/.)]]*TABLA_BASE[[#This Row],[CANTIDAD
(unid.)]]</f>
        <v>0</v>
      </c>
      <c r="I246" s="280">
        <f>IF('🧾 Tributos Aduana'!$F$6=0,0,'🧾 Tributos Aduana'!$F$17*('🧾 Factura Comercial'!H250/'🧾 Tributos Aduana'!$F$6))</f>
        <v>0</v>
      </c>
      <c r="J246" s="280">
        <f>TABLA_BASE[[#This Row],[ADV UNIT.
(US$)
⚠️COSTO]]*TABLA_BASE[[#This Row],[CANTIDAD
(unid.)]]</f>
        <v>0</v>
      </c>
      <c r="K246" s="279">
        <f>IF('🧾 Tributos Aduana'!$F$6=0,0,'🧾 Tributos Aduana'!$F$18*('🧾 Factura Comercial'!H250/'🧾 Tributos Aduana'!$F$6))</f>
        <v>0</v>
      </c>
      <c r="L246" s="280">
        <f>TABLA_BASE[[#This Row],[IPM UNIT.
(US$)
✅CF]]*TABLA_BASE[[#This Row],[CANTIDAD
(unid.)]]</f>
        <v>0</v>
      </c>
      <c r="M246" s="279">
        <f>IF('🧾 Tributos Aduana'!$F$6=0,0,'🧾 Tributos Aduana'!$F$19*('🧾 Factura Comercial'!H250/'🧾 Tributos Aduana'!$F$6))</f>
        <v>0</v>
      </c>
      <c r="N246" s="280">
        <f>TABLA_BASE[[#This Row],[IGV UNIT.
(US$)
✅CF]]*TABLA_BASE[[#This Row],[CANTIDAD
(unid.)]]</f>
        <v>0</v>
      </c>
      <c r="O246" s="280">
        <f>IF('🧾 Tributos Aduana'!$F$6=0,0,'🧾 Tributos Aduana'!$F$23*('🧾 Factura Comercial'!H250/'🧾 Tributos Aduana'!$F$6))</f>
        <v>0</v>
      </c>
      <c r="P246" s="280">
        <f>TABLA_BASE[[#This Row],[PERCEP.
UNIT.(US$)
✅CF]]*TABLA_BASE[[#This Row],[CANTIDAD
(unid.)]]</f>
        <v>0</v>
      </c>
      <c r="Q246" s="279">
        <f>TABLA_BASE[[#This Row],[ADV UNIT.
(US$)
⚠️COSTO]]+TABLA_BASE[[#This Row],[IPM UNIT.
(US$)
✅CF]]+TABLA_BASE[[#This Row],[IGV UNIT.
(US$)
✅CF]]</f>
        <v>0</v>
      </c>
      <c r="R246" s="280">
        <f>TABLA_BASE[[#This Row],[DEUDA
ADUANERA
UNIT.]]*TABLA_BASE[[#This Row],[CANTIDAD
(unid.)]]</f>
        <v>0</v>
      </c>
      <c r="S246" s="278">
        <f>TABLA_BASE[[#This Row],[DEUDA
ADUANERA
UNIT.]]*'📋 Datos Generales'!$E$19</f>
        <v>0</v>
      </c>
      <c r="T246" s="278">
        <f>TABLA_BASE[[#This Row],[DEUDA
ADUANERA
TOTAL]]*'📋 Datos Generales'!$E$19</f>
        <v>0</v>
      </c>
      <c r="U246" s="281">
        <f>TABLA_BASE[[#This Row],[ADV UNIT.
(US$)
⚠️COSTO]]*'📋 Datos Generales'!$E$19</f>
        <v>0</v>
      </c>
      <c r="V246" s="281">
        <f>TABLA_BASE[[#This Row],[ADV UNIT.
(S/.)]]*TABLA_BASE[[#This Row],[CANTIDAD
(unid.)]]</f>
        <v>0</v>
      </c>
      <c r="W246" s="281">
        <f>TABLA_BASE[[#This Row],[IPM UNIT.
(US$)
✅CF]]*'📋 Datos Generales'!$E$19</f>
        <v>0</v>
      </c>
      <c r="X246" s="281">
        <f>TABLA_BASE[[#This Row],[IPM UNIT.
(S/.)]]*TABLA_BASE[[#This Row],[CANTIDAD
(unid.)]]</f>
        <v>0</v>
      </c>
      <c r="Y246" s="281">
        <f>TABLA_BASE[[#This Row],[IGV UNIT.
(US$)
✅CF]]*'📋 Datos Generales'!$E$19</f>
        <v>0</v>
      </c>
      <c r="Z246" s="281">
        <f>TABLA_BASE[[#This Row],[IGV UNIT.
(S/.)]]*TABLA_BASE[[#This Row],[CANTIDAD
(unid.)]]</f>
        <v>0</v>
      </c>
      <c r="AA246" s="281">
        <f>TABLA_BASE[[#This Row],[PERCEP.
UNIT.(US$)
✅CF]]*'📋 Datos Generales'!$E$19</f>
        <v>0</v>
      </c>
      <c r="AB246" s="281">
        <f>TABLA_BASE[[#This Row],[PERCEP.
UNIT.(S/.)]]*TABLA_BASE[[#This Row],[CANTIDAD
(unid.)]]</f>
        <v>0</v>
      </c>
      <c r="AC246" s="279">
        <f>TABLA_BASE[[#This Row],[ADV UNIT.
(US$)
⚠️COSTO]]+TABLA_BASE[[#This Row],[IPM UNIT.
(US$)
✅CF]]+TABLA_BASE[[#This Row],[IGV UNIT.
(US$)
✅CF]]+TABLA_BASE[[#This Row],[PERCEP.
UNIT.(US$)
✅CF]]</f>
        <v>0</v>
      </c>
      <c r="AD246" s="279">
        <f>TABLA_BASE[[#This Row],[TOTAL PAGO
SUNAT
UNIT.(US$)]]*TABLA_BASE[[#This Row],[CANTIDAD
(unid.)]]</f>
        <v>0</v>
      </c>
      <c r="AE246" s="281">
        <f>TABLA_BASE[[#This Row],[TOTAL PAGO
SUNAT
UNIT.(US$)]]*'📋 Datos Generales'!$E$19</f>
        <v>0</v>
      </c>
      <c r="AF246" s="281">
        <f>TABLA_BASE[[#This Row],[TOTAL TRIB.
UNIT.(S/.)]]*TABLA_BASE[[#This Row],[CANTIDAD
(unid.)]]</f>
        <v>0</v>
      </c>
      <c r="AG246" s="279">
        <f>IF('🧾 Factura Comercial'!G250=0,0,'📦 Gastos Importación'!$E$28*(IF('🧾 Tributos Aduana'!$F$6=0,0,'🧾 Factura Comercial'!I250/'🧾 Tributos Aduana'!$F$6))/'🧾 Factura Comercial'!G250)</f>
        <v>0</v>
      </c>
      <c r="AH246" s="279">
        <f>TABLA_BASE[[#This Row],[GASTOS IMP.
UNIT.(US$)]]*TABLA_BASE[[#This Row],[CANTIDAD
(unid.)]]</f>
        <v>0</v>
      </c>
      <c r="AI246" s="281">
        <f>TABLA_BASE[[#This Row],[GASTOS IMP.
UNIT.(US$)]]*'📋 Datos Generales'!$E$19</f>
        <v>0</v>
      </c>
      <c r="AJ246" s="281">
        <f>TABLA_BASE[[#This Row],[GASTOS IMP.
UNIT.(S/.)]]*TABLA_BASE[[#This Row],[CANTIDAD
(unid.)]]</f>
        <v>0</v>
      </c>
      <c r="AK246" s="280">
        <f>'🧮 Costos x Producto'!J250</f>
        <v>0</v>
      </c>
      <c r="AL246" s="278">
        <f>'🧮 Costos x Producto'!K250</f>
        <v>0</v>
      </c>
      <c r="AM246" s="278">
        <f>TABLA_BASE[[#This Row],[C/M UNIT.
(S/.)]]*TABLA_BASE[[#This Row],[CANTIDAD
(unid.)]]</f>
        <v>0</v>
      </c>
      <c r="AN246" s="279">
        <f>IF('🧾 Factura Comercial'!G250=0,0,'🧾 Tributos Aduana'!$F$17*(IF('🧾 Tributos Aduana'!$F$6=0,0,'🧾 Factura Comercial'!I250/'🧾 Tributos Aduana'!$F$6))/'🧾 Factura Comercial'!G250)</f>
        <v>0</v>
      </c>
      <c r="AO246" s="280">
        <f>IF('🧾 Factura Comercial'!G250=0,0,'🏦 Crédito Fiscal'!$C$16*(IF('🧾 Tributos Aduana'!$F$6=0,0,'🧾 Factura Comercial'!I250/'🧾 Tributos Aduana'!$F$6))/'🧾 Factura Comercial'!G250)</f>
        <v>0</v>
      </c>
      <c r="AP246" s="278">
        <f>TABLA_BASE[[#This Row],[CF UNIT.
✅RECUP.
(US$)]]*'📋 Datos Generales'!$E$19</f>
        <v>0</v>
      </c>
      <c r="AQ246" s="278">
        <f>TABLA_BASE[[#This Row],[CF UNIT.
✅RECUP.(S/.)]]*TABLA_BASE[[#This Row],[CANTIDAD
(unid.)]]</f>
        <v>0</v>
      </c>
      <c r="AR246" s="288">
        <f>'💰 Precio de Venta'!G251</f>
        <v>0.4</v>
      </c>
      <c r="AS246" s="278">
        <f>'💰 Precio de Venta'!H251</f>
        <v>0</v>
      </c>
      <c r="AT246" s="278">
        <f>TABLA_BASE[[#This Row],[VALOR VTA.
UNIT.(S/.)]]*TABLA_BASE[[#This Row],[CANTIDAD
(unid.)]]</f>
        <v>0</v>
      </c>
      <c r="AU246" s="281">
        <f>'💰 Precio de Venta'!I251</f>
        <v>0</v>
      </c>
      <c r="AV246" s="278">
        <f>'💰 Precio de Venta'!J251</f>
        <v>0</v>
      </c>
      <c r="AW246" s="278">
        <f>TABLA_BASE[[#This Row],[GANANCIA
UNIT.(S/.)]]*TABLA_BASE[[#This Row],[CANTIDAD
(unid.)]]</f>
        <v>0</v>
      </c>
      <c r="AX246" s="289">
        <f>'💰 Precio de Venta'!K251</f>
        <v>0</v>
      </c>
      <c r="AY246" s="278">
        <f>TABLA_BASE[[#This Row],[GANANCIA
UNIT.(S/.)]]*'🧾 Factura Comercial'!G250</f>
        <v>0</v>
      </c>
      <c r="AZ246" s="277">
        <f>IF(TABLA_BASE[[#This Row],[PRECIO VTA.
c/IGV(S/.)]]=0,0,TABLA_BASE[[#This Row],[GANANCIA
UNIT.(S/.)]]/TABLA_BASE[[#This Row],[PRECIO VTA.
c/IGV(S/.)]])</f>
        <v>0</v>
      </c>
      <c r="BA246" s="277">
        <f>IF(TABLA_BASE[[#This Row],[C/M UNIT.
(S/.)]]=0,0,TABLA_BASE[[#This Row],[GANANCIA
UNIT.(S/.)]]/TABLA_BASE[[#This Row],[C/M UNIT.
(S/.)]])</f>
        <v>0</v>
      </c>
      <c r="BB246" s="274" t="str">
        <f>IF(TABLA_BASE[[#This Row],[MARGEN
%]]&gt;=0.5,"🟢 ALTO",IF(TABLA_BASE[[#This Row],[MARGEN
%]]&gt;=0.3,"🟡 MEDIO","🔴 BAJO"))</f>
        <v>🟡 MEDIO</v>
      </c>
    </row>
    <row r="247" spans="1:54" ht="16.5" hidden="1" thickTop="1" thickBot="1" x14ac:dyDescent="0.3">
      <c r="A247" s="274">
        <f>'🧾 Factura Comercial'!E251</f>
        <v>0</v>
      </c>
      <c r="B247" s="274" t="str">
        <f>'🧾 Factura Comercial'!F251</f>
        <v>Unid.</v>
      </c>
      <c r="C247" s="275">
        <f>'🧾 Factura Comercial'!G251</f>
        <v>0</v>
      </c>
      <c r="D247" s="276">
        <f>'🧾 Factura Comercial'!H251</f>
        <v>0</v>
      </c>
      <c r="E247" s="276">
        <f>'🧾 Factura Comercial'!I251</f>
        <v>0</v>
      </c>
      <c r="F247" s="277">
        <f>IF('🧾 Tributos Aduana'!$F$6=0,0,'🧾 Factura Comercial'!I251/'🧾 Tributos Aduana'!$F$6)</f>
        <v>0</v>
      </c>
      <c r="G247" s="278">
        <f>'🧾 Factura Comercial'!H251*'📋 Datos Generales'!$E$19</f>
        <v>0</v>
      </c>
      <c r="H247" s="278">
        <f>TABLA_BASE[[#This Row],[FOB UNIT.
(S/.)]]*TABLA_BASE[[#This Row],[CANTIDAD
(unid.)]]</f>
        <v>0</v>
      </c>
      <c r="I247" s="280">
        <f>IF('🧾 Tributos Aduana'!$F$6=0,0,'🧾 Tributos Aduana'!$F$17*('🧾 Factura Comercial'!H251/'🧾 Tributos Aduana'!$F$6))</f>
        <v>0</v>
      </c>
      <c r="J247" s="280">
        <f>TABLA_BASE[[#This Row],[ADV UNIT.
(US$)
⚠️COSTO]]*TABLA_BASE[[#This Row],[CANTIDAD
(unid.)]]</f>
        <v>0</v>
      </c>
      <c r="K247" s="279">
        <f>IF('🧾 Tributos Aduana'!$F$6=0,0,'🧾 Tributos Aduana'!$F$18*('🧾 Factura Comercial'!H251/'🧾 Tributos Aduana'!$F$6))</f>
        <v>0</v>
      </c>
      <c r="L247" s="280">
        <f>TABLA_BASE[[#This Row],[IPM UNIT.
(US$)
✅CF]]*TABLA_BASE[[#This Row],[CANTIDAD
(unid.)]]</f>
        <v>0</v>
      </c>
      <c r="M247" s="279">
        <f>IF('🧾 Tributos Aduana'!$F$6=0,0,'🧾 Tributos Aduana'!$F$19*('🧾 Factura Comercial'!H251/'🧾 Tributos Aduana'!$F$6))</f>
        <v>0</v>
      </c>
      <c r="N247" s="280">
        <f>TABLA_BASE[[#This Row],[IGV UNIT.
(US$)
✅CF]]*TABLA_BASE[[#This Row],[CANTIDAD
(unid.)]]</f>
        <v>0</v>
      </c>
      <c r="O247" s="280">
        <f>IF('🧾 Tributos Aduana'!$F$6=0,0,'🧾 Tributos Aduana'!$F$23*('🧾 Factura Comercial'!H251/'🧾 Tributos Aduana'!$F$6))</f>
        <v>0</v>
      </c>
      <c r="P247" s="280">
        <f>TABLA_BASE[[#This Row],[PERCEP.
UNIT.(US$)
✅CF]]*TABLA_BASE[[#This Row],[CANTIDAD
(unid.)]]</f>
        <v>0</v>
      </c>
      <c r="Q247" s="279">
        <f>TABLA_BASE[[#This Row],[ADV UNIT.
(US$)
⚠️COSTO]]+TABLA_BASE[[#This Row],[IPM UNIT.
(US$)
✅CF]]+TABLA_BASE[[#This Row],[IGV UNIT.
(US$)
✅CF]]</f>
        <v>0</v>
      </c>
      <c r="R247" s="280">
        <f>TABLA_BASE[[#This Row],[DEUDA
ADUANERA
UNIT.]]*TABLA_BASE[[#This Row],[CANTIDAD
(unid.)]]</f>
        <v>0</v>
      </c>
      <c r="S247" s="278">
        <f>TABLA_BASE[[#This Row],[DEUDA
ADUANERA
UNIT.]]*'📋 Datos Generales'!$E$19</f>
        <v>0</v>
      </c>
      <c r="T247" s="278">
        <f>TABLA_BASE[[#This Row],[DEUDA
ADUANERA
TOTAL]]*'📋 Datos Generales'!$E$19</f>
        <v>0</v>
      </c>
      <c r="U247" s="281">
        <f>TABLA_BASE[[#This Row],[ADV UNIT.
(US$)
⚠️COSTO]]*'📋 Datos Generales'!$E$19</f>
        <v>0</v>
      </c>
      <c r="V247" s="281">
        <f>TABLA_BASE[[#This Row],[ADV UNIT.
(S/.)]]*TABLA_BASE[[#This Row],[CANTIDAD
(unid.)]]</f>
        <v>0</v>
      </c>
      <c r="W247" s="281">
        <f>TABLA_BASE[[#This Row],[IPM UNIT.
(US$)
✅CF]]*'📋 Datos Generales'!$E$19</f>
        <v>0</v>
      </c>
      <c r="X247" s="281">
        <f>TABLA_BASE[[#This Row],[IPM UNIT.
(S/.)]]*TABLA_BASE[[#This Row],[CANTIDAD
(unid.)]]</f>
        <v>0</v>
      </c>
      <c r="Y247" s="281">
        <f>TABLA_BASE[[#This Row],[IGV UNIT.
(US$)
✅CF]]*'📋 Datos Generales'!$E$19</f>
        <v>0</v>
      </c>
      <c r="Z247" s="281">
        <f>TABLA_BASE[[#This Row],[IGV UNIT.
(S/.)]]*TABLA_BASE[[#This Row],[CANTIDAD
(unid.)]]</f>
        <v>0</v>
      </c>
      <c r="AA247" s="281">
        <f>TABLA_BASE[[#This Row],[PERCEP.
UNIT.(US$)
✅CF]]*'📋 Datos Generales'!$E$19</f>
        <v>0</v>
      </c>
      <c r="AB247" s="281">
        <f>TABLA_BASE[[#This Row],[PERCEP.
UNIT.(S/.)]]*TABLA_BASE[[#This Row],[CANTIDAD
(unid.)]]</f>
        <v>0</v>
      </c>
      <c r="AC247" s="279">
        <f>TABLA_BASE[[#This Row],[ADV UNIT.
(US$)
⚠️COSTO]]+TABLA_BASE[[#This Row],[IPM UNIT.
(US$)
✅CF]]+TABLA_BASE[[#This Row],[IGV UNIT.
(US$)
✅CF]]+TABLA_BASE[[#This Row],[PERCEP.
UNIT.(US$)
✅CF]]</f>
        <v>0</v>
      </c>
      <c r="AD247" s="279">
        <f>TABLA_BASE[[#This Row],[TOTAL PAGO
SUNAT
UNIT.(US$)]]*TABLA_BASE[[#This Row],[CANTIDAD
(unid.)]]</f>
        <v>0</v>
      </c>
      <c r="AE247" s="281">
        <f>TABLA_BASE[[#This Row],[TOTAL PAGO
SUNAT
UNIT.(US$)]]*'📋 Datos Generales'!$E$19</f>
        <v>0</v>
      </c>
      <c r="AF247" s="281">
        <f>TABLA_BASE[[#This Row],[TOTAL TRIB.
UNIT.(S/.)]]*TABLA_BASE[[#This Row],[CANTIDAD
(unid.)]]</f>
        <v>0</v>
      </c>
      <c r="AG247" s="279">
        <f>IF('🧾 Factura Comercial'!G251=0,0,'📦 Gastos Importación'!$E$28*(IF('🧾 Tributos Aduana'!$F$6=0,0,'🧾 Factura Comercial'!I251/'🧾 Tributos Aduana'!$F$6))/'🧾 Factura Comercial'!G251)</f>
        <v>0</v>
      </c>
      <c r="AH247" s="279">
        <f>TABLA_BASE[[#This Row],[GASTOS IMP.
UNIT.(US$)]]*TABLA_BASE[[#This Row],[CANTIDAD
(unid.)]]</f>
        <v>0</v>
      </c>
      <c r="AI247" s="281">
        <f>TABLA_BASE[[#This Row],[GASTOS IMP.
UNIT.(US$)]]*'📋 Datos Generales'!$E$19</f>
        <v>0</v>
      </c>
      <c r="AJ247" s="281">
        <f>TABLA_BASE[[#This Row],[GASTOS IMP.
UNIT.(S/.)]]*TABLA_BASE[[#This Row],[CANTIDAD
(unid.)]]</f>
        <v>0</v>
      </c>
      <c r="AK247" s="280">
        <f>'🧮 Costos x Producto'!J251</f>
        <v>0</v>
      </c>
      <c r="AL247" s="278">
        <f>'🧮 Costos x Producto'!K251</f>
        <v>0</v>
      </c>
      <c r="AM247" s="278">
        <f>TABLA_BASE[[#This Row],[C/M UNIT.
(S/.)]]*TABLA_BASE[[#This Row],[CANTIDAD
(unid.)]]</f>
        <v>0</v>
      </c>
      <c r="AN247" s="279">
        <f>IF('🧾 Factura Comercial'!G251=0,0,'🧾 Tributos Aduana'!$F$17*(IF('🧾 Tributos Aduana'!$F$6=0,0,'🧾 Factura Comercial'!I251/'🧾 Tributos Aduana'!$F$6))/'🧾 Factura Comercial'!G251)</f>
        <v>0</v>
      </c>
      <c r="AO247" s="280">
        <f>IF('🧾 Factura Comercial'!G251=0,0,'🏦 Crédito Fiscal'!$C$16*(IF('🧾 Tributos Aduana'!$F$6=0,0,'🧾 Factura Comercial'!I251/'🧾 Tributos Aduana'!$F$6))/'🧾 Factura Comercial'!G251)</f>
        <v>0</v>
      </c>
      <c r="AP247" s="278">
        <f>TABLA_BASE[[#This Row],[CF UNIT.
✅RECUP.
(US$)]]*'📋 Datos Generales'!$E$19</f>
        <v>0</v>
      </c>
      <c r="AQ247" s="278">
        <f>TABLA_BASE[[#This Row],[CF UNIT.
✅RECUP.(S/.)]]*TABLA_BASE[[#This Row],[CANTIDAD
(unid.)]]</f>
        <v>0</v>
      </c>
      <c r="AR247" s="288">
        <f>'💰 Precio de Venta'!G252</f>
        <v>0.4</v>
      </c>
      <c r="AS247" s="278">
        <f>'💰 Precio de Venta'!H252</f>
        <v>0</v>
      </c>
      <c r="AT247" s="278">
        <f>TABLA_BASE[[#This Row],[VALOR VTA.
UNIT.(S/.)]]*TABLA_BASE[[#This Row],[CANTIDAD
(unid.)]]</f>
        <v>0</v>
      </c>
      <c r="AU247" s="281">
        <f>'💰 Precio de Venta'!I252</f>
        <v>0</v>
      </c>
      <c r="AV247" s="278">
        <f>'💰 Precio de Venta'!J252</f>
        <v>0</v>
      </c>
      <c r="AW247" s="278">
        <f>TABLA_BASE[[#This Row],[GANANCIA
UNIT.(S/.)]]*TABLA_BASE[[#This Row],[CANTIDAD
(unid.)]]</f>
        <v>0</v>
      </c>
      <c r="AX247" s="289">
        <f>'💰 Precio de Venta'!K252</f>
        <v>0</v>
      </c>
      <c r="AY247" s="278">
        <f>TABLA_BASE[[#This Row],[GANANCIA
UNIT.(S/.)]]*'🧾 Factura Comercial'!G251</f>
        <v>0</v>
      </c>
      <c r="AZ247" s="277">
        <f>IF(TABLA_BASE[[#This Row],[PRECIO VTA.
c/IGV(S/.)]]=0,0,TABLA_BASE[[#This Row],[GANANCIA
UNIT.(S/.)]]/TABLA_BASE[[#This Row],[PRECIO VTA.
c/IGV(S/.)]])</f>
        <v>0</v>
      </c>
      <c r="BA247" s="277">
        <f>IF(TABLA_BASE[[#This Row],[C/M UNIT.
(S/.)]]=0,0,TABLA_BASE[[#This Row],[GANANCIA
UNIT.(S/.)]]/TABLA_BASE[[#This Row],[C/M UNIT.
(S/.)]])</f>
        <v>0</v>
      </c>
      <c r="BB247" s="274" t="str">
        <f>IF(TABLA_BASE[[#This Row],[MARGEN
%]]&gt;=0.5,"🟢 ALTO",IF(TABLA_BASE[[#This Row],[MARGEN
%]]&gt;=0.3,"🟡 MEDIO","🔴 BAJO"))</f>
        <v>🟡 MEDIO</v>
      </c>
    </row>
    <row r="248" spans="1:54" ht="16.5" hidden="1" thickTop="1" thickBot="1" x14ac:dyDescent="0.3">
      <c r="A248" s="274">
        <f>'🧾 Factura Comercial'!E252</f>
        <v>0</v>
      </c>
      <c r="B248" s="274" t="str">
        <f>'🧾 Factura Comercial'!F252</f>
        <v>Unid.</v>
      </c>
      <c r="C248" s="275">
        <f>'🧾 Factura Comercial'!G252</f>
        <v>0</v>
      </c>
      <c r="D248" s="276">
        <f>'🧾 Factura Comercial'!H252</f>
        <v>0</v>
      </c>
      <c r="E248" s="276">
        <f>'🧾 Factura Comercial'!I252</f>
        <v>0</v>
      </c>
      <c r="F248" s="277">
        <f>IF('🧾 Tributos Aduana'!$F$6=0,0,'🧾 Factura Comercial'!I252/'🧾 Tributos Aduana'!$F$6)</f>
        <v>0</v>
      </c>
      <c r="G248" s="278">
        <f>'🧾 Factura Comercial'!H252*'📋 Datos Generales'!$E$19</f>
        <v>0</v>
      </c>
      <c r="H248" s="278">
        <f>TABLA_BASE[[#This Row],[FOB UNIT.
(S/.)]]*TABLA_BASE[[#This Row],[CANTIDAD
(unid.)]]</f>
        <v>0</v>
      </c>
      <c r="I248" s="280">
        <f>IF('🧾 Tributos Aduana'!$F$6=0,0,'🧾 Tributos Aduana'!$F$17*('🧾 Factura Comercial'!H252/'🧾 Tributos Aduana'!$F$6))</f>
        <v>0</v>
      </c>
      <c r="J248" s="280">
        <f>TABLA_BASE[[#This Row],[ADV UNIT.
(US$)
⚠️COSTO]]*TABLA_BASE[[#This Row],[CANTIDAD
(unid.)]]</f>
        <v>0</v>
      </c>
      <c r="K248" s="279">
        <f>IF('🧾 Tributos Aduana'!$F$6=0,0,'🧾 Tributos Aduana'!$F$18*('🧾 Factura Comercial'!H252/'🧾 Tributos Aduana'!$F$6))</f>
        <v>0</v>
      </c>
      <c r="L248" s="280">
        <f>TABLA_BASE[[#This Row],[IPM UNIT.
(US$)
✅CF]]*TABLA_BASE[[#This Row],[CANTIDAD
(unid.)]]</f>
        <v>0</v>
      </c>
      <c r="M248" s="279">
        <f>IF('🧾 Tributos Aduana'!$F$6=0,0,'🧾 Tributos Aduana'!$F$19*('🧾 Factura Comercial'!H252/'🧾 Tributos Aduana'!$F$6))</f>
        <v>0</v>
      </c>
      <c r="N248" s="280">
        <f>TABLA_BASE[[#This Row],[IGV UNIT.
(US$)
✅CF]]*TABLA_BASE[[#This Row],[CANTIDAD
(unid.)]]</f>
        <v>0</v>
      </c>
      <c r="O248" s="280">
        <f>IF('🧾 Tributos Aduana'!$F$6=0,0,'🧾 Tributos Aduana'!$F$23*('🧾 Factura Comercial'!H252/'🧾 Tributos Aduana'!$F$6))</f>
        <v>0</v>
      </c>
      <c r="P248" s="280">
        <f>TABLA_BASE[[#This Row],[PERCEP.
UNIT.(US$)
✅CF]]*TABLA_BASE[[#This Row],[CANTIDAD
(unid.)]]</f>
        <v>0</v>
      </c>
      <c r="Q248" s="279">
        <f>TABLA_BASE[[#This Row],[ADV UNIT.
(US$)
⚠️COSTO]]+TABLA_BASE[[#This Row],[IPM UNIT.
(US$)
✅CF]]+TABLA_BASE[[#This Row],[IGV UNIT.
(US$)
✅CF]]</f>
        <v>0</v>
      </c>
      <c r="R248" s="280">
        <f>TABLA_BASE[[#This Row],[DEUDA
ADUANERA
UNIT.]]*TABLA_BASE[[#This Row],[CANTIDAD
(unid.)]]</f>
        <v>0</v>
      </c>
      <c r="S248" s="278">
        <f>TABLA_BASE[[#This Row],[DEUDA
ADUANERA
UNIT.]]*'📋 Datos Generales'!$E$19</f>
        <v>0</v>
      </c>
      <c r="T248" s="278">
        <f>TABLA_BASE[[#This Row],[DEUDA
ADUANERA
TOTAL]]*'📋 Datos Generales'!$E$19</f>
        <v>0</v>
      </c>
      <c r="U248" s="281">
        <f>TABLA_BASE[[#This Row],[ADV UNIT.
(US$)
⚠️COSTO]]*'📋 Datos Generales'!$E$19</f>
        <v>0</v>
      </c>
      <c r="V248" s="281">
        <f>TABLA_BASE[[#This Row],[ADV UNIT.
(S/.)]]*TABLA_BASE[[#This Row],[CANTIDAD
(unid.)]]</f>
        <v>0</v>
      </c>
      <c r="W248" s="281">
        <f>TABLA_BASE[[#This Row],[IPM UNIT.
(US$)
✅CF]]*'📋 Datos Generales'!$E$19</f>
        <v>0</v>
      </c>
      <c r="X248" s="281">
        <f>TABLA_BASE[[#This Row],[IPM UNIT.
(S/.)]]*TABLA_BASE[[#This Row],[CANTIDAD
(unid.)]]</f>
        <v>0</v>
      </c>
      <c r="Y248" s="281">
        <f>TABLA_BASE[[#This Row],[IGV UNIT.
(US$)
✅CF]]*'📋 Datos Generales'!$E$19</f>
        <v>0</v>
      </c>
      <c r="Z248" s="281">
        <f>TABLA_BASE[[#This Row],[IGV UNIT.
(S/.)]]*TABLA_BASE[[#This Row],[CANTIDAD
(unid.)]]</f>
        <v>0</v>
      </c>
      <c r="AA248" s="281">
        <f>TABLA_BASE[[#This Row],[PERCEP.
UNIT.(US$)
✅CF]]*'📋 Datos Generales'!$E$19</f>
        <v>0</v>
      </c>
      <c r="AB248" s="281">
        <f>TABLA_BASE[[#This Row],[PERCEP.
UNIT.(S/.)]]*TABLA_BASE[[#This Row],[CANTIDAD
(unid.)]]</f>
        <v>0</v>
      </c>
      <c r="AC248" s="279">
        <f>TABLA_BASE[[#This Row],[ADV UNIT.
(US$)
⚠️COSTO]]+TABLA_BASE[[#This Row],[IPM UNIT.
(US$)
✅CF]]+TABLA_BASE[[#This Row],[IGV UNIT.
(US$)
✅CF]]+TABLA_BASE[[#This Row],[PERCEP.
UNIT.(US$)
✅CF]]</f>
        <v>0</v>
      </c>
      <c r="AD248" s="279">
        <f>TABLA_BASE[[#This Row],[TOTAL PAGO
SUNAT
UNIT.(US$)]]*TABLA_BASE[[#This Row],[CANTIDAD
(unid.)]]</f>
        <v>0</v>
      </c>
      <c r="AE248" s="281">
        <f>TABLA_BASE[[#This Row],[TOTAL PAGO
SUNAT
UNIT.(US$)]]*'📋 Datos Generales'!$E$19</f>
        <v>0</v>
      </c>
      <c r="AF248" s="281">
        <f>TABLA_BASE[[#This Row],[TOTAL TRIB.
UNIT.(S/.)]]*TABLA_BASE[[#This Row],[CANTIDAD
(unid.)]]</f>
        <v>0</v>
      </c>
      <c r="AG248" s="279">
        <f>IF('🧾 Factura Comercial'!G252=0,0,'📦 Gastos Importación'!$E$28*(IF('🧾 Tributos Aduana'!$F$6=0,0,'🧾 Factura Comercial'!I252/'🧾 Tributos Aduana'!$F$6))/'🧾 Factura Comercial'!G252)</f>
        <v>0</v>
      </c>
      <c r="AH248" s="279">
        <f>TABLA_BASE[[#This Row],[GASTOS IMP.
UNIT.(US$)]]*TABLA_BASE[[#This Row],[CANTIDAD
(unid.)]]</f>
        <v>0</v>
      </c>
      <c r="AI248" s="281">
        <f>TABLA_BASE[[#This Row],[GASTOS IMP.
UNIT.(US$)]]*'📋 Datos Generales'!$E$19</f>
        <v>0</v>
      </c>
      <c r="AJ248" s="281">
        <f>TABLA_BASE[[#This Row],[GASTOS IMP.
UNIT.(S/.)]]*TABLA_BASE[[#This Row],[CANTIDAD
(unid.)]]</f>
        <v>0</v>
      </c>
      <c r="AK248" s="280">
        <f>'🧮 Costos x Producto'!J252</f>
        <v>0</v>
      </c>
      <c r="AL248" s="278">
        <f>'🧮 Costos x Producto'!K252</f>
        <v>0</v>
      </c>
      <c r="AM248" s="278">
        <f>TABLA_BASE[[#This Row],[C/M UNIT.
(S/.)]]*TABLA_BASE[[#This Row],[CANTIDAD
(unid.)]]</f>
        <v>0</v>
      </c>
      <c r="AN248" s="279">
        <f>IF('🧾 Factura Comercial'!G252=0,0,'🧾 Tributos Aduana'!$F$17*(IF('🧾 Tributos Aduana'!$F$6=0,0,'🧾 Factura Comercial'!I252/'🧾 Tributos Aduana'!$F$6))/'🧾 Factura Comercial'!G252)</f>
        <v>0</v>
      </c>
      <c r="AO248" s="280">
        <f>IF('🧾 Factura Comercial'!G252=0,0,'🏦 Crédito Fiscal'!$C$16*(IF('🧾 Tributos Aduana'!$F$6=0,0,'🧾 Factura Comercial'!I252/'🧾 Tributos Aduana'!$F$6))/'🧾 Factura Comercial'!G252)</f>
        <v>0</v>
      </c>
      <c r="AP248" s="278">
        <f>TABLA_BASE[[#This Row],[CF UNIT.
✅RECUP.
(US$)]]*'📋 Datos Generales'!$E$19</f>
        <v>0</v>
      </c>
      <c r="AQ248" s="278">
        <f>TABLA_BASE[[#This Row],[CF UNIT.
✅RECUP.(S/.)]]*TABLA_BASE[[#This Row],[CANTIDAD
(unid.)]]</f>
        <v>0</v>
      </c>
      <c r="AR248" s="288">
        <f>'💰 Precio de Venta'!G253</f>
        <v>0.4</v>
      </c>
      <c r="AS248" s="278">
        <f>'💰 Precio de Venta'!H253</f>
        <v>0</v>
      </c>
      <c r="AT248" s="278">
        <f>TABLA_BASE[[#This Row],[VALOR VTA.
UNIT.(S/.)]]*TABLA_BASE[[#This Row],[CANTIDAD
(unid.)]]</f>
        <v>0</v>
      </c>
      <c r="AU248" s="281">
        <f>'💰 Precio de Venta'!I253</f>
        <v>0</v>
      </c>
      <c r="AV248" s="278">
        <f>'💰 Precio de Venta'!J253</f>
        <v>0</v>
      </c>
      <c r="AW248" s="278">
        <f>TABLA_BASE[[#This Row],[GANANCIA
UNIT.(S/.)]]*TABLA_BASE[[#This Row],[CANTIDAD
(unid.)]]</f>
        <v>0</v>
      </c>
      <c r="AX248" s="289">
        <f>'💰 Precio de Venta'!K253</f>
        <v>0</v>
      </c>
      <c r="AY248" s="278">
        <f>TABLA_BASE[[#This Row],[GANANCIA
UNIT.(S/.)]]*'🧾 Factura Comercial'!G252</f>
        <v>0</v>
      </c>
      <c r="AZ248" s="277">
        <f>IF(TABLA_BASE[[#This Row],[PRECIO VTA.
c/IGV(S/.)]]=0,0,TABLA_BASE[[#This Row],[GANANCIA
UNIT.(S/.)]]/TABLA_BASE[[#This Row],[PRECIO VTA.
c/IGV(S/.)]])</f>
        <v>0</v>
      </c>
      <c r="BA248" s="277">
        <f>IF(TABLA_BASE[[#This Row],[C/M UNIT.
(S/.)]]=0,0,TABLA_BASE[[#This Row],[GANANCIA
UNIT.(S/.)]]/TABLA_BASE[[#This Row],[C/M UNIT.
(S/.)]])</f>
        <v>0</v>
      </c>
      <c r="BB248" s="274" t="str">
        <f>IF(TABLA_BASE[[#This Row],[MARGEN
%]]&gt;=0.5,"🟢 ALTO",IF(TABLA_BASE[[#This Row],[MARGEN
%]]&gt;=0.3,"🟡 MEDIO","🔴 BAJO"))</f>
        <v>🟡 MEDIO</v>
      </c>
    </row>
    <row r="249" spans="1:54" ht="16.5" hidden="1" thickTop="1" thickBot="1" x14ac:dyDescent="0.3">
      <c r="A249" s="274">
        <f>'🧾 Factura Comercial'!E253</f>
        <v>0</v>
      </c>
      <c r="B249" s="274" t="str">
        <f>'🧾 Factura Comercial'!F253</f>
        <v>Unid.</v>
      </c>
      <c r="C249" s="275">
        <f>'🧾 Factura Comercial'!G253</f>
        <v>0</v>
      </c>
      <c r="D249" s="276">
        <f>'🧾 Factura Comercial'!H253</f>
        <v>0</v>
      </c>
      <c r="E249" s="276">
        <f>'🧾 Factura Comercial'!I253</f>
        <v>0</v>
      </c>
      <c r="F249" s="277">
        <f>IF('🧾 Tributos Aduana'!$F$6=0,0,'🧾 Factura Comercial'!I253/'🧾 Tributos Aduana'!$F$6)</f>
        <v>0</v>
      </c>
      <c r="G249" s="278">
        <f>'🧾 Factura Comercial'!H253*'📋 Datos Generales'!$E$19</f>
        <v>0</v>
      </c>
      <c r="H249" s="278">
        <f>TABLA_BASE[[#This Row],[FOB UNIT.
(S/.)]]*TABLA_BASE[[#This Row],[CANTIDAD
(unid.)]]</f>
        <v>0</v>
      </c>
      <c r="I249" s="280">
        <f>IF('🧾 Tributos Aduana'!$F$6=0,0,'🧾 Tributos Aduana'!$F$17*('🧾 Factura Comercial'!H253/'🧾 Tributos Aduana'!$F$6))</f>
        <v>0</v>
      </c>
      <c r="J249" s="280">
        <f>TABLA_BASE[[#This Row],[ADV UNIT.
(US$)
⚠️COSTO]]*TABLA_BASE[[#This Row],[CANTIDAD
(unid.)]]</f>
        <v>0</v>
      </c>
      <c r="K249" s="279">
        <f>IF('🧾 Tributos Aduana'!$F$6=0,0,'🧾 Tributos Aduana'!$F$18*('🧾 Factura Comercial'!H253/'🧾 Tributos Aduana'!$F$6))</f>
        <v>0</v>
      </c>
      <c r="L249" s="280">
        <f>TABLA_BASE[[#This Row],[IPM UNIT.
(US$)
✅CF]]*TABLA_BASE[[#This Row],[CANTIDAD
(unid.)]]</f>
        <v>0</v>
      </c>
      <c r="M249" s="279">
        <f>IF('🧾 Tributos Aduana'!$F$6=0,0,'🧾 Tributos Aduana'!$F$19*('🧾 Factura Comercial'!H253/'🧾 Tributos Aduana'!$F$6))</f>
        <v>0</v>
      </c>
      <c r="N249" s="280">
        <f>TABLA_BASE[[#This Row],[IGV UNIT.
(US$)
✅CF]]*TABLA_BASE[[#This Row],[CANTIDAD
(unid.)]]</f>
        <v>0</v>
      </c>
      <c r="O249" s="280">
        <f>IF('🧾 Tributos Aduana'!$F$6=0,0,'🧾 Tributos Aduana'!$F$23*('🧾 Factura Comercial'!H253/'🧾 Tributos Aduana'!$F$6))</f>
        <v>0</v>
      </c>
      <c r="P249" s="280">
        <f>TABLA_BASE[[#This Row],[PERCEP.
UNIT.(US$)
✅CF]]*TABLA_BASE[[#This Row],[CANTIDAD
(unid.)]]</f>
        <v>0</v>
      </c>
      <c r="Q249" s="279">
        <f>TABLA_BASE[[#This Row],[ADV UNIT.
(US$)
⚠️COSTO]]+TABLA_BASE[[#This Row],[IPM UNIT.
(US$)
✅CF]]+TABLA_BASE[[#This Row],[IGV UNIT.
(US$)
✅CF]]</f>
        <v>0</v>
      </c>
      <c r="R249" s="280">
        <f>TABLA_BASE[[#This Row],[DEUDA
ADUANERA
UNIT.]]*TABLA_BASE[[#This Row],[CANTIDAD
(unid.)]]</f>
        <v>0</v>
      </c>
      <c r="S249" s="278">
        <f>TABLA_BASE[[#This Row],[DEUDA
ADUANERA
UNIT.]]*'📋 Datos Generales'!$E$19</f>
        <v>0</v>
      </c>
      <c r="T249" s="278">
        <f>TABLA_BASE[[#This Row],[DEUDA
ADUANERA
TOTAL]]*'📋 Datos Generales'!$E$19</f>
        <v>0</v>
      </c>
      <c r="U249" s="281">
        <f>TABLA_BASE[[#This Row],[ADV UNIT.
(US$)
⚠️COSTO]]*'📋 Datos Generales'!$E$19</f>
        <v>0</v>
      </c>
      <c r="V249" s="281">
        <f>TABLA_BASE[[#This Row],[ADV UNIT.
(S/.)]]*TABLA_BASE[[#This Row],[CANTIDAD
(unid.)]]</f>
        <v>0</v>
      </c>
      <c r="W249" s="281">
        <f>TABLA_BASE[[#This Row],[IPM UNIT.
(US$)
✅CF]]*'📋 Datos Generales'!$E$19</f>
        <v>0</v>
      </c>
      <c r="X249" s="281">
        <f>TABLA_BASE[[#This Row],[IPM UNIT.
(S/.)]]*TABLA_BASE[[#This Row],[CANTIDAD
(unid.)]]</f>
        <v>0</v>
      </c>
      <c r="Y249" s="281">
        <f>TABLA_BASE[[#This Row],[IGV UNIT.
(US$)
✅CF]]*'📋 Datos Generales'!$E$19</f>
        <v>0</v>
      </c>
      <c r="Z249" s="281">
        <f>TABLA_BASE[[#This Row],[IGV UNIT.
(S/.)]]*TABLA_BASE[[#This Row],[CANTIDAD
(unid.)]]</f>
        <v>0</v>
      </c>
      <c r="AA249" s="281">
        <f>TABLA_BASE[[#This Row],[PERCEP.
UNIT.(US$)
✅CF]]*'📋 Datos Generales'!$E$19</f>
        <v>0</v>
      </c>
      <c r="AB249" s="281">
        <f>TABLA_BASE[[#This Row],[PERCEP.
UNIT.(S/.)]]*TABLA_BASE[[#This Row],[CANTIDAD
(unid.)]]</f>
        <v>0</v>
      </c>
      <c r="AC249" s="279">
        <f>TABLA_BASE[[#This Row],[ADV UNIT.
(US$)
⚠️COSTO]]+TABLA_BASE[[#This Row],[IPM UNIT.
(US$)
✅CF]]+TABLA_BASE[[#This Row],[IGV UNIT.
(US$)
✅CF]]+TABLA_BASE[[#This Row],[PERCEP.
UNIT.(US$)
✅CF]]</f>
        <v>0</v>
      </c>
      <c r="AD249" s="279">
        <f>TABLA_BASE[[#This Row],[TOTAL PAGO
SUNAT
UNIT.(US$)]]*TABLA_BASE[[#This Row],[CANTIDAD
(unid.)]]</f>
        <v>0</v>
      </c>
      <c r="AE249" s="281">
        <f>TABLA_BASE[[#This Row],[TOTAL PAGO
SUNAT
UNIT.(US$)]]*'📋 Datos Generales'!$E$19</f>
        <v>0</v>
      </c>
      <c r="AF249" s="281">
        <f>TABLA_BASE[[#This Row],[TOTAL TRIB.
UNIT.(S/.)]]*TABLA_BASE[[#This Row],[CANTIDAD
(unid.)]]</f>
        <v>0</v>
      </c>
      <c r="AG249" s="279">
        <f>IF('🧾 Factura Comercial'!G253=0,0,'📦 Gastos Importación'!$E$28*(IF('🧾 Tributos Aduana'!$F$6=0,0,'🧾 Factura Comercial'!I253/'🧾 Tributos Aduana'!$F$6))/'🧾 Factura Comercial'!G253)</f>
        <v>0</v>
      </c>
      <c r="AH249" s="279">
        <f>TABLA_BASE[[#This Row],[GASTOS IMP.
UNIT.(US$)]]*TABLA_BASE[[#This Row],[CANTIDAD
(unid.)]]</f>
        <v>0</v>
      </c>
      <c r="AI249" s="281">
        <f>TABLA_BASE[[#This Row],[GASTOS IMP.
UNIT.(US$)]]*'📋 Datos Generales'!$E$19</f>
        <v>0</v>
      </c>
      <c r="AJ249" s="281">
        <f>TABLA_BASE[[#This Row],[GASTOS IMP.
UNIT.(S/.)]]*TABLA_BASE[[#This Row],[CANTIDAD
(unid.)]]</f>
        <v>0</v>
      </c>
      <c r="AK249" s="280">
        <f>'🧮 Costos x Producto'!J253</f>
        <v>0</v>
      </c>
      <c r="AL249" s="278">
        <f>'🧮 Costos x Producto'!K253</f>
        <v>0</v>
      </c>
      <c r="AM249" s="278">
        <f>TABLA_BASE[[#This Row],[C/M UNIT.
(S/.)]]*TABLA_BASE[[#This Row],[CANTIDAD
(unid.)]]</f>
        <v>0</v>
      </c>
      <c r="AN249" s="279">
        <f>IF('🧾 Factura Comercial'!G253=0,0,'🧾 Tributos Aduana'!$F$17*(IF('🧾 Tributos Aduana'!$F$6=0,0,'🧾 Factura Comercial'!I253/'🧾 Tributos Aduana'!$F$6))/'🧾 Factura Comercial'!G253)</f>
        <v>0</v>
      </c>
      <c r="AO249" s="280">
        <f>IF('🧾 Factura Comercial'!G253=0,0,'🏦 Crédito Fiscal'!$C$16*(IF('🧾 Tributos Aduana'!$F$6=0,0,'🧾 Factura Comercial'!I253/'🧾 Tributos Aduana'!$F$6))/'🧾 Factura Comercial'!G253)</f>
        <v>0</v>
      </c>
      <c r="AP249" s="278">
        <f>TABLA_BASE[[#This Row],[CF UNIT.
✅RECUP.
(US$)]]*'📋 Datos Generales'!$E$19</f>
        <v>0</v>
      </c>
      <c r="AQ249" s="278">
        <f>TABLA_BASE[[#This Row],[CF UNIT.
✅RECUP.(S/.)]]*TABLA_BASE[[#This Row],[CANTIDAD
(unid.)]]</f>
        <v>0</v>
      </c>
      <c r="AR249" s="288">
        <f>'💰 Precio de Venta'!G254</f>
        <v>0.4</v>
      </c>
      <c r="AS249" s="278">
        <f>'💰 Precio de Venta'!H254</f>
        <v>0</v>
      </c>
      <c r="AT249" s="278">
        <f>TABLA_BASE[[#This Row],[VALOR VTA.
UNIT.(S/.)]]*TABLA_BASE[[#This Row],[CANTIDAD
(unid.)]]</f>
        <v>0</v>
      </c>
      <c r="AU249" s="281">
        <f>'💰 Precio de Venta'!I254</f>
        <v>0</v>
      </c>
      <c r="AV249" s="278">
        <f>'💰 Precio de Venta'!J254</f>
        <v>0</v>
      </c>
      <c r="AW249" s="278">
        <f>TABLA_BASE[[#This Row],[GANANCIA
UNIT.(S/.)]]*TABLA_BASE[[#This Row],[CANTIDAD
(unid.)]]</f>
        <v>0</v>
      </c>
      <c r="AX249" s="289">
        <f>'💰 Precio de Venta'!K254</f>
        <v>0</v>
      </c>
      <c r="AY249" s="278">
        <f>TABLA_BASE[[#This Row],[GANANCIA
UNIT.(S/.)]]*'🧾 Factura Comercial'!G253</f>
        <v>0</v>
      </c>
      <c r="AZ249" s="277">
        <f>IF(TABLA_BASE[[#This Row],[PRECIO VTA.
c/IGV(S/.)]]=0,0,TABLA_BASE[[#This Row],[GANANCIA
UNIT.(S/.)]]/TABLA_BASE[[#This Row],[PRECIO VTA.
c/IGV(S/.)]])</f>
        <v>0</v>
      </c>
      <c r="BA249" s="277">
        <f>IF(TABLA_BASE[[#This Row],[C/M UNIT.
(S/.)]]=0,0,TABLA_BASE[[#This Row],[GANANCIA
UNIT.(S/.)]]/TABLA_BASE[[#This Row],[C/M UNIT.
(S/.)]])</f>
        <v>0</v>
      </c>
      <c r="BB249" s="274" t="str">
        <f>IF(TABLA_BASE[[#This Row],[MARGEN
%]]&gt;=0.5,"🟢 ALTO",IF(TABLA_BASE[[#This Row],[MARGEN
%]]&gt;=0.3,"🟡 MEDIO","🔴 BAJO"))</f>
        <v>🟡 MEDIO</v>
      </c>
    </row>
    <row r="250" spans="1:54" ht="16.5" hidden="1" thickTop="1" thickBot="1" x14ac:dyDescent="0.3">
      <c r="A250" s="274">
        <f>'🧾 Factura Comercial'!E254</f>
        <v>0</v>
      </c>
      <c r="B250" s="274" t="str">
        <f>'🧾 Factura Comercial'!F254</f>
        <v>Unid.</v>
      </c>
      <c r="C250" s="275">
        <f>'🧾 Factura Comercial'!G254</f>
        <v>0</v>
      </c>
      <c r="D250" s="276">
        <f>'🧾 Factura Comercial'!H254</f>
        <v>0</v>
      </c>
      <c r="E250" s="276">
        <f>'🧾 Factura Comercial'!I254</f>
        <v>0</v>
      </c>
      <c r="F250" s="277">
        <f>IF('🧾 Tributos Aduana'!$F$6=0,0,'🧾 Factura Comercial'!I254/'🧾 Tributos Aduana'!$F$6)</f>
        <v>0</v>
      </c>
      <c r="G250" s="278">
        <f>'🧾 Factura Comercial'!H254*'📋 Datos Generales'!$E$19</f>
        <v>0</v>
      </c>
      <c r="H250" s="278">
        <f>TABLA_BASE[[#This Row],[FOB UNIT.
(S/.)]]*TABLA_BASE[[#This Row],[CANTIDAD
(unid.)]]</f>
        <v>0</v>
      </c>
      <c r="I250" s="280">
        <f>IF('🧾 Tributos Aduana'!$F$6=0,0,'🧾 Tributos Aduana'!$F$17*('🧾 Factura Comercial'!H254/'🧾 Tributos Aduana'!$F$6))</f>
        <v>0</v>
      </c>
      <c r="J250" s="280">
        <f>TABLA_BASE[[#This Row],[ADV UNIT.
(US$)
⚠️COSTO]]*TABLA_BASE[[#This Row],[CANTIDAD
(unid.)]]</f>
        <v>0</v>
      </c>
      <c r="K250" s="279">
        <f>IF('🧾 Tributos Aduana'!$F$6=0,0,'🧾 Tributos Aduana'!$F$18*('🧾 Factura Comercial'!H254/'🧾 Tributos Aduana'!$F$6))</f>
        <v>0</v>
      </c>
      <c r="L250" s="280">
        <f>TABLA_BASE[[#This Row],[IPM UNIT.
(US$)
✅CF]]*TABLA_BASE[[#This Row],[CANTIDAD
(unid.)]]</f>
        <v>0</v>
      </c>
      <c r="M250" s="279">
        <f>IF('🧾 Tributos Aduana'!$F$6=0,0,'🧾 Tributos Aduana'!$F$19*('🧾 Factura Comercial'!H254/'🧾 Tributos Aduana'!$F$6))</f>
        <v>0</v>
      </c>
      <c r="N250" s="280">
        <f>TABLA_BASE[[#This Row],[IGV UNIT.
(US$)
✅CF]]*TABLA_BASE[[#This Row],[CANTIDAD
(unid.)]]</f>
        <v>0</v>
      </c>
      <c r="O250" s="280">
        <f>IF('🧾 Tributos Aduana'!$F$6=0,0,'🧾 Tributos Aduana'!$F$23*('🧾 Factura Comercial'!H254/'🧾 Tributos Aduana'!$F$6))</f>
        <v>0</v>
      </c>
      <c r="P250" s="280">
        <f>TABLA_BASE[[#This Row],[PERCEP.
UNIT.(US$)
✅CF]]*TABLA_BASE[[#This Row],[CANTIDAD
(unid.)]]</f>
        <v>0</v>
      </c>
      <c r="Q250" s="279">
        <f>TABLA_BASE[[#This Row],[ADV UNIT.
(US$)
⚠️COSTO]]+TABLA_BASE[[#This Row],[IPM UNIT.
(US$)
✅CF]]+TABLA_BASE[[#This Row],[IGV UNIT.
(US$)
✅CF]]</f>
        <v>0</v>
      </c>
      <c r="R250" s="280">
        <f>TABLA_BASE[[#This Row],[DEUDA
ADUANERA
UNIT.]]*TABLA_BASE[[#This Row],[CANTIDAD
(unid.)]]</f>
        <v>0</v>
      </c>
      <c r="S250" s="278">
        <f>TABLA_BASE[[#This Row],[DEUDA
ADUANERA
UNIT.]]*'📋 Datos Generales'!$E$19</f>
        <v>0</v>
      </c>
      <c r="T250" s="278">
        <f>TABLA_BASE[[#This Row],[DEUDA
ADUANERA
TOTAL]]*'📋 Datos Generales'!$E$19</f>
        <v>0</v>
      </c>
      <c r="U250" s="281">
        <f>TABLA_BASE[[#This Row],[ADV UNIT.
(US$)
⚠️COSTO]]*'📋 Datos Generales'!$E$19</f>
        <v>0</v>
      </c>
      <c r="V250" s="281">
        <f>TABLA_BASE[[#This Row],[ADV UNIT.
(S/.)]]*TABLA_BASE[[#This Row],[CANTIDAD
(unid.)]]</f>
        <v>0</v>
      </c>
      <c r="W250" s="281">
        <f>TABLA_BASE[[#This Row],[IPM UNIT.
(US$)
✅CF]]*'📋 Datos Generales'!$E$19</f>
        <v>0</v>
      </c>
      <c r="X250" s="281">
        <f>TABLA_BASE[[#This Row],[IPM UNIT.
(S/.)]]*TABLA_BASE[[#This Row],[CANTIDAD
(unid.)]]</f>
        <v>0</v>
      </c>
      <c r="Y250" s="281">
        <f>TABLA_BASE[[#This Row],[IGV UNIT.
(US$)
✅CF]]*'📋 Datos Generales'!$E$19</f>
        <v>0</v>
      </c>
      <c r="Z250" s="281">
        <f>TABLA_BASE[[#This Row],[IGV UNIT.
(S/.)]]*TABLA_BASE[[#This Row],[CANTIDAD
(unid.)]]</f>
        <v>0</v>
      </c>
      <c r="AA250" s="281">
        <f>TABLA_BASE[[#This Row],[PERCEP.
UNIT.(US$)
✅CF]]*'📋 Datos Generales'!$E$19</f>
        <v>0</v>
      </c>
      <c r="AB250" s="281">
        <f>TABLA_BASE[[#This Row],[PERCEP.
UNIT.(S/.)]]*TABLA_BASE[[#This Row],[CANTIDAD
(unid.)]]</f>
        <v>0</v>
      </c>
      <c r="AC250" s="279">
        <f>TABLA_BASE[[#This Row],[ADV UNIT.
(US$)
⚠️COSTO]]+TABLA_BASE[[#This Row],[IPM UNIT.
(US$)
✅CF]]+TABLA_BASE[[#This Row],[IGV UNIT.
(US$)
✅CF]]+TABLA_BASE[[#This Row],[PERCEP.
UNIT.(US$)
✅CF]]</f>
        <v>0</v>
      </c>
      <c r="AD250" s="279">
        <f>TABLA_BASE[[#This Row],[TOTAL PAGO
SUNAT
UNIT.(US$)]]*TABLA_BASE[[#This Row],[CANTIDAD
(unid.)]]</f>
        <v>0</v>
      </c>
      <c r="AE250" s="281">
        <f>TABLA_BASE[[#This Row],[TOTAL PAGO
SUNAT
UNIT.(US$)]]*'📋 Datos Generales'!$E$19</f>
        <v>0</v>
      </c>
      <c r="AF250" s="281">
        <f>TABLA_BASE[[#This Row],[TOTAL TRIB.
UNIT.(S/.)]]*TABLA_BASE[[#This Row],[CANTIDAD
(unid.)]]</f>
        <v>0</v>
      </c>
      <c r="AG250" s="279">
        <f>IF('🧾 Factura Comercial'!G254=0,0,'📦 Gastos Importación'!$E$28*(IF('🧾 Tributos Aduana'!$F$6=0,0,'🧾 Factura Comercial'!I254/'🧾 Tributos Aduana'!$F$6))/'🧾 Factura Comercial'!G254)</f>
        <v>0</v>
      </c>
      <c r="AH250" s="279">
        <f>TABLA_BASE[[#This Row],[GASTOS IMP.
UNIT.(US$)]]*TABLA_BASE[[#This Row],[CANTIDAD
(unid.)]]</f>
        <v>0</v>
      </c>
      <c r="AI250" s="281">
        <f>TABLA_BASE[[#This Row],[GASTOS IMP.
UNIT.(US$)]]*'📋 Datos Generales'!$E$19</f>
        <v>0</v>
      </c>
      <c r="AJ250" s="281">
        <f>TABLA_BASE[[#This Row],[GASTOS IMP.
UNIT.(S/.)]]*TABLA_BASE[[#This Row],[CANTIDAD
(unid.)]]</f>
        <v>0</v>
      </c>
      <c r="AK250" s="280">
        <f>'🧮 Costos x Producto'!J254</f>
        <v>0</v>
      </c>
      <c r="AL250" s="278">
        <f>'🧮 Costos x Producto'!K254</f>
        <v>0</v>
      </c>
      <c r="AM250" s="278">
        <f>TABLA_BASE[[#This Row],[C/M UNIT.
(S/.)]]*TABLA_BASE[[#This Row],[CANTIDAD
(unid.)]]</f>
        <v>0</v>
      </c>
      <c r="AN250" s="279">
        <f>IF('🧾 Factura Comercial'!G254=0,0,'🧾 Tributos Aduana'!$F$17*(IF('🧾 Tributos Aduana'!$F$6=0,0,'🧾 Factura Comercial'!I254/'🧾 Tributos Aduana'!$F$6))/'🧾 Factura Comercial'!G254)</f>
        <v>0</v>
      </c>
      <c r="AO250" s="280">
        <f>IF('🧾 Factura Comercial'!G254=0,0,'🏦 Crédito Fiscal'!$C$16*(IF('🧾 Tributos Aduana'!$F$6=0,0,'🧾 Factura Comercial'!I254/'🧾 Tributos Aduana'!$F$6))/'🧾 Factura Comercial'!G254)</f>
        <v>0</v>
      </c>
      <c r="AP250" s="278">
        <f>TABLA_BASE[[#This Row],[CF UNIT.
✅RECUP.
(US$)]]*'📋 Datos Generales'!$E$19</f>
        <v>0</v>
      </c>
      <c r="AQ250" s="278">
        <f>TABLA_BASE[[#This Row],[CF UNIT.
✅RECUP.(S/.)]]*TABLA_BASE[[#This Row],[CANTIDAD
(unid.)]]</f>
        <v>0</v>
      </c>
      <c r="AR250" s="288">
        <f>'💰 Precio de Venta'!G255</f>
        <v>0.4</v>
      </c>
      <c r="AS250" s="278">
        <f>'💰 Precio de Venta'!H255</f>
        <v>0</v>
      </c>
      <c r="AT250" s="278">
        <f>TABLA_BASE[[#This Row],[VALOR VTA.
UNIT.(S/.)]]*TABLA_BASE[[#This Row],[CANTIDAD
(unid.)]]</f>
        <v>0</v>
      </c>
      <c r="AU250" s="281">
        <f>'💰 Precio de Venta'!I255</f>
        <v>0</v>
      </c>
      <c r="AV250" s="278">
        <f>'💰 Precio de Venta'!J255</f>
        <v>0</v>
      </c>
      <c r="AW250" s="278">
        <f>TABLA_BASE[[#This Row],[GANANCIA
UNIT.(S/.)]]*TABLA_BASE[[#This Row],[CANTIDAD
(unid.)]]</f>
        <v>0</v>
      </c>
      <c r="AX250" s="289">
        <f>'💰 Precio de Venta'!K255</f>
        <v>0</v>
      </c>
      <c r="AY250" s="278">
        <f>TABLA_BASE[[#This Row],[GANANCIA
UNIT.(S/.)]]*'🧾 Factura Comercial'!G254</f>
        <v>0</v>
      </c>
      <c r="AZ250" s="277">
        <f>IF(TABLA_BASE[[#This Row],[PRECIO VTA.
c/IGV(S/.)]]=0,0,TABLA_BASE[[#This Row],[GANANCIA
UNIT.(S/.)]]/TABLA_BASE[[#This Row],[PRECIO VTA.
c/IGV(S/.)]])</f>
        <v>0</v>
      </c>
      <c r="BA250" s="277">
        <f>IF(TABLA_BASE[[#This Row],[C/M UNIT.
(S/.)]]=0,0,TABLA_BASE[[#This Row],[GANANCIA
UNIT.(S/.)]]/TABLA_BASE[[#This Row],[C/M UNIT.
(S/.)]])</f>
        <v>0</v>
      </c>
      <c r="BB250" s="274" t="str">
        <f>IF(TABLA_BASE[[#This Row],[MARGEN
%]]&gt;=0.5,"🟢 ALTO",IF(TABLA_BASE[[#This Row],[MARGEN
%]]&gt;=0.3,"🟡 MEDIO","🔴 BAJO"))</f>
        <v>🟡 MEDIO</v>
      </c>
    </row>
    <row r="251" spans="1:54" ht="16.5" hidden="1" thickTop="1" thickBot="1" x14ac:dyDescent="0.3">
      <c r="A251" s="274">
        <f>'🧾 Factura Comercial'!E255</f>
        <v>0</v>
      </c>
      <c r="B251" s="274" t="str">
        <f>'🧾 Factura Comercial'!F255</f>
        <v>Unid.</v>
      </c>
      <c r="C251" s="275">
        <f>'🧾 Factura Comercial'!G255</f>
        <v>0</v>
      </c>
      <c r="D251" s="276">
        <f>'🧾 Factura Comercial'!H255</f>
        <v>0</v>
      </c>
      <c r="E251" s="276">
        <f>'🧾 Factura Comercial'!I255</f>
        <v>0</v>
      </c>
      <c r="F251" s="277">
        <f>IF('🧾 Tributos Aduana'!$F$6=0,0,'🧾 Factura Comercial'!I255/'🧾 Tributos Aduana'!$F$6)</f>
        <v>0</v>
      </c>
      <c r="G251" s="278">
        <f>'🧾 Factura Comercial'!H255*'📋 Datos Generales'!$E$19</f>
        <v>0</v>
      </c>
      <c r="H251" s="278">
        <f>TABLA_BASE[[#This Row],[FOB UNIT.
(S/.)]]*TABLA_BASE[[#This Row],[CANTIDAD
(unid.)]]</f>
        <v>0</v>
      </c>
      <c r="I251" s="280">
        <f>IF('🧾 Tributos Aduana'!$F$6=0,0,'🧾 Tributos Aduana'!$F$17*('🧾 Factura Comercial'!H255/'🧾 Tributos Aduana'!$F$6))</f>
        <v>0</v>
      </c>
      <c r="J251" s="280">
        <f>TABLA_BASE[[#This Row],[ADV UNIT.
(US$)
⚠️COSTO]]*TABLA_BASE[[#This Row],[CANTIDAD
(unid.)]]</f>
        <v>0</v>
      </c>
      <c r="K251" s="279">
        <f>IF('🧾 Tributos Aduana'!$F$6=0,0,'🧾 Tributos Aduana'!$F$18*('🧾 Factura Comercial'!H255/'🧾 Tributos Aduana'!$F$6))</f>
        <v>0</v>
      </c>
      <c r="L251" s="280">
        <f>TABLA_BASE[[#This Row],[IPM UNIT.
(US$)
✅CF]]*TABLA_BASE[[#This Row],[CANTIDAD
(unid.)]]</f>
        <v>0</v>
      </c>
      <c r="M251" s="279">
        <f>IF('🧾 Tributos Aduana'!$F$6=0,0,'🧾 Tributos Aduana'!$F$19*('🧾 Factura Comercial'!H255/'🧾 Tributos Aduana'!$F$6))</f>
        <v>0</v>
      </c>
      <c r="N251" s="280">
        <f>TABLA_BASE[[#This Row],[IGV UNIT.
(US$)
✅CF]]*TABLA_BASE[[#This Row],[CANTIDAD
(unid.)]]</f>
        <v>0</v>
      </c>
      <c r="O251" s="280">
        <f>IF('🧾 Tributos Aduana'!$F$6=0,0,'🧾 Tributos Aduana'!$F$23*('🧾 Factura Comercial'!H255/'🧾 Tributos Aduana'!$F$6))</f>
        <v>0</v>
      </c>
      <c r="P251" s="280">
        <f>TABLA_BASE[[#This Row],[PERCEP.
UNIT.(US$)
✅CF]]*TABLA_BASE[[#This Row],[CANTIDAD
(unid.)]]</f>
        <v>0</v>
      </c>
      <c r="Q251" s="279">
        <f>TABLA_BASE[[#This Row],[ADV UNIT.
(US$)
⚠️COSTO]]+TABLA_BASE[[#This Row],[IPM UNIT.
(US$)
✅CF]]+TABLA_BASE[[#This Row],[IGV UNIT.
(US$)
✅CF]]</f>
        <v>0</v>
      </c>
      <c r="R251" s="280">
        <f>TABLA_BASE[[#This Row],[DEUDA
ADUANERA
UNIT.]]*TABLA_BASE[[#This Row],[CANTIDAD
(unid.)]]</f>
        <v>0</v>
      </c>
      <c r="S251" s="278">
        <f>TABLA_BASE[[#This Row],[DEUDA
ADUANERA
UNIT.]]*'📋 Datos Generales'!$E$19</f>
        <v>0</v>
      </c>
      <c r="T251" s="278">
        <f>TABLA_BASE[[#This Row],[DEUDA
ADUANERA
TOTAL]]*'📋 Datos Generales'!$E$19</f>
        <v>0</v>
      </c>
      <c r="U251" s="281">
        <f>TABLA_BASE[[#This Row],[ADV UNIT.
(US$)
⚠️COSTO]]*'📋 Datos Generales'!$E$19</f>
        <v>0</v>
      </c>
      <c r="V251" s="281">
        <f>TABLA_BASE[[#This Row],[ADV UNIT.
(S/.)]]*TABLA_BASE[[#This Row],[CANTIDAD
(unid.)]]</f>
        <v>0</v>
      </c>
      <c r="W251" s="281">
        <f>TABLA_BASE[[#This Row],[IPM UNIT.
(US$)
✅CF]]*'📋 Datos Generales'!$E$19</f>
        <v>0</v>
      </c>
      <c r="X251" s="281">
        <f>TABLA_BASE[[#This Row],[IPM UNIT.
(S/.)]]*TABLA_BASE[[#This Row],[CANTIDAD
(unid.)]]</f>
        <v>0</v>
      </c>
      <c r="Y251" s="281">
        <f>TABLA_BASE[[#This Row],[IGV UNIT.
(US$)
✅CF]]*'📋 Datos Generales'!$E$19</f>
        <v>0</v>
      </c>
      <c r="Z251" s="281">
        <f>TABLA_BASE[[#This Row],[IGV UNIT.
(S/.)]]*TABLA_BASE[[#This Row],[CANTIDAD
(unid.)]]</f>
        <v>0</v>
      </c>
      <c r="AA251" s="281">
        <f>TABLA_BASE[[#This Row],[PERCEP.
UNIT.(US$)
✅CF]]*'📋 Datos Generales'!$E$19</f>
        <v>0</v>
      </c>
      <c r="AB251" s="281">
        <f>TABLA_BASE[[#This Row],[PERCEP.
UNIT.(S/.)]]*TABLA_BASE[[#This Row],[CANTIDAD
(unid.)]]</f>
        <v>0</v>
      </c>
      <c r="AC251" s="279">
        <f>TABLA_BASE[[#This Row],[ADV UNIT.
(US$)
⚠️COSTO]]+TABLA_BASE[[#This Row],[IPM UNIT.
(US$)
✅CF]]+TABLA_BASE[[#This Row],[IGV UNIT.
(US$)
✅CF]]+TABLA_BASE[[#This Row],[PERCEP.
UNIT.(US$)
✅CF]]</f>
        <v>0</v>
      </c>
      <c r="AD251" s="279">
        <f>TABLA_BASE[[#This Row],[TOTAL PAGO
SUNAT
UNIT.(US$)]]*TABLA_BASE[[#This Row],[CANTIDAD
(unid.)]]</f>
        <v>0</v>
      </c>
      <c r="AE251" s="281">
        <f>TABLA_BASE[[#This Row],[TOTAL PAGO
SUNAT
UNIT.(US$)]]*'📋 Datos Generales'!$E$19</f>
        <v>0</v>
      </c>
      <c r="AF251" s="281">
        <f>TABLA_BASE[[#This Row],[TOTAL TRIB.
UNIT.(S/.)]]*TABLA_BASE[[#This Row],[CANTIDAD
(unid.)]]</f>
        <v>0</v>
      </c>
      <c r="AG251" s="279">
        <f>IF('🧾 Factura Comercial'!G255=0,0,'📦 Gastos Importación'!$E$28*(IF('🧾 Tributos Aduana'!$F$6=0,0,'🧾 Factura Comercial'!I255/'🧾 Tributos Aduana'!$F$6))/'🧾 Factura Comercial'!G255)</f>
        <v>0</v>
      </c>
      <c r="AH251" s="279">
        <f>TABLA_BASE[[#This Row],[GASTOS IMP.
UNIT.(US$)]]*TABLA_BASE[[#This Row],[CANTIDAD
(unid.)]]</f>
        <v>0</v>
      </c>
      <c r="AI251" s="281">
        <f>TABLA_BASE[[#This Row],[GASTOS IMP.
UNIT.(US$)]]*'📋 Datos Generales'!$E$19</f>
        <v>0</v>
      </c>
      <c r="AJ251" s="281">
        <f>TABLA_BASE[[#This Row],[GASTOS IMP.
UNIT.(S/.)]]*TABLA_BASE[[#This Row],[CANTIDAD
(unid.)]]</f>
        <v>0</v>
      </c>
      <c r="AK251" s="280">
        <f>'🧮 Costos x Producto'!J255</f>
        <v>0</v>
      </c>
      <c r="AL251" s="278">
        <f>'🧮 Costos x Producto'!K255</f>
        <v>0</v>
      </c>
      <c r="AM251" s="278">
        <f>TABLA_BASE[[#This Row],[C/M UNIT.
(S/.)]]*TABLA_BASE[[#This Row],[CANTIDAD
(unid.)]]</f>
        <v>0</v>
      </c>
      <c r="AN251" s="279">
        <f>IF('🧾 Factura Comercial'!G255=0,0,'🧾 Tributos Aduana'!$F$17*(IF('🧾 Tributos Aduana'!$F$6=0,0,'🧾 Factura Comercial'!I255/'🧾 Tributos Aduana'!$F$6))/'🧾 Factura Comercial'!G255)</f>
        <v>0</v>
      </c>
      <c r="AO251" s="280">
        <f>IF('🧾 Factura Comercial'!G255=0,0,'🏦 Crédito Fiscal'!$C$16*(IF('🧾 Tributos Aduana'!$F$6=0,0,'🧾 Factura Comercial'!I255/'🧾 Tributos Aduana'!$F$6))/'🧾 Factura Comercial'!G255)</f>
        <v>0</v>
      </c>
      <c r="AP251" s="278">
        <f>TABLA_BASE[[#This Row],[CF UNIT.
✅RECUP.
(US$)]]*'📋 Datos Generales'!$E$19</f>
        <v>0</v>
      </c>
      <c r="AQ251" s="278">
        <f>TABLA_BASE[[#This Row],[CF UNIT.
✅RECUP.(S/.)]]*TABLA_BASE[[#This Row],[CANTIDAD
(unid.)]]</f>
        <v>0</v>
      </c>
      <c r="AR251" s="288">
        <f>'💰 Precio de Venta'!G256</f>
        <v>0.4</v>
      </c>
      <c r="AS251" s="278">
        <f>'💰 Precio de Venta'!H256</f>
        <v>0</v>
      </c>
      <c r="AT251" s="278">
        <f>TABLA_BASE[[#This Row],[VALOR VTA.
UNIT.(S/.)]]*TABLA_BASE[[#This Row],[CANTIDAD
(unid.)]]</f>
        <v>0</v>
      </c>
      <c r="AU251" s="281">
        <f>'💰 Precio de Venta'!I256</f>
        <v>0</v>
      </c>
      <c r="AV251" s="278">
        <f>'💰 Precio de Venta'!J256</f>
        <v>0</v>
      </c>
      <c r="AW251" s="278">
        <f>TABLA_BASE[[#This Row],[GANANCIA
UNIT.(S/.)]]*TABLA_BASE[[#This Row],[CANTIDAD
(unid.)]]</f>
        <v>0</v>
      </c>
      <c r="AX251" s="289">
        <f>'💰 Precio de Venta'!K256</f>
        <v>0</v>
      </c>
      <c r="AY251" s="278">
        <f>TABLA_BASE[[#This Row],[GANANCIA
UNIT.(S/.)]]*'🧾 Factura Comercial'!G255</f>
        <v>0</v>
      </c>
      <c r="AZ251" s="277">
        <f>IF(TABLA_BASE[[#This Row],[PRECIO VTA.
c/IGV(S/.)]]=0,0,TABLA_BASE[[#This Row],[GANANCIA
UNIT.(S/.)]]/TABLA_BASE[[#This Row],[PRECIO VTA.
c/IGV(S/.)]])</f>
        <v>0</v>
      </c>
      <c r="BA251" s="277">
        <f>IF(TABLA_BASE[[#This Row],[C/M UNIT.
(S/.)]]=0,0,TABLA_BASE[[#This Row],[GANANCIA
UNIT.(S/.)]]/TABLA_BASE[[#This Row],[C/M UNIT.
(S/.)]])</f>
        <v>0</v>
      </c>
      <c r="BB251" s="274" t="str">
        <f>IF(TABLA_BASE[[#This Row],[MARGEN
%]]&gt;=0.5,"🟢 ALTO",IF(TABLA_BASE[[#This Row],[MARGEN
%]]&gt;=0.3,"🟡 MEDIO","🔴 BAJO"))</f>
        <v>🟡 MEDIO</v>
      </c>
    </row>
    <row r="252" spans="1:54" ht="16.5" hidden="1" thickTop="1" thickBot="1" x14ac:dyDescent="0.3">
      <c r="A252" s="274">
        <f>'🧾 Factura Comercial'!E256</f>
        <v>0</v>
      </c>
      <c r="B252" s="274" t="str">
        <f>'🧾 Factura Comercial'!F256</f>
        <v>Unid.</v>
      </c>
      <c r="C252" s="275">
        <f>'🧾 Factura Comercial'!G256</f>
        <v>0</v>
      </c>
      <c r="D252" s="276">
        <f>'🧾 Factura Comercial'!H256</f>
        <v>0</v>
      </c>
      <c r="E252" s="276">
        <f>'🧾 Factura Comercial'!I256</f>
        <v>0</v>
      </c>
      <c r="F252" s="277">
        <f>IF('🧾 Tributos Aduana'!$F$6=0,0,'🧾 Factura Comercial'!I256/'🧾 Tributos Aduana'!$F$6)</f>
        <v>0</v>
      </c>
      <c r="G252" s="278">
        <f>'🧾 Factura Comercial'!H256*'📋 Datos Generales'!$E$19</f>
        <v>0</v>
      </c>
      <c r="H252" s="278">
        <f>TABLA_BASE[[#This Row],[FOB UNIT.
(S/.)]]*TABLA_BASE[[#This Row],[CANTIDAD
(unid.)]]</f>
        <v>0</v>
      </c>
      <c r="I252" s="280">
        <f>IF('🧾 Tributos Aduana'!$F$6=0,0,'🧾 Tributos Aduana'!$F$17*('🧾 Factura Comercial'!H256/'🧾 Tributos Aduana'!$F$6))</f>
        <v>0</v>
      </c>
      <c r="J252" s="280">
        <f>TABLA_BASE[[#This Row],[ADV UNIT.
(US$)
⚠️COSTO]]*TABLA_BASE[[#This Row],[CANTIDAD
(unid.)]]</f>
        <v>0</v>
      </c>
      <c r="K252" s="279">
        <f>IF('🧾 Tributos Aduana'!$F$6=0,0,'🧾 Tributos Aduana'!$F$18*('🧾 Factura Comercial'!H256/'🧾 Tributos Aduana'!$F$6))</f>
        <v>0</v>
      </c>
      <c r="L252" s="280">
        <f>TABLA_BASE[[#This Row],[IPM UNIT.
(US$)
✅CF]]*TABLA_BASE[[#This Row],[CANTIDAD
(unid.)]]</f>
        <v>0</v>
      </c>
      <c r="M252" s="279">
        <f>IF('🧾 Tributos Aduana'!$F$6=0,0,'🧾 Tributos Aduana'!$F$19*('🧾 Factura Comercial'!H256/'🧾 Tributos Aduana'!$F$6))</f>
        <v>0</v>
      </c>
      <c r="N252" s="280">
        <f>TABLA_BASE[[#This Row],[IGV UNIT.
(US$)
✅CF]]*TABLA_BASE[[#This Row],[CANTIDAD
(unid.)]]</f>
        <v>0</v>
      </c>
      <c r="O252" s="280">
        <f>IF('🧾 Tributos Aduana'!$F$6=0,0,'🧾 Tributos Aduana'!$F$23*('🧾 Factura Comercial'!H256/'🧾 Tributos Aduana'!$F$6))</f>
        <v>0</v>
      </c>
      <c r="P252" s="280">
        <f>TABLA_BASE[[#This Row],[PERCEP.
UNIT.(US$)
✅CF]]*TABLA_BASE[[#This Row],[CANTIDAD
(unid.)]]</f>
        <v>0</v>
      </c>
      <c r="Q252" s="279">
        <f>TABLA_BASE[[#This Row],[ADV UNIT.
(US$)
⚠️COSTO]]+TABLA_BASE[[#This Row],[IPM UNIT.
(US$)
✅CF]]+TABLA_BASE[[#This Row],[IGV UNIT.
(US$)
✅CF]]</f>
        <v>0</v>
      </c>
      <c r="R252" s="280">
        <f>TABLA_BASE[[#This Row],[DEUDA
ADUANERA
UNIT.]]*TABLA_BASE[[#This Row],[CANTIDAD
(unid.)]]</f>
        <v>0</v>
      </c>
      <c r="S252" s="278">
        <f>TABLA_BASE[[#This Row],[DEUDA
ADUANERA
UNIT.]]*'📋 Datos Generales'!$E$19</f>
        <v>0</v>
      </c>
      <c r="T252" s="278">
        <f>TABLA_BASE[[#This Row],[DEUDA
ADUANERA
TOTAL]]*'📋 Datos Generales'!$E$19</f>
        <v>0</v>
      </c>
      <c r="U252" s="281">
        <f>TABLA_BASE[[#This Row],[ADV UNIT.
(US$)
⚠️COSTO]]*'📋 Datos Generales'!$E$19</f>
        <v>0</v>
      </c>
      <c r="V252" s="281">
        <f>TABLA_BASE[[#This Row],[ADV UNIT.
(S/.)]]*TABLA_BASE[[#This Row],[CANTIDAD
(unid.)]]</f>
        <v>0</v>
      </c>
      <c r="W252" s="281">
        <f>TABLA_BASE[[#This Row],[IPM UNIT.
(US$)
✅CF]]*'📋 Datos Generales'!$E$19</f>
        <v>0</v>
      </c>
      <c r="X252" s="281">
        <f>TABLA_BASE[[#This Row],[IPM UNIT.
(S/.)]]*TABLA_BASE[[#This Row],[CANTIDAD
(unid.)]]</f>
        <v>0</v>
      </c>
      <c r="Y252" s="281">
        <f>TABLA_BASE[[#This Row],[IGV UNIT.
(US$)
✅CF]]*'📋 Datos Generales'!$E$19</f>
        <v>0</v>
      </c>
      <c r="Z252" s="281">
        <f>TABLA_BASE[[#This Row],[IGV UNIT.
(S/.)]]*TABLA_BASE[[#This Row],[CANTIDAD
(unid.)]]</f>
        <v>0</v>
      </c>
      <c r="AA252" s="281">
        <f>TABLA_BASE[[#This Row],[PERCEP.
UNIT.(US$)
✅CF]]*'📋 Datos Generales'!$E$19</f>
        <v>0</v>
      </c>
      <c r="AB252" s="281">
        <f>TABLA_BASE[[#This Row],[PERCEP.
UNIT.(S/.)]]*TABLA_BASE[[#This Row],[CANTIDAD
(unid.)]]</f>
        <v>0</v>
      </c>
      <c r="AC252" s="279">
        <f>TABLA_BASE[[#This Row],[ADV UNIT.
(US$)
⚠️COSTO]]+TABLA_BASE[[#This Row],[IPM UNIT.
(US$)
✅CF]]+TABLA_BASE[[#This Row],[IGV UNIT.
(US$)
✅CF]]+TABLA_BASE[[#This Row],[PERCEP.
UNIT.(US$)
✅CF]]</f>
        <v>0</v>
      </c>
      <c r="AD252" s="279">
        <f>TABLA_BASE[[#This Row],[TOTAL PAGO
SUNAT
UNIT.(US$)]]*TABLA_BASE[[#This Row],[CANTIDAD
(unid.)]]</f>
        <v>0</v>
      </c>
      <c r="AE252" s="281">
        <f>TABLA_BASE[[#This Row],[TOTAL PAGO
SUNAT
UNIT.(US$)]]*'📋 Datos Generales'!$E$19</f>
        <v>0</v>
      </c>
      <c r="AF252" s="281">
        <f>TABLA_BASE[[#This Row],[TOTAL TRIB.
UNIT.(S/.)]]*TABLA_BASE[[#This Row],[CANTIDAD
(unid.)]]</f>
        <v>0</v>
      </c>
      <c r="AG252" s="279">
        <f>IF('🧾 Factura Comercial'!G256=0,0,'📦 Gastos Importación'!$E$28*(IF('🧾 Tributos Aduana'!$F$6=0,0,'🧾 Factura Comercial'!I256/'🧾 Tributos Aduana'!$F$6))/'🧾 Factura Comercial'!G256)</f>
        <v>0</v>
      </c>
      <c r="AH252" s="279">
        <f>TABLA_BASE[[#This Row],[GASTOS IMP.
UNIT.(US$)]]*TABLA_BASE[[#This Row],[CANTIDAD
(unid.)]]</f>
        <v>0</v>
      </c>
      <c r="AI252" s="281">
        <f>TABLA_BASE[[#This Row],[GASTOS IMP.
UNIT.(US$)]]*'📋 Datos Generales'!$E$19</f>
        <v>0</v>
      </c>
      <c r="AJ252" s="281">
        <f>TABLA_BASE[[#This Row],[GASTOS IMP.
UNIT.(S/.)]]*TABLA_BASE[[#This Row],[CANTIDAD
(unid.)]]</f>
        <v>0</v>
      </c>
      <c r="AK252" s="280">
        <f>'🧮 Costos x Producto'!J256</f>
        <v>0</v>
      </c>
      <c r="AL252" s="278">
        <f>'🧮 Costos x Producto'!K256</f>
        <v>0</v>
      </c>
      <c r="AM252" s="278">
        <f>TABLA_BASE[[#This Row],[C/M UNIT.
(S/.)]]*TABLA_BASE[[#This Row],[CANTIDAD
(unid.)]]</f>
        <v>0</v>
      </c>
      <c r="AN252" s="279">
        <f>IF('🧾 Factura Comercial'!G256=0,0,'🧾 Tributos Aduana'!$F$17*(IF('🧾 Tributos Aduana'!$F$6=0,0,'🧾 Factura Comercial'!I256/'🧾 Tributos Aduana'!$F$6))/'🧾 Factura Comercial'!G256)</f>
        <v>0</v>
      </c>
      <c r="AO252" s="280">
        <f>IF('🧾 Factura Comercial'!G256=0,0,'🏦 Crédito Fiscal'!$C$16*(IF('🧾 Tributos Aduana'!$F$6=0,0,'🧾 Factura Comercial'!I256/'🧾 Tributos Aduana'!$F$6))/'🧾 Factura Comercial'!G256)</f>
        <v>0</v>
      </c>
      <c r="AP252" s="278">
        <f>TABLA_BASE[[#This Row],[CF UNIT.
✅RECUP.
(US$)]]*'📋 Datos Generales'!$E$19</f>
        <v>0</v>
      </c>
      <c r="AQ252" s="278">
        <f>TABLA_BASE[[#This Row],[CF UNIT.
✅RECUP.(S/.)]]*TABLA_BASE[[#This Row],[CANTIDAD
(unid.)]]</f>
        <v>0</v>
      </c>
      <c r="AR252" s="288">
        <f>'💰 Precio de Venta'!G257</f>
        <v>0.4</v>
      </c>
      <c r="AS252" s="278">
        <f>'💰 Precio de Venta'!H257</f>
        <v>0</v>
      </c>
      <c r="AT252" s="278">
        <f>TABLA_BASE[[#This Row],[VALOR VTA.
UNIT.(S/.)]]*TABLA_BASE[[#This Row],[CANTIDAD
(unid.)]]</f>
        <v>0</v>
      </c>
      <c r="AU252" s="281">
        <f>'💰 Precio de Venta'!I257</f>
        <v>0</v>
      </c>
      <c r="AV252" s="278">
        <f>'💰 Precio de Venta'!J257</f>
        <v>0</v>
      </c>
      <c r="AW252" s="278">
        <f>TABLA_BASE[[#This Row],[GANANCIA
UNIT.(S/.)]]*TABLA_BASE[[#This Row],[CANTIDAD
(unid.)]]</f>
        <v>0</v>
      </c>
      <c r="AX252" s="289">
        <f>'💰 Precio de Venta'!K257</f>
        <v>0</v>
      </c>
      <c r="AY252" s="278">
        <f>TABLA_BASE[[#This Row],[GANANCIA
UNIT.(S/.)]]*'🧾 Factura Comercial'!G256</f>
        <v>0</v>
      </c>
      <c r="AZ252" s="277">
        <f>IF(TABLA_BASE[[#This Row],[PRECIO VTA.
c/IGV(S/.)]]=0,0,TABLA_BASE[[#This Row],[GANANCIA
UNIT.(S/.)]]/TABLA_BASE[[#This Row],[PRECIO VTA.
c/IGV(S/.)]])</f>
        <v>0</v>
      </c>
      <c r="BA252" s="277">
        <f>IF(TABLA_BASE[[#This Row],[C/M UNIT.
(S/.)]]=0,0,TABLA_BASE[[#This Row],[GANANCIA
UNIT.(S/.)]]/TABLA_BASE[[#This Row],[C/M UNIT.
(S/.)]])</f>
        <v>0</v>
      </c>
      <c r="BB252" s="274" t="str">
        <f>IF(TABLA_BASE[[#This Row],[MARGEN
%]]&gt;=0.5,"🟢 ALTO",IF(TABLA_BASE[[#This Row],[MARGEN
%]]&gt;=0.3,"🟡 MEDIO","🔴 BAJO"))</f>
        <v>🟡 MEDIO</v>
      </c>
    </row>
    <row r="253" spans="1:54" ht="16.5" hidden="1" thickTop="1" thickBot="1" x14ac:dyDescent="0.3">
      <c r="A253" s="274">
        <f>'🧾 Factura Comercial'!E257</f>
        <v>0</v>
      </c>
      <c r="B253" s="274" t="str">
        <f>'🧾 Factura Comercial'!F257</f>
        <v>Unid.</v>
      </c>
      <c r="C253" s="275">
        <f>'🧾 Factura Comercial'!G257</f>
        <v>0</v>
      </c>
      <c r="D253" s="276">
        <f>'🧾 Factura Comercial'!H257</f>
        <v>0</v>
      </c>
      <c r="E253" s="276">
        <f>'🧾 Factura Comercial'!I257</f>
        <v>0</v>
      </c>
      <c r="F253" s="277">
        <f>IF('🧾 Tributos Aduana'!$F$6=0,0,'🧾 Factura Comercial'!I257/'🧾 Tributos Aduana'!$F$6)</f>
        <v>0</v>
      </c>
      <c r="G253" s="278">
        <f>'🧾 Factura Comercial'!H257*'📋 Datos Generales'!$E$19</f>
        <v>0</v>
      </c>
      <c r="H253" s="278">
        <f>TABLA_BASE[[#This Row],[FOB UNIT.
(S/.)]]*TABLA_BASE[[#This Row],[CANTIDAD
(unid.)]]</f>
        <v>0</v>
      </c>
      <c r="I253" s="280">
        <f>IF('🧾 Tributos Aduana'!$F$6=0,0,'🧾 Tributos Aduana'!$F$17*('🧾 Factura Comercial'!H257/'🧾 Tributos Aduana'!$F$6))</f>
        <v>0</v>
      </c>
      <c r="J253" s="280">
        <f>TABLA_BASE[[#This Row],[ADV UNIT.
(US$)
⚠️COSTO]]*TABLA_BASE[[#This Row],[CANTIDAD
(unid.)]]</f>
        <v>0</v>
      </c>
      <c r="K253" s="279">
        <f>IF('🧾 Tributos Aduana'!$F$6=0,0,'🧾 Tributos Aduana'!$F$18*('🧾 Factura Comercial'!H257/'🧾 Tributos Aduana'!$F$6))</f>
        <v>0</v>
      </c>
      <c r="L253" s="280">
        <f>TABLA_BASE[[#This Row],[IPM UNIT.
(US$)
✅CF]]*TABLA_BASE[[#This Row],[CANTIDAD
(unid.)]]</f>
        <v>0</v>
      </c>
      <c r="M253" s="279">
        <f>IF('🧾 Tributos Aduana'!$F$6=0,0,'🧾 Tributos Aduana'!$F$19*('🧾 Factura Comercial'!H257/'🧾 Tributos Aduana'!$F$6))</f>
        <v>0</v>
      </c>
      <c r="N253" s="280">
        <f>TABLA_BASE[[#This Row],[IGV UNIT.
(US$)
✅CF]]*TABLA_BASE[[#This Row],[CANTIDAD
(unid.)]]</f>
        <v>0</v>
      </c>
      <c r="O253" s="280">
        <f>IF('🧾 Tributos Aduana'!$F$6=0,0,'🧾 Tributos Aduana'!$F$23*('🧾 Factura Comercial'!H257/'🧾 Tributos Aduana'!$F$6))</f>
        <v>0</v>
      </c>
      <c r="P253" s="280">
        <f>TABLA_BASE[[#This Row],[PERCEP.
UNIT.(US$)
✅CF]]*TABLA_BASE[[#This Row],[CANTIDAD
(unid.)]]</f>
        <v>0</v>
      </c>
      <c r="Q253" s="279">
        <f>TABLA_BASE[[#This Row],[ADV UNIT.
(US$)
⚠️COSTO]]+TABLA_BASE[[#This Row],[IPM UNIT.
(US$)
✅CF]]+TABLA_BASE[[#This Row],[IGV UNIT.
(US$)
✅CF]]</f>
        <v>0</v>
      </c>
      <c r="R253" s="280">
        <f>TABLA_BASE[[#This Row],[DEUDA
ADUANERA
UNIT.]]*TABLA_BASE[[#This Row],[CANTIDAD
(unid.)]]</f>
        <v>0</v>
      </c>
      <c r="S253" s="278">
        <f>TABLA_BASE[[#This Row],[DEUDA
ADUANERA
UNIT.]]*'📋 Datos Generales'!$E$19</f>
        <v>0</v>
      </c>
      <c r="T253" s="278">
        <f>TABLA_BASE[[#This Row],[DEUDA
ADUANERA
TOTAL]]*'📋 Datos Generales'!$E$19</f>
        <v>0</v>
      </c>
      <c r="U253" s="281">
        <f>TABLA_BASE[[#This Row],[ADV UNIT.
(US$)
⚠️COSTO]]*'📋 Datos Generales'!$E$19</f>
        <v>0</v>
      </c>
      <c r="V253" s="281">
        <f>TABLA_BASE[[#This Row],[ADV UNIT.
(S/.)]]*TABLA_BASE[[#This Row],[CANTIDAD
(unid.)]]</f>
        <v>0</v>
      </c>
      <c r="W253" s="281">
        <f>TABLA_BASE[[#This Row],[IPM UNIT.
(US$)
✅CF]]*'📋 Datos Generales'!$E$19</f>
        <v>0</v>
      </c>
      <c r="X253" s="281">
        <f>TABLA_BASE[[#This Row],[IPM UNIT.
(S/.)]]*TABLA_BASE[[#This Row],[CANTIDAD
(unid.)]]</f>
        <v>0</v>
      </c>
      <c r="Y253" s="281">
        <f>TABLA_BASE[[#This Row],[IGV UNIT.
(US$)
✅CF]]*'📋 Datos Generales'!$E$19</f>
        <v>0</v>
      </c>
      <c r="Z253" s="281">
        <f>TABLA_BASE[[#This Row],[IGV UNIT.
(S/.)]]*TABLA_BASE[[#This Row],[CANTIDAD
(unid.)]]</f>
        <v>0</v>
      </c>
      <c r="AA253" s="281">
        <f>TABLA_BASE[[#This Row],[PERCEP.
UNIT.(US$)
✅CF]]*'📋 Datos Generales'!$E$19</f>
        <v>0</v>
      </c>
      <c r="AB253" s="281">
        <f>TABLA_BASE[[#This Row],[PERCEP.
UNIT.(S/.)]]*TABLA_BASE[[#This Row],[CANTIDAD
(unid.)]]</f>
        <v>0</v>
      </c>
      <c r="AC253" s="279">
        <f>TABLA_BASE[[#This Row],[ADV UNIT.
(US$)
⚠️COSTO]]+TABLA_BASE[[#This Row],[IPM UNIT.
(US$)
✅CF]]+TABLA_BASE[[#This Row],[IGV UNIT.
(US$)
✅CF]]+TABLA_BASE[[#This Row],[PERCEP.
UNIT.(US$)
✅CF]]</f>
        <v>0</v>
      </c>
      <c r="AD253" s="279">
        <f>TABLA_BASE[[#This Row],[TOTAL PAGO
SUNAT
UNIT.(US$)]]*TABLA_BASE[[#This Row],[CANTIDAD
(unid.)]]</f>
        <v>0</v>
      </c>
      <c r="AE253" s="281">
        <f>TABLA_BASE[[#This Row],[TOTAL PAGO
SUNAT
UNIT.(US$)]]*'📋 Datos Generales'!$E$19</f>
        <v>0</v>
      </c>
      <c r="AF253" s="281">
        <f>TABLA_BASE[[#This Row],[TOTAL TRIB.
UNIT.(S/.)]]*TABLA_BASE[[#This Row],[CANTIDAD
(unid.)]]</f>
        <v>0</v>
      </c>
      <c r="AG253" s="279">
        <f>IF('🧾 Factura Comercial'!G257=0,0,'📦 Gastos Importación'!$E$28*(IF('🧾 Tributos Aduana'!$F$6=0,0,'🧾 Factura Comercial'!I257/'🧾 Tributos Aduana'!$F$6))/'🧾 Factura Comercial'!G257)</f>
        <v>0</v>
      </c>
      <c r="AH253" s="279">
        <f>TABLA_BASE[[#This Row],[GASTOS IMP.
UNIT.(US$)]]*TABLA_BASE[[#This Row],[CANTIDAD
(unid.)]]</f>
        <v>0</v>
      </c>
      <c r="AI253" s="281">
        <f>TABLA_BASE[[#This Row],[GASTOS IMP.
UNIT.(US$)]]*'📋 Datos Generales'!$E$19</f>
        <v>0</v>
      </c>
      <c r="AJ253" s="281">
        <f>TABLA_BASE[[#This Row],[GASTOS IMP.
UNIT.(S/.)]]*TABLA_BASE[[#This Row],[CANTIDAD
(unid.)]]</f>
        <v>0</v>
      </c>
      <c r="AK253" s="280">
        <f>'🧮 Costos x Producto'!J257</f>
        <v>0</v>
      </c>
      <c r="AL253" s="278">
        <f>'🧮 Costos x Producto'!K257</f>
        <v>0</v>
      </c>
      <c r="AM253" s="278">
        <f>TABLA_BASE[[#This Row],[C/M UNIT.
(S/.)]]*TABLA_BASE[[#This Row],[CANTIDAD
(unid.)]]</f>
        <v>0</v>
      </c>
      <c r="AN253" s="279">
        <f>IF('🧾 Factura Comercial'!G257=0,0,'🧾 Tributos Aduana'!$F$17*(IF('🧾 Tributos Aduana'!$F$6=0,0,'🧾 Factura Comercial'!I257/'🧾 Tributos Aduana'!$F$6))/'🧾 Factura Comercial'!G257)</f>
        <v>0</v>
      </c>
      <c r="AO253" s="280">
        <f>IF('🧾 Factura Comercial'!G257=0,0,'🏦 Crédito Fiscal'!$C$16*(IF('🧾 Tributos Aduana'!$F$6=0,0,'🧾 Factura Comercial'!I257/'🧾 Tributos Aduana'!$F$6))/'🧾 Factura Comercial'!G257)</f>
        <v>0</v>
      </c>
      <c r="AP253" s="278">
        <f>TABLA_BASE[[#This Row],[CF UNIT.
✅RECUP.
(US$)]]*'📋 Datos Generales'!$E$19</f>
        <v>0</v>
      </c>
      <c r="AQ253" s="278">
        <f>TABLA_BASE[[#This Row],[CF UNIT.
✅RECUP.(S/.)]]*TABLA_BASE[[#This Row],[CANTIDAD
(unid.)]]</f>
        <v>0</v>
      </c>
      <c r="AR253" s="288">
        <f>'💰 Precio de Venta'!G258</f>
        <v>0.4</v>
      </c>
      <c r="AS253" s="278">
        <f>'💰 Precio de Venta'!H258</f>
        <v>0</v>
      </c>
      <c r="AT253" s="278">
        <f>TABLA_BASE[[#This Row],[VALOR VTA.
UNIT.(S/.)]]*TABLA_BASE[[#This Row],[CANTIDAD
(unid.)]]</f>
        <v>0</v>
      </c>
      <c r="AU253" s="281">
        <f>'💰 Precio de Venta'!I258</f>
        <v>0</v>
      </c>
      <c r="AV253" s="278">
        <f>'💰 Precio de Venta'!J258</f>
        <v>0</v>
      </c>
      <c r="AW253" s="278">
        <f>TABLA_BASE[[#This Row],[GANANCIA
UNIT.(S/.)]]*TABLA_BASE[[#This Row],[CANTIDAD
(unid.)]]</f>
        <v>0</v>
      </c>
      <c r="AX253" s="289">
        <f>'💰 Precio de Venta'!K258</f>
        <v>0</v>
      </c>
      <c r="AY253" s="278">
        <f>TABLA_BASE[[#This Row],[GANANCIA
UNIT.(S/.)]]*'🧾 Factura Comercial'!G257</f>
        <v>0</v>
      </c>
      <c r="AZ253" s="277">
        <f>IF(TABLA_BASE[[#This Row],[PRECIO VTA.
c/IGV(S/.)]]=0,0,TABLA_BASE[[#This Row],[GANANCIA
UNIT.(S/.)]]/TABLA_BASE[[#This Row],[PRECIO VTA.
c/IGV(S/.)]])</f>
        <v>0</v>
      </c>
      <c r="BA253" s="277">
        <f>IF(TABLA_BASE[[#This Row],[C/M UNIT.
(S/.)]]=0,0,TABLA_BASE[[#This Row],[GANANCIA
UNIT.(S/.)]]/TABLA_BASE[[#This Row],[C/M UNIT.
(S/.)]])</f>
        <v>0</v>
      </c>
      <c r="BB253" s="274" t="str">
        <f>IF(TABLA_BASE[[#This Row],[MARGEN
%]]&gt;=0.5,"🟢 ALTO",IF(TABLA_BASE[[#This Row],[MARGEN
%]]&gt;=0.3,"🟡 MEDIO","🔴 BAJO"))</f>
        <v>🟡 MEDIO</v>
      </c>
    </row>
    <row r="254" spans="1:54" ht="16.5" hidden="1" thickTop="1" thickBot="1" x14ac:dyDescent="0.3">
      <c r="A254" s="274">
        <f>'🧾 Factura Comercial'!E258</f>
        <v>0</v>
      </c>
      <c r="B254" s="274" t="str">
        <f>'🧾 Factura Comercial'!F258</f>
        <v>Unid.</v>
      </c>
      <c r="C254" s="275">
        <f>'🧾 Factura Comercial'!G258</f>
        <v>0</v>
      </c>
      <c r="D254" s="276">
        <f>'🧾 Factura Comercial'!H258</f>
        <v>0</v>
      </c>
      <c r="E254" s="276">
        <f>'🧾 Factura Comercial'!I258</f>
        <v>0</v>
      </c>
      <c r="F254" s="277">
        <f>IF('🧾 Tributos Aduana'!$F$6=0,0,'🧾 Factura Comercial'!I258/'🧾 Tributos Aduana'!$F$6)</f>
        <v>0</v>
      </c>
      <c r="G254" s="278">
        <f>'🧾 Factura Comercial'!H258*'📋 Datos Generales'!$E$19</f>
        <v>0</v>
      </c>
      <c r="H254" s="278">
        <f>TABLA_BASE[[#This Row],[FOB UNIT.
(S/.)]]*TABLA_BASE[[#This Row],[CANTIDAD
(unid.)]]</f>
        <v>0</v>
      </c>
      <c r="I254" s="280">
        <f>IF('🧾 Tributos Aduana'!$F$6=0,0,'🧾 Tributos Aduana'!$F$17*('🧾 Factura Comercial'!H258/'🧾 Tributos Aduana'!$F$6))</f>
        <v>0</v>
      </c>
      <c r="J254" s="280">
        <f>TABLA_BASE[[#This Row],[ADV UNIT.
(US$)
⚠️COSTO]]*TABLA_BASE[[#This Row],[CANTIDAD
(unid.)]]</f>
        <v>0</v>
      </c>
      <c r="K254" s="279">
        <f>IF('🧾 Tributos Aduana'!$F$6=0,0,'🧾 Tributos Aduana'!$F$18*('🧾 Factura Comercial'!H258/'🧾 Tributos Aduana'!$F$6))</f>
        <v>0</v>
      </c>
      <c r="L254" s="280">
        <f>TABLA_BASE[[#This Row],[IPM UNIT.
(US$)
✅CF]]*TABLA_BASE[[#This Row],[CANTIDAD
(unid.)]]</f>
        <v>0</v>
      </c>
      <c r="M254" s="279">
        <f>IF('🧾 Tributos Aduana'!$F$6=0,0,'🧾 Tributos Aduana'!$F$19*('🧾 Factura Comercial'!H258/'🧾 Tributos Aduana'!$F$6))</f>
        <v>0</v>
      </c>
      <c r="N254" s="280">
        <f>TABLA_BASE[[#This Row],[IGV UNIT.
(US$)
✅CF]]*TABLA_BASE[[#This Row],[CANTIDAD
(unid.)]]</f>
        <v>0</v>
      </c>
      <c r="O254" s="280">
        <f>IF('🧾 Tributos Aduana'!$F$6=0,0,'🧾 Tributos Aduana'!$F$23*('🧾 Factura Comercial'!H258/'🧾 Tributos Aduana'!$F$6))</f>
        <v>0</v>
      </c>
      <c r="P254" s="280">
        <f>TABLA_BASE[[#This Row],[PERCEP.
UNIT.(US$)
✅CF]]*TABLA_BASE[[#This Row],[CANTIDAD
(unid.)]]</f>
        <v>0</v>
      </c>
      <c r="Q254" s="279">
        <f>TABLA_BASE[[#This Row],[ADV UNIT.
(US$)
⚠️COSTO]]+TABLA_BASE[[#This Row],[IPM UNIT.
(US$)
✅CF]]+TABLA_BASE[[#This Row],[IGV UNIT.
(US$)
✅CF]]</f>
        <v>0</v>
      </c>
      <c r="R254" s="280">
        <f>TABLA_BASE[[#This Row],[DEUDA
ADUANERA
UNIT.]]*TABLA_BASE[[#This Row],[CANTIDAD
(unid.)]]</f>
        <v>0</v>
      </c>
      <c r="S254" s="278">
        <f>TABLA_BASE[[#This Row],[DEUDA
ADUANERA
UNIT.]]*'📋 Datos Generales'!$E$19</f>
        <v>0</v>
      </c>
      <c r="T254" s="278">
        <f>TABLA_BASE[[#This Row],[DEUDA
ADUANERA
TOTAL]]*'📋 Datos Generales'!$E$19</f>
        <v>0</v>
      </c>
      <c r="U254" s="281">
        <f>TABLA_BASE[[#This Row],[ADV UNIT.
(US$)
⚠️COSTO]]*'📋 Datos Generales'!$E$19</f>
        <v>0</v>
      </c>
      <c r="V254" s="281">
        <f>TABLA_BASE[[#This Row],[ADV UNIT.
(S/.)]]*TABLA_BASE[[#This Row],[CANTIDAD
(unid.)]]</f>
        <v>0</v>
      </c>
      <c r="W254" s="281">
        <f>TABLA_BASE[[#This Row],[IPM UNIT.
(US$)
✅CF]]*'📋 Datos Generales'!$E$19</f>
        <v>0</v>
      </c>
      <c r="X254" s="281">
        <f>TABLA_BASE[[#This Row],[IPM UNIT.
(S/.)]]*TABLA_BASE[[#This Row],[CANTIDAD
(unid.)]]</f>
        <v>0</v>
      </c>
      <c r="Y254" s="281">
        <f>TABLA_BASE[[#This Row],[IGV UNIT.
(US$)
✅CF]]*'📋 Datos Generales'!$E$19</f>
        <v>0</v>
      </c>
      <c r="Z254" s="281">
        <f>TABLA_BASE[[#This Row],[IGV UNIT.
(S/.)]]*TABLA_BASE[[#This Row],[CANTIDAD
(unid.)]]</f>
        <v>0</v>
      </c>
      <c r="AA254" s="281">
        <f>TABLA_BASE[[#This Row],[PERCEP.
UNIT.(US$)
✅CF]]*'📋 Datos Generales'!$E$19</f>
        <v>0</v>
      </c>
      <c r="AB254" s="281">
        <f>TABLA_BASE[[#This Row],[PERCEP.
UNIT.(S/.)]]*TABLA_BASE[[#This Row],[CANTIDAD
(unid.)]]</f>
        <v>0</v>
      </c>
      <c r="AC254" s="279">
        <f>TABLA_BASE[[#This Row],[ADV UNIT.
(US$)
⚠️COSTO]]+TABLA_BASE[[#This Row],[IPM UNIT.
(US$)
✅CF]]+TABLA_BASE[[#This Row],[IGV UNIT.
(US$)
✅CF]]+TABLA_BASE[[#This Row],[PERCEP.
UNIT.(US$)
✅CF]]</f>
        <v>0</v>
      </c>
      <c r="AD254" s="279">
        <f>TABLA_BASE[[#This Row],[TOTAL PAGO
SUNAT
UNIT.(US$)]]*TABLA_BASE[[#This Row],[CANTIDAD
(unid.)]]</f>
        <v>0</v>
      </c>
      <c r="AE254" s="281">
        <f>TABLA_BASE[[#This Row],[TOTAL PAGO
SUNAT
UNIT.(US$)]]*'📋 Datos Generales'!$E$19</f>
        <v>0</v>
      </c>
      <c r="AF254" s="281">
        <f>TABLA_BASE[[#This Row],[TOTAL TRIB.
UNIT.(S/.)]]*TABLA_BASE[[#This Row],[CANTIDAD
(unid.)]]</f>
        <v>0</v>
      </c>
      <c r="AG254" s="279">
        <f>IF('🧾 Factura Comercial'!G258=0,0,'📦 Gastos Importación'!$E$28*(IF('🧾 Tributos Aduana'!$F$6=0,0,'🧾 Factura Comercial'!I258/'🧾 Tributos Aduana'!$F$6))/'🧾 Factura Comercial'!G258)</f>
        <v>0</v>
      </c>
      <c r="AH254" s="279">
        <f>TABLA_BASE[[#This Row],[GASTOS IMP.
UNIT.(US$)]]*TABLA_BASE[[#This Row],[CANTIDAD
(unid.)]]</f>
        <v>0</v>
      </c>
      <c r="AI254" s="281">
        <f>TABLA_BASE[[#This Row],[GASTOS IMP.
UNIT.(US$)]]*'📋 Datos Generales'!$E$19</f>
        <v>0</v>
      </c>
      <c r="AJ254" s="281">
        <f>TABLA_BASE[[#This Row],[GASTOS IMP.
UNIT.(S/.)]]*TABLA_BASE[[#This Row],[CANTIDAD
(unid.)]]</f>
        <v>0</v>
      </c>
      <c r="AK254" s="280">
        <f>'🧮 Costos x Producto'!J258</f>
        <v>0</v>
      </c>
      <c r="AL254" s="278">
        <f>'🧮 Costos x Producto'!K258</f>
        <v>0</v>
      </c>
      <c r="AM254" s="278">
        <f>TABLA_BASE[[#This Row],[C/M UNIT.
(S/.)]]*TABLA_BASE[[#This Row],[CANTIDAD
(unid.)]]</f>
        <v>0</v>
      </c>
      <c r="AN254" s="279">
        <f>IF('🧾 Factura Comercial'!G258=0,0,'🧾 Tributos Aduana'!$F$17*(IF('🧾 Tributos Aduana'!$F$6=0,0,'🧾 Factura Comercial'!I258/'🧾 Tributos Aduana'!$F$6))/'🧾 Factura Comercial'!G258)</f>
        <v>0</v>
      </c>
      <c r="AO254" s="280">
        <f>IF('🧾 Factura Comercial'!G258=0,0,'🏦 Crédito Fiscal'!$C$16*(IF('🧾 Tributos Aduana'!$F$6=0,0,'🧾 Factura Comercial'!I258/'🧾 Tributos Aduana'!$F$6))/'🧾 Factura Comercial'!G258)</f>
        <v>0</v>
      </c>
      <c r="AP254" s="278">
        <f>TABLA_BASE[[#This Row],[CF UNIT.
✅RECUP.
(US$)]]*'📋 Datos Generales'!$E$19</f>
        <v>0</v>
      </c>
      <c r="AQ254" s="278">
        <f>TABLA_BASE[[#This Row],[CF UNIT.
✅RECUP.(S/.)]]*TABLA_BASE[[#This Row],[CANTIDAD
(unid.)]]</f>
        <v>0</v>
      </c>
      <c r="AR254" s="288">
        <f>'💰 Precio de Venta'!G259</f>
        <v>0.4</v>
      </c>
      <c r="AS254" s="278">
        <f>'💰 Precio de Venta'!H259</f>
        <v>0</v>
      </c>
      <c r="AT254" s="278">
        <f>TABLA_BASE[[#This Row],[VALOR VTA.
UNIT.(S/.)]]*TABLA_BASE[[#This Row],[CANTIDAD
(unid.)]]</f>
        <v>0</v>
      </c>
      <c r="AU254" s="281">
        <f>'💰 Precio de Venta'!I259</f>
        <v>0</v>
      </c>
      <c r="AV254" s="278">
        <f>'💰 Precio de Venta'!J259</f>
        <v>0</v>
      </c>
      <c r="AW254" s="278">
        <f>TABLA_BASE[[#This Row],[GANANCIA
UNIT.(S/.)]]*TABLA_BASE[[#This Row],[CANTIDAD
(unid.)]]</f>
        <v>0</v>
      </c>
      <c r="AX254" s="289">
        <f>'💰 Precio de Venta'!K259</f>
        <v>0</v>
      </c>
      <c r="AY254" s="278">
        <f>TABLA_BASE[[#This Row],[GANANCIA
UNIT.(S/.)]]*'🧾 Factura Comercial'!G258</f>
        <v>0</v>
      </c>
      <c r="AZ254" s="277">
        <f>IF(TABLA_BASE[[#This Row],[PRECIO VTA.
c/IGV(S/.)]]=0,0,TABLA_BASE[[#This Row],[GANANCIA
UNIT.(S/.)]]/TABLA_BASE[[#This Row],[PRECIO VTA.
c/IGV(S/.)]])</f>
        <v>0</v>
      </c>
      <c r="BA254" s="277">
        <f>IF(TABLA_BASE[[#This Row],[C/M UNIT.
(S/.)]]=0,0,TABLA_BASE[[#This Row],[GANANCIA
UNIT.(S/.)]]/TABLA_BASE[[#This Row],[C/M UNIT.
(S/.)]])</f>
        <v>0</v>
      </c>
      <c r="BB254" s="274" t="str">
        <f>IF(TABLA_BASE[[#This Row],[MARGEN
%]]&gt;=0.5,"🟢 ALTO",IF(TABLA_BASE[[#This Row],[MARGEN
%]]&gt;=0.3,"🟡 MEDIO","🔴 BAJO"))</f>
        <v>🟡 MEDIO</v>
      </c>
    </row>
    <row r="255" spans="1:54" ht="16.5" hidden="1" thickTop="1" thickBot="1" x14ac:dyDescent="0.3">
      <c r="A255" s="274">
        <f>'🧾 Factura Comercial'!E259</f>
        <v>0</v>
      </c>
      <c r="B255" s="274" t="str">
        <f>'🧾 Factura Comercial'!F259</f>
        <v>Unid.</v>
      </c>
      <c r="C255" s="275">
        <f>'🧾 Factura Comercial'!G259</f>
        <v>0</v>
      </c>
      <c r="D255" s="276">
        <f>'🧾 Factura Comercial'!H259</f>
        <v>0</v>
      </c>
      <c r="E255" s="276">
        <f>'🧾 Factura Comercial'!I259</f>
        <v>0</v>
      </c>
      <c r="F255" s="277">
        <f>IF('🧾 Tributos Aduana'!$F$6=0,0,'🧾 Factura Comercial'!I259/'🧾 Tributos Aduana'!$F$6)</f>
        <v>0</v>
      </c>
      <c r="G255" s="278">
        <f>'🧾 Factura Comercial'!H259*'📋 Datos Generales'!$E$19</f>
        <v>0</v>
      </c>
      <c r="H255" s="278">
        <f>TABLA_BASE[[#This Row],[FOB UNIT.
(S/.)]]*TABLA_BASE[[#This Row],[CANTIDAD
(unid.)]]</f>
        <v>0</v>
      </c>
      <c r="I255" s="280">
        <f>IF('🧾 Tributos Aduana'!$F$6=0,0,'🧾 Tributos Aduana'!$F$17*('🧾 Factura Comercial'!H259/'🧾 Tributos Aduana'!$F$6))</f>
        <v>0</v>
      </c>
      <c r="J255" s="280">
        <f>TABLA_BASE[[#This Row],[ADV UNIT.
(US$)
⚠️COSTO]]*TABLA_BASE[[#This Row],[CANTIDAD
(unid.)]]</f>
        <v>0</v>
      </c>
      <c r="K255" s="279">
        <f>IF('🧾 Tributos Aduana'!$F$6=0,0,'🧾 Tributos Aduana'!$F$18*('🧾 Factura Comercial'!H259/'🧾 Tributos Aduana'!$F$6))</f>
        <v>0</v>
      </c>
      <c r="L255" s="280">
        <f>TABLA_BASE[[#This Row],[IPM UNIT.
(US$)
✅CF]]*TABLA_BASE[[#This Row],[CANTIDAD
(unid.)]]</f>
        <v>0</v>
      </c>
      <c r="M255" s="279">
        <f>IF('🧾 Tributos Aduana'!$F$6=0,0,'🧾 Tributos Aduana'!$F$19*('🧾 Factura Comercial'!H259/'🧾 Tributos Aduana'!$F$6))</f>
        <v>0</v>
      </c>
      <c r="N255" s="280">
        <f>TABLA_BASE[[#This Row],[IGV UNIT.
(US$)
✅CF]]*TABLA_BASE[[#This Row],[CANTIDAD
(unid.)]]</f>
        <v>0</v>
      </c>
      <c r="O255" s="280">
        <f>IF('🧾 Tributos Aduana'!$F$6=0,0,'🧾 Tributos Aduana'!$F$23*('🧾 Factura Comercial'!H259/'🧾 Tributos Aduana'!$F$6))</f>
        <v>0</v>
      </c>
      <c r="P255" s="280">
        <f>TABLA_BASE[[#This Row],[PERCEP.
UNIT.(US$)
✅CF]]*TABLA_BASE[[#This Row],[CANTIDAD
(unid.)]]</f>
        <v>0</v>
      </c>
      <c r="Q255" s="279">
        <f>TABLA_BASE[[#This Row],[ADV UNIT.
(US$)
⚠️COSTO]]+TABLA_BASE[[#This Row],[IPM UNIT.
(US$)
✅CF]]+TABLA_BASE[[#This Row],[IGV UNIT.
(US$)
✅CF]]</f>
        <v>0</v>
      </c>
      <c r="R255" s="280">
        <f>TABLA_BASE[[#This Row],[DEUDA
ADUANERA
UNIT.]]*TABLA_BASE[[#This Row],[CANTIDAD
(unid.)]]</f>
        <v>0</v>
      </c>
      <c r="S255" s="278">
        <f>TABLA_BASE[[#This Row],[DEUDA
ADUANERA
UNIT.]]*'📋 Datos Generales'!$E$19</f>
        <v>0</v>
      </c>
      <c r="T255" s="278">
        <f>TABLA_BASE[[#This Row],[DEUDA
ADUANERA
TOTAL]]*'📋 Datos Generales'!$E$19</f>
        <v>0</v>
      </c>
      <c r="U255" s="281">
        <f>TABLA_BASE[[#This Row],[ADV UNIT.
(US$)
⚠️COSTO]]*'📋 Datos Generales'!$E$19</f>
        <v>0</v>
      </c>
      <c r="V255" s="281">
        <f>TABLA_BASE[[#This Row],[ADV UNIT.
(S/.)]]*TABLA_BASE[[#This Row],[CANTIDAD
(unid.)]]</f>
        <v>0</v>
      </c>
      <c r="W255" s="281">
        <f>TABLA_BASE[[#This Row],[IPM UNIT.
(US$)
✅CF]]*'📋 Datos Generales'!$E$19</f>
        <v>0</v>
      </c>
      <c r="X255" s="281">
        <f>TABLA_BASE[[#This Row],[IPM UNIT.
(S/.)]]*TABLA_BASE[[#This Row],[CANTIDAD
(unid.)]]</f>
        <v>0</v>
      </c>
      <c r="Y255" s="281">
        <f>TABLA_BASE[[#This Row],[IGV UNIT.
(US$)
✅CF]]*'📋 Datos Generales'!$E$19</f>
        <v>0</v>
      </c>
      <c r="Z255" s="281">
        <f>TABLA_BASE[[#This Row],[IGV UNIT.
(S/.)]]*TABLA_BASE[[#This Row],[CANTIDAD
(unid.)]]</f>
        <v>0</v>
      </c>
      <c r="AA255" s="281">
        <f>TABLA_BASE[[#This Row],[PERCEP.
UNIT.(US$)
✅CF]]*'📋 Datos Generales'!$E$19</f>
        <v>0</v>
      </c>
      <c r="AB255" s="281">
        <f>TABLA_BASE[[#This Row],[PERCEP.
UNIT.(S/.)]]*TABLA_BASE[[#This Row],[CANTIDAD
(unid.)]]</f>
        <v>0</v>
      </c>
      <c r="AC255" s="279">
        <f>TABLA_BASE[[#This Row],[ADV UNIT.
(US$)
⚠️COSTO]]+TABLA_BASE[[#This Row],[IPM UNIT.
(US$)
✅CF]]+TABLA_BASE[[#This Row],[IGV UNIT.
(US$)
✅CF]]+TABLA_BASE[[#This Row],[PERCEP.
UNIT.(US$)
✅CF]]</f>
        <v>0</v>
      </c>
      <c r="AD255" s="279">
        <f>TABLA_BASE[[#This Row],[TOTAL PAGO
SUNAT
UNIT.(US$)]]*TABLA_BASE[[#This Row],[CANTIDAD
(unid.)]]</f>
        <v>0</v>
      </c>
      <c r="AE255" s="281">
        <f>TABLA_BASE[[#This Row],[TOTAL PAGO
SUNAT
UNIT.(US$)]]*'📋 Datos Generales'!$E$19</f>
        <v>0</v>
      </c>
      <c r="AF255" s="281">
        <f>TABLA_BASE[[#This Row],[TOTAL TRIB.
UNIT.(S/.)]]*TABLA_BASE[[#This Row],[CANTIDAD
(unid.)]]</f>
        <v>0</v>
      </c>
      <c r="AG255" s="279">
        <f>IF('🧾 Factura Comercial'!G259=0,0,'📦 Gastos Importación'!$E$28*(IF('🧾 Tributos Aduana'!$F$6=0,0,'🧾 Factura Comercial'!I259/'🧾 Tributos Aduana'!$F$6))/'🧾 Factura Comercial'!G259)</f>
        <v>0</v>
      </c>
      <c r="AH255" s="279">
        <f>TABLA_BASE[[#This Row],[GASTOS IMP.
UNIT.(US$)]]*TABLA_BASE[[#This Row],[CANTIDAD
(unid.)]]</f>
        <v>0</v>
      </c>
      <c r="AI255" s="281">
        <f>TABLA_BASE[[#This Row],[GASTOS IMP.
UNIT.(US$)]]*'📋 Datos Generales'!$E$19</f>
        <v>0</v>
      </c>
      <c r="AJ255" s="281">
        <f>TABLA_BASE[[#This Row],[GASTOS IMP.
UNIT.(S/.)]]*TABLA_BASE[[#This Row],[CANTIDAD
(unid.)]]</f>
        <v>0</v>
      </c>
      <c r="AK255" s="280">
        <f>'🧮 Costos x Producto'!J259</f>
        <v>0</v>
      </c>
      <c r="AL255" s="278">
        <f>'🧮 Costos x Producto'!K259</f>
        <v>0</v>
      </c>
      <c r="AM255" s="278">
        <f>TABLA_BASE[[#This Row],[C/M UNIT.
(S/.)]]*TABLA_BASE[[#This Row],[CANTIDAD
(unid.)]]</f>
        <v>0</v>
      </c>
      <c r="AN255" s="279">
        <f>IF('🧾 Factura Comercial'!G259=0,0,'🧾 Tributos Aduana'!$F$17*(IF('🧾 Tributos Aduana'!$F$6=0,0,'🧾 Factura Comercial'!I259/'🧾 Tributos Aduana'!$F$6))/'🧾 Factura Comercial'!G259)</f>
        <v>0</v>
      </c>
      <c r="AO255" s="280">
        <f>IF('🧾 Factura Comercial'!G259=0,0,'🏦 Crédito Fiscal'!$C$16*(IF('🧾 Tributos Aduana'!$F$6=0,0,'🧾 Factura Comercial'!I259/'🧾 Tributos Aduana'!$F$6))/'🧾 Factura Comercial'!G259)</f>
        <v>0</v>
      </c>
      <c r="AP255" s="278">
        <f>TABLA_BASE[[#This Row],[CF UNIT.
✅RECUP.
(US$)]]*'📋 Datos Generales'!$E$19</f>
        <v>0</v>
      </c>
      <c r="AQ255" s="278">
        <f>TABLA_BASE[[#This Row],[CF UNIT.
✅RECUP.(S/.)]]*TABLA_BASE[[#This Row],[CANTIDAD
(unid.)]]</f>
        <v>0</v>
      </c>
      <c r="AR255" s="288">
        <f>'💰 Precio de Venta'!G260</f>
        <v>0.4</v>
      </c>
      <c r="AS255" s="278">
        <f>'💰 Precio de Venta'!H260</f>
        <v>0</v>
      </c>
      <c r="AT255" s="278">
        <f>TABLA_BASE[[#This Row],[VALOR VTA.
UNIT.(S/.)]]*TABLA_BASE[[#This Row],[CANTIDAD
(unid.)]]</f>
        <v>0</v>
      </c>
      <c r="AU255" s="281">
        <f>'💰 Precio de Venta'!I260</f>
        <v>0</v>
      </c>
      <c r="AV255" s="278">
        <f>'💰 Precio de Venta'!J260</f>
        <v>0</v>
      </c>
      <c r="AW255" s="278">
        <f>TABLA_BASE[[#This Row],[GANANCIA
UNIT.(S/.)]]*TABLA_BASE[[#This Row],[CANTIDAD
(unid.)]]</f>
        <v>0</v>
      </c>
      <c r="AX255" s="289">
        <f>'💰 Precio de Venta'!K260</f>
        <v>0</v>
      </c>
      <c r="AY255" s="278">
        <f>TABLA_BASE[[#This Row],[GANANCIA
UNIT.(S/.)]]*'🧾 Factura Comercial'!G259</f>
        <v>0</v>
      </c>
      <c r="AZ255" s="277">
        <f>IF(TABLA_BASE[[#This Row],[PRECIO VTA.
c/IGV(S/.)]]=0,0,TABLA_BASE[[#This Row],[GANANCIA
UNIT.(S/.)]]/TABLA_BASE[[#This Row],[PRECIO VTA.
c/IGV(S/.)]])</f>
        <v>0</v>
      </c>
      <c r="BA255" s="277">
        <f>IF(TABLA_BASE[[#This Row],[C/M UNIT.
(S/.)]]=0,0,TABLA_BASE[[#This Row],[GANANCIA
UNIT.(S/.)]]/TABLA_BASE[[#This Row],[C/M UNIT.
(S/.)]])</f>
        <v>0</v>
      </c>
      <c r="BB255" s="274" t="str">
        <f>IF(TABLA_BASE[[#This Row],[MARGEN
%]]&gt;=0.5,"🟢 ALTO",IF(TABLA_BASE[[#This Row],[MARGEN
%]]&gt;=0.3,"🟡 MEDIO","🔴 BAJO"))</f>
        <v>🟡 MEDIO</v>
      </c>
    </row>
    <row r="256" spans="1:54" ht="16.5" hidden="1" thickTop="1" thickBot="1" x14ac:dyDescent="0.3">
      <c r="A256" s="274">
        <f>'🧾 Factura Comercial'!E260</f>
        <v>0</v>
      </c>
      <c r="B256" s="274" t="str">
        <f>'🧾 Factura Comercial'!F260</f>
        <v>Unid.</v>
      </c>
      <c r="C256" s="275">
        <f>'🧾 Factura Comercial'!G260</f>
        <v>0</v>
      </c>
      <c r="D256" s="276">
        <f>'🧾 Factura Comercial'!H260</f>
        <v>0</v>
      </c>
      <c r="E256" s="276">
        <f>'🧾 Factura Comercial'!I260</f>
        <v>0</v>
      </c>
      <c r="F256" s="277">
        <f>IF('🧾 Tributos Aduana'!$F$6=0,0,'🧾 Factura Comercial'!I260/'🧾 Tributos Aduana'!$F$6)</f>
        <v>0</v>
      </c>
      <c r="G256" s="278">
        <f>'🧾 Factura Comercial'!H260*'📋 Datos Generales'!$E$19</f>
        <v>0</v>
      </c>
      <c r="H256" s="278">
        <f>TABLA_BASE[[#This Row],[FOB UNIT.
(S/.)]]*TABLA_BASE[[#This Row],[CANTIDAD
(unid.)]]</f>
        <v>0</v>
      </c>
      <c r="I256" s="280">
        <f>IF('🧾 Tributos Aduana'!$F$6=0,0,'🧾 Tributos Aduana'!$F$17*('🧾 Factura Comercial'!H260/'🧾 Tributos Aduana'!$F$6))</f>
        <v>0</v>
      </c>
      <c r="J256" s="280">
        <f>TABLA_BASE[[#This Row],[ADV UNIT.
(US$)
⚠️COSTO]]*TABLA_BASE[[#This Row],[CANTIDAD
(unid.)]]</f>
        <v>0</v>
      </c>
      <c r="K256" s="279">
        <f>IF('🧾 Tributos Aduana'!$F$6=0,0,'🧾 Tributos Aduana'!$F$18*('🧾 Factura Comercial'!H260/'🧾 Tributos Aduana'!$F$6))</f>
        <v>0</v>
      </c>
      <c r="L256" s="280">
        <f>TABLA_BASE[[#This Row],[IPM UNIT.
(US$)
✅CF]]*TABLA_BASE[[#This Row],[CANTIDAD
(unid.)]]</f>
        <v>0</v>
      </c>
      <c r="M256" s="279">
        <f>IF('🧾 Tributos Aduana'!$F$6=0,0,'🧾 Tributos Aduana'!$F$19*('🧾 Factura Comercial'!H260/'🧾 Tributos Aduana'!$F$6))</f>
        <v>0</v>
      </c>
      <c r="N256" s="280">
        <f>TABLA_BASE[[#This Row],[IGV UNIT.
(US$)
✅CF]]*TABLA_BASE[[#This Row],[CANTIDAD
(unid.)]]</f>
        <v>0</v>
      </c>
      <c r="O256" s="280">
        <f>IF('🧾 Tributos Aduana'!$F$6=0,0,'🧾 Tributos Aduana'!$F$23*('🧾 Factura Comercial'!H260/'🧾 Tributos Aduana'!$F$6))</f>
        <v>0</v>
      </c>
      <c r="P256" s="280">
        <f>TABLA_BASE[[#This Row],[PERCEP.
UNIT.(US$)
✅CF]]*TABLA_BASE[[#This Row],[CANTIDAD
(unid.)]]</f>
        <v>0</v>
      </c>
      <c r="Q256" s="279">
        <f>TABLA_BASE[[#This Row],[ADV UNIT.
(US$)
⚠️COSTO]]+TABLA_BASE[[#This Row],[IPM UNIT.
(US$)
✅CF]]+TABLA_BASE[[#This Row],[IGV UNIT.
(US$)
✅CF]]</f>
        <v>0</v>
      </c>
      <c r="R256" s="280">
        <f>TABLA_BASE[[#This Row],[DEUDA
ADUANERA
UNIT.]]*TABLA_BASE[[#This Row],[CANTIDAD
(unid.)]]</f>
        <v>0</v>
      </c>
      <c r="S256" s="278">
        <f>TABLA_BASE[[#This Row],[DEUDA
ADUANERA
UNIT.]]*'📋 Datos Generales'!$E$19</f>
        <v>0</v>
      </c>
      <c r="T256" s="278">
        <f>TABLA_BASE[[#This Row],[DEUDA
ADUANERA
TOTAL]]*'📋 Datos Generales'!$E$19</f>
        <v>0</v>
      </c>
      <c r="U256" s="281">
        <f>TABLA_BASE[[#This Row],[ADV UNIT.
(US$)
⚠️COSTO]]*'📋 Datos Generales'!$E$19</f>
        <v>0</v>
      </c>
      <c r="V256" s="281">
        <f>TABLA_BASE[[#This Row],[ADV UNIT.
(S/.)]]*TABLA_BASE[[#This Row],[CANTIDAD
(unid.)]]</f>
        <v>0</v>
      </c>
      <c r="W256" s="281">
        <f>TABLA_BASE[[#This Row],[IPM UNIT.
(US$)
✅CF]]*'📋 Datos Generales'!$E$19</f>
        <v>0</v>
      </c>
      <c r="X256" s="281">
        <f>TABLA_BASE[[#This Row],[IPM UNIT.
(S/.)]]*TABLA_BASE[[#This Row],[CANTIDAD
(unid.)]]</f>
        <v>0</v>
      </c>
      <c r="Y256" s="281">
        <f>TABLA_BASE[[#This Row],[IGV UNIT.
(US$)
✅CF]]*'📋 Datos Generales'!$E$19</f>
        <v>0</v>
      </c>
      <c r="Z256" s="281">
        <f>TABLA_BASE[[#This Row],[IGV UNIT.
(S/.)]]*TABLA_BASE[[#This Row],[CANTIDAD
(unid.)]]</f>
        <v>0</v>
      </c>
      <c r="AA256" s="281">
        <f>TABLA_BASE[[#This Row],[PERCEP.
UNIT.(US$)
✅CF]]*'📋 Datos Generales'!$E$19</f>
        <v>0</v>
      </c>
      <c r="AB256" s="281">
        <f>TABLA_BASE[[#This Row],[PERCEP.
UNIT.(S/.)]]*TABLA_BASE[[#This Row],[CANTIDAD
(unid.)]]</f>
        <v>0</v>
      </c>
      <c r="AC256" s="279">
        <f>TABLA_BASE[[#This Row],[ADV UNIT.
(US$)
⚠️COSTO]]+TABLA_BASE[[#This Row],[IPM UNIT.
(US$)
✅CF]]+TABLA_BASE[[#This Row],[IGV UNIT.
(US$)
✅CF]]+TABLA_BASE[[#This Row],[PERCEP.
UNIT.(US$)
✅CF]]</f>
        <v>0</v>
      </c>
      <c r="AD256" s="279">
        <f>TABLA_BASE[[#This Row],[TOTAL PAGO
SUNAT
UNIT.(US$)]]*TABLA_BASE[[#This Row],[CANTIDAD
(unid.)]]</f>
        <v>0</v>
      </c>
      <c r="AE256" s="281">
        <f>TABLA_BASE[[#This Row],[TOTAL PAGO
SUNAT
UNIT.(US$)]]*'📋 Datos Generales'!$E$19</f>
        <v>0</v>
      </c>
      <c r="AF256" s="281">
        <f>TABLA_BASE[[#This Row],[TOTAL TRIB.
UNIT.(S/.)]]*TABLA_BASE[[#This Row],[CANTIDAD
(unid.)]]</f>
        <v>0</v>
      </c>
      <c r="AG256" s="279">
        <f>IF('🧾 Factura Comercial'!G260=0,0,'📦 Gastos Importación'!$E$28*(IF('🧾 Tributos Aduana'!$F$6=0,0,'🧾 Factura Comercial'!I260/'🧾 Tributos Aduana'!$F$6))/'🧾 Factura Comercial'!G260)</f>
        <v>0</v>
      </c>
      <c r="AH256" s="279">
        <f>TABLA_BASE[[#This Row],[GASTOS IMP.
UNIT.(US$)]]*TABLA_BASE[[#This Row],[CANTIDAD
(unid.)]]</f>
        <v>0</v>
      </c>
      <c r="AI256" s="281">
        <f>TABLA_BASE[[#This Row],[GASTOS IMP.
UNIT.(US$)]]*'📋 Datos Generales'!$E$19</f>
        <v>0</v>
      </c>
      <c r="AJ256" s="281">
        <f>TABLA_BASE[[#This Row],[GASTOS IMP.
UNIT.(S/.)]]*TABLA_BASE[[#This Row],[CANTIDAD
(unid.)]]</f>
        <v>0</v>
      </c>
      <c r="AK256" s="280">
        <f>'🧮 Costos x Producto'!J260</f>
        <v>0</v>
      </c>
      <c r="AL256" s="278">
        <f>'🧮 Costos x Producto'!K260</f>
        <v>0</v>
      </c>
      <c r="AM256" s="278">
        <f>TABLA_BASE[[#This Row],[C/M UNIT.
(S/.)]]*TABLA_BASE[[#This Row],[CANTIDAD
(unid.)]]</f>
        <v>0</v>
      </c>
      <c r="AN256" s="279">
        <f>IF('🧾 Factura Comercial'!G260=0,0,'🧾 Tributos Aduana'!$F$17*(IF('🧾 Tributos Aduana'!$F$6=0,0,'🧾 Factura Comercial'!I260/'🧾 Tributos Aduana'!$F$6))/'🧾 Factura Comercial'!G260)</f>
        <v>0</v>
      </c>
      <c r="AO256" s="280">
        <f>IF('🧾 Factura Comercial'!G260=0,0,'🏦 Crédito Fiscal'!$C$16*(IF('🧾 Tributos Aduana'!$F$6=0,0,'🧾 Factura Comercial'!I260/'🧾 Tributos Aduana'!$F$6))/'🧾 Factura Comercial'!G260)</f>
        <v>0</v>
      </c>
      <c r="AP256" s="278">
        <f>TABLA_BASE[[#This Row],[CF UNIT.
✅RECUP.
(US$)]]*'📋 Datos Generales'!$E$19</f>
        <v>0</v>
      </c>
      <c r="AQ256" s="278">
        <f>TABLA_BASE[[#This Row],[CF UNIT.
✅RECUP.(S/.)]]*TABLA_BASE[[#This Row],[CANTIDAD
(unid.)]]</f>
        <v>0</v>
      </c>
      <c r="AR256" s="288">
        <f>'💰 Precio de Venta'!G261</f>
        <v>0.4</v>
      </c>
      <c r="AS256" s="278">
        <f>'💰 Precio de Venta'!H261</f>
        <v>0</v>
      </c>
      <c r="AT256" s="278">
        <f>TABLA_BASE[[#This Row],[VALOR VTA.
UNIT.(S/.)]]*TABLA_BASE[[#This Row],[CANTIDAD
(unid.)]]</f>
        <v>0</v>
      </c>
      <c r="AU256" s="281">
        <f>'💰 Precio de Venta'!I261</f>
        <v>0</v>
      </c>
      <c r="AV256" s="278">
        <f>'💰 Precio de Venta'!J261</f>
        <v>0</v>
      </c>
      <c r="AW256" s="278">
        <f>TABLA_BASE[[#This Row],[GANANCIA
UNIT.(S/.)]]*TABLA_BASE[[#This Row],[CANTIDAD
(unid.)]]</f>
        <v>0</v>
      </c>
      <c r="AX256" s="289">
        <f>'💰 Precio de Venta'!K261</f>
        <v>0</v>
      </c>
      <c r="AY256" s="278">
        <f>TABLA_BASE[[#This Row],[GANANCIA
UNIT.(S/.)]]*'🧾 Factura Comercial'!G260</f>
        <v>0</v>
      </c>
      <c r="AZ256" s="277">
        <f>IF(TABLA_BASE[[#This Row],[PRECIO VTA.
c/IGV(S/.)]]=0,0,TABLA_BASE[[#This Row],[GANANCIA
UNIT.(S/.)]]/TABLA_BASE[[#This Row],[PRECIO VTA.
c/IGV(S/.)]])</f>
        <v>0</v>
      </c>
      <c r="BA256" s="277">
        <f>IF(TABLA_BASE[[#This Row],[C/M UNIT.
(S/.)]]=0,0,TABLA_BASE[[#This Row],[GANANCIA
UNIT.(S/.)]]/TABLA_BASE[[#This Row],[C/M UNIT.
(S/.)]])</f>
        <v>0</v>
      </c>
      <c r="BB256" s="274" t="str">
        <f>IF(TABLA_BASE[[#This Row],[MARGEN
%]]&gt;=0.5,"🟢 ALTO",IF(TABLA_BASE[[#This Row],[MARGEN
%]]&gt;=0.3,"🟡 MEDIO","🔴 BAJO"))</f>
        <v>🟡 MEDIO</v>
      </c>
    </row>
    <row r="257" spans="1:54" ht="16.5" hidden="1" thickTop="1" thickBot="1" x14ac:dyDescent="0.3">
      <c r="A257" s="274">
        <f>'🧾 Factura Comercial'!E261</f>
        <v>0</v>
      </c>
      <c r="B257" s="274" t="str">
        <f>'🧾 Factura Comercial'!F261</f>
        <v>Unid.</v>
      </c>
      <c r="C257" s="275">
        <f>'🧾 Factura Comercial'!G261</f>
        <v>0</v>
      </c>
      <c r="D257" s="276">
        <f>'🧾 Factura Comercial'!H261</f>
        <v>0</v>
      </c>
      <c r="E257" s="276">
        <f>'🧾 Factura Comercial'!I261</f>
        <v>0</v>
      </c>
      <c r="F257" s="277">
        <f>IF('🧾 Tributos Aduana'!$F$6=0,0,'🧾 Factura Comercial'!I261/'🧾 Tributos Aduana'!$F$6)</f>
        <v>0</v>
      </c>
      <c r="G257" s="278">
        <f>'🧾 Factura Comercial'!H261*'📋 Datos Generales'!$E$19</f>
        <v>0</v>
      </c>
      <c r="H257" s="278">
        <f>TABLA_BASE[[#This Row],[FOB UNIT.
(S/.)]]*TABLA_BASE[[#This Row],[CANTIDAD
(unid.)]]</f>
        <v>0</v>
      </c>
      <c r="I257" s="280">
        <f>IF('🧾 Tributos Aduana'!$F$6=0,0,'🧾 Tributos Aduana'!$F$17*('🧾 Factura Comercial'!H261/'🧾 Tributos Aduana'!$F$6))</f>
        <v>0</v>
      </c>
      <c r="J257" s="280">
        <f>TABLA_BASE[[#This Row],[ADV UNIT.
(US$)
⚠️COSTO]]*TABLA_BASE[[#This Row],[CANTIDAD
(unid.)]]</f>
        <v>0</v>
      </c>
      <c r="K257" s="279">
        <f>IF('🧾 Tributos Aduana'!$F$6=0,0,'🧾 Tributos Aduana'!$F$18*('🧾 Factura Comercial'!H261/'🧾 Tributos Aduana'!$F$6))</f>
        <v>0</v>
      </c>
      <c r="L257" s="280">
        <f>TABLA_BASE[[#This Row],[IPM UNIT.
(US$)
✅CF]]*TABLA_BASE[[#This Row],[CANTIDAD
(unid.)]]</f>
        <v>0</v>
      </c>
      <c r="M257" s="279">
        <f>IF('🧾 Tributos Aduana'!$F$6=0,0,'🧾 Tributos Aduana'!$F$19*('🧾 Factura Comercial'!H261/'🧾 Tributos Aduana'!$F$6))</f>
        <v>0</v>
      </c>
      <c r="N257" s="280">
        <f>TABLA_BASE[[#This Row],[IGV UNIT.
(US$)
✅CF]]*TABLA_BASE[[#This Row],[CANTIDAD
(unid.)]]</f>
        <v>0</v>
      </c>
      <c r="O257" s="280">
        <f>IF('🧾 Tributos Aduana'!$F$6=0,0,'🧾 Tributos Aduana'!$F$23*('🧾 Factura Comercial'!H261/'🧾 Tributos Aduana'!$F$6))</f>
        <v>0</v>
      </c>
      <c r="P257" s="280">
        <f>TABLA_BASE[[#This Row],[PERCEP.
UNIT.(US$)
✅CF]]*TABLA_BASE[[#This Row],[CANTIDAD
(unid.)]]</f>
        <v>0</v>
      </c>
      <c r="Q257" s="279">
        <f>TABLA_BASE[[#This Row],[ADV UNIT.
(US$)
⚠️COSTO]]+TABLA_BASE[[#This Row],[IPM UNIT.
(US$)
✅CF]]+TABLA_BASE[[#This Row],[IGV UNIT.
(US$)
✅CF]]</f>
        <v>0</v>
      </c>
      <c r="R257" s="280">
        <f>TABLA_BASE[[#This Row],[DEUDA
ADUANERA
UNIT.]]*TABLA_BASE[[#This Row],[CANTIDAD
(unid.)]]</f>
        <v>0</v>
      </c>
      <c r="S257" s="278">
        <f>TABLA_BASE[[#This Row],[DEUDA
ADUANERA
UNIT.]]*'📋 Datos Generales'!$E$19</f>
        <v>0</v>
      </c>
      <c r="T257" s="278">
        <f>TABLA_BASE[[#This Row],[DEUDA
ADUANERA
TOTAL]]*'📋 Datos Generales'!$E$19</f>
        <v>0</v>
      </c>
      <c r="U257" s="281">
        <f>TABLA_BASE[[#This Row],[ADV UNIT.
(US$)
⚠️COSTO]]*'📋 Datos Generales'!$E$19</f>
        <v>0</v>
      </c>
      <c r="V257" s="281">
        <f>TABLA_BASE[[#This Row],[ADV UNIT.
(S/.)]]*TABLA_BASE[[#This Row],[CANTIDAD
(unid.)]]</f>
        <v>0</v>
      </c>
      <c r="W257" s="281">
        <f>TABLA_BASE[[#This Row],[IPM UNIT.
(US$)
✅CF]]*'📋 Datos Generales'!$E$19</f>
        <v>0</v>
      </c>
      <c r="X257" s="281">
        <f>TABLA_BASE[[#This Row],[IPM UNIT.
(S/.)]]*TABLA_BASE[[#This Row],[CANTIDAD
(unid.)]]</f>
        <v>0</v>
      </c>
      <c r="Y257" s="281">
        <f>TABLA_BASE[[#This Row],[IGV UNIT.
(US$)
✅CF]]*'📋 Datos Generales'!$E$19</f>
        <v>0</v>
      </c>
      <c r="Z257" s="281">
        <f>TABLA_BASE[[#This Row],[IGV UNIT.
(S/.)]]*TABLA_BASE[[#This Row],[CANTIDAD
(unid.)]]</f>
        <v>0</v>
      </c>
      <c r="AA257" s="281">
        <f>TABLA_BASE[[#This Row],[PERCEP.
UNIT.(US$)
✅CF]]*'📋 Datos Generales'!$E$19</f>
        <v>0</v>
      </c>
      <c r="AB257" s="281">
        <f>TABLA_BASE[[#This Row],[PERCEP.
UNIT.(S/.)]]*TABLA_BASE[[#This Row],[CANTIDAD
(unid.)]]</f>
        <v>0</v>
      </c>
      <c r="AC257" s="279">
        <f>TABLA_BASE[[#This Row],[ADV UNIT.
(US$)
⚠️COSTO]]+TABLA_BASE[[#This Row],[IPM UNIT.
(US$)
✅CF]]+TABLA_BASE[[#This Row],[IGV UNIT.
(US$)
✅CF]]+TABLA_BASE[[#This Row],[PERCEP.
UNIT.(US$)
✅CF]]</f>
        <v>0</v>
      </c>
      <c r="AD257" s="279">
        <f>TABLA_BASE[[#This Row],[TOTAL PAGO
SUNAT
UNIT.(US$)]]*TABLA_BASE[[#This Row],[CANTIDAD
(unid.)]]</f>
        <v>0</v>
      </c>
      <c r="AE257" s="281">
        <f>TABLA_BASE[[#This Row],[TOTAL PAGO
SUNAT
UNIT.(US$)]]*'📋 Datos Generales'!$E$19</f>
        <v>0</v>
      </c>
      <c r="AF257" s="281">
        <f>TABLA_BASE[[#This Row],[TOTAL TRIB.
UNIT.(S/.)]]*TABLA_BASE[[#This Row],[CANTIDAD
(unid.)]]</f>
        <v>0</v>
      </c>
      <c r="AG257" s="279">
        <f>IF('🧾 Factura Comercial'!G261=0,0,'📦 Gastos Importación'!$E$28*(IF('🧾 Tributos Aduana'!$F$6=0,0,'🧾 Factura Comercial'!I261/'🧾 Tributos Aduana'!$F$6))/'🧾 Factura Comercial'!G261)</f>
        <v>0</v>
      </c>
      <c r="AH257" s="279">
        <f>TABLA_BASE[[#This Row],[GASTOS IMP.
UNIT.(US$)]]*TABLA_BASE[[#This Row],[CANTIDAD
(unid.)]]</f>
        <v>0</v>
      </c>
      <c r="AI257" s="281">
        <f>TABLA_BASE[[#This Row],[GASTOS IMP.
UNIT.(US$)]]*'📋 Datos Generales'!$E$19</f>
        <v>0</v>
      </c>
      <c r="AJ257" s="281">
        <f>TABLA_BASE[[#This Row],[GASTOS IMP.
UNIT.(S/.)]]*TABLA_BASE[[#This Row],[CANTIDAD
(unid.)]]</f>
        <v>0</v>
      </c>
      <c r="AK257" s="280">
        <f>'🧮 Costos x Producto'!J261</f>
        <v>0</v>
      </c>
      <c r="AL257" s="278">
        <f>'🧮 Costos x Producto'!K261</f>
        <v>0</v>
      </c>
      <c r="AM257" s="278">
        <f>TABLA_BASE[[#This Row],[C/M UNIT.
(S/.)]]*TABLA_BASE[[#This Row],[CANTIDAD
(unid.)]]</f>
        <v>0</v>
      </c>
      <c r="AN257" s="279">
        <f>IF('🧾 Factura Comercial'!G261=0,0,'🧾 Tributos Aduana'!$F$17*(IF('🧾 Tributos Aduana'!$F$6=0,0,'🧾 Factura Comercial'!I261/'🧾 Tributos Aduana'!$F$6))/'🧾 Factura Comercial'!G261)</f>
        <v>0</v>
      </c>
      <c r="AO257" s="280">
        <f>IF('🧾 Factura Comercial'!G261=0,0,'🏦 Crédito Fiscal'!$C$16*(IF('🧾 Tributos Aduana'!$F$6=0,0,'🧾 Factura Comercial'!I261/'🧾 Tributos Aduana'!$F$6))/'🧾 Factura Comercial'!G261)</f>
        <v>0</v>
      </c>
      <c r="AP257" s="278">
        <f>TABLA_BASE[[#This Row],[CF UNIT.
✅RECUP.
(US$)]]*'📋 Datos Generales'!$E$19</f>
        <v>0</v>
      </c>
      <c r="AQ257" s="278">
        <f>TABLA_BASE[[#This Row],[CF UNIT.
✅RECUP.(S/.)]]*TABLA_BASE[[#This Row],[CANTIDAD
(unid.)]]</f>
        <v>0</v>
      </c>
      <c r="AR257" s="288">
        <f>'💰 Precio de Venta'!G262</f>
        <v>0.4</v>
      </c>
      <c r="AS257" s="278">
        <f>'💰 Precio de Venta'!H262</f>
        <v>0</v>
      </c>
      <c r="AT257" s="278">
        <f>TABLA_BASE[[#This Row],[VALOR VTA.
UNIT.(S/.)]]*TABLA_BASE[[#This Row],[CANTIDAD
(unid.)]]</f>
        <v>0</v>
      </c>
      <c r="AU257" s="281">
        <f>'💰 Precio de Venta'!I262</f>
        <v>0</v>
      </c>
      <c r="AV257" s="278">
        <f>'💰 Precio de Venta'!J262</f>
        <v>0</v>
      </c>
      <c r="AW257" s="278">
        <f>TABLA_BASE[[#This Row],[GANANCIA
UNIT.(S/.)]]*TABLA_BASE[[#This Row],[CANTIDAD
(unid.)]]</f>
        <v>0</v>
      </c>
      <c r="AX257" s="289">
        <f>'💰 Precio de Venta'!K262</f>
        <v>0</v>
      </c>
      <c r="AY257" s="278">
        <f>TABLA_BASE[[#This Row],[GANANCIA
UNIT.(S/.)]]*'🧾 Factura Comercial'!G261</f>
        <v>0</v>
      </c>
      <c r="AZ257" s="277">
        <f>IF(TABLA_BASE[[#This Row],[PRECIO VTA.
c/IGV(S/.)]]=0,0,TABLA_BASE[[#This Row],[GANANCIA
UNIT.(S/.)]]/TABLA_BASE[[#This Row],[PRECIO VTA.
c/IGV(S/.)]])</f>
        <v>0</v>
      </c>
      <c r="BA257" s="277">
        <f>IF(TABLA_BASE[[#This Row],[C/M UNIT.
(S/.)]]=0,0,TABLA_BASE[[#This Row],[GANANCIA
UNIT.(S/.)]]/TABLA_BASE[[#This Row],[C/M UNIT.
(S/.)]])</f>
        <v>0</v>
      </c>
      <c r="BB257" s="274" t="str">
        <f>IF(TABLA_BASE[[#This Row],[MARGEN
%]]&gt;=0.5,"🟢 ALTO",IF(TABLA_BASE[[#This Row],[MARGEN
%]]&gt;=0.3,"🟡 MEDIO","🔴 BAJO"))</f>
        <v>🟡 MEDIO</v>
      </c>
    </row>
    <row r="258" spans="1:54" ht="16.5" hidden="1" thickTop="1" thickBot="1" x14ac:dyDescent="0.3">
      <c r="A258" s="274">
        <f>'🧾 Factura Comercial'!E262</f>
        <v>0</v>
      </c>
      <c r="B258" s="274" t="str">
        <f>'🧾 Factura Comercial'!F262</f>
        <v>Unid.</v>
      </c>
      <c r="C258" s="275">
        <f>'🧾 Factura Comercial'!G262</f>
        <v>0</v>
      </c>
      <c r="D258" s="276">
        <f>'🧾 Factura Comercial'!H262</f>
        <v>0</v>
      </c>
      <c r="E258" s="276">
        <f>'🧾 Factura Comercial'!I262</f>
        <v>0</v>
      </c>
      <c r="F258" s="277">
        <f>IF('🧾 Tributos Aduana'!$F$6=0,0,'🧾 Factura Comercial'!I262/'🧾 Tributos Aduana'!$F$6)</f>
        <v>0</v>
      </c>
      <c r="G258" s="278">
        <f>'🧾 Factura Comercial'!H262*'📋 Datos Generales'!$E$19</f>
        <v>0</v>
      </c>
      <c r="H258" s="278">
        <f>TABLA_BASE[[#This Row],[FOB UNIT.
(S/.)]]*TABLA_BASE[[#This Row],[CANTIDAD
(unid.)]]</f>
        <v>0</v>
      </c>
      <c r="I258" s="280">
        <f>IF('🧾 Tributos Aduana'!$F$6=0,0,'🧾 Tributos Aduana'!$F$17*('🧾 Factura Comercial'!H262/'🧾 Tributos Aduana'!$F$6))</f>
        <v>0</v>
      </c>
      <c r="J258" s="280">
        <f>TABLA_BASE[[#This Row],[ADV UNIT.
(US$)
⚠️COSTO]]*TABLA_BASE[[#This Row],[CANTIDAD
(unid.)]]</f>
        <v>0</v>
      </c>
      <c r="K258" s="279">
        <f>IF('🧾 Tributos Aduana'!$F$6=0,0,'🧾 Tributos Aduana'!$F$18*('🧾 Factura Comercial'!H262/'🧾 Tributos Aduana'!$F$6))</f>
        <v>0</v>
      </c>
      <c r="L258" s="280">
        <f>TABLA_BASE[[#This Row],[IPM UNIT.
(US$)
✅CF]]*TABLA_BASE[[#This Row],[CANTIDAD
(unid.)]]</f>
        <v>0</v>
      </c>
      <c r="M258" s="279">
        <f>IF('🧾 Tributos Aduana'!$F$6=0,0,'🧾 Tributos Aduana'!$F$19*('🧾 Factura Comercial'!H262/'🧾 Tributos Aduana'!$F$6))</f>
        <v>0</v>
      </c>
      <c r="N258" s="280">
        <f>TABLA_BASE[[#This Row],[IGV UNIT.
(US$)
✅CF]]*TABLA_BASE[[#This Row],[CANTIDAD
(unid.)]]</f>
        <v>0</v>
      </c>
      <c r="O258" s="280">
        <f>IF('🧾 Tributos Aduana'!$F$6=0,0,'🧾 Tributos Aduana'!$F$23*('🧾 Factura Comercial'!H262/'🧾 Tributos Aduana'!$F$6))</f>
        <v>0</v>
      </c>
      <c r="P258" s="280">
        <f>TABLA_BASE[[#This Row],[PERCEP.
UNIT.(US$)
✅CF]]*TABLA_BASE[[#This Row],[CANTIDAD
(unid.)]]</f>
        <v>0</v>
      </c>
      <c r="Q258" s="279">
        <f>TABLA_BASE[[#This Row],[ADV UNIT.
(US$)
⚠️COSTO]]+TABLA_BASE[[#This Row],[IPM UNIT.
(US$)
✅CF]]+TABLA_BASE[[#This Row],[IGV UNIT.
(US$)
✅CF]]</f>
        <v>0</v>
      </c>
      <c r="R258" s="280">
        <f>TABLA_BASE[[#This Row],[DEUDA
ADUANERA
UNIT.]]*TABLA_BASE[[#This Row],[CANTIDAD
(unid.)]]</f>
        <v>0</v>
      </c>
      <c r="S258" s="278">
        <f>TABLA_BASE[[#This Row],[DEUDA
ADUANERA
UNIT.]]*'📋 Datos Generales'!$E$19</f>
        <v>0</v>
      </c>
      <c r="T258" s="278">
        <f>TABLA_BASE[[#This Row],[DEUDA
ADUANERA
TOTAL]]*'📋 Datos Generales'!$E$19</f>
        <v>0</v>
      </c>
      <c r="U258" s="281">
        <f>TABLA_BASE[[#This Row],[ADV UNIT.
(US$)
⚠️COSTO]]*'📋 Datos Generales'!$E$19</f>
        <v>0</v>
      </c>
      <c r="V258" s="281">
        <f>TABLA_BASE[[#This Row],[ADV UNIT.
(S/.)]]*TABLA_BASE[[#This Row],[CANTIDAD
(unid.)]]</f>
        <v>0</v>
      </c>
      <c r="W258" s="281">
        <f>TABLA_BASE[[#This Row],[IPM UNIT.
(US$)
✅CF]]*'📋 Datos Generales'!$E$19</f>
        <v>0</v>
      </c>
      <c r="X258" s="281">
        <f>TABLA_BASE[[#This Row],[IPM UNIT.
(S/.)]]*TABLA_BASE[[#This Row],[CANTIDAD
(unid.)]]</f>
        <v>0</v>
      </c>
      <c r="Y258" s="281">
        <f>TABLA_BASE[[#This Row],[IGV UNIT.
(US$)
✅CF]]*'📋 Datos Generales'!$E$19</f>
        <v>0</v>
      </c>
      <c r="Z258" s="281">
        <f>TABLA_BASE[[#This Row],[IGV UNIT.
(S/.)]]*TABLA_BASE[[#This Row],[CANTIDAD
(unid.)]]</f>
        <v>0</v>
      </c>
      <c r="AA258" s="281">
        <f>TABLA_BASE[[#This Row],[PERCEP.
UNIT.(US$)
✅CF]]*'📋 Datos Generales'!$E$19</f>
        <v>0</v>
      </c>
      <c r="AB258" s="281">
        <f>TABLA_BASE[[#This Row],[PERCEP.
UNIT.(S/.)]]*TABLA_BASE[[#This Row],[CANTIDAD
(unid.)]]</f>
        <v>0</v>
      </c>
      <c r="AC258" s="279">
        <f>TABLA_BASE[[#This Row],[ADV UNIT.
(US$)
⚠️COSTO]]+TABLA_BASE[[#This Row],[IPM UNIT.
(US$)
✅CF]]+TABLA_BASE[[#This Row],[IGV UNIT.
(US$)
✅CF]]+TABLA_BASE[[#This Row],[PERCEP.
UNIT.(US$)
✅CF]]</f>
        <v>0</v>
      </c>
      <c r="AD258" s="279">
        <f>TABLA_BASE[[#This Row],[TOTAL PAGO
SUNAT
UNIT.(US$)]]*TABLA_BASE[[#This Row],[CANTIDAD
(unid.)]]</f>
        <v>0</v>
      </c>
      <c r="AE258" s="281">
        <f>TABLA_BASE[[#This Row],[TOTAL PAGO
SUNAT
UNIT.(US$)]]*'📋 Datos Generales'!$E$19</f>
        <v>0</v>
      </c>
      <c r="AF258" s="281">
        <f>TABLA_BASE[[#This Row],[TOTAL TRIB.
UNIT.(S/.)]]*TABLA_BASE[[#This Row],[CANTIDAD
(unid.)]]</f>
        <v>0</v>
      </c>
      <c r="AG258" s="279">
        <f>IF('🧾 Factura Comercial'!G262=0,0,'📦 Gastos Importación'!$E$28*(IF('🧾 Tributos Aduana'!$F$6=0,0,'🧾 Factura Comercial'!I262/'🧾 Tributos Aduana'!$F$6))/'🧾 Factura Comercial'!G262)</f>
        <v>0</v>
      </c>
      <c r="AH258" s="279">
        <f>TABLA_BASE[[#This Row],[GASTOS IMP.
UNIT.(US$)]]*TABLA_BASE[[#This Row],[CANTIDAD
(unid.)]]</f>
        <v>0</v>
      </c>
      <c r="AI258" s="281">
        <f>TABLA_BASE[[#This Row],[GASTOS IMP.
UNIT.(US$)]]*'📋 Datos Generales'!$E$19</f>
        <v>0</v>
      </c>
      <c r="AJ258" s="281">
        <f>TABLA_BASE[[#This Row],[GASTOS IMP.
UNIT.(S/.)]]*TABLA_BASE[[#This Row],[CANTIDAD
(unid.)]]</f>
        <v>0</v>
      </c>
      <c r="AK258" s="280">
        <f>'🧮 Costos x Producto'!J262</f>
        <v>0</v>
      </c>
      <c r="AL258" s="278">
        <f>'🧮 Costos x Producto'!K262</f>
        <v>0</v>
      </c>
      <c r="AM258" s="278">
        <f>TABLA_BASE[[#This Row],[C/M UNIT.
(S/.)]]*TABLA_BASE[[#This Row],[CANTIDAD
(unid.)]]</f>
        <v>0</v>
      </c>
      <c r="AN258" s="279">
        <f>IF('🧾 Factura Comercial'!G262=0,0,'🧾 Tributos Aduana'!$F$17*(IF('🧾 Tributos Aduana'!$F$6=0,0,'🧾 Factura Comercial'!I262/'🧾 Tributos Aduana'!$F$6))/'🧾 Factura Comercial'!G262)</f>
        <v>0</v>
      </c>
      <c r="AO258" s="280">
        <f>IF('🧾 Factura Comercial'!G262=0,0,'🏦 Crédito Fiscal'!$C$16*(IF('🧾 Tributos Aduana'!$F$6=0,0,'🧾 Factura Comercial'!I262/'🧾 Tributos Aduana'!$F$6))/'🧾 Factura Comercial'!G262)</f>
        <v>0</v>
      </c>
      <c r="AP258" s="278">
        <f>TABLA_BASE[[#This Row],[CF UNIT.
✅RECUP.
(US$)]]*'📋 Datos Generales'!$E$19</f>
        <v>0</v>
      </c>
      <c r="AQ258" s="278">
        <f>TABLA_BASE[[#This Row],[CF UNIT.
✅RECUP.(S/.)]]*TABLA_BASE[[#This Row],[CANTIDAD
(unid.)]]</f>
        <v>0</v>
      </c>
      <c r="AR258" s="288">
        <f>'💰 Precio de Venta'!G263</f>
        <v>0.4</v>
      </c>
      <c r="AS258" s="278">
        <f>'💰 Precio de Venta'!H263</f>
        <v>0</v>
      </c>
      <c r="AT258" s="278">
        <f>TABLA_BASE[[#This Row],[VALOR VTA.
UNIT.(S/.)]]*TABLA_BASE[[#This Row],[CANTIDAD
(unid.)]]</f>
        <v>0</v>
      </c>
      <c r="AU258" s="281">
        <f>'💰 Precio de Venta'!I263</f>
        <v>0</v>
      </c>
      <c r="AV258" s="278">
        <f>'💰 Precio de Venta'!J263</f>
        <v>0</v>
      </c>
      <c r="AW258" s="278">
        <f>TABLA_BASE[[#This Row],[GANANCIA
UNIT.(S/.)]]*TABLA_BASE[[#This Row],[CANTIDAD
(unid.)]]</f>
        <v>0</v>
      </c>
      <c r="AX258" s="289">
        <f>'💰 Precio de Venta'!K263</f>
        <v>0</v>
      </c>
      <c r="AY258" s="278">
        <f>TABLA_BASE[[#This Row],[GANANCIA
UNIT.(S/.)]]*'🧾 Factura Comercial'!G262</f>
        <v>0</v>
      </c>
      <c r="AZ258" s="277">
        <f>IF(TABLA_BASE[[#This Row],[PRECIO VTA.
c/IGV(S/.)]]=0,0,TABLA_BASE[[#This Row],[GANANCIA
UNIT.(S/.)]]/TABLA_BASE[[#This Row],[PRECIO VTA.
c/IGV(S/.)]])</f>
        <v>0</v>
      </c>
      <c r="BA258" s="277">
        <f>IF(TABLA_BASE[[#This Row],[C/M UNIT.
(S/.)]]=0,0,TABLA_BASE[[#This Row],[GANANCIA
UNIT.(S/.)]]/TABLA_BASE[[#This Row],[C/M UNIT.
(S/.)]])</f>
        <v>0</v>
      </c>
      <c r="BB258" s="274" t="str">
        <f>IF(TABLA_BASE[[#This Row],[MARGEN
%]]&gt;=0.5,"🟢 ALTO",IF(TABLA_BASE[[#This Row],[MARGEN
%]]&gt;=0.3,"🟡 MEDIO","🔴 BAJO"))</f>
        <v>🟡 MEDIO</v>
      </c>
    </row>
    <row r="259" spans="1:54" ht="16.5" hidden="1" thickTop="1" thickBot="1" x14ac:dyDescent="0.3">
      <c r="A259" s="274">
        <f>'🧾 Factura Comercial'!E263</f>
        <v>0</v>
      </c>
      <c r="B259" s="274" t="str">
        <f>'🧾 Factura Comercial'!F263</f>
        <v>Unid.</v>
      </c>
      <c r="C259" s="275">
        <f>'🧾 Factura Comercial'!G263</f>
        <v>0</v>
      </c>
      <c r="D259" s="276">
        <f>'🧾 Factura Comercial'!H263</f>
        <v>0</v>
      </c>
      <c r="E259" s="276">
        <f>'🧾 Factura Comercial'!I263</f>
        <v>0</v>
      </c>
      <c r="F259" s="277">
        <f>IF('🧾 Tributos Aduana'!$F$6=0,0,'🧾 Factura Comercial'!I263/'🧾 Tributos Aduana'!$F$6)</f>
        <v>0</v>
      </c>
      <c r="G259" s="278">
        <f>'🧾 Factura Comercial'!H263*'📋 Datos Generales'!$E$19</f>
        <v>0</v>
      </c>
      <c r="H259" s="278">
        <f>TABLA_BASE[[#This Row],[FOB UNIT.
(S/.)]]*TABLA_BASE[[#This Row],[CANTIDAD
(unid.)]]</f>
        <v>0</v>
      </c>
      <c r="I259" s="280">
        <f>IF('🧾 Tributos Aduana'!$F$6=0,0,'🧾 Tributos Aduana'!$F$17*('🧾 Factura Comercial'!H263/'🧾 Tributos Aduana'!$F$6))</f>
        <v>0</v>
      </c>
      <c r="J259" s="280">
        <f>TABLA_BASE[[#This Row],[ADV UNIT.
(US$)
⚠️COSTO]]*TABLA_BASE[[#This Row],[CANTIDAD
(unid.)]]</f>
        <v>0</v>
      </c>
      <c r="K259" s="279">
        <f>IF('🧾 Tributos Aduana'!$F$6=0,0,'🧾 Tributos Aduana'!$F$18*('🧾 Factura Comercial'!H263/'🧾 Tributos Aduana'!$F$6))</f>
        <v>0</v>
      </c>
      <c r="L259" s="280">
        <f>TABLA_BASE[[#This Row],[IPM UNIT.
(US$)
✅CF]]*TABLA_BASE[[#This Row],[CANTIDAD
(unid.)]]</f>
        <v>0</v>
      </c>
      <c r="M259" s="279">
        <f>IF('🧾 Tributos Aduana'!$F$6=0,0,'🧾 Tributos Aduana'!$F$19*('🧾 Factura Comercial'!H263/'🧾 Tributos Aduana'!$F$6))</f>
        <v>0</v>
      </c>
      <c r="N259" s="280">
        <f>TABLA_BASE[[#This Row],[IGV UNIT.
(US$)
✅CF]]*TABLA_BASE[[#This Row],[CANTIDAD
(unid.)]]</f>
        <v>0</v>
      </c>
      <c r="O259" s="280">
        <f>IF('🧾 Tributos Aduana'!$F$6=0,0,'🧾 Tributos Aduana'!$F$23*('🧾 Factura Comercial'!H263/'🧾 Tributos Aduana'!$F$6))</f>
        <v>0</v>
      </c>
      <c r="P259" s="280">
        <f>TABLA_BASE[[#This Row],[PERCEP.
UNIT.(US$)
✅CF]]*TABLA_BASE[[#This Row],[CANTIDAD
(unid.)]]</f>
        <v>0</v>
      </c>
      <c r="Q259" s="279">
        <f>TABLA_BASE[[#This Row],[ADV UNIT.
(US$)
⚠️COSTO]]+TABLA_BASE[[#This Row],[IPM UNIT.
(US$)
✅CF]]+TABLA_BASE[[#This Row],[IGV UNIT.
(US$)
✅CF]]</f>
        <v>0</v>
      </c>
      <c r="R259" s="280">
        <f>TABLA_BASE[[#This Row],[DEUDA
ADUANERA
UNIT.]]*TABLA_BASE[[#This Row],[CANTIDAD
(unid.)]]</f>
        <v>0</v>
      </c>
      <c r="S259" s="278">
        <f>TABLA_BASE[[#This Row],[DEUDA
ADUANERA
UNIT.]]*'📋 Datos Generales'!$E$19</f>
        <v>0</v>
      </c>
      <c r="T259" s="278">
        <f>TABLA_BASE[[#This Row],[DEUDA
ADUANERA
TOTAL]]*'📋 Datos Generales'!$E$19</f>
        <v>0</v>
      </c>
      <c r="U259" s="281">
        <f>TABLA_BASE[[#This Row],[ADV UNIT.
(US$)
⚠️COSTO]]*'📋 Datos Generales'!$E$19</f>
        <v>0</v>
      </c>
      <c r="V259" s="281">
        <f>TABLA_BASE[[#This Row],[ADV UNIT.
(S/.)]]*TABLA_BASE[[#This Row],[CANTIDAD
(unid.)]]</f>
        <v>0</v>
      </c>
      <c r="W259" s="281">
        <f>TABLA_BASE[[#This Row],[IPM UNIT.
(US$)
✅CF]]*'📋 Datos Generales'!$E$19</f>
        <v>0</v>
      </c>
      <c r="X259" s="281">
        <f>TABLA_BASE[[#This Row],[IPM UNIT.
(S/.)]]*TABLA_BASE[[#This Row],[CANTIDAD
(unid.)]]</f>
        <v>0</v>
      </c>
      <c r="Y259" s="281">
        <f>TABLA_BASE[[#This Row],[IGV UNIT.
(US$)
✅CF]]*'📋 Datos Generales'!$E$19</f>
        <v>0</v>
      </c>
      <c r="Z259" s="281">
        <f>TABLA_BASE[[#This Row],[IGV UNIT.
(S/.)]]*TABLA_BASE[[#This Row],[CANTIDAD
(unid.)]]</f>
        <v>0</v>
      </c>
      <c r="AA259" s="281">
        <f>TABLA_BASE[[#This Row],[PERCEP.
UNIT.(US$)
✅CF]]*'📋 Datos Generales'!$E$19</f>
        <v>0</v>
      </c>
      <c r="AB259" s="281">
        <f>TABLA_BASE[[#This Row],[PERCEP.
UNIT.(S/.)]]*TABLA_BASE[[#This Row],[CANTIDAD
(unid.)]]</f>
        <v>0</v>
      </c>
      <c r="AC259" s="279">
        <f>TABLA_BASE[[#This Row],[ADV UNIT.
(US$)
⚠️COSTO]]+TABLA_BASE[[#This Row],[IPM UNIT.
(US$)
✅CF]]+TABLA_BASE[[#This Row],[IGV UNIT.
(US$)
✅CF]]+TABLA_BASE[[#This Row],[PERCEP.
UNIT.(US$)
✅CF]]</f>
        <v>0</v>
      </c>
      <c r="AD259" s="279">
        <f>TABLA_BASE[[#This Row],[TOTAL PAGO
SUNAT
UNIT.(US$)]]*TABLA_BASE[[#This Row],[CANTIDAD
(unid.)]]</f>
        <v>0</v>
      </c>
      <c r="AE259" s="281">
        <f>TABLA_BASE[[#This Row],[TOTAL PAGO
SUNAT
UNIT.(US$)]]*'📋 Datos Generales'!$E$19</f>
        <v>0</v>
      </c>
      <c r="AF259" s="281">
        <f>TABLA_BASE[[#This Row],[TOTAL TRIB.
UNIT.(S/.)]]*TABLA_BASE[[#This Row],[CANTIDAD
(unid.)]]</f>
        <v>0</v>
      </c>
      <c r="AG259" s="279">
        <f>IF('🧾 Factura Comercial'!G263=0,0,'📦 Gastos Importación'!$E$28*(IF('🧾 Tributos Aduana'!$F$6=0,0,'🧾 Factura Comercial'!I263/'🧾 Tributos Aduana'!$F$6))/'🧾 Factura Comercial'!G263)</f>
        <v>0</v>
      </c>
      <c r="AH259" s="279">
        <f>TABLA_BASE[[#This Row],[GASTOS IMP.
UNIT.(US$)]]*TABLA_BASE[[#This Row],[CANTIDAD
(unid.)]]</f>
        <v>0</v>
      </c>
      <c r="AI259" s="281">
        <f>TABLA_BASE[[#This Row],[GASTOS IMP.
UNIT.(US$)]]*'📋 Datos Generales'!$E$19</f>
        <v>0</v>
      </c>
      <c r="AJ259" s="281">
        <f>TABLA_BASE[[#This Row],[GASTOS IMP.
UNIT.(S/.)]]*TABLA_BASE[[#This Row],[CANTIDAD
(unid.)]]</f>
        <v>0</v>
      </c>
      <c r="AK259" s="280">
        <f>'🧮 Costos x Producto'!J263</f>
        <v>0</v>
      </c>
      <c r="AL259" s="278">
        <f>'🧮 Costos x Producto'!K263</f>
        <v>0</v>
      </c>
      <c r="AM259" s="278">
        <f>TABLA_BASE[[#This Row],[C/M UNIT.
(S/.)]]*TABLA_BASE[[#This Row],[CANTIDAD
(unid.)]]</f>
        <v>0</v>
      </c>
      <c r="AN259" s="279">
        <f>IF('🧾 Factura Comercial'!G263=0,0,'🧾 Tributos Aduana'!$F$17*(IF('🧾 Tributos Aduana'!$F$6=0,0,'🧾 Factura Comercial'!I263/'🧾 Tributos Aduana'!$F$6))/'🧾 Factura Comercial'!G263)</f>
        <v>0</v>
      </c>
      <c r="AO259" s="280">
        <f>IF('🧾 Factura Comercial'!G263=0,0,'🏦 Crédito Fiscal'!$C$16*(IF('🧾 Tributos Aduana'!$F$6=0,0,'🧾 Factura Comercial'!I263/'🧾 Tributos Aduana'!$F$6))/'🧾 Factura Comercial'!G263)</f>
        <v>0</v>
      </c>
      <c r="AP259" s="278">
        <f>TABLA_BASE[[#This Row],[CF UNIT.
✅RECUP.
(US$)]]*'📋 Datos Generales'!$E$19</f>
        <v>0</v>
      </c>
      <c r="AQ259" s="278">
        <f>TABLA_BASE[[#This Row],[CF UNIT.
✅RECUP.(S/.)]]*TABLA_BASE[[#This Row],[CANTIDAD
(unid.)]]</f>
        <v>0</v>
      </c>
      <c r="AR259" s="288">
        <f>'💰 Precio de Venta'!G264</f>
        <v>0.4</v>
      </c>
      <c r="AS259" s="278">
        <f>'💰 Precio de Venta'!H264</f>
        <v>0</v>
      </c>
      <c r="AT259" s="278">
        <f>TABLA_BASE[[#This Row],[VALOR VTA.
UNIT.(S/.)]]*TABLA_BASE[[#This Row],[CANTIDAD
(unid.)]]</f>
        <v>0</v>
      </c>
      <c r="AU259" s="281">
        <f>'💰 Precio de Venta'!I264</f>
        <v>0</v>
      </c>
      <c r="AV259" s="278">
        <f>'💰 Precio de Venta'!J264</f>
        <v>0</v>
      </c>
      <c r="AW259" s="278">
        <f>TABLA_BASE[[#This Row],[GANANCIA
UNIT.(S/.)]]*TABLA_BASE[[#This Row],[CANTIDAD
(unid.)]]</f>
        <v>0</v>
      </c>
      <c r="AX259" s="289">
        <f>'💰 Precio de Venta'!K264</f>
        <v>0</v>
      </c>
      <c r="AY259" s="278">
        <f>TABLA_BASE[[#This Row],[GANANCIA
UNIT.(S/.)]]*'🧾 Factura Comercial'!G263</f>
        <v>0</v>
      </c>
      <c r="AZ259" s="277">
        <f>IF(TABLA_BASE[[#This Row],[PRECIO VTA.
c/IGV(S/.)]]=0,0,TABLA_BASE[[#This Row],[GANANCIA
UNIT.(S/.)]]/TABLA_BASE[[#This Row],[PRECIO VTA.
c/IGV(S/.)]])</f>
        <v>0</v>
      </c>
      <c r="BA259" s="277">
        <f>IF(TABLA_BASE[[#This Row],[C/M UNIT.
(S/.)]]=0,0,TABLA_BASE[[#This Row],[GANANCIA
UNIT.(S/.)]]/TABLA_BASE[[#This Row],[C/M UNIT.
(S/.)]])</f>
        <v>0</v>
      </c>
      <c r="BB259" s="274" t="str">
        <f>IF(TABLA_BASE[[#This Row],[MARGEN
%]]&gt;=0.5,"🟢 ALTO",IF(TABLA_BASE[[#This Row],[MARGEN
%]]&gt;=0.3,"🟡 MEDIO","🔴 BAJO"))</f>
        <v>🟡 MEDIO</v>
      </c>
    </row>
    <row r="260" spans="1:54" ht="16.5" hidden="1" thickTop="1" thickBot="1" x14ac:dyDescent="0.3">
      <c r="A260" s="274">
        <f>'🧾 Factura Comercial'!E264</f>
        <v>0</v>
      </c>
      <c r="B260" s="274" t="str">
        <f>'🧾 Factura Comercial'!F264</f>
        <v>Unid.</v>
      </c>
      <c r="C260" s="275">
        <f>'🧾 Factura Comercial'!G264</f>
        <v>0</v>
      </c>
      <c r="D260" s="276">
        <f>'🧾 Factura Comercial'!H264</f>
        <v>0</v>
      </c>
      <c r="E260" s="276">
        <f>'🧾 Factura Comercial'!I264</f>
        <v>0</v>
      </c>
      <c r="F260" s="277">
        <f>IF('🧾 Tributos Aduana'!$F$6=0,0,'🧾 Factura Comercial'!I264/'🧾 Tributos Aduana'!$F$6)</f>
        <v>0</v>
      </c>
      <c r="G260" s="278">
        <f>'🧾 Factura Comercial'!H264*'📋 Datos Generales'!$E$19</f>
        <v>0</v>
      </c>
      <c r="H260" s="278">
        <f>TABLA_BASE[[#This Row],[FOB UNIT.
(S/.)]]*TABLA_BASE[[#This Row],[CANTIDAD
(unid.)]]</f>
        <v>0</v>
      </c>
      <c r="I260" s="280">
        <f>IF('🧾 Tributos Aduana'!$F$6=0,0,'🧾 Tributos Aduana'!$F$17*('🧾 Factura Comercial'!H264/'🧾 Tributos Aduana'!$F$6))</f>
        <v>0</v>
      </c>
      <c r="J260" s="280">
        <f>TABLA_BASE[[#This Row],[ADV UNIT.
(US$)
⚠️COSTO]]*TABLA_BASE[[#This Row],[CANTIDAD
(unid.)]]</f>
        <v>0</v>
      </c>
      <c r="K260" s="279">
        <f>IF('🧾 Tributos Aduana'!$F$6=0,0,'🧾 Tributos Aduana'!$F$18*('🧾 Factura Comercial'!H264/'🧾 Tributos Aduana'!$F$6))</f>
        <v>0</v>
      </c>
      <c r="L260" s="280">
        <f>TABLA_BASE[[#This Row],[IPM UNIT.
(US$)
✅CF]]*TABLA_BASE[[#This Row],[CANTIDAD
(unid.)]]</f>
        <v>0</v>
      </c>
      <c r="M260" s="279">
        <f>IF('🧾 Tributos Aduana'!$F$6=0,0,'🧾 Tributos Aduana'!$F$19*('🧾 Factura Comercial'!H264/'🧾 Tributos Aduana'!$F$6))</f>
        <v>0</v>
      </c>
      <c r="N260" s="280">
        <f>TABLA_BASE[[#This Row],[IGV UNIT.
(US$)
✅CF]]*TABLA_BASE[[#This Row],[CANTIDAD
(unid.)]]</f>
        <v>0</v>
      </c>
      <c r="O260" s="280">
        <f>IF('🧾 Tributos Aduana'!$F$6=0,0,'🧾 Tributos Aduana'!$F$23*('🧾 Factura Comercial'!H264/'🧾 Tributos Aduana'!$F$6))</f>
        <v>0</v>
      </c>
      <c r="P260" s="280">
        <f>TABLA_BASE[[#This Row],[PERCEP.
UNIT.(US$)
✅CF]]*TABLA_BASE[[#This Row],[CANTIDAD
(unid.)]]</f>
        <v>0</v>
      </c>
      <c r="Q260" s="279">
        <f>TABLA_BASE[[#This Row],[ADV UNIT.
(US$)
⚠️COSTO]]+TABLA_BASE[[#This Row],[IPM UNIT.
(US$)
✅CF]]+TABLA_BASE[[#This Row],[IGV UNIT.
(US$)
✅CF]]</f>
        <v>0</v>
      </c>
      <c r="R260" s="280">
        <f>TABLA_BASE[[#This Row],[DEUDA
ADUANERA
UNIT.]]*TABLA_BASE[[#This Row],[CANTIDAD
(unid.)]]</f>
        <v>0</v>
      </c>
      <c r="S260" s="278">
        <f>TABLA_BASE[[#This Row],[DEUDA
ADUANERA
UNIT.]]*'📋 Datos Generales'!$E$19</f>
        <v>0</v>
      </c>
      <c r="T260" s="278">
        <f>TABLA_BASE[[#This Row],[DEUDA
ADUANERA
TOTAL]]*'📋 Datos Generales'!$E$19</f>
        <v>0</v>
      </c>
      <c r="U260" s="281">
        <f>TABLA_BASE[[#This Row],[ADV UNIT.
(US$)
⚠️COSTO]]*'📋 Datos Generales'!$E$19</f>
        <v>0</v>
      </c>
      <c r="V260" s="281">
        <f>TABLA_BASE[[#This Row],[ADV UNIT.
(S/.)]]*TABLA_BASE[[#This Row],[CANTIDAD
(unid.)]]</f>
        <v>0</v>
      </c>
      <c r="W260" s="281">
        <f>TABLA_BASE[[#This Row],[IPM UNIT.
(US$)
✅CF]]*'📋 Datos Generales'!$E$19</f>
        <v>0</v>
      </c>
      <c r="X260" s="281">
        <f>TABLA_BASE[[#This Row],[IPM UNIT.
(S/.)]]*TABLA_BASE[[#This Row],[CANTIDAD
(unid.)]]</f>
        <v>0</v>
      </c>
      <c r="Y260" s="281">
        <f>TABLA_BASE[[#This Row],[IGV UNIT.
(US$)
✅CF]]*'📋 Datos Generales'!$E$19</f>
        <v>0</v>
      </c>
      <c r="Z260" s="281">
        <f>TABLA_BASE[[#This Row],[IGV UNIT.
(S/.)]]*TABLA_BASE[[#This Row],[CANTIDAD
(unid.)]]</f>
        <v>0</v>
      </c>
      <c r="AA260" s="281">
        <f>TABLA_BASE[[#This Row],[PERCEP.
UNIT.(US$)
✅CF]]*'📋 Datos Generales'!$E$19</f>
        <v>0</v>
      </c>
      <c r="AB260" s="281">
        <f>TABLA_BASE[[#This Row],[PERCEP.
UNIT.(S/.)]]*TABLA_BASE[[#This Row],[CANTIDAD
(unid.)]]</f>
        <v>0</v>
      </c>
      <c r="AC260" s="279">
        <f>TABLA_BASE[[#This Row],[ADV UNIT.
(US$)
⚠️COSTO]]+TABLA_BASE[[#This Row],[IPM UNIT.
(US$)
✅CF]]+TABLA_BASE[[#This Row],[IGV UNIT.
(US$)
✅CF]]+TABLA_BASE[[#This Row],[PERCEP.
UNIT.(US$)
✅CF]]</f>
        <v>0</v>
      </c>
      <c r="AD260" s="279">
        <f>TABLA_BASE[[#This Row],[TOTAL PAGO
SUNAT
UNIT.(US$)]]*TABLA_BASE[[#This Row],[CANTIDAD
(unid.)]]</f>
        <v>0</v>
      </c>
      <c r="AE260" s="281">
        <f>TABLA_BASE[[#This Row],[TOTAL PAGO
SUNAT
UNIT.(US$)]]*'📋 Datos Generales'!$E$19</f>
        <v>0</v>
      </c>
      <c r="AF260" s="281">
        <f>TABLA_BASE[[#This Row],[TOTAL TRIB.
UNIT.(S/.)]]*TABLA_BASE[[#This Row],[CANTIDAD
(unid.)]]</f>
        <v>0</v>
      </c>
      <c r="AG260" s="279">
        <f>IF('🧾 Factura Comercial'!G264=0,0,'📦 Gastos Importación'!$E$28*(IF('🧾 Tributos Aduana'!$F$6=0,0,'🧾 Factura Comercial'!I264/'🧾 Tributos Aduana'!$F$6))/'🧾 Factura Comercial'!G264)</f>
        <v>0</v>
      </c>
      <c r="AH260" s="279">
        <f>TABLA_BASE[[#This Row],[GASTOS IMP.
UNIT.(US$)]]*TABLA_BASE[[#This Row],[CANTIDAD
(unid.)]]</f>
        <v>0</v>
      </c>
      <c r="AI260" s="281">
        <f>TABLA_BASE[[#This Row],[GASTOS IMP.
UNIT.(US$)]]*'📋 Datos Generales'!$E$19</f>
        <v>0</v>
      </c>
      <c r="AJ260" s="281">
        <f>TABLA_BASE[[#This Row],[GASTOS IMP.
UNIT.(S/.)]]*TABLA_BASE[[#This Row],[CANTIDAD
(unid.)]]</f>
        <v>0</v>
      </c>
      <c r="AK260" s="280">
        <f>'🧮 Costos x Producto'!J264</f>
        <v>0</v>
      </c>
      <c r="AL260" s="278">
        <f>'🧮 Costos x Producto'!K264</f>
        <v>0</v>
      </c>
      <c r="AM260" s="278">
        <f>TABLA_BASE[[#This Row],[C/M UNIT.
(S/.)]]*TABLA_BASE[[#This Row],[CANTIDAD
(unid.)]]</f>
        <v>0</v>
      </c>
      <c r="AN260" s="279">
        <f>IF('🧾 Factura Comercial'!G264=0,0,'🧾 Tributos Aduana'!$F$17*(IF('🧾 Tributos Aduana'!$F$6=0,0,'🧾 Factura Comercial'!I264/'🧾 Tributos Aduana'!$F$6))/'🧾 Factura Comercial'!G264)</f>
        <v>0</v>
      </c>
      <c r="AO260" s="280">
        <f>IF('🧾 Factura Comercial'!G264=0,0,'🏦 Crédito Fiscal'!$C$16*(IF('🧾 Tributos Aduana'!$F$6=0,0,'🧾 Factura Comercial'!I264/'🧾 Tributos Aduana'!$F$6))/'🧾 Factura Comercial'!G264)</f>
        <v>0</v>
      </c>
      <c r="AP260" s="278">
        <f>TABLA_BASE[[#This Row],[CF UNIT.
✅RECUP.
(US$)]]*'📋 Datos Generales'!$E$19</f>
        <v>0</v>
      </c>
      <c r="AQ260" s="278">
        <f>TABLA_BASE[[#This Row],[CF UNIT.
✅RECUP.(S/.)]]*TABLA_BASE[[#This Row],[CANTIDAD
(unid.)]]</f>
        <v>0</v>
      </c>
      <c r="AR260" s="288">
        <f>'💰 Precio de Venta'!G265</f>
        <v>0.4</v>
      </c>
      <c r="AS260" s="278">
        <f>'💰 Precio de Venta'!H265</f>
        <v>0</v>
      </c>
      <c r="AT260" s="278">
        <f>TABLA_BASE[[#This Row],[VALOR VTA.
UNIT.(S/.)]]*TABLA_BASE[[#This Row],[CANTIDAD
(unid.)]]</f>
        <v>0</v>
      </c>
      <c r="AU260" s="281">
        <f>'💰 Precio de Venta'!I265</f>
        <v>0</v>
      </c>
      <c r="AV260" s="278">
        <f>'💰 Precio de Venta'!J265</f>
        <v>0</v>
      </c>
      <c r="AW260" s="278">
        <f>TABLA_BASE[[#This Row],[GANANCIA
UNIT.(S/.)]]*TABLA_BASE[[#This Row],[CANTIDAD
(unid.)]]</f>
        <v>0</v>
      </c>
      <c r="AX260" s="289">
        <f>'💰 Precio de Venta'!K265</f>
        <v>0</v>
      </c>
      <c r="AY260" s="278">
        <f>TABLA_BASE[[#This Row],[GANANCIA
UNIT.(S/.)]]*'🧾 Factura Comercial'!G264</f>
        <v>0</v>
      </c>
      <c r="AZ260" s="277">
        <f>IF(TABLA_BASE[[#This Row],[PRECIO VTA.
c/IGV(S/.)]]=0,0,TABLA_BASE[[#This Row],[GANANCIA
UNIT.(S/.)]]/TABLA_BASE[[#This Row],[PRECIO VTA.
c/IGV(S/.)]])</f>
        <v>0</v>
      </c>
      <c r="BA260" s="277">
        <f>IF(TABLA_BASE[[#This Row],[C/M UNIT.
(S/.)]]=0,0,TABLA_BASE[[#This Row],[GANANCIA
UNIT.(S/.)]]/TABLA_BASE[[#This Row],[C/M UNIT.
(S/.)]])</f>
        <v>0</v>
      </c>
      <c r="BB260" s="274" t="str">
        <f>IF(TABLA_BASE[[#This Row],[MARGEN
%]]&gt;=0.5,"🟢 ALTO",IF(TABLA_BASE[[#This Row],[MARGEN
%]]&gt;=0.3,"🟡 MEDIO","🔴 BAJO"))</f>
        <v>🟡 MEDIO</v>
      </c>
    </row>
    <row r="261" spans="1:54" ht="16.5" hidden="1" thickTop="1" thickBot="1" x14ac:dyDescent="0.3">
      <c r="A261" s="274">
        <f>'🧾 Factura Comercial'!E265</f>
        <v>0</v>
      </c>
      <c r="B261" s="274" t="str">
        <f>'🧾 Factura Comercial'!F265</f>
        <v>Unid.</v>
      </c>
      <c r="C261" s="275">
        <f>'🧾 Factura Comercial'!G265</f>
        <v>0</v>
      </c>
      <c r="D261" s="276">
        <f>'🧾 Factura Comercial'!H265</f>
        <v>0</v>
      </c>
      <c r="E261" s="276">
        <f>'🧾 Factura Comercial'!I265</f>
        <v>0</v>
      </c>
      <c r="F261" s="277">
        <f>IF('🧾 Tributos Aduana'!$F$6=0,0,'🧾 Factura Comercial'!I265/'🧾 Tributos Aduana'!$F$6)</f>
        <v>0</v>
      </c>
      <c r="G261" s="278">
        <f>'🧾 Factura Comercial'!H265*'📋 Datos Generales'!$E$19</f>
        <v>0</v>
      </c>
      <c r="H261" s="278">
        <f>TABLA_BASE[[#This Row],[FOB UNIT.
(S/.)]]*TABLA_BASE[[#This Row],[CANTIDAD
(unid.)]]</f>
        <v>0</v>
      </c>
      <c r="I261" s="280">
        <f>IF('🧾 Tributos Aduana'!$F$6=0,0,'🧾 Tributos Aduana'!$F$17*('🧾 Factura Comercial'!H265/'🧾 Tributos Aduana'!$F$6))</f>
        <v>0</v>
      </c>
      <c r="J261" s="280">
        <f>TABLA_BASE[[#This Row],[ADV UNIT.
(US$)
⚠️COSTO]]*TABLA_BASE[[#This Row],[CANTIDAD
(unid.)]]</f>
        <v>0</v>
      </c>
      <c r="K261" s="279">
        <f>IF('🧾 Tributos Aduana'!$F$6=0,0,'🧾 Tributos Aduana'!$F$18*('🧾 Factura Comercial'!H265/'🧾 Tributos Aduana'!$F$6))</f>
        <v>0</v>
      </c>
      <c r="L261" s="280">
        <f>TABLA_BASE[[#This Row],[IPM UNIT.
(US$)
✅CF]]*TABLA_BASE[[#This Row],[CANTIDAD
(unid.)]]</f>
        <v>0</v>
      </c>
      <c r="M261" s="279">
        <f>IF('🧾 Tributos Aduana'!$F$6=0,0,'🧾 Tributos Aduana'!$F$19*('🧾 Factura Comercial'!H265/'🧾 Tributos Aduana'!$F$6))</f>
        <v>0</v>
      </c>
      <c r="N261" s="280">
        <f>TABLA_BASE[[#This Row],[IGV UNIT.
(US$)
✅CF]]*TABLA_BASE[[#This Row],[CANTIDAD
(unid.)]]</f>
        <v>0</v>
      </c>
      <c r="O261" s="280">
        <f>IF('🧾 Tributos Aduana'!$F$6=0,0,'🧾 Tributos Aduana'!$F$23*('🧾 Factura Comercial'!H265/'🧾 Tributos Aduana'!$F$6))</f>
        <v>0</v>
      </c>
      <c r="P261" s="280">
        <f>TABLA_BASE[[#This Row],[PERCEP.
UNIT.(US$)
✅CF]]*TABLA_BASE[[#This Row],[CANTIDAD
(unid.)]]</f>
        <v>0</v>
      </c>
      <c r="Q261" s="279">
        <f>TABLA_BASE[[#This Row],[ADV UNIT.
(US$)
⚠️COSTO]]+TABLA_BASE[[#This Row],[IPM UNIT.
(US$)
✅CF]]+TABLA_BASE[[#This Row],[IGV UNIT.
(US$)
✅CF]]</f>
        <v>0</v>
      </c>
      <c r="R261" s="280">
        <f>TABLA_BASE[[#This Row],[DEUDA
ADUANERA
UNIT.]]*TABLA_BASE[[#This Row],[CANTIDAD
(unid.)]]</f>
        <v>0</v>
      </c>
      <c r="S261" s="278">
        <f>TABLA_BASE[[#This Row],[DEUDA
ADUANERA
UNIT.]]*'📋 Datos Generales'!$E$19</f>
        <v>0</v>
      </c>
      <c r="T261" s="278">
        <f>TABLA_BASE[[#This Row],[DEUDA
ADUANERA
TOTAL]]*'📋 Datos Generales'!$E$19</f>
        <v>0</v>
      </c>
      <c r="U261" s="281">
        <f>TABLA_BASE[[#This Row],[ADV UNIT.
(US$)
⚠️COSTO]]*'📋 Datos Generales'!$E$19</f>
        <v>0</v>
      </c>
      <c r="V261" s="281">
        <f>TABLA_BASE[[#This Row],[ADV UNIT.
(S/.)]]*TABLA_BASE[[#This Row],[CANTIDAD
(unid.)]]</f>
        <v>0</v>
      </c>
      <c r="W261" s="281">
        <f>TABLA_BASE[[#This Row],[IPM UNIT.
(US$)
✅CF]]*'📋 Datos Generales'!$E$19</f>
        <v>0</v>
      </c>
      <c r="X261" s="281">
        <f>TABLA_BASE[[#This Row],[IPM UNIT.
(S/.)]]*TABLA_BASE[[#This Row],[CANTIDAD
(unid.)]]</f>
        <v>0</v>
      </c>
      <c r="Y261" s="281">
        <f>TABLA_BASE[[#This Row],[IGV UNIT.
(US$)
✅CF]]*'📋 Datos Generales'!$E$19</f>
        <v>0</v>
      </c>
      <c r="Z261" s="281">
        <f>TABLA_BASE[[#This Row],[IGV UNIT.
(S/.)]]*TABLA_BASE[[#This Row],[CANTIDAD
(unid.)]]</f>
        <v>0</v>
      </c>
      <c r="AA261" s="281">
        <f>TABLA_BASE[[#This Row],[PERCEP.
UNIT.(US$)
✅CF]]*'📋 Datos Generales'!$E$19</f>
        <v>0</v>
      </c>
      <c r="AB261" s="281">
        <f>TABLA_BASE[[#This Row],[PERCEP.
UNIT.(S/.)]]*TABLA_BASE[[#This Row],[CANTIDAD
(unid.)]]</f>
        <v>0</v>
      </c>
      <c r="AC261" s="279">
        <f>TABLA_BASE[[#This Row],[ADV UNIT.
(US$)
⚠️COSTO]]+TABLA_BASE[[#This Row],[IPM UNIT.
(US$)
✅CF]]+TABLA_BASE[[#This Row],[IGV UNIT.
(US$)
✅CF]]+TABLA_BASE[[#This Row],[PERCEP.
UNIT.(US$)
✅CF]]</f>
        <v>0</v>
      </c>
      <c r="AD261" s="279">
        <f>TABLA_BASE[[#This Row],[TOTAL PAGO
SUNAT
UNIT.(US$)]]*TABLA_BASE[[#This Row],[CANTIDAD
(unid.)]]</f>
        <v>0</v>
      </c>
      <c r="AE261" s="281">
        <f>TABLA_BASE[[#This Row],[TOTAL PAGO
SUNAT
UNIT.(US$)]]*'📋 Datos Generales'!$E$19</f>
        <v>0</v>
      </c>
      <c r="AF261" s="281">
        <f>TABLA_BASE[[#This Row],[TOTAL TRIB.
UNIT.(S/.)]]*TABLA_BASE[[#This Row],[CANTIDAD
(unid.)]]</f>
        <v>0</v>
      </c>
      <c r="AG261" s="279">
        <f>IF('🧾 Factura Comercial'!G265=0,0,'📦 Gastos Importación'!$E$28*(IF('🧾 Tributos Aduana'!$F$6=0,0,'🧾 Factura Comercial'!I265/'🧾 Tributos Aduana'!$F$6))/'🧾 Factura Comercial'!G265)</f>
        <v>0</v>
      </c>
      <c r="AH261" s="279">
        <f>TABLA_BASE[[#This Row],[GASTOS IMP.
UNIT.(US$)]]*TABLA_BASE[[#This Row],[CANTIDAD
(unid.)]]</f>
        <v>0</v>
      </c>
      <c r="AI261" s="281">
        <f>TABLA_BASE[[#This Row],[GASTOS IMP.
UNIT.(US$)]]*'📋 Datos Generales'!$E$19</f>
        <v>0</v>
      </c>
      <c r="AJ261" s="281">
        <f>TABLA_BASE[[#This Row],[GASTOS IMP.
UNIT.(S/.)]]*TABLA_BASE[[#This Row],[CANTIDAD
(unid.)]]</f>
        <v>0</v>
      </c>
      <c r="AK261" s="280">
        <f>'🧮 Costos x Producto'!J265</f>
        <v>0</v>
      </c>
      <c r="AL261" s="278">
        <f>'🧮 Costos x Producto'!K265</f>
        <v>0</v>
      </c>
      <c r="AM261" s="278">
        <f>TABLA_BASE[[#This Row],[C/M UNIT.
(S/.)]]*TABLA_BASE[[#This Row],[CANTIDAD
(unid.)]]</f>
        <v>0</v>
      </c>
      <c r="AN261" s="279">
        <f>IF('🧾 Factura Comercial'!G265=0,0,'🧾 Tributos Aduana'!$F$17*(IF('🧾 Tributos Aduana'!$F$6=0,0,'🧾 Factura Comercial'!I265/'🧾 Tributos Aduana'!$F$6))/'🧾 Factura Comercial'!G265)</f>
        <v>0</v>
      </c>
      <c r="AO261" s="280">
        <f>IF('🧾 Factura Comercial'!G265=0,0,'🏦 Crédito Fiscal'!$C$16*(IF('🧾 Tributos Aduana'!$F$6=0,0,'🧾 Factura Comercial'!I265/'🧾 Tributos Aduana'!$F$6))/'🧾 Factura Comercial'!G265)</f>
        <v>0</v>
      </c>
      <c r="AP261" s="278">
        <f>TABLA_BASE[[#This Row],[CF UNIT.
✅RECUP.
(US$)]]*'📋 Datos Generales'!$E$19</f>
        <v>0</v>
      </c>
      <c r="AQ261" s="278">
        <f>TABLA_BASE[[#This Row],[CF UNIT.
✅RECUP.(S/.)]]*TABLA_BASE[[#This Row],[CANTIDAD
(unid.)]]</f>
        <v>0</v>
      </c>
      <c r="AR261" s="288">
        <f>'💰 Precio de Venta'!G266</f>
        <v>0.4</v>
      </c>
      <c r="AS261" s="278">
        <f>'💰 Precio de Venta'!H266</f>
        <v>0</v>
      </c>
      <c r="AT261" s="278">
        <f>TABLA_BASE[[#This Row],[VALOR VTA.
UNIT.(S/.)]]*TABLA_BASE[[#This Row],[CANTIDAD
(unid.)]]</f>
        <v>0</v>
      </c>
      <c r="AU261" s="281">
        <f>'💰 Precio de Venta'!I266</f>
        <v>0</v>
      </c>
      <c r="AV261" s="278">
        <f>'💰 Precio de Venta'!J266</f>
        <v>0</v>
      </c>
      <c r="AW261" s="278">
        <f>TABLA_BASE[[#This Row],[GANANCIA
UNIT.(S/.)]]*TABLA_BASE[[#This Row],[CANTIDAD
(unid.)]]</f>
        <v>0</v>
      </c>
      <c r="AX261" s="289">
        <f>'💰 Precio de Venta'!K266</f>
        <v>0</v>
      </c>
      <c r="AY261" s="278">
        <f>TABLA_BASE[[#This Row],[GANANCIA
UNIT.(S/.)]]*'🧾 Factura Comercial'!G265</f>
        <v>0</v>
      </c>
      <c r="AZ261" s="277">
        <f>IF(TABLA_BASE[[#This Row],[PRECIO VTA.
c/IGV(S/.)]]=0,0,TABLA_BASE[[#This Row],[GANANCIA
UNIT.(S/.)]]/TABLA_BASE[[#This Row],[PRECIO VTA.
c/IGV(S/.)]])</f>
        <v>0</v>
      </c>
      <c r="BA261" s="277">
        <f>IF(TABLA_BASE[[#This Row],[C/M UNIT.
(S/.)]]=0,0,TABLA_BASE[[#This Row],[GANANCIA
UNIT.(S/.)]]/TABLA_BASE[[#This Row],[C/M UNIT.
(S/.)]])</f>
        <v>0</v>
      </c>
      <c r="BB261" s="274" t="str">
        <f>IF(TABLA_BASE[[#This Row],[MARGEN
%]]&gt;=0.5,"🟢 ALTO",IF(TABLA_BASE[[#This Row],[MARGEN
%]]&gt;=0.3,"🟡 MEDIO","🔴 BAJO"))</f>
        <v>🟡 MEDIO</v>
      </c>
    </row>
    <row r="262" spans="1:54" ht="16.5" hidden="1" thickTop="1" thickBot="1" x14ac:dyDescent="0.3">
      <c r="A262" s="274">
        <f>'🧾 Factura Comercial'!E266</f>
        <v>0</v>
      </c>
      <c r="B262" s="274" t="str">
        <f>'🧾 Factura Comercial'!F266</f>
        <v>Unid.</v>
      </c>
      <c r="C262" s="275">
        <f>'🧾 Factura Comercial'!G266</f>
        <v>0</v>
      </c>
      <c r="D262" s="276">
        <f>'🧾 Factura Comercial'!H266</f>
        <v>0</v>
      </c>
      <c r="E262" s="276">
        <f>'🧾 Factura Comercial'!I266</f>
        <v>0</v>
      </c>
      <c r="F262" s="277">
        <f>IF('🧾 Tributos Aduana'!$F$6=0,0,'🧾 Factura Comercial'!I266/'🧾 Tributos Aduana'!$F$6)</f>
        <v>0</v>
      </c>
      <c r="G262" s="278">
        <f>'🧾 Factura Comercial'!H266*'📋 Datos Generales'!$E$19</f>
        <v>0</v>
      </c>
      <c r="H262" s="278">
        <f>TABLA_BASE[[#This Row],[FOB UNIT.
(S/.)]]*TABLA_BASE[[#This Row],[CANTIDAD
(unid.)]]</f>
        <v>0</v>
      </c>
      <c r="I262" s="280">
        <f>IF('🧾 Tributos Aduana'!$F$6=0,0,'🧾 Tributos Aduana'!$F$17*('🧾 Factura Comercial'!H266/'🧾 Tributos Aduana'!$F$6))</f>
        <v>0</v>
      </c>
      <c r="J262" s="280">
        <f>TABLA_BASE[[#This Row],[ADV UNIT.
(US$)
⚠️COSTO]]*TABLA_BASE[[#This Row],[CANTIDAD
(unid.)]]</f>
        <v>0</v>
      </c>
      <c r="K262" s="279">
        <f>IF('🧾 Tributos Aduana'!$F$6=0,0,'🧾 Tributos Aduana'!$F$18*('🧾 Factura Comercial'!H266/'🧾 Tributos Aduana'!$F$6))</f>
        <v>0</v>
      </c>
      <c r="L262" s="280">
        <f>TABLA_BASE[[#This Row],[IPM UNIT.
(US$)
✅CF]]*TABLA_BASE[[#This Row],[CANTIDAD
(unid.)]]</f>
        <v>0</v>
      </c>
      <c r="M262" s="279">
        <f>IF('🧾 Tributos Aduana'!$F$6=0,0,'🧾 Tributos Aduana'!$F$19*('🧾 Factura Comercial'!H266/'🧾 Tributos Aduana'!$F$6))</f>
        <v>0</v>
      </c>
      <c r="N262" s="280">
        <f>TABLA_BASE[[#This Row],[IGV UNIT.
(US$)
✅CF]]*TABLA_BASE[[#This Row],[CANTIDAD
(unid.)]]</f>
        <v>0</v>
      </c>
      <c r="O262" s="280">
        <f>IF('🧾 Tributos Aduana'!$F$6=0,0,'🧾 Tributos Aduana'!$F$23*('🧾 Factura Comercial'!H266/'🧾 Tributos Aduana'!$F$6))</f>
        <v>0</v>
      </c>
      <c r="P262" s="280">
        <f>TABLA_BASE[[#This Row],[PERCEP.
UNIT.(US$)
✅CF]]*TABLA_BASE[[#This Row],[CANTIDAD
(unid.)]]</f>
        <v>0</v>
      </c>
      <c r="Q262" s="279">
        <f>TABLA_BASE[[#This Row],[ADV UNIT.
(US$)
⚠️COSTO]]+TABLA_BASE[[#This Row],[IPM UNIT.
(US$)
✅CF]]+TABLA_BASE[[#This Row],[IGV UNIT.
(US$)
✅CF]]</f>
        <v>0</v>
      </c>
      <c r="R262" s="280">
        <f>TABLA_BASE[[#This Row],[DEUDA
ADUANERA
UNIT.]]*TABLA_BASE[[#This Row],[CANTIDAD
(unid.)]]</f>
        <v>0</v>
      </c>
      <c r="S262" s="278">
        <f>TABLA_BASE[[#This Row],[DEUDA
ADUANERA
UNIT.]]*'📋 Datos Generales'!$E$19</f>
        <v>0</v>
      </c>
      <c r="T262" s="278">
        <f>TABLA_BASE[[#This Row],[DEUDA
ADUANERA
TOTAL]]*'📋 Datos Generales'!$E$19</f>
        <v>0</v>
      </c>
      <c r="U262" s="281">
        <f>TABLA_BASE[[#This Row],[ADV UNIT.
(US$)
⚠️COSTO]]*'📋 Datos Generales'!$E$19</f>
        <v>0</v>
      </c>
      <c r="V262" s="281">
        <f>TABLA_BASE[[#This Row],[ADV UNIT.
(S/.)]]*TABLA_BASE[[#This Row],[CANTIDAD
(unid.)]]</f>
        <v>0</v>
      </c>
      <c r="W262" s="281">
        <f>TABLA_BASE[[#This Row],[IPM UNIT.
(US$)
✅CF]]*'📋 Datos Generales'!$E$19</f>
        <v>0</v>
      </c>
      <c r="X262" s="281">
        <f>TABLA_BASE[[#This Row],[IPM UNIT.
(S/.)]]*TABLA_BASE[[#This Row],[CANTIDAD
(unid.)]]</f>
        <v>0</v>
      </c>
      <c r="Y262" s="281">
        <f>TABLA_BASE[[#This Row],[IGV UNIT.
(US$)
✅CF]]*'📋 Datos Generales'!$E$19</f>
        <v>0</v>
      </c>
      <c r="Z262" s="281">
        <f>TABLA_BASE[[#This Row],[IGV UNIT.
(S/.)]]*TABLA_BASE[[#This Row],[CANTIDAD
(unid.)]]</f>
        <v>0</v>
      </c>
      <c r="AA262" s="281">
        <f>TABLA_BASE[[#This Row],[PERCEP.
UNIT.(US$)
✅CF]]*'📋 Datos Generales'!$E$19</f>
        <v>0</v>
      </c>
      <c r="AB262" s="281">
        <f>TABLA_BASE[[#This Row],[PERCEP.
UNIT.(S/.)]]*TABLA_BASE[[#This Row],[CANTIDAD
(unid.)]]</f>
        <v>0</v>
      </c>
      <c r="AC262" s="279">
        <f>TABLA_BASE[[#This Row],[ADV UNIT.
(US$)
⚠️COSTO]]+TABLA_BASE[[#This Row],[IPM UNIT.
(US$)
✅CF]]+TABLA_BASE[[#This Row],[IGV UNIT.
(US$)
✅CF]]+TABLA_BASE[[#This Row],[PERCEP.
UNIT.(US$)
✅CF]]</f>
        <v>0</v>
      </c>
      <c r="AD262" s="279">
        <f>TABLA_BASE[[#This Row],[TOTAL PAGO
SUNAT
UNIT.(US$)]]*TABLA_BASE[[#This Row],[CANTIDAD
(unid.)]]</f>
        <v>0</v>
      </c>
      <c r="AE262" s="281">
        <f>TABLA_BASE[[#This Row],[TOTAL PAGO
SUNAT
UNIT.(US$)]]*'📋 Datos Generales'!$E$19</f>
        <v>0</v>
      </c>
      <c r="AF262" s="281">
        <f>TABLA_BASE[[#This Row],[TOTAL TRIB.
UNIT.(S/.)]]*TABLA_BASE[[#This Row],[CANTIDAD
(unid.)]]</f>
        <v>0</v>
      </c>
      <c r="AG262" s="279">
        <f>IF('🧾 Factura Comercial'!G266=0,0,'📦 Gastos Importación'!$E$28*(IF('🧾 Tributos Aduana'!$F$6=0,0,'🧾 Factura Comercial'!I266/'🧾 Tributos Aduana'!$F$6))/'🧾 Factura Comercial'!G266)</f>
        <v>0</v>
      </c>
      <c r="AH262" s="279">
        <f>TABLA_BASE[[#This Row],[GASTOS IMP.
UNIT.(US$)]]*TABLA_BASE[[#This Row],[CANTIDAD
(unid.)]]</f>
        <v>0</v>
      </c>
      <c r="AI262" s="281">
        <f>TABLA_BASE[[#This Row],[GASTOS IMP.
UNIT.(US$)]]*'📋 Datos Generales'!$E$19</f>
        <v>0</v>
      </c>
      <c r="AJ262" s="281">
        <f>TABLA_BASE[[#This Row],[GASTOS IMP.
UNIT.(S/.)]]*TABLA_BASE[[#This Row],[CANTIDAD
(unid.)]]</f>
        <v>0</v>
      </c>
      <c r="AK262" s="280">
        <f>'🧮 Costos x Producto'!J266</f>
        <v>0</v>
      </c>
      <c r="AL262" s="278">
        <f>'🧮 Costos x Producto'!K266</f>
        <v>0</v>
      </c>
      <c r="AM262" s="278">
        <f>TABLA_BASE[[#This Row],[C/M UNIT.
(S/.)]]*TABLA_BASE[[#This Row],[CANTIDAD
(unid.)]]</f>
        <v>0</v>
      </c>
      <c r="AN262" s="279">
        <f>IF('🧾 Factura Comercial'!G266=0,0,'🧾 Tributos Aduana'!$F$17*(IF('🧾 Tributos Aduana'!$F$6=0,0,'🧾 Factura Comercial'!I266/'🧾 Tributos Aduana'!$F$6))/'🧾 Factura Comercial'!G266)</f>
        <v>0</v>
      </c>
      <c r="AO262" s="280">
        <f>IF('🧾 Factura Comercial'!G266=0,0,'🏦 Crédito Fiscal'!$C$16*(IF('🧾 Tributos Aduana'!$F$6=0,0,'🧾 Factura Comercial'!I266/'🧾 Tributos Aduana'!$F$6))/'🧾 Factura Comercial'!G266)</f>
        <v>0</v>
      </c>
      <c r="AP262" s="278">
        <f>TABLA_BASE[[#This Row],[CF UNIT.
✅RECUP.
(US$)]]*'📋 Datos Generales'!$E$19</f>
        <v>0</v>
      </c>
      <c r="AQ262" s="278">
        <f>TABLA_BASE[[#This Row],[CF UNIT.
✅RECUP.(S/.)]]*TABLA_BASE[[#This Row],[CANTIDAD
(unid.)]]</f>
        <v>0</v>
      </c>
      <c r="AR262" s="288">
        <f>'💰 Precio de Venta'!G267</f>
        <v>0.4</v>
      </c>
      <c r="AS262" s="278">
        <f>'💰 Precio de Venta'!H267</f>
        <v>0</v>
      </c>
      <c r="AT262" s="278">
        <f>TABLA_BASE[[#This Row],[VALOR VTA.
UNIT.(S/.)]]*TABLA_BASE[[#This Row],[CANTIDAD
(unid.)]]</f>
        <v>0</v>
      </c>
      <c r="AU262" s="281">
        <f>'💰 Precio de Venta'!I267</f>
        <v>0</v>
      </c>
      <c r="AV262" s="278">
        <f>'💰 Precio de Venta'!J267</f>
        <v>0</v>
      </c>
      <c r="AW262" s="278">
        <f>TABLA_BASE[[#This Row],[GANANCIA
UNIT.(S/.)]]*TABLA_BASE[[#This Row],[CANTIDAD
(unid.)]]</f>
        <v>0</v>
      </c>
      <c r="AX262" s="289">
        <f>'💰 Precio de Venta'!K267</f>
        <v>0</v>
      </c>
      <c r="AY262" s="278">
        <f>TABLA_BASE[[#This Row],[GANANCIA
UNIT.(S/.)]]*'🧾 Factura Comercial'!G266</f>
        <v>0</v>
      </c>
      <c r="AZ262" s="277">
        <f>IF(TABLA_BASE[[#This Row],[PRECIO VTA.
c/IGV(S/.)]]=0,0,TABLA_BASE[[#This Row],[GANANCIA
UNIT.(S/.)]]/TABLA_BASE[[#This Row],[PRECIO VTA.
c/IGV(S/.)]])</f>
        <v>0</v>
      </c>
      <c r="BA262" s="277">
        <f>IF(TABLA_BASE[[#This Row],[C/M UNIT.
(S/.)]]=0,0,TABLA_BASE[[#This Row],[GANANCIA
UNIT.(S/.)]]/TABLA_BASE[[#This Row],[C/M UNIT.
(S/.)]])</f>
        <v>0</v>
      </c>
      <c r="BB262" s="274" t="str">
        <f>IF(TABLA_BASE[[#This Row],[MARGEN
%]]&gt;=0.5,"🟢 ALTO",IF(TABLA_BASE[[#This Row],[MARGEN
%]]&gt;=0.3,"🟡 MEDIO","🔴 BAJO"))</f>
        <v>🟡 MEDIO</v>
      </c>
    </row>
    <row r="263" spans="1:54" ht="16.5" hidden="1" thickTop="1" thickBot="1" x14ac:dyDescent="0.3">
      <c r="A263" s="274">
        <f>'🧾 Factura Comercial'!E267</f>
        <v>0</v>
      </c>
      <c r="B263" s="274" t="str">
        <f>'🧾 Factura Comercial'!F267</f>
        <v>Unid.</v>
      </c>
      <c r="C263" s="275">
        <f>'🧾 Factura Comercial'!G267</f>
        <v>0</v>
      </c>
      <c r="D263" s="276">
        <f>'🧾 Factura Comercial'!H267</f>
        <v>0</v>
      </c>
      <c r="E263" s="276">
        <f>'🧾 Factura Comercial'!I267</f>
        <v>0</v>
      </c>
      <c r="F263" s="277">
        <f>IF('🧾 Tributos Aduana'!$F$6=0,0,'🧾 Factura Comercial'!I267/'🧾 Tributos Aduana'!$F$6)</f>
        <v>0</v>
      </c>
      <c r="G263" s="278">
        <f>'🧾 Factura Comercial'!H267*'📋 Datos Generales'!$E$19</f>
        <v>0</v>
      </c>
      <c r="H263" s="278">
        <f>TABLA_BASE[[#This Row],[FOB UNIT.
(S/.)]]*TABLA_BASE[[#This Row],[CANTIDAD
(unid.)]]</f>
        <v>0</v>
      </c>
      <c r="I263" s="280">
        <f>IF('🧾 Tributos Aduana'!$F$6=0,0,'🧾 Tributos Aduana'!$F$17*('🧾 Factura Comercial'!H267/'🧾 Tributos Aduana'!$F$6))</f>
        <v>0</v>
      </c>
      <c r="J263" s="280">
        <f>TABLA_BASE[[#This Row],[ADV UNIT.
(US$)
⚠️COSTO]]*TABLA_BASE[[#This Row],[CANTIDAD
(unid.)]]</f>
        <v>0</v>
      </c>
      <c r="K263" s="279">
        <f>IF('🧾 Tributos Aduana'!$F$6=0,0,'🧾 Tributos Aduana'!$F$18*('🧾 Factura Comercial'!H267/'🧾 Tributos Aduana'!$F$6))</f>
        <v>0</v>
      </c>
      <c r="L263" s="280">
        <f>TABLA_BASE[[#This Row],[IPM UNIT.
(US$)
✅CF]]*TABLA_BASE[[#This Row],[CANTIDAD
(unid.)]]</f>
        <v>0</v>
      </c>
      <c r="M263" s="279">
        <f>IF('🧾 Tributos Aduana'!$F$6=0,0,'🧾 Tributos Aduana'!$F$19*('🧾 Factura Comercial'!H267/'🧾 Tributos Aduana'!$F$6))</f>
        <v>0</v>
      </c>
      <c r="N263" s="280">
        <f>TABLA_BASE[[#This Row],[IGV UNIT.
(US$)
✅CF]]*TABLA_BASE[[#This Row],[CANTIDAD
(unid.)]]</f>
        <v>0</v>
      </c>
      <c r="O263" s="280">
        <f>IF('🧾 Tributos Aduana'!$F$6=0,0,'🧾 Tributos Aduana'!$F$23*('🧾 Factura Comercial'!H267/'🧾 Tributos Aduana'!$F$6))</f>
        <v>0</v>
      </c>
      <c r="P263" s="280">
        <f>TABLA_BASE[[#This Row],[PERCEP.
UNIT.(US$)
✅CF]]*TABLA_BASE[[#This Row],[CANTIDAD
(unid.)]]</f>
        <v>0</v>
      </c>
      <c r="Q263" s="279">
        <f>TABLA_BASE[[#This Row],[ADV UNIT.
(US$)
⚠️COSTO]]+TABLA_BASE[[#This Row],[IPM UNIT.
(US$)
✅CF]]+TABLA_BASE[[#This Row],[IGV UNIT.
(US$)
✅CF]]</f>
        <v>0</v>
      </c>
      <c r="R263" s="280">
        <f>TABLA_BASE[[#This Row],[DEUDA
ADUANERA
UNIT.]]*TABLA_BASE[[#This Row],[CANTIDAD
(unid.)]]</f>
        <v>0</v>
      </c>
      <c r="S263" s="278">
        <f>TABLA_BASE[[#This Row],[DEUDA
ADUANERA
UNIT.]]*'📋 Datos Generales'!$E$19</f>
        <v>0</v>
      </c>
      <c r="T263" s="278">
        <f>TABLA_BASE[[#This Row],[DEUDA
ADUANERA
TOTAL]]*'📋 Datos Generales'!$E$19</f>
        <v>0</v>
      </c>
      <c r="U263" s="281">
        <f>TABLA_BASE[[#This Row],[ADV UNIT.
(US$)
⚠️COSTO]]*'📋 Datos Generales'!$E$19</f>
        <v>0</v>
      </c>
      <c r="V263" s="281">
        <f>TABLA_BASE[[#This Row],[ADV UNIT.
(S/.)]]*TABLA_BASE[[#This Row],[CANTIDAD
(unid.)]]</f>
        <v>0</v>
      </c>
      <c r="W263" s="281">
        <f>TABLA_BASE[[#This Row],[IPM UNIT.
(US$)
✅CF]]*'📋 Datos Generales'!$E$19</f>
        <v>0</v>
      </c>
      <c r="X263" s="281">
        <f>TABLA_BASE[[#This Row],[IPM UNIT.
(S/.)]]*TABLA_BASE[[#This Row],[CANTIDAD
(unid.)]]</f>
        <v>0</v>
      </c>
      <c r="Y263" s="281">
        <f>TABLA_BASE[[#This Row],[IGV UNIT.
(US$)
✅CF]]*'📋 Datos Generales'!$E$19</f>
        <v>0</v>
      </c>
      <c r="Z263" s="281">
        <f>TABLA_BASE[[#This Row],[IGV UNIT.
(S/.)]]*TABLA_BASE[[#This Row],[CANTIDAD
(unid.)]]</f>
        <v>0</v>
      </c>
      <c r="AA263" s="281">
        <f>TABLA_BASE[[#This Row],[PERCEP.
UNIT.(US$)
✅CF]]*'📋 Datos Generales'!$E$19</f>
        <v>0</v>
      </c>
      <c r="AB263" s="281">
        <f>TABLA_BASE[[#This Row],[PERCEP.
UNIT.(S/.)]]*TABLA_BASE[[#This Row],[CANTIDAD
(unid.)]]</f>
        <v>0</v>
      </c>
      <c r="AC263" s="279">
        <f>TABLA_BASE[[#This Row],[ADV UNIT.
(US$)
⚠️COSTO]]+TABLA_BASE[[#This Row],[IPM UNIT.
(US$)
✅CF]]+TABLA_BASE[[#This Row],[IGV UNIT.
(US$)
✅CF]]+TABLA_BASE[[#This Row],[PERCEP.
UNIT.(US$)
✅CF]]</f>
        <v>0</v>
      </c>
      <c r="AD263" s="279">
        <f>TABLA_BASE[[#This Row],[TOTAL PAGO
SUNAT
UNIT.(US$)]]*TABLA_BASE[[#This Row],[CANTIDAD
(unid.)]]</f>
        <v>0</v>
      </c>
      <c r="AE263" s="281">
        <f>TABLA_BASE[[#This Row],[TOTAL PAGO
SUNAT
UNIT.(US$)]]*'📋 Datos Generales'!$E$19</f>
        <v>0</v>
      </c>
      <c r="AF263" s="281">
        <f>TABLA_BASE[[#This Row],[TOTAL TRIB.
UNIT.(S/.)]]*TABLA_BASE[[#This Row],[CANTIDAD
(unid.)]]</f>
        <v>0</v>
      </c>
      <c r="AG263" s="279">
        <f>IF('🧾 Factura Comercial'!G267=0,0,'📦 Gastos Importación'!$E$28*(IF('🧾 Tributos Aduana'!$F$6=0,0,'🧾 Factura Comercial'!I267/'🧾 Tributos Aduana'!$F$6))/'🧾 Factura Comercial'!G267)</f>
        <v>0</v>
      </c>
      <c r="AH263" s="279">
        <f>TABLA_BASE[[#This Row],[GASTOS IMP.
UNIT.(US$)]]*TABLA_BASE[[#This Row],[CANTIDAD
(unid.)]]</f>
        <v>0</v>
      </c>
      <c r="AI263" s="281">
        <f>TABLA_BASE[[#This Row],[GASTOS IMP.
UNIT.(US$)]]*'📋 Datos Generales'!$E$19</f>
        <v>0</v>
      </c>
      <c r="AJ263" s="281">
        <f>TABLA_BASE[[#This Row],[GASTOS IMP.
UNIT.(S/.)]]*TABLA_BASE[[#This Row],[CANTIDAD
(unid.)]]</f>
        <v>0</v>
      </c>
      <c r="AK263" s="280">
        <f>'🧮 Costos x Producto'!J267</f>
        <v>0</v>
      </c>
      <c r="AL263" s="278">
        <f>'🧮 Costos x Producto'!K267</f>
        <v>0</v>
      </c>
      <c r="AM263" s="278">
        <f>TABLA_BASE[[#This Row],[C/M UNIT.
(S/.)]]*TABLA_BASE[[#This Row],[CANTIDAD
(unid.)]]</f>
        <v>0</v>
      </c>
      <c r="AN263" s="279">
        <f>IF('🧾 Factura Comercial'!G267=0,0,'🧾 Tributos Aduana'!$F$17*(IF('🧾 Tributos Aduana'!$F$6=0,0,'🧾 Factura Comercial'!I267/'🧾 Tributos Aduana'!$F$6))/'🧾 Factura Comercial'!G267)</f>
        <v>0</v>
      </c>
      <c r="AO263" s="280">
        <f>IF('🧾 Factura Comercial'!G267=0,0,'🏦 Crédito Fiscal'!$C$16*(IF('🧾 Tributos Aduana'!$F$6=0,0,'🧾 Factura Comercial'!I267/'🧾 Tributos Aduana'!$F$6))/'🧾 Factura Comercial'!G267)</f>
        <v>0</v>
      </c>
      <c r="AP263" s="278">
        <f>TABLA_BASE[[#This Row],[CF UNIT.
✅RECUP.
(US$)]]*'📋 Datos Generales'!$E$19</f>
        <v>0</v>
      </c>
      <c r="AQ263" s="278">
        <f>TABLA_BASE[[#This Row],[CF UNIT.
✅RECUP.(S/.)]]*TABLA_BASE[[#This Row],[CANTIDAD
(unid.)]]</f>
        <v>0</v>
      </c>
      <c r="AR263" s="288">
        <f>'💰 Precio de Venta'!G268</f>
        <v>0.4</v>
      </c>
      <c r="AS263" s="278">
        <f>'💰 Precio de Venta'!H268</f>
        <v>0</v>
      </c>
      <c r="AT263" s="278">
        <f>TABLA_BASE[[#This Row],[VALOR VTA.
UNIT.(S/.)]]*TABLA_BASE[[#This Row],[CANTIDAD
(unid.)]]</f>
        <v>0</v>
      </c>
      <c r="AU263" s="281">
        <f>'💰 Precio de Venta'!I268</f>
        <v>0</v>
      </c>
      <c r="AV263" s="278">
        <f>'💰 Precio de Venta'!J268</f>
        <v>0</v>
      </c>
      <c r="AW263" s="278">
        <f>TABLA_BASE[[#This Row],[GANANCIA
UNIT.(S/.)]]*TABLA_BASE[[#This Row],[CANTIDAD
(unid.)]]</f>
        <v>0</v>
      </c>
      <c r="AX263" s="289">
        <f>'💰 Precio de Venta'!K268</f>
        <v>0</v>
      </c>
      <c r="AY263" s="278">
        <f>TABLA_BASE[[#This Row],[GANANCIA
UNIT.(S/.)]]*'🧾 Factura Comercial'!G267</f>
        <v>0</v>
      </c>
      <c r="AZ263" s="277">
        <f>IF(TABLA_BASE[[#This Row],[PRECIO VTA.
c/IGV(S/.)]]=0,0,TABLA_BASE[[#This Row],[GANANCIA
UNIT.(S/.)]]/TABLA_BASE[[#This Row],[PRECIO VTA.
c/IGV(S/.)]])</f>
        <v>0</v>
      </c>
      <c r="BA263" s="277">
        <f>IF(TABLA_BASE[[#This Row],[C/M UNIT.
(S/.)]]=0,0,TABLA_BASE[[#This Row],[GANANCIA
UNIT.(S/.)]]/TABLA_BASE[[#This Row],[C/M UNIT.
(S/.)]])</f>
        <v>0</v>
      </c>
      <c r="BB263" s="274" t="str">
        <f>IF(TABLA_BASE[[#This Row],[MARGEN
%]]&gt;=0.5,"🟢 ALTO",IF(TABLA_BASE[[#This Row],[MARGEN
%]]&gt;=0.3,"🟡 MEDIO","🔴 BAJO"))</f>
        <v>🟡 MEDIO</v>
      </c>
    </row>
    <row r="264" spans="1:54" ht="16.5" hidden="1" thickTop="1" thickBot="1" x14ac:dyDescent="0.3">
      <c r="A264" s="274">
        <f>'🧾 Factura Comercial'!E268</f>
        <v>0</v>
      </c>
      <c r="B264" s="274" t="str">
        <f>'🧾 Factura Comercial'!F268</f>
        <v>Unid.</v>
      </c>
      <c r="C264" s="275">
        <f>'🧾 Factura Comercial'!G268</f>
        <v>0</v>
      </c>
      <c r="D264" s="276">
        <f>'🧾 Factura Comercial'!H268</f>
        <v>0</v>
      </c>
      <c r="E264" s="276">
        <f>'🧾 Factura Comercial'!I268</f>
        <v>0</v>
      </c>
      <c r="F264" s="277">
        <f>IF('🧾 Tributos Aduana'!$F$6=0,0,'🧾 Factura Comercial'!I268/'🧾 Tributos Aduana'!$F$6)</f>
        <v>0</v>
      </c>
      <c r="G264" s="278">
        <f>'🧾 Factura Comercial'!H268*'📋 Datos Generales'!$E$19</f>
        <v>0</v>
      </c>
      <c r="H264" s="278">
        <f>TABLA_BASE[[#This Row],[FOB UNIT.
(S/.)]]*TABLA_BASE[[#This Row],[CANTIDAD
(unid.)]]</f>
        <v>0</v>
      </c>
      <c r="I264" s="280">
        <f>IF('🧾 Tributos Aduana'!$F$6=0,0,'🧾 Tributos Aduana'!$F$17*('🧾 Factura Comercial'!H268/'🧾 Tributos Aduana'!$F$6))</f>
        <v>0</v>
      </c>
      <c r="J264" s="280">
        <f>TABLA_BASE[[#This Row],[ADV UNIT.
(US$)
⚠️COSTO]]*TABLA_BASE[[#This Row],[CANTIDAD
(unid.)]]</f>
        <v>0</v>
      </c>
      <c r="K264" s="279">
        <f>IF('🧾 Tributos Aduana'!$F$6=0,0,'🧾 Tributos Aduana'!$F$18*('🧾 Factura Comercial'!H268/'🧾 Tributos Aduana'!$F$6))</f>
        <v>0</v>
      </c>
      <c r="L264" s="280">
        <f>TABLA_BASE[[#This Row],[IPM UNIT.
(US$)
✅CF]]*TABLA_BASE[[#This Row],[CANTIDAD
(unid.)]]</f>
        <v>0</v>
      </c>
      <c r="M264" s="279">
        <f>IF('🧾 Tributos Aduana'!$F$6=0,0,'🧾 Tributos Aduana'!$F$19*('🧾 Factura Comercial'!H268/'🧾 Tributos Aduana'!$F$6))</f>
        <v>0</v>
      </c>
      <c r="N264" s="280">
        <f>TABLA_BASE[[#This Row],[IGV UNIT.
(US$)
✅CF]]*TABLA_BASE[[#This Row],[CANTIDAD
(unid.)]]</f>
        <v>0</v>
      </c>
      <c r="O264" s="280">
        <f>IF('🧾 Tributos Aduana'!$F$6=0,0,'🧾 Tributos Aduana'!$F$23*('🧾 Factura Comercial'!H268/'🧾 Tributos Aduana'!$F$6))</f>
        <v>0</v>
      </c>
      <c r="P264" s="280">
        <f>TABLA_BASE[[#This Row],[PERCEP.
UNIT.(US$)
✅CF]]*TABLA_BASE[[#This Row],[CANTIDAD
(unid.)]]</f>
        <v>0</v>
      </c>
      <c r="Q264" s="279">
        <f>TABLA_BASE[[#This Row],[ADV UNIT.
(US$)
⚠️COSTO]]+TABLA_BASE[[#This Row],[IPM UNIT.
(US$)
✅CF]]+TABLA_BASE[[#This Row],[IGV UNIT.
(US$)
✅CF]]</f>
        <v>0</v>
      </c>
      <c r="R264" s="280">
        <f>TABLA_BASE[[#This Row],[DEUDA
ADUANERA
UNIT.]]*TABLA_BASE[[#This Row],[CANTIDAD
(unid.)]]</f>
        <v>0</v>
      </c>
      <c r="S264" s="278">
        <f>TABLA_BASE[[#This Row],[DEUDA
ADUANERA
UNIT.]]*'📋 Datos Generales'!$E$19</f>
        <v>0</v>
      </c>
      <c r="T264" s="278">
        <f>TABLA_BASE[[#This Row],[DEUDA
ADUANERA
TOTAL]]*'📋 Datos Generales'!$E$19</f>
        <v>0</v>
      </c>
      <c r="U264" s="281">
        <f>TABLA_BASE[[#This Row],[ADV UNIT.
(US$)
⚠️COSTO]]*'📋 Datos Generales'!$E$19</f>
        <v>0</v>
      </c>
      <c r="V264" s="281">
        <f>TABLA_BASE[[#This Row],[ADV UNIT.
(S/.)]]*TABLA_BASE[[#This Row],[CANTIDAD
(unid.)]]</f>
        <v>0</v>
      </c>
      <c r="W264" s="281">
        <f>TABLA_BASE[[#This Row],[IPM UNIT.
(US$)
✅CF]]*'📋 Datos Generales'!$E$19</f>
        <v>0</v>
      </c>
      <c r="X264" s="281">
        <f>TABLA_BASE[[#This Row],[IPM UNIT.
(S/.)]]*TABLA_BASE[[#This Row],[CANTIDAD
(unid.)]]</f>
        <v>0</v>
      </c>
      <c r="Y264" s="281">
        <f>TABLA_BASE[[#This Row],[IGV UNIT.
(US$)
✅CF]]*'📋 Datos Generales'!$E$19</f>
        <v>0</v>
      </c>
      <c r="Z264" s="281">
        <f>TABLA_BASE[[#This Row],[IGV UNIT.
(S/.)]]*TABLA_BASE[[#This Row],[CANTIDAD
(unid.)]]</f>
        <v>0</v>
      </c>
      <c r="AA264" s="281">
        <f>TABLA_BASE[[#This Row],[PERCEP.
UNIT.(US$)
✅CF]]*'📋 Datos Generales'!$E$19</f>
        <v>0</v>
      </c>
      <c r="AB264" s="281">
        <f>TABLA_BASE[[#This Row],[PERCEP.
UNIT.(S/.)]]*TABLA_BASE[[#This Row],[CANTIDAD
(unid.)]]</f>
        <v>0</v>
      </c>
      <c r="AC264" s="279">
        <f>TABLA_BASE[[#This Row],[ADV UNIT.
(US$)
⚠️COSTO]]+TABLA_BASE[[#This Row],[IPM UNIT.
(US$)
✅CF]]+TABLA_BASE[[#This Row],[IGV UNIT.
(US$)
✅CF]]+TABLA_BASE[[#This Row],[PERCEP.
UNIT.(US$)
✅CF]]</f>
        <v>0</v>
      </c>
      <c r="AD264" s="279">
        <f>TABLA_BASE[[#This Row],[TOTAL PAGO
SUNAT
UNIT.(US$)]]*TABLA_BASE[[#This Row],[CANTIDAD
(unid.)]]</f>
        <v>0</v>
      </c>
      <c r="AE264" s="281">
        <f>TABLA_BASE[[#This Row],[TOTAL PAGO
SUNAT
UNIT.(US$)]]*'📋 Datos Generales'!$E$19</f>
        <v>0</v>
      </c>
      <c r="AF264" s="281">
        <f>TABLA_BASE[[#This Row],[TOTAL TRIB.
UNIT.(S/.)]]*TABLA_BASE[[#This Row],[CANTIDAD
(unid.)]]</f>
        <v>0</v>
      </c>
      <c r="AG264" s="279">
        <f>IF('🧾 Factura Comercial'!G268=0,0,'📦 Gastos Importación'!$E$28*(IF('🧾 Tributos Aduana'!$F$6=0,0,'🧾 Factura Comercial'!I268/'🧾 Tributos Aduana'!$F$6))/'🧾 Factura Comercial'!G268)</f>
        <v>0</v>
      </c>
      <c r="AH264" s="279">
        <f>TABLA_BASE[[#This Row],[GASTOS IMP.
UNIT.(US$)]]*TABLA_BASE[[#This Row],[CANTIDAD
(unid.)]]</f>
        <v>0</v>
      </c>
      <c r="AI264" s="281">
        <f>TABLA_BASE[[#This Row],[GASTOS IMP.
UNIT.(US$)]]*'📋 Datos Generales'!$E$19</f>
        <v>0</v>
      </c>
      <c r="AJ264" s="281">
        <f>TABLA_BASE[[#This Row],[GASTOS IMP.
UNIT.(S/.)]]*TABLA_BASE[[#This Row],[CANTIDAD
(unid.)]]</f>
        <v>0</v>
      </c>
      <c r="AK264" s="280">
        <f>'🧮 Costos x Producto'!J268</f>
        <v>0</v>
      </c>
      <c r="AL264" s="278">
        <f>'🧮 Costos x Producto'!K268</f>
        <v>0</v>
      </c>
      <c r="AM264" s="278">
        <f>TABLA_BASE[[#This Row],[C/M UNIT.
(S/.)]]*TABLA_BASE[[#This Row],[CANTIDAD
(unid.)]]</f>
        <v>0</v>
      </c>
      <c r="AN264" s="279">
        <f>IF('🧾 Factura Comercial'!G268=0,0,'🧾 Tributos Aduana'!$F$17*(IF('🧾 Tributos Aduana'!$F$6=0,0,'🧾 Factura Comercial'!I268/'🧾 Tributos Aduana'!$F$6))/'🧾 Factura Comercial'!G268)</f>
        <v>0</v>
      </c>
      <c r="AO264" s="280">
        <f>IF('🧾 Factura Comercial'!G268=0,0,'🏦 Crédito Fiscal'!$C$16*(IF('🧾 Tributos Aduana'!$F$6=0,0,'🧾 Factura Comercial'!I268/'🧾 Tributos Aduana'!$F$6))/'🧾 Factura Comercial'!G268)</f>
        <v>0</v>
      </c>
      <c r="AP264" s="278">
        <f>TABLA_BASE[[#This Row],[CF UNIT.
✅RECUP.
(US$)]]*'📋 Datos Generales'!$E$19</f>
        <v>0</v>
      </c>
      <c r="AQ264" s="278">
        <f>TABLA_BASE[[#This Row],[CF UNIT.
✅RECUP.(S/.)]]*TABLA_BASE[[#This Row],[CANTIDAD
(unid.)]]</f>
        <v>0</v>
      </c>
      <c r="AR264" s="288">
        <f>'💰 Precio de Venta'!G269</f>
        <v>0.4</v>
      </c>
      <c r="AS264" s="278">
        <f>'💰 Precio de Venta'!H269</f>
        <v>0</v>
      </c>
      <c r="AT264" s="278">
        <f>TABLA_BASE[[#This Row],[VALOR VTA.
UNIT.(S/.)]]*TABLA_BASE[[#This Row],[CANTIDAD
(unid.)]]</f>
        <v>0</v>
      </c>
      <c r="AU264" s="281">
        <f>'💰 Precio de Venta'!I269</f>
        <v>0</v>
      </c>
      <c r="AV264" s="278">
        <f>'💰 Precio de Venta'!J269</f>
        <v>0</v>
      </c>
      <c r="AW264" s="278">
        <f>TABLA_BASE[[#This Row],[GANANCIA
UNIT.(S/.)]]*TABLA_BASE[[#This Row],[CANTIDAD
(unid.)]]</f>
        <v>0</v>
      </c>
      <c r="AX264" s="289">
        <f>'💰 Precio de Venta'!K269</f>
        <v>0</v>
      </c>
      <c r="AY264" s="278">
        <f>TABLA_BASE[[#This Row],[GANANCIA
UNIT.(S/.)]]*'🧾 Factura Comercial'!G268</f>
        <v>0</v>
      </c>
      <c r="AZ264" s="277">
        <f>IF(TABLA_BASE[[#This Row],[PRECIO VTA.
c/IGV(S/.)]]=0,0,TABLA_BASE[[#This Row],[GANANCIA
UNIT.(S/.)]]/TABLA_BASE[[#This Row],[PRECIO VTA.
c/IGV(S/.)]])</f>
        <v>0</v>
      </c>
      <c r="BA264" s="277">
        <f>IF(TABLA_BASE[[#This Row],[C/M UNIT.
(S/.)]]=0,0,TABLA_BASE[[#This Row],[GANANCIA
UNIT.(S/.)]]/TABLA_BASE[[#This Row],[C/M UNIT.
(S/.)]])</f>
        <v>0</v>
      </c>
      <c r="BB264" s="274" t="str">
        <f>IF(TABLA_BASE[[#This Row],[MARGEN
%]]&gt;=0.5,"🟢 ALTO",IF(TABLA_BASE[[#This Row],[MARGEN
%]]&gt;=0.3,"🟡 MEDIO","🔴 BAJO"))</f>
        <v>🟡 MEDIO</v>
      </c>
    </row>
    <row r="265" spans="1:54" ht="16.5" hidden="1" thickTop="1" thickBot="1" x14ac:dyDescent="0.3">
      <c r="A265" s="274">
        <f>'🧾 Factura Comercial'!E269</f>
        <v>0</v>
      </c>
      <c r="B265" s="274" t="str">
        <f>'🧾 Factura Comercial'!F269</f>
        <v>Unid.</v>
      </c>
      <c r="C265" s="275">
        <f>'🧾 Factura Comercial'!G269</f>
        <v>0</v>
      </c>
      <c r="D265" s="276">
        <f>'🧾 Factura Comercial'!H269</f>
        <v>0</v>
      </c>
      <c r="E265" s="276">
        <f>'🧾 Factura Comercial'!I269</f>
        <v>0</v>
      </c>
      <c r="F265" s="277">
        <f>IF('🧾 Tributos Aduana'!$F$6=0,0,'🧾 Factura Comercial'!I269/'🧾 Tributos Aduana'!$F$6)</f>
        <v>0</v>
      </c>
      <c r="G265" s="278">
        <f>'🧾 Factura Comercial'!H269*'📋 Datos Generales'!$E$19</f>
        <v>0</v>
      </c>
      <c r="H265" s="278">
        <f>TABLA_BASE[[#This Row],[FOB UNIT.
(S/.)]]*TABLA_BASE[[#This Row],[CANTIDAD
(unid.)]]</f>
        <v>0</v>
      </c>
      <c r="I265" s="280">
        <f>IF('🧾 Tributos Aduana'!$F$6=0,0,'🧾 Tributos Aduana'!$F$17*('🧾 Factura Comercial'!H269/'🧾 Tributos Aduana'!$F$6))</f>
        <v>0</v>
      </c>
      <c r="J265" s="280">
        <f>TABLA_BASE[[#This Row],[ADV UNIT.
(US$)
⚠️COSTO]]*TABLA_BASE[[#This Row],[CANTIDAD
(unid.)]]</f>
        <v>0</v>
      </c>
      <c r="K265" s="279">
        <f>IF('🧾 Tributos Aduana'!$F$6=0,0,'🧾 Tributos Aduana'!$F$18*('🧾 Factura Comercial'!H269/'🧾 Tributos Aduana'!$F$6))</f>
        <v>0</v>
      </c>
      <c r="L265" s="280">
        <f>TABLA_BASE[[#This Row],[IPM UNIT.
(US$)
✅CF]]*TABLA_BASE[[#This Row],[CANTIDAD
(unid.)]]</f>
        <v>0</v>
      </c>
      <c r="M265" s="279">
        <f>IF('🧾 Tributos Aduana'!$F$6=0,0,'🧾 Tributos Aduana'!$F$19*('🧾 Factura Comercial'!H269/'🧾 Tributos Aduana'!$F$6))</f>
        <v>0</v>
      </c>
      <c r="N265" s="280">
        <f>TABLA_BASE[[#This Row],[IGV UNIT.
(US$)
✅CF]]*TABLA_BASE[[#This Row],[CANTIDAD
(unid.)]]</f>
        <v>0</v>
      </c>
      <c r="O265" s="280">
        <f>IF('🧾 Tributos Aduana'!$F$6=0,0,'🧾 Tributos Aduana'!$F$23*('🧾 Factura Comercial'!H269/'🧾 Tributos Aduana'!$F$6))</f>
        <v>0</v>
      </c>
      <c r="P265" s="280">
        <f>TABLA_BASE[[#This Row],[PERCEP.
UNIT.(US$)
✅CF]]*TABLA_BASE[[#This Row],[CANTIDAD
(unid.)]]</f>
        <v>0</v>
      </c>
      <c r="Q265" s="279">
        <f>TABLA_BASE[[#This Row],[ADV UNIT.
(US$)
⚠️COSTO]]+TABLA_BASE[[#This Row],[IPM UNIT.
(US$)
✅CF]]+TABLA_BASE[[#This Row],[IGV UNIT.
(US$)
✅CF]]</f>
        <v>0</v>
      </c>
      <c r="R265" s="280">
        <f>TABLA_BASE[[#This Row],[DEUDA
ADUANERA
UNIT.]]*TABLA_BASE[[#This Row],[CANTIDAD
(unid.)]]</f>
        <v>0</v>
      </c>
      <c r="S265" s="278">
        <f>TABLA_BASE[[#This Row],[DEUDA
ADUANERA
UNIT.]]*'📋 Datos Generales'!$E$19</f>
        <v>0</v>
      </c>
      <c r="T265" s="278">
        <f>TABLA_BASE[[#This Row],[DEUDA
ADUANERA
TOTAL]]*'📋 Datos Generales'!$E$19</f>
        <v>0</v>
      </c>
      <c r="U265" s="281">
        <f>TABLA_BASE[[#This Row],[ADV UNIT.
(US$)
⚠️COSTO]]*'📋 Datos Generales'!$E$19</f>
        <v>0</v>
      </c>
      <c r="V265" s="281">
        <f>TABLA_BASE[[#This Row],[ADV UNIT.
(S/.)]]*TABLA_BASE[[#This Row],[CANTIDAD
(unid.)]]</f>
        <v>0</v>
      </c>
      <c r="W265" s="281">
        <f>TABLA_BASE[[#This Row],[IPM UNIT.
(US$)
✅CF]]*'📋 Datos Generales'!$E$19</f>
        <v>0</v>
      </c>
      <c r="X265" s="281">
        <f>TABLA_BASE[[#This Row],[IPM UNIT.
(S/.)]]*TABLA_BASE[[#This Row],[CANTIDAD
(unid.)]]</f>
        <v>0</v>
      </c>
      <c r="Y265" s="281">
        <f>TABLA_BASE[[#This Row],[IGV UNIT.
(US$)
✅CF]]*'📋 Datos Generales'!$E$19</f>
        <v>0</v>
      </c>
      <c r="Z265" s="281">
        <f>TABLA_BASE[[#This Row],[IGV UNIT.
(S/.)]]*TABLA_BASE[[#This Row],[CANTIDAD
(unid.)]]</f>
        <v>0</v>
      </c>
      <c r="AA265" s="281">
        <f>TABLA_BASE[[#This Row],[PERCEP.
UNIT.(US$)
✅CF]]*'📋 Datos Generales'!$E$19</f>
        <v>0</v>
      </c>
      <c r="AB265" s="281">
        <f>TABLA_BASE[[#This Row],[PERCEP.
UNIT.(S/.)]]*TABLA_BASE[[#This Row],[CANTIDAD
(unid.)]]</f>
        <v>0</v>
      </c>
      <c r="AC265" s="279">
        <f>TABLA_BASE[[#This Row],[ADV UNIT.
(US$)
⚠️COSTO]]+TABLA_BASE[[#This Row],[IPM UNIT.
(US$)
✅CF]]+TABLA_BASE[[#This Row],[IGV UNIT.
(US$)
✅CF]]+TABLA_BASE[[#This Row],[PERCEP.
UNIT.(US$)
✅CF]]</f>
        <v>0</v>
      </c>
      <c r="AD265" s="279">
        <f>TABLA_BASE[[#This Row],[TOTAL PAGO
SUNAT
UNIT.(US$)]]*TABLA_BASE[[#This Row],[CANTIDAD
(unid.)]]</f>
        <v>0</v>
      </c>
      <c r="AE265" s="281">
        <f>TABLA_BASE[[#This Row],[TOTAL PAGO
SUNAT
UNIT.(US$)]]*'📋 Datos Generales'!$E$19</f>
        <v>0</v>
      </c>
      <c r="AF265" s="281">
        <f>TABLA_BASE[[#This Row],[TOTAL TRIB.
UNIT.(S/.)]]*TABLA_BASE[[#This Row],[CANTIDAD
(unid.)]]</f>
        <v>0</v>
      </c>
      <c r="AG265" s="279">
        <f>IF('🧾 Factura Comercial'!G269=0,0,'📦 Gastos Importación'!$E$28*(IF('🧾 Tributos Aduana'!$F$6=0,0,'🧾 Factura Comercial'!I269/'🧾 Tributos Aduana'!$F$6))/'🧾 Factura Comercial'!G269)</f>
        <v>0</v>
      </c>
      <c r="AH265" s="279">
        <f>TABLA_BASE[[#This Row],[GASTOS IMP.
UNIT.(US$)]]*TABLA_BASE[[#This Row],[CANTIDAD
(unid.)]]</f>
        <v>0</v>
      </c>
      <c r="AI265" s="281">
        <f>TABLA_BASE[[#This Row],[GASTOS IMP.
UNIT.(US$)]]*'📋 Datos Generales'!$E$19</f>
        <v>0</v>
      </c>
      <c r="AJ265" s="281">
        <f>TABLA_BASE[[#This Row],[GASTOS IMP.
UNIT.(S/.)]]*TABLA_BASE[[#This Row],[CANTIDAD
(unid.)]]</f>
        <v>0</v>
      </c>
      <c r="AK265" s="280">
        <f>'🧮 Costos x Producto'!J269</f>
        <v>0</v>
      </c>
      <c r="AL265" s="278">
        <f>'🧮 Costos x Producto'!K269</f>
        <v>0</v>
      </c>
      <c r="AM265" s="278">
        <f>TABLA_BASE[[#This Row],[C/M UNIT.
(S/.)]]*TABLA_BASE[[#This Row],[CANTIDAD
(unid.)]]</f>
        <v>0</v>
      </c>
      <c r="AN265" s="279">
        <f>IF('🧾 Factura Comercial'!G269=0,0,'🧾 Tributos Aduana'!$F$17*(IF('🧾 Tributos Aduana'!$F$6=0,0,'🧾 Factura Comercial'!I269/'🧾 Tributos Aduana'!$F$6))/'🧾 Factura Comercial'!G269)</f>
        <v>0</v>
      </c>
      <c r="AO265" s="280">
        <f>IF('🧾 Factura Comercial'!G269=0,0,'🏦 Crédito Fiscal'!$C$16*(IF('🧾 Tributos Aduana'!$F$6=0,0,'🧾 Factura Comercial'!I269/'🧾 Tributos Aduana'!$F$6))/'🧾 Factura Comercial'!G269)</f>
        <v>0</v>
      </c>
      <c r="AP265" s="278">
        <f>TABLA_BASE[[#This Row],[CF UNIT.
✅RECUP.
(US$)]]*'📋 Datos Generales'!$E$19</f>
        <v>0</v>
      </c>
      <c r="AQ265" s="278">
        <f>TABLA_BASE[[#This Row],[CF UNIT.
✅RECUP.(S/.)]]*TABLA_BASE[[#This Row],[CANTIDAD
(unid.)]]</f>
        <v>0</v>
      </c>
      <c r="AR265" s="288">
        <f>'💰 Precio de Venta'!G270</f>
        <v>0.4</v>
      </c>
      <c r="AS265" s="278">
        <f>'💰 Precio de Venta'!H270</f>
        <v>0</v>
      </c>
      <c r="AT265" s="278">
        <f>TABLA_BASE[[#This Row],[VALOR VTA.
UNIT.(S/.)]]*TABLA_BASE[[#This Row],[CANTIDAD
(unid.)]]</f>
        <v>0</v>
      </c>
      <c r="AU265" s="281">
        <f>'💰 Precio de Venta'!I270</f>
        <v>0</v>
      </c>
      <c r="AV265" s="278">
        <f>'💰 Precio de Venta'!J270</f>
        <v>0</v>
      </c>
      <c r="AW265" s="278">
        <f>TABLA_BASE[[#This Row],[GANANCIA
UNIT.(S/.)]]*TABLA_BASE[[#This Row],[CANTIDAD
(unid.)]]</f>
        <v>0</v>
      </c>
      <c r="AX265" s="289">
        <f>'💰 Precio de Venta'!K270</f>
        <v>0</v>
      </c>
      <c r="AY265" s="278">
        <f>TABLA_BASE[[#This Row],[GANANCIA
UNIT.(S/.)]]*'🧾 Factura Comercial'!G269</f>
        <v>0</v>
      </c>
      <c r="AZ265" s="277">
        <f>IF(TABLA_BASE[[#This Row],[PRECIO VTA.
c/IGV(S/.)]]=0,0,TABLA_BASE[[#This Row],[GANANCIA
UNIT.(S/.)]]/TABLA_BASE[[#This Row],[PRECIO VTA.
c/IGV(S/.)]])</f>
        <v>0</v>
      </c>
      <c r="BA265" s="277">
        <f>IF(TABLA_BASE[[#This Row],[C/M UNIT.
(S/.)]]=0,0,TABLA_BASE[[#This Row],[GANANCIA
UNIT.(S/.)]]/TABLA_BASE[[#This Row],[C/M UNIT.
(S/.)]])</f>
        <v>0</v>
      </c>
      <c r="BB265" s="274" t="str">
        <f>IF(TABLA_BASE[[#This Row],[MARGEN
%]]&gt;=0.5,"🟢 ALTO",IF(TABLA_BASE[[#This Row],[MARGEN
%]]&gt;=0.3,"🟡 MEDIO","🔴 BAJO"))</f>
        <v>🟡 MEDIO</v>
      </c>
    </row>
    <row r="266" spans="1:54" ht="16.5" hidden="1" thickTop="1" thickBot="1" x14ac:dyDescent="0.3">
      <c r="A266" s="274">
        <f>'🧾 Factura Comercial'!E270</f>
        <v>0</v>
      </c>
      <c r="B266" s="274" t="str">
        <f>'🧾 Factura Comercial'!F270</f>
        <v>Unid.</v>
      </c>
      <c r="C266" s="275">
        <f>'🧾 Factura Comercial'!G270</f>
        <v>0</v>
      </c>
      <c r="D266" s="276">
        <f>'🧾 Factura Comercial'!H270</f>
        <v>0</v>
      </c>
      <c r="E266" s="276">
        <f>'🧾 Factura Comercial'!I270</f>
        <v>0</v>
      </c>
      <c r="F266" s="277">
        <f>IF('🧾 Tributos Aduana'!$F$6=0,0,'🧾 Factura Comercial'!I270/'🧾 Tributos Aduana'!$F$6)</f>
        <v>0</v>
      </c>
      <c r="G266" s="278">
        <f>'🧾 Factura Comercial'!H270*'📋 Datos Generales'!$E$19</f>
        <v>0</v>
      </c>
      <c r="H266" s="278">
        <f>TABLA_BASE[[#This Row],[FOB UNIT.
(S/.)]]*TABLA_BASE[[#This Row],[CANTIDAD
(unid.)]]</f>
        <v>0</v>
      </c>
      <c r="I266" s="280">
        <f>IF('🧾 Tributos Aduana'!$F$6=0,0,'🧾 Tributos Aduana'!$F$17*('🧾 Factura Comercial'!H270/'🧾 Tributos Aduana'!$F$6))</f>
        <v>0</v>
      </c>
      <c r="J266" s="280">
        <f>TABLA_BASE[[#This Row],[ADV UNIT.
(US$)
⚠️COSTO]]*TABLA_BASE[[#This Row],[CANTIDAD
(unid.)]]</f>
        <v>0</v>
      </c>
      <c r="K266" s="279">
        <f>IF('🧾 Tributos Aduana'!$F$6=0,0,'🧾 Tributos Aduana'!$F$18*('🧾 Factura Comercial'!H270/'🧾 Tributos Aduana'!$F$6))</f>
        <v>0</v>
      </c>
      <c r="L266" s="280">
        <f>TABLA_BASE[[#This Row],[IPM UNIT.
(US$)
✅CF]]*TABLA_BASE[[#This Row],[CANTIDAD
(unid.)]]</f>
        <v>0</v>
      </c>
      <c r="M266" s="279">
        <f>IF('🧾 Tributos Aduana'!$F$6=0,0,'🧾 Tributos Aduana'!$F$19*('🧾 Factura Comercial'!H270/'🧾 Tributos Aduana'!$F$6))</f>
        <v>0</v>
      </c>
      <c r="N266" s="280">
        <f>TABLA_BASE[[#This Row],[IGV UNIT.
(US$)
✅CF]]*TABLA_BASE[[#This Row],[CANTIDAD
(unid.)]]</f>
        <v>0</v>
      </c>
      <c r="O266" s="280">
        <f>IF('🧾 Tributos Aduana'!$F$6=0,0,'🧾 Tributos Aduana'!$F$23*('🧾 Factura Comercial'!H270/'🧾 Tributos Aduana'!$F$6))</f>
        <v>0</v>
      </c>
      <c r="P266" s="280">
        <f>TABLA_BASE[[#This Row],[PERCEP.
UNIT.(US$)
✅CF]]*TABLA_BASE[[#This Row],[CANTIDAD
(unid.)]]</f>
        <v>0</v>
      </c>
      <c r="Q266" s="279">
        <f>TABLA_BASE[[#This Row],[ADV UNIT.
(US$)
⚠️COSTO]]+TABLA_BASE[[#This Row],[IPM UNIT.
(US$)
✅CF]]+TABLA_BASE[[#This Row],[IGV UNIT.
(US$)
✅CF]]</f>
        <v>0</v>
      </c>
      <c r="R266" s="280">
        <f>TABLA_BASE[[#This Row],[DEUDA
ADUANERA
UNIT.]]*TABLA_BASE[[#This Row],[CANTIDAD
(unid.)]]</f>
        <v>0</v>
      </c>
      <c r="S266" s="278">
        <f>TABLA_BASE[[#This Row],[DEUDA
ADUANERA
UNIT.]]*'📋 Datos Generales'!$E$19</f>
        <v>0</v>
      </c>
      <c r="T266" s="278">
        <f>TABLA_BASE[[#This Row],[DEUDA
ADUANERA
TOTAL]]*'📋 Datos Generales'!$E$19</f>
        <v>0</v>
      </c>
      <c r="U266" s="281">
        <f>TABLA_BASE[[#This Row],[ADV UNIT.
(US$)
⚠️COSTO]]*'📋 Datos Generales'!$E$19</f>
        <v>0</v>
      </c>
      <c r="V266" s="281">
        <f>TABLA_BASE[[#This Row],[ADV UNIT.
(S/.)]]*TABLA_BASE[[#This Row],[CANTIDAD
(unid.)]]</f>
        <v>0</v>
      </c>
      <c r="W266" s="281">
        <f>TABLA_BASE[[#This Row],[IPM UNIT.
(US$)
✅CF]]*'📋 Datos Generales'!$E$19</f>
        <v>0</v>
      </c>
      <c r="X266" s="281">
        <f>TABLA_BASE[[#This Row],[IPM UNIT.
(S/.)]]*TABLA_BASE[[#This Row],[CANTIDAD
(unid.)]]</f>
        <v>0</v>
      </c>
      <c r="Y266" s="281">
        <f>TABLA_BASE[[#This Row],[IGV UNIT.
(US$)
✅CF]]*'📋 Datos Generales'!$E$19</f>
        <v>0</v>
      </c>
      <c r="Z266" s="281">
        <f>TABLA_BASE[[#This Row],[IGV UNIT.
(S/.)]]*TABLA_BASE[[#This Row],[CANTIDAD
(unid.)]]</f>
        <v>0</v>
      </c>
      <c r="AA266" s="281">
        <f>TABLA_BASE[[#This Row],[PERCEP.
UNIT.(US$)
✅CF]]*'📋 Datos Generales'!$E$19</f>
        <v>0</v>
      </c>
      <c r="AB266" s="281">
        <f>TABLA_BASE[[#This Row],[PERCEP.
UNIT.(S/.)]]*TABLA_BASE[[#This Row],[CANTIDAD
(unid.)]]</f>
        <v>0</v>
      </c>
      <c r="AC266" s="279">
        <f>TABLA_BASE[[#This Row],[ADV UNIT.
(US$)
⚠️COSTO]]+TABLA_BASE[[#This Row],[IPM UNIT.
(US$)
✅CF]]+TABLA_BASE[[#This Row],[IGV UNIT.
(US$)
✅CF]]+TABLA_BASE[[#This Row],[PERCEP.
UNIT.(US$)
✅CF]]</f>
        <v>0</v>
      </c>
      <c r="AD266" s="279">
        <f>TABLA_BASE[[#This Row],[TOTAL PAGO
SUNAT
UNIT.(US$)]]*TABLA_BASE[[#This Row],[CANTIDAD
(unid.)]]</f>
        <v>0</v>
      </c>
      <c r="AE266" s="281">
        <f>TABLA_BASE[[#This Row],[TOTAL PAGO
SUNAT
UNIT.(US$)]]*'📋 Datos Generales'!$E$19</f>
        <v>0</v>
      </c>
      <c r="AF266" s="281">
        <f>TABLA_BASE[[#This Row],[TOTAL TRIB.
UNIT.(S/.)]]*TABLA_BASE[[#This Row],[CANTIDAD
(unid.)]]</f>
        <v>0</v>
      </c>
      <c r="AG266" s="279">
        <f>IF('🧾 Factura Comercial'!G270=0,0,'📦 Gastos Importación'!$E$28*(IF('🧾 Tributos Aduana'!$F$6=0,0,'🧾 Factura Comercial'!I270/'🧾 Tributos Aduana'!$F$6))/'🧾 Factura Comercial'!G270)</f>
        <v>0</v>
      </c>
      <c r="AH266" s="279">
        <f>TABLA_BASE[[#This Row],[GASTOS IMP.
UNIT.(US$)]]*TABLA_BASE[[#This Row],[CANTIDAD
(unid.)]]</f>
        <v>0</v>
      </c>
      <c r="AI266" s="281">
        <f>TABLA_BASE[[#This Row],[GASTOS IMP.
UNIT.(US$)]]*'📋 Datos Generales'!$E$19</f>
        <v>0</v>
      </c>
      <c r="AJ266" s="281">
        <f>TABLA_BASE[[#This Row],[GASTOS IMP.
UNIT.(S/.)]]*TABLA_BASE[[#This Row],[CANTIDAD
(unid.)]]</f>
        <v>0</v>
      </c>
      <c r="AK266" s="280">
        <f>'🧮 Costos x Producto'!J270</f>
        <v>0</v>
      </c>
      <c r="AL266" s="278">
        <f>'🧮 Costos x Producto'!K270</f>
        <v>0</v>
      </c>
      <c r="AM266" s="278">
        <f>TABLA_BASE[[#This Row],[C/M UNIT.
(S/.)]]*TABLA_BASE[[#This Row],[CANTIDAD
(unid.)]]</f>
        <v>0</v>
      </c>
      <c r="AN266" s="279">
        <f>IF('🧾 Factura Comercial'!G270=0,0,'🧾 Tributos Aduana'!$F$17*(IF('🧾 Tributos Aduana'!$F$6=0,0,'🧾 Factura Comercial'!I270/'🧾 Tributos Aduana'!$F$6))/'🧾 Factura Comercial'!G270)</f>
        <v>0</v>
      </c>
      <c r="AO266" s="280">
        <f>IF('🧾 Factura Comercial'!G270=0,0,'🏦 Crédito Fiscal'!$C$16*(IF('🧾 Tributos Aduana'!$F$6=0,0,'🧾 Factura Comercial'!I270/'🧾 Tributos Aduana'!$F$6))/'🧾 Factura Comercial'!G270)</f>
        <v>0</v>
      </c>
      <c r="AP266" s="278">
        <f>TABLA_BASE[[#This Row],[CF UNIT.
✅RECUP.
(US$)]]*'📋 Datos Generales'!$E$19</f>
        <v>0</v>
      </c>
      <c r="AQ266" s="278">
        <f>TABLA_BASE[[#This Row],[CF UNIT.
✅RECUP.(S/.)]]*TABLA_BASE[[#This Row],[CANTIDAD
(unid.)]]</f>
        <v>0</v>
      </c>
      <c r="AR266" s="288">
        <f>'💰 Precio de Venta'!G271</f>
        <v>0.4</v>
      </c>
      <c r="AS266" s="278">
        <f>'💰 Precio de Venta'!H271</f>
        <v>0</v>
      </c>
      <c r="AT266" s="278">
        <f>TABLA_BASE[[#This Row],[VALOR VTA.
UNIT.(S/.)]]*TABLA_BASE[[#This Row],[CANTIDAD
(unid.)]]</f>
        <v>0</v>
      </c>
      <c r="AU266" s="281">
        <f>'💰 Precio de Venta'!I271</f>
        <v>0</v>
      </c>
      <c r="AV266" s="278">
        <f>'💰 Precio de Venta'!J271</f>
        <v>0</v>
      </c>
      <c r="AW266" s="278">
        <f>TABLA_BASE[[#This Row],[GANANCIA
UNIT.(S/.)]]*TABLA_BASE[[#This Row],[CANTIDAD
(unid.)]]</f>
        <v>0</v>
      </c>
      <c r="AX266" s="289">
        <f>'💰 Precio de Venta'!K271</f>
        <v>0</v>
      </c>
      <c r="AY266" s="278">
        <f>TABLA_BASE[[#This Row],[GANANCIA
UNIT.(S/.)]]*'🧾 Factura Comercial'!G270</f>
        <v>0</v>
      </c>
      <c r="AZ266" s="277">
        <f>IF(TABLA_BASE[[#This Row],[PRECIO VTA.
c/IGV(S/.)]]=0,0,TABLA_BASE[[#This Row],[GANANCIA
UNIT.(S/.)]]/TABLA_BASE[[#This Row],[PRECIO VTA.
c/IGV(S/.)]])</f>
        <v>0</v>
      </c>
      <c r="BA266" s="277">
        <f>IF(TABLA_BASE[[#This Row],[C/M UNIT.
(S/.)]]=0,0,TABLA_BASE[[#This Row],[GANANCIA
UNIT.(S/.)]]/TABLA_BASE[[#This Row],[C/M UNIT.
(S/.)]])</f>
        <v>0</v>
      </c>
      <c r="BB266" s="274" t="str">
        <f>IF(TABLA_BASE[[#This Row],[MARGEN
%]]&gt;=0.5,"🟢 ALTO",IF(TABLA_BASE[[#This Row],[MARGEN
%]]&gt;=0.3,"🟡 MEDIO","🔴 BAJO"))</f>
        <v>🟡 MEDIO</v>
      </c>
    </row>
    <row r="267" spans="1:54" ht="16.5" hidden="1" thickTop="1" thickBot="1" x14ac:dyDescent="0.3">
      <c r="A267" s="274">
        <f>'🧾 Factura Comercial'!E271</f>
        <v>0</v>
      </c>
      <c r="B267" s="274" t="str">
        <f>'🧾 Factura Comercial'!F271</f>
        <v>Unid.</v>
      </c>
      <c r="C267" s="275">
        <f>'🧾 Factura Comercial'!G271</f>
        <v>0</v>
      </c>
      <c r="D267" s="276">
        <f>'🧾 Factura Comercial'!H271</f>
        <v>0</v>
      </c>
      <c r="E267" s="276">
        <f>'🧾 Factura Comercial'!I271</f>
        <v>0</v>
      </c>
      <c r="F267" s="277">
        <f>IF('🧾 Tributos Aduana'!$F$6=0,0,'🧾 Factura Comercial'!I271/'🧾 Tributos Aduana'!$F$6)</f>
        <v>0</v>
      </c>
      <c r="G267" s="278">
        <f>'🧾 Factura Comercial'!H271*'📋 Datos Generales'!$E$19</f>
        <v>0</v>
      </c>
      <c r="H267" s="278">
        <f>TABLA_BASE[[#This Row],[FOB UNIT.
(S/.)]]*TABLA_BASE[[#This Row],[CANTIDAD
(unid.)]]</f>
        <v>0</v>
      </c>
      <c r="I267" s="280">
        <f>IF('🧾 Tributos Aduana'!$F$6=0,0,'🧾 Tributos Aduana'!$F$17*('🧾 Factura Comercial'!H271/'🧾 Tributos Aduana'!$F$6))</f>
        <v>0</v>
      </c>
      <c r="J267" s="280">
        <f>TABLA_BASE[[#This Row],[ADV UNIT.
(US$)
⚠️COSTO]]*TABLA_BASE[[#This Row],[CANTIDAD
(unid.)]]</f>
        <v>0</v>
      </c>
      <c r="K267" s="279">
        <f>IF('🧾 Tributos Aduana'!$F$6=0,0,'🧾 Tributos Aduana'!$F$18*('🧾 Factura Comercial'!H271/'🧾 Tributos Aduana'!$F$6))</f>
        <v>0</v>
      </c>
      <c r="L267" s="280">
        <f>TABLA_BASE[[#This Row],[IPM UNIT.
(US$)
✅CF]]*TABLA_BASE[[#This Row],[CANTIDAD
(unid.)]]</f>
        <v>0</v>
      </c>
      <c r="M267" s="279">
        <f>IF('🧾 Tributos Aduana'!$F$6=0,0,'🧾 Tributos Aduana'!$F$19*('🧾 Factura Comercial'!H271/'🧾 Tributos Aduana'!$F$6))</f>
        <v>0</v>
      </c>
      <c r="N267" s="280">
        <f>TABLA_BASE[[#This Row],[IGV UNIT.
(US$)
✅CF]]*TABLA_BASE[[#This Row],[CANTIDAD
(unid.)]]</f>
        <v>0</v>
      </c>
      <c r="O267" s="280">
        <f>IF('🧾 Tributos Aduana'!$F$6=0,0,'🧾 Tributos Aduana'!$F$23*('🧾 Factura Comercial'!H271/'🧾 Tributos Aduana'!$F$6))</f>
        <v>0</v>
      </c>
      <c r="P267" s="280">
        <f>TABLA_BASE[[#This Row],[PERCEP.
UNIT.(US$)
✅CF]]*TABLA_BASE[[#This Row],[CANTIDAD
(unid.)]]</f>
        <v>0</v>
      </c>
      <c r="Q267" s="279">
        <f>TABLA_BASE[[#This Row],[ADV UNIT.
(US$)
⚠️COSTO]]+TABLA_BASE[[#This Row],[IPM UNIT.
(US$)
✅CF]]+TABLA_BASE[[#This Row],[IGV UNIT.
(US$)
✅CF]]</f>
        <v>0</v>
      </c>
      <c r="R267" s="280">
        <f>TABLA_BASE[[#This Row],[DEUDA
ADUANERA
UNIT.]]*TABLA_BASE[[#This Row],[CANTIDAD
(unid.)]]</f>
        <v>0</v>
      </c>
      <c r="S267" s="278">
        <f>TABLA_BASE[[#This Row],[DEUDA
ADUANERA
UNIT.]]*'📋 Datos Generales'!$E$19</f>
        <v>0</v>
      </c>
      <c r="T267" s="278">
        <f>TABLA_BASE[[#This Row],[DEUDA
ADUANERA
TOTAL]]*'📋 Datos Generales'!$E$19</f>
        <v>0</v>
      </c>
      <c r="U267" s="281">
        <f>TABLA_BASE[[#This Row],[ADV UNIT.
(US$)
⚠️COSTO]]*'📋 Datos Generales'!$E$19</f>
        <v>0</v>
      </c>
      <c r="V267" s="281">
        <f>TABLA_BASE[[#This Row],[ADV UNIT.
(S/.)]]*TABLA_BASE[[#This Row],[CANTIDAD
(unid.)]]</f>
        <v>0</v>
      </c>
      <c r="W267" s="281">
        <f>TABLA_BASE[[#This Row],[IPM UNIT.
(US$)
✅CF]]*'📋 Datos Generales'!$E$19</f>
        <v>0</v>
      </c>
      <c r="X267" s="281">
        <f>TABLA_BASE[[#This Row],[IPM UNIT.
(S/.)]]*TABLA_BASE[[#This Row],[CANTIDAD
(unid.)]]</f>
        <v>0</v>
      </c>
      <c r="Y267" s="281">
        <f>TABLA_BASE[[#This Row],[IGV UNIT.
(US$)
✅CF]]*'📋 Datos Generales'!$E$19</f>
        <v>0</v>
      </c>
      <c r="Z267" s="281">
        <f>TABLA_BASE[[#This Row],[IGV UNIT.
(S/.)]]*TABLA_BASE[[#This Row],[CANTIDAD
(unid.)]]</f>
        <v>0</v>
      </c>
      <c r="AA267" s="281">
        <f>TABLA_BASE[[#This Row],[PERCEP.
UNIT.(US$)
✅CF]]*'📋 Datos Generales'!$E$19</f>
        <v>0</v>
      </c>
      <c r="AB267" s="281">
        <f>TABLA_BASE[[#This Row],[PERCEP.
UNIT.(S/.)]]*TABLA_BASE[[#This Row],[CANTIDAD
(unid.)]]</f>
        <v>0</v>
      </c>
      <c r="AC267" s="279">
        <f>TABLA_BASE[[#This Row],[ADV UNIT.
(US$)
⚠️COSTO]]+TABLA_BASE[[#This Row],[IPM UNIT.
(US$)
✅CF]]+TABLA_BASE[[#This Row],[IGV UNIT.
(US$)
✅CF]]+TABLA_BASE[[#This Row],[PERCEP.
UNIT.(US$)
✅CF]]</f>
        <v>0</v>
      </c>
      <c r="AD267" s="279">
        <f>TABLA_BASE[[#This Row],[TOTAL PAGO
SUNAT
UNIT.(US$)]]*TABLA_BASE[[#This Row],[CANTIDAD
(unid.)]]</f>
        <v>0</v>
      </c>
      <c r="AE267" s="281">
        <f>TABLA_BASE[[#This Row],[TOTAL PAGO
SUNAT
UNIT.(US$)]]*'📋 Datos Generales'!$E$19</f>
        <v>0</v>
      </c>
      <c r="AF267" s="281">
        <f>TABLA_BASE[[#This Row],[TOTAL TRIB.
UNIT.(S/.)]]*TABLA_BASE[[#This Row],[CANTIDAD
(unid.)]]</f>
        <v>0</v>
      </c>
      <c r="AG267" s="279">
        <f>IF('🧾 Factura Comercial'!G271=0,0,'📦 Gastos Importación'!$E$28*(IF('🧾 Tributos Aduana'!$F$6=0,0,'🧾 Factura Comercial'!I271/'🧾 Tributos Aduana'!$F$6))/'🧾 Factura Comercial'!G271)</f>
        <v>0</v>
      </c>
      <c r="AH267" s="279">
        <f>TABLA_BASE[[#This Row],[GASTOS IMP.
UNIT.(US$)]]*TABLA_BASE[[#This Row],[CANTIDAD
(unid.)]]</f>
        <v>0</v>
      </c>
      <c r="AI267" s="281">
        <f>TABLA_BASE[[#This Row],[GASTOS IMP.
UNIT.(US$)]]*'📋 Datos Generales'!$E$19</f>
        <v>0</v>
      </c>
      <c r="AJ267" s="281">
        <f>TABLA_BASE[[#This Row],[GASTOS IMP.
UNIT.(S/.)]]*TABLA_BASE[[#This Row],[CANTIDAD
(unid.)]]</f>
        <v>0</v>
      </c>
      <c r="AK267" s="280">
        <f>'🧮 Costos x Producto'!J271</f>
        <v>0</v>
      </c>
      <c r="AL267" s="278">
        <f>'🧮 Costos x Producto'!K271</f>
        <v>0</v>
      </c>
      <c r="AM267" s="278">
        <f>TABLA_BASE[[#This Row],[C/M UNIT.
(S/.)]]*TABLA_BASE[[#This Row],[CANTIDAD
(unid.)]]</f>
        <v>0</v>
      </c>
      <c r="AN267" s="279">
        <f>IF('🧾 Factura Comercial'!G271=0,0,'🧾 Tributos Aduana'!$F$17*(IF('🧾 Tributos Aduana'!$F$6=0,0,'🧾 Factura Comercial'!I271/'🧾 Tributos Aduana'!$F$6))/'🧾 Factura Comercial'!G271)</f>
        <v>0</v>
      </c>
      <c r="AO267" s="280">
        <f>IF('🧾 Factura Comercial'!G271=0,0,'🏦 Crédito Fiscal'!$C$16*(IF('🧾 Tributos Aduana'!$F$6=0,0,'🧾 Factura Comercial'!I271/'🧾 Tributos Aduana'!$F$6))/'🧾 Factura Comercial'!G271)</f>
        <v>0</v>
      </c>
      <c r="AP267" s="278">
        <f>TABLA_BASE[[#This Row],[CF UNIT.
✅RECUP.
(US$)]]*'📋 Datos Generales'!$E$19</f>
        <v>0</v>
      </c>
      <c r="AQ267" s="278">
        <f>TABLA_BASE[[#This Row],[CF UNIT.
✅RECUP.(S/.)]]*TABLA_BASE[[#This Row],[CANTIDAD
(unid.)]]</f>
        <v>0</v>
      </c>
      <c r="AR267" s="288">
        <f>'💰 Precio de Venta'!G272</f>
        <v>0.4</v>
      </c>
      <c r="AS267" s="278">
        <f>'💰 Precio de Venta'!H272</f>
        <v>0</v>
      </c>
      <c r="AT267" s="278">
        <f>TABLA_BASE[[#This Row],[VALOR VTA.
UNIT.(S/.)]]*TABLA_BASE[[#This Row],[CANTIDAD
(unid.)]]</f>
        <v>0</v>
      </c>
      <c r="AU267" s="281">
        <f>'💰 Precio de Venta'!I272</f>
        <v>0</v>
      </c>
      <c r="AV267" s="278">
        <f>'💰 Precio de Venta'!J272</f>
        <v>0</v>
      </c>
      <c r="AW267" s="278">
        <f>TABLA_BASE[[#This Row],[GANANCIA
UNIT.(S/.)]]*TABLA_BASE[[#This Row],[CANTIDAD
(unid.)]]</f>
        <v>0</v>
      </c>
      <c r="AX267" s="289">
        <f>'💰 Precio de Venta'!K272</f>
        <v>0</v>
      </c>
      <c r="AY267" s="278">
        <f>TABLA_BASE[[#This Row],[GANANCIA
UNIT.(S/.)]]*'🧾 Factura Comercial'!G271</f>
        <v>0</v>
      </c>
      <c r="AZ267" s="277">
        <f>IF(TABLA_BASE[[#This Row],[PRECIO VTA.
c/IGV(S/.)]]=0,0,TABLA_BASE[[#This Row],[GANANCIA
UNIT.(S/.)]]/TABLA_BASE[[#This Row],[PRECIO VTA.
c/IGV(S/.)]])</f>
        <v>0</v>
      </c>
      <c r="BA267" s="277">
        <f>IF(TABLA_BASE[[#This Row],[C/M UNIT.
(S/.)]]=0,0,TABLA_BASE[[#This Row],[GANANCIA
UNIT.(S/.)]]/TABLA_BASE[[#This Row],[C/M UNIT.
(S/.)]])</f>
        <v>0</v>
      </c>
      <c r="BB267" s="274" t="str">
        <f>IF(TABLA_BASE[[#This Row],[MARGEN
%]]&gt;=0.5,"🟢 ALTO",IF(TABLA_BASE[[#This Row],[MARGEN
%]]&gt;=0.3,"🟡 MEDIO","🔴 BAJO"))</f>
        <v>🟡 MEDIO</v>
      </c>
    </row>
    <row r="268" spans="1:54" ht="16.5" hidden="1" thickTop="1" thickBot="1" x14ac:dyDescent="0.3">
      <c r="A268" s="274">
        <f>'🧾 Factura Comercial'!E272</f>
        <v>0</v>
      </c>
      <c r="B268" s="274" t="str">
        <f>'🧾 Factura Comercial'!F272</f>
        <v>Unid.</v>
      </c>
      <c r="C268" s="275">
        <f>'🧾 Factura Comercial'!G272</f>
        <v>0</v>
      </c>
      <c r="D268" s="276">
        <f>'🧾 Factura Comercial'!H272</f>
        <v>0</v>
      </c>
      <c r="E268" s="276">
        <f>'🧾 Factura Comercial'!I272</f>
        <v>0</v>
      </c>
      <c r="F268" s="277">
        <f>IF('🧾 Tributos Aduana'!$F$6=0,0,'🧾 Factura Comercial'!I272/'🧾 Tributos Aduana'!$F$6)</f>
        <v>0</v>
      </c>
      <c r="G268" s="278">
        <f>'🧾 Factura Comercial'!H272*'📋 Datos Generales'!$E$19</f>
        <v>0</v>
      </c>
      <c r="H268" s="278">
        <f>TABLA_BASE[[#This Row],[FOB UNIT.
(S/.)]]*TABLA_BASE[[#This Row],[CANTIDAD
(unid.)]]</f>
        <v>0</v>
      </c>
      <c r="I268" s="280">
        <f>IF('🧾 Tributos Aduana'!$F$6=0,0,'🧾 Tributos Aduana'!$F$17*('🧾 Factura Comercial'!H272/'🧾 Tributos Aduana'!$F$6))</f>
        <v>0</v>
      </c>
      <c r="J268" s="280">
        <f>TABLA_BASE[[#This Row],[ADV UNIT.
(US$)
⚠️COSTO]]*TABLA_BASE[[#This Row],[CANTIDAD
(unid.)]]</f>
        <v>0</v>
      </c>
      <c r="K268" s="279">
        <f>IF('🧾 Tributos Aduana'!$F$6=0,0,'🧾 Tributos Aduana'!$F$18*('🧾 Factura Comercial'!H272/'🧾 Tributos Aduana'!$F$6))</f>
        <v>0</v>
      </c>
      <c r="L268" s="280">
        <f>TABLA_BASE[[#This Row],[IPM UNIT.
(US$)
✅CF]]*TABLA_BASE[[#This Row],[CANTIDAD
(unid.)]]</f>
        <v>0</v>
      </c>
      <c r="M268" s="279">
        <f>IF('🧾 Tributos Aduana'!$F$6=0,0,'🧾 Tributos Aduana'!$F$19*('🧾 Factura Comercial'!H272/'🧾 Tributos Aduana'!$F$6))</f>
        <v>0</v>
      </c>
      <c r="N268" s="280">
        <f>TABLA_BASE[[#This Row],[IGV UNIT.
(US$)
✅CF]]*TABLA_BASE[[#This Row],[CANTIDAD
(unid.)]]</f>
        <v>0</v>
      </c>
      <c r="O268" s="280">
        <f>IF('🧾 Tributos Aduana'!$F$6=0,0,'🧾 Tributos Aduana'!$F$23*('🧾 Factura Comercial'!H272/'🧾 Tributos Aduana'!$F$6))</f>
        <v>0</v>
      </c>
      <c r="P268" s="280">
        <f>TABLA_BASE[[#This Row],[PERCEP.
UNIT.(US$)
✅CF]]*TABLA_BASE[[#This Row],[CANTIDAD
(unid.)]]</f>
        <v>0</v>
      </c>
      <c r="Q268" s="279">
        <f>TABLA_BASE[[#This Row],[ADV UNIT.
(US$)
⚠️COSTO]]+TABLA_BASE[[#This Row],[IPM UNIT.
(US$)
✅CF]]+TABLA_BASE[[#This Row],[IGV UNIT.
(US$)
✅CF]]</f>
        <v>0</v>
      </c>
      <c r="R268" s="280">
        <f>TABLA_BASE[[#This Row],[DEUDA
ADUANERA
UNIT.]]*TABLA_BASE[[#This Row],[CANTIDAD
(unid.)]]</f>
        <v>0</v>
      </c>
      <c r="S268" s="278">
        <f>TABLA_BASE[[#This Row],[DEUDA
ADUANERA
UNIT.]]*'📋 Datos Generales'!$E$19</f>
        <v>0</v>
      </c>
      <c r="T268" s="278">
        <f>TABLA_BASE[[#This Row],[DEUDA
ADUANERA
TOTAL]]*'📋 Datos Generales'!$E$19</f>
        <v>0</v>
      </c>
      <c r="U268" s="281">
        <f>TABLA_BASE[[#This Row],[ADV UNIT.
(US$)
⚠️COSTO]]*'📋 Datos Generales'!$E$19</f>
        <v>0</v>
      </c>
      <c r="V268" s="281">
        <f>TABLA_BASE[[#This Row],[ADV UNIT.
(S/.)]]*TABLA_BASE[[#This Row],[CANTIDAD
(unid.)]]</f>
        <v>0</v>
      </c>
      <c r="W268" s="281">
        <f>TABLA_BASE[[#This Row],[IPM UNIT.
(US$)
✅CF]]*'📋 Datos Generales'!$E$19</f>
        <v>0</v>
      </c>
      <c r="X268" s="281">
        <f>TABLA_BASE[[#This Row],[IPM UNIT.
(S/.)]]*TABLA_BASE[[#This Row],[CANTIDAD
(unid.)]]</f>
        <v>0</v>
      </c>
      <c r="Y268" s="281">
        <f>TABLA_BASE[[#This Row],[IGV UNIT.
(US$)
✅CF]]*'📋 Datos Generales'!$E$19</f>
        <v>0</v>
      </c>
      <c r="Z268" s="281">
        <f>TABLA_BASE[[#This Row],[IGV UNIT.
(S/.)]]*TABLA_BASE[[#This Row],[CANTIDAD
(unid.)]]</f>
        <v>0</v>
      </c>
      <c r="AA268" s="281">
        <f>TABLA_BASE[[#This Row],[PERCEP.
UNIT.(US$)
✅CF]]*'📋 Datos Generales'!$E$19</f>
        <v>0</v>
      </c>
      <c r="AB268" s="281">
        <f>TABLA_BASE[[#This Row],[PERCEP.
UNIT.(S/.)]]*TABLA_BASE[[#This Row],[CANTIDAD
(unid.)]]</f>
        <v>0</v>
      </c>
      <c r="AC268" s="279">
        <f>TABLA_BASE[[#This Row],[ADV UNIT.
(US$)
⚠️COSTO]]+TABLA_BASE[[#This Row],[IPM UNIT.
(US$)
✅CF]]+TABLA_BASE[[#This Row],[IGV UNIT.
(US$)
✅CF]]+TABLA_BASE[[#This Row],[PERCEP.
UNIT.(US$)
✅CF]]</f>
        <v>0</v>
      </c>
      <c r="AD268" s="279">
        <f>TABLA_BASE[[#This Row],[TOTAL PAGO
SUNAT
UNIT.(US$)]]*TABLA_BASE[[#This Row],[CANTIDAD
(unid.)]]</f>
        <v>0</v>
      </c>
      <c r="AE268" s="281">
        <f>TABLA_BASE[[#This Row],[TOTAL PAGO
SUNAT
UNIT.(US$)]]*'📋 Datos Generales'!$E$19</f>
        <v>0</v>
      </c>
      <c r="AF268" s="281">
        <f>TABLA_BASE[[#This Row],[TOTAL TRIB.
UNIT.(S/.)]]*TABLA_BASE[[#This Row],[CANTIDAD
(unid.)]]</f>
        <v>0</v>
      </c>
      <c r="AG268" s="279">
        <f>IF('🧾 Factura Comercial'!G272=0,0,'📦 Gastos Importación'!$E$28*(IF('🧾 Tributos Aduana'!$F$6=0,0,'🧾 Factura Comercial'!I272/'🧾 Tributos Aduana'!$F$6))/'🧾 Factura Comercial'!G272)</f>
        <v>0</v>
      </c>
      <c r="AH268" s="279">
        <f>TABLA_BASE[[#This Row],[GASTOS IMP.
UNIT.(US$)]]*TABLA_BASE[[#This Row],[CANTIDAD
(unid.)]]</f>
        <v>0</v>
      </c>
      <c r="AI268" s="281">
        <f>TABLA_BASE[[#This Row],[GASTOS IMP.
UNIT.(US$)]]*'📋 Datos Generales'!$E$19</f>
        <v>0</v>
      </c>
      <c r="AJ268" s="281">
        <f>TABLA_BASE[[#This Row],[GASTOS IMP.
UNIT.(S/.)]]*TABLA_BASE[[#This Row],[CANTIDAD
(unid.)]]</f>
        <v>0</v>
      </c>
      <c r="AK268" s="280">
        <f>'🧮 Costos x Producto'!J272</f>
        <v>0</v>
      </c>
      <c r="AL268" s="278">
        <f>'🧮 Costos x Producto'!K272</f>
        <v>0</v>
      </c>
      <c r="AM268" s="278">
        <f>TABLA_BASE[[#This Row],[C/M UNIT.
(S/.)]]*TABLA_BASE[[#This Row],[CANTIDAD
(unid.)]]</f>
        <v>0</v>
      </c>
      <c r="AN268" s="279">
        <f>IF('🧾 Factura Comercial'!G272=0,0,'🧾 Tributos Aduana'!$F$17*(IF('🧾 Tributos Aduana'!$F$6=0,0,'🧾 Factura Comercial'!I272/'🧾 Tributos Aduana'!$F$6))/'🧾 Factura Comercial'!G272)</f>
        <v>0</v>
      </c>
      <c r="AO268" s="280">
        <f>IF('🧾 Factura Comercial'!G272=0,0,'🏦 Crédito Fiscal'!$C$16*(IF('🧾 Tributos Aduana'!$F$6=0,0,'🧾 Factura Comercial'!I272/'🧾 Tributos Aduana'!$F$6))/'🧾 Factura Comercial'!G272)</f>
        <v>0</v>
      </c>
      <c r="AP268" s="278">
        <f>TABLA_BASE[[#This Row],[CF UNIT.
✅RECUP.
(US$)]]*'📋 Datos Generales'!$E$19</f>
        <v>0</v>
      </c>
      <c r="AQ268" s="278">
        <f>TABLA_BASE[[#This Row],[CF UNIT.
✅RECUP.(S/.)]]*TABLA_BASE[[#This Row],[CANTIDAD
(unid.)]]</f>
        <v>0</v>
      </c>
      <c r="AR268" s="288">
        <f>'💰 Precio de Venta'!G273</f>
        <v>0.4</v>
      </c>
      <c r="AS268" s="278">
        <f>'💰 Precio de Venta'!H273</f>
        <v>0</v>
      </c>
      <c r="AT268" s="278">
        <f>TABLA_BASE[[#This Row],[VALOR VTA.
UNIT.(S/.)]]*TABLA_BASE[[#This Row],[CANTIDAD
(unid.)]]</f>
        <v>0</v>
      </c>
      <c r="AU268" s="281">
        <f>'💰 Precio de Venta'!I273</f>
        <v>0</v>
      </c>
      <c r="AV268" s="278">
        <f>'💰 Precio de Venta'!J273</f>
        <v>0</v>
      </c>
      <c r="AW268" s="278">
        <f>TABLA_BASE[[#This Row],[GANANCIA
UNIT.(S/.)]]*TABLA_BASE[[#This Row],[CANTIDAD
(unid.)]]</f>
        <v>0</v>
      </c>
      <c r="AX268" s="289">
        <f>'💰 Precio de Venta'!K273</f>
        <v>0</v>
      </c>
      <c r="AY268" s="278">
        <f>TABLA_BASE[[#This Row],[GANANCIA
UNIT.(S/.)]]*'🧾 Factura Comercial'!G272</f>
        <v>0</v>
      </c>
      <c r="AZ268" s="277">
        <f>IF(TABLA_BASE[[#This Row],[PRECIO VTA.
c/IGV(S/.)]]=0,0,TABLA_BASE[[#This Row],[GANANCIA
UNIT.(S/.)]]/TABLA_BASE[[#This Row],[PRECIO VTA.
c/IGV(S/.)]])</f>
        <v>0</v>
      </c>
      <c r="BA268" s="277">
        <f>IF(TABLA_BASE[[#This Row],[C/M UNIT.
(S/.)]]=0,0,TABLA_BASE[[#This Row],[GANANCIA
UNIT.(S/.)]]/TABLA_BASE[[#This Row],[C/M UNIT.
(S/.)]])</f>
        <v>0</v>
      </c>
      <c r="BB268" s="274" t="str">
        <f>IF(TABLA_BASE[[#This Row],[MARGEN
%]]&gt;=0.5,"🟢 ALTO",IF(TABLA_BASE[[#This Row],[MARGEN
%]]&gt;=0.3,"🟡 MEDIO","🔴 BAJO"))</f>
        <v>🟡 MEDIO</v>
      </c>
    </row>
    <row r="269" spans="1:54" ht="16.5" hidden="1" thickTop="1" thickBot="1" x14ac:dyDescent="0.3">
      <c r="A269" s="274">
        <f>'🧾 Factura Comercial'!E273</f>
        <v>0</v>
      </c>
      <c r="B269" s="274" t="str">
        <f>'🧾 Factura Comercial'!F273</f>
        <v>Unid.</v>
      </c>
      <c r="C269" s="275">
        <f>'🧾 Factura Comercial'!G273</f>
        <v>0</v>
      </c>
      <c r="D269" s="276">
        <f>'🧾 Factura Comercial'!H273</f>
        <v>0</v>
      </c>
      <c r="E269" s="276">
        <f>'🧾 Factura Comercial'!I273</f>
        <v>0</v>
      </c>
      <c r="F269" s="277">
        <f>IF('🧾 Tributos Aduana'!$F$6=0,0,'🧾 Factura Comercial'!I273/'🧾 Tributos Aduana'!$F$6)</f>
        <v>0</v>
      </c>
      <c r="G269" s="278">
        <f>'🧾 Factura Comercial'!H273*'📋 Datos Generales'!$E$19</f>
        <v>0</v>
      </c>
      <c r="H269" s="278">
        <f>TABLA_BASE[[#This Row],[FOB UNIT.
(S/.)]]*TABLA_BASE[[#This Row],[CANTIDAD
(unid.)]]</f>
        <v>0</v>
      </c>
      <c r="I269" s="280">
        <f>IF('🧾 Tributos Aduana'!$F$6=0,0,'🧾 Tributos Aduana'!$F$17*('🧾 Factura Comercial'!H273/'🧾 Tributos Aduana'!$F$6))</f>
        <v>0</v>
      </c>
      <c r="J269" s="280">
        <f>TABLA_BASE[[#This Row],[ADV UNIT.
(US$)
⚠️COSTO]]*TABLA_BASE[[#This Row],[CANTIDAD
(unid.)]]</f>
        <v>0</v>
      </c>
      <c r="K269" s="279">
        <f>IF('🧾 Tributos Aduana'!$F$6=0,0,'🧾 Tributos Aduana'!$F$18*('🧾 Factura Comercial'!H273/'🧾 Tributos Aduana'!$F$6))</f>
        <v>0</v>
      </c>
      <c r="L269" s="280">
        <f>TABLA_BASE[[#This Row],[IPM UNIT.
(US$)
✅CF]]*TABLA_BASE[[#This Row],[CANTIDAD
(unid.)]]</f>
        <v>0</v>
      </c>
      <c r="M269" s="279">
        <f>IF('🧾 Tributos Aduana'!$F$6=0,0,'🧾 Tributos Aduana'!$F$19*('🧾 Factura Comercial'!H273/'🧾 Tributos Aduana'!$F$6))</f>
        <v>0</v>
      </c>
      <c r="N269" s="280">
        <f>TABLA_BASE[[#This Row],[IGV UNIT.
(US$)
✅CF]]*TABLA_BASE[[#This Row],[CANTIDAD
(unid.)]]</f>
        <v>0</v>
      </c>
      <c r="O269" s="280">
        <f>IF('🧾 Tributos Aduana'!$F$6=0,0,'🧾 Tributos Aduana'!$F$23*('🧾 Factura Comercial'!H273/'🧾 Tributos Aduana'!$F$6))</f>
        <v>0</v>
      </c>
      <c r="P269" s="280">
        <f>TABLA_BASE[[#This Row],[PERCEP.
UNIT.(US$)
✅CF]]*TABLA_BASE[[#This Row],[CANTIDAD
(unid.)]]</f>
        <v>0</v>
      </c>
      <c r="Q269" s="279">
        <f>TABLA_BASE[[#This Row],[ADV UNIT.
(US$)
⚠️COSTO]]+TABLA_BASE[[#This Row],[IPM UNIT.
(US$)
✅CF]]+TABLA_BASE[[#This Row],[IGV UNIT.
(US$)
✅CF]]</f>
        <v>0</v>
      </c>
      <c r="R269" s="280">
        <f>TABLA_BASE[[#This Row],[DEUDA
ADUANERA
UNIT.]]*TABLA_BASE[[#This Row],[CANTIDAD
(unid.)]]</f>
        <v>0</v>
      </c>
      <c r="S269" s="278">
        <f>TABLA_BASE[[#This Row],[DEUDA
ADUANERA
UNIT.]]*'📋 Datos Generales'!$E$19</f>
        <v>0</v>
      </c>
      <c r="T269" s="278">
        <f>TABLA_BASE[[#This Row],[DEUDA
ADUANERA
TOTAL]]*'📋 Datos Generales'!$E$19</f>
        <v>0</v>
      </c>
      <c r="U269" s="281">
        <f>TABLA_BASE[[#This Row],[ADV UNIT.
(US$)
⚠️COSTO]]*'📋 Datos Generales'!$E$19</f>
        <v>0</v>
      </c>
      <c r="V269" s="281">
        <f>TABLA_BASE[[#This Row],[ADV UNIT.
(S/.)]]*TABLA_BASE[[#This Row],[CANTIDAD
(unid.)]]</f>
        <v>0</v>
      </c>
      <c r="W269" s="281">
        <f>TABLA_BASE[[#This Row],[IPM UNIT.
(US$)
✅CF]]*'📋 Datos Generales'!$E$19</f>
        <v>0</v>
      </c>
      <c r="X269" s="281">
        <f>TABLA_BASE[[#This Row],[IPM UNIT.
(S/.)]]*TABLA_BASE[[#This Row],[CANTIDAD
(unid.)]]</f>
        <v>0</v>
      </c>
      <c r="Y269" s="281">
        <f>TABLA_BASE[[#This Row],[IGV UNIT.
(US$)
✅CF]]*'📋 Datos Generales'!$E$19</f>
        <v>0</v>
      </c>
      <c r="Z269" s="281">
        <f>TABLA_BASE[[#This Row],[IGV UNIT.
(S/.)]]*TABLA_BASE[[#This Row],[CANTIDAD
(unid.)]]</f>
        <v>0</v>
      </c>
      <c r="AA269" s="281">
        <f>TABLA_BASE[[#This Row],[PERCEP.
UNIT.(US$)
✅CF]]*'📋 Datos Generales'!$E$19</f>
        <v>0</v>
      </c>
      <c r="AB269" s="281">
        <f>TABLA_BASE[[#This Row],[PERCEP.
UNIT.(S/.)]]*TABLA_BASE[[#This Row],[CANTIDAD
(unid.)]]</f>
        <v>0</v>
      </c>
      <c r="AC269" s="279">
        <f>TABLA_BASE[[#This Row],[ADV UNIT.
(US$)
⚠️COSTO]]+TABLA_BASE[[#This Row],[IPM UNIT.
(US$)
✅CF]]+TABLA_BASE[[#This Row],[IGV UNIT.
(US$)
✅CF]]+TABLA_BASE[[#This Row],[PERCEP.
UNIT.(US$)
✅CF]]</f>
        <v>0</v>
      </c>
      <c r="AD269" s="279">
        <f>TABLA_BASE[[#This Row],[TOTAL PAGO
SUNAT
UNIT.(US$)]]*TABLA_BASE[[#This Row],[CANTIDAD
(unid.)]]</f>
        <v>0</v>
      </c>
      <c r="AE269" s="281">
        <f>TABLA_BASE[[#This Row],[TOTAL PAGO
SUNAT
UNIT.(US$)]]*'📋 Datos Generales'!$E$19</f>
        <v>0</v>
      </c>
      <c r="AF269" s="281">
        <f>TABLA_BASE[[#This Row],[TOTAL TRIB.
UNIT.(S/.)]]*TABLA_BASE[[#This Row],[CANTIDAD
(unid.)]]</f>
        <v>0</v>
      </c>
      <c r="AG269" s="279">
        <f>IF('🧾 Factura Comercial'!G273=0,0,'📦 Gastos Importación'!$E$28*(IF('🧾 Tributos Aduana'!$F$6=0,0,'🧾 Factura Comercial'!I273/'🧾 Tributos Aduana'!$F$6))/'🧾 Factura Comercial'!G273)</f>
        <v>0</v>
      </c>
      <c r="AH269" s="279">
        <f>TABLA_BASE[[#This Row],[GASTOS IMP.
UNIT.(US$)]]*TABLA_BASE[[#This Row],[CANTIDAD
(unid.)]]</f>
        <v>0</v>
      </c>
      <c r="AI269" s="281">
        <f>TABLA_BASE[[#This Row],[GASTOS IMP.
UNIT.(US$)]]*'📋 Datos Generales'!$E$19</f>
        <v>0</v>
      </c>
      <c r="AJ269" s="281">
        <f>TABLA_BASE[[#This Row],[GASTOS IMP.
UNIT.(S/.)]]*TABLA_BASE[[#This Row],[CANTIDAD
(unid.)]]</f>
        <v>0</v>
      </c>
      <c r="AK269" s="280">
        <f>'🧮 Costos x Producto'!J273</f>
        <v>0</v>
      </c>
      <c r="AL269" s="278">
        <f>'🧮 Costos x Producto'!K273</f>
        <v>0</v>
      </c>
      <c r="AM269" s="278">
        <f>TABLA_BASE[[#This Row],[C/M UNIT.
(S/.)]]*TABLA_BASE[[#This Row],[CANTIDAD
(unid.)]]</f>
        <v>0</v>
      </c>
      <c r="AN269" s="279">
        <f>IF('🧾 Factura Comercial'!G273=0,0,'🧾 Tributos Aduana'!$F$17*(IF('🧾 Tributos Aduana'!$F$6=0,0,'🧾 Factura Comercial'!I273/'🧾 Tributos Aduana'!$F$6))/'🧾 Factura Comercial'!G273)</f>
        <v>0</v>
      </c>
      <c r="AO269" s="280">
        <f>IF('🧾 Factura Comercial'!G273=0,0,'🏦 Crédito Fiscal'!$C$16*(IF('🧾 Tributos Aduana'!$F$6=0,0,'🧾 Factura Comercial'!I273/'🧾 Tributos Aduana'!$F$6))/'🧾 Factura Comercial'!G273)</f>
        <v>0</v>
      </c>
      <c r="AP269" s="278">
        <f>TABLA_BASE[[#This Row],[CF UNIT.
✅RECUP.
(US$)]]*'📋 Datos Generales'!$E$19</f>
        <v>0</v>
      </c>
      <c r="AQ269" s="278">
        <f>TABLA_BASE[[#This Row],[CF UNIT.
✅RECUP.(S/.)]]*TABLA_BASE[[#This Row],[CANTIDAD
(unid.)]]</f>
        <v>0</v>
      </c>
      <c r="AR269" s="288">
        <f>'💰 Precio de Venta'!G274</f>
        <v>0.4</v>
      </c>
      <c r="AS269" s="278">
        <f>'💰 Precio de Venta'!H274</f>
        <v>0</v>
      </c>
      <c r="AT269" s="278">
        <f>TABLA_BASE[[#This Row],[VALOR VTA.
UNIT.(S/.)]]*TABLA_BASE[[#This Row],[CANTIDAD
(unid.)]]</f>
        <v>0</v>
      </c>
      <c r="AU269" s="281">
        <f>'💰 Precio de Venta'!I274</f>
        <v>0</v>
      </c>
      <c r="AV269" s="278">
        <f>'💰 Precio de Venta'!J274</f>
        <v>0</v>
      </c>
      <c r="AW269" s="278">
        <f>TABLA_BASE[[#This Row],[GANANCIA
UNIT.(S/.)]]*TABLA_BASE[[#This Row],[CANTIDAD
(unid.)]]</f>
        <v>0</v>
      </c>
      <c r="AX269" s="289">
        <f>'💰 Precio de Venta'!K274</f>
        <v>0</v>
      </c>
      <c r="AY269" s="278">
        <f>TABLA_BASE[[#This Row],[GANANCIA
UNIT.(S/.)]]*'🧾 Factura Comercial'!G273</f>
        <v>0</v>
      </c>
      <c r="AZ269" s="277">
        <f>IF(TABLA_BASE[[#This Row],[PRECIO VTA.
c/IGV(S/.)]]=0,0,TABLA_BASE[[#This Row],[GANANCIA
UNIT.(S/.)]]/TABLA_BASE[[#This Row],[PRECIO VTA.
c/IGV(S/.)]])</f>
        <v>0</v>
      </c>
      <c r="BA269" s="277">
        <f>IF(TABLA_BASE[[#This Row],[C/M UNIT.
(S/.)]]=0,0,TABLA_BASE[[#This Row],[GANANCIA
UNIT.(S/.)]]/TABLA_BASE[[#This Row],[C/M UNIT.
(S/.)]])</f>
        <v>0</v>
      </c>
      <c r="BB269" s="274" t="str">
        <f>IF(TABLA_BASE[[#This Row],[MARGEN
%]]&gt;=0.5,"🟢 ALTO",IF(TABLA_BASE[[#This Row],[MARGEN
%]]&gt;=0.3,"🟡 MEDIO","🔴 BAJO"))</f>
        <v>🟡 MEDIO</v>
      </c>
    </row>
    <row r="270" spans="1:54" ht="16.5" hidden="1" thickTop="1" thickBot="1" x14ac:dyDescent="0.3">
      <c r="A270" s="274">
        <f>'🧾 Factura Comercial'!E274</f>
        <v>0</v>
      </c>
      <c r="B270" s="274" t="str">
        <f>'🧾 Factura Comercial'!F274</f>
        <v>Unid.</v>
      </c>
      <c r="C270" s="275">
        <f>'🧾 Factura Comercial'!G274</f>
        <v>0</v>
      </c>
      <c r="D270" s="276">
        <f>'🧾 Factura Comercial'!H274</f>
        <v>0</v>
      </c>
      <c r="E270" s="276">
        <f>'🧾 Factura Comercial'!I274</f>
        <v>0</v>
      </c>
      <c r="F270" s="277">
        <f>IF('🧾 Tributos Aduana'!$F$6=0,0,'🧾 Factura Comercial'!I274/'🧾 Tributos Aduana'!$F$6)</f>
        <v>0</v>
      </c>
      <c r="G270" s="278">
        <f>'🧾 Factura Comercial'!H274*'📋 Datos Generales'!$E$19</f>
        <v>0</v>
      </c>
      <c r="H270" s="278">
        <f>TABLA_BASE[[#This Row],[FOB UNIT.
(S/.)]]*TABLA_BASE[[#This Row],[CANTIDAD
(unid.)]]</f>
        <v>0</v>
      </c>
      <c r="I270" s="280">
        <f>IF('🧾 Tributos Aduana'!$F$6=0,0,'🧾 Tributos Aduana'!$F$17*('🧾 Factura Comercial'!H274/'🧾 Tributos Aduana'!$F$6))</f>
        <v>0</v>
      </c>
      <c r="J270" s="280">
        <f>TABLA_BASE[[#This Row],[ADV UNIT.
(US$)
⚠️COSTO]]*TABLA_BASE[[#This Row],[CANTIDAD
(unid.)]]</f>
        <v>0</v>
      </c>
      <c r="K270" s="279">
        <f>IF('🧾 Tributos Aduana'!$F$6=0,0,'🧾 Tributos Aduana'!$F$18*('🧾 Factura Comercial'!H274/'🧾 Tributos Aduana'!$F$6))</f>
        <v>0</v>
      </c>
      <c r="L270" s="280">
        <f>TABLA_BASE[[#This Row],[IPM UNIT.
(US$)
✅CF]]*TABLA_BASE[[#This Row],[CANTIDAD
(unid.)]]</f>
        <v>0</v>
      </c>
      <c r="M270" s="279">
        <f>IF('🧾 Tributos Aduana'!$F$6=0,0,'🧾 Tributos Aduana'!$F$19*('🧾 Factura Comercial'!H274/'🧾 Tributos Aduana'!$F$6))</f>
        <v>0</v>
      </c>
      <c r="N270" s="280">
        <f>TABLA_BASE[[#This Row],[IGV UNIT.
(US$)
✅CF]]*TABLA_BASE[[#This Row],[CANTIDAD
(unid.)]]</f>
        <v>0</v>
      </c>
      <c r="O270" s="280">
        <f>IF('🧾 Tributos Aduana'!$F$6=0,0,'🧾 Tributos Aduana'!$F$23*('🧾 Factura Comercial'!H274/'🧾 Tributos Aduana'!$F$6))</f>
        <v>0</v>
      </c>
      <c r="P270" s="280">
        <f>TABLA_BASE[[#This Row],[PERCEP.
UNIT.(US$)
✅CF]]*TABLA_BASE[[#This Row],[CANTIDAD
(unid.)]]</f>
        <v>0</v>
      </c>
      <c r="Q270" s="279">
        <f>TABLA_BASE[[#This Row],[ADV UNIT.
(US$)
⚠️COSTO]]+TABLA_BASE[[#This Row],[IPM UNIT.
(US$)
✅CF]]+TABLA_BASE[[#This Row],[IGV UNIT.
(US$)
✅CF]]</f>
        <v>0</v>
      </c>
      <c r="R270" s="280">
        <f>TABLA_BASE[[#This Row],[DEUDA
ADUANERA
UNIT.]]*TABLA_BASE[[#This Row],[CANTIDAD
(unid.)]]</f>
        <v>0</v>
      </c>
      <c r="S270" s="278">
        <f>TABLA_BASE[[#This Row],[DEUDA
ADUANERA
UNIT.]]*'📋 Datos Generales'!$E$19</f>
        <v>0</v>
      </c>
      <c r="T270" s="278">
        <f>TABLA_BASE[[#This Row],[DEUDA
ADUANERA
TOTAL]]*'📋 Datos Generales'!$E$19</f>
        <v>0</v>
      </c>
      <c r="U270" s="281">
        <f>TABLA_BASE[[#This Row],[ADV UNIT.
(US$)
⚠️COSTO]]*'📋 Datos Generales'!$E$19</f>
        <v>0</v>
      </c>
      <c r="V270" s="281">
        <f>TABLA_BASE[[#This Row],[ADV UNIT.
(S/.)]]*TABLA_BASE[[#This Row],[CANTIDAD
(unid.)]]</f>
        <v>0</v>
      </c>
      <c r="W270" s="281">
        <f>TABLA_BASE[[#This Row],[IPM UNIT.
(US$)
✅CF]]*'📋 Datos Generales'!$E$19</f>
        <v>0</v>
      </c>
      <c r="X270" s="281">
        <f>TABLA_BASE[[#This Row],[IPM UNIT.
(S/.)]]*TABLA_BASE[[#This Row],[CANTIDAD
(unid.)]]</f>
        <v>0</v>
      </c>
      <c r="Y270" s="281">
        <f>TABLA_BASE[[#This Row],[IGV UNIT.
(US$)
✅CF]]*'📋 Datos Generales'!$E$19</f>
        <v>0</v>
      </c>
      <c r="Z270" s="281">
        <f>TABLA_BASE[[#This Row],[IGV UNIT.
(S/.)]]*TABLA_BASE[[#This Row],[CANTIDAD
(unid.)]]</f>
        <v>0</v>
      </c>
      <c r="AA270" s="281">
        <f>TABLA_BASE[[#This Row],[PERCEP.
UNIT.(US$)
✅CF]]*'📋 Datos Generales'!$E$19</f>
        <v>0</v>
      </c>
      <c r="AB270" s="281">
        <f>TABLA_BASE[[#This Row],[PERCEP.
UNIT.(S/.)]]*TABLA_BASE[[#This Row],[CANTIDAD
(unid.)]]</f>
        <v>0</v>
      </c>
      <c r="AC270" s="279">
        <f>TABLA_BASE[[#This Row],[ADV UNIT.
(US$)
⚠️COSTO]]+TABLA_BASE[[#This Row],[IPM UNIT.
(US$)
✅CF]]+TABLA_BASE[[#This Row],[IGV UNIT.
(US$)
✅CF]]+TABLA_BASE[[#This Row],[PERCEP.
UNIT.(US$)
✅CF]]</f>
        <v>0</v>
      </c>
      <c r="AD270" s="279">
        <f>TABLA_BASE[[#This Row],[TOTAL PAGO
SUNAT
UNIT.(US$)]]*TABLA_BASE[[#This Row],[CANTIDAD
(unid.)]]</f>
        <v>0</v>
      </c>
      <c r="AE270" s="281">
        <f>TABLA_BASE[[#This Row],[TOTAL PAGO
SUNAT
UNIT.(US$)]]*'📋 Datos Generales'!$E$19</f>
        <v>0</v>
      </c>
      <c r="AF270" s="281">
        <f>TABLA_BASE[[#This Row],[TOTAL TRIB.
UNIT.(S/.)]]*TABLA_BASE[[#This Row],[CANTIDAD
(unid.)]]</f>
        <v>0</v>
      </c>
      <c r="AG270" s="279">
        <f>IF('🧾 Factura Comercial'!G274=0,0,'📦 Gastos Importación'!$E$28*(IF('🧾 Tributos Aduana'!$F$6=0,0,'🧾 Factura Comercial'!I274/'🧾 Tributos Aduana'!$F$6))/'🧾 Factura Comercial'!G274)</f>
        <v>0</v>
      </c>
      <c r="AH270" s="279">
        <f>TABLA_BASE[[#This Row],[GASTOS IMP.
UNIT.(US$)]]*TABLA_BASE[[#This Row],[CANTIDAD
(unid.)]]</f>
        <v>0</v>
      </c>
      <c r="AI270" s="281">
        <f>TABLA_BASE[[#This Row],[GASTOS IMP.
UNIT.(US$)]]*'📋 Datos Generales'!$E$19</f>
        <v>0</v>
      </c>
      <c r="AJ270" s="281">
        <f>TABLA_BASE[[#This Row],[GASTOS IMP.
UNIT.(S/.)]]*TABLA_BASE[[#This Row],[CANTIDAD
(unid.)]]</f>
        <v>0</v>
      </c>
      <c r="AK270" s="280">
        <f>'🧮 Costos x Producto'!J274</f>
        <v>0</v>
      </c>
      <c r="AL270" s="278">
        <f>'🧮 Costos x Producto'!K274</f>
        <v>0</v>
      </c>
      <c r="AM270" s="278">
        <f>TABLA_BASE[[#This Row],[C/M UNIT.
(S/.)]]*TABLA_BASE[[#This Row],[CANTIDAD
(unid.)]]</f>
        <v>0</v>
      </c>
      <c r="AN270" s="279">
        <f>IF('🧾 Factura Comercial'!G274=0,0,'🧾 Tributos Aduana'!$F$17*(IF('🧾 Tributos Aduana'!$F$6=0,0,'🧾 Factura Comercial'!I274/'🧾 Tributos Aduana'!$F$6))/'🧾 Factura Comercial'!G274)</f>
        <v>0</v>
      </c>
      <c r="AO270" s="280">
        <f>IF('🧾 Factura Comercial'!G274=0,0,'🏦 Crédito Fiscal'!$C$16*(IF('🧾 Tributos Aduana'!$F$6=0,0,'🧾 Factura Comercial'!I274/'🧾 Tributos Aduana'!$F$6))/'🧾 Factura Comercial'!G274)</f>
        <v>0</v>
      </c>
      <c r="AP270" s="278">
        <f>TABLA_BASE[[#This Row],[CF UNIT.
✅RECUP.
(US$)]]*'📋 Datos Generales'!$E$19</f>
        <v>0</v>
      </c>
      <c r="AQ270" s="278">
        <f>TABLA_BASE[[#This Row],[CF UNIT.
✅RECUP.(S/.)]]*TABLA_BASE[[#This Row],[CANTIDAD
(unid.)]]</f>
        <v>0</v>
      </c>
      <c r="AR270" s="288">
        <f>'💰 Precio de Venta'!G275</f>
        <v>0.4</v>
      </c>
      <c r="AS270" s="278">
        <f>'💰 Precio de Venta'!H275</f>
        <v>0</v>
      </c>
      <c r="AT270" s="278">
        <f>TABLA_BASE[[#This Row],[VALOR VTA.
UNIT.(S/.)]]*TABLA_BASE[[#This Row],[CANTIDAD
(unid.)]]</f>
        <v>0</v>
      </c>
      <c r="AU270" s="281">
        <f>'💰 Precio de Venta'!I275</f>
        <v>0</v>
      </c>
      <c r="AV270" s="278">
        <f>'💰 Precio de Venta'!J275</f>
        <v>0</v>
      </c>
      <c r="AW270" s="278">
        <f>TABLA_BASE[[#This Row],[GANANCIA
UNIT.(S/.)]]*TABLA_BASE[[#This Row],[CANTIDAD
(unid.)]]</f>
        <v>0</v>
      </c>
      <c r="AX270" s="289">
        <f>'💰 Precio de Venta'!K275</f>
        <v>0</v>
      </c>
      <c r="AY270" s="278">
        <f>TABLA_BASE[[#This Row],[GANANCIA
UNIT.(S/.)]]*'🧾 Factura Comercial'!G274</f>
        <v>0</v>
      </c>
      <c r="AZ270" s="277">
        <f>IF(TABLA_BASE[[#This Row],[PRECIO VTA.
c/IGV(S/.)]]=0,0,TABLA_BASE[[#This Row],[GANANCIA
UNIT.(S/.)]]/TABLA_BASE[[#This Row],[PRECIO VTA.
c/IGV(S/.)]])</f>
        <v>0</v>
      </c>
      <c r="BA270" s="277">
        <f>IF(TABLA_BASE[[#This Row],[C/M UNIT.
(S/.)]]=0,0,TABLA_BASE[[#This Row],[GANANCIA
UNIT.(S/.)]]/TABLA_BASE[[#This Row],[C/M UNIT.
(S/.)]])</f>
        <v>0</v>
      </c>
      <c r="BB270" s="274" t="str">
        <f>IF(TABLA_BASE[[#This Row],[MARGEN
%]]&gt;=0.5,"🟢 ALTO",IF(TABLA_BASE[[#This Row],[MARGEN
%]]&gt;=0.3,"🟡 MEDIO","🔴 BAJO"))</f>
        <v>🟡 MEDIO</v>
      </c>
    </row>
    <row r="271" spans="1:54" ht="16.5" hidden="1" thickTop="1" thickBot="1" x14ac:dyDescent="0.3">
      <c r="A271" s="274">
        <f>'🧾 Factura Comercial'!E275</f>
        <v>0</v>
      </c>
      <c r="B271" s="274" t="str">
        <f>'🧾 Factura Comercial'!F275</f>
        <v>Unid.</v>
      </c>
      <c r="C271" s="275">
        <f>'🧾 Factura Comercial'!G275</f>
        <v>0</v>
      </c>
      <c r="D271" s="276">
        <f>'🧾 Factura Comercial'!H275</f>
        <v>0</v>
      </c>
      <c r="E271" s="276">
        <f>'🧾 Factura Comercial'!I275</f>
        <v>0</v>
      </c>
      <c r="F271" s="277">
        <f>IF('🧾 Tributos Aduana'!$F$6=0,0,'🧾 Factura Comercial'!I275/'🧾 Tributos Aduana'!$F$6)</f>
        <v>0</v>
      </c>
      <c r="G271" s="278">
        <f>'🧾 Factura Comercial'!H275*'📋 Datos Generales'!$E$19</f>
        <v>0</v>
      </c>
      <c r="H271" s="278">
        <f>TABLA_BASE[[#This Row],[FOB UNIT.
(S/.)]]*TABLA_BASE[[#This Row],[CANTIDAD
(unid.)]]</f>
        <v>0</v>
      </c>
      <c r="I271" s="280">
        <f>IF('🧾 Tributos Aduana'!$F$6=0,0,'🧾 Tributos Aduana'!$F$17*('🧾 Factura Comercial'!H275/'🧾 Tributos Aduana'!$F$6))</f>
        <v>0</v>
      </c>
      <c r="J271" s="280">
        <f>TABLA_BASE[[#This Row],[ADV UNIT.
(US$)
⚠️COSTO]]*TABLA_BASE[[#This Row],[CANTIDAD
(unid.)]]</f>
        <v>0</v>
      </c>
      <c r="K271" s="279">
        <f>IF('🧾 Tributos Aduana'!$F$6=0,0,'🧾 Tributos Aduana'!$F$18*('🧾 Factura Comercial'!H275/'🧾 Tributos Aduana'!$F$6))</f>
        <v>0</v>
      </c>
      <c r="L271" s="280">
        <f>TABLA_BASE[[#This Row],[IPM UNIT.
(US$)
✅CF]]*TABLA_BASE[[#This Row],[CANTIDAD
(unid.)]]</f>
        <v>0</v>
      </c>
      <c r="M271" s="279">
        <f>IF('🧾 Tributos Aduana'!$F$6=0,0,'🧾 Tributos Aduana'!$F$19*('🧾 Factura Comercial'!H275/'🧾 Tributos Aduana'!$F$6))</f>
        <v>0</v>
      </c>
      <c r="N271" s="280">
        <f>TABLA_BASE[[#This Row],[IGV UNIT.
(US$)
✅CF]]*TABLA_BASE[[#This Row],[CANTIDAD
(unid.)]]</f>
        <v>0</v>
      </c>
      <c r="O271" s="280">
        <f>IF('🧾 Tributos Aduana'!$F$6=0,0,'🧾 Tributos Aduana'!$F$23*('🧾 Factura Comercial'!H275/'🧾 Tributos Aduana'!$F$6))</f>
        <v>0</v>
      </c>
      <c r="P271" s="280">
        <f>TABLA_BASE[[#This Row],[PERCEP.
UNIT.(US$)
✅CF]]*TABLA_BASE[[#This Row],[CANTIDAD
(unid.)]]</f>
        <v>0</v>
      </c>
      <c r="Q271" s="279">
        <f>TABLA_BASE[[#This Row],[ADV UNIT.
(US$)
⚠️COSTO]]+TABLA_BASE[[#This Row],[IPM UNIT.
(US$)
✅CF]]+TABLA_BASE[[#This Row],[IGV UNIT.
(US$)
✅CF]]</f>
        <v>0</v>
      </c>
      <c r="R271" s="280">
        <f>TABLA_BASE[[#This Row],[DEUDA
ADUANERA
UNIT.]]*TABLA_BASE[[#This Row],[CANTIDAD
(unid.)]]</f>
        <v>0</v>
      </c>
      <c r="S271" s="278">
        <f>TABLA_BASE[[#This Row],[DEUDA
ADUANERA
UNIT.]]*'📋 Datos Generales'!$E$19</f>
        <v>0</v>
      </c>
      <c r="T271" s="278">
        <f>TABLA_BASE[[#This Row],[DEUDA
ADUANERA
TOTAL]]*'📋 Datos Generales'!$E$19</f>
        <v>0</v>
      </c>
      <c r="U271" s="281">
        <f>TABLA_BASE[[#This Row],[ADV UNIT.
(US$)
⚠️COSTO]]*'📋 Datos Generales'!$E$19</f>
        <v>0</v>
      </c>
      <c r="V271" s="281">
        <f>TABLA_BASE[[#This Row],[ADV UNIT.
(S/.)]]*TABLA_BASE[[#This Row],[CANTIDAD
(unid.)]]</f>
        <v>0</v>
      </c>
      <c r="W271" s="281">
        <f>TABLA_BASE[[#This Row],[IPM UNIT.
(US$)
✅CF]]*'📋 Datos Generales'!$E$19</f>
        <v>0</v>
      </c>
      <c r="X271" s="281">
        <f>TABLA_BASE[[#This Row],[IPM UNIT.
(S/.)]]*TABLA_BASE[[#This Row],[CANTIDAD
(unid.)]]</f>
        <v>0</v>
      </c>
      <c r="Y271" s="281">
        <f>TABLA_BASE[[#This Row],[IGV UNIT.
(US$)
✅CF]]*'📋 Datos Generales'!$E$19</f>
        <v>0</v>
      </c>
      <c r="Z271" s="281">
        <f>TABLA_BASE[[#This Row],[IGV UNIT.
(S/.)]]*TABLA_BASE[[#This Row],[CANTIDAD
(unid.)]]</f>
        <v>0</v>
      </c>
      <c r="AA271" s="281">
        <f>TABLA_BASE[[#This Row],[PERCEP.
UNIT.(US$)
✅CF]]*'📋 Datos Generales'!$E$19</f>
        <v>0</v>
      </c>
      <c r="AB271" s="281">
        <f>TABLA_BASE[[#This Row],[PERCEP.
UNIT.(S/.)]]*TABLA_BASE[[#This Row],[CANTIDAD
(unid.)]]</f>
        <v>0</v>
      </c>
      <c r="AC271" s="279">
        <f>TABLA_BASE[[#This Row],[ADV UNIT.
(US$)
⚠️COSTO]]+TABLA_BASE[[#This Row],[IPM UNIT.
(US$)
✅CF]]+TABLA_BASE[[#This Row],[IGV UNIT.
(US$)
✅CF]]+TABLA_BASE[[#This Row],[PERCEP.
UNIT.(US$)
✅CF]]</f>
        <v>0</v>
      </c>
      <c r="AD271" s="279">
        <f>TABLA_BASE[[#This Row],[TOTAL PAGO
SUNAT
UNIT.(US$)]]*TABLA_BASE[[#This Row],[CANTIDAD
(unid.)]]</f>
        <v>0</v>
      </c>
      <c r="AE271" s="281">
        <f>TABLA_BASE[[#This Row],[TOTAL PAGO
SUNAT
UNIT.(US$)]]*'📋 Datos Generales'!$E$19</f>
        <v>0</v>
      </c>
      <c r="AF271" s="281">
        <f>TABLA_BASE[[#This Row],[TOTAL TRIB.
UNIT.(S/.)]]*TABLA_BASE[[#This Row],[CANTIDAD
(unid.)]]</f>
        <v>0</v>
      </c>
      <c r="AG271" s="279">
        <f>IF('🧾 Factura Comercial'!G275=0,0,'📦 Gastos Importación'!$E$28*(IF('🧾 Tributos Aduana'!$F$6=0,0,'🧾 Factura Comercial'!I275/'🧾 Tributos Aduana'!$F$6))/'🧾 Factura Comercial'!G275)</f>
        <v>0</v>
      </c>
      <c r="AH271" s="279">
        <f>TABLA_BASE[[#This Row],[GASTOS IMP.
UNIT.(US$)]]*TABLA_BASE[[#This Row],[CANTIDAD
(unid.)]]</f>
        <v>0</v>
      </c>
      <c r="AI271" s="281">
        <f>TABLA_BASE[[#This Row],[GASTOS IMP.
UNIT.(US$)]]*'📋 Datos Generales'!$E$19</f>
        <v>0</v>
      </c>
      <c r="AJ271" s="281">
        <f>TABLA_BASE[[#This Row],[GASTOS IMP.
UNIT.(S/.)]]*TABLA_BASE[[#This Row],[CANTIDAD
(unid.)]]</f>
        <v>0</v>
      </c>
      <c r="AK271" s="280">
        <f>'🧮 Costos x Producto'!J275</f>
        <v>0</v>
      </c>
      <c r="AL271" s="278">
        <f>'🧮 Costos x Producto'!K275</f>
        <v>0</v>
      </c>
      <c r="AM271" s="278">
        <f>TABLA_BASE[[#This Row],[C/M UNIT.
(S/.)]]*TABLA_BASE[[#This Row],[CANTIDAD
(unid.)]]</f>
        <v>0</v>
      </c>
      <c r="AN271" s="279">
        <f>IF('🧾 Factura Comercial'!G275=0,0,'🧾 Tributos Aduana'!$F$17*(IF('🧾 Tributos Aduana'!$F$6=0,0,'🧾 Factura Comercial'!I275/'🧾 Tributos Aduana'!$F$6))/'🧾 Factura Comercial'!G275)</f>
        <v>0</v>
      </c>
      <c r="AO271" s="280">
        <f>IF('🧾 Factura Comercial'!G275=0,0,'🏦 Crédito Fiscal'!$C$16*(IF('🧾 Tributos Aduana'!$F$6=0,0,'🧾 Factura Comercial'!I275/'🧾 Tributos Aduana'!$F$6))/'🧾 Factura Comercial'!G275)</f>
        <v>0</v>
      </c>
      <c r="AP271" s="278">
        <f>TABLA_BASE[[#This Row],[CF UNIT.
✅RECUP.
(US$)]]*'📋 Datos Generales'!$E$19</f>
        <v>0</v>
      </c>
      <c r="AQ271" s="278">
        <f>TABLA_BASE[[#This Row],[CF UNIT.
✅RECUP.(S/.)]]*TABLA_BASE[[#This Row],[CANTIDAD
(unid.)]]</f>
        <v>0</v>
      </c>
      <c r="AR271" s="288">
        <f>'💰 Precio de Venta'!G276</f>
        <v>0.4</v>
      </c>
      <c r="AS271" s="278">
        <f>'💰 Precio de Venta'!H276</f>
        <v>0</v>
      </c>
      <c r="AT271" s="278">
        <f>TABLA_BASE[[#This Row],[VALOR VTA.
UNIT.(S/.)]]*TABLA_BASE[[#This Row],[CANTIDAD
(unid.)]]</f>
        <v>0</v>
      </c>
      <c r="AU271" s="281">
        <f>'💰 Precio de Venta'!I276</f>
        <v>0</v>
      </c>
      <c r="AV271" s="278">
        <f>'💰 Precio de Venta'!J276</f>
        <v>0</v>
      </c>
      <c r="AW271" s="278">
        <f>TABLA_BASE[[#This Row],[GANANCIA
UNIT.(S/.)]]*TABLA_BASE[[#This Row],[CANTIDAD
(unid.)]]</f>
        <v>0</v>
      </c>
      <c r="AX271" s="289">
        <f>'💰 Precio de Venta'!K276</f>
        <v>0</v>
      </c>
      <c r="AY271" s="278">
        <f>TABLA_BASE[[#This Row],[GANANCIA
UNIT.(S/.)]]*'🧾 Factura Comercial'!G275</f>
        <v>0</v>
      </c>
      <c r="AZ271" s="277">
        <f>IF(TABLA_BASE[[#This Row],[PRECIO VTA.
c/IGV(S/.)]]=0,0,TABLA_BASE[[#This Row],[GANANCIA
UNIT.(S/.)]]/TABLA_BASE[[#This Row],[PRECIO VTA.
c/IGV(S/.)]])</f>
        <v>0</v>
      </c>
      <c r="BA271" s="277">
        <f>IF(TABLA_BASE[[#This Row],[C/M UNIT.
(S/.)]]=0,0,TABLA_BASE[[#This Row],[GANANCIA
UNIT.(S/.)]]/TABLA_BASE[[#This Row],[C/M UNIT.
(S/.)]])</f>
        <v>0</v>
      </c>
      <c r="BB271" s="274" t="str">
        <f>IF(TABLA_BASE[[#This Row],[MARGEN
%]]&gt;=0.5,"🟢 ALTO",IF(TABLA_BASE[[#This Row],[MARGEN
%]]&gt;=0.3,"🟡 MEDIO","🔴 BAJO"))</f>
        <v>🟡 MEDIO</v>
      </c>
    </row>
    <row r="272" spans="1:54" ht="16.5" hidden="1" thickTop="1" thickBot="1" x14ac:dyDescent="0.3">
      <c r="A272" s="274">
        <f>'🧾 Factura Comercial'!E276</f>
        <v>0</v>
      </c>
      <c r="B272" s="274" t="str">
        <f>'🧾 Factura Comercial'!F276</f>
        <v>Unid.</v>
      </c>
      <c r="C272" s="275">
        <f>'🧾 Factura Comercial'!G276</f>
        <v>0</v>
      </c>
      <c r="D272" s="276">
        <f>'🧾 Factura Comercial'!H276</f>
        <v>0</v>
      </c>
      <c r="E272" s="276">
        <f>'🧾 Factura Comercial'!I276</f>
        <v>0</v>
      </c>
      <c r="F272" s="277">
        <f>IF('🧾 Tributos Aduana'!$F$6=0,0,'🧾 Factura Comercial'!I276/'🧾 Tributos Aduana'!$F$6)</f>
        <v>0</v>
      </c>
      <c r="G272" s="278">
        <f>'🧾 Factura Comercial'!H276*'📋 Datos Generales'!$E$19</f>
        <v>0</v>
      </c>
      <c r="H272" s="278">
        <f>TABLA_BASE[[#This Row],[FOB UNIT.
(S/.)]]*TABLA_BASE[[#This Row],[CANTIDAD
(unid.)]]</f>
        <v>0</v>
      </c>
      <c r="I272" s="280">
        <f>IF('🧾 Tributos Aduana'!$F$6=0,0,'🧾 Tributos Aduana'!$F$17*('🧾 Factura Comercial'!H276/'🧾 Tributos Aduana'!$F$6))</f>
        <v>0</v>
      </c>
      <c r="J272" s="280">
        <f>TABLA_BASE[[#This Row],[ADV UNIT.
(US$)
⚠️COSTO]]*TABLA_BASE[[#This Row],[CANTIDAD
(unid.)]]</f>
        <v>0</v>
      </c>
      <c r="K272" s="279">
        <f>IF('🧾 Tributos Aduana'!$F$6=0,0,'🧾 Tributos Aduana'!$F$18*('🧾 Factura Comercial'!H276/'🧾 Tributos Aduana'!$F$6))</f>
        <v>0</v>
      </c>
      <c r="L272" s="280">
        <f>TABLA_BASE[[#This Row],[IPM UNIT.
(US$)
✅CF]]*TABLA_BASE[[#This Row],[CANTIDAD
(unid.)]]</f>
        <v>0</v>
      </c>
      <c r="M272" s="279">
        <f>IF('🧾 Tributos Aduana'!$F$6=0,0,'🧾 Tributos Aduana'!$F$19*('🧾 Factura Comercial'!H276/'🧾 Tributos Aduana'!$F$6))</f>
        <v>0</v>
      </c>
      <c r="N272" s="280">
        <f>TABLA_BASE[[#This Row],[IGV UNIT.
(US$)
✅CF]]*TABLA_BASE[[#This Row],[CANTIDAD
(unid.)]]</f>
        <v>0</v>
      </c>
      <c r="O272" s="280">
        <f>IF('🧾 Tributos Aduana'!$F$6=0,0,'🧾 Tributos Aduana'!$F$23*('🧾 Factura Comercial'!H276/'🧾 Tributos Aduana'!$F$6))</f>
        <v>0</v>
      </c>
      <c r="P272" s="280">
        <f>TABLA_BASE[[#This Row],[PERCEP.
UNIT.(US$)
✅CF]]*TABLA_BASE[[#This Row],[CANTIDAD
(unid.)]]</f>
        <v>0</v>
      </c>
      <c r="Q272" s="279">
        <f>TABLA_BASE[[#This Row],[ADV UNIT.
(US$)
⚠️COSTO]]+TABLA_BASE[[#This Row],[IPM UNIT.
(US$)
✅CF]]+TABLA_BASE[[#This Row],[IGV UNIT.
(US$)
✅CF]]</f>
        <v>0</v>
      </c>
      <c r="R272" s="280">
        <f>TABLA_BASE[[#This Row],[DEUDA
ADUANERA
UNIT.]]*TABLA_BASE[[#This Row],[CANTIDAD
(unid.)]]</f>
        <v>0</v>
      </c>
      <c r="S272" s="278">
        <f>TABLA_BASE[[#This Row],[DEUDA
ADUANERA
UNIT.]]*'📋 Datos Generales'!$E$19</f>
        <v>0</v>
      </c>
      <c r="T272" s="278">
        <f>TABLA_BASE[[#This Row],[DEUDA
ADUANERA
TOTAL]]*'📋 Datos Generales'!$E$19</f>
        <v>0</v>
      </c>
      <c r="U272" s="281">
        <f>TABLA_BASE[[#This Row],[ADV UNIT.
(US$)
⚠️COSTO]]*'📋 Datos Generales'!$E$19</f>
        <v>0</v>
      </c>
      <c r="V272" s="281">
        <f>TABLA_BASE[[#This Row],[ADV UNIT.
(S/.)]]*TABLA_BASE[[#This Row],[CANTIDAD
(unid.)]]</f>
        <v>0</v>
      </c>
      <c r="W272" s="281">
        <f>TABLA_BASE[[#This Row],[IPM UNIT.
(US$)
✅CF]]*'📋 Datos Generales'!$E$19</f>
        <v>0</v>
      </c>
      <c r="X272" s="281">
        <f>TABLA_BASE[[#This Row],[IPM UNIT.
(S/.)]]*TABLA_BASE[[#This Row],[CANTIDAD
(unid.)]]</f>
        <v>0</v>
      </c>
      <c r="Y272" s="281">
        <f>TABLA_BASE[[#This Row],[IGV UNIT.
(US$)
✅CF]]*'📋 Datos Generales'!$E$19</f>
        <v>0</v>
      </c>
      <c r="Z272" s="281">
        <f>TABLA_BASE[[#This Row],[IGV UNIT.
(S/.)]]*TABLA_BASE[[#This Row],[CANTIDAD
(unid.)]]</f>
        <v>0</v>
      </c>
      <c r="AA272" s="281">
        <f>TABLA_BASE[[#This Row],[PERCEP.
UNIT.(US$)
✅CF]]*'📋 Datos Generales'!$E$19</f>
        <v>0</v>
      </c>
      <c r="AB272" s="281">
        <f>TABLA_BASE[[#This Row],[PERCEP.
UNIT.(S/.)]]*TABLA_BASE[[#This Row],[CANTIDAD
(unid.)]]</f>
        <v>0</v>
      </c>
      <c r="AC272" s="279">
        <f>TABLA_BASE[[#This Row],[ADV UNIT.
(US$)
⚠️COSTO]]+TABLA_BASE[[#This Row],[IPM UNIT.
(US$)
✅CF]]+TABLA_BASE[[#This Row],[IGV UNIT.
(US$)
✅CF]]+TABLA_BASE[[#This Row],[PERCEP.
UNIT.(US$)
✅CF]]</f>
        <v>0</v>
      </c>
      <c r="AD272" s="279">
        <f>TABLA_BASE[[#This Row],[TOTAL PAGO
SUNAT
UNIT.(US$)]]*TABLA_BASE[[#This Row],[CANTIDAD
(unid.)]]</f>
        <v>0</v>
      </c>
      <c r="AE272" s="281">
        <f>TABLA_BASE[[#This Row],[TOTAL PAGO
SUNAT
UNIT.(US$)]]*'📋 Datos Generales'!$E$19</f>
        <v>0</v>
      </c>
      <c r="AF272" s="281">
        <f>TABLA_BASE[[#This Row],[TOTAL TRIB.
UNIT.(S/.)]]*TABLA_BASE[[#This Row],[CANTIDAD
(unid.)]]</f>
        <v>0</v>
      </c>
      <c r="AG272" s="279">
        <f>IF('🧾 Factura Comercial'!G276=0,0,'📦 Gastos Importación'!$E$28*(IF('🧾 Tributos Aduana'!$F$6=0,0,'🧾 Factura Comercial'!I276/'🧾 Tributos Aduana'!$F$6))/'🧾 Factura Comercial'!G276)</f>
        <v>0</v>
      </c>
      <c r="AH272" s="279">
        <f>TABLA_BASE[[#This Row],[GASTOS IMP.
UNIT.(US$)]]*TABLA_BASE[[#This Row],[CANTIDAD
(unid.)]]</f>
        <v>0</v>
      </c>
      <c r="AI272" s="281">
        <f>TABLA_BASE[[#This Row],[GASTOS IMP.
UNIT.(US$)]]*'📋 Datos Generales'!$E$19</f>
        <v>0</v>
      </c>
      <c r="AJ272" s="281">
        <f>TABLA_BASE[[#This Row],[GASTOS IMP.
UNIT.(S/.)]]*TABLA_BASE[[#This Row],[CANTIDAD
(unid.)]]</f>
        <v>0</v>
      </c>
      <c r="AK272" s="280">
        <f>'🧮 Costos x Producto'!J276</f>
        <v>0</v>
      </c>
      <c r="AL272" s="278">
        <f>'🧮 Costos x Producto'!K276</f>
        <v>0</v>
      </c>
      <c r="AM272" s="278">
        <f>TABLA_BASE[[#This Row],[C/M UNIT.
(S/.)]]*TABLA_BASE[[#This Row],[CANTIDAD
(unid.)]]</f>
        <v>0</v>
      </c>
      <c r="AN272" s="279">
        <f>IF('🧾 Factura Comercial'!G276=0,0,'🧾 Tributos Aduana'!$F$17*(IF('🧾 Tributos Aduana'!$F$6=0,0,'🧾 Factura Comercial'!I276/'🧾 Tributos Aduana'!$F$6))/'🧾 Factura Comercial'!G276)</f>
        <v>0</v>
      </c>
      <c r="AO272" s="280">
        <f>IF('🧾 Factura Comercial'!G276=0,0,'🏦 Crédito Fiscal'!$C$16*(IF('🧾 Tributos Aduana'!$F$6=0,0,'🧾 Factura Comercial'!I276/'🧾 Tributos Aduana'!$F$6))/'🧾 Factura Comercial'!G276)</f>
        <v>0</v>
      </c>
      <c r="AP272" s="278">
        <f>TABLA_BASE[[#This Row],[CF UNIT.
✅RECUP.
(US$)]]*'📋 Datos Generales'!$E$19</f>
        <v>0</v>
      </c>
      <c r="AQ272" s="278">
        <f>TABLA_BASE[[#This Row],[CF UNIT.
✅RECUP.(S/.)]]*TABLA_BASE[[#This Row],[CANTIDAD
(unid.)]]</f>
        <v>0</v>
      </c>
      <c r="AR272" s="288">
        <f>'💰 Precio de Venta'!G277</f>
        <v>0.4</v>
      </c>
      <c r="AS272" s="278">
        <f>'💰 Precio de Venta'!H277</f>
        <v>0</v>
      </c>
      <c r="AT272" s="278">
        <f>TABLA_BASE[[#This Row],[VALOR VTA.
UNIT.(S/.)]]*TABLA_BASE[[#This Row],[CANTIDAD
(unid.)]]</f>
        <v>0</v>
      </c>
      <c r="AU272" s="281">
        <f>'💰 Precio de Venta'!I277</f>
        <v>0</v>
      </c>
      <c r="AV272" s="278">
        <f>'💰 Precio de Venta'!J277</f>
        <v>0</v>
      </c>
      <c r="AW272" s="278">
        <f>TABLA_BASE[[#This Row],[GANANCIA
UNIT.(S/.)]]*TABLA_BASE[[#This Row],[CANTIDAD
(unid.)]]</f>
        <v>0</v>
      </c>
      <c r="AX272" s="289">
        <f>'💰 Precio de Venta'!K277</f>
        <v>0</v>
      </c>
      <c r="AY272" s="278">
        <f>TABLA_BASE[[#This Row],[GANANCIA
UNIT.(S/.)]]*'🧾 Factura Comercial'!G276</f>
        <v>0</v>
      </c>
      <c r="AZ272" s="277">
        <f>IF(TABLA_BASE[[#This Row],[PRECIO VTA.
c/IGV(S/.)]]=0,0,TABLA_BASE[[#This Row],[GANANCIA
UNIT.(S/.)]]/TABLA_BASE[[#This Row],[PRECIO VTA.
c/IGV(S/.)]])</f>
        <v>0</v>
      </c>
      <c r="BA272" s="277">
        <f>IF(TABLA_BASE[[#This Row],[C/M UNIT.
(S/.)]]=0,0,TABLA_BASE[[#This Row],[GANANCIA
UNIT.(S/.)]]/TABLA_BASE[[#This Row],[C/M UNIT.
(S/.)]])</f>
        <v>0</v>
      </c>
      <c r="BB272" s="274" t="str">
        <f>IF(TABLA_BASE[[#This Row],[MARGEN
%]]&gt;=0.5,"🟢 ALTO",IF(TABLA_BASE[[#This Row],[MARGEN
%]]&gt;=0.3,"🟡 MEDIO","🔴 BAJO"))</f>
        <v>🟡 MEDIO</v>
      </c>
    </row>
    <row r="273" spans="1:54" ht="16.5" hidden="1" thickTop="1" thickBot="1" x14ac:dyDescent="0.3">
      <c r="A273" s="274">
        <f>'🧾 Factura Comercial'!E277</f>
        <v>0</v>
      </c>
      <c r="B273" s="274" t="str">
        <f>'🧾 Factura Comercial'!F277</f>
        <v>Unid.</v>
      </c>
      <c r="C273" s="275">
        <f>'🧾 Factura Comercial'!G277</f>
        <v>0</v>
      </c>
      <c r="D273" s="276">
        <f>'🧾 Factura Comercial'!H277</f>
        <v>0</v>
      </c>
      <c r="E273" s="276">
        <f>'🧾 Factura Comercial'!I277</f>
        <v>0</v>
      </c>
      <c r="F273" s="277">
        <f>IF('🧾 Tributos Aduana'!$F$6=0,0,'🧾 Factura Comercial'!I277/'🧾 Tributos Aduana'!$F$6)</f>
        <v>0</v>
      </c>
      <c r="G273" s="278">
        <f>'🧾 Factura Comercial'!H277*'📋 Datos Generales'!$E$19</f>
        <v>0</v>
      </c>
      <c r="H273" s="278">
        <f>TABLA_BASE[[#This Row],[FOB UNIT.
(S/.)]]*TABLA_BASE[[#This Row],[CANTIDAD
(unid.)]]</f>
        <v>0</v>
      </c>
      <c r="I273" s="280">
        <f>IF('🧾 Tributos Aduana'!$F$6=0,0,'🧾 Tributos Aduana'!$F$17*('🧾 Factura Comercial'!H277/'🧾 Tributos Aduana'!$F$6))</f>
        <v>0</v>
      </c>
      <c r="J273" s="280">
        <f>TABLA_BASE[[#This Row],[ADV UNIT.
(US$)
⚠️COSTO]]*TABLA_BASE[[#This Row],[CANTIDAD
(unid.)]]</f>
        <v>0</v>
      </c>
      <c r="K273" s="279">
        <f>IF('🧾 Tributos Aduana'!$F$6=0,0,'🧾 Tributos Aduana'!$F$18*('🧾 Factura Comercial'!H277/'🧾 Tributos Aduana'!$F$6))</f>
        <v>0</v>
      </c>
      <c r="L273" s="280">
        <f>TABLA_BASE[[#This Row],[IPM UNIT.
(US$)
✅CF]]*TABLA_BASE[[#This Row],[CANTIDAD
(unid.)]]</f>
        <v>0</v>
      </c>
      <c r="M273" s="279">
        <f>IF('🧾 Tributos Aduana'!$F$6=0,0,'🧾 Tributos Aduana'!$F$19*('🧾 Factura Comercial'!H277/'🧾 Tributos Aduana'!$F$6))</f>
        <v>0</v>
      </c>
      <c r="N273" s="280">
        <f>TABLA_BASE[[#This Row],[IGV UNIT.
(US$)
✅CF]]*TABLA_BASE[[#This Row],[CANTIDAD
(unid.)]]</f>
        <v>0</v>
      </c>
      <c r="O273" s="280">
        <f>IF('🧾 Tributos Aduana'!$F$6=0,0,'🧾 Tributos Aduana'!$F$23*('🧾 Factura Comercial'!H277/'🧾 Tributos Aduana'!$F$6))</f>
        <v>0</v>
      </c>
      <c r="P273" s="280">
        <f>TABLA_BASE[[#This Row],[PERCEP.
UNIT.(US$)
✅CF]]*TABLA_BASE[[#This Row],[CANTIDAD
(unid.)]]</f>
        <v>0</v>
      </c>
      <c r="Q273" s="279">
        <f>TABLA_BASE[[#This Row],[ADV UNIT.
(US$)
⚠️COSTO]]+TABLA_BASE[[#This Row],[IPM UNIT.
(US$)
✅CF]]+TABLA_BASE[[#This Row],[IGV UNIT.
(US$)
✅CF]]</f>
        <v>0</v>
      </c>
      <c r="R273" s="280">
        <f>TABLA_BASE[[#This Row],[DEUDA
ADUANERA
UNIT.]]*TABLA_BASE[[#This Row],[CANTIDAD
(unid.)]]</f>
        <v>0</v>
      </c>
      <c r="S273" s="278">
        <f>TABLA_BASE[[#This Row],[DEUDA
ADUANERA
UNIT.]]*'📋 Datos Generales'!$E$19</f>
        <v>0</v>
      </c>
      <c r="T273" s="278">
        <f>TABLA_BASE[[#This Row],[DEUDA
ADUANERA
TOTAL]]*'📋 Datos Generales'!$E$19</f>
        <v>0</v>
      </c>
      <c r="U273" s="281">
        <f>TABLA_BASE[[#This Row],[ADV UNIT.
(US$)
⚠️COSTO]]*'📋 Datos Generales'!$E$19</f>
        <v>0</v>
      </c>
      <c r="V273" s="281">
        <f>TABLA_BASE[[#This Row],[ADV UNIT.
(S/.)]]*TABLA_BASE[[#This Row],[CANTIDAD
(unid.)]]</f>
        <v>0</v>
      </c>
      <c r="W273" s="281">
        <f>TABLA_BASE[[#This Row],[IPM UNIT.
(US$)
✅CF]]*'📋 Datos Generales'!$E$19</f>
        <v>0</v>
      </c>
      <c r="X273" s="281">
        <f>TABLA_BASE[[#This Row],[IPM UNIT.
(S/.)]]*TABLA_BASE[[#This Row],[CANTIDAD
(unid.)]]</f>
        <v>0</v>
      </c>
      <c r="Y273" s="281">
        <f>TABLA_BASE[[#This Row],[IGV UNIT.
(US$)
✅CF]]*'📋 Datos Generales'!$E$19</f>
        <v>0</v>
      </c>
      <c r="Z273" s="281">
        <f>TABLA_BASE[[#This Row],[IGV UNIT.
(S/.)]]*TABLA_BASE[[#This Row],[CANTIDAD
(unid.)]]</f>
        <v>0</v>
      </c>
      <c r="AA273" s="281">
        <f>TABLA_BASE[[#This Row],[PERCEP.
UNIT.(US$)
✅CF]]*'📋 Datos Generales'!$E$19</f>
        <v>0</v>
      </c>
      <c r="AB273" s="281">
        <f>TABLA_BASE[[#This Row],[PERCEP.
UNIT.(S/.)]]*TABLA_BASE[[#This Row],[CANTIDAD
(unid.)]]</f>
        <v>0</v>
      </c>
      <c r="AC273" s="279">
        <f>TABLA_BASE[[#This Row],[ADV UNIT.
(US$)
⚠️COSTO]]+TABLA_BASE[[#This Row],[IPM UNIT.
(US$)
✅CF]]+TABLA_BASE[[#This Row],[IGV UNIT.
(US$)
✅CF]]+TABLA_BASE[[#This Row],[PERCEP.
UNIT.(US$)
✅CF]]</f>
        <v>0</v>
      </c>
      <c r="AD273" s="279">
        <f>TABLA_BASE[[#This Row],[TOTAL PAGO
SUNAT
UNIT.(US$)]]*TABLA_BASE[[#This Row],[CANTIDAD
(unid.)]]</f>
        <v>0</v>
      </c>
      <c r="AE273" s="281">
        <f>TABLA_BASE[[#This Row],[TOTAL PAGO
SUNAT
UNIT.(US$)]]*'📋 Datos Generales'!$E$19</f>
        <v>0</v>
      </c>
      <c r="AF273" s="281">
        <f>TABLA_BASE[[#This Row],[TOTAL TRIB.
UNIT.(S/.)]]*TABLA_BASE[[#This Row],[CANTIDAD
(unid.)]]</f>
        <v>0</v>
      </c>
      <c r="AG273" s="279">
        <f>IF('🧾 Factura Comercial'!G277=0,0,'📦 Gastos Importación'!$E$28*(IF('🧾 Tributos Aduana'!$F$6=0,0,'🧾 Factura Comercial'!I277/'🧾 Tributos Aduana'!$F$6))/'🧾 Factura Comercial'!G277)</f>
        <v>0</v>
      </c>
      <c r="AH273" s="279">
        <f>TABLA_BASE[[#This Row],[GASTOS IMP.
UNIT.(US$)]]*TABLA_BASE[[#This Row],[CANTIDAD
(unid.)]]</f>
        <v>0</v>
      </c>
      <c r="AI273" s="281">
        <f>TABLA_BASE[[#This Row],[GASTOS IMP.
UNIT.(US$)]]*'📋 Datos Generales'!$E$19</f>
        <v>0</v>
      </c>
      <c r="AJ273" s="281">
        <f>TABLA_BASE[[#This Row],[GASTOS IMP.
UNIT.(S/.)]]*TABLA_BASE[[#This Row],[CANTIDAD
(unid.)]]</f>
        <v>0</v>
      </c>
      <c r="AK273" s="280">
        <f>'🧮 Costos x Producto'!J277</f>
        <v>0</v>
      </c>
      <c r="AL273" s="278">
        <f>'🧮 Costos x Producto'!K277</f>
        <v>0</v>
      </c>
      <c r="AM273" s="278">
        <f>TABLA_BASE[[#This Row],[C/M UNIT.
(S/.)]]*TABLA_BASE[[#This Row],[CANTIDAD
(unid.)]]</f>
        <v>0</v>
      </c>
      <c r="AN273" s="279">
        <f>IF('🧾 Factura Comercial'!G277=0,0,'🧾 Tributos Aduana'!$F$17*(IF('🧾 Tributos Aduana'!$F$6=0,0,'🧾 Factura Comercial'!I277/'🧾 Tributos Aduana'!$F$6))/'🧾 Factura Comercial'!G277)</f>
        <v>0</v>
      </c>
      <c r="AO273" s="280">
        <f>IF('🧾 Factura Comercial'!G277=0,0,'🏦 Crédito Fiscal'!$C$16*(IF('🧾 Tributos Aduana'!$F$6=0,0,'🧾 Factura Comercial'!I277/'🧾 Tributos Aduana'!$F$6))/'🧾 Factura Comercial'!G277)</f>
        <v>0</v>
      </c>
      <c r="AP273" s="278">
        <f>TABLA_BASE[[#This Row],[CF UNIT.
✅RECUP.
(US$)]]*'📋 Datos Generales'!$E$19</f>
        <v>0</v>
      </c>
      <c r="AQ273" s="278">
        <f>TABLA_BASE[[#This Row],[CF UNIT.
✅RECUP.(S/.)]]*TABLA_BASE[[#This Row],[CANTIDAD
(unid.)]]</f>
        <v>0</v>
      </c>
      <c r="AR273" s="288">
        <f>'💰 Precio de Venta'!G278</f>
        <v>0.4</v>
      </c>
      <c r="AS273" s="278">
        <f>'💰 Precio de Venta'!H278</f>
        <v>0</v>
      </c>
      <c r="AT273" s="278">
        <f>TABLA_BASE[[#This Row],[VALOR VTA.
UNIT.(S/.)]]*TABLA_BASE[[#This Row],[CANTIDAD
(unid.)]]</f>
        <v>0</v>
      </c>
      <c r="AU273" s="281">
        <f>'💰 Precio de Venta'!I278</f>
        <v>0</v>
      </c>
      <c r="AV273" s="278">
        <f>'💰 Precio de Venta'!J278</f>
        <v>0</v>
      </c>
      <c r="AW273" s="278">
        <f>TABLA_BASE[[#This Row],[GANANCIA
UNIT.(S/.)]]*TABLA_BASE[[#This Row],[CANTIDAD
(unid.)]]</f>
        <v>0</v>
      </c>
      <c r="AX273" s="289">
        <f>'💰 Precio de Venta'!K278</f>
        <v>0</v>
      </c>
      <c r="AY273" s="278">
        <f>TABLA_BASE[[#This Row],[GANANCIA
UNIT.(S/.)]]*'🧾 Factura Comercial'!G277</f>
        <v>0</v>
      </c>
      <c r="AZ273" s="277">
        <f>IF(TABLA_BASE[[#This Row],[PRECIO VTA.
c/IGV(S/.)]]=0,0,TABLA_BASE[[#This Row],[GANANCIA
UNIT.(S/.)]]/TABLA_BASE[[#This Row],[PRECIO VTA.
c/IGV(S/.)]])</f>
        <v>0</v>
      </c>
      <c r="BA273" s="277">
        <f>IF(TABLA_BASE[[#This Row],[C/M UNIT.
(S/.)]]=0,0,TABLA_BASE[[#This Row],[GANANCIA
UNIT.(S/.)]]/TABLA_BASE[[#This Row],[C/M UNIT.
(S/.)]])</f>
        <v>0</v>
      </c>
      <c r="BB273" s="274" t="str">
        <f>IF(TABLA_BASE[[#This Row],[MARGEN
%]]&gt;=0.5,"🟢 ALTO",IF(TABLA_BASE[[#This Row],[MARGEN
%]]&gt;=0.3,"🟡 MEDIO","🔴 BAJO"))</f>
        <v>🟡 MEDIO</v>
      </c>
    </row>
    <row r="274" spans="1:54" ht="16.5" hidden="1" thickTop="1" thickBot="1" x14ac:dyDescent="0.3">
      <c r="A274" s="274">
        <f>'🧾 Factura Comercial'!E278</f>
        <v>0</v>
      </c>
      <c r="B274" s="274" t="str">
        <f>'🧾 Factura Comercial'!F278</f>
        <v>Unid.</v>
      </c>
      <c r="C274" s="275">
        <f>'🧾 Factura Comercial'!G278</f>
        <v>0</v>
      </c>
      <c r="D274" s="276">
        <f>'🧾 Factura Comercial'!H278</f>
        <v>0</v>
      </c>
      <c r="E274" s="276">
        <f>'🧾 Factura Comercial'!I278</f>
        <v>0</v>
      </c>
      <c r="F274" s="277">
        <f>IF('🧾 Tributos Aduana'!$F$6=0,0,'🧾 Factura Comercial'!I278/'🧾 Tributos Aduana'!$F$6)</f>
        <v>0</v>
      </c>
      <c r="G274" s="278">
        <f>'🧾 Factura Comercial'!H278*'📋 Datos Generales'!$E$19</f>
        <v>0</v>
      </c>
      <c r="H274" s="278">
        <f>TABLA_BASE[[#This Row],[FOB UNIT.
(S/.)]]*TABLA_BASE[[#This Row],[CANTIDAD
(unid.)]]</f>
        <v>0</v>
      </c>
      <c r="I274" s="280">
        <f>IF('🧾 Tributos Aduana'!$F$6=0,0,'🧾 Tributos Aduana'!$F$17*('🧾 Factura Comercial'!H278/'🧾 Tributos Aduana'!$F$6))</f>
        <v>0</v>
      </c>
      <c r="J274" s="280">
        <f>TABLA_BASE[[#This Row],[ADV UNIT.
(US$)
⚠️COSTO]]*TABLA_BASE[[#This Row],[CANTIDAD
(unid.)]]</f>
        <v>0</v>
      </c>
      <c r="K274" s="279">
        <f>IF('🧾 Tributos Aduana'!$F$6=0,0,'🧾 Tributos Aduana'!$F$18*('🧾 Factura Comercial'!H278/'🧾 Tributos Aduana'!$F$6))</f>
        <v>0</v>
      </c>
      <c r="L274" s="280">
        <f>TABLA_BASE[[#This Row],[IPM UNIT.
(US$)
✅CF]]*TABLA_BASE[[#This Row],[CANTIDAD
(unid.)]]</f>
        <v>0</v>
      </c>
      <c r="M274" s="279">
        <f>IF('🧾 Tributos Aduana'!$F$6=0,0,'🧾 Tributos Aduana'!$F$19*('🧾 Factura Comercial'!H278/'🧾 Tributos Aduana'!$F$6))</f>
        <v>0</v>
      </c>
      <c r="N274" s="280">
        <f>TABLA_BASE[[#This Row],[IGV UNIT.
(US$)
✅CF]]*TABLA_BASE[[#This Row],[CANTIDAD
(unid.)]]</f>
        <v>0</v>
      </c>
      <c r="O274" s="280">
        <f>IF('🧾 Tributos Aduana'!$F$6=0,0,'🧾 Tributos Aduana'!$F$23*('🧾 Factura Comercial'!H278/'🧾 Tributos Aduana'!$F$6))</f>
        <v>0</v>
      </c>
      <c r="P274" s="280">
        <f>TABLA_BASE[[#This Row],[PERCEP.
UNIT.(US$)
✅CF]]*TABLA_BASE[[#This Row],[CANTIDAD
(unid.)]]</f>
        <v>0</v>
      </c>
      <c r="Q274" s="279">
        <f>TABLA_BASE[[#This Row],[ADV UNIT.
(US$)
⚠️COSTO]]+TABLA_BASE[[#This Row],[IPM UNIT.
(US$)
✅CF]]+TABLA_BASE[[#This Row],[IGV UNIT.
(US$)
✅CF]]</f>
        <v>0</v>
      </c>
      <c r="R274" s="280">
        <f>TABLA_BASE[[#This Row],[DEUDA
ADUANERA
UNIT.]]*TABLA_BASE[[#This Row],[CANTIDAD
(unid.)]]</f>
        <v>0</v>
      </c>
      <c r="S274" s="278">
        <f>TABLA_BASE[[#This Row],[DEUDA
ADUANERA
UNIT.]]*'📋 Datos Generales'!$E$19</f>
        <v>0</v>
      </c>
      <c r="T274" s="278">
        <f>TABLA_BASE[[#This Row],[DEUDA
ADUANERA
TOTAL]]*'📋 Datos Generales'!$E$19</f>
        <v>0</v>
      </c>
      <c r="U274" s="281">
        <f>TABLA_BASE[[#This Row],[ADV UNIT.
(US$)
⚠️COSTO]]*'📋 Datos Generales'!$E$19</f>
        <v>0</v>
      </c>
      <c r="V274" s="281">
        <f>TABLA_BASE[[#This Row],[ADV UNIT.
(S/.)]]*TABLA_BASE[[#This Row],[CANTIDAD
(unid.)]]</f>
        <v>0</v>
      </c>
      <c r="W274" s="281">
        <f>TABLA_BASE[[#This Row],[IPM UNIT.
(US$)
✅CF]]*'📋 Datos Generales'!$E$19</f>
        <v>0</v>
      </c>
      <c r="X274" s="281">
        <f>TABLA_BASE[[#This Row],[IPM UNIT.
(S/.)]]*TABLA_BASE[[#This Row],[CANTIDAD
(unid.)]]</f>
        <v>0</v>
      </c>
      <c r="Y274" s="281">
        <f>TABLA_BASE[[#This Row],[IGV UNIT.
(US$)
✅CF]]*'📋 Datos Generales'!$E$19</f>
        <v>0</v>
      </c>
      <c r="Z274" s="281">
        <f>TABLA_BASE[[#This Row],[IGV UNIT.
(S/.)]]*TABLA_BASE[[#This Row],[CANTIDAD
(unid.)]]</f>
        <v>0</v>
      </c>
      <c r="AA274" s="281">
        <f>TABLA_BASE[[#This Row],[PERCEP.
UNIT.(US$)
✅CF]]*'📋 Datos Generales'!$E$19</f>
        <v>0</v>
      </c>
      <c r="AB274" s="281">
        <f>TABLA_BASE[[#This Row],[PERCEP.
UNIT.(S/.)]]*TABLA_BASE[[#This Row],[CANTIDAD
(unid.)]]</f>
        <v>0</v>
      </c>
      <c r="AC274" s="279">
        <f>TABLA_BASE[[#This Row],[ADV UNIT.
(US$)
⚠️COSTO]]+TABLA_BASE[[#This Row],[IPM UNIT.
(US$)
✅CF]]+TABLA_BASE[[#This Row],[IGV UNIT.
(US$)
✅CF]]+TABLA_BASE[[#This Row],[PERCEP.
UNIT.(US$)
✅CF]]</f>
        <v>0</v>
      </c>
      <c r="AD274" s="279">
        <f>TABLA_BASE[[#This Row],[TOTAL PAGO
SUNAT
UNIT.(US$)]]*TABLA_BASE[[#This Row],[CANTIDAD
(unid.)]]</f>
        <v>0</v>
      </c>
      <c r="AE274" s="281">
        <f>TABLA_BASE[[#This Row],[TOTAL PAGO
SUNAT
UNIT.(US$)]]*'📋 Datos Generales'!$E$19</f>
        <v>0</v>
      </c>
      <c r="AF274" s="281">
        <f>TABLA_BASE[[#This Row],[TOTAL TRIB.
UNIT.(S/.)]]*TABLA_BASE[[#This Row],[CANTIDAD
(unid.)]]</f>
        <v>0</v>
      </c>
      <c r="AG274" s="279">
        <f>IF('🧾 Factura Comercial'!G278=0,0,'📦 Gastos Importación'!$E$28*(IF('🧾 Tributos Aduana'!$F$6=0,0,'🧾 Factura Comercial'!I278/'🧾 Tributos Aduana'!$F$6))/'🧾 Factura Comercial'!G278)</f>
        <v>0</v>
      </c>
      <c r="AH274" s="279">
        <f>TABLA_BASE[[#This Row],[GASTOS IMP.
UNIT.(US$)]]*TABLA_BASE[[#This Row],[CANTIDAD
(unid.)]]</f>
        <v>0</v>
      </c>
      <c r="AI274" s="281">
        <f>TABLA_BASE[[#This Row],[GASTOS IMP.
UNIT.(US$)]]*'📋 Datos Generales'!$E$19</f>
        <v>0</v>
      </c>
      <c r="AJ274" s="281">
        <f>TABLA_BASE[[#This Row],[GASTOS IMP.
UNIT.(S/.)]]*TABLA_BASE[[#This Row],[CANTIDAD
(unid.)]]</f>
        <v>0</v>
      </c>
      <c r="AK274" s="280">
        <f>'🧮 Costos x Producto'!J278</f>
        <v>0</v>
      </c>
      <c r="AL274" s="278">
        <f>'🧮 Costos x Producto'!K278</f>
        <v>0</v>
      </c>
      <c r="AM274" s="278">
        <f>TABLA_BASE[[#This Row],[C/M UNIT.
(S/.)]]*TABLA_BASE[[#This Row],[CANTIDAD
(unid.)]]</f>
        <v>0</v>
      </c>
      <c r="AN274" s="279">
        <f>IF('🧾 Factura Comercial'!G278=0,0,'🧾 Tributos Aduana'!$F$17*(IF('🧾 Tributos Aduana'!$F$6=0,0,'🧾 Factura Comercial'!I278/'🧾 Tributos Aduana'!$F$6))/'🧾 Factura Comercial'!G278)</f>
        <v>0</v>
      </c>
      <c r="AO274" s="280">
        <f>IF('🧾 Factura Comercial'!G278=0,0,'🏦 Crédito Fiscal'!$C$16*(IF('🧾 Tributos Aduana'!$F$6=0,0,'🧾 Factura Comercial'!I278/'🧾 Tributos Aduana'!$F$6))/'🧾 Factura Comercial'!G278)</f>
        <v>0</v>
      </c>
      <c r="AP274" s="278">
        <f>TABLA_BASE[[#This Row],[CF UNIT.
✅RECUP.
(US$)]]*'📋 Datos Generales'!$E$19</f>
        <v>0</v>
      </c>
      <c r="AQ274" s="278">
        <f>TABLA_BASE[[#This Row],[CF UNIT.
✅RECUP.(S/.)]]*TABLA_BASE[[#This Row],[CANTIDAD
(unid.)]]</f>
        <v>0</v>
      </c>
      <c r="AR274" s="288">
        <f>'💰 Precio de Venta'!G279</f>
        <v>0.4</v>
      </c>
      <c r="AS274" s="278">
        <f>'💰 Precio de Venta'!H279</f>
        <v>0</v>
      </c>
      <c r="AT274" s="278">
        <f>TABLA_BASE[[#This Row],[VALOR VTA.
UNIT.(S/.)]]*TABLA_BASE[[#This Row],[CANTIDAD
(unid.)]]</f>
        <v>0</v>
      </c>
      <c r="AU274" s="281">
        <f>'💰 Precio de Venta'!I279</f>
        <v>0</v>
      </c>
      <c r="AV274" s="278">
        <f>'💰 Precio de Venta'!J279</f>
        <v>0</v>
      </c>
      <c r="AW274" s="278">
        <f>TABLA_BASE[[#This Row],[GANANCIA
UNIT.(S/.)]]*TABLA_BASE[[#This Row],[CANTIDAD
(unid.)]]</f>
        <v>0</v>
      </c>
      <c r="AX274" s="289">
        <f>'💰 Precio de Venta'!K279</f>
        <v>0</v>
      </c>
      <c r="AY274" s="278">
        <f>TABLA_BASE[[#This Row],[GANANCIA
UNIT.(S/.)]]*'🧾 Factura Comercial'!G278</f>
        <v>0</v>
      </c>
      <c r="AZ274" s="277">
        <f>IF(TABLA_BASE[[#This Row],[PRECIO VTA.
c/IGV(S/.)]]=0,0,TABLA_BASE[[#This Row],[GANANCIA
UNIT.(S/.)]]/TABLA_BASE[[#This Row],[PRECIO VTA.
c/IGV(S/.)]])</f>
        <v>0</v>
      </c>
      <c r="BA274" s="277">
        <f>IF(TABLA_BASE[[#This Row],[C/M UNIT.
(S/.)]]=0,0,TABLA_BASE[[#This Row],[GANANCIA
UNIT.(S/.)]]/TABLA_BASE[[#This Row],[C/M UNIT.
(S/.)]])</f>
        <v>0</v>
      </c>
      <c r="BB274" s="274" t="str">
        <f>IF(TABLA_BASE[[#This Row],[MARGEN
%]]&gt;=0.5,"🟢 ALTO",IF(TABLA_BASE[[#This Row],[MARGEN
%]]&gt;=0.3,"🟡 MEDIO","🔴 BAJO"))</f>
        <v>🟡 MEDIO</v>
      </c>
    </row>
    <row r="275" spans="1:54" ht="16.5" hidden="1" thickTop="1" thickBot="1" x14ac:dyDescent="0.3">
      <c r="A275" s="274">
        <f>'🧾 Factura Comercial'!E279</f>
        <v>0</v>
      </c>
      <c r="B275" s="274" t="str">
        <f>'🧾 Factura Comercial'!F279</f>
        <v>Unid.</v>
      </c>
      <c r="C275" s="275">
        <f>'🧾 Factura Comercial'!G279</f>
        <v>0</v>
      </c>
      <c r="D275" s="276">
        <f>'🧾 Factura Comercial'!H279</f>
        <v>0</v>
      </c>
      <c r="E275" s="276">
        <f>'🧾 Factura Comercial'!I279</f>
        <v>0</v>
      </c>
      <c r="F275" s="277">
        <f>IF('🧾 Tributos Aduana'!$F$6=0,0,'🧾 Factura Comercial'!I279/'🧾 Tributos Aduana'!$F$6)</f>
        <v>0</v>
      </c>
      <c r="G275" s="278">
        <f>'🧾 Factura Comercial'!H279*'📋 Datos Generales'!$E$19</f>
        <v>0</v>
      </c>
      <c r="H275" s="278">
        <f>TABLA_BASE[[#This Row],[FOB UNIT.
(S/.)]]*TABLA_BASE[[#This Row],[CANTIDAD
(unid.)]]</f>
        <v>0</v>
      </c>
      <c r="I275" s="280">
        <f>IF('🧾 Tributos Aduana'!$F$6=0,0,'🧾 Tributos Aduana'!$F$17*('🧾 Factura Comercial'!H279/'🧾 Tributos Aduana'!$F$6))</f>
        <v>0</v>
      </c>
      <c r="J275" s="280">
        <f>TABLA_BASE[[#This Row],[ADV UNIT.
(US$)
⚠️COSTO]]*TABLA_BASE[[#This Row],[CANTIDAD
(unid.)]]</f>
        <v>0</v>
      </c>
      <c r="K275" s="279">
        <f>IF('🧾 Tributos Aduana'!$F$6=0,0,'🧾 Tributos Aduana'!$F$18*('🧾 Factura Comercial'!H279/'🧾 Tributos Aduana'!$F$6))</f>
        <v>0</v>
      </c>
      <c r="L275" s="280">
        <f>TABLA_BASE[[#This Row],[IPM UNIT.
(US$)
✅CF]]*TABLA_BASE[[#This Row],[CANTIDAD
(unid.)]]</f>
        <v>0</v>
      </c>
      <c r="M275" s="279">
        <f>IF('🧾 Tributos Aduana'!$F$6=0,0,'🧾 Tributos Aduana'!$F$19*('🧾 Factura Comercial'!H279/'🧾 Tributos Aduana'!$F$6))</f>
        <v>0</v>
      </c>
      <c r="N275" s="280">
        <f>TABLA_BASE[[#This Row],[IGV UNIT.
(US$)
✅CF]]*TABLA_BASE[[#This Row],[CANTIDAD
(unid.)]]</f>
        <v>0</v>
      </c>
      <c r="O275" s="280">
        <f>IF('🧾 Tributos Aduana'!$F$6=0,0,'🧾 Tributos Aduana'!$F$23*('🧾 Factura Comercial'!H279/'🧾 Tributos Aduana'!$F$6))</f>
        <v>0</v>
      </c>
      <c r="P275" s="280">
        <f>TABLA_BASE[[#This Row],[PERCEP.
UNIT.(US$)
✅CF]]*TABLA_BASE[[#This Row],[CANTIDAD
(unid.)]]</f>
        <v>0</v>
      </c>
      <c r="Q275" s="279">
        <f>TABLA_BASE[[#This Row],[ADV UNIT.
(US$)
⚠️COSTO]]+TABLA_BASE[[#This Row],[IPM UNIT.
(US$)
✅CF]]+TABLA_BASE[[#This Row],[IGV UNIT.
(US$)
✅CF]]</f>
        <v>0</v>
      </c>
      <c r="R275" s="280">
        <f>TABLA_BASE[[#This Row],[DEUDA
ADUANERA
UNIT.]]*TABLA_BASE[[#This Row],[CANTIDAD
(unid.)]]</f>
        <v>0</v>
      </c>
      <c r="S275" s="278">
        <f>TABLA_BASE[[#This Row],[DEUDA
ADUANERA
UNIT.]]*'📋 Datos Generales'!$E$19</f>
        <v>0</v>
      </c>
      <c r="T275" s="278">
        <f>TABLA_BASE[[#This Row],[DEUDA
ADUANERA
TOTAL]]*'📋 Datos Generales'!$E$19</f>
        <v>0</v>
      </c>
      <c r="U275" s="281">
        <f>TABLA_BASE[[#This Row],[ADV UNIT.
(US$)
⚠️COSTO]]*'📋 Datos Generales'!$E$19</f>
        <v>0</v>
      </c>
      <c r="V275" s="281">
        <f>TABLA_BASE[[#This Row],[ADV UNIT.
(S/.)]]*TABLA_BASE[[#This Row],[CANTIDAD
(unid.)]]</f>
        <v>0</v>
      </c>
      <c r="W275" s="281">
        <f>TABLA_BASE[[#This Row],[IPM UNIT.
(US$)
✅CF]]*'📋 Datos Generales'!$E$19</f>
        <v>0</v>
      </c>
      <c r="X275" s="281">
        <f>TABLA_BASE[[#This Row],[IPM UNIT.
(S/.)]]*TABLA_BASE[[#This Row],[CANTIDAD
(unid.)]]</f>
        <v>0</v>
      </c>
      <c r="Y275" s="281">
        <f>TABLA_BASE[[#This Row],[IGV UNIT.
(US$)
✅CF]]*'📋 Datos Generales'!$E$19</f>
        <v>0</v>
      </c>
      <c r="Z275" s="281">
        <f>TABLA_BASE[[#This Row],[IGV UNIT.
(S/.)]]*TABLA_BASE[[#This Row],[CANTIDAD
(unid.)]]</f>
        <v>0</v>
      </c>
      <c r="AA275" s="281">
        <f>TABLA_BASE[[#This Row],[PERCEP.
UNIT.(US$)
✅CF]]*'📋 Datos Generales'!$E$19</f>
        <v>0</v>
      </c>
      <c r="AB275" s="281">
        <f>TABLA_BASE[[#This Row],[PERCEP.
UNIT.(S/.)]]*TABLA_BASE[[#This Row],[CANTIDAD
(unid.)]]</f>
        <v>0</v>
      </c>
      <c r="AC275" s="279">
        <f>TABLA_BASE[[#This Row],[ADV UNIT.
(US$)
⚠️COSTO]]+TABLA_BASE[[#This Row],[IPM UNIT.
(US$)
✅CF]]+TABLA_BASE[[#This Row],[IGV UNIT.
(US$)
✅CF]]+TABLA_BASE[[#This Row],[PERCEP.
UNIT.(US$)
✅CF]]</f>
        <v>0</v>
      </c>
      <c r="AD275" s="279">
        <f>TABLA_BASE[[#This Row],[TOTAL PAGO
SUNAT
UNIT.(US$)]]*TABLA_BASE[[#This Row],[CANTIDAD
(unid.)]]</f>
        <v>0</v>
      </c>
      <c r="AE275" s="281">
        <f>TABLA_BASE[[#This Row],[TOTAL PAGO
SUNAT
UNIT.(US$)]]*'📋 Datos Generales'!$E$19</f>
        <v>0</v>
      </c>
      <c r="AF275" s="281">
        <f>TABLA_BASE[[#This Row],[TOTAL TRIB.
UNIT.(S/.)]]*TABLA_BASE[[#This Row],[CANTIDAD
(unid.)]]</f>
        <v>0</v>
      </c>
      <c r="AG275" s="279">
        <f>IF('🧾 Factura Comercial'!G279=0,0,'📦 Gastos Importación'!$E$28*(IF('🧾 Tributos Aduana'!$F$6=0,0,'🧾 Factura Comercial'!I279/'🧾 Tributos Aduana'!$F$6))/'🧾 Factura Comercial'!G279)</f>
        <v>0</v>
      </c>
      <c r="AH275" s="279">
        <f>TABLA_BASE[[#This Row],[GASTOS IMP.
UNIT.(US$)]]*TABLA_BASE[[#This Row],[CANTIDAD
(unid.)]]</f>
        <v>0</v>
      </c>
      <c r="AI275" s="281">
        <f>TABLA_BASE[[#This Row],[GASTOS IMP.
UNIT.(US$)]]*'📋 Datos Generales'!$E$19</f>
        <v>0</v>
      </c>
      <c r="AJ275" s="281">
        <f>TABLA_BASE[[#This Row],[GASTOS IMP.
UNIT.(S/.)]]*TABLA_BASE[[#This Row],[CANTIDAD
(unid.)]]</f>
        <v>0</v>
      </c>
      <c r="AK275" s="280">
        <f>'🧮 Costos x Producto'!J279</f>
        <v>0</v>
      </c>
      <c r="AL275" s="278">
        <f>'🧮 Costos x Producto'!K279</f>
        <v>0</v>
      </c>
      <c r="AM275" s="278">
        <f>TABLA_BASE[[#This Row],[C/M UNIT.
(S/.)]]*TABLA_BASE[[#This Row],[CANTIDAD
(unid.)]]</f>
        <v>0</v>
      </c>
      <c r="AN275" s="279">
        <f>IF('🧾 Factura Comercial'!G279=0,0,'🧾 Tributos Aduana'!$F$17*(IF('🧾 Tributos Aduana'!$F$6=0,0,'🧾 Factura Comercial'!I279/'🧾 Tributos Aduana'!$F$6))/'🧾 Factura Comercial'!G279)</f>
        <v>0</v>
      </c>
      <c r="AO275" s="280">
        <f>IF('🧾 Factura Comercial'!G279=0,0,'🏦 Crédito Fiscal'!$C$16*(IF('🧾 Tributos Aduana'!$F$6=0,0,'🧾 Factura Comercial'!I279/'🧾 Tributos Aduana'!$F$6))/'🧾 Factura Comercial'!G279)</f>
        <v>0</v>
      </c>
      <c r="AP275" s="278">
        <f>TABLA_BASE[[#This Row],[CF UNIT.
✅RECUP.
(US$)]]*'📋 Datos Generales'!$E$19</f>
        <v>0</v>
      </c>
      <c r="AQ275" s="278">
        <f>TABLA_BASE[[#This Row],[CF UNIT.
✅RECUP.(S/.)]]*TABLA_BASE[[#This Row],[CANTIDAD
(unid.)]]</f>
        <v>0</v>
      </c>
      <c r="AR275" s="288">
        <f>'💰 Precio de Venta'!G280</f>
        <v>0.4</v>
      </c>
      <c r="AS275" s="278">
        <f>'💰 Precio de Venta'!H280</f>
        <v>0</v>
      </c>
      <c r="AT275" s="278">
        <f>TABLA_BASE[[#This Row],[VALOR VTA.
UNIT.(S/.)]]*TABLA_BASE[[#This Row],[CANTIDAD
(unid.)]]</f>
        <v>0</v>
      </c>
      <c r="AU275" s="281">
        <f>'💰 Precio de Venta'!I280</f>
        <v>0</v>
      </c>
      <c r="AV275" s="278">
        <f>'💰 Precio de Venta'!J280</f>
        <v>0</v>
      </c>
      <c r="AW275" s="278">
        <f>TABLA_BASE[[#This Row],[GANANCIA
UNIT.(S/.)]]*TABLA_BASE[[#This Row],[CANTIDAD
(unid.)]]</f>
        <v>0</v>
      </c>
      <c r="AX275" s="289">
        <f>'💰 Precio de Venta'!K280</f>
        <v>0</v>
      </c>
      <c r="AY275" s="278">
        <f>TABLA_BASE[[#This Row],[GANANCIA
UNIT.(S/.)]]*'🧾 Factura Comercial'!G279</f>
        <v>0</v>
      </c>
      <c r="AZ275" s="277">
        <f>IF(TABLA_BASE[[#This Row],[PRECIO VTA.
c/IGV(S/.)]]=0,0,TABLA_BASE[[#This Row],[GANANCIA
UNIT.(S/.)]]/TABLA_BASE[[#This Row],[PRECIO VTA.
c/IGV(S/.)]])</f>
        <v>0</v>
      </c>
      <c r="BA275" s="277">
        <f>IF(TABLA_BASE[[#This Row],[C/M UNIT.
(S/.)]]=0,0,TABLA_BASE[[#This Row],[GANANCIA
UNIT.(S/.)]]/TABLA_BASE[[#This Row],[C/M UNIT.
(S/.)]])</f>
        <v>0</v>
      </c>
      <c r="BB275" s="274" t="str">
        <f>IF(TABLA_BASE[[#This Row],[MARGEN
%]]&gt;=0.5,"🟢 ALTO",IF(TABLA_BASE[[#This Row],[MARGEN
%]]&gt;=0.3,"🟡 MEDIO","🔴 BAJO"))</f>
        <v>🟡 MEDIO</v>
      </c>
    </row>
    <row r="276" spans="1:54" ht="16.5" hidden="1" thickTop="1" thickBot="1" x14ac:dyDescent="0.3">
      <c r="A276" s="274">
        <f>'🧾 Factura Comercial'!E280</f>
        <v>0</v>
      </c>
      <c r="B276" s="274" t="str">
        <f>'🧾 Factura Comercial'!F280</f>
        <v>Unid.</v>
      </c>
      <c r="C276" s="275">
        <f>'🧾 Factura Comercial'!G280</f>
        <v>0</v>
      </c>
      <c r="D276" s="276">
        <f>'🧾 Factura Comercial'!H280</f>
        <v>0</v>
      </c>
      <c r="E276" s="276">
        <f>'🧾 Factura Comercial'!I280</f>
        <v>0</v>
      </c>
      <c r="F276" s="277">
        <f>IF('🧾 Tributos Aduana'!$F$6=0,0,'🧾 Factura Comercial'!I280/'🧾 Tributos Aduana'!$F$6)</f>
        <v>0</v>
      </c>
      <c r="G276" s="278">
        <f>'🧾 Factura Comercial'!H280*'📋 Datos Generales'!$E$19</f>
        <v>0</v>
      </c>
      <c r="H276" s="278">
        <f>TABLA_BASE[[#This Row],[FOB UNIT.
(S/.)]]*TABLA_BASE[[#This Row],[CANTIDAD
(unid.)]]</f>
        <v>0</v>
      </c>
      <c r="I276" s="280">
        <f>IF('🧾 Tributos Aduana'!$F$6=0,0,'🧾 Tributos Aduana'!$F$17*('🧾 Factura Comercial'!H280/'🧾 Tributos Aduana'!$F$6))</f>
        <v>0</v>
      </c>
      <c r="J276" s="280">
        <f>TABLA_BASE[[#This Row],[ADV UNIT.
(US$)
⚠️COSTO]]*TABLA_BASE[[#This Row],[CANTIDAD
(unid.)]]</f>
        <v>0</v>
      </c>
      <c r="K276" s="279">
        <f>IF('🧾 Tributos Aduana'!$F$6=0,0,'🧾 Tributos Aduana'!$F$18*('🧾 Factura Comercial'!H280/'🧾 Tributos Aduana'!$F$6))</f>
        <v>0</v>
      </c>
      <c r="L276" s="280">
        <f>TABLA_BASE[[#This Row],[IPM UNIT.
(US$)
✅CF]]*TABLA_BASE[[#This Row],[CANTIDAD
(unid.)]]</f>
        <v>0</v>
      </c>
      <c r="M276" s="279">
        <f>IF('🧾 Tributos Aduana'!$F$6=0,0,'🧾 Tributos Aduana'!$F$19*('🧾 Factura Comercial'!H280/'🧾 Tributos Aduana'!$F$6))</f>
        <v>0</v>
      </c>
      <c r="N276" s="280">
        <f>TABLA_BASE[[#This Row],[IGV UNIT.
(US$)
✅CF]]*TABLA_BASE[[#This Row],[CANTIDAD
(unid.)]]</f>
        <v>0</v>
      </c>
      <c r="O276" s="280">
        <f>IF('🧾 Tributos Aduana'!$F$6=0,0,'🧾 Tributos Aduana'!$F$23*('🧾 Factura Comercial'!H280/'🧾 Tributos Aduana'!$F$6))</f>
        <v>0</v>
      </c>
      <c r="P276" s="280">
        <f>TABLA_BASE[[#This Row],[PERCEP.
UNIT.(US$)
✅CF]]*TABLA_BASE[[#This Row],[CANTIDAD
(unid.)]]</f>
        <v>0</v>
      </c>
      <c r="Q276" s="279">
        <f>TABLA_BASE[[#This Row],[ADV UNIT.
(US$)
⚠️COSTO]]+TABLA_BASE[[#This Row],[IPM UNIT.
(US$)
✅CF]]+TABLA_BASE[[#This Row],[IGV UNIT.
(US$)
✅CF]]</f>
        <v>0</v>
      </c>
      <c r="R276" s="280">
        <f>TABLA_BASE[[#This Row],[DEUDA
ADUANERA
UNIT.]]*TABLA_BASE[[#This Row],[CANTIDAD
(unid.)]]</f>
        <v>0</v>
      </c>
      <c r="S276" s="278">
        <f>TABLA_BASE[[#This Row],[DEUDA
ADUANERA
UNIT.]]*'📋 Datos Generales'!$E$19</f>
        <v>0</v>
      </c>
      <c r="T276" s="278">
        <f>TABLA_BASE[[#This Row],[DEUDA
ADUANERA
TOTAL]]*'📋 Datos Generales'!$E$19</f>
        <v>0</v>
      </c>
      <c r="U276" s="281">
        <f>TABLA_BASE[[#This Row],[ADV UNIT.
(US$)
⚠️COSTO]]*'📋 Datos Generales'!$E$19</f>
        <v>0</v>
      </c>
      <c r="V276" s="281">
        <f>TABLA_BASE[[#This Row],[ADV UNIT.
(S/.)]]*TABLA_BASE[[#This Row],[CANTIDAD
(unid.)]]</f>
        <v>0</v>
      </c>
      <c r="W276" s="281">
        <f>TABLA_BASE[[#This Row],[IPM UNIT.
(US$)
✅CF]]*'📋 Datos Generales'!$E$19</f>
        <v>0</v>
      </c>
      <c r="X276" s="281">
        <f>TABLA_BASE[[#This Row],[IPM UNIT.
(S/.)]]*TABLA_BASE[[#This Row],[CANTIDAD
(unid.)]]</f>
        <v>0</v>
      </c>
      <c r="Y276" s="281">
        <f>TABLA_BASE[[#This Row],[IGV UNIT.
(US$)
✅CF]]*'📋 Datos Generales'!$E$19</f>
        <v>0</v>
      </c>
      <c r="Z276" s="281">
        <f>TABLA_BASE[[#This Row],[IGV UNIT.
(S/.)]]*TABLA_BASE[[#This Row],[CANTIDAD
(unid.)]]</f>
        <v>0</v>
      </c>
      <c r="AA276" s="281">
        <f>TABLA_BASE[[#This Row],[PERCEP.
UNIT.(US$)
✅CF]]*'📋 Datos Generales'!$E$19</f>
        <v>0</v>
      </c>
      <c r="AB276" s="281">
        <f>TABLA_BASE[[#This Row],[PERCEP.
UNIT.(S/.)]]*TABLA_BASE[[#This Row],[CANTIDAD
(unid.)]]</f>
        <v>0</v>
      </c>
      <c r="AC276" s="279">
        <f>TABLA_BASE[[#This Row],[ADV UNIT.
(US$)
⚠️COSTO]]+TABLA_BASE[[#This Row],[IPM UNIT.
(US$)
✅CF]]+TABLA_BASE[[#This Row],[IGV UNIT.
(US$)
✅CF]]+TABLA_BASE[[#This Row],[PERCEP.
UNIT.(US$)
✅CF]]</f>
        <v>0</v>
      </c>
      <c r="AD276" s="279">
        <f>TABLA_BASE[[#This Row],[TOTAL PAGO
SUNAT
UNIT.(US$)]]*TABLA_BASE[[#This Row],[CANTIDAD
(unid.)]]</f>
        <v>0</v>
      </c>
      <c r="AE276" s="281">
        <f>TABLA_BASE[[#This Row],[TOTAL PAGO
SUNAT
UNIT.(US$)]]*'📋 Datos Generales'!$E$19</f>
        <v>0</v>
      </c>
      <c r="AF276" s="281">
        <f>TABLA_BASE[[#This Row],[TOTAL TRIB.
UNIT.(S/.)]]*TABLA_BASE[[#This Row],[CANTIDAD
(unid.)]]</f>
        <v>0</v>
      </c>
      <c r="AG276" s="279">
        <f>IF('🧾 Factura Comercial'!G280=0,0,'📦 Gastos Importación'!$E$28*(IF('🧾 Tributos Aduana'!$F$6=0,0,'🧾 Factura Comercial'!I280/'🧾 Tributos Aduana'!$F$6))/'🧾 Factura Comercial'!G280)</f>
        <v>0</v>
      </c>
      <c r="AH276" s="279">
        <f>TABLA_BASE[[#This Row],[GASTOS IMP.
UNIT.(US$)]]*TABLA_BASE[[#This Row],[CANTIDAD
(unid.)]]</f>
        <v>0</v>
      </c>
      <c r="AI276" s="281">
        <f>TABLA_BASE[[#This Row],[GASTOS IMP.
UNIT.(US$)]]*'📋 Datos Generales'!$E$19</f>
        <v>0</v>
      </c>
      <c r="AJ276" s="281">
        <f>TABLA_BASE[[#This Row],[GASTOS IMP.
UNIT.(S/.)]]*TABLA_BASE[[#This Row],[CANTIDAD
(unid.)]]</f>
        <v>0</v>
      </c>
      <c r="AK276" s="280">
        <f>'🧮 Costos x Producto'!J280</f>
        <v>0</v>
      </c>
      <c r="AL276" s="278">
        <f>'🧮 Costos x Producto'!K280</f>
        <v>0</v>
      </c>
      <c r="AM276" s="278">
        <f>TABLA_BASE[[#This Row],[C/M UNIT.
(S/.)]]*TABLA_BASE[[#This Row],[CANTIDAD
(unid.)]]</f>
        <v>0</v>
      </c>
      <c r="AN276" s="279">
        <f>IF('🧾 Factura Comercial'!G280=0,0,'🧾 Tributos Aduana'!$F$17*(IF('🧾 Tributos Aduana'!$F$6=0,0,'🧾 Factura Comercial'!I280/'🧾 Tributos Aduana'!$F$6))/'🧾 Factura Comercial'!G280)</f>
        <v>0</v>
      </c>
      <c r="AO276" s="280">
        <f>IF('🧾 Factura Comercial'!G280=0,0,'🏦 Crédito Fiscal'!$C$16*(IF('🧾 Tributos Aduana'!$F$6=0,0,'🧾 Factura Comercial'!I280/'🧾 Tributos Aduana'!$F$6))/'🧾 Factura Comercial'!G280)</f>
        <v>0</v>
      </c>
      <c r="AP276" s="278">
        <f>TABLA_BASE[[#This Row],[CF UNIT.
✅RECUP.
(US$)]]*'📋 Datos Generales'!$E$19</f>
        <v>0</v>
      </c>
      <c r="AQ276" s="278">
        <f>TABLA_BASE[[#This Row],[CF UNIT.
✅RECUP.(S/.)]]*TABLA_BASE[[#This Row],[CANTIDAD
(unid.)]]</f>
        <v>0</v>
      </c>
      <c r="AR276" s="288">
        <f>'💰 Precio de Venta'!G281</f>
        <v>0.4</v>
      </c>
      <c r="AS276" s="278">
        <f>'💰 Precio de Venta'!H281</f>
        <v>0</v>
      </c>
      <c r="AT276" s="278">
        <f>TABLA_BASE[[#This Row],[VALOR VTA.
UNIT.(S/.)]]*TABLA_BASE[[#This Row],[CANTIDAD
(unid.)]]</f>
        <v>0</v>
      </c>
      <c r="AU276" s="281">
        <f>'💰 Precio de Venta'!I281</f>
        <v>0</v>
      </c>
      <c r="AV276" s="278">
        <f>'💰 Precio de Venta'!J281</f>
        <v>0</v>
      </c>
      <c r="AW276" s="278">
        <f>TABLA_BASE[[#This Row],[GANANCIA
UNIT.(S/.)]]*TABLA_BASE[[#This Row],[CANTIDAD
(unid.)]]</f>
        <v>0</v>
      </c>
      <c r="AX276" s="289">
        <f>'💰 Precio de Venta'!K281</f>
        <v>0</v>
      </c>
      <c r="AY276" s="278">
        <f>TABLA_BASE[[#This Row],[GANANCIA
UNIT.(S/.)]]*'🧾 Factura Comercial'!G280</f>
        <v>0</v>
      </c>
      <c r="AZ276" s="277">
        <f>IF(TABLA_BASE[[#This Row],[PRECIO VTA.
c/IGV(S/.)]]=0,0,TABLA_BASE[[#This Row],[GANANCIA
UNIT.(S/.)]]/TABLA_BASE[[#This Row],[PRECIO VTA.
c/IGV(S/.)]])</f>
        <v>0</v>
      </c>
      <c r="BA276" s="277">
        <f>IF(TABLA_BASE[[#This Row],[C/M UNIT.
(S/.)]]=0,0,TABLA_BASE[[#This Row],[GANANCIA
UNIT.(S/.)]]/TABLA_BASE[[#This Row],[C/M UNIT.
(S/.)]])</f>
        <v>0</v>
      </c>
      <c r="BB276" s="274" t="str">
        <f>IF(TABLA_BASE[[#This Row],[MARGEN
%]]&gt;=0.5,"🟢 ALTO",IF(TABLA_BASE[[#This Row],[MARGEN
%]]&gt;=0.3,"🟡 MEDIO","🔴 BAJO"))</f>
        <v>🟡 MEDIO</v>
      </c>
    </row>
    <row r="277" spans="1:54" ht="16.5" hidden="1" thickTop="1" thickBot="1" x14ac:dyDescent="0.3">
      <c r="A277" s="274">
        <f>'🧾 Factura Comercial'!E281</f>
        <v>0</v>
      </c>
      <c r="B277" s="274" t="str">
        <f>'🧾 Factura Comercial'!F281</f>
        <v>Unid.</v>
      </c>
      <c r="C277" s="275">
        <f>'🧾 Factura Comercial'!G281</f>
        <v>0</v>
      </c>
      <c r="D277" s="276">
        <f>'🧾 Factura Comercial'!H281</f>
        <v>0</v>
      </c>
      <c r="E277" s="276">
        <f>'🧾 Factura Comercial'!I281</f>
        <v>0</v>
      </c>
      <c r="F277" s="277">
        <f>IF('🧾 Tributos Aduana'!$F$6=0,0,'🧾 Factura Comercial'!I281/'🧾 Tributos Aduana'!$F$6)</f>
        <v>0</v>
      </c>
      <c r="G277" s="278">
        <f>'🧾 Factura Comercial'!H281*'📋 Datos Generales'!$E$19</f>
        <v>0</v>
      </c>
      <c r="H277" s="278">
        <f>TABLA_BASE[[#This Row],[FOB UNIT.
(S/.)]]*TABLA_BASE[[#This Row],[CANTIDAD
(unid.)]]</f>
        <v>0</v>
      </c>
      <c r="I277" s="280">
        <f>IF('🧾 Tributos Aduana'!$F$6=0,0,'🧾 Tributos Aduana'!$F$17*('🧾 Factura Comercial'!H281/'🧾 Tributos Aduana'!$F$6))</f>
        <v>0</v>
      </c>
      <c r="J277" s="280">
        <f>TABLA_BASE[[#This Row],[ADV UNIT.
(US$)
⚠️COSTO]]*TABLA_BASE[[#This Row],[CANTIDAD
(unid.)]]</f>
        <v>0</v>
      </c>
      <c r="K277" s="279">
        <f>IF('🧾 Tributos Aduana'!$F$6=0,0,'🧾 Tributos Aduana'!$F$18*('🧾 Factura Comercial'!H281/'🧾 Tributos Aduana'!$F$6))</f>
        <v>0</v>
      </c>
      <c r="L277" s="280">
        <f>TABLA_BASE[[#This Row],[IPM UNIT.
(US$)
✅CF]]*TABLA_BASE[[#This Row],[CANTIDAD
(unid.)]]</f>
        <v>0</v>
      </c>
      <c r="M277" s="279">
        <f>IF('🧾 Tributos Aduana'!$F$6=0,0,'🧾 Tributos Aduana'!$F$19*('🧾 Factura Comercial'!H281/'🧾 Tributos Aduana'!$F$6))</f>
        <v>0</v>
      </c>
      <c r="N277" s="280">
        <f>TABLA_BASE[[#This Row],[IGV UNIT.
(US$)
✅CF]]*TABLA_BASE[[#This Row],[CANTIDAD
(unid.)]]</f>
        <v>0</v>
      </c>
      <c r="O277" s="280">
        <f>IF('🧾 Tributos Aduana'!$F$6=0,0,'🧾 Tributos Aduana'!$F$23*('🧾 Factura Comercial'!H281/'🧾 Tributos Aduana'!$F$6))</f>
        <v>0</v>
      </c>
      <c r="P277" s="280">
        <f>TABLA_BASE[[#This Row],[PERCEP.
UNIT.(US$)
✅CF]]*TABLA_BASE[[#This Row],[CANTIDAD
(unid.)]]</f>
        <v>0</v>
      </c>
      <c r="Q277" s="279">
        <f>TABLA_BASE[[#This Row],[ADV UNIT.
(US$)
⚠️COSTO]]+TABLA_BASE[[#This Row],[IPM UNIT.
(US$)
✅CF]]+TABLA_BASE[[#This Row],[IGV UNIT.
(US$)
✅CF]]</f>
        <v>0</v>
      </c>
      <c r="R277" s="280">
        <f>TABLA_BASE[[#This Row],[DEUDA
ADUANERA
UNIT.]]*TABLA_BASE[[#This Row],[CANTIDAD
(unid.)]]</f>
        <v>0</v>
      </c>
      <c r="S277" s="278">
        <f>TABLA_BASE[[#This Row],[DEUDA
ADUANERA
UNIT.]]*'📋 Datos Generales'!$E$19</f>
        <v>0</v>
      </c>
      <c r="T277" s="278">
        <f>TABLA_BASE[[#This Row],[DEUDA
ADUANERA
TOTAL]]*'📋 Datos Generales'!$E$19</f>
        <v>0</v>
      </c>
      <c r="U277" s="281">
        <f>TABLA_BASE[[#This Row],[ADV UNIT.
(US$)
⚠️COSTO]]*'📋 Datos Generales'!$E$19</f>
        <v>0</v>
      </c>
      <c r="V277" s="281">
        <f>TABLA_BASE[[#This Row],[ADV UNIT.
(S/.)]]*TABLA_BASE[[#This Row],[CANTIDAD
(unid.)]]</f>
        <v>0</v>
      </c>
      <c r="W277" s="281">
        <f>TABLA_BASE[[#This Row],[IPM UNIT.
(US$)
✅CF]]*'📋 Datos Generales'!$E$19</f>
        <v>0</v>
      </c>
      <c r="X277" s="281">
        <f>TABLA_BASE[[#This Row],[IPM UNIT.
(S/.)]]*TABLA_BASE[[#This Row],[CANTIDAD
(unid.)]]</f>
        <v>0</v>
      </c>
      <c r="Y277" s="281">
        <f>TABLA_BASE[[#This Row],[IGV UNIT.
(US$)
✅CF]]*'📋 Datos Generales'!$E$19</f>
        <v>0</v>
      </c>
      <c r="Z277" s="281">
        <f>TABLA_BASE[[#This Row],[IGV UNIT.
(S/.)]]*TABLA_BASE[[#This Row],[CANTIDAD
(unid.)]]</f>
        <v>0</v>
      </c>
      <c r="AA277" s="281">
        <f>TABLA_BASE[[#This Row],[PERCEP.
UNIT.(US$)
✅CF]]*'📋 Datos Generales'!$E$19</f>
        <v>0</v>
      </c>
      <c r="AB277" s="281">
        <f>TABLA_BASE[[#This Row],[PERCEP.
UNIT.(S/.)]]*TABLA_BASE[[#This Row],[CANTIDAD
(unid.)]]</f>
        <v>0</v>
      </c>
      <c r="AC277" s="279">
        <f>TABLA_BASE[[#This Row],[ADV UNIT.
(US$)
⚠️COSTO]]+TABLA_BASE[[#This Row],[IPM UNIT.
(US$)
✅CF]]+TABLA_BASE[[#This Row],[IGV UNIT.
(US$)
✅CF]]+TABLA_BASE[[#This Row],[PERCEP.
UNIT.(US$)
✅CF]]</f>
        <v>0</v>
      </c>
      <c r="AD277" s="279">
        <f>TABLA_BASE[[#This Row],[TOTAL PAGO
SUNAT
UNIT.(US$)]]*TABLA_BASE[[#This Row],[CANTIDAD
(unid.)]]</f>
        <v>0</v>
      </c>
      <c r="AE277" s="281">
        <f>TABLA_BASE[[#This Row],[TOTAL PAGO
SUNAT
UNIT.(US$)]]*'📋 Datos Generales'!$E$19</f>
        <v>0</v>
      </c>
      <c r="AF277" s="281">
        <f>TABLA_BASE[[#This Row],[TOTAL TRIB.
UNIT.(S/.)]]*TABLA_BASE[[#This Row],[CANTIDAD
(unid.)]]</f>
        <v>0</v>
      </c>
      <c r="AG277" s="279">
        <f>IF('🧾 Factura Comercial'!G281=0,0,'📦 Gastos Importación'!$E$28*(IF('🧾 Tributos Aduana'!$F$6=0,0,'🧾 Factura Comercial'!I281/'🧾 Tributos Aduana'!$F$6))/'🧾 Factura Comercial'!G281)</f>
        <v>0</v>
      </c>
      <c r="AH277" s="279">
        <f>TABLA_BASE[[#This Row],[GASTOS IMP.
UNIT.(US$)]]*TABLA_BASE[[#This Row],[CANTIDAD
(unid.)]]</f>
        <v>0</v>
      </c>
      <c r="AI277" s="281">
        <f>TABLA_BASE[[#This Row],[GASTOS IMP.
UNIT.(US$)]]*'📋 Datos Generales'!$E$19</f>
        <v>0</v>
      </c>
      <c r="AJ277" s="281">
        <f>TABLA_BASE[[#This Row],[GASTOS IMP.
UNIT.(S/.)]]*TABLA_BASE[[#This Row],[CANTIDAD
(unid.)]]</f>
        <v>0</v>
      </c>
      <c r="AK277" s="280">
        <f>'🧮 Costos x Producto'!J281</f>
        <v>0</v>
      </c>
      <c r="AL277" s="278">
        <f>'🧮 Costos x Producto'!K281</f>
        <v>0</v>
      </c>
      <c r="AM277" s="278">
        <f>TABLA_BASE[[#This Row],[C/M UNIT.
(S/.)]]*TABLA_BASE[[#This Row],[CANTIDAD
(unid.)]]</f>
        <v>0</v>
      </c>
      <c r="AN277" s="279">
        <f>IF('🧾 Factura Comercial'!G281=0,0,'🧾 Tributos Aduana'!$F$17*(IF('🧾 Tributos Aduana'!$F$6=0,0,'🧾 Factura Comercial'!I281/'🧾 Tributos Aduana'!$F$6))/'🧾 Factura Comercial'!G281)</f>
        <v>0</v>
      </c>
      <c r="AO277" s="280">
        <f>IF('🧾 Factura Comercial'!G281=0,0,'🏦 Crédito Fiscal'!$C$16*(IF('🧾 Tributos Aduana'!$F$6=0,0,'🧾 Factura Comercial'!I281/'🧾 Tributos Aduana'!$F$6))/'🧾 Factura Comercial'!G281)</f>
        <v>0</v>
      </c>
      <c r="AP277" s="278">
        <f>TABLA_BASE[[#This Row],[CF UNIT.
✅RECUP.
(US$)]]*'📋 Datos Generales'!$E$19</f>
        <v>0</v>
      </c>
      <c r="AQ277" s="278">
        <f>TABLA_BASE[[#This Row],[CF UNIT.
✅RECUP.(S/.)]]*TABLA_BASE[[#This Row],[CANTIDAD
(unid.)]]</f>
        <v>0</v>
      </c>
      <c r="AR277" s="288">
        <f>'💰 Precio de Venta'!G282</f>
        <v>0.4</v>
      </c>
      <c r="AS277" s="278">
        <f>'💰 Precio de Venta'!H282</f>
        <v>0</v>
      </c>
      <c r="AT277" s="278">
        <f>TABLA_BASE[[#This Row],[VALOR VTA.
UNIT.(S/.)]]*TABLA_BASE[[#This Row],[CANTIDAD
(unid.)]]</f>
        <v>0</v>
      </c>
      <c r="AU277" s="281">
        <f>'💰 Precio de Venta'!I282</f>
        <v>0</v>
      </c>
      <c r="AV277" s="278">
        <f>'💰 Precio de Venta'!J282</f>
        <v>0</v>
      </c>
      <c r="AW277" s="278">
        <f>TABLA_BASE[[#This Row],[GANANCIA
UNIT.(S/.)]]*TABLA_BASE[[#This Row],[CANTIDAD
(unid.)]]</f>
        <v>0</v>
      </c>
      <c r="AX277" s="289">
        <f>'💰 Precio de Venta'!K282</f>
        <v>0</v>
      </c>
      <c r="AY277" s="278">
        <f>TABLA_BASE[[#This Row],[GANANCIA
UNIT.(S/.)]]*'🧾 Factura Comercial'!G281</f>
        <v>0</v>
      </c>
      <c r="AZ277" s="277">
        <f>IF(TABLA_BASE[[#This Row],[PRECIO VTA.
c/IGV(S/.)]]=0,0,TABLA_BASE[[#This Row],[GANANCIA
UNIT.(S/.)]]/TABLA_BASE[[#This Row],[PRECIO VTA.
c/IGV(S/.)]])</f>
        <v>0</v>
      </c>
      <c r="BA277" s="277">
        <f>IF(TABLA_BASE[[#This Row],[C/M UNIT.
(S/.)]]=0,0,TABLA_BASE[[#This Row],[GANANCIA
UNIT.(S/.)]]/TABLA_BASE[[#This Row],[C/M UNIT.
(S/.)]])</f>
        <v>0</v>
      </c>
      <c r="BB277" s="274" t="str">
        <f>IF(TABLA_BASE[[#This Row],[MARGEN
%]]&gt;=0.5,"🟢 ALTO",IF(TABLA_BASE[[#This Row],[MARGEN
%]]&gt;=0.3,"🟡 MEDIO","🔴 BAJO"))</f>
        <v>🟡 MEDIO</v>
      </c>
    </row>
    <row r="278" spans="1:54" ht="16.5" hidden="1" thickTop="1" thickBot="1" x14ac:dyDescent="0.3">
      <c r="A278" s="274">
        <f>'🧾 Factura Comercial'!E282</f>
        <v>0</v>
      </c>
      <c r="B278" s="274" t="str">
        <f>'🧾 Factura Comercial'!F282</f>
        <v>Unid.</v>
      </c>
      <c r="C278" s="275">
        <f>'🧾 Factura Comercial'!G282</f>
        <v>0</v>
      </c>
      <c r="D278" s="276">
        <f>'🧾 Factura Comercial'!H282</f>
        <v>0</v>
      </c>
      <c r="E278" s="276">
        <f>'🧾 Factura Comercial'!I282</f>
        <v>0</v>
      </c>
      <c r="F278" s="277">
        <f>IF('🧾 Tributos Aduana'!$F$6=0,0,'🧾 Factura Comercial'!I282/'🧾 Tributos Aduana'!$F$6)</f>
        <v>0</v>
      </c>
      <c r="G278" s="278">
        <f>'🧾 Factura Comercial'!H282*'📋 Datos Generales'!$E$19</f>
        <v>0</v>
      </c>
      <c r="H278" s="278">
        <f>TABLA_BASE[[#This Row],[FOB UNIT.
(S/.)]]*TABLA_BASE[[#This Row],[CANTIDAD
(unid.)]]</f>
        <v>0</v>
      </c>
      <c r="I278" s="280">
        <f>IF('🧾 Tributos Aduana'!$F$6=0,0,'🧾 Tributos Aduana'!$F$17*('🧾 Factura Comercial'!H282/'🧾 Tributos Aduana'!$F$6))</f>
        <v>0</v>
      </c>
      <c r="J278" s="280">
        <f>TABLA_BASE[[#This Row],[ADV UNIT.
(US$)
⚠️COSTO]]*TABLA_BASE[[#This Row],[CANTIDAD
(unid.)]]</f>
        <v>0</v>
      </c>
      <c r="K278" s="279">
        <f>IF('🧾 Tributos Aduana'!$F$6=0,0,'🧾 Tributos Aduana'!$F$18*('🧾 Factura Comercial'!H282/'🧾 Tributos Aduana'!$F$6))</f>
        <v>0</v>
      </c>
      <c r="L278" s="280">
        <f>TABLA_BASE[[#This Row],[IPM UNIT.
(US$)
✅CF]]*TABLA_BASE[[#This Row],[CANTIDAD
(unid.)]]</f>
        <v>0</v>
      </c>
      <c r="M278" s="279">
        <f>IF('🧾 Tributos Aduana'!$F$6=0,0,'🧾 Tributos Aduana'!$F$19*('🧾 Factura Comercial'!H282/'🧾 Tributos Aduana'!$F$6))</f>
        <v>0</v>
      </c>
      <c r="N278" s="280">
        <f>TABLA_BASE[[#This Row],[IGV UNIT.
(US$)
✅CF]]*TABLA_BASE[[#This Row],[CANTIDAD
(unid.)]]</f>
        <v>0</v>
      </c>
      <c r="O278" s="280">
        <f>IF('🧾 Tributos Aduana'!$F$6=0,0,'🧾 Tributos Aduana'!$F$23*('🧾 Factura Comercial'!H282/'🧾 Tributos Aduana'!$F$6))</f>
        <v>0</v>
      </c>
      <c r="P278" s="280">
        <f>TABLA_BASE[[#This Row],[PERCEP.
UNIT.(US$)
✅CF]]*TABLA_BASE[[#This Row],[CANTIDAD
(unid.)]]</f>
        <v>0</v>
      </c>
      <c r="Q278" s="279">
        <f>TABLA_BASE[[#This Row],[ADV UNIT.
(US$)
⚠️COSTO]]+TABLA_BASE[[#This Row],[IPM UNIT.
(US$)
✅CF]]+TABLA_BASE[[#This Row],[IGV UNIT.
(US$)
✅CF]]</f>
        <v>0</v>
      </c>
      <c r="R278" s="280">
        <f>TABLA_BASE[[#This Row],[DEUDA
ADUANERA
UNIT.]]*TABLA_BASE[[#This Row],[CANTIDAD
(unid.)]]</f>
        <v>0</v>
      </c>
      <c r="S278" s="278">
        <f>TABLA_BASE[[#This Row],[DEUDA
ADUANERA
UNIT.]]*'📋 Datos Generales'!$E$19</f>
        <v>0</v>
      </c>
      <c r="T278" s="278">
        <f>TABLA_BASE[[#This Row],[DEUDA
ADUANERA
TOTAL]]*'📋 Datos Generales'!$E$19</f>
        <v>0</v>
      </c>
      <c r="U278" s="281">
        <f>TABLA_BASE[[#This Row],[ADV UNIT.
(US$)
⚠️COSTO]]*'📋 Datos Generales'!$E$19</f>
        <v>0</v>
      </c>
      <c r="V278" s="281">
        <f>TABLA_BASE[[#This Row],[ADV UNIT.
(S/.)]]*TABLA_BASE[[#This Row],[CANTIDAD
(unid.)]]</f>
        <v>0</v>
      </c>
      <c r="W278" s="281">
        <f>TABLA_BASE[[#This Row],[IPM UNIT.
(US$)
✅CF]]*'📋 Datos Generales'!$E$19</f>
        <v>0</v>
      </c>
      <c r="X278" s="281">
        <f>TABLA_BASE[[#This Row],[IPM UNIT.
(S/.)]]*TABLA_BASE[[#This Row],[CANTIDAD
(unid.)]]</f>
        <v>0</v>
      </c>
      <c r="Y278" s="281">
        <f>TABLA_BASE[[#This Row],[IGV UNIT.
(US$)
✅CF]]*'📋 Datos Generales'!$E$19</f>
        <v>0</v>
      </c>
      <c r="Z278" s="281">
        <f>TABLA_BASE[[#This Row],[IGV UNIT.
(S/.)]]*TABLA_BASE[[#This Row],[CANTIDAD
(unid.)]]</f>
        <v>0</v>
      </c>
      <c r="AA278" s="281">
        <f>TABLA_BASE[[#This Row],[PERCEP.
UNIT.(US$)
✅CF]]*'📋 Datos Generales'!$E$19</f>
        <v>0</v>
      </c>
      <c r="AB278" s="281">
        <f>TABLA_BASE[[#This Row],[PERCEP.
UNIT.(S/.)]]*TABLA_BASE[[#This Row],[CANTIDAD
(unid.)]]</f>
        <v>0</v>
      </c>
      <c r="AC278" s="279">
        <f>TABLA_BASE[[#This Row],[ADV UNIT.
(US$)
⚠️COSTO]]+TABLA_BASE[[#This Row],[IPM UNIT.
(US$)
✅CF]]+TABLA_BASE[[#This Row],[IGV UNIT.
(US$)
✅CF]]+TABLA_BASE[[#This Row],[PERCEP.
UNIT.(US$)
✅CF]]</f>
        <v>0</v>
      </c>
      <c r="AD278" s="279">
        <f>TABLA_BASE[[#This Row],[TOTAL PAGO
SUNAT
UNIT.(US$)]]*TABLA_BASE[[#This Row],[CANTIDAD
(unid.)]]</f>
        <v>0</v>
      </c>
      <c r="AE278" s="281">
        <f>TABLA_BASE[[#This Row],[TOTAL PAGO
SUNAT
UNIT.(US$)]]*'📋 Datos Generales'!$E$19</f>
        <v>0</v>
      </c>
      <c r="AF278" s="281">
        <f>TABLA_BASE[[#This Row],[TOTAL TRIB.
UNIT.(S/.)]]*TABLA_BASE[[#This Row],[CANTIDAD
(unid.)]]</f>
        <v>0</v>
      </c>
      <c r="AG278" s="279">
        <f>IF('🧾 Factura Comercial'!G282=0,0,'📦 Gastos Importación'!$E$28*(IF('🧾 Tributos Aduana'!$F$6=0,0,'🧾 Factura Comercial'!I282/'🧾 Tributos Aduana'!$F$6))/'🧾 Factura Comercial'!G282)</f>
        <v>0</v>
      </c>
      <c r="AH278" s="279">
        <f>TABLA_BASE[[#This Row],[GASTOS IMP.
UNIT.(US$)]]*TABLA_BASE[[#This Row],[CANTIDAD
(unid.)]]</f>
        <v>0</v>
      </c>
      <c r="AI278" s="281">
        <f>TABLA_BASE[[#This Row],[GASTOS IMP.
UNIT.(US$)]]*'📋 Datos Generales'!$E$19</f>
        <v>0</v>
      </c>
      <c r="AJ278" s="281">
        <f>TABLA_BASE[[#This Row],[GASTOS IMP.
UNIT.(S/.)]]*TABLA_BASE[[#This Row],[CANTIDAD
(unid.)]]</f>
        <v>0</v>
      </c>
      <c r="AK278" s="280">
        <f>'🧮 Costos x Producto'!J282</f>
        <v>0</v>
      </c>
      <c r="AL278" s="278">
        <f>'🧮 Costos x Producto'!K282</f>
        <v>0</v>
      </c>
      <c r="AM278" s="278">
        <f>TABLA_BASE[[#This Row],[C/M UNIT.
(S/.)]]*TABLA_BASE[[#This Row],[CANTIDAD
(unid.)]]</f>
        <v>0</v>
      </c>
      <c r="AN278" s="279">
        <f>IF('🧾 Factura Comercial'!G282=0,0,'🧾 Tributos Aduana'!$F$17*(IF('🧾 Tributos Aduana'!$F$6=0,0,'🧾 Factura Comercial'!I282/'🧾 Tributos Aduana'!$F$6))/'🧾 Factura Comercial'!G282)</f>
        <v>0</v>
      </c>
      <c r="AO278" s="280">
        <f>IF('🧾 Factura Comercial'!G282=0,0,'🏦 Crédito Fiscal'!$C$16*(IF('🧾 Tributos Aduana'!$F$6=0,0,'🧾 Factura Comercial'!I282/'🧾 Tributos Aduana'!$F$6))/'🧾 Factura Comercial'!G282)</f>
        <v>0</v>
      </c>
      <c r="AP278" s="278">
        <f>TABLA_BASE[[#This Row],[CF UNIT.
✅RECUP.
(US$)]]*'📋 Datos Generales'!$E$19</f>
        <v>0</v>
      </c>
      <c r="AQ278" s="278">
        <f>TABLA_BASE[[#This Row],[CF UNIT.
✅RECUP.(S/.)]]*TABLA_BASE[[#This Row],[CANTIDAD
(unid.)]]</f>
        <v>0</v>
      </c>
      <c r="AR278" s="288">
        <f>'💰 Precio de Venta'!G283</f>
        <v>0.4</v>
      </c>
      <c r="AS278" s="278">
        <f>'💰 Precio de Venta'!H283</f>
        <v>0</v>
      </c>
      <c r="AT278" s="278">
        <f>TABLA_BASE[[#This Row],[VALOR VTA.
UNIT.(S/.)]]*TABLA_BASE[[#This Row],[CANTIDAD
(unid.)]]</f>
        <v>0</v>
      </c>
      <c r="AU278" s="281">
        <f>'💰 Precio de Venta'!I283</f>
        <v>0</v>
      </c>
      <c r="AV278" s="278">
        <f>'💰 Precio de Venta'!J283</f>
        <v>0</v>
      </c>
      <c r="AW278" s="278">
        <f>TABLA_BASE[[#This Row],[GANANCIA
UNIT.(S/.)]]*TABLA_BASE[[#This Row],[CANTIDAD
(unid.)]]</f>
        <v>0</v>
      </c>
      <c r="AX278" s="289">
        <f>'💰 Precio de Venta'!K283</f>
        <v>0</v>
      </c>
      <c r="AY278" s="278">
        <f>TABLA_BASE[[#This Row],[GANANCIA
UNIT.(S/.)]]*'🧾 Factura Comercial'!G282</f>
        <v>0</v>
      </c>
      <c r="AZ278" s="277">
        <f>IF(TABLA_BASE[[#This Row],[PRECIO VTA.
c/IGV(S/.)]]=0,0,TABLA_BASE[[#This Row],[GANANCIA
UNIT.(S/.)]]/TABLA_BASE[[#This Row],[PRECIO VTA.
c/IGV(S/.)]])</f>
        <v>0</v>
      </c>
      <c r="BA278" s="277">
        <f>IF(TABLA_BASE[[#This Row],[C/M UNIT.
(S/.)]]=0,0,TABLA_BASE[[#This Row],[GANANCIA
UNIT.(S/.)]]/TABLA_BASE[[#This Row],[C/M UNIT.
(S/.)]])</f>
        <v>0</v>
      </c>
      <c r="BB278" s="274" t="str">
        <f>IF(TABLA_BASE[[#This Row],[MARGEN
%]]&gt;=0.5,"🟢 ALTO",IF(TABLA_BASE[[#This Row],[MARGEN
%]]&gt;=0.3,"🟡 MEDIO","🔴 BAJO"))</f>
        <v>🟡 MEDIO</v>
      </c>
    </row>
    <row r="279" spans="1:54" ht="16.5" hidden="1" thickTop="1" thickBot="1" x14ac:dyDescent="0.3">
      <c r="A279" s="274">
        <f>'🧾 Factura Comercial'!E283</f>
        <v>0</v>
      </c>
      <c r="B279" s="274" t="str">
        <f>'🧾 Factura Comercial'!F283</f>
        <v>Unid.</v>
      </c>
      <c r="C279" s="275">
        <f>'🧾 Factura Comercial'!G283</f>
        <v>0</v>
      </c>
      <c r="D279" s="276">
        <f>'🧾 Factura Comercial'!H283</f>
        <v>0</v>
      </c>
      <c r="E279" s="276">
        <f>'🧾 Factura Comercial'!I283</f>
        <v>0</v>
      </c>
      <c r="F279" s="277">
        <f>IF('🧾 Tributos Aduana'!$F$6=0,0,'🧾 Factura Comercial'!I283/'🧾 Tributos Aduana'!$F$6)</f>
        <v>0</v>
      </c>
      <c r="G279" s="278">
        <f>'🧾 Factura Comercial'!H283*'📋 Datos Generales'!$E$19</f>
        <v>0</v>
      </c>
      <c r="H279" s="278">
        <f>TABLA_BASE[[#This Row],[FOB UNIT.
(S/.)]]*TABLA_BASE[[#This Row],[CANTIDAD
(unid.)]]</f>
        <v>0</v>
      </c>
      <c r="I279" s="280">
        <f>IF('🧾 Tributos Aduana'!$F$6=0,0,'🧾 Tributos Aduana'!$F$17*('🧾 Factura Comercial'!H283/'🧾 Tributos Aduana'!$F$6))</f>
        <v>0</v>
      </c>
      <c r="J279" s="280">
        <f>TABLA_BASE[[#This Row],[ADV UNIT.
(US$)
⚠️COSTO]]*TABLA_BASE[[#This Row],[CANTIDAD
(unid.)]]</f>
        <v>0</v>
      </c>
      <c r="K279" s="279">
        <f>IF('🧾 Tributos Aduana'!$F$6=0,0,'🧾 Tributos Aduana'!$F$18*('🧾 Factura Comercial'!H283/'🧾 Tributos Aduana'!$F$6))</f>
        <v>0</v>
      </c>
      <c r="L279" s="280">
        <f>TABLA_BASE[[#This Row],[IPM UNIT.
(US$)
✅CF]]*TABLA_BASE[[#This Row],[CANTIDAD
(unid.)]]</f>
        <v>0</v>
      </c>
      <c r="M279" s="279">
        <f>IF('🧾 Tributos Aduana'!$F$6=0,0,'🧾 Tributos Aduana'!$F$19*('🧾 Factura Comercial'!H283/'🧾 Tributos Aduana'!$F$6))</f>
        <v>0</v>
      </c>
      <c r="N279" s="280">
        <f>TABLA_BASE[[#This Row],[IGV UNIT.
(US$)
✅CF]]*TABLA_BASE[[#This Row],[CANTIDAD
(unid.)]]</f>
        <v>0</v>
      </c>
      <c r="O279" s="280">
        <f>IF('🧾 Tributos Aduana'!$F$6=0,0,'🧾 Tributos Aduana'!$F$23*('🧾 Factura Comercial'!H283/'🧾 Tributos Aduana'!$F$6))</f>
        <v>0</v>
      </c>
      <c r="P279" s="280">
        <f>TABLA_BASE[[#This Row],[PERCEP.
UNIT.(US$)
✅CF]]*TABLA_BASE[[#This Row],[CANTIDAD
(unid.)]]</f>
        <v>0</v>
      </c>
      <c r="Q279" s="279">
        <f>TABLA_BASE[[#This Row],[ADV UNIT.
(US$)
⚠️COSTO]]+TABLA_BASE[[#This Row],[IPM UNIT.
(US$)
✅CF]]+TABLA_BASE[[#This Row],[IGV UNIT.
(US$)
✅CF]]</f>
        <v>0</v>
      </c>
      <c r="R279" s="280">
        <f>TABLA_BASE[[#This Row],[DEUDA
ADUANERA
UNIT.]]*TABLA_BASE[[#This Row],[CANTIDAD
(unid.)]]</f>
        <v>0</v>
      </c>
      <c r="S279" s="278">
        <f>TABLA_BASE[[#This Row],[DEUDA
ADUANERA
UNIT.]]*'📋 Datos Generales'!$E$19</f>
        <v>0</v>
      </c>
      <c r="T279" s="278">
        <f>TABLA_BASE[[#This Row],[DEUDA
ADUANERA
TOTAL]]*'📋 Datos Generales'!$E$19</f>
        <v>0</v>
      </c>
      <c r="U279" s="281">
        <f>TABLA_BASE[[#This Row],[ADV UNIT.
(US$)
⚠️COSTO]]*'📋 Datos Generales'!$E$19</f>
        <v>0</v>
      </c>
      <c r="V279" s="281">
        <f>TABLA_BASE[[#This Row],[ADV UNIT.
(S/.)]]*TABLA_BASE[[#This Row],[CANTIDAD
(unid.)]]</f>
        <v>0</v>
      </c>
      <c r="W279" s="281">
        <f>TABLA_BASE[[#This Row],[IPM UNIT.
(US$)
✅CF]]*'📋 Datos Generales'!$E$19</f>
        <v>0</v>
      </c>
      <c r="X279" s="281">
        <f>TABLA_BASE[[#This Row],[IPM UNIT.
(S/.)]]*TABLA_BASE[[#This Row],[CANTIDAD
(unid.)]]</f>
        <v>0</v>
      </c>
      <c r="Y279" s="281">
        <f>TABLA_BASE[[#This Row],[IGV UNIT.
(US$)
✅CF]]*'📋 Datos Generales'!$E$19</f>
        <v>0</v>
      </c>
      <c r="Z279" s="281">
        <f>TABLA_BASE[[#This Row],[IGV UNIT.
(S/.)]]*TABLA_BASE[[#This Row],[CANTIDAD
(unid.)]]</f>
        <v>0</v>
      </c>
      <c r="AA279" s="281">
        <f>TABLA_BASE[[#This Row],[PERCEP.
UNIT.(US$)
✅CF]]*'📋 Datos Generales'!$E$19</f>
        <v>0</v>
      </c>
      <c r="AB279" s="281">
        <f>TABLA_BASE[[#This Row],[PERCEP.
UNIT.(S/.)]]*TABLA_BASE[[#This Row],[CANTIDAD
(unid.)]]</f>
        <v>0</v>
      </c>
      <c r="AC279" s="279">
        <f>TABLA_BASE[[#This Row],[ADV UNIT.
(US$)
⚠️COSTO]]+TABLA_BASE[[#This Row],[IPM UNIT.
(US$)
✅CF]]+TABLA_BASE[[#This Row],[IGV UNIT.
(US$)
✅CF]]+TABLA_BASE[[#This Row],[PERCEP.
UNIT.(US$)
✅CF]]</f>
        <v>0</v>
      </c>
      <c r="AD279" s="279">
        <f>TABLA_BASE[[#This Row],[TOTAL PAGO
SUNAT
UNIT.(US$)]]*TABLA_BASE[[#This Row],[CANTIDAD
(unid.)]]</f>
        <v>0</v>
      </c>
      <c r="AE279" s="281">
        <f>TABLA_BASE[[#This Row],[TOTAL PAGO
SUNAT
UNIT.(US$)]]*'📋 Datos Generales'!$E$19</f>
        <v>0</v>
      </c>
      <c r="AF279" s="281">
        <f>TABLA_BASE[[#This Row],[TOTAL TRIB.
UNIT.(S/.)]]*TABLA_BASE[[#This Row],[CANTIDAD
(unid.)]]</f>
        <v>0</v>
      </c>
      <c r="AG279" s="279">
        <f>IF('🧾 Factura Comercial'!G283=0,0,'📦 Gastos Importación'!$E$28*(IF('🧾 Tributos Aduana'!$F$6=0,0,'🧾 Factura Comercial'!I283/'🧾 Tributos Aduana'!$F$6))/'🧾 Factura Comercial'!G283)</f>
        <v>0</v>
      </c>
      <c r="AH279" s="279">
        <f>TABLA_BASE[[#This Row],[GASTOS IMP.
UNIT.(US$)]]*TABLA_BASE[[#This Row],[CANTIDAD
(unid.)]]</f>
        <v>0</v>
      </c>
      <c r="AI279" s="281">
        <f>TABLA_BASE[[#This Row],[GASTOS IMP.
UNIT.(US$)]]*'📋 Datos Generales'!$E$19</f>
        <v>0</v>
      </c>
      <c r="AJ279" s="281">
        <f>TABLA_BASE[[#This Row],[GASTOS IMP.
UNIT.(S/.)]]*TABLA_BASE[[#This Row],[CANTIDAD
(unid.)]]</f>
        <v>0</v>
      </c>
      <c r="AK279" s="280">
        <f>'🧮 Costos x Producto'!J283</f>
        <v>0</v>
      </c>
      <c r="AL279" s="278">
        <f>'🧮 Costos x Producto'!K283</f>
        <v>0</v>
      </c>
      <c r="AM279" s="278">
        <f>TABLA_BASE[[#This Row],[C/M UNIT.
(S/.)]]*TABLA_BASE[[#This Row],[CANTIDAD
(unid.)]]</f>
        <v>0</v>
      </c>
      <c r="AN279" s="279">
        <f>IF('🧾 Factura Comercial'!G283=0,0,'🧾 Tributos Aduana'!$F$17*(IF('🧾 Tributos Aduana'!$F$6=0,0,'🧾 Factura Comercial'!I283/'🧾 Tributos Aduana'!$F$6))/'🧾 Factura Comercial'!G283)</f>
        <v>0</v>
      </c>
      <c r="AO279" s="280">
        <f>IF('🧾 Factura Comercial'!G283=0,0,'🏦 Crédito Fiscal'!$C$16*(IF('🧾 Tributos Aduana'!$F$6=0,0,'🧾 Factura Comercial'!I283/'🧾 Tributos Aduana'!$F$6))/'🧾 Factura Comercial'!G283)</f>
        <v>0</v>
      </c>
      <c r="AP279" s="278">
        <f>TABLA_BASE[[#This Row],[CF UNIT.
✅RECUP.
(US$)]]*'📋 Datos Generales'!$E$19</f>
        <v>0</v>
      </c>
      <c r="AQ279" s="278">
        <f>TABLA_BASE[[#This Row],[CF UNIT.
✅RECUP.(S/.)]]*TABLA_BASE[[#This Row],[CANTIDAD
(unid.)]]</f>
        <v>0</v>
      </c>
      <c r="AR279" s="288">
        <f>'💰 Precio de Venta'!G284</f>
        <v>0.4</v>
      </c>
      <c r="AS279" s="278">
        <f>'💰 Precio de Venta'!H284</f>
        <v>0</v>
      </c>
      <c r="AT279" s="278">
        <f>TABLA_BASE[[#This Row],[VALOR VTA.
UNIT.(S/.)]]*TABLA_BASE[[#This Row],[CANTIDAD
(unid.)]]</f>
        <v>0</v>
      </c>
      <c r="AU279" s="281">
        <f>'💰 Precio de Venta'!I284</f>
        <v>0</v>
      </c>
      <c r="AV279" s="278">
        <f>'💰 Precio de Venta'!J284</f>
        <v>0</v>
      </c>
      <c r="AW279" s="278">
        <f>TABLA_BASE[[#This Row],[GANANCIA
UNIT.(S/.)]]*TABLA_BASE[[#This Row],[CANTIDAD
(unid.)]]</f>
        <v>0</v>
      </c>
      <c r="AX279" s="289">
        <f>'💰 Precio de Venta'!K284</f>
        <v>0</v>
      </c>
      <c r="AY279" s="278">
        <f>TABLA_BASE[[#This Row],[GANANCIA
UNIT.(S/.)]]*'🧾 Factura Comercial'!G283</f>
        <v>0</v>
      </c>
      <c r="AZ279" s="277">
        <f>IF(TABLA_BASE[[#This Row],[PRECIO VTA.
c/IGV(S/.)]]=0,0,TABLA_BASE[[#This Row],[GANANCIA
UNIT.(S/.)]]/TABLA_BASE[[#This Row],[PRECIO VTA.
c/IGV(S/.)]])</f>
        <v>0</v>
      </c>
      <c r="BA279" s="277">
        <f>IF(TABLA_BASE[[#This Row],[C/M UNIT.
(S/.)]]=0,0,TABLA_BASE[[#This Row],[GANANCIA
UNIT.(S/.)]]/TABLA_BASE[[#This Row],[C/M UNIT.
(S/.)]])</f>
        <v>0</v>
      </c>
      <c r="BB279" s="274" t="str">
        <f>IF(TABLA_BASE[[#This Row],[MARGEN
%]]&gt;=0.5,"🟢 ALTO",IF(TABLA_BASE[[#This Row],[MARGEN
%]]&gt;=0.3,"🟡 MEDIO","🔴 BAJO"))</f>
        <v>🟡 MEDIO</v>
      </c>
    </row>
    <row r="280" spans="1:54" ht="16.5" hidden="1" thickTop="1" thickBot="1" x14ac:dyDescent="0.3">
      <c r="A280" s="274">
        <f>'🧾 Factura Comercial'!E284</f>
        <v>0</v>
      </c>
      <c r="B280" s="274" t="str">
        <f>'🧾 Factura Comercial'!F284</f>
        <v>Unid.</v>
      </c>
      <c r="C280" s="275">
        <f>'🧾 Factura Comercial'!G284</f>
        <v>0</v>
      </c>
      <c r="D280" s="276">
        <f>'🧾 Factura Comercial'!H284</f>
        <v>0</v>
      </c>
      <c r="E280" s="276">
        <f>'🧾 Factura Comercial'!I284</f>
        <v>0</v>
      </c>
      <c r="F280" s="277">
        <f>IF('🧾 Tributos Aduana'!$F$6=0,0,'🧾 Factura Comercial'!I284/'🧾 Tributos Aduana'!$F$6)</f>
        <v>0</v>
      </c>
      <c r="G280" s="278">
        <f>'🧾 Factura Comercial'!H284*'📋 Datos Generales'!$E$19</f>
        <v>0</v>
      </c>
      <c r="H280" s="278">
        <f>TABLA_BASE[[#This Row],[FOB UNIT.
(S/.)]]*TABLA_BASE[[#This Row],[CANTIDAD
(unid.)]]</f>
        <v>0</v>
      </c>
      <c r="I280" s="280">
        <f>IF('🧾 Tributos Aduana'!$F$6=0,0,'🧾 Tributos Aduana'!$F$17*('🧾 Factura Comercial'!H284/'🧾 Tributos Aduana'!$F$6))</f>
        <v>0</v>
      </c>
      <c r="J280" s="280">
        <f>TABLA_BASE[[#This Row],[ADV UNIT.
(US$)
⚠️COSTO]]*TABLA_BASE[[#This Row],[CANTIDAD
(unid.)]]</f>
        <v>0</v>
      </c>
      <c r="K280" s="279">
        <f>IF('🧾 Tributos Aduana'!$F$6=0,0,'🧾 Tributos Aduana'!$F$18*('🧾 Factura Comercial'!H284/'🧾 Tributos Aduana'!$F$6))</f>
        <v>0</v>
      </c>
      <c r="L280" s="280">
        <f>TABLA_BASE[[#This Row],[IPM UNIT.
(US$)
✅CF]]*TABLA_BASE[[#This Row],[CANTIDAD
(unid.)]]</f>
        <v>0</v>
      </c>
      <c r="M280" s="279">
        <f>IF('🧾 Tributos Aduana'!$F$6=0,0,'🧾 Tributos Aduana'!$F$19*('🧾 Factura Comercial'!H284/'🧾 Tributos Aduana'!$F$6))</f>
        <v>0</v>
      </c>
      <c r="N280" s="280">
        <f>TABLA_BASE[[#This Row],[IGV UNIT.
(US$)
✅CF]]*TABLA_BASE[[#This Row],[CANTIDAD
(unid.)]]</f>
        <v>0</v>
      </c>
      <c r="O280" s="280">
        <f>IF('🧾 Tributos Aduana'!$F$6=0,0,'🧾 Tributos Aduana'!$F$23*('🧾 Factura Comercial'!H284/'🧾 Tributos Aduana'!$F$6))</f>
        <v>0</v>
      </c>
      <c r="P280" s="280">
        <f>TABLA_BASE[[#This Row],[PERCEP.
UNIT.(US$)
✅CF]]*TABLA_BASE[[#This Row],[CANTIDAD
(unid.)]]</f>
        <v>0</v>
      </c>
      <c r="Q280" s="279">
        <f>TABLA_BASE[[#This Row],[ADV UNIT.
(US$)
⚠️COSTO]]+TABLA_BASE[[#This Row],[IPM UNIT.
(US$)
✅CF]]+TABLA_BASE[[#This Row],[IGV UNIT.
(US$)
✅CF]]</f>
        <v>0</v>
      </c>
      <c r="R280" s="280">
        <f>TABLA_BASE[[#This Row],[DEUDA
ADUANERA
UNIT.]]*TABLA_BASE[[#This Row],[CANTIDAD
(unid.)]]</f>
        <v>0</v>
      </c>
      <c r="S280" s="278">
        <f>TABLA_BASE[[#This Row],[DEUDA
ADUANERA
UNIT.]]*'📋 Datos Generales'!$E$19</f>
        <v>0</v>
      </c>
      <c r="T280" s="278">
        <f>TABLA_BASE[[#This Row],[DEUDA
ADUANERA
TOTAL]]*'📋 Datos Generales'!$E$19</f>
        <v>0</v>
      </c>
      <c r="U280" s="281">
        <f>TABLA_BASE[[#This Row],[ADV UNIT.
(US$)
⚠️COSTO]]*'📋 Datos Generales'!$E$19</f>
        <v>0</v>
      </c>
      <c r="V280" s="281">
        <f>TABLA_BASE[[#This Row],[ADV UNIT.
(S/.)]]*TABLA_BASE[[#This Row],[CANTIDAD
(unid.)]]</f>
        <v>0</v>
      </c>
      <c r="W280" s="281">
        <f>TABLA_BASE[[#This Row],[IPM UNIT.
(US$)
✅CF]]*'📋 Datos Generales'!$E$19</f>
        <v>0</v>
      </c>
      <c r="X280" s="281">
        <f>TABLA_BASE[[#This Row],[IPM UNIT.
(S/.)]]*TABLA_BASE[[#This Row],[CANTIDAD
(unid.)]]</f>
        <v>0</v>
      </c>
      <c r="Y280" s="281">
        <f>TABLA_BASE[[#This Row],[IGV UNIT.
(US$)
✅CF]]*'📋 Datos Generales'!$E$19</f>
        <v>0</v>
      </c>
      <c r="Z280" s="281">
        <f>TABLA_BASE[[#This Row],[IGV UNIT.
(S/.)]]*TABLA_BASE[[#This Row],[CANTIDAD
(unid.)]]</f>
        <v>0</v>
      </c>
      <c r="AA280" s="281">
        <f>TABLA_BASE[[#This Row],[PERCEP.
UNIT.(US$)
✅CF]]*'📋 Datos Generales'!$E$19</f>
        <v>0</v>
      </c>
      <c r="AB280" s="281">
        <f>TABLA_BASE[[#This Row],[PERCEP.
UNIT.(S/.)]]*TABLA_BASE[[#This Row],[CANTIDAD
(unid.)]]</f>
        <v>0</v>
      </c>
      <c r="AC280" s="279">
        <f>TABLA_BASE[[#This Row],[ADV UNIT.
(US$)
⚠️COSTO]]+TABLA_BASE[[#This Row],[IPM UNIT.
(US$)
✅CF]]+TABLA_BASE[[#This Row],[IGV UNIT.
(US$)
✅CF]]+TABLA_BASE[[#This Row],[PERCEP.
UNIT.(US$)
✅CF]]</f>
        <v>0</v>
      </c>
      <c r="AD280" s="279">
        <f>TABLA_BASE[[#This Row],[TOTAL PAGO
SUNAT
UNIT.(US$)]]*TABLA_BASE[[#This Row],[CANTIDAD
(unid.)]]</f>
        <v>0</v>
      </c>
      <c r="AE280" s="281">
        <f>TABLA_BASE[[#This Row],[TOTAL PAGO
SUNAT
UNIT.(US$)]]*'📋 Datos Generales'!$E$19</f>
        <v>0</v>
      </c>
      <c r="AF280" s="281">
        <f>TABLA_BASE[[#This Row],[TOTAL TRIB.
UNIT.(S/.)]]*TABLA_BASE[[#This Row],[CANTIDAD
(unid.)]]</f>
        <v>0</v>
      </c>
      <c r="AG280" s="279">
        <f>IF('🧾 Factura Comercial'!G284=0,0,'📦 Gastos Importación'!$E$28*(IF('🧾 Tributos Aduana'!$F$6=0,0,'🧾 Factura Comercial'!I284/'🧾 Tributos Aduana'!$F$6))/'🧾 Factura Comercial'!G284)</f>
        <v>0</v>
      </c>
      <c r="AH280" s="279">
        <f>TABLA_BASE[[#This Row],[GASTOS IMP.
UNIT.(US$)]]*TABLA_BASE[[#This Row],[CANTIDAD
(unid.)]]</f>
        <v>0</v>
      </c>
      <c r="AI280" s="281">
        <f>TABLA_BASE[[#This Row],[GASTOS IMP.
UNIT.(US$)]]*'📋 Datos Generales'!$E$19</f>
        <v>0</v>
      </c>
      <c r="AJ280" s="281">
        <f>TABLA_BASE[[#This Row],[GASTOS IMP.
UNIT.(S/.)]]*TABLA_BASE[[#This Row],[CANTIDAD
(unid.)]]</f>
        <v>0</v>
      </c>
      <c r="AK280" s="280">
        <f>'🧮 Costos x Producto'!J284</f>
        <v>0</v>
      </c>
      <c r="AL280" s="278">
        <f>'🧮 Costos x Producto'!K284</f>
        <v>0</v>
      </c>
      <c r="AM280" s="278">
        <f>TABLA_BASE[[#This Row],[C/M UNIT.
(S/.)]]*TABLA_BASE[[#This Row],[CANTIDAD
(unid.)]]</f>
        <v>0</v>
      </c>
      <c r="AN280" s="279">
        <f>IF('🧾 Factura Comercial'!G284=0,0,'🧾 Tributos Aduana'!$F$17*(IF('🧾 Tributos Aduana'!$F$6=0,0,'🧾 Factura Comercial'!I284/'🧾 Tributos Aduana'!$F$6))/'🧾 Factura Comercial'!G284)</f>
        <v>0</v>
      </c>
      <c r="AO280" s="280">
        <f>IF('🧾 Factura Comercial'!G284=0,0,'🏦 Crédito Fiscal'!$C$16*(IF('🧾 Tributos Aduana'!$F$6=0,0,'🧾 Factura Comercial'!I284/'🧾 Tributos Aduana'!$F$6))/'🧾 Factura Comercial'!G284)</f>
        <v>0</v>
      </c>
      <c r="AP280" s="278">
        <f>TABLA_BASE[[#This Row],[CF UNIT.
✅RECUP.
(US$)]]*'📋 Datos Generales'!$E$19</f>
        <v>0</v>
      </c>
      <c r="AQ280" s="278">
        <f>TABLA_BASE[[#This Row],[CF UNIT.
✅RECUP.(S/.)]]*TABLA_BASE[[#This Row],[CANTIDAD
(unid.)]]</f>
        <v>0</v>
      </c>
      <c r="AR280" s="288">
        <f>'💰 Precio de Venta'!G285</f>
        <v>0.4</v>
      </c>
      <c r="AS280" s="278">
        <f>'💰 Precio de Venta'!H285</f>
        <v>0</v>
      </c>
      <c r="AT280" s="278">
        <f>TABLA_BASE[[#This Row],[VALOR VTA.
UNIT.(S/.)]]*TABLA_BASE[[#This Row],[CANTIDAD
(unid.)]]</f>
        <v>0</v>
      </c>
      <c r="AU280" s="281">
        <f>'💰 Precio de Venta'!I285</f>
        <v>0</v>
      </c>
      <c r="AV280" s="278">
        <f>'💰 Precio de Venta'!J285</f>
        <v>0</v>
      </c>
      <c r="AW280" s="278">
        <f>TABLA_BASE[[#This Row],[GANANCIA
UNIT.(S/.)]]*TABLA_BASE[[#This Row],[CANTIDAD
(unid.)]]</f>
        <v>0</v>
      </c>
      <c r="AX280" s="289">
        <f>'💰 Precio de Venta'!K285</f>
        <v>0</v>
      </c>
      <c r="AY280" s="278">
        <f>TABLA_BASE[[#This Row],[GANANCIA
UNIT.(S/.)]]*'🧾 Factura Comercial'!G284</f>
        <v>0</v>
      </c>
      <c r="AZ280" s="277">
        <f>IF(TABLA_BASE[[#This Row],[PRECIO VTA.
c/IGV(S/.)]]=0,0,TABLA_BASE[[#This Row],[GANANCIA
UNIT.(S/.)]]/TABLA_BASE[[#This Row],[PRECIO VTA.
c/IGV(S/.)]])</f>
        <v>0</v>
      </c>
      <c r="BA280" s="277">
        <f>IF(TABLA_BASE[[#This Row],[C/M UNIT.
(S/.)]]=0,0,TABLA_BASE[[#This Row],[GANANCIA
UNIT.(S/.)]]/TABLA_BASE[[#This Row],[C/M UNIT.
(S/.)]])</f>
        <v>0</v>
      </c>
      <c r="BB280" s="274" t="str">
        <f>IF(TABLA_BASE[[#This Row],[MARGEN
%]]&gt;=0.5,"🟢 ALTO",IF(TABLA_BASE[[#This Row],[MARGEN
%]]&gt;=0.3,"🟡 MEDIO","🔴 BAJO"))</f>
        <v>🟡 MEDIO</v>
      </c>
    </row>
    <row r="281" spans="1:54" ht="16.5" hidden="1" thickTop="1" thickBot="1" x14ac:dyDescent="0.3">
      <c r="A281" s="274">
        <f>'🧾 Factura Comercial'!E285</f>
        <v>0</v>
      </c>
      <c r="B281" s="274" t="str">
        <f>'🧾 Factura Comercial'!F285</f>
        <v>Unid.</v>
      </c>
      <c r="C281" s="275">
        <f>'🧾 Factura Comercial'!G285</f>
        <v>0</v>
      </c>
      <c r="D281" s="276">
        <f>'🧾 Factura Comercial'!H285</f>
        <v>0</v>
      </c>
      <c r="E281" s="276">
        <f>'🧾 Factura Comercial'!I285</f>
        <v>0</v>
      </c>
      <c r="F281" s="277">
        <f>IF('🧾 Tributos Aduana'!$F$6=0,0,'🧾 Factura Comercial'!I285/'🧾 Tributos Aduana'!$F$6)</f>
        <v>0</v>
      </c>
      <c r="G281" s="278">
        <f>'🧾 Factura Comercial'!H285*'📋 Datos Generales'!$E$19</f>
        <v>0</v>
      </c>
      <c r="H281" s="278">
        <f>TABLA_BASE[[#This Row],[FOB UNIT.
(S/.)]]*TABLA_BASE[[#This Row],[CANTIDAD
(unid.)]]</f>
        <v>0</v>
      </c>
      <c r="I281" s="280">
        <f>IF('🧾 Tributos Aduana'!$F$6=0,0,'🧾 Tributos Aduana'!$F$17*('🧾 Factura Comercial'!H285/'🧾 Tributos Aduana'!$F$6))</f>
        <v>0</v>
      </c>
      <c r="J281" s="280">
        <f>TABLA_BASE[[#This Row],[ADV UNIT.
(US$)
⚠️COSTO]]*TABLA_BASE[[#This Row],[CANTIDAD
(unid.)]]</f>
        <v>0</v>
      </c>
      <c r="K281" s="279">
        <f>IF('🧾 Tributos Aduana'!$F$6=0,0,'🧾 Tributos Aduana'!$F$18*('🧾 Factura Comercial'!H285/'🧾 Tributos Aduana'!$F$6))</f>
        <v>0</v>
      </c>
      <c r="L281" s="280">
        <f>TABLA_BASE[[#This Row],[IPM UNIT.
(US$)
✅CF]]*TABLA_BASE[[#This Row],[CANTIDAD
(unid.)]]</f>
        <v>0</v>
      </c>
      <c r="M281" s="279">
        <f>IF('🧾 Tributos Aduana'!$F$6=0,0,'🧾 Tributos Aduana'!$F$19*('🧾 Factura Comercial'!H285/'🧾 Tributos Aduana'!$F$6))</f>
        <v>0</v>
      </c>
      <c r="N281" s="280">
        <f>TABLA_BASE[[#This Row],[IGV UNIT.
(US$)
✅CF]]*TABLA_BASE[[#This Row],[CANTIDAD
(unid.)]]</f>
        <v>0</v>
      </c>
      <c r="O281" s="280">
        <f>IF('🧾 Tributos Aduana'!$F$6=0,0,'🧾 Tributos Aduana'!$F$23*('🧾 Factura Comercial'!H285/'🧾 Tributos Aduana'!$F$6))</f>
        <v>0</v>
      </c>
      <c r="P281" s="280">
        <f>TABLA_BASE[[#This Row],[PERCEP.
UNIT.(US$)
✅CF]]*TABLA_BASE[[#This Row],[CANTIDAD
(unid.)]]</f>
        <v>0</v>
      </c>
      <c r="Q281" s="279">
        <f>TABLA_BASE[[#This Row],[ADV UNIT.
(US$)
⚠️COSTO]]+TABLA_BASE[[#This Row],[IPM UNIT.
(US$)
✅CF]]+TABLA_BASE[[#This Row],[IGV UNIT.
(US$)
✅CF]]</f>
        <v>0</v>
      </c>
      <c r="R281" s="280">
        <f>TABLA_BASE[[#This Row],[DEUDA
ADUANERA
UNIT.]]*TABLA_BASE[[#This Row],[CANTIDAD
(unid.)]]</f>
        <v>0</v>
      </c>
      <c r="S281" s="278">
        <f>TABLA_BASE[[#This Row],[DEUDA
ADUANERA
UNIT.]]*'📋 Datos Generales'!$E$19</f>
        <v>0</v>
      </c>
      <c r="T281" s="278">
        <f>TABLA_BASE[[#This Row],[DEUDA
ADUANERA
TOTAL]]*'📋 Datos Generales'!$E$19</f>
        <v>0</v>
      </c>
      <c r="U281" s="281">
        <f>TABLA_BASE[[#This Row],[ADV UNIT.
(US$)
⚠️COSTO]]*'📋 Datos Generales'!$E$19</f>
        <v>0</v>
      </c>
      <c r="V281" s="281">
        <f>TABLA_BASE[[#This Row],[ADV UNIT.
(S/.)]]*TABLA_BASE[[#This Row],[CANTIDAD
(unid.)]]</f>
        <v>0</v>
      </c>
      <c r="W281" s="281">
        <f>TABLA_BASE[[#This Row],[IPM UNIT.
(US$)
✅CF]]*'📋 Datos Generales'!$E$19</f>
        <v>0</v>
      </c>
      <c r="X281" s="281">
        <f>TABLA_BASE[[#This Row],[IPM UNIT.
(S/.)]]*TABLA_BASE[[#This Row],[CANTIDAD
(unid.)]]</f>
        <v>0</v>
      </c>
      <c r="Y281" s="281">
        <f>TABLA_BASE[[#This Row],[IGV UNIT.
(US$)
✅CF]]*'📋 Datos Generales'!$E$19</f>
        <v>0</v>
      </c>
      <c r="Z281" s="281">
        <f>TABLA_BASE[[#This Row],[IGV UNIT.
(S/.)]]*TABLA_BASE[[#This Row],[CANTIDAD
(unid.)]]</f>
        <v>0</v>
      </c>
      <c r="AA281" s="281">
        <f>TABLA_BASE[[#This Row],[PERCEP.
UNIT.(US$)
✅CF]]*'📋 Datos Generales'!$E$19</f>
        <v>0</v>
      </c>
      <c r="AB281" s="281">
        <f>TABLA_BASE[[#This Row],[PERCEP.
UNIT.(S/.)]]*TABLA_BASE[[#This Row],[CANTIDAD
(unid.)]]</f>
        <v>0</v>
      </c>
      <c r="AC281" s="279">
        <f>TABLA_BASE[[#This Row],[ADV UNIT.
(US$)
⚠️COSTO]]+TABLA_BASE[[#This Row],[IPM UNIT.
(US$)
✅CF]]+TABLA_BASE[[#This Row],[IGV UNIT.
(US$)
✅CF]]+TABLA_BASE[[#This Row],[PERCEP.
UNIT.(US$)
✅CF]]</f>
        <v>0</v>
      </c>
      <c r="AD281" s="279">
        <f>TABLA_BASE[[#This Row],[TOTAL PAGO
SUNAT
UNIT.(US$)]]*TABLA_BASE[[#This Row],[CANTIDAD
(unid.)]]</f>
        <v>0</v>
      </c>
      <c r="AE281" s="281">
        <f>TABLA_BASE[[#This Row],[TOTAL PAGO
SUNAT
UNIT.(US$)]]*'📋 Datos Generales'!$E$19</f>
        <v>0</v>
      </c>
      <c r="AF281" s="281">
        <f>TABLA_BASE[[#This Row],[TOTAL TRIB.
UNIT.(S/.)]]*TABLA_BASE[[#This Row],[CANTIDAD
(unid.)]]</f>
        <v>0</v>
      </c>
      <c r="AG281" s="279">
        <f>IF('🧾 Factura Comercial'!G285=0,0,'📦 Gastos Importación'!$E$28*(IF('🧾 Tributos Aduana'!$F$6=0,0,'🧾 Factura Comercial'!I285/'🧾 Tributos Aduana'!$F$6))/'🧾 Factura Comercial'!G285)</f>
        <v>0</v>
      </c>
      <c r="AH281" s="279">
        <f>TABLA_BASE[[#This Row],[GASTOS IMP.
UNIT.(US$)]]*TABLA_BASE[[#This Row],[CANTIDAD
(unid.)]]</f>
        <v>0</v>
      </c>
      <c r="AI281" s="281">
        <f>TABLA_BASE[[#This Row],[GASTOS IMP.
UNIT.(US$)]]*'📋 Datos Generales'!$E$19</f>
        <v>0</v>
      </c>
      <c r="AJ281" s="281">
        <f>TABLA_BASE[[#This Row],[GASTOS IMP.
UNIT.(S/.)]]*TABLA_BASE[[#This Row],[CANTIDAD
(unid.)]]</f>
        <v>0</v>
      </c>
      <c r="AK281" s="280">
        <f>'🧮 Costos x Producto'!J285</f>
        <v>0</v>
      </c>
      <c r="AL281" s="278">
        <f>'🧮 Costos x Producto'!K285</f>
        <v>0</v>
      </c>
      <c r="AM281" s="278">
        <f>TABLA_BASE[[#This Row],[C/M UNIT.
(S/.)]]*TABLA_BASE[[#This Row],[CANTIDAD
(unid.)]]</f>
        <v>0</v>
      </c>
      <c r="AN281" s="279">
        <f>IF('🧾 Factura Comercial'!G285=0,0,'🧾 Tributos Aduana'!$F$17*(IF('🧾 Tributos Aduana'!$F$6=0,0,'🧾 Factura Comercial'!I285/'🧾 Tributos Aduana'!$F$6))/'🧾 Factura Comercial'!G285)</f>
        <v>0</v>
      </c>
      <c r="AO281" s="280">
        <f>IF('🧾 Factura Comercial'!G285=0,0,'🏦 Crédito Fiscal'!$C$16*(IF('🧾 Tributos Aduana'!$F$6=0,0,'🧾 Factura Comercial'!I285/'🧾 Tributos Aduana'!$F$6))/'🧾 Factura Comercial'!G285)</f>
        <v>0</v>
      </c>
      <c r="AP281" s="278">
        <f>TABLA_BASE[[#This Row],[CF UNIT.
✅RECUP.
(US$)]]*'📋 Datos Generales'!$E$19</f>
        <v>0</v>
      </c>
      <c r="AQ281" s="278">
        <f>TABLA_BASE[[#This Row],[CF UNIT.
✅RECUP.(S/.)]]*TABLA_BASE[[#This Row],[CANTIDAD
(unid.)]]</f>
        <v>0</v>
      </c>
      <c r="AR281" s="288">
        <f>'💰 Precio de Venta'!G286</f>
        <v>0.4</v>
      </c>
      <c r="AS281" s="278">
        <f>'💰 Precio de Venta'!H286</f>
        <v>0</v>
      </c>
      <c r="AT281" s="278">
        <f>TABLA_BASE[[#This Row],[VALOR VTA.
UNIT.(S/.)]]*TABLA_BASE[[#This Row],[CANTIDAD
(unid.)]]</f>
        <v>0</v>
      </c>
      <c r="AU281" s="281">
        <f>'💰 Precio de Venta'!I286</f>
        <v>0</v>
      </c>
      <c r="AV281" s="278">
        <f>'💰 Precio de Venta'!J286</f>
        <v>0</v>
      </c>
      <c r="AW281" s="278">
        <f>TABLA_BASE[[#This Row],[GANANCIA
UNIT.(S/.)]]*TABLA_BASE[[#This Row],[CANTIDAD
(unid.)]]</f>
        <v>0</v>
      </c>
      <c r="AX281" s="289">
        <f>'💰 Precio de Venta'!K286</f>
        <v>0</v>
      </c>
      <c r="AY281" s="278">
        <f>TABLA_BASE[[#This Row],[GANANCIA
UNIT.(S/.)]]*'🧾 Factura Comercial'!G285</f>
        <v>0</v>
      </c>
      <c r="AZ281" s="277">
        <f>IF(TABLA_BASE[[#This Row],[PRECIO VTA.
c/IGV(S/.)]]=0,0,TABLA_BASE[[#This Row],[GANANCIA
UNIT.(S/.)]]/TABLA_BASE[[#This Row],[PRECIO VTA.
c/IGV(S/.)]])</f>
        <v>0</v>
      </c>
      <c r="BA281" s="277">
        <f>IF(TABLA_BASE[[#This Row],[C/M UNIT.
(S/.)]]=0,0,TABLA_BASE[[#This Row],[GANANCIA
UNIT.(S/.)]]/TABLA_BASE[[#This Row],[C/M UNIT.
(S/.)]])</f>
        <v>0</v>
      </c>
      <c r="BB281" s="274" t="str">
        <f>IF(TABLA_BASE[[#This Row],[MARGEN
%]]&gt;=0.5,"🟢 ALTO",IF(TABLA_BASE[[#This Row],[MARGEN
%]]&gt;=0.3,"🟡 MEDIO","🔴 BAJO"))</f>
        <v>🟡 MEDIO</v>
      </c>
    </row>
    <row r="282" spans="1:54" ht="16.5" hidden="1" thickTop="1" thickBot="1" x14ac:dyDescent="0.3">
      <c r="A282" s="274">
        <f>'🧾 Factura Comercial'!E286</f>
        <v>0</v>
      </c>
      <c r="B282" s="274" t="str">
        <f>'🧾 Factura Comercial'!F286</f>
        <v>Unid.</v>
      </c>
      <c r="C282" s="275">
        <f>'🧾 Factura Comercial'!G286</f>
        <v>0</v>
      </c>
      <c r="D282" s="276">
        <f>'🧾 Factura Comercial'!H286</f>
        <v>0</v>
      </c>
      <c r="E282" s="276">
        <f>'🧾 Factura Comercial'!I286</f>
        <v>0</v>
      </c>
      <c r="F282" s="277">
        <f>IF('🧾 Tributos Aduana'!$F$6=0,0,'🧾 Factura Comercial'!I286/'🧾 Tributos Aduana'!$F$6)</f>
        <v>0</v>
      </c>
      <c r="G282" s="278">
        <f>'🧾 Factura Comercial'!H286*'📋 Datos Generales'!$E$19</f>
        <v>0</v>
      </c>
      <c r="H282" s="278">
        <f>TABLA_BASE[[#This Row],[FOB UNIT.
(S/.)]]*TABLA_BASE[[#This Row],[CANTIDAD
(unid.)]]</f>
        <v>0</v>
      </c>
      <c r="I282" s="280">
        <f>IF('🧾 Tributos Aduana'!$F$6=0,0,'🧾 Tributos Aduana'!$F$17*('🧾 Factura Comercial'!H286/'🧾 Tributos Aduana'!$F$6))</f>
        <v>0</v>
      </c>
      <c r="J282" s="280">
        <f>TABLA_BASE[[#This Row],[ADV UNIT.
(US$)
⚠️COSTO]]*TABLA_BASE[[#This Row],[CANTIDAD
(unid.)]]</f>
        <v>0</v>
      </c>
      <c r="K282" s="279">
        <f>IF('🧾 Tributos Aduana'!$F$6=0,0,'🧾 Tributos Aduana'!$F$18*('🧾 Factura Comercial'!H286/'🧾 Tributos Aduana'!$F$6))</f>
        <v>0</v>
      </c>
      <c r="L282" s="280">
        <f>TABLA_BASE[[#This Row],[IPM UNIT.
(US$)
✅CF]]*TABLA_BASE[[#This Row],[CANTIDAD
(unid.)]]</f>
        <v>0</v>
      </c>
      <c r="M282" s="279">
        <f>IF('🧾 Tributos Aduana'!$F$6=0,0,'🧾 Tributos Aduana'!$F$19*('🧾 Factura Comercial'!H286/'🧾 Tributos Aduana'!$F$6))</f>
        <v>0</v>
      </c>
      <c r="N282" s="280">
        <f>TABLA_BASE[[#This Row],[IGV UNIT.
(US$)
✅CF]]*TABLA_BASE[[#This Row],[CANTIDAD
(unid.)]]</f>
        <v>0</v>
      </c>
      <c r="O282" s="280">
        <f>IF('🧾 Tributos Aduana'!$F$6=0,0,'🧾 Tributos Aduana'!$F$23*('🧾 Factura Comercial'!H286/'🧾 Tributos Aduana'!$F$6))</f>
        <v>0</v>
      </c>
      <c r="P282" s="280">
        <f>TABLA_BASE[[#This Row],[PERCEP.
UNIT.(US$)
✅CF]]*TABLA_BASE[[#This Row],[CANTIDAD
(unid.)]]</f>
        <v>0</v>
      </c>
      <c r="Q282" s="279">
        <f>TABLA_BASE[[#This Row],[ADV UNIT.
(US$)
⚠️COSTO]]+TABLA_BASE[[#This Row],[IPM UNIT.
(US$)
✅CF]]+TABLA_BASE[[#This Row],[IGV UNIT.
(US$)
✅CF]]</f>
        <v>0</v>
      </c>
      <c r="R282" s="280">
        <f>TABLA_BASE[[#This Row],[DEUDA
ADUANERA
UNIT.]]*TABLA_BASE[[#This Row],[CANTIDAD
(unid.)]]</f>
        <v>0</v>
      </c>
      <c r="S282" s="278">
        <f>TABLA_BASE[[#This Row],[DEUDA
ADUANERA
UNIT.]]*'📋 Datos Generales'!$E$19</f>
        <v>0</v>
      </c>
      <c r="T282" s="278">
        <f>TABLA_BASE[[#This Row],[DEUDA
ADUANERA
TOTAL]]*'📋 Datos Generales'!$E$19</f>
        <v>0</v>
      </c>
      <c r="U282" s="281">
        <f>TABLA_BASE[[#This Row],[ADV UNIT.
(US$)
⚠️COSTO]]*'📋 Datos Generales'!$E$19</f>
        <v>0</v>
      </c>
      <c r="V282" s="281">
        <f>TABLA_BASE[[#This Row],[ADV UNIT.
(S/.)]]*TABLA_BASE[[#This Row],[CANTIDAD
(unid.)]]</f>
        <v>0</v>
      </c>
      <c r="W282" s="281">
        <f>TABLA_BASE[[#This Row],[IPM UNIT.
(US$)
✅CF]]*'📋 Datos Generales'!$E$19</f>
        <v>0</v>
      </c>
      <c r="X282" s="281">
        <f>TABLA_BASE[[#This Row],[IPM UNIT.
(S/.)]]*TABLA_BASE[[#This Row],[CANTIDAD
(unid.)]]</f>
        <v>0</v>
      </c>
      <c r="Y282" s="281">
        <f>TABLA_BASE[[#This Row],[IGV UNIT.
(US$)
✅CF]]*'📋 Datos Generales'!$E$19</f>
        <v>0</v>
      </c>
      <c r="Z282" s="281">
        <f>TABLA_BASE[[#This Row],[IGV UNIT.
(S/.)]]*TABLA_BASE[[#This Row],[CANTIDAD
(unid.)]]</f>
        <v>0</v>
      </c>
      <c r="AA282" s="281">
        <f>TABLA_BASE[[#This Row],[PERCEP.
UNIT.(US$)
✅CF]]*'📋 Datos Generales'!$E$19</f>
        <v>0</v>
      </c>
      <c r="AB282" s="281">
        <f>TABLA_BASE[[#This Row],[PERCEP.
UNIT.(S/.)]]*TABLA_BASE[[#This Row],[CANTIDAD
(unid.)]]</f>
        <v>0</v>
      </c>
      <c r="AC282" s="279">
        <f>TABLA_BASE[[#This Row],[ADV UNIT.
(US$)
⚠️COSTO]]+TABLA_BASE[[#This Row],[IPM UNIT.
(US$)
✅CF]]+TABLA_BASE[[#This Row],[IGV UNIT.
(US$)
✅CF]]+TABLA_BASE[[#This Row],[PERCEP.
UNIT.(US$)
✅CF]]</f>
        <v>0</v>
      </c>
      <c r="AD282" s="279">
        <f>TABLA_BASE[[#This Row],[TOTAL PAGO
SUNAT
UNIT.(US$)]]*TABLA_BASE[[#This Row],[CANTIDAD
(unid.)]]</f>
        <v>0</v>
      </c>
      <c r="AE282" s="281">
        <f>TABLA_BASE[[#This Row],[TOTAL PAGO
SUNAT
UNIT.(US$)]]*'📋 Datos Generales'!$E$19</f>
        <v>0</v>
      </c>
      <c r="AF282" s="281">
        <f>TABLA_BASE[[#This Row],[TOTAL TRIB.
UNIT.(S/.)]]*TABLA_BASE[[#This Row],[CANTIDAD
(unid.)]]</f>
        <v>0</v>
      </c>
      <c r="AG282" s="279">
        <f>IF('🧾 Factura Comercial'!G286=0,0,'📦 Gastos Importación'!$E$28*(IF('🧾 Tributos Aduana'!$F$6=0,0,'🧾 Factura Comercial'!I286/'🧾 Tributos Aduana'!$F$6))/'🧾 Factura Comercial'!G286)</f>
        <v>0</v>
      </c>
      <c r="AH282" s="279">
        <f>TABLA_BASE[[#This Row],[GASTOS IMP.
UNIT.(US$)]]*TABLA_BASE[[#This Row],[CANTIDAD
(unid.)]]</f>
        <v>0</v>
      </c>
      <c r="AI282" s="281">
        <f>TABLA_BASE[[#This Row],[GASTOS IMP.
UNIT.(US$)]]*'📋 Datos Generales'!$E$19</f>
        <v>0</v>
      </c>
      <c r="AJ282" s="281">
        <f>TABLA_BASE[[#This Row],[GASTOS IMP.
UNIT.(S/.)]]*TABLA_BASE[[#This Row],[CANTIDAD
(unid.)]]</f>
        <v>0</v>
      </c>
      <c r="AK282" s="280">
        <f>'🧮 Costos x Producto'!J286</f>
        <v>0</v>
      </c>
      <c r="AL282" s="278">
        <f>'🧮 Costos x Producto'!K286</f>
        <v>0</v>
      </c>
      <c r="AM282" s="278">
        <f>TABLA_BASE[[#This Row],[C/M UNIT.
(S/.)]]*TABLA_BASE[[#This Row],[CANTIDAD
(unid.)]]</f>
        <v>0</v>
      </c>
      <c r="AN282" s="279">
        <f>IF('🧾 Factura Comercial'!G286=0,0,'🧾 Tributos Aduana'!$F$17*(IF('🧾 Tributos Aduana'!$F$6=0,0,'🧾 Factura Comercial'!I286/'🧾 Tributos Aduana'!$F$6))/'🧾 Factura Comercial'!G286)</f>
        <v>0</v>
      </c>
      <c r="AO282" s="280">
        <f>IF('🧾 Factura Comercial'!G286=0,0,'🏦 Crédito Fiscal'!$C$16*(IF('🧾 Tributos Aduana'!$F$6=0,0,'🧾 Factura Comercial'!I286/'🧾 Tributos Aduana'!$F$6))/'🧾 Factura Comercial'!G286)</f>
        <v>0</v>
      </c>
      <c r="AP282" s="278">
        <f>TABLA_BASE[[#This Row],[CF UNIT.
✅RECUP.
(US$)]]*'📋 Datos Generales'!$E$19</f>
        <v>0</v>
      </c>
      <c r="AQ282" s="278">
        <f>TABLA_BASE[[#This Row],[CF UNIT.
✅RECUP.(S/.)]]*TABLA_BASE[[#This Row],[CANTIDAD
(unid.)]]</f>
        <v>0</v>
      </c>
      <c r="AR282" s="288">
        <f>'💰 Precio de Venta'!G287</f>
        <v>0.4</v>
      </c>
      <c r="AS282" s="278">
        <f>'💰 Precio de Venta'!H287</f>
        <v>0</v>
      </c>
      <c r="AT282" s="278">
        <f>TABLA_BASE[[#This Row],[VALOR VTA.
UNIT.(S/.)]]*TABLA_BASE[[#This Row],[CANTIDAD
(unid.)]]</f>
        <v>0</v>
      </c>
      <c r="AU282" s="281">
        <f>'💰 Precio de Venta'!I287</f>
        <v>0</v>
      </c>
      <c r="AV282" s="278">
        <f>'💰 Precio de Venta'!J287</f>
        <v>0</v>
      </c>
      <c r="AW282" s="278">
        <f>TABLA_BASE[[#This Row],[GANANCIA
UNIT.(S/.)]]*TABLA_BASE[[#This Row],[CANTIDAD
(unid.)]]</f>
        <v>0</v>
      </c>
      <c r="AX282" s="289">
        <f>'💰 Precio de Venta'!K287</f>
        <v>0</v>
      </c>
      <c r="AY282" s="278">
        <f>TABLA_BASE[[#This Row],[GANANCIA
UNIT.(S/.)]]*'🧾 Factura Comercial'!G286</f>
        <v>0</v>
      </c>
      <c r="AZ282" s="277">
        <f>IF(TABLA_BASE[[#This Row],[PRECIO VTA.
c/IGV(S/.)]]=0,0,TABLA_BASE[[#This Row],[GANANCIA
UNIT.(S/.)]]/TABLA_BASE[[#This Row],[PRECIO VTA.
c/IGV(S/.)]])</f>
        <v>0</v>
      </c>
      <c r="BA282" s="277">
        <f>IF(TABLA_BASE[[#This Row],[C/M UNIT.
(S/.)]]=0,0,TABLA_BASE[[#This Row],[GANANCIA
UNIT.(S/.)]]/TABLA_BASE[[#This Row],[C/M UNIT.
(S/.)]])</f>
        <v>0</v>
      </c>
      <c r="BB282" s="274" t="str">
        <f>IF(TABLA_BASE[[#This Row],[MARGEN
%]]&gt;=0.5,"🟢 ALTO",IF(TABLA_BASE[[#This Row],[MARGEN
%]]&gt;=0.3,"🟡 MEDIO","🔴 BAJO"))</f>
        <v>🟡 MEDIO</v>
      </c>
    </row>
    <row r="283" spans="1:54" ht="16.5" hidden="1" thickTop="1" thickBot="1" x14ac:dyDescent="0.3">
      <c r="A283" s="274">
        <f>'🧾 Factura Comercial'!E287</f>
        <v>0</v>
      </c>
      <c r="B283" s="274" t="str">
        <f>'🧾 Factura Comercial'!F287</f>
        <v>Unid.</v>
      </c>
      <c r="C283" s="275">
        <f>'🧾 Factura Comercial'!G287</f>
        <v>0</v>
      </c>
      <c r="D283" s="276">
        <f>'🧾 Factura Comercial'!H287</f>
        <v>0</v>
      </c>
      <c r="E283" s="276">
        <f>'🧾 Factura Comercial'!I287</f>
        <v>0</v>
      </c>
      <c r="F283" s="277">
        <f>IF('🧾 Tributos Aduana'!$F$6=0,0,'🧾 Factura Comercial'!I287/'🧾 Tributos Aduana'!$F$6)</f>
        <v>0</v>
      </c>
      <c r="G283" s="278">
        <f>'🧾 Factura Comercial'!H287*'📋 Datos Generales'!$E$19</f>
        <v>0</v>
      </c>
      <c r="H283" s="278">
        <f>TABLA_BASE[[#This Row],[FOB UNIT.
(S/.)]]*TABLA_BASE[[#This Row],[CANTIDAD
(unid.)]]</f>
        <v>0</v>
      </c>
      <c r="I283" s="280">
        <f>IF('🧾 Tributos Aduana'!$F$6=0,0,'🧾 Tributos Aduana'!$F$17*('🧾 Factura Comercial'!H287/'🧾 Tributos Aduana'!$F$6))</f>
        <v>0</v>
      </c>
      <c r="J283" s="280">
        <f>TABLA_BASE[[#This Row],[ADV UNIT.
(US$)
⚠️COSTO]]*TABLA_BASE[[#This Row],[CANTIDAD
(unid.)]]</f>
        <v>0</v>
      </c>
      <c r="K283" s="279">
        <f>IF('🧾 Tributos Aduana'!$F$6=0,0,'🧾 Tributos Aduana'!$F$18*('🧾 Factura Comercial'!H287/'🧾 Tributos Aduana'!$F$6))</f>
        <v>0</v>
      </c>
      <c r="L283" s="280">
        <f>TABLA_BASE[[#This Row],[IPM UNIT.
(US$)
✅CF]]*TABLA_BASE[[#This Row],[CANTIDAD
(unid.)]]</f>
        <v>0</v>
      </c>
      <c r="M283" s="279">
        <f>IF('🧾 Tributos Aduana'!$F$6=0,0,'🧾 Tributos Aduana'!$F$19*('🧾 Factura Comercial'!H287/'🧾 Tributos Aduana'!$F$6))</f>
        <v>0</v>
      </c>
      <c r="N283" s="280">
        <f>TABLA_BASE[[#This Row],[IGV UNIT.
(US$)
✅CF]]*TABLA_BASE[[#This Row],[CANTIDAD
(unid.)]]</f>
        <v>0</v>
      </c>
      <c r="O283" s="280">
        <f>IF('🧾 Tributos Aduana'!$F$6=0,0,'🧾 Tributos Aduana'!$F$23*('🧾 Factura Comercial'!H287/'🧾 Tributos Aduana'!$F$6))</f>
        <v>0</v>
      </c>
      <c r="P283" s="280">
        <f>TABLA_BASE[[#This Row],[PERCEP.
UNIT.(US$)
✅CF]]*TABLA_BASE[[#This Row],[CANTIDAD
(unid.)]]</f>
        <v>0</v>
      </c>
      <c r="Q283" s="279">
        <f>TABLA_BASE[[#This Row],[ADV UNIT.
(US$)
⚠️COSTO]]+TABLA_BASE[[#This Row],[IPM UNIT.
(US$)
✅CF]]+TABLA_BASE[[#This Row],[IGV UNIT.
(US$)
✅CF]]</f>
        <v>0</v>
      </c>
      <c r="R283" s="280">
        <f>TABLA_BASE[[#This Row],[DEUDA
ADUANERA
UNIT.]]*TABLA_BASE[[#This Row],[CANTIDAD
(unid.)]]</f>
        <v>0</v>
      </c>
      <c r="S283" s="278">
        <f>TABLA_BASE[[#This Row],[DEUDA
ADUANERA
UNIT.]]*'📋 Datos Generales'!$E$19</f>
        <v>0</v>
      </c>
      <c r="T283" s="278">
        <f>TABLA_BASE[[#This Row],[DEUDA
ADUANERA
TOTAL]]*'📋 Datos Generales'!$E$19</f>
        <v>0</v>
      </c>
      <c r="U283" s="281">
        <f>TABLA_BASE[[#This Row],[ADV UNIT.
(US$)
⚠️COSTO]]*'📋 Datos Generales'!$E$19</f>
        <v>0</v>
      </c>
      <c r="V283" s="281">
        <f>TABLA_BASE[[#This Row],[ADV UNIT.
(S/.)]]*TABLA_BASE[[#This Row],[CANTIDAD
(unid.)]]</f>
        <v>0</v>
      </c>
      <c r="W283" s="281">
        <f>TABLA_BASE[[#This Row],[IPM UNIT.
(US$)
✅CF]]*'📋 Datos Generales'!$E$19</f>
        <v>0</v>
      </c>
      <c r="X283" s="281">
        <f>TABLA_BASE[[#This Row],[IPM UNIT.
(S/.)]]*TABLA_BASE[[#This Row],[CANTIDAD
(unid.)]]</f>
        <v>0</v>
      </c>
      <c r="Y283" s="281">
        <f>TABLA_BASE[[#This Row],[IGV UNIT.
(US$)
✅CF]]*'📋 Datos Generales'!$E$19</f>
        <v>0</v>
      </c>
      <c r="Z283" s="281">
        <f>TABLA_BASE[[#This Row],[IGV UNIT.
(S/.)]]*TABLA_BASE[[#This Row],[CANTIDAD
(unid.)]]</f>
        <v>0</v>
      </c>
      <c r="AA283" s="281">
        <f>TABLA_BASE[[#This Row],[PERCEP.
UNIT.(US$)
✅CF]]*'📋 Datos Generales'!$E$19</f>
        <v>0</v>
      </c>
      <c r="AB283" s="281">
        <f>TABLA_BASE[[#This Row],[PERCEP.
UNIT.(S/.)]]*TABLA_BASE[[#This Row],[CANTIDAD
(unid.)]]</f>
        <v>0</v>
      </c>
      <c r="AC283" s="279">
        <f>TABLA_BASE[[#This Row],[ADV UNIT.
(US$)
⚠️COSTO]]+TABLA_BASE[[#This Row],[IPM UNIT.
(US$)
✅CF]]+TABLA_BASE[[#This Row],[IGV UNIT.
(US$)
✅CF]]+TABLA_BASE[[#This Row],[PERCEP.
UNIT.(US$)
✅CF]]</f>
        <v>0</v>
      </c>
      <c r="AD283" s="279">
        <f>TABLA_BASE[[#This Row],[TOTAL PAGO
SUNAT
UNIT.(US$)]]*TABLA_BASE[[#This Row],[CANTIDAD
(unid.)]]</f>
        <v>0</v>
      </c>
      <c r="AE283" s="281">
        <f>TABLA_BASE[[#This Row],[TOTAL PAGO
SUNAT
UNIT.(US$)]]*'📋 Datos Generales'!$E$19</f>
        <v>0</v>
      </c>
      <c r="AF283" s="281">
        <f>TABLA_BASE[[#This Row],[TOTAL TRIB.
UNIT.(S/.)]]*TABLA_BASE[[#This Row],[CANTIDAD
(unid.)]]</f>
        <v>0</v>
      </c>
      <c r="AG283" s="279">
        <f>IF('🧾 Factura Comercial'!G287=0,0,'📦 Gastos Importación'!$E$28*(IF('🧾 Tributos Aduana'!$F$6=0,0,'🧾 Factura Comercial'!I287/'🧾 Tributos Aduana'!$F$6))/'🧾 Factura Comercial'!G287)</f>
        <v>0</v>
      </c>
      <c r="AH283" s="279">
        <f>TABLA_BASE[[#This Row],[GASTOS IMP.
UNIT.(US$)]]*TABLA_BASE[[#This Row],[CANTIDAD
(unid.)]]</f>
        <v>0</v>
      </c>
      <c r="AI283" s="281">
        <f>TABLA_BASE[[#This Row],[GASTOS IMP.
UNIT.(US$)]]*'📋 Datos Generales'!$E$19</f>
        <v>0</v>
      </c>
      <c r="AJ283" s="281">
        <f>TABLA_BASE[[#This Row],[GASTOS IMP.
UNIT.(S/.)]]*TABLA_BASE[[#This Row],[CANTIDAD
(unid.)]]</f>
        <v>0</v>
      </c>
      <c r="AK283" s="280">
        <f>'🧮 Costos x Producto'!J287</f>
        <v>0</v>
      </c>
      <c r="AL283" s="278">
        <f>'🧮 Costos x Producto'!K287</f>
        <v>0</v>
      </c>
      <c r="AM283" s="278">
        <f>TABLA_BASE[[#This Row],[C/M UNIT.
(S/.)]]*TABLA_BASE[[#This Row],[CANTIDAD
(unid.)]]</f>
        <v>0</v>
      </c>
      <c r="AN283" s="279">
        <f>IF('🧾 Factura Comercial'!G287=0,0,'🧾 Tributos Aduana'!$F$17*(IF('🧾 Tributos Aduana'!$F$6=0,0,'🧾 Factura Comercial'!I287/'🧾 Tributos Aduana'!$F$6))/'🧾 Factura Comercial'!G287)</f>
        <v>0</v>
      </c>
      <c r="AO283" s="280">
        <f>IF('🧾 Factura Comercial'!G287=0,0,'🏦 Crédito Fiscal'!$C$16*(IF('🧾 Tributos Aduana'!$F$6=0,0,'🧾 Factura Comercial'!I287/'🧾 Tributos Aduana'!$F$6))/'🧾 Factura Comercial'!G287)</f>
        <v>0</v>
      </c>
      <c r="AP283" s="278">
        <f>TABLA_BASE[[#This Row],[CF UNIT.
✅RECUP.
(US$)]]*'📋 Datos Generales'!$E$19</f>
        <v>0</v>
      </c>
      <c r="AQ283" s="278">
        <f>TABLA_BASE[[#This Row],[CF UNIT.
✅RECUP.(S/.)]]*TABLA_BASE[[#This Row],[CANTIDAD
(unid.)]]</f>
        <v>0</v>
      </c>
      <c r="AR283" s="288">
        <f>'💰 Precio de Venta'!G288</f>
        <v>0.4</v>
      </c>
      <c r="AS283" s="278">
        <f>'💰 Precio de Venta'!H288</f>
        <v>0</v>
      </c>
      <c r="AT283" s="278">
        <f>TABLA_BASE[[#This Row],[VALOR VTA.
UNIT.(S/.)]]*TABLA_BASE[[#This Row],[CANTIDAD
(unid.)]]</f>
        <v>0</v>
      </c>
      <c r="AU283" s="281">
        <f>'💰 Precio de Venta'!I288</f>
        <v>0</v>
      </c>
      <c r="AV283" s="278">
        <f>'💰 Precio de Venta'!J288</f>
        <v>0</v>
      </c>
      <c r="AW283" s="278">
        <f>TABLA_BASE[[#This Row],[GANANCIA
UNIT.(S/.)]]*TABLA_BASE[[#This Row],[CANTIDAD
(unid.)]]</f>
        <v>0</v>
      </c>
      <c r="AX283" s="289">
        <f>'💰 Precio de Venta'!K288</f>
        <v>0</v>
      </c>
      <c r="AY283" s="278">
        <f>TABLA_BASE[[#This Row],[GANANCIA
UNIT.(S/.)]]*'🧾 Factura Comercial'!G287</f>
        <v>0</v>
      </c>
      <c r="AZ283" s="277">
        <f>IF(TABLA_BASE[[#This Row],[PRECIO VTA.
c/IGV(S/.)]]=0,0,TABLA_BASE[[#This Row],[GANANCIA
UNIT.(S/.)]]/TABLA_BASE[[#This Row],[PRECIO VTA.
c/IGV(S/.)]])</f>
        <v>0</v>
      </c>
      <c r="BA283" s="277">
        <f>IF(TABLA_BASE[[#This Row],[C/M UNIT.
(S/.)]]=0,0,TABLA_BASE[[#This Row],[GANANCIA
UNIT.(S/.)]]/TABLA_BASE[[#This Row],[C/M UNIT.
(S/.)]])</f>
        <v>0</v>
      </c>
      <c r="BB283" s="274" t="str">
        <f>IF(TABLA_BASE[[#This Row],[MARGEN
%]]&gt;=0.5,"🟢 ALTO",IF(TABLA_BASE[[#This Row],[MARGEN
%]]&gt;=0.3,"🟡 MEDIO","🔴 BAJO"))</f>
        <v>🟡 MEDIO</v>
      </c>
    </row>
    <row r="284" spans="1:54" ht="16.5" hidden="1" thickTop="1" thickBot="1" x14ac:dyDescent="0.3">
      <c r="A284" s="274">
        <f>'🧾 Factura Comercial'!E288</f>
        <v>0</v>
      </c>
      <c r="B284" s="274" t="str">
        <f>'🧾 Factura Comercial'!F288</f>
        <v>Unid.</v>
      </c>
      <c r="C284" s="275">
        <f>'🧾 Factura Comercial'!G288</f>
        <v>0</v>
      </c>
      <c r="D284" s="276">
        <f>'🧾 Factura Comercial'!H288</f>
        <v>0</v>
      </c>
      <c r="E284" s="276">
        <f>'🧾 Factura Comercial'!I288</f>
        <v>0</v>
      </c>
      <c r="F284" s="277">
        <f>IF('🧾 Tributos Aduana'!$F$6=0,0,'🧾 Factura Comercial'!I288/'🧾 Tributos Aduana'!$F$6)</f>
        <v>0</v>
      </c>
      <c r="G284" s="278">
        <f>'🧾 Factura Comercial'!H288*'📋 Datos Generales'!$E$19</f>
        <v>0</v>
      </c>
      <c r="H284" s="278">
        <f>TABLA_BASE[[#This Row],[FOB UNIT.
(S/.)]]*TABLA_BASE[[#This Row],[CANTIDAD
(unid.)]]</f>
        <v>0</v>
      </c>
      <c r="I284" s="280">
        <f>IF('🧾 Tributos Aduana'!$F$6=0,0,'🧾 Tributos Aduana'!$F$17*('🧾 Factura Comercial'!H288/'🧾 Tributos Aduana'!$F$6))</f>
        <v>0</v>
      </c>
      <c r="J284" s="280">
        <f>TABLA_BASE[[#This Row],[ADV UNIT.
(US$)
⚠️COSTO]]*TABLA_BASE[[#This Row],[CANTIDAD
(unid.)]]</f>
        <v>0</v>
      </c>
      <c r="K284" s="279">
        <f>IF('🧾 Tributos Aduana'!$F$6=0,0,'🧾 Tributos Aduana'!$F$18*('🧾 Factura Comercial'!H288/'🧾 Tributos Aduana'!$F$6))</f>
        <v>0</v>
      </c>
      <c r="L284" s="280">
        <f>TABLA_BASE[[#This Row],[IPM UNIT.
(US$)
✅CF]]*TABLA_BASE[[#This Row],[CANTIDAD
(unid.)]]</f>
        <v>0</v>
      </c>
      <c r="M284" s="279">
        <f>IF('🧾 Tributos Aduana'!$F$6=0,0,'🧾 Tributos Aduana'!$F$19*('🧾 Factura Comercial'!H288/'🧾 Tributos Aduana'!$F$6))</f>
        <v>0</v>
      </c>
      <c r="N284" s="280">
        <f>TABLA_BASE[[#This Row],[IGV UNIT.
(US$)
✅CF]]*TABLA_BASE[[#This Row],[CANTIDAD
(unid.)]]</f>
        <v>0</v>
      </c>
      <c r="O284" s="280">
        <f>IF('🧾 Tributos Aduana'!$F$6=0,0,'🧾 Tributos Aduana'!$F$23*('🧾 Factura Comercial'!H288/'🧾 Tributos Aduana'!$F$6))</f>
        <v>0</v>
      </c>
      <c r="P284" s="280">
        <f>TABLA_BASE[[#This Row],[PERCEP.
UNIT.(US$)
✅CF]]*TABLA_BASE[[#This Row],[CANTIDAD
(unid.)]]</f>
        <v>0</v>
      </c>
      <c r="Q284" s="279">
        <f>TABLA_BASE[[#This Row],[ADV UNIT.
(US$)
⚠️COSTO]]+TABLA_BASE[[#This Row],[IPM UNIT.
(US$)
✅CF]]+TABLA_BASE[[#This Row],[IGV UNIT.
(US$)
✅CF]]</f>
        <v>0</v>
      </c>
      <c r="R284" s="280">
        <f>TABLA_BASE[[#This Row],[DEUDA
ADUANERA
UNIT.]]*TABLA_BASE[[#This Row],[CANTIDAD
(unid.)]]</f>
        <v>0</v>
      </c>
      <c r="S284" s="278">
        <f>TABLA_BASE[[#This Row],[DEUDA
ADUANERA
UNIT.]]*'📋 Datos Generales'!$E$19</f>
        <v>0</v>
      </c>
      <c r="T284" s="278">
        <f>TABLA_BASE[[#This Row],[DEUDA
ADUANERA
TOTAL]]*'📋 Datos Generales'!$E$19</f>
        <v>0</v>
      </c>
      <c r="U284" s="281">
        <f>TABLA_BASE[[#This Row],[ADV UNIT.
(US$)
⚠️COSTO]]*'📋 Datos Generales'!$E$19</f>
        <v>0</v>
      </c>
      <c r="V284" s="281">
        <f>TABLA_BASE[[#This Row],[ADV UNIT.
(S/.)]]*TABLA_BASE[[#This Row],[CANTIDAD
(unid.)]]</f>
        <v>0</v>
      </c>
      <c r="W284" s="281">
        <f>TABLA_BASE[[#This Row],[IPM UNIT.
(US$)
✅CF]]*'📋 Datos Generales'!$E$19</f>
        <v>0</v>
      </c>
      <c r="X284" s="281">
        <f>TABLA_BASE[[#This Row],[IPM UNIT.
(S/.)]]*TABLA_BASE[[#This Row],[CANTIDAD
(unid.)]]</f>
        <v>0</v>
      </c>
      <c r="Y284" s="281">
        <f>TABLA_BASE[[#This Row],[IGV UNIT.
(US$)
✅CF]]*'📋 Datos Generales'!$E$19</f>
        <v>0</v>
      </c>
      <c r="Z284" s="281">
        <f>TABLA_BASE[[#This Row],[IGV UNIT.
(S/.)]]*TABLA_BASE[[#This Row],[CANTIDAD
(unid.)]]</f>
        <v>0</v>
      </c>
      <c r="AA284" s="281">
        <f>TABLA_BASE[[#This Row],[PERCEP.
UNIT.(US$)
✅CF]]*'📋 Datos Generales'!$E$19</f>
        <v>0</v>
      </c>
      <c r="AB284" s="281">
        <f>TABLA_BASE[[#This Row],[PERCEP.
UNIT.(S/.)]]*TABLA_BASE[[#This Row],[CANTIDAD
(unid.)]]</f>
        <v>0</v>
      </c>
      <c r="AC284" s="279">
        <f>TABLA_BASE[[#This Row],[ADV UNIT.
(US$)
⚠️COSTO]]+TABLA_BASE[[#This Row],[IPM UNIT.
(US$)
✅CF]]+TABLA_BASE[[#This Row],[IGV UNIT.
(US$)
✅CF]]+TABLA_BASE[[#This Row],[PERCEP.
UNIT.(US$)
✅CF]]</f>
        <v>0</v>
      </c>
      <c r="AD284" s="279">
        <f>TABLA_BASE[[#This Row],[TOTAL PAGO
SUNAT
UNIT.(US$)]]*TABLA_BASE[[#This Row],[CANTIDAD
(unid.)]]</f>
        <v>0</v>
      </c>
      <c r="AE284" s="281">
        <f>TABLA_BASE[[#This Row],[TOTAL PAGO
SUNAT
UNIT.(US$)]]*'📋 Datos Generales'!$E$19</f>
        <v>0</v>
      </c>
      <c r="AF284" s="281">
        <f>TABLA_BASE[[#This Row],[TOTAL TRIB.
UNIT.(S/.)]]*TABLA_BASE[[#This Row],[CANTIDAD
(unid.)]]</f>
        <v>0</v>
      </c>
      <c r="AG284" s="279">
        <f>IF('🧾 Factura Comercial'!G288=0,0,'📦 Gastos Importación'!$E$28*(IF('🧾 Tributos Aduana'!$F$6=0,0,'🧾 Factura Comercial'!I288/'🧾 Tributos Aduana'!$F$6))/'🧾 Factura Comercial'!G288)</f>
        <v>0</v>
      </c>
      <c r="AH284" s="279">
        <f>TABLA_BASE[[#This Row],[GASTOS IMP.
UNIT.(US$)]]*TABLA_BASE[[#This Row],[CANTIDAD
(unid.)]]</f>
        <v>0</v>
      </c>
      <c r="AI284" s="281">
        <f>TABLA_BASE[[#This Row],[GASTOS IMP.
UNIT.(US$)]]*'📋 Datos Generales'!$E$19</f>
        <v>0</v>
      </c>
      <c r="AJ284" s="281">
        <f>TABLA_BASE[[#This Row],[GASTOS IMP.
UNIT.(S/.)]]*TABLA_BASE[[#This Row],[CANTIDAD
(unid.)]]</f>
        <v>0</v>
      </c>
      <c r="AK284" s="280">
        <f>'🧮 Costos x Producto'!J288</f>
        <v>0</v>
      </c>
      <c r="AL284" s="278">
        <f>'🧮 Costos x Producto'!K288</f>
        <v>0</v>
      </c>
      <c r="AM284" s="278">
        <f>TABLA_BASE[[#This Row],[C/M UNIT.
(S/.)]]*TABLA_BASE[[#This Row],[CANTIDAD
(unid.)]]</f>
        <v>0</v>
      </c>
      <c r="AN284" s="279">
        <f>IF('🧾 Factura Comercial'!G288=0,0,'🧾 Tributos Aduana'!$F$17*(IF('🧾 Tributos Aduana'!$F$6=0,0,'🧾 Factura Comercial'!I288/'🧾 Tributos Aduana'!$F$6))/'🧾 Factura Comercial'!G288)</f>
        <v>0</v>
      </c>
      <c r="AO284" s="280">
        <f>IF('🧾 Factura Comercial'!G288=0,0,'🏦 Crédito Fiscal'!$C$16*(IF('🧾 Tributos Aduana'!$F$6=0,0,'🧾 Factura Comercial'!I288/'🧾 Tributos Aduana'!$F$6))/'🧾 Factura Comercial'!G288)</f>
        <v>0</v>
      </c>
      <c r="AP284" s="278">
        <f>TABLA_BASE[[#This Row],[CF UNIT.
✅RECUP.
(US$)]]*'📋 Datos Generales'!$E$19</f>
        <v>0</v>
      </c>
      <c r="AQ284" s="278">
        <f>TABLA_BASE[[#This Row],[CF UNIT.
✅RECUP.(S/.)]]*TABLA_BASE[[#This Row],[CANTIDAD
(unid.)]]</f>
        <v>0</v>
      </c>
      <c r="AR284" s="288">
        <f>'💰 Precio de Venta'!G289</f>
        <v>0.4</v>
      </c>
      <c r="AS284" s="278">
        <f>'💰 Precio de Venta'!H289</f>
        <v>0</v>
      </c>
      <c r="AT284" s="278">
        <f>TABLA_BASE[[#This Row],[VALOR VTA.
UNIT.(S/.)]]*TABLA_BASE[[#This Row],[CANTIDAD
(unid.)]]</f>
        <v>0</v>
      </c>
      <c r="AU284" s="281">
        <f>'💰 Precio de Venta'!I289</f>
        <v>0</v>
      </c>
      <c r="AV284" s="278">
        <f>'💰 Precio de Venta'!J289</f>
        <v>0</v>
      </c>
      <c r="AW284" s="278">
        <f>TABLA_BASE[[#This Row],[GANANCIA
UNIT.(S/.)]]*TABLA_BASE[[#This Row],[CANTIDAD
(unid.)]]</f>
        <v>0</v>
      </c>
      <c r="AX284" s="289">
        <f>'💰 Precio de Venta'!K289</f>
        <v>0</v>
      </c>
      <c r="AY284" s="278">
        <f>TABLA_BASE[[#This Row],[GANANCIA
UNIT.(S/.)]]*'🧾 Factura Comercial'!G288</f>
        <v>0</v>
      </c>
      <c r="AZ284" s="277">
        <f>IF(TABLA_BASE[[#This Row],[PRECIO VTA.
c/IGV(S/.)]]=0,0,TABLA_BASE[[#This Row],[GANANCIA
UNIT.(S/.)]]/TABLA_BASE[[#This Row],[PRECIO VTA.
c/IGV(S/.)]])</f>
        <v>0</v>
      </c>
      <c r="BA284" s="277">
        <f>IF(TABLA_BASE[[#This Row],[C/M UNIT.
(S/.)]]=0,0,TABLA_BASE[[#This Row],[GANANCIA
UNIT.(S/.)]]/TABLA_BASE[[#This Row],[C/M UNIT.
(S/.)]])</f>
        <v>0</v>
      </c>
      <c r="BB284" s="274" t="str">
        <f>IF(TABLA_BASE[[#This Row],[MARGEN
%]]&gt;=0.5,"🟢 ALTO",IF(TABLA_BASE[[#This Row],[MARGEN
%]]&gt;=0.3,"🟡 MEDIO","🔴 BAJO"))</f>
        <v>🟡 MEDIO</v>
      </c>
    </row>
    <row r="285" spans="1:54" ht="16.5" hidden="1" thickTop="1" thickBot="1" x14ac:dyDescent="0.3">
      <c r="A285" s="274">
        <f>'🧾 Factura Comercial'!E289</f>
        <v>0</v>
      </c>
      <c r="B285" s="274" t="str">
        <f>'🧾 Factura Comercial'!F289</f>
        <v>Unid.</v>
      </c>
      <c r="C285" s="275">
        <f>'🧾 Factura Comercial'!G289</f>
        <v>0</v>
      </c>
      <c r="D285" s="276">
        <f>'🧾 Factura Comercial'!H289</f>
        <v>0</v>
      </c>
      <c r="E285" s="276">
        <f>'🧾 Factura Comercial'!I289</f>
        <v>0</v>
      </c>
      <c r="F285" s="277">
        <f>IF('🧾 Tributos Aduana'!$F$6=0,0,'🧾 Factura Comercial'!I289/'🧾 Tributos Aduana'!$F$6)</f>
        <v>0</v>
      </c>
      <c r="G285" s="278">
        <f>'🧾 Factura Comercial'!H289*'📋 Datos Generales'!$E$19</f>
        <v>0</v>
      </c>
      <c r="H285" s="278">
        <f>TABLA_BASE[[#This Row],[FOB UNIT.
(S/.)]]*TABLA_BASE[[#This Row],[CANTIDAD
(unid.)]]</f>
        <v>0</v>
      </c>
      <c r="I285" s="280">
        <f>IF('🧾 Tributos Aduana'!$F$6=0,0,'🧾 Tributos Aduana'!$F$17*('🧾 Factura Comercial'!H289/'🧾 Tributos Aduana'!$F$6))</f>
        <v>0</v>
      </c>
      <c r="J285" s="280">
        <f>TABLA_BASE[[#This Row],[ADV UNIT.
(US$)
⚠️COSTO]]*TABLA_BASE[[#This Row],[CANTIDAD
(unid.)]]</f>
        <v>0</v>
      </c>
      <c r="K285" s="279">
        <f>IF('🧾 Tributos Aduana'!$F$6=0,0,'🧾 Tributos Aduana'!$F$18*('🧾 Factura Comercial'!H289/'🧾 Tributos Aduana'!$F$6))</f>
        <v>0</v>
      </c>
      <c r="L285" s="280">
        <f>TABLA_BASE[[#This Row],[IPM UNIT.
(US$)
✅CF]]*TABLA_BASE[[#This Row],[CANTIDAD
(unid.)]]</f>
        <v>0</v>
      </c>
      <c r="M285" s="279">
        <f>IF('🧾 Tributos Aduana'!$F$6=0,0,'🧾 Tributos Aduana'!$F$19*('🧾 Factura Comercial'!H289/'🧾 Tributos Aduana'!$F$6))</f>
        <v>0</v>
      </c>
      <c r="N285" s="280">
        <f>TABLA_BASE[[#This Row],[IGV UNIT.
(US$)
✅CF]]*TABLA_BASE[[#This Row],[CANTIDAD
(unid.)]]</f>
        <v>0</v>
      </c>
      <c r="O285" s="280">
        <f>IF('🧾 Tributos Aduana'!$F$6=0,0,'🧾 Tributos Aduana'!$F$23*('🧾 Factura Comercial'!H289/'🧾 Tributos Aduana'!$F$6))</f>
        <v>0</v>
      </c>
      <c r="P285" s="280">
        <f>TABLA_BASE[[#This Row],[PERCEP.
UNIT.(US$)
✅CF]]*TABLA_BASE[[#This Row],[CANTIDAD
(unid.)]]</f>
        <v>0</v>
      </c>
      <c r="Q285" s="279">
        <f>TABLA_BASE[[#This Row],[ADV UNIT.
(US$)
⚠️COSTO]]+TABLA_BASE[[#This Row],[IPM UNIT.
(US$)
✅CF]]+TABLA_BASE[[#This Row],[IGV UNIT.
(US$)
✅CF]]</f>
        <v>0</v>
      </c>
      <c r="R285" s="280">
        <f>TABLA_BASE[[#This Row],[DEUDA
ADUANERA
UNIT.]]*TABLA_BASE[[#This Row],[CANTIDAD
(unid.)]]</f>
        <v>0</v>
      </c>
      <c r="S285" s="278">
        <f>TABLA_BASE[[#This Row],[DEUDA
ADUANERA
UNIT.]]*'📋 Datos Generales'!$E$19</f>
        <v>0</v>
      </c>
      <c r="T285" s="278">
        <f>TABLA_BASE[[#This Row],[DEUDA
ADUANERA
TOTAL]]*'📋 Datos Generales'!$E$19</f>
        <v>0</v>
      </c>
      <c r="U285" s="281">
        <f>TABLA_BASE[[#This Row],[ADV UNIT.
(US$)
⚠️COSTO]]*'📋 Datos Generales'!$E$19</f>
        <v>0</v>
      </c>
      <c r="V285" s="281">
        <f>TABLA_BASE[[#This Row],[ADV UNIT.
(S/.)]]*TABLA_BASE[[#This Row],[CANTIDAD
(unid.)]]</f>
        <v>0</v>
      </c>
      <c r="W285" s="281">
        <f>TABLA_BASE[[#This Row],[IPM UNIT.
(US$)
✅CF]]*'📋 Datos Generales'!$E$19</f>
        <v>0</v>
      </c>
      <c r="X285" s="281">
        <f>TABLA_BASE[[#This Row],[IPM UNIT.
(S/.)]]*TABLA_BASE[[#This Row],[CANTIDAD
(unid.)]]</f>
        <v>0</v>
      </c>
      <c r="Y285" s="281">
        <f>TABLA_BASE[[#This Row],[IGV UNIT.
(US$)
✅CF]]*'📋 Datos Generales'!$E$19</f>
        <v>0</v>
      </c>
      <c r="Z285" s="281">
        <f>TABLA_BASE[[#This Row],[IGV UNIT.
(S/.)]]*TABLA_BASE[[#This Row],[CANTIDAD
(unid.)]]</f>
        <v>0</v>
      </c>
      <c r="AA285" s="281">
        <f>TABLA_BASE[[#This Row],[PERCEP.
UNIT.(US$)
✅CF]]*'📋 Datos Generales'!$E$19</f>
        <v>0</v>
      </c>
      <c r="AB285" s="281">
        <f>TABLA_BASE[[#This Row],[PERCEP.
UNIT.(S/.)]]*TABLA_BASE[[#This Row],[CANTIDAD
(unid.)]]</f>
        <v>0</v>
      </c>
      <c r="AC285" s="279">
        <f>TABLA_BASE[[#This Row],[ADV UNIT.
(US$)
⚠️COSTO]]+TABLA_BASE[[#This Row],[IPM UNIT.
(US$)
✅CF]]+TABLA_BASE[[#This Row],[IGV UNIT.
(US$)
✅CF]]+TABLA_BASE[[#This Row],[PERCEP.
UNIT.(US$)
✅CF]]</f>
        <v>0</v>
      </c>
      <c r="AD285" s="279">
        <f>TABLA_BASE[[#This Row],[TOTAL PAGO
SUNAT
UNIT.(US$)]]*TABLA_BASE[[#This Row],[CANTIDAD
(unid.)]]</f>
        <v>0</v>
      </c>
      <c r="AE285" s="281">
        <f>TABLA_BASE[[#This Row],[TOTAL PAGO
SUNAT
UNIT.(US$)]]*'📋 Datos Generales'!$E$19</f>
        <v>0</v>
      </c>
      <c r="AF285" s="281">
        <f>TABLA_BASE[[#This Row],[TOTAL TRIB.
UNIT.(S/.)]]*TABLA_BASE[[#This Row],[CANTIDAD
(unid.)]]</f>
        <v>0</v>
      </c>
      <c r="AG285" s="279">
        <f>IF('🧾 Factura Comercial'!G289=0,0,'📦 Gastos Importación'!$E$28*(IF('🧾 Tributos Aduana'!$F$6=0,0,'🧾 Factura Comercial'!I289/'🧾 Tributos Aduana'!$F$6))/'🧾 Factura Comercial'!G289)</f>
        <v>0</v>
      </c>
      <c r="AH285" s="279">
        <f>TABLA_BASE[[#This Row],[GASTOS IMP.
UNIT.(US$)]]*TABLA_BASE[[#This Row],[CANTIDAD
(unid.)]]</f>
        <v>0</v>
      </c>
      <c r="AI285" s="281">
        <f>TABLA_BASE[[#This Row],[GASTOS IMP.
UNIT.(US$)]]*'📋 Datos Generales'!$E$19</f>
        <v>0</v>
      </c>
      <c r="AJ285" s="281">
        <f>TABLA_BASE[[#This Row],[GASTOS IMP.
UNIT.(S/.)]]*TABLA_BASE[[#This Row],[CANTIDAD
(unid.)]]</f>
        <v>0</v>
      </c>
      <c r="AK285" s="280">
        <f>'🧮 Costos x Producto'!J289</f>
        <v>0</v>
      </c>
      <c r="AL285" s="278">
        <f>'🧮 Costos x Producto'!K289</f>
        <v>0</v>
      </c>
      <c r="AM285" s="278">
        <f>TABLA_BASE[[#This Row],[C/M UNIT.
(S/.)]]*TABLA_BASE[[#This Row],[CANTIDAD
(unid.)]]</f>
        <v>0</v>
      </c>
      <c r="AN285" s="279">
        <f>IF('🧾 Factura Comercial'!G289=0,0,'🧾 Tributos Aduana'!$F$17*(IF('🧾 Tributos Aduana'!$F$6=0,0,'🧾 Factura Comercial'!I289/'🧾 Tributos Aduana'!$F$6))/'🧾 Factura Comercial'!G289)</f>
        <v>0</v>
      </c>
      <c r="AO285" s="280">
        <f>IF('🧾 Factura Comercial'!G289=0,0,'🏦 Crédito Fiscal'!$C$16*(IF('🧾 Tributos Aduana'!$F$6=0,0,'🧾 Factura Comercial'!I289/'🧾 Tributos Aduana'!$F$6))/'🧾 Factura Comercial'!G289)</f>
        <v>0</v>
      </c>
      <c r="AP285" s="278">
        <f>TABLA_BASE[[#This Row],[CF UNIT.
✅RECUP.
(US$)]]*'📋 Datos Generales'!$E$19</f>
        <v>0</v>
      </c>
      <c r="AQ285" s="278">
        <f>TABLA_BASE[[#This Row],[CF UNIT.
✅RECUP.(S/.)]]*TABLA_BASE[[#This Row],[CANTIDAD
(unid.)]]</f>
        <v>0</v>
      </c>
      <c r="AR285" s="288">
        <f>'💰 Precio de Venta'!G290</f>
        <v>0.4</v>
      </c>
      <c r="AS285" s="278">
        <f>'💰 Precio de Venta'!H290</f>
        <v>0</v>
      </c>
      <c r="AT285" s="278">
        <f>TABLA_BASE[[#This Row],[VALOR VTA.
UNIT.(S/.)]]*TABLA_BASE[[#This Row],[CANTIDAD
(unid.)]]</f>
        <v>0</v>
      </c>
      <c r="AU285" s="281">
        <f>'💰 Precio de Venta'!I290</f>
        <v>0</v>
      </c>
      <c r="AV285" s="278">
        <f>'💰 Precio de Venta'!J290</f>
        <v>0</v>
      </c>
      <c r="AW285" s="278">
        <f>TABLA_BASE[[#This Row],[GANANCIA
UNIT.(S/.)]]*TABLA_BASE[[#This Row],[CANTIDAD
(unid.)]]</f>
        <v>0</v>
      </c>
      <c r="AX285" s="289">
        <f>'💰 Precio de Venta'!K290</f>
        <v>0</v>
      </c>
      <c r="AY285" s="278">
        <f>TABLA_BASE[[#This Row],[GANANCIA
UNIT.(S/.)]]*'🧾 Factura Comercial'!G289</f>
        <v>0</v>
      </c>
      <c r="AZ285" s="277">
        <f>IF(TABLA_BASE[[#This Row],[PRECIO VTA.
c/IGV(S/.)]]=0,0,TABLA_BASE[[#This Row],[GANANCIA
UNIT.(S/.)]]/TABLA_BASE[[#This Row],[PRECIO VTA.
c/IGV(S/.)]])</f>
        <v>0</v>
      </c>
      <c r="BA285" s="277">
        <f>IF(TABLA_BASE[[#This Row],[C/M UNIT.
(S/.)]]=0,0,TABLA_BASE[[#This Row],[GANANCIA
UNIT.(S/.)]]/TABLA_BASE[[#This Row],[C/M UNIT.
(S/.)]])</f>
        <v>0</v>
      </c>
      <c r="BB285" s="274" t="str">
        <f>IF(TABLA_BASE[[#This Row],[MARGEN
%]]&gt;=0.5,"🟢 ALTO",IF(TABLA_BASE[[#This Row],[MARGEN
%]]&gt;=0.3,"🟡 MEDIO","🔴 BAJO"))</f>
        <v>🟡 MEDIO</v>
      </c>
    </row>
    <row r="286" spans="1:54" ht="16.5" hidden="1" thickTop="1" thickBot="1" x14ac:dyDescent="0.3">
      <c r="A286" s="274">
        <f>'🧾 Factura Comercial'!E290</f>
        <v>0</v>
      </c>
      <c r="B286" s="274" t="str">
        <f>'🧾 Factura Comercial'!F290</f>
        <v>Unid.</v>
      </c>
      <c r="C286" s="275">
        <f>'🧾 Factura Comercial'!G290</f>
        <v>0</v>
      </c>
      <c r="D286" s="276">
        <f>'🧾 Factura Comercial'!H290</f>
        <v>0</v>
      </c>
      <c r="E286" s="276">
        <f>'🧾 Factura Comercial'!I290</f>
        <v>0</v>
      </c>
      <c r="F286" s="277">
        <f>IF('🧾 Tributos Aduana'!$F$6=0,0,'🧾 Factura Comercial'!I290/'🧾 Tributos Aduana'!$F$6)</f>
        <v>0</v>
      </c>
      <c r="G286" s="278">
        <f>'🧾 Factura Comercial'!H290*'📋 Datos Generales'!$E$19</f>
        <v>0</v>
      </c>
      <c r="H286" s="278">
        <f>TABLA_BASE[[#This Row],[FOB UNIT.
(S/.)]]*TABLA_BASE[[#This Row],[CANTIDAD
(unid.)]]</f>
        <v>0</v>
      </c>
      <c r="I286" s="280">
        <f>IF('🧾 Tributos Aduana'!$F$6=0,0,'🧾 Tributos Aduana'!$F$17*('🧾 Factura Comercial'!H290/'🧾 Tributos Aduana'!$F$6))</f>
        <v>0</v>
      </c>
      <c r="J286" s="280">
        <f>TABLA_BASE[[#This Row],[ADV UNIT.
(US$)
⚠️COSTO]]*TABLA_BASE[[#This Row],[CANTIDAD
(unid.)]]</f>
        <v>0</v>
      </c>
      <c r="K286" s="279">
        <f>IF('🧾 Tributos Aduana'!$F$6=0,0,'🧾 Tributos Aduana'!$F$18*('🧾 Factura Comercial'!H290/'🧾 Tributos Aduana'!$F$6))</f>
        <v>0</v>
      </c>
      <c r="L286" s="280">
        <f>TABLA_BASE[[#This Row],[IPM UNIT.
(US$)
✅CF]]*TABLA_BASE[[#This Row],[CANTIDAD
(unid.)]]</f>
        <v>0</v>
      </c>
      <c r="M286" s="279">
        <f>IF('🧾 Tributos Aduana'!$F$6=0,0,'🧾 Tributos Aduana'!$F$19*('🧾 Factura Comercial'!H290/'🧾 Tributos Aduana'!$F$6))</f>
        <v>0</v>
      </c>
      <c r="N286" s="280">
        <f>TABLA_BASE[[#This Row],[IGV UNIT.
(US$)
✅CF]]*TABLA_BASE[[#This Row],[CANTIDAD
(unid.)]]</f>
        <v>0</v>
      </c>
      <c r="O286" s="280">
        <f>IF('🧾 Tributos Aduana'!$F$6=0,0,'🧾 Tributos Aduana'!$F$23*('🧾 Factura Comercial'!H290/'🧾 Tributos Aduana'!$F$6))</f>
        <v>0</v>
      </c>
      <c r="P286" s="280">
        <f>TABLA_BASE[[#This Row],[PERCEP.
UNIT.(US$)
✅CF]]*TABLA_BASE[[#This Row],[CANTIDAD
(unid.)]]</f>
        <v>0</v>
      </c>
      <c r="Q286" s="279">
        <f>TABLA_BASE[[#This Row],[ADV UNIT.
(US$)
⚠️COSTO]]+TABLA_BASE[[#This Row],[IPM UNIT.
(US$)
✅CF]]+TABLA_BASE[[#This Row],[IGV UNIT.
(US$)
✅CF]]</f>
        <v>0</v>
      </c>
      <c r="R286" s="280">
        <f>TABLA_BASE[[#This Row],[DEUDA
ADUANERA
UNIT.]]*TABLA_BASE[[#This Row],[CANTIDAD
(unid.)]]</f>
        <v>0</v>
      </c>
      <c r="S286" s="278">
        <f>TABLA_BASE[[#This Row],[DEUDA
ADUANERA
UNIT.]]*'📋 Datos Generales'!$E$19</f>
        <v>0</v>
      </c>
      <c r="T286" s="278">
        <f>TABLA_BASE[[#This Row],[DEUDA
ADUANERA
TOTAL]]*'📋 Datos Generales'!$E$19</f>
        <v>0</v>
      </c>
      <c r="U286" s="281">
        <f>TABLA_BASE[[#This Row],[ADV UNIT.
(US$)
⚠️COSTO]]*'📋 Datos Generales'!$E$19</f>
        <v>0</v>
      </c>
      <c r="V286" s="281">
        <f>TABLA_BASE[[#This Row],[ADV UNIT.
(S/.)]]*TABLA_BASE[[#This Row],[CANTIDAD
(unid.)]]</f>
        <v>0</v>
      </c>
      <c r="W286" s="281">
        <f>TABLA_BASE[[#This Row],[IPM UNIT.
(US$)
✅CF]]*'📋 Datos Generales'!$E$19</f>
        <v>0</v>
      </c>
      <c r="X286" s="281">
        <f>TABLA_BASE[[#This Row],[IPM UNIT.
(S/.)]]*TABLA_BASE[[#This Row],[CANTIDAD
(unid.)]]</f>
        <v>0</v>
      </c>
      <c r="Y286" s="281">
        <f>TABLA_BASE[[#This Row],[IGV UNIT.
(US$)
✅CF]]*'📋 Datos Generales'!$E$19</f>
        <v>0</v>
      </c>
      <c r="Z286" s="281">
        <f>TABLA_BASE[[#This Row],[IGV UNIT.
(S/.)]]*TABLA_BASE[[#This Row],[CANTIDAD
(unid.)]]</f>
        <v>0</v>
      </c>
      <c r="AA286" s="281">
        <f>TABLA_BASE[[#This Row],[PERCEP.
UNIT.(US$)
✅CF]]*'📋 Datos Generales'!$E$19</f>
        <v>0</v>
      </c>
      <c r="AB286" s="281">
        <f>TABLA_BASE[[#This Row],[PERCEP.
UNIT.(S/.)]]*TABLA_BASE[[#This Row],[CANTIDAD
(unid.)]]</f>
        <v>0</v>
      </c>
      <c r="AC286" s="279">
        <f>TABLA_BASE[[#This Row],[ADV UNIT.
(US$)
⚠️COSTO]]+TABLA_BASE[[#This Row],[IPM UNIT.
(US$)
✅CF]]+TABLA_BASE[[#This Row],[IGV UNIT.
(US$)
✅CF]]+TABLA_BASE[[#This Row],[PERCEP.
UNIT.(US$)
✅CF]]</f>
        <v>0</v>
      </c>
      <c r="AD286" s="279">
        <f>TABLA_BASE[[#This Row],[TOTAL PAGO
SUNAT
UNIT.(US$)]]*TABLA_BASE[[#This Row],[CANTIDAD
(unid.)]]</f>
        <v>0</v>
      </c>
      <c r="AE286" s="281">
        <f>TABLA_BASE[[#This Row],[TOTAL PAGO
SUNAT
UNIT.(US$)]]*'📋 Datos Generales'!$E$19</f>
        <v>0</v>
      </c>
      <c r="AF286" s="281">
        <f>TABLA_BASE[[#This Row],[TOTAL TRIB.
UNIT.(S/.)]]*TABLA_BASE[[#This Row],[CANTIDAD
(unid.)]]</f>
        <v>0</v>
      </c>
      <c r="AG286" s="279">
        <f>IF('🧾 Factura Comercial'!G290=0,0,'📦 Gastos Importación'!$E$28*(IF('🧾 Tributos Aduana'!$F$6=0,0,'🧾 Factura Comercial'!I290/'🧾 Tributos Aduana'!$F$6))/'🧾 Factura Comercial'!G290)</f>
        <v>0</v>
      </c>
      <c r="AH286" s="279">
        <f>TABLA_BASE[[#This Row],[GASTOS IMP.
UNIT.(US$)]]*TABLA_BASE[[#This Row],[CANTIDAD
(unid.)]]</f>
        <v>0</v>
      </c>
      <c r="AI286" s="281">
        <f>TABLA_BASE[[#This Row],[GASTOS IMP.
UNIT.(US$)]]*'📋 Datos Generales'!$E$19</f>
        <v>0</v>
      </c>
      <c r="AJ286" s="281">
        <f>TABLA_BASE[[#This Row],[GASTOS IMP.
UNIT.(S/.)]]*TABLA_BASE[[#This Row],[CANTIDAD
(unid.)]]</f>
        <v>0</v>
      </c>
      <c r="AK286" s="280">
        <f>'🧮 Costos x Producto'!J290</f>
        <v>0</v>
      </c>
      <c r="AL286" s="278">
        <f>'🧮 Costos x Producto'!K290</f>
        <v>0</v>
      </c>
      <c r="AM286" s="278">
        <f>TABLA_BASE[[#This Row],[C/M UNIT.
(S/.)]]*TABLA_BASE[[#This Row],[CANTIDAD
(unid.)]]</f>
        <v>0</v>
      </c>
      <c r="AN286" s="279">
        <f>IF('🧾 Factura Comercial'!G290=0,0,'🧾 Tributos Aduana'!$F$17*(IF('🧾 Tributos Aduana'!$F$6=0,0,'🧾 Factura Comercial'!I290/'🧾 Tributos Aduana'!$F$6))/'🧾 Factura Comercial'!G290)</f>
        <v>0</v>
      </c>
      <c r="AO286" s="280">
        <f>IF('🧾 Factura Comercial'!G290=0,0,'🏦 Crédito Fiscal'!$C$16*(IF('🧾 Tributos Aduana'!$F$6=0,0,'🧾 Factura Comercial'!I290/'🧾 Tributos Aduana'!$F$6))/'🧾 Factura Comercial'!G290)</f>
        <v>0</v>
      </c>
      <c r="AP286" s="278">
        <f>TABLA_BASE[[#This Row],[CF UNIT.
✅RECUP.
(US$)]]*'📋 Datos Generales'!$E$19</f>
        <v>0</v>
      </c>
      <c r="AQ286" s="278">
        <f>TABLA_BASE[[#This Row],[CF UNIT.
✅RECUP.(S/.)]]*TABLA_BASE[[#This Row],[CANTIDAD
(unid.)]]</f>
        <v>0</v>
      </c>
      <c r="AR286" s="288">
        <f>'💰 Precio de Venta'!G291</f>
        <v>0.4</v>
      </c>
      <c r="AS286" s="278">
        <f>'💰 Precio de Venta'!H291</f>
        <v>0</v>
      </c>
      <c r="AT286" s="278">
        <f>TABLA_BASE[[#This Row],[VALOR VTA.
UNIT.(S/.)]]*TABLA_BASE[[#This Row],[CANTIDAD
(unid.)]]</f>
        <v>0</v>
      </c>
      <c r="AU286" s="281">
        <f>'💰 Precio de Venta'!I291</f>
        <v>0</v>
      </c>
      <c r="AV286" s="278">
        <f>'💰 Precio de Venta'!J291</f>
        <v>0</v>
      </c>
      <c r="AW286" s="278">
        <f>TABLA_BASE[[#This Row],[GANANCIA
UNIT.(S/.)]]*TABLA_BASE[[#This Row],[CANTIDAD
(unid.)]]</f>
        <v>0</v>
      </c>
      <c r="AX286" s="289">
        <f>'💰 Precio de Venta'!K291</f>
        <v>0</v>
      </c>
      <c r="AY286" s="278">
        <f>TABLA_BASE[[#This Row],[GANANCIA
UNIT.(S/.)]]*'🧾 Factura Comercial'!G290</f>
        <v>0</v>
      </c>
      <c r="AZ286" s="277">
        <f>IF(TABLA_BASE[[#This Row],[PRECIO VTA.
c/IGV(S/.)]]=0,0,TABLA_BASE[[#This Row],[GANANCIA
UNIT.(S/.)]]/TABLA_BASE[[#This Row],[PRECIO VTA.
c/IGV(S/.)]])</f>
        <v>0</v>
      </c>
      <c r="BA286" s="277">
        <f>IF(TABLA_BASE[[#This Row],[C/M UNIT.
(S/.)]]=0,0,TABLA_BASE[[#This Row],[GANANCIA
UNIT.(S/.)]]/TABLA_BASE[[#This Row],[C/M UNIT.
(S/.)]])</f>
        <v>0</v>
      </c>
      <c r="BB286" s="274" t="str">
        <f>IF(TABLA_BASE[[#This Row],[MARGEN
%]]&gt;=0.5,"🟢 ALTO",IF(TABLA_BASE[[#This Row],[MARGEN
%]]&gt;=0.3,"🟡 MEDIO","🔴 BAJO"))</f>
        <v>🟡 MEDIO</v>
      </c>
    </row>
    <row r="287" spans="1:54" ht="16.5" hidden="1" thickTop="1" thickBot="1" x14ac:dyDescent="0.3">
      <c r="A287" s="274">
        <f>'🧾 Factura Comercial'!E291</f>
        <v>0</v>
      </c>
      <c r="B287" s="274" t="str">
        <f>'🧾 Factura Comercial'!F291</f>
        <v>Unid.</v>
      </c>
      <c r="C287" s="275">
        <f>'🧾 Factura Comercial'!G291</f>
        <v>0</v>
      </c>
      <c r="D287" s="276">
        <f>'🧾 Factura Comercial'!H291</f>
        <v>0</v>
      </c>
      <c r="E287" s="276">
        <f>'🧾 Factura Comercial'!I291</f>
        <v>0</v>
      </c>
      <c r="F287" s="277">
        <f>IF('🧾 Tributos Aduana'!$F$6=0,0,'🧾 Factura Comercial'!I291/'🧾 Tributos Aduana'!$F$6)</f>
        <v>0</v>
      </c>
      <c r="G287" s="278">
        <f>'🧾 Factura Comercial'!H291*'📋 Datos Generales'!$E$19</f>
        <v>0</v>
      </c>
      <c r="H287" s="278">
        <f>TABLA_BASE[[#This Row],[FOB UNIT.
(S/.)]]*TABLA_BASE[[#This Row],[CANTIDAD
(unid.)]]</f>
        <v>0</v>
      </c>
      <c r="I287" s="280">
        <f>IF('🧾 Tributos Aduana'!$F$6=0,0,'🧾 Tributos Aduana'!$F$17*('🧾 Factura Comercial'!H291/'🧾 Tributos Aduana'!$F$6))</f>
        <v>0</v>
      </c>
      <c r="J287" s="280">
        <f>TABLA_BASE[[#This Row],[ADV UNIT.
(US$)
⚠️COSTO]]*TABLA_BASE[[#This Row],[CANTIDAD
(unid.)]]</f>
        <v>0</v>
      </c>
      <c r="K287" s="279">
        <f>IF('🧾 Tributos Aduana'!$F$6=0,0,'🧾 Tributos Aduana'!$F$18*('🧾 Factura Comercial'!H291/'🧾 Tributos Aduana'!$F$6))</f>
        <v>0</v>
      </c>
      <c r="L287" s="280">
        <f>TABLA_BASE[[#This Row],[IPM UNIT.
(US$)
✅CF]]*TABLA_BASE[[#This Row],[CANTIDAD
(unid.)]]</f>
        <v>0</v>
      </c>
      <c r="M287" s="279">
        <f>IF('🧾 Tributos Aduana'!$F$6=0,0,'🧾 Tributos Aduana'!$F$19*('🧾 Factura Comercial'!H291/'🧾 Tributos Aduana'!$F$6))</f>
        <v>0</v>
      </c>
      <c r="N287" s="280">
        <f>TABLA_BASE[[#This Row],[IGV UNIT.
(US$)
✅CF]]*TABLA_BASE[[#This Row],[CANTIDAD
(unid.)]]</f>
        <v>0</v>
      </c>
      <c r="O287" s="280">
        <f>IF('🧾 Tributos Aduana'!$F$6=0,0,'🧾 Tributos Aduana'!$F$23*('🧾 Factura Comercial'!H291/'🧾 Tributos Aduana'!$F$6))</f>
        <v>0</v>
      </c>
      <c r="P287" s="280">
        <f>TABLA_BASE[[#This Row],[PERCEP.
UNIT.(US$)
✅CF]]*TABLA_BASE[[#This Row],[CANTIDAD
(unid.)]]</f>
        <v>0</v>
      </c>
      <c r="Q287" s="279">
        <f>TABLA_BASE[[#This Row],[ADV UNIT.
(US$)
⚠️COSTO]]+TABLA_BASE[[#This Row],[IPM UNIT.
(US$)
✅CF]]+TABLA_BASE[[#This Row],[IGV UNIT.
(US$)
✅CF]]</f>
        <v>0</v>
      </c>
      <c r="R287" s="280">
        <f>TABLA_BASE[[#This Row],[DEUDA
ADUANERA
UNIT.]]*TABLA_BASE[[#This Row],[CANTIDAD
(unid.)]]</f>
        <v>0</v>
      </c>
      <c r="S287" s="278">
        <f>TABLA_BASE[[#This Row],[DEUDA
ADUANERA
UNIT.]]*'📋 Datos Generales'!$E$19</f>
        <v>0</v>
      </c>
      <c r="T287" s="278">
        <f>TABLA_BASE[[#This Row],[DEUDA
ADUANERA
TOTAL]]*'📋 Datos Generales'!$E$19</f>
        <v>0</v>
      </c>
      <c r="U287" s="281">
        <f>TABLA_BASE[[#This Row],[ADV UNIT.
(US$)
⚠️COSTO]]*'📋 Datos Generales'!$E$19</f>
        <v>0</v>
      </c>
      <c r="V287" s="281">
        <f>TABLA_BASE[[#This Row],[ADV UNIT.
(S/.)]]*TABLA_BASE[[#This Row],[CANTIDAD
(unid.)]]</f>
        <v>0</v>
      </c>
      <c r="W287" s="281">
        <f>TABLA_BASE[[#This Row],[IPM UNIT.
(US$)
✅CF]]*'📋 Datos Generales'!$E$19</f>
        <v>0</v>
      </c>
      <c r="X287" s="281">
        <f>TABLA_BASE[[#This Row],[IPM UNIT.
(S/.)]]*TABLA_BASE[[#This Row],[CANTIDAD
(unid.)]]</f>
        <v>0</v>
      </c>
      <c r="Y287" s="281">
        <f>TABLA_BASE[[#This Row],[IGV UNIT.
(US$)
✅CF]]*'📋 Datos Generales'!$E$19</f>
        <v>0</v>
      </c>
      <c r="Z287" s="281">
        <f>TABLA_BASE[[#This Row],[IGV UNIT.
(S/.)]]*TABLA_BASE[[#This Row],[CANTIDAD
(unid.)]]</f>
        <v>0</v>
      </c>
      <c r="AA287" s="281">
        <f>TABLA_BASE[[#This Row],[PERCEP.
UNIT.(US$)
✅CF]]*'📋 Datos Generales'!$E$19</f>
        <v>0</v>
      </c>
      <c r="AB287" s="281">
        <f>TABLA_BASE[[#This Row],[PERCEP.
UNIT.(S/.)]]*TABLA_BASE[[#This Row],[CANTIDAD
(unid.)]]</f>
        <v>0</v>
      </c>
      <c r="AC287" s="279">
        <f>TABLA_BASE[[#This Row],[ADV UNIT.
(US$)
⚠️COSTO]]+TABLA_BASE[[#This Row],[IPM UNIT.
(US$)
✅CF]]+TABLA_BASE[[#This Row],[IGV UNIT.
(US$)
✅CF]]+TABLA_BASE[[#This Row],[PERCEP.
UNIT.(US$)
✅CF]]</f>
        <v>0</v>
      </c>
      <c r="AD287" s="279">
        <f>TABLA_BASE[[#This Row],[TOTAL PAGO
SUNAT
UNIT.(US$)]]*TABLA_BASE[[#This Row],[CANTIDAD
(unid.)]]</f>
        <v>0</v>
      </c>
      <c r="AE287" s="281">
        <f>TABLA_BASE[[#This Row],[TOTAL PAGO
SUNAT
UNIT.(US$)]]*'📋 Datos Generales'!$E$19</f>
        <v>0</v>
      </c>
      <c r="AF287" s="281">
        <f>TABLA_BASE[[#This Row],[TOTAL TRIB.
UNIT.(S/.)]]*TABLA_BASE[[#This Row],[CANTIDAD
(unid.)]]</f>
        <v>0</v>
      </c>
      <c r="AG287" s="279">
        <f>IF('🧾 Factura Comercial'!G291=0,0,'📦 Gastos Importación'!$E$28*(IF('🧾 Tributos Aduana'!$F$6=0,0,'🧾 Factura Comercial'!I291/'🧾 Tributos Aduana'!$F$6))/'🧾 Factura Comercial'!G291)</f>
        <v>0</v>
      </c>
      <c r="AH287" s="279">
        <f>TABLA_BASE[[#This Row],[GASTOS IMP.
UNIT.(US$)]]*TABLA_BASE[[#This Row],[CANTIDAD
(unid.)]]</f>
        <v>0</v>
      </c>
      <c r="AI287" s="281">
        <f>TABLA_BASE[[#This Row],[GASTOS IMP.
UNIT.(US$)]]*'📋 Datos Generales'!$E$19</f>
        <v>0</v>
      </c>
      <c r="AJ287" s="281">
        <f>TABLA_BASE[[#This Row],[GASTOS IMP.
UNIT.(S/.)]]*TABLA_BASE[[#This Row],[CANTIDAD
(unid.)]]</f>
        <v>0</v>
      </c>
      <c r="AK287" s="280">
        <f>'🧮 Costos x Producto'!J291</f>
        <v>0</v>
      </c>
      <c r="AL287" s="278">
        <f>'🧮 Costos x Producto'!K291</f>
        <v>0</v>
      </c>
      <c r="AM287" s="278">
        <f>TABLA_BASE[[#This Row],[C/M UNIT.
(S/.)]]*TABLA_BASE[[#This Row],[CANTIDAD
(unid.)]]</f>
        <v>0</v>
      </c>
      <c r="AN287" s="279">
        <f>IF('🧾 Factura Comercial'!G291=0,0,'🧾 Tributos Aduana'!$F$17*(IF('🧾 Tributos Aduana'!$F$6=0,0,'🧾 Factura Comercial'!I291/'🧾 Tributos Aduana'!$F$6))/'🧾 Factura Comercial'!G291)</f>
        <v>0</v>
      </c>
      <c r="AO287" s="280">
        <f>IF('🧾 Factura Comercial'!G291=0,0,'🏦 Crédito Fiscal'!$C$16*(IF('🧾 Tributos Aduana'!$F$6=0,0,'🧾 Factura Comercial'!I291/'🧾 Tributos Aduana'!$F$6))/'🧾 Factura Comercial'!G291)</f>
        <v>0</v>
      </c>
      <c r="AP287" s="278">
        <f>TABLA_BASE[[#This Row],[CF UNIT.
✅RECUP.
(US$)]]*'📋 Datos Generales'!$E$19</f>
        <v>0</v>
      </c>
      <c r="AQ287" s="278">
        <f>TABLA_BASE[[#This Row],[CF UNIT.
✅RECUP.(S/.)]]*TABLA_BASE[[#This Row],[CANTIDAD
(unid.)]]</f>
        <v>0</v>
      </c>
      <c r="AR287" s="288">
        <f>'💰 Precio de Venta'!G292</f>
        <v>0.4</v>
      </c>
      <c r="AS287" s="278">
        <f>'💰 Precio de Venta'!H292</f>
        <v>0</v>
      </c>
      <c r="AT287" s="278">
        <f>TABLA_BASE[[#This Row],[VALOR VTA.
UNIT.(S/.)]]*TABLA_BASE[[#This Row],[CANTIDAD
(unid.)]]</f>
        <v>0</v>
      </c>
      <c r="AU287" s="281">
        <f>'💰 Precio de Venta'!I292</f>
        <v>0</v>
      </c>
      <c r="AV287" s="278">
        <f>'💰 Precio de Venta'!J292</f>
        <v>0</v>
      </c>
      <c r="AW287" s="278">
        <f>TABLA_BASE[[#This Row],[GANANCIA
UNIT.(S/.)]]*TABLA_BASE[[#This Row],[CANTIDAD
(unid.)]]</f>
        <v>0</v>
      </c>
      <c r="AX287" s="289">
        <f>'💰 Precio de Venta'!K292</f>
        <v>0</v>
      </c>
      <c r="AY287" s="278">
        <f>TABLA_BASE[[#This Row],[GANANCIA
UNIT.(S/.)]]*'🧾 Factura Comercial'!G291</f>
        <v>0</v>
      </c>
      <c r="AZ287" s="277">
        <f>IF(TABLA_BASE[[#This Row],[PRECIO VTA.
c/IGV(S/.)]]=0,0,TABLA_BASE[[#This Row],[GANANCIA
UNIT.(S/.)]]/TABLA_BASE[[#This Row],[PRECIO VTA.
c/IGV(S/.)]])</f>
        <v>0</v>
      </c>
      <c r="BA287" s="277">
        <f>IF(TABLA_BASE[[#This Row],[C/M UNIT.
(S/.)]]=0,0,TABLA_BASE[[#This Row],[GANANCIA
UNIT.(S/.)]]/TABLA_BASE[[#This Row],[C/M UNIT.
(S/.)]])</f>
        <v>0</v>
      </c>
      <c r="BB287" s="274" t="str">
        <f>IF(TABLA_BASE[[#This Row],[MARGEN
%]]&gt;=0.5,"🟢 ALTO",IF(TABLA_BASE[[#This Row],[MARGEN
%]]&gt;=0.3,"🟡 MEDIO","🔴 BAJO"))</f>
        <v>🟡 MEDIO</v>
      </c>
    </row>
    <row r="288" spans="1:54" ht="16.5" hidden="1" thickTop="1" thickBot="1" x14ac:dyDescent="0.3">
      <c r="A288" s="274">
        <f>'🧾 Factura Comercial'!E292</f>
        <v>0</v>
      </c>
      <c r="B288" s="274" t="str">
        <f>'🧾 Factura Comercial'!F292</f>
        <v>Unid.</v>
      </c>
      <c r="C288" s="275">
        <f>'🧾 Factura Comercial'!G292</f>
        <v>0</v>
      </c>
      <c r="D288" s="276">
        <f>'🧾 Factura Comercial'!H292</f>
        <v>0</v>
      </c>
      <c r="E288" s="276">
        <f>'🧾 Factura Comercial'!I292</f>
        <v>0</v>
      </c>
      <c r="F288" s="277">
        <f>IF('🧾 Tributos Aduana'!$F$6=0,0,'🧾 Factura Comercial'!I292/'🧾 Tributos Aduana'!$F$6)</f>
        <v>0</v>
      </c>
      <c r="G288" s="278">
        <f>'🧾 Factura Comercial'!H292*'📋 Datos Generales'!$E$19</f>
        <v>0</v>
      </c>
      <c r="H288" s="278">
        <f>TABLA_BASE[[#This Row],[FOB UNIT.
(S/.)]]*TABLA_BASE[[#This Row],[CANTIDAD
(unid.)]]</f>
        <v>0</v>
      </c>
      <c r="I288" s="280">
        <f>IF('🧾 Tributos Aduana'!$F$6=0,0,'🧾 Tributos Aduana'!$F$17*('🧾 Factura Comercial'!H292/'🧾 Tributos Aduana'!$F$6))</f>
        <v>0</v>
      </c>
      <c r="J288" s="280">
        <f>TABLA_BASE[[#This Row],[ADV UNIT.
(US$)
⚠️COSTO]]*TABLA_BASE[[#This Row],[CANTIDAD
(unid.)]]</f>
        <v>0</v>
      </c>
      <c r="K288" s="279">
        <f>IF('🧾 Tributos Aduana'!$F$6=0,0,'🧾 Tributos Aduana'!$F$18*('🧾 Factura Comercial'!H292/'🧾 Tributos Aduana'!$F$6))</f>
        <v>0</v>
      </c>
      <c r="L288" s="280">
        <f>TABLA_BASE[[#This Row],[IPM UNIT.
(US$)
✅CF]]*TABLA_BASE[[#This Row],[CANTIDAD
(unid.)]]</f>
        <v>0</v>
      </c>
      <c r="M288" s="279">
        <f>IF('🧾 Tributos Aduana'!$F$6=0,0,'🧾 Tributos Aduana'!$F$19*('🧾 Factura Comercial'!H292/'🧾 Tributos Aduana'!$F$6))</f>
        <v>0</v>
      </c>
      <c r="N288" s="280">
        <f>TABLA_BASE[[#This Row],[IGV UNIT.
(US$)
✅CF]]*TABLA_BASE[[#This Row],[CANTIDAD
(unid.)]]</f>
        <v>0</v>
      </c>
      <c r="O288" s="280">
        <f>IF('🧾 Tributos Aduana'!$F$6=0,0,'🧾 Tributos Aduana'!$F$23*('🧾 Factura Comercial'!H292/'🧾 Tributos Aduana'!$F$6))</f>
        <v>0</v>
      </c>
      <c r="P288" s="280">
        <f>TABLA_BASE[[#This Row],[PERCEP.
UNIT.(US$)
✅CF]]*TABLA_BASE[[#This Row],[CANTIDAD
(unid.)]]</f>
        <v>0</v>
      </c>
      <c r="Q288" s="279">
        <f>TABLA_BASE[[#This Row],[ADV UNIT.
(US$)
⚠️COSTO]]+TABLA_BASE[[#This Row],[IPM UNIT.
(US$)
✅CF]]+TABLA_BASE[[#This Row],[IGV UNIT.
(US$)
✅CF]]</f>
        <v>0</v>
      </c>
      <c r="R288" s="280">
        <f>TABLA_BASE[[#This Row],[DEUDA
ADUANERA
UNIT.]]*TABLA_BASE[[#This Row],[CANTIDAD
(unid.)]]</f>
        <v>0</v>
      </c>
      <c r="S288" s="278">
        <f>TABLA_BASE[[#This Row],[DEUDA
ADUANERA
UNIT.]]*'📋 Datos Generales'!$E$19</f>
        <v>0</v>
      </c>
      <c r="T288" s="278">
        <f>TABLA_BASE[[#This Row],[DEUDA
ADUANERA
TOTAL]]*'📋 Datos Generales'!$E$19</f>
        <v>0</v>
      </c>
      <c r="U288" s="281">
        <f>TABLA_BASE[[#This Row],[ADV UNIT.
(US$)
⚠️COSTO]]*'📋 Datos Generales'!$E$19</f>
        <v>0</v>
      </c>
      <c r="V288" s="281">
        <f>TABLA_BASE[[#This Row],[ADV UNIT.
(S/.)]]*TABLA_BASE[[#This Row],[CANTIDAD
(unid.)]]</f>
        <v>0</v>
      </c>
      <c r="W288" s="281">
        <f>TABLA_BASE[[#This Row],[IPM UNIT.
(US$)
✅CF]]*'📋 Datos Generales'!$E$19</f>
        <v>0</v>
      </c>
      <c r="X288" s="281">
        <f>TABLA_BASE[[#This Row],[IPM UNIT.
(S/.)]]*TABLA_BASE[[#This Row],[CANTIDAD
(unid.)]]</f>
        <v>0</v>
      </c>
      <c r="Y288" s="281">
        <f>TABLA_BASE[[#This Row],[IGV UNIT.
(US$)
✅CF]]*'📋 Datos Generales'!$E$19</f>
        <v>0</v>
      </c>
      <c r="Z288" s="281">
        <f>TABLA_BASE[[#This Row],[IGV UNIT.
(S/.)]]*TABLA_BASE[[#This Row],[CANTIDAD
(unid.)]]</f>
        <v>0</v>
      </c>
      <c r="AA288" s="281">
        <f>TABLA_BASE[[#This Row],[PERCEP.
UNIT.(US$)
✅CF]]*'📋 Datos Generales'!$E$19</f>
        <v>0</v>
      </c>
      <c r="AB288" s="281">
        <f>TABLA_BASE[[#This Row],[PERCEP.
UNIT.(S/.)]]*TABLA_BASE[[#This Row],[CANTIDAD
(unid.)]]</f>
        <v>0</v>
      </c>
      <c r="AC288" s="279">
        <f>TABLA_BASE[[#This Row],[ADV UNIT.
(US$)
⚠️COSTO]]+TABLA_BASE[[#This Row],[IPM UNIT.
(US$)
✅CF]]+TABLA_BASE[[#This Row],[IGV UNIT.
(US$)
✅CF]]+TABLA_BASE[[#This Row],[PERCEP.
UNIT.(US$)
✅CF]]</f>
        <v>0</v>
      </c>
      <c r="AD288" s="279">
        <f>TABLA_BASE[[#This Row],[TOTAL PAGO
SUNAT
UNIT.(US$)]]*TABLA_BASE[[#This Row],[CANTIDAD
(unid.)]]</f>
        <v>0</v>
      </c>
      <c r="AE288" s="281">
        <f>TABLA_BASE[[#This Row],[TOTAL PAGO
SUNAT
UNIT.(US$)]]*'📋 Datos Generales'!$E$19</f>
        <v>0</v>
      </c>
      <c r="AF288" s="281">
        <f>TABLA_BASE[[#This Row],[TOTAL TRIB.
UNIT.(S/.)]]*TABLA_BASE[[#This Row],[CANTIDAD
(unid.)]]</f>
        <v>0</v>
      </c>
      <c r="AG288" s="279">
        <f>IF('🧾 Factura Comercial'!G292=0,0,'📦 Gastos Importación'!$E$28*(IF('🧾 Tributos Aduana'!$F$6=0,0,'🧾 Factura Comercial'!I292/'🧾 Tributos Aduana'!$F$6))/'🧾 Factura Comercial'!G292)</f>
        <v>0</v>
      </c>
      <c r="AH288" s="279">
        <f>TABLA_BASE[[#This Row],[GASTOS IMP.
UNIT.(US$)]]*TABLA_BASE[[#This Row],[CANTIDAD
(unid.)]]</f>
        <v>0</v>
      </c>
      <c r="AI288" s="281">
        <f>TABLA_BASE[[#This Row],[GASTOS IMP.
UNIT.(US$)]]*'📋 Datos Generales'!$E$19</f>
        <v>0</v>
      </c>
      <c r="AJ288" s="281">
        <f>TABLA_BASE[[#This Row],[GASTOS IMP.
UNIT.(S/.)]]*TABLA_BASE[[#This Row],[CANTIDAD
(unid.)]]</f>
        <v>0</v>
      </c>
      <c r="AK288" s="280">
        <f>'🧮 Costos x Producto'!J292</f>
        <v>0</v>
      </c>
      <c r="AL288" s="278">
        <f>'🧮 Costos x Producto'!K292</f>
        <v>0</v>
      </c>
      <c r="AM288" s="278">
        <f>TABLA_BASE[[#This Row],[C/M UNIT.
(S/.)]]*TABLA_BASE[[#This Row],[CANTIDAD
(unid.)]]</f>
        <v>0</v>
      </c>
      <c r="AN288" s="279">
        <f>IF('🧾 Factura Comercial'!G292=0,0,'🧾 Tributos Aduana'!$F$17*(IF('🧾 Tributos Aduana'!$F$6=0,0,'🧾 Factura Comercial'!I292/'🧾 Tributos Aduana'!$F$6))/'🧾 Factura Comercial'!G292)</f>
        <v>0</v>
      </c>
      <c r="AO288" s="280">
        <f>IF('🧾 Factura Comercial'!G292=0,0,'🏦 Crédito Fiscal'!$C$16*(IF('🧾 Tributos Aduana'!$F$6=0,0,'🧾 Factura Comercial'!I292/'🧾 Tributos Aduana'!$F$6))/'🧾 Factura Comercial'!G292)</f>
        <v>0</v>
      </c>
      <c r="AP288" s="278">
        <f>TABLA_BASE[[#This Row],[CF UNIT.
✅RECUP.
(US$)]]*'📋 Datos Generales'!$E$19</f>
        <v>0</v>
      </c>
      <c r="AQ288" s="278">
        <f>TABLA_BASE[[#This Row],[CF UNIT.
✅RECUP.(S/.)]]*TABLA_BASE[[#This Row],[CANTIDAD
(unid.)]]</f>
        <v>0</v>
      </c>
      <c r="AR288" s="288">
        <f>'💰 Precio de Venta'!G293</f>
        <v>0.4</v>
      </c>
      <c r="AS288" s="278">
        <f>'💰 Precio de Venta'!H293</f>
        <v>0</v>
      </c>
      <c r="AT288" s="278">
        <f>TABLA_BASE[[#This Row],[VALOR VTA.
UNIT.(S/.)]]*TABLA_BASE[[#This Row],[CANTIDAD
(unid.)]]</f>
        <v>0</v>
      </c>
      <c r="AU288" s="281">
        <f>'💰 Precio de Venta'!I293</f>
        <v>0</v>
      </c>
      <c r="AV288" s="278">
        <f>'💰 Precio de Venta'!J293</f>
        <v>0</v>
      </c>
      <c r="AW288" s="278">
        <f>TABLA_BASE[[#This Row],[GANANCIA
UNIT.(S/.)]]*TABLA_BASE[[#This Row],[CANTIDAD
(unid.)]]</f>
        <v>0</v>
      </c>
      <c r="AX288" s="289">
        <f>'💰 Precio de Venta'!K293</f>
        <v>0</v>
      </c>
      <c r="AY288" s="278">
        <f>TABLA_BASE[[#This Row],[GANANCIA
UNIT.(S/.)]]*'🧾 Factura Comercial'!G292</f>
        <v>0</v>
      </c>
      <c r="AZ288" s="277">
        <f>IF(TABLA_BASE[[#This Row],[PRECIO VTA.
c/IGV(S/.)]]=0,0,TABLA_BASE[[#This Row],[GANANCIA
UNIT.(S/.)]]/TABLA_BASE[[#This Row],[PRECIO VTA.
c/IGV(S/.)]])</f>
        <v>0</v>
      </c>
      <c r="BA288" s="277">
        <f>IF(TABLA_BASE[[#This Row],[C/M UNIT.
(S/.)]]=0,0,TABLA_BASE[[#This Row],[GANANCIA
UNIT.(S/.)]]/TABLA_BASE[[#This Row],[C/M UNIT.
(S/.)]])</f>
        <v>0</v>
      </c>
      <c r="BB288" s="274" t="str">
        <f>IF(TABLA_BASE[[#This Row],[MARGEN
%]]&gt;=0.5,"🟢 ALTO",IF(TABLA_BASE[[#This Row],[MARGEN
%]]&gt;=0.3,"🟡 MEDIO","🔴 BAJO"))</f>
        <v>🟡 MEDIO</v>
      </c>
    </row>
    <row r="289" spans="1:54" ht="16.5" hidden="1" thickTop="1" thickBot="1" x14ac:dyDescent="0.3">
      <c r="A289" s="274">
        <f>'🧾 Factura Comercial'!E293</f>
        <v>0</v>
      </c>
      <c r="B289" s="274" t="str">
        <f>'🧾 Factura Comercial'!F293</f>
        <v>Unid.</v>
      </c>
      <c r="C289" s="275">
        <f>'🧾 Factura Comercial'!G293</f>
        <v>0</v>
      </c>
      <c r="D289" s="276">
        <f>'🧾 Factura Comercial'!H293</f>
        <v>0</v>
      </c>
      <c r="E289" s="276">
        <f>'🧾 Factura Comercial'!I293</f>
        <v>0</v>
      </c>
      <c r="F289" s="277">
        <f>IF('🧾 Tributos Aduana'!$F$6=0,0,'🧾 Factura Comercial'!I293/'🧾 Tributos Aduana'!$F$6)</f>
        <v>0</v>
      </c>
      <c r="G289" s="278">
        <f>'🧾 Factura Comercial'!H293*'📋 Datos Generales'!$E$19</f>
        <v>0</v>
      </c>
      <c r="H289" s="278">
        <f>TABLA_BASE[[#This Row],[FOB UNIT.
(S/.)]]*TABLA_BASE[[#This Row],[CANTIDAD
(unid.)]]</f>
        <v>0</v>
      </c>
      <c r="I289" s="280">
        <f>IF('🧾 Tributos Aduana'!$F$6=0,0,'🧾 Tributos Aduana'!$F$17*('🧾 Factura Comercial'!H293/'🧾 Tributos Aduana'!$F$6))</f>
        <v>0</v>
      </c>
      <c r="J289" s="280">
        <f>TABLA_BASE[[#This Row],[ADV UNIT.
(US$)
⚠️COSTO]]*TABLA_BASE[[#This Row],[CANTIDAD
(unid.)]]</f>
        <v>0</v>
      </c>
      <c r="K289" s="279">
        <f>IF('🧾 Tributos Aduana'!$F$6=0,0,'🧾 Tributos Aduana'!$F$18*('🧾 Factura Comercial'!H293/'🧾 Tributos Aduana'!$F$6))</f>
        <v>0</v>
      </c>
      <c r="L289" s="280">
        <f>TABLA_BASE[[#This Row],[IPM UNIT.
(US$)
✅CF]]*TABLA_BASE[[#This Row],[CANTIDAD
(unid.)]]</f>
        <v>0</v>
      </c>
      <c r="M289" s="279">
        <f>IF('🧾 Tributos Aduana'!$F$6=0,0,'🧾 Tributos Aduana'!$F$19*('🧾 Factura Comercial'!H293/'🧾 Tributos Aduana'!$F$6))</f>
        <v>0</v>
      </c>
      <c r="N289" s="280">
        <f>TABLA_BASE[[#This Row],[IGV UNIT.
(US$)
✅CF]]*TABLA_BASE[[#This Row],[CANTIDAD
(unid.)]]</f>
        <v>0</v>
      </c>
      <c r="O289" s="280">
        <f>IF('🧾 Tributos Aduana'!$F$6=0,0,'🧾 Tributos Aduana'!$F$23*('🧾 Factura Comercial'!H293/'🧾 Tributos Aduana'!$F$6))</f>
        <v>0</v>
      </c>
      <c r="P289" s="280">
        <f>TABLA_BASE[[#This Row],[PERCEP.
UNIT.(US$)
✅CF]]*TABLA_BASE[[#This Row],[CANTIDAD
(unid.)]]</f>
        <v>0</v>
      </c>
      <c r="Q289" s="279">
        <f>TABLA_BASE[[#This Row],[ADV UNIT.
(US$)
⚠️COSTO]]+TABLA_BASE[[#This Row],[IPM UNIT.
(US$)
✅CF]]+TABLA_BASE[[#This Row],[IGV UNIT.
(US$)
✅CF]]</f>
        <v>0</v>
      </c>
      <c r="R289" s="280">
        <f>TABLA_BASE[[#This Row],[DEUDA
ADUANERA
UNIT.]]*TABLA_BASE[[#This Row],[CANTIDAD
(unid.)]]</f>
        <v>0</v>
      </c>
      <c r="S289" s="278">
        <f>TABLA_BASE[[#This Row],[DEUDA
ADUANERA
UNIT.]]*'📋 Datos Generales'!$E$19</f>
        <v>0</v>
      </c>
      <c r="T289" s="278">
        <f>TABLA_BASE[[#This Row],[DEUDA
ADUANERA
TOTAL]]*'📋 Datos Generales'!$E$19</f>
        <v>0</v>
      </c>
      <c r="U289" s="281">
        <f>TABLA_BASE[[#This Row],[ADV UNIT.
(US$)
⚠️COSTO]]*'📋 Datos Generales'!$E$19</f>
        <v>0</v>
      </c>
      <c r="V289" s="281">
        <f>TABLA_BASE[[#This Row],[ADV UNIT.
(S/.)]]*TABLA_BASE[[#This Row],[CANTIDAD
(unid.)]]</f>
        <v>0</v>
      </c>
      <c r="W289" s="281">
        <f>TABLA_BASE[[#This Row],[IPM UNIT.
(US$)
✅CF]]*'📋 Datos Generales'!$E$19</f>
        <v>0</v>
      </c>
      <c r="X289" s="281">
        <f>TABLA_BASE[[#This Row],[IPM UNIT.
(S/.)]]*TABLA_BASE[[#This Row],[CANTIDAD
(unid.)]]</f>
        <v>0</v>
      </c>
      <c r="Y289" s="281">
        <f>TABLA_BASE[[#This Row],[IGV UNIT.
(US$)
✅CF]]*'📋 Datos Generales'!$E$19</f>
        <v>0</v>
      </c>
      <c r="Z289" s="281">
        <f>TABLA_BASE[[#This Row],[IGV UNIT.
(S/.)]]*TABLA_BASE[[#This Row],[CANTIDAD
(unid.)]]</f>
        <v>0</v>
      </c>
      <c r="AA289" s="281">
        <f>TABLA_BASE[[#This Row],[PERCEP.
UNIT.(US$)
✅CF]]*'📋 Datos Generales'!$E$19</f>
        <v>0</v>
      </c>
      <c r="AB289" s="281">
        <f>TABLA_BASE[[#This Row],[PERCEP.
UNIT.(S/.)]]*TABLA_BASE[[#This Row],[CANTIDAD
(unid.)]]</f>
        <v>0</v>
      </c>
      <c r="AC289" s="279">
        <f>TABLA_BASE[[#This Row],[ADV UNIT.
(US$)
⚠️COSTO]]+TABLA_BASE[[#This Row],[IPM UNIT.
(US$)
✅CF]]+TABLA_BASE[[#This Row],[IGV UNIT.
(US$)
✅CF]]+TABLA_BASE[[#This Row],[PERCEP.
UNIT.(US$)
✅CF]]</f>
        <v>0</v>
      </c>
      <c r="AD289" s="279">
        <f>TABLA_BASE[[#This Row],[TOTAL PAGO
SUNAT
UNIT.(US$)]]*TABLA_BASE[[#This Row],[CANTIDAD
(unid.)]]</f>
        <v>0</v>
      </c>
      <c r="AE289" s="281">
        <f>TABLA_BASE[[#This Row],[TOTAL PAGO
SUNAT
UNIT.(US$)]]*'📋 Datos Generales'!$E$19</f>
        <v>0</v>
      </c>
      <c r="AF289" s="281">
        <f>TABLA_BASE[[#This Row],[TOTAL TRIB.
UNIT.(S/.)]]*TABLA_BASE[[#This Row],[CANTIDAD
(unid.)]]</f>
        <v>0</v>
      </c>
      <c r="AG289" s="279">
        <f>IF('🧾 Factura Comercial'!G293=0,0,'📦 Gastos Importación'!$E$28*(IF('🧾 Tributos Aduana'!$F$6=0,0,'🧾 Factura Comercial'!I293/'🧾 Tributos Aduana'!$F$6))/'🧾 Factura Comercial'!G293)</f>
        <v>0</v>
      </c>
      <c r="AH289" s="279">
        <f>TABLA_BASE[[#This Row],[GASTOS IMP.
UNIT.(US$)]]*TABLA_BASE[[#This Row],[CANTIDAD
(unid.)]]</f>
        <v>0</v>
      </c>
      <c r="AI289" s="281">
        <f>TABLA_BASE[[#This Row],[GASTOS IMP.
UNIT.(US$)]]*'📋 Datos Generales'!$E$19</f>
        <v>0</v>
      </c>
      <c r="AJ289" s="281">
        <f>TABLA_BASE[[#This Row],[GASTOS IMP.
UNIT.(S/.)]]*TABLA_BASE[[#This Row],[CANTIDAD
(unid.)]]</f>
        <v>0</v>
      </c>
      <c r="AK289" s="280">
        <f>'🧮 Costos x Producto'!J293</f>
        <v>0</v>
      </c>
      <c r="AL289" s="278">
        <f>'🧮 Costos x Producto'!K293</f>
        <v>0</v>
      </c>
      <c r="AM289" s="278">
        <f>TABLA_BASE[[#This Row],[C/M UNIT.
(S/.)]]*TABLA_BASE[[#This Row],[CANTIDAD
(unid.)]]</f>
        <v>0</v>
      </c>
      <c r="AN289" s="279">
        <f>IF('🧾 Factura Comercial'!G293=0,0,'🧾 Tributos Aduana'!$F$17*(IF('🧾 Tributos Aduana'!$F$6=0,0,'🧾 Factura Comercial'!I293/'🧾 Tributos Aduana'!$F$6))/'🧾 Factura Comercial'!G293)</f>
        <v>0</v>
      </c>
      <c r="AO289" s="280">
        <f>IF('🧾 Factura Comercial'!G293=0,0,'🏦 Crédito Fiscal'!$C$16*(IF('🧾 Tributos Aduana'!$F$6=0,0,'🧾 Factura Comercial'!I293/'🧾 Tributos Aduana'!$F$6))/'🧾 Factura Comercial'!G293)</f>
        <v>0</v>
      </c>
      <c r="AP289" s="278">
        <f>TABLA_BASE[[#This Row],[CF UNIT.
✅RECUP.
(US$)]]*'📋 Datos Generales'!$E$19</f>
        <v>0</v>
      </c>
      <c r="AQ289" s="278">
        <f>TABLA_BASE[[#This Row],[CF UNIT.
✅RECUP.(S/.)]]*TABLA_BASE[[#This Row],[CANTIDAD
(unid.)]]</f>
        <v>0</v>
      </c>
      <c r="AR289" s="288">
        <f>'💰 Precio de Venta'!G294</f>
        <v>0.4</v>
      </c>
      <c r="AS289" s="278">
        <f>'💰 Precio de Venta'!H294</f>
        <v>0</v>
      </c>
      <c r="AT289" s="278">
        <f>TABLA_BASE[[#This Row],[VALOR VTA.
UNIT.(S/.)]]*TABLA_BASE[[#This Row],[CANTIDAD
(unid.)]]</f>
        <v>0</v>
      </c>
      <c r="AU289" s="281">
        <f>'💰 Precio de Venta'!I294</f>
        <v>0</v>
      </c>
      <c r="AV289" s="278">
        <f>'💰 Precio de Venta'!J294</f>
        <v>0</v>
      </c>
      <c r="AW289" s="278">
        <f>TABLA_BASE[[#This Row],[GANANCIA
UNIT.(S/.)]]*TABLA_BASE[[#This Row],[CANTIDAD
(unid.)]]</f>
        <v>0</v>
      </c>
      <c r="AX289" s="289">
        <f>'💰 Precio de Venta'!K294</f>
        <v>0</v>
      </c>
      <c r="AY289" s="278">
        <f>TABLA_BASE[[#This Row],[GANANCIA
UNIT.(S/.)]]*'🧾 Factura Comercial'!G293</f>
        <v>0</v>
      </c>
      <c r="AZ289" s="277">
        <f>IF(TABLA_BASE[[#This Row],[PRECIO VTA.
c/IGV(S/.)]]=0,0,TABLA_BASE[[#This Row],[GANANCIA
UNIT.(S/.)]]/TABLA_BASE[[#This Row],[PRECIO VTA.
c/IGV(S/.)]])</f>
        <v>0</v>
      </c>
      <c r="BA289" s="277">
        <f>IF(TABLA_BASE[[#This Row],[C/M UNIT.
(S/.)]]=0,0,TABLA_BASE[[#This Row],[GANANCIA
UNIT.(S/.)]]/TABLA_BASE[[#This Row],[C/M UNIT.
(S/.)]])</f>
        <v>0</v>
      </c>
      <c r="BB289" s="274" t="str">
        <f>IF(TABLA_BASE[[#This Row],[MARGEN
%]]&gt;=0.5,"🟢 ALTO",IF(TABLA_BASE[[#This Row],[MARGEN
%]]&gt;=0.3,"🟡 MEDIO","🔴 BAJO"))</f>
        <v>🟡 MEDIO</v>
      </c>
    </row>
    <row r="290" spans="1:54" ht="16.5" hidden="1" thickTop="1" thickBot="1" x14ac:dyDescent="0.3">
      <c r="A290" s="274">
        <f>'🧾 Factura Comercial'!E294</f>
        <v>0</v>
      </c>
      <c r="B290" s="274" t="str">
        <f>'🧾 Factura Comercial'!F294</f>
        <v>Unid.</v>
      </c>
      <c r="C290" s="275">
        <f>'🧾 Factura Comercial'!G294</f>
        <v>0</v>
      </c>
      <c r="D290" s="276">
        <f>'🧾 Factura Comercial'!H294</f>
        <v>0</v>
      </c>
      <c r="E290" s="276">
        <f>'🧾 Factura Comercial'!I294</f>
        <v>0</v>
      </c>
      <c r="F290" s="277">
        <f>IF('🧾 Tributos Aduana'!$F$6=0,0,'🧾 Factura Comercial'!I294/'🧾 Tributos Aduana'!$F$6)</f>
        <v>0</v>
      </c>
      <c r="G290" s="278">
        <f>'🧾 Factura Comercial'!H294*'📋 Datos Generales'!$E$19</f>
        <v>0</v>
      </c>
      <c r="H290" s="278">
        <f>TABLA_BASE[[#This Row],[FOB UNIT.
(S/.)]]*TABLA_BASE[[#This Row],[CANTIDAD
(unid.)]]</f>
        <v>0</v>
      </c>
      <c r="I290" s="280">
        <f>IF('🧾 Tributos Aduana'!$F$6=0,0,'🧾 Tributos Aduana'!$F$17*('🧾 Factura Comercial'!H294/'🧾 Tributos Aduana'!$F$6))</f>
        <v>0</v>
      </c>
      <c r="J290" s="280">
        <f>TABLA_BASE[[#This Row],[ADV UNIT.
(US$)
⚠️COSTO]]*TABLA_BASE[[#This Row],[CANTIDAD
(unid.)]]</f>
        <v>0</v>
      </c>
      <c r="K290" s="279">
        <f>IF('🧾 Tributos Aduana'!$F$6=0,0,'🧾 Tributos Aduana'!$F$18*('🧾 Factura Comercial'!H294/'🧾 Tributos Aduana'!$F$6))</f>
        <v>0</v>
      </c>
      <c r="L290" s="280">
        <f>TABLA_BASE[[#This Row],[IPM UNIT.
(US$)
✅CF]]*TABLA_BASE[[#This Row],[CANTIDAD
(unid.)]]</f>
        <v>0</v>
      </c>
      <c r="M290" s="279">
        <f>IF('🧾 Tributos Aduana'!$F$6=0,0,'🧾 Tributos Aduana'!$F$19*('🧾 Factura Comercial'!H294/'🧾 Tributos Aduana'!$F$6))</f>
        <v>0</v>
      </c>
      <c r="N290" s="280">
        <f>TABLA_BASE[[#This Row],[IGV UNIT.
(US$)
✅CF]]*TABLA_BASE[[#This Row],[CANTIDAD
(unid.)]]</f>
        <v>0</v>
      </c>
      <c r="O290" s="280">
        <f>IF('🧾 Tributos Aduana'!$F$6=0,0,'🧾 Tributos Aduana'!$F$23*('🧾 Factura Comercial'!H294/'🧾 Tributos Aduana'!$F$6))</f>
        <v>0</v>
      </c>
      <c r="P290" s="280">
        <f>TABLA_BASE[[#This Row],[PERCEP.
UNIT.(US$)
✅CF]]*TABLA_BASE[[#This Row],[CANTIDAD
(unid.)]]</f>
        <v>0</v>
      </c>
      <c r="Q290" s="279">
        <f>TABLA_BASE[[#This Row],[ADV UNIT.
(US$)
⚠️COSTO]]+TABLA_BASE[[#This Row],[IPM UNIT.
(US$)
✅CF]]+TABLA_BASE[[#This Row],[IGV UNIT.
(US$)
✅CF]]</f>
        <v>0</v>
      </c>
      <c r="R290" s="280">
        <f>TABLA_BASE[[#This Row],[DEUDA
ADUANERA
UNIT.]]*TABLA_BASE[[#This Row],[CANTIDAD
(unid.)]]</f>
        <v>0</v>
      </c>
      <c r="S290" s="278">
        <f>TABLA_BASE[[#This Row],[DEUDA
ADUANERA
UNIT.]]*'📋 Datos Generales'!$E$19</f>
        <v>0</v>
      </c>
      <c r="T290" s="278">
        <f>TABLA_BASE[[#This Row],[DEUDA
ADUANERA
TOTAL]]*'📋 Datos Generales'!$E$19</f>
        <v>0</v>
      </c>
      <c r="U290" s="281">
        <f>TABLA_BASE[[#This Row],[ADV UNIT.
(US$)
⚠️COSTO]]*'📋 Datos Generales'!$E$19</f>
        <v>0</v>
      </c>
      <c r="V290" s="281">
        <f>TABLA_BASE[[#This Row],[ADV UNIT.
(S/.)]]*TABLA_BASE[[#This Row],[CANTIDAD
(unid.)]]</f>
        <v>0</v>
      </c>
      <c r="W290" s="281">
        <f>TABLA_BASE[[#This Row],[IPM UNIT.
(US$)
✅CF]]*'📋 Datos Generales'!$E$19</f>
        <v>0</v>
      </c>
      <c r="X290" s="281">
        <f>TABLA_BASE[[#This Row],[IPM UNIT.
(S/.)]]*TABLA_BASE[[#This Row],[CANTIDAD
(unid.)]]</f>
        <v>0</v>
      </c>
      <c r="Y290" s="281">
        <f>TABLA_BASE[[#This Row],[IGV UNIT.
(US$)
✅CF]]*'📋 Datos Generales'!$E$19</f>
        <v>0</v>
      </c>
      <c r="Z290" s="281">
        <f>TABLA_BASE[[#This Row],[IGV UNIT.
(S/.)]]*TABLA_BASE[[#This Row],[CANTIDAD
(unid.)]]</f>
        <v>0</v>
      </c>
      <c r="AA290" s="281">
        <f>TABLA_BASE[[#This Row],[PERCEP.
UNIT.(US$)
✅CF]]*'📋 Datos Generales'!$E$19</f>
        <v>0</v>
      </c>
      <c r="AB290" s="281">
        <f>TABLA_BASE[[#This Row],[PERCEP.
UNIT.(S/.)]]*TABLA_BASE[[#This Row],[CANTIDAD
(unid.)]]</f>
        <v>0</v>
      </c>
      <c r="AC290" s="279">
        <f>TABLA_BASE[[#This Row],[ADV UNIT.
(US$)
⚠️COSTO]]+TABLA_BASE[[#This Row],[IPM UNIT.
(US$)
✅CF]]+TABLA_BASE[[#This Row],[IGV UNIT.
(US$)
✅CF]]+TABLA_BASE[[#This Row],[PERCEP.
UNIT.(US$)
✅CF]]</f>
        <v>0</v>
      </c>
      <c r="AD290" s="279">
        <f>TABLA_BASE[[#This Row],[TOTAL PAGO
SUNAT
UNIT.(US$)]]*TABLA_BASE[[#This Row],[CANTIDAD
(unid.)]]</f>
        <v>0</v>
      </c>
      <c r="AE290" s="281">
        <f>TABLA_BASE[[#This Row],[TOTAL PAGO
SUNAT
UNIT.(US$)]]*'📋 Datos Generales'!$E$19</f>
        <v>0</v>
      </c>
      <c r="AF290" s="281">
        <f>TABLA_BASE[[#This Row],[TOTAL TRIB.
UNIT.(S/.)]]*TABLA_BASE[[#This Row],[CANTIDAD
(unid.)]]</f>
        <v>0</v>
      </c>
      <c r="AG290" s="279">
        <f>IF('🧾 Factura Comercial'!G294=0,0,'📦 Gastos Importación'!$E$28*(IF('🧾 Tributos Aduana'!$F$6=0,0,'🧾 Factura Comercial'!I294/'🧾 Tributos Aduana'!$F$6))/'🧾 Factura Comercial'!G294)</f>
        <v>0</v>
      </c>
      <c r="AH290" s="279">
        <f>TABLA_BASE[[#This Row],[GASTOS IMP.
UNIT.(US$)]]*TABLA_BASE[[#This Row],[CANTIDAD
(unid.)]]</f>
        <v>0</v>
      </c>
      <c r="AI290" s="281">
        <f>TABLA_BASE[[#This Row],[GASTOS IMP.
UNIT.(US$)]]*'📋 Datos Generales'!$E$19</f>
        <v>0</v>
      </c>
      <c r="AJ290" s="281">
        <f>TABLA_BASE[[#This Row],[GASTOS IMP.
UNIT.(S/.)]]*TABLA_BASE[[#This Row],[CANTIDAD
(unid.)]]</f>
        <v>0</v>
      </c>
      <c r="AK290" s="280">
        <f>'🧮 Costos x Producto'!J294</f>
        <v>0</v>
      </c>
      <c r="AL290" s="278">
        <f>'🧮 Costos x Producto'!K294</f>
        <v>0</v>
      </c>
      <c r="AM290" s="278">
        <f>TABLA_BASE[[#This Row],[C/M UNIT.
(S/.)]]*TABLA_BASE[[#This Row],[CANTIDAD
(unid.)]]</f>
        <v>0</v>
      </c>
      <c r="AN290" s="279">
        <f>IF('🧾 Factura Comercial'!G294=0,0,'🧾 Tributos Aduana'!$F$17*(IF('🧾 Tributos Aduana'!$F$6=0,0,'🧾 Factura Comercial'!I294/'🧾 Tributos Aduana'!$F$6))/'🧾 Factura Comercial'!G294)</f>
        <v>0</v>
      </c>
      <c r="AO290" s="280">
        <f>IF('🧾 Factura Comercial'!G294=0,0,'🏦 Crédito Fiscal'!$C$16*(IF('🧾 Tributos Aduana'!$F$6=0,0,'🧾 Factura Comercial'!I294/'🧾 Tributos Aduana'!$F$6))/'🧾 Factura Comercial'!G294)</f>
        <v>0</v>
      </c>
      <c r="AP290" s="278">
        <f>TABLA_BASE[[#This Row],[CF UNIT.
✅RECUP.
(US$)]]*'📋 Datos Generales'!$E$19</f>
        <v>0</v>
      </c>
      <c r="AQ290" s="278">
        <f>TABLA_BASE[[#This Row],[CF UNIT.
✅RECUP.(S/.)]]*TABLA_BASE[[#This Row],[CANTIDAD
(unid.)]]</f>
        <v>0</v>
      </c>
      <c r="AR290" s="288">
        <f>'💰 Precio de Venta'!G295</f>
        <v>0.4</v>
      </c>
      <c r="AS290" s="278">
        <f>'💰 Precio de Venta'!H295</f>
        <v>0</v>
      </c>
      <c r="AT290" s="278">
        <f>TABLA_BASE[[#This Row],[VALOR VTA.
UNIT.(S/.)]]*TABLA_BASE[[#This Row],[CANTIDAD
(unid.)]]</f>
        <v>0</v>
      </c>
      <c r="AU290" s="281">
        <f>'💰 Precio de Venta'!I295</f>
        <v>0</v>
      </c>
      <c r="AV290" s="278">
        <f>'💰 Precio de Venta'!J295</f>
        <v>0</v>
      </c>
      <c r="AW290" s="278">
        <f>TABLA_BASE[[#This Row],[GANANCIA
UNIT.(S/.)]]*TABLA_BASE[[#This Row],[CANTIDAD
(unid.)]]</f>
        <v>0</v>
      </c>
      <c r="AX290" s="289">
        <f>'💰 Precio de Venta'!K295</f>
        <v>0</v>
      </c>
      <c r="AY290" s="278">
        <f>TABLA_BASE[[#This Row],[GANANCIA
UNIT.(S/.)]]*'🧾 Factura Comercial'!G294</f>
        <v>0</v>
      </c>
      <c r="AZ290" s="277">
        <f>IF(TABLA_BASE[[#This Row],[PRECIO VTA.
c/IGV(S/.)]]=0,0,TABLA_BASE[[#This Row],[GANANCIA
UNIT.(S/.)]]/TABLA_BASE[[#This Row],[PRECIO VTA.
c/IGV(S/.)]])</f>
        <v>0</v>
      </c>
      <c r="BA290" s="277">
        <f>IF(TABLA_BASE[[#This Row],[C/M UNIT.
(S/.)]]=0,0,TABLA_BASE[[#This Row],[GANANCIA
UNIT.(S/.)]]/TABLA_BASE[[#This Row],[C/M UNIT.
(S/.)]])</f>
        <v>0</v>
      </c>
      <c r="BB290" s="274" t="str">
        <f>IF(TABLA_BASE[[#This Row],[MARGEN
%]]&gt;=0.5,"🟢 ALTO",IF(TABLA_BASE[[#This Row],[MARGEN
%]]&gt;=0.3,"🟡 MEDIO","🔴 BAJO"))</f>
        <v>🟡 MEDIO</v>
      </c>
    </row>
    <row r="291" spans="1:54" ht="16.5" hidden="1" thickTop="1" thickBot="1" x14ac:dyDescent="0.3">
      <c r="A291" s="274">
        <f>'🧾 Factura Comercial'!E295</f>
        <v>0</v>
      </c>
      <c r="B291" s="274" t="str">
        <f>'🧾 Factura Comercial'!F295</f>
        <v>Unid.</v>
      </c>
      <c r="C291" s="275">
        <f>'🧾 Factura Comercial'!G295</f>
        <v>0</v>
      </c>
      <c r="D291" s="276">
        <f>'🧾 Factura Comercial'!H295</f>
        <v>0</v>
      </c>
      <c r="E291" s="276">
        <f>'🧾 Factura Comercial'!I295</f>
        <v>0</v>
      </c>
      <c r="F291" s="277">
        <f>IF('🧾 Tributos Aduana'!$F$6=0,0,'🧾 Factura Comercial'!I295/'🧾 Tributos Aduana'!$F$6)</f>
        <v>0</v>
      </c>
      <c r="G291" s="278">
        <f>'🧾 Factura Comercial'!H295*'📋 Datos Generales'!$E$19</f>
        <v>0</v>
      </c>
      <c r="H291" s="278">
        <f>TABLA_BASE[[#This Row],[FOB UNIT.
(S/.)]]*TABLA_BASE[[#This Row],[CANTIDAD
(unid.)]]</f>
        <v>0</v>
      </c>
      <c r="I291" s="280">
        <f>IF('🧾 Tributos Aduana'!$F$6=0,0,'🧾 Tributos Aduana'!$F$17*('🧾 Factura Comercial'!H295/'🧾 Tributos Aduana'!$F$6))</f>
        <v>0</v>
      </c>
      <c r="J291" s="280">
        <f>TABLA_BASE[[#This Row],[ADV UNIT.
(US$)
⚠️COSTO]]*TABLA_BASE[[#This Row],[CANTIDAD
(unid.)]]</f>
        <v>0</v>
      </c>
      <c r="K291" s="279">
        <f>IF('🧾 Tributos Aduana'!$F$6=0,0,'🧾 Tributos Aduana'!$F$18*('🧾 Factura Comercial'!H295/'🧾 Tributos Aduana'!$F$6))</f>
        <v>0</v>
      </c>
      <c r="L291" s="280">
        <f>TABLA_BASE[[#This Row],[IPM UNIT.
(US$)
✅CF]]*TABLA_BASE[[#This Row],[CANTIDAD
(unid.)]]</f>
        <v>0</v>
      </c>
      <c r="M291" s="279">
        <f>IF('🧾 Tributos Aduana'!$F$6=0,0,'🧾 Tributos Aduana'!$F$19*('🧾 Factura Comercial'!H295/'🧾 Tributos Aduana'!$F$6))</f>
        <v>0</v>
      </c>
      <c r="N291" s="280">
        <f>TABLA_BASE[[#This Row],[IGV UNIT.
(US$)
✅CF]]*TABLA_BASE[[#This Row],[CANTIDAD
(unid.)]]</f>
        <v>0</v>
      </c>
      <c r="O291" s="280">
        <f>IF('🧾 Tributos Aduana'!$F$6=0,0,'🧾 Tributos Aduana'!$F$23*('🧾 Factura Comercial'!H295/'🧾 Tributos Aduana'!$F$6))</f>
        <v>0</v>
      </c>
      <c r="P291" s="280">
        <f>TABLA_BASE[[#This Row],[PERCEP.
UNIT.(US$)
✅CF]]*TABLA_BASE[[#This Row],[CANTIDAD
(unid.)]]</f>
        <v>0</v>
      </c>
      <c r="Q291" s="279">
        <f>TABLA_BASE[[#This Row],[ADV UNIT.
(US$)
⚠️COSTO]]+TABLA_BASE[[#This Row],[IPM UNIT.
(US$)
✅CF]]+TABLA_BASE[[#This Row],[IGV UNIT.
(US$)
✅CF]]</f>
        <v>0</v>
      </c>
      <c r="R291" s="280">
        <f>TABLA_BASE[[#This Row],[DEUDA
ADUANERA
UNIT.]]*TABLA_BASE[[#This Row],[CANTIDAD
(unid.)]]</f>
        <v>0</v>
      </c>
      <c r="S291" s="278">
        <f>TABLA_BASE[[#This Row],[DEUDA
ADUANERA
UNIT.]]*'📋 Datos Generales'!$E$19</f>
        <v>0</v>
      </c>
      <c r="T291" s="278">
        <f>TABLA_BASE[[#This Row],[DEUDA
ADUANERA
TOTAL]]*'📋 Datos Generales'!$E$19</f>
        <v>0</v>
      </c>
      <c r="U291" s="281">
        <f>TABLA_BASE[[#This Row],[ADV UNIT.
(US$)
⚠️COSTO]]*'📋 Datos Generales'!$E$19</f>
        <v>0</v>
      </c>
      <c r="V291" s="281">
        <f>TABLA_BASE[[#This Row],[ADV UNIT.
(S/.)]]*TABLA_BASE[[#This Row],[CANTIDAD
(unid.)]]</f>
        <v>0</v>
      </c>
      <c r="W291" s="281">
        <f>TABLA_BASE[[#This Row],[IPM UNIT.
(US$)
✅CF]]*'📋 Datos Generales'!$E$19</f>
        <v>0</v>
      </c>
      <c r="X291" s="281">
        <f>TABLA_BASE[[#This Row],[IPM UNIT.
(S/.)]]*TABLA_BASE[[#This Row],[CANTIDAD
(unid.)]]</f>
        <v>0</v>
      </c>
      <c r="Y291" s="281">
        <f>TABLA_BASE[[#This Row],[IGV UNIT.
(US$)
✅CF]]*'📋 Datos Generales'!$E$19</f>
        <v>0</v>
      </c>
      <c r="Z291" s="281">
        <f>TABLA_BASE[[#This Row],[IGV UNIT.
(S/.)]]*TABLA_BASE[[#This Row],[CANTIDAD
(unid.)]]</f>
        <v>0</v>
      </c>
      <c r="AA291" s="281">
        <f>TABLA_BASE[[#This Row],[PERCEP.
UNIT.(US$)
✅CF]]*'📋 Datos Generales'!$E$19</f>
        <v>0</v>
      </c>
      <c r="AB291" s="281">
        <f>TABLA_BASE[[#This Row],[PERCEP.
UNIT.(S/.)]]*TABLA_BASE[[#This Row],[CANTIDAD
(unid.)]]</f>
        <v>0</v>
      </c>
      <c r="AC291" s="279">
        <f>TABLA_BASE[[#This Row],[ADV UNIT.
(US$)
⚠️COSTO]]+TABLA_BASE[[#This Row],[IPM UNIT.
(US$)
✅CF]]+TABLA_BASE[[#This Row],[IGV UNIT.
(US$)
✅CF]]+TABLA_BASE[[#This Row],[PERCEP.
UNIT.(US$)
✅CF]]</f>
        <v>0</v>
      </c>
      <c r="AD291" s="279">
        <f>TABLA_BASE[[#This Row],[TOTAL PAGO
SUNAT
UNIT.(US$)]]*TABLA_BASE[[#This Row],[CANTIDAD
(unid.)]]</f>
        <v>0</v>
      </c>
      <c r="AE291" s="281">
        <f>TABLA_BASE[[#This Row],[TOTAL PAGO
SUNAT
UNIT.(US$)]]*'📋 Datos Generales'!$E$19</f>
        <v>0</v>
      </c>
      <c r="AF291" s="281">
        <f>TABLA_BASE[[#This Row],[TOTAL TRIB.
UNIT.(S/.)]]*TABLA_BASE[[#This Row],[CANTIDAD
(unid.)]]</f>
        <v>0</v>
      </c>
      <c r="AG291" s="279">
        <f>IF('🧾 Factura Comercial'!G295=0,0,'📦 Gastos Importación'!$E$28*(IF('🧾 Tributos Aduana'!$F$6=0,0,'🧾 Factura Comercial'!I295/'🧾 Tributos Aduana'!$F$6))/'🧾 Factura Comercial'!G295)</f>
        <v>0</v>
      </c>
      <c r="AH291" s="279">
        <f>TABLA_BASE[[#This Row],[GASTOS IMP.
UNIT.(US$)]]*TABLA_BASE[[#This Row],[CANTIDAD
(unid.)]]</f>
        <v>0</v>
      </c>
      <c r="AI291" s="281">
        <f>TABLA_BASE[[#This Row],[GASTOS IMP.
UNIT.(US$)]]*'📋 Datos Generales'!$E$19</f>
        <v>0</v>
      </c>
      <c r="AJ291" s="281">
        <f>TABLA_BASE[[#This Row],[GASTOS IMP.
UNIT.(S/.)]]*TABLA_BASE[[#This Row],[CANTIDAD
(unid.)]]</f>
        <v>0</v>
      </c>
      <c r="AK291" s="280">
        <f>'🧮 Costos x Producto'!J295</f>
        <v>0</v>
      </c>
      <c r="AL291" s="278">
        <f>'🧮 Costos x Producto'!K295</f>
        <v>0</v>
      </c>
      <c r="AM291" s="278">
        <f>TABLA_BASE[[#This Row],[C/M UNIT.
(S/.)]]*TABLA_BASE[[#This Row],[CANTIDAD
(unid.)]]</f>
        <v>0</v>
      </c>
      <c r="AN291" s="279">
        <f>IF('🧾 Factura Comercial'!G295=0,0,'🧾 Tributos Aduana'!$F$17*(IF('🧾 Tributos Aduana'!$F$6=0,0,'🧾 Factura Comercial'!I295/'🧾 Tributos Aduana'!$F$6))/'🧾 Factura Comercial'!G295)</f>
        <v>0</v>
      </c>
      <c r="AO291" s="280">
        <f>IF('🧾 Factura Comercial'!G295=0,0,'🏦 Crédito Fiscal'!$C$16*(IF('🧾 Tributos Aduana'!$F$6=0,0,'🧾 Factura Comercial'!I295/'🧾 Tributos Aduana'!$F$6))/'🧾 Factura Comercial'!G295)</f>
        <v>0</v>
      </c>
      <c r="AP291" s="278">
        <f>TABLA_BASE[[#This Row],[CF UNIT.
✅RECUP.
(US$)]]*'📋 Datos Generales'!$E$19</f>
        <v>0</v>
      </c>
      <c r="AQ291" s="278">
        <f>TABLA_BASE[[#This Row],[CF UNIT.
✅RECUP.(S/.)]]*TABLA_BASE[[#This Row],[CANTIDAD
(unid.)]]</f>
        <v>0</v>
      </c>
      <c r="AR291" s="288">
        <f>'💰 Precio de Venta'!G296</f>
        <v>0.4</v>
      </c>
      <c r="AS291" s="278">
        <f>'💰 Precio de Venta'!H296</f>
        <v>0</v>
      </c>
      <c r="AT291" s="278">
        <f>TABLA_BASE[[#This Row],[VALOR VTA.
UNIT.(S/.)]]*TABLA_BASE[[#This Row],[CANTIDAD
(unid.)]]</f>
        <v>0</v>
      </c>
      <c r="AU291" s="281">
        <f>'💰 Precio de Venta'!I296</f>
        <v>0</v>
      </c>
      <c r="AV291" s="278">
        <f>'💰 Precio de Venta'!J296</f>
        <v>0</v>
      </c>
      <c r="AW291" s="278">
        <f>TABLA_BASE[[#This Row],[GANANCIA
UNIT.(S/.)]]*TABLA_BASE[[#This Row],[CANTIDAD
(unid.)]]</f>
        <v>0</v>
      </c>
      <c r="AX291" s="289">
        <f>'💰 Precio de Venta'!K296</f>
        <v>0</v>
      </c>
      <c r="AY291" s="278">
        <f>TABLA_BASE[[#This Row],[GANANCIA
UNIT.(S/.)]]*'🧾 Factura Comercial'!G295</f>
        <v>0</v>
      </c>
      <c r="AZ291" s="277">
        <f>IF(TABLA_BASE[[#This Row],[PRECIO VTA.
c/IGV(S/.)]]=0,0,TABLA_BASE[[#This Row],[GANANCIA
UNIT.(S/.)]]/TABLA_BASE[[#This Row],[PRECIO VTA.
c/IGV(S/.)]])</f>
        <v>0</v>
      </c>
      <c r="BA291" s="277">
        <f>IF(TABLA_BASE[[#This Row],[C/M UNIT.
(S/.)]]=0,0,TABLA_BASE[[#This Row],[GANANCIA
UNIT.(S/.)]]/TABLA_BASE[[#This Row],[C/M UNIT.
(S/.)]])</f>
        <v>0</v>
      </c>
      <c r="BB291" s="274" t="str">
        <f>IF(TABLA_BASE[[#This Row],[MARGEN
%]]&gt;=0.5,"🟢 ALTO",IF(TABLA_BASE[[#This Row],[MARGEN
%]]&gt;=0.3,"🟡 MEDIO","🔴 BAJO"))</f>
        <v>🟡 MEDIO</v>
      </c>
    </row>
    <row r="292" spans="1:54" ht="16.5" hidden="1" thickTop="1" thickBot="1" x14ac:dyDescent="0.3">
      <c r="A292" s="274">
        <f>'🧾 Factura Comercial'!E296</f>
        <v>0</v>
      </c>
      <c r="B292" s="274" t="str">
        <f>'🧾 Factura Comercial'!F296</f>
        <v>Unid.</v>
      </c>
      <c r="C292" s="275">
        <f>'🧾 Factura Comercial'!G296</f>
        <v>0</v>
      </c>
      <c r="D292" s="276">
        <f>'🧾 Factura Comercial'!H296</f>
        <v>0</v>
      </c>
      <c r="E292" s="276">
        <f>'🧾 Factura Comercial'!I296</f>
        <v>0</v>
      </c>
      <c r="F292" s="277">
        <f>IF('🧾 Tributos Aduana'!$F$6=0,0,'🧾 Factura Comercial'!I296/'🧾 Tributos Aduana'!$F$6)</f>
        <v>0</v>
      </c>
      <c r="G292" s="278">
        <f>'🧾 Factura Comercial'!H296*'📋 Datos Generales'!$E$19</f>
        <v>0</v>
      </c>
      <c r="H292" s="278">
        <f>TABLA_BASE[[#This Row],[FOB UNIT.
(S/.)]]*TABLA_BASE[[#This Row],[CANTIDAD
(unid.)]]</f>
        <v>0</v>
      </c>
      <c r="I292" s="280">
        <f>IF('🧾 Tributos Aduana'!$F$6=0,0,'🧾 Tributos Aduana'!$F$17*('🧾 Factura Comercial'!H296/'🧾 Tributos Aduana'!$F$6))</f>
        <v>0</v>
      </c>
      <c r="J292" s="280">
        <f>TABLA_BASE[[#This Row],[ADV UNIT.
(US$)
⚠️COSTO]]*TABLA_BASE[[#This Row],[CANTIDAD
(unid.)]]</f>
        <v>0</v>
      </c>
      <c r="K292" s="279">
        <f>IF('🧾 Tributos Aduana'!$F$6=0,0,'🧾 Tributos Aduana'!$F$18*('🧾 Factura Comercial'!H296/'🧾 Tributos Aduana'!$F$6))</f>
        <v>0</v>
      </c>
      <c r="L292" s="280">
        <f>TABLA_BASE[[#This Row],[IPM UNIT.
(US$)
✅CF]]*TABLA_BASE[[#This Row],[CANTIDAD
(unid.)]]</f>
        <v>0</v>
      </c>
      <c r="M292" s="279">
        <f>IF('🧾 Tributos Aduana'!$F$6=0,0,'🧾 Tributos Aduana'!$F$19*('🧾 Factura Comercial'!H296/'🧾 Tributos Aduana'!$F$6))</f>
        <v>0</v>
      </c>
      <c r="N292" s="280">
        <f>TABLA_BASE[[#This Row],[IGV UNIT.
(US$)
✅CF]]*TABLA_BASE[[#This Row],[CANTIDAD
(unid.)]]</f>
        <v>0</v>
      </c>
      <c r="O292" s="280">
        <f>IF('🧾 Tributos Aduana'!$F$6=0,0,'🧾 Tributos Aduana'!$F$23*('🧾 Factura Comercial'!H296/'🧾 Tributos Aduana'!$F$6))</f>
        <v>0</v>
      </c>
      <c r="P292" s="280">
        <f>TABLA_BASE[[#This Row],[PERCEP.
UNIT.(US$)
✅CF]]*TABLA_BASE[[#This Row],[CANTIDAD
(unid.)]]</f>
        <v>0</v>
      </c>
      <c r="Q292" s="279">
        <f>TABLA_BASE[[#This Row],[ADV UNIT.
(US$)
⚠️COSTO]]+TABLA_BASE[[#This Row],[IPM UNIT.
(US$)
✅CF]]+TABLA_BASE[[#This Row],[IGV UNIT.
(US$)
✅CF]]</f>
        <v>0</v>
      </c>
      <c r="R292" s="280">
        <f>TABLA_BASE[[#This Row],[DEUDA
ADUANERA
UNIT.]]*TABLA_BASE[[#This Row],[CANTIDAD
(unid.)]]</f>
        <v>0</v>
      </c>
      <c r="S292" s="278">
        <f>TABLA_BASE[[#This Row],[DEUDA
ADUANERA
UNIT.]]*'📋 Datos Generales'!$E$19</f>
        <v>0</v>
      </c>
      <c r="T292" s="278">
        <f>TABLA_BASE[[#This Row],[DEUDA
ADUANERA
TOTAL]]*'📋 Datos Generales'!$E$19</f>
        <v>0</v>
      </c>
      <c r="U292" s="281">
        <f>TABLA_BASE[[#This Row],[ADV UNIT.
(US$)
⚠️COSTO]]*'📋 Datos Generales'!$E$19</f>
        <v>0</v>
      </c>
      <c r="V292" s="281">
        <f>TABLA_BASE[[#This Row],[ADV UNIT.
(S/.)]]*TABLA_BASE[[#This Row],[CANTIDAD
(unid.)]]</f>
        <v>0</v>
      </c>
      <c r="W292" s="281">
        <f>TABLA_BASE[[#This Row],[IPM UNIT.
(US$)
✅CF]]*'📋 Datos Generales'!$E$19</f>
        <v>0</v>
      </c>
      <c r="X292" s="281">
        <f>TABLA_BASE[[#This Row],[IPM UNIT.
(S/.)]]*TABLA_BASE[[#This Row],[CANTIDAD
(unid.)]]</f>
        <v>0</v>
      </c>
      <c r="Y292" s="281">
        <f>TABLA_BASE[[#This Row],[IGV UNIT.
(US$)
✅CF]]*'📋 Datos Generales'!$E$19</f>
        <v>0</v>
      </c>
      <c r="Z292" s="281">
        <f>TABLA_BASE[[#This Row],[IGV UNIT.
(S/.)]]*TABLA_BASE[[#This Row],[CANTIDAD
(unid.)]]</f>
        <v>0</v>
      </c>
      <c r="AA292" s="281">
        <f>TABLA_BASE[[#This Row],[PERCEP.
UNIT.(US$)
✅CF]]*'📋 Datos Generales'!$E$19</f>
        <v>0</v>
      </c>
      <c r="AB292" s="281">
        <f>TABLA_BASE[[#This Row],[PERCEP.
UNIT.(S/.)]]*TABLA_BASE[[#This Row],[CANTIDAD
(unid.)]]</f>
        <v>0</v>
      </c>
      <c r="AC292" s="279">
        <f>TABLA_BASE[[#This Row],[ADV UNIT.
(US$)
⚠️COSTO]]+TABLA_BASE[[#This Row],[IPM UNIT.
(US$)
✅CF]]+TABLA_BASE[[#This Row],[IGV UNIT.
(US$)
✅CF]]+TABLA_BASE[[#This Row],[PERCEP.
UNIT.(US$)
✅CF]]</f>
        <v>0</v>
      </c>
      <c r="AD292" s="279">
        <f>TABLA_BASE[[#This Row],[TOTAL PAGO
SUNAT
UNIT.(US$)]]*TABLA_BASE[[#This Row],[CANTIDAD
(unid.)]]</f>
        <v>0</v>
      </c>
      <c r="AE292" s="281">
        <f>TABLA_BASE[[#This Row],[TOTAL PAGO
SUNAT
UNIT.(US$)]]*'📋 Datos Generales'!$E$19</f>
        <v>0</v>
      </c>
      <c r="AF292" s="281">
        <f>TABLA_BASE[[#This Row],[TOTAL TRIB.
UNIT.(S/.)]]*TABLA_BASE[[#This Row],[CANTIDAD
(unid.)]]</f>
        <v>0</v>
      </c>
      <c r="AG292" s="279">
        <f>IF('🧾 Factura Comercial'!G296=0,0,'📦 Gastos Importación'!$E$28*(IF('🧾 Tributos Aduana'!$F$6=0,0,'🧾 Factura Comercial'!I296/'🧾 Tributos Aduana'!$F$6))/'🧾 Factura Comercial'!G296)</f>
        <v>0</v>
      </c>
      <c r="AH292" s="279">
        <f>TABLA_BASE[[#This Row],[GASTOS IMP.
UNIT.(US$)]]*TABLA_BASE[[#This Row],[CANTIDAD
(unid.)]]</f>
        <v>0</v>
      </c>
      <c r="AI292" s="281">
        <f>TABLA_BASE[[#This Row],[GASTOS IMP.
UNIT.(US$)]]*'📋 Datos Generales'!$E$19</f>
        <v>0</v>
      </c>
      <c r="AJ292" s="281">
        <f>TABLA_BASE[[#This Row],[GASTOS IMP.
UNIT.(S/.)]]*TABLA_BASE[[#This Row],[CANTIDAD
(unid.)]]</f>
        <v>0</v>
      </c>
      <c r="AK292" s="280">
        <f>'🧮 Costos x Producto'!J296</f>
        <v>0</v>
      </c>
      <c r="AL292" s="278">
        <f>'🧮 Costos x Producto'!K296</f>
        <v>0</v>
      </c>
      <c r="AM292" s="278">
        <f>TABLA_BASE[[#This Row],[C/M UNIT.
(S/.)]]*TABLA_BASE[[#This Row],[CANTIDAD
(unid.)]]</f>
        <v>0</v>
      </c>
      <c r="AN292" s="279">
        <f>IF('🧾 Factura Comercial'!G296=0,0,'🧾 Tributos Aduana'!$F$17*(IF('🧾 Tributos Aduana'!$F$6=0,0,'🧾 Factura Comercial'!I296/'🧾 Tributos Aduana'!$F$6))/'🧾 Factura Comercial'!G296)</f>
        <v>0</v>
      </c>
      <c r="AO292" s="280">
        <f>IF('🧾 Factura Comercial'!G296=0,0,'🏦 Crédito Fiscal'!$C$16*(IF('🧾 Tributos Aduana'!$F$6=0,0,'🧾 Factura Comercial'!I296/'🧾 Tributos Aduana'!$F$6))/'🧾 Factura Comercial'!G296)</f>
        <v>0</v>
      </c>
      <c r="AP292" s="278">
        <f>TABLA_BASE[[#This Row],[CF UNIT.
✅RECUP.
(US$)]]*'📋 Datos Generales'!$E$19</f>
        <v>0</v>
      </c>
      <c r="AQ292" s="278">
        <f>TABLA_BASE[[#This Row],[CF UNIT.
✅RECUP.(S/.)]]*TABLA_BASE[[#This Row],[CANTIDAD
(unid.)]]</f>
        <v>0</v>
      </c>
      <c r="AR292" s="288">
        <f>'💰 Precio de Venta'!G297</f>
        <v>0.4</v>
      </c>
      <c r="AS292" s="278">
        <f>'💰 Precio de Venta'!H297</f>
        <v>0</v>
      </c>
      <c r="AT292" s="278">
        <f>TABLA_BASE[[#This Row],[VALOR VTA.
UNIT.(S/.)]]*TABLA_BASE[[#This Row],[CANTIDAD
(unid.)]]</f>
        <v>0</v>
      </c>
      <c r="AU292" s="281">
        <f>'💰 Precio de Venta'!I297</f>
        <v>0</v>
      </c>
      <c r="AV292" s="278">
        <f>'💰 Precio de Venta'!J297</f>
        <v>0</v>
      </c>
      <c r="AW292" s="278">
        <f>TABLA_BASE[[#This Row],[GANANCIA
UNIT.(S/.)]]*TABLA_BASE[[#This Row],[CANTIDAD
(unid.)]]</f>
        <v>0</v>
      </c>
      <c r="AX292" s="289">
        <f>'💰 Precio de Venta'!K297</f>
        <v>0</v>
      </c>
      <c r="AY292" s="278">
        <f>TABLA_BASE[[#This Row],[GANANCIA
UNIT.(S/.)]]*'🧾 Factura Comercial'!G296</f>
        <v>0</v>
      </c>
      <c r="AZ292" s="277">
        <f>IF(TABLA_BASE[[#This Row],[PRECIO VTA.
c/IGV(S/.)]]=0,0,TABLA_BASE[[#This Row],[GANANCIA
UNIT.(S/.)]]/TABLA_BASE[[#This Row],[PRECIO VTA.
c/IGV(S/.)]])</f>
        <v>0</v>
      </c>
      <c r="BA292" s="277">
        <f>IF(TABLA_BASE[[#This Row],[C/M UNIT.
(S/.)]]=0,0,TABLA_BASE[[#This Row],[GANANCIA
UNIT.(S/.)]]/TABLA_BASE[[#This Row],[C/M UNIT.
(S/.)]])</f>
        <v>0</v>
      </c>
      <c r="BB292" s="274" t="str">
        <f>IF(TABLA_BASE[[#This Row],[MARGEN
%]]&gt;=0.5,"🟢 ALTO",IF(TABLA_BASE[[#This Row],[MARGEN
%]]&gt;=0.3,"🟡 MEDIO","🔴 BAJO"))</f>
        <v>🟡 MEDIO</v>
      </c>
    </row>
    <row r="293" spans="1:54" ht="16.5" hidden="1" thickTop="1" thickBot="1" x14ac:dyDescent="0.3">
      <c r="A293" s="274">
        <f>'🧾 Factura Comercial'!E297</f>
        <v>0</v>
      </c>
      <c r="B293" s="274" t="str">
        <f>'🧾 Factura Comercial'!F297</f>
        <v>Unid.</v>
      </c>
      <c r="C293" s="275">
        <f>'🧾 Factura Comercial'!G297</f>
        <v>0</v>
      </c>
      <c r="D293" s="276">
        <f>'🧾 Factura Comercial'!H297</f>
        <v>0</v>
      </c>
      <c r="E293" s="276">
        <f>'🧾 Factura Comercial'!I297</f>
        <v>0</v>
      </c>
      <c r="F293" s="277">
        <f>IF('🧾 Tributos Aduana'!$F$6=0,0,'🧾 Factura Comercial'!I297/'🧾 Tributos Aduana'!$F$6)</f>
        <v>0</v>
      </c>
      <c r="G293" s="278">
        <f>'🧾 Factura Comercial'!H297*'📋 Datos Generales'!$E$19</f>
        <v>0</v>
      </c>
      <c r="H293" s="278">
        <f>TABLA_BASE[[#This Row],[FOB UNIT.
(S/.)]]*TABLA_BASE[[#This Row],[CANTIDAD
(unid.)]]</f>
        <v>0</v>
      </c>
      <c r="I293" s="280">
        <f>IF('🧾 Tributos Aduana'!$F$6=0,0,'🧾 Tributos Aduana'!$F$17*('🧾 Factura Comercial'!H297/'🧾 Tributos Aduana'!$F$6))</f>
        <v>0</v>
      </c>
      <c r="J293" s="280">
        <f>TABLA_BASE[[#This Row],[ADV UNIT.
(US$)
⚠️COSTO]]*TABLA_BASE[[#This Row],[CANTIDAD
(unid.)]]</f>
        <v>0</v>
      </c>
      <c r="K293" s="279">
        <f>IF('🧾 Tributos Aduana'!$F$6=0,0,'🧾 Tributos Aduana'!$F$18*('🧾 Factura Comercial'!H297/'🧾 Tributos Aduana'!$F$6))</f>
        <v>0</v>
      </c>
      <c r="L293" s="280">
        <f>TABLA_BASE[[#This Row],[IPM UNIT.
(US$)
✅CF]]*TABLA_BASE[[#This Row],[CANTIDAD
(unid.)]]</f>
        <v>0</v>
      </c>
      <c r="M293" s="279">
        <f>IF('🧾 Tributos Aduana'!$F$6=0,0,'🧾 Tributos Aduana'!$F$19*('🧾 Factura Comercial'!H297/'🧾 Tributos Aduana'!$F$6))</f>
        <v>0</v>
      </c>
      <c r="N293" s="280">
        <f>TABLA_BASE[[#This Row],[IGV UNIT.
(US$)
✅CF]]*TABLA_BASE[[#This Row],[CANTIDAD
(unid.)]]</f>
        <v>0</v>
      </c>
      <c r="O293" s="280">
        <f>IF('🧾 Tributos Aduana'!$F$6=0,0,'🧾 Tributos Aduana'!$F$23*('🧾 Factura Comercial'!H297/'🧾 Tributos Aduana'!$F$6))</f>
        <v>0</v>
      </c>
      <c r="P293" s="280">
        <f>TABLA_BASE[[#This Row],[PERCEP.
UNIT.(US$)
✅CF]]*TABLA_BASE[[#This Row],[CANTIDAD
(unid.)]]</f>
        <v>0</v>
      </c>
      <c r="Q293" s="279">
        <f>TABLA_BASE[[#This Row],[ADV UNIT.
(US$)
⚠️COSTO]]+TABLA_BASE[[#This Row],[IPM UNIT.
(US$)
✅CF]]+TABLA_BASE[[#This Row],[IGV UNIT.
(US$)
✅CF]]</f>
        <v>0</v>
      </c>
      <c r="R293" s="280">
        <f>TABLA_BASE[[#This Row],[DEUDA
ADUANERA
UNIT.]]*TABLA_BASE[[#This Row],[CANTIDAD
(unid.)]]</f>
        <v>0</v>
      </c>
      <c r="S293" s="278">
        <f>TABLA_BASE[[#This Row],[DEUDA
ADUANERA
UNIT.]]*'📋 Datos Generales'!$E$19</f>
        <v>0</v>
      </c>
      <c r="T293" s="278">
        <f>TABLA_BASE[[#This Row],[DEUDA
ADUANERA
TOTAL]]*'📋 Datos Generales'!$E$19</f>
        <v>0</v>
      </c>
      <c r="U293" s="281">
        <f>TABLA_BASE[[#This Row],[ADV UNIT.
(US$)
⚠️COSTO]]*'📋 Datos Generales'!$E$19</f>
        <v>0</v>
      </c>
      <c r="V293" s="281">
        <f>TABLA_BASE[[#This Row],[ADV UNIT.
(S/.)]]*TABLA_BASE[[#This Row],[CANTIDAD
(unid.)]]</f>
        <v>0</v>
      </c>
      <c r="W293" s="281">
        <f>TABLA_BASE[[#This Row],[IPM UNIT.
(US$)
✅CF]]*'📋 Datos Generales'!$E$19</f>
        <v>0</v>
      </c>
      <c r="X293" s="281">
        <f>TABLA_BASE[[#This Row],[IPM UNIT.
(S/.)]]*TABLA_BASE[[#This Row],[CANTIDAD
(unid.)]]</f>
        <v>0</v>
      </c>
      <c r="Y293" s="281">
        <f>TABLA_BASE[[#This Row],[IGV UNIT.
(US$)
✅CF]]*'📋 Datos Generales'!$E$19</f>
        <v>0</v>
      </c>
      <c r="Z293" s="281">
        <f>TABLA_BASE[[#This Row],[IGV UNIT.
(S/.)]]*TABLA_BASE[[#This Row],[CANTIDAD
(unid.)]]</f>
        <v>0</v>
      </c>
      <c r="AA293" s="281">
        <f>TABLA_BASE[[#This Row],[PERCEP.
UNIT.(US$)
✅CF]]*'📋 Datos Generales'!$E$19</f>
        <v>0</v>
      </c>
      <c r="AB293" s="281">
        <f>TABLA_BASE[[#This Row],[PERCEP.
UNIT.(S/.)]]*TABLA_BASE[[#This Row],[CANTIDAD
(unid.)]]</f>
        <v>0</v>
      </c>
      <c r="AC293" s="279">
        <f>TABLA_BASE[[#This Row],[ADV UNIT.
(US$)
⚠️COSTO]]+TABLA_BASE[[#This Row],[IPM UNIT.
(US$)
✅CF]]+TABLA_BASE[[#This Row],[IGV UNIT.
(US$)
✅CF]]+TABLA_BASE[[#This Row],[PERCEP.
UNIT.(US$)
✅CF]]</f>
        <v>0</v>
      </c>
      <c r="AD293" s="279">
        <f>TABLA_BASE[[#This Row],[TOTAL PAGO
SUNAT
UNIT.(US$)]]*TABLA_BASE[[#This Row],[CANTIDAD
(unid.)]]</f>
        <v>0</v>
      </c>
      <c r="AE293" s="281">
        <f>TABLA_BASE[[#This Row],[TOTAL PAGO
SUNAT
UNIT.(US$)]]*'📋 Datos Generales'!$E$19</f>
        <v>0</v>
      </c>
      <c r="AF293" s="281">
        <f>TABLA_BASE[[#This Row],[TOTAL TRIB.
UNIT.(S/.)]]*TABLA_BASE[[#This Row],[CANTIDAD
(unid.)]]</f>
        <v>0</v>
      </c>
      <c r="AG293" s="279">
        <f>IF('🧾 Factura Comercial'!G297=0,0,'📦 Gastos Importación'!$E$28*(IF('🧾 Tributos Aduana'!$F$6=0,0,'🧾 Factura Comercial'!I297/'🧾 Tributos Aduana'!$F$6))/'🧾 Factura Comercial'!G297)</f>
        <v>0</v>
      </c>
      <c r="AH293" s="279">
        <f>TABLA_BASE[[#This Row],[GASTOS IMP.
UNIT.(US$)]]*TABLA_BASE[[#This Row],[CANTIDAD
(unid.)]]</f>
        <v>0</v>
      </c>
      <c r="AI293" s="281">
        <f>TABLA_BASE[[#This Row],[GASTOS IMP.
UNIT.(US$)]]*'📋 Datos Generales'!$E$19</f>
        <v>0</v>
      </c>
      <c r="AJ293" s="281">
        <f>TABLA_BASE[[#This Row],[GASTOS IMP.
UNIT.(S/.)]]*TABLA_BASE[[#This Row],[CANTIDAD
(unid.)]]</f>
        <v>0</v>
      </c>
      <c r="AK293" s="280">
        <f>'🧮 Costos x Producto'!J297</f>
        <v>0</v>
      </c>
      <c r="AL293" s="278">
        <f>'🧮 Costos x Producto'!K297</f>
        <v>0</v>
      </c>
      <c r="AM293" s="278">
        <f>TABLA_BASE[[#This Row],[C/M UNIT.
(S/.)]]*TABLA_BASE[[#This Row],[CANTIDAD
(unid.)]]</f>
        <v>0</v>
      </c>
      <c r="AN293" s="279">
        <f>IF('🧾 Factura Comercial'!G297=0,0,'🧾 Tributos Aduana'!$F$17*(IF('🧾 Tributos Aduana'!$F$6=0,0,'🧾 Factura Comercial'!I297/'🧾 Tributos Aduana'!$F$6))/'🧾 Factura Comercial'!G297)</f>
        <v>0</v>
      </c>
      <c r="AO293" s="280">
        <f>IF('🧾 Factura Comercial'!G297=0,0,'🏦 Crédito Fiscal'!$C$16*(IF('🧾 Tributos Aduana'!$F$6=0,0,'🧾 Factura Comercial'!I297/'🧾 Tributos Aduana'!$F$6))/'🧾 Factura Comercial'!G297)</f>
        <v>0</v>
      </c>
      <c r="AP293" s="278">
        <f>TABLA_BASE[[#This Row],[CF UNIT.
✅RECUP.
(US$)]]*'📋 Datos Generales'!$E$19</f>
        <v>0</v>
      </c>
      <c r="AQ293" s="278">
        <f>TABLA_BASE[[#This Row],[CF UNIT.
✅RECUP.(S/.)]]*TABLA_BASE[[#This Row],[CANTIDAD
(unid.)]]</f>
        <v>0</v>
      </c>
      <c r="AR293" s="288">
        <f>'💰 Precio de Venta'!G298</f>
        <v>0.4</v>
      </c>
      <c r="AS293" s="278">
        <f>'💰 Precio de Venta'!H298</f>
        <v>0</v>
      </c>
      <c r="AT293" s="278">
        <f>TABLA_BASE[[#This Row],[VALOR VTA.
UNIT.(S/.)]]*TABLA_BASE[[#This Row],[CANTIDAD
(unid.)]]</f>
        <v>0</v>
      </c>
      <c r="AU293" s="281">
        <f>'💰 Precio de Venta'!I298</f>
        <v>0</v>
      </c>
      <c r="AV293" s="278">
        <f>'💰 Precio de Venta'!J298</f>
        <v>0</v>
      </c>
      <c r="AW293" s="278">
        <f>TABLA_BASE[[#This Row],[GANANCIA
UNIT.(S/.)]]*TABLA_BASE[[#This Row],[CANTIDAD
(unid.)]]</f>
        <v>0</v>
      </c>
      <c r="AX293" s="289">
        <f>'💰 Precio de Venta'!K298</f>
        <v>0</v>
      </c>
      <c r="AY293" s="278">
        <f>TABLA_BASE[[#This Row],[GANANCIA
UNIT.(S/.)]]*'🧾 Factura Comercial'!G297</f>
        <v>0</v>
      </c>
      <c r="AZ293" s="277">
        <f>IF(TABLA_BASE[[#This Row],[PRECIO VTA.
c/IGV(S/.)]]=0,0,TABLA_BASE[[#This Row],[GANANCIA
UNIT.(S/.)]]/TABLA_BASE[[#This Row],[PRECIO VTA.
c/IGV(S/.)]])</f>
        <v>0</v>
      </c>
      <c r="BA293" s="277">
        <f>IF(TABLA_BASE[[#This Row],[C/M UNIT.
(S/.)]]=0,0,TABLA_BASE[[#This Row],[GANANCIA
UNIT.(S/.)]]/TABLA_BASE[[#This Row],[C/M UNIT.
(S/.)]])</f>
        <v>0</v>
      </c>
      <c r="BB293" s="274" t="str">
        <f>IF(TABLA_BASE[[#This Row],[MARGEN
%]]&gt;=0.5,"🟢 ALTO",IF(TABLA_BASE[[#This Row],[MARGEN
%]]&gt;=0.3,"🟡 MEDIO","🔴 BAJO"))</f>
        <v>🟡 MEDIO</v>
      </c>
    </row>
    <row r="294" spans="1:54" ht="16.5" hidden="1" thickTop="1" thickBot="1" x14ac:dyDescent="0.3">
      <c r="A294" s="274">
        <f>'🧾 Factura Comercial'!E298</f>
        <v>0</v>
      </c>
      <c r="B294" s="274" t="str">
        <f>'🧾 Factura Comercial'!F298</f>
        <v>Unid.</v>
      </c>
      <c r="C294" s="275">
        <f>'🧾 Factura Comercial'!G298</f>
        <v>0</v>
      </c>
      <c r="D294" s="276">
        <f>'🧾 Factura Comercial'!H298</f>
        <v>0</v>
      </c>
      <c r="E294" s="276">
        <f>'🧾 Factura Comercial'!I298</f>
        <v>0</v>
      </c>
      <c r="F294" s="277">
        <f>IF('🧾 Tributos Aduana'!$F$6=0,0,'🧾 Factura Comercial'!I298/'🧾 Tributos Aduana'!$F$6)</f>
        <v>0</v>
      </c>
      <c r="G294" s="278">
        <f>'🧾 Factura Comercial'!H298*'📋 Datos Generales'!$E$19</f>
        <v>0</v>
      </c>
      <c r="H294" s="278">
        <f>TABLA_BASE[[#This Row],[FOB UNIT.
(S/.)]]*TABLA_BASE[[#This Row],[CANTIDAD
(unid.)]]</f>
        <v>0</v>
      </c>
      <c r="I294" s="280">
        <f>IF('🧾 Tributos Aduana'!$F$6=0,0,'🧾 Tributos Aduana'!$F$17*('🧾 Factura Comercial'!H298/'🧾 Tributos Aduana'!$F$6))</f>
        <v>0</v>
      </c>
      <c r="J294" s="280">
        <f>TABLA_BASE[[#This Row],[ADV UNIT.
(US$)
⚠️COSTO]]*TABLA_BASE[[#This Row],[CANTIDAD
(unid.)]]</f>
        <v>0</v>
      </c>
      <c r="K294" s="279">
        <f>IF('🧾 Tributos Aduana'!$F$6=0,0,'🧾 Tributos Aduana'!$F$18*('🧾 Factura Comercial'!H298/'🧾 Tributos Aduana'!$F$6))</f>
        <v>0</v>
      </c>
      <c r="L294" s="280">
        <f>TABLA_BASE[[#This Row],[IPM UNIT.
(US$)
✅CF]]*TABLA_BASE[[#This Row],[CANTIDAD
(unid.)]]</f>
        <v>0</v>
      </c>
      <c r="M294" s="279">
        <f>IF('🧾 Tributos Aduana'!$F$6=0,0,'🧾 Tributos Aduana'!$F$19*('🧾 Factura Comercial'!H298/'🧾 Tributos Aduana'!$F$6))</f>
        <v>0</v>
      </c>
      <c r="N294" s="280">
        <f>TABLA_BASE[[#This Row],[IGV UNIT.
(US$)
✅CF]]*TABLA_BASE[[#This Row],[CANTIDAD
(unid.)]]</f>
        <v>0</v>
      </c>
      <c r="O294" s="280">
        <f>IF('🧾 Tributos Aduana'!$F$6=0,0,'🧾 Tributos Aduana'!$F$23*('🧾 Factura Comercial'!H298/'🧾 Tributos Aduana'!$F$6))</f>
        <v>0</v>
      </c>
      <c r="P294" s="280">
        <f>TABLA_BASE[[#This Row],[PERCEP.
UNIT.(US$)
✅CF]]*TABLA_BASE[[#This Row],[CANTIDAD
(unid.)]]</f>
        <v>0</v>
      </c>
      <c r="Q294" s="279">
        <f>TABLA_BASE[[#This Row],[ADV UNIT.
(US$)
⚠️COSTO]]+TABLA_BASE[[#This Row],[IPM UNIT.
(US$)
✅CF]]+TABLA_BASE[[#This Row],[IGV UNIT.
(US$)
✅CF]]</f>
        <v>0</v>
      </c>
      <c r="R294" s="280">
        <f>TABLA_BASE[[#This Row],[DEUDA
ADUANERA
UNIT.]]*TABLA_BASE[[#This Row],[CANTIDAD
(unid.)]]</f>
        <v>0</v>
      </c>
      <c r="S294" s="278">
        <f>TABLA_BASE[[#This Row],[DEUDA
ADUANERA
UNIT.]]*'📋 Datos Generales'!$E$19</f>
        <v>0</v>
      </c>
      <c r="T294" s="278">
        <f>TABLA_BASE[[#This Row],[DEUDA
ADUANERA
TOTAL]]*'📋 Datos Generales'!$E$19</f>
        <v>0</v>
      </c>
      <c r="U294" s="281">
        <f>TABLA_BASE[[#This Row],[ADV UNIT.
(US$)
⚠️COSTO]]*'📋 Datos Generales'!$E$19</f>
        <v>0</v>
      </c>
      <c r="V294" s="281">
        <f>TABLA_BASE[[#This Row],[ADV UNIT.
(S/.)]]*TABLA_BASE[[#This Row],[CANTIDAD
(unid.)]]</f>
        <v>0</v>
      </c>
      <c r="W294" s="281">
        <f>TABLA_BASE[[#This Row],[IPM UNIT.
(US$)
✅CF]]*'📋 Datos Generales'!$E$19</f>
        <v>0</v>
      </c>
      <c r="X294" s="281">
        <f>TABLA_BASE[[#This Row],[IPM UNIT.
(S/.)]]*TABLA_BASE[[#This Row],[CANTIDAD
(unid.)]]</f>
        <v>0</v>
      </c>
      <c r="Y294" s="281">
        <f>TABLA_BASE[[#This Row],[IGV UNIT.
(US$)
✅CF]]*'📋 Datos Generales'!$E$19</f>
        <v>0</v>
      </c>
      <c r="Z294" s="281">
        <f>TABLA_BASE[[#This Row],[IGV UNIT.
(S/.)]]*TABLA_BASE[[#This Row],[CANTIDAD
(unid.)]]</f>
        <v>0</v>
      </c>
      <c r="AA294" s="281">
        <f>TABLA_BASE[[#This Row],[PERCEP.
UNIT.(US$)
✅CF]]*'📋 Datos Generales'!$E$19</f>
        <v>0</v>
      </c>
      <c r="AB294" s="281">
        <f>TABLA_BASE[[#This Row],[PERCEP.
UNIT.(S/.)]]*TABLA_BASE[[#This Row],[CANTIDAD
(unid.)]]</f>
        <v>0</v>
      </c>
      <c r="AC294" s="279">
        <f>TABLA_BASE[[#This Row],[ADV UNIT.
(US$)
⚠️COSTO]]+TABLA_BASE[[#This Row],[IPM UNIT.
(US$)
✅CF]]+TABLA_BASE[[#This Row],[IGV UNIT.
(US$)
✅CF]]+TABLA_BASE[[#This Row],[PERCEP.
UNIT.(US$)
✅CF]]</f>
        <v>0</v>
      </c>
      <c r="AD294" s="279">
        <f>TABLA_BASE[[#This Row],[TOTAL PAGO
SUNAT
UNIT.(US$)]]*TABLA_BASE[[#This Row],[CANTIDAD
(unid.)]]</f>
        <v>0</v>
      </c>
      <c r="AE294" s="281">
        <f>TABLA_BASE[[#This Row],[TOTAL PAGO
SUNAT
UNIT.(US$)]]*'📋 Datos Generales'!$E$19</f>
        <v>0</v>
      </c>
      <c r="AF294" s="281">
        <f>TABLA_BASE[[#This Row],[TOTAL TRIB.
UNIT.(S/.)]]*TABLA_BASE[[#This Row],[CANTIDAD
(unid.)]]</f>
        <v>0</v>
      </c>
      <c r="AG294" s="279">
        <f>IF('🧾 Factura Comercial'!G298=0,0,'📦 Gastos Importación'!$E$28*(IF('🧾 Tributos Aduana'!$F$6=0,0,'🧾 Factura Comercial'!I298/'🧾 Tributos Aduana'!$F$6))/'🧾 Factura Comercial'!G298)</f>
        <v>0</v>
      </c>
      <c r="AH294" s="279">
        <f>TABLA_BASE[[#This Row],[GASTOS IMP.
UNIT.(US$)]]*TABLA_BASE[[#This Row],[CANTIDAD
(unid.)]]</f>
        <v>0</v>
      </c>
      <c r="AI294" s="281">
        <f>TABLA_BASE[[#This Row],[GASTOS IMP.
UNIT.(US$)]]*'📋 Datos Generales'!$E$19</f>
        <v>0</v>
      </c>
      <c r="AJ294" s="281">
        <f>TABLA_BASE[[#This Row],[GASTOS IMP.
UNIT.(S/.)]]*TABLA_BASE[[#This Row],[CANTIDAD
(unid.)]]</f>
        <v>0</v>
      </c>
      <c r="AK294" s="280">
        <f>'🧮 Costos x Producto'!J298</f>
        <v>0</v>
      </c>
      <c r="AL294" s="278">
        <f>'🧮 Costos x Producto'!K298</f>
        <v>0</v>
      </c>
      <c r="AM294" s="278">
        <f>TABLA_BASE[[#This Row],[C/M UNIT.
(S/.)]]*TABLA_BASE[[#This Row],[CANTIDAD
(unid.)]]</f>
        <v>0</v>
      </c>
      <c r="AN294" s="279">
        <f>IF('🧾 Factura Comercial'!G298=0,0,'🧾 Tributos Aduana'!$F$17*(IF('🧾 Tributos Aduana'!$F$6=0,0,'🧾 Factura Comercial'!I298/'🧾 Tributos Aduana'!$F$6))/'🧾 Factura Comercial'!G298)</f>
        <v>0</v>
      </c>
      <c r="AO294" s="280">
        <f>IF('🧾 Factura Comercial'!G298=0,0,'🏦 Crédito Fiscal'!$C$16*(IF('🧾 Tributos Aduana'!$F$6=0,0,'🧾 Factura Comercial'!I298/'🧾 Tributos Aduana'!$F$6))/'🧾 Factura Comercial'!G298)</f>
        <v>0</v>
      </c>
      <c r="AP294" s="278">
        <f>TABLA_BASE[[#This Row],[CF UNIT.
✅RECUP.
(US$)]]*'📋 Datos Generales'!$E$19</f>
        <v>0</v>
      </c>
      <c r="AQ294" s="278">
        <f>TABLA_BASE[[#This Row],[CF UNIT.
✅RECUP.(S/.)]]*TABLA_BASE[[#This Row],[CANTIDAD
(unid.)]]</f>
        <v>0</v>
      </c>
      <c r="AR294" s="288">
        <f>'💰 Precio de Venta'!G299</f>
        <v>0.4</v>
      </c>
      <c r="AS294" s="278">
        <f>'💰 Precio de Venta'!H299</f>
        <v>0</v>
      </c>
      <c r="AT294" s="278">
        <f>TABLA_BASE[[#This Row],[VALOR VTA.
UNIT.(S/.)]]*TABLA_BASE[[#This Row],[CANTIDAD
(unid.)]]</f>
        <v>0</v>
      </c>
      <c r="AU294" s="281">
        <f>'💰 Precio de Venta'!I299</f>
        <v>0</v>
      </c>
      <c r="AV294" s="278">
        <f>'💰 Precio de Venta'!J299</f>
        <v>0</v>
      </c>
      <c r="AW294" s="278">
        <f>TABLA_BASE[[#This Row],[GANANCIA
UNIT.(S/.)]]*TABLA_BASE[[#This Row],[CANTIDAD
(unid.)]]</f>
        <v>0</v>
      </c>
      <c r="AX294" s="289">
        <f>'💰 Precio de Venta'!K299</f>
        <v>0</v>
      </c>
      <c r="AY294" s="278">
        <f>TABLA_BASE[[#This Row],[GANANCIA
UNIT.(S/.)]]*'🧾 Factura Comercial'!G298</f>
        <v>0</v>
      </c>
      <c r="AZ294" s="277">
        <f>IF(TABLA_BASE[[#This Row],[PRECIO VTA.
c/IGV(S/.)]]=0,0,TABLA_BASE[[#This Row],[GANANCIA
UNIT.(S/.)]]/TABLA_BASE[[#This Row],[PRECIO VTA.
c/IGV(S/.)]])</f>
        <v>0</v>
      </c>
      <c r="BA294" s="277">
        <f>IF(TABLA_BASE[[#This Row],[C/M UNIT.
(S/.)]]=0,0,TABLA_BASE[[#This Row],[GANANCIA
UNIT.(S/.)]]/TABLA_BASE[[#This Row],[C/M UNIT.
(S/.)]])</f>
        <v>0</v>
      </c>
      <c r="BB294" s="274" t="str">
        <f>IF(TABLA_BASE[[#This Row],[MARGEN
%]]&gt;=0.5,"🟢 ALTO",IF(TABLA_BASE[[#This Row],[MARGEN
%]]&gt;=0.3,"🟡 MEDIO","🔴 BAJO"))</f>
        <v>🟡 MEDIO</v>
      </c>
    </row>
    <row r="295" spans="1:54" ht="16.5" hidden="1" thickTop="1" thickBot="1" x14ac:dyDescent="0.3">
      <c r="A295" s="274">
        <f>'🧾 Factura Comercial'!E299</f>
        <v>0</v>
      </c>
      <c r="B295" s="274" t="str">
        <f>'🧾 Factura Comercial'!F299</f>
        <v>Unid.</v>
      </c>
      <c r="C295" s="275">
        <f>'🧾 Factura Comercial'!G299</f>
        <v>0</v>
      </c>
      <c r="D295" s="276">
        <f>'🧾 Factura Comercial'!H299</f>
        <v>0</v>
      </c>
      <c r="E295" s="276">
        <f>'🧾 Factura Comercial'!I299</f>
        <v>0</v>
      </c>
      <c r="F295" s="277">
        <f>IF('🧾 Tributos Aduana'!$F$6=0,0,'🧾 Factura Comercial'!I299/'🧾 Tributos Aduana'!$F$6)</f>
        <v>0</v>
      </c>
      <c r="G295" s="278">
        <f>'🧾 Factura Comercial'!H299*'📋 Datos Generales'!$E$19</f>
        <v>0</v>
      </c>
      <c r="H295" s="278">
        <f>TABLA_BASE[[#This Row],[FOB UNIT.
(S/.)]]*TABLA_BASE[[#This Row],[CANTIDAD
(unid.)]]</f>
        <v>0</v>
      </c>
      <c r="I295" s="280">
        <f>IF('🧾 Tributos Aduana'!$F$6=0,0,'🧾 Tributos Aduana'!$F$17*('🧾 Factura Comercial'!H299/'🧾 Tributos Aduana'!$F$6))</f>
        <v>0</v>
      </c>
      <c r="J295" s="280">
        <f>TABLA_BASE[[#This Row],[ADV UNIT.
(US$)
⚠️COSTO]]*TABLA_BASE[[#This Row],[CANTIDAD
(unid.)]]</f>
        <v>0</v>
      </c>
      <c r="K295" s="279">
        <f>IF('🧾 Tributos Aduana'!$F$6=0,0,'🧾 Tributos Aduana'!$F$18*('🧾 Factura Comercial'!H299/'🧾 Tributos Aduana'!$F$6))</f>
        <v>0</v>
      </c>
      <c r="L295" s="280">
        <f>TABLA_BASE[[#This Row],[IPM UNIT.
(US$)
✅CF]]*TABLA_BASE[[#This Row],[CANTIDAD
(unid.)]]</f>
        <v>0</v>
      </c>
      <c r="M295" s="279">
        <f>IF('🧾 Tributos Aduana'!$F$6=0,0,'🧾 Tributos Aduana'!$F$19*('🧾 Factura Comercial'!H299/'🧾 Tributos Aduana'!$F$6))</f>
        <v>0</v>
      </c>
      <c r="N295" s="280">
        <f>TABLA_BASE[[#This Row],[IGV UNIT.
(US$)
✅CF]]*TABLA_BASE[[#This Row],[CANTIDAD
(unid.)]]</f>
        <v>0</v>
      </c>
      <c r="O295" s="280">
        <f>IF('🧾 Tributos Aduana'!$F$6=0,0,'🧾 Tributos Aduana'!$F$23*('🧾 Factura Comercial'!H299/'🧾 Tributos Aduana'!$F$6))</f>
        <v>0</v>
      </c>
      <c r="P295" s="280">
        <f>TABLA_BASE[[#This Row],[PERCEP.
UNIT.(US$)
✅CF]]*TABLA_BASE[[#This Row],[CANTIDAD
(unid.)]]</f>
        <v>0</v>
      </c>
      <c r="Q295" s="279">
        <f>TABLA_BASE[[#This Row],[ADV UNIT.
(US$)
⚠️COSTO]]+TABLA_BASE[[#This Row],[IPM UNIT.
(US$)
✅CF]]+TABLA_BASE[[#This Row],[IGV UNIT.
(US$)
✅CF]]</f>
        <v>0</v>
      </c>
      <c r="R295" s="280">
        <f>TABLA_BASE[[#This Row],[DEUDA
ADUANERA
UNIT.]]*TABLA_BASE[[#This Row],[CANTIDAD
(unid.)]]</f>
        <v>0</v>
      </c>
      <c r="S295" s="278">
        <f>TABLA_BASE[[#This Row],[DEUDA
ADUANERA
UNIT.]]*'📋 Datos Generales'!$E$19</f>
        <v>0</v>
      </c>
      <c r="T295" s="278">
        <f>TABLA_BASE[[#This Row],[DEUDA
ADUANERA
TOTAL]]*'📋 Datos Generales'!$E$19</f>
        <v>0</v>
      </c>
      <c r="U295" s="281">
        <f>TABLA_BASE[[#This Row],[ADV UNIT.
(US$)
⚠️COSTO]]*'📋 Datos Generales'!$E$19</f>
        <v>0</v>
      </c>
      <c r="V295" s="281">
        <f>TABLA_BASE[[#This Row],[ADV UNIT.
(S/.)]]*TABLA_BASE[[#This Row],[CANTIDAD
(unid.)]]</f>
        <v>0</v>
      </c>
      <c r="W295" s="281">
        <f>TABLA_BASE[[#This Row],[IPM UNIT.
(US$)
✅CF]]*'📋 Datos Generales'!$E$19</f>
        <v>0</v>
      </c>
      <c r="X295" s="281">
        <f>TABLA_BASE[[#This Row],[IPM UNIT.
(S/.)]]*TABLA_BASE[[#This Row],[CANTIDAD
(unid.)]]</f>
        <v>0</v>
      </c>
      <c r="Y295" s="281">
        <f>TABLA_BASE[[#This Row],[IGV UNIT.
(US$)
✅CF]]*'📋 Datos Generales'!$E$19</f>
        <v>0</v>
      </c>
      <c r="Z295" s="281">
        <f>TABLA_BASE[[#This Row],[IGV UNIT.
(S/.)]]*TABLA_BASE[[#This Row],[CANTIDAD
(unid.)]]</f>
        <v>0</v>
      </c>
      <c r="AA295" s="281">
        <f>TABLA_BASE[[#This Row],[PERCEP.
UNIT.(US$)
✅CF]]*'📋 Datos Generales'!$E$19</f>
        <v>0</v>
      </c>
      <c r="AB295" s="281">
        <f>TABLA_BASE[[#This Row],[PERCEP.
UNIT.(S/.)]]*TABLA_BASE[[#This Row],[CANTIDAD
(unid.)]]</f>
        <v>0</v>
      </c>
      <c r="AC295" s="279">
        <f>TABLA_BASE[[#This Row],[ADV UNIT.
(US$)
⚠️COSTO]]+TABLA_BASE[[#This Row],[IPM UNIT.
(US$)
✅CF]]+TABLA_BASE[[#This Row],[IGV UNIT.
(US$)
✅CF]]+TABLA_BASE[[#This Row],[PERCEP.
UNIT.(US$)
✅CF]]</f>
        <v>0</v>
      </c>
      <c r="AD295" s="279">
        <f>TABLA_BASE[[#This Row],[TOTAL PAGO
SUNAT
UNIT.(US$)]]*TABLA_BASE[[#This Row],[CANTIDAD
(unid.)]]</f>
        <v>0</v>
      </c>
      <c r="AE295" s="281">
        <f>TABLA_BASE[[#This Row],[TOTAL PAGO
SUNAT
UNIT.(US$)]]*'📋 Datos Generales'!$E$19</f>
        <v>0</v>
      </c>
      <c r="AF295" s="281">
        <f>TABLA_BASE[[#This Row],[TOTAL TRIB.
UNIT.(S/.)]]*TABLA_BASE[[#This Row],[CANTIDAD
(unid.)]]</f>
        <v>0</v>
      </c>
      <c r="AG295" s="279">
        <f>IF('🧾 Factura Comercial'!G299=0,0,'📦 Gastos Importación'!$E$28*(IF('🧾 Tributos Aduana'!$F$6=0,0,'🧾 Factura Comercial'!I299/'🧾 Tributos Aduana'!$F$6))/'🧾 Factura Comercial'!G299)</f>
        <v>0</v>
      </c>
      <c r="AH295" s="279">
        <f>TABLA_BASE[[#This Row],[GASTOS IMP.
UNIT.(US$)]]*TABLA_BASE[[#This Row],[CANTIDAD
(unid.)]]</f>
        <v>0</v>
      </c>
      <c r="AI295" s="281">
        <f>TABLA_BASE[[#This Row],[GASTOS IMP.
UNIT.(US$)]]*'📋 Datos Generales'!$E$19</f>
        <v>0</v>
      </c>
      <c r="AJ295" s="281">
        <f>TABLA_BASE[[#This Row],[GASTOS IMP.
UNIT.(S/.)]]*TABLA_BASE[[#This Row],[CANTIDAD
(unid.)]]</f>
        <v>0</v>
      </c>
      <c r="AK295" s="280">
        <f>'🧮 Costos x Producto'!J299</f>
        <v>0</v>
      </c>
      <c r="AL295" s="278">
        <f>'🧮 Costos x Producto'!K299</f>
        <v>0</v>
      </c>
      <c r="AM295" s="278">
        <f>TABLA_BASE[[#This Row],[C/M UNIT.
(S/.)]]*TABLA_BASE[[#This Row],[CANTIDAD
(unid.)]]</f>
        <v>0</v>
      </c>
      <c r="AN295" s="279">
        <f>IF('🧾 Factura Comercial'!G299=0,0,'🧾 Tributos Aduana'!$F$17*(IF('🧾 Tributos Aduana'!$F$6=0,0,'🧾 Factura Comercial'!I299/'🧾 Tributos Aduana'!$F$6))/'🧾 Factura Comercial'!G299)</f>
        <v>0</v>
      </c>
      <c r="AO295" s="280">
        <f>IF('🧾 Factura Comercial'!G299=0,0,'🏦 Crédito Fiscal'!$C$16*(IF('🧾 Tributos Aduana'!$F$6=0,0,'🧾 Factura Comercial'!I299/'🧾 Tributos Aduana'!$F$6))/'🧾 Factura Comercial'!G299)</f>
        <v>0</v>
      </c>
      <c r="AP295" s="278">
        <f>TABLA_BASE[[#This Row],[CF UNIT.
✅RECUP.
(US$)]]*'📋 Datos Generales'!$E$19</f>
        <v>0</v>
      </c>
      <c r="AQ295" s="278">
        <f>TABLA_BASE[[#This Row],[CF UNIT.
✅RECUP.(S/.)]]*TABLA_BASE[[#This Row],[CANTIDAD
(unid.)]]</f>
        <v>0</v>
      </c>
      <c r="AR295" s="288">
        <f>'💰 Precio de Venta'!G300</f>
        <v>0.4</v>
      </c>
      <c r="AS295" s="278">
        <f>'💰 Precio de Venta'!H300</f>
        <v>0</v>
      </c>
      <c r="AT295" s="278">
        <f>TABLA_BASE[[#This Row],[VALOR VTA.
UNIT.(S/.)]]*TABLA_BASE[[#This Row],[CANTIDAD
(unid.)]]</f>
        <v>0</v>
      </c>
      <c r="AU295" s="281">
        <f>'💰 Precio de Venta'!I300</f>
        <v>0</v>
      </c>
      <c r="AV295" s="278">
        <f>'💰 Precio de Venta'!J300</f>
        <v>0</v>
      </c>
      <c r="AW295" s="278">
        <f>TABLA_BASE[[#This Row],[GANANCIA
UNIT.(S/.)]]*TABLA_BASE[[#This Row],[CANTIDAD
(unid.)]]</f>
        <v>0</v>
      </c>
      <c r="AX295" s="289">
        <f>'💰 Precio de Venta'!K300</f>
        <v>0</v>
      </c>
      <c r="AY295" s="278">
        <f>TABLA_BASE[[#This Row],[GANANCIA
UNIT.(S/.)]]*'🧾 Factura Comercial'!G299</f>
        <v>0</v>
      </c>
      <c r="AZ295" s="277">
        <f>IF(TABLA_BASE[[#This Row],[PRECIO VTA.
c/IGV(S/.)]]=0,0,TABLA_BASE[[#This Row],[GANANCIA
UNIT.(S/.)]]/TABLA_BASE[[#This Row],[PRECIO VTA.
c/IGV(S/.)]])</f>
        <v>0</v>
      </c>
      <c r="BA295" s="277">
        <f>IF(TABLA_BASE[[#This Row],[C/M UNIT.
(S/.)]]=0,0,TABLA_BASE[[#This Row],[GANANCIA
UNIT.(S/.)]]/TABLA_BASE[[#This Row],[C/M UNIT.
(S/.)]])</f>
        <v>0</v>
      </c>
      <c r="BB295" s="274" t="str">
        <f>IF(TABLA_BASE[[#This Row],[MARGEN
%]]&gt;=0.5,"🟢 ALTO",IF(TABLA_BASE[[#This Row],[MARGEN
%]]&gt;=0.3,"🟡 MEDIO","🔴 BAJO"))</f>
        <v>🟡 MEDIO</v>
      </c>
    </row>
    <row r="296" spans="1:54" ht="16.5" hidden="1" thickTop="1" thickBot="1" x14ac:dyDescent="0.3">
      <c r="A296" s="274">
        <f>'🧾 Factura Comercial'!E300</f>
        <v>0</v>
      </c>
      <c r="B296" s="274" t="str">
        <f>'🧾 Factura Comercial'!F300</f>
        <v>Unid.</v>
      </c>
      <c r="C296" s="275">
        <f>'🧾 Factura Comercial'!G300</f>
        <v>0</v>
      </c>
      <c r="D296" s="276">
        <f>'🧾 Factura Comercial'!H300</f>
        <v>0</v>
      </c>
      <c r="E296" s="276">
        <f>'🧾 Factura Comercial'!I300</f>
        <v>0</v>
      </c>
      <c r="F296" s="277">
        <f>IF('🧾 Tributos Aduana'!$F$6=0,0,'🧾 Factura Comercial'!I300/'🧾 Tributos Aduana'!$F$6)</f>
        <v>0</v>
      </c>
      <c r="G296" s="278">
        <f>'🧾 Factura Comercial'!H300*'📋 Datos Generales'!$E$19</f>
        <v>0</v>
      </c>
      <c r="H296" s="278">
        <f>TABLA_BASE[[#This Row],[FOB UNIT.
(S/.)]]*TABLA_BASE[[#This Row],[CANTIDAD
(unid.)]]</f>
        <v>0</v>
      </c>
      <c r="I296" s="280">
        <f>IF('🧾 Tributos Aduana'!$F$6=0,0,'🧾 Tributos Aduana'!$F$17*('🧾 Factura Comercial'!H300/'🧾 Tributos Aduana'!$F$6))</f>
        <v>0</v>
      </c>
      <c r="J296" s="280">
        <f>TABLA_BASE[[#This Row],[ADV UNIT.
(US$)
⚠️COSTO]]*TABLA_BASE[[#This Row],[CANTIDAD
(unid.)]]</f>
        <v>0</v>
      </c>
      <c r="K296" s="279">
        <f>IF('🧾 Tributos Aduana'!$F$6=0,0,'🧾 Tributos Aduana'!$F$18*('🧾 Factura Comercial'!H300/'🧾 Tributos Aduana'!$F$6))</f>
        <v>0</v>
      </c>
      <c r="L296" s="280">
        <f>TABLA_BASE[[#This Row],[IPM UNIT.
(US$)
✅CF]]*TABLA_BASE[[#This Row],[CANTIDAD
(unid.)]]</f>
        <v>0</v>
      </c>
      <c r="M296" s="279">
        <f>IF('🧾 Tributos Aduana'!$F$6=0,0,'🧾 Tributos Aduana'!$F$19*('🧾 Factura Comercial'!H300/'🧾 Tributos Aduana'!$F$6))</f>
        <v>0</v>
      </c>
      <c r="N296" s="280">
        <f>TABLA_BASE[[#This Row],[IGV UNIT.
(US$)
✅CF]]*TABLA_BASE[[#This Row],[CANTIDAD
(unid.)]]</f>
        <v>0</v>
      </c>
      <c r="O296" s="280">
        <f>IF('🧾 Tributos Aduana'!$F$6=0,0,'🧾 Tributos Aduana'!$F$23*('🧾 Factura Comercial'!H300/'🧾 Tributos Aduana'!$F$6))</f>
        <v>0</v>
      </c>
      <c r="P296" s="280">
        <f>TABLA_BASE[[#This Row],[PERCEP.
UNIT.(US$)
✅CF]]*TABLA_BASE[[#This Row],[CANTIDAD
(unid.)]]</f>
        <v>0</v>
      </c>
      <c r="Q296" s="279">
        <f>TABLA_BASE[[#This Row],[ADV UNIT.
(US$)
⚠️COSTO]]+TABLA_BASE[[#This Row],[IPM UNIT.
(US$)
✅CF]]+TABLA_BASE[[#This Row],[IGV UNIT.
(US$)
✅CF]]</f>
        <v>0</v>
      </c>
      <c r="R296" s="280">
        <f>TABLA_BASE[[#This Row],[DEUDA
ADUANERA
UNIT.]]*TABLA_BASE[[#This Row],[CANTIDAD
(unid.)]]</f>
        <v>0</v>
      </c>
      <c r="S296" s="278">
        <f>TABLA_BASE[[#This Row],[DEUDA
ADUANERA
UNIT.]]*'📋 Datos Generales'!$E$19</f>
        <v>0</v>
      </c>
      <c r="T296" s="278">
        <f>TABLA_BASE[[#This Row],[DEUDA
ADUANERA
TOTAL]]*'📋 Datos Generales'!$E$19</f>
        <v>0</v>
      </c>
      <c r="U296" s="281">
        <f>TABLA_BASE[[#This Row],[ADV UNIT.
(US$)
⚠️COSTO]]*'📋 Datos Generales'!$E$19</f>
        <v>0</v>
      </c>
      <c r="V296" s="281">
        <f>TABLA_BASE[[#This Row],[ADV UNIT.
(S/.)]]*TABLA_BASE[[#This Row],[CANTIDAD
(unid.)]]</f>
        <v>0</v>
      </c>
      <c r="W296" s="281">
        <f>TABLA_BASE[[#This Row],[IPM UNIT.
(US$)
✅CF]]*'📋 Datos Generales'!$E$19</f>
        <v>0</v>
      </c>
      <c r="X296" s="281">
        <f>TABLA_BASE[[#This Row],[IPM UNIT.
(S/.)]]*TABLA_BASE[[#This Row],[CANTIDAD
(unid.)]]</f>
        <v>0</v>
      </c>
      <c r="Y296" s="281">
        <f>TABLA_BASE[[#This Row],[IGV UNIT.
(US$)
✅CF]]*'📋 Datos Generales'!$E$19</f>
        <v>0</v>
      </c>
      <c r="Z296" s="281">
        <f>TABLA_BASE[[#This Row],[IGV UNIT.
(S/.)]]*TABLA_BASE[[#This Row],[CANTIDAD
(unid.)]]</f>
        <v>0</v>
      </c>
      <c r="AA296" s="281">
        <f>TABLA_BASE[[#This Row],[PERCEP.
UNIT.(US$)
✅CF]]*'📋 Datos Generales'!$E$19</f>
        <v>0</v>
      </c>
      <c r="AB296" s="281">
        <f>TABLA_BASE[[#This Row],[PERCEP.
UNIT.(S/.)]]*TABLA_BASE[[#This Row],[CANTIDAD
(unid.)]]</f>
        <v>0</v>
      </c>
      <c r="AC296" s="279">
        <f>TABLA_BASE[[#This Row],[ADV UNIT.
(US$)
⚠️COSTO]]+TABLA_BASE[[#This Row],[IPM UNIT.
(US$)
✅CF]]+TABLA_BASE[[#This Row],[IGV UNIT.
(US$)
✅CF]]+TABLA_BASE[[#This Row],[PERCEP.
UNIT.(US$)
✅CF]]</f>
        <v>0</v>
      </c>
      <c r="AD296" s="279">
        <f>TABLA_BASE[[#This Row],[TOTAL PAGO
SUNAT
UNIT.(US$)]]*TABLA_BASE[[#This Row],[CANTIDAD
(unid.)]]</f>
        <v>0</v>
      </c>
      <c r="AE296" s="281">
        <f>TABLA_BASE[[#This Row],[TOTAL PAGO
SUNAT
UNIT.(US$)]]*'📋 Datos Generales'!$E$19</f>
        <v>0</v>
      </c>
      <c r="AF296" s="281">
        <f>TABLA_BASE[[#This Row],[TOTAL TRIB.
UNIT.(S/.)]]*TABLA_BASE[[#This Row],[CANTIDAD
(unid.)]]</f>
        <v>0</v>
      </c>
      <c r="AG296" s="279">
        <f>IF('🧾 Factura Comercial'!G300=0,0,'📦 Gastos Importación'!$E$28*(IF('🧾 Tributos Aduana'!$F$6=0,0,'🧾 Factura Comercial'!I300/'🧾 Tributos Aduana'!$F$6))/'🧾 Factura Comercial'!G300)</f>
        <v>0</v>
      </c>
      <c r="AH296" s="279">
        <f>TABLA_BASE[[#This Row],[GASTOS IMP.
UNIT.(US$)]]*TABLA_BASE[[#This Row],[CANTIDAD
(unid.)]]</f>
        <v>0</v>
      </c>
      <c r="AI296" s="281">
        <f>TABLA_BASE[[#This Row],[GASTOS IMP.
UNIT.(US$)]]*'📋 Datos Generales'!$E$19</f>
        <v>0</v>
      </c>
      <c r="AJ296" s="281">
        <f>TABLA_BASE[[#This Row],[GASTOS IMP.
UNIT.(S/.)]]*TABLA_BASE[[#This Row],[CANTIDAD
(unid.)]]</f>
        <v>0</v>
      </c>
      <c r="AK296" s="280">
        <f>'🧮 Costos x Producto'!J300</f>
        <v>0</v>
      </c>
      <c r="AL296" s="278">
        <f>'🧮 Costos x Producto'!K300</f>
        <v>0</v>
      </c>
      <c r="AM296" s="278">
        <f>TABLA_BASE[[#This Row],[C/M UNIT.
(S/.)]]*TABLA_BASE[[#This Row],[CANTIDAD
(unid.)]]</f>
        <v>0</v>
      </c>
      <c r="AN296" s="279">
        <f>IF('🧾 Factura Comercial'!G300=0,0,'🧾 Tributos Aduana'!$F$17*(IF('🧾 Tributos Aduana'!$F$6=0,0,'🧾 Factura Comercial'!I300/'🧾 Tributos Aduana'!$F$6))/'🧾 Factura Comercial'!G300)</f>
        <v>0</v>
      </c>
      <c r="AO296" s="280">
        <f>IF('🧾 Factura Comercial'!G300=0,0,'🏦 Crédito Fiscal'!$C$16*(IF('🧾 Tributos Aduana'!$F$6=0,0,'🧾 Factura Comercial'!I300/'🧾 Tributos Aduana'!$F$6))/'🧾 Factura Comercial'!G300)</f>
        <v>0</v>
      </c>
      <c r="AP296" s="278">
        <f>TABLA_BASE[[#This Row],[CF UNIT.
✅RECUP.
(US$)]]*'📋 Datos Generales'!$E$19</f>
        <v>0</v>
      </c>
      <c r="AQ296" s="278">
        <f>TABLA_BASE[[#This Row],[CF UNIT.
✅RECUP.(S/.)]]*TABLA_BASE[[#This Row],[CANTIDAD
(unid.)]]</f>
        <v>0</v>
      </c>
      <c r="AR296" s="288">
        <f>'💰 Precio de Venta'!G301</f>
        <v>0.4</v>
      </c>
      <c r="AS296" s="278">
        <f>'💰 Precio de Venta'!H301</f>
        <v>0</v>
      </c>
      <c r="AT296" s="278">
        <f>TABLA_BASE[[#This Row],[VALOR VTA.
UNIT.(S/.)]]*TABLA_BASE[[#This Row],[CANTIDAD
(unid.)]]</f>
        <v>0</v>
      </c>
      <c r="AU296" s="281">
        <f>'💰 Precio de Venta'!I301</f>
        <v>0</v>
      </c>
      <c r="AV296" s="278">
        <f>'💰 Precio de Venta'!J301</f>
        <v>0</v>
      </c>
      <c r="AW296" s="278">
        <f>TABLA_BASE[[#This Row],[GANANCIA
UNIT.(S/.)]]*TABLA_BASE[[#This Row],[CANTIDAD
(unid.)]]</f>
        <v>0</v>
      </c>
      <c r="AX296" s="289">
        <f>'💰 Precio de Venta'!K301</f>
        <v>0</v>
      </c>
      <c r="AY296" s="278">
        <f>TABLA_BASE[[#This Row],[GANANCIA
UNIT.(S/.)]]*'🧾 Factura Comercial'!G300</f>
        <v>0</v>
      </c>
      <c r="AZ296" s="277">
        <f>IF(TABLA_BASE[[#This Row],[PRECIO VTA.
c/IGV(S/.)]]=0,0,TABLA_BASE[[#This Row],[GANANCIA
UNIT.(S/.)]]/TABLA_BASE[[#This Row],[PRECIO VTA.
c/IGV(S/.)]])</f>
        <v>0</v>
      </c>
      <c r="BA296" s="277">
        <f>IF(TABLA_BASE[[#This Row],[C/M UNIT.
(S/.)]]=0,0,TABLA_BASE[[#This Row],[GANANCIA
UNIT.(S/.)]]/TABLA_BASE[[#This Row],[C/M UNIT.
(S/.)]])</f>
        <v>0</v>
      </c>
      <c r="BB296" s="274" t="str">
        <f>IF(TABLA_BASE[[#This Row],[MARGEN
%]]&gt;=0.5,"🟢 ALTO",IF(TABLA_BASE[[#This Row],[MARGEN
%]]&gt;=0.3,"🟡 MEDIO","🔴 BAJO"))</f>
        <v>🟡 MEDIO</v>
      </c>
    </row>
    <row r="297" spans="1:54" ht="16.5" hidden="1" thickTop="1" thickBot="1" x14ac:dyDescent="0.3">
      <c r="A297" s="274">
        <f>'🧾 Factura Comercial'!E301</f>
        <v>0</v>
      </c>
      <c r="B297" s="274" t="str">
        <f>'🧾 Factura Comercial'!F301</f>
        <v>Unid.</v>
      </c>
      <c r="C297" s="275">
        <f>'🧾 Factura Comercial'!G301</f>
        <v>0</v>
      </c>
      <c r="D297" s="276">
        <f>'🧾 Factura Comercial'!H301</f>
        <v>0</v>
      </c>
      <c r="E297" s="276">
        <f>'🧾 Factura Comercial'!I301</f>
        <v>0</v>
      </c>
      <c r="F297" s="277">
        <f>IF('🧾 Tributos Aduana'!$F$6=0,0,'🧾 Factura Comercial'!I301/'🧾 Tributos Aduana'!$F$6)</f>
        <v>0</v>
      </c>
      <c r="G297" s="278">
        <f>'🧾 Factura Comercial'!H301*'📋 Datos Generales'!$E$19</f>
        <v>0</v>
      </c>
      <c r="H297" s="278">
        <f>TABLA_BASE[[#This Row],[FOB UNIT.
(S/.)]]*TABLA_BASE[[#This Row],[CANTIDAD
(unid.)]]</f>
        <v>0</v>
      </c>
      <c r="I297" s="280">
        <f>IF('🧾 Tributos Aduana'!$F$6=0,0,'🧾 Tributos Aduana'!$F$17*('🧾 Factura Comercial'!H301/'🧾 Tributos Aduana'!$F$6))</f>
        <v>0</v>
      </c>
      <c r="J297" s="280">
        <f>TABLA_BASE[[#This Row],[ADV UNIT.
(US$)
⚠️COSTO]]*TABLA_BASE[[#This Row],[CANTIDAD
(unid.)]]</f>
        <v>0</v>
      </c>
      <c r="K297" s="279">
        <f>IF('🧾 Tributos Aduana'!$F$6=0,0,'🧾 Tributos Aduana'!$F$18*('🧾 Factura Comercial'!H301/'🧾 Tributos Aduana'!$F$6))</f>
        <v>0</v>
      </c>
      <c r="L297" s="280">
        <f>TABLA_BASE[[#This Row],[IPM UNIT.
(US$)
✅CF]]*TABLA_BASE[[#This Row],[CANTIDAD
(unid.)]]</f>
        <v>0</v>
      </c>
      <c r="M297" s="279">
        <f>IF('🧾 Tributos Aduana'!$F$6=0,0,'🧾 Tributos Aduana'!$F$19*('🧾 Factura Comercial'!H301/'🧾 Tributos Aduana'!$F$6))</f>
        <v>0</v>
      </c>
      <c r="N297" s="280">
        <f>TABLA_BASE[[#This Row],[IGV UNIT.
(US$)
✅CF]]*TABLA_BASE[[#This Row],[CANTIDAD
(unid.)]]</f>
        <v>0</v>
      </c>
      <c r="O297" s="280">
        <f>IF('🧾 Tributos Aduana'!$F$6=0,0,'🧾 Tributos Aduana'!$F$23*('🧾 Factura Comercial'!H301/'🧾 Tributos Aduana'!$F$6))</f>
        <v>0</v>
      </c>
      <c r="P297" s="280">
        <f>TABLA_BASE[[#This Row],[PERCEP.
UNIT.(US$)
✅CF]]*TABLA_BASE[[#This Row],[CANTIDAD
(unid.)]]</f>
        <v>0</v>
      </c>
      <c r="Q297" s="279">
        <f>TABLA_BASE[[#This Row],[ADV UNIT.
(US$)
⚠️COSTO]]+TABLA_BASE[[#This Row],[IPM UNIT.
(US$)
✅CF]]+TABLA_BASE[[#This Row],[IGV UNIT.
(US$)
✅CF]]</f>
        <v>0</v>
      </c>
      <c r="R297" s="280">
        <f>TABLA_BASE[[#This Row],[DEUDA
ADUANERA
UNIT.]]*TABLA_BASE[[#This Row],[CANTIDAD
(unid.)]]</f>
        <v>0</v>
      </c>
      <c r="S297" s="278">
        <f>TABLA_BASE[[#This Row],[DEUDA
ADUANERA
UNIT.]]*'📋 Datos Generales'!$E$19</f>
        <v>0</v>
      </c>
      <c r="T297" s="278">
        <f>TABLA_BASE[[#This Row],[DEUDA
ADUANERA
TOTAL]]*'📋 Datos Generales'!$E$19</f>
        <v>0</v>
      </c>
      <c r="U297" s="281">
        <f>TABLA_BASE[[#This Row],[ADV UNIT.
(US$)
⚠️COSTO]]*'📋 Datos Generales'!$E$19</f>
        <v>0</v>
      </c>
      <c r="V297" s="281">
        <f>TABLA_BASE[[#This Row],[ADV UNIT.
(S/.)]]*TABLA_BASE[[#This Row],[CANTIDAD
(unid.)]]</f>
        <v>0</v>
      </c>
      <c r="W297" s="281">
        <f>TABLA_BASE[[#This Row],[IPM UNIT.
(US$)
✅CF]]*'📋 Datos Generales'!$E$19</f>
        <v>0</v>
      </c>
      <c r="X297" s="281">
        <f>TABLA_BASE[[#This Row],[IPM UNIT.
(S/.)]]*TABLA_BASE[[#This Row],[CANTIDAD
(unid.)]]</f>
        <v>0</v>
      </c>
      <c r="Y297" s="281">
        <f>TABLA_BASE[[#This Row],[IGV UNIT.
(US$)
✅CF]]*'📋 Datos Generales'!$E$19</f>
        <v>0</v>
      </c>
      <c r="Z297" s="281">
        <f>TABLA_BASE[[#This Row],[IGV UNIT.
(S/.)]]*TABLA_BASE[[#This Row],[CANTIDAD
(unid.)]]</f>
        <v>0</v>
      </c>
      <c r="AA297" s="281">
        <f>TABLA_BASE[[#This Row],[PERCEP.
UNIT.(US$)
✅CF]]*'📋 Datos Generales'!$E$19</f>
        <v>0</v>
      </c>
      <c r="AB297" s="281">
        <f>TABLA_BASE[[#This Row],[PERCEP.
UNIT.(S/.)]]*TABLA_BASE[[#This Row],[CANTIDAD
(unid.)]]</f>
        <v>0</v>
      </c>
      <c r="AC297" s="279">
        <f>TABLA_BASE[[#This Row],[ADV UNIT.
(US$)
⚠️COSTO]]+TABLA_BASE[[#This Row],[IPM UNIT.
(US$)
✅CF]]+TABLA_BASE[[#This Row],[IGV UNIT.
(US$)
✅CF]]+TABLA_BASE[[#This Row],[PERCEP.
UNIT.(US$)
✅CF]]</f>
        <v>0</v>
      </c>
      <c r="AD297" s="279">
        <f>TABLA_BASE[[#This Row],[TOTAL PAGO
SUNAT
UNIT.(US$)]]*TABLA_BASE[[#This Row],[CANTIDAD
(unid.)]]</f>
        <v>0</v>
      </c>
      <c r="AE297" s="281">
        <f>TABLA_BASE[[#This Row],[TOTAL PAGO
SUNAT
UNIT.(US$)]]*'📋 Datos Generales'!$E$19</f>
        <v>0</v>
      </c>
      <c r="AF297" s="281">
        <f>TABLA_BASE[[#This Row],[TOTAL TRIB.
UNIT.(S/.)]]*TABLA_BASE[[#This Row],[CANTIDAD
(unid.)]]</f>
        <v>0</v>
      </c>
      <c r="AG297" s="279">
        <f>IF('🧾 Factura Comercial'!G301=0,0,'📦 Gastos Importación'!$E$28*(IF('🧾 Tributos Aduana'!$F$6=0,0,'🧾 Factura Comercial'!I301/'🧾 Tributos Aduana'!$F$6))/'🧾 Factura Comercial'!G301)</f>
        <v>0</v>
      </c>
      <c r="AH297" s="279">
        <f>TABLA_BASE[[#This Row],[GASTOS IMP.
UNIT.(US$)]]*TABLA_BASE[[#This Row],[CANTIDAD
(unid.)]]</f>
        <v>0</v>
      </c>
      <c r="AI297" s="281">
        <f>TABLA_BASE[[#This Row],[GASTOS IMP.
UNIT.(US$)]]*'📋 Datos Generales'!$E$19</f>
        <v>0</v>
      </c>
      <c r="AJ297" s="281">
        <f>TABLA_BASE[[#This Row],[GASTOS IMP.
UNIT.(S/.)]]*TABLA_BASE[[#This Row],[CANTIDAD
(unid.)]]</f>
        <v>0</v>
      </c>
      <c r="AK297" s="280">
        <f>'🧮 Costos x Producto'!J301</f>
        <v>0</v>
      </c>
      <c r="AL297" s="278">
        <f>'🧮 Costos x Producto'!K301</f>
        <v>0</v>
      </c>
      <c r="AM297" s="278">
        <f>TABLA_BASE[[#This Row],[C/M UNIT.
(S/.)]]*TABLA_BASE[[#This Row],[CANTIDAD
(unid.)]]</f>
        <v>0</v>
      </c>
      <c r="AN297" s="279">
        <f>IF('🧾 Factura Comercial'!G301=0,0,'🧾 Tributos Aduana'!$F$17*(IF('🧾 Tributos Aduana'!$F$6=0,0,'🧾 Factura Comercial'!I301/'🧾 Tributos Aduana'!$F$6))/'🧾 Factura Comercial'!G301)</f>
        <v>0</v>
      </c>
      <c r="AO297" s="280">
        <f>IF('🧾 Factura Comercial'!G301=0,0,'🏦 Crédito Fiscal'!$C$16*(IF('🧾 Tributos Aduana'!$F$6=0,0,'🧾 Factura Comercial'!I301/'🧾 Tributos Aduana'!$F$6))/'🧾 Factura Comercial'!G301)</f>
        <v>0</v>
      </c>
      <c r="AP297" s="278">
        <f>TABLA_BASE[[#This Row],[CF UNIT.
✅RECUP.
(US$)]]*'📋 Datos Generales'!$E$19</f>
        <v>0</v>
      </c>
      <c r="AQ297" s="278">
        <f>TABLA_BASE[[#This Row],[CF UNIT.
✅RECUP.(S/.)]]*TABLA_BASE[[#This Row],[CANTIDAD
(unid.)]]</f>
        <v>0</v>
      </c>
      <c r="AR297" s="288">
        <f>'💰 Precio de Venta'!G302</f>
        <v>0.4</v>
      </c>
      <c r="AS297" s="278">
        <f>'💰 Precio de Venta'!H302</f>
        <v>0</v>
      </c>
      <c r="AT297" s="278">
        <f>TABLA_BASE[[#This Row],[VALOR VTA.
UNIT.(S/.)]]*TABLA_BASE[[#This Row],[CANTIDAD
(unid.)]]</f>
        <v>0</v>
      </c>
      <c r="AU297" s="281">
        <f>'💰 Precio de Venta'!I302</f>
        <v>0</v>
      </c>
      <c r="AV297" s="278">
        <f>'💰 Precio de Venta'!J302</f>
        <v>0</v>
      </c>
      <c r="AW297" s="278">
        <f>TABLA_BASE[[#This Row],[GANANCIA
UNIT.(S/.)]]*TABLA_BASE[[#This Row],[CANTIDAD
(unid.)]]</f>
        <v>0</v>
      </c>
      <c r="AX297" s="289">
        <f>'💰 Precio de Venta'!K302</f>
        <v>0</v>
      </c>
      <c r="AY297" s="278">
        <f>TABLA_BASE[[#This Row],[GANANCIA
UNIT.(S/.)]]*'🧾 Factura Comercial'!G301</f>
        <v>0</v>
      </c>
      <c r="AZ297" s="277">
        <f>IF(TABLA_BASE[[#This Row],[PRECIO VTA.
c/IGV(S/.)]]=0,0,TABLA_BASE[[#This Row],[GANANCIA
UNIT.(S/.)]]/TABLA_BASE[[#This Row],[PRECIO VTA.
c/IGV(S/.)]])</f>
        <v>0</v>
      </c>
      <c r="BA297" s="277">
        <f>IF(TABLA_BASE[[#This Row],[C/M UNIT.
(S/.)]]=0,0,TABLA_BASE[[#This Row],[GANANCIA
UNIT.(S/.)]]/TABLA_BASE[[#This Row],[C/M UNIT.
(S/.)]])</f>
        <v>0</v>
      </c>
      <c r="BB297" s="274" t="str">
        <f>IF(TABLA_BASE[[#This Row],[MARGEN
%]]&gt;=0.5,"🟢 ALTO",IF(TABLA_BASE[[#This Row],[MARGEN
%]]&gt;=0.3,"🟡 MEDIO","🔴 BAJO"))</f>
        <v>🟡 MEDIO</v>
      </c>
    </row>
    <row r="298" spans="1:54" ht="16.5" hidden="1" thickTop="1" thickBot="1" x14ac:dyDescent="0.3">
      <c r="A298" s="274">
        <f>'🧾 Factura Comercial'!E302</f>
        <v>0</v>
      </c>
      <c r="B298" s="274" t="str">
        <f>'🧾 Factura Comercial'!F302</f>
        <v>Unid.</v>
      </c>
      <c r="C298" s="275">
        <f>'🧾 Factura Comercial'!G302</f>
        <v>0</v>
      </c>
      <c r="D298" s="276">
        <f>'🧾 Factura Comercial'!H302</f>
        <v>0</v>
      </c>
      <c r="E298" s="276">
        <f>'🧾 Factura Comercial'!I302</f>
        <v>0</v>
      </c>
      <c r="F298" s="277">
        <f>IF('🧾 Tributos Aduana'!$F$6=0,0,'🧾 Factura Comercial'!I302/'🧾 Tributos Aduana'!$F$6)</f>
        <v>0</v>
      </c>
      <c r="G298" s="278">
        <f>'🧾 Factura Comercial'!H302*'📋 Datos Generales'!$E$19</f>
        <v>0</v>
      </c>
      <c r="H298" s="278">
        <f>TABLA_BASE[[#This Row],[FOB UNIT.
(S/.)]]*TABLA_BASE[[#This Row],[CANTIDAD
(unid.)]]</f>
        <v>0</v>
      </c>
      <c r="I298" s="280">
        <f>IF('🧾 Tributos Aduana'!$F$6=0,0,'🧾 Tributos Aduana'!$F$17*('🧾 Factura Comercial'!H302/'🧾 Tributos Aduana'!$F$6))</f>
        <v>0</v>
      </c>
      <c r="J298" s="280">
        <f>TABLA_BASE[[#This Row],[ADV UNIT.
(US$)
⚠️COSTO]]*TABLA_BASE[[#This Row],[CANTIDAD
(unid.)]]</f>
        <v>0</v>
      </c>
      <c r="K298" s="279">
        <f>IF('🧾 Tributos Aduana'!$F$6=0,0,'🧾 Tributos Aduana'!$F$18*('🧾 Factura Comercial'!H302/'🧾 Tributos Aduana'!$F$6))</f>
        <v>0</v>
      </c>
      <c r="L298" s="280">
        <f>TABLA_BASE[[#This Row],[IPM UNIT.
(US$)
✅CF]]*TABLA_BASE[[#This Row],[CANTIDAD
(unid.)]]</f>
        <v>0</v>
      </c>
      <c r="M298" s="279">
        <f>IF('🧾 Tributos Aduana'!$F$6=0,0,'🧾 Tributos Aduana'!$F$19*('🧾 Factura Comercial'!H302/'🧾 Tributos Aduana'!$F$6))</f>
        <v>0</v>
      </c>
      <c r="N298" s="280">
        <f>TABLA_BASE[[#This Row],[IGV UNIT.
(US$)
✅CF]]*TABLA_BASE[[#This Row],[CANTIDAD
(unid.)]]</f>
        <v>0</v>
      </c>
      <c r="O298" s="280">
        <f>IF('🧾 Tributos Aduana'!$F$6=0,0,'🧾 Tributos Aduana'!$F$23*('🧾 Factura Comercial'!H302/'🧾 Tributos Aduana'!$F$6))</f>
        <v>0</v>
      </c>
      <c r="P298" s="280">
        <f>TABLA_BASE[[#This Row],[PERCEP.
UNIT.(US$)
✅CF]]*TABLA_BASE[[#This Row],[CANTIDAD
(unid.)]]</f>
        <v>0</v>
      </c>
      <c r="Q298" s="279">
        <f>TABLA_BASE[[#This Row],[ADV UNIT.
(US$)
⚠️COSTO]]+TABLA_BASE[[#This Row],[IPM UNIT.
(US$)
✅CF]]+TABLA_BASE[[#This Row],[IGV UNIT.
(US$)
✅CF]]</f>
        <v>0</v>
      </c>
      <c r="R298" s="280">
        <f>TABLA_BASE[[#This Row],[DEUDA
ADUANERA
UNIT.]]*TABLA_BASE[[#This Row],[CANTIDAD
(unid.)]]</f>
        <v>0</v>
      </c>
      <c r="S298" s="278">
        <f>TABLA_BASE[[#This Row],[DEUDA
ADUANERA
UNIT.]]*'📋 Datos Generales'!$E$19</f>
        <v>0</v>
      </c>
      <c r="T298" s="278">
        <f>TABLA_BASE[[#This Row],[DEUDA
ADUANERA
TOTAL]]*'📋 Datos Generales'!$E$19</f>
        <v>0</v>
      </c>
      <c r="U298" s="281">
        <f>TABLA_BASE[[#This Row],[ADV UNIT.
(US$)
⚠️COSTO]]*'📋 Datos Generales'!$E$19</f>
        <v>0</v>
      </c>
      <c r="V298" s="281">
        <f>TABLA_BASE[[#This Row],[ADV UNIT.
(S/.)]]*TABLA_BASE[[#This Row],[CANTIDAD
(unid.)]]</f>
        <v>0</v>
      </c>
      <c r="W298" s="281">
        <f>TABLA_BASE[[#This Row],[IPM UNIT.
(US$)
✅CF]]*'📋 Datos Generales'!$E$19</f>
        <v>0</v>
      </c>
      <c r="X298" s="281">
        <f>TABLA_BASE[[#This Row],[IPM UNIT.
(S/.)]]*TABLA_BASE[[#This Row],[CANTIDAD
(unid.)]]</f>
        <v>0</v>
      </c>
      <c r="Y298" s="281">
        <f>TABLA_BASE[[#This Row],[IGV UNIT.
(US$)
✅CF]]*'📋 Datos Generales'!$E$19</f>
        <v>0</v>
      </c>
      <c r="Z298" s="281">
        <f>TABLA_BASE[[#This Row],[IGV UNIT.
(S/.)]]*TABLA_BASE[[#This Row],[CANTIDAD
(unid.)]]</f>
        <v>0</v>
      </c>
      <c r="AA298" s="281">
        <f>TABLA_BASE[[#This Row],[PERCEP.
UNIT.(US$)
✅CF]]*'📋 Datos Generales'!$E$19</f>
        <v>0</v>
      </c>
      <c r="AB298" s="281">
        <f>TABLA_BASE[[#This Row],[PERCEP.
UNIT.(S/.)]]*TABLA_BASE[[#This Row],[CANTIDAD
(unid.)]]</f>
        <v>0</v>
      </c>
      <c r="AC298" s="279">
        <f>TABLA_BASE[[#This Row],[ADV UNIT.
(US$)
⚠️COSTO]]+TABLA_BASE[[#This Row],[IPM UNIT.
(US$)
✅CF]]+TABLA_BASE[[#This Row],[IGV UNIT.
(US$)
✅CF]]+TABLA_BASE[[#This Row],[PERCEP.
UNIT.(US$)
✅CF]]</f>
        <v>0</v>
      </c>
      <c r="AD298" s="279">
        <f>TABLA_BASE[[#This Row],[TOTAL PAGO
SUNAT
UNIT.(US$)]]*TABLA_BASE[[#This Row],[CANTIDAD
(unid.)]]</f>
        <v>0</v>
      </c>
      <c r="AE298" s="281">
        <f>TABLA_BASE[[#This Row],[TOTAL PAGO
SUNAT
UNIT.(US$)]]*'📋 Datos Generales'!$E$19</f>
        <v>0</v>
      </c>
      <c r="AF298" s="281">
        <f>TABLA_BASE[[#This Row],[TOTAL TRIB.
UNIT.(S/.)]]*TABLA_BASE[[#This Row],[CANTIDAD
(unid.)]]</f>
        <v>0</v>
      </c>
      <c r="AG298" s="279">
        <f>IF('🧾 Factura Comercial'!G302=0,0,'📦 Gastos Importación'!$E$28*(IF('🧾 Tributos Aduana'!$F$6=0,0,'🧾 Factura Comercial'!I302/'🧾 Tributos Aduana'!$F$6))/'🧾 Factura Comercial'!G302)</f>
        <v>0</v>
      </c>
      <c r="AH298" s="279">
        <f>TABLA_BASE[[#This Row],[GASTOS IMP.
UNIT.(US$)]]*TABLA_BASE[[#This Row],[CANTIDAD
(unid.)]]</f>
        <v>0</v>
      </c>
      <c r="AI298" s="281">
        <f>TABLA_BASE[[#This Row],[GASTOS IMP.
UNIT.(US$)]]*'📋 Datos Generales'!$E$19</f>
        <v>0</v>
      </c>
      <c r="AJ298" s="281">
        <f>TABLA_BASE[[#This Row],[GASTOS IMP.
UNIT.(S/.)]]*TABLA_BASE[[#This Row],[CANTIDAD
(unid.)]]</f>
        <v>0</v>
      </c>
      <c r="AK298" s="280">
        <f>'🧮 Costos x Producto'!J302</f>
        <v>0</v>
      </c>
      <c r="AL298" s="278">
        <f>'🧮 Costos x Producto'!K302</f>
        <v>0</v>
      </c>
      <c r="AM298" s="278">
        <f>TABLA_BASE[[#This Row],[C/M UNIT.
(S/.)]]*TABLA_BASE[[#This Row],[CANTIDAD
(unid.)]]</f>
        <v>0</v>
      </c>
      <c r="AN298" s="279">
        <f>IF('🧾 Factura Comercial'!G302=0,0,'🧾 Tributos Aduana'!$F$17*(IF('🧾 Tributos Aduana'!$F$6=0,0,'🧾 Factura Comercial'!I302/'🧾 Tributos Aduana'!$F$6))/'🧾 Factura Comercial'!G302)</f>
        <v>0</v>
      </c>
      <c r="AO298" s="280">
        <f>IF('🧾 Factura Comercial'!G302=0,0,'🏦 Crédito Fiscal'!$C$16*(IF('🧾 Tributos Aduana'!$F$6=0,0,'🧾 Factura Comercial'!I302/'🧾 Tributos Aduana'!$F$6))/'🧾 Factura Comercial'!G302)</f>
        <v>0</v>
      </c>
      <c r="AP298" s="278">
        <f>TABLA_BASE[[#This Row],[CF UNIT.
✅RECUP.
(US$)]]*'📋 Datos Generales'!$E$19</f>
        <v>0</v>
      </c>
      <c r="AQ298" s="278">
        <f>TABLA_BASE[[#This Row],[CF UNIT.
✅RECUP.(S/.)]]*TABLA_BASE[[#This Row],[CANTIDAD
(unid.)]]</f>
        <v>0</v>
      </c>
      <c r="AR298" s="288">
        <f>'💰 Precio de Venta'!G303</f>
        <v>0.4</v>
      </c>
      <c r="AS298" s="278">
        <f>'💰 Precio de Venta'!H303</f>
        <v>0</v>
      </c>
      <c r="AT298" s="278">
        <f>TABLA_BASE[[#This Row],[VALOR VTA.
UNIT.(S/.)]]*TABLA_BASE[[#This Row],[CANTIDAD
(unid.)]]</f>
        <v>0</v>
      </c>
      <c r="AU298" s="281">
        <f>'💰 Precio de Venta'!I303</f>
        <v>0</v>
      </c>
      <c r="AV298" s="278">
        <f>'💰 Precio de Venta'!J303</f>
        <v>0</v>
      </c>
      <c r="AW298" s="278">
        <f>TABLA_BASE[[#This Row],[GANANCIA
UNIT.(S/.)]]*TABLA_BASE[[#This Row],[CANTIDAD
(unid.)]]</f>
        <v>0</v>
      </c>
      <c r="AX298" s="289">
        <f>'💰 Precio de Venta'!K303</f>
        <v>0</v>
      </c>
      <c r="AY298" s="278">
        <f>TABLA_BASE[[#This Row],[GANANCIA
UNIT.(S/.)]]*'🧾 Factura Comercial'!G302</f>
        <v>0</v>
      </c>
      <c r="AZ298" s="277">
        <f>IF(TABLA_BASE[[#This Row],[PRECIO VTA.
c/IGV(S/.)]]=0,0,TABLA_BASE[[#This Row],[GANANCIA
UNIT.(S/.)]]/TABLA_BASE[[#This Row],[PRECIO VTA.
c/IGV(S/.)]])</f>
        <v>0</v>
      </c>
      <c r="BA298" s="277">
        <f>IF(TABLA_BASE[[#This Row],[C/M UNIT.
(S/.)]]=0,0,TABLA_BASE[[#This Row],[GANANCIA
UNIT.(S/.)]]/TABLA_BASE[[#This Row],[C/M UNIT.
(S/.)]])</f>
        <v>0</v>
      </c>
      <c r="BB298" s="274" t="str">
        <f>IF(TABLA_BASE[[#This Row],[MARGEN
%]]&gt;=0.5,"🟢 ALTO",IF(TABLA_BASE[[#This Row],[MARGEN
%]]&gt;=0.3,"🟡 MEDIO","🔴 BAJO"))</f>
        <v>🟡 MEDIO</v>
      </c>
    </row>
    <row r="299" spans="1:54" ht="16.5" hidden="1" thickTop="1" thickBot="1" x14ac:dyDescent="0.3">
      <c r="A299" s="274">
        <f>'🧾 Factura Comercial'!E303</f>
        <v>0</v>
      </c>
      <c r="B299" s="274" t="str">
        <f>'🧾 Factura Comercial'!F303</f>
        <v>Unid.</v>
      </c>
      <c r="C299" s="275">
        <f>'🧾 Factura Comercial'!G303</f>
        <v>0</v>
      </c>
      <c r="D299" s="276">
        <f>'🧾 Factura Comercial'!H303</f>
        <v>0</v>
      </c>
      <c r="E299" s="276">
        <f>'🧾 Factura Comercial'!I303</f>
        <v>0</v>
      </c>
      <c r="F299" s="277">
        <f>IF('🧾 Tributos Aduana'!$F$6=0,0,'🧾 Factura Comercial'!I303/'🧾 Tributos Aduana'!$F$6)</f>
        <v>0</v>
      </c>
      <c r="G299" s="278">
        <f>'🧾 Factura Comercial'!H303*'📋 Datos Generales'!$E$19</f>
        <v>0</v>
      </c>
      <c r="H299" s="278">
        <f>TABLA_BASE[[#This Row],[FOB UNIT.
(S/.)]]*TABLA_BASE[[#This Row],[CANTIDAD
(unid.)]]</f>
        <v>0</v>
      </c>
      <c r="I299" s="280">
        <f>IF('🧾 Tributos Aduana'!$F$6=0,0,'🧾 Tributos Aduana'!$F$17*('🧾 Factura Comercial'!H303/'🧾 Tributos Aduana'!$F$6))</f>
        <v>0</v>
      </c>
      <c r="J299" s="280">
        <f>TABLA_BASE[[#This Row],[ADV UNIT.
(US$)
⚠️COSTO]]*TABLA_BASE[[#This Row],[CANTIDAD
(unid.)]]</f>
        <v>0</v>
      </c>
      <c r="K299" s="279">
        <f>IF('🧾 Tributos Aduana'!$F$6=0,0,'🧾 Tributos Aduana'!$F$18*('🧾 Factura Comercial'!H303/'🧾 Tributos Aduana'!$F$6))</f>
        <v>0</v>
      </c>
      <c r="L299" s="280">
        <f>TABLA_BASE[[#This Row],[IPM UNIT.
(US$)
✅CF]]*TABLA_BASE[[#This Row],[CANTIDAD
(unid.)]]</f>
        <v>0</v>
      </c>
      <c r="M299" s="279">
        <f>IF('🧾 Tributos Aduana'!$F$6=0,0,'🧾 Tributos Aduana'!$F$19*('🧾 Factura Comercial'!H303/'🧾 Tributos Aduana'!$F$6))</f>
        <v>0</v>
      </c>
      <c r="N299" s="280">
        <f>TABLA_BASE[[#This Row],[IGV UNIT.
(US$)
✅CF]]*TABLA_BASE[[#This Row],[CANTIDAD
(unid.)]]</f>
        <v>0</v>
      </c>
      <c r="O299" s="280">
        <f>IF('🧾 Tributos Aduana'!$F$6=0,0,'🧾 Tributos Aduana'!$F$23*('🧾 Factura Comercial'!H303/'🧾 Tributos Aduana'!$F$6))</f>
        <v>0</v>
      </c>
      <c r="P299" s="280">
        <f>TABLA_BASE[[#This Row],[PERCEP.
UNIT.(US$)
✅CF]]*TABLA_BASE[[#This Row],[CANTIDAD
(unid.)]]</f>
        <v>0</v>
      </c>
      <c r="Q299" s="279">
        <f>TABLA_BASE[[#This Row],[ADV UNIT.
(US$)
⚠️COSTO]]+TABLA_BASE[[#This Row],[IPM UNIT.
(US$)
✅CF]]+TABLA_BASE[[#This Row],[IGV UNIT.
(US$)
✅CF]]</f>
        <v>0</v>
      </c>
      <c r="R299" s="280">
        <f>TABLA_BASE[[#This Row],[DEUDA
ADUANERA
UNIT.]]*TABLA_BASE[[#This Row],[CANTIDAD
(unid.)]]</f>
        <v>0</v>
      </c>
      <c r="S299" s="278">
        <f>TABLA_BASE[[#This Row],[DEUDA
ADUANERA
UNIT.]]*'📋 Datos Generales'!$E$19</f>
        <v>0</v>
      </c>
      <c r="T299" s="278">
        <f>TABLA_BASE[[#This Row],[DEUDA
ADUANERA
TOTAL]]*'📋 Datos Generales'!$E$19</f>
        <v>0</v>
      </c>
      <c r="U299" s="281">
        <f>TABLA_BASE[[#This Row],[ADV UNIT.
(US$)
⚠️COSTO]]*'📋 Datos Generales'!$E$19</f>
        <v>0</v>
      </c>
      <c r="V299" s="281">
        <f>TABLA_BASE[[#This Row],[ADV UNIT.
(S/.)]]*TABLA_BASE[[#This Row],[CANTIDAD
(unid.)]]</f>
        <v>0</v>
      </c>
      <c r="W299" s="281">
        <f>TABLA_BASE[[#This Row],[IPM UNIT.
(US$)
✅CF]]*'📋 Datos Generales'!$E$19</f>
        <v>0</v>
      </c>
      <c r="X299" s="281">
        <f>TABLA_BASE[[#This Row],[IPM UNIT.
(S/.)]]*TABLA_BASE[[#This Row],[CANTIDAD
(unid.)]]</f>
        <v>0</v>
      </c>
      <c r="Y299" s="281">
        <f>TABLA_BASE[[#This Row],[IGV UNIT.
(US$)
✅CF]]*'📋 Datos Generales'!$E$19</f>
        <v>0</v>
      </c>
      <c r="Z299" s="281">
        <f>TABLA_BASE[[#This Row],[IGV UNIT.
(S/.)]]*TABLA_BASE[[#This Row],[CANTIDAD
(unid.)]]</f>
        <v>0</v>
      </c>
      <c r="AA299" s="281">
        <f>TABLA_BASE[[#This Row],[PERCEP.
UNIT.(US$)
✅CF]]*'📋 Datos Generales'!$E$19</f>
        <v>0</v>
      </c>
      <c r="AB299" s="281">
        <f>TABLA_BASE[[#This Row],[PERCEP.
UNIT.(S/.)]]*TABLA_BASE[[#This Row],[CANTIDAD
(unid.)]]</f>
        <v>0</v>
      </c>
      <c r="AC299" s="279">
        <f>TABLA_BASE[[#This Row],[ADV UNIT.
(US$)
⚠️COSTO]]+TABLA_BASE[[#This Row],[IPM UNIT.
(US$)
✅CF]]+TABLA_BASE[[#This Row],[IGV UNIT.
(US$)
✅CF]]+TABLA_BASE[[#This Row],[PERCEP.
UNIT.(US$)
✅CF]]</f>
        <v>0</v>
      </c>
      <c r="AD299" s="279">
        <f>TABLA_BASE[[#This Row],[TOTAL PAGO
SUNAT
UNIT.(US$)]]*TABLA_BASE[[#This Row],[CANTIDAD
(unid.)]]</f>
        <v>0</v>
      </c>
      <c r="AE299" s="281">
        <f>TABLA_BASE[[#This Row],[TOTAL PAGO
SUNAT
UNIT.(US$)]]*'📋 Datos Generales'!$E$19</f>
        <v>0</v>
      </c>
      <c r="AF299" s="281">
        <f>TABLA_BASE[[#This Row],[TOTAL TRIB.
UNIT.(S/.)]]*TABLA_BASE[[#This Row],[CANTIDAD
(unid.)]]</f>
        <v>0</v>
      </c>
      <c r="AG299" s="279">
        <f>IF('🧾 Factura Comercial'!G303=0,0,'📦 Gastos Importación'!$E$28*(IF('🧾 Tributos Aduana'!$F$6=0,0,'🧾 Factura Comercial'!I303/'🧾 Tributos Aduana'!$F$6))/'🧾 Factura Comercial'!G303)</f>
        <v>0</v>
      </c>
      <c r="AH299" s="279">
        <f>TABLA_BASE[[#This Row],[GASTOS IMP.
UNIT.(US$)]]*TABLA_BASE[[#This Row],[CANTIDAD
(unid.)]]</f>
        <v>0</v>
      </c>
      <c r="AI299" s="281">
        <f>TABLA_BASE[[#This Row],[GASTOS IMP.
UNIT.(US$)]]*'📋 Datos Generales'!$E$19</f>
        <v>0</v>
      </c>
      <c r="AJ299" s="281">
        <f>TABLA_BASE[[#This Row],[GASTOS IMP.
UNIT.(S/.)]]*TABLA_BASE[[#This Row],[CANTIDAD
(unid.)]]</f>
        <v>0</v>
      </c>
      <c r="AK299" s="280">
        <f>'🧮 Costos x Producto'!J303</f>
        <v>0</v>
      </c>
      <c r="AL299" s="278">
        <f>'🧮 Costos x Producto'!K303</f>
        <v>0</v>
      </c>
      <c r="AM299" s="278">
        <f>TABLA_BASE[[#This Row],[C/M UNIT.
(S/.)]]*TABLA_BASE[[#This Row],[CANTIDAD
(unid.)]]</f>
        <v>0</v>
      </c>
      <c r="AN299" s="279">
        <f>IF('🧾 Factura Comercial'!G303=0,0,'🧾 Tributos Aduana'!$F$17*(IF('🧾 Tributos Aduana'!$F$6=0,0,'🧾 Factura Comercial'!I303/'🧾 Tributos Aduana'!$F$6))/'🧾 Factura Comercial'!G303)</f>
        <v>0</v>
      </c>
      <c r="AO299" s="280">
        <f>IF('🧾 Factura Comercial'!G303=0,0,'🏦 Crédito Fiscal'!$C$16*(IF('🧾 Tributos Aduana'!$F$6=0,0,'🧾 Factura Comercial'!I303/'🧾 Tributos Aduana'!$F$6))/'🧾 Factura Comercial'!G303)</f>
        <v>0</v>
      </c>
      <c r="AP299" s="278">
        <f>TABLA_BASE[[#This Row],[CF UNIT.
✅RECUP.
(US$)]]*'📋 Datos Generales'!$E$19</f>
        <v>0</v>
      </c>
      <c r="AQ299" s="278">
        <f>TABLA_BASE[[#This Row],[CF UNIT.
✅RECUP.(S/.)]]*TABLA_BASE[[#This Row],[CANTIDAD
(unid.)]]</f>
        <v>0</v>
      </c>
      <c r="AR299" s="288">
        <f>'💰 Precio de Venta'!G304</f>
        <v>0.4</v>
      </c>
      <c r="AS299" s="278">
        <f>'💰 Precio de Venta'!H304</f>
        <v>0</v>
      </c>
      <c r="AT299" s="278">
        <f>TABLA_BASE[[#This Row],[VALOR VTA.
UNIT.(S/.)]]*TABLA_BASE[[#This Row],[CANTIDAD
(unid.)]]</f>
        <v>0</v>
      </c>
      <c r="AU299" s="281">
        <f>'💰 Precio de Venta'!I304</f>
        <v>0</v>
      </c>
      <c r="AV299" s="278">
        <f>'💰 Precio de Venta'!J304</f>
        <v>0</v>
      </c>
      <c r="AW299" s="278">
        <f>TABLA_BASE[[#This Row],[GANANCIA
UNIT.(S/.)]]*TABLA_BASE[[#This Row],[CANTIDAD
(unid.)]]</f>
        <v>0</v>
      </c>
      <c r="AX299" s="289">
        <f>'💰 Precio de Venta'!K304</f>
        <v>0</v>
      </c>
      <c r="AY299" s="278">
        <f>TABLA_BASE[[#This Row],[GANANCIA
UNIT.(S/.)]]*'🧾 Factura Comercial'!G303</f>
        <v>0</v>
      </c>
      <c r="AZ299" s="277">
        <f>IF(TABLA_BASE[[#This Row],[PRECIO VTA.
c/IGV(S/.)]]=0,0,TABLA_BASE[[#This Row],[GANANCIA
UNIT.(S/.)]]/TABLA_BASE[[#This Row],[PRECIO VTA.
c/IGV(S/.)]])</f>
        <v>0</v>
      </c>
      <c r="BA299" s="277">
        <f>IF(TABLA_BASE[[#This Row],[C/M UNIT.
(S/.)]]=0,0,TABLA_BASE[[#This Row],[GANANCIA
UNIT.(S/.)]]/TABLA_BASE[[#This Row],[C/M UNIT.
(S/.)]])</f>
        <v>0</v>
      </c>
      <c r="BB299" s="274" t="str">
        <f>IF(TABLA_BASE[[#This Row],[MARGEN
%]]&gt;=0.5,"🟢 ALTO",IF(TABLA_BASE[[#This Row],[MARGEN
%]]&gt;=0.3,"🟡 MEDIO","🔴 BAJO"))</f>
        <v>🟡 MEDIO</v>
      </c>
    </row>
    <row r="300" spans="1:54" ht="16.5" hidden="1" thickTop="1" thickBot="1" x14ac:dyDescent="0.3">
      <c r="A300" s="274">
        <f>'🧾 Factura Comercial'!E304</f>
        <v>0</v>
      </c>
      <c r="B300" s="274" t="str">
        <f>'🧾 Factura Comercial'!F304</f>
        <v>Unid.</v>
      </c>
      <c r="C300" s="275">
        <f>'🧾 Factura Comercial'!G304</f>
        <v>0</v>
      </c>
      <c r="D300" s="276">
        <f>'🧾 Factura Comercial'!H304</f>
        <v>0</v>
      </c>
      <c r="E300" s="276">
        <f>'🧾 Factura Comercial'!I304</f>
        <v>0</v>
      </c>
      <c r="F300" s="277">
        <f>IF('🧾 Tributos Aduana'!$F$6=0,0,'🧾 Factura Comercial'!I304/'🧾 Tributos Aduana'!$F$6)</f>
        <v>0</v>
      </c>
      <c r="G300" s="278">
        <f>'🧾 Factura Comercial'!H304*'📋 Datos Generales'!$E$19</f>
        <v>0</v>
      </c>
      <c r="H300" s="278">
        <f>TABLA_BASE[[#This Row],[FOB UNIT.
(S/.)]]*TABLA_BASE[[#This Row],[CANTIDAD
(unid.)]]</f>
        <v>0</v>
      </c>
      <c r="I300" s="280">
        <f>IF('🧾 Tributos Aduana'!$F$6=0,0,'🧾 Tributos Aduana'!$F$17*('🧾 Factura Comercial'!H304/'🧾 Tributos Aduana'!$F$6))</f>
        <v>0</v>
      </c>
      <c r="J300" s="280">
        <f>TABLA_BASE[[#This Row],[ADV UNIT.
(US$)
⚠️COSTO]]*TABLA_BASE[[#This Row],[CANTIDAD
(unid.)]]</f>
        <v>0</v>
      </c>
      <c r="K300" s="279">
        <f>IF('🧾 Tributos Aduana'!$F$6=0,0,'🧾 Tributos Aduana'!$F$18*('🧾 Factura Comercial'!H304/'🧾 Tributos Aduana'!$F$6))</f>
        <v>0</v>
      </c>
      <c r="L300" s="280">
        <f>TABLA_BASE[[#This Row],[IPM UNIT.
(US$)
✅CF]]*TABLA_BASE[[#This Row],[CANTIDAD
(unid.)]]</f>
        <v>0</v>
      </c>
      <c r="M300" s="279">
        <f>IF('🧾 Tributos Aduana'!$F$6=0,0,'🧾 Tributos Aduana'!$F$19*('🧾 Factura Comercial'!H304/'🧾 Tributos Aduana'!$F$6))</f>
        <v>0</v>
      </c>
      <c r="N300" s="280">
        <f>TABLA_BASE[[#This Row],[IGV UNIT.
(US$)
✅CF]]*TABLA_BASE[[#This Row],[CANTIDAD
(unid.)]]</f>
        <v>0</v>
      </c>
      <c r="O300" s="280">
        <f>IF('🧾 Tributos Aduana'!$F$6=0,0,'🧾 Tributos Aduana'!$F$23*('🧾 Factura Comercial'!H304/'🧾 Tributos Aduana'!$F$6))</f>
        <v>0</v>
      </c>
      <c r="P300" s="280">
        <f>TABLA_BASE[[#This Row],[PERCEP.
UNIT.(US$)
✅CF]]*TABLA_BASE[[#This Row],[CANTIDAD
(unid.)]]</f>
        <v>0</v>
      </c>
      <c r="Q300" s="279">
        <f>TABLA_BASE[[#This Row],[ADV UNIT.
(US$)
⚠️COSTO]]+TABLA_BASE[[#This Row],[IPM UNIT.
(US$)
✅CF]]+TABLA_BASE[[#This Row],[IGV UNIT.
(US$)
✅CF]]</f>
        <v>0</v>
      </c>
      <c r="R300" s="280">
        <f>TABLA_BASE[[#This Row],[DEUDA
ADUANERA
UNIT.]]*TABLA_BASE[[#This Row],[CANTIDAD
(unid.)]]</f>
        <v>0</v>
      </c>
      <c r="S300" s="278">
        <f>TABLA_BASE[[#This Row],[DEUDA
ADUANERA
UNIT.]]*'📋 Datos Generales'!$E$19</f>
        <v>0</v>
      </c>
      <c r="T300" s="278">
        <f>TABLA_BASE[[#This Row],[DEUDA
ADUANERA
TOTAL]]*'📋 Datos Generales'!$E$19</f>
        <v>0</v>
      </c>
      <c r="U300" s="281">
        <f>TABLA_BASE[[#This Row],[ADV UNIT.
(US$)
⚠️COSTO]]*'📋 Datos Generales'!$E$19</f>
        <v>0</v>
      </c>
      <c r="V300" s="281">
        <f>TABLA_BASE[[#This Row],[ADV UNIT.
(S/.)]]*TABLA_BASE[[#This Row],[CANTIDAD
(unid.)]]</f>
        <v>0</v>
      </c>
      <c r="W300" s="281">
        <f>TABLA_BASE[[#This Row],[IPM UNIT.
(US$)
✅CF]]*'📋 Datos Generales'!$E$19</f>
        <v>0</v>
      </c>
      <c r="X300" s="281">
        <f>TABLA_BASE[[#This Row],[IPM UNIT.
(S/.)]]*TABLA_BASE[[#This Row],[CANTIDAD
(unid.)]]</f>
        <v>0</v>
      </c>
      <c r="Y300" s="281">
        <f>TABLA_BASE[[#This Row],[IGV UNIT.
(US$)
✅CF]]*'📋 Datos Generales'!$E$19</f>
        <v>0</v>
      </c>
      <c r="Z300" s="281">
        <f>TABLA_BASE[[#This Row],[IGV UNIT.
(S/.)]]*TABLA_BASE[[#This Row],[CANTIDAD
(unid.)]]</f>
        <v>0</v>
      </c>
      <c r="AA300" s="281">
        <f>TABLA_BASE[[#This Row],[PERCEP.
UNIT.(US$)
✅CF]]*'📋 Datos Generales'!$E$19</f>
        <v>0</v>
      </c>
      <c r="AB300" s="281">
        <f>TABLA_BASE[[#This Row],[PERCEP.
UNIT.(S/.)]]*TABLA_BASE[[#This Row],[CANTIDAD
(unid.)]]</f>
        <v>0</v>
      </c>
      <c r="AC300" s="279">
        <f>TABLA_BASE[[#This Row],[ADV UNIT.
(US$)
⚠️COSTO]]+TABLA_BASE[[#This Row],[IPM UNIT.
(US$)
✅CF]]+TABLA_BASE[[#This Row],[IGV UNIT.
(US$)
✅CF]]+TABLA_BASE[[#This Row],[PERCEP.
UNIT.(US$)
✅CF]]</f>
        <v>0</v>
      </c>
      <c r="AD300" s="279">
        <f>TABLA_BASE[[#This Row],[TOTAL PAGO
SUNAT
UNIT.(US$)]]*TABLA_BASE[[#This Row],[CANTIDAD
(unid.)]]</f>
        <v>0</v>
      </c>
      <c r="AE300" s="281">
        <f>TABLA_BASE[[#This Row],[TOTAL PAGO
SUNAT
UNIT.(US$)]]*'📋 Datos Generales'!$E$19</f>
        <v>0</v>
      </c>
      <c r="AF300" s="281">
        <f>TABLA_BASE[[#This Row],[TOTAL TRIB.
UNIT.(S/.)]]*TABLA_BASE[[#This Row],[CANTIDAD
(unid.)]]</f>
        <v>0</v>
      </c>
      <c r="AG300" s="279">
        <f>IF('🧾 Factura Comercial'!G304=0,0,'📦 Gastos Importación'!$E$28*(IF('🧾 Tributos Aduana'!$F$6=0,0,'🧾 Factura Comercial'!I304/'🧾 Tributos Aduana'!$F$6))/'🧾 Factura Comercial'!G304)</f>
        <v>0</v>
      </c>
      <c r="AH300" s="279">
        <f>TABLA_BASE[[#This Row],[GASTOS IMP.
UNIT.(US$)]]*TABLA_BASE[[#This Row],[CANTIDAD
(unid.)]]</f>
        <v>0</v>
      </c>
      <c r="AI300" s="281">
        <f>TABLA_BASE[[#This Row],[GASTOS IMP.
UNIT.(US$)]]*'📋 Datos Generales'!$E$19</f>
        <v>0</v>
      </c>
      <c r="AJ300" s="281">
        <f>TABLA_BASE[[#This Row],[GASTOS IMP.
UNIT.(S/.)]]*TABLA_BASE[[#This Row],[CANTIDAD
(unid.)]]</f>
        <v>0</v>
      </c>
      <c r="AK300" s="280">
        <f>'🧮 Costos x Producto'!J304</f>
        <v>0</v>
      </c>
      <c r="AL300" s="278">
        <f>'🧮 Costos x Producto'!K304</f>
        <v>0</v>
      </c>
      <c r="AM300" s="278">
        <f>TABLA_BASE[[#This Row],[C/M UNIT.
(S/.)]]*TABLA_BASE[[#This Row],[CANTIDAD
(unid.)]]</f>
        <v>0</v>
      </c>
      <c r="AN300" s="279">
        <f>IF('🧾 Factura Comercial'!G304=0,0,'🧾 Tributos Aduana'!$F$17*(IF('🧾 Tributos Aduana'!$F$6=0,0,'🧾 Factura Comercial'!I304/'🧾 Tributos Aduana'!$F$6))/'🧾 Factura Comercial'!G304)</f>
        <v>0</v>
      </c>
      <c r="AO300" s="280">
        <f>IF('🧾 Factura Comercial'!G304=0,0,'🏦 Crédito Fiscal'!$C$16*(IF('🧾 Tributos Aduana'!$F$6=0,0,'🧾 Factura Comercial'!I304/'🧾 Tributos Aduana'!$F$6))/'🧾 Factura Comercial'!G304)</f>
        <v>0</v>
      </c>
      <c r="AP300" s="278">
        <f>TABLA_BASE[[#This Row],[CF UNIT.
✅RECUP.
(US$)]]*'📋 Datos Generales'!$E$19</f>
        <v>0</v>
      </c>
      <c r="AQ300" s="278">
        <f>TABLA_BASE[[#This Row],[CF UNIT.
✅RECUP.(S/.)]]*TABLA_BASE[[#This Row],[CANTIDAD
(unid.)]]</f>
        <v>0</v>
      </c>
      <c r="AR300" s="288">
        <f>'💰 Precio de Venta'!G305</f>
        <v>0.4</v>
      </c>
      <c r="AS300" s="278">
        <f>'💰 Precio de Venta'!H305</f>
        <v>0</v>
      </c>
      <c r="AT300" s="278">
        <f>TABLA_BASE[[#This Row],[VALOR VTA.
UNIT.(S/.)]]*TABLA_BASE[[#This Row],[CANTIDAD
(unid.)]]</f>
        <v>0</v>
      </c>
      <c r="AU300" s="281">
        <f>'💰 Precio de Venta'!I305</f>
        <v>0</v>
      </c>
      <c r="AV300" s="278">
        <f>'💰 Precio de Venta'!J305</f>
        <v>0</v>
      </c>
      <c r="AW300" s="278">
        <f>TABLA_BASE[[#This Row],[GANANCIA
UNIT.(S/.)]]*TABLA_BASE[[#This Row],[CANTIDAD
(unid.)]]</f>
        <v>0</v>
      </c>
      <c r="AX300" s="289">
        <f>'💰 Precio de Venta'!K305</f>
        <v>0</v>
      </c>
      <c r="AY300" s="278">
        <f>TABLA_BASE[[#This Row],[GANANCIA
UNIT.(S/.)]]*'🧾 Factura Comercial'!G304</f>
        <v>0</v>
      </c>
      <c r="AZ300" s="277">
        <f>IF(TABLA_BASE[[#This Row],[PRECIO VTA.
c/IGV(S/.)]]=0,0,TABLA_BASE[[#This Row],[GANANCIA
UNIT.(S/.)]]/TABLA_BASE[[#This Row],[PRECIO VTA.
c/IGV(S/.)]])</f>
        <v>0</v>
      </c>
      <c r="BA300" s="277">
        <f>IF(TABLA_BASE[[#This Row],[C/M UNIT.
(S/.)]]=0,0,TABLA_BASE[[#This Row],[GANANCIA
UNIT.(S/.)]]/TABLA_BASE[[#This Row],[C/M UNIT.
(S/.)]])</f>
        <v>0</v>
      </c>
      <c r="BB300" s="274" t="str">
        <f>IF(TABLA_BASE[[#This Row],[MARGEN
%]]&gt;=0.5,"🟢 ALTO",IF(TABLA_BASE[[#This Row],[MARGEN
%]]&gt;=0.3,"🟡 MEDIO","🔴 BAJO"))</f>
        <v>🟡 MEDIO</v>
      </c>
    </row>
    <row r="301" spans="1:54" ht="16.5" hidden="1" thickTop="1" thickBot="1" x14ac:dyDescent="0.3">
      <c r="A301" s="274">
        <f>'🧾 Factura Comercial'!E305</f>
        <v>0</v>
      </c>
      <c r="B301" s="274" t="str">
        <f>'🧾 Factura Comercial'!F305</f>
        <v>Unid.</v>
      </c>
      <c r="C301" s="275">
        <f>'🧾 Factura Comercial'!G305</f>
        <v>0</v>
      </c>
      <c r="D301" s="276">
        <f>'🧾 Factura Comercial'!H305</f>
        <v>0</v>
      </c>
      <c r="E301" s="276">
        <f>'🧾 Factura Comercial'!I305</f>
        <v>0</v>
      </c>
      <c r="F301" s="277">
        <f>IF('🧾 Tributos Aduana'!$F$6=0,0,'🧾 Factura Comercial'!I305/'🧾 Tributos Aduana'!$F$6)</f>
        <v>0</v>
      </c>
      <c r="G301" s="278">
        <f>'🧾 Factura Comercial'!H305*'📋 Datos Generales'!$E$19</f>
        <v>0</v>
      </c>
      <c r="H301" s="278">
        <f>TABLA_BASE[[#This Row],[FOB UNIT.
(S/.)]]*TABLA_BASE[[#This Row],[CANTIDAD
(unid.)]]</f>
        <v>0</v>
      </c>
      <c r="I301" s="280">
        <f>IF('🧾 Tributos Aduana'!$F$6=0,0,'🧾 Tributos Aduana'!$F$17*('🧾 Factura Comercial'!H305/'🧾 Tributos Aduana'!$F$6))</f>
        <v>0</v>
      </c>
      <c r="J301" s="280">
        <f>TABLA_BASE[[#This Row],[ADV UNIT.
(US$)
⚠️COSTO]]*TABLA_BASE[[#This Row],[CANTIDAD
(unid.)]]</f>
        <v>0</v>
      </c>
      <c r="K301" s="279">
        <f>IF('🧾 Tributos Aduana'!$F$6=0,0,'🧾 Tributos Aduana'!$F$18*('🧾 Factura Comercial'!H305/'🧾 Tributos Aduana'!$F$6))</f>
        <v>0</v>
      </c>
      <c r="L301" s="280">
        <f>TABLA_BASE[[#This Row],[IPM UNIT.
(US$)
✅CF]]*TABLA_BASE[[#This Row],[CANTIDAD
(unid.)]]</f>
        <v>0</v>
      </c>
      <c r="M301" s="279">
        <f>IF('🧾 Tributos Aduana'!$F$6=0,0,'🧾 Tributos Aduana'!$F$19*('🧾 Factura Comercial'!H305/'🧾 Tributos Aduana'!$F$6))</f>
        <v>0</v>
      </c>
      <c r="N301" s="280">
        <f>TABLA_BASE[[#This Row],[IGV UNIT.
(US$)
✅CF]]*TABLA_BASE[[#This Row],[CANTIDAD
(unid.)]]</f>
        <v>0</v>
      </c>
      <c r="O301" s="280">
        <f>IF('🧾 Tributos Aduana'!$F$6=0,0,'🧾 Tributos Aduana'!$F$23*('🧾 Factura Comercial'!H305/'🧾 Tributos Aduana'!$F$6))</f>
        <v>0</v>
      </c>
      <c r="P301" s="280">
        <f>TABLA_BASE[[#This Row],[PERCEP.
UNIT.(US$)
✅CF]]*TABLA_BASE[[#This Row],[CANTIDAD
(unid.)]]</f>
        <v>0</v>
      </c>
      <c r="Q301" s="279">
        <f>TABLA_BASE[[#This Row],[ADV UNIT.
(US$)
⚠️COSTO]]+TABLA_BASE[[#This Row],[IPM UNIT.
(US$)
✅CF]]+TABLA_BASE[[#This Row],[IGV UNIT.
(US$)
✅CF]]</f>
        <v>0</v>
      </c>
      <c r="R301" s="280">
        <f>TABLA_BASE[[#This Row],[DEUDA
ADUANERA
UNIT.]]*TABLA_BASE[[#This Row],[CANTIDAD
(unid.)]]</f>
        <v>0</v>
      </c>
      <c r="S301" s="278">
        <f>TABLA_BASE[[#This Row],[DEUDA
ADUANERA
UNIT.]]*'📋 Datos Generales'!$E$19</f>
        <v>0</v>
      </c>
      <c r="T301" s="278">
        <f>TABLA_BASE[[#This Row],[DEUDA
ADUANERA
TOTAL]]*'📋 Datos Generales'!$E$19</f>
        <v>0</v>
      </c>
      <c r="U301" s="281">
        <f>TABLA_BASE[[#This Row],[ADV UNIT.
(US$)
⚠️COSTO]]*'📋 Datos Generales'!$E$19</f>
        <v>0</v>
      </c>
      <c r="V301" s="281">
        <f>TABLA_BASE[[#This Row],[ADV UNIT.
(S/.)]]*TABLA_BASE[[#This Row],[CANTIDAD
(unid.)]]</f>
        <v>0</v>
      </c>
      <c r="W301" s="281">
        <f>TABLA_BASE[[#This Row],[IPM UNIT.
(US$)
✅CF]]*'📋 Datos Generales'!$E$19</f>
        <v>0</v>
      </c>
      <c r="X301" s="281">
        <f>TABLA_BASE[[#This Row],[IPM UNIT.
(S/.)]]*TABLA_BASE[[#This Row],[CANTIDAD
(unid.)]]</f>
        <v>0</v>
      </c>
      <c r="Y301" s="281">
        <f>TABLA_BASE[[#This Row],[IGV UNIT.
(US$)
✅CF]]*'📋 Datos Generales'!$E$19</f>
        <v>0</v>
      </c>
      <c r="Z301" s="281">
        <f>TABLA_BASE[[#This Row],[IGV UNIT.
(S/.)]]*TABLA_BASE[[#This Row],[CANTIDAD
(unid.)]]</f>
        <v>0</v>
      </c>
      <c r="AA301" s="281">
        <f>TABLA_BASE[[#This Row],[PERCEP.
UNIT.(US$)
✅CF]]*'📋 Datos Generales'!$E$19</f>
        <v>0</v>
      </c>
      <c r="AB301" s="281">
        <f>TABLA_BASE[[#This Row],[PERCEP.
UNIT.(S/.)]]*TABLA_BASE[[#This Row],[CANTIDAD
(unid.)]]</f>
        <v>0</v>
      </c>
      <c r="AC301" s="279">
        <f>TABLA_BASE[[#This Row],[ADV UNIT.
(US$)
⚠️COSTO]]+TABLA_BASE[[#This Row],[IPM UNIT.
(US$)
✅CF]]+TABLA_BASE[[#This Row],[IGV UNIT.
(US$)
✅CF]]+TABLA_BASE[[#This Row],[PERCEP.
UNIT.(US$)
✅CF]]</f>
        <v>0</v>
      </c>
      <c r="AD301" s="279">
        <f>TABLA_BASE[[#This Row],[TOTAL PAGO
SUNAT
UNIT.(US$)]]*TABLA_BASE[[#This Row],[CANTIDAD
(unid.)]]</f>
        <v>0</v>
      </c>
      <c r="AE301" s="281">
        <f>TABLA_BASE[[#This Row],[TOTAL PAGO
SUNAT
UNIT.(US$)]]*'📋 Datos Generales'!$E$19</f>
        <v>0</v>
      </c>
      <c r="AF301" s="281">
        <f>TABLA_BASE[[#This Row],[TOTAL TRIB.
UNIT.(S/.)]]*TABLA_BASE[[#This Row],[CANTIDAD
(unid.)]]</f>
        <v>0</v>
      </c>
      <c r="AG301" s="279">
        <f>IF('🧾 Factura Comercial'!G305=0,0,'📦 Gastos Importación'!$E$28*(IF('🧾 Tributos Aduana'!$F$6=0,0,'🧾 Factura Comercial'!I305/'🧾 Tributos Aduana'!$F$6))/'🧾 Factura Comercial'!G305)</f>
        <v>0</v>
      </c>
      <c r="AH301" s="279">
        <f>TABLA_BASE[[#This Row],[GASTOS IMP.
UNIT.(US$)]]*TABLA_BASE[[#This Row],[CANTIDAD
(unid.)]]</f>
        <v>0</v>
      </c>
      <c r="AI301" s="281">
        <f>TABLA_BASE[[#This Row],[GASTOS IMP.
UNIT.(US$)]]*'📋 Datos Generales'!$E$19</f>
        <v>0</v>
      </c>
      <c r="AJ301" s="281">
        <f>TABLA_BASE[[#This Row],[GASTOS IMP.
UNIT.(S/.)]]*TABLA_BASE[[#This Row],[CANTIDAD
(unid.)]]</f>
        <v>0</v>
      </c>
      <c r="AK301" s="280">
        <f>'🧮 Costos x Producto'!J305</f>
        <v>0</v>
      </c>
      <c r="AL301" s="278">
        <f>'🧮 Costos x Producto'!K305</f>
        <v>0</v>
      </c>
      <c r="AM301" s="278">
        <f>TABLA_BASE[[#This Row],[C/M UNIT.
(S/.)]]*TABLA_BASE[[#This Row],[CANTIDAD
(unid.)]]</f>
        <v>0</v>
      </c>
      <c r="AN301" s="279">
        <f>IF('🧾 Factura Comercial'!G305=0,0,'🧾 Tributos Aduana'!$F$17*(IF('🧾 Tributos Aduana'!$F$6=0,0,'🧾 Factura Comercial'!I305/'🧾 Tributos Aduana'!$F$6))/'🧾 Factura Comercial'!G305)</f>
        <v>0</v>
      </c>
      <c r="AO301" s="280">
        <f>IF('🧾 Factura Comercial'!G305=0,0,'🏦 Crédito Fiscal'!$C$16*(IF('🧾 Tributos Aduana'!$F$6=0,0,'🧾 Factura Comercial'!I305/'🧾 Tributos Aduana'!$F$6))/'🧾 Factura Comercial'!G305)</f>
        <v>0</v>
      </c>
      <c r="AP301" s="278">
        <f>TABLA_BASE[[#This Row],[CF UNIT.
✅RECUP.
(US$)]]*'📋 Datos Generales'!$E$19</f>
        <v>0</v>
      </c>
      <c r="AQ301" s="278">
        <f>TABLA_BASE[[#This Row],[CF UNIT.
✅RECUP.(S/.)]]*TABLA_BASE[[#This Row],[CANTIDAD
(unid.)]]</f>
        <v>0</v>
      </c>
      <c r="AR301" s="288">
        <f>'💰 Precio de Venta'!G306</f>
        <v>0.4</v>
      </c>
      <c r="AS301" s="278">
        <f>'💰 Precio de Venta'!H306</f>
        <v>0</v>
      </c>
      <c r="AT301" s="278">
        <f>TABLA_BASE[[#This Row],[VALOR VTA.
UNIT.(S/.)]]*TABLA_BASE[[#This Row],[CANTIDAD
(unid.)]]</f>
        <v>0</v>
      </c>
      <c r="AU301" s="281">
        <f>'💰 Precio de Venta'!I306</f>
        <v>0</v>
      </c>
      <c r="AV301" s="278">
        <f>'💰 Precio de Venta'!J306</f>
        <v>0</v>
      </c>
      <c r="AW301" s="278">
        <f>TABLA_BASE[[#This Row],[GANANCIA
UNIT.(S/.)]]*TABLA_BASE[[#This Row],[CANTIDAD
(unid.)]]</f>
        <v>0</v>
      </c>
      <c r="AX301" s="289">
        <f>'💰 Precio de Venta'!K306</f>
        <v>0</v>
      </c>
      <c r="AY301" s="278">
        <f>TABLA_BASE[[#This Row],[GANANCIA
UNIT.(S/.)]]*'🧾 Factura Comercial'!G305</f>
        <v>0</v>
      </c>
      <c r="AZ301" s="277">
        <f>IF(TABLA_BASE[[#This Row],[PRECIO VTA.
c/IGV(S/.)]]=0,0,TABLA_BASE[[#This Row],[GANANCIA
UNIT.(S/.)]]/TABLA_BASE[[#This Row],[PRECIO VTA.
c/IGV(S/.)]])</f>
        <v>0</v>
      </c>
      <c r="BA301" s="277">
        <f>IF(TABLA_BASE[[#This Row],[C/M UNIT.
(S/.)]]=0,0,TABLA_BASE[[#This Row],[GANANCIA
UNIT.(S/.)]]/TABLA_BASE[[#This Row],[C/M UNIT.
(S/.)]])</f>
        <v>0</v>
      </c>
      <c r="BB301" s="274" t="str">
        <f>IF(TABLA_BASE[[#This Row],[MARGEN
%]]&gt;=0.5,"🟢 ALTO",IF(TABLA_BASE[[#This Row],[MARGEN
%]]&gt;=0.3,"🟡 MEDIO","🔴 BAJO"))</f>
        <v>🟡 MEDIO</v>
      </c>
    </row>
    <row r="302" spans="1:54" ht="16.5" hidden="1" thickTop="1" thickBot="1" x14ac:dyDescent="0.3">
      <c r="A302" s="274">
        <f>'🧾 Factura Comercial'!E306</f>
        <v>0</v>
      </c>
      <c r="B302" s="274" t="str">
        <f>'🧾 Factura Comercial'!F306</f>
        <v>Unid.</v>
      </c>
      <c r="C302" s="275">
        <f>'🧾 Factura Comercial'!G306</f>
        <v>0</v>
      </c>
      <c r="D302" s="276">
        <f>'🧾 Factura Comercial'!H306</f>
        <v>0</v>
      </c>
      <c r="E302" s="276">
        <f>'🧾 Factura Comercial'!I306</f>
        <v>0</v>
      </c>
      <c r="F302" s="277">
        <f>IF('🧾 Tributos Aduana'!$F$6=0,0,'🧾 Factura Comercial'!I306/'🧾 Tributos Aduana'!$F$6)</f>
        <v>0</v>
      </c>
      <c r="G302" s="278">
        <f>'🧾 Factura Comercial'!H306*'📋 Datos Generales'!$E$19</f>
        <v>0</v>
      </c>
      <c r="H302" s="278">
        <f>TABLA_BASE[[#This Row],[FOB UNIT.
(S/.)]]*TABLA_BASE[[#This Row],[CANTIDAD
(unid.)]]</f>
        <v>0</v>
      </c>
      <c r="I302" s="280">
        <f>IF('🧾 Tributos Aduana'!$F$6=0,0,'🧾 Tributos Aduana'!$F$17*('🧾 Factura Comercial'!H306/'🧾 Tributos Aduana'!$F$6))</f>
        <v>0</v>
      </c>
      <c r="J302" s="280">
        <f>TABLA_BASE[[#This Row],[ADV UNIT.
(US$)
⚠️COSTO]]*TABLA_BASE[[#This Row],[CANTIDAD
(unid.)]]</f>
        <v>0</v>
      </c>
      <c r="K302" s="279">
        <f>IF('🧾 Tributos Aduana'!$F$6=0,0,'🧾 Tributos Aduana'!$F$18*('🧾 Factura Comercial'!H306/'🧾 Tributos Aduana'!$F$6))</f>
        <v>0</v>
      </c>
      <c r="L302" s="280">
        <f>TABLA_BASE[[#This Row],[IPM UNIT.
(US$)
✅CF]]*TABLA_BASE[[#This Row],[CANTIDAD
(unid.)]]</f>
        <v>0</v>
      </c>
      <c r="M302" s="279">
        <f>IF('🧾 Tributos Aduana'!$F$6=0,0,'🧾 Tributos Aduana'!$F$19*('🧾 Factura Comercial'!H306/'🧾 Tributos Aduana'!$F$6))</f>
        <v>0</v>
      </c>
      <c r="N302" s="280">
        <f>TABLA_BASE[[#This Row],[IGV UNIT.
(US$)
✅CF]]*TABLA_BASE[[#This Row],[CANTIDAD
(unid.)]]</f>
        <v>0</v>
      </c>
      <c r="O302" s="280">
        <f>IF('🧾 Tributos Aduana'!$F$6=0,0,'🧾 Tributos Aduana'!$F$23*('🧾 Factura Comercial'!H306/'🧾 Tributos Aduana'!$F$6))</f>
        <v>0</v>
      </c>
      <c r="P302" s="280">
        <f>TABLA_BASE[[#This Row],[PERCEP.
UNIT.(US$)
✅CF]]*TABLA_BASE[[#This Row],[CANTIDAD
(unid.)]]</f>
        <v>0</v>
      </c>
      <c r="Q302" s="279">
        <f>TABLA_BASE[[#This Row],[ADV UNIT.
(US$)
⚠️COSTO]]+TABLA_BASE[[#This Row],[IPM UNIT.
(US$)
✅CF]]+TABLA_BASE[[#This Row],[IGV UNIT.
(US$)
✅CF]]</f>
        <v>0</v>
      </c>
      <c r="R302" s="280">
        <f>TABLA_BASE[[#This Row],[DEUDA
ADUANERA
UNIT.]]*TABLA_BASE[[#This Row],[CANTIDAD
(unid.)]]</f>
        <v>0</v>
      </c>
      <c r="S302" s="278">
        <f>TABLA_BASE[[#This Row],[DEUDA
ADUANERA
UNIT.]]*'📋 Datos Generales'!$E$19</f>
        <v>0</v>
      </c>
      <c r="T302" s="278">
        <f>TABLA_BASE[[#This Row],[DEUDA
ADUANERA
TOTAL]]*'📋 Datos Generales'!$E$19</f>
        <v>0</v>
      </c>
      <c r="U302" s="281">
        <f>TABLA_BASE[[#This Row],[ADV UNIT.
(US$)
⚠️COSTO]]*'📋 Datos Generales'!$E$19</f>
        <v>0</v>
      </c>
      <c r="V302" s="281">
        <f>TABLA_BASE[[#This Row],[ADV UNIT.
(S/.)]]*TABLA_BASE[[#This Row],[CANTIDAD
(unid.)]]</f>
        <v>0</v>
      </c>
      <c r="W302" s="281">
        <f>TABLA_BASE[[#This Row],[IPM UNIT.
(US$)
✅CF]]*'📋 Datos Generales'!$E$19</f>
        <v>0</v>
      </c>
      <c r="X302" s="281">
        <f>TABLA_BASE[[#This Row],[IPM UNIT.
(S/.)]]*TABLA_BASE[[#This Row],[CANTIDAD
(unid.)]]</f>
        <v>0</v>
      </c>
      <c r="Y302" s="281">
        <f>TABLA_BASE[[#This Row],[IGV UNIT.
(US$)
✅CF]]*'📋 Datos Generales'!$E$19</f>
        <v>0</v>
      </c>
      <c r="Z302" s="281">
        <f>TABLA_BASE[[#This Row],[IGV UNIT.
(S/.)]]*TABLA_BASE[[#This Row],[CANTIDAD
(unid.)]]</f>
        <v>0</v>
      </c>
      <c r="AA302" s="281">
        <f>TABLA_BASE[[#This Row],[PERCEP.
UNIT.(US$)
✅CF]]*'📋 Datos Generales'!$E$19</f>
        <v>0</v>
      </c>
      <c r="AB302" s="281">
        <f>TABLA_BASE[[#This Row],[PERCEP.
UNIT.(S/.)]]*TABLA_BASE[[#This Row],[CANTIDAD
(unid.)]]</f>
        <v>0</v>
      </c>
      <c r="AC302" s="279">
        <f>TABLA_BASE[[#This Row],[ADV UNIT.
(US$)
⚠️COSTO]]+TABLA_BASE[[#This Row],[IPM UNIT.
(US$)
✅CF]]+TABLA_BASE[[#This Row],[IGV UNIT.
(US$)
✅CF]]+TABLA_BASE[[#This Row],[PERCEP.
UNIT.(US$)
✅CF]]</f>
        <v>0</v>
      </c>
      <c r="AD302" s="279">
        <f>TABLA_BASE[[#This Row],[TOTAL PAGO
SUNAT
UNIT.(US$)]]*TABLA_BASE[[#This Row],[CANTIDAD
(unid.)]]</f>
        <v>0</v>
      </c>
      <c r="AE302" s="281">
        <f>TABLA_BASE[[#This Row],[TOTAL PAGO
SUNAT
UNIT.(US$)]]*'📋 Datos Generales'!$E$19</f>
        <v>0</v>
      </c>
      <c r="AF302" s="281">
        <f>TABLA_BASE[[#This Row],[TOTAL TRIB.
UNIT.(S/.)]]*TABLA_BASE[[#This Row],[CANTIDAD
(unid.)]]</f>
        <v>0</v>
      </c>
      <c r="AG302" s="279">
        <f>IF('🧾 Factura Comercial'!G306=0,0,'📦 Gastos Importación'!$E$28*(IF('🧾 Tributos Aduana'!$F$6=0,0,'🧾 Factura Comercial'!I306/'🧾 Tributos Aduana'!$F$6))/'🧾 Factura Comercial'!G306)</f>
        <v>0</v>
      </c>
      <c r="AH302" s="279">
        <f>TABLA_BASE[[#This Row],[GASTOS IMP.
UNIT.(US$)]]*TABLA_BASE[[#This Row],[CANTIDAD
(unid.)]]</f>
        <v>0</v>
      </c>
      <c r="AI302" s="281">
        <f>TABLA_BASE[[#This Row],[GASTOS IMP.
UNIT.(US$)]]*'📋 Datos Generales'!$E$19</f>
        <v>0</v>
      </c>
      <c r="AJ302" s="281">
        <f>TABLA_BASE[[#This Row],[GASTOS IMP.
UNIT.(S/.)]]*TABLA_BASE[[#This Row],[CANTIDAD
(unid.)]]</f>
        <v>0</v>
      </c>
      <c r="AK302" s="280">
        <f>'🧮 Costos x Producto'!J306</f>
        <v>0</v>
      </c>
      <c r="AL302" s="278">
        <f>'🧮 Costos x Producto'!K306</f>
        <v>0</v>
      </c>
      <c r="AM302" s="278">
        <f>TABLA_BASE[[#This Row],[C/M UNIT.
(S/.)]]*TABLA_BASE[[#This Row],[CANTIDAD
(unid.)]]</f>
        <v>0</v>
      </c>
      <c r="AN302" s="279">
        <f>IF('🧾 Factura Comercial'!G306=0,0,'🧾 Tributos Aduana'!$F$17*(IF('🧾 Tributos Aduana'!$F$6=0,0,'🧾 Factura Comercial'!I306/'🧾 Tributos Aduana'!$F$6))/'🧾 Factura Comercial'!G306)</f>
        <v>0</v>
      </c>
      <c r="AO302" s="280">
        <f>IF('🧾 Factura Comercial'!G306=0,0,'🏦 Crédito Fiscal'!$C$16*(IF('🧾 Tributos Aduana'!$F$6=0,0,'🧾 Factura Comercial'!I306/'🧾 Tributos Aduana'!$F$6))/'🧾 Factura Comercial'!G306)</f>
        <v>0</v>
      </c>
      <c r="AP302" s="278">
        <f>TABLA_BASE[[#This Row],[CF UNIT.
✅RECUP.
(US$)]]*'📋 Datos Generales'!$E$19</f>
        <v>0</v>
      </c>
      <c r="AQ302" s="278">
        <f>TABLA_BASE[[#This Row],[CF UNIT.
✅RECUP.(S/.)]]*TABLA_BASE[[#This Row],[CANTIDAD
(unid.)]]</f>
        <v>0</v>
      </c>
      <c r="AR302" s="288">
        <f>'💰 Precio de Venta'!G307</f>
        <v>0.4</v>
      </c>
      <c r="AS302" s="278">
        <f>'💰 Precio de Venta'!H307</f>
        <v>0</v>
      </c>
      <c r="AT302" s="278">
        <f>TABLA_BASE[[#This Row],[VALOR VTA.
UNIT.(S/.)]]*TABLA_BASE[[#This Row],[CANTIDAD
(unid.)]]</f>
        <v>0</v>
      </c>
      <c r="AU302" s="281">
        <f>'💰 Precio de Venta'!I307</f>
        <v>0</v>
      </c>
      <c r="AV302" s="278">
        <f>'💰 Precio de Venta'!J307</f>
        <v>0</v>
      </c>
      <c r="AW302" s="278">
        <f>TABLA_BASE[[#This Row],[GANANCIA
UNIT.(S/.)]]*TABLA_BASE[[#This Row],[CANTIDAD
(unid.)]]</f>
        <v>0</v>
      </c>
      <c r="AX302" s="289">
        <f>'💰 Precio de Venta'!K307</f>
        <v>0</v>
      </c>
      <c r="AY302" s="278">
        <f>TABLA_BASE[[#This Row],[GANANCIA
UNIT.(S/.)]]*'🧾 Factura Comercial'!G306</f>
        <v>0</v>
      </c>
      <c r="AZ302" s="277">
        <f>IF(TABLA_BASE[[#This Row],[PRECIO VTA.
c/IGV(S/.)]]=0,0,TABLA_BASE[[#This Row],[GANANCIA
UNIT.(S/.)]]/TABLA_BASE[[#This Row],[PRECIO VTA.
c/IGV(S/.)]])</f>
        <v>0</v>
      </c>
      <c r="BA302" s="277">
        <f>IF(TABLA_BASE[[#This Row],[C/M UNIT.
(S/.)]]=0,0,TABLA_BASE[[#This Row],[GANANCIA
UNIT.(S/.)]]/TABLA_BASE[[#This Row],[C/M UNIT.
(S/.)]])</f>
        <v>0</v>
      </c>
      <c r="BB302" s="274" t="str">
        <f>IF(TABLA_BASE[[#This Row],[MARGEN
%]]&gt;=0.5,"🟢 ALTO",IF(TABLA_BASE[[#This Row],[MARGEN
%]]&gt;=0.3,"🟡 MEDIO","🔴 BAJO"))</f>
        <v>🟡 MEDIO</v>
      </c>
    </row>
    <row r="303" spans="1:54" ht="16.5" hidden="1" thickTop="1" thickBot="1" x14ac:dyDescent="0.3">
      <c r="A303" s="274">
        <f>'🧾 Factura Comercial'!E307</f>
        <v>0</v>
      </c>
      <c r="B303" s="274" t="str">
        <f>'🧾 Factura Comercial'!F307</f>
        <v>Unid.</v>
      </c>
      <c r="C303" s="275">
        <f>'🧾 Factura Comercial'!G307</f>
        <v>0</v>
      </c>
      <c r="D303" s="276">
        <f>'🧾 Factura Comercial'!H307</f>
        <v>0</v>
      </c>
      <c r="E303" s="276">
        <f>'🧾 Factura Comercial'!I307</f>
        <v>0</v>
      </c>
      <c r="F303" s="277">
        <f>IF('🧾 Tributos Aduana'!$F$6=0,0,'🧾 Factura Comercial'!I307/'🧾 Tributos Aduana'!$F$6)</f>
        <v>0</v>
      </c>
      <c r="G303" s="278">
        <f>'🧾 Factura Comercial'!H307*'📋 Datos Generales'!$E$19</f>
        <v>0</v>
      </c>
      <c r="H303" s="278">
        <f>TABLA_BASE[[#This Row],[FOB UNIT.
(S/.)]]*TABLA_BASE[[#This Row],[CANTIDAD
(unid.)]]</f>
        <v>0</v>
      </c>
      <c r="I303" s="280">
        <f>IF('🧾 Tributos Aduana'!$F$6=0,0,'🧾 Tributos Aduana'!$F$17*('🧾 Factura Comercial'!H307/'🧾 Tributos Aduana'!$F$6))</f>
        <v>0</v>
      </c>
      <c r="J303" s="280">
        <f>TABLA_BASE[[#This Row],[ADV UNIT.
(US$)
⚠️COSTO]]*TABLA_BASE[[#This Row],[CANTIDAD
(unid.)]]</f>
        <v>0</v>
      </c>
      <c r="K303" s="279">
        <f>IF('🧾 Tributos Aduana'!$F$6=0,0,'🧾 Tributos Aduana'!$F$18*('🧾 Factura Comercial'!H307/'🧾 Tributos Aduana'!$F$6))</f>
        <v>0</v>
      </c>
      <c r="L303" s="280">
        <f>TABLA_BASE[[#This Row],[IPM UNIT.
(US$)
✅CF]]*TABLA_BASE[[#This Row],[CANTIDAD
(unid.)]]</f>
        <v>0</v>
      </c>
      <c r="M303" s="279">
        <f>IF('🧾 Tributos Aduana'!$F$6=0,0,'🧾 Tributos Aduana'!$F$19*('🧾 Factura Comercial'!H307/'🧾 Tributos Aduana'!$F$6))</f>
        <v>0</v>
      </c>
      <c r="N303" s="280">
        <f>TABLA_BASE[[#This Row],[IGV UNIT.
(US$)
✅CF]]*TABLA_BASE[[#This Row],[CANTIDAD
(unid.)]]</f>
        <v>0</v>
      </c>
      <c r="O303" s="280">
        <f>IF('🧾 Tributos Aduana'!$F$6=0,0,'🧾 Tributos Aduana'!$F$23*('🧾 Factura Comercial'!H307/'🧾 Tributos Aduana'!$F$6))</f>
        <v>0</v>
      </c>
      <c r="P303" s="280">
        <f>TABLA_BASE[[#This Row],[PERCEP.
UNIT.(US$)
✅CF]]*TABLA_BASE[[#This Row],[CANTIDAD
(unid.)]]</f>
        <v>0</v>
      </c>
      <c r="Q303" s="279">
        <f>TABLA_BASE[[#This Row],[ADV UNIT.
(US$)
⚠️COSTO]]+TABLA_BASE[[#This Row],[IPM UNIT.
(US$)
✅CF]]+TABLA_BASE[[#This Row],[IGV UNIT.
(US$)
✅CF]]</f>
        <v>0</v>
      </c>
      <c r="R303" s="280">
        <f>TABLA_BASE[[#This Row],[DEUDA
ADUANERA
UNIT.]]*TABLA_BASE[[#This Row],[CANTIDAD
(unid.)]]</f>
        <v>0</v>
      </c>
      <c r="S303" s="278">
        <f>TABLA_BASE[[#This Row],[DEUDA
ADUANERA
UNIT.]]*'📋 Datos Generales'!$E$19</f>
        <v>0</v>
      </c>
      <c r="T303" s="278">
        <f>TABLA_BASE[[#This Row],[DEUDA
ADUANERA
TOTAL]]*'📋 Datos Generales'!$E$19</f>
        <v>0</v>
      </c>
      <c r="U303" s="281">
        <f>TABLA_BASE[[#This Row],[ADV UNIT.
(US$)
⚠️COSTO]]*'📋 Datos Generales'!$E$19</f>
        <v>0</v>
      </c>
      <c r="V303" s="281">
        <f>TABLA_BASE[[#This Row],[ADV UNIT.
(S/.)]]*TABLA_BASE[[#This Row],[CANTIDAD
(unid.)]]</f>
        <v>0</v>
      </c>
      <c r="W303" s="281">
        <f>TABLA_BASE[[#This Row],[IPM UNIT.
(US$)
✅CF]]*'📋 Datos Generales'!$E$19</f>
        <v>0</v>
      </c>
      <c r="X303" s="281">
        <f>TABLA_BASE[[#This Row],[IPM UNIT.
(S/.)]]*TABLA_BASE[[#This Row],[CANTIDAD
(unid.)]]</f>
        <v>0</v>
      </c>
      <c r="Y303" s="281">
        <f>TABLA_BASE[[#This Row],[IGV UNIT.
(US$)
✅CF]]*'📋 Datos Generales'!$E$19</f>
        <v>0</v>
      </c>
      <c r="Z303" s="281">
        <f>TABLA_BASE[[#This Row],[IGV UNIT.
(S/.)]]*TABLA_BASE[[#This Row],[CANTIDAD
(unid.)]]</f>
        <v>0</v>
      </c>
      <c r="AA303" s="281">
        <f>TABLA_BASE[[#This Row],[PERCEP.
UNIT.(US$)
✅CF]]*'📋 Datos Generales'!$E$19</f>
        <v>0</v>
      </c>
      <c r="AB303" s="281">
        <f>TABLA_BASE[[#This Row],[PERCEP.
UNIT.(S/.)]]*TABLA_BASE[[#This Row],[CANTIDAD
(unid.)]]</f>
        <v>0</v>
      </c>
      <c r="AC303" s="279">
        <f>TABLA_BASE[[#This Row],[ADV UNIT.
(US$)
⚠️COSTO]]+TABLA_BASE[[#This Row],[IPM UNIT.
(US$)
✅CF]]+TABLA_BASE[[#This Row],[IGV UNIT.
(US$)
✅CF]]+TABLA_BASE[[#This Row],[PERCEP.
UNIT.(US$)
✅CF]]</f>
        <v>0</v>
      </c>
      <c r="AD303" s="279">
        <f>TABLA_BASE[[#This Row],[TOTAL PAGO
SUNAT
UNIT.(US$)]]*TABLA_BASE[[#This Row],[CANTIDAD
(unid.)]]</f>
        <v>0</v>
      </c>
      <c r="AE303" s="281">
        <f>TABLA_BASE[[#This Row],[TOTAL PAGO
SUNAT
UNIT.(US$)]]*'📋 Datos Generales'!$E$19</f>
        <v>0</v>
      </c>
      <c r="AF303" s="281">
        <f>TABLA_BASE[[#This Row],[TOTAL TRIB.
UNIT.(S/.)]]*TABLA_BASE[[#This Row],[CANTIDAD
(unid.)]]</f>
        <v>0</v>
      </c>
      <c r="AG303" s="279">
        <f>IF('🧾 Factura Comercial'!G307=0,0,'📦 Gastos Importación'!$E$28*(IF('🧾 Tributos Aduana'!$F$6=0,0,'🧾 Factura Comercial'!I307/'🧾 Tributos Aduana'!$F$6))/'🧾 Factura Comercial'!G307)</f>
        <v>0</v>
      </c>
      <c r="AH303" s="279">
        <f>TABLA_BASE[[#This Row],[GASTOS IMP.
UNIT.(US$)]]*TABLA_BASE[[#This Row],[CANTIDAD
(unid.)]]</f>
        <v>0</v>
      </c>
      <c r="AI303" s="281">
        <f>TABLA_BASE[[#This Row],[GASTOS IMP.
UNIT.(US$)]]*'📋 Datos Generales'!$E$19</f>
        <v>0</v>
      </c>
      <c r="AJ303" s="281">
        <f>TABLA_BASE[[#This Row],[GASTOS IMP.
UNIT.(S/.)]]*TABLA_BASE[[#This Row],[CANTIDAD
(unid.)]]</f>
        <v>0</v>
      </c>
      <c r="AK303" s="280">
        <f>'🧮 Costos x Producto'!J307</f>
        <v>0</v>
      </c>
      <c r="AL303" s="278">
        <f>'🧮 Costos x Producto'!K307</f>
        <v>0</v>
      </c>
      <c r="AM303" s="278">
        <f>TABLA_BASE[[#This Row],[C/M UNIT.
(S/.)]]*TABLA_BASE[[#This Row],[CANTIDAD
(unid.)]]</f>
        <v>0</v>
      </c>
      <c r="AN303" s="279">
        <f>IF('🧾 Factura Comercial'!G307=0,0,'🧾 Tributos Aduana'!$F$17*(IF('🧾 Tributos Aduana'!$F$6=0,0,'🧾 Factura Comercial'!I307/'🧾 Tributos Aduana'!$F$6))/'🧾 Factura Comercial'!G307)</f>
        <v>0</v>
      </c>
      <c r="AO303" s="280">
        <f>IF('🧾 Factura Comercial'!G307=0,0,'🏦 Crédito Fiscal'!$C$16*(IF('🧾 Tributos Aduana'!$F$6=0,0,'🧾 Factura Comercial'!I307/'🧾 Tributos Aduana'!$F$6))/'🧾 Factura Comercial'!G307)</f>
        <v>0</v>
      </c>
      <c r="AP303" s="278">
        <f>TABLA_BASE[[#This Row],[CF UNIT.
✅RECUP.
(US$)]]*'📋 Datos Generales'!$E$19</f>
        <v>0</v>
      </c>
      <c r="AQ303" s="278">
        <f>TABLA_BASE[[#This Row],[CF UNIT.
✅RECUP.(S/.)]]*TABLA_BASE[[#This Row],[CANTIDAD
(unid.)]]</f>
        <v>0</v>
      </c>
      <c r="AR303" s="288">
        <f>'💰 Precio de Venta'!G308</f>
        <v>0.4</v>
      </c>
      <c r="AS303" s="278">
        <f>'💰 Precio de Venta'!H308</f>
        <v>0</v>
      </c>
      <c r="AT303" s="278">
        <f>TABLA_BASE[[#This Row],[VALOR VTA.
UNIT.(S/.)]]*TABLA_BASE[[#This Row],[CANTIDAD
(unid.)]]</f>
        <v>0</v>
      </c>
      <c r="AU303" s="281">
        <f>'💰 Precio de Venta'!I308</f>
        <v>0</v>
      </c>
      <c r="AV303" s="278">
        <f>'💰 Precio de Venta'!J308</f>
        <v>0</v>
      </c>
      <c r="AW303" s="278">
        <f>TABLA_BASE[[#This Row],[GANANCIA
UNIT.(S/.)]]*TABLA_BASE[[#This Row],[CANTIDAD
(unid.)]]</f>
        <v>0</v>
      </c>
      <c r="AX303" s="289">
        <f>'💰 Precio de Venta'!K308</f>
        <v>0</v>
      </c>
      <c r="AY303" s="278">
        <f>TABLA_BASE[[#This Row],[GANANCIA
UNIT.(S/.)]]*'🧾 Factura Comercial'!G307</f>
        <v>0</v>
      </c>
      <c r="AZ303" s="277">
        <f>IF(TABLA_BASE[[#This Row],[PRECIO VTA.
c/IGV(S/.)]]=0,0,TABLA_BASE[[#This Row],[GANANCIA
UNIT.(S/.)]]/TABLA_BASE[[#This Row],[PRECIO VTA.
c/IGV(S/.)]])</f>
        <v>0</v>
      </c>
      <c r="BA303" s="277">
        <f>IF(TABLA_BASE[[#This Row],[C/M UNIT.
(S/.)]]=0,0,TABLA_BASE[[#This Row],[GANANCIA
UNIT.(S/.)]]/TABLA_BASE[[#This Row],[C/M UNIT.
(S/.)]])</f>
        <v>0</v>
      </c>
      <c r="BB303" s="274" t="str">
        <f>IF(TABLA_BASE[[#This Row],[MARGEN
%]]&gt;=0.5,"🟢 ALTO",IF(TABLA_BASE[[#This Row],[MARGEN
%]]&gt;=0.3,"🟡 MEDIO","🔴 BAJO"))</f>
        <v>🟡 MEDIO</v>
      </c>
    </row>
    <row r="304" spans="1:54" ht="16.5" hidden="1" thickTop="1" thickBot="1" x14ac:dyDescent="0.3">
      <c r="A304" s="274">
        <f>'🧾 Factura Comercial'!E308</f>
        <v>0</v>
      </c>
      <c r="B304" s="274" t="str">
        <f>'🧾 Factura Comercial'!F308</f>
        <v>Unid.</v>
      </c>
      <c r="C304" s="275">
        <f>'🧾 Factura Comercial'!G308</f>
        <v>0</v>
      </c>
      <c r="D304" s="276">
        <f>'🧾 Factura Comercial'!H308</f>
        <v>0</v>
      </c>
      <c r="E304" s="276">
        <f>'🧾 Factura Comercial'!I308</f>
        <v>0</v>
      </c>
      <c r="F304" s="277">
        <f>IF('🧾 Tributos Aduana'!$F$6=0,0,'🧾 Factura Comercial'!I308/'🧾 Tributos Aduana'!$F$6)</f>
        <v>0</v>
      </c>
      <c r="G304" s="278">
        <f>'🧾 Factura Comercial'!H308*'📋 Datos Generales'!$E$19</f>
        <v>0</v>
      </c>
      <c r="H304" s="278">
        <f>TABLA_BASE[[#This Row],[FOB UNIT.
(S/.)]]*TABLA_BASE[[#This Row],[CANTIDAD
(unid.)]]</f>
        <v>0</v>
      </c>
      <c r="I304" s="280">
        <f>IF('🧾 Tributos Aduana'!$F$6=0,0,'🧾 Tributos Aduana'!$F$17*('🧾 Factura Comercial'!H308/'🧾 Tributos Aduana'!$F$6))</f>
        <v>0</v>
      </c>
      <c r="J304" s="280">
        <f>TABLA_BASE[[#This Row],[ADV UNIT.
(US$)
⚠️COSTO]]*TABLA_BASE[[#This Row],[CANTIDAD
(unid.)]]</f>
        <v>0</v>
      </c>
      <c r="K304" s="279">
        <f>IF('🧾 Tributos Aduana'!$F$6=0,0,'🧾 Tributos Aduana'!$F$18*('🧾 Factura Comercial'!H308/'🧾 Tributos Aduana'!$F$6))</f>
        <v>0</v>
      </c>
      <c r="L304" s="280">
        <f>TABLA_BASE[[#This Row],[IPM UNIT.
(US$)
✅CF]]*TABLA_BASE[[#This Row],[CANTIDAD
(unid.)]]</f>
        <v>0</v>
      </c>
      <c r="M304" s="279">
        <f>IF('🧾 Tributos Aduana'!$F$6=0,0,'🧾 Tributos Aduana'!$F$19*('🧾 Factura Comercial'!H308/'🧾 Tributos Aduana'!$F$6))</f>
        <v>0</v>
      </c>
      <c r="N304" s="280">
        <f>TABLA_BASE[[#This Row],[IGV UNIT.
(US$)
✅CF]]*TABLA_BASE[[#This Row],[CANTIDAD
(unid.)]]</f>
        <v>0</v>
      </c>
      <c r="O304" s="280">
        <f>IF('🧾 Tributos Aduana'!$F$6=0,0,'🧾 Tributos Aduana'!$F$23*('🧾 Factura Comercial'!H308/'🧾 Tributos Aduana'!$F$6))</f>
        <v>0</v>
      </c>
      <c r="P304" s="280">
        <f>TABLA_BASE[[#This Row],[PERCEP.
UNIT.(US$)
✅CF]]*TABLA_BASE[[#This Row],[CANTIDAD
(unid.)]]</f>
        <v>0</v>
      </c>
      <c r="Q304" s="279">
        <f>TABLA_BASE[[#This Row],[ADV UNIT.
(US$)
⚠️COSTO]]+TABLA_BASE[[#This Row],[IPM UNIT.
(US$)
✅CF]]+TABLA_BASE[[#This Row],[IGV UNIT.
(US$)
✅CF]]</f>
        <v>0</v>
      </c>
      <c r="R304" s="280">
        <f>TABLA_BASE[[#This Row],[DEUDA
ADUANERA
UNIT.]]*TABLA_BASE[[#This Row],[CANTIDAD
(unid.)]]</f>
        <v>0</v>
      </c>
      <c r="S304" s="278">
        <f>TABLA_BASE[[#This Row],[DEUDA
ADUANERA
UNIT.]]*'📋 Datos Generales'!$E$19</f>
        <v>0</v>
      </c>
      <c r="T304" s="278">
        <f>TABLA_BASE[[#This Row],[DEUDA
ADUANERA
TOTAL]]*'📋 Datos Generales'!$E$19</f>
        <v>0</v>
      </c>
      <c r="U304" s="281">
        <f>TABLA_BASE[[#This Row],[ADV UNIT.
(US$)
⚠️COSTO]]*'📋 Datos Generales'!$E$19</f>
        <v>0</v>
      </c>
      <c r="V304" s="281">
        <f>TABLA_BASE[[#This Row],[ADV UNIT.
(S/.)]]*TABLA_BASE[[#This Row],[CANTIDAD
(unid.)]]</f>
        <v>0</v>
      </c>
      <c r="W304" s="281">
        <f>TABLA_BASE[[#This Row],[IPM UNIT.
(US$)
✅CF]]*'📋 Datos Generales'!$E$19</f>
        <v>0</v>
      </c>
      <c r="X304" s="281">
        <f>TABLA_BASE[[#This Row],[IPM UNIT.
(S/.)]]*TABLA_BASE[[#This Row],[CANTIDAD
(unid.)]]</f>
        <v>0</v>
      </c>
      <c r="Y304" s="281">
        <f>TABLA_BASE[[#This Row],[IGV UNIT.
(US$)
✅CF]]*'📋 Datos Generales'!$E$19</f>
        <v>0</v>
      </c>
      <c r="Z304" s="281">
        <f>TABLA_BASE[[#This Row],[IGV UNIT.
(S/.)]]*TABLA_BASE[[#This Row],[CANTIDAD
(unid.)]]</f>
        <v>0</v>
      </c>
      <c r="AA304" s="281">
        <f>TABLA_BASE[[#This Row],[PERCEP.
UNIT.(US$)
✅CF]]*'📋 Datos Generales'!$E$19</f>
        <v>0</v>
      </c>
      <c r="AB304" s="281">
        <f>TABLA_BASE[[#This Row],[PERCEP.
UNIT.(S/.)]]*TABLA_BASE[[#This Row],[CANTIDAD
(unid.)]]</f>
        <v>0</v>
      </c>
      <c r="AC304" s="279">
        <f>TABLA_BASE[[#This Row],[ADV UNIT.
(US$)
⚠️COSTO]]+TABLA_BASE[[#This Row],[IPM UNIT.
(US$)
✅CF]]+TABLA_BASE[[#This Row],[IGV UNIT.
(US$)
✅CF]]+TABLA_BASE[[#This Row],[PERCEP.
UNIT.(US$)
✅CF]]</f>
        <v>0</v>
      </c>
      <c r="AD304" s="279">
        <f>TABLA_BASE[[#This Row],[TOTAL PAGO
SUNAT
UNIT.(US$)]]*TABLA_BASE[[#This Row],[CANTIDAD
(unid.)]]</f>
        <v>0</v>
      </c>
      <c r="AE304" s="281">
        <f>TABLA_BASE[[#This Row],[TOTAL PAGO
SUNAT
UNIT.(US$)]]*'📋 Datos Generales'!$E$19</f>
        <v>0</v>
      </c>
      <c r="AF304" s="281">
        <f>TABLA_BASE[[#This Row],[TOTAL TRIB.
UNIT.(S/.)]]*TABLA_BASE[[#This Row],[CANTIDAD
(unid.)]]</f>
        <v>0</v>
      </c>
      <c r="AG304" s="279">
        <f>IF('🧾 Factura Comercial'!G308=0,0,'📦 Gastos Importación'!$E$28*(IF('🧾 Tributos Aduana'!$F$6=0,0,'🧾 Factura Comercial'!I308/'🧾 Tributos Aduana'!$F$6))/'🧾 Factura Comercial'!G308)</f>
        <v>0</v>
      </c>
      <c r="AH304" s="279">
        <f>TABLA_BASE[[#This Row],[GASTOS IMP.
UNIT.(US$)]]*TABLA_BASE[[#This Row],[CANTIDAD
(unid.)]]</f>
        <v>0</v>
      </c>
      <c r="AI304" s="281">
        <f>TABLA_BASE[[#This Row],[GASTOS IMP.
UNIT.(US$)]]*'📋 Datos Generales'!$E$19</f>
        <v>0</v>
      </c>
      <c r="AJ304" s="281">
        <f>TABLA_BASE[[#This Row],[GASTOS IMP.
UNIT.(S/.)]]*TABLA_BASE[[#This Row],[CANTIDAD
(unid.)]]</f>
        <v>0</v>
      </c>
      <c r="AK304" s="280">
        <f>'🧮 Costos x Producto'!J308</f>
        <v>0</v>
      </c>
      <c r="AL304" s="278">
        <f>'🧮 Costos x Producto'!K308</f>
        <v>0</v>
      </c>
      <c r="AM304" s="278">
        <f>TABLA_BASE[[#This Row],[C/M UNIT.
(S/.)]]*TABLA_BASE[[#This Row],[CANTIDAD
(unid.)]]</f>
        <v>0</v>
      </c>
      <c r="AN304" s="279">
        <f>IF('🧾 Factura Comercial'!G308=0,0,'🧾 Tributos Aduana'!$F$17*(IF('🧾 Tributos Aduana'!$F$6=0,0,'🧾 Factura Comercial'!I308/'🧾 Tributos Aduana'!$F$6))/'🧾 Factura Comercial'!G308)</f>
        <v>0</v>
      </c>
      <c r="AO304" s="280">
        <f>IF('🧾 Factura Comercial'!G308=0,0,'🏦 Crédito Fiscal'!$C$16*(IF('🧾 Tributos Aduana'!$F$6=0,0,'🧾 Factura Comercial'!I308/'🧾 Tributos Aduana'!$F$6))/'🧾 Factura Comercial'!G308)</f>
        <v>0</v>
      </c>
      <c r="AP304" s="278">
        <f>TABLA_BASE[[#This Row],[CF UNIT.
✅RECUP.
(US$)]]*'📋 Datos Generales'!$E$19</f>
        <v>0</v>
      </c>
      <c r="AQ304" s="278">
        <f>TABLA_BASE[[#This Row],[CF UNIT.
✅RECUP.(S/.)]]*TABLA_BASE[[#This Row],[CANTIDAD
(unid.)]]</f>
        <v>0</v>
      </c>
      <c r="AR304" s="288">
        <f>'💰 Precio de Venta'!G309</f>
        <v>0.4</v>
      </c>
      <c r="AS304" s="278">
        <f>'💰 Precio de Venta'!H309</f>
        <v>0</v>
      </c>
      <c r="AT304" s="278">
        <f>TABLA_BASE[[#This Row],[VALOR VTA.
UNIT.(S/.)]]*TABLA_BASE[[#This Row],[CANTIDAD
(unid.)]]</f>
        <v>0</v>
      </c>
      <c r="AU304" s="281">
        <f>'💰 Precio de Venta'!I309</f>
        <v>0</v>
      </c>
      <c r="AV304" s="278">
        <f>'💰 Precio de Venta'!J309</f>
        <v>0</v>
      </c>
      <c r="AW304" s="278">
        <f>TABLA_BASE[[#This Row],[GANANCIA
UNIT.(S/.)]]*TABLA_BASE[[#This Row],[CANTIDAD
(unid.)]]</f>
        <v>0</v>
      </c>
      <c r="AX304" s="289">
        <f>'💰 Precio de Venta'!K309</f>
        <v>0</v>
      </c>
      <c r="AY304" s="278">
        <f>TABLA_BASE[[#This Row],[GANANCIA
UNIT.(S/.)]]*'🧾 Factura Comercial'!G308</f>
        <v>0</v>
      </c>
      <c r="AZ304" s="277">
        <f>IF(TABLA_BASE[[#This Row],[PRECIO VTA.
c/IGV(S/.)]]=0,0,TABLA_BASE[[#This Row],[GANANCIA
UNIT.(S/.)]]/TABLA_BASE[[#This Row],[PRECIO VTA.
c/IGV(S/.)]])</f>
        <v>0</v>
      </c>
      <c r="BA304" s="277">
        <f>IF(TABLA_BASE[[#This Row],[C/M UNIT.
(S/.)]]=0,0,TABLA_BASE[[#This Row],[GANANCIA
UNIT.(S/.)]]/TABLA_BASE[[#This Row],[C/M UNIT.
(S/.)]])</f>
        <v>0</v>
      </c>
      <c r="BB304" s="274" t="str">
        <f>IF(TABLA_BASE[[#This Row],[MARGEN
%]]&gt;=0.5,"🟢 ALTO",IF(TABLA_BASE[[#This Row],[MARGEN
%]]&gt;=0.3,"🟡 MEDIO","🔴 BAJO"))</f>
        <v>🟡 MEDIO</v>
      </c>
    </row>
    <row r="305" spans="1:54" ht="16.5" hidden="1" thickTop="1" thickBot="1" x14ac:dyDescent="0.3">
      <c r="A305" s="274">
        <f>'🧾 Factura Comercial'!E309</f>
        <v>0</v>
      </c>
      <c r="B305" s="274" t="str">
        <f>'🧾 Factura Comercial'!F309</f>
        <v>Unid.</v>
      </c>
      <c r="C305" s="275">
        <f>'🧾 Factura Comercial'!G309</f>
        <v>0</v>
      </c>
      <c r="D305" s="276">
        <f>'🧾 Factura Comercial'!H309</f>
        <v>0</v>
      </c>
      <c r="E305" s="276">
        <f>'🧾 Factura Comercial'!I309</f>
        <v>0</v>
      </c>
      <c r="F305" s="277">
        <f>IF('🧾 Tributos Aduana'!$F$6=0,0,'🧾 Factura Comercial'!I309/'🧾 Tributos Aduana'!$F$6)</f>
        <v>0</v>
      </c>
      <c r="G305" s="278">
        <f>'🧾 Factura Comercial'!H309*'📋 Datos Generales'!$E$19</f>
        <v>0</v>
      </c>
      <c r="H305" s="278">
        <f>TABLA_BASE[[#This Row],[FOB UNIT.
(S/.)]]*TABLA_BASE[[#This Row],[CANTIDAD
(unid.)]]</f>
        <v>0</v>
      </c>
      <c r="I305" s="280">
        <f>IF('🧾 Tributos Aduana'!$F$6=0,0,'🧾 Tributos Aduana'!$F$17*('🧾 Factura Comercial'!H309/'🧾 Tributos Aduana'!$F$6))</f>
        <v>0</v>
      </c>
      <c r="J305" s="280">
        <f>TABLA_BASE[[#This Row],[ADV UNIT.
(US$)
⚠️COSTO]]*TABLA_BASE[[#This Row],[CANTIDAD
(unid.)]]</f>
        <v>0</v>
      </c>
      <c r="K305" s="279">
        <f>IF('🧾 Tributos Aduana'!$F$6=0,0,'🧾 Tributos Aduana'!$F$18*('🧾 Factura Comercial'!H309/'🧾 Tributos Aduana'!$F$6))</f>
        <v>0</v>
      </c>
      <c r="L305" s="280">
        <f>TABLA_BASE[[#This Row],[IPM UNIT.
(US$)
✅CF]]*TABLA_BASE[[#This Row],[CANTIDAD
(unid.)]]</f>
        <v>0</v>
      </c>
      <c r="M305" s="279">
        <f>IF('🧾 Tributos Aduana'!$F$6=0,0,'🧾 Tributos Aduana'!$F$19*('🧾 Factura Comercial'!H309/'🧾 Tributos Aduana'!$F$6))</f>
        <v>0</v>
      </c>
      <c r="N305" s="280">
        <f>TABLA_BASE[[#This Row],[IGV UNIT.
(US$)
✅CF]]*TABLA_BASE[[#This Row],[CANTIDAD
(unid.)]]</f>
        <v>0</v>
      </c>
      <c r="O305" s="280">
        <f>IF('🧾 Tributos Aduana'!$F$6=0,0,'🧾 Tributos Aduana'!$F$23*('🧾 Factura Comercial'!H309/'🧾 Tributos Aduana'!$F$6))</f>
        <v>0</v>
      </c>
      <c r="P305" s="280">
        <f>TABLA_BASE[[#This Row],[PERCEP.
UNIT.(US$)
✅CF]]*TABLA_BASE[[#This Row],[CANTIDAD
(unid.)]]</f>
        <v>0</v>
      </c>
      <c r="Q305" s="279">
        <f>TABLA_BASE[[#This Row],[ADV UNIT.
(US$)
⚠️COSTO]]+TABLA_BASE[[#This Row],[IPM UNIT.
(US$)
✅CF]]+TABLA_BASE[[#This Row],[IGV UNIT.
(US$)
✅CF]]</f>
        <v>0</v>
      </c>
      <c r="R305" s="280">
        <f>TABLA_BASE[[#This Row],[DEUDA
ADUANERA
UNIT.]]*TABLA_BASE[[#This Row],[CANTIDAD
(unid.)]]</f>
        <v>0</v>
      </c>
      <c r="S305" s="278">
        <f>TABLA_BASE[[#This Row],[DEUDA
ADUANERA
UNIT.]]*'📋 Datos Generales'!$E$19</f>
        <v>0</v>
      </c>
      <c r="T305" s="278">
        <f>TABLA_BASE[[#This Row],[DEUDA
ADUANERA
TOTAL]]*'📋 Datos Generales'!$E$19</f>
        <v>0</v>
      </c>
      <c r="U305" s="281">
        <f>TABLA_BASE[[#This Row],[ADV UNIT.
(US$)
⚠️COSTO]]*'📋 Datos Generales'!$E$19</f>
        <v>0</v>
      </c>
      <c r="V305" s="281">
        <f>TABLA_BASE[[#This Row],[ADV UNIT.
(S/.)]]*TABLA_BASE[[#This Row],[CANTIDAD
(unid.)]]</f>
        <v>0</v>
      </c>
      <c r="W305" s="281">
        <f>TABLA_BASE[[#This Row],[IPM UNIT.
(US$)
✅CF]]*'📋 Datos Generales'!$E$19</f>
        <v>0</v>
      </c>
      <c r="X305" s="281">
        <f>TABLA_BASE[[#This Row],[IPM UNIT.
(S/.)]]*TABLA_BASE[[#This Row],[CANTIDAD
(unid.)]]</f>
        <v>0</v>
      </c>
      <c r="Y305" s="281">
        <f>TABLA_BASE[[#This Row],[IGV UNIT.
(US$)
✅CF]]*'📋 Datos Generales'!$E$19</f>
        <v>0</v>
      </c>
      <c r="Z305" s="281">
        <f>TABLA_BASE[[#This Row],[IGV UNIT.
(S/.)]]*TABLA_BASE[[#This Row],[CANTIDAD
(unid.)]]</f>
        <v>0</v>
      </c>
      <c r="AA305" s="281">
        <f>TABLA_BASE[[#This Row],[PERCEP.
UNIT.(US$)
✅CF]]*'📋 Datos Generales'!$E$19</f>
        <v>0</v>
      </c>
      <c r="AB305" s="281">
        <f>TABLA_BASE[[#This Row],[PERCEP.
UNIT.(S/.)]]*TABLA_BASE[[#This Row],[CANTIDAD
(unid.)]]</f>
        <v>0</v>
      </c>
      <c r="AC305" s="279">
        <f>TABLA_BASE[[#This Row],[ADV UNIT.
(US$)
⚠️COSTO]]+TABLA_BASE[[#This Row],[IPM UNIT.
(US$)
✅CF]]+TABLA_BASE[[#This Row],[IGV UNIT.
(US$)
✅CF]]+TABLA_BASE[[#This Row],[PERCEP.
UNIT.(US$)
✅CF]]</f>
        <v>0</v>
      </c>
      <c r="AD305" s="279">
        <f>TABLA_BASE[[#This Row],[TOTAL PAGO
SUNAT
UNIT.(US$)]]*TABLA_BASE[[#This Row],[CANTIDAD
(unid.)]]</f>
        <v>0</v>
      </c>
      <c r="AE305" s="281">
        <f>TABLA_BASE[[#This Row],[TOTAL PAGO
SUNAT
UNIT.(US$)]]*'📋 Datos Generales'!$E$19</f>
        <v>0</v>
      </c>
      <c r="AF305" s="281">
        <f>TABLA_BASE[[#This Row],[TOTAL TRIB.
UNIT.(S/.)]]*TABLA_BASE[[#This Row],[CANTIDAD
(unid.)]]</f>
        <v>0</v>
      </c>
      <c r="AG305" s="279">
        <f>IF('🧾 Factura Comercial'!G309=0,0,'📦 Gastos Importación'!$E$28*(IF('🧾 Tributos Aduana'!$F$6=0,0,'🧾 Factura Comercial'!I309/'🧾 Tributos Aduana'!$F$6))/'🧾 Factura Comercial'!G309)</f>
        <v>0</v>
      </c>
      <c r="AH305" s="279">
        <f>TABLA_BASE[[#This Row],[GASTOS IMP.
UNIT.(US$)]]*TABLA_BASE[[#This Row],[CANTIDAD
(unid.)]]</f>
        <v>0</v>
      </c>
      <c r="AI305" s="281">
        <f>TABLA_BASE[[#This Row],[GASTOS IMP.
UNIT.(US$)]]*'📋 Datos Generales'!$E$19</f>
        <v>0</v>
      </c>
      <c r="AJ305" s="281">
        <f>TABLA_BASE[[#This Row],[GASTOS IMP.
UNIT.(S/.)]]*TABLA_BASE[[#This Row],[CANTIDAD
(unid.)]]</f>
        <v>0</v>
      </c>
      <c r="AK305" s="280">
        <f>'🧮 Costos x Producto'!J309</f>
        <v>0</v>
      </c>
      <c r="AL305" s="278">
        <f>'🧮 Costos x Producto'!K309</f>
        <v>0</v>
      </c>
      <c r="AM305" s="278">
        <f>TABLA_BASE[[#This Row],[C/M UNIT.
(S/.)]]*TABLA_BASE[[#This Row],[CANTIDAD
(unid.)]]</f>
        <v>0</v>
      </c>
      <c r="AN305" s="279">
        <f>IF('🧾 Factura Comercial'!G309=0,0,'🧾 Tributos Aduana'!$F$17*(IF('🧾 Tributos Aduana'!$F$6=0,0,'🧾 Factura Comercial'!I309/'🧾 Tributos Aduana'!$F$6))/'🧾 Factura Comercial'!G309)</f>
        <v>0</v>
      </c>
      <c r="AO305" s="280">
        <f>IF('🧾 Factura Comercial'!G309=0,0,'🏦 Crédito Fiscal'!$C$16*(IF('🧾 Tributos Aduana'!$F$6=0,0,'🧾 Factura Comercial'!I309/'🧾 Tributos Aduana'!$F$6))/'🧾 Factura Comercial'!G309)</f>
        <v>0</v>
      </c>
      <c r="AP305" s="278">
        <f>TABLA_BASE[[#This Row],[CF UNIT.
✅RECUP.
(US$)]]*'📋 Datos Generales'!$E$19</f>
        <v>0</v>
      </c>
      <c r="AQ305" s="278">
        <f>TABLA_BASE[[#This Row],[CF UNIT.
✅RECUP.(S/.)]]*TABLA_BASE[[#This Row],[CANTIDAD
(unid.)]]</f>
        <v>0</v>
      </c>
      <c r="AR305" s="288">
        <f>'💰 Precio de Venta'!G310</f>
        <v>0.4</v>
      </c>
      <c r="AS305" s="278">
        <f>'💰 Precio de Venta'!H310</f>
        <v>0</v>
      </c>
      <c r="AT305" s="278">
        <f>TABLA_BASE[[#This Row],[VALOR VTA.
UNIT.(S/.)]]*TABLA_BASE[[#This Row],[CANTIDAD
(unid.)]]</f>
        <v>0</v>
      </c>
      <c r="AU305" s="281">
        <f>'💰 Precio de Venta'!I310</f>
        <v>0</v>
      </c>
      <c r="AV305" s="278">
        <f>'💰 Precio de Venta'!J310</f>
        <v>0</v>
      </c>
      <c r="AW305" s="278">
        <f>TABLA_BASE[[#This Row],[GANANCIA
UNIT.(S/.)]]*TABLA_BASE[[#This Row],[CANTIDAD
(unid.)]]</f>
        <v>0</v>
      </c>
      <c r="AX305" s="289">
        <f>'💰 Precio de Venta'!K310</f>
        <v>0</v>
      </c>
      <c r="AY305" s="278">
        <f>TABLA_BASE[[#This Row],[GANANCIA
UNIT.(S/.)]]*'🧾 Factura Comercial'!G309</f>
        <v>0</v>
      </c>
      <c r="AZ305" s="277">
        <f>IF(TABLA_BASE[[#This Row],[PRECIO VTA.
c/IGV(S/.)]]=0,0,TABLA_BASE[[#This Row],[GANANCIA
UNIT.(S/.)]]/TABLA_BASE[[#This Row],[PRECIO VTA.
c/IGV(S/.)]])</f>
        <v>0</v>
      </c>
      <c r="BA305" s="277">
        <f>IF(TABLA_BASE[[#This Row],[C/M UNIT.
(S/.)]]=0,0,TABLA_BASE[[#This Row],[GANANCIA
UNIT.(S/.)]]/TABLA_BASE[[#This Row],[C/M UNIT.
(S/.)]])</f>
        <v>0</v>
      </c>
      <c r="BB305" s="274" t="str">
        <f>IF(TABLA_BASE[[#This Row],[MARGEN
%]]&gt;=0.5,"🟢 ALTO",IF(TABLA_BASE[[#This Row],[MARGEN
%]]&gt;=0.3,"🟡 MEDIO","🔴 BAJO"))</f>
        <v>🟡 MEDIO</v>
      </c>
    </row>
    <row r="306" spans="1:54" ht="16.5" hidden="1" thickTop="1" thickBot="1" x14ac:dyDescent="0.3">
      <c r="A306" s="274">
        <f>'🧾 Factura Comercial'!E310</f>
        <v>0</v>
      </c>
      <c r="B306" s="274" t="str">
        <f>'🧾 Factura Comercial'!F310</f>
        <v>Unid.</v>
      </c>
      <c r="C306" s="275">
        <f>'🧾 Factura Comercial'!G310</f>
        <v>0</v>
      </c>
      <c r="D306" s="276">
        <f>'🧾 Factura Comercial'!H310</f>
        <v>0</v>
      </c>
      <c r="E306" s="276">
        <f>'🧾 Factura Comercial'!I310</f>
        <v>0</v>
      </c>
      <c r="F306" s="277">
        <f>IF('🧾 Tributos Aduana'!$F$6=0,0,'🧾 Factura Comercial'!I310/'🧾 Tributos Aduana'!$F$6)</f>
        <v>0</v>
      </c>
      <c r="G306" s="278">
        <f>'🧾 Factura Comercial'!H310*'📋 Datos Generales'!$E$19</f>
        <v>0</v>
      </c>
      <c r="H306" s="278">
        <f>TABLA_BASE[[#This Row],[FOB UNIT.
(S/.)]]*TABLA_BASE[[#This Row],[CANTIDAD
(unid.)]]</f>
        <v>0</v>
      </c>
      <c r="I306" s="280">
        <f>IF('🧾 Tributos Aduana'!$F$6=0,0,'🧾 Tributos Aduana'!$F$17*('🧾 Factura Comercial'!H310/'🧾 Tributos Aduana'!$F$6))</f>
        <v>0</v>
      </c>
      <c r="J306" s="280">
        <f>TABLA_BASE[[#This Row],[ADV UNIT.
(US$)
⚠️COSTO]]*TABLA_BASE[[#This Row],[CANTIDAD
(unid.)]]</f>
        <v>0</v>
      </c>
      <c r="K306" s="279">
        <f>IF('🧾 Tributos Aduana'!$F$6=0,0,'🧾 Tributos Aduana'!$F$18*('🧾 Factura Comercial'!H310/'🧾 Tributos Aduana'!$F$6))</f>
        <v>0</v>
      </c>
      <c r="L306" s="280">
        <f>TABLA_BASE[[#This Row],[IPM UNIT.
(US$)
✅CF]]*TABLA_BASE[[#This Row],[CANTIDAD
(unid.)]]</f>
        <v>0</v>
      </c>
      <c r="M306" s="279">
        <f>IF('🧾 Tributos Aduana'!$F$6=0,0,'🧾 Tributos Aduana'!$F$19*('🧾 Factura Comercial'!H310/'🧾 Tributos Aduana'!$F$6))</f>
        <v>0</v>
      </c>
      <c r="N306" s="280">
        <f>TABLA_BASE[[#This Row],[IGV UNIT.
(US$)
✅CF]]*TABLA_BASE[[#This Row],[CANTIDAD
(unid.)]]</f>
        <v>0</v>
      </c>
      <c r="O306" s="280">
        <f>IF('🧾 Tributos Aduana'!$F$6=0,0,'🧾 Tributos Aduana'!$F$23*('🧾 Factura Comercial'!H310/'🧾 Tributos Aduana'!$F$6))</f>
        <v>0</v>
      </c>
      <c r="P306" s="280">
        <f>TABLA_BASE[[#This Row],[PERCEP.
UNIT.(US$)
✅CF]]*TABLA_BASE[[#This Row],[CANTIDAD
(unid.)]]</f>
        <v>0</v>
      </c>
      <c r="Q306" s="279">
        <f>TABLA_BASE[[#This Row],[ADV UNIT.
(US$)
⚠️COSTO]]+TABLA_BASE[[#This Row],[IPM UNIT.
(US$)
✅CF]]+TABLA_BASE[[#This Row],[IGV UNIT.
(US$)
✅CF]]</f>
        <v>0</v>
      </c>
      <c r="R306" s="280">
        <f>TABLA_BASE[[#This Row],[DEUDA
ADUANERA
UNIT.]]*TABLA_BASE[[#This Row],[CANTIDAD
(unid.)]]</f>
        <v>0</v>
      </c>
      <c r="S306" s="278">
        <f>TABLA_BASE[[#This Row],[DEUDA
ADUANERA
UNIT.]]*'📋 Datos Generales'!$E$19</f>
        <v>0</v>
      </c>
      <c r="T306" s="278">
        <f>TABLA_BASE[[#This Row],[DEUDA
ADUANERA
TOTAL]]*'📋 Datos Generales'!$E$19</f>
        <v>0</v>
      </c>
      <c r="U306" s="281">
        <f>TABLA_BASE[[#This Row],[ADV UNIT.
(US$)
⚠️COSTO]]*'📋 Datos Generales'!$E$19</f>
        <v>0</v>
      </c>
      <c r="V306" s="281">
        <f>TABLA_BASE[[#This Row],[ADV UNIT.
(S/.)]]*TABLA_BASE[[#This Row],[CANTIDAD
(unid.)]]</f>
        <v>0</v>
      </c>
      <c r="W306" s="281">
        <f>TABLA_BASE[[#This Row],[IPM UNIT.
(US$)
✅CF]]*'📋 Datos Generales'!$E$19</f>
        <v>0</v>
      </c>
      <c r="X306" s="281">
        <f>TABLA_BASE[[#This Row],[IPM UNIT.
(S/.)]]*TABLA_BASE[[#This Row],[CANTIDAD
(unid.)]]</f>
        <v>0</v>
      </c>
      <c r="Y306" s="281">
        <f>TABLA_BASE[[#This Row],[IGV UNIT.
(US$)
✅CF]]*'📋 Datos Generales'!$E$19</f>
        <v>0</v>
      </c>
      <c r="Z306" s="281">
        <f>TABLA_BASE[[#This Row],[IGV UNIT.
(S/.)]]*TABLA_BASE[[#This Row],[CANTIDAD
(unid.)]]</f>
        <v>0</v>
      </c>
      <c r="AA306" s="281">
        <f>TABLA_BASE[[#This Row],[PERCEP.
UNIT.(US$)
✅CF]]*'📋 Datos Generales'!$E$19</f>
        <v>0</v>
      </c>
      <c r="AB306" s="281">
        <f>TABLA_BASE[[#This Row],[PERCEP.
UNIT.(S/.)]]*TABLA_BASE[[#This Row],[CANTIDAD
(unid.)]]</f>
        <v>0</v>
      </c>
      <c r="AC306" s="279">
        <f>TABLA_BASE[[#This Row],[ADV UNIT.
(US$)
⚠️COSTO]]+TABLA_BASE[[#This Row],[IPM UNIT.
(US$)
✅CF]]+TABLA_BASE[[#This Row],[IGV UNIT.
(US$)
✅CF]]+TABLA_BASE[[#This Row],[PERCEP.
UNIT.(US$)
✅CF]]</f>
        <v>0</v>
      </c>
      <c r="AD306" s="279">
        <f>TABLA_BASE[[#This Row],[TOTAL PAGO
SUNAT
UNIT.(US$)]]*TABLA_BASE[[#This Row],[CANTIDAD
(unid.)]]</f>
        <v>0</v>
      </c>
      <c r="AE306" s="281">
        <f>TABLA_BASE[[#This Row],[TOTAL PAGO
SUNAT
UNIT.(US$)]]*'📋 Datos Generales'!$E$19</f>
        <v>0</v>
      </c>
      <c r="AF306" s="281">
        <f>TABLA_BASE[[#This Row],[TOTAL TRIB.
UNIT.(S/.)]]*TABLA_BASE[[#This Row],[CANTIDAD
(unid.)]]</f>
        <v>0</v>
      </c>
      <c r="AG306" s="279">
        <f>IF('🧾 Factura Comercial'!G310=0,0,'📦 Gastos Importación'!$E$28*(IF('🧾 Tributos Aduana'!$F$6=0,0,'🧾 Factura Comercial'!I310/'🧾 Tributos Aduana'!$F$6))/'🧾 Factura Comercial'!G310)</f>
        <v>0</v>
      </c>
      <c r="AH306" s="279">
        <f>TABLA_BASE[[#This Row],[GASTOS IMP.
UNIT.(US$)]]*TABLA_BASE[[#This Row],[CANTIDAD
(unid.)]]</f>
        <v>0</v>
      </c>
      <c r="AI306" s="281">
        <f>TABLA_BASE[[#This Row],[GASTOS IMP.
UNIT.(US$)]]*'📋 Datos Generales'!$E$19</f>
        <v>0</v>
      </c>
      <c r="AJ306" s="281">
        <f>TABLA_BASE[[#This Row],[GASTOS IMP.
UNIT.(S/.)]]*TABLA_BASE[[#This Row],[CANTIDAD
(unid.)]]</f>
        <v>0</v>
      </c>
      <c r="AK306" s="280">
        <f>'🧮 Costos x Producto'!J310</f>
        <v>0</v>
      </c>
      <c r="AL306" s="278">
        <f>'🧮 Costos x Producto'!K310</f>
        <v>0</v>
      </c>
      <c r="AM306" s="278">
        <f>TABLA_BASE[[#This Row],[C/M UNIT.
(S/.)]]*TABLA_BASE[[#This Row],[CANTIDAD
(unid.)]]</f>
        <v>0</v>
      </c>
      <c r="AN306" s="279">
        <f>IF('🧾 Factura Comercial'!G310=0,0,'🧾 Tributos Aduana'!$F$17*(IF('🧾 Tributos Aduana'!$F$6=0,0,'🧾 Factura Comercial'!I310/'🧾 Tributos Aduana'!$F$6))/'🧾 Factura Comercial'!G310)</f>
        <v>0</v>
      </c>
      <c r="AO306" s="280">
        <f>IF('🧾 Factura Comercial'!G310=0,0,'🏦 Crédito Fiscal'!$C$16*(IF('🧾 Tributos Aduana'!$F$6=0,0,'🧾 Factura Comercial'!I310/'🧾 Tributos Aduana'!$F$6))/'🧾 Factura Comercial'!G310)</f>
        <v>0</v>
      </c>
      <c r="AP306" s="278">
        <f>TABLA_BASE[[#This Row],[CF UNIT.
✅RECUP.
(US$)]]*'📋 Datos Generales'!$E$19</f>
        <v>0</v>
      </c>
      <c r="AQ306" s="278">
        <f>TABLA_BASE[[#This Row],[CF UNIT.
✅RECUP.(S/.)]]*TABLA_BASE[[#This Row],[CANTIDAD
(unid.)]]</f>
        <v>0</v>
      </c>
      <c r="AR306" s="288">
        <f>'💰 Precio de Venta'!G311</f>
        <v>0.4</v>
      </c>
      <c r="AS306" s="278">
        <f>'💰 Precio de Venta'!H311</f>
        <v>0</v>
      </c>
      <c r="AT306" s="278">
        <f>TABLA_BASE[[#This Row],[VALOR VTA.
UNIT.(S/.)]]*TABLA_BASE[[#This Row],[CANTIDAD
(unid.)]]</f>
        <v>0</v>
      </c>
      <c r="AU306" s="281">
        <f>'💰 Precio de Venta'!I311</f>
        <v>0</v>
      </c>
      <c r="AV306" s="278">
        <f>'💰 Precio de Venta'!J311</f>
        <v>0</v>
      </c>
      <c r="AW306" s="278">
        <f>TABLA_BASE[[#This Row],[GANANCIA
UNIT.(S/.)]]*TABLA_BASE[[#This Row],[CANTIDAD
(unid.)]]</f>
        <v>0</v>
      </c>
      <c r="AX306" s="289">
        <f>'💰 Precio de Venta'!K311</f>
        <v>0</v>
      </c>
      <c r="AY306" s="278">
        <f>TABLA_BASE[[#This Row],[GANANCIA
UNIT.(S/.)]]*'🧾 Factura Comercial'!G310</f>
        <v>0</v>
      </c>
      <c r="AZ306" s="277">
        <f>IF(TABLA_BASE[[#This Row],[PRECIO VTA.
c/IGV(S/.)]]=0,0,TABLA_BASE[[#This Row],[GANANCIA
UNIT.(S/.)]]/TABLA_BASE[[#This Row],[PRECIO VTA.
c/IGV(S/.)]])</f>
        <v>0</v>
      </c>
      <c r="BA306" s="277">
        <f>IF(TABLA_BASE[[#This Row],[C/M UNIT.
(S/.)]]=0,0,TABLA_BASE[[#This Row],[GANANCIA
UNIT.(S/.)]]/TABLA_BASE[[#This Row],[C/M UNIT.
(S/.)]])</f>
        <v>0</v>
      </c>
      <c r="BB306" s="274" t="str">
        <f>IF(TABLA_BASE[[#This Row],[MARGEN
%]]&gt;=0.5,"🟢 ALTO",IF(TABLA_BASE[[#This Row],[MARGEN
%]]&gt;=0.3,"🟡 MEDIO","🔴 BAJO"))</f>
        <v>🟡 MEDIO</v>
      </c>
    </row>
    <row r="307" spans="1:54" ht="16.5" hidden="1" thickTop="1" thickBot="1" x14ac:dyDescent="0.3">
      <c r="A307" s="274">
        <f>'🧾 Factura Comercial'!E311</f>
        <v>0</v>
      </c>
      <c r="B307" s="274" t="str">
        <f>'🧾 Factura Comercial'!F311</f>
        <v>Unid.</v>
      </c>
      <c r="C307" s="275">
        <f>'🧾 Factura Comercial'!G311</f>
        <v>0</v>
      </c>
      <c r="D307" s="276">
        <f>'🧾 Factura Comercial'!H311</f>
        <v>0</v>
      </c>
      <c r="E307" s="276">
        <f>'🧾 Factura Comercial'!I311</f>
        <v>0</v>
      </c>
      <c r="F307" s="277">
        <f>IF('🧾 Tributos Aduana'!$F$6=0,0,'🧾 Factura Comercial'!I311/'🧾 Tributos Aduana'!$F$6)</f>
        <v>0</v>
      </c>
      <c r="G307" s="278">
        <f>'🧾 Factura Comercial'!H311*'📋 Datos Generales'!$E$19</f>
        <v>0</v>
      </c>
      <c r="H307" s="278">
        <f>TABLA_BASE[[#This Row],[FOB UNIT.
(S/.)]]*TABLA_BASE[[#This Row],[CANTIDAD
(unid.)]]</f>
        <v>0</v>
      </c>
      <c r="I307" s="280">
        <f>IF('🧾 Tributos Aduana'!$F$6=0,0,'🧾 Tributos Aduana'!$F$17*('🧾 Factura Comercial'!H311/'🧾 Tributos Aduana'!$F$6))</f>
        <v>0</v>
      </c>
      <c r="J307" s="280">
        <f>TABLA_BASE[[#This Row],[ADV UNIT.
(US$)
⚠️COSTO]]*TABLA_BASE[[#This Row],[CANTIDAD
(unid.)]]</f>
        <v>0</v>
      </c>
      <c r="K307" s="279">
        <f>IF('🧾 Tributos Aduana'!$F$6=0,0,'🧾 Tributos Aduana'!$F$18*('🧾 Factura Comercial'!H311/'🧾 Tributos Aduana'!$F$6))</f>
        <v>0</v>
      </c>
      <c r="L307" s="280">
        <f>TABLA_BASE[[#This Row],[IPM UNIT.
(US$)
✅CF]]*TABLA_BASE[[#This Row],[CANTIDAD
(unid.)]]</f>
        <v>0</v>
      </c>
      <c r="M307" s="279">
        <f>IF('🧾 Tributos Aduana'!$F$6=0,0,'🧾 Tributos Aduana'!$F$19*('🧾 Factura Comercial'!H311/'🧾 Tributos Aduana'!$F$6))</f>
        <v>0</v>
      </c>
      <c r="N307" s="280">
        <f>TABLA_BASE[[#This Row],[IGV UNIT.
(US$)
✅CF]]*TABLA_BASE[[#This Row],[CANTIDAD
(unid.)]]</f>
        <v>0</v>
      </c>
      <c r="O307" s="280">
        <f>IF('🧾 Tributos Aduana'!$F$6=0,0,'🧾 Tributos Aduana'!$F$23*('🧾 Factura Comercial'!H311/'🧾 Tributos Aduana'!$F$6))</f>
        <v>0</v>
      </c>
      <c r="P307" s="280">
        <f>TABLA_BASE[[#This Row],[PERCEP.
UNIT.(US$)
✅CF]]*TABLA_BASE[[#This Row],[CANTIDAD
(unid.)]]</f>
        <v>0</v>
      </c>
      <c r="Q307" s="279">
        <f>TABLA_BASE[[#This Row],[ADV UNIT.
(US$)
⚠️COSTO]]+TABLA_BASE[[#This Row],[IPM UNIT.
(US$)
✅CF]]+TABLA_BASE[[#This Row],[IGV UNIT.
(US$)
✅CF]]</f>
        <v>0</v>
      </c>
      <c r="R307" s="280">
        <f>TABLA_BASE[[#This Row],[DEUDA
ADUANERA
UNIT.]]*TABLA_BASE[[#This Row],[CANTIDAD
(unid.)]]</f>
        <v>0</v>
      </c>
      <c r="S307" s="278">
        <f>TABLA_BASE[[#This Row],[DEUDA
ADUANERA
UNIT.]]*'📋 Datos Generales'!$E$19</f>
        <v>0</v>
      </c>
      <c r="T307" s="278">
        <f>TABLA_BASE[[#This Row],[DEUDA
ADUANERA
TOTAL]]*'📋 Datos Generales'!$E$19</f>
        <v>0</v>
      </c>
      <c r="U307" s="281">
        <f>TABLA_BASE[[#This Row],[ADV UNIT.
(US$)
⚠️COSTO]]*'📋 Datos Generales'!$E$19</f>
        <v>0</v>
      </c>
      <c r="V307" s="281">
        <f>TABLA_BASE[[#This Row],[ADV UNIT.
(S/.)]]*TABLA_BASE[[#This Row],[CANTIDAD
(unid.)]]</f>
        <v>0</v>
      </c>
      <c r="W307" s="281">
        <f>TABLA_BASE[[#This Row],[IPM UNIT.
(US$)
✅CF]]*'📋 Datos Generales'!$E$19</f>
        <v>0</v>
      </c>
      <c r="X307" s="281">
        <f>TABLA_BASE[[#This Row],[IPM UNIT.
(S/.)]]*TABLA_BASE[[#This Row],[CANTIDAD
(unid.)]]</f>
        <v>0</v>
      </c>
      <c r="Y307" s="281">
        <f>TABLA_BASE[[#This Row],[IGV UNIT.
(US$)
✅CF]]*'📋 Datos Generales'!$E$19</f>
        <v>0</v>
      </c>
      <c r="Z307" s="281">
        <f>TABLA_BASE[[#This Row],[IGV UNIT.
(S/.)]]*TABLA_BASE[[#This Row],[CANTIDAD
(unid.)]]</f>
        <v>0</v>
      </c>
      <c r="AA307" s="281">
        <f>TABLA_BASE[[#This Row],[PERCEP.
UNIT.(US$)
✅CF]]*'📋 Datos Generales'!$E$19</f>
        <v>0</v>
      </c>
      <c r="AB307" s="281">
        <f>TABLA_BASE[[#This Row],[PERCEP.
UNIT.(S/.)]]*TABLA_BASE[[#This Row],[CANTIDAD
(unid.)]]</f>
        <v>0</v>
      </c>
      <c r="AC307" s="279">
        <f>TABLA_BASE[[#This Row],[ADV UNIT.
(US$)
⚠️COSTO]]+TABLA_BASE[[#This Row],[IPM UNIT.
(US$)
✅CF]]+TABLA_BASE[[#This Row],[IGV UNIT.
(US$)
✅CF]]+TABLA_BASE[[#This Row],[PERCEP.
UNIT.(US$)
✅CF]]</f>
        <v>0</v>
      </c>
      <c r="AD307" s="279">
        <f>TABLA_BASE[[#This Row],[TOTAL PAGO
SUNAT
UNIT.(US$)]]*TABLA_BASE[[#This Row],[CANTIDAD
(unid.)]]</f>
        <v>0</v>
      </c>
      <c r="AE307" s="281">
        <f>TABLA_BASE[[#This Row],[TOTAL PAGO
SUNAT
UNIT.(US$)]]*'📋 Datos Generales'!$E$19</f>
        <v>0</v>
      </c>
      <c r="AF307" s="281">
        <f>TABLA_BASE[[#This Row],[TOTAL TRIB.
UNIT.(S/.)]]*TABLA_BASE[[#This Row],[CANTIDAD
(unid.)]]</f>
        <v>0</v>
      </c>
      <c r="AG307" s="279">
        <f>IF('🧾 Factura Comercial'!G311=0,0,'📦 Gastos Importación'!$E$28*(IF('🧾 Tributos Aduana'!$F$6=0,0,'🧾 Factura Comercial'!I311/'🧾 Tributos Aduana'!$F$6))/'🧾 Factura Comercial'!G311)</f>
        <v>0</v>
      </c>
      <c r="AH307" s="279">
        <f>TABLA_BASE[[#This Row],[GASTOS IMP.
UNIT.(US$)]]*TABLA_BASE[[#This Row],[CANTIDAD
(unid.)]]</f>
        <v>0</v>
      </c>
      <c r="AI307" s="281">
        <f>TABLA_BASE[[#This Row],[GASTOS IMP.
UNIT.(US$)]]*'📋 Datos Generales'!$E$19</f>
        <v>0</v>
      </c>
      <c r="AJ307" s="281">
        <f>TABLA_BASE[[#This Row],[GASTOS IMP.
UNIT.(S/.)]]*TABLA_BASE[[#This Row],[CANTIDAD
(unid.)]]</f>
        <v>0</v>
      </c>
      <c r="AK307" s="280">
        <f>'🧮 Costos x Producto'!J311</f>
        <v>0</v>
      </c>
      <c r="AL307" s="278">
        <f>'🧮 Costos x Producto'!K311</f>
        <v>0</v>
      </c>
      <c r="AM307" s="278">
        <f>TABLA_BASE[[#This Row],[C/M UNIT.
(S/.)]]*TABLA_BASE[[#This Row],[CANTIDAD
(unid.)]]</f>
        <v>0</v>
      </c>
      <c r="AN307" s="279">
        <f>IF('🧾 Factura Comercial'!G311=0,0,'🧾 Tributos Aduana'!$F$17*(IF('🧾 Tributos Aduana'!$F$6=0,0,'🧾 Factura Comercial'!I311/'🧾 Tributos Aduana'!$F$6))/'🧾 Factura Comercial'!G311)</f>
        <v>0</v>
      </c>
      <c r="AO307" s="280">
        <f>IF('🧾 Factura Comercial'!G311=0,0,'🏦 Crédito Fiscal'!$C$16*(IF('🧾 Tributos Aduana'!$F$6=0,0,'🧾 Factura Comercial'!I311/'🧾 Tributos Aduana'!$F$6))/'🧾 Factura Comercial'!G311)</f>
        <v>0</v>
      </c>
      <c r="AP307" s="278">
        <f>TABLA_BASE[[#This Row],[CF UNIT.
✅RECUP.
(US$)]]*'📋 Datos Generales'!$E$19</f>
        <v>0</v>
      </c>
      <c r="AQ307" s="278">
        <f>TABLA_BASE[[#This Row],[CF UNIT.
✅RECUP.(S/.)]]*TABLA_BASE[[#This Row],[CANTIDAD
(unid.)]]</f>
        <v>0</v>
      </c>
      <c r="AR307" s="288">
        <f>'💰 Precio de Venta'!G312</f>
        <v>0.4</v>
      </c>
      <c r="AS307" s="278">
        <f>'💰 Precio de Venta'!H312</f>
        <v>0</v>
      </c>
      <c r="AT307" s="278">
        <f>TABLA_BASE[[#This Row],[VALOR VTA.
UNIT.(S/.)]]*TABLA_BASE[[#This Row],[CANTIDAD
(unid.)]]</f>
        <v>0</v>
      </c>
      <c r="AU307" s="281">
        <f>'💰 Precio de Venta'!I312</f>
        <v>0</v>
      </c>
      <c r="AV307" s="278">
        <f>'💰 Precio de Venta'!J312</f>
        <v>0</v>
      </c>
      <c r="AW307" s="278">
        <f>TABLA_BASE[[#This Row],[GANANCIA
UNIT.(S/.)]]*TABLA_BASE[[#This Row],[CANTIDAD
(unid.)]]</f>
        <v>0</v>
      </c>
      <c r="AX307" s="289">
        <f>'💰 Precio de Venta'!K312</f>
        <v>0</v>
      </c>
      <c r="AY307" s="278">
        <f>TABLA_BASE[[#This Row],[GANANCIA
UNIT.(S/.)]]*'🧾 Factura Comercial'!G311</f>
        <v>0</v>
      </c>
      <c r="AZ307" s="277">
        <f>IF(TABLA_BASE[[#This Row],[PRECIO VTA.
c/IGV(S/.)]]=0,0,TABLA_BASE[[#This Row],[GANANCIA
UNIT.(S/.)]]/TABLA_BASE[[#This Row],[PRECIO VTA.
c/IGV(S/.)]])</f>
        <v>0</v>
      </c>
      <c r="BA307" s="277">
        <f>IF(TABLA_BASE[[#This Row],[C/M UNIT.
(S/.)]]=0,0,TABLA_BASE[[#This Row],[GANANCIA
UNIT.(S/.)]]/TABLA_BASE[[#This Row],[C/M UNIT.
(S/.)]])</f>
        <v>0</v>
      </c>
      <c r="BB307" s="274" t="str">
        <f>IF(TABLA_BASE[[#This Row],[MARGEN
%]]&gt;=0.5,"🟢 ALTO",IF(TABLA_BASE[[#This Row],[MARGEN
%]]&gt;=0.3,"🟡 MEDIO","🔴 BAJO"))</f>
        <v>🟡 MEDIO</v>
      </c>
    </row>
    <row r="308" spans="1:54" ht="16.5" hidden="1" thickTop="1" thickBot="1" x14ac:dyDescent="0.3">
      <c r="A308" s="274">
        <f>'🧾 Factura Comercial'!E312</f>
        <v>0</v>
      </c>
      <c r="B308" s="274" t="str">
        <f>'🧾 Factura Comercial'!F312</f>
        <v>Unid.</v>
      </c>
      <c r="C308" s="275">
        <f>'🧾 Factura Comercial'!G312</f>
        <v>0</v>
      </c>
      <c r="D308" s="276">
        <f>'🧾 Factura Comercial'!H312</f>
        <v>0</v>
      </c>
      <c r="E308" s="276">
        <f>'🧾 Factura Comercial'!I312</f>
        <v>0</v>
      </c>
      <c r="F308" s="277">
        <f>IF('🧾 Tributos Aduana'!$F$6=0,0,'🧾 Factura Comercial'!I312/'🧾 Tributos Aduana'!$F$6)</f>
        <v>0</v>
      </c>
      <c r="G308" s="278">
        <f>'🧾 Factura Comercial'!H312*'📋 Datos Generales'!$E$19</f>
        <v>0</v>
      </c>
      <c r="H308" s="278">
        <f>TABLA_BASE[[#This Row],[FOB UNIT.
(S/.)]]*TABLA_BASE[[#This Row],[CANTIDAD
(unid.)]]</f>
        <v>0</v>
      </c>
      <c r="I308" s="280">
        <f>IF('🧾 Tributos Aduana'!$F$6=0,0,'🧾 Tributos Aduana'!$F$17*('🧾 Factura Comercial'!H312/'🧾 Tributos Aduana'!$F$6))</f>
        <v>0</v>
      </c>
      <c r="J308" s="280">
        <f>TABLA_BASE[[#This Row],[ADV UNIT.
(US$)
⚠️COSTO]]*TABLA_BASE[[#This Row],[CANTIDAD
(unid.)]]</f>
        <v>0</v>
      </c>
      <c r="K308" s="279">
        <f>IF('🧾 Tributos Aduana'!$F$6=0,0,'🧾 Tributos Aduana'!$F$18*('🧾 Factura Comercial'!H312/'🧾 Tributos Aduana'!$F$6))</f>
        <v>0</v>
      </c>
      <c r="L308" s="280">
        <f>TABLA_BASE[[#This Row],[IPM UNIT.
(US$)
✅CF]]*TABLA_BASE[[#This Row],[CANTIDAD
(unid.)]]</f>
        <v>0</v>
      </c>
      <c r="M308" s="279">
        <f>IF('🧾 Tributos Aduana'!$F$6=0,0,'🧾 Tributos Aduana'!$F$19*('🧾 Factura Comercial'!H312/'🧾 Tributos Aduana'!$F$6))</f>
        <v>0</v>
      </c>
      <c r="N308" s="280">
        <f>TABLA_BASE[[#This Row],[IGV UNIT.
(US$)
✅CF]]*TABLA_BASE[[#This Row],[CANTIDAD
(unid.)]]</f>
        <v>0</v>
      </c>
      <c r="O308" s="280">
        <f>IF('🧾 Tributos Aduana'!$F$6=0,0,'🧾 Tributos Aduana'!$F$23*('🧾 Factura Comercial'!H312/'🧾 Tributos Aduana'!$F$6))</f>
        <v>0</v>
      </c>
      <c r="P308" s="280">
        <f>TABLA_BASE[[#This Row],[PERCEP.
UNIT.(US$)
✅CF]]*TABLA_BASE[[#This Row],[CANTIDAD
(unid.)]]</f>
        <v>0</v>
      </c>
      <c r="Q308" s="279">
        <f>TABLA_BASE[[#This Row],[ADV UNIT.
(US$)
⚠️COSTO]]+TABLA_BASE[[#This Row],[IPM UNIT.
(US$)
✅CF]]+TABLA_BASE[[#This Row],[IGV UNIT.
(US$)
✅CF]]</f>
        <v>0</v>
      </c>
      <c r="R308" s="280">
        <f>TABLA_BASE[[#This Row],[DEUDA
ADUANERA
UNIT.]]*TABLA_BASE[[#This Row],[CANTIDAD
(unid.)]]</f>
        <v>0</v>
      </c>
      <c r="S308" s="278">
        <f>TABLA_BASE[[#This Row],[DEUDA
ADUANERA
UNIT.]]*'📋 Datos Generales'!$E$19</f>
        <v>0</v>
      </c>
      <c r="T308" s="278">
        <f>TABLA_BASE[[#This Row],[DEUDA
ADUANERA
TOTAL]]*'📋 Datos Generales'!$E$19</f>
        <v>0</v>
      </c>
      <c r="U308" s="281">
        <f>TABLA_BASE[[#This Row],[ADV UNIT.
(US$)
⚠️COSTO]]*'📋 Datos Generales'!$E$19</f>
        <v>0</v>
      </c>
      <c r="V308" s="281">
        <f>TABLA_BASE[[#This Row],[ADV UNIT.
(S/.)]]*TABLA_BASE[[#This Row],[CANTIDAD
(unid.)]]</f>
        <v>0</v>
      </c>
      <c r="W308" s="281">
        <f>TABLA_BASE[[#This Row],[IPM UNIT.
(US$)
✅CF]]*'📋 Datos Generales'!$E$19</f>
        <v>0</v>
      </c>
      <c r="X308" s="281">
        <f>TABLA_BASE[[#This Row],[IPM UNIT.
(S/.)]]*TABLA_BASE[[#This Row],[CANTIDAD
(unid.)]]</f>
        <v>0</v>
      </c>
      <c r="Y308" s="281">
        <f>TABLA_BASE[[#This Row],[IGV UNIT.
(US$)
✅CF]]*'📋 Datos Generales'!$E$19</f>
        <v>0</v>
      </c>
      <c r="Z308" s="281">
        <f>TABLA_BASE[[#This Row],[IGV UNIT.
(S/.)]]*TABLA_BASE[[#This Row],[CANTIDAD
(unid.)]]</f>
        <v>0</v>
      </c>
      <c r="AA308" s="281">
        <f>TABLA_BASE[[#This Row],[PERCEP.
UNIT.(US$)
✅CF]]*'📋 Datos Generales'!$E$19</f>
        <v>0</v>
      </c>
      <c r="AB308" s="281">
        <f>TABLA_BASE[[#This Row],[PERCEP.
UNIT.(S/.)]]*TABLA_BASE[[#This Row],[CANTIDAD
(unid.)]]</f>
        <v>0</v>
      </c>
      <c r="AC308" s="279">
        <f>TABLA_BASE[[#This Row],[ADV UNIT.
(US$)
⚠️COSTO]]+TABLA_BASE[[#This Row],[IPM UNIT.
(US$)
✅CF]]+TABLA_BASE[[#This Row],[IGV UNIT.
(US$)
✅CF]]+TABLA_BASE[[#This Row],[PERCEP.
UNIT.(US$)
✅CF]]</f>
        <v>0</v>
      </c>
      <c r="AD308" s="279">
        <f>TABLA_BASE[[#This Row],[TOTAL PAGO
SUNAT
UNIT.(US$)]]*TABLA_BASE[[#This Row],[CANTIDAD
(unid.)]]</f>
        <v>0</v>
      </c>
      <c r="AE308" s="281">
        <f>TABLA_BASE[[#This Row],[TOTAL PAGO
SUNAT
UNIT.(US$)]]*'📋 Datos Generales'!$E$19</f>
        <v>0</v>
      </c>
      <c r="AF308" s="281">
        <f>TABLA_BASE[[#This Row],[TOTAL TRIB.
UNIT.(S/.)]]*TABLA_BASE[[#This Row],[CANTIDAD
(unid.)]]</f>
        <v>0</v>
      </c>
      <c r="AG308" s="279">
        <f>IF('🧾 Factura Comercial'!G312=0,0,'📦 Gastos Importación'!$E$28*(IF('🧾 Tributos Aduana'!$F$6=0,0,'🧾 Factura Comercial'!I312/'🧾 Tributos Aduana'!$F$6))/'🧾 Factura Comercial'!G312)</f>
        <v>0</v>
      </c>
      <c r="AH308" s="279">
        <f>TABLA_BASE[[#This Row],[GASTOS IMP.
UNIT.(US$)]]*TABLA_BASE[[#This Row],[CANTIDAD
(unid.)]]</f>
        <v>0</v>
      </c>
      <c r="AI308" s="281">
        <f>TABLA_BASE[[#This Row],[GASTOS IMP.
UNIT.(US$)]]*'📋 Datos Generales'!$E$19</f>
        <v>0</v>
      </c>
      <c r="AJ308" s="281">
        <f>TABLA_BASE[[#This Row],[GASTOS IMP.
UNIT.(S/.)]]*TABLA_BASE[[#This Row],[CANTIDAD
(unid.)]]</f>
        <v>0</v>
      </c>
      <c r="AK308" s="280">
        <f>'🧮 Costos x Producto'!J312</f>
        <v>0</v>
      </c>
      <c r="AL308" s="278">
        <f>'🧮 Costos x Producto'!K312</f>
        <v>0</v>
      </c>
      <c r="AM308" s="278">
        <f>TABLA_BASE[[#This Row],[C/M UNIT.
(S/.)]]*TABLA_BASE[[#This Row],[CANTIDAD
(unid.)]]</f>
        <v>0</v>
      </c>
      <c r="AN308" s="279">
        <f>IF('🧾 Factura Comercial'!G312=0,0,'🧾 Tributos Aduana'!$F$17*(IF('🧾 Tributos Aduana'!$F$6=0,0,'🧾 Factura Comercial'!I312/'🧾 Tributos Aduana'!$F$6))/'🧾 Factura Comercial'!G312)</f>
        <v>0</v>
      </c>
      <c r="AO308" s="280">
        <f>IF('🧾 Factura Comercial'!G312=0,0,'🏦 Crédito Fiscal'!$C$16*(IF('🧾 Tributos Aduana'!$F$6=0,0,'🧾 Factura Comercial'!I312/'🧾 Tributos Aduana'!$F$6))/'🧾 Factura Comercial'!G312)</f>
        <v>0</v>
      </c>
      <c r="AP308" s="278">
        <f>TABLA_BASE[[#This Row],[CF UNIT.
✅RECUP.
(US$)]]*'📋 Datos Generales'!$E$19</f>
        <v>0</v>
      </c>
      <c r="AQ308" s="278">
        <f>TABLA_BASE[[#This Row],[CF UNIT.
✅RECUP.(S/.)]]*TABLA_BASE[[#This Row],[CANTIDAD
(unid.)]]</f>
        <v>0</v>
      </c>
      <c r="AR308" s="288">
        <f>'💰 Precio de Venta'!G313</f>
        <v>0.4</v>
      </c>
      <c r="AS308" s="278">
        <f>'💰 Precio de Venta'!H313</f>
        <v>0</v>
      </c>
      <c r="AT308" s="278">
        <f>TABLA_BASE[[#This Row],[VALOR VTA.
UNIT.(S/.)]]*TABLA_BASE[[#This Row],[CANTIDAD
(unid.)]]</f>
        <v>0</v>
      </c>
      <c r="AU308" s="281">
        <f>'💰 Precio de Venta'!I313</f>
        <v>0</v>
      </c>
      <c r="AV308" s="278">
        <f>'💰 Precio de Venta'!J313</f>
        <v>0</v>
      </c>
      <c r="AW308" s="278">
        <f>TABLA_BASE[[#This Row],[GANANCIA
UNIT.(S/.)]]*TABLA_BASE[[#This Row],[CANTIDAD
(unid.)]]</f>
        <v>0</v>
      </c>
      <c r="AX308" s="289">
        <f>'💰 Precio de Venta'!K313</f>
        <v>0</v>
      </c>
      <c r="AY308" s="278">
        <f>TABLA_BASE[[#This Row],[GANANCIA
UNIT.(S/.)]]*'🧾 Factura Comercial'!G312</f>
        <v>0</v>
      </c>
      <c r="AZ308" s="277">
        <f>IF(TABLA_BASE[[#This Row],[PRECIO VTA.
c/IGV(S/.)]]=0,0,TABLA_BASE[[#This Row],[GANANCIA
UNIT.(S/.)]]/TABLA_BASE[[#This Row],[PRECIO VTA.
c/IGV(S/.)]])</f>
        <v>0</v>
      </c>
      <c r="BA308" s="277">
        <f>IF(TABLA_BASE[[#This Row],[C/M UNIT.
(S/.)]]=0,0,TABLA_BASE[[#This Row],[GANANCIA
UNIT.(S/.)]]/TABLA_BASE[[#This Row],[C/M UNIT.
(S/.)]])</f>
        <v>0</v>
      </c>
      <c r="BB308" s="274" t="str">
        <f>IF(TABLA_BASE[[#This Row],[MARGEN
%]]&gt;=0.5,"🟢 ALTO",IF(TABLA_BASE[[#This Row],[MARGEN
%]]&gt;=0.3,"🟡 MEDIO","🔴 BAJO"))</f>
        <v>🟡 MEDIO</v>
      </c>
    </row>
    <row r="309" spans="1:54" ht="16.5" hidden="1" thickTop="1" thickBot="1" x14ac:dyDescent="0.3">
      <c r="A309" s="274">
        <f>'🧾 Factura Comercial'!E313</f>
        <v>0</v>
      </c>
      <c r="B309" s="274" t="str">
        <f>'🧾 Factura Comercial'!F313</f>
        <v>Unid.</v>
      </c>
      <c r="C309" s="275">
        <f>'🧾 Factura Comercial'!G313</f>
        <v>0</v>
      </c>
      <c r="D309" s="276">
        <f>'🧾 Factura Comercial'!H313</f>
        <v>0</v>
      </c>
      <c r="E309" s="276">
        <f>'🧾 Factura Comercial'!I313</f>
        <v>0</v>
      </c>
      <c r="F309" s="277">
        <f>IF('🧾 Tributos Aduana'!$F$6=0,0,'🧾 Factura Comercial'!I313/'🧾 Tributos Aduana'!$F$6)</f>
        <v>0</v>
      </c>
      <c r="G309" s="278">
        <f>'🧾 Factura Comercial'!H313*'📋 Datos Generales'!$E$19</f>
        <v>0</v>
      </c>
      <c r="H309" s="278">
        <f>TABLA_BASE[[#This Row],[FOB UNIT.
(S/.)]]*TABLA_BASE[[#This Row],[CANTIDAD
(unid.)]]</f>
        <v>0</v>
      </c>
      <c r="I309" s="280">
        <f>IF('🧾 Tributos Aduana'!$F$6=0,0,'🧾 Tributos Aduana'!$F$17*('🧾 Factura Comercial'!H313/'🧾 Tributos Aduana'!$F$6))</f>
        <v>0</v>
      </c>
      <c r="J309" s="280">
        <f>TABLA_BASE[[#This Row],[ADV UNIT.
(US$)
⚠️COSTO]]*TABLA_BASE[[#This Row],[CANTIDAD
(unid.)]]</f>
        <v>0</v>
      </c>
      <c r="K309" s="279">
        <f>IF('🧾 Tributos Aduana'!$F$6=0,0,'🧾 Tributos Aduana'!$F$18*('🧾 Factura Comercial'!H313/'🧾 Tributos Aduana'!$F$6))</f>
        <v>0</v>
      </c>
      <c r="L309" s="280">
        <f>TABLA_BASE[[#This Row],[IPM UNIT.
(US$)
✅CF]]*TABLA_BASE[[#This Row],[CANTIDAD
(unid.)]]</f>
        <v>0</v>
      </c>
      <c r="M309" s="279">
        <f>IF('🧾 Tributos Aduana'!$F$6=0,0,'🧾 Tributos Aduana'!$F$19*('🧾 Factura Comercial'!H313/'🧾 Tributos Aduana'!$F$6))</f>
        <v>0</v>
      </c>
      <c r="N309" s="280">
        <f>TABLA_BASE[[#This Row],[IGV UNIT.
(US$)
✅CF]]*TABLA_BASE[[#This Row],[CANTIDAD
(unid.)]]</f>
        <v>0</v>
      </c>
      <c r="O309" s="280">
        <f>IF('🧾 Tributos Aduana'!$F$6=0,0,'🧾 Tributos Aduana'!$F$23*('🧾 Factura Comercial'!H313/'🧾 Tributos Aduana'!$F$6))</f>
        <v>0</v>
      </c>
      <c r="P309" s="280">
        <f>TABLA_BASE[[#This Row],[PERCEP.
UNIT.(US$)
✅CF]]*TABLA_BASE[[#This Row],[CANTIDAD
(unid.)]]</f>
        <v>0</v>
      </c>
      <c r="Q309" s="279">
        <f>TABLA_BASE[[#This Row],[ADV UNIT.
(US$)
⚠️COSTO]]+TABLA_BASE[[#This Row],[IPM UNIT.
(US$)
✅CF]]+TABLA_BASE[[#This Row],[IGV UNIT.
(US$)
✅CF]]</f>
        <v>0</v>
      </c>
      <c r="R309" s="280">
        <f>TABLA_BASE[[#This Row],[DEUDA
ADUANERA
UNIT.]]*TABLA_BASE[[#This Row],[CANTIDAD
(unid.)]]</f>
        <v>0</v>
      </c>
      <c r="S309" s="278">
        <f>TABLA_BASE[[#This Row],[DEUDA
ADUANERA
UNIT.]]*'📋 Datos Generales'!$E$19</f>
        <v>0</v>
      </c>
      <c r="T309" s="278">
        <f>TABLA_BASE[[#This Row],[DEUDA
ADUANERA
TOTAL]]*'📋 Datos Generales'!$E$19</f>
        <v>0</v>
      </c>
      <c r="U309" s="281">
        <f>TABLA_BASE[[#This Row],[ADV UNIT.
(US$)
⚠️COSTO]]*'📋 Datos Generales'!$E$19</f>
        <v>0</v>
      </c>
      <c r="V309" s="281">
        <f>TABLA_BASE[[#This Row],[ADV UNIT.
(S/.)]]*TABLA_BASE[[#This Row],[CANTIDAD
(unid.)]]</f>
        <v>0</v>
      </c>
      <c r="W309" s="281">
        <f>TABLA_BASE[[#This Row],[IPM UNIT.
(US$)
✅CF]]*'📋 Datos Generales'!$E$19</f>
        <v>0</v>
      </c>
      <c r="X309" s="281">
        <f>TABLA_BASE[[#This Row],[IPM UNIT.
(S/.)]]*TABLA_BASE[[#This Row],[CANTIDAD
(unid.)]]</f>
        <v>0</v>
      </c>
      <c r="Y309" s="281">
        <f>TABLA_BASE[[#This Row],[IGV UNIT.
(US$)
✅CF]]*'📋 Datos Generales'!$E$19</f>
        <v>0</v>
      </c>
      <c r="Z309" s="281">
        <f>TABLA_BASE[[#This Row],[IGV UNIT.
(S/.)]]*TABLA_BASE[[#This Row],[CANTIDAD
(unid.)]]</f>
        <v>0</v>
      </c>
      <c r="AA309" s="281">
        <f>TABLA_BASE[[#This Row],[PERCEP.
UNIT.(US$)
✅CF]]*'📋 Datos Generales'!$E$19</f>
        <v>0</v>
      </c>
      <c r="AB309" s="281">
        <f>TABLA_BASE[[#This Row],[PERCEP.
UNIT.(S/.)]]*TABLA_BASE[[#This Row],[CANTIDAD
(unid.)]]</f>
        <v>0</v>
      </c>
      <c r="AC309" s="279">
        <f>TABLA_BASE[[#This Row],[ADV UNIT.
(US$)
⚠️COSTO]]+TABLA_BASE[[#This Row],[IPM UNIT.
(US$)
✅CF]]+TABLA_BASE[[#This Row],[IGV UNIT.
(US$)
✅CF]]+TABLA_BASE[[#This Row],[PERCEP.
UNIT.(US$)
✅CF]]</f>
        <v>0</v>
      </c>
      <c r="AD309" s="279">
        <f>TABLA_BASE[[#This Row],[TOTAL PAGO
SUNAT
UNIT.(US$)]]*TABLA_BASE[[#This Row],[CANTIDAD
(unid.)]]</f>
        <v>0</v>
      </c>
      <c r="AE309" s="281">
        <f>TABLA_BASE[[#This Row],[TOTAL PAGO
SUNAT
UNIT.(US$)]]*'📋 Datos Generales'!$E$19</f>
        <v>0</v>
      </c>
      <c r="AF309" s="281">
        <f>TABLA_BASE[[#This Row],[TOTAL TRIB.
UNIT.(S/.)]]*TABLA_BASE[[#This Row],[CANTIDAD
(unid.)]]</f>
        <v>0</v>
      </c>
      <c r="AG309" s="279">
        <f>IF('🧾 Factura Comercial'!G313=0,0,'📦 Gastos Importación'!$E$28*(IF('🧾 Tributos Aduana'!$F$6=0,0,'🧾 Factura Comercial'!I313/'🧾 Tributos Aduana'!$F$6))/'🧾 Factura Comercial'!G313)</f>
        <v>0</v>
      </c>
      <c r="AH309" s="279">
        <f>TABLA_BASE[[#This Row],[GASTOS IMP.
UNIT.(US$)]]*TABLA_BASE[[#This Row],[CANTIDAD
(unid.)]]</f>
        <v>0</v>
      </c>
      <c r="AI309" s="281">
        <f>TABLA_BASE[[#This Row],[GASTOS IMP.
UNIT.(US$)]]*'📋 Datos Generales'!$E$19</f>
        <v>0</v>
      </c>
      <c r="AJ309" s="281">
        <f>TABLA_BASE[[#This Row],[GASTOS IMP.
UNIT.(S/.)]]*TABLA_BASE[[#This Row],[CANTIDAD
(unid.)]]</f>
        <v>0</v>
      </c>
      <c r="AK309" s="280">
        <f>'🧮 Costos x Producto'!J313</f>
        <v>0</v>
      </c>
      <c r="AL309" s="278">
        <f>'🧮 Costos x Producto'!K313</f>
        <v>0</v>
      </c>
      <c r="AM309" s="278">
        <f>TABLA_BASE[[#This Row],[C/M UNIT.
(S/.)]]*TABLA_BASE[[#This Row],[CANTIDAD
(unid.)]]</f>
        <v>0</v>
      </c>
      <c r="AN309" s="279">
        <f>IF('🧾 Factura Comercial'!G313=0,0,'🧾 Tributos Aduana'!$F$17*(IF('🧾 Tributos Aduana'!$F$6=0,0,'🧾 Factura Comercial'!I313/'🧾 Tributos Aduana'!$F$6))/'🧾 Factura Comercial'!G313)</f>
        <v>0</v>
      </c>
      <c r="AO309" s="280">
        <f>IF('🧾 Factura Comercial'!G313=0,0,'🏦 Crédito Fiscal'!$C$16*(IF('🧾 Tributos Aduana'!$F$6=0,0,'🧾 Factura Comercial'!I313/'🧾 Tributos Aduana'!$F$6))/'🧾 Factura Comercial'!G313)</f>
        <v>0</v>
      </c>
      <c r="AP309" s="278">
        <f>TABLA_BASE[[#This Row],[CF UNIT.
✅RECUP.
(US$)]]*'📋 Datos Generales'!$E$19</f>
        <v>0</v>
      </c>
      <c r="AQ309" s="278">
        <f>TABLA_BASE[[#This Row],[CF UNIT.
✅RECUP.(S/.)]]*TABLA_BASE[[#This Row],[CANTIDAD
(unid.)]]</f>
        <v>0</v>
      </c>
      <c r="AR309" s="288">
        <f>'💰 Precio de Venta'!G314</f>
        <v>0.4</v>
      </c>
      <c r="AS309" s="278">
        <f>'💰 Precio de Venta'!H314</f>
        <v>0</v>
      </c>
      <c r="AT309" s="278">
        <f>TABLA_BASE[[#This Row],[VALOR VTA.
UNIT.(S/.)]]*TABLA_BASE[[#This Row],[CANTIDAD
(unid.)]]</f>
        <v>0</v>
      </c>
      <c r="AU309" s="281">
        <f>'💰 Precio de Venta'!I314</f>
        <v>0</v>
      </c>
      <c r="AV309" s="278">
        <f>'💰 Precio de Venta'!J314</f>
        <v>0</v>
      </c>
      <c r="AW309" s="278">
        <f>TABLA_BASE[[#This Row],[GANANCIA
UNIT.(S/.)]]*TABLA_BASE[[#This Row],[CANTIDAD
(unid.)]]</f>
        <v>0</v>
      </c>
      <c r="AX309" s="289">
        <f>'💰 Precio de Venta'!K314</f>
        <v>0</v>
      </c>
      <c r="AY309" s="278">
        <f>TABLA_BASE[[#This Row],[GANANCIA
UNIT.(S/.)]]*'🧾 Factura Comercial'!G313</f>
        <v>0</v>
      </c>
      <c r="AZ309" s="277">
        <f>IF(TABLA_BASE[[#This Row],[PRECIO VTA.
c/IGV(S/.)]]=0,0,TABLA_BASE[[#This Row],[GANANCIA
UNIT.(S/.)]]/TABLA_BASE[[#This Row],[PRECIO VTA.
c/IGV(S/.)]])</f>
        <v>0</v>
      </c>
      <c r="BA309" s="277">
        <f>IF(TABLA_BASE[[#This Row],[C/M UNIT.
(S/.)]]=0,0,TABLA_BASE[[#This Row],[GANANCIA
UNIT.(S/.)]]/TABLA_BASE[[#This Row],[C/M UNIT.
(S/.)]])</f>
        <v>0</v>
      </c>
      <c r="BB309" s="274" t="str">
        <f>IF(TABLA_BASE[[#This Row],[MARGEN
%]]&gt;=0.5,"🟢 ALTO",IF(TABLA_BASE[[#This Row],[MARGEN
%]]&gt;=0.3,"🟡 MEDIO","🔴 BAJO"))</f>
        <v>🟡 MEDIO</v>
      </c>
    </row>
    <row r="310" spans="1:54" ht="16.5" hidden="1" thickTop="1" thickBot="1" x14ac:dyDescent="0.3">
      <c r="A310" s="274">
        <f>'🧾 Factura Comercial'!E314</f>
        <v>0</v>
      </c>
      <c r="B310" s="274" t="str">
        <f>'🧾 Factura Comercial'!F314</f>
        <v>Unid.</v>
      </c>
      <c r="C310" s="275">
        <f>'🧾 Factura Comercial'!G314</f>
        <v>0</v>
      </c>
      <c r="D310" s="276">
        <f>'🧾 Factura Comercial'!H314</f>
        <v>0</v>
      </c>
      <c r="E310" s="276">
        <f>'🧾 Factura Comercial'!I314</f>
        <v>0</v>
      </c>
      <c r="F310" s="277">
        <f>IF('🧾 Tributos Aduana'!$F$6=0,0,'🧾 Factura Comercial'!I314/'🧾 Tributos Aduana'!$F$6)</f>
        <v>0</v>
      </c>
      <c r="G310" s="278">
        <f>'🧾 Factura Comercial'!H314*'📋 Datos Generales'!$E$19</f>
        <v>0</v>
      </c>
      <c r="H310" s="278">
        <f>TABLA_BASE[[#This Row],[FOB UNIT.
(S/.)]]*TABLA_BASE[[#This Row],[CANTIDAD
(unid.)]]</f>
        <v>0</v>
      </c>
      <c r="I310" s="280">
        <f>IF('🧾 Tributos Aduana'!$F$6=0,0,'🧾 Tributos Aduana'!$F$17*('🧾 Factura Comercial'!H314/'🧾 Tributos Aduana'!$F$6))</f>
        <v>0</v>
      </c>
      <c r="J310" s="280">
        <f>TABLA_BASE[[#This Row],[ADV UNIT.
(US$)
⚠️COSTO]]*TABLA_BASE[[#This Row],[CANTIDAD
(unid.)]]</f>
        <v>0</v>
      </c>
      <c r="K310" s="279">
        <f>IF('🧾 Tributos Aduana'!$F$6=0,0,'🧾 Tributos Aduana'!$F$18*('🧾 Factura Comercial'!H314/'🧾 Tributos Aduana'!$F$6))</f>
        <v>0</v>
      </c>
      <c r="L310" s="280">
        <f>TABLA_BASE[[#This Row],[IPM UNIT.
(US$)
✅CF]]*TABLA_BASE[[#This Row],[CANTIDAD
(unid.)]]</f>
        <v>0</v>
      </c>
      <c r="M310" s="279">
        <f>IF('🧾 Tributos Aduana'!$F$6=0,0,'🧾 Tributos Aduana'!$F$19*('🧾 Factura Comercial'!H314/'🧾 Tributos Aduana'!$F$6))</f>
        <v>0</v>
      </c>
      <c r="N310" s="280">
        <f>TABLA_BASE[[#This Row],[IGV UNIT.
(US$)
✅CF]]*TABLA_BASE[[#This Row],[CANTIDAD
(unid.)]]</f>
        <v>0</v>
      </c>
      <c r="O310" s="280">
        <f>IF('🧾 Tributos Aduana'!$F$6=0,0,'🧾 Tributos Aduana'!$F$23*('🧾 Factura Comercial'!H314/'🧾 Tributos Aduana'!$F$6))</f>
        <v>0</v>
      </c>
      <c r="P310" s="280">
        <f>TABLA_BASE[[#This Row],[PERCEP.
UNIT.(US$)
✅CF]]*TABLA_BASE[[#This Row],[CANTIDAD
(unid.)]]</f>
        <v>0</v>
      </c>
      <c r="Q310" s="279">
        <f>TABLA_BASE[[#This Row],[ADV UNIT.
(US$)
⚠️COSTO]]+TABLA_BASE[[#This Row],[IPM UNIT.
(US$)
✅CF]]+TABLA_BASE[[#This Row],[IGV UNIT.
(US$)
✅CF]]</f>
        <v>0</v>
      </c>
      <c r="R310" s="280">
        <f>TABLA_BASE[[#This Row],[DEUDA
ADUANERA
UNIT.]]*TABLA_BASE[[#This Row],[CANTIDAD
(unid.)]]</f>
        <v>0</v>
      </c>
      <c r="S310" s="278">
        <f>TABLA_BASE[[#This Row],[DEUDA
ADUANERA
UNIT.]]*'📋 Datos Generales'!$E$19</f>
        <v>0</v>
      </c>
      <c r="T310" s="278">
        <f>TABLA_BASE[[#This Row],[DEUDA
ADUANERA
TOTAL]]*'📋 Datos Generales'!$E$19</f>
        <v>0</v>
      </c>
      <c r="U310" s="281">
        <f>TABLA_BASE[[#This Row],[ADV UNIT.
(US$)
⚠️COSTO]]*'📋 Datos Generales'!$E$19</f>
        <v>0</v>
      </c>
      <c r="V310" s="281">
        <f>TABLA_BASE[[#This Row],[ADV UNIT.
(S/.)]]*TABLA_BASE[[#This Row],[CANTIDAD
(unid.)]]</f>
        <v>0</v>
      </c>
      <c r="W310" s="281">
        <f>TABLA_BASE[[#This Row],[IPM UNIT.
(US$)
✅CF]]*'📋 Datos Generales'!$E$19</f>
        <v>0</v>
      </c>
      <c r="X310" s="281">
        <f>TABLA_BASE[[#This Row],[IPM UNIT.
(S/.)]]*TABLA_BASE[[#This Row],[CANTIDAD
(unid.)]]</f>
        <v>0</v>
      </c>
      <c r="Y310" s="281">
        <f>TABLA_BASE[[#This Row],[IGV UNIT.
(US$)
✅CF]]*'📋 Datos Generales'!$E$19</f>
        <v>0</v>
      </c>
      <c r="Z310" s="281">
        <f>TABLA_BASE[[#This Row],[IGV UNIT.
(S/.)]]*TABLA_BASE[[#This Row],[CANTIDAD
(unid.)]]</f>
        <v>0</v>
      </c>
      <c r="AA310" s="281">
        <f>TABLA_BASE[[#This Row],[PERCEP.
UNIT.(US$)
✅CF]]*'📋 Datos Generales'!$E$19</f>
        <v>0</v>
      </c>
      <c r="AB310" s="281">
        <f>TABLA_BASE[[#This Row],[PERCEP.
UNIT.(S/.)]]*TABLA_BASE[[#This Row],[CANTIDAD
(unid.)]]</f>
        <v>0</v>
      </c>
      <c r="AC310" s="279">
        <f>TABLA_BASE[[#This Row],[ADV UNIT.
(US$)
⚠️COSTO]]+TABLA_BASE[[#This Row],[IPM UNIT.
(US$)
✅CF]]+TABLA_BASE[[#This Row],[IGV UNIT.
(US$)
✅CF]]+TABLA_BASE[[#This Row],[PERCEP.
UNIT.(US$)
✅CF]]</f>
        <v>0</v>
      </c>
      <c r="AD310" s="279">
        <f>TABLA_BASE[[#This Row],[TOTAL PAGO
SUNAT
UNIT.(US$)]]*TABLA_BASE[[#This Row],[CANTIDAD
(unid.)]]</f>
        <v>0</v>
      </c>
      <c r="AE310" s="281">
        <f>TABLA_BASE[[#This Row],[TOTAL PAGO
SUNAT
UNIT.(US$)]]*'📋 Datos Generales'!$E$19</f>
        <v>0</v>
      </c>
      <c r="AF310" s="281">
        <f>TABLA_BASE[[#This Row],[TOTAL TRIB.
UNIT.(S/.)]]*TABLA_BASE[[#This Row],[CANTIDAD
(unid.)]]</f>
        <v>0</v>
      </c>
      <c r="AG310" s="279">
        <f>IF('🧾 Factura Comercial'!G314=0,0,'📦 Gastos Importación'!$E$28*(IF('🧾 Tributos Aduana'!$F$6=0,0,'🧾 Factura Comercial'!I314/'🧾 Tributos Aduana'!$F$6))/'🧾 Factura Comercial'!G314)</f>
        <v>0</v>
      </c>
      <c r="AH310" s="279">
        <f>TABLA_BASE[[#This Row],[GASTOS IMP.
UNIT.(US$)]]*TABLA_BASE[[#This Row],[CANTIDAD
(unid.)]]</f>
        <v>0</v>
      </c>
      <c r="AI310" s="281">
        <f>TABLA_BASE[[#This Row],[GASTOS IMP.
UNIT.(US$)]]*'📋 Datos Generales'!$E$19</f>
        <v>0</v>
      </c>
      <c r="AJ310" s="281">
        <f>TABLA_BASE[[#This Row],[GASTOS IMP.
UNIT.(S/.)]]*TABLA_BASE[[#This Row],[CANTIDAD
(unid.)]]</f>
        <v>0</v>
      </c>
      <c r="AK310" s="280">
        <f>'🧮 Costos x Producto'!J314</f>
        <v>0</v>
      </c>
      <c r="AL310" s="278">
        <f>'🧮 Costos x Producto'!K314</f>
        <v>0</v>
      </c>
      <c r="AM310" s="278">
        <f>TABLA_BASE[[#This Row],[C/M UNIT.
(S/.)]]*TABLA_BASE[[#This Row],[CANTIDAD
(unid.)]]</f>
        <v>0</v>
      </c>
      <c r="AN310" s="279">
        <f>IF('🧾 Factura Comercial'!G314=0,0,'🧾 Tributos Aduana'!$F$17*(IF('🧾 Tributos Aduana'!$F$6=0,0,'🧾 Factura Comercial'!I314/'🧾 Tributos Aduana'!$F$6))/'🧾 Factura Comercial'!G314)</f>
        <v>0</v>
      </c>
      <c r="AO310" s="280">
        <f>IF('🧾 Factura Comercial'!G314=0,0,'🏦 Crédito Fiscal'!$C$16*(IF('🧾 Tributos Aduana'!$F$6=0,0,'🧾 Factura Comercial'!I314/'🧾 Tributos Aduana'!$F$6))/'🧾 Factura Comercial'!G314)</f>
        <v>0</v>
      </c>
      <c r="AP310" s="278">
        <f>TABLA_BASE[[#This Row],[CF UNIT.
✅RECUP.
(US$)]]*'📋 Datos Generales'!$E$19</f>
        <v>0</v>
      </c>
      <c r="AQ310" s="278">
        <f>TABLA_BASE[[#This Row],[CF UNIT.
✅RECUP.(S/.)]]*TABLA_BASE[[#This Row],[CANTIDAD
(unid.)]]</f>
        <v>0</v>
      </c>
      <c r="AR310" s="288">
        <f>'💰 Precio de Venta'!G315</f>
        <v>0.4</v>
      </c>
      <c r="AS310" s="278">
        <f>'💰 Precio de Venta'!H315</f>
        <v>0</v>
      </c>
      <c r="AT310" s="278">
        <f>TABLA_BASE[[#This Row],[VALOR VTA.
UNIT.(S/.)]]*TABLA_BASE[[#This Row],[CANTIDAD
(unid.)]]</f>
        <v>0</v>
      </c>
      <c r="AU310" s="281">
        <f>'💰 Precio de Venta'!I315</f>
        <v>0</v>
      </c>
      <c r="AV310" s="278">
        <f>'💰 Precio de Venta'!J315</f>
        <v>0</v>
      </c>
      <c r="AW310" s="278">
        <f>TABLA_BASE[[#This Row],[GANANCIA
UNIT.(S/.)]]*TABLA_BASE[[#This Row],[CANTIDAD
(unid.)]]</f>
        <v>0</v>
      </c>
      <c r="AX310" s="289">
        <f>'💰 Precio de Venta'!K315</f>
        <v>0</v>
      </c>
      <c r="AY310" s="278">
        <f>TABLA_BASE[[#This Row],[GANANCIA
UNIT.(S/.)]]*'🧾 Factura Comercial'!G314</f>
        <v>0</v>
      </c>
      <c r="AZ310" s="277">
        <f>IF(TABLA_BASE[[#This Row],[PRECIO VTA.
c/IGV(S/.)]]=0,0,TABLA_BASE[[#This Row],[GANANCIA
UNIT.(S/.)]]/TABLA_BASE[[#This Row],[PRECIO VTA.
c/IGV(S/.)]])</f>
        <v>0</v>
      </c>
      <c r="BA310" s="277">
        <f>IF(TABLA_BASE[[#This Row],[C/M UNIT.
(S/.)]]=0,0,TABLA_BASE[[#This Row],[GANANCIA
UNIT.(S/.)]]/TABLA_BASE[[#This Row],[C/M UNIT.
(S/.)]])</f>
        <v>0</v>
      </c>
      <c r="BB310" s="274" t="str">
        <f>IF(TABLA_BASE[[#This Row],[MARGEN
%]]&gt;=0.5,"🟢 ALTO",IF(TABLA_BASE[[#This Row],[MARGEN
%]]&gt;=0.3,"🟡 MEDIO","🔴 BAJO"))</f>
        <v>🟡 MEDIO</v>
      </c>
    </row>
    <row r="311" spans="1:54" ht="16.5" hidden="1" thickTop="1" thickBot="1" x14ac:dyDescent="0.3">
      <c r="A311" s="274">
        <f>'🧾 Factura Comercial'!E315</f>
        <v>0</v>
      </c>
      <c r="B311" s="274" t="str">
        <f>'🧾 Factura Comercial'!F315</f>
        <v>Unid.</v>
      </c>
      <c r="C311" s="275">
        <f>'🧾 Factura Comercial'!G315</f>
        <v>0</v>
      </c>
      <c r="D311" s="276">
        <f>'🧾 Factura Comercial'!H315</f>
        <v>0</v>
      </c>
      <c r="E311" s="276">
        <f>'🧾 Factura Comercial'!I315</f>
        <v>0</v>
      </c>
      <c r="F311" s="277">
        <f>IF('🧾 Tributos Aduana'!$F$6=0,0,'🧾 Factura Comercial'!I315/'🧾 Tributos Aduana'!$F$6)</f>
        <v>0</v>
      </c>
      <c r="G311" s="278">
        <f>'🧾 Factura Comercial'!H315*'📋 Datos Generales'!$E$19</f>
        <v>0</v>
      </c>
      <c r="H311" s="278">
        <f>TABLA_BASE[[#This Row],[FOB UNIT.
(S/.)]]*TABLA_BASE[[#This Row],[CANTIDAD
(unid.)]]</f>
        <v>0</v>
      </c>
      <c r="I311" s="280">
        <f>IF('🧾 Tributos Aduana'!$F$6=0,0,'🧾 Tributos Aduana'!$F$17*('🧾 Factura Comercial'!H315/'🧾 Tributos Aduana'!$F$6))</f>
        <v>0</v>
      </c>
      <c r="J311" s="280">
        <f>TABLA_BASE[[#This Row],[ADV UNIT.
(US$)
⚠️COSTO]]*TABLA_BASE[[#This Row],[CANTIDAD
(unid.)]]</f>
        <v>0</v>
      </c>
      <c r="K311" s="279">
        <f>IF('🧾 Tributos Aduana'!$F$6=0,0,'🧾 Tributos Aduana'!$F$18*('🧾 Factura Comercial'!H315/'🧾 Tributos Aduana'!$F$6))</f>
        <v>0</v>
      </c>
      <c r="L311" s="280">
        <f>TABLA_BASE[[#This Row],[IPM UNIT.
(US$)
✅CF]]*TABLA_BASE[[#This Row],[CANTIDAD
(unid.)]]</f>
        <v>0</v>
      </c>
      <c r="M311" s="279">
        <f>IF('🧾 Tributos Aduana'!$F$6=0,0,'🧾 Tributos Aduana'!$F$19*('🧾 Factura Comercial'!H315/'🧾 Tributos Aduana'!$F$6))</f>
        <v>0</v>
      </c>
      <c r="N311" s="280">
        <f>TABLA_BASE[[#This Row],[IGV UNIT.
(US$)
✅CF]]*TABLA_BASE[[#This Row],[CANTIDAD
(unid.)]]</f>
        <v>0</v>
      </c>
      <c r="O311" s="280">
        <f>IF('🧾 Tributos Aduana'!$F$6=0,0,'🧾 Tributos Aduana'!$F$23*('🧾 Factura Comercial'!H315/'🧾 Tributos Aduana'!$F$6))</f>
        <v>0</v>
      </c>
      <c r="P311" s="280">
        <f>TABLA_BASE[[#This Row],[PERCEP.
UNIT.(US$)
✅CF]]*TABLA_BASE[[#This Row],[CANTIDAD
(unid.)]]</f>
        <v>0</v>
      </c>
      <c r="Q311" s="279">
        <f>TABLA_BASE[[#This Row],[ADV UNIT.
(US$)
⚠️COSTO]]+TABLA_BASE[[#This Row],[IPM UNIT.
(US$)
✅CF]]+TABLA_BASE[[#This Row],[IGV UNIT.
(US$)
✅CF]]</f>
        <v>0</v>
      </c>
      <c r="R311" s="280">
        <f>TABLA_BASE[[#This Row],[DEUDA
ADUANERA
UNIT.]]*TABLA_BASE[[#This Row],[CANTIDAD
(unid.)]]</f>
        <v>0</v>
      </c>
      <c r="S311" s="278">
        <f>TABLA_BASE[[#This Row],[DEUDA
ADUANERA
UNIT.]]*'📋 Datos Generales'!$E$19</f>
        <v>0</v>
      </c>
      <c r="T311" s="278">
        <f>TABLA_BASE[[#This Row],[DEUDA
ADUANERA
TOTAL]]*'📋 Datos Generales'!$E$19</f>
        <v>0</v>
      </c>
      <c r="U311" s="281">
        <f>TABLA_BASE[[#This Row],[ADV UNIT.
(US$)
⚠️COSTO]]*'📋 Datos Generales'!$E$19</f>
        <v>0</v>
      </c>
      <c r="V311" s="281">
        <f>TABLA_BASE[[#This Row],[ADV UNIT.
(S/.)]]*TABLA_BASE[[#This Row],[CANTIDAD
(unid.)]]</f>
        <v>0</v>
      </c>
      <c r="W311" s="281">
        <f>TABLA_BASE[[#This Row],[IPM UNIT.
(US$)
✅CF]]*'📋 Datos Generales'!$E$19</f>
        <v>0</v>
      </c>
      <c r="X311" s="281">
        <f>TABLA_BASE[[#This Row],[IPM UNIT.
(S/.)]]*TABLA_BASE[[#This Row],[CANTIDAD
(unid.)]]</f>
        <v>0</v>
      </c>
      <c r="Y311" s="281">
        <f>TABLA_BASE[[#This Row],[IGV UNIT.
(US$)
✅CF]]*'📋 Datos Generales'!$E$19</f>
        <v>0</v>
      </c>
      <c r="Z311" s="281">
        <f>TABLA_BASE[[#This Row],[IGV UNIT.
(S/.)]]*TABLA_BASE[[#This Row],[CANTIDAD
(unid.)]]</f>
        <v>0</v>
      </c>
      <c r="AA311" s="281">
        <f>TABLA_BASE[[#This Row],[PERCEP.
UNIT.(US$)
✅CF]]*'📋 Datos Generales'!$E$19</f>
        <v>0</v>
      </c>
      <c r="AB311" s="281">
        <f>TABLA_BASE[[#This Row],[PERCEP.
UNIT.(S/.)]]*TABLA_BASE[[#This Row],[CANTIDAD
(unid.)]]</f>
        <v>0</v>
      </c>
      <c r="AC311" s="279">
        <f>TABLA_BASE[[#This Row],[ADV UNIT.
(US$)
⚠️COSTO]]+TABLA_BASE[[#This Row],[IPM UNIT.
(US$)
✅CF]]+TABLA_BASE[[#This Row],[IGV UNIT.
(US$)
✅CF]]+TABLA_BASE[[#This Row],[PERCEP.
UNIT.(US$)
✅CF]]</f>
        <v>0</v>
      </c>
      <c r="AD311" s="279">
        <f>TABLA_BASE[[#This Row],[TOTAL PAGO
SUNAT
UNIT.(US$)]]*TABLA_BASE[[#This Row],[CANTIDAD
(unid.)]]</f>
        <v>0</v>
      </c>
      <c r="AE311" s="281">
        <f>TABLA_BASE[[#This Row],[TOTAL PAGO
SUNAT
UNIT.(US$)]]*'📋 Datos Generales'!$E$19</f>
        <v>0</v>
      </c>
      <c r="AF311" s="281">
        <f>TABLA_BASE[[#This Row],[TOTAL TRIB.
UNIT.(S/.)]]*TABLA_BASE[[#This Row],[CANTIDAD
(unid.)]]</f>
        <v>0</v>
      </c>
      <c r="AG311" s="279">
        <f>IF('🧾 Factura Comercial'!G315=0,0,'📦 Gastos Importación'!$E$28*(IF('🧾 Tributos Aduana'!$F$6=0,0,'🧾 Factura Comercial'!I315/'🧾 Tributos Aduana'!$F$6))/'🧾 Factura Comercial'!G315)</f>
        <v>0</v>
      </c>
      <c r="AH311" s="279">
        <f>TABLA_BASE[[#This Row],[GASTOS IMP.
UNIT.(US$)]]*TABLA_BASE[[#This Row],[CANTIDAD
(unid.)]]</f>
        <v>0</v>
      </c>
      <c r="AI311" s="281">
        <f>TABLA_BASE[[#This Row],[GASTOS IMP.
UNIT.(US$)]]*'📋 Datos Generales'!$E$19</f>
        <v>0</v>
      </c>
      <c r="AJ311" s="281">
        <f>TABLA_BASE[[#This Row],[GASTOS IMP.
UNIT.(S/.)]]*TABLA_BASE[[#This Row],[CANTIDAD
(unid.)]]</f>
        <v>0</v>
      </c>
      <c r="AK311" s="280">
        <f>'🧮 Costos x Producto'!J315</f>
        <v>0</v>
      </c>
      <c r="AL311" s="278">
        <f>'🧮 Costos x Producto'!K315</f>
        <v>0</v>
      </c>
      <c r="AM311" s="278">
        <f>TABLA_BASE[[#This Row],[C/M UNIT.
(S/.)]]*TABLA_BASE[[#This Row],[CANTIDAD
(unid.)]]</f>
        <v>0</v>
      </c>
      <c r="AN311" s="279">
        <f>IF('🧾 Factura Comercial'!G315=0,0,'🧾 Tributos Aduana'!$F$17*(IF('🧾 Tributos Aduana'!$F$6=0,0,'🧾 Factura Comercial'!I315/'🧾 Tributos Aduana'!$F$6))/'🧾 Factura Comercial'!G315)</f>
        <v>0</v>
      </c>
      <c r="AO311" s="280">
        <f>IF('🧾 Factura Comercial'!G315=0,0,'🏦 Crédito Fiscal'!$C$16*(IF('🧾 Tributos Aduana'!$F$6=0,0,'🧾 Factura Comercial'!I315/'🧾 Tributos Aduana'!$F$6))/'🧾 Factura Comercial'!G315)</f>
        <v>0</v>
      </c>
      <c r="AP311" s="278">
        <f>TABLA_BASE[[#This Row],[CF UNIT.
✅RECUP.
(US$)]]*'📋 Datos Generales'!$E$19</f>
        <v>0</v>
      </c>
      <c r="AQ311" s="278">
        <f>TABLA_BASE[[#This Row],[CF UNIT.
✅RECUP.(S/.)]]*TABLA_BASE[[#This Row],[CANTIDAD
(unid.)]]</f>
        <v>0</v>
      </c>
      <c r="AR311" s="288">
        <f>'💰 Precio de Venta'!G316</f>
        <v>0.4</v>
      </c>
      <c r="AS311" s="278">
        <f>'💰 Precio de Venta'!H316</f>
        <v>0</v>
      </c>
      <c r="AT311" s="278">
        <f>TABLA_BASE[[#This Row],[VALOR VTA.
UNIT.(S/.)]]*TABLA_BASE[[#This Row],[CANTIDAD
(unid.)]]</f>
        <v>0</v>
      </c>
      <c r="AU311" s="281">
        <f>'💰 Precio de Venta'!I316</f>
        <v>0</v>
      </c>
      <c r="AV311" s="278">
        <f>'💰 Precio de Venta'!J316</f>
        <v>0</v>
      </c>
      <c r="AW311" s="278">
        <f>TABLA_BASE[[#This Row],[GANANCIA
UNIT.(S/.)]]*TABLA_BASE[[#This Row],[CANTIDAD
(unid.)]]</f>
        <v>0</v>
      </c>
      <c r="AX311" s="289">
        <f>'💰 Precio de Venta'!K316</f>
        <v>0</v>
      </c>
      <c r="AY311" s="278">
        <f>TABLA_BASE[[#This Row],[GANANCIA
UNIT.(S/.)]]*'🧾 Factura Comercial'!G315</f>
        <v>0</v>
      </c>
      <c r="AZ311" s="277">
        <f>IF(TABLA_BASE[[#This Row],[PRECIO VTA.
c/IGV(S/.)]]=0,0,TABLA_BASE[[#This Row],[GANANCIA
UNIT.(S/.)]]/TABLA_BASE[[#This Row],[PRECIO VTA.
c/IGV(S/.)]])</f>
        <v>0</v>
      </c>
      <c r="BA311" s="277">
        <f>IF(TABLA_BASE[[#This Row],[C/M UNIT.
(S/.)]]=0,0,TABLA_BASE[[#This Row],[GANANCIA
UNIT.(S/.)]]/TABLA_BASE[[#This Row],[C/M UNIT.
(S/.)]])</f>
        <v>0</v>
      </c>
      <c r="BB311" s="274" t="str">
        <f>IF(TABLA_BASE[[#This Row],[MARGEN
%]]&gt;=0.5,"🟢 ALTO",IF(TABLA_BASE[[#This Row],[MARGEN
%]]&gt;=0.3,"🟡 MEDIO","🔴 BAJO"))</f>
        <v>🟡 MEDIO</v>
      </c>
    </row>
    <row r="312" spans="1:54" ht="16.5" hidden="1" thickTop="1" thickBot="1" x14ac:dyDescent="0.3">
      <c r="A312" s="274">
        <f>'🧾 Factura Comercial'!E316</f>
        <v>0</v>
      </c>
      <c r="B312" s="274" t="str">
        <f>'🧾 Factura Comercial'!F316</f>
        <v>Unid.</v>
      </c>
      <c r="C312" s="275">
        <f>'🧾 Factura Comercial'!G316</f>
        <v>0</v>
      </c>
      <c r="D312" s="276">
        <f>'🧾 Factura Comercial'!H316</f>
        <v>0</v>
      </c>
      <c r="E312" s="276">
        <f>'🧾 Factura Comercial'!I316</f>
        <v>0</v>
      </c>
      <c r="F312" s="277">
        <f>IF('🧾 Tributos Aduana'!$F$6=0,0,'🧾 Factura Comercial'!I316/'🧾 Tributos Aduana'!$F$6)</f>
        <v>0</v>
      </c>
      <c r="G312" s="278">
        <f>'🧾 Factura Comercial'!H316*'📋 Datos Generales'!$E$19</f>
        <v>0</v>
      </c>
      <c r="H312" s="278">
        <f>TABLA_BASE[[#This Row],[FOB UNIT.
(S/.)]]*TABLA_BASE[[#This Row],[CANTIDAD
(unid.)]]</f>
        <v>0</v>
      </c>
      <c r="I312" s="280">
        <f>IF('🧾 Tributos Aduana'!$F$6=0,0,'🧾 Tributos Aduana'!$F$17*('🧾 Factura Comercial'!H316/'🧾 Tributos Aduana'!$F$6))</f>
        <v>0</v>
      </c>
      <c r="J312" s="280">
        <f>TABLA_BASE[[#This Row],[ADV UNIT.
(US$)
⚠️COSTO]]*TABLA_BASE[[#This Row],[CANTIDAD
(unid.)]]</f>
        <v>0</v>
      </c>
      <c r="K312" s="279">
        <f>IF('🧾 Tributos Aduana'!$F$6=0,0,'🧾 Tributos Aduana'!$F$18*('🧾 Factura Comercial'!H316/'🧾 Tributos Aduana'!$F$6))</f>
        <v>0</v>
      </c>
      <c r="L312" s="280">
        <f>TABLA_BASE[[#This Row],[IPM UNIT.
(US$)
✅CF]]*TABLA_BASE[[#This Row],[CANTIDAD
(unid.)]]</f>
        <v>0</v>
      </c>
      <c r="M312" s="279">
        <f>IF('🧾 Tributos Aduana'!$F$6=0,0,'🧾 Tributos Aduana'!$F$19*('🧾 Factura Comercial'!H316/'🧾 Tributos Aduana'!$F$6))</f>
        <v>0</v>
      </c>
      <c r="N312" s="280">
        <f>TABLA_BASE[[#This Row],[IGV UNIT.
(US$)
✅CF]]*TABLA_BASE[[#This Row],[CANTIDAD
(unid.)]]</f>
        <v>0</v>
      </c>
      <c r="O312" s="280">
        <f>IF('🧾 Tributos Aduana'!$F$6=0,0,'🧾 Tributos Aduana'!$F$23*('🧾 Factura Comercial'!H316/'🧾 Tributos Aduana'!$F$6))</f>
        <v>0</v>
      </c>
      <c r="P312" s="280">
        <f>TABLA_BASE[[#This Row],[PERCEP.
UNIT.(US$)
✅CF]]*TABLA_BASE[[#This Row],[CANTIDAD
(unid.)]]</f>
        <v>0</v>
      </c>
      <c r="Q312" s="279">
        <f>TABLA_BASE[[#This Row],[ADV UNIT.
(US$)
⚠️COSTO]]+TABLA_BASE[[#This Row],[IPM UNIT.
(US$)
✅CF]]+TABLA_BASE[[#This Row],[IGV UNIT.
(US$)
✅CF]]</f>
        <v>0</v>
      </c>
      <c r="R312" s="280">
        <f>TABLA_BASE[[#This Row],[DEUDA
ADUANERA
UNIT.]]*TABLA_BASE[[#This Row],[CANTIDAD
(unid.)]]</f>
        <v>0</v>
      </c>
      <c r="S312" s="278">
        <f>TABLA_BASE[[#This Row],[DEUDA
ADUANERA
UNIT.]]*'📋 Datos Generales'!$E$19</f>
        <v>0</v>
      </c>
      <c r="T312" s="278">
        <f>TABLA_BASE[[#This Row],[DEUDA
ADUANERA
TOTAL]]*'📋 Datos Generales'!$E$19</f>
        <v>0</v>
      </c>
      <c r="U312" s="281">
        <f>TABLA_BASE[[#This Row],[ADV UNIT.
(US$)
⚠️COSTO]]*'📋 Datos Generales'!$E$19</f>
        <v>0</v>
      </c>
      <c r="V312" s="281">
        <f>TABLA_BASE[[#This Row],[ADV UNIT.
(S/.)]]*TABLA_BASE[[#This Row],[CANTIDAD
(unid.)]]</f>
        <v>0</v>
      </c>
      <c r="W312" s="281">
        <f>TABLA_BASE[[#This Row],[IPM UNIT.
(US$)
✅CF]]*'📋 Datos Generales'!$E$19</f>
        <v>0</v>
      </c>
      <c r="X312" s="281">
        <f>TABLA_BASE[[#This Row],[IPM UNIT.
(S/.)]]*TABLA_BASE[[#This Row],[CANTIDAD
(unid.)]]</f>
        <v>0</v>
      </c>
      <c r="Y312" s="281">
        <f>TABLA_BASE[[#This Row],[IGV UNIT.
(US$)
✅CF]]*'📋 Datos Generales'!$E$19</f>
        <v>0</v>
      </c>
      <c r="Z312" s="281">
        <f>TABLA_BASE[[#This Row],[IGV UNIT.
(S/.)]]*TABLA_BASE[[#This Row],[CANTIDAD
(unid.)]]</f>
        <v>0</v>
      </c>
      <c r="AA312" s="281">
        <f>TABLA_BASE[[#This Row],[PERCEP.
UNIT.(US$)
✅CF]]*'📋 Datos Generales'!$E$19</f>
        <v>0</v>
      </c>
      <c r="AB312" s="281">
        <f>TABLA_BASE[[#This Row],[PERCEP.
UNIT.(S/.)]]*TABLA_BASE[[#This Row],[CANTIDAD
(unid.)]]</f>
        <v>0</v>
      </c>
      <c r="AC312" s="279">
        <f>TABLA_BASE[[#This Row],[ADV UNIT.
(US$)
⚠️COSTO]]+TABLA_BASE[[#This Row],[IPM UNIT.
(US$)
✅CF]]+TABLA_BASE[[#This Row],[IGV UNIT.
(US$)
✅CF]]+TABLA_BASE[[#This Row],[PERCEP.
UNIT.(US$)
✅CF]]</f>
        <v>0</v>
      </c>
      <c r="AD312" s="279">
        <f>TABLA_BASE[[#This Row],[TOTAL PAGO
SUNAT
UNIT.(US$)]]*TABLA_BASE[[#This Row],[CANTIDAD
(unid.)]]</f>
        <v>0</v>
      </c>
      <c r="AE312" s="281">
        <f>TABLA_BASE[[#This Row],[TOTAL PAGO
SUNAT
UNIT.(US$)]]*'📋 Datos Generales'!$E$19</f>
        <v>0</v>
      </c>
      <c r="AF312" s="281">
        <f>TABLA_BASE[[#This Row],[TOTAL TRIB.
UNIT.(S/.)]]*TABLA_BASE[[#This Row],[CANTIDAD
(unid.)]]</f>
        <v>0</v>
      </c>
      <c r="AG312" s="279">
        <f>IF('🧾 Factura Comercial'!G316=0,0,'📦 Gastos Importación'!$E$28*(IF('🧾 Tributos Aduana'!$F$6=0,0,'🧾 Factura Comercial'!I316/'🧾 Tributos Aduana'!$F$6))/'🧾 Factura Comercial'!G316)</f>
        <v>0</v>
      </c>
      <c r="AH312" s="279">
        <f>TABLA_BASE[[#This Row],[GASTOS IMP.
UNIT.(US$)]]*TABLA_BASE[[#This Row],[CANTIDAD
(unid.)]]</f>
        <v>0</v>
      </c>
      <c r="AI312" s="281">
        <f>TABLA_BASE[[#This Row],[GASTOS IMP.
UNIT.(US$)]]*'📋 Datos Generales'!$E$19</f>
        <v>0</v>
      </c>
      <c r="AJ312" s="281">
        <f>TABLA_BASE[[#This Row],[GASTOS IMP.
UNIT.(S/.)]]*TABLA_BASE[[#This Row],[CANTIDAD
(unid.)]]</f>
        <v>0</v>
      </c>
      <c r="AK312" s="280">
        <f>'🧮 Costos x Producto'!J316</f>
        <v>0</v>
      </c>
      <c r="AL312" s="278">
        <f>'🧮 Costos x Producto'!K316</f>
        <v>0</v>
      </c>
      <c r="AM312" s="278">
        <f>TABLA_BASE[[#This Row],[C/M UNIT.
(S/.)]]*TABLA_BASE[[#This Row],[CANTIDAD
(unid.)]]</f>
        <v>0</v>
      </c>
      <c r="AN312" s="279">
        <f>IF('🧾 Factura Comercial'!G316=0,0,'🧾 Tributos Aduana'!$F$17*(IF('🧾 Tributos Aduana'!$F$6=0,0,'🧾 Factura Comercial'!I316/'🧾 Tributos Aduana'!$F$6))/'🧾 Factura Comercial'!G316)</f>
        <v>0</v>
      </c>
      <c r="AO312" s="280">
        <f>IF('🧾 Factura Comercial'!G316=0,0,'🏦 Crédito Fiscal'!$C$16*(IF('🧾 Tributos Aduana'!$F$6=0,0,'🧾 Factura Comercial'!I316/'🧾 Tributos Aduana'!$F$6))/'🧾 Factura Comercial'!G316)</f>
        <v>0</v>
      </c>
      <c r="AP312" s="278">
        <f>TABLA_BASE[[#This Row],[CF UNIT.
✅RECUP.
(US$)]]*'📋 Datos Generales'!$E$19</f>
        <v>0</v>
      </c>
      <c r="AQ312" s="278">
        <f>TABLA_BASE[[#This Row],[CF UNIT.
✅RECUP.(S/.)]]*TABLA_BASE[[#This Row],[CANTIDAD
(unid.)]]</f>
        <v>0</v>
      </c>
      <c r="AR312" s="288">
        <f>'💰 Precio de Venta'!G317</f>
        <v>0.4</v>
      </c>
      <c r="AS312" s="278">
        <f>'💰 Precio de Venta'!H317</f>
        <v>0</v>
      </c>
      <c r="AT312" s="278">
        <f>TABLA_BASE[[#This Row],[VALOR VTA.
UNIT.(S/.)]]*TABLA_BASE[[#This Row],[CANTIDAD
(unid.)]]</f>
        <v>0</v>
      </c>
      <c r="AU312" s="281">
        <f>'💰 Precio de Venta'!I317</f>
        <v>0</v>
      </c>
      <c r="AV312" s="278">
        <f>'💰 Precio de Venta'!J317</f>
        <v>0</v>
      </c>
      <c r="AW312" s="278">
        <f>TABLA_BASE[[#This Row],[GANANCIA
UNIT.(S/.)]]*TABLA_BASE[[#This Row],[CANTIDAD
(unid.)]]</f>
        <v>0</v>
      </c>
      <c r="AX312" s="289">
        <f>'💰 Precio de Venta'!K317</f>
        <v>0</v>
      </c>
      <c r="AY312" s="278">
        <f>TABLA_BASE[[#This Row],[GANANCIA
UNIT.(S/.)]]*'🧾 Factura Comercial'!G316</f>
        <v>0</v>
      </c>
      <c r="AZ312" s="277">
        <f>IF(TABLA_BASE[[#This Row],[PRECIO VTA.
c/IGV(S/.)]]=0,0,TABLA_BASE[[#This Row],[GANANCIA
UNIT.(S/.)]]/TABLA_BASE[[#This Row],[PRECIO VTA.
c/IGV(S/.)]])</f>
        <v>0</v>
      </c>
      <c r="BA312" s="277">
        <f>IF(TABLA_BASE[[#This Row],[C/M UNIT.
(S/.)]]=0,0,TABLA_BASE[[#This Row],[GANANCIA
UNIT.(S/.)]]/TABLA_BASE[[#This Row],[C/M UNIT.
(S/.)]])</f>
        <v>0</v>
      </c>
      <c r="BB312" s="274" t="str">
        <f>IF(TABLA_BASE[[#This Row],[MARGEN
%]]&gt;=0.5,"🟢 ALTO",IF(TABLA_BASE[[#This Row],[MARGEN
%]]&gt;=0.3,"🟡 MEDIO","🔴 BAJO"))</f>
        <v>🟡 MEDIO</v>
      </c>
    </row>
    <row r="313" spans="1:54" ht="16.5" hidden="1" thickTop="1" thickBot="1" x14ac:dyDescent="0.3">
      <c r="A313" s="274">
        <f>'🧾 Factura Comercial'!E317</f>
        <v>0</v>
      </c>
      <c r="B313" s="274" t="str">
        <f>'🧾 Factura Comercial'!F317</f>
        <v>Unid.</v>
      </c>
      <c r="C313" s="275">
        <f>'🧾 Factura Comercial'!G317</f>
        <v>0</v>
      </c>
      <c r="D313" s="276">
        <f>'🧾 Factura Comercial'!H317</f>
        <v>0</v>
      </c>
      <c r="E313" s="276">
        <f>'🧾 Factura Comercial'!I317</f>
        <v>0</v>
      </c>
      <c r="F313" s="277">
        <f>IF('🧾 Tributos Aduana'!$F$6=0,0,'🧾 Factura Comercial'!I317/'🧾 Tributos Aduana'!$F$6)</f>
        <v>0</v>
      </c>
      <c r="G313" s="278">
        <f>'🧾 Factura Comercial'!H317*'📋 Datos Generales'!$E$19</f>
        <v>0</v>
      </c>
      <c r="H313" s="278">
        <f>TABLA_BASE[[#This Row],[FOB UNIT.
(S/.)]]*TABLA_BASE[[#This Row],[CANTIDAD
(unid.)]]</f>
        <v>0</v>
      </c>
      <c r="I313" s="280">
        <f>IF('🧾 Tributos Aduana'!$F$6=0,0,'🧾 Tributos Aduana'!$F$17*('🧾 Factura Comercial'!H317/'🧾 Tributos Aduana'!$F$6))</f>
        <v>0</v>
      </c>
      <c r="J313" s="280">
        <f>TABLA_BASE[[#This Row],[ADV UNIT.
(US$)
⚠️COSTO]]*TABLA_BASE[[#This Row],[CANTIDAD
(unid.)]]</f>
        <v>0</v>
      </c>
      <c r="K313" s="279">
        <f>IF('🧾 Tributos Aduana'!$F$6=0,0,'🧾 Tributos Aduana'!$F$18*('🧾 Factura Comercial'!H317/'🧾 Tributos Aduana'!$F$6))</f>
        <v>0</v>
      </c>
      <c r="L313" s="280">
        <f>TABLA_BASE[[#This Row],[IPM UNIT.
(US$)
✅CF]]*TABLA_BASE[[#This Row],[CANTIDAD
(unid.)]]</f>
        <v>0</v>
      </c>
      <c r="M313" s="279">
        <f>IF('🧾 Tributos Aduana'!$F$6=0,0,'🧾 Tributos Aduana'!$F$19*('🧾 Factura Comercial'!H317/'🧾 Tributos Aduana'!$F$6))</f>
        <v>0</v>
      </c>
      <c r="N313" s="280">
        <f>TABLA_BASE[[#This Row],[IGV UNIT.
(US$)
✅CF]]*TABLA_BASE[[#This Row],[CANTIDAD
(unid.)]]</f>
        <v>0</v>
      </c>
      <c r="O313" s="280">
        <f>IF('🧾 Tributos Aduana'!$F$6=0,0,'🧾 Tributos Aduana'!$F$23*('🧾 Factura Comercial'!H317/'🧾 Tributos Aduana'!$F$6))</f>
        <v>0</v>
      </c>
      <c r="P313" s="280">
        <f>TABLA_BASE[[#This Row],[PERCEP.
UNIT.(US$)
✅CF]]*TABLA_BASE[[#This Row],[CANTIDAD
(unid.)]]</f>
        <v>0</v>
      </c>
      <c r="Q313" s="279">
        <f>TABLA_BASE[[#This Row],[ADV UNIT.
(US$)
⚠️COSTO]]+TABLA_BASE[[#This Row],[IPM UNIT.
(US$)
✅CF]]+TABLA_BASE[[#This Row],[IGV UNIT.
(US$)
✅CF]]</f>
        <v>0</v>
      </c>
      <c r="R313" s="280">
        <f>TABLA_BASE[[#This Row],[DEUDA
ADUANERA
UNIT.]]*TABLA_BASE[[#This Row],[CANTIDAD
(unid.)]]</f>
        <v>0</v>
      </c>
      <c r="S313" s="278">
        <f>TABLA_BASE[[#This Row],[DEUDA
ADUANERA
UNIT.]]*'📋 Datos Generales'!$E$19</f>
        <v>0</v>
      </c>
      <c r="T313" s="278">
        <f>TABLA_BASE[[#This Row],[DEUDA
ADUANERA
TOTAL]]*'📋 Datos Generales'!$E$19</f>
        <v>0</v>
      </c>
      <c r="U313" s="281">
        <f>TABLA_BASE[[#This Row],[ADV UNIT.
(US$)
⚠️COSTO]]*'📋 Datos Generales'!$E$19</f>
        <v>0</v>
      </c>
      <c r="V313" s="281">
        <f>TABLA_BASE[[#This Row],[ADV UNIT.
(S/.)]]*TABLA_BASE[[#This Row],[CANTIDAD
(unid.)]]</f>
        <v>0</v>
      </c>
      <c r="W313" s="281">
        <f>TABLA_BASE[[#This Row],[IPM UNIT.
(US$)
✅CF]]*'📋 Datos Generales'!$E$19</f>
        <v>0</v>
      </c>
      <c r="X313" s="281">
        <f>TABLA_BASE[[#This Row],[IPM UNIT.
(S/.)]]*TABLA_BASE[[#This Row],[CANTIDAD
(unid.)]]</f>
        <v>0</v>
      </c>
      <c r="Y313" s="281">
        <f>TABLA_BASE[[#This Row],[IGV UNIT.
(US$)
✅CF]]*'📋 Datos Generales'!$E$19</f>
        <v>0</v>
      </c>
      <c r="Z313" s="281">
        <f>TABLA_BASE[[#This Row],[IGV UNIT.
(S/.)]]*TABLA_BASE[[#This Row],[CANTIDAD
(unid.)]]</f>
        <v>0</v>
      </c>
      <c r="AA313" s="281">
        <f>TABLA_BASE[[#This Row],[PERCEP.
UNIT.(US$)
✅CF]]*'📋 Datos Generales'!$E$19</f>
        <v>0</v>
      </c>
      <c r="AB313" s="281">
        <f>TABLA_BASE[[#This Row],[PERCEP.
UNIT.(S/.)]]*TABLA_BASE[[#This Row],[CANTIDAD
(unid.)]]</f>
        <v>0</v>
      </c>
      <c r="AC313" s="279">
        <f>TABLA_BASE[[#This Row],[ADV UNIT.
(US$)
⚠️COSTO]]+TABLA_BASE[[#This Row],[IPM UNIT.
(US$)
✅CF]]+TABLA_BASE[[#This Row],[IGV UNIT.
(US$)
✅CF]]+TABLA_BASE[[#This Row],[PERCEP.
UNIT.(US$)
✅CF]]</f>
        <v>0</v>
      </c>
      <c r="AD313" s="279">
        <f>TABLA_BASE[[#This Row],[TOTAL PAGO
SUNAT
UNIT.(US$)]]*TABLA_BASE[[#This Row],[CANTIDAD
(unid.)]]</f>
        <v>0</v>
      </c>
      <c r="AE313" s="281">
        <f>TABLA_BASE[[#This Row],[TOTAL PAGO
SUNAT
UNIT.(US$)]]*'📋 Datos Generales'!$E$19</f>
        <v>0</v>
      </c>
      <c r="AF313" s="281">
        <f>TABLA_BASE[[#This Row],[TOTAL TRIB.
UNIT.(S/.)]]*TABLA_BASE[[#This Row],[CANTIDAD
(unid.)]]</f>
        <v>0</v>
      </c>
      <c r="AG313" s="279">
        <f>IF('🧾 Factura Comercial'!G317=0,0,'📦 Gastos Importación'!$E$28*(IF('🧾 Tributos Aduana'!$F$6=0,0,'🧾 Factura Comercial'!I317/'🧾 Tributos Aduana'!$F$6))/'🧾 Factura Comercial'!G317)</f>
        <v>0</v>
      </c>
      <c r="AH313" s="279">
        <f>TABLA_BASE[[#This Row],[GASTOS IMP.
UNIT.(US$)]]*TABLA_BASE[[#This Row],[CANTIDAD
(unid.)]]</f>
        <v>0</v>
      </c>
      <c r="AI313" s="281">
        <f>TABLA_BASE[[#This Row],[GASTOS IMP.
UNIT.(US$)]]*'📋 Datos Generales'!$E$19</f>
        <v>0</v>
      </c>
      <c r="AJ313" s="281">
        <f>TABLA_BASE[[#This Row],[GASTOS IMP.
UNIT.(S/.)]]*TABLA_BASE[[#This Row],[CANTIDAD
(unid.)]]</f>
        <v>0</v>
      </c>
      <c r="AK313" s="280">
        <f>'🧮 Costos x Producto'!J317</f>
        <v>0</v>
      </c>
      <c r="AL313" s="278">
        <f>'🧮 Costos x Producto'!K317</f>
        <v>0</v>
      </c>
      <c r="AM313" s="278">
        <f>TABLA_BASE[[#This Row],[C/M UNIT.
(S/.)]]*TABLA_BASE[[#This Row],[CANTIDAD
(unid.)]]</f>
        <v>0</v>
      </c>
      <c r="AN313" s="279">
        <f>IF('🧾 Factura Comercial'!G317=0,0,'🧾 Tributos Aduana'!$F$17*(IF('🧾 Tributos Aduana'!$F$6=0,0,'🧾 Factura Comercial'!I317/'🧾 Tributos Aduana'!$F$6))/'🧾 Factura Comercial'!G317)</f>
        <v>0</v>
      </c>
      <c r="AO313" s="280">
        <f>IF('🧾 Factura Comercial'!G317=0,0,'🏦 Crédito Fiscal'!$C$16*(IF('🧾 Tributos Aduana'!$F$6=0,0,'🧾 Factura Comercial'!I317/'🧾 Tributos Aduana'!$F$6))/'🧾 Factura Comercial'!G317)</f>
        <v>0</v>
      </c>
      <c r="AP313" s="278">
        <f>TABLA_BASE[[#This Row],[CF UNIT.
✅RECUP.
(US$)]]*'📋 Datos Generales'!$E$19</f>
        <v>0</v>
      </c>
      <c r="AQ313" s="278">
        <f>TABLA_BASE[[#This Row],[CF UNIT.
✅RECUP.(S/.)]]*TABLA_BASE[[#This Row],[CANTIDAD
(unid.)]]</f>
        <v>0</v>
      </c>
      <c r="AR313" s="288">
        <f>'💰 Precio de Venta'!G318</f>
        <v>0.4</v>
      </c>
      <c r="AS313" s="278">
        <f>'💰 Precio de Venta'!H318</f>
        <v>0</v>
      </c>
      <c r="AT313" s="278">
        <f>TABLA_BASE[[#This Row],[VALOR VTA.
UNIT.(S/.)]]*TABLA_BASE[[#This Row],[CANTIDAD
(unid.)]]</f>
        <v>0</v>
      </c>
      <c r="AU313" s="281">
        <f>'💰 Precio de Venta'!I318</f>
        <v>0</v>
      </c>
      <c r="AV313" s="278">
        <f>'💰 Precio de Venta'!J318</f>
        <v>0</v>
      </c>
      <c r="AW313" s="278">
        <f>TABLA_BASE[[#This Row],[GANANCIA
UNIT.(S/.)]]*TABLA_BASE[[#This Row],[CANTIDAD
(unid.)]]</f>
        <v>0</v>
      </c>
      <c r="AX313" s="289">
        <f>'💰 Precio de Venta'!K318</f>
        <v>0</v>
      </c>
      <c r="AY313" s="278">
        <f>TABLA_BASE[[#This Row],[GANANCIA
UNIT.(S/.)]]*'🧾 Factura Comercial'!G317</f>
        <v>0</v>
      </c>
      <c r="AZ313" s="277">
        <f>IF(TABLA_BASE[[#This Row],[PRECIO VTA.
c/IGV(S/.)]]=0,0,TABLA_BASE[[#This Row],[GANANCIA
UNIT.(S/.)]]/TABLA_BASE[[#This Row],[PRECIO VTA.
c/IGV(S/.)]])</f>
        <v>0</v>
      </c>
      <c r="BA313" s="277">
        <f>IF(TABLA_BASE[[#This Row],[C/M UNIT.
(S/.)]]=0,0,TABLA_BASE[[#This Row],[GANANCIA
UNIT.(S/.)]]/TABLA_BASE[[#This Row],[C/M UNIT.
(S/.)]])</f>
        <v>0</v>
      </c>
      <c r="BB313" s="274" t="str">
        <f>IF(TABLA_BASE[[#This Row],[MARGEN
%]]&gt;=0.5,"🟢 ALTO",IF(TABLA_BASE[[#This Row],[MARGEN
%]]&gt;=0.3,"🟡 MEDIO","🔴 BAJO"))</f>
        <v>🟡 MEDIO</v>
      </c>
    </row>
    <row r="314" spans="1:54" ht="16.5" hidden="1" thickTop="1" thickBot="1" x14ac:dyDescent="0.3">
      <c r="A314" s="274">
        <f>'🧾 Factura Comercial'!E318</f>
        <v>0</v>
      </c>
      <c r="B314" s="274" t="str">
        <f>'🧾 Factura Comercial'!F318</f>
        <v>Unid.</v>
      </c>
      <c r="C314" s="275">
        <f>'🧾 Factura Comercial'!G318</f>
        <v>0</v>
      </c>
      <c r="D314" s="276">
        <f>'🧾 Factura Comercial'!H318</f>
        <v>0</v>
      </c>
      <c r="E314" s="276">
        <f>'🧾 Factura Comercial'!I318</f>
        <v>0</v>
      </c>
      <c r="F314" s="277">
        <f>IF('🧾 Tributos Aduana'!$F$6=0,0,'🧾 Factura Comercial'!I318/'🧾 Tributos Aduana'!$F$6)</f>
        <v>0</v>
      </c>
      <c r="G314" s="278">
        <f>'🧾 Factura Comercial'!H318*'📋 Datos Generales'!$E$19</f>
        <v>0</v>
      </c>
      <c r="H314" s="278">
        <f>TABLA_BASE[[#This Row],[FOB UNIT.
(S/.)]]*TABLA_BASE[[#This Row],[CANTIDAD
(unid.)]]</f>
        <v>0</v>
      </c>
      <c r="I314" s="280">
        <f>IF('🧾 Tributos Aduana'!$F$6=0,0,'🧾 Tributos Aduana'!$F$17*('🧾 Factura Comercial'!H318/'🧾 Tributos Aduana'!$F$6))</f>
        <v>0</v>
      </c>
      <c r="J314" s="280">
        <f>TABLA_BASE[[#This Row],[ADV UNIT.
(US$)
⚠️COSTO]]*TABLA_BASE[[#This Row],[CANTIDAD
(unid.)]]</f>
        <v>0</v>
      </c>
      <c r="K314" s="279">
        <f>IF('🧾 Tributos Aduana'!$F$6=0,0,'🧾 Tributos Aduana'!$F$18*('🧾 Factura Comercial'!H318/'🧾 Tributos Aduana'!$F$6))</f>
        <v>0</v>
      </c>
      <c r="L314" s="280">
        <f>TABLA_BASE[[#This Row],[IPM UNIT.
(US$)
✅CF]]*TABLA_BASE[[#This Row],[CANTIDAD
(unid.)]]</f>
        <v>0</v>
      </c>
      <c r="M314" s="279">
        <f>IF('🧾 Tributos Aduana'!$F$6=0,0,'🧾 Tributos Aduana'!$F$19*('🧾 Factura Comercial'!H318/'🧾 Tributos Aduana'!$F$6))</f>
        <v>0</v>
      </c>
      <c r="N314" s="280">
        <f>TABLA_BASE[[#This Row],[IGV UNIT.
(US$)
✅CF]]*TABLA_BASE[[#This Row],[CANTIDAD
(unid.)]]</f>
        <v>0</v>
      </c>
      <c r="O314" s="280">
        <f>IF('🧾 Tributos Aduana'!$F$6=0,0,'🧾 Tributos Aduana'!$F$23*('🧾 Factura Comercial'!H318/'🧾 Tributos Aduana'!$F$6))</f>
        <v>0</v>
      </c>
      <c r="P314" s="280">
        <f>TABLA_BASE[[#This Row],[PERCEP.
UNIT.(US$)
✅CF]]*TABLA_BASE[[#This Row],[CANTIDAD
(unid.)]]</f>
        <v>0</v>
      </c>
      <c r="Q314" s="279">
        <f>TABLA_BASE[[#This Row],[ADV UNIT.
(US$)
⚠️COSTO]]+TABLA_BASE[[#This Row],[IPM UNIT.
(US$)
✅CF]]+TABLA_BASE[[#This Row],[IGV UNIT.
(US$)
✅CF]]</f>
        <v>0</v>
      </c>
      <c r="R314" s="280">
        <f>TABLA_BASE[[#This Row],[DEUDA
ADUANERA
UNIT.]]*TABLA_BASE[[#This Row],[CANTIDAD
(unid.)]]</f>
        <v>0</v>
      </c>
      <c r="S314" s="278">
        <f>TABLA_BASE[[#This Row],[DEUDA
ADUANERA
UNIT.]]*'📋 Datos Generales'!$E$19</f>
        <v>0</v>
      </c>
      <c r="T314" s="278">
        <f>TABLA_BASE[[#This Row],[DEUDA
ADUANERA
TOTAL]]*'📋 Datos Generales'!$E$19</f>
        <v>0</v>
      </c>
      <c r="U314" s="281">
        <f>TABLA_BASE[[#This Row],[ADV UNIT.
(US$)
⚠️COSTO]]*'📋 Datos Generales'!$E$19</f>
        <v>0</v>
      </c>
      <c r="V314" s="281">
        <f>TABLA_BASE[[#This Row],[ADV UNIT.
(S/.)]]*TABLA_BASE[[#This Row],[CANTIDAD
(unid.)]]</f>
        <v>0</v>
      </c>
      <c r="W314" s="281">
        <f>TABLA_BASE[[#This Row],[IPM UNIT.
(US$)
✅CF]]*'📋 Datos Generales'!$E$19</f>
        <v>0</v>
      </c>
      <c r="X314" s="281">
        <f>TABLA_BASE[[#This Row],[IPM UNIT.
(S/.)]]*TABLA_BASE[[#This Row],[CANTIDAD
(unid.)]]</f>
        <v>0</v>
      </c>
      <c r="Y314" s="281">
        <f>TABLA_BASE[[#This Row],[IGV UNIT.
(US$)
✅CF]]*'📋 Datos Generales'!$E$19</f>
        <v>0</v>
      </c>
      <c r="Z314" s="281">
        <f>TABLA_BASE[[#This Row],[IGV UNIT.
(S/.)]]*TABLA_BASE[[#This Row],[CANTIDAD
(unid.)]]</f>
        <v>0</v>
      </c>
      <c r="AA314" s="281">
        <f>TABLA_BASE[[#This Row],[PERCEP.
UNIT.(US$)
✅CF]]*'📋 Datos Generales'!$E$19</f>
        <v>0</v>
      </c>
      <c r="AB314" s="281">
        <f>TABLA_BASE[[#This Row],[PERCEP.
UNIT.(S/.)]]*TABLA_BASE[[#This Row],[CANTIDAD
(unid.)]]</f>
        <v>0</v>
      </c>
      <c r="AC314" s="279">
        <f>TABLA_BASE[[#This Row],[ADV UNIT.
(US$)
⚠️COSTO]]+TABLA_BASE[[#This Row],[IPM UNIT.
(US$)
✅CF]]+TABLA_BASE[[#This Row],[IGV UNIT.
(US$)
✅CF]]+TABLA_BASE[[#This Row],[PERCEP.
UNIT.(US$)
✅CF]]</f>
        <v>0</v>
      </c>
      <c r="AD314" s="279">
        <f>TABLA_BASE[[#This Row],[TOTAL PAGO
SUNAT
UNIT.(US$)]]*TABLA_BASE[[#This Row],[CANTIDAD
(unid.)]]</f>
        <v>0</v>
      </c>
      <c r="AE314" s="281">
        <f>TABLA_BASE[[#This Row],[TOTAL PAGO
SUNAT
UNIT.(US$)]]*'📋 Datos Generales'!$E$19</f>
        <v>0</v>
      </c>
      <c r="AF314" s="281">
        <f>TABLA_BASE[[#This Row],[TOTAL TRIB.
UNIT.(S/.)]]*TABLA_BASE[[#This Row],[CANTIDAD
(unid.)]]</f>
        <v>0</v>
      </c>
      <c r="AG314" s="279">
        <f>IF('🧾 Factura Comercial'!G318=0,0,'📦 Gastos Importación'!$E$28*(IF('🧾 Tributos Aduana'!$F$6=0,0,'🧾 Factura Comercial'!I318/'🧾 Tributos Aduana'!$F$6))/'🧾 Factura Comercial'!G318)</f>
        <v>0</v>
      </c>
      <c r="AH314" s="279">
        <f>TABLA_BASE[[#This Row],[GASTOS IMP.
UNIT.(US$)]]*TABLA_BASE[[#This Row],[CANTIDAD
(unid.)]]</f>
        <v>0</v>
      </c>
      <c r="AI314" s="281">
        <f>TABLA_BASE[[#This Row],[GASTOS IMP.
UNIT.(US$)]]*'📋 Datos Generales'!$E$19</f>
        <v>0</v>
      </c>
      <c r="AJ314" s="281">
        <f>TABLA_BASE[[#This Row],[GASTOS IMP.
UNIT.(S/.)]]*TABLA_BASE[[#This Row],[CANTIDAD
(unid.)]]</f>
        <v>0</v>
      </c>
      <c r="AK314" s="280">
        <f>'🧮 Costos x Producto'!J318</f>
        <v>0</v>
      </c>
      <c r="AL314" s="278">
        <f>'🧮 Costos x Producto'!K318</f>
        <v>0</v>
      </c>
      <c r="AM314" s="278">
        <f>TABLA_BASE[[#This Row],[C/M UNIT.
(S/.)]]*TABLA_BASE[[#This Row],[CANTIDAD
(unid.)]]</f>
        <v>0</v>
      </c>
      <c r="AN314" s="279">
        <f>IF('🧾 Factura Comercial'!G318=0,0,'🧾 Tributos Aduana'!$F$17*(IF('🧾 Tributos Aduana'!$F$6=0,0,'🧾 Factura Comercial'!I318/'🧾 Tributos Aduana'!$F$6))/'🧾 Factura Comercial'!G318)</f>
        <v>0</v>
      </c>
      <c r="AO314" s="280">
        <f>IF('🧾 Factura Comercial'!G318=0,0,'🏦 Crédito Fiscal'!$C$16*(IF('🧾 Tributos Aduana'!$F$6=0,0,'🧾 Factura Comercial'!I318/'🧾 Tributos Aduana'!$F$6))/'🧾 Factura Comercial'!G318)</f>
        <v>0</v>
      </c>
      <c r="AP314" s="278">
        <f>TABLA_BASE[[#This Row],[CF UNIT.
✅RECUP.
(US$)]]*'📋 Datos Generales'!$E$19</f>
        <v>0</v>
      </c>
      <c r="AQ314" s="278">
        <f>TABLA_BASE[[#This Row],[CF UNIT.
✅RECUP.(S/.)]]*TABLA_BASE[[#This Row],[CANTIDAD
(unid.)]]</f>
        <v>0</v>
      </c>
      <c r="AR314" s="288">
        <f>'💰 Precio de Venta'!G319</f>
        <v>0.4</v>
      </c>
      <c r="AS314" s="278">
        <f>'💰 Precio de Venta'!H319</f>
        <v>0</v>
      </c>
      <c r="AT314" s="278">
        <f>TABLA_BASE[[#This Row],[VALOR VTA.
UNIT.(S/.)]]*TABLA_BASE[[#This Row],[CANTIDAD
(unid.)]]</f>
        <v>0</v>
      </c>
      <c r="AU314" s="281">
        <f>'💰 Precio de Venta'!I319</f>
        <v>0</v>
      </c>
      <c r="AV314" s="278">
        <f>'💰 Precio de Venta'!J319</f>
        <v>0</v>
      </c>
      <c r="AW314" s="278">
        <f>TABLA_BASE[[#This Row],[GANANCIA
UNIT.(S/.)]]*TABLA_BASE[[#This Row],[CANTIDAD
(unid.)]]</f>
        <v>0</v>
      </c>
      <c r="AX314" s="289">
        <f>'💰 Precio de Venta'!K319</f>
        <v>0</v>
      </c>
      <c r="AY314" s="278">
        <f>TABLA_BASE[[#This Row],[GANANCIA
UNIT.(S/.)]]*'🧾 Factura Comercial'!G318</f>
        <v>0</v>
      </c>
      <c r="AZ314" s="277">
        <f>IF(TABLA_BASE[[#This Row],[PRECIO VTA.
c/IGV(S/.)]]=0,0,TABLA_BASE[[#This Row],[GANANCIA
UNIT.(S/.)]]/TABLA_BASE[[#This Row],[PRECIO VTA.
c/IGV(S/.)]])</f>
        <v>0</v>
      </c>
      <c r="BA314" s="277">
        <f>IF(TABLA_BASE[[#This Row],[C/M UNIT.
(S/.)]]=0,0,TABLA_BASE[[#This Row],[GANANCIA
UNIT.(S/.)]]/TABLA_BASE[[#This Row],[C/M UNIT.
(S/.)]])</f>
        <v>0</v>
      </c>
      <c r="BB314" s="274" t="str">
        <f>IF(TABLA_BASE[[#This Row],[MARGEN
%]]&gt;=0.5,"🟢 ALTO",IF(TABLA_BASE[[#This Row],[MARGEN
%]]&gt;=0.3,"🟡 MEDIO","🔴 BAJO"))</f>
        <v>🟡 MEDIO</v>
      </c>
    </row>
    <row r="315" spans="1:54" ht="16.5" hidden="1" thickTop="1" thickBot="1" x14ac:dyDescent="0.3">
      <c r="A315" s="274">
        <f>'🧾 Factura Comercial'!E319</f>
        <v>0</v>
      </c>
      <c r="B315" s="274" t="str">
        <f>'🧾 Factura Comercial'!F319</f>
        <v>Unid.</v>
      </c>
      <c r="C315" s="275">
        <f>'🧾 Factura Comercial'!G319</f>
        <v>0</v>
      </c>
      <c r="D315" s="276">
        <f>'🧾 Factura Comercial'!H319</f>
        <v>0</v>
      </c>
      <c r="E315" s="276">
        <f>'🧾 Factura Comercial'!I319</f>
        <v>0</v>
      </c>
      <c r="F315" s="277">
        <f>IF('🧾 Tributos Aduana'!$F$6=0,0,'🧾 Factura Comercial'!I319/'🧾 Tributos Aduana'!$F$6)</f>
        <v>0</v>
      </c>
      <c r="G315" s="278">
        <f>'🧾 Factura Comercial'!H319*'📋 Datos Generales'!$E$19</f>
        <v>0</v>
      </c>
      <c r="H315" s="278">
        <f>TABLA_BASE[[#This Row],[FOB UNIT.
(S/.)]]*TABLA_BASE[[#This Row],[CANTIDAD
(unid.)]]</f>
        <v>0</v>
      </c>
      <c r="I315" s="280">
        <f>IF('🧾 Tributos Aduana'!$F$6=0,0,'🧾 Tributos Aduana'!$F$17*('🧾 Factura Comercial'!H319/'🧾 Tributos Aduana'!$F$6))</f>
        <v>0</v>
      </c>
      <c r="J315" s="280">
        <f>TABLA_BASE[[#This Row],[ADV UNIT.
(US$)
⚠️COSTO]]*TABLA_BASE[[#This Row],[CANTIDAD
(unid.)]]</f>
        <v>0</v>
      </c>
      <c r="K315" s="279">
        <f>IF('🧾 Tributos Aduana'!$F$6=0,0,'🧾 Tributos Aduana'!$F$18*('🧾 Factura Comercial'!H319/'🧾 Tributos Aduana'!$F$6))</f>
        <v>0</v>
      </c>
      <c r="L315" s="280">
        <f>TABLA_BASE[[#This Row],[IPM UNIT.
(US$)
✅CF]]*TABLA_BASE[[#This Row],[CANTIDAD
(unid.)]]</f>
        <v>0</v>
      </c>
      <c r="M315" s="279">
        <f>IF('🧾 Tributos Aduana'!$F$6=0,0,'🧾 Tributos Aduana'!$F$19*('🧾 Factura Comercial'!H319/'🧾 Tributos Aduana'!$F$6))</f>
        <v>0</v>
      </c>
      <c r="N315" s="280">
        <f>TABLA_BASE[[#This Row],[IGV UNIT.
(US$)
✅CF]]*TABLA_BASE[[#This Row],[CANTIDAD
(unid.)]]</f>
        <v>0</v>
      </c>
      <c r="O315" s="280">
        <f>IF('🧾 Tributos Aduana'!$F$6=0,0,'🧾 Tributos Aduana'!$F$23*('🧾 Factura Comercial'!H319/'🧾 Tributos Aduana'!$F$6))</f>
        <v>0</v>
      </c>
      <c r="P315" s="280">
        <f>TABLA_BASE[[#This Row],[PERCEP.
UNIT.(US$)
✅CF]]*TABLA_BASE[[#This Row],[CANTIDAD
(unid.)]]</f>
        <v>0</v>
      </c>
      <c r="Q315" s="279">
        <f>TABLA_BASE[[#This Row],[ADV UNIT.
(US$)
⚠️COSTO]]+TABLA_BASE[[#This Row],[IPM UNIT.
(US$)
✅CF]]+TABLA_BASE[[#This Row],[IGV UNIT.
(US$)
✅CF]]</f>
        <v>0</v>
      </c>
      <c r="R315" s="280">
        <f>TABLA_BASE[[#This Row],[DEUDA
ADUANERA
UNIT.]]*TABLA_BASE[[#This Row],[CANTIDAD
(unid.)]]</f>
        <v>0</v>
      </c>
      <c r="S315" s="278">
        <f>TABLA_BASE[[#This Row],[DEUDA
ADUANERA
UNIT.]]*'📋 Datos Generales'!$E$19</f>
        <v>0</v>
      </c>
      <c r="T315" s="278">
        <f>TABLA_BASE[[#This Row],[DEUDA
ADUANERA
TOTAL]]*'📋 Datos Generales'!$E$19</f>
        <v>0</v>
      </c>
      <c r="U315" s="281">
        <f>TABLA_BASE[[#This Row],[ADV UNIT.
(US$)
⚠️COSTO]]*'📋 Datos Generales'!$E$19</f>
        <v>0</v>
      </c>
      <c r="V315" s="281">
        <f>TABLA_BASE[[#This Row],[ADV UNIT.
(S/.)]]*TABLA_BASE[[#This Row],[CANTIDAD
(unid.)]]</f>
        <v>0</v>
      </c>
      <c r="W315" s="281">
        <f>TABLA_BASE[[#This Row],[IPM UNIT.
(US$)
✅CF]]*'📋 Datos Generales'!$E$19</f>
        <v>0</v>
      </c>
      <c r="X315" s="281">
        <f>TABLA_BASE[[#This Row],[IPM UNIT.
(S/.)]]*TABLA_BASE[[#This Row],[CANTIDAD
(unid.)]]</f>
        <v>0</v>
      </c>
      <c r="Y315" s="281">
        <f>TABLA_BASE[[#This Row],[IGV UNIT.
(US$)
✅CF]]*'📋 Datos Generales'!$E$19</f>
        <v>0</v>
      </c>
      <c r="Z315" s="281">
        <f>TABLA_BASE[[#This Row],[IGV UNIT.
(S/.)]]*TABLA_BASE[[#This Row],[CANTIDAD
(unid.)]]</f>
        <v>0</v>
      </c>
      <c r="AA315" s="281">
        <f>TABLA_BASE[[#This Row],[PERCEP.
UNIT.(US$)
✅CF]]*'📋 Datos Generales'!$E$19</f>
        <v>0</v>
      </c>
      <c r="AB315" s="281">
        <f>TABLA_BASE[[#This Row],[PERCEP.
UNIT.(S/.)]]*TABLA_BASE[[#This Row],[CANTIDAD
(unid.)]]</f>
        <v>0</v>
      </c>
      <c r="AC315" s="279">
        <f>TABLA_BASE[[#This Row],[ADV UNIT.
(US$)
⚠️COSTO]]+TABLA_BASE[[#This Row],[IPM UNIT.
(US$)
✅CF]]+TABLA_BASE[[#This Row],[IGV UNIT.
(US$)
✅CF]]+TABLA_BASE[[#This Row],[PERCEP.
UNIT.(US$)
✅CF]]</f>
        <v>0</v>
      </c>
      <c r="AD315" s="279">
        <f>TABLA_BASE[[#This Row],[TOTAL PAGO
SUNAT
UNIT.(US$)]]*TABLA_BASE[[#This Row],[CANTIDAD
(unid.)]]</f>
        <v>0</v>
      </c>
      <c r="AE315" s="281">
        <f>TABLA_BASE[[#This Row],[TOTAL PAGO
SUNAT
UNIT.(US$)]]*'📋 Datos Generales'!$E$19</f>
        <v>0</v>
      </c>
      <c r="AF315" s="281">
        <f>TABLA_BASE[[#This Row],[TOTAL TRIB.
UNIT.(S/.)]]*TABLA_BASE[[#This Row],[CANTIDAD
(unid.)]]</f>
        <v>0</v>
      </c>
      <c r="AG315" s="279">
        <f>IF('🧾 Factura Comercial'!G319=0,0,'📦 Gastos Importación'!$E$28*(IF('🧾 Tributos Aduana'!$F$6=0,0,'🧾 Factura Comercial'!I319/'🧾 Tributos Aduana'!$F$6))/'🧾 Factura Comercial'!G319)</f>
        <v>0</v>
      </c>
      <c r="AH315" s="279">
        <f>TABLA_BASE[[#This Row],[GASTOS IMP.
UNIT.(US$)]]*TABLA_BASE[[#This Row],[CANTIDAD
(unid.)]]</f>
        <v>0</v>
      </c>
      <c r="AI315" s="281">
        <f>TABLA_BASE[[#This Row],[GASTOS IMP.
UNIT.(US$)]]*'📋 Datos Generales'!$E$19</f>
        <v>0</v>
      </c>
      <c r="AJ315" s="281">
        <f>TABLA_BASE[[#This Row],[GASTOS IMP.
UNIT.(S/.)]]*TABLA_BASE[[#This Row],[CANTIDAD
(unid.)]]</f>
        <v>0</v>
      </c>
      <c r="AK315" s="280">
        <f>'🧮 Costos x Producto'!J319</f>
        <v>0</v>
      </c>
      <c r="AL315" s="278">
        <f>'🧮 Costos x Producto'!K319</f>
        <v>0</v>
      </c>
      <c r="AM315" s="278">
        <f>TABLA_BASE[[#This Row],[C/M UNIT.
(S/.)]]*TABLA_BASE[[#This Row],[CANTIDAD
(unid.)]]</f>
        <v>0</v>
      </c>
      <c r="AN315" s="279">
        <f>IF('🧾 Factura Comercial'!G319=0,0,'🧾 Tributos Aduana'!$F$17*(IF('🧾 Tributos Aduana'!$F$6=0,0,'🧾 Factura Comercial'!I319/'🧾 Tributos Aduana'!$F$6))/'🧾 Factura Comercial'!G319)</f>
        <v>0</v>
      </c>
      <c r="AO315" s="280">
        <f>IF('🧾 Factura Comercial'!G319=0,0,'🏦 Crédito Fiscal'!$C$16*(IF('🧾 Tributos Aduana'!$F$6=0,0,'🧾 Factura Comercial'!I319/'🧾 Tributos Aduana'!$F$6))/'🧾 Factura Comercial'!G319)</f>
        <v>0</v>
      </c>
      <c r="AP315" s="278">
        <f>TABLA_BASE[[#This Row],[CF UNIT.
✅RECUP.
(US$)]]*'📋 Datos Generales'!$E$19</f>
        <v>0</v>
      </c>
      <c r="AQ315" s="278">
        <f>TABLA_BASE[[#This Row],[CF UNIT.
✅RECUP.(S/.)]]*TABLA_BASE[[#This Row],[CANTIDAD
(unid.)]]</f>
        <v>0</v>
      </c>
      <c r="AR315" s="288">
        <f>'💰 Precio de Venta'!G320</f>
        <v>0.4</v>
      </c>
      <c r="AS315" s="278">
        <f>'💰 Precio de Venta'!H320</f>
        <v>0</v>
      </c>
      <c r="AT315" s="278">
        <f>TABLA_BASE[[#This Row],[VALOR VTA.
UNIT.(S/.)]]*TABLA_BASE[[#This Row],[CANTIDAD
(unid.)]]</f>
        <v>0</v>
      </c>
      <c r="AU315" s="281">
        <f>'💰 Precio de Venta'!I320</f>
        <v>0</v>
      </c>
      <c r="AV315" s="278">
        <f>'💰 Precio de Venta'!J320</f>
        <v>0</v>
      </c>
      <c r="AW315" s="278">
        <f>TABLA_BASE[[#This Row],[GANANCIA
UNIT.(S/.)]]*TABLA_BASE[[#This Row],[CANTIDAD
(unid.)]]</f>
        <v>0</v>
      </c>
      <c r="AX315" s="289">
        <f>'💰 Precio de Venta'!K320</f>
        <v>0</v>
      </c>
      <c r="AY315" s="278">
        <f>TABLA_BASE[[#This Row],[GANANCIA
UNIT.(S/.)]]*'🧾 Factura Comercial'!G319</f>
        <v>0</v>
      </c>
      <c r="AZ315" s="277">
        <f>IF(TABLA_BASE[[#This Row],[PRECIO VTA.
c/IGV(S/.)]]=0,0,TABLA_BASE[[#This Row],[GANANCIA
UNIT.(S/.)]]/TABLA_BASE[[#This Row],[PRECIO VTA.
c/IGV(S/.)]])</f>
        <v>0</v>
      </c>
      <c r="BA315" s="277">
        <f>IF(TABLA_BASE[[#This Row],[C/M UNIT.
(S/.)]]=0,0,TABLA_BASE[[#This Row],[GANANCIA
UNIT.(S/.)]]/TABLA_BASE[[#This Row],[C/M UNIT.
(S/.)]])</f>
        <v>0</v>
      </c>
      <c r="BB315" s="274" t="str">
        <f>IF(TABLA_BASE[[#This Row],[MARGEN
%]]&gt;=0.5,"🟢 ALTO",IF(TABLA_BASE[[#This Row],[MARGEN
%]]&gt;=0.3,"🟡 MEDIO","🔴 BAJO"))</f>
        <v>🟡 MEDIO</v>
      </c>
    </row>
    <row r="316" spans="1:54" ht="16.5" hidden="1" thickTop="1" thickBot="1" x14ac:dyDescent="0.3">
      <c r="A316" s="274">
        <f>'🧾 Factura Comercial'!E320</f>
        <v>0</v>
      </c>
      <c r="B316" s="274" t="str">
        <f>'🧾 Factura Comercial'!F320</f>
        <v>Unid.</v>
      </c>
      <c r="C316" s="275">
        <f>'🧾 Factura Comercial'!G320</f>
        <v>0</v>
      </c>
      <c r="D316" s="276">
        <f>'🧾 Factura Comercial'!H320</f>
        <v>0</v>
      </c>
      <c r="E316" s="276">
        <f>'🧾 Factura Comercial'!I320</f>
        <v>0</v>
      </c>
      <c r="F316" s="277">
        <f>IF('🧾 Tributos Aduana'!$F$6=0,0,'🧾 Factura Comercial'!I320/'🧾 Tributos Aduana'!$F$6)</f>
        <v>0</v>
      </c>
      <c r="G316" s="278">
        <f>'🧾 Factura Comercial'!H320*'📋 Datos Generales'!$E$19</f>
        <v>0</v>
      </c>
      <c r="H316" s="278">
        <f>TABLA_BASE[[#This Row],[FOB UNIT.
(S/.)]]*TABLA_BASE[[#This Row],[CANTIDAD
(unid.)]]</f>
        <v>0</v>
      </c>
      <c r="I316" s="280">
        <f>IF('🧾 Tributos Aduana'!$F$6=0,0,'🧾 Tributos Aduana'!$F$17*('🧾 Factura Comercial'!H320/'🧾 Tributos Aduana'!$F$6))</f>
        <v>0</v>
      </c>
      <c r="J316" s="280">
        <f>TABLA_BASE[[#This Row],[ADV UNIT.
(US$)
⚠️COSTO]]*TABLA_BASE[[#This Row],[CANTIDAD
(unid.)]]</f>
        <v>0</v>
      </c>
      <c r="K316" s="279">
        <f>IF('🧾 Tributos Aduana'!$F$6=0,0,'🧾 Tributos Aduana'!$F$18*('🧾 Factura Comercial'!H320/'🧾 Tributos Aduana'!$F$6))</f>
        <v>0</v>
      </c>
      <c r="L316" s="280">
        <f>TABLA_BASE[[#This Row],[IPM UNIT.
(US$)
✅CF]]*TABLA_BASE[[#This Row],[CANTIDAD
(unid.)]]</f>
        <v>0</v>
      </c>
      <c r="M316" s="279">
        <f>IF('🧾 Tributos Aduana'!$F$6=0,0,'🧾 Tributos Aduana'!$F$19*('🧾 Factura Comercial'!H320/'🧾 Tributos Aduana'!$F$6))</f>
        <v>0</v>
      </c>
      <c r="N316" s="280">
        <f>TABLA_BASE[[#This Row],[IGV UNIT.
(US$)
✅CF]]*TABLA_BASE[[#This Row],[CANTIDAD
(unid.)]]</f>
        <v>0</v>
      </c>
      <c r="O316" s="280">
        <f>IF('🧾 Tributos Aduana'!$F$6=0,0,'🧾 Tributos Aduana'!$F$23*('🧾 Factura Comercial'!H320/'🧾 Tributos Aduana'!$F$6))</f>
        <v>0</v>
      </c>
      <c r="P316" s="280">
        <f>TABLA_BASE[[#This Row],[PERCEP.
UNIT.(US$)
✅CF]]*TABLA_BASE[[#This Row],[CANTIDAD
(unid.)]]</f>
        <v>0</v>
      </c>
      <c r="Q316" s="279">
        <f>TABLA_BASE[[#This Row],[ADV UNIT.
(US$)
⚠️COSTO]]+TABLA_BASE[[#This Row],[IPM UNIT.
(US$)
✅CF]]+TABLA_BASE[[#This Row],[IGV UNIT.
(US$)
✅CF]]</f>
        <v>0</v>
      </c>
      <c r="R316" s="280">
        <f>TABLA_BASE[[#This Row],[DEUDA
ADUANERA
UNIT.]]*TABLA_BASE[[#This Row],[CANTIDAD
(unid.)]]</f>
        <v>0</v>
      </c>
      <c r="S316" s="278">
        <f>TABLA_BASE[[#This Row],[DEUDA
ADUANERA
UNIT.]]*'📋 Datos Generales'!$E$19</f>
        <v>0</v>
      </c>
      <c r="T316" s="278">
        <f>TABLA_BASE[[#This Row],[DEUDA
ADUANERA
TOTAL]]*'📋 Datos Generales'!$E$19</f>
        <v>0</v>
      </c>
      <c r="U316" s="281">
        <f>TABLA_BASE[[#This Row],[ADV UNIT.
(US$)
⚠️COSTO]]*'📋 Datos Generales'!$E$19</f>
        <v>0</v>
      </c>
      <c r="V316" s="281">
        <f>TABLA_BASE[[#This Row],[ADV UNIT.
(S/.)]]*TABLA_BASE[[#This Row],[CANTIDAD
(unid.)]]</f>
        <v>0</v>
      </c>
      <c r="W316" s="281">
        <f>TABLA_BASE[[#This Row],[IPM UNIT.
(US$)
✅CF]]*'📋 Datos Generales'!$E$19</f>
        <v>0</v>
      </c>
      <c r="X316" s="281">
        <f>TABLA_BASE[[#This Row],[IPM UNIT.
(S/.)]]*TABLA_BASE[[#This Row],[CANTIDAD
(unid.)]]</f>
        <v>0</v>
      </c>
      <c r="Y316" s="281">
        <f>TABLA_BASE[[#This Row],[IGV UNIT.
(US$)
✅CF]]*'📋 Datos Generales'!$E$19</f>
        <v>0</v>
      </c>
      <c r="Z316" s="281">
        <f>TABLA_BASE[[#This Row],[IGV UNIT.
(S/.)]]*TABLA_BASE[[#This Row],[CANTIDAD
(unid.)]]</f>
        <v>0</v>
      </c>
      <c r="AA316" s="281">
        <f>TABLA_BASE[[#This Row],[PERCEP.
UNIT.(US$)
✅CF]]*'📋 Datos Generales'!$E$19</f>
        <v>0</v>
      </c>
      <c r="AB316" s="281">
        <f>TABLA_BASE[[#This Row],[PERCEP.
UNIT.(S/.)]]*TABLA_BASE[[#This Row],[CANTIDAD
(unid.)]]</f>
        <v>0</v>
      </c>
      <c r="AC316" s="279">
        <f>TABLA_BASE[[#This Row],[ADV UNIT.
(US$)
⚠️COSTO]]+TABLA_BASE[[#This Row],[IPM UNIT.
(US$)
✅CF]]+TABLA_BASE[[#This Row],[IGV UNIT.
(US$)
✅CF]]+TABLA_BASE[[#This Row],[PERCEP.
UNIT.(US$)
✅CF]]</f>
        <v>0</v>
      </c>
      <c r="AD316" s="279">
        <f>TABLA_BASE[[#This Row],[TOTAL PAGO
SUNAT
UNIT.(US$)]]*TABLA_BASE[[#This Row],[CANTIDAD
(unid.)]]</f>
        <v>0</v>
      </c>
      <c r="AE316" s="281">
        <f>TABLA_BASE[[#This Row],[TOTAL PAGO
SUNAT
UNIT.(US$)]]*'📋 Datos Generales'!$E$19</f>
        <v>0</v>
      </c>
      <c r="AF316" s="281">
        <f>TABLA_BASE[[#This Row],[TOTAL TRIB.
UNIT.(S/.)]]*TABLA_BASE[[#This Row],[CANTIDAD
(unid.)]]</f>
        <v>0</v>
      </c>
      <c r="AG316" s="279">
        <f>IF('🧾 Factura Comercial'!G320=0,0,'📦 Gastos Importación'!$E$28*(IF('🧾 Tributos Aduana'!$F$6=0,0,'🧾 Factura Comercial'!I320/'🧾 Tributos Aduana'!$F$6))/'🧾 Factura Comercial'!G320)</f>
        <v>0</v>
      </c>
      <c r="AH316" s="279">
        <f>TABLA_BASE[[#This Row],[GASTOS IMP.
UNIT.(US$)]]*TABLA_BASE[[#This Row],[CANTIDAD
(unid.)]]</f>
        <v>0</v>
      </c>
      <c r="AI316" s="281">
        <f>TABLA_BASE[[#This Row],[GASTOS IMP.
UNIT.(US$)]]*'📋 Datos Generales'!$E$19</f>
        <v>0</v>
      </c>
      <c r="AJ316" s="281">
        <f>TABLA_BASE[[#This Row],[GASTOS IMP.
UNIT.(S/.)]]*TABLA_BASE[[#This Row],[CANTIDAD
(unid.)]]</f>
        <v>0</v>
      </c>
      <c r="AK316" s="280">
        <f>'🧮 Costos x Producto'!J320</f>
        <v>0</v>
      </c>
      <c r="AL316" s="278">
        <f>'🧮 Costos x Producto'!K320</f>
        <v>0</v>
      </c>
      <c r="AM316" s="278">
        <f>TABLA_BASE[[#This Row],[C/M UNIT.
(S/.)]]*TABLA_BASE[[#This Row],[CANTIDAD
(unid.)]]</f>
        <v>0</v>
      </c>
      <c r="AN316" s="279">
        <f>IF('🧾 Factura Comercial'!G320=0,0,'🧾 Tributos Aduana'!$F$17*(IF('🧾 Tributos Aduana'!$F$6=0,0,'🧾 Factura Comercial'!I320/'🧾 Tributos Aduana'!$F$6))/'🧾 Factura Comercial'!G320)</f>
        <v>0</v>
      </c>
      <c r="AO316" s="280">
        <f>IF('🧾 Factura Comercial'!G320=0,0,'🏦 Crédito Fiscal'!$C$16*(IF('🧾 Tributos Aduana'!$F$6=0,0,'🧾 Factura Comercial'!I320/'🧾 Tributos Aduana'!$F$6))/'🧾 Factura Comercial'!G320)</f>
        <v>0</v>
      </c>
      <c r="AP316" s="278">
        <f>TABLA_BASE[[#This Row],[CF UNIT.
✅RECUP.
(US$)]]*'📋 Datos Generales'!$E$19</f>
        <v>0</v>
      </c>
      <c r="AQ316" s="278">
        <f>TABLA_BASE[[#This Row],[CF UNIT.
✅RECUP.(S/.)]]*TABLA_BASE[[#This Row],[CANTIDAD
(unid.)]]</f>
        <v>0</v>
      </c>
      <c r="AR316" s="288">
        <f>'💰 Precio de Venta'!G321</f>
        <v>0.4</v>
      </c>
      <c r="AS316" s="278">
        <f>'💰 Precio de Venta'!H321</f>
        <v>0</v>
      </c>
      <c r="AT316" s="278">
        <f>TABLA_BASE[[#This Row],[VALOR VTA.
UNIT.(S/.)]]*TABLA_BASE[[#This Row],[CANTIDAD
(unid.)]]</f>
        <v>0</v>
      </c>
      <c r="AU316" s="281">
        <f>'💰 Precio de Venta'!I321</f>
        <v>0</v>
      </c>
      <c r="AV316" s="278">
        <f>'💰 Precio de Venta'!J321</f>
        <v>0</v>
      </c>
      <c r="AW316" s="278">
        <f>TABLA_BASE[[#This Row],[GANANCIA
UNIT.(S/.)]]*TABLA_BASE[[#This Row],[CANTIDAD
(unid.)]]</f>
        <v>0</v>
      </c>
      <c r="AX316" s="289">
        <f>'💰 Precio de Venta'!K321</f>
        <v>0</v>
      </c>
      <c r="AY316" s="278">
        <f>TABLA_BASE[[#This Row],[GANANCIA
UNIT.(S/.)]]*'🧾 Factura Comercial'!G320</f>
        <v>0</v>
      </c>
      <c r="AZ316" s="277">
        <f>IF(TABLA_BASE[[#This Row],[PRECIO VTA.
c/IGV(S/.)]]=0,0,TABLA_BASE[[#This Row],[GANANCIA
UNIT.(S/.)]]/TABLA_BASE[[#This Row],[PRECIO VTA.
c/IGV(S/.)]])</f>
        <v>0</v>
      </c>
      <c r="BA316" s="277">
        <f>IF(TABLA_BASE[[#This Row],[C/M UNIT.
(S/.)]]=0,0,TABLA_BASE[[#This Row],[GANANCIA
UNIT.(S/.)]]/TABLA_BASE[[#This Row],[C/M UNIT.
(S/.)]])</f>
        <v>0</v>
      </c>
      <c r="BB316" s="274" t="str">
        <f>IF(TABLA_BASE[[#This Row],[MARGEN
%]]&gt;=0.5,"🟢 ALTO",IF(TABLA_BASE[[#This Row],[MARGEN
%]]&gt;=0.3,"🟡 MEDIO","🔴 BAJO"))</f>
        <v>🟡 MEDIO</v>
      </c>
    </row>
    <row r="317" spans="1:54" ht="16.5" hidden="1" thickTop="1" thickBot="1" x14ac:dyDescent="0.3">
      <c r="A317" s="274">
        <f>'🧾 Factura Comercial'!E321</f>
        <v>0</v>
      </c>
      <c r="B317" s="274" t="str">
        <f>'🧾 Factura Comercial'!F321</f>
        <v>Unid.</v>
      </c>
      <c r="C317" s="275">
        <f>'🧾 Factura Comercial'!G321</f>
        <v>0</v>
      </c>
      <c r="D317" s="276">
        <f>'🧾 Factura Comercial'!H321</f>
        <v>0</v>
      </c>
      <c r="E317" s="276">
        <f>'🧾 Factura Comercial'!I321</f>
        <v>0</v>
      </c>
      <c r="F317" s="277">
        <f>IF('🧾 Tributos Aduana'!$F$6=0,0,'🧾 Factura Comercial'!I321/'🧾 Tributos Aduana'!$F$6)</f>
        <v>0</v>
      </c>
      <c r="G317" s="278">
        <f>'🧾 Factura Comercial'!H321*'📋 Datos Generales'!$E$19</f>
        <v>0</v>
      </c>
      <c r="H317" s="278">
        <f>TABLA_BASE[[#This Row],[FOB UNIT.
(S/.)]]*TABLA_BASE[[#This Row],[CANTIDAD
(unid.)]]</f>
        <v>0</v>
      </c>
      <c r="I317" s="280">
        <f>IF('🧾 Tributos Aduana'!$F$6=0,0,'🧾 Tributos Aduana'!$F$17*('🧾 Factura Comercial'!H321/'🧾 Tributos Aduana'!$F$6))</f>
        <v>0</v>
      </c>
      <c r="J317" s="280">
        <f>TABLA_BASE[[#This Row],[ADV UNIT.
(US$)
⚠️COSTO]]*TABLA_BASE[[#This Row],[CANTIDAD
(unid.)]]</f>
        <v>0</v>
      </c>
      <c r="K317" s="279">
        <f>IF('🧾 Tributos Aduana'!$F$6=0,0,'🧾 Tributos Aduana'!$F$18*('🧾 Factura Comercial'!H321/'🧾 Tributos Aduana'!$F$6))</f>
        <v>0</v>
      </c>
      <c r="L317" s="280">
        <f>TABLA_BASE[[#This Row],[IPM UNIT.
(US$)
✅CF]]*TABLA_BASE[[#This Row],[CANTIDAD
(unid.)]]</f>
        <v>0</v>
      </c>
      <c r="M317" s="279">
        <f>IF('🧾 Tributos Aduana'!$F$6=0,0,'🧾 Tributos Aduana'!$F$19*('🧾 Factura Comercial'!H321/'🧾 Tributos Aduana'!$F$6))</f>
        <v>0</v>
      </c>
      <c r="N317" s="280">
        <f>TABLA_BASE[[#This Row],[IGV UNIT.
(US$)
✅CF]]*TABLA_BASE[[#This Row],[CANTIDAD
(unid.)]]</f>
        <v>0</v>
      </c>
      <c r="O317" s="280">
        <f>IF('🧾 Tributos Aduana'!$F$6=0,0,'🧾 Tributos Aduana'!$F$23*('🧾 Factura Comercial'!H321/'🧾 Tributos Aduana'!$F$6))</f>
        <v>0</v>
      </c>
      <c r="P317" s="280">
        <f>TABLA_BASE[[#This Row],[PERCEP.
UNIT.(US$)
✅CF]]*TABLA_BASE[[#This Row],[CANTIDAD
(unid.)]]</f>
        <v>0</v>
      </c>
      <c r="Q317" s="279">
        <f>TABLA_BASE[[#This Row],[ADV UNIT.
(US$)
⚠️COSTO]]+TABLA_BASE[[#This Row],[IPM UNIT.
(US$)
✅CF]]+TABLA_BASE[[#This Row],[IGV UNIT.
(US$)
✅CF]]</f>
        <v>0</v>
      </c>
      <c r="R317" s="280">
        <f>TABLA_BASE[[#This Row],[DEUDA
ADUANERA
UNIT.]]*TABLA_BASE[[#This Row],[CANTIDAD
(unid.)]]</f>
        <v>0</v>
      </c>
      <c r="S317" s="278">
        <f>TABLA_BASE[[#This Row],[DEUDA
ADUANERA
UNIT.]]*'📋 Datos Generales'!$E$19</f>
        <v>0</v>
      </c>
      <c r="T317" s="278">
        <f>TABLA_BASE[[#This Row],[DEUDA
ADUANERA
TOTAL]]*'📋 Datos Generales'!$E$19</f>
        <v>0</v>
      </c>
      <c r="U317" s="281">
        <f>TABLA_BASE[[#This Row],[ADV UNIT.
(US$)
⚠️COSTO]]*'📋 Datos Generales'!$E$19</f>
        <v>0</v>
      </c>
      <c r="V317" s="281">
        <f>TABLA_BASE[[#This Row],[ADV UNIT.
(S/.)]]*TABLA_BASE[[#This Row],[CANTIDAD
(unid.)]]</f>
        <v>0</v>
      </c>
      <c r="W317" s="281">
        <f>TABLA_BASE[[#This Row],[IPM UNIT.
(US$)
✅CF]]*'📋 Datos Generales'!$E$19</f>
        <v>0</v>
      </c>
      <c r="X317" s="281">
        <f>TABLA_BASE[[#This Row],[IPM UNIT.
(S/.)]]*TABLA_BASE[[#This Row],[CANTIDAD
(unid.)]]</f>
        <v>0</v>
      </c>
      <c r="Y317" s="281">
        <f>TABLA_BASE[[#This Row],[IGV UNIT.
(US$)
✅CF]]*'📋 Datos Generales'!$E$19</f>
        <v>0</v>
      </c>
      <c r="Z317" s="281">
        <f>TABLA_BASE[[#This Row],[IGV UNIT.
(S/.)]]*TABLA_BASE[[#This Row],[CANTIDAD
(unid.)]]</f>
        <v>0</v>
      </c>
      <c r="AA317" s="281">
        <f>TABLA_BASE[[#This Row],[PERCEP.
UNIT.(US$)
✅CF]]*'📋 Datos Generales'!$E$19</f>
        <v>0</v>
      </c>
      <c r="AB317" s="281">
        <f>TABLA_BASE[[#This Row],[PERCEP.
UNIT.(S/.)]]*TABLA_BASE[[#This Row],[CANTIDAD
(unid.)]]</f>
        <v>0</v>
      </c>
      <c r="AC317" s="279">
        <f>TABLA_BASE[[#This Row],[ADV UNIT.
(US$)
⚠️COSTO]]+TABLA_BASE[[#This Row],[IPM UNIT.
(US$)
✅CF]]+TABLA_BASE[[#This Row],[IGV UNIT.
(US$)
✅CF]]+TABLA_BASE[[#This Row],[PERCEP.
UNIT.(US$)
✅CF]]</f>
        <v>0</v>
      </c>
      <c r="AD317" s="279">
        <f>TABLA_BASE[[#This Row],[TOTAL PAGO
SUNAT
UNIT.(US$)]]*TABLA_BASE[[#This Row],[CANTIDAD
(unid.)]]</f>
        <v>0</v>
      </c>
      <c r="AE317" s="281">
        <f>TABLA_BASE[[#This Row],[TOTAL PAGO
SUNAT
UNIT.(US$)]]*'📋 Datos Generales'!$E$19</f>
        <v>0</v>
      </c>
      <c r="AF317" s="281">
        <f>TABLA_BASE[[#This Row],[TOTAL TRIB.
UNIT.(S/.)]]*TABLA_BASE[[#This Row],[CANTIDAD
(unid.)]]</f>
        <v>0</v>
      </c>
      <c r="AG317" s="279">
        <f>IF('🧾 Factura Comercial'!G321=0,0,'📦 Gastos Importación'!$E$28*(IF('🧾 Tributos Aduana'!$F$6=0,0,'🧾 Factura Comercial'!I321/'🧾 Tributos Aduana'!$F$6))/'🧾 Factura Comercial'!G321)</f>
        <v>0</v>
      </c>
      <c r="AH317" s="279">
        <f>TABLA_BASE[[#This Row],[GASTOS IMP.
UNIT.(US$)]]*TABLA_BASE[[#This Row],[CANTIDAD
(unid.)]]</f>
        <v>0</v>
      </c>
      <c r="AI317" s="281">
        <f>TABLA_BASE[[#This Row],[GASTOS IMP.
UNIT.(US$)]]*'📋 Datos Generales'!$E$19</f>
        <v>0</v>
      </c>
      <c r="AJ317" s="281">
        <f>TABLA_BASE[[#This Row],[GASTOS IMP.
UNIT.(S/.)]]*TABLA_BASE[[#This Row],[CANTIDAD
(unid.)]]</f>
        <v>0</v>
      </c>
      <c r="AK317" s="280">
        <f>'🧮 Costos x Producto'!J321</f>
        <v>0</v>
      </c>
      <c r="AL317" s="278">
        <f>'🧮 Costos x Producto'!K321</f>
        <v>0</v>
      </c>
      <c r="AM317" s="278">
        <f>TABLA_BASE[[#This Row],[C/M UNIT.
(S/.)]]*TABLA_BASE[[#This Row],[CANTIDAD
(unid.)]]</f>
        <v>0</v>
      </c>
      <c r="AN317" s="279">
        <f>IF('🧾 Factura Comercial'!G321=0,0,'🧾 Tributos Aduana'!$F$17*(IF('🧾 Tributos Aduana'!$F$6=0,0,'🧾 Factura Comercial'!I321/'🧾 Tributos Aduana'!$F$6))/'🧾 Factura Comercial'!G321)</f>
        <v>0</v>
      </c>
      <c r="AO317" s="280">
        <f>IF('🧾 Factura Comercial'!G321=0,0,'🏦 Crédito Fiscal'!$C$16*(IF('🧾 Tributos Aduana'!$F$6=0,0,'🧾 Factura Comercial'!I321/'🧾 Tributos Aduana'!$F$6))/'🧾 Factura Comercial'!G321)</f>
        <v>0</v>
      </c>
      <c r="AP317" s="278">
        <f>TABLA_BASE[[#This Row],[CF UNIT.
✅RECUP.
(US$)]]*'📋 Datos Generales'!$E$19</f>
        <v>0</v>
      </c>
      <c r="AQ317" s="278">
        <f>TABLA_BASE[[#This Row],[CF UNIT.
✅RECUP.(S/.)]]*TABLA_BASE[[#This Row],[CANTIDAD
(unid.)]]</f>
        <v>0</v>
      </c>
      <c r="AR317" s="288">
        <f>'💰 Precio de Venta'!G322</f>
        <v>0.4</v>
      </c>
      <c r="AS317" s="278">
        <f>'💰 Precio de Venta'!H322</f>
        <v>0</v>
      </c>
      <c r="AT317" s="278">
        <f>TABLA_BASE[[#This Row],[VALOR VTA.
UNIT.(S/.)]]*TABLA_BASE[[#This Row],[CANTIDAD
(unid.)]]</f>
        <v>0</v>
      </c>
      <c r="AU317" s="281">
        <f>'💰 Precio de Venta'!I322</f>
        <v>0</v>
      </c>
      <c r="AV317" s="278">
        <f>'💰 Precio de Venta'!J322</f>
        <v>0</v>
      </c>
      <c r="AW317" s="278">
        <f>TABLA_BASE[[#This Row],[GANANCIA
UNIT.(S/.)]]*TABLA_BASE[[#This Row],[CANTIDAD
(unid.)]]</f>
        <v>0</v>
      </c>
      <c r="AX317" s="289">
        <f>'💰 Precio de Venta'!K322</f>
        <v>0</v>
      </c>
      <c r="AY317" s="278">
        <f>TABLA_BASE[[#This Row],[GANANCIA
UNIT.(S/.)]]*'🧾 Factura Comercial'!G321</f>
        <v>0</v>
      </c>
      <c r="AZ317" s="277">
        <f>IF(TABLA_BASE[[#This Row],[PRECIO VTA.
c/IGV(S/.)]]=0,0,TABLA_BASE[[#This Row],[GANANCIA
UNIT.(S/.)]]/TABLA_BASE[[#This Row],[PRECIO VTA.
c/IGV(S/.)]])</f>
        <v>0</v>
      </c>
      <c r="BA317" s="277">
        <f>IF(TABLA_BASE[[#This Row],[C/M UNIT.
(S/.)]]=0,0,TABLA_BASE[[#This Row],[GANANCIA
UNIT.(S/.)]]/TABLA_BASE[[#This Row],[C/M UNIT.
(S/.)]])</f>
        <v>0</v>
      </c>
      <c r="BB317" s="274" t="str">
        <f>IF(TABLA_BASE[[#This Row],[MARGEN
%]]&gt;=0.5,"🟢 ALTO",IF(TABLA_BASE[[#This Row],[MARGEN
%]]&gt;=0.3,"🟡 MEDIO","🔴 BAJO"))</f>
        <v>🟡 MEDIO</v>
      </c>
    </row>
    <row r="318" spans="1:54" ht="16.5" hidden="1" thickTop="1" thickBot="1" x14ac:dyDescent="0.3">
      <c r="A318" s="274">
        <f>'🧾 Factura Comercial'!E322</f>
        <v>0</v>
      </c>
      <c r="B318" s="274" t="str">
        <f>'🧾 Factura Comercial'!F322</f>
        <v>Unid.</v>
      </c>
      <c r="C318" s="275">
        <f>'🧾 Factura Comercial'!G322</f>
        <v>0</v>
      </c>
      <c r="D318" s="276">
        <f>'🧾 Factura Comercial'!H322</f>
        <v>0</v>
      </c>
      <c r="E318" s="276">
        <f>'🧾 Factura Comercial'!I322</f>
        <v>0</v>
      </c>
      <c r="F318" s="277">
        <f>IF('🧾 Tributos Aduana'!$F$6=0,0,'🧾 Factura Comercial'!I322/'🧾 Tributos Aduana'!$F$6)</f>
        <v>0</v>
      </c>
      <c r="G318" s="278">
        <f>'🧾 Factura Comercial'!H322*'📋 Datos Generales'!$E$19</f>
        <v>0</v>
      </c>
      <c r="H318" s="278">
        <f>TABLA_BASE[[#This Row],[FOB UNIT.
(S/.)]]*TABLA_BASE[[#This Row],[CANTIDAD
(unid.)]]</f>
        <v>0</v>
      </c>
      <c r="I318" s="280">
        <f>IF('🧾 Tributos Aduana'!$F$6=0,0,'🧾 Tributos Aduana'!$F$17*('🧾 Factura Comercial'!H322/'🧾 Tributos Aduana'!$F$6))</f>
        <v>0</v>
      </c>
      <c r="J318" s="280">
        <f>TABLA_BASE[[#This Row],[ADV UNIT.
(US$)
⚠️COSTO]]*TABLA_BASE[[#This Row],[CANTIDAD
(unid.)]]</f>
        <v>0</v>
      </c>
      <c r="K318" s="279">
        <f>IF('🧾 Tributos Aduana'!$F$6=0,0,'🧾 Tributos Aduana'!$F$18*('🧾 Factura Comercial'!H322/'🧾 Tributos Aduana'!$F$6))</f>
        <v>0</v>
      </c>
      <c r="L318" s="280">
        <f>TABLA_BASE[[#This Row],[IPM UNIT.
(US$)
✅CF]]*TABLA_BASE[[#This Row],[CANTIDAD
(unid.)]]</f>
        <v>0</v>
      </c>
      <c r="M318" s="279">
        <f>IF('🧾 Tributos Aduana'!$F$6=0,0,'🧾 Tributos Aduana'!$F$19*('🧾 Factura Comercial'!H322/'🧾 Tributos Aduana'!$F$6))</f>
        <v>0</v>
      </c>
      <c r="N318" s="280">
        <f>TABLA_BASE[[#This Row],[IGV UNIT.
(US$)
✅CF]]*TABLA_BASE[[#This Row],[CANTIDAD
(unid.)]]</f>
        <v>0</v>
      </c>
      <c r="O318" s="280">
        <f>IF('🧾 Tributos Aduana'!$F$6=0,0,'🧾 Tributos Aduana'!$F$23*('🧾 Factura Comercial'!H322/'🧾 Tributos Aduana'!$F$6))</f>
        <v>0</v>
      </c>
      <c r="P318" s="280">
        <f>TABLA_BASE[[#This Row],[PERCEP.
UNIT.(US$)
✅CF]]*TABLA_BASE[[#This Row],[CANTIDAD
(unid.)]]</f>
        <v>0</v>
      </c>
      <c r="Q318" s="279">
        <f>TABLA_BASE[[#This Row],[ADV UNIT.
(US$)
⚠️COSTO]]+TABLA_BASE[[#This Row],[IPM UNIT.
(US$)
✅CF]]+TABLA_BASE[[#This Row],[IGV UNIT.
(US$)
✅CF]]</f>
        <v>0</v>
      </c>
      <c r="R318" s="280">
        <f>TABLA_BASE[[#This Row],[DEUDA
ADUANERA
UNIT.]]*TABLA_BASE[[#This Row],[CANTIDAD
(unid.)]]</f>
        <v>0</v>
      </c>
      <c r="S318" s="278">
        <f>TABLA_BASE[[#This Row],[DEUDA
ADUANERA
UNIT.]]*'📋 Datos Generales'!$E$19</f>
        <v>0</v>
      </c>
      <c r="T318" s="278">
        <f>TABLA_BASE[[#This Row],[DEUDA
ADUANERA
TOTAL]]*'📋 Datos Generales'!$E$19</f>
        <v>0</v>
      </c>
      <c r="U318" s="281">
        <f>TABLA_BASE[[#This Row],[ADV UNIT.
(US$)
⚠️COSTO]]*'📋 Datos Generales'!$E$19</f>
        <v>0</v>
      </c>
      <c r="V318" s="281">
        <f>TABLA_BASE[[#This Row],[ADV UNIT.
(S/.)]]*TABLA_BASE[[#This Row],[CANTIDAD
(unid.)]]</f>
        <v>0</v>
      </c>
      <c r="W318" s="281">
        <f>TABLA_BASE[[#This Row],[IPM UNIT.
(US$)
✅CF]]*'📋 Datos Generales'!$E$19</f>
        <v>0</v>
      </c>
      <c r="X318" s="281">
        <f>TABLA_BASE[[#This Row],[IPM UNIT.
(S/.)]]*TABLA_BASE[[#This Row],[CANTIDAD
(unid.)]]</f>
        <v>0</v>
      </c>
      <c r="Y318" s="281">
        <f>TABLA_BASE[[#This Row],[IGV UNIT.
(US$)
✅CF]]*'📋 Datos Generales'!$E$19</f>
        <v>0</v>
      </c>
      <c r="Z318" s="281">
        <f>TABLA_BASE[[#This Row],[IGV UNIT.
(S/.)]]*TABLA_BASE[[#This Row],[CANTIDAD
(unid.)]]</f>
        <v>0</v>
      </c>
      <c r="AA318" s="281">
        <f>TABLA_BASE[[#This Row],[PERCEP.
UNIT.(US$)
✅CF]]*'📋 Datos Generales'!$E$19</f>
        <v>0</v>
      </c>
      <c r="AB318" s="281">
        <f>TABLA_BASE[[#This Row],[PERCEP.
UNIT.(S/.)]]*TABLA_BASE[[#This Row],[CANTIDAD
(unid.)]]</f>
        <v>0</v>
      </c>
      <c r="AC318" s="279">
        <f>TABLA_BASE[[#This Row],[ADV UNIT.
(US$)
⚠️COSTO]]+TABLA_BASE[[#This Row],[IPM UNIT.
(US$)
✅CF]]+TABLA_BASE[[#This Row],[IGV UNIT.
(US$)
✅CF]]+TABLA_BASE[[#This Row],[PERCEP.
UNIT.(US$)
✅CF]]</f>
        <v>0</v>
      </c>
      <c r="AD318" s="279">
        <f>TABLA_BASE[[#This Row],[TOTAL PAGO
SUNAT
UNIT.(US$)]]*TABLA_BASE[[#This Row],[CANTIDAD
(unid.)]]</f>
        <v>0</v>
      </c>
      <c r="AE318" s="281">
        <f>TABLA_BASE[[#This Row],[TOTAL PAGO
SUNAT
UNIT.(US$)]]*'📋 Datos Generales'!$E$19</f>
        <v>0</v>
      </c>
      <c r="AF318" s="281">
        <f>TABLA_BASE[[#This Row],[TOTAL TRIB.
UNIT.(S/.)]]*TABLA_BASE[[#This Row],[CANTIDAD
(unid.)]]</f>
        <v>0</v>
      </c>
      <c r="AG318" s="279">
        <f>IF('🧾 Factura Comercial'!G322=0,0,'📦 Gastos Importación'!$E$28*(IF('🧾 Tributos Aduana'!$F$6=0,0,'🧾 Factura Comercial'!I322/'🧾 Tributos Aduana'!$F$6))/'🧾 Factura Comercial'!G322)</f>
        <v>0</v>
      </c>
      <c r="AH318" s="279">
        <f>TABLA_BASE[[#This Row],[GASTOS IMP.
UNIT.(US$)]]*TABLA_BASE[[#This Row],[CANTIDAD
(unid.)]]</f>
        <v>0</v>
      </c>
      <c r="AI318" s="281">
        <f>TABLA_BASE[[#This Row],[GASTOS IMP.
UNIT.(US$)]]*'📋 Datos Generales'!$E$19</f>
        <v>0</v>
      </c>
      <c r="AJ318" s="281">
        <f>TABLA_BASE[[#This Row],[GASTOS IMP.
UNIT.(S/.)]]*TABLA_BASE[[#This Row],[CANTIDAD
(unid.)]]</f>
        <v>0</v>
      </c>
      <c r="AK318" s="280">
        <f>'🧮 Costos x Producto'!J322</f>
        <v>0</v>
      </c>
      <c r="AL318" s="278">
        <f>'🧮 Costos x Producto'!K322</f>
        <v>0</v>
      </c>
      <c r="AM318" s="278">
        <f>TABLA_BASE[[#This Row],[C/M UNIT.
(S/.)]]*TABLA_BASE[[#This Row],[CANTIDAD
(unid.)]]</f>
        <v>0</v>
      </c>
      <c r="AN318" s="279">
        <f>IF('🧾 Factura Comercial'!G322=0,0,'🧾 Tributos Aduana'!$F$17*(IF('🧾 Tributos Aduana'!$F$6=0,0,'🧾 Factura Comercial'!I322/'🧾 Tributos Aduana'!$F$6))/'🧾 Factura Comercial'!G322)</f>
        <v>0</v>
      </c>
      <c r="AO318" s="280">
        <f>IF('🧾 Factura Comercial'!G322=0,0,'🏦 Crédito Fiscal'!$C$16*(IF('🧾 Tributos Aduana'!$F$6=0,0,'🧾 Factura Comercial'!I322/'🧾 Tributos Aduana'!$F$6))/'🧾 Factura Comercial'!G322)</f>
        <v>0</v>
      </c>
      <c r="AP318" s="278">
        <f>TABLA_BASE[[#This Row],[CF UNIT.
✅RECUP.
(US$)]]*'📋 Datos Generales'!$E$19</f>
        <v>0</v>
      </c>
      <c r="AQ318" s="278">
        <f>TABLA_BASE[[#This Row],[CF UNIT.
✅RECUP.(S/.)]]*TABLA_BASE[[#This Row],[CANTIDAD
(unid.)]]</f>
        <v>0</v>
      </c>
      <c r="AR318" s="288">
        <f>'💰 Precio de Venta'!G323</f>
        <v>0.4</v>
      </c>
      <c r="AS318" s="278">
        <f>'💰 Precio de Venta'!H323</f>
        <v>0</v>
      </c>
      <c r="AT318" s="278">
        <f>TABLA_BASE[[#This Row],[VALOR VTA.
UNIT.(S/.)]]*TABLA_BASE[[#This Row],[CANTIDAD
(unid.)]]</f>
        <v>0</v>
      </c>
      <c r="AU318" s="281">
        <f>'💰 Precio de Venta'!I323</f>
        <v>0</v>
      </c>
      <c r="AV318" s="278">
        <f>'💰 Precio de Venta'!J323</f>
        <v>0</v>
      </c>
      <c r="AW318" s="278">
        <f>TABLA_BASE[[#This Row],[GANANCIA
UNIT.(S/.)]]*TABLA_BASE[[#This Row],[CANTIDAD
(unid.)]]</f>
        <v>0</v>
      </c>
      <c r="AX318" s="289">
        <f>'💰 Precio de Venta'!K323</f>
        <v>0</v>
      </c>
      <c r="AY318" s="278">
        <f>TABLA_BASE[[#This Row],[GANANCIA
UNIT.(S/.)]]*'🧾 Factura Comercial'!G322</f>
        <v>0</v>
      </c>
      <c r="AZ318" s="277">
        <f>IF(TABLA_BASE[[#This Row],[PRECIO VTA.
c/IGV(S/.)]]=0,0,TABLA_BASE[[#This Row],[GANANCIA
UNIT.(S/.)]]/TABLA_BASE[[#This Row],[PRECIO VTA.
c/IGV(S/.)]])</f>
        <v>0</v>
      </c>
      <c r="BA318" s="277">
        <f>IF(TABLA_BASE[[#This Row],[C/M UNIT.
(S/.)]]=0,0,TABLA_BASE[[#This Row],[GANANCIA
UNIT.(S/.)]]/TABLA_BASE[[#This Row],[C/M UNIT.
(S/.)]])</f>
        <v>0</v>
      </c>
      <c r="BB318" s="274" t="str">
        <f>IF(TABLA_BASE[[#This Row],[MARGEN
%]]&gt;=0.5,"🟢 ALTO",IF(TABLA_BASE[[#This Row],[MARGEN
%]]&gt;=0.3,"🟡 MEDIO","🔴 BAJO"))</f>
        <v>🟡 MEDIO</v>
      </c>
    </row>
    <row r="319" spans="1:54" ht="16.5" hidden="1" thickTop="1" thickBot="1" x14ac:dyDescent="0.3">
      <c r="A319" s="274">
        <f>'🧾 Factura Comercial'!E323</f>
        <v>0</v>
      </c>
      <c r="B319" s="274" t="str">
        <f>'🧾 Factura Comercial'!F323</f>
        <v>Unid.</v>
      </c>
      <c r="C319" s="275">
        <f>'🧾 Factura Comercial'!G323</f>
        <v>0</v>
      </c>
      <c r="D319" s="276">
        <f>'🧾 Factura Comercial'!H323</f>
        <v>0</v>
      </c>
      <c r="E319" s="276">
        <f>'🧾 Factura Comercial'!I323</f>
        <v>0</v>
      </c>
      <c r="F319" s="277">
        <f>IF('🧾 Tributos Aduana'!$F$6=0,0,'🧾 Factura Comercial'!I323/'🧾 Tributos Aduana'!$F$6)</f>
        <v>0</v>
      </c>
      <c r="G319" s="278">
        <f>'🧾 Factura Comercial'!H323*'📋 Datos Generales'!$E$19</f>
        <v>0</v>
      </c>
      <c r="H319" s="278">
        <f>TABLA_BASE[[#This Row],[FOB UNIT.
(S/.)]]*TABLA_BASE[[#This Row],[CANTIDAD
(unid.)]]</f>
        <v>0</v>
      </c>
      <c r="I319" s="280">
        <f>IF('🧾 Tributos Aduana'!$F$6=0,0,'🧾 Tributos Aduana'!$F$17*('🧾 Factura Comercial'!H323/'🧾 Tributos Aduana'!$F$6))</f>
        <v>0</v>
      </c>
      <c r="J319" s="280">
        <f>TABLA_BASE[[#This Row],[ADV UNIT.
(US$)
⚠️COSTO]]*TABLA_BASE[[#This Row],[CANTIDAD
(unid.)]]</f>
        <v>0</v>
      </c>
      <c r="K319" s="279">
        <f>IF('🧾 Tributos Aduana'!$F$6=0,0,'🧾 Tributos Aduana'!$F$18*('🧾 Factura Comercial'!H323/'🧾 Tributos Aduana'!$F$6))</f>
        <v>0</v>
      </c>
      <c r="L319" s="280">
        <f>TABLA_BASE[[#This Row],[IPM UNIT.
(US$)
✅CF]]*TABLA_BASE[[#This Row],[CANTIDAD
(unid.)]]</f>
        <v>0</v>
      </c>
      <c r="M319" s="279">
        <f>IF('🧾 Tributos Aduana'!$F$6=0,0,'🧾 Tributos Aduana'!$F$19*('🧾 Factura Comercial'!H323/'🧾 Tributos Aduana'!$F$6))</f>
        <v>0</v>
      </c>
      <c r="N319" s="280">
        <f>TABLA_BASE[[#This Row],[IGV UNIT.
(US$)
✅CF]]*TABLA_BASE[[#This Row],[CANTIDAD
(unid.)]]</f>
        <v>0</v>
      </c>
      <c r="O319" s="280">
        <f>IF('🧾 Tributos Aduana'!$F$6=0,0,'🧾 Tributos Aduana'!$F$23*('🧾 Factura Comercial'!H323/'🧾 Tributos Aduana'!$F$6))</f>
        <v>0</v>
      </c>
      <c r="P319" s="280">
        <f>TABLA_BASE[[#This Row],[PERCEP.
UNIT.(US$)
✅CF]]*TABLA_BASE[[#This Row],[CANTIDAD
(unid.)]]</f>
        <v>0</v>
      </c>
      <c r="Q319" s="279">
        <f>TABLA_BASE[[#This Row],[ADV UNIT.
(US$)
⚠️COSTO]]+TABLA_BASE[[#This Row],[IPM UNIT.
(US$)
✅CF]]+TABLA_BASE[[#This Row],[IGV UNIT.
(US$)
✅CF]]</f>
        <v>0</v>
      </c>
      <c r="R319" s="280">
        <f>TABLA_BASE[[#This Row],[DEUDA
ADUANERA
UNIT.]]*TABLA_BASE[[#This Row],[CANTIDAD
(unid.)]]</f>
        <v>0</v>
      </c>
      <c r="S319" s="278">
        <f>TABLA_BASE[[#This Row],[DEUDA
ADUANERA
UNIT.]]*'📋 Datos Generales'!$E$19</f>
        <v>0</v>
      </c>
      <c r="T319" s="278">
        <f>TABLA_BASE[[#This Row],[DEUDA
ADUANERA
TOTAL]]*'📋 Datos Generales'!$E$19</f>
        <v>0</v>
      </c>
      <c r="U319" s="281">
        <f>TABLA_BASE[[#This Row],[ADV UNIT.
(US$)
⚠️COSTO]]*'📋 Datos Generales'!$E$19</f>
        <v>0</v>
      </c>
      <c r="V319" s="281">
        <f>TABLA_BASE[[#This Row],[ADV UNIT.
(S/.)]]*TABLA_BASE[[#This Row],[CANTIDAD
(unid.)]]</f>
        <v>0</v>
      </c>
      <c r="W319" s="281">
        <f>TABLA_BASE[[#This Row],[IPM UNIT.
(US$)
✅CF]]*'📋 Datos Generales'!$E$19</f>
        <v>0</v>
      </c>
      <c r="X319" s="281">
        <f>TABLA_BASE[[#This Row],[IPM UNIT.
(S/.)]]*TABLA_BASE[[#This Row],[CANTIDAD
(unid.)]]</f>
        <v>0</v>
      </c>
      <c r="Y319" s="281">
        <f>TABLA_BASE[[#This Row],[IGV UNIT.
(US$)
✅CF]]*'📋 Datos Generales'!$E$19</f>
        <v>0</v>
      </c>
      <c r="Z319" s="281">
        <f>TABLA_BASE[[#This Row],[IGV UNIT.
(S/.)]]*TABLA_BASE[[#This Row],[CANTIDAD
(unid.)]]</f>
        <v>0</v>
      </c>
      <c r="AA319" s="281">
        <f>TABLA_BASE[[#This Row],[PERCEP.
UNIT.(US$)
✅CF]]*'📋 Datos Generales'!$E$19</f>
        <v>0</v>
      </c>
      <c r="AB319" s="281">
        <f>TABLA_BASE[[#This Row],[PERCEP.
UNIT.(S/.)]]*TABLA_BASE[[#This Row],[CANTIDAD
(unid.)]]</f>
        <v>0</v>
      </c>
      <c r="AC319" s="279">
        <f>TABLA_BASE[[#This Row],[ADV UNIT.
(US$)
⚠️COSTO]]+TABLA_BASE[[#This Row],[IPM UNIT.
(US$)
✅CF]]+TABLA_BASE[[#This Row],[IGV UNIT.
(US$)
✅CF]]+TABLA_BASE[[#This Row],[PERCEP.
UNIT.(US$)
✅CF]]</f>
        <v>0</v>
      </c>
      <c r="AD319" s="279">
        <f>TABLA_BASE[[#This Row],[TOTAL PAGO
SUNAT
UNIT.(US$)]]*TABLA_BASE[[#This Row],[CANTIDAD
(unid.)]]</f>
        <v>0</v>
      </c>
      <c r="AE319" s="281">
        <f>TABLA_BASE[[#This Row],[TOTAL PAGO
SUNAT
UNIT.(US$)]]*'📋 Datos Generales'!$E$19</f>
        <v>0</v>
      </c>
      <c r="AF319" s="281">
        <f>TABLA_BASE[[#This Row],[TOTAL TRIB.
UNIT.(S/.)]]*TABLA_BASE[[#This Row],[CANTIDAD
(unid.)]]</f>
        <v>0</v>
      </c>
      <c r="AG319" s="279">
        <f>IF('🧾 Factura Comercial'!G323=0,0,'📦 Gastos Importación'!$E$28*(IF('🧾 Tributos Aduana'!$F$6=0,0,'🧾 Factura Comercial'!I323/'🧾 Tributos Aduana'!$F$6))/'🧾 Factura Comercial'!G323)</f>
        <v>0</v>
      </c>
      <c r="AH319" s="279">
        <f>TABLA_BASE[[#This Row],[GASTOS IMP.
UNIT.(US$)]]*TABLA_BASE[[#This Row],[CANTIDAD
(unid.)]]</f>
        <v>0</v>
      </c>
      <c r="AI319" s="281">
        <f>TABLA_BASE[[#This Row],[GASTOS IMP.
UNIT.(US$)]]*'📋 Datos Generales'!$E$19</f>
        <v>0</v>
      </c>
      <c r="AJ319" s="281">
        <f>TABLA_BASE[[#This Row],[GASTOS IMP.
UNIT.(S/.)]]*TABLA_BASE[[#This Row],[CANTIDAD
(unid.)]]</f>
        <v>0</v>
      </c>
      <c r="AK319" s="280">
        <f>'🧮 Costos x Producto'!J323</f>
        <v>0</v>
      </c>
      <c r="AL319" s="278">
        <f>'🧮 Costos x Producto'!K323</f>
        <v>0</v>
      </c>
      <c r="AM319" s="278">
        <f>TABLA_BASE[[#This Row],[C/M UNIT.
(S/.)]]*TABLA_BASE[[#This Row],[CANTIDAD
(unid.)]]</f>
        <v>0</v>
      </c>
      <c r="AN319" s="279">
        <f>IF('🧾 Factura Comercial'!G323=0,0,'🧾 Tributos Aduana'!$F$17*(IF('🧾 Tributos Aduana'!$F$6=0,0,'🧾 Factura Comercial'!I323/'🧾 Tributos Aduana'!$F$6))/'🧾 Factura Comercial'!G323)</f>
        <v>0</v>
      </c>
      <c r="AO319" s="280">
        <f>IF('🧾 Factura Comercial'!G323=0,0,'🏦 Crédito Fiscal'!$C$16*(IF('🧾 Tributos Aduana'!$F$6=0,0,'🧾 Factura Comercial'!I323/'🧾 Tributos Aduana'!$F$6))/'🧾 Factura Comercial'!G323)</f>
        <v>0</v>
      </c>
      <c r="AP319" s="278">
        <f>TABLA_BASE[[#This Row],[CF UNIT.
✅RECUP.
(US$)]]*'📋 Datos Generales'!$E$19</f>
        <v>0</v>
      </c>
      <c r="AQ319" s="278">
        <f>TABLA_BASE[[#This Row],[CF UNIT.
✅RECUP.(S/.)]]*TABLA_BASE[[#This Row],[CANTIDAD
(unid.)]]</f>
        <v>0</v>
      </c>
      <c r="AR319" s="288">
        <f>'💰 Precio de Venta'!G324</f>
        <v>0.4</v>
      </c>
      <c r="AS319" s="278">
        <f>'💰 Precio de Venta'!H324</f>
        <v>0</v>
      </c>
      <c r="AT319" s="278">
        <f>TABLA_BASE[[#This Row],[VALOR VTA.
UNIT.(S/.)]]*TABLA_BASE[[#This Row],[CANTIDAD
(unid.)]]</f>
        <v>0</v>
      </c>
      <c r="AU319" s="281">
        <f>'💰 Precio de Venta'!I324</f>
        <v>0</v>
      </c>
      <c r="AV319" s="278">
        <f>'💰 Precio de Venta'!J324</f>
        <v>0</v>
      </c>
      <c r="AW319" s="278">
        <f>TABLA_BASE[[#This Row],[GANANCIA
UNIT.(S/.)]]*TABLA_BASE[[#This Row],[CANTIDAD
(unid.)]]</f>
        <v>0</v>
      </c>
      <c r="AX319" s="289">
        <f>'💰 Precio de Venta'!K324</f>
        <v>0</v>
      </c>
      <c r="AY319" s="278">
        <f>TABLA_BASE[[#This Row],[GANANCIA
UNIT.(S/.)]]*'🧾 Factura Comercial'!G323</f>
        <v>0</v>
      </c>
      <c r="AZ319" s="277">
        <f>IF(TABLA_BASE[[#This Row],[PRECIO VTA.
c/IGV(S/.)]]=0,0,TABLA_BASE[[#This Row],[GANANCIA
UNIT.(S/.)]]/TABLA_BASE[[#This Row],[PRECIO VTA.
c/IGV(S/.)]])</f>
        <v>0</v>
      </c>
      <c r="BA319" s="277">
        <f>IF(TABLA_BASE[[#This Row],[C/M UNIT.
(S/.)]]=0,0,TABLA_BASE[[#This Row],[GANANCIA
UNIT.(S/.)]]/TABLA_BASE[[#This Row],[C/M UNIT.
(S/.)]])</f>
        <v>0</v>
      </c>
      <c r="BB319" s="274" t="str">
        <f>IF(TABLA_BASE[[#This Row],[MARGEN
%]]&gt;=0.5,"🟢 ALTO",IF(TABLA_BASE[[#This Row],[MARGEN
%]]&gt;=0.3,"🟡 MEDIO","🔴 BAJO"))</f>
        <v>🟡 MEDIO</v>
      </c>
    </row>
    <row r="320" spans="1:54" ht="16.5" hidden="1" thickTop="1" thickBot="1" x14ac:dyDescent="0.3">
      <c r="A320" s="274">
        <f>'🧾 Factura Comercial'!E324</f>
        <v>0</v>
      </c>
      <c r="B320" s="274" t="str">
        <f>'🧾 Factura Comercial'!F324</f>
        <v>Unid.</v>
      </c>
      <c r="C320" s="275">
        <f>'🧾 Factura Comercial'!G324</f>
        <v>0</v>
      </c>
      <c r="D320" s="276">
        <f>'🧾 Factura Comercial'!H324</f>
        <v>0</v>
      </c>
      <c r="E320" s="276">
        <f>'🧾 Factura Comercial'!I324</f>
        <v>0</v>
      </c>
      <c r="F320" s="277">
        <f>IF('🧾 Tributos Aduana'!$F$6=0,0,'🧾 Factura Comercial'!I324/'🧾 Tributos Aduana'!$F$6)</f>
        <v>0</v>
      </c>
      <c r="G320" s="278">
        <f>'🧾 Factura Comercial'!H324*'📋 Datos Generales'!$E$19</f>
        <v>0</v>
      </c>
      <c r="H320" s="278">
        <f>TABLA_BASE[[#This Row],[FOB UNIT.
(S/.)]]*TABLA_BASE[[#This Row],[CANTIDAD
(unid.)]]</f>
        <v>0</v>
      </c>
      <c r="I320" s="280">
        <f>IF('🧾 Tributos Aduana'!$F$6=0,0,'🧾 Tributos Aduana'!$F$17*('🧾 Factura Comercial'!H324/'🧾 Tributos Aduana'!$F$6))</f>
        <v>0</v>
      </c>
      <c r="J320" s="280">
        <f>TABLA_BASE[[#This Row],[ADV UNIT.
(US$)
⚠️COSTO]]*TABLA_BASE[[#This Row],[CANTIDAD
(unid.)]]</f>
        <v>0</v>
      </c>
      <c r="K320" s="279">
        <f>IF('🧾 Tributos Aduana'!$F$6=0,0,'🧾 Tributos Aduana'!$F$18*('🧾 Factura Comercial'!H324/'🧾 Tributos Aduana'!$F$6))</f>
        <v>0</v>
      </c>
      <c r="L320" s="280">
        <f>TABLA_BASE[[#This Row],[IPM UNIT.
(US$)
✅CF]]*TABLA_BASE[[#This Row],[CANTIDAD
(unid.)]]</f>
        <v>0</v>
      </c>
      <c r="M320" s="279">
        <f>IF('🧾 Tributos Aduana'!$F$6=0,0,'🧾 Tributos Aduana'!$F$19*('🧾 Factura Comercial'!H324/'🧾 Tributos Aduana'!$F$6))</f>
        <v>0</v>
      </c>
      <c r="N320" s="280">
        <f>TABLA_BASE[[#This Row],[IGV UNIT.
(US$)
✅CF]]*TABLA_BASE[[#This Row],[CANTIDAD
(unid.)]]</f>
        <v>0</v>
      </c>
      <c r="O320" s="280">
        <f>IF('🧾 Tributos Aduana'!$F$6=0,0,'🧾 Tributos Aduana'!$F$23*('🧾 Factura Comercial'!H324/'🧾 Tributos Aduana'!$F$6))</f>
        <v>0</v>
      </c>
      <c r="P320" s="280">
        <f>TABLA_BASE[[#This Row],[PERCEP.
UNIT.(US$)
✅CF]]*TABLA_BASE[[#This Row],[CANTIDAD
(unid.)]]</f>
        <v>0</v>
      </c>
      <c r="Q320" s="279">
        <f>TABLA_BASE[[#This Row],[ADV UNIT.
(US$)
⚠️COSTO]]+TABLA_BASE[[#This Row],[IPM UNIT.
(US$)
✅CF]]+TABLA_BASE[[#This Row],[IGV UNIT.
(US$)
✅CF]]</f>
        <v>0</v>
      </c>
      <c r="R320" s="280">
        <f>TABLA_BASE[[#This Row],[DEUDA
ADUANERA
UNIT.]]*TABLA_BASE[[#This Row],[CANTIDAD
(unid.)]]</f>
        <v>0</v>
      </c>
      <c r="S320" s="278">
        <f>TABLA_BASE[[#This Row],[DEUDA
ADUANERA
UNIT.]]*'📋 Datos Generales'!$E$19</f>
        <v>0</v>
      </c>
      <c r="T320" s="278">
        <f>TABLA_BASE[[#This Row],[DEUDA
ADUANERA
TOTAL]]*'📋 Datos Generales'!$E$19</f>
        <v>0</v>
      </c>
      <c r="U320" s="281">
        <f>TABLA_BASE[[#This Row],[ADV UNIT.
(US$)
⚠️COSTO]]*'📋 Datos Generales'!$E$19</f>
        <v>0</v>
      </c>
      <c r="V320" s="281">
        <f>TABLA_BASE[[#This Row],[ADV UNIT.
(S/.)]]*TABLA_BASE[[#This Row],[CANTIDAD
(unid.)]]</f>
        <v>0</v>
      </c>
      <c r="W320" s="281">
        <f>TABLA_BASE[[#This Row],[IPM UNIT.
(US$)
✅CF]]*'📋 Datos Generales'!$E$19</f>
        <v>0</v>
      </c>
      <c r="X320" s="281">
        <f>TABLA_BASE[[#This Row],[IPM UNIT.
(S/.)]]*TABLA_BASE[[#This Row],[CANTIDAD
(unid.)]]</f>
        <v>0</v>
      </c>
      <c r="Y320" s="281">
        <f>TABLA_BASE[[#This Row],[IGV UNIT.
(US$)
✅CF]]*'📋 Datos Generales'!$E$19</f>
        <v>0</v>
      </c>
      <c r="Z320" s="281">
        <f>TABLA_BASE[[#This Row],[IGV UNIT.
(S/.)]]*TABLA_BASE[[#This Row],[CANTIDAD
(unid.)]]</f>
        <v>0</v>
      </c>
      <c r="AA320" s="281">
        <f>TABLA_BASE[[#This Row],[PERCEP.
UNIT.(US$)
✅CF]]*'📋 Datos Generales'!$E$19</f>
        <v>0</v>
      </c>
      <c r="AB320" s="281">
        <f>TABLA_BASE[[#This Row],[PERCEP.
UNIT.(S/.)]]*TABLA_BASE[[#This Row],[CANTIDAD
(unid.)]]</f>
        <v>0</v>
      </c>
      <c r="AC320" s="279">
        <f>TABLA_BASE[[#This Row],[ADV UNIT.
(US$)
⚠️COSTO]]+TABLA_BASE[[#This Row],[IPM UNIT.
(US$)
✅CF]]+TABLA_BASE[[#This Row],[IGV UNIT.
(US$)
✅CF]]+TABLA_BASE[[#This Row],[PERCEP.
UNIT.(US$)
✅CF]]</f>
        <v>0</v>
      </c>
      <c r="AD320" s="279">
        <f>TABLA_BASE[[#This Row],[TOTAL PAGO
SUNAT
UNIT.(US$)]]*TABLA_BASE[[#This Row],[CANTIDAD
(unid.)]]</f>
        <v>0</v>
      </c>
      <c r="AE320" s="281">
        <f>TABLA_BASE[[#This Row],[TOTAL PAGO
SUNAT
UNIT.(US$)]]*'📋 Datos Generales'!$E$19</f>
        <v>0</v>
      </c>
      <c r="AF320" s="281">
        <f>TABLA_BASE[[#This Row],[TOTAL TRIB.
UNIT.(S/.)]]*TABLA_BASE[[#This Row],[CANTIDAD
(unid.)]]</f>
        <v>0</v>
      </c>
      <c r="AG320" s="279">
        <f>IF('🧾 Factura Comercial'!G324=0,0,'📦 Gastos Importación'!$E$28*(IF('🧾 Tributos Aduana'!$F$6=0,0,'🧾 Factura Comercial'!I324/'🧾 Tributos Aduana'!$F$6))/'🧾 Factura Comercial'!G324)</f>
        <v>0</v>
      </c>
      <c r="AH320" s="279">
        <f>TABLA_BASE[[#This Row],[GASTOS IMP.
UNIT.(US$)]]*TABLA_BASE[[#This Row],[CANTIDAD
(unid.)]]</f>
        <v>0</v>
      </c>
      <c r="AI320" s="281">
        <f>TABLA_BASE[[#This Row],[GASTOS IMP.
UNIT.(US$)]]*'📋 Datos Generales'!$E$19</f>
        <v>0</v>
      </c>
      <c r="AJ320" s="281">
        <f>TABLA_BASE[[#This Row],[GASTOS IMP.
UNIT.(S/.)]]*TABLA_BASE[[#This Row],[CANTIDAD
(unid.)]]</f>
        <v>0</v>
      </c>
      <c r="AK320" s="280">
        <f>'🧮 Costos x Producto'!J324</f>
        <v>0</v>
      </c>
      <c r="AL320" s="278">
        <f>'🧮 Costos x Producto'!K324</f>
        <v>0</v>
      </c>
      <c r="AM320" s="278">
        <f>TABLA_BASE[[#This Row],[C/M UNIT.
(S/.)]]*TABLA_BASE[[#This Row],[CANTIDAD
(unid.)]]</f>
        <v>0</v>
      </c>
      <c r="AN320" s="279">
        <f>IF('🧾 Factura Comercial'!G324=0,0,'🧾 Tributos Aduana'!$F$17*(IF('🧾 Tributos Aduana'!$F$6=0,0,'🧾 Factura Comercial'!I324/'🧾 Tributos Aduana'!$F$6))/'🧾 Factura Comercial'!G324)</f>
        <v>0</v>
      </c>
      <c r="AO320" s="280">
        <f>IF('🧾 Factura Comercial'!G324=0,0,'🏦 Crédito Fiscal'!$C$16*(IF('🧾 Tributos Aduana'!$F$6=0,0,'🧾 Factura Comercial'!I324/'🧾 Tributos Aduana'!$F$6))/'🧾 Factura Comercial'!G324)</f>
        <v>0</v>
      </c>
      <c r="AP320" s="278">
        <f>TABLA_BASE[[#This Row],[CF UNIT.
✅RECUP.
(US$)]]*'📋 Datos Generales'!$E$19</f>
        <v>0</v>
      </c>
      <c r="AQ320" s="278">
        <f>TABLA_BASE[[#This Row],[CF UNIT.
✅RECUP.(S/.)]]*TABLA_BASE[[#This Row],[CANTIDAD
(unid.)]]</f>
        <v>0</v>
      </c>
      <c r="AR320" s="288">
        <f>'💰 Precio de Venta'!G325</f>
        <v>0.4</v>
      </c>
      <c r="AS320" s="278">
        <f>'💰 Precio de Venta'!H325</f>
        <v>0</v>
      </c>
      <c r="AT320" s="278">
        <f>TABLA_BASE[[#This Row],[VALOR VTA.
UNIT.(S/.)]]*TABLA_BASE[[#This Row],[CANTIDAD
(unid.)]]</f>
        <v>0</v>
      </c>
      <c r="AU320" s="281">
        <f>'💰 Precio de Venta'!I325</f>
        <v>0</v>
      </c>
      <c r="AV320" s="278">
        <f>'💰 Precio de Venta'!J325</f>
        <v>0</v>
      </c>
      <c r="AW320" s="278">
        <f>TABLA_BASE[[#This Row],[GANANCIA
UNIT.(S/.)]]*TABLA_BASE[[#This Row],[CANTIDAD
(unid.)]]</f>
        <v>0</v>
      </c>
      <c r="AX320" s="289">
        <f>'💰 Precio de Venta'!K325</f>
        <v>0</v>
      </c>
      <c r="AY320" s="278">
        <f>TABLA_BASE[[#This Row],[GANANCIA
UNIT.(S/.)]]*'🧾 Factura Comercial'!G324</f>
        <v>0</v>
      </c>
      <c r="AZ320" s="277">
        <f>IF(TABLA_BASE[[#This Row],[PRECIO VTA.
c/IGV(S/.)]]=0,0,TABLA_BASE[[#This Row],[GANANCIA
UNIT.(S/.)]]/TABLA_BASE[[#This Row],[PRECIO VTA.
c/IGV(S/.)]])</f>
        <v>0</v>
      </c>
      <c r="BA320" s="277">
        <f>IF(TABLA_BASE[[#This Row],[C/M UNIT.
(S/.)]]=0,0,TABLA_BASE[[#This Row],[GANANCIA
UNIT.(S/.)]]/TABLA_BASE[[#This Row],[C/M UNIT.
(S/.)]])</f>
        <v>0</v>
      </c>
      <c r="BB320" s="274" t="str">
        <f>IF(TABLA_BASE[[#This Row],[MARGEN
%]]&gt;=0.5,"🟢 ALTO",IF(TABLA_BASE[[#This Row],[MARGEN
%]]&gt;=0.3,"🟡 MEDIO","🔴 BAJO"))</f>
        <v>🟡 MEDIO</v>
      </c>
    </row>
    <row r="321" spans="1:54" ht="16.5" hidden="1" thickTop="1" thickBot="1" x14ac:dyDescent="0.3">
      <c r="A321" s="274">
        <f>'🧾 Factura Comercial'!E325</f>
        <v>0</v>
      </c>
      <c r="B321" s="274" t="str">
        <f>'🧾 Factura Comercial'!F325</f>
        <v>Unid.</v>
      </c>
      <c r="C321" s="275">
        <f>'🧾 Factura Comercial'!G325</f>
        <v>0</v>
      </c>
      <c r="D321" s="276">
        <f>'🧾 Factura Comercial'!H325</f>
        <v>0</v>
      </c>
      <c r="E321" s="276">
        <f>'🧾 Factura Comercial'!I325</f>
        <v>0</v>
      </c>
      <c r="F321" s="277">
        <f>IF('🧾 Tributos Aduana'!$F$6=0,0,'🧾 Factura Comercial'!I325/'🧾 Tributos Aduana'!$F$6)</f>
        <v>0</v>
      </c>
      <c r="G321" s="278">
        <f>'🧾 Factura Comercial'!H325*'📋 Datos Generales'!$E$19</f>
        <v>0</v>
      </c>
      <c r="H321" s="278">
        <f>TABLA_BASE[[#This Row],[FOB UNIT.
(S/.)]]*TABLA_BASE[[#This Row],[CANTIDAD
(unid.)]]</f>
        <v>0</v>
      </c>
      <c r="I321" s="280">
        <f>IF('🧾 Tributos Aduana'!$F$6=0,0,'🧾 Tributos Aduana'!$F$17*('🧾 Factura Comercial'!H325/'🧾 Tributos Aduana'!$F$6))</f>
        <v>0</v>
      </c>
      <c r="J321" s="280">
        <f>TABLA_BASE[[#This Row],[ADV UNIT.
(US$)
⚠️COSTO]]*TABLA_BASE[[#This Row],[CANTIDAD
(unid.)]]</f>
        <v>0</v>
      </c>
      <c r="K321" s="279">
        <f>IF('🧾 Tributos Aduana'!$F$6=0,0,'🧾 Tributos Aduana'!$F$18*('🧾 Factura Comercial'!H325/'🧾 Tributos Aduana'!$F$6))</f>
        <v>0</v>
      </c>
      <c r="L321" s="280">
        <f>TABLA_BASE[[#This Row],[IPM UNIT.
(US$)
✅CF]]*TABLA_BASE[[#This Row],[CANTIDAD
(unid.)]]</f>
        <v>0</v>
      </c>
      <c r="M321" s="279">
        <f>IF('🧾 Tributos Aduana'!$F$6=0,0,'🧾 Tributos Aduana'!$F$19*('🧾 Factura Comercial'!H325/'🧾 Tributos Aduana'!$F$6))</f>
        <v>0</v>
      </c>
      <c r="N321" s="280">
        <f>TABLA_BASE[[#This Row],[IGV UNIT.
(US$)
✅CF]]*TABLA_BASE[[#This Row],[CANTIDAD
(unid.)]]</f>
        <v>0</v>
      </c>
      <c r="O321" s="280">
        <f>IF('🧾 Tributos Aduana'!$F$6=0,0,'🧾 Tributos Aduana'!$F$23*('🧾 Factura Comercial'!H325/'🧾 Tributos Aduana'!$F$6))</f>
        <v>0</v>
      </c>
      <c r="P321" s="280">
        <f>TABLA_BASE[[#This Row],[PERCEP.
UNIT.(US$)
✅CF]]*TABLA_BASE[[#This Row],[CANTIDAD
(unid.)]]</f>
        <v>0</v>
      </c>
      <c r="Q321" s="279">
        <f>TABLA_BASE[[#This Row],[ADV UNIT.
(US$)
⚠️COSTO]]+TABLA_BASE[[#This Row],[IPM UNIT.
(US$)
✅CF]]+TABLA_BASE[[#This Row],[IGV UNIT.
(US$)
✅CF]]</f>
        <v>0</v>
      </c>
      <c r="R321" s="280">
        <f>TABLA_BASE[[#This Row],[DEUDA
ADUANERA
UNIT.]]*TABLA_BASE[[#This Row],[CANTIDAD
(unid.)]]</f>
        <v>0</v>
      </c>
      <c r="S321" s="278">
        <f>TABLA_BASE[[#This Row],[DEUDA
ADUANERA
UNIT.]]*'📋 Datos Generales'!$E$19</f>
        <v>0</v>
      </c>
      <c r="T321" s="278">
        <f>TABLA_BASE[[#This Row],[DEUDA
ADUANERA
TOTAL]]*'📋 Datos Generales'!$E$19</f>
        <v>0</v>
      </c>
      <c r="U321" s="281">
        <f>TABLA_BASE[[#This Row],[ADV UNIT.
(US$)
⚠️COSTO]]*'📋 Datos Generales'!$E$19</f>
        <v>0</v>
      </c>
      <c r="V321" s="281">
        <f>TABLA_BASE[[#This Row],[ADV UNIT.
(S/.)]]*TABLA_BASE[[#This Row],[CANTIDAD
(unid.)]]</f>
        <v>0</v>
      </c>
      <c r="W321" s="281">
        <f>TABLA_BASE[[#This Row],[IPM UNIT.
(US$)
✅CF]]*'📋 Datos Generales'!$E$19</f>
        <v>0</v>
      </c>
      <c r="X321" s="281">
        <f>TABLA_BASE[[#This Row],[IPM UNIT.
(S/.)]]*TABLA_BASE[[#This Row],[CANTIDAD
(unid.)]]</f>
        <v>0</v>
      </c>
      <c r="Y321" s="281">
        <f>TABLA_BASE[[#This Row],[IGV UNIT.
(US$)
✅CF]]*'📋 Datos Generales'!$E$19</f>
        <v>0</v>
      </c>
      <c r="Z321" s="281">
        <f>TABLA_BASE[[#This Row],[IGV UNIT.
(S/.)]]*TABLA_BASE[[#This Row],[CANTIDAD
(unid.)]]</f>
        <v>0</v>
      </c>
      <c r="AA321" s="281">
        <f>TABLA_BASE[[#This Row],[PERCEP.
UNIT.(US$)
✅CF]]*'📋 Datos Generales'!$E$19</f>
        <v>0</v>
      </c>
      <c r="AB321" s="281">
        <f>TABLA_BASE[[#This Row],[PERCEP.
UNIT.(S/.)]]*TABLA_BASE[[#This Row],[CANTIDAD
(unid.)]]</f>
        <v>0</v>
      </c>
      <c r="AC321" s="279">
        <f>TABLA_BASE[[#This Row],[ADV UNIT.
(US$)
⚠️COSTO]]+TABLA_BASE[[#This Row],[IPM UNIT.
(US$)
✅CF]]+TABLA_BASE[[#This Row],[IGV UNIT.
(US$)
✅CF]]+TABLA_BASE[[#This Row],[PERCEP.
UNIT.(US$)
✅CF]]</f>
        <v>0</v>
      </c>
      <c r="AD321" s="279">
        <f>TABLA_BASE[[#This Row],[TOTAL PAGO
SUNAT
UNIT.(US$)]]*TABLA_BASE[[#This Row],[CANTIDAD
(unid.)]]</f>
        <v>0</v>
      </c>
      <c r="AE321" s="281">
        <f>TABLA_BASE[[#This Row],[TOTAL PAGO
SUNAT
UNIT.(US$)]]*'📋 Datos Generales'!$E$19</f>
        <v>0</v>
      </c>
      <c r="AF321" s="281">
        <f>TABLA_BASE[[#This Row],[TOTAL TRIB.
UNIT.(S/.)]]*TABLA_BASE[[#This Row],[CANTIDAD
(unid.)]]</f>
        <v>0</v>
      </c>
      <c r="AG321" s="279">
        <f>IF('🧾 Factura Comercial'!G325=0,0,'📦 Gastos Importación'!$E$28*(IF('🧾 Tributos Aduana'!$F$6=0,0,'🧾 Factura Comercial'!I325/'🧾 Tributos Aduana'!$F$6))/'🧾 Factura Comercial'!G325)</f>
        <v>0</v>
      </c>
      <c r="AH321" s="279">
        <f>TABLA_BASE[[#This Row],[GASTOS IMP.
UNIT.(US$)]]*TABLA_BASE[[#This Row],[CANTIDAD
(unid.)]]</f>
        <v>0</v>
      </c>
      <c r="AI321" s="281">
        <f>TABLA_BASE[[#This Row],[GASTOS IMP.
UNIT.(US$)]]*'📋 Datos Generales'!$E$19</f>
        <v>0</v>
      </c>
      <c r="AJ321" s="281">
        <f>TABLA_BASE[[#This Row],[GASTOS IMP.
UNIT.(S/.)]]*TABLA_BASE[[#This Row],[CANTIDAD
(unid.)]]</f>
        <v>0</v>
      </c>
      <c r="AK321" s="280">
        <f>'🧮 Costos x Producto'!J325</f>
        <v>0</v>
      </c>
      <c r="AL321" s="278">
        <f>'🧮 Costos x Producto'!K325</f>
        <v>0</v>
      </c>
      <c r="AM321" s="278">
        <f>TABLA_BASE[[#This Row],[C/M UNIT.
(S/.)]]*TABLA_BASE[[#This Row],[CANTIDAD
(unid.)]]</f>
        <v>0</v>
      </c>
      <c r="AN321" s="279">
        <f>IF('🧾 Factura Comercial'!G325=0,0,'🧾 Tributos Aduana'!$F$17*(IF('🧾 Tributos Aduana'!$F$6=0,0,'🧾 Factura Comercial'!I325/'🧾 Tributos Aduana'!$F$6))/'🧾 Factura Comercial'!G325)</f>
        <v>0</v>
      </c>
      <c r="AO321" s="280">
        <f>IF('🧾 Factura Comercial'!G325=0,0,'🏦 Crédito Fiscal'!$C$16*(IF('🧾 Tributos Aduana'!$F$6=0,0,'🧾 Factura Comercial'!I325/'🧾 Tributos Aduana'!$F$6))/'🧾 Factura Comercial'!G325)</f>
        <v>0</v>
      </c>
      <c r="AP321" s="278">
        <f>TABLA_BASE[[#This Row],[CF UNIT.
✅RECUP.
(US$)]]*'📋 Datos Generales'!$E$19</f>
        <v>0</v>
      </c>
      <c r="AQ321" s="278">
        <f>TABLA_BASE[[#This Row],[CF UNIT.
✅RECUP.(S/.)]]*TABLA_BASE[[#This Row],[CANTIDAD
(unid.)]]</f>
        <v>0</v>
      </c>
      <c r="AR321" s="288">
        <f>'💰 Precio de Venta'!G326</f>
        <v>0.4</v>
      </c>
      <c r="AS321" s="278">
        <f>'💰 Precio de Venta'!H326</f>
        <v>0</v>
      </c>
      <c r="AT321" s="278">
        <f>TABLA_BASE[[#This Row],[VALOR VTA.
UNIT.(S/.)]]*TABLA_BASE[[#This Row],[CANTIDAD
(unid.)]]</f>
        <v>0</v>
      </c>
      <c r="AU321" s="281">
        <f>'💰 Precio de Venta'!I326</f>
        <v>0</v>
      </c>
      <c r="AV321" s="278">
        <f>'💰 Precio de Venta'!J326</f>
        <v>0</v>
      </c>
      <c r="AW321" s="278">
        <f>TABLA_BASE[[#This Row],[GANANCIA
UNIT.(S/.)]]*TABLA_BASE[[#This Row],[CANTIDAD
(unid.)]]</f>
        <v>0</v>
      </c>
      <c r="AX321" s="289">
        <f>'💰 Precio de Venta'!K326</f>
        <v>0</v>
      </c>
      <c r="AY321" s="278">
        <f>TABLA_BASE[[#This Row],[GANANCIA
UNIT.(S/.)]]*'🧾 Factura Comercial'!G325</f>
        <v>0</v>
      </c>
      <c r="AZ321" s="277">
        <f>IF(TABLA_BASE[[#This Row],[PRECIO VTA.
c/IGV(S/.)]]=0,0,TABLA_BASE[[#This Row],[GANANCIA
UNIT.(S/.)]]/TABLA_BASE[[#This Row],[PRECIO VTA.
c/IGV(S/.)]])</f>
        <v>0</v>
      </c>
      <c r="BA321" s="277">
        <f>IF(TABLA_BASE[[#This Row],[C/M UNIT.
(S/.)]]=0,0,TABLA_BASE[[#This Row],[GANANCIA
UNIT.(S/.)]]/TABLA_BASE[[#This Row],[C/M UNIT.
(S/.)]])</f>
        <v>0</v>
      </c>
      <c r="BB321" s="274" t="str">
        <f>IF(TABLA_BASE[[#This Row],[MARGEN
%]]&gt;=0.5,"🟢 ALTO",IF(TABLA_BASE[[#This Row],[MARGEN
%]]&gt;=0.3,"🟡 MEDIO","🔴 BAJO"))</f>
        <v>🟡 MEDIO</v>
      </c>
    </row>
    <row r="322" spans="1:54" ht="16.5" hidden="1" thickTop="1" thickBot="1" x14ac:dyDescent="0.3">
      <c r="A322" s="274">
        <f>'🧾 Factura Comercial'!E326</f>
        <v>0</v>
      </c>
      <c r="B322" s="274" t="str">
        <f>'🧾 Factura Comercial'!F326</f>
        <v>Unid.</v>
      </c>
      <c r="C322" s="275">
        <f>'🧾 Factura Comercial'!G326</f>
        <v>0</v>
      </c>
      <c r="D322" s="276">
        <f>'🧾 Factura Comercial'!H326</f>
        <v>0</v>
      </c>
      <c r="E322" s="276">
        <f>'🧾 Factura Comercial'!I326</f>
        <v>0</v>
      </c>
      <c r="F322" s="277">
        <f>IF('🧾 Tributos Aduana'!$F$6=0,0,'🧾 Factura Comercial'!I326/'🧾 Tributos Aduana'!$F$6)</f>
        <v>0</v>
      </c>
      <c r="G322" s="278">
        <f>'🧾 Factura Comercial'!H326*'📋 Datos Generales'!$E$19</f>
        <v>0</v>
      </c>
      <c r="H322" s="278">
        <f>TABLA_BASE[[#This Row],[FOB UNIT.
(S/.)]]*TABLA_BASE[[#This Row],[CANTIDAD
(unid.)]]</f>
        <v>0</v>
      </c>
      <c r="I322" s="280">
        <f>IF('🧾 Tributos Aduana'!$F$6=0,0,'🧾 Tributos Aduana'!$F$17*('🧾 Factura Comercial'!H326/'🧾 Tributos Aduana'!$F$6))</f>
        <v>0</v>
      </c>
      <c r="J322" s="280">
        <f>TABLA_BASE[[#This Row],[ADV UNIT.
(US$)
⚠️COSTO]]*TABLA_BASE[[#This Row],[CANTIDAD
(unid.)]]</f>
        <v>0</v>
      </c>
      <c r="K322" s="279">
        <f>IF('🧾 Tributos Aduana'!$F$6=0,0,'🧾 Tributos Aduana'!$F$18*('🧾 Factura Comercial'!H326/'🧾 Tributos Aduana'!$F$6))</f>
        <v>0</v>
      </c>
      <c r="L322" s="280">
        <f>TABLA_BASE[[#This Row],[IPM UNIT.
(US$)
✅CF]]*TABLA_BASE[[#This Row],[CANTIDAD
(unid.)]]</f>
        <v>0</v>
      </c>
      <c r="M322" s="279">
        <f>IF('🧾 Tributos Aduana'!$F$6=0,0,'🧾 Tributos Aduana'!$F$19*('🧾 Factura Comercial'!H326/'🧾 Tributos Aduana'!$F$6))</f>
        <v>0</v>
      </c>
      <c r="N322" s="280">
        <f>TABLA_BASE[[#This Row],[IGV UNIT.
(US$)
✅CF]]*TABLA_BASE[[#This Row],[CANTIDAD
(unid.)]]</f>
        <v>0</v>
      </c>
      <c r="O322" s="280">
        <f>IF('🧾 Tributos Aduana'!$F$6=0,0,'🧾 Tributos Aduana'!$F$23*('🧾 Factura Comercial'!H326/'🧾 Tributos Aduana'!$F$6))</f>
        <v>0</v>
      </c>
      <c r="P322" s="280">
        <f>TABLA_BASE[[#This Row],[PERCEP.
UNIT.(US$)
✅CF]]*TABLA_BASE[[#This Row],[CANTIDAD
(unid.)]]</f>
        <v>0</v>
      </c>
      <c r="Q322" s="279">
        <f>TABLA_BASE[[#This Row],[ADV UNIT.
(US$)
⚠️COSTO]]+TABLA_BASE[[#This Row],[IPM UNIT.
(US$)
✅CF]]+TABLA_BASE[[#This Row],[IGV UNIT.
(US$)
✅CF]]</f>
        <v>0</v>
      </c>
      <c r="R322" s="280">
        <f>TABLA_BASE[[#This Row],[DEUDA
ADUANERA
UNIT.]]*TABLA_BASE[[#This Row],[CANTIDAD
(unid.)]]</f>
        <v>0</v>
      </c>
      <c r="S322" s="278">
        <f>TABLA_BASE[[#This Row],[DEUDA
ADUANERA
UNIT.]]*'📋 Datos Generales'!$E$19</f>
        <v>0</v>
      </c>
      <c r="T322" s="278">
        <f>TABLA_BASE[[#This Row],[DEUDA
ADUANERA
TOTAL]]*'📋 Datos Generales'!$E$19</f>
        <v>0</v>
      </c>
      <c r="U322" s="281">
        <f>TABLA_BASE[[#This Row],[ADV UNIT.
(US$)
⚠️COSTO]]*'📋 Datos Generales'!$E$19</f>
        <v>0</v>
      </c>
      <c r="V322" s="281">
        <f>TABLA_BASE[[#This Row],[ADV UNIT.
(S/.)]]*TABLA_BASE[[#This Row],[CANTIDAD
(unid.)]]</f>
        <v>0</v>
      </c>
      <c r="W322" s="281">
        <f>TABLA_BASE[[#This Row],[IPM UNIT.
(US$)
✅CF]]*'📋 Datos Generales'!$E$19</f>
        <v>0</v>
      </c>
      <c r="X322" s="281">
        <f>TABLA_BASE[[#This Row],[IPM UNIT.
(S/.)]]*TABLA_BASE[[#This Row],[CANTIDAD
(unid.)]]</f>
        <v>0</v>
      </c>
      <c r="Y322" s="281">
        <f>TABLA_BASE[[#This Row],[IGV UNIT.
(US$)
✅CF]]*'📋 Datos Generales'!$E$19</f>
        <v>0</v>
      </c>
      <c r="Z322" s="281">
        <f>TABLA_BASE[[#This Row],[IGV UNIT.
(S/.)]]*TABLA_BASE[[#This Row],[CANTIDAD
(unid.)]]</f>
        <v>0</v>
      </c>
      <c r="AA322" s="281">
        <f>TABLA_BASE[[#This Row],[PERCEP.
UNIT.(US$)
✅CF]]*'📋 Datos Generales'!$E$19</f>
        <v>0</v>
      </c>
      <c r="AB322" s="281">
        <f>TABLA_BASE[[#This Row],[PERCEP.
UNIT.(S/.)]]*TABLA_BASE[[#This Row],[CANTIDAD
(unid.)]]</f>
        <v>0</v>
      </c>
      <c r="AC322" s="279">
        <f>TABLA_BASE[[#This Row],[ADV UNIT.
(US$)
⚠️COSTO]]+TABLA_BASE[[#This Row],[IPM UNIT.
(US$)
✅CF]]+TABLA_BASE[[#This Row],[IGV UNIT.
(US$)
✅CF]]+TABLA_BASE[[#This Row],[PERCEP.
UNIT.(US$)
✅CF]]</f>
        <v>0</v>
      </c>
      <c r="AD322" s="279">
        <f>TABLA_BASE[[#This Row],[TOTAL PAGO
SUNAT
UNIT.(US$)]]*TABLA_BASE[[#This Row],[CANTIDAD
(unid.)]]</f>
        <v>0</v>
      </c>
      <c r="AE322" s="281">
        <f>TABLA_BASE[[#This Row],[TOTAL PAGO
SUNAT
UNIT.(US$)]]*'📋 Datos Generales'!$E$19</f>
        <v>0</v>
      </c>
      <c r="AF322" s="281">
        <f>TABLA_BASE[[#This Row],[TOTAL TRIB.
UNIT.(S/.)]]*TABLA_BASE[[#This Row],[CANTIDAD
(unid.)]]</f>
        <v>0</v>
      </c>
      <c r="AG322" s="279">
        <f>IF('🧾 Factura Comercial'!G326=0,0,'📦 Gastos Importación'!$E$28*(IF('🧾 Tributos Aduana'!$F$6=0,0,'🧾 Factura Comercial'!I326/'🧾 Tributos Aduana'!$F$6))/'🧾 Factura Comercial'!G326)</f>
        <v>0</v>
      </c>
      <c r="AH322" s="279">
        <f>TABLA_BASE[[#This Row],[GASTOS IMP.
UNIT.(US$)]]*TABLA_BASE[[#This Row],[CANTIDAD
(unid.)]]</f>
        <v>0</v>
      </c>
      <c r="AI322" s="281">
        <f>TABLA_BASE[[#This Row],[GASTOS IMP.
UNIT.(US$)]]*'📋 Datos Generales'!$E$19</f>
        <v>0</v>
      </c>
      <c r="AJ322" s="281">
        <f>TABLA_BASE[[#This Row],[GASTOS IMP.
UNIT.(S/.)]]*TABLA_BASE[[#This Row],[CANTIDAD
(unid.)]]</f>
        <v>0</v>
      </c>
      <c r="AK322" s="280">
        <f>'🧮 Costos x Producto'!J326</f>
        <v>0</v>
      </c>
      <c r="AL322" s="278">
        <f>'🧮 Costos x Producto'!K326</f>
        <v>0</v>
      </c>
      <c r="AM322" s="278">
        <f>TABLA_BASE[[#This Row],[C/M UNIT.
(S/.)]]*TABLA_BASE[[#This Row],[CANTIDAD
(unid.)]]</f>
        <v>0</v>
      </c>
      <c r="AN322" s="279">
        <f>IF('🧾 Factura Comercial'!G326=0,0,'🧾 Tributos Aduana'!$F$17*(IF('🧾 Tributos Aduana'!$F$6=0,0,'🧾 Factura Comercial'!I326/'🧾 Tributos Aduana'!$F$6))/'🧾 Factura Comercial'!G326)</f>
        <v>0</v>
      </c>
      <c r="AO322" s="280">
        <f>IF('🧾 Factura Comercial'!G326=0,0,'🏦 Crédito Fiscal'!$C$16*(IF('🧾 Tributos Aduana'!$F$6=0,0,'🧾 Factura Comercial'!I326/'🧾 Tributos Aduana'!$F$6))/'🧾 Factura Comercial'!G326)</f>
        <v>0</v>
      </c>
      <c r="AP322" s="278">
        <f>TABLA_BASE[[#This Row],[CF UNIT.
✅RECUP.
(US$)]]*'📋 Datos Generales'!$E$19</f>
        <v>0</v>
      </c>
      <c r="AQ322" s="278">
        <f>TABLA_BASE[[#This Row],[CF UNIT.
✅RECUP.(S/.)]]*TABLA_BASE[[#This Row],[CANTIDAD
(unid.)]]</f>
        <v>0</v>
      </c>
      <c r="AR322" s="288">
        <f>'💰 Precio de Venta'!G327</f>
        <v>0.4</v>
      </c>
      <c r="AS322" s="278">
        <f>'💰 Precio de Venta'!H327</f>
        <v>0</v>
      </c>
      <c r="AT322" s="278">
        <f>TABLA_BASE[[#This Row],[VALOR VTA.
UNIT.(S/.)]]*TABLA_BASE[[#This Row],[CANTIDAD
(unid.)]]</f>
        <v>0</v>
      </c>
      <c r="AU322" s="281">
        <f>'💰 Precio de Venta'!I327</f>
        <v>0</v>
      </c>
      <c r="AV322" s="278">
        <f>'💰 Precio de Venta'!J327</f>
        <v>0</v>
      </c>
      <c r="AW322" s="278">
        <f>TABLA_BASE[[#This Row],[GANANCIA
UNIT.(S/.)]]*TABLA_BASE[[#This Row],[CANTIDAD
(unid.)]]</f>
        <v>0</v>
      </c>
      <c r="AX322" s="289">
        <f>'💰 Precio de Venta'!K327</f>
        <v>0</v>
      </c>
      <c r="AY322" s="278">
        <f>TABLA_BASE[[#This Row],[GANANCIA
UNIT.(S/.)]]*'🧾 Factura Comercial'!G326</f>
        <v>0</v>
      </c>
      <c r="AZ322" s="277">
        <f>IF(TABLA_BASE[[#This Row],[PRECIO VTA.
c/IGV(S/.)]]=0,0,TABLA_BASE[[#This Row],[GANANCIA
UNIT.(S/.)]]/TABLA_BASE[[#This Row],[PRECIO VTA.
c/IGV(S/.)]])</f>
        <v>0</v>
      </c>
      <c r="BA322" s="277">
        <f>IF(TABLA_BASE[[#This Row],[C/M UNIT.
(S/.)]]=0,0,TABLA_BASE[[#This Row],[GANANCIA
UNIT.(S/.)]]/TABLA_BASE[[#This Row],[C/M UNIT.
(S/.)]])</f>
        <v>0</v>
      </c>
      <c r="BB322" s="274" t="str">
        <f>IF(TABLA_BASE[[#This Row],[MARGEN
%]]&gt;=0.5,"🟢 ALTO",IF(TABLA_BASE[[#This Row],[MARGEN
%]]&gt;=0.3,"🟡 MEDIO","🔴 BAJO"))</f>
        <v>🟡 MEDIO</v>
      </c>
    </row>
    <row r="323" spans="1:54" ht="16.5" hidden="1" thickTop="1" thickBot="1" x14ac:dyDescent="0.3">
      <c r="A323" s="274">
        <f>'🧾 Factura Comercial'!E327</f>
        <v>0</v>
      </c>
      <c r="B323" s="274" t="str">
        <f>'🧾 Factura Comercial'!F327</f>
        <v>Unid.</v>
      </c>
      <c r="C323" s="275">
        <f>'🧾 Factura Comercial'!G327</f>
        <v>0</v>
      </c>
      <c r="D323" s="276">
        <f>'🧾 Factura Comercial'!H327</f>
        <v>0</v>
      </c>
      <c r="E323" s="276">
        <f>'🧾 Factura Comercial'!I327</f>
        <v>0</v>
      </c>
      <c r="F323" s="277">
        <f>IF('🧾 Tributos Aduana'!$F$6=0,0,'🧾 Factura Comercial'!I327/'🧾 Tributos Aduana'!$F$6)</f>
        <v>0</v>
      </c>
      <c r="G323" s="278">
        <f>'🧾 Factura Comercial'!H327*'📋 Datos Generales'!$E$19</f>
        <v>0</v>
      </c>
      <c r="H323" s="278">
        <f>TABLA_BASE[[#This Row],[FOB UNIT.
(S/.)]]*TABLA_BASE[[#This Row],[CANTIDAD
(unid.)]]</f>
        <v>0</v>
      </c>
      <c r="I323" s="280">
        <f>IF('🧾 Tributos Aduana'!$F$6=0,0,'🧾 Tributos Aduana'!$F$17*('🧾 Factura Comercial'!H327/'🧾 Tributos Aduana'!$F$6))</f>
        <v>0</v>
      </c>
      <c r="J323" s="280">
        <f>TABLA_BASE[[#This Row],[ADV UNIT.
(US$)
⚠️COSTO]]*TABLA_BASE[[#This Row],[CANTIDAD
(unid.)]]</f>
        <v>0</v>
      </c>
      <c r="K323" s="279">
        <f>IF('🧾 Tributos Aduana'!$F$6=0,0,'🧾 Tributos Aduana'!$F$18*('🧾 Factura Comercial'!H327/'🧾 Tributos Aduana'!$F$6))</f>
        <v>0</v>
      </c>
      <c r="L323" s="280">
        <f>TABLA_BASE[[#This Row],[IPM UNIT.
(US$)
✅CF]]*TABLA_BASE[[#This Row],[CANTIDAD
(unid.)]]</f>
        <v>0</v>
      </c>
      <c r="M323" s="279">
        <f>IF('🧾 Tributos Aduana'!$F$6=0,0,'🧾 Tributos Aduana'!$F$19*('🧾 Factura Comercial'!H327/'🧾 Tributos Aduana'!$F$6))</f>
        <v>0</v>
      </c>
      <c r="N323" s="280">
        <f>TABLA_BASE[[#This Row],[IGV UNIT.
(US$)
✅CF]]*TABLA_BASE[[#This Row],[CANTIDAD
(unid.)]]</f>
        <v>0</v>
      </c>
      <c r="O323" s="280">
        <f>IF('🧾 Tributos Aduana'!$F$6=0,0,'🧾 Tributos Aduana'!$F$23*('🧾 Factura Comercial'!H327/'🧾 Tributos Aduana'!$F$6))</f>
        <v>0</v>
      </c>
      <c r="P323" s="280">
        <f>TABLA_BASE[[#This Row],[PERCEP.
UNIT.(US$)
✅CF]]*TABLA_BASE[[#This Row],[CANTIDAD
(unid.)]]</f>
        <v>0</v>
      </c>
      <c r="Q323" s="279">
        <f>TABLA_BASE[[#This Row],[ADV UNIT.
(US$)
⚠️COSTO]]+TABLA_BASE[[#This Row],[IPM UNIT.
(US$)
✅CF]]+TABLA_BASE[[#This Row],[IGV UNIT.
(US$)
✅CF]]</f>
        <v>0</v>
      </c>
      <c r="R323" s="280">
        <f>TABLA_BASE[[#This Row],[DEUDA
ADUANERA
UNIT.]]*TABLA_BASE[[#This Row],[CANTIDAD
(unid.)]]</f>
        <v>0</v>
      </c>
      <c r="S323" s="278">
        <f>TABLA_BASE[[#This Row],[DEUDA
ADUANERA
UNIT.]]*'📋 Datos Generales'!$E$19</f>
        <v>0</v>
      </c>
      <c r="T323" s="278">
        <f>TABLA_BASE[[#This Row],[DEUDA
ADUANERA
TOTAL]]*'📋 Datos Generales'!$E$19</f>
        <v>0</v>
      </c>
      <c r="U323" s="281">
        <f>TABLA_BASE[[#This Row],[ADV UNIT.
(US$)
⚠️COSTO]]*'📋 Datos Generales'!$E$19</f>
        <v>0</v>
      </c>
      <c r="V323" s="281">
        <f>TABLA_BASE[[#This Row],[ADV UNIT.
(S/.)]]*TABLA_BASE[[#This Row],[CANTIDAD
(unid.)]]</f>
        <v>0</v>
      </c>
      <c r="W323" s="281">
        <f>TABLA_BASE[[#This Row],[IPM UNIT.
(US$)
✅CF]]*'📋 Datos Generales'!$E$19</f>
        <v>0</v>
      </c>
      <c r="X323" s="281">
        <f>TABLA_BASE[[#This Row],[IPM UNIT.
(S/.)]]*TABLA_BASE[[#This Row],[CANTIDAD
(unid.)]]</f>
        <v>0</v>
      </c>
      <c r="Y323" s="281">
        <f>TABLA_BASE[[#This Row],[IGV UNIT.
(US$)
✅CF]]*'📋 Datos Generales'!$E$19</f>
        <v>0</v>
      </c>
      <c r="Z323" s="281">
        <f>TABLA_BASE[[#This Row],[IGV UNIT.
(S/.)]]*TABLA_BASE[[#This Row],[CANTIDAD
(unid.)]]</f>
        <v>0</v>
      </c>
      <c r="AA323" s="281">
        <f>TABLA_BASE[[#This Row],[PERCEP.
UNIT.(US$)
✅CF]]*'📋 Datos Generales'!$E$19</f>
        <v>0</v>
      </c>
      <c r="AB323" s="281">
        <f>TABLA_BASE[[#This Row],[PERCEP.
UNIT.(S/.)]]*TABLA_BASE[[#This Row],[CANTIDAD
(unid.)]]</f>
        <v>0</v>
      </c>
      <c r="AC323" s="279">
        <f>TABLA_BASE[[#This Row],[ADV UNIT.
(US$)
⚠️COSTO]]+TABLA_BASE[[#This Row],[IPM UNIT.
(US$)
✅CF]]+TABLA_BASE[[#This Row],[IGV UNIT.
(US$)
✅CF]]+TABLA_BASE[[#This Row],[PERCEP.
UNIT.(US$)
✅CF]]</f>
        <v>0</v>
      </c>
      <c r="AD323" s="279">
        <f>TABLA_BASE[[#This Row],[TOTAL PAGO
SUNAT
UNIT.(US$)]]*TABLA_BASE[[#This Row],[CANTIDAD
(unid.)]]</f>
        <v>0</v>
      </c>
      <c r="AE323" s="281">
        <f>TABLA_BASE[[#This Row],[TOTAL PAGO
SUNAT
UNIT.(US$)]]*'📋 Datos Generales'!$E$19</f>
        <v>0</v>
      </c>
      <c r="AF323" s="281">
        <f>TABLA_BASE[[#This Row],[TOTAL TRIB.
UNIT.(S/.)]]*TABLA_BASE[[#This Row],[CANTIDAD
(unid.)]]</f>
        <v>0</v>
      </c>
      <c r="AG323" s="279">
        <f>IF('🧾 Factura Comercial'!G327=0,0,'📦 Gastos Importación'!$E$28*(IF('🧾 Tributos Aduana'!$F$6=0,0,'🧾 Factura Comercial'!I327/'🧾 Tributos Aduana'!$F$6))/'🧾 Factura Comercial'!G327)</f>
        <v>0</v>
      </c>
      <c r="AH323" s="279">
        <f>TABLA_BASE[[#This Row],[GASTOS IMP.
UNIT.(US$)]]*TABLA_BASE[[#This Row],[CANTIDAD
(unid.)]]</f>
        <v>0</v>
      </c>
      <c r="AI323" s="281">
        <f>TABLA_BASE[[#This Row],[GASTOS IMP.
UNIT.(US$)]]*'📋 Datos Generales'!$E$19</f>
        <v>0</v>
      </c>
      <c r="AJ323" s="281">
        <f>TABLA_BASE[[#This Row],[GASTOS IMP.
UNIT.(S/.)]]*TABLA_BASE[[#This Row],[CANTIDAD
(unid.)]]</f>
        <v>0</v>
      </c>
      <c r="AK323" s="280">
        <f>'🧮 Costos x Producto'!J327</f>
        <v>0</v>
      </c>
      <c r="AL323" s="278">
        <f>'🧮 Costos x Producto'!K327</f>
        <v>0</v>
      </c>
      <c r="AM323" s="278">
        <f>TABLA_BASE[[#This Row],[C/M UNIT.
(S/.)]]*TABLA_BASE[[#This Row],[CANTIDAD
(unid.)]]</f>
        <v>0</v>
      </c>
      <c r="AN323" s="279">
        <f>IF('🧾 Factura Comercial'!G327=0,0,'🧾 Tributos Aduana'!$F$17*(IF('🧾 Tributos Aduana'!$F$6=0,0,'🧾 Factura Comercial'!I327/'🧾 Tributos Aduana'!$F$6))/'🧾 Factura Comercial'!G327)</f>
        <v>0</v>
      </c>
      <c r="AO323" s="280">
        <f>IF('🧾 Factura Comercial'!G327=0,0,'🏦 Crédito Fiscal'!$C$16*(IF('🧾 Tributos Aduana'!$F$6=0,0,'🧾 Factura Comercial'!I327/'🧾 Tributos Aduana'!$F$6))/'🧾 Factura Comercial'!G327)</f>
        <v>0</v>
      </c>
      <c r="AP323" s="278">
        <f>TABLA_BASE[[#This Row],[CF UNIT.
✅RECUP.
(US$)]]*'📋 Datos Generales'!$E$19</f>
        <v>0</v>
      </c>
      <c r="AQ323" s="278">
        <f>TABLA_BASE[[#This Row],[CF UNIT.
✅RECUP.(S/.)]]*TABLA_BASE[[#This Row],[CANTIDAD
(unid.)]]</f>
        <v>0</v>
      </c>
      <c r="AR323" s="288">
        <f>'💰 Precio de Venta'!G328</f>
        <v>0.4</v>
      </c>
      <c r="AS323" s="278">
        <f>'💰 Precio de Venta'!H328</f>
        <v>0</v>
      </c>
      <c r="AT323" s="278">
        <f>TABLA_BASE[[#This Row],[VALOR VTA.
UNIT.(S/.)]]*TABLA_BASE[[#This Row],[CANTIDAD
(unid.)]]</f>
        <v>0</v>
      </c>
      <c r="AU323" s="281">
        <f>'💰 Precio de Venta'!I328</f>
        <v>0</v>
      </c>
      <c r="AV323" s="278">
        <f>'💰 Precio de Venta'!J328</f>
        <v>0</v>
      </c>
      <c r="AW323" s="278">
        <f>TABLA_BASE[[#This Row],[GANANCIA
UNIT.(S/.)]]*TABLA_BASE[[#This Row],[CANTIDAD
(unid.)]]</f>
        <v>0</v>
      </c>
      <c r="AX323" s="289">
        <f>'💰 Precio de Venta'!K328</f>
        <v>0</v>
      </c>
      <c r="AY323" s="278">
        <f>TABLA_BASE[[#This Row],[GANANCIA
UNIT.(S/.)]]*'🧾 Factura Comercial'!G327</f>
        <v>0</v>
      </c>
      <c r="AZ323" s="277">
        <f>IF(TABLA_BASE[[#This Row],[PRECIO VTA.
c/IGV(S/.)]]=0,0,TABLA_BASE[[#This Row],[GANANCIA
UNIT.(S/.)]]/TABLA_BASE[[#This Row],[PRECIO VTA.
c/IGV(S/.)]])</f>
        <v>0</v>
      </c>
      <c r="BA323" s="277">
        <f>IF(TABLA_BASE[[#This Row],[C/M UNIT.
(S/.)]]=0,0,TABLA_BASE[[#This Row],[GANANCIA
UNIT.(S/.)]]/TABLA_BASE[[#This Row],[C/M UNIT.
(S/.)]])</f>
        <v>0</v>
      </c>
      <c r="BB323" s="274" t="str">
        <f>IF(TABLA_BASE[[#This Row],[MARGEN
%]]&gt;=0.5,"🟢 ALTO",IF(TABLA_BASE[[#This Row],[MARGEN
%]]&gt;=0.3,"🟡 MEDIO","🔴 BAJO"))</f>
        <v>🟡 MEDIO</v>
      </c>
    </row>
    <row r="324" spans="1:54" ht="16.5" hidden="1" thickTop="1" thickBot="1" x14ac:dyDescent="0.3">
      <c r="A324" s="274">
        <f>'🧾 Factura Comercial'!E328</f>
        <v>0</v>
      </c>
      <c r="B324" s="274" t="str">
        <f>'🧾 Factura Comercial'!F328</f>
        <v>Unid.</v>
      </c>
      <c r="C324" s="275">
        <f>'🧾 Factura Comercial'!G328</f>
        <v>0</v>
      </c>
      <c r="D324" s="276">
        <f>'🧾 Factura Comercial'!H328</f>
        <v>0</v>
      </c>
      <c r="E324" s="276">
        <f>'🧾 Factura Comercial'!I328</f>
        <v>0</v>
      </c>
      <c r="F324" s="277">
        <f>IF('🧾 Tributos Aduana'!$F$6=0,0,'🧾 Factura Comercial'!I328/'🧾 Tributos Aduana'!$F$6)</f>
        <v>0</v>
      </c>
      <c r="G324" s="278">
        <f>'🧾 Factura Comercial'!H328*'📋 Datos Generales'!$E$19</f>
        <v>0</v>
      </c>
      <c r="H324" s="278">
        <f>TABLA_BASE[[#This Row],[FOB UNIT.
(S/.)]]*TABLA_BASE[[#This Row],[CANTIDAD
(unid.)]]</f>
        <v>0</v>
      </c>
      <c r="I324" s="280">
        <f>IF('🧾 Tributos Aduana'!$F$6=0,0,'🧾 Tributos Aduana'!$F$17*('🧾 Factura Comercial'!H328/'🧾 Tributos Aduana'!$F$6))</f>
        <v>0</v>
      </c>
      <c r="J324" s="280">
        <f>TABLA_BASE[[#This Row],[ADV UNIT.
(US$)
⚠️COSTO]]*TABLA_BASE[[#This Row],[CANTIDAD
(unid.)]]</f>
        <v>0</v>
      </c>
      <c r="K324" s="279">
        <f>IF('🧾 Tributos Aduana'!$F$6=0,0,'🧾 Tributos Aduana'!$F$18*('🧾 Factura Comercial'!H328/'🧾 Tributos Aduana'!$F$6))</f>
        <v>0</v>
      </c>
      <c r="L324" s="280">
        <f>TABLA_BASE[[#This Row],[IPM UNIT.
(US$)
✅CF]]*TABLA_BASE[[#This Row],[CANTIDAD
(unid.)]]</f>
        <v>0</v>
      </c>
      <c r="M324" s="279">
        <f>IF('🧾 Tributos Aduana'!$F$6=0,0,'🧾 Tributos Aduana'!$F$19*('🧾 Factura Comercial'!H328/'🧾 Tributos Aduana'!$F$6))</f>
        <v>0</v>
      </c>
      <c r="N324" s="280">
        <f>TABLA_BASE[[#This Row],[IGV UNIT.
(US$)
✅CF]]*TABLA_BASE[[#This Row],[CANTIDAD
(unid.)]]</f>
        <v>0</v>
      </c>
      <c r="O324" s="280">
        <f>IF('🧾 Tributos Aduana'!$F$6=0,0,'🧾 Tributos Aduana'!$F$23*('🧾 Factura Comercial'!H328/'🧾 Tributos Aduana'!$F$6))</f>
        <v>0</v>
      </c>
      <c r="P324" s="280">
        <f>TABLA_BASE[[#This Row],[PERCEP.
UNIT.(US$)
✅CF]]*TABLA_BASE[[#This Row],[CANTIDAD
(unid.)]]</f>
        <v>0</v>
      </c>
      <c r="Q324" s="279">
        <f>TABLA_BASE[[#This Row],[ADV UNIT.
(US$)
⚠️COSTO]]+TABLA_BASE[[#This Row],[IPM UNIT.
(US$)
✅CF]]+TABLA_BASE[[#This Row],[IGV UNIT.
(US$)
✅CF]]</f>
        <v>0</v>
      </c>
      <c r="R324" s="280">
        <f>TABLA_BASE[[#This Row],[DEUDA
ADUANERA
UNIT.]]*TABLA_BASE[[#This Row],[CANTIDAD
(unid.)]]</f>
        <v>0</v>
      </c>
      <c r="S324" s="278">
        <f>TABLA_BASE[[#This Row],[DEUDA
ADUANERA
UNIT.]]*'📋 Datos Generales'!$E$19</f>
        <v>0</v>
      </c>
      <c r="T324" s="278">
        <f>TABLA_BASE[[#This Row],[DEUDA
ADUANERA
TOTAL]]*'📋 Datos Generales'!$E$19</f>
        <v>0</v>
      </c>
      <c r="U324" s="281">
        <f>TABLA_BASE[[#This Row],[ADV UNIT.
(US$)
⚠️COSTO]]*'📋 Datos Generales'!$E$19</f>
        <v>0</v>
      </c>
      <c r="V324" s="281">
        <f>TABLA_BASE[[#This Row],[ADV UNIT.
(S/.)]]*TABLA_BASE[[#This Row],[CANTIDAD
(unid.)]]</f>
        <v>0</v>
      </c>
      <c r="W324" s="281">
        <f>TABLA_BASE[[#This Row],[IPM UNIT.
(US$)
✅CF]]*'📋 Datos Generales'!$E$19</f>
        <v>0</v>
      </c>
      <c r="X324" s="281">
        <f>TABLA_BASE[[#This Row],[IPM UNIT.
(S/.)]]*TABLA_BASE[[#This Row],[CANTIDAD
(unid.)]]</f>
        <v>0</v>
      </c>
      <c r="Y324" s="281">
        <f>TABLA_BASE[[#This Row],[IGV UNIT.
(US$)
✅CF]]*'📋 Datos Generales'!$E$19</f>
        <v>0</v>
      </c>
      <c r="Z324" s="281">
        <f>TABLA_BASE[[#This Row],[IGV UNIT.
(S/.)]]*TABLA_BASE[[#This Row],[CANTIDAD
(unid.)]]</f>
        <v>0</v>
      </c>
      <c r="AA324" s="281">
        <f>TABLA_BASE[[#This Row],[PERCEP.
UNIT.(US$)
✅CF]]*'📋 Datos Generales'!$E$19</f>
        <v>0</v>
      </c>
      <c r="AB324" s="281">
        <f>TABLA_BASE[[#This Row],[PERCEP.
UNIT.(S/.)]]*TABLA_BASE[[#This Row],[CANTIDAD
(unid.)]]</f>
        <v>0</v>
      </c>
      <c r="AC324" s="279">
        <f>TABLA_BASE[[#This Row],[ADV UNIT.
(US$)
⚠️COSTO]]+TABLA_BASE[[#This Row],[IPM UNIT.
(US$)
✅CF]]+TABLA_BASE[[#This Row],[IGV UNIT.
(US$)
✅CF]]+TABLA_BASE[[#This Row],[PERCEP.
UNIT.(US$)
✅CF]]</f>
        <v>0</v>
      </c>
      <c r="AD324" s="279">
        <f>TABLA_BASE[[#This Row],[TOTAL PAGO
SUNAT
UNIT.(US$)]]*TABLA_BASE[[#This Row],[CANTIDAD
(unid.)]]</f>
        <v>0</v>
      </c>
      <c r="AE324" s="281">
        <f>TABLA_BASE[[#This Row],[TOTAL PAGO
SUNAT
UNIT.(US$)]]*'📋 Datos Generales'!$E$19</f>
        <v>0</v>
      </c>
      <c r="AF324" s="281">
        <f>TABLA_BASE[[#This Row],[TOTAL TRIB.
UNIT.(S/.)]]*TABLA_BASE[[#This Row],[CANTIDAD
(unid.)]]</f>
        <v>0</v>
      </c>
      <c r="AG324" s="279">
        <f>IF('🧾 Factura Comercial'!G328=0,0,'📦 Gastos Importación'!$E$28*(IF('🧾 Tributos Aduana'!$F$6=0,0,'🧾 Factura Comercial'!I328/'🧾 Tributos Aduana'!$F$6))/'🧾 Factura Comercial'!G328)</f>
        <v>0</v>
      </c>
      <c r="AH324" s="279">
        <f>TABLA_BASE[[#This Row],[GASTOS IMP.
UNIT.(US$)]]*TABLA_BASE[[#This Row],[CANTIDAD
(unid.)]]</f>
        <v>0</v>
      </c>
      <c r="AI324" s="281">
        <f>TABLA_BASE[[#This Row],[GASTOS IMP.
UNIT.(US$)]]*'📋 Datos Generales'!$E$19</f>
        <v>0</v>
      </c>
      <c r="AJ324" s="281">
        <f>TABLA_BASE[[#This Row],[GASTOS IMP.
UNIT.(S/.)]]*TABLA_BASE[[#This Row],[CANTIDAD
(unid.)]]</f>
        <v>0</v>
      </c>
      <c r="AK324" s="280">
        <f>'🧮 Costos x Producto'!J328</f>
        <v>0</v>
      </c>
      <c r="AL324" s="278">
        <f>'🧮 Costos x Producto'!K328</f>
        <v>0</v>
      </c>
      <c r="AM324" s="278">
        <f>TABLA_BASE[[#This Row],[C/M UNIT.
(S/.)]]*TABLA_BASE[[#This Row],[CANTIDAD
(unid.)]]</f>
        <v>0</v>
      </c>
      <c r="AN324" s="279">
        <f>IF('🧾 Factura Comercial'!G328=0,0,'🧾 Tributos Aduana'!$F$17*(IF('🧾 Tributos Aduana'!$F$6=0,0,'🧾 Factura Comercial'!I328/'🧾 Tributos Aduana'!$F$6))/'🧾 Factura Comercial'!G328)</f>
        <v>0</v>
      </c>
      <c r="AO324" s="280">
        <f>IF('🧾 Factura Comercial'!G328=0,0,'🏦 Crédito Fiscal'!$C$16*(IF('🧾 Tributos Aduana'!$F$6=0,0,'🧾 Factura Comercial'!I328/'🧾 Tributos Aduana'!$F$6))/'🧾 Factura Comercial'!G328)</f>
        <v>0</v>
      </c>
      <c r="AP324" s="278">
        <f>TABLA_BASE[[#This Row],[CF UNIT.
✅RECUP.
(US$)]]*'📋 Datos Generales'!$E$19</f>
        <v>0</v>
      </c>
      <c r="AQ324" s="278">
        <f>TABLA_BASE[[#This Row],[CF UNIT.
✅RECUP.(S/.)]]*TABLA_BASE[[#This Row],[CANTIDAD
(unid.)]]</f>
        <v>0</v>
      </c>
      <c r="AR324" s="288">
        <f>'💰 Precio de Venta'!G329</f>
        <v>0.4</v>
      </c>
      <c r="AS324" s="278">
        <f>'💰 Precio de Venta'!H329</f>
        <v>0</v>
      </c>
      <c r="AT324" s="278">
        <f>TABLA_BASE[[#This Row],[VALOR VTA.
UNIT.(S/.)]]*TABLA_BASE[[#This Row],[CANTIDAD
(unid.)]]</f>
        <v>0</v>
      </c>
      <c r="AU324" s="281">
        <f>'💰 Precio de Venta'!I329</f>
        <v>0</v>
      </c>
      <c r="AV324" s="278">
        <f>'💰 Precio de Venta'!J329</f>
        <v>0</v>
      </c>
      <c r="AW324" s="278">
        <f>TABLA_BASE[[#This Row],[GANANCIA
UNIT.(S/.)]]*TABLA_BASE[[#This Row],[CANTIDAD
(unid.)]]</f>
        <v>0</v>
      </c>
      <c r="AX324" s="289">
        <f>'💰 Precio de Venta'!K329</f>
        <v>0</v>
      </c>
      <c r="AY324" s="278">
        <f>TABLA_BASE[[#This Row],[GANANCIA
UNIT.(S/.)]]*'🧾 Factura Comercial'!G328</f>
        <v>0</v>
      </c>
      <c r="AZ324" s="277">
        <f>IF(TABLA_BASE[[#This Row],[PRECIO VTA.
c/IGV(S/.)]]=0,0,TABLA_BASE[[#This Row],[GANANCIA
UNIT.(S/.)]]/TABLA_BASE[[#This Row],[PRECIO VTA.
c/IGV(S/.)]])</f>
        <v>0</v>
      </c>
      <c r="BA324" s="277">
        <f>IF(TABLA_BASE[[#This Row],[C/M UNIT.
(S/.)]]=0,0,TABLA_BASE[[#This Row],[GANANCIA
UNIT.(S/.)]]/TABLA_BASE[[#This Row],[C/M UNIT.
(S/.)]])</f>
        <v>0</v>
      </c>
      <c r="BB324" s="274" t="str">
        <f>IF(TABLA_BASE[[#This Row],[MARGEN
%]]&gt;=0.5,"🟢 ALTO",IF(TABLA_BASE[[#This Row],[MARGEN
%]]&gt;=0.3,"🟡 MEDIO","🔴 BAJO"))</f>
        <v>🟡 MEDIO</v>
      </c>
    </row>
    <row r="325" spans="1:54" ht="16.5" hidden="1" thickTop="1" thickBot="1" x14ac:dyDescent="0.3">
      <c r="A325" s="274">
        <f>'🧾 Factura Comercial'!E329</f>
        <v>0</v>
      </c>
      <c r="B325" s="274" t="str">
        <f>'🧾 Factura Comercial'!F329</f>
        <v>Unid.</v>
      </c>
      <c r="C325" s="275">
        <f>'🧾 Factura Comercial'!G329</f>
        <v>0</v>
      </c>
      <c r="D325" s="276">
        <f>'🧾 Factura Comercial'!H329</f>
        <v>0</v>
      </c>
      <c r="E325" s="276">
        <f>'🧾 Factura Comercial'!I329</f>
        <v>0</v>
      </c>
      <c r="F325" s="277">
        <f>IF('🧾 Tributos Aduana'!$F$6=0,0,'🧾 Factura Comercial'!I329/'🧾 Tributos Aduana'!$F$6)</f>
        <v>0</v>
      </c>
      <c r="G325" s="278">
        <f>'🧾 Factura Comercial'!H329*'📋 Datos Generales'!$E$19</f>
        <v>0</v>
      </c>
      <c r="H325" s="278">
        <f>TABLA_BASE[[#This Row],[FOB UNIT.
(S/.)]]*TABLA_BASE[[#This Row],[CANTIDAD
(unid.)]]</f>
        <v>0</v>
      </c>
      <c r="I325" s="280">
        <f>IF('🧾 Tributos Aduana'!$F$6=0,0,'🧾 Tributos Aduana'!$F$17*('🧾 Factura Comercial'!H329/'🧾 Tributos Aduana'!$F$6))</f>
        <v>0</v>
      </c>
      <c r="J325" s="280">
        <f>TABLA_BASE[[#This Row],[ADV UNIT.
(US$)
⚠️COSTO]]*TABLA_BASE[[#This Row],[CANTIDAD
(unid.)]]</f>
        <v>0</v>
      </c>
      <c r="K325" s="279">
        <f>IF('🧾 Tributos Aduana'!$F$6=0,0,'🧾 Tributos Aduana'!$F$18*('🧾 Factura Comercial'!H329/'🧾 Tributos Aduana'!$F$6))</f>
        <v>0</v>
      </c>
      <c r="L325" s="280">
        <f>TABLA_BASE[[#This Row],[IPM UNIT.
(US$)
✅CF]]*TABLA_BASE[[#This Row],[CANTIDAD
(unid.)]]</f>
        <v>0</v>
      </c>
      <c r="M325" s="279">
        <f>IF('🧾 Tributos Aduana'!$F$6=0,0,'🧾 Tributos Aduana'!$F$19*('🧾 Factura Comercial'!H329/'🧾 Tributos Aduana'!$F$6))</f>
        <v>0</v>
      </c>
      <c r="N325" s="280">
        <f>TABLA_BASE[[#This Row],[IGV UNIT.
(US$)
✅CF]]*TABLA_BASE[[#This Row],[CANTIDAD
(unid.)]]</f>
        <v>0</v>
      </c>
      <c r="O325" s="280">
        <f>IF('🧾 Tributos Aduana'!$F$6=0,0,'🧾 Tributos Aduana'!$F$23*('🧾 Factura Comercial'!H329/'🧾 Tributos Aduana'!$F$6))</f>
        <v>0</v>
      </c>
      <c r="P325" s="280">
        <f>TABLA_BASE[[#This Row],[PERCEP.
UNIT.(US$)
✅CF]]*TABLA_BASE[[#This Row],[CANTIDAD
(unid.)]]</f>
        <v>0</v>
      </c>
      <c r="Q325" s="279">
        <f>TABLA_BASE[[#This Row],[ADV UNIT.
(US$)
⚠️COSTO]]+TABLA_BASE[[#This Row],[IPM UNIT.
(US$)
✅CF]]+TABLA_BASE[[#This Row],[IGV UNIT.
(US$)
✅CF]]</f>
        <v>0</v>
      </c>
      <c r="R325" s="280">
        <f>TABLA_BASE[[#This Row],[DEUDA
ADUANERA
UNIT.]]*TABLA_BASE[[#This Row],[CANTIDAD
(unid.)]]</f>
        <v>0</v>
      </c>
      <c r="S325" s="278">
        <f>TABLA_BASE[[#This Row],[DEUDA
ADUANERA
UNIT.]]*'📋 Datos Generales'!$E$19</f>
        <v>0</v>
      </c>
      <c r="T325" s="278">
        <f>TABLA_BASE[[#This Row],[DEUDA
ADUANERA
TOTAL]]*'📋 Datos Generales'!$E$19</f>
        <v>0</v>
      </c>
      <c r="U325" s="281">
        <f>TABLA_BASE[[#This Row],[ADV UNIT.
(US$)
⚠️COSTO]]*'📋 Datos Generales'!$E$19</f>
        <v>0</v>
      </c>
      <c r="V325" s="281">
        <f>TABLA_BASE[[#This Row],[ADV UNIT.
(S/.)]]*TABLA_BASE[[#This Row],[CANTIDAD
(unid.)]]</f>
        <v>0</v>
      </c>
      <c r="W325" s="281">
        <f>TABLA_BASE[[#This Row],[IPM UNIT.
(US$)
✅CF]]*'📋 Datos Generales'!$E$19</f>
        <v>0</v>
      </c>
      <c r="X325" s="281">
        <f>TABLA_BASE[[#This Row],[IPM UNIT.
(S/.)]]*TABLA_BASE[[#This Row],[CANTIDAD
(unid.)]]</f>
        <v>0</v>
      </c>
      <c r="Y325" s="281">
        <f>TABLA_BASE[[#This Row],[IGV UNIT.
(US$)
✅CF]]*'📋 Datos Generales'!$E$19</f>
        <v>0</v>
      </c>
      <c r="Z325" s="281">
        <f>TABLA_BASE[[#This Row],[IGV UNIT.
(S/.)]]*TABLA_BASE[[#This Row],[CANTIDAD
(unid.)]]</f>
        <v>0</v>
      </c>
      <c r="AA325" s="281">
        <f>TABLA_BASE[[#This Row],[PERCEP.
UNIT.(US$)
✅CF]]*'📋 Datos Generales'!$E$19</f>
        <v>0</v>
      </c>
      <c r="AB325" s="281">
        <f>TABLA_BASE[[#This Row],[PERCEP.
UNIT.(S/.)]]*TABLA_BASE[[#This Row],[CANTIDAD
(unid.)]]</f>
        <v>0</v>
      </c>
      <c r="AC325" s="279">
        <f>TABLA_BASE[[#This Row],[ADV UNIT.
(US$)
⚠️COSTO]]+TABLA_BASE[[#This Row],[IPM UNIT.
(US$)
✅CF]]+TABLA_BASE[[#This Row],[IGV UNIT.
(US$)
✅CF]]+TABLA_BASE[[#This Row],[PERCEP.
UNIT.(US$)
✅CF]]</f>
        <v>0</v>
      </c>
      <c r="AD325" s="279">
        <f>TABLA_BASE[[#This Row],[TOTAL PAGO
SUNAT
UNIT.(US$)]]*TABLA_BASE[[#This Row],[CANTIDAD
(unid.)]]</f>
        <v>0</v>
      </c>
      <c r="AE325" s="281">
        <f>TABLA_BASE[[#This Row],[TOTAL PAGO
SUNAT
UNIT.(US$)]]*'📋 Datos Generales'!$E$19</f>
        <v>0</v>
      </c>
      <c r="AF325" s="281">
        <f>TABLA_BASE[[#This Row],[TOTAL TRIB.
UNIT.(S/.)]]*TABLA_BASE[[#This Row],[CANTIDAD
(unid.)]]</f>
        <v>0</v>
      </c>
      <c r="AG325" s="279">
        <f>IF('🧾 Factura Comercial'!G329=0,0,'📦 Gastos Importación'!$E$28*(IF('🧾 Tributos Aduana'!$F$6=0,0,'🧾 Factura Comercial'!I329/'🧾 Tributos Aduana'!$F$6))/'🧾 Factura Comercial'!G329)</f>
        <v>0</v>
      </c>
      <c r="AH325" s="279">
        <f>TABLA_BASE[[#This Row],[GASTOS IMP.
UNIT.(US$)]]*TABLA_BASE[[#This Row],[CANTIDAD
(unid.)]]</f>
        <v>0</v>
      </c>
      <c r="AI325" s="281">
        <f>TABLA_BASE[[#This Row],[GASTOS IMP.
UNIT.(US$)]]*'📋 Datos Generales'!$E$19</f>
        <v>0</v>
      </c>
      <c r="AJ325" s="281">
        <f>TABLA_BASE[[#This Row],[GASTOS IMP.
UNIT.(S/.)]]*TABLA_BASE[[#This Row],[CANTIDAD
(unid.)]]</f>
        <v>0</v>
      </c>
      <c r="AK325" s="280">
        <f>'🧮 Costos x Producto'!J329</f>
        <v>0</v>
      </c>
      <c r="AL325" s="278">
        <f>'🧮 Costos x Producto'!K329</f>
        <v>0</v>
      </c>
      <c r="AM325" s="278">
        <f>TABLA_BASE[[#This Row],[C/M UNIT.
(S/.)]]*TABLA_BASE[[#This Row],[CANTIDAD
(unid.)]]</f>
        <v>0</v>
      </c>
      <c r="AN325" s="279">
        <f>IF('🧾 Factura Comercial'!G329=0,0,'🧾 Tributos Aduana'!$F$17*(IF('🧾 Tributos Aduana'!$F$6=0,0,'🧾 Factura Comercial'!I329/'🧾 Tributos Aduana'!$F$6))/'🧾 Factura Comercial'!G329)</f>
        <v>0</v>
      </c>
      <c r="AO325" s="280">
        <f>IF('🧾 Factura Comercial'!G329=0,0,'🏦 Crédito Fiscal'!$C$16*(IF('🧾 Tributos Aduana'!$F$6=0,0,'🧾 Factura Comercial'!I329/'🧾 Tributos Aduana'!$F$6))/'🧾 Factura Comercial'!G329)</f>
        <v>0</v>
      </c>
      <c r="AP325" s="278">
        <f>TABLA_BASE[[#This Row],[CF UNIT.
✅RECUP.
(US$)]]*'📋 Datos Generales'!$E$19</f>
        <v>0</v>
      </c>
      <c r="AQ325" s="278">
        <f>TABLA_BASE[[#This Row],[CF UNIT.
✅RECUP.(S/.)]]*TABLA_BASE[[#This Row],[CANTIDAD
(unid.)]]</f>
        <v>0</v>
      </c>
      <c r="AR325" s="288">
        <f>'💰 Precio de Venta'!G330</f>
        <v>0.4</v>
      </c>
      <c r="AS325" s="278">
        <f>'💰 Precio de Venta'!H330</f>
        <v>0</v>
      </c>
      <c r="AT325" s="278">
        <f>TABLA_BASE[[#This Row],[VALOR VTA.
UNIT.(S/.)]]*TABLA_BASE[[#This Row],[CANTIDAD
(unid.)]]</f>
        <v>0</v>
      </c>
      <c r="AU325" s="281">
        <f>'💰 Precio de Venta'!I330</f>
        <v>0</v>
      </c>
      <c r="AV325" s="278">
        <f>'💰 Precio de Venta'!J330</f>
        <v>0</v>
      </c>
      <c r="AW325" s="278">
        <f>TABLA_BASE[[#This Row],[GANANCIA
UNIT.(S/.)]]*TABLA_BASE[[#This Row],[CANTIDAD
(unid.)]]</f>
        <v>0</v>
      </c>
      <c r="AX325" s="289">
        <f>'💰 Precio de Venta'!K330</f>
        <v>0</v>
      </c>
      <c r="AY325" s="278">
        <f>TABLA_BASE[[#This Row],[GANANCIA
UNIT.(S/.)]]*'🧾 Factura Comercial'!G329</f>
        <v>0</v>
      </c>
      <c r="AZ325" s="277">
        <f>IF(TABLA_BASE[[#This Row],[PRECIO VTA.
c/IGV(S/.)]]=0,0,TABLA_BASE[[#This Row],[GANANCIA
UNIT.(S/.)]]/TABLA_BASE[[#This Row],[PRECIO VTA.
c/IGV(S/.)]])</f>
        <v>0</v>
      </c>
      <c r="BA325" s="277">
        <f>IF(TABLA_BASE[[#This Row],[C/M UNIT.
(S/.)]]=0,0,TABLA_BASE[[#This Row],[GANANCIA
UNIT.(S/.)]]/TABLA_BASE[[#This Row],[C/M UNIT.
(S/.)]])</f>
        <v>0</v>
      </c>
      <c r="BB325" s="274" t="str">
        <f>IF(TABLA_BASE[[#This Row],[MARGEN
%]]&gt;=0.5,"🟢 ALTO",IF(TABLA_BASE[[#This Row],[MARGEN
%]]&gt;=0.3,"🟡 MEDIO","🔴 BAJO"))</f>
        <v>🟡 MEDIO</v>
      </c>
    </row>
    <row r="326" spans="1:54" ht="16.5" hidden="1" thickTop="1" thickBot="1" x14ac:dyDescent="0.3">
      <c r="A326" s="274">
        <f>'🧾 Factura Comercial'!E330</f>
        <v>0</v>
      </c>
      <c r="B326" s="274" t="str">
        <f>'🧾 Factura Comercial'!F330</f>
        <v>Unid.</v>
      </c>
      <c r="C326" s="275">
        <f>'🧾 Factura Comercial'!G330</f>
        <v>0</v>
      </c>
      <c r="D326" s="276">
        <f>'🧾 Factura Comercial'!H330</f>
        <v>0</v>
      </c>
      <c r="E326" s="276">
        <f>'🧾 Factura Comercial'!I330</f>
        <v>0</v>
      </c>
      <c r="F326" s="277">
        <f>IF('🧾 Tributos Aduana'!$F$6=0,0,'🧾 Factura Comercial'!I330/'🧾 Tributos Aduana'!$F$6)</f>
        <v>0</v>
      </c>
      <c r="G326" s="278">
        <f>'🧾 Factura Comercial'!H330*'📋 Datos Generales'!$E$19</f>
        <v>0</v>
      </c>
      <c r="H326" s="278">
        <f>TABLA_BASE[[#This Row],[FOB UNIT.
(S/.)]]*TABLA_BASE[[#This Row],[CANTIDAD
(unid.)]]</f>
        <v>0</v>
      </c>
      <c r="I326" s="280">
        <f>IF('🧾 Tributos Aduana'!$F$6=0,0,'🧾 Tributos Aduana'!$F$17*('🧾 Factura Comercial'!H330/'🧾 Tributos Aduana'!$F$6))</f>
        <v>0</v>
      </c>
      <c r="J326" s="280">
        <f>TABLA_BASE[[#This Row],[ADV UNIT.
(US$)
⚠️COSTO]]*TABLA_BASE[[#This Row],[CANTIDAD
(unid.)]]</f>
        <v>0</v>
      </c>
      <c r="K326" s="279">
        <f>IF('🧾 Tributos Aduana'!$F$6=0,0,'🧾 Tributos Aduana'!$F$18*('🧾 Factura Comercial'!H330/'🧾 Tributos Aduana'!$F$6))</f>
        <v>0</v>
      </c>
      <c r="L326" s="280">
        <f>TABLA_BASE[[#This Row],[IPM UNIT.
(US$)
✅CF]]*TABLA_BASE[[#This Row],[CANTIDAD
(unid.)]]</f>
        <v>0</v>
      </c>
      <c r="M326" s="279">
        <f>IF('🧾 Tributos Aduana'!$F$6=0,0,'🧾 Tributos Aduana'!$F$19*('🧾 Factura Comercial'!H330/'🧾 Tributos Aduana'!$F$6))</f>
        <v>0</v>
      </c>
      <c r="N326" s="280">
        <f>TABLA_BASE[[#This Row],[IGV UNIT.
(US$)
✅CF]]*TABLA_BASE[[#This Row],[CANTIDAD
(unid.)]]</f>
        <v>0</v>
      </c>
      <c r="O326" s="280">
        <f>IF('🧾 Tributos Aduana'!$F$6=0,0,'🧾 Tributos Aduana'!$F$23*('🧾 Factura Comercial'!H330/'🧾 Tributos Aduana'!$F$6))</f>
        <v>0</v>
      </c>
      <c r="P326" s="280">
        <f>TABLA_BASE[[#This Row],[PERCEP.
UNIT.(US$)
✅CF]]*TABLA_BASE[[#This Row],[CANTIDAD
(unid.)]]</f>
        <v>0</v>
      </c>
      <c r="Q326" s="279">
        <f>TABLA_BASE[[#This Row],[ADV UNIT.
(US$)
⚠️COSTO]]+TABLA_BASE[[#This Row],[IPM UNIT.
(US$)
✅CF]]+TABLA_BASE[[#This Row],[IGV UNIT.
(US$)
✅CF]]</f>
        <v>0</v>
      </c>
      <c r="R326" s="280">
        <f>TABLA_BASE[[#This Row],[DEUDA
ADUANERA
UNIT.]]*TABLA_BASE[[#This Row],[CANTIDAD
(unid.)]]</f>
        <v>0</v>
      </c>
      <c r="S326" s="278">
        <f>TABLA_BASE[[#This Row],[DEUDA
ADUANERA
UNIT.]]*'📋 Datos Generales'!$E$19</f>
        <v>0</v>
      </c>
      <c r="T326" s="278">
        <f>TABLA_BASE[[#This Row],[DEUDA
ADUANERA
TOTAL]]*'📋 Datos Generales'!$E$19</f>
        <v>0</v>
      </c>
      <c r="U326" s="281">
        <f>TABLA_BASE[[#This Row],[ADV UNIT.
(US$)
⚠️COSTO]]*'📋 Datos Generales'!$E$19</f>
        <v>0</v>
      </c>
      <c r="V326" s="281">
        <f>TABLA_BASE[[#This Row],[ADV UNIT.
(S/.)]]*TABLA_BASE[[#This Row],[CANTIDAD
(unid.)]]</f>
        <v>0</v>
      </c>
      <c r="W326" s="281">
        <f>TABLA_BASE[[#This Row],[IPM UNIT.
(US$)
✅CF]]*'📋 Datos Generales'!$E$19</f>
        <v>0</v>
      </c>
      <c r="X326" s="281">
        <f>TABLA_BASE[[#This Row],[IPM UNIT.
(S/.)]]*TABLA_BASE[[#This Row],[CANTIDAD
(unid.)]]</f>
        <v>0</v>
      </c>
      <c r="Y326" s="281">
        <f>TABLA_BASE[[#This Row],[IGV UNIT.
(US$)
✅CF]]*'📋 Datos Generales'!$E$19</f>
        <v>0</v>
      </c>
      <c r="Z326" s="281">
        <f>TABLA_BASE[[#This Row],[IGV UNIT.
(S/.)]]*TABLA_BASE[[#This Row],[CANTIDAD
(unid.)]]</f>
        <v>0</v>
      </c>
      <c r="AA326" s="281">
        <f>TABLA_BASE[[#This Row],[PERCEP.
UNIT.(US$)
✅CF]]*'📋 Datos Generales'!$E$19</f>
        <v>0</v>
      </c>
      <c r="AB326" s="281">
        <f>TABLA_BASE[[#This Row],[PERCEP.
UNIT.(S/.)]]*TABLA_BASE[[#This Row],[CANTIDAD
(unid.)]]</f>
        <v>0</v>
      </c>
      <c r="AC326" s="279">
        <f>TABLA_BASE[[#This Row],[ADV UNIT.
(US$)
⚠️COSTO]]+TABLA_BASE[[#This Row],[IPM UNIT.
(US$)
✅CF]]+TABLA_BASE[[#This Row],[IGV UNIT.
(US$)
✅CF]]+TABLA_BASE[[#This Row],[PERCEP.
UNIT.(US$)
✅CF]]</f>
        <v>0</v>
      </c>
      <c r="AD326" s="279">
        <f>TABLA_BASE[[#This Row],[TOTAL PAGO
SUNAT
UNIT.(US$)]]*TABLA_BASE[[#This Row],[CANTIDAD
(unid.)]]</f>
        <v>0</v>
      </c>
      <c r="AE326" s="281">
        <f>TABLA_BASE[[#This Row],[TOTAL PAGO
SUNAT
UNIT.(US$)]]*'📋 Datos Generales'!$E$19</f>
        <v>0</v>
      </c>
      <c r="AF326" s="281">
        <f>TABLA_BASE[[#This Row],[TOTAL TRIB.
UNIT.(S/.)]]*TABLA_BASE[[#This Row],[CANTIDAD
(unid.)]]</f>
        <v>0</v>
      </c>
      <c r="AG326" s="279">
        <f>IF('🧾 Factura Comercial'!G330=0,0,'📦 Gastos Importación'!$E$28*(IF('🧾 Tributos Aduana'!$F$6=0,0,'🧾 Factura Comercial'!I330/'🧾 Tributos Aduana'!$F$6))/'🧾 Factura Comercial'!G330)</f>
        <v>0</v>
      </c>
      <c r="AH326" s="279">
        <f>TABLA_BASE[[#This Row],[GASTOS IMP.
UNIT.(US$)]]*TABLA_BASE[[#This Row],[CANTIDAD
(unid.)]]</f>
        <v>0</v>
      </c>
      <c r="AI326" s="281">
        <f>TABLA_BASE[[#This Row],[GASTOS IMP.
UNIT.(US$)]]*'📋 Datos Generales'!$E$19</f>
        <v>0</v>
      </c>
      <c r="AJ326" s="281">
        <f>TABLA_BASE[[#This Row],[GASTOS IMP.
UNIT.(S/.)]]*TABLA_BASE[[#This Row],[CANTIDAD
(unid.)]]</f>
        <v>0</v>
      </c>
      <c r="AK326" s="280">
        <f>'🧮 Costos x Producto'!J330</f>
        <v>0</v>
      </c>
      <c r="AL326" s="278">
        <f>'🧮 Costos x Producto'!K330</f>
        <v>0</v>
      </c>
      <c r="AM326" s="278">
        <f>TABLA_BASE[[#This Row],[C/M UNIT.
(S/.)]]*TABLA_BASE[[#This Row],[CANTIDAD
(unid.)]]</f>
        <v>0</v>
      </c>
      <c r="AN326" s="279">
        <f>IF('🧾 Factura Comercial'!G330=0,0,'🧾 Tributos Aduana'!$F$17*(IF('🧾 Tributos Aduana'!$F$6=0,0,'🧾 Factura Comercial'!I330/'🧾 Tributos Aduana'!$F$6))/'🧾 Factura Comercial'!G330)</f>
        <v>0</v>
      </c>
      <c r="AO326" s="280">
        <f>IF('🧾 Factura Comercial'!G330=0,0,'🏦 Crédito Fiscal'!$C$16*(IF('🧾 Tributos Aduana'!$F$6=0,0,'🧾 Factura Comercial'!I330/'🧾 Tributos Aduana'!$F$6))/'🧾 Factura Comercial'!G330)</f>
        <v>0</v>
      </c>
      <c r="AP326" s="278">
        <f>TABLA_BASE[[#This Row],[CF UNIT.
✅RECUP.
(US$)]]*'📋 Datos Generales'!$E$19</f>
        <v>0</v>
      </c>
      <c r="AQ326" s="278">
        <f>TABLA_BASE[[#This Row],[CF UNIT.
✅RECUP.(S/.)]]*TABLA_BASE[[#This Row],[CANTIDAD
(unid.)]]</f>
        <v>0</v>
      </c>
      <c r="AR326" s="288">
        <f>'💰 Precio de Venta'!G331</f>
        <v>0.4</v>
      </c>
      <c r="AS326" s="278">
        <f>'💰 Precio de Venta'!H331</f>
        <v>0</v>
      </c>
      <c r="AT326" s="278">
        <f>TABLA_BASE[[#This Row],[VALOR VTA.
UNIT.(S/.)]]*TABLA_BASE[[#This Row],[CANTIDAD
(unid.)]]</f>
        <v>0</v>
      </c>
      <c r="AU326" s="281">
        <f>'💰 Precio de Venta'!I331</f>
        <v>0</v>
      </c>
      <c r="AV326" s="278">
        <f>'💰 Precio de Venta'!J331</f>
        <v>0</v>
      </c>
      <c r="AW326" s="278">
        <f>TABLA_BASE[[#This Row],[GANANCIA
UNIT.(S/.)]]*TABLA_BASE[[#This Row],[CANTIDAD
(unid.)]]</f>
        <v>0</v>
      </c>
      <c r="AX326" s="289">
        <f>'💰 Precio de Venta'!K331</f>
        <v>0</v>
      </c>
      <c r="AY326" s="278">
        <f>TABLA_BASE[[#This Row],[GANANCIA
UNIT.(S/.)]]*'🧾 Factura Comercial'!G330</f>
        <v>0</v>
      </c>
      <c r="AZ326" s="277">
        <f>IF(TABLA_BASE[[#This Row],[PRECIO VTA.
c/IGV(S/.)]]=0,0,TABLA_BASE[[#This Row],[GANANCIA
UNIT.(S/.)]]/TABLA_BASE[[#This Row],[PRECIO VTA.
c/IGV(S/.)]])</f>
        <v>0</v>
      </c>
      <c r="BA326" s="277">
        <f>IF(TABLA_BASE[[#This Row],[C/M UNIT.
(S/.)]]=0,0,TABLA_BASE[[#This Row],[GANANCIA
UNIT.(S/.)]]/TABLA_BASE[[#This Row],[C/M UNIT.
(S/.)]])</f>
        <v>0</v>
      </c>
      <c r="BB326" s="274" t="str">
        <f>IF(TABLA_BASE[[#This Row],[MARGEN
%]]&gt;=0.5,"🟢 ALTO",IF(TABLA_BASE[[#This Row],[MARGEN
%]]&gt;=0.3,"🟡 MEDIO","🔴 BAJO"))</f>
        <v>🟡 MEDIO</v>
      </c>
    </row>
    <row r="327" spans="1:54" ht="16.5" hidden="1" thickTop="1" thickBot="1" x14ac:dyDescent="0.3">
      <c r="A327" s="274">
        <f>'🧾 Factura Comercial'!E331</f>
        <v>0</v>
      </c>
      <c r="B327" s="274" t="str">
        <f>'🧾 Factura Comercial'!F331</f>
        <v>Unid.</v>
      </c>
      <c r="C327" s="275">
        <f>'🧾 Factura Comercial'!G331</f>
        <v>0</v>
      </c>
      <c r="D327" s="276">
        <f>'🧾 Factura Comercial'!H331</f>
        <v>0</v>
      </c>
      <c r="E327" s="276">
        <f>'🧾 Factura Comercial'!I331</f>
        <v>0</v>
      </c>
      <c r="F327" s="277">
        <f>IF('🧾 Tributos Aduana'!$F$6=0,0,'🧾 Factura Comercial'!I331/'🧾 Tributos Aduana'!$F$6)</f>
        <v>0</v>
      </c>
      <c r="G327" s="278">
        <f>'🧾 Factura Comercial'!H331*'📋 Datos Generales'!$E$19</f>
        <v>0</v>
      </c>
      <c r="H327" s="278">
        <f>TABLA_BASE[[#This Row],[FOB UNIT.
(S/.)]]*TABLA_BASE[[#This Row],[CANTIDAD
(unid.)]]</f>
        <v>0</v>
      </c>
      <c r="I327" s="280">
        <f>IF('🧾 Tributos Aduana'!$F$6=0,0,'🧾 Tributos Aduana'!$F$17*('🧾 Factura Comercial'!H331/'🧾 Tributos Aduana'!$F$6))</f>
        <v>0</v>
      </c>
      <c r="J327" s="280">
        <f>TABLA_BASE[[#This Row],[ADV UNIT.
(US$)
⚠️COSTO]]*TABLA_BASE[[#This Row],[CANTIDAD
(unid.)]]</f>
        <v>0</v>
      </c>
      <c r="K327" s="279">
        <f>IF('🧾 Tributos Aduana'!$F$6=0,0,'🧾 Tributos Aduana'!$F$18*('🧾 Factura Comercial'!H331/'🧾 Tributos Aduana'!$F$6))</f>
        <v>0</v>
      </c>
      <c r="L327" s="280">
        <f>TABLA_BASE[[#This Row],[IPM UNIT.
(US$)
✅CF]]*TABLA_BASE[[#This Row],[CANTIDAD
(unid.)]]</f>
        <v>0</v>
      </c>
      <c r="M327" s="279">
        <f>IF('🧾 Tributos Aduana'!$F$6=0,0,'🧾 Tributos Aduana'!$F$19*('🧾 Factura Comercial'!H331/'🧾 Tributos Aduana'!$F$6))</f>
        <v>0</v>
      </c>
      <c r="N327" s="280">
        <f>TABLA_BASE[[#This Row],[IGV UNIT.
(US$)
✅CF]]*TABLA_BASE[[#This Row],[CANTIDAD
(unid.)]]</f>
        <v>0</v>
      </c>
      <c r="O327" s="280">
        <f>IF('🧾 Tributos Aduana'!$F$6=0,0,'🧾 Tributos Aduana'!$F$23*('🧾 Factura Comercial'!H331/'🧾 Tributos Aduana'!$F$6))</f>
        <v>0</v>
      </c>
      <c r="P327" s="280">
        <f>TABLA_BASE[[#This Row],[PERCEP.
UNIT.(US$)
✅CF]]*TABLA_BASE[[#This Row],[CANTIDAD
(unid.)]]</f>
        <v>0</v>
      </c>
      <c r="Q327" s="279">
        <f>TABLA_BASE[[#This Row],[ADV UNIT.
(US$)
⚠️COSTO]]+TABLA_BASE[[#This Row],[IPM UNIT.
(US$)
✅CF]]+TABLA_BASE[[#This Row],[IGV UNIT.
(US$)
✅CF]]</f>
        <v>0</v>
      </c>
      <c r="R327" s="280">
        <f>TABLA_BASE[[#This Row],[DEUDA
ADUANERA
UNIT.]]*TABLA_BASE[[#This Row],[CANTIDAD
(unid.)]]</f>
        <v>0</v>
      </c>
      <c r="S327" s="278">
        <f>TABLA_BASE[[#This Row],[DEUDA
ADUANERA
UNIT.]]*'📋 Datos Generales'!$E$19</f>
        <v>0</v>
      </c>
      <c r="T327" s="278">
        <f>TABLA_BASE[[#This Row],[DEUDA
ADUANERA
TOTAL]]*'📋 Datos Generales'!$E$19</f>
        <v>0</v>
      </c>
      <c r="U327" s="281">
        <f>TABLA_BASE[[#This Row],[ADV UNIT.
(US$)
⚠️COSTO]]*'📋 Datos Generales'!$E$19</f>
        <v>0</v>
      </c>
      <c r="V327" s="281">
        <f>TABLA_BASE[[#This Row],[ADV UNIT.
(S/.)]]*TABLA_BASE[[#This Row],[CANTIDAD
(unid.)]]</f>
        <v>0</v>
      </c>
      <c r="W327" s="281">
        <f>TABLA_BASE[[#This Row],[IPM UNIT.
(US$)
✅CF]]*'📋 Datos Generales'!$E$19</f>
        <v>0</v>
      </c>
      <c r="X327" s="281">
        <f>TABLA_BASE[[#This Row],[IPM UNIT.
(S/.)]]*TABLA_BASE[[#This Row],[CANTIDAD
(unid.)]]</f>
        <v>0</v>
      </c>
      <c r="Y327" s="281">
        <f>TABLA_BASE[[#This Row],[IGV UNIT.
(US$)
✅CF]]*'📋 Datos Generales'!$E$19</f>
        <v>0</v>
      </c>
      <c r="Z327" s="281">
        <f>TABLA_BASE[[#This Row],[IGV UNIT.
(S/.)]]*TABLA_BASE[[#This Row],[CANTIDAD
(unid.)]]</f>
        <v>0</v>
      </c>
      <c r="AA327" s="281">
        <f>TABLA_BASE[[#This Row],[PERCEP.
UNIT.(US$)
✅CF]]*'📋 Datos Generales'!$E$19</f>
        <v>0</v>
      </c>
      <c r="AB327" s="281">
        <f>TABLA_BASE[[#This Row],[PERCEP.
UNIT.(S/.)]]*TABLA_BASE[[#This Row],[CANTIDAD
(unid.)]]</f>
        <v>0</v>
      </c>
      <c r="AC327" s="279">
        <f>TABLA_BASE[[#This Row],[ADV UNIT.
(US$)
⚠️COSTO]]+TABLA_BASE[[#This Row],[IPM UNIT.
(US$)
✅CF]]+TABLA_BASE[[#This Row],[IGV UNIT.
(US$)
✅CF]]+TABLA_BASE[[#This Row],[PERCEP.
UNIT.(US$)
✅CF]]</f>
        <v>0</v>
      </c>
      <c r="AD327" s="279">
        <f>TABLA_BASE[[#This Row],[TOTAL PAGO
SUNAT
UNIT.(US$)]]*TABLA_BASE[[#This Row],[CANTIDAD
(unid.)]]</f>
        <v>0</v>
      </c>
      <c r="AE327" s="281">
        <f>TABLA_BASE[[#This Row],[TOTAL PAGO
SUNAT
UNIT.(US$)]]*'📋 Datos Generales'!$E$19</f>
        <v>0</v>
      </c>
      <c r="AF327" s="281">
        <f>TABLA_BASE[[#This Row],[TOTAL TRIB.
UNIT.(S/.)]]*TABLA_BASE[[#This Row],[CANTIDAD
(unid.)]]</f>
        <v>0</v>
      </c>
      <c r="AG327" s="279">
        <f>IF('🧾 Factura Comercial'!G331=0,0,'📦 Gastos Importación'!$E$28*(IF('🧾 Tributos Aduana'!$F$6=0,0,'🧾 Factura Comercial'!I331/'🧾 Tributos Aduana'!$F$6))/'🧾 Factura Comercial'!G331)</f>
        <v>0</v>
      </c>
      <c r="AH327" s="279">
        <f>TABLA_BASE[[#This Row],[GASTOS IMP.
UNIT.(US$)]]*TABLA_BASE[[#This Row],[CANTIDAD
(unid.)]]</f>
        <v>0</v>
      </c>
      <c r="AI327" s="281">
        <f>TABLA_BASE[[#This Row],[GASTOS IMP.
UNIT.(US$)]]*'📋 Datos Generales'!$E$19</f>
        <v>0</v>
      </c>
      <c r="AJ327" s="281">
        <f>TABLA_BASE[[#This Row],[GASTOS IMP.
UNIT.(S/.)]]*TABLA_BASE[[#This Row],[CANTIDAD
(unid.)]]</f>
        <v>0</v>
      </c>
      <c r="AK327" s="280">
        <f>'🧮 Costos x Producto'!J331</f>
        <v>0</v>
      </c>
      <c r="AL327" s="278">
        <f>'🧮 Costos x Producto'!K331</f>
        <v>0</v>
      </c>
      <c r="AM327" s="278">
        <f>TABLA_BASE[[#This Row],[C/M UNIT.
(S/.)]]*TABLA_BASE[[#This Row],[CANTIDAD
(unid.)]]</f>
        <v>0</v>
      </c>
      <c r="AN327" s="279">
        <f>IF('🧾 Factura Comercial'!G331=0,0,'🧾 Tributos Aduana'!$F$17*(IF('🧾 Tributos Aduana'!$F$6=0,0,'🧾 Factura Comercial'!I331/'🧾 Tributos Aduana'!$F$6))/'🧾 Factura Comercial'!G331)</f>
        <v>0</v>
      </c>
      <c r="AO327" s="280">
        <f>IF('🧾 Factura Comercial'!G331=0,0,'🏦 Crédito Fiscal'!$C$16*(IF('🧾 Tributos Aduana'!$F$6=0,0,'🧾 Factura Comercial'!I331/'🧾 Tributos Aduana'!$F$6))/'🧾 Factura Comercial'!G331)</f>
        <v>0</v>
      </c>
      <c r="AP327" s="278">
        <f>TABLA_BASE[[#This Row],[CF UNIT.
✅RECUP.
(US$)]]*'📋 Datos Generales'!$E$19</f>
        <v>0</v>
      </c>
      <c r="AQ327" s="278">
        <f>TABLA_BASE[[#This Row],[CF UNIT.
✅RECUP.(S/.)]]*TABLA_BASE[[#This Row],[CANTIDAD
(unid.)]]</f>
        <v>0</v>
      </c>
      <c r="AR327" s="288">
        <f>'💰 Precio de Venta'!G332</f>
        <v>0.4</v>
      </c>
      <c r="AS327" s="278">
        <f>'💰 Precio de Venta'!H332</f>
        <v>0</v>
      </c>
      <c r="AT327" s="278">
        <f>TABLA_BASE[[#This Row],[VALOR VTA.
UNIT.(S/.)]]*TABLA_BASE[[#This Row],[CANTIDAD
(unid.)]]</f>
        <v>0</v>
      </c>
      <c r="AU327" s="281">
        <f>'💰 Precio de Venta'!I332</f>
        <v>0</v>
      </c>
      <c r="AV327" s="278">
        <f>'💰 Precio de Venta'!J332</f>
        <v>0</v>
      </c>
      <c r="AW327" s="278">
        <f>TABLA_BASE[[#This Row],[GANANCIA
UNIT.(S/.)]]*TABLA_BASE[[#This Row],[CANTIDAD
(unid.)]]</f>
        <v>0</v>
      </c>
      <c r="AX327" s="289">
        <f>'💰 Precio de Venta'!K332</f>
        <v>0</v>
      </c>
      <c r="AY327" s="278">
        <f>TABLA_BASE[[#This Row],[GANANCIA
UNIT.(S/.)]]*'🧾 Factura Comercial'!G331</f>
        <v>0</v>
      </c>
      <c r="AZ327" s="277">
        <f>IF(TABLA_BASE[[#This Row],[PRECIO VTA.
c/IGV(S/.)]]=0,0,TABLA_BASE[[#This Row],[GANANCIA
UNIT.(S/.)]]/TABLA_BASE[[#This Row],[PRECIO VTA.
c/IGV(S/.)]])</f>
        <v>0</v>
      </c>
      <c r="BA327" s="277">
        <f>IF(TABLA_BASE[[#This Row],[C/M UNIT.
(S/.)]]=0,0,TABLA_BASE[[#This Row],[GANANCIA
UNIT.(S/.)]]/TABLA_BASE[[#This Row],[C/M UNIT.
(S/.)]])</f>
        <v>0</v>
      </c>
      <c r="BB327" s="274" t="str">
        <f>IF(TABLA_BASE[[#This Row],[MARGEN
%]]&gt;=0.5,"🟢 ALTO",IF(TABLA_BASE[[#This Row],[MARGEN
%]]&gt;=0.3,"🟡 MEDIO","🔴 BAJO"))</f>
        <v>🟡 MEDIO</v>
      </c>
    </row>
    <row r="328" spans="1:54" ht="16.5" hidden="1" thickTop="1" thickBot="1" x14ac:dyDescent="0.3">
      <c r="A328" s="274">
        <f>'🧾 Factura Comercial'!E332</f>
        <v>0</v>
      </c>
      <c r="B328" s="274" t="str">
        <f>'🧾 Factura Comercial'!F332</f>
        <v>Unid.</v>
      </c>
      <c r="C328" s="275">
        <f>'🧾 Factura Comercial'!G332</f>
        <v>0</v>
      </c>
      <c r="D328" s="276">
        <f>'🧾 Factura Comercial'!H332</f>
        <v>0</v>
      </c>
      <c r="E328" s="276">
        <f>'🧾 Factura Comercial'!I332</f>
        <v>0</v>
      </c>
      <c r="F328" s="277">
        <f>IF('🧾 Tributos Aduana'!$F$6=0,0,'🧾 Factura Comercial'!I332/'🧾 Tributos Aduana'!$F$6)</f>
        <v>0</v>
      </c>
      <c r="G328" s="278">
        <f>'🧾 Factura Comercial'!H332*'📋 Datos Generales'!$E$19</f>
        <v>0</v>
      </c>
      <c r="H328" s="278">
        <f>TABLA_BASE[[#This Row],[FOB UNIT.
(S/.)]]*TABLA_BASE[[#This Row],[CANTIDAD
(unid.)]]</f>
        <v>0</v>
      </c>
      <c r="I328" s="280">
        <f>IF('🧾 Tributos Aduana'!$F$6=0,0,'🧾 Tributos Aduana'!$F$17*('🧾 Factura Comercial'!H332/'🧾 Tributos Aduana'!$F$6))</f>
        <v>0</v>
      </c>
      <c r="J328" s="280">
        <f>TABLA_BASE[[#This Row],[ADV UNIT.
(US$)
⚠️COSTO]]*TABLA_BASE[[#This Row],[CANTIDAD
(unid.)]]</f>
        <v>0</v>
      </c>
      <c r="K328" s="279">
        <f>IF('🧾 Tributos Aduana'!$F$6=0,0,'🧾 Tributos Aduana'!$F$18*('🧾 Factura Comercial'!H332/'🧾 Tributos Aduana'!$F$6))</f>
        <v>0</v>
      </c>
      <c r="L328" s="280">
        <f>TABLA_BASE[[#This Row],[IPM UNIT.
(US$)
✅CF]]*TABLA_BASE[[#This Row],[CANTIDAD
(unid.)]]</f>
        <v>0</v>
      </c>
      <c r="M328" s="279">
        <f>IF('🧾 Tributos Aduana'!$F$6=0,0,'🧾 Tributos Aduana'!$F$19*('🧾 Factura Comercial'!H332/'🧾 Tributos Aduana'!$F$6))</f>
        <v>0</v>
      </c>
      <c r="N328" s="280">
        <f>TABLA_BASE[[#This Row],[IGV UNIT.
(US$)
✅CF]]*TABLA_BASE[[#This Row],[CANTIDAD
(unid.)]]</f>
        <v>0</v>
      </c>
      <c r="O328" s="280">
        <f>IF('🧾 Tributos Aduana'!$F$6=0,0,'🧾 Tributos Aduana'!$F$23*('🧾 Factura Comercial'!H332/'🧾 Tributos Aduana'!$F$6))</f>
        <v>0</v>
      </c>
      <c r="P328" s="280">
        <f>TABLA_BASE[[#This Row],[PERCEP.
UNIT.(US$)
✅CF]]*TABLA_BASE[[#This Row],[CANTIDAD
(unid.)]]</f>
        <v>0</v>
      </c>
      <c r="Q328" s="279">
        <f>TABLA_BASE[[#This Row],[ADV UNIT.
(US$)
⚠️COSTO]]+TABLA_BASE[[#This Row],[IPM UNIT.
(US$)
✅CF]]+TABLA_BASE[[#This Row],[IGV UNIT.
(US$)
✅CF]]</f>
        <v>0</v>
      </c>
      <c r="R328" s="280">
        <f>TABLA_BASE[[#This Row],[DEUDA
ADUANERA
UNIT.]]*TABLA_BASE[[#This Row],[CANTIDAD
(unid.)]]</f>
        <v>0</v>
      </c>
      <c r="S328" s="278">
        <f>TABLA_BASE[[#This Row],[DEUDA
ADUANERA
UNIT.]]*'📋 Datos Generales'!$E$19</f>
        <v>0</v>
      </c>
      <c r="T328" s="278">
        <f>TABLA_BASE[[#This Row],[DEUDA
ADUANERA
TOTAL]]*'📋 Datos Generales'!$E$19</f>
        <v>0</v>
      </c>
      <c r="U328" s="281">
        <f>TABLA_BASE[[#This Row],[ADV UNIT.
(US$)
⚠️COSTO]]*'📋 Datos Generales'!$E$19</f>
        <v>0</v>
      </c>
      <c r="V328" s="281">
        <f>TABLA_BASE[[#This Row],[ADV UNIT.
(S/.)]]*TABLA_BASE[[#This Row],[CANTIDAD
(unid.)]]</f>
        <v>0</v>
      </c>
      <c r="W328" s="281">
        <f>TABLA_BASE[[#This Row],[IPM UNIT.
(US$)
✅CF]]*'📋 Datos Generales'!$E$19</f>
        <v>0</v>
      </c>
      <c r="X328" s="281">
        <f>TABLA_BASE[[#This Row],[IPM UNIT.
(S/.)]]*TABLA_BASE[[#This Row],[CANTIDAD
(unid.)]]</f>
        <v>0</v>
      </c>
      <c r="Y328" s="281">
        <f>TABLA_BASE[[#This Row],[IGV UNIT.
(US$)
✅CF]]*'📋 Datos Generales'!$E$19</f>
        <v>0</v>
      </c>
      <c r="Z328" s="281">
        <f>TABLA_BASE[[#This Row],[IGV UNIT.
(S/.)]]*TABLA_BASE[[#This Row],[CANTIDAD
(unid.)]]</f>
        <v>0</v>
      </c>
      <c r="AA328" s="281">
        <f>TABLA_BASE[[#This Row],[PERCEP.
UNIT.(US$)
✅CF]]*'📋 Datos Generales'!$E$19</f>
        <v>0</v>
      </c>
      <c r="AB328" s="281">
        <f>TABLA_BASE[[#This Row],[PERCEP.
UNIT.(S/.)]]*TABLA_BASE[[#This Row],[CANTIDAD
(unid.)]]</f>
        <v>0</v>
      </c>
      <c r="AC328" s="279">
        <f>TABLA_BASE[[#This Row],[ADV UNIT.
(US$)
⚠️COSTO]]+TABLA_BASE[[#This Row],[IPM UNIT.
(US$)
✅CF]]+TABLA_BASE[[#This Row],[IGV UNIT.
(US$)
✅CF]]+TABLA_BASE[[#This Row],[PERCEP.
UNIT.(US$)
✅CF]]</f>
        <v>0</v>
      </c>
      <c r="AD328" s="279">
        <f>TABLA_BASE[[#This Row],[TOTAL PAGO
SUNAT
UNIT.(US$)]]*TABLA_BASE[[#This Row],[CANTIDAD
(unid.)]]</f>
        <v>0</v>
      </c>
      <c r="AE328" s="281">
        <f>TABLA_BASE[[#This Row],[TOTAL PAGO
SUNAT
UNIT.(US$)]]*'📋 Datos Generales'!$E$19</f>
        <v>0</v>
      </c>
      <c r="AF328" s="281">
        <f>TABLA_BASE[[#This Row],[TOTAL TRIB.
UNIT.(S/.)]]*TABLA_BASE[[#This Row],[CANTIDAD
(unid.)]]</f>
        <v>0</v>
      </c>
      <c r="AG328" s="279">
        <f>IF('🧾 Factura Comercial'!G332=0,0,'📦 Gastos Importación'!$E$28*(IF('🧾 Tributos Aduana'!$F$6=0,0,'🧾 Factura Comercial'!I332/'🧾 Tributos Aduana'!$F$6))/'🧾 Factura Comercial'!G332)</f>
        <v>0</v>
      </c>
      <c r="AH328" s="279">
        <f>TABLA_BASE[[#This Row],[GASTOS IMP.
UNIT.(US$)]]*TABLA_BASE[[#This Row],[CANTIDAD
(unid.)]]</f>
        <v>0</v>
      </c>
      <c r="AI328" s="281">
        <f>TABLA_BASE[[#This Row],[GASTOS IMP.
UNIT.(US$)]]*'📋 Datos Generales'!$E$19</f>
        <v>0</v>
      </c>
      <c r="AJ328" s="281">
        <f>TABLA_BASE[[#This Row],[GASTOS IMP.
UNIT.(S/.)]]*TABLA_BASE[[#This Row],[CANTIDAD
(unid.)]]</f>
        <v>0</v>
      </c>
      <c r="AK328" s="280">
        <f>'🧮 Costos x Producto'!J332</f>
        <v>0</v>
      </c>
      <c r="AL328" s="278">
        <f>'🧮 Costos x Producto'!K332</f>
        <v>0</v>
      </c>
      <c r="AM328" s="278">
        <f>TABLA_BASE[[#This Row],[C/M UNIT.
(S/.)]]*TABLA_BASE[[#This Row],[CANTIDAD
(unid.)]]</f>
        <v>0</v>
      </c>
      <c r="AN328" s="279">
        <f>IF('🧾 Factura Comercial'!G332=0,0,'🧾 Tributos Aduana'!$F$17*(IF('🧾 Tributos Aduana'!$F$6=0,0,'🧾 Factura Comercial'!I332/'🧾 Tributos Aduana'!$F$6))/'🧾 Factura Comercial'!G332)</f>
        <v>0</v>
      </c>
      <c r="AO328" s="280">
        <f>IF('🧾 Factura Comercial'!G332=0,0,'🏦 Crédito Fiscal'!$C$16*(IF('🧾 Tributos Aduana'!$F$6=0,0,'🧾 Factura Comercial'!I332/'🧾 Tributos Aduana'!$F$6))/'🧾 Factura Comercial'!G332)</f>
        <v>0</v>
      </c>
      <c r="AP328" s="278">
        <f>TABLA_BASE[[#This Row],[CF UNIT.
✅RECUP.
(US$)]]*'📋 Datos Generales'!$E$19</f>
        <v>0</v>
      </c>
      <c r="AQ328" s="278">
        <f>TABLA_BASE[[#This Row],[CF UNIT.
✅RECUP.(S/.)]]*TABLA_BASE[[#This Row],[CANTIDAD
(unid.)]]</f>
        <v>0</v>
      </c>
      <c r="AR328" s="288">
        <f>'💰 Precio de Venta'!G333</f>
        <v>0.4</v>
      </c>
      <c r="AS328" s="278">
        <f>'💰 Precio de Venta'!H333</f>
        <v>0</v>
      </c>
      <c r="AT328" s="278">
        <f>TABLA_BASE[[#This Row],[VALOR VTA.
UNIT.(S/.)]]*TABLA_BASE[[#This Row],[CANTIDAD
(unid.)]]</f>
        <v>0</v>
      </c>
      <c r="AU328" s="281">
        <f>'💰 Precio de Venta'!I333</f>
        <v>0</v>
      </c>
      <c r="AV328" s="278">
        <f>'💰 Precio de Venta'!J333</f>
        <v>0</v>
      </c>
      <c r="AW328" s="278">
        <f>TABLA_BASE[[#This Row],[GANANCIA
UNIT.(S/.)]]*TABLA_BASE[[#This Row],[CANTIDAD
(unid.)]]</f>
        <v>0</v>
      </c>
      <c r="AX328" s="289">
        <f>'💰 Precio de Venta'!K333</f>
        <v>0</v>
      </c>
      <c r="AY328" s="278">
        <f>TABLA_BASE[[#This Row],[GANANCIA
UNIT.(S/.)]]*'🧾 Factura Comercial'!G332</f>
        <v>0</v>
      </c>
      <c r="AZ328" s="277">
        <f>IF(TABLA_BASE[[#This Row],[PRECIO VTA.
c/IGV(S/.)]]=0,0,TABLA_BASE[[#This Row],[GANANCIA
UNIT.(S/.)]]/TABLA_BASE[[#This Row],[PRECIO VTA.
c/IGV(S/.)]])</f>
        <v>0</v>
      </c>
      <c r="BA328" s="277">
        <f>IF(TABLA_BASE[[#This Row],[C/M UNIT.
(S/.)]]=0,0,TABLA_BASE[[#This Row],[GANANCIA
UNIT.(S/.)]]/TABLA_BASE[[#This Row],[C/M UNIT.
(S/.)]])</f>
        <v>0</v>
      </c>
      <c r="BB328" s="274" t="str">
        <f>IF(TABLA_BASE[[#This Row],[MARGEN
%]]&gt;=0.5,"🟢 ALTO",IF(TABLA_BASE[[#This Row],[MARGEN
%]]&gt;=0.3,"🟡 MEDIO","🔴 BAJO"))</f>
        <v>🟡 MEDIO</v>
      </c>
    </row>
    <row r="329" spans="1:54" ht="16.5" hidden="1" thickTop="1" thickBot="1" x14ac:dyDescent="0.3">
      <c r="A329" s="274">
        <f>'🧾 Factura Comercial'!E333</f>
        <v>0</v>
      </c>
      <c r="B329" s="274" t="str">
        <f>'🧾 Factura Comercial'!F333</f>
        <v>Unid.</v>
      </c>
      <c r="C329" s="275">
        <f>'🧾 Factura Comercial'!G333</f>
        <v>0</v>
      </c>
      <c r="D329" s="276">
        <f>'🧾 Factura Comercial'!H333</f>
        <v>0</v>
      </c>
      <c r="E329" s="276">
        <f>'🧾 Factura Comercial'!I333</f>
        <v>0</v>
      </c>
      <c r="F329" s="277">
        <f>IF('🧾 Tributos Aduana'!$F$6=0,0,'🧾 Factura Comercial'!I333/'🧾 Tributos Aduana'!$F$6)</f>
        <v>0</v>
      </c>
      <c r="G329" s="278">
        <f>'🧾 Factura Comercial'!H333*'📋 Datos Generales'!$E$19</f>
        <v>0</v>
      </c>
      <c r="H329" s="278">
        <f>TABLA_BASE[[#This Row],[FOB UNIT.
(S/.)]]*TABLA_BASE[[#This Row],[CANTIDAD
(unid.)]]</f>
        <v>0</v>
      </c>
      <c r="I329" s="280">
        <f>IF('🧾 Tributos Aduana'!$F$6=0,0,'🧾 Tributos Aduana'!$F$17*('🧾 Factura Comercial'!H333/'🧾 Tributos Aduana'!$F$6))</f>
        <v>0</v>
      </c>
      <c r="J329" s="280">
        <f>TABLA_BASE[[#This Row],[ADV UNIT.
(US$)
⚠️COSTO]]*TABLA_BASE[[#This Row],[CANTIDAD
(unid.)]]</f>
        <v>0</v>
      </c>
      <c r="K329" s="279">
        <f>IF('🧾 Tributos Aduana'!$F$6=0,0,'🧾 Tributos Aduana'!$F$18*('🧾 Factura Comercial'!H333/'🧾 Tributos Aduana'!$F$6))</f>
        <v>0</v>
      </c>
      <c r="L329" s="280">
        <f>TABLA_BASE[[#This Row],[IPM UNIT.
(US$)
✅CF]]*TABLA_BASE[[#This Row],[CANTIDAD
(unid.)]]</f>
        <v>0</v>
      </c>
      <c r="M329" s="279">
        <f>IF('🧾 Tributos Aduana'!$F$6=0,0,'🧾 Tributos Aduana'!$F$19*('🧾 Factura Comercial'!H333/'🧾 Tributos Aduana'!$F$6))</f>
        <v>0</v>
      </c>
      <c r="N329" s="280">
        <f>TABLA_BASE[[#This Row],[IGV UNIT.
(US$)
✅CF]]*TABLA_BASE[[#This Row],[CANTIDAD
(unid.)]]</f>
        <v>0</v>
      </c>
      <c r="O329" s="280">
        <f>IF('🧾 Tributos Aduana'!$F$6=0,0,'🧾 Tributos Aduana'!$F$23*('🧾 Factura Comercial'!H333/'🧾 Tributos Aduana'!$F$6))</f>
        <v>0</v>
      </c>
      <c r="P329" s="280">
        <f>TABLA_BASE[[#This Row],[PERCEP.
UNIT.(US$)
✅CF]]*TABLA_BASE[[#This Row],[CANTIDAD
(unid.)]]</f>
        <v>0</v>
      </c>
      <c r="Q329" s="279">
        <f>TABLA_BASE[[#This Row],[ADV UNIT.
(US$)
⚠️COSTO]]+TABLA_BASE[[#This Row],[IPM UNIT.
(US$)
✅CF]]+TABLA_BASE[[#This Row],[IGV UNIT.
(US$)
✅CF]]</f>
        <v>0</v>
      </c>
      <c r="R329" s="280">
        <f>TABLA_BASE[[#This Row],[DEUDA
ADUANERA
UNIT.]]*TABLA_BASE[[#This Row],[CANTIDAD
(unid.)]]</f>
        <v>0</v>
      </c>
      <c r="S329" s="278">
        <f>TABLA_BASE[[#This Row],[DEUDA
ADUANERA
UNIT.]]*'📋 Datos Generales'!$E$19</f>
        <v>0</v>
      </c>
      <c r="T329" s="278">
        <f>TABLA_BASE[[#This Row],[DEUDA
ADUANERA
TOTAL]]*'📋 Datos Generales'!$E$19</f>
        <v>0</v>
      </c>
      <c r="U329" s="281">
        <f>TABLA_BASE[[#This Row],[ADV UNIT.
(US$)
⚠️COSTO]]*'📋 Datos Generales'!$E$19</f>
        <v>0</v>
      </c>
      <c r="V329" s="281">
        <f>TABLA_BASE[[#This Row],[ADV UNIT.
(S/.)]]*TABLA_BASE[[#This Row],[CANTIDAD
(unid.)]]</f>
        <v>0</v>
      </c>
      <c r="W329" s="281">
        <f>TABLA_BASE[[#This Row],[IPM UNIT.
(US$)
✅CF]]*'📋 Datos Generales'!$E$19</f>
        <v>0</v>
      </c>
      <c r="X329" s="281">
        <f>TABLA_BASE[[#This Row],[IPM UNIT.
(S/.)]]*TABLA_BASE[[#This Row],[CANTIDAD
(unid.)]]</f>
        <v>0</v>
      </c>
      <c r="Y329" s="281">
        <f>TABLA_BASE[[#This Row],[IGV UNIT.
(US$)
✅CF]]*'📋 Datos Generales'!$E$19</f>
        <v>0</v>
      </c>
      <c r="Z329" s="281">
        <f>TABLA_BASE[[#This Row],[IGV UNIT.
(S/.)]]*TABLA_BASE[[#This Row],[CANTIDAD
(unid.)]]</f>
        <v>0</v>
      </c>
      <c r="AA329" s="281">
        <f>TABLA_BASE[[#This Row],[PERCEP.
UNIT.(US$)
✅CF]]*'📋 Datos Generales'!$E$19</f>
        <v>0</v>
      </c>
      <c r="AB329" s="281">
        <f>TABLA_BASE[[#This Row],[PERCEP.
UNIT.(S/.)]]*TABLA_BASE[[#This Row],[CANTIDAD
(unid.)]]</f>
        <v>0</v>
      </c>
      <c r="AC329" s="279">
        <f>TABLA_BASE[[#This Row],[ADV UNIT.
(US$)
⚠️COSTO]]+TABLA_BASE[[#This Row],[IPM UNIT.
(US$)
✅CF]]+TABLA_BASE[[#This Row],[IGV UNIT.
(US$)
✅CF]]+TABLA_BASE[[#This Row],[PERCEP.
UNIT.(US$)
✅CF]]</f>
        <v>0</v>
      </c>
      <c r="AD329" s="279">
        <f>TABLA_BASE[[#This Row],[TOTAL PAGO
SUNAT
UNIT.(US$)]]*TABLA_BASE[[#This Row],[CANTIDAD
(unid.)]]</f>
        <v>0</v>
      </c>
      <c r="AE329" s="281">
        <f>TABLA_BASE[[#This Row],[TOTAL PAGO
SUNAT
UNIT.(US$)]]*'📋 Datos Generales'!$E$19</f>
        <v>0</v>
      </c>
      <c r="AF329" s="281">
        <f>TABLA_BASE[[#This Row],[TOTAL TRIB.
UNIT.(S/.)]]*TABLA_BASE[[#This Row],[CANTIDAD
(unid.)]]</f>
        <v>0</v>
      </c>
      <c r="AG329" s="279">
        <f>IF('🧾 Factura Comercial'!G333=0,0,'📦 Gastos Importación'!$E$28*(IF('🧾 Tributos Aduana'!$F$6=0,0,'🧾 Factura Comercial'!I333/'🧾 Tributos Aduana'!$F$6))/'🧾 Factura Comercial'!G333)</f>
        <v>0</v>
      </c>
      <c r="AH329" s="279">
        <f>TABLA_BASE[[#This Row],[GASTOS IMP.
UNIT.(US$)]]*TABLA_BASE[[#This Row],[CANTIDAD
(unid.)]]</f>
        <v>0</v>
      </c>
      <c r="AI329" s="281">
        <f>TABLA_BASE[[#This Row],[GASTOS IMP.
UNIT.(US$)]]*'📋 Datos Generales'!$E$19</f>
        <v>0</v>
      </c>
      <c r="AJ329" s="281">
        <f>TABLA_BASE[[#This Row],[GASTOS IMP.
UNIT.(S/.)]]*TABLA_BASE[[#This Row],[CANTIDAD
(unid.)]]</f>
        <v>0</v>
      </c>
      <c r="AK329" s="280">
        <f>'🧮 Costos x Producto'!J333</f>
        <v>0</v>
      </c>
      <c r="AL329" s="278">
        <f>'🧮 Costos x Producto'!K333</f>
        <v>0</v>
      </c>
      <c r="AM329" s="278">
        <f>TABLA_BASE[[#This Row],[C/M UNIT.
(S/.)]]*TABLA_BASE[[#This Row],[CANTIDAD
(unid.)]]</f>
        <v>0</v>
      </c>
      <c r="AN329" s="279">
        <f>IF('🧾 Factura Comercial'!G333=0,0,'🧾 Tributos Aduana'!$F$17*(IF('🧾 Tributos Aduana'!$F$6=0,0,'🧾 Factura Comercial'!I333/'🧾 Tributos Aduana'!$F$6))/'🧾 Factura Comercial'!G333)</f>
        <v>0</v>
      </c>
      <c r="AO329" s="280">
        <f>IF('🧾 Factura Comercial'!G333=0,0,'🏦 Crédito Fiscal'!$C$16*(IF('🧾 Tributos Aduana'!$F$6=0,0,'🧾 Factura Comercial'!I333/'🧾 Tributos Aduana'!$F$6))/'🧾 Factura Comercial'!G333)</f>
        <v>0</v>
      </c>
      <c r="AP329" s="278">
        <f>TABLA_BASE[[#This Row],[CF UNIT.
✅RECUP.
(US$)]]*'📋 Datos Generales'!$E$19</f>
        <v>0</v>
      </c>
      <c r="AQ329" s="278">
        <f>TABLA_BASE[[#This Row],[CF UNIT.
✅RECUP.(S/.)]]*TABLA_BASE[[#This Row],[CANTIDAD
(unid.)]]</f>
        <v>0</v>
      </c>
      <c r="AR329" s="288">
        <f>'💰 Precio de Venta'!G334</f>
        <v>0.4</v>
      </c>
      <c r="AS329" s="278">
        <f>'💰 Precio de Venta'!H334</f>
        <v>0</v>
      </c>
      <c r="AT329" s="278">
        <f>TABLA_BASE[[#This Row],[VALOR VTA.
UNIT.(S/.)]]*TABLA_BASE[[#This Row],[CANTIDAD
(unid.)]]</f>
        <v>0</v>
      </c>
      <c r="AU329" s="281">
        <f>'💰 Precio de Venta'!I334</f>
        <v>0</v>
      </c>
      <c r="AV329" s="278">
        <f>'💰 Precio de Venta'!J334</f>
        <v>0</v>
      </c>
      <c r="AW329" s="278">
        <f>TABLA_BASE[[#This Row],[GANANCIA
UNIT.(S/.)]]*TABLA_BASE[[#This Row],[CANTIDAD
(unid.)]]</f>
        <v>0</v>
      </c>
      <c r="AX329" s="289">
        <f>'💰 Precio de Venta'!K334</f>
        <v>0</v>
      </c>
      <c r="AY329" s="278">
        <f>TABLA_BASE[[#This Row],[GANANCIA
UNIT.(S/.)]]*'🧾 Factura Comercial'!G333</f>
        <v>0</v>
      </c>
      <c r="AZ329" s="277">
        <f>IF(TABLA_BASE[[#This Row],[PRECIO VTA.
c/IGV(S/.)]]=0,0,TABLA_BASE[[#This Row],[GANANCIA
UNIT.(S/.)]]/TABLA_BASE[[#This Row],[PRECIO VTA.
c/IGV(S/.)]])</f>
        <v>0</v>
      </c>
      <c r="BA329" s="277">
        <f>IF(TABLA_BASE[[#This Row],[C/M UNIT.
(S/.)]]=0,0,TABLA_BASE[[#This Row],[GANANCIA
UNIT.(S/.)]]/TABLA_BASE[[#This Row],[C/M UNIT.
(S/.)]])</f>
        <v>0</v>
      </c>
      <c r="BB329" s="274" t="str">
        <f>IF(TABLA_BASE[[#This Row],[MARGEN
%]]&gt;=0.5,"🟢 ALTO",IF(TABLA_BASE[[#This Row],[MARGEN
%]]&gt;=0.3,"🟡 MEDIO","🔴 BAJO"))</f>
        <v>🟡 MEDIO</v>
      </c>
    </row>
    <row r="330" spans="1:54" ht="16.5" hidden="1" thickTop="1" thickBot="1" x14ac:dyDescent="0.3">
      <c r="A330" s="274">
        <f>'🧾 Factura Comercial'!E334</f>
        <v>0</v>
      </c>
      <c r="B330" s="274" t="str">
        <f>'🧾 Factura Comercial'!F334</f>
        <v>Unid.</v>
      </c>
      <c r="C330" s="275">
        <f>'🧾 Factura Comercial'!G334</f>
        <v>0</v>
      </c>
      <c r="D330" s="276">
        <f>'🧾 Factura Comercial'!H334</f>
        <v>0</v>
      </c>
      <c r="E330" s="276">
        <f>'🧾 Factura Comercial'!I334</f>
        <v>0</v>
      </c>
      <c r="F330" s="277">
        <f>IF('🧾 Tributos Aduana'!$F$6=0,0,'🧾 Factura Comercial'!I334/'🧾 Tributos Aduana'!$F$6)</f>
        <v>0</v>
      </c>
      <c r="G330" s="278">
        <f>'🧾 Factura Comercial'!H334*'📋 Datos Generales'!$E$19</f>
        <v>0</v>
      </c>
      <c r="H330" s="278">
        <f>TABLA_BASE[[#This Row],[FOB UNIT.
(S/.)]]*TABLA_BASE[[#This Row],[CANTIDAD
(unid.)]]</f>
        <v>0</v>
      </c>
      <c r="I330" s="280">
        <f>IF('🧾 Tributos Aduana'!$F$6=0,0,'🧾 Tributos Aduana'!$F$17*('🧾 Factura Comercial'!H334/'🧾 Tributos Aduana'!$F$6))</f>
        <v>0</v>
      </c>
      <c r="J330" s="280">
        <f>TABLA_BASE[[#This Row],[ADV UNIT.
(US$)
⚠️COSTO]]*TABLA_BASE[[#This Row],[CANTIDAD
(unid.)]]</f>
        <v>0</v>
      </c>
      <c r="K330" s="279">
        <f>IF('🧾 Tributos Aduana'!$F$6=0,0,'🧾 Tributos Aduana'!$F$18*('🧾 Factura Comercial'!H334/'🧾 Tributos Aduana'!$F$6))</f>
        <v>0</v>
      </c>
      <c r="L330" s="280">
        <f>TABLA_BASE[[#This Row],[IPM UNIT.
(US$)
✅CF]]*TABLA_BASE[[#This Row],[CANTIDAD
(unid.)]]</f>
        <v>0</v>
      </c>
      <c r="M330" s="279">
        <f>IF('🧾 Tributos Aduana'!$F$6=0,0,'🧾 Tributos Aduana'!$F$19*('🧾 Factura Comercial'!H334/'🧾 Tributos Aduana'!$F$6))</f>
        <v>0</v>
      </c>
      <c r="N330" s="280">
        <f>TABLA_BASE[[#This Row],[IGV UNIT.
(US$)
✅CF]]*TABLA_BASE[[#This Row],[CANTIDAD
(unid.)]]</f>
        <v>0</v>
      </c>
      <c r="O330" s="280">
        <f>IF('🧾 Tributos Aduana'!$F$6=0,0,'🧾 Tributos Aduana'!$F$23*('🧾 Factura Comercial'!H334/'🧾 Tributos Aduana'!$F$6))</f>
        <v>0</v>
      </c>
      <c r="P330" s="280">
        <f>TABLA_BASE[[#This Row],[PERCEP.
UNIT.(US$)
✅CF]]*TABLA_BASE[[#This Row],[CANTIDAD
(unid.)]]</f>
        <v>0</v>
      </c>
      <c r="Q330" s="279">
        <f>TABLA_BASE[[#This Row],[ADV UNIT.
(US$)
⚠️COSTO]]+TABLA_BASE[[#This Row],[IPM UNIT.
(US$)
✅CF]]+TABLA_BASE[[#This Row],[IGV UNIT.
(US$)
✅CF]]</f>
        <v>0</v>
      </c>
      <c r="R330" s="280">
        <f>TABLA_BASE[[#This Row],[DEUDA
ADUANERA
UNIT.]]*TABLA_BASE[[#This Row],[CANTIDAD
(unid.)]]</f>
        <v>0</v>
      </c>
      <c r="S330" s="278">
        <f>TABLA_BASE[[#This Row],[DEUDA
ADUANERA
UNIT.]]*'📋 Datos Generales'!$E$19</f>
        <v>0</v>
      </c>
      <c r="T330" s="278">
        <f>TABLA_BASE[[#This Row],[DEUDA
ADUANERA
TOTAL]]*'📋 Datos Generales'!$E$19</f>
        <v>0</v>
      </c>
      <c r="U330" s="281">
        <f>TABLA_BASE[[#This Row],[ADV UNIT.
(US$)
⚠️COSTO]]*'📋 Datos Generales'!$E$19</f>
        <v>0</v>
      </c>
      <c r="V330" s="281">
        <f>TABLA_BASE[[#This Row],[ADV UNIT.
(S/.)]]*TABLA_BASE[[#This Row],[CANTIDAD
(unid.)]]</f>
        <v>0</v>
      </c>
      <c r="W330" s="281">
        <f>TABLA_BASE[[#This Row],[IPM UNIT.
(US$)
✅CF]]*'📋 Datos Generales'!$E$19</f>
        <v>0</v>
      </c>
      <c r="X330" s="281">
        <f>TABLA_BASE[[#This Row],[IPM UNIT.
(S/.)]]*TABLA_BASE[[#This Row],[CANTIDAD
(unid.)]]</f>
        <v>0</v>
      </c>
      <c r="Y330" s="281">
        <f>TABLA_BASE[[#This Row],[IGV UNIT.
(US$)
✅CF]]*'📋 Datos Generales'!$E$19</f>
        <v>0</v>
      </c>
      <c r="Z330" s="281">
        <f>TABLA_BASE[[#This Row],[IGV UNIT.
(S/.)]]*TABLA_BASE[[#This Row],[CANTIDAD
(unid.)]]</f>
        <v>0</v>
      </c>
      <c r="AA330" s="281">
        <f>TABLA_BASE[[#This Row],[PERCEP.
UNIT.(US$)
✅CF]]*'📋 Datos Generales'!$E$19</f>
        <v>0</v>
      </c>
      <c r="AB330" s="281">
        <f>TABLA_BASE[[#This Row],[PERCEP.
UNIT.(S/.)]]*TABLA_BASE[[#This Row],[CANTIDAD
(unid.)]]</f>
        <v>0</v>
      </c>
      <c r="AC330" s="279">
        <f>TABLA_BASE[[#This Row],[ADV UNIT.
(US$)
⚠️COSTO]]+TABLA_BASE[[#This Row],[IPM UNIT.
(US$)
✅CF]]+TABLA_BASE[[#This Row],[IGV UNIT.
(US$)
✅CF]]+TABLA_BASE[[#This Row],[PERCEP.
UNIT.(US$)
✅CF]]</f>
        <v>0</v>
      </c>
      <c r="AD330" s="279">
        <f>TABLA_BASE[[#This Row],[TOTAL PAGO
SUNAT
UNIT.(US$)]]*TABLA_BASE[[#This Row],[CANTIDAD
(unid.)]]</f>
        <v>0</v>
      </c>
      <c r="AE330" s="281">
        <f>TABLA_BASE[[#This Row],[TOTAL PAGO
SUNAT
UNIT.(US$)]]*'📋 Datos Generales'!$E$19</f>
        <v>0</v>
      </c>
      <c r="AF330" s="281">
        <f>TABLA_BASE[[#This Row],[TOTAL TRIB.
UNIT.(S/.)]]*TABLA_BASE[[#This Row],[CANTIDAD
(unid.)]]</f>
        <v>0</v>
      </c>
      <c r="AG330" s="279">
        <f>IF('🧾 Factura Comercial'!G334=0,0,'📦 Gastos Importación'!$E$28*(IF('🧾 Tributos Aduana'!$F$6=0,0,'🧾 Factura Comercial'!I334/'🧾 Tributos Aduana'!$F$6))/'🧾 Factura Comercial'!G334)</f>
        <v>0</v>
      </c>
      <c r="AH330" s="279">
        <f>TABLA_BASE[[#This Row],[GASTOS IMP.
UNIT.(US$)]]*TABLA_BASE[[#This Row],[CANTIDAD
(unid.)]]</f>
        <v>0</v>
      </c>
      <c r="AI330" s="281">
        <f>TABLA_BASE[[#This Row],[GASTOS IMP.
UNIT.(US$)]]*'📋 Datos Generales'!$E$19</f>
        <v>0</v>
      </c>
      <c r="AJ330" s="281">
        <f>TABLA_BASE[[#This Row],[GASTOS IMP.
UNIT.(S/.)]]*TABLA_BASE[[#This Row],[CANTIDAD
(unid.)]]</f>
        <v>0</v>
      </c>
      <c r="AK330" s="280">
        <f>'🧮 Costos x Producto'!J334</f>
        <v>0</v>
      </c>
      <c r="AL330" s="278">
        <f>'🧮 Costos x Producto'!K334</f>
        <v>0</v>
      </c>
      <c r="AM330" s="278">
        <f>TABLA_BASE[[#This Row],[C/M UNIT.
(S/.)]]*TABLA_BASE[[#This Row],[CANTIDAD
(unid.)]]</f>
        <v>0</v>
      </c>
      <c r="AN330" s="279">
        <f>IF('🧾 Factura Comercial'!G334=0,0,'🧾 Tributos Aduana'!$F$17*(IF('🧾 Tributos Aduana'!$F$6=0,0,'🧾 Factura Comercial'!I334/'🧾 Tributos Aduana'!$F$6))/'🧾 Factura Comercial'!G334)</f>
        <v>0</v>
      </c>
      <c r="AO330" s="280">
        <f>IF('🧾 Factura Comercial'!G334=0,0,'🏦 Crédito Fiscal'!$C$16*(IF('🧾 Tributos Aduana'!$F$6=0,0,'🧾 Factura Comercial'!I334/'🧾 Tributos Aduana'!$F$6))/'🧾 Factura Comercial'!G334)</f>
        <v>0</v>
      </c>
      <c r="AP330" s="278">
        <f>TABLA_BASE[[#This Row],[CF UNIT.
✅RECUP.
(US$)]]*'📋 Datos Generales'!$E$19</f>
        <v>0</v>
      </c>
      <c r="AQ330" s="278">
        <f>TABLA_BASE[[#This Row],[CF UNIT.
✅RECUP.(S/.)]]*TABLA_BASE[[#This Row],[CANTIDAD
(unid.)]]</f>
        <v>0</v>
      </c>
      <c r="AR330" s="288">
        <f>'💰 Precio de Venta'!G335</f>
        <v>0.4</v>
      </c>
      <c r="AS330" s="278">
        <f>'💰 Precio de Venta'!H335</f>
        <v>0</v>
      </c>
      <c r="AT330" s="278">
        <f>TABLA_BASE[[#This Row],[VALOR VTA.
UNIT.(S/.)]]*TABLA_BASE[[#This Row],[CANTIDAD
(unid.)]]</f>
        <v>0</v>
      </c>
      <c r="AU330" s="281">
        <f>'💰 Precio de Venta'!I335</f>
        <v>0</v>
      </c>
      <c r="AV330" s="278">
        <f>'💰 Precio de Venta'!J335</f>
        <v>0</v>
      </c>
      <c r="AW330" s="278">
        <f>TABLA_BASE[[#This Row],[GANANCIA
UNIT.(S/.)]]*TABLA_BASE[[#This Row],[CANTIDAD
(unid.)]]</f>
        <v>0</v>
      </c>
      <c r="AX330" s="289">
        <f>'💰 Precio de Venta'!K335</f>
        <v>0</v>
      </c>
      <c r="AY330" s="278">
        <f>TABLA_BASE[[#This Row],[GANANCIA
UNIT.(S/.)]]*'🧾 Factura Comercial'!G334</f>
        <v>0</v>
      </c>
      <c r="AZ330" s="277">
        <f>IF(TABLA_BASE[[#This Row],[PRECIO VTA.
c/IGV(S/.)]]=0,0,TABLA_BASE[[#This Row],[GANANCIA
UNIT.(S/.)]]/TABLA_BASE[[#This Row],[PRECIO VTA.
c/IGV(S/.)]])</f>
        <v>0</v>
      </c>
      <c r="BA330" s="277">
        <f>IF(TABLA_BASE[[#This Row],[C/M UNIT.
(S/.)]]=0,0,TABLA_BASE[[#This Row],[GANANCIA
UNIT.(S/.)]]/TABLA_BASE[[#This Row],[C/M UNIT.
(S/.)]])</f>
        <v>0</v>
      </c>
      <c r="BB330" s="274" t="str">
        <f>IF(TABLA_BASE[[#This Row],[MARGEN
%]]&gt;=0.5,"🟢 ALTO",IF(TABLA_BASE[[#This Row],[MARGEN
%]]&gt;=0.3,"🟡 MEDIO","🔴 BAJO"))</f>
        <v>🟡 MEDIO</v>
      </c>
    </row>
    <row r="331" spans="1:54" ht="16.5" hidden="1" thickTop="1" thickBot="1" x14ac:dyDescent="0.3">
      <c r="A331" s="274">
        <f>'🧾 Factura Comercial'!E335</f>
        <v>0</v>
      </c>
      <c r="B331" s="274" t="str">
        <f>'🧾 Factura Comercial'!F335</f>
        <v>Unid.</v>
      </c>
      <c r="C331" s="275">
        <f>'🧾 Factura Comercial'!G335</f>
        <v>0</v>
      </c>
      <c r="D331" s="276">
        <f>'🧾 Factura Comercial'!H335</f>
        <v>0</v>
      </c>
      <c r="E331" s="276">
        <f>'🧾 Factura Comercial'!I335</f>
        <v>0</v>
      </c>
      <c r="F331" s="277">
        <f>IF('🧾 Tributos Aduana'!$F$6=0,0,'🧾 Factura Comercial'!I335/'🧾 Tributos Aduana'!$F$6)</f>
        <v>0</v>
      </c>
      <c r="G331" s="278">
        <f>'🧾 Factura Comercial'!H335*'📋 Datos Generales'!$E$19</f>
        <v>0</v>
      </c>
      <c r="H331" s="278">
        <f>TABLA_BASE[[#This Row],[FOB UNIT.
(S/.)]]*TABLA_BASE[[#This Row],[CANTIDAD
(unid.)]]</f>
        <v>0</v>
      </c>
      <c r="I331" s="280">
        <f>IF('🧾 Tributos Aduana'!$F$6=0,0,'🧾 Tributos Aduana'!$F$17*('🧾 Factura Comercial'!H335/'🧾 Tributos Aduana'!$F$6))</f>
        <v>0</v>
      </c>
      <c r="J331" s="280">
        <f>TABLA_BASE[[#This Row],[ADV UNIT.
(US$)
⚠️COSTO]]*TABLA_BASE[[#This Row],[CANTIDAD
(unid.)]]</f>
        <v>0</v>
      </c>
      <c r="K331" s="279">
        <f>IF('🧾 Tributos Aduana'!$F$6=0,0,'🧾 Tributos Aduana'!$F$18*('🧾 Factura Comercial'!H335/'🧾 Tributos Aduana'!$F$6))</f>
        <v>0</v>
      </c>
      <c r="L331" s="280">
        <f>TABLA_BASE[[#This Row],[IPM UNIT.
(US$)
✅CF]]*TABLA_BASE[[#This Row],[CANTIDAD
(unid.)]]</f>
        <v>0</v>
      </c>
      <c r="M331" s="279">
        <f>IF('🧾 Tributos Aduana'!$F$6=0,0,'🧾 Tributos Aduana'!$F$19*('🧾 Factura Comercial'!H335/'🧾 Tributos Aduana'!$F$6))</f>
        <v>0</v>
      </c>
      <c r="N331" s="280">
        <f>TABLA_BASE[[#This Row],[IGV UNIT.
(US$)
✅CF]]*TABLA_BASE[[#This Row],[CANTIDAD
(unid.)]]</f>
        <v>0</v>
      </c>
      <c r="O331" s="280">
        <f>IF('🧾 Tributos Aduana'!$F$6=0,0,'🧾 Tributos Aduana'!$F$23*('🧾 Factura Comercial'!H335/'🧾 Tributos Aduana'!$F$6))</f>
        <v>0</v>
      </c>
      <c r="P331" s="280">
        <f>TABLA_BASE[[#This Row],[PERCEP.
UNIT.(US$)
✅CF]]*TABLA_BASE[[#This Row],[CANTIDAD
(unid.)]]</f>
        <v>0</v>
      </c>
      <c r="Q331" s="279">
        <f>TABLA_BASE[[#This Row],[ADV UNIT.
(US$)
⚠️COSTO]]+TABLA_BASE[[#This Row],[IPM UNIT.
(US$)
✅CF]]+TABLA_BASE[[#This Row],[IGV UNIT.
(US$)
✅CF]]</f>
        <v>0</v>
      </c>
      <c r="R331" s="280">
        <f>TABLA_BASE[[#This Row],[DEUDA
ADUANERA
UNIT.]]*TABLA_BASE[[#This Row],[CANTIDAD
(unid.)]]</f>
        <v>0</v>
      </c>
      <c r="S331" s="278">
        <f>TABLA_BASE[[#This Row],[DEUDA
ADUANERA
UNIT.]]*'📋 Datos Generales'!$E$19</f>
        <v>0</v>
      </c>
      <c r="T331" s="278">
        <f>TABLA_BASE[[#This Row],[DEUDA
ADUANERA
TOTAL]]*'📋 Datos Generales'!$E$19</f>
        <v>0</v>
      </c>
      <c r="U331" s="281">
        <f>TABLA_BASE[[#This Row],[ADV UNIT.
(US$)
⚠️COSTO]]*'📋 Datos Generales'!$E$19</f>
        <v>0</v>
      </c>
      <c r="V331" s="281">
        <f>TABLA_BASE[[#This Row],[ADV UNIT.
(S/.)]]*TABLA_BASE[[#This Row],[CANTIDAD
(unid.)]]</f>
        <v>0</v>
      </c>
      <c r="W331" s="281">
        <f>TABLA_BASE[[#This Row],[IPM UNIT.
(US$)
✅CF]]*'📋 Datos Generales'!$E$19</f>
        <v>0</v>
      </c>
      <c r="X331" s="281">
        <f>TABLA_BASE[[#This Row],[IPM UNIT.
(S/.)]]*TABLA_BASE[[#This Row],[CANTIDAD
(unid.)]]</f>
        <v>0</v>
      </c>
      <c r="Y331" s="281">
        <f>TABLA_BASE[[#This Row],[IGV UNIT.
(US$)
✅CF]]*'📋 Datos Generales'!$E$19</f>
        <v>0</v>
      </c>
      <c r="Z331" s="281">
        <f>TABLA_BASE[[#This Row],[IGV UNIT.
(S/.)]]*TABLA_BASE[[#This Row],[CANTIDAD
(unid.)]]</f>
        <v>0</v>
      </c>
      <c r="AA331" s="281">
        <f>TABLA_BASE[[#This Row],[PERCEP.
UNIT.(US$)
✅CF]]*'📋 Datos Generales'!$E$19</f>
        <v>0</v>
      </c>
      <c r="AB331" s="281">
        <f>TABLA_BASE[[#This Row],[PERCEP.
UNIT.(S/.)]]*TABLA_BASE[[#This Row],[CANTIDAD
(unid.)]]</f>
        <v>0</v>
      </c>
      <c r="AC331" s="279">
        <f>TABLA_BASE[[#This Row],[ADV UNIT.
(US$)
⚠️COSTO]]+TABLA_BASE[[#This Row],[IPM UNIT.
(US$)
✅CF]]+TABLA_BASE[[#This Row],[IGV UNIT.
(US$)
✅CF]]+TABLA_BASE[[#This Row],[PERCEP.
UNIT.(US$)
✅CF]]</f>
        <v>0</v>
      </c>
      <c r="AD331" s="279">
        <f>TABLA_BASE[[#This Row],[TOTAL PAGO
SUNAT
UNIT.(US$)]]*TABLA_BASE[[#This Row],[CANTIDAD
(unid.)]]</f>
        <v>0</v>
      </c>
      <c r="AE331" s="281">
        <f>TABLA_BASE[[#This Row],[TOTAL PAGO
SUNAT
UNIT.(US$)]]*'📋 Datos Generales'!$E$19</f>
        <v>0</v>
      </c>
      <c r="AF331" s="281">
        <f>TABLA_BASE[[#This Row],[TOTAL TRIB.
UNIT.(S/.)]]*TABLA_BASE[[#This Row],[CANTIDAD
(unid.)]]</f>
        <v>0</v>
      </c>
      <c r="AG331" s="279">
        <f>IF('🧾 Factura Comercial'!G335=0,0,'📦 Gastos Importación'!$E$28*(IF('🧾 Tributos Aduana'!$F$6=0,0,'🧾 Factura Comercial'!I335/'🧾 Tributos Aduana'!$F$6))/'🧾 Factura Comercial'!G335)</f>
        <v>0</v>
      </c>
      <c r="AH331" s="279">
        <f>TABLA_BASE[[#This Row],[GASTOS IMP.
UNIT.(US$)]]*TABLA_BASE[[#This Row],[CANTIDAD
(unid.)]]</f>
        <v>0</v>
      </c>
      <c r="AI331" s="281">
        <f>TABLA_BASE[[#This Row],[GASTOS IMP.
UNIT.(US$)]]*'📋 Datos Generales'!$E$19</f>
        <v>0</v>
      </c>
      <c r="AJ331" s="281">
        <f>TABLA_BASE[[#This Row],[GASTOS IMP.
UNIT.(S/.)]]*TABLA_BASE[[#This Row],[CANTIDAD
(unid.)]]</f>
        <v>0</v>
      </c>
      <c r="AK331" s="280">
        <f>'🧮 Costos x Producto'!J335</f>
        <v>0</v>
      </c>
      <c r="AL331" s="278">
        <f>'🧮 Costos x Producto'!K335</f>
        <v>0</v>
      </c>
      <c r="AM331" s="278">
        <f>TABLA_BASE[[#This Row],[C/M UNIT.
(S/.)]]*TABLA_BASE[[#This Row],[CANTIDAD
(unid.)]]</f>
        <v>0</v>
      </c>
      <c r="AN331" s="279">
        <f>IF('🧾 Factura Comercial'!G335=0,0,'🧾 Tributos Aduana'!$F$17*(IF('🧾 Tributos Aduana'!$F$6=0,0,'🧾 Factura Comercial'!I335/'🧾 Tributos Aduana'!$F$6))/'🧾 Factura Comercial'!G335)</f>
        <v>0</v>
      </c>
      <c r="AO331" s="280">
        <f>IF('🧾 Factura Comercial'!G335=0,0,'🏦 Crédito Fiscal'!$C$16*(IF('🧾 Tributos Aduana'!$F$6=0,0,'🧾 Factura Comercial'!I335/'🧾 Tributos Aduana'!$F$6))/'🧾 Factura Comercial'!G335)</f>
        <v>0</v>
      </c>
      <c r="AP331" s="278">
        <f>TABLA_BASE[[#This Row],[CF UNIT.
✅RECUP.
(US$)]]*'📋 Datos Generales'!$E$19</f>
        <v>0</v>
      </c>
      <c r="AQ331" s="278">
        <f>TABLA_BASE[[#This Row],[CF UNIT.
✅RECUP.(S/.)]]*TABLA_BASE[[#This Row],[CANTIDAD
(unid.)]]</f>
        <v>0</v>
      </c>
      <c r="AR331" s="288">
        <f>'💰 Precio de Venta'!G336</f>
        <v>0.4</v>
      </c>
      <c r="AS331" s="278">
        <f>'💰 Precio de Venta'!H336</f>
        <v>0</v>
      </c>
      <c r="AT331" s="278">
        <f>TABLA_BASE[[#This Row],[VALOR VTA.
UNIT.(S/.)]]*TABLA_BASE[[#This Row],[CANTIDAD
(unid.)]]</f>
        <v>0</v>
      </c>
      <c r="AU331" s="281">
        <f>'💰 Precio de Venta'!I336</f>
        <v>0</v>
      </c>
      <c r="AV331" s="278">
        <f>'💰 Precio de Venta'!J336</f>
        <v>0</v>
      </c>
      <c r="AW331" s="278">
        <f>TABLA_BASE[[#This Row],[GANANCIA
UNIT.(S/.)]]*TABLA_BASE[[#This Row],[CANTIDAD
(unid.)]]</f>
        <v>0</v>
      </c>
      <c r="AX331" s="289">
        <f>'💰 Precio de Venta'!K336</f>
        <v>0</v>
      </c>
      <c r="AY331" s="278">
        <f>TABLA_BASE[[#This Row],[GANANCIA
UNIT.(S/.)]]*'🧾 Factura Comercial'!G335</f>
        <v>0</v>
      </c>
      <c r="AZ331" s="277">
        <f>IF(TABLA_BASE[[#This Row],[PRECIO VTA.
c/IGV(S/.)]]=0,0,TABLA_BASE[[#This Row],[GANANCIA
UNIT.(S/.)]]/TABLA_BASE[[#This Row],[PRECIO VTA.
c/IGV(S/.)]])</f>
        <v>0</v>
      </c>
      <c r="BA331" s="277">
        <f>IF(TABLA_BASE[[#This Row],[C/M UNIT.
(S/.)]]=0,0,TABLA_BASE[[#This Row],[GANANCIA
UNIT.(S/.)]]/TABLA_BASE[[#This Row],[C/M UNIT.
(S/.)]])</f>
        <v>0</v>
      </c>
      <c r="BB331" s="274" t="str">
        <f>IF(TABLA_BASE[[#This Row],[MARGEN
%]]&gt;=0.5,"🟢 ALTO",IF(TABLA_BASE[[#This Row],[MARGEN
%]]&gt;=0.3,"🟡 MEDIO","🔴 BAJO"))</f>
        <v>🟡 MEDIO</v>
      </c>
    </row>
    <row r="332" spans="1:54" ht="16.5" hidden="1" thickTop="1" thickBot="1" x14ac:dyDescent="0.3">
      <c r="A332" s="274">
        <f>'🧾 Factura Comercial'!E336</f>
        <v>0</v>
      </c>
      <c r="B332" s="274" t="str">
        <f>'🧾 Factura Comercial'!F336</f>
        <v>Unid.</v>
      </c>
      <c r="C332" s="275">
        <f>'🧾 Factura Comercial'!G336</f>
        <v>0</v>
      </c>
      <c r="D332" s="276">
        <f>'🧾 Factura Comercial'!H336</f>
        <v>0</v>
      </c>
      <c r="E332" s="276">
        <f>'🧾 Factura Comercial'!I336</f>
        <v>0</v>
      </c>
      <c r="F332" s="277">
        <f>IF('🧾 Tributos Aduana'!$F$6=0,0,'🧾 Factura Comercial'!I336/'🧾 Tributos Aduana'!$F$6)</f>
        <v>0</v>
      </c>
      <c r="G332" s="278">
        <f>'🧾 Factura Comercial'!H336*'📋 Datos Generales'!$E$19</f>
        <v>0</v>
      </c>
      <c r="H332" s="278">
        <f>TABLA_BASE[[#This Row],[FOB UNIT.
(S/.)]]*TABLA_BASE[[#This Row],[CANTIDAD
(unid.)]]</f>
        <v>0</v>
      </c>
      <c r="I332" s="280">
        <f>IF('🧾 Tributos Aduana'!$F$6=0,0,'🧾 Tributos Aduana'!$F$17*('🧾 Factura Comercial'!H336/'🧾 Tributos Aduana'!$F$6))</f>
        <v>0</v>
      </c>
      <c r="J332" s="280">
        <f>TABLA_BASE[[#This Row],[ADV UNIT.
(US$)
⚠️COSTO]]*TABLA_BASE[[#This Row],[CANTIDAD
(unid.)]]</f>
        <v>0</v>
      </c>
      <c r="K332" s="279">
        <f>IF('🧾 Tributos Aduana'!$F$6=0,0,'🧾 Tributos Aduana'!$F$18*('🧾 Factura Comercial'!H336/'🧾 Tributos Aduana'!$F$6))</f>
        <v>0</v>
      </c>
      <c r="L332" s="280">
        <f>TABLA_BASE[[#This Row],[IPM UNIT.
(US$)
✅CF]]*TABLA_BASE[[#This Row],[CANTIDAD
(unid.)]]</f>
        <v>0</v>
      </c>
      <c r="M332" s="279">
        <f>IF('🧾 Tributos Aduana'!$F$6=0,0,'🧾 Tributos Aduana'!$F$19*('🧾 Factura Comercial'!H336/'🧾 Tributos Aduana'!$F$6))</f>
        <v>0</v>
      </c>
      <c r="N332" s="280">
        <f>TABLA_BASE[[#This Row],[IGV UNIT.
(US$)
✅CF]]*TABLA_BASE[[#This Row],[CANTIDAD
(unid.)]]</f>
        <v>0</v>
      </c>
      <c r="O332" s="280">
        <f>IF('🧾 Tributos Aduana'!$F$6=0,0,'🧾 Tributos Aduana'!$F$23*('🧾 Factura Comercial'!H336/'🧾 Tributos Aduana'!$F$6))</f>
        <v>0</v>
      </c>
      <c r="P332" s="280">
        <f>TABLA_BASE[[#This Row],[PERCEP.
UNIT.(US$)
✅CF]]*TABLA_BASE[[#This Row],[CANTIDAD
(unid.)]]</f>
        <v>0</v>
      </c>
      <c r="Q332" s="279">
        <f>TABLA_BASE[[#This Row],[ADV UNIT.
(US$)
⚠️COSTO]]+TABLA_BASE[[#This Row],[IPM UNIT.
(US$)
✅CF]]+TABLA_BASE[[#This Row],[IGV UNIT.
(US$)
✅CF]]</f>
        <v>0</v>
      </c>
      <c r="R332" s="280">
        <f>TABLA_BASE[[#This Row],[DEUDA
ADUANERA
UNIT.]]*TABLA_BASE[[#This Row],[CANTIDAD
(unid.)]]</f>
        <v>0</v>
      </c>
      <c r="S332" s="278">
        <f>TABLA_BASE[[#This Row],[DEUDA
ADUANERA
UNIT.]]*'📋 Datos Generales'!$E$19</f>
        <v>0</v>
      </c>
      <c r="T332" s="278">
        <f>TABLA_BASE[[#This Row],[DEUDA
ADUANERA
TOTAL]]*'📋 Datos Generales'!$E$19</f>
        <v>0</v>
      </c>
      <c r="U332" s="281">
        <f>TABLA_BASE[[#This Row],[ADV UNIT.
(US$)
⚠️COSTO]]*'📋 Datos Generales'!$E$19</f>
        <v>0</v>
      </c>
      <c r="V332" s="281">
        <f>TABLA_BASE[[#This Row],[ADV UNIT.
(S/.)]]*TABLA_BASE[[#This Row],[CANTIDAD
(unid.)]]</f>
        <v>0</v>
      </c>
      <c r="W332" s="281">
        <f>TABLA_BASE[[#This Row],[IPM UNIT.
(US$)
✅CF]]*'📋 Datos Generales'!$E$19</f>
        <v>0</v>
      </c>
      <c r="X332" s="281">
        <f>TABLA_BASE[[#This Row],[IPM UNIT.
(S/.)]]*TABLA_BASE[[#This Row],[CANTIDAD
(unid.)]]</f>
        <v>0</v>
      </c>
      <c r="Y332" s="281">
        <f>TABLA_BASE[[#This Row],[IGV UNIT.
(US$)
✅CF]]*'📋 Datos Generales'!$E$19</f>
        <v>0</v>
      </c>
      <c r="Z332" s="281">
        <f>TABLA_BASE[[#This Row],[IGV UNIT.
(S/.)]]*TABLA_BASE[[#This Row],[CANTIDAD
(unid.)]]</f>
        <v>0</v>
      </c>
      <c r="AA332" s="281">
        <f>TABLA_BASE[[#This Row],[PERCEP.
UNIT.(US$)
✅CF]]*'📋 Datos Generales'!$E$19</f>
        <v>0</v>
      </c>
      <c r="AB332" s="281">
        <f>TABLA_BASE[[#This Row],[PERCEP.
UNIT.(S/.)]]*TABLA_BASE[[#This Row],[CANTIDAD
(unid.)]]</f>
        <v>0</v>
      </c>
      <c r="AC332" s="279">
        <f>TABLA_BASE[[#This Row],[ADV UNIT.
(US$)
⚠️COSTO]]+TABLA_BASE[[#This Row],[IPM UNIT.
(US$)
✅CF]]+TABLA_BASE[[#This Row],[IGV UNIT.
(US$)
✅CF]]+TABLA_BASE[[#This Row],[PERCEP.
UNIT.(US$)
✅CF]]</f>
        <v>0</v>
      </c>
      <c r="AD332" s="279">
        <f>TABLA_BASE[[#This Row],[TOTAL PAGO
SUNAT
UNIT.(US$)]]*TABLA_BASE[[#This Row],[CANTIDAD
(unid.)]]</f>
        <v>0</v>
      </c>
      <c r="AE332" s="281">
        <f>TABLA_BASE[[#This Row],[TOTAL PAGO
SUNAT
UNIT.(US$)]]*'📋 Datos Generales'!$E$19</f>
        <v>0</v>
      </c>
      <c r="AF332" s="281">
        <f>TABLA_BASE[[#This Row],[TOTAL TRIB.
UNIT.(S/.)]]*TABLA_BASE[[#This Row],[CANTIDAD
(unid.)]]</f>
        <v>0</v>
      </c>
      <c r="AG332" s="279">
        <f>IF('🧾 Factura Comercial'!G336=0,0,'📦 Gastos Importación'!$E$28*(IF('🧾 Tributos Aduana'!$F$6=0,0,'🧾 Factura Comercial'!I336/'🧾 Tributos Aduana'!$F$6))/'🧾 Factura Comercial'!G336)</f>
        <v>0</v>
      </c>
      <c r="AH332" s="279">
        <f>TABLA_BASE[[#This Row],[GASTOS IMP.
UNIT.(US$)]]*TABLA_BASE[[#This Row],[CANTIDAD
(unid.)]]</f>
        <v>0</v>
      </c>
      <c r="AI332" s="281">
        <f>TABLA_BASE[[#This Row],[GASTOS IMP.
UNIT.(US$)]]*'📋 Datos Generales'!$E$19</f>
        <v>0</v>
      </c>
      <c r="AJ332" s="281">
        <f>TABLA_BASE[[#This Row],[GASTOS IMP.
UNIT.(S/.)]]*TABLA_BASE[[#This Row],[CANTIDAD
(unid.)]]</f>
        <v>0</v>
      </c>
      <c r="AK332" s="280">
        <f>'🧮 Costos x Producto'!J336</f>
        <v>0</v>
      </c>
      <c r="AL332" s="278">
        <f>'🧮 Costos x Producto'!K336</f>
        <v>0</v>
      </c>
      <c r="AM332" s="278">
        <f>TABLA_BASE[[#This Row],[C/M UNIT.
(S/.)]]*TABLA_BASE[[#This Row],[CANTIDAD
(unid.)]]</f>
        <v>0</v>
      </c>
      <c r="AN332" s="279">
        <f>IF('🧾 Factura Comercial'!G336=0,0,'🧾 Tributos Aduana'!$F$17*(IF('🧾 Tributos Aduana'!$F$6=0,0,'🧾 Factura Comercial'!I336/'🧾 Tributos Aduana'!$F$6))/'🧾 Factura Comercial'!G336)</f>
        <v>0</v>
      </c>
      <c r="AO332" s="280">
        <f>IF('🧾 Factura Comercial'!G336=0,0,'🏦 Crédito Fiscal'!$C$16*(IF('🧾 Tributos Aduana'!$F$6=0,0,'🧾 Factura Comercial'!I336/'🧾 Tributos Aduana'!$F$6))/'🧾 Factura Comercial'!G336)</f>
        <v>0</v>
      </c>
      <c r="AP332" s="278">
        <f>TABLA_BASE[[#This Row],[CF UNIT.
✅RECUP.
(US$)]]*'📋 Datos Generales'!$E$19</f>
        <v>0</v>
      </c>
      <c r="AQ332" s="278">
        <f>TABLA_BASE[[#This Row],[CF UNIT.
✅RECUP.(S/.)]]*TABLA_BASE[[#This Row],[CANTIDAD
(unid.)]]</f>
        <v>0</v>
      </c>
      <c r="AR332" s="288">
        <f>'💰 Precio de Venta'!G337</f>
        <v>0.4</v>
      </c>
      <c r="AS332" s="278">
        <f>'💰 Precio de Venta'!H337</f>
        <v>0</v>
      </c>
      <c r="AT332" s="278">
        <f>TABLA_BASE[[#This Row],[VALOR VTA.
UNIT.(S/.)]]*TABLA_BASE[[#This Row],[CANTIDAD
(unid.)]]</f>
        <v>0</v>
      </c>
      <c r="AU332" s="281">
        <f>'💰 Precio de Venta'!I337</f>
        <v>0</v>
      </c>
      <c r="AV332" s="278">
        <f>'💰 Precio de Venta'!J337</f>
        <v>0</v>
      </c>
      <c r="AW332" s="278">
        <f>TABLA_BASE[[#This Row],[GANANCIA
UNIT.(S/.)]]*TABLA_BASE[[#This Row],[CANTIDAD
(unid.)]]</f>
        <v>0</v>
      </c>
      <c r="AX332" s="289">
        <f>'💰 Precio de Venta'!K337</f>
        <v>0</v>
      </c>
      <c r="AY332" s="278">
        <f>TABLA_BASE[[#This Row],[GANANCIA
UNIT.(S/.)]]*'🧾 Factura Comercial'!G336</f>
        <v>0</v>
      </c>
      <c r="AZ332" s="277">
        <f>IF(TABLA_BASE[[#This Row],[PRECIO VTA.
c/IGV(S/.)]]=0,0,TABLA_BASE[[#This Row],[GANANCIA
UNIT.(S/.)]]/TABLA_BASE[[#This Row],[PRECIO VTA.
c/IGV(S/.)]])</f>
        <v>0</v>
      </c>
      <c r="BA332" s="277">
        <f>IF(TABLA_BASE[[#This Row],[C/M UNIT.
(S/.)]]=0,0,TABLA_BASE[[#This Row],[GANANCIA
UNIT.(S/.)]]/TABLA_BASE[[#This Row],[C/M UNIT.
(S/.)]])</f>
        <v>0</v>
      </c>
      <c r="BB332" s="274" t="str">
        <f>IF(TABLA_BASE[[#This Row],[MARGEN
%]]&gt;=0.5,"🟢 ALTO",IF(TABLA_BASE[[#This Row],[MARGEN
%]]&gt;=0.3,"🟡 MEDIO","🔴 BAJO"))</f>
        <v>🟡 MEDIO</v>
      </c>
    </row>
    <row r="333" spans="1:54" ht="16.5" hidden="1" thickTop="1" thickBot="1" x14ac:dyDescent="0.3">
      <c r="A333" s="274">
        <f>'🧾 Factura Comercial'!E337</f>
        <v>0</v>
      </c>
      <c r="B333" s="274" t="str">
        <f>'🧾 Factura Comercial'!F337</f>
        <v>Unid.</v>
      </c>
      <c r="C333" s="275">
        <f>'🧾 Factura Comercial'!G337</f>
        <v>0</v>
      </c>
      <c r="D333" s="276">
        <f>'🧾 Factura Comercial'!H337</f>
        <v>0</v>
      </c>
      <c r="E333" s="276">
        <f>'🧾 Factura Comercial'!I337</f>
        <v>0</v>
      </c>
      <c r="F333" s="277">
        <f>IF('🧾 Tributos Aduana'!$F$6=0,0,'🧾 Factura Comercial'!I337/'🧾 Tributos Aduana'!$F$6)</f>
        <v>0</v>
      </c>
      <c r="G333" s="278">
        <f>'🧾 Factura Comercial'!H337*'📋 Datos Generales'!$E$19</f>
        <v>0</v>
      </c>
      <c r="H333" s="278">
        <f>TABLA_BASE[[#This Row],[FOB UNIT.
(S/.)]]*TABLA_BASE[[#This Row],[CANTIDAD
(unid.)]]</f>
        <v>0</v>
      </c>
      <c r="I333" s="280">
        <f>IF('🧾 Tributos Aduana'!$F$6=0,0,'🧾 Tributos Aduana'!$F$17*('🧾 Factura Comercial'!H337/'🧾 Tributos Aduana'!$F$6))</f>
        <v>0</v>
      </c>
      <c r="J333" s="280">
        <f>TABLA_BASE[[#This Row],[ADV UNIT.
(US$)
⚠️COSTO]]*TABLA_BASE[[#This Row],[CANTIDAD
(unid.)]]</f>
        <v>0</v>
      </c>
      <c r="K333" s="279">
        <f>IF('🧾 Tributos Aduana'!$F$6=0,0,'🧾 Tributos Aduana'!$F$18*('🧾 Factura Comercial'!H337/'🧾 Tributos Aduana'!$F$6))</f>
        <v>0</v>
      </c>
      <c r="L333" s="280">
        <f>TABLA_BASE[[#This Row],[IPM UNIT.
(US$)
✅CF]]*TABLA_BASE[[#This Row],[CANTIDAD
(unid.)]]</f>
        <v>0</v>
      </c>
      <c r="M333" s="279">
        <f>IF('🧾 Tributos Aduana'!$F$6=0,0,'🧾 Tributos Aduana'!$F$19*('🧾 Factura Comercial'!H337/'🧾 Tributos Aduana'!$F$6))</f>
        <v>0</v>
      </c>
      <c r="N333" s="280">
        <f>TABLA_BASE[[#This Row],[IGV UNIT.
(US$)
✅CF]]*TABLA_BASE[[#This Row],[CANTIDAD
(unid.)]]</f>
        <v>0</v>
      </c>
      <c r="O333" s="280">
        <f>IF('🧾 Tributos Aduana'!$F$6=0,0,'🧾 Tributos Aduana'!$F$23*('🧾 Factura Comercial'!H337/'🧾 Tributos Aduana'!$F$6))</f>
        <v>0</v>
      </c>
      <c r="P333" s="280">
        <f>TABLA_BASE[[#This Row],[PERCEP.
UNIT.(US$)
✅CF]]*TABLA_BASE[[#This Row],[CANTIDAD
(unid.)]]</f>
        <v>0</v>
      </c>
      <c r="Q333" s="279">
        <f>TABLA_BASE[[#This Row],[ADV UNIT.
(US$)
⚠️COSTO]]+TABLA_BASE[[#This Row],[IPM UNIT.
(US$)
✅CF]]+TABLA_BASE[[#This Row],[IGV UNIT.
(US$)
✅CF]]</f>
        <v>0</v>
      </c>
      <c r="R333" s="280">
        <f>TABLA_BASE[[#This Row],[DEUDA
ADUANERA
UNIT.]]*TABLA_BASE[[#This Row],[CANTIDAD
(unid.)]]</f>
        <v>0</v>
      </c>
      <c r="S333" s="278">
        <f>TABLA_BASE[[#This Row],[DEUDA
ADUANERA
UNIT.]]*'📋 Datos Generales'!$E$19</f>
        <v>0</v>
      </c>
      <c r="T333" s="278">
        <f>TABLA_BASE[[#This Row],[DEUDA
ADUANERA
TOTAL]]*'📋 Datos Generales'!$E$19</f>
        <v>0</v>
      </c>
      <c r="U333" s="281">
        <f>TABLA_BASE[[#This Row],[ADV UNIT.
(US$)
⚠️COSTO]]*'📋 Datos Generales'!$E$19</f>
        <v>0</v>
      </c>
      <c r="V333" s="281">
        <f>TABLA_BASE[[#This Row],[ADV UNIT.
(S/.)]]*TABLA_BASE[[#This Row],[CANTIDAD
(unid.)]]</f>
        <v>0</v>
      </c>
      <c r="W333" s="281">
        <f>TABLA_BASE[[#This Row],[IPM UNIT.
(US$)
✅CF]]*'📋 Datos Generales'!$E$19</f>
        <v>0</v>
      </c>
      <c r="X333" s="281">
        <f>TABLA_BASE[[#This Row],[IPM UNIT.
(S/.)]]*TABLA_BASE[[#This Row],[CANTIDAD
(unid.)]]</f>
        <v>0</v>
      </c>
      <c r="Y333" s="281">
        <f>TABLA_BASE[[#This Row],[IGV UNIT.
(US$)
✅CF]]*'📋 Datos Generales'!$E$19</f>
        <v>0</v>
      </c>
      <c r="Z333" s="281">
        <f>TABLA_BASE[[#This Row],[IGV UNIT.
(S/.)]]*TABLA_BASE[[#This Row],[CANTIDAD
(unid.)]]</f>
        <v>0</v>
      </c>
      <c r="AA333" s="281">
        <f>TABLA_BASE[[#This Row],[PERCEP.
UNIT.(US$)
✅CF]]*'📋 Datos Generales'!$E$19</f>
        <v>0</v>
      </c>
      <c r="AB333" s="281">
        <f>TABLA_BASE[[#This Row],[PERCEP.
UNIT.(S/.)]]*TABLA_BASE[[#This Row],[CANTIDAD
(unid.)]]</f>
        <v>0</v>
      </c>
      <c r="AC333" s="279">
        <f>TABLA_BASE[[#This Row],[ADV UNIT.
(US$)
⚠️COSTO]]+TABLA_BASE[[#This Row],[IPM UNIT.
(US$)
✅CF]]+TABLA_BASE[[#This Row],[IGV UNIT.
(US$)
✅CF]]+TABLA_BASE[[#This Row],[PERCEP.
UNIT.(US$)
✅CF]]</f>
        <v>0</v>
      </c>
      <c r="AD333" s="279">
        <f>TABLA_BASE[[#This Row],[TOTAL PAGO
SUNAT
UNIT.(US$)]]*TABLA_BASE[[#This Row],[CANTIDAD
(unid.)]]</f>
        <v>0</v>
      </c>
      <c r="AE333" s="281">
        <f>TABLA_BASE[[#This Row],[TOTAL PAGO
SUNAT
UNIT.(US$)]]*'📋 Datos Generales'!$E$19</f>
        <v>0</v>
      </c>
      <c r="AF333" s="281">
        <f>TABLA_BASE[[#This Row],[TOTAL TRIB.
UNIT.(S/.)]]*TABLA_BASE[[#This Row],[CANTIDAD
(unid.)]]</f>
        <v>0</v>
      </c>
      <c r="AG333" s="279">
        <f>IF('🧾 Factura Comercial'!G337=0,0,'📦 Gastos Importación'!$E$28*(IF('🧾 Tributos Aduana'!$F$6=0,0,'🧾 Factura Comercial'!I337/'🧾 Tributos Aduana'!$F$6))/'🧾 Factura Comercial'!G337)</f>
        <v>0</v>
      </c>
      <c r="AH333" s="279">
        <f>TABLA_BASE[[#This Row],[GASTOS IMP.
UNIT.(US$)]]*TABLA_BASE[[#This Row],[CANTIDAD
(unid.)]]</f>
        <v>0</v>
      </c>
      <c r="AI333" s="281">
        <f>TABLA_BASE[[#This Row],[GASTOS IMP.
UNIT.(US$)]]*'📋 Datos Generales'!$E$19</f>
        <v>0</v>
      </c>
      <c r="AJ333" s="281">
        <f>TABLA_BASE[[#This Row],[GASTOS IMP.
UNIT.(S/.)]]*TABLA_BASE[[#This Row],[CANTIDAD
(unid.)]]</f>
        <v>0</v>
      </c>
      <c r="AK333" s="280">
        <f>'🧮 Costos x Producto'!J337</f>
        <v>0</v>
      </c>
      <c r="AL333" s="278">
        <f>'🧮 Costos x Producto'!K337</f>
        <v>0</v>
      </c>
      <c r="AM333" s="278">
        <f>TABLA_BASE[[#This Row],[C/M UNIT.
(S/.)]]*TABLA_BASE[[#This Row],[CANTIDAD
(unid.)]]</f>
        <v>0</v>
      </c>
      <c r="AN333" s="279">
        <f>IF('🧾 Factura Comercial'!G337=0,0,'🧾 Tributos Aduana'!$F$17*(IF('🧾 Tributos Aduana'!$F$6=0,0,'🧾 Factura Comercial'!I337/'🧾 Tributos Aduana'!$F$6))/'🧾 Factura Comercial'!G337)</f>
        <v>0</v>
      </c>
      <c r="AO333" s="280">
        <f>IF('🧾 Factura Comercial'!G337=0,0,'🏦 Crédito Fiscal'!$C$16*(IF('🧾 Tributos Aduana'!$F$6=0,0,'🧾 Factura Comercial'!I337/'🧾 Tributos Aduana'!$F$6))/'🧾 Factura Comercial'!G337)</f>
        <v>0</v>
      </c>
      <c r="AP333" s="278">
        <f>TABLA_BASE[[#This Row],[CF UNIT.
✅RECUP.
(US$)]]*'📋 Datos Generales'!$E$19</f>
        <v>0</v>
      </c>
      <c r="AQ333" s="278">
        <f>TABLA_BASE[[#This Row],[CF UNIT.
✅RECUP.(S/.)]]*TABLA_BASE[[#This Row],[CANTIDAD
(unid.)]]</f>
        <v>0</v>
      </c>
      <c r="AR333" s="288">
        <f>'💰 Precio de Venta'!G338</f>
        <v>0.4</v>
      </c>
      <c r="AS333" s="278">
        <f>'💰 Precio de Venta'!H338</f>
        <v>0</v>
      </c>
      <c r="AT333" s="278">
        <f>TABLA_BASE[[#This Row],[VALOR VTA.
UNIT.(S/.)]]*TABLA_BASE[[#This Row],[CANTIDAD
(unid.)]]</f>
        <v>0</v>
      </c>
      <c r="AU333" s="281">
        <f>'💰 Precio de Venta'!I338</f>
        <v>0</v>
      </c>
      <c r="AV333" s="278">
        <f>'💰 Precio de Venta'!J338</f>
        <v>0</v>
      </c>
      <c r="AW333" s="278">
        <f>TABLA_BASE[[#This Row],[GANANCIA
UNIT.(S/.)]]*TABLA_BASE[[#This Row],[CANTIDAD
(unid.)]]</f>
        <v>0</v>
      </c>
      <c r="AX333" s="289">
        <f>'💰 Precio de Venta'!K338</f>
        <v>0</v>
      </c>
      <c r="AY333" s="278">
        <f>TABLA_BASE[[#This Row],[GANANCIA
UNIT.(S/.)]]*'🧾 Factura Comercial'!G337</f>
        <v>0</v>
      </c>
      <c r="AZ333" s="277">
        <f>IF(TABLA_BASE[[#This Row],[PRECIO VTA.
c/IGV(S/.)]]=0,0,TABLA_BASE[[#This Row],[GANANCIA
UNIT.(S/.)]]/TABLA_BASE[[#This Row],[PRECIO VTA.
c/IGV(S/.)]])</f>
        <v>0</v>
      </c>
      <c r="BA333" s="277">
        <f>IF(TABLA_BASE[[#This Row],[C/M UNIT.
(S/.)]]=0,0,TABLA_BASE[[#This Row],[GANANCIA
UNIT.(S/.)]]/TABLA_BASE[[#This Row],[C/M UNIT.
(S/.)]])</f>
        <v>0</v>
      </c>
      <c r="BB333" s="274" t="str">
        <f>IF(TABLA_BASE[[#This Row],[MARGEN
%]]&gt;=0.5,"🟢 ALTO",IF(TABLA_BASE[[#This Row],[MARGEN
%]]&gt;=0.3,"🟡 MEDIO","🔴 BAJO"))</f>
        <v>🟡 MEDIO</v>
      </c>
    </row>
    <row r="334" spans="1:54" ht="16.5" hidden="1" thickTop="1" thickBot="1" x14ac:dyDescent="0.3">
      <c r="A334" s="274">
        <f>'🧾 Factura Comercial'!E338</f>
        <v>0</v>
      </c>
      <c r="B334" s="274" t="str">
        <f>'🧾 Factura Comercial'!F338</f>
        <v>Unid.</v>
      </c>
      <c r="C334" s="275">
        <f>'🧾 Factura Comercial'!G338</f>
        <v>0</v>
      </c>
      <c r="D334" s="276">
        <f>'🧾 Factura Comercial'!H338</f>
        <v>0</v>
      </c>
      <c r="E334" s="276">
        <f>'🧾 Factura Comercial'!I338</f>
        <v>0</v>
      </c>
      <c r="F334" s="277">
        <f>IF('🧾 Tributos Aduana'!$F$6=0,0,'🧾 Factura Comercial'!I338/'🧾 Tributos Aduana'!$F$6)</f>
        <v>0</v>
      </c>
      <c r="G334" s="278">
        <f>'🧾 Factura Comercial'!H338*'📋 Datos Generales'!$E$19</f>
        <v>0</v>
      </c>
      <c r="H334" s="278">
        <f>TABLA_BASE[[#This Row],[FOB UNIT.
(S/.)]]*TABLA_BASE[[#This Row],[CANTIDAD
(unid.)]]</f>
        <v>0</v>
      </c>
      <c r="I334" s="280">
        <f>IF('🧾 Tributos Aduana'!$F$6=0,0,'🧾 Tributos Aduana'!$F$17*('🧾 Factura Comercial'!H338/'🧾 Tributos Aduana'!$F$6))</f>
        <v>0</v>
      </c>
      <c r="J334" s="280">
        <f>TABLA_BASE[[#This Row],[ADV UNIT.
(US$)
⚠️COSTO]]*TABLA_BASE[[#This Row],[CANTIDAD
(unid.)]]</f>
        <v>0</v>
      </c>
      <c r="K334" s="279">
        <f>IF('🧾 Tributos Aduana'!$F$6=0,0,'🧾 Tributos Aduana'!$F$18*('🧾 Factura Comercial'!H338/'🧾 Tributos Aduana'!$F$6))</f>
        <v>0</v>
      </c>
      <c r="L334" s="280">
        <f>TABLA_BASE[[#This Row],[IPM UNIT.
(US$)
✅CF]]*TABLA_BASE[[#This Row],[CANTIDAD
(unid.)]]</f>
        <v>0</v>
      </c>
      <c r="M334" s="279">
        <f>IF('🧾 Tributos Aduana'!$F$6=0,0,'🧾 Tributos Aduana'!$F$19*('🧾 Factura Comercial'!H338/'🧾 Tributos Aduana'!$F$6))</f>
        <v>0</v>
      </c>
      <c r="N334" s="280">
        <f>TABLA_BASE[[#This Row],[IGV UNIT.
(US$)
✅CF]]*TABLA_BASE[[#This Row],[CANTIDAD
(unid.)]]</f>
        <v>0</v>
      </c>
      <c r="O334" s="280">
        <f>IF('🧾 Tributos Aduana'!$F$6=0,0,'🧾 Tributos Aduana'!$F$23*('🧾 Factura Comercial'!H338/'🧾 Tributos Aduana'!$F$6))</f>
        <v>0</v>
      </c>
      <c r="P334" s="280">
        <f>TABLA_BASE[[#This Row],[PERCEP.
UNIT.(US$)
✅CF]]*TABLA_BASE[[#This Row],[CANTIDAD
(unid.)]]</f>
        <v>0</v>
      </c>
      <c r="Q334" s="279">
        <f>TABLA_BASE[[#This Row],[ADV UNIT.
(US$)
⚠️COSTO]]+TABLA_BASE[[#This Row],[IPM UNIT.
(US$)
✅CF]]+TABLA_BASE[[#This Row],[IGV UNIT.
(US$)
✅CF]]</f>
        <v>0</v>
      </c>
      <c r="R334" s="280">
        <f>TABLA_BASE[[#This Row],[DEUDA
ADUANERA
UNIT.]]*TABLA_BASE[[#This Row],[CANTIDAD
(unid.)]]</f>
        <v>0</v>
      </c>
      <c r="S334" s="278">
        <f>TABLA_BASE[[#This Row],[DEUDA
ADUANERA
UNIT.]]*'📋 Datos Generales'!$E$19</f>
        <v>0</v>
      </c>
      <c r="T334" s="278">
        <f>TABLA_BASE[[#This Row],[DEUDA
ADUANERA
TOTAL]]*'📋 Datos Generales'!$E$19</f>
        <v>0</v>
      </c>
      <c r="U334" s="281">
        <f>TABLA_BASE[[#This Row],[ADV UNIT.
(US$)
⚠️COSTO]]*'📋 Datos Generales'!$E$19</f>
        <v>0</v>
      </c>
      <c r="V334" s="281">
        <f>TABLA_BASE[[#This Row],[ADV UNIT.
(S/.)]]*TABLA_BASE[[#This Row],[CANTIDAD
(unid.)]]</f>
        <v>0</v>
      </c>
      <c r="W334" s="281">
        <f>TABLA_BASE[[#This Row],[IPM UNIT.
(US$)
✅CF]]*'📋 Datos Generales'!$E$19</f>
        <v>0</v>
      </c>
      <c r="X334" s="281">
        <f>TABLA_BASE[[#This Row],[IPM UNIT.
(S/.)]]*TABLA_BASE[[#This Row],[CANTIDAD
(unid.)]]</f>
        <v>0</v>
      </c>
      <c r="Y334" s="281">
        <f>TABLA_BASE[[#This Row],[IGV UNIT.
(US$)
✅CF]]*'📋 Datos Generales'!$E$19</f>
        <v>0</v>
      </c>
      <c r="Z334" s="281">
        <f>TABLA_BASE[[#This Row],[IGV UNIT.
(S/.)]]*TABLA_BASE[[#This Row],[CANTIDAD
(unid.)]]</f>
        <v>0</v>
      </c>
      <c r="AA334" s="281">
        <f>TABLA_BASE[[#This Row],[PERCEP.
UNIT.(US$)
✅CF]]*'📋 Datos Generales'!$E$19</f>
        <v>0</v>
      </c>
      <c r="AB334" s="281">
        <f>TABLA_BASE[[#This Row],[PERCEP.
UNIT.(S/.)]]*TABLA_BASE[[#This Row],[CANTIDAD
(unid.)]]</f>
        <v>0</v>
      </c>
      <c r="AC334" s="279">
        <f>TABLA_BASE[[#This Row],[ADV UNIT.
(US$)
⚠️COSTO]]+TABLA_BASE[[#This Row],[IPM UNIT.
(US$)
✅CF]]+TABLA_BASE[[#This Row],[IGV UNIT.
(US$)
✅CF]]+TABLA_BASE[[#This Row],[PERCEP.
UNIT.(US$)
✅CF]]</f>
        <v>0</v>
      </c>
      <c r="AD334" s="279">
        <f>TABLA_BASE[[#This Row],[TOTAL PAGO
SUNAT
UNIT.(US$)]]*TABLA_BASE[[#This Row],[CANTIDAD
(unid.)]]</f>
        <v>0</v>
      </c>
      <c r="AE334" s="281">
        <f>TABLA_BASE[[#This Row],[TOTAL PAGO
SUNAT
UNIT.(US$)]]*'📋 Datos Generales'!$E$19</f>
        <v>0</v>
      </c>
      <c r="AF334" s="281">
        <f>TABLA_BASE[[#This Row],[TOTAL TRIB.
UNIT.(S/.)]]*TABLA_BASE[[#This Row],[CANTIDAD
(unid.)]]</f>
        <v>0</v>
      </c>
      <c r="AG334" s="279">
        <f>IF('🧾 Factura Comercial'!G338=0,0,'📦 Gastos Importación'!$E$28*(IF('🧾 Tributos Aduana'!$F$6=0,0,'🧾 Factura Comercial'!I338/'🧾 Tributos Aduana'!$F$6))/'🧾 Factura Comercial'!G338)</f>
        <v>0</v>
      </c>
      <c r="AH334" s="279">
        <f>TABLA_BASE[[#This Row],[GASTOS IMP.
UNIT.(US$)]]*TABLA_BASE[[#This Row],[CANTIDAD
(unid.)]]</f>
        <v>0</v>
      </c>
      <c r="AI334" s="281">
        <f>TABLA_BASE[[#This Row],[GASTOS IMP.
UNIT.(US$)]]*'📋 Datos Generales'!$E$19</f>
        <v>0</v>
      </c>
      <c r="AJ334" s="281">
        <f>TABLA_BASE[[#This Row],[GASTOS IMP.
UNIT.(S/.)]]*TABLA_BASE[[#This Row],[CANTIDAD
(unid.)]]</f>
        <v>0</v>
      </c>
      <c r="AK334" s="280">
        <f>'🧮 Costos x Producto'!J338</f>
        <v>0</v>
      </c>
      <c r="AL334" s="278">
        <f>'🧮 Costos x Producto'!K338</f>
        <v>0</v>
      </c>
      <c r="AM334" s="278">
        <f>TABLA_BASE[[#This Row],[C/M UNIT.
(S/.)]]*TABLA_BASE[[#This Row],[CANTIDAD
(unid.)]]</f>
        <v>0</v>
      </c>
      <c r="AN334" s="279">
        <f>IF('🧾 Factura Comercial'!G338=0,0,'🧾 Tributos Aduana'!$F$17*(IF('🧾 Tributos Aduana'!$F$6=0,0,'🧾 Factura Comercial'!I338/'🧾 Tributos Aduana'!$F$6))/'🧾 Factura Comercial'!G338)</f>
        <v>0</v>
      </c>
      <c r="AO334" s="280">
        <f>IF('🧾 Factura Comercial'!G338=0,0,'🏦 Crédito Fiscal'!$C$16*(IF('🧾 Tributos Aduana'!$F$6=0,0,'🧾 Factura Comercial'!I338/'🧾 Tributos Aduana'!$F$6))/'🧾 Factura Comercial'!G338)</f>
        <v>0</v>
      </c>
      <c r="AP334" s="278">
        <f>TABLA_BASE[[#This Row],[CF UNIT.
✅RECUP.
(US$)]]*'📋 Datos Generales'!$E$19</f>
        <v>0</v>
      </c>
      <c r="AQ334" s="278">
        <f>TABLA_BASE[[#This Row],[CF UNIT.
✅RECUP.(S/.)]]*TABLA_BASE[[#This Row],[CANTIDAD
(unid.)]]</f>
        <v>0</v>
      </c>
      <c r="AR334" s="288">
        <f>'💰 Precio de Venta'!G339</f>
        <v>0.4</v>
      </c>
      <c r="AS334" s="278">
        <f>'💰 Precio de Venta'!H339</f>
        <v>0</v>
      </c>
      <c r="AT334" s="278">
        <f>TABLA_BASE[[#This Row],[VALOR VTA.
UNIT.(S/.)]]*TABLA_BASE[[#This Row],[CANTIDAD
(unid.)]]</f>
        <v>0</v>
      </c>
      <c r="AU334" s="281">
        <f>'💰 Precio de Venta'!I339</f>
        <v>0</v>
      </c>
      <c r="AV334" s="278">
        <f>'💰 Precio de Venta'!J339</f>
        <v>0</v>
      </c>
      <c r="AW334" s="278">
        <f>TABLA_BASE[[#This Row],[GANANCIA
UNIT.(S/.)]]*TABLA_BASE[[#This Row],[CANTIDAD
(unid.)]]</f>
        <v>0</v>
      </c>
      <c r="AX334" s="289">
        <f>'💰 Precio de Venta'!K339</f>
        <v>0</v>
      </c>
      <c r="AY334" s="278">
        <f>TABLA_BASE[[#This Row],[GANANCIA
UNIT.(S/.)]]*'🧾 Factura Comercial'!G338</f>
        <v>0</v>
      </c>
      <c r="AZ334" s="277">
        <f>IF(TABLA_BASE[[#This Row],[PRECIO VTA.
c/IGV(S/.)]]=0,0,TABLA_BASE[[#This Row],[GANANCIA
UNIT.(S/.)]]/TABLA_BASE[[#This Row],[PRECIO VTA.
c/IGV(S/.)]])</f>
        <v>0</v>
      </c>
      <c r="BA334" s="277">
        <f>IF(TABLA_BASE[[#This Row],[C/M UNIT.
(S/.)]]=0,0,TABLA_BASE[[#This Row],[GANANCIA
UNIT.(S/.)]]/TABLA_BASE[[#This Row],[C/M UNIT.
(S/.)]])</f>
        <v>0</v>
      </c>
      <c r="BB334" s="274" t="str">
        <f>IF(TABLA_BASE[[#This Row],[MARGEN
%]]&gt;=0.5,"🟢 ALTO",IF(TABLA_BASE[[#This Row],[MARGEN
%]]&gt;=0.3,"🟡 MEDIO","🔴 BAJO"))</f>
        <v>🟡 MEDIO</v>
      </c>
    </row>
    <row r="335" spans="1:54" ht="16.5" hidden="1" thickTop="1" thickBot="1" x14ac:dyDescent="0.3">
      <c r="A335" s="274">
        <f>'🧾 Factura Comercial'!E339</f>
        <v>0</v>
      </c>
      <c r="B335" s="274" t="str">
        <f>'🧾 Factura Comercial'!F339</f>
        <v>Unid.</v>
      </c>
      <c r="C335" s="275">
        <f>'🧾 Factura Comercial'!G339</f>
        <v>0</v>
      </c>
      <c r="D335" s="276">
        <f>'🧾 Factura Comercial'!H339</f>
        <v>0</v>
      </c>
      <c r="E335" s="276">
        <f>'🧾 Factura Comercial'!I339</f>
        <v>0</v>
      </c>
      <c r="F335" s="277">
        <f>IF('🧾 Tributos Aduana'!$F$6=0,0,'🧾 Factura Comercial'!I339/'🧾 Tributos Aduana'!$F$6)</f>
        <v>0</v>
      </c>
      <c r="G335" s="278">
        <f>'🧾 Factura Comercial'!H339*'📋 Datos Generales'!$E$19</f>
        <v>0</v>
      </c>
      <c r="H335" s="278">
        <f>TABLA_BASE[[#This Row],[FOB UNIT.
(S/.)]]*TABLA_BASE[[#This Row],[CANTIDAD
(unid.)]]</f>
        <v>0</v>
      </c>
      <c r="I335" s="280">
        <f>IF('🧾 Tributos Aduana'!$F$6=0,0,'🧾 Tributos Aduana'!$F$17*('🧾 Factura Comercial'!H339/'🧾 Tributos Aduana'!$F$6))</f>
        <v>0</v>
      </c>
      <c r="J335" s="280">
        <f>TABLA_BASE[[#This Row],[ADV UNIT.
(US$)
⚠️COSTO]]*TABLA_BASE[[#This Row],[CANTIDAD
(unid.)]]</f>
        <v>0</v>
      </c>
      <c r="K335" s="279">
        <f>IF('🧾 Tributos Aduana'!$F$6=0,0,'🧾 Tributos Aduana'!$F$18*('🧾 Factura Comercial'!H339/'🧾 Tributos Aduana'!$F$6))</f>
        <v>0</v>
      </c>
      <c r="L335" s="280">
        <f>TABLA_BASE[[#This Row],[IPM UNIT.
(US$)
✅CF]]*TABLA_BASE[[#This Row],[CANTIDAD
(unid.)]]</f>
        <v>0</v>
      </c>
      <c r="M335" s="279">
        <f>IF('🧾 Tributos Aduana'!$F$6=0,0,'🧾 Tributos Aduana'!$F$19*('🧾 Factura Comercial'!H339/'🧾 Tributos Aduana'!$F$6))</f>
        <v>0</v>
      </c>
      <c r="N335" s="280">
        <f>TABLA_BASE[[#This Row],[IGV UNIT.
(US$)
✅CF]]*TABLA_BASE[[#This Row],[CANTIDAD
(unid.)]]</f>
        <v>0</v>
      </c>
      <c r="O335" s="280">
        <f>IF('🧾 Tributos Aduana'!$F$6=0,0,'🧾 Tributos Aduana'!$F$23*('🧾 Factura Comercial'!H339/'🧾 Tributos Aduana'!$F$6))</f>
        <v>0</v>
      </c>
      <c r="P335" s="280">
        <f>TABLA_BASE[[#This Row],[PERCEP.
UNIT.(US$)
✅CF]]*TABLA_BASE[[#This Row],[CANTIDAD
(unid.)]]</f>
        <v>0</v>
      </c>
      <c r="Q335" s="279">
        <f>TABLA_BASE[[#This Row],[ADV UNIT.
(US$)
⚠️COSTO]]+TABLA_BASE[[#This Row],[IPM UNIT.
(US$)
✅CF]]+TABLA_BASE[[#This Row],[IGV UNIT.
(US$)
✅CF]]</f>
        <v>0</v>
      </c>
      <c r="R335" s="280">
        <f>TABLA_BASE[[#This Row],[DEUDA
ADUANERA
UNIT.]]*TABLA_BASE[[#This Row],[CANTIDAD
(unid.)]]</f>
        <v>0</v>
      </c>
      <c r="S335" s="278">
        <f>TABLA_BASE[[#This Row],[DEUDA
ADUANERA
UNIT.]]*'📋 Datos Generales'!$E$19</f>
        <v>0</v>
      </c>
      <c r="T335" s="278">
        <f>TABLA_BASE[[#This Row],[DEUDA
ADUANERA
TOTAL]]*'📋 Datos Generales'!$E$19</f>
        <v>0</v>
      </c>
      <c r="U335" s="281">
        <f>TABLA_BASE[[#This Row],[ADV UNIT.
(US$)
⚠️COSTO]]*'📋 Datos Generales'!$E$19</f>
        <v>0</v>
      </c>
      <c r="V335" s="281">
        <f>TABLA_BASE[[#This Row],[ADV UNIT.
(S/.)]]*TABLA_BASE[[#This Row],[CANTIDAD
(unid.)]]</f>
        <v>0</v>
      </c>
      <c r="W335" s="281">
        <f>TABLA_BASE[[#This Row],[IPM UNIT.
(US$)
✅CF]]*'📋 Datos Generales'!$E$19</f>
        <v>0</v>
      </c>
      <c r="X335" s="281">
        <f>TABLA_BASE[[#This Row],[IPM UNIT.
(S/.)]]*TABLA_BASE[[#This Row],[CANTIDAD
(unid.)]]</f>
        <v>0</v>
      </c>
      <c r="Y335" s="281">
        <f>TABLA_BASE[[#This Row],[IGV UNIT.
(US$)
✅CF]]*'📋 Datos Generales'!$E$19</f>
        <v>0</v>
      </c>
      <c r="Z335" s="281">
        <f>TABLA_BASE[[#This Row],[IGV UNIT.
(S/.)]]*TABLA_BASE[[#This Row],[CANTIDAD
(unid.)]]</f>
        <v>0</v>
      </c>
      <c r="AA335" s="281">
        <f>TABLA_BASE[[#This Row],[PERCEP.
UNIT.(US$)
✅CF]]*'📋 Datos Generales'!$E$19</f>
        <v>0</v>
      </c>
      <c r="AB335" s="281">
        <f>TABLA_BASE[[#This Row],[PERCEP.
UNIT.(S/.)]]*TABLA_BASE[[#This Row],[CANTIDAD
(unid.)]]</f>
        <v>0</v>
      </c>
      <c r="AC335" s="279">
        <f>TABLA_BASE[[#This Row],[ADV UNIT.
(US$)
⚠️COSTO]]+TABLA_BASE[[#This Row],[IPM UNIT.
(US$)
✅CF]]+TABLA_BASE[[#This Row],[IGV UNIT.
(US$)
✅CF]]+TABLA_BASE[[#This Row],[PERCEP.
UNIT.(US$)
✅CF]]</f>
        <v>0</v>
      </c>
      <c r="AD335" s="279">
        <f>TABLA_BASE[[#This Row],[TOTAL PAGO
SUNAT
UNIT.(US$)]]*TABLA_BASE[[#This Row],[CANTIDAD
(unid.)]]</f>
        <v>0</v>
      </c>
      <c r="AE335" s="281">
        <f>TABLA_BASE[[#This Row],[TOTAL PAGO
SUNAT
UNIT.(US$)]]*'📋 Datos Generales'!$E$19</f>
        <v>0</v>
      </c>
      <c r="AF335" s="281">
        <f>TABLA_BASE[[#This Row],[TOTAL TRIB.
UNIT.(S/.)]]*TABLA_BASE[[#This Row],[CANTIDAD
(unid.)]]</f>
        <v>0</v>
      </c>
      <c r="AG335" s="279">
        <f>IF('🧾 Factura Comercial'!G339=0,0,'📦 Gastos Importación'!$E$28*(IF('🧾 Tributos Aduana'!$F$6=0,0,'🧾 Factura Comercial'!I339/'🧾 Tributos Aduana'!$F$6))/'🧾 Factura Comercial'!G339)</f>
        <v>0</v>
      </c>
      <c r="AH335" s="279">
        <f>TABLA_BASE[[#This Row],[GASTOS IMP.
UNIT.(US$)]]*TABLA_BASE[[#This Row],[CANTIDAD
(unid.)]]</f>
        <v>0</v>
      </c>
      <c r="AI335" s="281">
        <f>TABLA_BASE[[#This Row],[GASTOS IMP.
UNIT.(US$)]]*'📋 Datos Generales'!$E$19</f>
        <v>0</v>
      </c>
      <c r="AJ335" s="281">
        <f>TABLA_BASE[[#This Row],[GASTOS IMP.
UNIT.(S/.)]]*TABLA_BASE[[#This Row],[CANTIDAD
(unid.)]]</f>
        <v>0</v>
      </c>
      <c r="AK335" s="280">
        <f>'🧮 Costos x Producto'!J339</f>
        <v>0</v>
      </c>
      <c r="AL335" s="278">
        <f>'🧮 Costos x Producto'!K339</f>
        <v>0</v>
      </c>
      <c r="AM335" s="278">
        <f>TABLA_BASE[[#This Row],[C/M UNIT.
(S/.)]]*TABLA_BASE[[#This Row],[CANTIDAD
(unid.)]]</f>
        <v>0</v>
      </c>
      <c r="AN335" s="279">
        <f>IF('🧾 Factura Comercial'!G339=0,0,'🧾 Tributos Aduana'!$F$17*(IF('🧾 Tributos Aduana'!$F$6=0,0,'🧾 Factura Comercial'!I339/'🧾 Tributos Aduana'!$F$6))/'🧾 Factura Comercial'!G339)</f>
        <v>0</v>
      </c>
      <c r="AO335" s="280">
        <f>IF('🧾 Factura Comercial'!G339=0,0,'🏦 Crédito Fiscal'!$C$16*(IF('🧾 Tributos Aduana'!$F$6=0,0,'🧾 Factura Comercial'!I339/'🧾 Tributos Aduana'!$F$6))/'🧾 Factura Comercial'!G339)</f>
        <v>0</v>
      </c>
      <c r="AP335" s="278">
        <f>TABLA_BASE[[#This Row],[CF UNIT.
✅RECUP.
(US$)]]*'📋 Datos Generales'!$E$19</f>
        <v>0</v>
      </c>
      <c r="AQ335" s="278">
        <f>TABLA_BASE[[#This Row],[CF UNIT.
✅RECUP.(S/.)]]*TABLA_BASE[[#This Row],[CANTIDAD
(unid.)]]</f>
        <v>0</v>
      </c>
      <c r="AR335" s="288">
        <f>'💰 Precio de Venta'!G340</f>
        <v>0.4</v>
      </c>
      <c r="AS335" s="278">
        <f>'💰 Precio de Venta'!H340</f>
        <v>0</v>
      </c>
      <c r="AT335" s="278">
        <f>TABLA_BASE[[#This Row],[VALOR VTA.
UNIT.(S/.)]]*TABLA_BASE[[#This Row],[CANTIDAD
(unid.)]]</f>
        <v>0</v>
      </c>
      <c r="AU335" s="281">
        <f>'💰 Precio de Venta'!I340</f>
        <v>0</v>
      </c>
      <c r="AV335" s="278">
        <f>'💰 Precio de Venta'!J340</f>
        <v>0</v>
      </c>
      <c r="AW335" s="278">
        <f>TABLA_BASE[[#This Row],[GANANCIA
UNIT.(S/.)]]*TABLA_BASE[[#This Row],[CANTIDAD
(unid.)]]</f>
        <v>0</v>
      </c>
      <c r="AX335" s="289">
        <f>'💰 Precio de Venta'!K340</f>
        <v>0</v>
      </c>
      <c r="AY335" s="278">
        <f>TABLA_BASE[[#This Row],[GANANCIA
UNIT.(S/.)]]*'🧾 Factura Comercial'!G339</f>
        <v>0</v>
      </c>
      <c r="AZ335" s="277">
        <f>IF(TABLA_BASE[[#This Row],[PRECIO VTA.
c/IGV(S/.)]]=0,0,TABLA_BASE[[#This Row],[GANANCIA
UNIT.(S/.)]]/TABLA_BASE[[#This Row],[PRECIO VTA.
c/IGV(S/.)]])</f>
        <v>0</v>
      </c>
      <c r="BA335" s="277">
        <f>IF(TABLA_BASE[[#This Row],[C/M UNIT.
(S/.)]]=0,0,TABLA_BASE[[#This Row],[GANANCIA
UNIT.(S/.)]]/TABLA_BASE[[#This Row],[C/M UNIT.
(S/.)]])</f>
        <v>0</v>
      </c>
      <c r="BB335" s="274" t="str">
        <f>IF(TABLA_BASE[[#This Row],[MARGEN
%]]&gt;=0.5,"🟢 ALTO",IF(TABLA_BASE[[#This Row],[MARGEN
%]]&gt;=0.3,"🟡 MEDIO","🔴 BAJO"))</f>
        <v>🟡 MEDIO</v>
      </c>
    </row>
    <row r="336" spans="1:54" ht="16.5" hidden="1" thickTop="1" thickBot="1" x14ac:dyDescent="0.3">
      <c r="A336" s="274">
        <f>'🧾 Factura Comercial'!E340</f>
        <v>0</v>
      </c>
      <c r="B336" s="274" t="str">
        <f>'🧾 Factura Comercial'!F340</f>
        <v>Unid.</v>
      </c>
      <c r="C336" s="275">
        <f>'🧾 Factura Comercial'!G340</f>
        <v>0</v>
      </c>
      <c r="D336" s="276">
        <f>'🧾 Factura Comercial'!H340</f>
        <v>0</v>
      </c>
      <c r="E336" s="276">
        <f>'🧾 Factura Comercial'!I340</f>
        <v>0</v>
      </c>
      <c r="F336" s="277">
        <f>IF('🧾 Tributos Aduana'!$F$6=0,0,'🧾 Factura Comercial'!I340/'🧾 Tributos Aduana'!$F$6)</f>
        <v>0</v>
      </c>
      <c r="G336" s="278">
        <f>'🧾 Factura Comercial'!H340*'📋 Datos Generales'!$E$19</f>
        <v>0</v>
      </c>
      <c r="H336" s="278">
        <f>TABLA_BASE[[#This Row],[FOB UNIT.
(S/.)]]*TABLA_BASE[[#This Row],[CANTIDAD
(unid.)]]</f>
        <v>0</v>
      </c>
      <c r="I336" s="280">
        <f>IF('🧾 Tributos Aduana'!$F$6=0,0,'🧾 Tributos Aduana'!$F$17*('🧾 Factura Comercial'!H340/'🧾 Tributos Aduana'!$F$6))</f>
        <v>0</v>
      </c>
      <c r="J336" s="280">
        <f>TABLA_BASE[[#This Row],[ADV UNIT.
(US$)
⚠️COSTO]]*TABLA_BASE[[#This Row],[CANTIDAD
(unid.)]]</f>
        <v>0</v>
      </c>
      <c r="K336" s="279">
        <f>IF('🧾 Tributos Aduana'!$F$6=0,0,'🧾 Tributos Aduana'!$F$18*('🧾 Factura Comercial'!H340/'🧾 Tributos Aduana'!$F$6))</f>
        <v>0</v>
      </c>
      <c r="L336" s="280">
        <f>TABLA_BASE[[#This Row],[IPM UNIT.
(US$)
✅CF]]*TABLA_BASE[[#This Row],[CANTIDAD
(unid.)]]</f>
        <v>0</v>
      </c>
      <c r="M336" s="279">
        <f>IF('🧾 Tributos Aduana'!$F$6=0,0,'🧾 Tributos Aduana'!$F$19*('🧾 Factura Comercial'!H340/'🧾 Tributos Aduana'!$F$6))</f>
        <v>0</v>
      </c>
      <c r="N336" s="280">
        <f>TABLA_BASE[[#This Row],[IGV UNIT.
(US$)
✅CF]]*TABLA_BASE[[#This Row],[CANTIDAD
(unid.)]]</f>
        <v>0</v>
      </c>
      <c r="O336" s="280">
        <f>IF('🧾 Tributos Aduana'!$F$6=0,0,'🧾 Tributos Aduana'!$F$23*('🧾 Factura Comercial'!H340/'🧾 Tributos Aduana'!$F$6))</f>
        <v>0</v>
      </c>
      <c r="P336" s="280">
        <f>TABLA_BASE[[#This Row],[PERCEP.
UNIT.(US$)
✅CF]]*TABLA_BASE[[#This Row],[CANTIDAD
(unid.)]]</f>
        <v>0</v>
      </c>
      <c r="Q336" s="279">
        <f>TABLA_BASE[[#This Row],[ADV UNIT.
(US$)
⚠️COSTO]]+TABLA_BASE[[#This Row],[IPM UNIT.
(US$)
✅CF]]+TABLA_BASE[[#This Row],[IGV UNIT.
(US$)
✅CF]]</f>
        <v>0</v>
      </c>
      <c r="R336" s="280">
        <f>TABLA_BASE[[#This Row],[DEUDA
ADUANERA
UNIT.]]*TABLA_BASE[[#This Row],[CANTIDAD
(unid.)]]</f>
        <v>0</v>
      </c>
      <c r="S336" s="278">
        <f>TABLA_BASE[[#This Row],[DEUDA
ADUANERA
UNIT.]]*'📋 Datos Generales'!$E$19</f>
        <v>0</v>
      </c>
      <c r="T336" s="278">
        <f>TABLA_BASE[[#This Row],[DEUDA
ADUANERA
TOTAL]]*'📋 Datos Generales'!$E$19</f>
        <v>0</v>
      </c>
      <c r="U336" s="281">
        <f>TABLA_BASE[[#This Row],[ADV UNIT.
(US$)
⚠️COSTO]]*'📋 Datos Generales'!$E$19</f>
        <v>0</v>
      </c>
      <c r="V336" s="281">
        <f>TABLA_BASE[[#This Row],[ADV UNIT.
(S/.)]]*TABLA_BASE[[#This Row],[CANTIDAD
(unid.)]]</f>
        <v>0</v>
      </c>
      <c r="W336" s="281">
        <f>TABLA_BASE[[#This Row],[IPM UNIT.
(US$)
✅CF]]*'📋 Datos Generales'!$E$19</f>
        <v>0</v>
      </c>
      <c r="X336" s="281">
        <f>TABLA_BASE[[#This Row],[IPM UNIT.
(S/.)]]*TABLA_BASE[[#This Row],[CANTIDAD
(unid.)]]</f>
        <v>0</v>
      </c>
      <c r="Y336" s="281">
        <f>TABLA_BASE[[#This Row],[IGV UNIT.
(US$)
✅CF]]*'📋 Datos Generales'!$E$19</f>
        <v>0</v>
      </c>
      <c r="Z336" s="281">
        <f>TABLA_BASE[[#This Row],[IGV UNIT.
(S/.)]]*TABLA_BASE[[#This Row],[CANTIDAD
(unid.)]]</f>
        <v>0</v>
      </c>
      <c r="AA336" s="281">
        <f>TABLA_BASE[[#This Row],[PERCEP.
UNIT.(US$)
✅CF]]*'📋 Datos Generales'!$E$19</f>
        <v>0</v>
      </c>
      <c r="AB336" s="281">
        <f>TABLA_BASE[[#This Row],[PERCEP.
UNIT.(S/.)]]*TABLA_BASE[[#This Row],[CANTIDAD
(unid.)]]</f>
        <v>0</v>
      </c>
      <c r="AC336" s="279">
        <f>TABLA_BASE[[#This Row],[ADV UNIT.
(US$)
⚠️COSTO]]+TABLA_BASE[[#This Row],[IPM UNIT.
(US$)
✅CF]]+TABLA_BASE[[#This Row],[IGV UNIT.
(US$)
✅CF]]+TABLA_BASE[[#This Row],[PERCEP.
UNIT.(US$)
✅CF]]</f>
        <v>0</v>
      </c>
      <c r="AD336" s="279">
        <f>TABLA_BASE[[#This Row],[TOTAL PAGO
SUNAT
UNIT.(US$)]]*TABLA_BASE[[#This Row],[CANTIDAD
(unid.)]]</f>
        <v>0</v>
      </c>
      <c r="AE336" s="281">
        <f>TABLA_BASE[[#This Row],[TOTAL PAGO
SUNAT
UNIT.(US$)]]*'📋 Datos Generales'!$E$19</f>
        <v>0</v>
      </c>
      <c r="AF336" s="281">
        <f>TABLA_BASE[[#This Row],[TOTAL TRIB.
UNIT.(S/.)]]*TABLA_BASE[[#This Row],[CANTIDAD
(unid.)]]</f>
        <v>0</v>
      </c>
      <c r="AG336" s="279">
        <f>IF('🧾 Factura Comercial'!G340=0,0,'📦 Gastos Importación'!$E$28*(IF('🧾 Tributos Aduana'!$F$6=0,0,'🧾 Factura Comercial'!I340/'🧾 Tributos Aduana'!$F$6))/'🧾 Factura Comercial'!G340)</f>
        <v>0</v>
      </c>
      <c r="AH336" s="279">
        <f>TABLA_BASE[[#This Row],[GASTOS IMP.
UNIT.(US$)]]*TABLA_BASE[[#This Row],[CANTIDAD
(unid.)]]</f>
        <v>0</v>
      </c>
      <c r="AI336" s="281">
        <f>TABLA_BASE[[#This Row],[GASTOS IMP.
UNIT.(US$)]]*'📋 Datos Generales'!$E$19</f>
        <v>0</v>
      </c>
      <c r="AJ336" s="281">
        <f>TABLA_BASE[[#This Row],[GASTOS IMP.
UNIT.(S/.)]]*TABLA_BASE[[#This Row],[CANTIDAD
(unid.)]]</f>
        <v>0</v>
      </c>
      <c r="AK336" s="280">
        <f>'🧮 Costos x Producto'!J340</f>
        <v>0</v>
      </c>
      <c r="AL336" s="278">
        <f>'🧮 Costos x Producto'!K340</f>
        <v>0</v>
      </c>
      <c r="AM336" s="278">
        <f>TABLA_BASE[[#This Row],[C/M UNIT.
(S/.)]]*TABLA_BASE[[#This Row],[CANTIDAD
(unid.)]]</f>
        <v>0</v>
      </c>
      <c r="AN336" s="279">
        <f>IF('🧾 Factura Comercial'!G340=0,0,'🧾 Tributos Aduana'!$F$17*(IF('🧾 Tributos Aduana'!$F$6=0,0,'🧾 Factura Comercial'!I340/'🧾 Tributos Aduana'!$F$6))/'🧾 Factura Comercial'!G340)</f>
        <v>0</v>
      </c>
      <c r="AO336" s="280">
        <f>IF('🧾 Factura Comercial'!G340=0,0,'🏦 Crédito Fiscal'!$C$16*(IF('🧾 Tributos Aduana'!$F$6=0,0,'🧾 Factura Comercial'!I340/'🧾 Tributos Aduana'!$F$6))/'🧾 Factura Comercial'!G340)</f>
        <v>0</v>
      </c>
      <c r="AP336" s="278">
        <f>TABLA_BASE[[#This Row],[CF UNIT.
✅RECUP.
(US$)]]*'📋 Datos Generales'!$E$19</f>
        <v>0</v>
      </c>
      <c r="AQ336" s="278">
        <f>TABLA_BASE[[#This Row],[CF UNIT.
✅RECUP.(S/.)]]*TABLA_BASE[[#This Row],[CANTIDAD
(unid.)]]</f>
        <v>0</v>
      </c>
      <c r="AR336" s="288">
        <f>'💰 Precio de Venta'!G341</f>
        <v>0.4</v>
      </c>
      <c r="AS336" s="278">
        <f>'💰 Precio de Venta'!H341</f>
        <v>0</v>
      </c>
      <c r="AT336" s="278">
        <f>TABLA_BASE[[#This Row],[VALOR VTA.
UNIT.(S/.)]]*TABLA_BASE[[#This Row],[CANTIDAD
(unid.)]]</f>
        <v>0</v>
      </c>
      <c r="AU336" s="281">
        <f>'💰 Precio de Venta'!I341</f>
        <v>0</v>
      </c>
      <c r="AV336" s="278">
        <f>'💰 Precio de Venta'!J341</f>
        <v>0</v>
      </c>
      <c r="AW336" s="278">
        <f>TABLA_BASE[[#This Row],[GANANCIA
UNIT.(S/.)]]*TABLA_BASE[[#This Row],[CANTIDAD
(unid.)]]</f>
        <v>0</v>
      </c>
      <c r="AX336" s="289">
        <f>'💰 Precio de Venta'!K341</f>
        <v>0</v>
      </c>
      <c r="AY336" s="278">
        <f>TABLA_BASE[[#This Row],[GANANCIA
UNIT.(S/.)]]*'🧾 Factura Comercial'!G340</f>
        <v>0</v>
      </c>
      <c r="AZ336" s="277">
        <f>IF(TABLA_BASE[[#This Row],[PRECIO VTA.
c/IGV(S/.)]]=0,0,TABLA_BASE[[#This Row],[GANANCIA
UNIT.(S/.)]]/TABLA_BASE[[#This Row],[PRECIO VTA.
c/IGV(S/.)]])</f>
        <v>0</v>
      </c>
      <c r="BA336" s="277">
        <f>IF(TABLA_BASE[[#This Row],[C/M UNIT.
(S/.)]]=0,0,TABLA_BASE[[#This Row],[GANANCIA
UNIT.(S/.)]]/TABLA_BASE[[#This Row],[C/M UNIT.
(S/.)]])</f>
        <v>0</v>
      </c>
      <c r="BB336" s="274" t="str">
        <f>IF(TABLA_BASE[[#This Row],[MARGEN
%]]&gt;=0.5,"🟢 ALTO",IF(TABLA_BASE[[#This Row],[MARGEN
%]]&gt;=0.3,"🟡 MEDIO","🔴 BAJO"))</f>
        <v>🟡 MEDIO</v>
      </c>
    </row>
    <row r="337" spans="1:54" ht="16.5" hidden="1" thickTop="1" thickBot="1" x14ac:dyDescent="0.3">
      <c r="A337" s="274">
        <f>'🧾 Factura Comercial'!E341</f>
        <v>0</v>
      </c>
      <c r="B337" s="274" t="str">
        <f>'🧾 Factura Comercial'!F341</f>
        <v>Unid.</v>
      </c>
      <c r="C337" s="275">
        <f>'🧾 Factura Comercial'!G341</f>
        <v>0</v>
      </c>
      <c r="D337" s="276">
        <f>'🧾 Factura Comercial'!H341</f>
        <v>0</v>
      </c>
      <c r="E337" s="276">
        <f>'🧾 Factura Comercial'!I341</f>
        <v>0</v>
      </c>
      <c r="F337" s="277">
        <f>IF('🧾 Tributos Aduana'!$F$6=0,0,'🧾 Factura Comercial'!I341/'🧾 Tributos Aduana'!$F$6)</f>
        <v>0</v>
      </c>
      <c r="G337" s="278">
        <f>'🧾 Factura Comercial'!H341*'📋 Datos Generales'!$E$19</f>
        <v>0</v>
      </c>
      <c r="H337" s="278">
        <f>TABLA_BASE[[#This Row],[FOB UNIT.
(S/.)]]*TABLA_BASE[[#This Row],[CANTIDAD
(unid.)]]</f>
        <v>0</v>
      </c>
      <c r="I337" s="280">
        <f>IF('🧾 Tributos Aduana'!$F$6=0,0,'🧾 Tributos Aduana'!$F$17*('🧾 Factura Comercial'!H341/'🧾 Tributos Aduana'!$F$6))</f>
        <v>0</v>
      </c>
      <c r="J337" s="280">
        <f>TABLA_BASE[[#This Row],[ADV UNIT.
(US$)
⚠️COSTO]]*TABLA_BASE[[#This Row],[CANTIDAD
(unid.)]]</f>
        <v>0</v>
      </c>
      <c r="K337" s="279">
        <f>IF('🧾 Tributos Aduana'!$F$6=0,0,'🧾 Tributos Aduana'!$F$18*('🧾 Factura Comercial'!H341/'🧾 Tributos Aduana'!$F$6))</f>
        <v>0</v>
      </c>
      <c r="L337" s="280">
        <f>TABLA_BASE[[#This Row],[IPM UNIT.
(US$)
✅CF]]*TABLA_BASE[[#This Row],[CANTIDAD
(unid.)]]</f>
        <v>0</v>
      </c>
      <c r="M337" s="279">
        <f>IF('🧾 Tributos Aduana'!$F$6=0,0,'🧾 Tributos Aduana'!$F$19*('🧾 Factura Comercial'!H341/'🧾 Tributos Aduana'!$F$6))</f>
        <v>0</v>
      </c>
      <c r="N337" s="280">
        <f>TABLA_BASE[[#This Row],[IGV UNIT.
(US$)
✅CF]]*TABLA_BASE[[#This Row],[CANTIDAD
(unid.)]]</f>
        <v>0</v>
      </c>
      <c r="O337" s="280">
        <f>IF('🧾 Tributos Aduana'!$F$6=0,0,'🧾 Tributos Aduana'!$F$23*('🧾 Factura Comercial'!H341/'🧾 Tributos Aduana'!$F$6))</f>
        <v>0</v>
      </c>
      <c r="P337" s="280">
        <f>TABLA_BASE[[#This Row],[PERCEP.
UNIT.(US$)
✅CF]]*TABLA_BASE[[#This Row],[CANTIDAD
(unid.)]]</f>
        <v>0</v>
      </c>
      <c r="Q337" s="279">
        <f>TABLA_BASE[[#This Row],[ADV UNIT.
(US$)
⚠️COSTO]]+TABLA_BASE[[#This Row],[IPM UNIT.
(US$)
✅CF]]+TABLA_BASE[[#This Row],[IGV UNIT.
(US$)
✅CF]]</f>
        <v>0</v>
      </c>
      <c r="R337" s="280">
        <f>TABLA_BASE[[#This Row],[DEUDA
ADUANERA
UNIT.]]*TABLA_BASE[[#This Row],[CANTIDAD
(unid.)]]</f>
        <v>0</v>
      </c>
      <c r="S337" s="278">
        <f>TABLA_BASE[[#This Row],[DEUDA
ADUANERA
UNIT.]]*'📋 Datos Generales'!$E$19</f>
        <v>0</v>
      </c>
      <c r="T337" s="278">
        <f>TABLA_BASE[[#This Row],[DEUDA
ADUANERA
TOTAL]]*'📋 Datos Generales'!$E$19</f>
        <v>0</v>
      </c>
      <c r="U337" s="281">
        <f>TABLA_BASE[[#This Row],[ADV UNIT.
(US$)
⚠️COSTO]]*'📋 Datos Generales'!$E$19</f>
        <v>0</v>
      </c>
      <c r="V337" s="281">
        <f>TABLA_BASE[[#This Row],[ADV UNIT.
(S/.)]]*TABLA_BASE[[#This Row],[CANTIDAD
(unid.)]]</f>
        <v>0</v>
      </c>
      <c r="W337" s="281">
        <f>TABLA_BASE[[#This Row],[IPM UNIT.
(US$)
✅CF]]*'📋 Datos Generales'!$E$19</f>
        <v>0</v>
      </c>
      <c r="X337" s="281">
        <f>TABLA_BASE[[#This Row],[IPM UNIT.
(S/.)]]*TABLA_BASE[[#This Row],[CANTIDAD
(unid.)]]</f>
        <v>0</v>
      </c>
      <c r="Y337" s="281">
        <f>TABLA_BASE[[#This Row],[IGV UNIT.
(US$)
✅CF]]*'📋 Datos Generales'!$E$19</f>
        <v>0</v>
      </c>
      <c r="Z337" s="281">
        <f>TABLA_BASE[[#This Row],[IGV UNIT.
(S/.)]]*TABLA_BASE[[#This Row],[CANTIDAD
(unid.)]]</f>
        <v>0</v>
      </c>
      <c r="AA337" s="281">
        <f>TABLA_BASE[[#This Row],[PERCEP.
UNIT.(US$)
✅CF]]*'📋 Datos Generales'!$E$19</f>
        <v>0</v>
      </c>
      <c r="AB337" s="281">
        <f>TABLA_BASE[[#This Row],[PERCEP.
UNIT.(S/.)]]*TABLA_BASE[[#This Row],[CANTIDAD
(unid.)]]</f>
        <v>0</v>
      </c>
      <c r="AC337" s="279">
        <f>TABLA_BASE[[#This Row],[ADV UNIT.
(US$)
⚠️COSTO]]+TABLA_BASE[[#This Row],[IPM UNIT.
(US$)
✅CF]]+TABLA_BASE[[#This Row],[IGV UNIT.
(US$)
✅CF]]+TABLA_BASE[[#This Row],[PERCEP.
UNIT.(US$)
✅CF]]</f>
        <v>0</v>
      </c>
      <c r="AD337" s="279">
        <f>TABLA_BASE[[#This Row],[TOTAL PAGO
SUNAT
UNIT.(US$)]]*TABLA_BASE[[#This Row],[CANTIDAD
(unid.)]]</f>
        <v>0</v>
      </c>
      <c r="AE337" s="281">
        <f>TABLA_BASE[[#This Row],[TOTAL PAGO
SUNAT
UNIT.(US$)]]*'📋 Datos Generales'!$E$19</f>
        <v>0</v>
      </c>
      <c r="AF337" s="281">
        <f>TABLA_BASE[[#This Row],[TOTAL TRIB.
UNIT.(S/.)]]*TABLA_BASE[[#This Row],[CANTIDAD
(unid.)]]</f>
        <v>0</v>
      </c>
      <c r="AG337" s="279">
        <f>IF('🧾 Factura Comercial'!G341=0,0,'📦 Gastos Importación'!$E$28*(IF('🧾 Tributos Aduana'!$F$6=0,0,'🧾 Factura Comercial'!I341/'🧾 Tributos Aduana'!$F$6))/'🧾 Factura Comercial'!G341)</f>
        <v>0</v>
      </c>
      <c r="AH337" s="279">
        <f>TABLA_BASE[[#This Row],[GASTOS IMP.
UNIT.(US$)]]*TABLA_BASE[[#This Row],[CANTIDAD
(unid.)]]</f>
        <v>0</v>
      </c>
      <c r="AI337" s="281">
        <f>TABLA_BASE[[#This Row],[GASTOS IMP.
UNIT.(US$)]]*'📋 Datos Generales'!$E$19</f>
        <v>0</v>
      </c>
      <c r="AJ337" s="281">
        <f>TABLA_BASE[[#This Row],[GASTOS IMP.
UNIT.(S/.)]]*TABLA_BASE[[#This Row],[CANTIDAD
(unid.)]]</f>
        <v>0</v>
      </c>
      <c r="AK337" s="280">
        <f>'🧮 Costos x Producto'!J341</f>
        <v>0</v>
      </c>
      <c r="AL337" s="278">
        <f>'🧮 Costos x Producto'!K341</f>
        <v>0</v>
      </c>
      <c r="AM337" s="278">
        <f>TABLA_BASE[[#This Row],[C/M UNIT.
(S/.)]]*TABLA_BASE[[#This Row],[CANTIDAD
(unid.)]]</f>
        <v>0</v>
      </c>
      <c r="AN337" s="279">
        <f>IF('🧾 Factura Comercial'!G341=0,0,'🧾 Tributos Aduana'!$F$17*(IF('🧾 Tributos Aduana'!$F$6=0,0,'🧾 Factura Comercial'!I341/'🧾 Tributos Aduana'!$F$6))/'🧾 Factura Comercial'!G341)</f>
        <v>0</v>
      </c>
      <c r="AO337" s="280">
        <f>IF('🧾 Factura Comercial'!G341=0,0,'🏦 Crédito Fiscal'!$C$16*(IF('🧾 Tributos Aduana'!$F$6=0,0,'🧾 Factura Comercial'!I341/'🧾 Tributos Aduana'!$F$6))/'🧾 Factura Comercial'!G341)</f>
        <v>0</v>
      </c>
      <c r="AP337" s="278">
        <f>TABLA_BASE[[#This Row],[CF UNIT.
✅RECUP.
(US$)]]*'📋 Datos Generales'!$E$19</f>
        <v>0</v>
      </c>
      <c r="AQ337" s="278">
        <f>TABLA_BASE[[#This Row],[CF UNIT.
✅RECUP.(S/.)]]*TABLA_BASE[[#This Row],[CANTIDAD
(unid.)]]</f>
        <v>0</v>
      </c>
      <c r="AR337" s="288">
        <f>'💰 Precio de Venta'!G342</f>
        <v>0.4</v>
      </c>
      <c r="AS337" s="278">
        <f>'💰 Precio de Venta'!H342</f>
        <v>0</v>
      </c>
      <c r="AT337" s="278">
        <f>TABLA_BASE[[#This Row],[VALOR VTA.
UNIT.(S/.)]]*TABLA_BASE[[#This Row],[CANTIDAD
(unid.)]]</f>
        <v>0</v>
      </c>
      <c r="AU337" s="281">
        <f>'💰 Precio de Venta'!I342</f>
        <v>0</v>
      </c>
      <c r="AV337" s="278">
        <f>'💰 Precio de Venta'!J342</f>
        <v>0</v>
      </c>
      <c r="AW337" s="278">
        <f>TABLA_BASE[[#This Row],[GANANCIA
UNIT.(S/.)]]*TABLA_BASE[[#This Row],[CANTIDAD
(unid.)]]</f>
        <v>0</v>
      </c>
      <c r="AX337" s="289">
        <f>'💰 Precio de Venta'!K342</f>
        <v>0</v>
      </c>
      <c r="AY337" s="278">
        <f>TABLA_BASE[[#This Row],[GANANCIA
UNIT.(S/.)]]*'🧾 Factura Comercial'!G341</f>
        <v>0</v>
      </c>
      <c r="AZ337" s="277">
        <f>IF(TABLA_BASE[[#This Row],[PRECIO VTA.
c/IGV(S/.)]]=0,0,TABLA_BASE[[#This Row],[GANANCIA
UNIT.(S/.)]]/TABLA_BASE[[#This Row],[PRECIO VTA.
c/IGV(S/.)]])</f>
        <v>0</v>
      </c>
      <c r="BA337" s="277">
        <f>IF(TABLA_BASE[[#This Row],[C/M UNIT.
(S/.)]]=0,0,TABLA_BASE[[#This Row],[GANANCIA
UNIT.(S/.)]]/TABLA_BASE[[#This Row],[C/M UNIT.
(S/.)]])</f>
        <v>0</v>
      </c>
      <c r="BB337" s="274" t="str">
        <f>IF(TABLA_BASE[[#This Row],[MARGEN
%]]&gt;=0.5,"🟢 ALTO",IF(TABLA_BASE[[#This Row],[MARGEN
%]]&gt;=0.3,"🟡 MEDIO","🔴 BAJO"))</f>
        <v>🟡 MEDIO</v>
      </c>
    </row>
    <row r="338" spans="1:54" ht="16.5" hidden="1" thickTop="1" thickBot="1" x14ac:dyDescent="0.3">
      <c r="A338" s="274">
        <f>'🧾 Factura Comercial'!E342</f>
        <v>0</v>
      </c>
      <c r="B338" s="274" t="str">
        <f>'🧾 Factura Comercial'!F342</f>
        <v>Unid.</v>
      </c>
      <c r="C338" s="275">
        <f>'🧾 Factura Comercial'!G342</f>
        <v>0</v>
      </c>
      <c r="D338" s="276">
        <f>'🧾 Factura Comercial'!H342</f>
        <v>0</v>
      </c>
      <c r="E338" s="276">
        <f>'🧾 Factura Comercial'!I342</f>
        <v>0</v>
      </c>
      <c r="F338" s="277">
        <f>IF('🧾 Tributos Aduana'!$F$6=0,0,'🧾 Factura Comercial'!I342/'🧾 Tributos Aduana'!$F$6)</f>
        <v>0</v>
      </c>
      <c r="G338" s="278">
        <f>'🧾 Factura Comercial'!H342*'📋 Datos Generales'!$E$19</f>
        <v>0</v>
      </c>
      <c r="H338" s="278">
        <f>TABLA_BASE[[#This Row],[FOB UNIT.
(S/.)]]*TABLA_BASE[[#This Row],[CANTIDAD
(unid.)]]</f>
        <v>0</v>
      </c>
      <c r="I338" s="280">
        <f>IF('🧾 Tributos Aduana'!$F$6=0,0,'🧾 Tributos Aduana'!$F$17*('🧾 Factura Comercial'!H342/'🧾 Tributos Aduana'!$F$6))</f>
        <v>0</v>
      </c>
      <c r="J338" s="280">
        <f>TABLA_BASE[[#This Row],[ADV UNIT.
(US$)
⚠️COSTO]]*TABLA_BASE[[#This Row],[CANTIDAD
(unid.)]]</f>
        <v>0</v>
      </c>
      <c r="K338" s="279">
        <f>IF('🧾 Tributos Aduana'!$F$6=0,0,'🧾 Tributos Aduana'!$F$18*('🧾 Factura Comercial'!H342/'🧾 Tributos Aduana'!$F$6))</f>
        <v>0</v>
      </c>
      <c r="L338" s="280">
        <f>TABLA_BASE[[#This Row],[IPM UNIT.
(US$)
✅CF]]*TABLA_BASE[[#This Row],[CANTIDAD
(unid.)]]</f>
        <v>0</v>
      </c>
      <c r="M338" s="279">
        <f>IF('🧾 Tributos Aduana'!$F$6=0,0,'🧾 Tributos Aduana'!$F$19*('🧾 Factura Comercial'!H342/'🧾 Tributos Aduana'!$F$6))</f>
        <v>0</v>
      </c>
      <c r="N338" s="280">
        <f>TABLA_BASE[[#This Row],[IGV UNIT.
(US$)
✅CF]]*TABLA_BASE[[#This Row],[CANTIDAD
(unid.)]]</f>
        <v>0</v>
      </c>
      <c r="O338" s="280">
        <f>IF('🧾 Tributos Aduana'!$F$6=0,0,'🧾 Tributos Aduana'!$F$23*('🧾 Factura Comercial'!H342/'🧾 Tributos Aduana'!$F$6))</f>
        <v>0</v>
      </c>
      <c r="P338" s="280">
        <f>TABLA_BASE[[#This Row],[PERCEP.
UNIT.(US$)
✅CF]]*TABLA_BASE[[#This Row],[CANTIDAD
(unid.)]]</f>
        <v>0</v>
      </c>
      <c r="Q338" s="279">
        <f>TABLA_BASE[[#This Row],[ADV UNIT.
(US$)
⚠️COSTO]]+TABLA_BASE[[#This Row],[IPM UNIT.
(US$)
✅CF]]+TABLA_BASE[[#This Row],[IGV UNIT.
(US$)
✅CF]]</f>
        <v>0</v>
      </c>
      <c r="R338" s="280">
        <f>TABLA_BASE[[#This Row],[DEUDA
ADUANERA
UNIT.]]*TABLA_BASE[[#This Row],[CANTIDAD
(unid.)]]</f>
        <v>0</v>
      </c>
      <c r="S338" s="278">
        <f>TABLA_BASE[[#This Row],[DEUDA
ADUANERA
UNIT.]]*'📋 Datos Generales'!$E$19</f>
        <v>0</v>
      </c>
      <c r="T338" s="278">
        <f>TABLA_BASE[[#This Row],[DEUDA
ADUANERA
TOTAL]]*'📋 Datos Generales'!$E$19</f>
        <v>0</v>
      </c>
      <c r="U338" s="281">
        <f>TABLA_BASE[[#This Row],[ADV UNIT.
(US$)
⚠️COSTO]]*'📋 Datos Generales'!$E$19</f>
        <v>0</v>
      </c>
      <c r="V338" s="281">
        <f>TABLA_BASE[[#This Row],[ADV UNIT.
(S/.)]]*TABLA_BASE[[#This Row],[CANTIDAD
(unid.)]]</f>
        <v>0</v>
      </c>
      <c r="W338" s="281">
        <f>TABLA_BASE[[#This Row],[IPM UNIT.
(US$)
✅CF]]*'📋 Datos Generales'!$E$19</f>
        <v>0</v>
      </c>
      <c r="X338" s="281">
        <f>TABLA_BASE[[#This Row],[IPM UNIT.
(S/.)]]*TABLA_BASE[[#This Row],[CANTIDAD
(unid.)]]</f>
        <v>0</v>
      </c>
      <c r="Y338" s="281">
        <f>TABLA_BASE[[#This Row],[IGV UNIT.
(US$)
✅CF]]*'📋 Datos Generales'!$E$19</f>
        <v>0</v>
      </c>
      <c r="Z338" s="281">
        <f>TABLA_BASE[[#This Row],[IGV UNIT.
(S/.)]]*TABLA_BASE[[#This Row],[CANTIDAD
(unid.)]]</f>
        <v>0</v>
      </c>
      <c r="AA338" s="281">
        <f>TABLA_BASE[[#This Row],[PERCEP.
UNIT.(US$)
✅CF]]*'📋 Datos Generales'!$E$19</f>
        <v>0</v>
      </c>
      <c r="AB338" s="281">
        <f>TABLA_BASE[[#This Row],[PERCEP.
UNIT.(S/.)]]*TABLA_BASE[[#This Row],[CANTIDAD
(unid.)]]</f>
        <v>0</v>
      </c>
      <c r="AC338" s="279">
        <f>TABLA_BASE[[#This Row],[ADV UNIT.
(US$)
⚠️COSTO]]+TABLA_BASE[[#This Row],[IPM UNIT.
(US$)
✅CF]]+TABLA_BASE[[#This Row],[IGV UNIT.
(US$)
✅CF]]+TABLA_BASE[[#This Row],[PERCEP.
UNIT.(US$)
✅CF]]</f>
        <v>0</v>
      </c>
      <c r="AD338" s="279">
        <f>TABLA_BASE[[#This Row],[TOTAL PAGO
SUNAT
UNIT.(US$)]]*TABLA_BASE[[#This Row],[CANTIDAD
(unid.)]]</f>
        <v>0</v>
      </c>
      <c r="AE338" s="281">
        <f>TABLA_BASE[[#This Row],[TOTAL PAGO
SUNAT
UNIT.(US$)]]*'📋 Datos Generales'!$E$19</f>
        <v>0</v>
      </c>
      <c r="AF338" s="281">
        <f>TABLA_BASE[[#This Row],[TOTAL TRIB.
UNIT.(S/.)]]*TABLA_BASE[[#This Row],[CANTIDAD
(unid.)]]</f>
        <v>0</v>
      </c>
      <c r="AG338" s="279">
        <f>IF('🧾 Factura Comercial'!G342=0,0,'📦 Gastos Importación'!$E$28*(IF('🧾 Tributos Aduana'!$F$6=0,0,'🧾 Factura Comercial'!I342/'🧾 Tributos Aduana'!$F$6))/'🧾 Factura Comercial'!G342)</f>
        <v>0</v>
      </c>
      <c r="AH338" s="279">
        <f>TABLA_BASE[[#This Row],[GASTOS IMP.
UNIT.(US$)]]*TABLA_BASE[[#This Row],[CANTIDAD
(unid.)]]</f>
        <v>0</v>
      </c>
      <c r="AI338" s="281">
        <f>TABLA_BASE[[#This Row],[GASTOS IMP.
UNIT.(US$)]]*'📋 Datos Generales'!$E$19</f>
        <v>0</v>
      </c>
      <c r="AJ338" s="281">
        <f>TABLA_BASE[[#This Row],[GASTOS IMP.
UNIT.(S/.)]]*TABLA_BASE[[#This Row],[CANTIDAD
(unid.)]]</f>
        <v>0</v>
      </c>
      <c r="AK338" s="280">
        <f>'🧮 Costos x Producto'!J342</f>
        <v>0</v>
      </c>
      <c r="AL338" s="278">
        <f>'🧮 Costos x Producto'!K342</f>
        <v>0</v>
      </c>
      <c r="AM338" s="278">
        <f>TABLA_BASE[[#This Row],[C/M UNIT.
(S/.)]]*TABLA_BASE[[#This Row],[CANTIDAD
(unid.)]]</f>
        <v>0</v>
      </c>
      <c r="AN338" s="279">
        <f>IF('🧾 Factura Comercial'!G342=0,0,'🧾 Tributos Aduana'!$F$17*(IF('🧾 Tributos Aduana'!$F$6=0,0,'🧾 Factura Comercial'!I342/'🧾 Tributos Aduana'!$F$6))/'🧾 Factura Comercial'!G342)</f>
        <v>0</v>
      </c>
      <c r="AO338" s="280">
        <f>IF('🧾 Factura Comercial'!G342=0,0,'🏦 Crédito Fiscal'!$C$16*(IF('🧾 Tributos Aduana'!$F$6=0,0,'🧾 Factura Comercial'!I342/'🧾 Tributos Aduana'!$F$6))/'🧾 Factura Comercial'!G342)</f>
        <v>0</v>
      </c>
      <c r="AP338" s="278">
        <f>TABLA_BASE[[#This Row],[CF UNIT.
✅RECUP.
(US$)]]*'📋 Datos Generales'!$E$19</f>
        <v>0</v>
      </c>
      <c r="AQ338" s="278">
        <f>TABLA_BASE[[#This Row],[CF UNIT.
✅RECUP.(S/.)]]*TABLA_BASE[[#This Row],[CANTIDAD
(unid.)]]</f>
        <v>0</v>
      </c>
      <c r="AR338" s="288">
        <f>'💰 Precio de Venta'!G343</f>
        <v>0.4</v>
      </c>
      <c r="AS338" s="278">
        <f>'💰 Precio de Venta'!H343</f>
        <v>0</v>
      </c>
      <c r="AT338" s="278">
        <f>TABLA_BASE[[#This Row],[VALOR VTA.
UNIT.(S/.)]]*TABLA_BASE[[#This Row],[CANTIDAD
(unid.)]]</f>
        <v>0</v>
      </c>
      <c r="AU338" s="281">
        <f>'💰 Precio de Venta'!I343</f>
        <v>0</v>
      </c>
      <c r="AV338" s="278">
        <f>'💰 Precio de Venta'!J343</f>
        <v>0</v>
      </c>
      <c r="AW338" s="278">
        <f>TABLA_BASE[[#This Row],[GANANCIA
UNIT.(S/.)]]*TABLA_BASE[[#This Row],[CANTIDAD
(unid.)]]</f>
        <v>0</v>
      </c>
      <c r="AX338" s="289">
        <f>'💰 Precio de Venta'!K343</f>
        <v>0</v>
      </c>
      <c r="AY338" s="278">
        <f>TABLA_BASE[[#This Row],[GANANCIA
UNIT.(S/.)]]*'🧾 Factura Comercial'!G342</f>
        <v>0</v>
      </c>
      <c r="AZ338" s="277">
        <f>IF(TABLA_BASE[[#This Row],[PRECIO VTA.
c/IGV(S/.)]]=0,0,TABLA_BASE[[#This Row],[GANANCIA
UNIT.(S/.)]]/TABLA_BASE[[#This Row],[PRECIO VTA.
c/IGV(S/.)]])</f>
        <v>0</v>
      </c>
      <c r="BA338" s="277">
        <f>IF(TABLA_BASE[[#This Row],[C/M UNIT.
(S/.)]]=0,0,TABLA_BASE[[#This Row],[GANANCIA
UNIT.(S/.)]]/TABLA_BASE[[#This Row],[C/M UNIT.
(S/.)]])</f>
        <v>0</v>
      </c>
      <c r="BB338" s="274" t="str">
        <f>IF(TABLA_BASE[[#This Row],[MARGEN
%]]&gt;=0.5,"🟢 ALTO",IF(TABLA_BASE[[#This Row],[MARGEN
%]]&gt;=0.3,"🟡 MEDIO","🔴 BAJO"))</f>
        <v>🟡 MEDIO</v>
      </c>
    </row>
    <row r="339" spans="1:54" ht="16.5" hidden="1" thickTop="1" thickBot="1" x14ac:dyDescent="0.3">
      <c r="A339" s="274">
        <f>'🧾 Factura Comercial'!E343</f>
        <v>0</v>
      </c>
      <c r="B339" s="274" t="str">
        <f>'🧾 Factura Comercial'!F343</f>
        <v>Unid.</v>
      </c>
      <c r="C339" s="275">
        <f>'🧾 Factura Comercial'!G343</f>
        <v>0</v>
      </c>
      <c r="D339" s="276">
        <f>'🧾 Factura Comercial'!H343</f>
        <v>0</v>
      </c>
      <c r="E339" s="276">
        <f>'🧾 Factura Comercial'!I343</f>
        <v>0</v>
      </c>
      <c r="F339" s="277">
        <f>IF('🧾 Tributos Aduana'!$F$6=0,0,'🧾 Factura Comercial'!I343/'🧾 Tributos Aduana'!$F$6)</f>
        <v>0</v>
      </c>
      <c r="G339" s="278">
        <f>'🧾 Factura Comercial'!H343*'📋 Datos Generales'!$E$19</f>
        <v>0</v>
      </c>
      <c r="H339" s="278">
        <f>TABLA_BASE[[#This Row],[FOB UNIT.
(S/.)]]*TABLA_BASE[[#This Row],[CANTIDAD
(unid.)]]</f>
        <v>0</v>
      </c>
      <c r="I339" s="280">
        <f>IF('🧾 Tributos Aduana'!$F$6=0,0,'🧾 Tributos Aduana'!$F$17*('🧾 Factura Comercial'!H343/'🧾 Tributos Aduana'!$F$6))</f>
        <v>0</v>
      </c>
      <c r="J339" s="280">
        <f>TABLA_BASE[[#This Row],[ADV UNIT.
(US$)
⚠️COSTO]]*TABLA_BASE[[#This Row],[CANTIDAD
(unid.)]]</f>
        <v>0</v>
      </c>
      <c r="K339" s="279">
        <f>IF('🧾 Tributos Aduana'!$F$6=0,0,'🧾 Tributos Aduana'!$F$18*('🧾 Factura Comercial'!H343/'🧾 Tributos Aduana'!$F$6))</f>
        <v>0</v>
      </c>
      <c r="L339" s="280">
        <f>TABLA_BASE[[#This Row],[IPM UNIT.
(US$)
✅CF]]*TABLA_BASE[[#This Row],[CANTIDAD
(unid.)]]</f>
        <v>0</v>
      </c>
      <c r="M339" s="279">
        <f>IF('🧾 Tributos Aduana'!$F$6=0,0,'🧾 Tributos Aduana'!$F$19*('🧾 Factura Comercial'!H343/'🧾 Tributos Aduana'!$F$6))</f>
        <v>0</v>
      </c>
      <c r="N339" s="280">
        <f>TABLA_BASE[[#This Row],[IGV UNIT.
(US$)
✅CF]]*TABLA_BASE[[#This Row],[CANTIDAD
(unid.)]]</f>
        <v>0</v>
      </c>
      <c r="O339" s="280">
        <f>IF('🧾 Tributos Aduana'!$F$6=0,0,'🧾 Tributos Aduana'!$F$23*('🧾 Factura Comercial'!H343/'🧾 Tributos Aduana'!$F$6))</f>
        <v>0</v>
      </c>
      <c r="P339" s="280">
        <f>TABLA_BASE[[#This Row],[PERCEP.
UNIT.(US$)
✅CF]]*TABLA_BASE[[#This Row],[CANTIDAD
(unid.)]]</f>
        <v>0</v>
      </c>
      <c r="Q339" s="279">
        <f>TABLA_BASE[[#This Row],[ADV UNIT.
(US$)
⚠️COSTO]]+TABLA_BASE[[#This Row],[IPM UNIT.
(US$)
✅CF]]+TABLA_BASE[[#This Row],[IGV UNIT.
(US$)
✅CF]]</f>
        <v>0</v>
      </c>
      <c r="R339" s="280">
        <f>TABLA_BASE[[#This Row],[DEUDA
ADUANERA
UNIT.]]*TABLA_BASE[[#This Row],[CANTIDAD
(unid.)]]</f>
        <v>0</v>
      </c>
      <c r="S339" s="278">
        <f>TABLA_BASE[[#This Row],[DEUDA
ADUANERA
UNIT.]]*'📋 Datos Generales'!$E$19</f>
        <v>0</v>
      </c>
      <c r="T339" s="278">
        <f>TABLA_BASE[[#This Row],[DEUDA
ADUANERA
TOTAL]]*'📋 Datos Generales'!$E$19</f>
        <v>0</v>
      </c>
      <c r="U339" s="281">
        <f>TABLA_BASE[[#This Row],[ADV UNIT.
(US$)
⚠️COSTO]]*'📋 Datos Generales'!$E$19</f>
        <v>0</v>
      </c>
      <c r="V339" s="281">
        <f>TABLA_BASE[[#This Row],[ADV UNIT.
(S/.)]]*TABLA_BASE[[#This Row],[CANTIDAD
(unid.)]]</f>
        <v>0</v>
      </c>
      <c r="W339" s="281">
        <f>TABLA_BASE[[#This Row],[IPM UNIT.
(US$)
✅CF]]*'📋 Datos Generales'!$E$19</f>
        <v>0</v>
      </c>
      <c r="X339" s="281">
        <f>TABLA_BASE[[#This Row],[IPM UNIT.
(S/.)]]*TABLA_BASE[[#This Row],[CANTIDAD
(unid.)]]</f>
        <v>0</v>
      </c>
      <c r="Y339" s="281">
        <f>TABLA_BASE[[#This Row],[IGV UNIT.
(US$)
✅CF]]*'📋 Datos Generales'!$E$19</f>
        <v>0</v>
      </c>
      <c r="Z339" s="281">
        <f>TABLA_BASE[[#This Row],[IGV UNIT.
(S/.)]]*TABLA_BASE[[#This Row],[CANTIDAD
(unid.)]]</f>
        <v>0</v>
      </c>
      <c r="AA339" s="281">
        <f>TABLA_BASE[[#This Row],[PERCEP.
UNIT.(US$)
✅CF]]*'📋 Datos Generales'!$E$19</f>
        <v>0</v>
      </c>
      <c r="AB339" s="281">
        <f>TABLA_BASE[[#This Row],[PERCEP.
UNIT.(S/.)]]*TABLA_BASE[[#This Row],[CANTIDAD
(unid.)]]</f>
        <v>0</v>
      </c>
      <c r="AC339" s="279">
        <f>TABLA_BASE[[#This Row],[ADV UNIT.
(US$)
⚠️COSTO]]+TABLA_BASE[[#This Row],[IPM UNIT.
(US$)
✅CF]]+TABLA_BASE[[#This Row],[IGV UNIT.
(US$)
✅CF]]+TABLA_BASE[[#This Row],[PERCEP.
UNIT.(US$)
✅CF]]</f>
        <v>0</v>
      </c>
      <c r="AD339" s="279">
        <f>TABLA_BASE[[#This Row],[TOTAL PAGO
SUNAT
UNIT.(US$)]]*TABLA_BASE[[#This Row],[CANTIDAD
(unid.)]]</f>
        <v>0</v>
      </c>
      <c r="AE339" s="281">
        <f>TABLA_BASE[[#This Row],[TOTAL PAGO
SUNAT
UNIT.(US$)]]*'📋 Datos Generales'!$E$19</f>
        <v>0</v>
      </c>
      <c r="AF339" s="281">
        <f>TABLA_BASE[[#This Row],[TOTAL TRIB.
UNIT.(S/.)]]*TABLA_BASE[[#This Row],[CANTIDAD
(unid.)]]</f>
        <v>0</v>
      </c>
      <c r="AG339" s="279">
        <f>IF('🧾 Factura Comercial'!G343=0,0,'📦 Gastos Importación'!$E$28*(IF('🧾 Tributos Aduana'!$F$6=0,0,'🧾 Factura Comercial'!I343/'🧾 Tributos Aduana'!$F$6))/'🧾 Factura Comercial'!G343)</f>
        <v>0</v>
      </c>
      <c r="AH339" s="279">
        <f>TABLA_BASE[[#This Row],[GASTOS IMP.
UNIT.(US$)]]*TABLA_BASE[[#This Row],[CANTIDAD
(unid.)]]</f>
        <v>0</v>
      </c>
      <c r="AI339" s="281">
        <f>TABLA_BASE[[#This Row],[GASTOS IMP.
UNIT.(US$)]]*'📋 Datos Generales'!$E$19</f>
        <v>0</v>
      </c>
      <c r="AJ339" s="281">
        <f>TABLA_BASE[[#This Row],[GASTOS IMP.
UNIT.(S/.)]]*TABLA_BASE[[#This Row],[CANTIDAD
(unid.)]]</f>
        <v>0</v>
      </c>
      <c r="AK339" s="280">
        <f>'🧮 Costos x Producto'!J343</f>
        <v>0</v>
      </c>
      <c r="AL339" s="278">
        <f>'🧮 Costos x Producto'!K343</f>
        <v>0</v>
      </c>
      <c r="AM339" s="278">
        <f>TABLA_BASE[[#This Row],[C/M UNIT.
(S/.)]]*TABLA_BASE[[#This Row],[CANTIDAD
(unid.)]]</f>
        <v>0</v>
      </c>
      <c r="AN339" s="279">
        <f>IF('🧾 Factura Comercial'!G343=0,0,'🧾 Tributos Aduana'!$F$17*(IF('🧾 Tributos Aduana'!$F$6=0,0,'🧾 Factura Comercial'!I343/'🧾 Tributos Aduana'!$F$6))/'🧾 Factura Comercial'!G343)</f>
        <v>0</v>
      </c>
      <c r="AO339" s="280">
        <f>IF('🧾 Factura Comercial'!G343=0,0,'🏦 Crédito Fiscal'!$C$16*(IF('🧾 Tributos Aduana'!$F$6=0,0,'🧾 Factura Comercial'!I343/'🧾 Tributos Aduana'!$F$6))/'🧾 Factura Comercial'!G343)</f>
        <v>0</v>
      </c>
      <c r="AP339" s="278">
        <f>TABLA_BASE[[#This Row],[CF UNIT.
✅RECUP.
(US$)]]*'📋 Datos Generales'!$E$19</f>
        <v>0</v>
      </c>
      <c r="AQ339" s="278">
        <f>TABLA_BASE[[#This Row],[CF UNIT.
✅RECUP.(S/.)]]*TABLA_BASE[[#This Row],[CANTIDAD
(unid.)]]</f>
        <v>0</v>
      </c>
      <c r="AR339" s="288">
        <f>'💰 Precio de Venta'!G344</f>
        <v>0.4</v>
      </c>
      <c r="AS339" s="278">
        <f>'💰 Precio de Venta'!H344</f>
        <v>0</v>
      </c>
      <c r="AT339" s="278">
        <f>TABLA_BASE[[#This Row],[VALOR VTA.
UNIT.(S/.)]]*TABLA_BASE[[#This Row],[CANTIDAD
(unid.)]]</f>
        <v>0</v>
      </c>
      <c r="AU339" s="281">
        <f>'💰 Precio de Venta'!I344</f>
        <v>0</v>
      </c>
      <c r="AV339" s="278">
        <f>'💰 Precio de Venta'!J344</f>
        <v>0</v>
      </c>
      <c r="AW339" s="278">
        <f>TABLA_BASE[[#This Row],[GANANCIA
UNIT.(S/.)]]*TABLA_BASE[[#This Row],[CANTIDAD
(unid.)]]</f>
        <v>0</v>
      </c>
      <c r="AX339" s="289">
        <f>'💰 Precio de Venta'!K344</f>
        <v>0</v>
      </c>
      <c r="AY339" s="278">
        <f>TABLA_BASE[[#This Row],[GANANCIA
UNIT.(S/.)]]*'🧾 Factura Comercial'!G343</f>
        <v>0</v>
      </c>
      <c r="AZ339" s="277">
        <f>IF(TABLA_BASE[[#This Row],[PRECIO VTA.
c/IGV(S/.)]]=0,0,TABLA_BASE[[#This Row],[GANANCIA
UNIT.(S/.)]]/TABLA_BASE[[#This Row],[PRECIO VTA.
c/IGV(S/.)]])</f>
        <v>0</v>
      </c>
      <c r="BA339" s="277">
        <f>IF(TABLA_BASE[[#This Row],[C/M UNIT.
(S/.)]]=0,0,TABLA_BASE[[#This Row],[GANANCIA
UNIT.(S/.)]]/TABLA_BASE[[#This Row],[C/M UNIT.
(S/.)]])</f>
        <v>0</v>
      </c>
      <c r="BB339" s="274" t="str">
        <f>IF(TABLA_BASE[[#This Row],[MARGEN
%]]&gt;=0.5,"🟢 ALTO",IF(TABLA_BASE[[#This Row],[MARGEN
%]]&gt;=0.3,"🟡 MEDIO","🔴 BAJO"))</f>
        <v>🟡 MEDIO</v>
      </c>
    </row>
    <row r="340" spans="1:54" ht="16.5" hidden="1" thickTop="1" thickBot="1" x14ac:dyDescent="0.3">
      <c r="A340" s="274">
        <f>'🧾 Factura Comercial'!E344</f>
        <v>0</v>
      </c>
      <c r="B340" s="274" t="str">
        <f>'🧾 Factura Comercial'!F344</f>
        <v>Unid.</v>
      </c>
      <c r="C340" s="275">
        <f>'🧾 Factura Comercial'!G344</f>
        <v>0</v>
      </c>
      <c r="D340" s="276">
        <f>'🧾 Factura Comercial'!H344</f>
        <v>0</v>
      </c>
      <c r="E340" s="276">
        <f>'🧾 Factura Comercial'!I344</f>
        <v>0</v>
      </c>
      <c r="F340" s="277">
        <f>IF('🧾 Tributos Aduana'!$F$6=0,0,'🧾 Factura Comercial'!I344/'🧾 Tributos Aduana'!$F$6)</f>
        <v>0</v>
      </c>
      <c r="G340" s="278">
        <f>'🧾 Factura Comercial'!H344*'📋 Datos Generales'!$E$19</f>
        <v>0</v>
      </c>
      <c r="H340" s="278">
        <f>TABLA_BASE[[#This Row],[FOB UNIT.
(S/.)]]*TABLA_BASE[[#This Row],[CANTIDAD
(unid.)]]</f>
        <v>0</v>
      </c>
      <c r="I340" s="280">
        <f>IF('🧾 Tributos Aduana'!$F$6=0,0,'🧾 Tributos Aduana'!$F$17*('🧾 Factura Comercial'!H344/'🧾 Tributos Aduana'!$F$6))</f>
        <v>0</v>
      </c>
      <c r="J340" s="280">
        <f>TABLA_BASE[[#This Row],[ADV UNIT.
(US$)
⚠️COSTO]]*TABLA_BASE[[#This Row],[CANTIDAD
(unid.)]]</f>
        <v>0</v>
      </c>
      <c r="K340" s="279">
        <f>IF('🧾 Tributos Aduana'!$F$6=0,0,'🧾 Tributos Aduana'!$F$18*('🧾 Factura Comercial'!H344/'🧾 Tributos Aduana'!$F$6))</f>
        <v>0</v>
      </c>
      <c r="L340" s="280">
        <f>TABLA_BASE[[#This Row],[IPM UNIT.
(US$)
✅CF]]*TABLA_BASE[[#This Row],[CANTIDAD
(unid.)]]</f>
        <v>0</v>
      </c>
      <c r="M340" s="279">
        <f>IF('🧾 Tributos Aduana'!$F$6=0,0,'🧾 Tributos Aduana'!$F$19*('🧾 Factura Comercial'!H344/'🧾 Tributos Aduana'!$F$6))</f>
        <v>0</v>
      </c>
      <c r="N340" s="280">
        <f>TABLA_BASE[[#This Row],[IGV UNIT.
(US$)
✅CF]]*TABLA_BASE[[#This Row],[CANTIDAD
(unid.)]]</f>
        <v>0</v>
      </c>
      <c r="O340" s="280">
        <f>IF('🧾 Tributos Aduana'!$F$6=0,0,'🧾 Tributos Aduana'!$F$23*('🧾 Factura Comercial'!H344/'🧾 Tributos Aduana'!$F$6))</f>
        <v>0</v>
      </c>
      <c r="P340" s="280">
        <f>TABLA_BASE[[#This Row],[PERCEP.
UNIT.(US$)
✅CF]]*TABLA_BASE[[#This Row],[CANTIDAD
(unid.)]]</f>
        <v>0</v>
      </c>
      <c r="Q340" s="279">
        <f>TABLA_BASE[[#This Row],[ADV UNIT.
(US$)
⚠️COSTO]]+TABLA_BASE[[#This Row],[IPM UNIT.
(US$)
✅CF]]+TABLA_BASE[[#This Row],[IGV UNIT.
(US$)
✅CF]]</f>
        <v>0</v>
      </c>
      <c r="R340" s="280">
        <f>TABLA_BASE[[#This Row],[DEUDA
ADUANERA
UNIT.]]*TABLA_BASE[[#This Row],[CANTIDAD
(unid.)]]</f>
        <v>0</v>
      </c>
      <c r="S340" s="278">
        <f>TABLA_BASE[[#This Row],[DEUDA
ADUANERA
UNIT.]]*'📋 Datos Generales'!$E$19</f>
        <v>0</v>
      </c>
      <c r="T340" s="278">
        <f>TABLA_BASE[[#This Row],[DEUDA
ADUANERA
TOTAL]]*'📋 Datos Generales'!$E$19</f>
        <v>0</v>
      </c>
      <c r="U340" s="281">
        <f>TABLA_BASE[[#This Row],[ADV UNIT.
(US$)
⚠️COSTO]]*'📋 Datos Generales'!$E$19</f>
        <v>0</v>
      </c>
      <c r="V340" s="281">
        <f>TABLA_BASE[[#This Row],[ADV UNIT.
(S/.)]]*TABLA_BASE[[#This Row],[CANTIDAD
(unid.)]]</f>
        <v>0</v>
      </c>
      <c r="W340" s="281">
        <f>TABLA_BASE[[#This Row],[IPM UNIT.
(US$)
✅CF]]*'📋 Datos Generales'!$E$19</f>
        <v>0</v>
      </c>
      <c r="X340" s="281">
        <f>TABLA_BASE[[#This Row],[IPM UNIT.
(S/.)]]*TABLA_BASE[[#This Row],[CANTIDAD
(unid.)]]</f>
        <v>0</v>
      </c>
      <c r="Y340" s="281">
        <f>TABLA_BASE[[#This Row],[IGV UNIT.
(US$)
✅CF]]*'📋 Datos Generales'!$E$19</f>
        <v>0</v>
      </c>
      <c r="Z340" s="281">
        <f>TABLA_BASE[[#This Row],[IGV UNIT.
(S/.)]]*TABLA_BASE[[#This Row],[CANTIDAD
(unid.)]]</f>
        <v>0</v>
      </c>
      <c r="AA340" s="281">
        <f>TABLA_BASE[[#This Row],[PERCEP.
UNIT.(US$)
✅CF]]*'📋 Datos Generales'!$E$19</f>
        <v>0</v>
      </c>
      <c r="AB340" s="281">
        <f>TABLA_BASE[[#This Row],[PERCEP.
UNIT.(S/.)]]*TABLA_BASE[[#This Row],[CANTIDAD
(unid.)]]</f>
        <v>0</v>
      </c>
      <c r="AC340" s="279">
        <f>TABLA_BASE[[#This Row],[ADV UNIT.
(US$)
⚠️COSTO]]+TABLA_BASE[[#This Row],[IPM UNIT.
(US$)
✅CF]]+TABLA_BASE[[#This Row],[IGV UNIT.
(US$)
✅CF]]+TABLA_BASE[[#This Row],[PERCEP.
UNIT.(US$)
✅CF]]</f>
        <v>0</v>
      </c>
      <c r="AD340" s="279">
        <f>TABLA_BASE[[#This Row],[TOTAL PAGO
SUNAT
UNIT.(US$)]]*TABLA_BASE[[#This Row],[CANTIDAD
(unid.)]]</f>
        <v>0</v>
      </c>
      <c r="AE340" s="281">
        <f>TABLA_BASE[[#This Row],[TOTAL PAGO
SUNAT
UNIT.(US$)]]*'📋 Datos Generales'!$E$19</f>
        <v>0</v>
      </c>
      <c r="AF340" s="281">
        <f>TABLA_BASE[[#This Row],[TOTAL TRIB.
UNIT.(S/.)]]*TABLA_BASE[[#This Row],[CANTIDAD
(unid.)]]</f>
        <v>0</v>
      </c>
      <c r="AG340" s="279">
        <f>IF('🧾 Factura Comercial'!G344=0,0,'📦 Gastos Importación'!$E$28*(IF('🧾 Tributos Aduana'!$F$6=0,0,'🧾 Factura Comercial'!I344/'🧾 Tributos Aduana'!$F$6))/'🧾 Factura Comercial'!G344)</f>
        <v>0</v>
      </c>
      <c r="AH340" s="279">
        <f>TABLA_BASE[[#This Row],[GASTOS IMP.
UNIT.(US$)]]*TABLA_BASE[[#This Row],[CANTIDAD
(unid.)]]</f>
        <v>0</v>
      </c>
      <c r="AI340" s="281">
        <f>TABLA_BASE[[#This Row],[GASTOS IMP.
UNIT.(US$)]]*'📋 Datos Generales'!$E$19</f>
        <v>0</v>
      </c>
      <c r="AJ340" s="281">
        <f>TABLA_BASE[[#This Row],[GASTOS IMP.
UNIT.(S/.)]]*TABLA_BASE[[#This Row],[CANTIDAD
(unid.)]]</f>
        <v>0</v>
      </c>
      <c r="AK340" s="280">
        <f>'🧮 Costos x Producto'!J344</f>
        <v>0</v>
      </c>
      <c r="AL340" s="278">
        <f>'🧮 Costos x Producto'!K344</f>
        <v>0</v>
      </c>
      <c r="AM340" s="278">
        <f>TABLA_BASE[[#This Row],[C/M UNIT.
(S/.)]]*TABLA_BASE[[#This Row],[CANTIDAD
(unid.)]]</f>
        <v>0</v>
      </c>
      <c r="AN340" s="279">
        <f>IF('🧾 Factura Comercial'!G344=0,0,'🧾 Tributos Aduana'!$F$17*(IF('🧾 Tributos Aduana'!$F$6=0,0,'🧾 Factura Comercial'!I344/'🧾 Tributos Aduana'!$F$6))/'🧾 Factura Comercial'!G344)</f>
        <v>0</v>
      </c>
      <c r="AO340" s="280">
        <f>IF('🧾 Factura Comercial'!G344=0,0,'🏦 Crédito Fiscal'!$C$16*(IF('🧾 Tributos Aduana'!$F$6=0,0,'🧾 Factura Comercial'!I344/'🧾 Tributos Aduana'!$F$6))/'🧾 Factura Comercial'!G344)</f>
        <v>0</v>
      </c>
      <c r="AP340" s="278">
        <f>TABLA_BASE[[#This Row],[CF UNIT.
✅RECUP.
(US$)]]*'📋 Datos Generales'!$E$19</f>
        <v>0</v>
      </c>
      <c r="AQ340" s="278">
        <f>TABLA_BASE[[#This Row],[CF UNIT.
✅RECUP.(S/.)]]*TABLA_BASE[[#This Row],[CANTIDAD
(unid.)]]</f>
        <v>0</v>
      </c>
      <c r="AR340" s="288">
        <f>'💰 Precio de Venta'!G345</f>
        <v>0.4</v>
      </c>
      <c r="AS340" s="278">
        <f>'💰 Precio de Venta'!H345</f>
        <v>0</v>
      </c>
      <c r="AT340" s="278">
        <f>TABLA_BASE[[#This Row],[VALOR VTA.
UNIT.(S/.)]]*TABLA_BASE[[#This Row],[CANTIDAD
(unid.)]]</f>
        <v>0</v>
      </c>
      <c r="AU340" s="281">
        <f>'💰 Precio de Venta'!I345</f>
        <v>0</v>
      </c>
      <c r="AV340" s="278">
        <f>'💰 Precio de Venta'!J345</f>
        <v>0</v>
      </c>
      <c r="AW340" s="278">
        <f>TABLA_BASE[[#This Row],[GANANCIA
UNIT.(S/.)]]*TABLA_BASE[[#This Row],[CANTIDAD
(unid.)]]</f>
        <v>0</v>
      </c>
      <c r="AX340" s="289">
        <f>'💰 Precio de Venta'!K345</f>
        <v>0</v>
      </c>
      <c r="AY340" s="278">
        <f>TABLA_BASE[[#This Row],[GANANCIA
UNIT.(S/.)]]*'🧾 Factura Comercial'!G344</f>
        <v>0</v>
      </c>
      <c r="AZ340" s="277">
        <f>IF(TABLA_BASE[[#This Row],[PRECIO VTA.
c/IGV(S/.)]]=0,0,TABLA_BASE[[#This Row],[GANANCIA
UNIT.(S/.)]]/TABLA_BASE[[#This Row],[PRECIO VTA.
c/IGV(S/.)]])</f>
        <v>0</v>
      </c>
      <c r="BA340" s="277">
        <f>IF(TABLA_BASE[[#This Row],[C/M UNIT.
(S/.)]]=0,0,TABLA_BASE[[#This Row],[GANANCIA
UNIT.(S/.)]]/TABLA_BASE[[#This Row],[C/M UNIT.
(S/.)]])</f>
        <v>0</v>
      </c>
      <c r="BB340" s="274" t="str">
        <f>IF(TABLA_BASE[[#This Row],[MARGEN
%]]&gt;=0.5,"🟢 ALTO",IF(TABLA_BASE[[#This Row],[MARGEN
%]]&gt;=0.3,"🟡 MEDIO","🔴 BAJO"))</f>
        <v>🟡 MEDIO</v>
      </c>
    </row>
    <row r="341" spans="1:54" ht="16.5" hidden="1" thickTop="1" thickBot="1" x14ac:dyDescent="0.3">
      <c r="A341" s="274">
        <f>'🧾 Factura Comercial'!E345</f>
        <v>0</v>
      </c>
      <c r="B341" s="274" t="str">
        <f>'🧾 Factura Comercial'!F345</f>
        <v>Unid.</v>
      </c>
      <c r="C341" s="275">
        <f>'🧾 Factura Comercial'!G345</f>
        <v>0</v>
      </c>
      <c r="D341" s="276">
        <f>'🧾 Factura Comercial'!H345</f>
        <v>0</v>
      </c>
      <c r="E341" s="276">
        <f>'🧾 Factura Comercial'!I345</f>
        <v>0</v>
      </c>
      <c r="F341" s="277">
        <f>IF('🧾 Tributos Aduana'!$F$6=0,0,'🧾 Factura Comercial'!I345/'🧾 Tributos Aduana'!$F$6)</f>
        <v>0</v>
      </c>
      <c r="G341" s="278">
        <f>'🧾 Factura Comercial'!H345*'📋 Datos Generales'!$E$19</f>
        <v>0</v>
      </c>
      <c r="H341" s="278">
        <f>TABLA_BASE[[#This Row],[FOB UNIT.
(S/.)]]*TABLA_BASE[[#This Row],[CANTIDAD
(unid.)]]</f>
        <v>0</v>
      </c>
      <c r="I341" s="280">
        <f>IF('🧾 Tributos Aduana'!$F$6=0,0,'🧾 Tributos Aduana'!$F$17*('🧾 Factura Comercial'!H345/'🧾 Tributos Aduana'!$F$6))</f>
        <v>0</v>
      </c>
      <c r="J341" s="280">
        <f>TABLA_BASE[[#This Row],[ADV UNIT.
(US$)
⚠️COSTO]]*TABLA_BASE[[#This Row],[CANTIDAD
(unid.)]]</f>
        <v>0</v>
      </c>
      <c r="K341" s="279">
        <f>IF('🧾 Tributos Aduana'!$F$6=0,0,'🧾 Tributos Aduana'!$F$18*('🧾 Factura Comercial'!H345/'🧾 Tributos Aduana'!$F$6))</f>
        <v>0</v>
      </c>
      <c r="L341" s="280">
        <f>TABLA_BASE[[#This Row],[IPM UNIT.
(US$)
✅CF]]*TABLA_BASE[[#This Row],[CANTIDAD
(unid.)]]</f>
        <v>0</v>
      </c>
      <c r="M341" s="279">
        <f>IF('🧾 Tributos Aduana'!$F$6=0,0,'🧾 Tributos Aduana'!$F$19*('🧾 Factura Comercial'!H345/'🧾 Tributos Aduana'!$F$6))</f>
        <v>0</v>
      </c>
      <c r="N341" s="280">
        <f>TABLA_BASE[[#This Row],[IGV UNIT.
(US$)
✅CF]]*TABLA_BASE[[#This Row],[CANTIDAD
(unid.)]]</f>
        <v>0</v>
      </c>
      <c r="O341" s="280">
        <f>IF('🧾 Tributos Aduana'!$F$6=0,0,'🧾 Tributos Aduana'!$F$23*('🧾 Factura Comercial'!H345/'🧾 Tributos Aduana'!$F$6))</f>
        <v>0</v>
      </c>
      <c r="P341" s="280">
        <f>TABLA_BASE[[#This Row],[PERCEP.
UNIT.(US$)
✅CF]]*TABLA_BASE[[#This Row],[CANTIDAD
(unid.)]]</f>
        <v>0</v>
      </c>
      <c r="Q341" s="279">
        <f>TABLA_BASE[[#This Row],[ADV UNIT.
(US$)
⚠️COSTO]]+TABLA_BASE[[#This Row],[IPM UNIT.
(US$)
✅CF]]+TABLA_BASE[[#This Row],[IGV UNIT.
(US$)
✅CF]]</f>
        <v>0</v>
      </c>
      <c r="R341" s="280">
        <f>TABLA_BASE[[#This Row],[DEUDA
ADUANERA
UNIT.]]*TABLA_BASE[[#This Row],[CANTIDAD
(unid.)]]</f>
        <v>0</v>
      </c>
      <c r="S341" s="278">
        <f>TABLA_BASE[[#This Row],[DEUDA
ADUANERA
UNIT.]]*'📋 Datos Generales'!$E$19</f>
        <v>0</v>
      </c>
      <c r="T341" s="278">
        <f>TABLA_BASE[[#This Row],[DEUDA
ADUANERA
TOTAL]]*'📋 Datos Generales'!$E$19</f>
        <v>0</v>
      </c>
      <c r="U341" s="281">
        <f>TABLA_BASE[[#This Row],[ADV UNIT.
(US$)
⚠️COSTO]]*'📋 Datos Generales'!$E$19</f>
        <v>0</v>
      </c>
      <c r="V341" s="281">
        <f>TABLA_BASE[[#This Row],[ADV UNIT.
(S/.)]]*TABLA_BASE[[#This Row],[CANTIDAD
(unid.)]]</f>
        <v>0</v>
      </c>
      <c r="W341" s="281">
        <f>TABLA_BASE[[#This Row],[IPM UNIT.
(US$)
✅CF]]*'📋 Datos Generales'!$E$19</f>
        <v>0</v>
      </c>
      <c r="X341" s="281">
        <f>TABLA_BASE[[#This Row],[IPM UNIT.
(S/.)]]*TABLA_BASE[[#This Row],[CANTIDAD
(unid.)]]</f>
        <v>0</v>
      </c>
      <c r="Y341" s="281">
        <f>TABLA_BASE[[#This Row],[IGV UNIT.
(US$)
✅CF]]*'📋 Datos Generales'!$E$19</f>
        <v>0</v>
      </c>
      <c r="Z341" s="281">
        <f>TABLA_BASE[[#This Row],[IGV UNIT.
(S/.)]]*TABLA_BASE[[#This Row],[CANTIDAD
(unid.)]]</f>
        <v>0</v>
      </c>
      <c r="AA341" s="281">
        <f>TABLA_BASE[[#This Row],[PERCEP.
UNIT.(US$)
✅CF]]*'📋 Datos Generales'!$E$19</f>
        <v>0</v>
      </c>
      <c r="AB341" s="281">
        <f>TABLA_BASE[[#This Row],[PERCEP.
UNIT.(S/.)]]*TABLA_BASE[[#This Row],[CANTIDAD
(unid.)]]</f>
        <v>0</v>
      </c>
      <c r="AC341" s="279">
        <f>TABLA_BASE[[#This Row],[ADV UNIT.
(US$)
⚠️COSTO]]+TABLA_BASE[[#This Row],[IPM UNIT.
(US$)
✅CF]]+TABLA_BASE[[#This Row],[IGV UNIT.
(US$)
✅CF]]+TABLA_BASE[[#This Row],[PERCEP.
UNIT.(US$)
✅CF]]</f>
        <v>0</v>
      </c>
      <c r="AD341" s="279">
        <f>TABLA_BASE[[#This Row],[TOTAL PAGO
SUNAT
UNIT.(US$)]]*TABLA_BASE[[#This Row],[CANTIDAD
(unid.)]]</f>
        <v>0</v>
      </c>
      <c r="AE341" s="281">
        <f>TABLA_BASE[[#This Row],[TOTAL PAGO
SUNAT
UNIT.(US$)]]*'📋 Datos Generales'!$E$19</f>
        <v>0</v>
      </c>
      <c r="AF341" s="281">
        <f>TABLA_BASE[[#This Row],[TOTAL TRIB.
UNIT.(S/.)]]*TABLA_BASE[[#This Row],[CANTIDAD
(unid.)]]</f>
        <v>0</v>
      </c>
      <c r="AG341" s="279">
        <f>IF('🧾 Factura Comercial'!G345=0,0,'📦 Gastos Importación'!$E$28*(IF('🧾 Tributos Aduana'!$F$6=0,0,'🧾 Factura Comercial'!I345/'🧾 Tributos Aduana'!$F$6))/'🧾 Factura Comercial'!G345)</f>
        <v>0</v>
      </c>
      <c r="AH341" s="279">
        <f>TABLA_BASE[[#This Row],[GASTOS IMP.
UNIT.(US$)]]*TABLA_BASE[[#This Row],[CANTIDAD
(unid.)]]</f>
        <v>0</v>
      </c>
      <c r="AI341" s="281">
        <f>TABLA_BASE[[#This Row],[GASTOS IMP.
UNIT.(US$)]]*'📋 Datos Generales'!$E$19</f>
        <v>0</v>
      </c>
      <c r="AJ341" s="281">
        <f>TABLA_BASE[[#This Row],[GASTOS IMP.
UNIT.(S/.)]]*TABLA_BASE[[#This Row],[CANTIDAD
(unid.)]]</f>
        <v>0</v>
      </c>
      <c r="AK341" s="280">
        <f>'🧮 Costos x Producto'!J345</f>
        <v>0</v>
      </c>
      <c r="AL341" s="278">
        <f>'🧮 Costos x Producto'!K345</f>
        <v>0</v>
      </c>
      <c r="AM341" s="278">
        <f>TABLA_BASE[[#This Row],[C/M UNIT.
(S/.)]]*TABLA_BASE[[#This Row],[CANTIDAD
(unid.)]]</f>
        <v>0</v>
      </c>
      <c r="AN341" s="279">
        <f>IF('🧾 Factura Comercial'!G345=0,0,'🧾 Tributos Aduana'!$F$17*(IF('🧾 Tributos Aduana'!$F$6=0,0,'🧾 Factura Comercial'!I345/'🧾 Tributos Aduana'!$F$6))/'🧾 Factura Comercial'!G345)</f>
        <v>0</v>
      </c>
      <c r="AO341" s="280">
        <f>IF('🧾 Factura Comercial'!G345=0,0,'🏦 Crédito Fiscal'!$C$16*(IF('🧾 Tributos Aduana'!$F$6=0,0,'🧾 Factura Comercial'!I345/'🧾 Tributos Aduana'!$F$6))/'🧾 Factura Comercial'!G345)</f>
        <v>0</v>
      </c>
      <c r="AP341" s="278">
        <f>TABLA_BASE[[#This Row],[CF UNIT.
✅RECUP.
(US$)]]*'📋 Datos Generales'!$E$19</f>
        <v>0</v>
      </c>
      <c r="AQ341" s="278">
        <f>TABLA_BASE[[#This Row],[CF UNIT.
✅RECUP.(S/.)]]*TABLA_BASE[[#This Row],[CANTIDAD
(unid.)]]</f>
        <v>0</v>
      </c>
      <c r="AR341" s="288">
        <f>'💰 Precio de Venta'!G346</f>
        <v>0.4</v>
      </c>
      <c r="AS341" s="278">
        <f>'💰 Precio de Venta'!H346</f>
        <v>0</v>
      </c>
      <c r="AT341" s="278">
        <f>TABLA_BASE[[#This Row],[VALOR VTA.
UNIT.(S/.)]]*TABLA_BASE[[#This Row],[CANTIDAD
(unid.)]]</f>
        <v>0</v>
      </c>
      <c r="AU341" s="281">
        <f>'💰 Precio de Venta'!I346</f>
        <v>0</v>
      </c>
      <c r="AV341" s="278">
        <f>'💰 Precio de Venta'!J346</f>
        <v>0</v>
      </c>
      <c r="AW341" s="278">
        <f>TABLA_BASE[[#This Row],[GANANCIA
UNIT.(S/.)]]*TABLA_BASE[[#This Row],[CANTIDAD
(unid.)]]</f>
        <v>0</v>
      </c>
      <c r="AX341" s="289">
        <f>'💰 Precio de Venta'!K346</f>
        <v>0</v>
      </c>
      <c r="AY341" s="278">
        <f>TABLA_BASE[[#This Row],[GANANCIA
UNIT.(S/.)]]*'🧾 Factura Comercial'!G345</f>
        <v>0</v>
      </c>
      <c r="AZ341" s="277">
        <f>IF(TABLA_BASE[[#This Row],[PRECIO VTA.
c/IGV(S/.)]]=0,0,TABLA_BASE[[#This Row],[GANANCIA
UNIT.(S/.)]]/TABLA_BASE[[#This Row],[PRECIO VTA.
c/IGV(S/.)]])</f>
        <v>0</v>
      </c>
      <c r="BA341" s="277">
        <f>IF(TABLA_BASE[[#This Row],[C/M UNIT.
(S/.)]]=0,0,TABLA_BASE[[#This Row],[GANANCIA
UNIT.(S/.)]]/TABLA_BASE[[#This Row],[C/M UNIT.
(S/.)]])</f>
        <v>0</v>
      </c>
      <c r="BB341" s="274" t="str">
        <f>IF(TABLA_BASE[[#This Row],[MARGEN
%]]&gt;=0.5,"🟢 ALTO",IF(TABLA_BASE[[#This Row],[MARGEN
%]]&gt;=0.3,"🟡 MEDIO","🔴 BAJO"))</f>
        <v>🟡 MEDIO</v>
      </c>
    </row>
    <row r="342" spans="1:54" ht="16.5" hidden="1" thickTop="1" thickBot="1" x14ac:dyDescent="0.3">
      <c r="A342" s="274">
        <f>'🧾 Factura Comercial'!E346</f>
        <v>0</v>
      </c>
      <c r="B342" s="274" t="str">
        <f>'🧾 Factura Comercial'!F346</f>
        <v>Unid.</v>
      </c>
      <c r="C342" s="275">
        <f>'🧾 Factura Comercial'!G346</f>
        <v>0</v>
      </c>
      <c r="D342" s="276">
        <f>'🧾 Factura Comercial'!H346</f>
        <v>0</v>
      </c>
      <c r="E342" s="276">
        <f>'🧾 Factura Comercial'!I346</f>
        <v>0</v>
      </c>
      <c r="F342" s="277">
        <f>IF('🧾 Tributos Aduana'!$F$6=0,0,'🧾 Factura Comercial'!I346/'🧾 Tributos Aduana'!$F$6)</f>
        <v>0</v>
      </c>
      <c r="G342" s="278">
        <f>'🧾 Factura Comercial'!H346*'📋 Datos Generales'!$E$19</f>
        <v>0</v>
      </c>
      <c r="H342" s="278">
        <f>TABLA_BASE[[#This Row],[FOB UNIT.
(S/.)]]*TABLA_BASE[[#This Row],[CANTIDAD
(unid.)]]</f>
        <v>0</v>
      </c>
      <c r="I342" s="280">
        <f>IF('🧾 Tributos Aduana'!$F$6=0,0,'🧾 Tributos Aduana'!$F$17*('🧾 Factura Comercial'!H346/'🧾 Tributos Aduana'!$F$6))</f>
        <v>0</v>
      </c>
      <c r="J342" s="280">
        <f>TABLA_BASE[[#This Row],[ADV UNIT.
(US$)
⚠️COSTO]]*TABLA_BASE[[#This Row],[CANTIDAD
(unid.)]]</f>
        <v>0</v>
      </c>
      <c r="K342" s="279">
        <f>IF('🧾 Tributos Aduana'!$F$6=0,0,'🧾 Tributos Aduana'!$F$18*('🧾 Factura Comercial'!H346/'🧾 Tributos Aduana'!$F$6))</f>
        <v>0</v>
      </c>
      <c r="L342" s="280">
        <f>TABLA_BASE[[#This Row],[IPM UNIT.
(US$)
✅CF]]*TABLA_BASE[[#This Row],[CANTIDAD
(unid.)]]</f>
        <v>0</v>
      </c>
      <c r="M342" s="279">
        <f>IF('🧾 Tributos Aduana'!$F$6=0,0,'🧾 Tributos Aduana'!$F$19*('🧾 Factura Comercial'!H346/'🧾 Tributos Aduana'!$F$6))</f>
        <v>0</v>
      </c>
      <c r="N342" s="280">
        <f>TABLA_BASE[[#This Row],[IGV UNIT.
(US$)
✅CF]]*TABLA_BASE[[#This Row],[CANTIDAD
(unid.)]]</f>
        <v>0</v>
      </c>
      <c r="O342" s="280">
        <f>IF('🧾 Tributos Aduana'!$F$6=0,0,'🧾 Tributos Aduana'!$F$23*('🧾 Factura Comercial'!H346/'🧾 Tributos Aduana'!$F$6))</f>
        <v>0</v>
      </c>
      <c r="P342" s="280">
        <f>TABLA_BASE[[#This Row],[PERCEP.
UNIT.(US$)
✅CF]]*TABLA_BASE[[#This Row],[CANTIDAD
(unid.)]]</f>
        <v>0</v>
      </c>
      <c r="Q342" s="279">
        <f>TABLA_BASE[[#This Row],[ADV UNIT.
(US$)
⚠️COSTO]]+TABLA_BASE[[#This Row],[IPM UNIT.
(US$)
✅CF]]+TABLA_BASE[[#This Row],[IGV UNIT.
(US$)
✅CF]]</f>
        <v>0</v>
      </c>
      <c r="R342" s="280">
        <f>TABLA_BASE[[#This Row],[DEUDA
ADUANERA
UNIT.]]*TABLA_BASE[[#This Row],[CANTIDAD
(unid.)]]</f>
        <v>0</v>
      </c>
      <c r="S342" s="278">
        <f>TABLA_BASE[[#This Row],[DEUDA
ADUANERA
UNIT.]]*'📋 Datos Generales'!$E$19</f>
        <v>0</v>
      </c>
      <c r="T342" s="278">
        <f>TABLA_BASE[[#This Row],[DEUDA
ADUANERA
TOTAL]]*'📋 Datos Generales'!$E$19</f>
        <v>0</v>
      </c>
      <c r="U342" s="281">
        <f>TABLA_BASE[[#This Row],[ADV UNIT.
(US$)
⚠️COSTO]]*'📋 Datos Generales'!$E$19</f>
        <v>0</v>
      </c>
      <c r="V342" s="281">
        <f>TABLA_BASE[[#This Row],[ADV UNIT.
(S/.)]]*TABLA_BASE[[#This Row],[CANTIDAD
(unid.)]]</f>
        <v>0</v>
      </c>
      <c r="W342" s="281">
        <f>TABLA_BASE[[#This Row],[IPM UNIT.
(US$)
✅CF]]*'📋 Datos Generales'!$E$19</f>
        <v>0</v>
      </c>
      <c r="X342" s="281">
        <f>TABLA_BASE[[#This Row],[IPM UNIT.
(S/.)]]*TABLA_BASE[[#This Row],[CANTIDAD
(unid.)]]</f>
        <v>0</v>
      </c>
      <c r="Y342" s="281">
        <f>TABLA_BASE[[#This Row],[IGV UNIT.
(US$)
✅CF]]*'📋 Datos Generales'!$E$19</f>
        <v>0</v>
      </c>
      <c r="Z342" s="281">
        <f>TABLA_BASE[[#This Row],[IGV UNIT.
(S/.)]]*TABLA_BASE[[#This Row],[CANTIDAD
(unid.)]]</f>
        <v>0</v>
      </c>
      <c r="AA342" s="281">
        <f>TABLA_BASE[[#This Row],[PERCEP.
UNIT.(US$)
✅CF]]*'📋 Datos Generales'!$E$19</f>
        <v>0</v>
      </c>
      <c r="AB342" s="281">
        <f>TABLA_BASE[[#This Row],[PERCEP.
UNIT.(S/.)]]*TABLA_BASE[[#This Row],[CANTIDAD
(unid.)]]</f>
        <v>0</v>
      </c>
      <c r="AC342" s="279">
        <f>TABLA_BASE[[#This Row],[ADV UNIT.
(US$)
⚠️COSTO]]+TABLA_BASE[[#This Row],[IPM UNIT.
(US$)
✅CF]]+TABLA_BASE[[#This Row],[IGV UNIT.
(US$)
✅CF]]+TABLA_BASE[[#This Row],[PERCEP.
UNIT.(US$)
✅CF]]</f>
        <v>0</v>
      </c>
      <c r="AD342" s="279">
        <f>TABLA_BASE[[#This Row],[TOTAL PAGO
SUNAT
UNIT.(US$)]]*TABLA_BASE[[#This Row],[CANTIDAD
(unid.)]]</f>
        <v>0</v>
      </c>
      <c r="AE342" s="281">
        <f>TABLA_BASE[[#This Row],[TOTAL PAGO
SUNAT
UNIT.(US$)]]*'📋 Datos Generales'!$E$19</f>
        <v>0</v>
      </c>
      <c r="AF342" s="281">
        <f>TABLA_BASE[[#This Row],[TOTAL TRIB.
UNIT.(S/.)]]*TABLA_BASE[[#This Row],[CANTIDAD
(unid.)]]</f>
        <v>0</v>
      </c>
      <c r="AG342" s="279">
        <f>IF('🧾 Factura Comercial'!G346=0,0,'📦 Gastos Importación'!$E$28*(IF('🧾 Tributos Aduana'!$F$6=0,0,'🧾 Factura Comercial'!I346/'🧾 Tributos Aduana'!$F$6))/'🧾 Factura Comercial'!G346)</f>
        <v>0</v>
      </c>
      <c r="AH342" s="279">
        <f>TABLA_BASE[[#This Row],[GASTOS IMP.
UNIT.(US$)]]*TABLA_BASE[[#This Row],[CANTIDAD
(unid.)]]</f>
        <v>0</v>
      </c>
      <c r="AI342" s="281">
        <f>TABLA_BASE[[#This Row],[GASTOS IMP.
UNIT.(US$)]]*'📋 Datos Generales'!$E$19</f>
        <v>0</v>
      </c>
      <c r="AJ342" s="281">
        <f>TABLA_BASE[[#This Row],[GASTOS IMP.
UNIT.(S/.)]]*TABLA_BASE[[#This Row],[CANTIDAD
(unid.)]]</f>
        <v>0</v>
      </c>
      <c r="AK342" s="280">
        <f>'🧮 Costos x Producto'!J346</f>
        <v>0</v>
      </c>
      <c r="AL342" s="278">
        <f>'🧮 Costos x Producto'!K346</f>
        <v>0</v>
      </c>
      <c r="AM342" s="278">
        <f>TABLA_BASE[[#This Row],[C/M UNIT.
(S/.)]]*TABLA_BASE[[#This Row],[CANTIDAD
(unid.)]]</f>
        <v>0</v>
      </c>
      <c r="AN342" s="279">
        <f>IF('🧾 Factura Comercial'!G346=0,0,'🧾 Tributos Aduana'!$F$17*(IF('🧾 Tributos Aduana'!$F$6=0,0,'🧾 Factura Comercial'!I346/'🧾 Tributos Aduana'!$F$6))/'🧾 Factura Comercial'!G346)</f>
        <v>0</v>
      </c>
      <c r="AO342" s="280">
        <f>IF('🧾 Factura Comercial'!G346=0,0,'🏦 Crédito Fiscal'!$C$16*(IF('🧾 Tributos Aduana'!$F$6=0,0,'🧾 Factura Comercial'!I346/'🧾 Tributos Aduana'!$F$6))/'🧾 Factura Comercial'!G346)</f>
        <v>0</v>
      </c>
      <c r="AP342" s="278">
        <f>TABLA_BASE[[#This Row],[CF UNIT.
✅RECUP.
(US$)]]*'📋 Datos Generales'!$E$19</f>
        <v>0</v>
      </c>
      <c r="AQ342" s="278">
        <f>TABLA_BASE[[#This Row],[CF UNIT.
✅RECUP.(S/.)]]*TABLA_BASE[[#This Row],[CANTIDAD
(unid.)]]</f>
        <v>0</v>
      </c>
      <c r="AR342" s="288">
        <f>'💰 Precio de Venta'!G347</f>
        <v>0.4</v>
      </c>
      <c r="AS342" s="278">
        <f>'💰 Precio de Venta'!H347</f>
        <v>0</v>
      </c>
      <c r="AT342" s="278">
        <f>TABLA_BASE[[#This Row],[VALOR VTA.
UNIT.(S/.)]]*TABLA_BASE[[#This Row],[CANTIDAD
(unid.)]]</f>
        <v>0</v>
      </c>
      <c r="AU342" s="281">
        <f>'💰 Precio de Venta'!I347</f>
        <v>0</v>
      </c>
      <c r="AV342" s="278">
        <f>'💰 Precio de Venta'!J347</f>
        <v>0</v>
      </c>
      <c r="AW342" s="278">
        <f>TABLA_BASE[[#This Row],[GANANCIA
UNIT.(S/.)]]*TABLA_BASE[[#This Row],[CANTIDAD
(unid.)]]</f>
        <v>0</v>
      </c>
      <c r="AX342" s="289">
        <f>'💰 Precio de Venta'!K347</f>
        <v>0</v>
      </c>
      <c r="AY342" s="278">
        <f>TABLA_BASE[[#This Row],[GANANCIA
UNIT.(S/.)]]*'🧾 Factura Comercial'!G346</f>
        <v>0</v>
      </c>
      <c r="AZ342" s="277">
        <f>IF(TABLA_BASE[[#This Row],[PRECIO VTA.
c/IGV(S/.)]]=0,0,TABLA_BASE[[#This Row],[GANANCIA
UNIT.(S/.)]]/TABLA_BASE[[#This Row],[PRECIO VTA.
c/IGV(S/.)]])</f>
        <v>0</v>
      </c>
      <c r="BA342" s="277">
        <f>IF(TABLA_BASE[[#This Row],[C/M UNIT.
(S/.)]]=0,0,TABLA_BASE[[#This Row],[GANANCIA
UNIT.(S/.)]]/TABLA_BASE[[#This Row],[C/M UNIT.
(S/.)]])</f>
        <v>0</v>
      </c>
      <c r="BB342" s="274" t="str">
        <f>IF(TABLA_BASE[[#This Row],[MARGEN
%]]&gt;=0.5,"🟢 ALTO",IF(TABLA_BASE[[#This Row],[MARGEN
%]]&gt;=0.3,"🟡 MEDIO","🔴 BAJO"))</f>
        <v>🟡 MEDIO</v>
      </c>
    </row>
    <row r="343" spans="1:54" ht="16.5" hidden="1" thickTop="1" thickBot="1" x14ac:dyDescent="0.3">
      <c r="A343" s="274">
        <f>'🧾 Factura Comercial'!E347</f>
        <v>0</v>
      </c>
      <c r="B343" s="274" t="str">
        <f>'🧾 Factura Comercial'!F347</f>
        <v>Unid.</v>
      </c>
      <c r="C343" s="275">
        <f>'🧾 Factura Comercial'!G347</f>
        <v>0</v>
      </c>
      <c r="D343" s="276">
        <f>'🧾 Factura Comercial'!H347</f>
        <v>0</v>
      </c>
      <c r="E343" s="276">
        <f>'🧾 Factura Comercial'!I347</f>
        <v>0</v>
      </c>
      <c r="F343" s="277">
        <f>IF('🧾 Tributos Aduana'!$F$6=0,0,'🧾 Factura Comercial'!I347/'🧾 Tributos Aduana'!$F$6)</f>
        <v>0</v>
      </c>
      <c r="G343" s="278">
        <f>'🧾 Factura Comercial'!H347*'📋 Datos Generales'!$E$19</f>
        <v>0</v>
      </c>
      <c r="H343" s="278">
        <f>TABLA_BASE[[#This Row],[FOB UNIT.
(S/.)]]*TABLA_BASE[[#This Row],[CANTIDAD
(unid.)]]</f>
        <v>0</v>
      </c>
      <c r="I343" s="280">
        <f>IF('🧾 Tributos Aduana'!$F$6=0,0,'🧾 Tributos Aduana'!$F$17*('🧾 Factura Comercial'!H347/'🧾 Tributos Aduana'!$F$6))</f>
        <v>0</v>
      </c>
      <c r="J343" s="280">
        <f>TABLA_BASE[[#This Row],[ADV UNIT.
(US$)
⚠️COSTO]]*TABLA_BASE[[#This Row],[CANTIDAD
(unid.)]]</f>
        <v>0</v>
      </c>
      <c r="K343" s="279">
        <f>IF('🧾 Tributos Aduana'!$F$6=0,0,'🧾 Tributos Aduana'!$F$18*('🧾 Factura Comercial'!H347/'🧾 Tributos Aduana'!$F$6))</f>
        <v>0</v>
      </c>
      <c r="L343" s="280">
        <f>TABLA_BASE[[#This Row],[IPM UNIT.
(US$)
✅CF]]*TABLA_BASE[[#This Row],[CANTIDAD
(unid.)]]</f>
        <v>0</v>
      </c>
      <c r="M343" s="279">
        <f>IF('🧾 Tributos Aduana'!$F$6=0,0,'🧾 Tributos Aduana'!$F$19*('🧾 Factura Comercial'!H347/'🧾 Tributos Aduana'!$F$6))</f>
        <v>0</v>
      </c>
      <c r="N343" s="280">
        <f>TABLA_BASE[[#This Row],[IGV UNIT.
(US$)
✅CF]]*TABLA_BASE[[#This Row],[CANTIDAD
(unid.)]]</f>
        <v>0</v>
      </c>
      <c r="O343" s="280">
        <f>IF('🧾 Tributos Aduana'!$F$6=0,0,'🧾 Tributos Aduana'!$F$23*('🧾 Factura Comercial'!H347/'🧾 Tributos Aduana'!$F$6))</f>
        <v>0</v>
      </c>
      <c r="P343" s="280">
        <f>TABLA_BASE[[#This Row],[PERCEP.
UNIT.(US$)
✅CF]]*TABLA_BASE[[#This Row],[CANTIDAD
(unid.)]]</f>
        <v>0</v>
      </c>
      <c r="Q343" s="279">
        <f>TABLA_BASE[[#This Row],[ADV UNIT.
(US$)
⚠️COSTO]]+TABLA_BASE[[#This Row],[IPM UNIT.
(US$)
✅CF]]+TABLA_BASE[[#This Row],[IGV UNIT.
(US$)
✅CF]]</f>
        <v>0</v>
      </c>
      <c r="R343" s="280">
        <f>TABLA_BASE[[#This Row],[DEUDA
ADUANERA
UNIT.]]*TABLA_BASE[[#This Row],[CANTIDAD
(unid.)]]</f>
        <v>0</v>
      </c>
      <c r="S343" s="278">
        <f>TABLA_BASE[[#This Row],[DEUDA
ADUANERA
UNIT.]]*'📋 Datos Generales'!$E$19</f>
        <v>0</v>
      </c>
      <c r="T343" s="278">
        <f>TABLA_BASE[[#This Row],[DEUDA
ADUANERA
TOTAL]]*'📋 Datos Generales'!$E$19</f>
        <v>0</v>
      </c>
      <c r="U343" s="281">
        <f>TABLA_BASE[[#This Row],[ADV UNIT.
(US$)
⚠️COSTO]]*'📋 Datos Generales'!$E$19</f>
        <v>0</v>
      </c>
      <c r="V343" s="281">
        <f>TABLA_BASE[[#This Row],[ADV UNIT.
(S/.)]]*TABLA_BASE[[#This Row],[CANTIDAD
(unid.)]]</f>
        <v>0</v>
      </c>
      <c r="W343" s="281">
        <f>TABLA_BASE[[#This Row],[IPM UNIT.
(US$)
✅CF]]*'📋 Datos Generales'!$E$19</f>
        <v>0</v>
      </c>
      <c r="X343" s="281">
        <f>TABLA_BASE[[#This Row],[IPM UNIT.
(S/.)]]*TABLA_BASE[[#This Row],[CANTIDAD
(unid.)]]</f>
        <v>0</v>
      </c>
      <c r="Y343" s="281">
        <f>TABLA_BASE[[#This Row],[IGV UNIT.
(US$)
✅CF]]*'📋 Datos Generales'!$E$19</f>
        <v>0</v>
      </c>
      <c r="Z343" s="281">
        <f>TABLA_BASE[[#This Row],[IGV UNIT.
(S/.)]]*TABLA_BASE[[#This Row],[CANTIDAD
(unid.)]]</f>
        <v>0</v>
      </c>
      <c r="AA343" s="281">
        <f>TABLA_BASE[[#This Row],[PERCEP.
UNIT.(US$)
✅CF]]*'📋 Datos Generales'!$E$19</f>
        <v>0</v>
      </c>
      <c r="AB343" s="281">
        <f>TABLA_BASE[[#This Row],[PERCEP.
UNIT.(S/.)]]*TABLA_BASE[[#This Row],[CANTIDAD
(unid.)]]</f>
        <v>0</v>
      </c>
      <c r="AC343" s="279">
        <f>TABLA_BASE[[#This Row],[ADV UNIT.
(US$)
⚠️COSTO]]+TABLA_BASE[[#This Row],[IPM UNIT.
(US$)
✅CF]]+TABLA_BASE[[#This Row],[IGV UNIT.
(US$)
✅CF]]+TABLA_BASE[[#This Row],[PERCEP.
UNIT.(US$)
✅CF]]</f>
        <v>0</v>
      </c>
      <c r="AD343" s="279">
        <f>TABLA_BASE[[#This Row],[TOTAL PAGO
SUNAT
UNIT.(US$)]]*TABLA_BASE[[#This Row],[CANTIDAD
(unid.)]]</f>
        <v>0</v>
      </c>
      <c r="AE343" s="281">
        <f>TABLA_BASE[[#This Row],[TOTAL PAGO
SUNAT
UNIT.(US$)]]*'📋 Datos Generales'!$E$19</f>
        <v>0</v>
      </c>
      <c r="AF343" s="281">
        <f>TABLA_BASE[[#This Row],[TOTAL TRIB.
UNIT.(S/.)]]*TABLA_BASE[[#This Row],[CANTIDAD
(unid.)]]</f>
        <v>0</v>
      </c>
      <c r="AG343" s="279">
        <f>IF('🧾 Factura Comercial'!G347=0,0,'📦 Gastos Importación'!$E$28*(IF('🧾 Tributos Aduana'!$F$6=0,0,'🧾 Factura Comercial'!I347/'🧾 Tributos Aduana'!$F$6))/'🧾 Factura Comercial'!G347)</f>
        <v>0</v>
      </c>
      <c r="AH343" s="279">
        <f>TABLA_BASE[[#This Row],[GASTOS IMP.
UNIT.(US$)]]*TABLA_BASE[[#This Row],[CANTIDAD
(unid.)]]</f>
        <v>0</v>
      </c>
      <c r="AI343" s="281">
        <f>TABLA_BASE[[#This Row],[GASTOS IMP.
UNIT.(US$)]]*'📋 Datos Generales'!$E$19</f>
        <v>0</v>
      </c>
      <c r="AJ343" s="281">
        <f>TABLA_BASE[[#This Row],[GASTOS IMP.
UNIT.(S/.)]]*TABLA_BASE[[#This Row],[CANTIDAD
(unid.)]]</f>
        <v>0</v>
      </c>
      <c r="AK343" s="280">
        <f>'🧮 Costos x Producto'!J347</f>
        <v>0</v>
      </c>
      <c r="AL343" s="278">
        <f>'🧮 Costos x Producto'!K347</f>
        <v>0</v>
      </c>
      <c r="AM343" s="278">
        <f>TABLA_BASE[[#This Row],[C/M UNIT.
(S/.)]]*TABLA_BASE[[#This Row],[CANTIDAD
(unid.)]]</f>
        <v>0</v>
      </c>
      <c r="AN343" s="279">
        <f>IF('🧾 Factura Comercial'!G347=0,0,'🧾 Tributos Aduana'!$F$17*(IF('🧾 Tributos Aduana'!$F$6=0,0,'🧾 Factura Comercial'!I347/'🧾 Tributos Aduana'!$F$6))/'🧾 Factura Comercial'!G347)</f>
        <v>0</v>
      </c>
      <c r="AO343" s="280">
        <f>IF('🧾 Factura Comercial'!G347=0,0,'🏦 Crédito Fiscal'!$C$16*(IF('🧾 Tributos Aduana'!$F$6=0,0,'🧾 Factura Comercial'!I347/'🧾 Tributos Aduana'!$F$6))/'🧾 Factura Comercial'!G347)</f>
        <v>0</v>
      </c>
      <c r="AP343" s="278">
        <f>TABLA_BASE[[#This Row],[CF UNIT.
✅RECUP.
(US$)]]*'📋 Datos Generales'!$E$19</f>
        <v>0</v>
      </c>
      <c r="AQ343" s="278">
        <f>TABLA_BASE[[#This Row],[CF UNIT.
✅RECUP.(S/.)]]*TABLA_BASE[[#This Row],[CANTIDAD
(unid.)]]</f>
        <v>0</v>
      </c>
      <c r="AR343" s="288">
        <f>'💰 Precio de Venta'!G348</f>
        <v>0.4</v>
      </c>
      <c r="AS343" s="278">
        <f>'💰 Precio de Venta'!H348</f>
        <v>0</v>
      </c>
      <c r="AT343" s="278">
        <f>TABLA_BASE[[#This Row],[VALOR VTA.
UNIT.(S/.)]]*TABLA_BASE[[#This Row],[CANTIDAD
(unid.)]]</f>
        <v>0</v>
      </c>
      <c r="AU343" s="281">
        <f>'💰 Precio de Venta'!I348</f>
        <v>0</v>
      </c>
      <c r="AV343" s="278">
        <f>'💰 Precio de Venta'!J348</f>
        <v>0</v>
      </c>
      <c r="AW343" s="278">
        <f>TABLA_BASE[[#This Row],[GANANCIA
UNIT.(S/.)]]*TABLA_BASE[[#This Row],[CANTIDAD
(unid.)]]</f>
        <v>0</v>
      </c>
      <c r="AX343" s="289">
        <f>'💰 Precio de Venta'!K348</f>
        <v>0</v>
      </c>
      <c r="AY343" s="278">
        <f>TABLA_BASE[[#This Row],[GANANCIA
UNIT.(S/.)]]*'🧾 Factura Comercial'!G347</f>
        <v>0</v>
      </c>
      <c r="AZ343" s="277">
        <f>IF(TABLA_BASE[[#This Row],[PRECIO VTA.
c/IGV(S/.)]]=0,0,TABLA_BASE[[#This Row],[GANANCIA
UNIT.(S/.)]]/TABLA_BASE[[#This Row],[PRECIO VTA.
c/IGV(S/.)]])</f>
        <v>0</v>
      </c>
      <c r="BA343" s="277">
        <f>IF(TABLA_BASE[[#This Row],[C/M UNIT.
(S/.)]]=0,0,TABLA_BASE[[#This Row],[GANANCIA
UNIT.(S/.)]]/TABLA_BASE[[#This Row],[C/M UNIT.
(S/.)]])</f>
        <v>0</v>
      </c>
      <c r="BB343" s="274" t="str">
        <f>IF(TABLA_BASE[[#This Row],[MARGEN
%]]&gt;=0.5,"🟢 ALTO",IF(TABLA_BASE[[#This Row],[MARGEN
%]]&gt;=0.3,"🟡 MEDIO","🔴 BAJO"))</f>
        <v>🟡 MEDIO</v>
      </c>
    </row>
    <row r="344" spans="1:54" ht="16.5" hidden="1" thickTop="1" thickBot="1" x14ac:dyDescent="0.3">
      <c r="A344" s="274">
        <f>'🧾 Factura Comercial'!E348</f>
        <v>0</v>
      </c>
      <c r="B344" s="274" t="str">
        <f>'🧾 Factura Comercial'!F348</f>
        <v>Unid.</v>
      </c>
      <c r="C344" s="275">
        <f>'🧾 Factura Comercial'!G348</f>
        <v>0</v>
      </c>
      <c r="D344" s="276">
        <f>'🧾 Factura Comercial'!H348</f>
        <v>0</v>
      </c>
      <c r="E344" s="276">
        <f>'🧾 Factura Comercial'!I348</f>
        <v>0</v>
      </c>
      <c r="F344" s="277">
        <f>IF('🧾 Tributos Aduana'!$F$6=0,0,'🧾 Factura Comercial'!I348/'🧾 Tributos Aduana'!$F$6)</f>
        <v>0</v>
      </c>
      <c r="G344" s="278">
        <f>'🧾 Factura Comercial'!H348*'📋 Datos Generales'!$E$19</f>
        <v>0</v>
      </c>
      <c r="H344" s="278">
        <f>TABLA_BASE[[#This Row],[FOB UNIT.
(S/.)]]*TABLA_BASE[[#This Row],[CANTIDAD
(unid.)]]</f>
        <v>0</v>
      </c>
      <c r="I344" s="280">
        <f>IF('🧾 Tributos Aduana'!$F$6=0,0,'🧾 Tributos Aduana'!$F$17*('🧾 Factura Comercial'!H348/'🧾 Tributos Aduana'!$F$6))</f>
        <v>0</v>
      </c>
      <c r="J344" s="280">
        <f>TABLA_BASE[[#This Row],[ADV UNIT.
(US$)
⚠️COSTO]]*TABLA_BASE[[#This Row],[CANTIDAD
(unid.)]]</f>
        <v>0</v>
      </c>
      <c r="K344" s="279">
        <f>IF('🧾 Tributos Aduana'!$F$6=0,0,'🧾 Tributos Aduana'!$F$18*('🧾 Factura Comercial'!H348/'🧾 Tributos Aduana'!$F$6))</f>
        <v>0</v>
      </c>
      <c r="L344" s="280">
        <f>TABLA_BASE[[#This Row],[IPM UNIT.
(US$)
✅CF]]*TABLA_BASE[[#This Row],[CANTIDAD
(unid.)]]</f>
        <v>0</v>
      </c>
      <c r="M344" s="279">
        <f>IF('🧾 Tributos Aduana'!$F$6=0,0,'🧾 Tributos Aduana'!$F$19*('🧾 Factura Comercial'!H348/'🧾 Tributos Aduana'!$F$6))</f>
        <v>0</v>
      </c>
      <c r="N344" s="280">
        <f>TABLA_BASE[[#This Row],[IGV UNIT.
(US$)
✅CF]]*TABLA_BASE[[#This Row],[CANTIDAD
(unid.)]]</f>
        <v>0</v>
      </c>
      <c r="O344" s="280">
        <f>IF('🧾 Tributos Aduana'!$F$6=0,0,'🧾 Tributos Aduana'!$F$23*('🧾 Factura Comercial'!H348/'🧾 Tributos Aduana'!$F$6))</f>
        <v>0</v>
      </c>
      <c r="P344" s="280">
        <f>TABLA_BASE[[#This Row],[PERCEP.
UNIT.(US$)
✅CF]]*TABLA_BASE[[#This Row],[CANTIDAD
(unid.)]]</f>
        <v>0</v>
      </c>
      <c r="Q344" s="279">
        <f>TABLA_BASE[[#This Row],[ADV UNIT.
(US$)
⚠️COSTO]]+TABLA_BASE[[#This Row],[IPM UNIT.
(US$)
✅CF]]+TABLA_BASE[[#This Row],[IGV UNIT.
(US$)
✅CF]]</f>
        <v>0</v>
      </c>
      <c r="R344" s="280">
        <f>TABLA_BASE[[#This Row],[DEUDA
ADUANERA
UNIT.]]*TABLA_BASE[[#This Row],[CANTIDAD
(unid.)]]</f>
        <v>0</v>
      </c>
      <c r="S344" s="278">
        <f>TABLA_BASE[[#This Row],[DEUDA
ADUANERA
UNIT.]]*'📋 Datos Generales'!$E$19</f>
        <v>0</v>
      </c>
      <c r="T344" s="278">
        <f>TABLA_BASE[[#This Row],[DEUDA
ADUANERA
TOTAL]]*'📋 Datos Generales'!$E$19</f>
        <v>0</v>
      </c>
      <c r="U344" s="281">
        <f>TABLA_BASE[[#This Row],[ADV UNIT.
(US$)
⚠️COSTO]]*'📋 Datos Generales'!$E$19</f>
        <v>0</v>
      </c>
      <c r="V344" s="281">
        <f>TABLA_BASE[[#This Row],[ADV UNIT.
(S/.)]]*TABLA_BASE[[#This Row],[CANTIDAD
(unid.)]]</f>
        <v>0</v>
      </c>
      <c r="W344" s="281">
        <f>TABLA_BASE[[#This Row],[IPM UNIT.
(US$)
✅CF]]*'📋 Datos Generales'!$E$19</f>
        <v>0</v>
      </c>
      <c r="X344" s="281">
        <f>TABLA_BASE[[#This Row],[IPM UNIT.
(S/.)]]*TABLA_BASE[[#This Row],[CANTIDAD
(unid.)]]</f>
        <v>0</v>
      </c>
      <c r="Y344" s="281">
        <f>TABLA_BASE[[#This Row],[IGV UNIT.
(US$)
✅CF]]*'📋 Datos Generales'!$E$19</f>
        <v>0</v>
      </c>
      <c r="Z344" s="281">
        <f>TABLA_BASE[[#This Row],[IGV UNIT.
(S/.)]]*TABLA_BASE[[#This Row],[CANTIDAD
(unid.)]]</f>
        <v>0</v>
      </c>
      <c r="AA344" s="281">
        <f>TABLA_BASE[[#This Row],[PERCEP.
UNIT.(US$)
✅CF]]*'📋 Datos Generales'!$E$19</f>
        <v>0</v>
      </c>
      <c r="AB344" s="281">
        <f>TABLA_BASE[[#This Row],[PERCEP.
UNIT.(S/.)]]*TABLA_BASE[[#This Row],[CANTIDAD
(unid.)]]</f>
        <v>0</v>
      </c>
      <c r="AC344" s="279">
        <f>TABLA_BASE[[#This Row],[ADV UNIT.
(US$)
⚠️COSTO]]+TABLA_BASE[[#This Row],[IPM UNIT.
(US$)
✅CF]]+TABLA_BASE[[#This Row],[IGV UNIT.
(US$)
✅CF]]+TABLA_BASE[[#This Row],[PERCEP.
UNIT.(US$)
✅CF]]</f>
        <v>0</v>
      </c>
      <c r="AD344" s="279">
        <f>TABLA_BASE[[#This Row],[TOTAL PAGO
SUNAT
UNIT.(US$)]]*TABLA_BASE[[#This Row],[CANTIDAD
(unid.)]]</f>
        <v>0</v>
      </c>
      <c r="AE344" s="281">
        <f>TABLA_BASE[[#This Row],[TOTAL PAGO
SUNAT
UNIT.(US$)]]*'📋 Datos Generales'!$E$19</f>
        <v>0</v>
      </c>
      <c r="AF344" s="281">
        <f>TABLA_BASE[[#This Row],[TOTAL TRIB.
UNIT.(S/.)]]*TABLA_BASE[[#This Row],[CANTIDAD
(unid.)]]</f>
        <v>0</v>
      </c>
      <c r="AG344" s="279">
        <f>IF('🧾 Factura Comercial'!G348=0,0,'📦 Gastos Importación'!$E$28*(IF('🧾 Tributos Aduana'!$F$6=0,0,'🧾 Factura Comercial'!I348/'🧾 Tributos Aduana'!$F$6))/'🧾 Factura Comercial'!G348)</f>
        <v>0</v>
      </c>
      <c r="AH344" s="279">
        <f>TABLA_BASE[[#This Row],[GASTOS IMP.
UNIT.(US$)]]*TABLA_BASE[[#This Row],[CANTIDAD
(unid.)]]</f>
        <v>0</v>
      </c>
      <c r="AI344" s="281">
        <f>TABLA_BASE[[#This Row],[GASTOS IMP.
UNIT.(US$)]]*'📋 Datos Generales'!$E$19</f>
        <v>0</v>
      </c>
      <c r="AJ344" s="281">
        <f>TABLA_BASE[[#This Row],[GASTOS IMP.
UNIT.(S/.)]]*TABLA_BASE[[#This Row],[CANTIDAD
(unid.)]]</f>
        <v>0</v>
      </c>
      <c r="AK344" s="280">
        <f>'🧮 Costos x Producto'!J348</f>
        <v>0</v>
      </c>
      <c r="AL344" s="278">
        <f>'🧮 Costos x Producto'!K348</f>
        <v>0</v>
      </c>
      <c r="AM344" s="278">
        <f>TABLA_BASE[[#This Row],[C/M UNIT.
(S/.)]]*TABLA_BASE[[#This Row],[CANTIDAD
(unid.)]]</f>
        <v>0</v>
      </c>
      <c r="AN344" s="279">
        <f>IF('🧾 Factura Comercial'!G348=0,0,'🧾 Tributos Aduana'!$F$17*(IF('🧾 Tributos Aduana'!$F$6=0,0,'🧾 Factura Comercial'!I348/'🧾 Tributos Aduana'!$F$6))/'🧾 Factura Comercial'!G348)</f>
        <v>0</v>
      </c>
      <c r="AO344" s="280">
        <f>IF('🧾 Factura Comercial'!G348=0,0,'🏦 Crédito Fiscal'!$C$16*(IF('🧾 Tributos Aduana'!$F$6=0,0,'🧾 Factura Comercial'!I348/'🧾 Tributos Aduana'!$F$6))/'🧾 Factura Comercial'!G348)</f>
        <v>0</v>
      </c>
      <c r="AP344" s="278">
        <f>TABLA_BASE[[#This Row],[CF UNIT.
✅RECUP.
(US$)]]*'📋 Datos Generales'!$E$19</f>
        <v>0</v>
      </c>
      <c r="AQ344" s="278">
        <f>TABLA_BASE[[#This Row],[CF UNIT.
✅RECUP.(S/.)]]*TABLA_BASE[[#This Row],[CANTIDAD
(unid.)]]</f>
        <v>0</v>
      </c>
      <c r="AR344" s="288">
        <f>'💰 Precio de Venta'!G349</f>
        <v>0.4</v>
      </c>
      <c r="AS344" s="278">
        <f>'💰 Precio de Venta'!H349</f>
        <v>0</v>
      </c>
      <c r="AT344" s="278">
        <f>TABLA_BASE[[#This Row],[VALOR VTA.
UNIT.(S/.)]]*TABLA_BASE[[#This Row],[CANTIDAD
(unid.)]]</f>
        <v>0</v>
      </c>
      <c r="AU344" s="281">
        <f>'💰 Precio de Venta'!I349</f>
        <v>0</v>
      </c>
      <c r="AV344" s="278">
        <f>'💰 Precio de Venta'!J349</f>
        <v>0</v>
      </c>
      <c r="AW344" s="278">
        <f>TABLA_BASE[[#This Row],[GANANCIA
UNIT.(S/.)]]*TABLA_BASE[[#This Row],[CANTIDAD
(unid.)]]</f>
        <v>0</v>
      </c>
      <c r="AX344" s="289">
        <f>'💰 Precio de Venta'!K349</f>
        <v>0</v>
      </c>
      <c r="AY344" s="278">
        <f>TABLA_BASE[[#This Row],[GANANCIA
UNIT.(S/.)]]*'🧾 Factura Comercial'!G348</f>
        <v>0</v>
      </c>
      <c r="AZ344" s="277">
        <f>IF(TABLA_BASE[[#This Row],[PRECIO VTA.
c/IGV(S/.)]]=0,0,TABLA_BASE[[#This Row],[GANANCIA
UNIT.(S/.)]]/TABLA_BASE[[#This Row],[PRECIO VTA.
c/IGV(S/.)]])</f>
        <v>0</v>
      </c>
      <c r="BA344" s="277">
        <f>IF(TABLA_BASE[[#This Row],[C/M UNIT.
(S/.)]]=0,0,TABLA_BASE[[#This Row],[GANANCIA
UNIT.(S/.)]]/TABLA_BASE[[#This Row],[C/M UNIT.
(S/.)]])</f>
        <v>0</v>
      </c>
      <c r="BB344" s="274" t="str">
        <f>IF(TABLA_BASE[[#This Row],[MARGEN
%]]&gt;=0.5,"🟢 ALTO",IF(TABLA_BASE[[#This Row],[MARGEN
%]]&gt;=0.3,"🟡 MEDIO","🔴 BAJO"))</f>
        <v>🟡 MEDIO</v>
      </c>
    </row>
    <row r="345" spans="1:54" ht="16.5" hidden="1" thickTop="1" thickBot="1" x14ac:dyDescent="0.3">
      <c r="A345" s="274">
        <f>'🧾 Factura Comercial'!E349</f>
        <v>0</v>
      </c>
      <c r="B345" s="274" t="str">
        <f>'🧾 Factura Comercial'!F349</f>
        <v>Unid.</v>
      </c>
      <c r="C345" s="275">
        <f>'🧾 Factura Comercial'!G349</f>
        <v>0</v>
      </c>
      <c r="D345" s="276">
        <f>'🧾 Factura Comercial'!H349</f>
        <v>0</v>
      </c>
      <c r="E345" s="276">
        <f>'🧾 Factura Comercial'!I349</f>
        <v>0</v>
      </c>
      <c r="F345" s="277">
        <f>IF('🧾 Tributos Aduana'!$F$6=0,0,'🧾 Factura Comercial'!I349/'🧾 Tributos Aduana'!$F$6)</f>
        <v>0</v>
      </c>
      <c r="G345" s="278">
        <f>'🧾 Factura Comercial'!H349*'📋 Datos Generales'!$E$19</f>
        <v>0</v>
      </c>
      <c r="H345" s="278">
        <f>TABLA_BASE[[#This Row],[FOB UNIT.
(S/.)]]*TABLA_BASE[[#This Row],[CANTIDAD
(unid.)]]</f>
        <v>0</v>
      </c>
      <c r="I345" s="280">
        <f>IF('🧾 Tributos Aduana'!$F$6=0,0,'🧾 Tributos Aduana'!$F$17*('🧾 Factura Comercial'!H349/'🧾 Tributos Aduana'!$F$6))</f>
        <v>0</v>
      </c>
      <c r="J345" s="280">
        <f>TABLA_BASE[[#This Row],[ADV UNIT.
(US$)
⚠️COSTO]]*TABLA_BASE[[#This Row],[CANTIDAD
(unid.)]]</f>
        <v>0</v>
      </c>
      <c r="K345" s="279">
        <f>IF('🧾 Tributos Aduana'!$F$6=0,0,'🧾 Tributos Aduana'!$F$18*('🧾 Factura Comercial'!H349/'🧾 Tributos Aduana'!$F$6))</f>
        <v>0</v>
      </c>
      <c r="L345" s="280">
        <f>TABLA_BASE[[#This Row],[IPM UNIT.
(US$)
✅CF]]*TABLA_BASE[[#This Row],[CANTIDAD
(unid.)]]</f>
        <v>0</v>
      </c>
      <c r="M345" s="279">
        <f>IF('🧾 Tributos Aduana'!$F$6=0,0,'🧾 Tributos Aduana'!$F$19*('🧾 Factura Comercial'!H349/'🧾 Tributos Aduana'!$F$6))</f>
        <v>0</v>
      </c>
      <c r="N345" s="280">
        <f>TABLA_BASE[[#This Row],[IGV UNIT.
(US$)
✅CF]]*TABLA_BASE[[#This Row],[CANTIDAD
(unid.)]]</f>
        <v>0</v>
      </c>
      <c r="O345" s="280">
        <f>IF('🧾 Tributos Aduana'!$F$6=0,0,'🧾 Tributos Aduana'!$F$23*('🧾 Factura Comercial'!H349/'🧾 Tributos Aduana'!$F$6))</f>
        <v>0</v>
      </c>
      <c r="P345" s="280">
        <f>TABLA_BASE[[#This Row],[PERCEP.
UNIT.(US$)
✅CF]]*TABLA_BASE[[#This Row],[CANTIDAD
(unid.)]]</f>
        <v>0</v>
      </c>
      <c r="Q345" s="279">
        <f>TABLA_BASE[[#This Row],[ADV UNIT.
(US$)
⚠️COSTO]]+TABLA_BASE[[#This Row],[IPM UNIT.
(US$)
✅CF]]+TABLA_BASE[[#This Row],[IGV UNIT.
(US$)
✅CF]]</f>
        <v>0</v>
      </c>
      <c r="R345" s="280">
        <f>TABLA_BASE[[#This Row],[DEUDA
ADUANERA
UNIT.]]*TABLA_BASE[[#This Row],[CANTIDAD
(unid.)]]</f>
        <v>0</v>
      </c>
      <c r="S345" s="278">
        <f>TABLA_BASE[[#This Row],[DEUDA
ADUANERA
UNIT.]]*'📋 Datos Generales'!$E$19</f>
        <v>0</v>
      </c>
      <c r="T345" s="278">
        <f>TABLA_BASE[[#This Row],[DEUDA
ADUANERA
TOTAL]]*'📋 Datos Generales'!$E$19</f>
        <v>0</v>
      </c>
      <c r="U345" s="281">
        <f>TABLA_BASE[[#This Row],[ADV UNIT.
(US$)
⚠️COSTO]]*'📋 Datos Generales'!$E$19</f>
        <v>0</v>
      </c>
      <c r="V345" s="281">
        <f>TABLA_BASE[[#This Row],[ADV UNIT.
(S/.)]]*TABLA_BASE[[#This Row],[CANTIDAD
(unid.)]]</f>
        <v>0</v>
      </c>
      <c r="W345" s="281">
        <f>TABLA_BASE[[#This Row],[IPM UNIT.
(US$)
✅CF]]*'📋 Datos Generales'!$E$19</f>
        <v>0</v>
      </c>
      <c r="X345" s="281">
        <f>TABLA_BASE[[#This Row],[IPM UNIT.
(S/.)]]*TABLA_BASE[[#This Row],[CANTIDAD
(unid.)]]</f>
        <v>0</v>
      </c>
      <c r="Y345" s="281">
        <f>TABLA_BASE[[#This Row],[IGV UNIT.
(US$)
✅CF]]*'📋 Datos Generales'!$E$19</f>
        <v>0</v>
      </c>
      <c r="Z345" s="281">
        <f>TABLA_BASE[[#This Row],[IGV UNIT.
(S/.)]]*TABLA_BASE[[#This Row],[CANTIDAD
(unid.)]]</f>
        <v>0</v>
      </c>
      <c r="AA345" s="281">
        <f>TABLA_BASE[[#This Row],[PERCEP.
UNIT.(US$)
✅CF]]*'📋 Datos Generales'!$E$19</f>
        <v>0</v>
      </c>
      <c r="AB345" s="281">
        <f>TABLA_BASE[[#This Row],[PERCEP.
UNIT.(S/.)]]*TABLA_BASE[[#This Row],[CANTIDAD
(unid.)]]</f>
        <v>0</v>
      </c>
      <c r="AC345" s="279">
        <f>TABLA_BASE[[#This Row],[ADV UNIT.
(US$)
⚠️COSTO]]+TABLA_BASE[[#This Row],[IPM UNIT.
(US$)
✅CF]]+TABLA_BASE[[#This Row],[IGV UNIT.
(US$)
✅CF]]+TABLA_BASE[[#This Row],[PERCEP.
UNIT.(US$)
✅CF]]</f>
        <v>0</v>
      </c>
      <c r="AD345" s="279">
        <f>TABLA_BASE[[#This Row],[TOTAL PAGO
SUNAT
UNIT.(US$)]]*TABLA_BASE[[#This Row],[CANTIDAD
(unid.)]]</f>
        <v>0</v>
      </c>
      <c r="AE345" s="281">
        <f>TABLA_BASE[[#This Row],[TOTAL PAGO
SUNAT
UNIT.(US$)]]*'📋 Datos Generales'!$E$19</f>
        <v>0</v>
      </c>
      <c r="AF345" s="281">
        <f>TABLA_BASE[[#This Row],[TOTAL TRIB.
UNIT.(S/.)]]*TABLA_BASE[[#This Row],[CANTIDAD
(unid.)]]</f>
        <v>0</v>
      </c>
      <c r="AG345" s="279">
        <f>IF('🧾 Factura Comercial'!G349=0,0,'📦 Gastos Importación'!$E$28*(IF('🧾 Tributos Aduana'!$F$6=0,0,'🧾 Factura Comercial'!I349/'🧾 Tributos Aduana'!$F$6))/'🧾 Factura Comercial'!G349)</f>
        <v>0</v>
      </c>
      <c r="AH345" s="279">
        <f>TABLA_BASE[[#This Row],[GASTOS IMP.
UNIT.(US$)]]*TABLA_BASE[[#This Row],[CANTIDAD
(unid.)]]</f>
        <v>0</v>
      </c>
      <c r="AI345" s="281">
        <f>TABLA_BASE[[#This Row],[GASTOS IMP.
UNIT.(US$)]]*'📋 Datos Generales'!$E$19</f>
        <v>0</v>
      </c>
      <c r="AJ345" s="281">
        <f>TABLA_BASE[[#This Row],[GASTOS IMP.
UNIT.(S/.)]]*TABLA_BASE[[#This Row],[CANTIDAD
(unid.)]]</f>
        <v>0</v>
      </c>
      <c r="AK345" s="280">
        <f>'🧮 Costos x Producto'!J349</f>
        <v>0</v>
      </c>
      <c r="AL345" s="278">
        <f>'🧮 Costos x Producto'!K349</f>
        <v>0</v>
      </c>
      <c r="AM345" s="278">
        <f>TABLA_BASE[[#This Row],[C/M UNIT.
(S/.)]]*TABLA_BASE[[#This Row],[CANTIDAD
(unid.)]]</f>
        <v>0</v>
      </c>
      <c r="AN345" s="279">
        <f>IF('🧾 Factura Comercial'!G349=0,0,'🧾 Tributos Aduana'!$F$17*(IF('🧾 Tributos Aduana'!$F$6=0,0,'🧾 Factura Comercial'!I349/'🧾 Tributos Aduana'!$F$6))/'🧾 Factura Comercial'!G349)</f>
        <v>0</v>
      </c>
      <c r="AO345" s="280">
        <f>IF('🧾 Factura Comercial'!G349=0,0,'🏦 Crédito Fiscal'!$C$16*(IF('🧾 Tributos Aduana'!$F$6=0,0,'🧾 Factura Comercial'!I349/'🧾 Tributos Aduana'!$F$6))/'🧾 Factura Comercial'!G349)</f>
        <v>0</v>
      </c>
      <c r="AP345" s="278">
        <f>TABLA_BASE[[#This Row],[CF UNIT.
✅RECUP.
(US$)]]*'📋 Datos Generales'!$E$19</f>
        <v>0</v>
      </c>
      <c r="AQ345" s="278">
        <f>TABLA_BASE[[#This Row],[CF UNIT.
✅RECUP.(S/.)]]*TABLA_BASE[[#This Row],[CANTIDAD
(unid.)]]</f>
        <v>0</v>
      </c>
      <c r="AR345" s="288">
        <f>'💰 Precio de Venta'!G350</f>
        <v>0.4</v>
      </c>
      <c r="AS345" s="278">
        <f>'💰 Precio de Venta'!H350</f>
        <v>0</v>
      </c>
      <c r="AT345" s="278">
        <f>TABLA_BASE[[#This Row],[VALOR VTA.
UNIT.(S/.)]]*TABLA_BASE[[#This Row],[CANTIDAD
(unid.)]]</f>
        <v>0</v>
      </c>
      <c r="AU345" s="281">
        <f>'💰 Precio de Venta'!I350</f>
        <v>0</v>
      </c>
      <c r="AV345" s="278">
        <f>'💰 Precio de Venta'!J350</f>
        <v>0</v>
      </c>
      <c r="AW345" s="278">
        <f>TABLA_BASE[[#This Row],[GANANCIA
UNIT.(S/.)]]*TABLA_BASE[[#This Row],[CANTIDAD
(unid.)]]</f>
        <v>0</v>
      </c>
      <c r="AX345" s="289">
        <f>'💰 Precio de Venta'!K350</f>
        <v>0</v>
      </c>
      <c r="AY345" s="278">
        <f>TABLA_BASE[[#This Row],[GANANCIA
UNIT.(S/.)]]*'🧾 Factura Comercial'!G349</f>
        <v>0</v>
      </c>
      <c r="AZ345" s="277">
        <f>IF(TABLA_BASE[[#This Row],[PRECIO VTA.
c/IGV(S/.)]]=0,0,TABLA_BASE[[#This Row],[GANANCIA
UNIT.(S/.)]]/TABLA_BASE[[#This Row],[PRECIO VTA.
c/IGV(S/.)]])</f>
        <v>0</v>
      </c>
      <c r="BA345" s="277">
        <f>IF(TABLA_BASE[[#This Row],[C/M UNIT.
(S/.)]]=0,0,TABLA_BASE[[#This Row],[GANANCIA
UNIT.(S/.)]]/TABLA_BASE[[#This Row],[C/M UNIT.
(S/.)]])</f>
        <v>0</v>
      </c>
      <c r="BB345" s="274" t="str">
        <f>IF(TABLA_BASE[[#This Row],[MARGEN
%]]&gt;=0.5,"🟢 ALTO",IF(TABLA_BASE[[#This Row],[MARGEN
%]]&gt;=0.3,"🟡 MEDIO","🔴 BAJO"))</f>
        <v>🟡 MEDIO</v>
      </c>
    </row>
    <row r="346" spans="1:54" ht="16.5" hidden="1" thickTop="1" thickBot="1" x14ac:dyDescent="0.3">
      <c r="A346" s="274">
        <f>'🧾 Factura Comercial'!E350</f>
        <v>0</v>
      </c>
      <c r="B346" s="274" t="str">
        <f>'🧾 Factura Comercial'!F350</f>
        <v>Unid.</v>
      </c>
      <c r="C346" s="275">
        <f>'🧾 Factura Comercial'!G350</f>
        <v>0</v>
      </c>
      <c r="D346" s="276">
        <f>'🧾 Factura Comercial'!H350</f>
        <v>0</v>
      </c>
      <c r="E346" s="276">
        <f>'🧾 Factura Comercial'!I350</f>
        <v>0</v>
      </c>
      <c r="F346" s="277">
        <f>IF('🧾 Tributos Aduana'!$F$6=0,0,'🧾 Factura Comercial'!I350/'🧾 Tributos Aduana'!$F$6)</f>
        <v>0</v>
      </c>
      <c r="G346" s="278">
        <f>'🧾 Factura Comercial'!H350*'📋 Datos Generales'!$E$19</f>
        <v>0</v>
      </c>
      <c r="H346" s="278">
        <f>TABLA_BASE[[#This Row],[FOB UNIT.
(S/.)]]*TABLA_BASE[[#This Row],[CANTIDAD
(unid.)]]</f>
        <v>0</v>
      </c>
      <c r="I346" s="280">
        <f>IF('🧾 Tributos Aduana'!$F$6=0,0,'🧾 Tributos Aduana'!$F$17*('🧾 Factura Comercial'!H350/'🧾 Tributos Aduana'!$F$6))</f>
        <v>0</v>
      </c>
      <c r="J346" s="280">
        <f>TABLA_BASE[[#This Row],[ADV UNIT.
(US$)
⚠️COSTO]]*TABLA_BASE[[#This Row],[CANTIDAD
(unid.)]]</f>
        <v>0</v>
      </c>
      <c r="K346" s="279">
        <f>IF('🧾 Tributos Aduana'!$F$6=0,0,'🧾 Tributos Aduana'!$F$18*('🧾 Factura Comercial'!H350/'🧾 Tributos Aduana'!$F$6))</f>
        <v>0</v>
      </c>
      <c r="L346" s="280">
        <f>TABLA_BASE[[#This Row],[IPM UNIT.
(US$)
✅CF]]*TABLA_BASE[[#This Row],[CANTIDAD
(unid.)]]</f>
        <v>0</v>
      </c>
      <c r="M346" s="279">
        <f>IF('🧾 Tributos Aduana'!$F$6=0,0,'🧾 Tributos Aduana'!$F$19*('🧾 Factura Comercial'!H350/'🧾 Tributos Aduana'!$F$6))</f>
        <v>0</v>
      </c>
      <c r="N346" s="280">
        <f>TABLA_BASE[[#This Row],[IGV UNIT.
(US$)
✅CF]]*TABLA_BASE[[#This Row],[CANTIDAD
(unid.)]]</f>
        <v>0</v>
      </c>
      <c r="O346" s="280">
        <f>IF('🧾 Tributos Aduana'!$F$6=0,0,'🧾 Tributos Aduana'!$F$23*('🧾 Factura Comercial'!H350/'🧾 Tributos Aduana'!$F$6))</f>
        <v>0</v>
      </c>
      <c r="P346" s="280">
        <f>TABLA_BASE[[#This Row],[PERCEP.
UNIT.(US$)
✅CF]]*TABLA_BASE[[#This Row],[CANTIDAD
(unid.)]]</f>
        <v>0</v>
      </c>
      <c r="Q346" s="279">
        <f>TABLA_BASE[[#This Row],[ADV UNIT.
(US$)
⚠️COSTO]]+TABLA_BASE[[#This Row],[IPM UNIT.
(US$)
✅CF]]+TABLA_BASE[[#This Row],[IGV UNIT.
(US$)
✅CF]]</f>
        <v>0</v>
      </c>
      <c r="R346" s="280">
        <f>TABLA_BASE[[#This Row],[DEUDA
ADUANERA
UNIT.]]*TABLA_BASE[[#This Row],[CANTIDAD
(unid.)]]</f>
        <v>0</v>
      </c>
      <c r="S346" s="278">
        <f>TABLA_BASE[[#This Row],[DEUDA
ADUANERA
UNIT.]]*'📋 Datos Generales'!$E$19</f>
        <v>0</v>
      </c>
      <c r="T346" s="278">
        <f>TABLA_BASE[[#This Row],[DEUDA
ADUANERA
TOTAL]]*'📋 Datos Generales'!$E$19</f>
        <v>0</v>
      </c>
      <c r="U346" s="281">
        <f>TABLA_BASE[[#This Row],[ADV UNIT.
(US$)
⚠️COSTO]]*'📋 Datos Generales'!$E$19</f>
        <v>0</v>
      </c>
      <c r="V346" s="281">
        <f>TABLA_BASE[[#This Row],[ADV UNIT.
(S/.)]]*TABLA_BASE[[#This Row],[CANTIDAD
(unid.)]]</f>
        <v>0</v>
      </c>
      <c r="W346" s="281">
        <f>TABLA_BASE[[#This Row],[IPM UNIT.
(US$)
✅CF]]*'📋 Datos Generales'!$E$19</f>
        <v>0</v>
      </c>
      <c r="X346" s="281">
        <f>TABLA_BASE[[#This Row],[IPM UNIT.
(S/.)]]*TABLA_BASE[[#This Row],[CANTIDAD
(unid.)]]</f>
        <v>0</v>
      </c>
      <c r="Y346" s="281">
        <f>TABLA_BASE[[#This Row],[IGV UNIT.
(US$)
✅CF]]*'📋 Datos Generales'!$E$19</f>
        <v>0</v>
      </c>
      <c r="Z346" s="281">
        <f>TABLA_BASE[[#This Row],[IGV UNIT.
(S/.)]]*TABLA_BASE[[#This Row],[CANTIDAD
(unid.)]]</f>
        <v>0</v>
      </c>
      <c r="AA346" s="281">
        <f>TABLA_BASE[[#This Row],[PERCEP.
UNIT.(US$)
✅CF]]*'📋 Datos Generales'!$E$19</f>
        <v>0</v>
      </c>
      <c r="AB346" s="281">
        <f>TABLA_BASE[[#This Row],[PERCEP.
UNIT.(S/.)]]*TABLA_BASE[[#This Row],[CANTIDAD
(unid.)]]</f>
        <v>0</v>
      </c>
      <c r="AC346" s="279">
        <f>TABLA_BASE[[#This Row],[ADV UNIT.
(US$)
⚠️COSTO]]+TABLA_BASE[[#This Row],[IPM UNIT.
(US$)
✅CF]]+TABLA_BASE[[#This Row],[IGV UNIT.
(US$)
✅CF]]+TABLA_BASE[[#This Row],[PERCEP.
UNIT.(US$)
✅CF]]</f>
        <v>0</v>
      </c>
      <c r="AD346" s="279">
        <f>TABLA_BASE[[#This Row],[TOTAL PAGO
SUNAT
UNIT.(US$)]]*TABLA_BASE[[#This Row],[CANTIDAD
(unid.)]]</f>
        <v>0</v>
      </c>
      <c r="AE346" s="281">
        <f>TABLA_BASE[[#This Row],[TOTAL PAGO
SUNAT
UNIT.(US$)]]*'📋 Datos Generales'!$E$19</f>
        <v>0</v>
      </c>
      <c r="AF346" s="281">
        <f>TABLA_BASE[[#This Row],[TOTAL TRIB.
UNIT.(S/.)]]*TABLA_BASE[[#This Row],[CANTIDAD
(unid.)]]</f>
        <v>0</v>
      </c>
      <c r="AG346" s="279">
        <f>IF('🧾 Factura Comercial'!G350=0,0,'📦 Gastos Importación'!$E$28*(IF('🧾 Tributos Aduana'!$F$6=0,0,'🧾 Factura Comercial'!I350/'🧾 Tributos Aduana'!$F$6))/'🧾 Factura Comercial'!G350)</f>
        <v>0</v>
      </c>
      <c r="AH346" s="279">
        <f>TABLA_BASE[[#This Row],[GASTOS IMP.
UNIT.(US$)]]*TABLA_BASE[[#This Row],[CANTIDAD
(unid.)]]</f>
        <v>0</v>
      </c>
      <c r="AI346" s="281">
        <f>TABLA_BASE[[#This Row],[GASTOS IMP.
UNIT.(US$)]]*'📋 Datos Generales'!$E$19</f>
        <v>0</v>
      </c>
      <c r="AJ346" s="281">
        <f>TABLA_BASE[[#This Row],[GASTOS IMP.
UNIT.(S/.)]]*TABLA_BASE[[#This Row],[CANTIDAD
(unid.)]]</f>
        <v>0</v>
      </c>
      <c r="AK346" s="280">
        <f>'🧮 Costos x Producto'!J350</f>
        <v>0</v>
      </c>
      <c r="AL346" s="278">
        <f>'🧮 Costos x Producto'!K350</f>
        <v>0</v>
      </c>
      <c r="AM346" s="278">
        <f>TABLA_BASE[[#This Row],[C/M UNIT.
(S/.)]]*TABLA_BASE[[#This Row],[CANTIDAD
(unid.)]]</f>
        <v>0</v>
      </c>
      <c r="AN346" s="279">
        <f>IF('🧾 Factura Comercial'!G350=0,0,'🧾 Tributos Aduana'!$F$17*(IF('🧾 Tributos Aduana'!$F$6=0,0,'🧾 Factura Comercial'!I350/'🧾 Tributos Aduana'!$F$6))/'🧾 Factura Comercial'!G350)</f>
        <v>0</v>
      </c>
      <c r="AO346" s="280">
        <f>IF('🧾 Factura Comercial'!G350=0,0,'🏦 Crédito Fiscal'!$C$16*(IF('🧾 Tributos Aduana'!$F$6=0,0,'🧾 Factura Comercial'!I350/'🧾 Tributos Aduana'!$F$6))/'🧾 Factura Comercial'!G350)</f>
        <v>0</v>
      </c>
      <c r="AP346" s="278">
        <f>TABLA_BASE[[#This Row],[CF UNIT.
✅RECUP.
(US$)]]*'📋 Datos Generales'!$E$19</f>
        <v>0</v>
      </c>
      <c r="AQ346" s="278">
        <f>TABLA_BASE[[#This Row],[CF UNIT.
✅RECUP.(S/.)]]*TABLA_BASE[[#This Row],[CANTIDAD
(unid.)]]</f>
        <v>0</v>
      </c>
      <c r="AR346" s="288">
        <f>'💰 Precio de Venta'!G351</f>
        <v>0.4</v>
      </c>
      <c r="AS346" s="278">
        <f>'💰 Precio de Venta'!H351</f>
        <v>0</v>
      </c>
      <c r="AT346" s="278">
        <f>TABLA_BASE[[#This Row],[VALOR VTA.
UNIT.(S/.)]]*TABLA_BASE[[#This Row],[CANTIDAD
(unid.)]]</f>
        <v>0</v>
      </c>
      <c r="AU346" s="281">
        <f>'💰 Precio de Venta'!I351</f>
        <v>0</v>
      </c>
      <c r="AV346" s="278">
        <f>'💰 Precio de Venta'!J351</f>
        <v>0</v>
      </c>
      <c r="AW346" s="278">
        <f>TABLA_BASE[[#This Row],[GANANCIA
UNIT.(S/.)]]*TABLA_BASE[[#This Row],[CANTIDAD
(unid.)]]</f>
        <v>0</v>
      </c>
      <c r="AX346" s="289">
        <f>'💰 Precio de Venta'!K351</f>
        <v>0</v>
      </c>
      <c r="AY346" s="278">
        <f>TABLA_BASE[[#This Row],[GANANCIA
UNIT.(S/.)]]*'🧾 Factura Comercial'!G350</f>
        <v>0</v>
      </c>
      <c r="AZ346" s="277">
        <f>IF(TABLA_BASE[[#This Row],[PRECIO VTA.
c/IGV(S/.)]]=0,0,TABLA_BASE[[#This Row],[GANANCIA
UNIT.(S/.)]]/TABLA_BASE[[#This Row],[PRECIO VTA.
c/IGV(S/.)]])</f>
        <v>0</v>
      </c>
      <c r="BA346" s="277">
        <f>IF(TABLA_BASE[[#This Row],[C/M UNIT.
(S/.)]]=0,0,TABLA_BASE[[#This Row],[GANANCIA
UNIT.(S/.)]]/TABLA_BASE[[#This Row],[C/M UNIT.
(S/.)]])</f>
        <v>0</v>
      </c>
      <c r="BB346" s="274" t="str">
        <f>IF(TABLA_BASE[[#This Row],[MARGEN
%]]&gt;=0.5,"🟢 ALTO",IF(TABLA_BASE[[#This Row],[MARGEN
%]]&gt;=0.3,"🟡 MEDIO","🔴 BAJO"))</f>
        <v>🟡 MEDIO</v>
      </c>
    </row>
    <row r="347" spans="1:54" ht="16.5" hidden="1" thickTop="1" thickBot="1" x14ac:dyDescent="0.3">
      <c r="A347" s="274">
        <f>'🧾 Factura Comercial'!E351</f>
        <v>0</v>
      </c>
      <c r="B347" s="274" t="str">
        <f>'🧾 Factura Comercial'!F351</f>
        <v>Unid.</v>
      </c>
      <c r="C347" s="275">
        <f>'🧾 Factura Comercial'!G351</f>
        <v>0</v>
      </c>
      <c r="D347" s="276">
        <f>'🧾 Factura Comercial'!H351</f>
        <v>0</v>
      </c>
      <c r="E347" s="276">
        <f>'🧾 Factura Comercial'!I351</f>
        <v>0</v>
      </c>
      <c r="F347" s="277">
        <f>IF('🧾 Tributos Aduana'!$F$6=0,0,'🧾 Factura Comercial'!I351/'🧾 Tributos Aduana'!$F$6)</f>
        <v>0</v>
      </c>
      <c r="G347" s="278">
        <f>'🧾 Factura Comercial'!H351*'📋 Datos Generales'!$E$19</f>
        <v>0</v>
      </c>
      <c r="H347" s="278">
        <f>TABLA_BASE[[#This Row],[FOB UNIT.
(S/.)]]*TABLA_BASE[[#This Row],[CANTIDAD
(unid.)]]</f>
        <v>0</v>
      </c>
      <c r="I347" s="280">
        <f>IF('🧾 Tributos Aduana'!$F$6=0,0,'🧾 Tributos Aduana'!$F$17*('🧾 Factura Comercial'!H351/'🧾 Tributos Aduana'!$F$6))</f>
        <v>0</v>
      </c>
      <c r="J347" s="280">
        <f>TABLA_BASE[[#This Row],[ADV UNIT.
(US$)
⚠️COSTO]]*TABLA_BASE[[#This Row],[CANTIDAD
(unid.)]]</f>
        <v>0</v>
      </c>
      <c r="K347" s="279">
        <f>IF('🧾 Tributos Aduana'!$F$6=0,0,'🧾 Tributos Aduana'!$F$18*('🧾 Factura Comercial'!H351/'🧾 Tributos Aduana'!$F$6))</f>
        <v>0</v>
      </c>
      <c r="L347" s="280">
        <f>TABLA_BASE[[#This Row],[IPM UNIT.
(US$)
✅CF]]*TABLA_BASE[[#This Row],[CANTIDAD
(unid.)]]</f>
        <v>0</v>
      </c>
      <c r="M347" s="279">
        <f>IF('🧾 Tributos Aduana'!$F$6=0,0,'🧾 Tributos Aduana'!$F$19*('🧾 Factura Comercial'!H351/'🧾 Tributos Aduana'!$F$6))</f>
        <v>0</v>
      </c>
      <c r="N347" s="280">
        <f>TABLA_BASE[[#This Row],[IGV UNIT.
(US$)
✅CF]]*TABLA_BASE[[#This Row],[CANTIDAD
(unid.)]]</f>
        <v>0</v>
      </c>
      <c r="O347" s="280">
        <f>IF('🧾 Tributos Aduana'!$F$6=0,0,'🧾 Tributos Aduana'!$F$23*('🧾 Factura Comercial'!H351/'🧾 Tributos Aduana'!$F$6))</f>
        <v>0</v>
      </c>
      <c r="P347" s="280">
        <f>TABLA_BASE[[#This Row],[PERCEP.
UNIT.(US$)
✅CF]]*TABLA_BASE[[#This Row],[CANTIDAD
(unid.)]]</f>
        <v>0</v>
      </c>
      <c r="Q347" s="279">
        <f>TABLA_BASE[[#This Row],[ADV UNIT.
(US$)
⚠️COSTO]]+TABLA_BASE[[#This Row],[IPM UNIT.
(US$)
✅CF]]+TABLA_BASE[[#This Row],[IGV UNIT.
(US$)
✅CF]]</f>
        <v>0</v>
      </c>
      <c r="R347" s="280">
        <f>TABLA_BASE[[#This Row],[DEUDA
ADUANERA
UNIT.]]*TABLA_BASE[[#This Row],[CANTIDAD
(unid.)]]</f>
        <v>0</v>
      </c>
      <c r="S347" s="278">
        <f>TABLA_BASE[[#This Row],[DEUDA
ADUANERA
UNIT.]]*'📋 Datos Generales'!$E$19</f>
        <v>0</v>
      </c>
      <c r="T347" s="278">
        <f>TABLA_BASE[[#This Row],[DEUDA
ADUANERA
TOTAL]]*'📋 Datos Generales'!$E$19</f>
        <v>0</v>
      </c>
      <c r="U347" s="281">
        <f>TABLA_BASE[[#This Row],[ADV UNIT.
(US$)
⚠️COSTO]]*'📋 Datos Generales'!$E$19</f>
        <v>0</v>
      </c>
      <c r="V347" s="281">
        <f>TABLA_BASE[[#This Row],[ADV UNIT.
(S/.)]]*TABLA_BASE[[#This Row],[CANTIDAD
(unid.)]]</f>
        <v>0</v>
      </c>
      <c r="W347" s="281">
        <f>TABLA_BASE[[#This Row],[IPM UNIT.
(US$)
✅CF]]*'📋 Datos Generales'!$E$19</f>
        <v>0</v>
      </c>
      <c r="X347" s="281">
        <f>TABLA_BASE[[#This Row],[IPM UNIT.
(S/.)]]*TABLA_BASE[[#This Row],[CANTIDAD
(unid.)]]</f>
        <v>0</v>
      </c>
      <c r="Y347" s="281">
        <f>TABLA_BASE[[#This Row],[IGV UNIT.
(US$)
✅CF]]*'📋 Datos Generales'!$E$19</f>
        <v>0</v>
      </c>
      <c r="Z347" s="281">
        <f>TABLA_BASE[[#This Row],[IGV UNIT.
(S/.)]]*TABLA_BASE[[#This Row],[CANTIDAD
(unid.)]]</f>
        <v>0</v>
      </c>
      <c r="AA347" s="281">
        <f>TABLA_BASE[[#This Row],[PERCEP.
UNIT.(US$)
✅CF]]*'📋 Datos Generales'!$E$19</f>
        <v>0</v>
      </c>
      <c r="AB347" s="281">
        <f>TABLA_BASE[[#This Row],[PERCEP.
UNIT.(S/.)]]*TABLA_BASE[[#This Row],[CANTIDAD
(unid.)]]</f>
        <v>0</v>
      </c>
      <c r="AC347" s="279">
        <f>TABLA_BASE[[#This Row],[ADV UNIT.
(US$)
⚠️COSTO]]+TABLA_BASE[[#This Row],[IPM UNIT.
(US$)
✅CF]]+TABLA_BASE[[#This Row],[IGV UNIT.
(US$)
✅CF]]+TABLA_BASE[[#This Row],[PERCEP.
UNIT.(US$)
✅CF]]</f>
        <v>0</v>
      </c>
      <c r="AD347" s="279">
        <f>TABLA_BASE[[#This Row],[TOTAL PAGO
SUNAT
UNIT.(US$)]]*TABLA_BASE[[#This Row],[CANTIDAD
(unid.)]]</f>
        <v>0</v>
      </c>
      <c r="AE347" s="281">
        <f>TABLA_BASE[[#This Row],[TOTAL PAGO
SUNAT
UNIT.(US$)]]*'📋 Datos Generales'!$E$19</f>
        <v>0</v>
      </c>
      <c r="AF347" s="281">
        <f>TABLA_BASE[[#This Row],[TOTAL TRIB.
UNIT.(S/.)]]*TABLA_BASE[[#This Row],[CANTIDAD
(unid.)]]</f>
        <v>0</v>
      </c>
      <c r="AG347" s="279">
        <f>IF('🧾 Factura Comercial'!G351=0,0,'📦 Gastos Importación'!$E$28*(IF('🧾 Tributos Aduana'!$F$6=0,0,'🧾 Factura Comercial'!I351/'🧾 Tributos Aduana'!$F$6))/'🧾 Factura Comercial'!G351)</f>
        <v>0</v>
      </c>
      <c r="AH347" s="279">
        <f>TABLA_BASE[[#This Row],[GASTOS IMP.
UNIT.(US$)]]*TABLA_BASE[[#This Row],[CANTIDAD
(unid.)]]</f>
        <v>0</v>
      </c>
      <c r="AI347" s="281">
        <f>TABLA_BASE[[#This Row],[GASTOS IMP.
UNIT.(US$)]]*'📋 Datos Generales'!$E$19</f>
        <v>0</v>
      </c>
      <c r="AJ347" s="281">
        <f>TABLA_BASE[[#This Row],[GASTOS IMP.
UNIT.(S/.)]]*TABLA_BASE[[#This Row],[CANTIDAD
(unid.)]]</f>
        <v>0</v>
      </c>
      <c r="AK347" s="280">
        <f>'🧮 Costos x Producto'!J351</f>
        <v>0</v>
      </c>
      <c r="AL347" s="278">
        <f>'🧮 Costos x Producto'!K351</f>
        <v>0</v>
      </c>
      <c r="AM347" s="278">
        <f>TABLA_BASE[[#This Row],[C/M UNIT.
(S/.)]]*TABLA_BASE[[#This Row],[CANTIDAD
(unid.)]]</f>
        <v>0</v>
      </c>
      <c r="AN347" s="279">
        <f>IF('🧾 Factura Comercial'!G351=0,0,'🧾 Tributos Aduana'!$F$17*(IF('🧾 Tributos Aduana'!$F$6=0,0,'🧾 Factura Comercial'!I351/'🧾 Tributos Aduana'!$F$6))/'🧾 Factura Comercial'!G351)</f>
        <v>0</v>
      </c>
      <c r="AO347" s="280">
        <f>IF('🧾 Factura Comercial'!G351=0,0,'🏦 Crédito Fiscal'!$C$16*(IF('🧾 Tributos Aduana'!$F$6=0,0,'🧾 Factura Comercial'!I351/'🧾 Tributos Aduana'!$F$6))/'🧾 Factura Comercial'!G351)</f>
        <v>0</v>
      </c>
      <c r="AP347" s="278">
        <f>TABLA_BASE[[#This Row],[CF UNIT.
✅RECUP.
(US$)]]*'📋 Datos Generales'!$E$19</f>
        <v>0</v>
      </c>
      <c r="AQ347" s="278">
        <f>TABLA_BASE[[#This Row],[CF UNIT.
✅RECUP.(S/.)]]*TABLA_BASE[[#This Row],[CANTIDAD
(unid.)]]</f>
        <v>0</v>
      </c>
      <c r="AR347" s="288">
        <f>'💰 Precio de Venta'!G352</f>
        <v>0.4</v>
      </c>
      <c r="AS347" s="278">
        <f>'💰 Precio de Venta'!H352</f>
        <v>0</v>
      </c>
      <c r="AT347" s="278">
        <f>TABLA_BASE[[#This Row],[VALOR VTA.
UNIT.(S/.)]]*TABLA_BASE[[#This Row],[CANTIDAD
(unid.)]]</f>
        <v>0</v>
      </c>
      <c r="AU347" s="281">
        <f>'💰 Precio de Venta'!I352</f>
        <v>0</v>
      </c>
      <c r="AV347" s="278">
        <f>'💰 Precio de Venta'!J352</f>
        <v>0</v>
      </c>
      <c r="AW347" s="278">
        <f>TABLA_BASE[[#This Row],[GANANCIA
UNIT.(S/.)]]*TABLA_BASE[[#This Row],[CANTIDAD
(unid.)]]</f>
        <v>0</v>
      </c>
      <c r="AX347" s="289">
        <f>'💰 Precio de Venta'!K352</f>
        <v>0</v>
      </c>
      <c r="AY347" s="278">
        <f>TABLA_BASE[[#This Row],[GANANCIA
UNIT.(S/.)]]*'🧾 Factura Comercial'!G351</f>
        <v>0</v>
      </c>
      <c r="AZ347" s="277">
        <f>IF(TABLA_BASE[[#This Row],[PRECIO VTA.
c/IGV(S/.)]]=0,0,TABLA_BASE[[#This Row],[GANANCIA
UNIT.(S/.)]]/TABLA_BASE[[#This Row],[PRECIO VTA.
c/IGV(S/.)]])</f>
        <v>0</v>
      </c>
      <c r="BA347" s="277">
        <f>IF(TABLA_BASE[[#This Row],[C/M UNIT.
(S/.)]]=0,0,TABLA_BASE[[#This Row],[GANANCIA
UNIT.(S/.)]]/TABLA_BASE[[#This Row],[C/M UNIT.
(S/.)]])</f>
        <v>0</v>
      </c>
      <c r="BB347" s="274" t="str">
        <f>IF(TABLA_BASE[[#This Row],[MARGEN
%]]&gt;=0.5,"🟢 ALTO",IF(TABLA_BASE[[#This Row],[MARGEN
%]]&gt;=0.3,"🟡 MEDIO","🔴 BAJO"))</f>
        <v>🟡 MEDIO</v>
      </c>
    </row>
    <row r="348" spans="1:54" ht="16.5" hidden="1" thickTop="1" thickBot="1" x14ac:dyDescent="0.3">
      <c r="A348" s="274">
        <f>'🧾 Factura Comercial'!E352</f>
        <v>0</v>
      </c>
      <c r="B348" s="274" t="str">
        <f>'🧾 Factura Comercial'!F352</f>
        <v>Unid.</v>
      </c>
      <c r="C348" s="275">
        <f>'🧾 Factura Comercial'!G352</f>
        <v>0</v>
      </c>
      <c r="D348" s="276">
        <f>'🧾 Factura Comercial'!H352</f>
        <v>0</v>
      </c>
      <c r="E348" s="276">
        <f>'🧾 Factura Comercial'!I352</f>
        <v>0</v>
      </c>
      <c r="F348" s="277">
        <f>IF('🧾 Tributos Aduana'!$F$6=0,0,'🧾 Factura Comercial'!I352/'🧾 Tributos Aduana'!$F$6)</f>
        <v>0</v>
      </c>
      <c r="G348" s="278">
        <f>'🧾 Factura Comercial'!H352*'📋 Datos Generales'!$E$19</f>
        <v>0</v>
      </c>
      <c r="H348" s="278">
        <f>TABLA_BASE[[#This Row],[FOB UNIT.
(S/.)]]*TABLA_BASE[[#This Row],[CANTIDAD
(unid.)]]</f>
        <v>0</v>
      </c>
      <c r="I348" s="280">
        <f>IF('🧾 Tributos Aduana'!$F$6=0,0,'🧾 Tributos Aduana'!$F$17*('🧾 Factura Comercial'!H352/'🧾 Tributos Aduana'!$F$6))</f>
        <v>0</v>
      </c>
      <c r="J348" s="280">
        <f>TABLA_BASE[[#This Row],[ADV UNIT.
(US$)
⚠️COSTO]]*TABLA_BASE[[#This Row],[CANTIDAD
(unid.)]]</f>
        <v>0</v>
      </c>
      <c r="K348" s="279">
        <f>IF('🧾 Tributos Aduana'!$F$6=0,0,'🧾 Tributos Aduana'!$F$18*('🧾 Factura Comercial'!H352/'🧾 Tributos Aduana'!$F$6))</f>
        <v>0</v>
      </c>
      <c r="L348" s="280">
        <f>TABLA_BASE[[#This Row],[IPM UNIT.
(US$)
✅CF]]*TABLA_BASE[[#This Row],[CANTIDAD
(unid.)]]</f>
        <v>0</v>
      </c>
      <c r="M348" s="279">
        <f>IF('🧾 Tributos Aduana'!$F$6=0,0,'🧾 Tributos Aduana'!$F$19*('🧾 Factura Comercial'!H352/'🧾 Tributos Aduana'!$F$6))</f>
        <v>0</v>
      </c>
      <c r="N348" s="280">
        <f>TABLA_BASE[[#This Row],[IGV UNIT.
(US$)
✅CF]]*TABLA_BASE[[#This Row],[CANTIDAD
(unid.)]]</f>
        <v>0</v>
      </c>
      <c r="O348" s="280">
        <f>IF('🧾 Tributos Aduana'!$F$6=0,0,'🧾 Tributos Aduana'!$F$23*('🧾 Factura Comercial'!H352/'🧾 Tributos Aduana'!$F$6))</f>
        <v>0</v>
      </c>
      <c r="P348" s="280">
        <f>TABLA_BASE[[#This Row],[PERCEP.
UNIT.(US$)
✅CF]]*TABLA_BASE[[#This Row],[CANTIDAD
(unid.)]]</f>
        <v>0</v>
      </c>
      <c r="Q348" s="279">
        <f>TABLA_BASE[[#This Row],[ADV UNIT.
(US$)
⚠️COSTO]]+TABLA_BASE[[#This Row],[IPM UNIT.
(US$)
✅CF]]+TABLA_BASE[[#This Row],[IGV UNIT.
(US$)
✅CF]]</f>
        <v>0</v>
      </c>
      <c r="R348" s="280">
        <f>TABLA_BASE[[#This Row],[DEUDA
ADUANERA
UNIT.]]*TABLA_BASE[[#This Row],[CANTIDAD
(unid.)]]</f>
        <v>0</v>
      </c>
      <c r="S348" s="278">
        <f>TABLA_BASE[[#This Row],[DEUDA
ADUANERA
UNIT.]]*'📋 Datos Generales'!$E$19</f>
        <v>0</v>
      </c>
      <c r="T348" s="278">
        <f>TABLA_BASE[[#This Row],[DEUDA
ADUANERA
TOTAL]]*'📋 Datos Generales'!$E$19</f>
        <v>0</v>
      </c>
      <c r="U348" s="281">
        <f>TABLA_BASE[[#This Row],[ADV UNIT.
(US$)
⚠️COSTO]]*'📋 Datos Generales'!$E$19</f>
        <v>0</v>
      </c>
      <c r="V348" s="281">
        <f>TABLA_BASE[[#This Row],[ADV UNIT.
(S/.)]]*TABLA_BASE[[#This Row],[CANTIDAD
(unid.)]]</f>
        <v>0</v>
      </c>
      <c r="W348" s="281">
        <f>TABLA_BASE[[#This Row],[IPM UNIT.
(US$)
✅CF]]*'📋 Datos Generales'!$E$19</f>
        <v>0</v>
      </c>
      <c r="X348" s="281">
        <f>TABLA_BASE[[#This Row],[IPM UNIT.
(S/.)]]*TABLA_BASE[[#This Row],[CANTIDAD
(unid.)]]</f>
        <v>0</v>
      </c>
      <c r="Y348" s="281">
        <f>TABLA_BASE[[#This Row],[IGV UNIT.
(US$)
✅CF]]*'📋 Datos Generales'!$E$19</f>
        <v>0</v>
      </c>
      <c r="Z348" s="281">
        <f>TABLA_BASE[[#This Row],[IGV UNIT.
(S/.)]]*TABLA_BASE[[#This Row],[CANTIDAD
(unid.)]]</f>
        <v>0</v>
      </c>
      <c r="AA348" s="281">
        <f>TABLA_BASE[[#This Row],[PERCEP.
UNIT.(US$)
✅CF]]*'📋 Datos Generales'!$E$19</f>
        <v>0</v>
      </c>
      <c r="AB348" s="281">
        <f>TABLA_BASE[[#This Row],[PERCEP.
UNIT.(S/.)]]*TABLA_BASE[[#This Row],[CANTIDAD
(unid.)]]</f>
        <v>0</v>
      </c>
      <c r="AC348" s="279">
        <f>TABLA_BASE[[#This Row],[ADV UNIT.
(US$)
⚠️COSTO]]+TABLA_BASE[[#This Row],[IPM UNIT.
(US$)
✅CF]]+TABLA_BASE[[#This Row],[IGV UNIT.
(US$)
✅CF]]+TABLA_BASE[[#This Row],[PERCEP.
UNIT.(US$)
✅CF]]</f>
        <v>0</v>
      </c>
      <c r="AD348" s="279">
        <f>TABLA_BASE[[#This Row],[TOTAL PAGO
SUNAT
UNIT.(US$)]]*TABLA_BASE[[#This Row],[CANTIDAD
(unid.)]]</f>
        <v>0</v>
      </c>
      <c r="AE348" s="281">
        <f>TABLA_BASE[[#This Row],[TOTAL PAGO
SUNAT
UNIT.(US$)]]*'📋 Datos Generales'!$E$19</f>
        <v>0</v>
      </c>
      <c r="AF348" s="281">
        <f>TABLA_BASE[[#This Row],[TOTAL TRIB.
UNIT.(S/.)]]*TABLA_BASE[[#This Row],[CANTIDAD
(unid.)]]</f>
        <v>0</v>
      </c>
      <c r="AG348" s="279">
        <f>IF('🧾 Factura Comercial'!G352=0,0,'📦 Gastos Importación'!$E$28*(IF('🧾 Tributos Aduana'!$F$6=0,0,'🧾 Factura Comercial'!I352/'🧾 Tributos Aduana'!$F$6))/'🧾 Factura Comercial'!G352)</f>
        <v>0</v>
      </c>
      <c r="AH348" s="279">
        <f>TABLA_BASE[[#This Row],[GASTOS IMP.
UNIT.(US$)]]*TABLA_BASE[[#This Row],[CANTIDAD
(unid.)]]</f>
        <v>0</v>
      </c>
      <c r="AI348" s="281">
        <f>TABLA_BASE[[#This Row],[GASTOS IMP.
UNIT.(US$)]]*'📋 Datos Generales'!$E$19</f>
        <v>0</v>
      </c>
      <c r="AJ348" s="281">
        <f>TABLA_BASE[[#This Row],[GASTOS IMP.
UNIT.(S/.)]]*TABLA_BASE[[#This Row],[CANTIDAD
(unid.)]]</f>
        <v>0</v>
      </c>
      <c r="AK348" s="280">
        <f>'🧮 Costos x Producto'!J352</f>
        <v>0</v>
      </c>
      <c r="AL348" s="278">
        <f>'🧮 Costos x Producto'!K352</f>
        <v>0</v>
      </c>
      <c r="AM348" s="278">
        <f>TABLA_BASE[[#This Row],[C/M UNIT.
(S/.)]]*TABLA_BASE[[#This Row],[CANTIDAD
(unid.)]]</f>
        <v>0</v>
      </c>
      <c r="AN348" s="279">
        <f>IF('🧾 Factura Comercial'!G352=0,0,'🧾 Tributos Aduana'!$F$17*(IF('🧾 Tributos Aduana'!$F$6=0,0,'🧾 Factura Comercial'!I352/'🧾 Tributos Aduana'!$F$6))/'🧾 Factura Comercial'!G352)</f>
        <v>0</v>
      </c>
      <c r="AO348" s="280">
        <f>IF('🧾 Factura Comercial'!G352=0,0,'🏦 Crédito Fiscal'!$C$16*(IF('🧾 Tributos Aduana'!$F$6=0,0,'🧾 Factura Comercial'!I352/'🧾 Tributos Aduana'!$F$6))/'🧾 Factura Comercial'!G352)</f>
        <v>0</v>
      </c>
      <c r="AP348" s="278">
        <f>TABLA_BASE[[#This Row],[CF UNIT.
✅RECUP.
(US$)]]*'📋 Datos Generales'!$E$19</f>
        <v>0</v>
      </c>
      <c r="AQ348" s="278">
        <f>TABLA_BASE[[#This Row],[CF UNIT.
✅RECUP.(S/.)]]*TABLA_BASE[[#This Row],[CANTIDAD
(unid.)]]</f>
        <v>0</v>
      </c>
      <c r="AR348" s="288">
        <f>'💰 Precio de Venta'!G353</f>
        <v>0.4</v>
      </c>
      <c r="AS348" s="278">
        <f>'💰 Precio de Venta'!H353</f>
        <v>0</v>
      </c>
      <c r="AT348" s="278">
        <f>TABLA_BASE[[#This Row],[VALOR VTA.
UNIT.(S/.)]]*TABLA_BASE[[#This Row],[CANTIDAD
(unid.)]]</f>
        <v>0</v>
      </c>
      <c r="AU348" s="281">
        <f>'💰 Precio de Venta'!I353</f>
        <v>0</v>
      </c>
      <c r="AV348" s="278">
        <f>'💰 Precio de Venta'!J353</f>
        <v>0</v>
      </c>
      <c r="AW348" s="278">
        <f>TABLA_BASE[[#This Row],[GANANCIA
UNIT.(S/.)]]*TABLA_BASE[[#This Row],[CANTIDAD
(unid.)]]</f>
        <v>0</v>
      </c>
      <c r="AX348" s="289">
        <f>'💰 Precio de Venta'!K353</f>
        <v>0</v>
      </c>
      <c r="AY348" s="278">
        <f>TABLA_BASE[[#This Row],[GANANCIA
UNIT.(S/.)]]*'🧾 Factura Comercial'!G352</f>
        <v>0</v>
      </c>
      <c r="AZ348" s="277">
        <f>IF(TABLA_BASE[[#This Row],[PRECIO VTA.
c/IGV(S/.)]]=0,0,TABLA_BASE[[#This Row],[GANANCIA
UNIT.(S/.)]]/TABLA_BASE[[#This Row],[PRECIO VTA.
c/IGV(S/.)]])</f>
        <v>0</v>
      </c>
      <c r="BA348" s="277">
        <f>IF(TABLA_BASE[[#This Row],[C/M UNIT.
(S/.)]]=0,0,TABLA_BASE[[#This Row],[GANANCIA
UNIT.(S/.)]]/TABLA_BASE[[#This Row],[C/M UNIT.
(S/.)]])</f>
        <v>0</v>
      </c>
      <c r="BB348" s="274" t="str">
        <f>IF(TABLA_BASE[[#This Row],[MARGEN
%]]&gt;=0.5,"🟢 ALTO",IF(TABLA_BASE[[#This Row],[MARGEN
%]]&gt;=0.3,"🟡 MEDIO","🔴 BAJO"))</f>
        <v>🟡 MEDIO</v>
      </c>
    </row>
    <row r="349" spans="1:54" ht="16.5" hidden="1" thickTop="1" thickBot="1" x14ac:dyDescent="0.3">
      <c r="A349" s="274">
        <f>'🧾 Factura Comercial'!E353</f>
        <v>0</v>
      </c>
      <c r="B349" s="274" t="str">
        <f>'🧾 Factura Comercial'!F353</f>
        <v>Unid.</v>
      </c>
      <c r="C349" s="275">
        <f>'🧾 Factura Comercial'!G353</f>
        <v>0</v>
      </c>
      <c r="D349" s="276">
        <f>'🧾 Factura Comercial'!H353</f>
        <v>0</v>
      </c>
      <c r="E349" s="276">
        <f>'🧾 Factura Comercial'!I353</f>
        <v>0</v>
      </c>
      <c r="F349" s="277">
        <f>IF('🧾 Tributos Aduana'!$F$6=0,0,'🧾 Factura Comercial'!I353/'🧾 Tributos Aduana'!$F$6)</f>
        <v>0</v>
      </c>
      <c r="G349" s="278">
        <f>'🧾 Factura Comercial'!H353*'📋 Datos Generales'!$E$19</f>
        <v>0</v>
      </c>
      <c r="H349" s="278">
        <f>TABLA_BASE[[#This Row],[FOB UNIT.
(S/.)]]*TABLA_BASE[[#This Row],[CANTIDAD
(unid.)]]</f>
        <v>0</v>
      </c>
      <c r="I349" s="280">
        <f>IF('🧾 Tributos Aduana'!$F$6=0,0,'🧾 Tributos Aduana'!$F$17*('🧾 Factura Comercial'!H353/'🧾 Tributos Aduana'!$F$6))</f>
        <v>0</v>
      </c>
      <c r="J349" s="280">
        <f>TABLA_BASE[[#This Row],[ADV UNIT.
(US$)
⚠️COSTO]]*TABLA_BASE[[#This Row],[CANTIDAD
(unid.)]]</f>
        <v>0</v>
      </c>
      <c r="K349" s="279">
        <f>IF('🧾 Tributos Aduana'!$F$6=0,0,'🧾 Tributos Aduana'!$F$18*('🧾 Factura Comercial'!H353/'🧾 Tributos Aduana'!$F$6))</f>
        <v>0</v>
      </c>
      <c r="L349" s="280">
        <f>TABLA_BASE[[#This Row],[IPM UNIT.
(US$)
✅CF]]*TABLA_BASE[[#This Row],[CANTIDAD
(unid.)]]</f>
        <v>0</v>
      </c>
      <c r="M349" s="279">
        <f>IF('🧾 Tributos Aduana'!$F$6=0,0,'🧾 Tributos Aduana'!$F$19*('🧾 Factura Comercial'!H353/'🧾 Tributos Aduana'!$F$6))</f>
        <v>0</v>
      </c>
      <c r="N349" s="280">
        <f>TABLA_BASE[[#This Row],[IGV UNIT.
(US$)
✅CF]]*TABLA_BASE[[#This Row],[CANTIDAD
(unid.)]]</f>
        <v>0</v>
      </c>
      <c r="O349" s="280">
        <f>IF('🧾 Tributos Aduana'!$F$6=0,0,'🧾 Tributos Aduana'!$F$23*('🧾 Factura Comercial'!H353/'🧾 Tributos Aduana'!$F$6))</f>
        <v>0</v>
      </c>
      <c r="P349" s="280">
        <f>TABLA_BASE[[#This Row],[PERCEP.
UNIT.(US$)
✅CF]]*TABLA_BASE[[#This Row],[CANTIDAD
(unid.)]]</f>
        <v>0</v>
      </c>
      <c r="Q349" s="279">
        <f>TABLA_BASE[[#This Row],[ADV UNIT.
(US$)
⚠️COSTO]]+TABLA_BASE[[#This Row],[IPM UNIT.
(US$)
✅CF]]+TABLA_BASE[[#This Row],[IGV UNIT.
(US$)
✅CF]]</f>
        <v>0</v>
      </c>
      <c r="R349" s="280">
        <f>TABLA_BASE[[#This Row],[DEUDA
ADUANERA
UNIT.]]*TABLA_BASE[[#This Row],[CANTIDAD
(unid.)]]</f>
        <v>0</v>
      </c>
      <c r="S349" s="278">
        <f>TABLA_BASE[[#This Row],[DEUDA
ADUANERA
UNIT.]]*'📋 Datos Generales'!$E$19</f>
        <v>0</v>
      </c>
      <c r="T349" s="278">
        <f>TABLA_BASE[[#This Row],[DEUDA
ADUANERA
TOTAL]]*'📋 Datos Generales'!$E$19</f>
        <v>0</v>
      </c>
      <c r="U349" s="281">
        <f>TABLA_BASE[[#This Row],[ADV UNIT.
(US$)
⚠️COSTO]]*'📋 Datos Generales'!$E$19</f>
        <v>0</v>
      </c>
      <c r="V349" s="281">
        <f>TABLA_BASE[[#This Row],[ADV UNIT.
(S/.)]]*TABLA_BASE[[#This Row],[CANTIDAD
(unid.)]]</f>
        <v>0</v>
      </c>
      <c r="W349" s="281">
        <f>TABLA_BASE[[#This Row],[IPM UNIT.
(US$)
✅CF]]*'📋 Datos Generales'!$E$19</f>
        <v>0</v>
      </c>
      <c r="X349" s="281">
        <f>TABLA_BASE[[#This Row],[IPM UNIT.
(S/.)]]*TABLA_BASE[[#This Row],[CANTIDAD
(unid.)]]</f>
        <v>0</v>
      </c>
      <c r="Y349" s="281">
        <f>TABLA_BASE[[#This Row],[IGV UNIT.
(US$)
✅CF]]*'📋 Datos Generales'!$E$19</f>
        <v>0</v>
      </c>
      <c r="Z349" s="281">
        <f>TABLA_BASE[[#This Row],[IGV UNIT.
(S/.)]]*TABLA_BASE[[#This Row],[CANTIDAD
(unid.)]]</f>
        <v>0</v>
      </c>
      <c r="AA349" s="281">
        <f>TABLA_BASE[[#This Row],[PERCEP.
UNIT.(US$)
✅CF]]*'📋 Datos Generales'!$E$19</f>
        <v>0</v>
      </c>
      <c r="AB349" s="281">
        <f>TABLA_BASE[[#This Row],[PERCEP.
UNIT.(S/.)]]*TABLA_BASE[[#This Row],[CANTIDAD
(unid.)]]</f>
        <v>0</v>
      </c>
      <c r="AC349" s="279">
        <f>TABLA_BASE[[#This Row],[ADV UNIT.
(US$)
⚠️COSTO]]+TABLA_BASE[[#This Row],[IPM UNIT.
(US$)
✅CF]]+TABLA_BASE[[#This Row],[IGV UNIT.
(US$)
✅CF]]+TABLA_BASE[[#This Row],[PERCEP.
UNIT.(US$)
✅CF]]</f>
        <v>0</v>
      </c>
      <c r="AD349" s="279">
        <f>TABLA_BASE[[#This Row],[TOTAL PAGO
SUNAT
UNIT.(US$)]]*TABLA_BASE[[#This Row],[CANTIDAD
(unid.)]]</f>
        <v>0</v>
      </c>
      <c r="AE349" s="281">
        <f>TABLA_BASE[[#This Row],[TOTAL PAGO
SUNAT
UNIT.(US$)]]*'📋 Datos Generales'!$E$19</f>
        <v>0</v>
      </c>
      <c r="AF349" s="281">
        <f>TABLA_BASE[[#This Row],[TOTAL TRIB.
UNIT.(S/.)]]*TABLA_BASE[[#This Row],[CANTIDAD
(unid.)]]</f>
        <v>0</v>
      </c>
      <c r="AG349" s="279">
        <f>IF('🧾 Factura Comercial'!G353=0,0,'📦 Gastos Importación'!$E$28*(IF('🧾 Tributos Aduana'!$F$6=0,0,'🧾 Factura Comercial'!I353/'🧾 Tributos Aduana'!$F$6))/'🧾 Factura Comercial'!G353)</f>
        <v>0</v>
      </c>
      <c r="AH349" s="279">
        <f>TABLA_BASE[[#This Row],[GASTOS IMP.
UNIT.(US$)]]*TABLA_BASE[[#This Row],[CANTIDAD
(unid.)]]</f>
        <v>0</v>
      </c>
      <c r="AI349" s="281">
        <f>TABLA_BASE[[#This Row],[GASTOS IMP.
UNIT.(US$)]]*'📋 Datos Generales'!$E$19</f>
        <v>0</v>
      </c>
      <c r="AJ349" s="281">
        <f>TABLA_BASE[[#This Row],[GASTOS IMP.
UNIT.(S/.)]]*TABLA_BASE[[#This Row],[CANTIDAD
(unid.)]]</f>
        <v>0</v>
      </c>
      <c r="AK349" s="280">
        <f>'🧮 Costos x Producto'!J353</f>
        <v>0</v>
      </c>
      <c r="AL349" s="278">
        <f>'🧮 Costos x Producto'!K353</f>
        <v>0</v>
      </c>
      <c r="AM349" s="278">
        <f>TABLA_BASE[[#This Row],[C/M UNIT.
(S/.)]]*TABLA_BASE[[#This Row],[CANTIDAD
(unid.)]]</f>
        <v>0</v>
      </c>
      <c r="AN349" s="279">
        <f>IF('🧾 Factura Comercial'!G353=0,0,'🧾 Tributos Aduana'!$F$17*(IF('🧾 Tributos Aduana'!$F$6=0,0,'🧾 Factura Comercial'!I353/'🧾 Tributos Aduana'!$F$6))/'🧾 Factura Comercial'!G353)</f>
        <v>0</v>
      </c>
      <c r="AO349" s="280">
        <f>IF('🧾 Factura Comercial'!G353=0,0,'🏦 Crédito Fiscal'!$C$16*(IF('🧾 Tributos Aduana'!$F$6=0,0,'🧾 Factura Comercial'!I353/'🧾 Tributos Aduana'!$F$6))/'🧾 Factura Comercial'!G353)</f>
        <v>0</v>
      </c>
      <c r="AP349" s="278">
        <f>TABLA_BASE[[#This Row],[CF UNIT.
✅RECUP.
(US$)]]*'📋 Datos Generales'!$E$19</f>
        <v>0</v>
      </c>
      <c r="AQ349" s="278">
        <f>TABLA_BASE[[#This Row],[CF UNIT.
✅RECUP.(S/.)]]*TABLA_BASE[[#This Row],[CANTIDAD
(unid.)]]</f>
        <v>0</v>
      </c>
      <c r="AR349" s="288">
        <f>'💰 Precio de Venta'!G354</f>
        <v>0.4</v>
      </c>
      <c r="AS349" s="278">
        <f>'💰 Precio de Venta'!H354</f>
        <v>0</v>
      </c>
      <c r="AT349" s="278">
        <f>TABLA_BASE[[#This Row],[VALOR VTA.
UNIT.(S/.)]]*TABLA_BASE[[#This Row],[CANTIDAD
(unid.)]]</f>
        <v>0</v>
      </c>
      <c r="AU349" s="281">
        <f>'💰 Precio de Venta'!I354</f>
        <v>0</v>
      </c>
      <c r="AV349" s="278">
        <f>'💰 Precio de Venta'!J354</f>
        <v>0</v>
      </c>
      <c r="AW349" s="278">
        <f>TABLA_BASE[[#This Row],[GANANCIA
UNIT.(S/.)]]*TABLA_BASE[[#This Row],[CANTIDAD
(unid.)]]</f>
        <v>0</v>
      </c>
      <c r="AX349" s="289">
        <f>'💰 Precio de Venta'!K354</f>
        <v>0</v>
      </c>
      <c r="AY349" s="278">
        <f>TABLA_BASE[[#This Row],[GANANCIA
UNIT.(S/.)]]*'🧾 Factura Comercial'!G353</f>
        <v>0</v>
      </c>
      <c r="AZ349" s="277">
        <f>IF(TABLA_BASE[[#This Row],[PRECIO VTA.
c/IGV(S/.)]]=0,0,TABLA_BASE[[#This Row],[GANANCIA
UNIT.(S/.)]]/TABLA_BASE[[#This Row],[PRECIO VTA.
c/IGV(S/.)]])</f>
        <v>0</v>
      </c>
      <c r="BA349" s="277">
        <f>IF(TABLA_BASE[[#This Row],[C/M UNIT.
(S/.)]]=0,0,TABLA_BASE[[#This Row],[GANANCIA
UNIT.(S/.)]]/TABLA_BASE[[#This Row],[C/M UNIT.
(S/.)]])</f>
        <v>0</v>
      </c>
      <c r="BB349" s="274" t="str">
        <f>IF(TABLA_BASE[[#This Row],[MARGEN
%]]&gt;=0.5,"🟢 ALTO",IF(TABLA_BASE[[#This Row],[MARGEN
%]]&gt;=0.3,"🟡 MEDIO","🔴 BAJO"))</f>
        <v>🟡 MEDIO</v>
      </c>
    </row>
    <row r="350" spans="1:54" ht="16.5" hidden="1" thickTop="1" thickBot="1" x14ac:dyDescent="0.3">
      <c r="A350" s="274">
        <f>'🧾 Factura Comercial'!E354</f>
        <v>0</v>
      </c>
      <c r="B350" s="274" t="str">
        <f>'🧾 Factura Comercial'!F354</f>
        <v>Unid.</v>
      </c>
      <c r="C350" s="275">
        <f>'🧾 Factura Comercial'!G354</f>
        <v>0</v>
      </c>
      <c r="D350" s="276">
        <f>'🧾 Factura Comercial'!H354</f>
        <v>0</v>
      </c>
      <c r="E350" s="276">
        <f>'🧾 Factura Comercial'!I354</f>
        <v>0</v>
      </c>
      <c r="F350" s="277">
        <f>IF('🧾 Tributos Aduana'!$F$6=0,0,'🧾 Factura Comercial'!I354/'🧾 Tributos Aduana'!$F$6)</f>
        <v>0</v>
      </c>
      <c r="G350" s="278">
        <f>'🧾 Factura Comercial'!H354*'📋 Datos Generales'!$E$19</f>
        <v>0</v>
      </c>
      <c r="H350" s="278">
        <f>TABLA_BASE[[#This Row],[FOB UNIT.
(S/.)]]*TABLA_BASE[[#This Row],[CANTIDAD
(unid.)]]</f>
        <v>0</v>
      </c>
      <c r="I350" s="280">
        <f>IF('🧾 Tributos Aduana'!$F$6=0,0,'🧾 Tributos Aduana'!$F$17*('🧾 Factura Comercial'!H354/'🧾 Tributos Aduana'!$F$6))</f>
        <v>0</v>
      </c>
      <c r="J350" s="280">
        <f>TABLA_BASE[[#This Row],[ADV UNIT.
(US$)
⚠️COSTO]]*TABLA_BASE[[#This Row],[CANTIDAD
(unid.)]]</f>
        <v>0</v>
      </c>
      <c r="K350" s="279">
        <f>IF('🧾 Tributos Aduana'!$F$6=0,0,'🧾 Tributos Aduana'!$F$18*('🧾 Factura Comercial'!H354/'🧾 Tributos Aduana'!$F$6))</f>
        <v>0</v>
      </c>
      <c r="L350" s="280">
        <f>TABLA_BASE[[#This Row],[IPM UNIT.
(US$)
✅CF]]*TABLA_BASE[[#This Row],[CANTIDAD
(unid.)]]</f>
        <v>0</v>
      </c>
      <c r="M350" s="279">
        <f>IF('🧾 Tributos Aduana'!$F$6=0,0,'🧾 Tributos Aduana'!$F$19*('🧾 Factura Comercial'!H354/'🧾 Tributos Aduana'!$F$6))</f>
        <v>0</v>
      </c>
      <c r="N350" s="280">
        <f>TABLA_BASE[[#This Row],[IGV UNIT.
(US$)
✅CF]]*TABLA_BASE[[#This Row],[CANTIDAD
(unid.)]]</f>
        <v>0</v>
      </c>
      <c r="O350" s="280">
        <f>IF('🧾 Tributos Aduana'!$F$6=0,0,'🧾 Tributos Aduana'!$F$23*('🧾 Factura Comercial'!H354/'🧾 Tributos Aduana'!$F$6))</f>
        <v>0</v>
      </c>
      <c r="P350" s="280">
        <f>TABLA_BASE[[#This Row],[PERCEP.
UNIT.(US$)
✅CF]]*TABLA_BASE[[#This Row],[CANTIDAD
(unid.)]]</f>
        <v>0</v>
      </c>
      <c r="Q350" s="279">
        <f>TABLA_BASE[[#This Row],[ADV UNIT.
(US$)
⚠️COSTO]]+TABLA_BASE[[#This Row],[IPM UNIT.
(US$)
✅CF]]+TABLA_BASE[[#This Row],[IGV UNIT.
(US$)
✅CF]]</f>
        <v>0</v>
      </c>
      <c r="R350" s="280">
        <f>TABLA_BASE[[#This Row],[DEUDA
ADUANERA
UNIT.]]*TABLA_BASE[[#This Row],[CANTIDAD
(unid.)]]</f>
        <v>0</v>
      </c>
      <c r="S350" s="278">
        <f>TABLA_BASE[[#This Row],[DEUDA
ADUANERA
UNIT.]]*'📋 Datos Generales'!$E$19</f>
        <v>0</v>
      </c>
      <c r="T350" s="278">
        <f>TABLA_BASE[[#This Row],[DEUDA
ADUANERA
TOTAL]]*'📋 Datos Generales'!$E$19</f>
        <v>0</v>
      </c>
      <c r="U350" s="281">
        <f>TABLA_BASE[[#This Row],[ADV UNIT.
(US$)
⚠️COSTO]]*'📋 Datos Generales'!$E$19</f>
        <v>0</v>
      </c>
      <c r="V350" s="281">
        <f>TABLA_BASE[[#This Row],[ADV UNIT.
(S/.)]]*TABLA_BASE[[#This Row],[CANTIDAD
(unid.)]]</f>
        <v>0</v>
      </c>
      <c r="W350" s="281">
        <f>TABLA_BASE[[#This Row],[IPM UNIT.
(US$)
✅CF]]*'📋 Datos Generales'!$E$19</f>
        <v>0</v>
      </c>
      <c r="X350" s="281">
        <f>TABLA_BASE[[#This Row],[IPM UNIT.
(S/.)]]*TABLA_BASE[[#This Row],[CANTIDAD
(unid.)]]</f>
        <v>0</v>
      </c>
      <c r="Y350" s="281">
        <f>TABLA_BASE[[#This Row],[IGV UNIT.
(US$)
✅CF]]*'📋 Datos Generales'!$E$19</f>
        <v>0</v>
      </c>
      <c r="Z350" s="281">
        <f>TABLA_BASE[[#This Row],[IGV UNIT.
(S/.)]]*TABLA_BASE[[#This Row],[CANTIDAD
(unid.)]]</f>
        <v>0</v>
      </c>
      <c r="AA350" s="281">
        <f>TABLA_BASE[[#This Row],[PERCEP.
UNIT.(US$)
✅CF]]*'📋 Datos Generales'!$E$19</f>
        <v>0</v>
      </c>
      <c r="AB350" s="281">
        <f>TABLA_BASE[[#This Row],[PERCEP.
UNIT.(S/.)]]*TABLA_BASE[[#This Row],[CANTIDAD
(unid.)]]</f>
        <v>0</v>
      </c>
      <c r="AC350" s="279">
        <f>TABLA_BASE[[#This Row],[ADV UNIT.
(US$)
⚠️COSTO]]+TABLA_BASE[[#This Row],[IPM UNIT.
(US$)
✅CF]]+TABLA_BASE[[#This Row],[IGV UNIT.
(US$)
✅CF]]+TABLA_BASE[[#This Row],[PERCEP.
UNIT.(US$)
✅CF]]</f>
        <v>0</v>
      </c>
      <c r="AD350" s="279">
        <f>TABLA_BASE[[#This Row],[TOTAL PAGO
SUNAT
UNIT.(US$)]]*TABLA_BASE[[#This Row],[CANTIDAD
(unid.)]]</f>
        <v>0</v>
      </c>
      <c r="AE350" s="281">
        <f>TABLA_BASE[[#This Row],[TOTAL PAGO
SUNAT
UNIT.(US$)]]*'📋 Datos Generales'!$E$19</f>
        <v>0</v>
      </c>
      <c r="AF350" s="281">
        <f>TABLA_BASE[[#This Row],[TOTAL TRIB.
UNIT.(S/.)]]*TABLA_BASE[[#This Row],[CANTIDAD
(unid.)]]</f>
        <v>0</v>
      </c>
      <c r="AG350" s="279">
        <f>IF('🧾 Factura Comercial'!G354=0,0,'📦 Gastos Importación'!$E$28*(IF('🧾 Tributos Aduana'!$F$6=0,0,'🧾 Factura Comercial'!I354/'🧾 Tributos Aduana'!$F$6))/'🧾 Factura Comercial'!G354)</f>
        <v>0</v>
      </c>
      <c r="AH350" s="279">
        <f>TABLA_BASE[[#This Row],[GASTOS IMP.
UNIT.(US$)]]*TABLA_BASE[[#This Row],[CANTIDAD
(unid.)]]</f>
        <v>0</v>
      </c>
      <c r="AI350" s="281">
        <f>TABLA_BASE[[#This Row],[GASTOS IMP.
UNIT.(US$)]]*'📋 Datos Generales'!$E$19</f>
        <v>0</v>
      </c>
      <c r="AJ350" s="281">
        <f>TABLA_BASE[[#This Row],[GASTOS IMP.
UNIT.(S/.)]]*TABLA_BASE[[#This Row],[CANTIDAD
(unid.)]]</f>
        <v>0</v>
      </c>
      <c r="AK350" s="280">
        <f>'🧮 Costos x Producto'!J354</f>
        <v>0</v>
      </c>
      <c r="AL350" s="278">
        <f>'🧮 Costos x Producto'!K354</f>
        <v>0</v>
      </c>
      <c r="AM350" s="278">
        <f>TABLA_BASE[[#This Row],[C/M UNIT.
(S/.)]]*TABLA_BASE[[#This Row],[CANTIDAD
(unid.)]]</f>
        <v>0</v>
      </c>
      <c r="AN350" s="279">
        <f>IF('🧾 Factura Comercial'!G354=0,0,'🧾 Tributos Aduana'!$F$17*(IF('🧾 Tributos Aduana'!$F$6=0,0,'🧾 Factura Comercial'!I354/'🧾 Tributos Aduana'!$F$6))/'🧾 Factura Comercial'!G354)</f>
        <v>0</v>
      </c>
      <c r="AO350" s="280">
        <f>IF('🧾 Factura Comercial'!G354=0,0,'🏦 Crédito Fiscal'!$C$16*(IF('🧾 Tributos Aduana'!$F$6=0,0,'🧾 Factura Comercial'!I354/'🧾 Tributos Aduana'!$F$6))/'🧾 Factura Comercial'!G354)</f>
        <v>0</v>
      </c>
      <c r="AP350" s="278">
        <f>TABLA_BASE[[#This Row],[CF UNIT.
✅RECUP.
(US$)]]*'📋 Datos Generales'!$E$19</f>
        <v>0</v>
      </c>
      <c r="AQ350" s="278">
        <f>TABLA_BASE[[#This Row],[CF UNIT.
✅RECUP.(S/.)]]*TABLA_BASE[[#This Row],[CANTIDAD
(unid.)]]</f>
        <v>0</v>
      </c>
      <c r="AR350" s="288">
        <f>'💰 Precio de Venta'!G355</f>
        <v>0.4</v>
      </c>
      <c r="AS350" s="278">
        <f>'💰 Precio de Venta'!H355</f>
        <v>0</v>
      </c>
      <c r="AT350" s="278">
        <f>TABLA_BASE[[#This Row],[VALOR VTA.
UNIT.(S/.)]]*TABLA_BASE[[#This Row],[CANTIDAD
(unid.)]]</f>
        <v>0</v>
      </c>
      <c r="AU350" s="281">
        <f>'💰 Precio de Venta'!I355</f>
        <v>0</v>
      </c>
      <c r="AV350" s="278">
        <f>'💰 Precio de Venta'!J355</f>
        <v>0</v>
      </c>
      <c r="AW350" s="278">
        <f>TABLA_BASE[[#This Row],[GANANCIA
UNIT.(S/.)]]*TABLA_BASE[[#This Row],[CANTIDAD
(unid.)]]</f>
        <v>0</v>
      </c>
      <c r="AX350" s="289">
        <f>'💰 Precio de Venta'!K355</f>
        <v>0</v>
      </c>
      <c r="AY350" s="278">
        <f>TABLA_BASE[[#This Row],[GANANCIA
UNIT.(S/.)]]*'🧾 Factura Comercial'!G354</f>
        <v>0</v>
      </c>
      <c r="AZ350" s="277">
        <f>IF(TABLA_BASE[[#This Row],[PRECIO VTA.
c/IGV(S/.)]]=0,0,TABLA_BASE[[#This Row],[GANANCIA
UNIT.(S/.)]]/TABLA_BASE[[#This Row],[PRECIO VTA.
c/IGV(S/.)]])</f>
        <v>0</v>
      </c>
      <c r="BA350" s="277">
        <f>IF(TABLA_BASE[[#This Row],[C/M UNIT.
(S/.)]]=0,0,TABLA_BASE[[#This Row],[GANANCIA
UNIT.(S/.)]]/TABLA_BASE[[#This Row],[C/M UNIT.
(S/.)]])</f>
        <v>0</v>
      </c>
      <c r="BB350" s="274" t="str">
        <f>IF(TABLA_BASE[[#This Row],[MARGEN
%]]&gt;=0.5,"🟢 ALTO",IF(TABLA_BASE[[#This Row],[MARGEN
%]]&gt;=0.3,"🟡 MEDIO","🔴 BAJO"))</f>
        <v>🟡 MEDIO</v>
      </c>
    </row>
    <row r="351" spans="1:54" ht="16.5" hidden="1" thickTop="1" thickBot="1" x14ac:dyDescent="0.3">
      <c r="A351" s="274">
        <f>'🧾 Factura Comercial'!E355</f>
        <v>0</v>
      </c>
      <c r="B351" s="274" t="str">
        <f>'🧾 Factura Comercial'!F355</f>
        <v>Unid.</v>
      </c>
      <c r="C351" s="275">
        <f>'🧾 Factura Comercial'!G355</f>
        <v>0</v>
      </c>
      <c r="D351" s="276">
        <f>'🧾 Factura Comercial'!H355</f>
        <v>0</v>
      </c>
      <c r="E351" s="276">
        <f>'🧾 Factura Comercial'!I355</f>
        <v>0</v>
      </c>
      <c r="F351" s="277">
        <f>IF('🧾 Tributos Aduana'!$F$6=0,0,'🧾 Factura Comercial'!I355/'🧾 Tributos Aduana'!$F$6)</f>
        <v>0</v>
      </c>
      <c r="G351" s="278">
        <f>'🧾 Factura Comercial'!H355*'📋 Datos Generales'!$E$19</f>
        <v>0</v>
      </c>
      <c r="H351" s="278">
        <f>TABLA_BASE[[#This Row],[FOB UNIT.
(S/.)]]*TABLA_BASE[[#This Row],[CANTIDAD
(unid.)]]</f>
        <v>0</v>
      </c>
      <c r="I351" s="280">
        <f>IF('🧾 Tributos Aduana'!$F$6=0,0,'🧾 Tributos Aduana'!$F$17*('🧾 Factura Comercial'!H355/'🧾 Tributos Aduana'!$F$6))</f>
        <v>0</v>
      </c>
      <c r="J351" s="280">
        <f>TABLA_BASE[[#This Row],[ADV UNIT.
(US$)
⚠️COSTO]]*TABLA_BASE[[#This Row],[CANTIDAD
(unid.)]]</f>
        <v>0</v>
      </c>
      <c r="K351" s="279">
        <f>IF('🧾 Tributos Aduana'!$F$6=0,0,'🧾 Tributos Aduana'!$F$18*('🧾 Factura Comercial'!H355/'🧾 Tributos Aduana'!$F$6))</f>
        <v>0</v>
      </c>
      <c r="L351" s="280">
        <f>TABLA_BASE[[#This Row],[IPM UNIT.
(US$)
✅CF]]*TABLA_BASE[[#This Row],[CANTIDAD
(unid.)]]</f>
        <v>0</v>
      </c>
      <c r="M351" s="279">
        <f>IF('🧾 Tributos Aduana'!$F$6=0,0,'🧾 Tributos Aduana'!$F$19*('🧾 Factura Comercial'!H355/'🧾 Tributos Aduana'!$F$6))</f>
        <v>0</v>
      </c>
      <c r="N351" s="280">
        <f>TABLA_BASE[[#This Row],[IGV UNIT.
(US$)
✅CF]]*TABLA_BASE[[#This Row],[CANTIDAD
(unid.)]]</f>
        <v>0</v>
      </c>
      <c r="O351" s="280">
        <f>IF('🧾 Tributos Aduana'!$F$6=0,0,'🧾 Tributos Aduana'!$F$23*('🧾 Factura Comercial'!H355/'🧾 Tributos Aduana'!$F$6))</f>
        <v>0</v>
      </c>
      <c r="P351" s="280">
        <f>TABLA_BASE[[#This Row],[PERCEP.
UNIT.(US$)
✅CF]]*TABLA_BASE[[#This Row],[CANTIDAD
(unid.)]]</f>
        <v>0</v>
      </c>
      <c r="Q351" s="279">
        <f>TABLA_BASE[[#This Row],[ADV UNIT.
(US$)
⚠️COSTO]]+TABLA_BASE[[#This Row],[IPM UNIT.
(US$)
✅CF]]+TABLA_BASE[[#This Row],[IGV UNIT.
(US$)
✅CF]]</f>
        <v>0</v>
      </c>
      <c r="R351" s="280">
        <f>TABLA_BASE[[#This Row],[DEUDA
ADUANERA
UNIT.]]*TABLA_BASE[[#This Row],[CANTIDAD
(unid.)]]</f>
        <v>0</v>
      </c>
      <c r="S351" s="278">
        <f>TABLA_BASE[[#This Row],[DEUDA
ADUANERA
UNIT.]]*'📋 Datos Generales'!$E$19</f>
        <v>0</v>
      </c>
      <c r="T351" s="278">
        <f>TABLA_BASE[[#This Row],[DEUDA
ADUANERA
TOTAL]]*'📋 Datos Generales'!$E$19</f>
        <v>0</v>
      </c>
      <c r="U351" s="281">
        <f>TABLA_BASE[[#This Row],[ADV UNIT.
(US$)
⚠️COSTO]]*'📋 Datos Generales'!$E$19</f>
        <v>0</v>
      </c>
      <c r="V351" s="281">
        <f>TABLA_BASE[[#This Row],[ADV UNIT.
(S/.)]]*TABLA_BASE[[#This Row],[CANTIDAD
(unid.)]]</f>
        <v>0</v>
      </c>
      <c r="W351" s="281">
        <f>TABLA_BASE[[#This Row],[IPM UNIT.
(US$)
✅CF]]*'📋 Datos Generales'!$E$19</f>
        <v>0</v>
      </c>
      <c r="X351" s="281">
        <f>TABLA_BASE[[#This Row],[IPM UNIT.
(S/.)]]*TABLA_BASE[[#This Row],[CANTIDAD
(unid.)]]</f>
        <v>0</v>
      </c>
      <c r="Y351" s="281">
        <f>TABLA_BASE[[#This Row],[IGV UNIT.
(US$)
✅CF]]*'📋 Datos Generales'!$E$19</f>
        <v>0</v>
      </c>
      <c r="Z351" s="281">
        <f>TABLA_BASE[[#This Row],[IGV UNIT.
(S/.)]]*TABLA_BASE[[#This Row],[CANTIDAD
(unid.)]]</f>
        <v>0</v>
      </c>
      <c r="AA351" s="281">
        <f>TABLA_BASE[[#This Row],[PERCEP.
UNIT.(US$)
✅CF]]*'📋 Datos Generales'!$E$19</f>
        <v>0</v>
      </c>
      <c r="AB351" s="281">
        <f>TABLA_BASE[[#This Row],[PERCEP.
UNIT.(S/.)]]*TABLA_BASE[[#This Row],[CANTIDAD
(unid.)]]</f>
        <v>0</v>
      </c>
      <c r="AC351" s="279">
        <f>TABLA_BASE[[#This Row],[ADV UNIT.
(US$)
⚠️COSTO]]+TABLA_BASE[[#This Row],[IPM UNIT.
(US$)
✅CF]]+TABLA_BASE[[#This Row],[IGV UNIT.
(US$)
✅CF]]+TABLA_BASE[[#This Row],[PERCEP.
UNIT.(US$)
✅CF]]</f>
        <v>0</v>
      </c>
      <c r="AD351" s="279">
        <f>TABLA_BASE[[#This Row],[TOTAL PAGO
SUNAT
UNIT.(US$)]]*TABLA_BASE[[#This Row],[CANTIDAD
(unid.)]]</f>
        <v>0</v>
      </c>
      <c r="AE351" s="281">
        <f>TABLA_BASE[[#This Row],[TOTAL PAGO
SUNAT
UNIT.(US$)]]*'📋 Datos Generales'!$E$19</f>
        <v>0</v>
      </c>
      <c r="AF351" s="281">
        <f>TABLA_BASE[[#This Row],[TOTAL TRIB.
UNIT.(S/.)]]*TABLA_BASE[[#This Row],[CANTIDAD
(unid.)]]</f>
        <v>0</v>
      </c>
      <c r="AG351" s="279">
        <f>IF('🧾 Factura Comercial'!G355=0,0,'📦 Gastos Importación'!$E$28*(IF('🧾 Tributos Aduana'!$F$6=0,0,'🧾 Factura Comercial'!I355/'🧾 Tributos Aduana'!$F$6))/'🧾 Factura Comercial'!G355)</f>
        <v>0</v>
      </c>
      <c r="AH351" s="279">
        <f>TABLA_BASE[[#This Row],[GASTOS IMP.
UNIT.(US$)]]*TABLA_BASE[[#This Row],[CANTIDAD
(unid.)]]</f>
        <v>0</v>
      </c>
      <c r="AI351" s="281">
        <f>TABLA_BASE[[#This Row],[GASTOS IMP.
UNIT.(US$)]]*'📋 Datos Generales'!$E$19</f>
        <v>0</v>
      </c>
      <c r="AJ351" s="281">
        <f>TABLA_BASE[[#This Row],[GASTOS IMP.
UNIT.(S/.)]]*TABLA_BASE[[#This Row],[CANTIDAD
(unid.)]]</f>
        <v>0</v>
      </c>
      <c r="AK351" s="280">
        <f>'🧮 Costos x Producto'!J355</f>
        <v>0</v>
      </c>
      <c r="AL351" s="278">
        <f>'🧮 Costos x Producto'!K355</f>
        <v>0</v>
      </c>
      <c r="AM351" s="278">
        <f>TABLA_BASE[[#This Row],[C/M UNIT.
(S/.)]]*TABLA_BASE[[#This Row],[CANTIDAD
(unid.)]]</f>
        <v>0</v>
      </c>
      <c r="AN351" s="279">
        <f>IF('🧾 Factura Comercial'!G355=0,0,'🧾 Tributos Aduana'!$F$17*(IF('🧾 Tributos Aduana'!$F$6=0,0,'🧾 Factura Comercial'!I355/'🧾 Tributos Aduana'!$F$6))/'🧾 Factura Comercial'!G355)</f>
        <v>0</v>
      </c>
      <c r="AO351" s="280">
        <f>IF('🧾 Factura Comercial'!G355=0,0,'🏦 Crédito Fiscal'!$C$16*(IF('🧾 Tributos Aduana'!$F$6=0,0,'🧾 Factura Comercial'!I355/'🧾 Tributos Aduana'!$F$6))/'🧾 Factura Comercial'!G355)</f>
        <v>0</v>
      </c>
      <c r="AP351" s="278">
        <f>TABLA_BASE[[#This Row],[CF UNIT.
✅RECUP.
(US$)]]*'📋 Datos Generales'!$E$19</f>
        <v>0</v>
      </c>
      <c r="AQ351" s="278">
        <f>TABLA_BASE[[#This Row],[CF UNIT.
✅RECUP.(S/.)]]*TABLA_BASE[[#This Row],[CANTIDAD
(unid.)]]</f>
        <v>0</v>
      </c>
      <c r="AR351" s="288">
        <f>'💰 Precio de Venta'!G356</f>
        <v>0.4</v>
      </c>
      <c r="AS351" s="278">
        <f>'💰 Precio de Venta'!H356</f>
        <v>0</v>
      </c>
      <c r="AT351" s="278">
        <f>TABLA_BASE[[#This Row],[VALOR VTA.
UNIT.(S/.)]]*TABLA_BASE[[#This Row],[CANTIDAD
(unid.)]]</f>
        <v>0</v>
      </c>
      <c r="AU351" s="281">
        <f>'💰 Precio de Venta'!I356</f>
        <v>0</v>
      </c>
      <c r="AV351" s="278">
        <f>'💰 Precio de Venta'!J356</f>
        <v>0</v>
      </c>
      <c r="AW351" s="278">
        <f>TABLA_BASE[[#This Row],[GANANCIA
UNIT.(S/.)]]*TABLA_BASE[[#This Row],[CANTIDAD
(unid.)]]</f>
        <v>0</v>
      </c>
      <c r="AX351" s="289">
        <f>'💰 Precio de Venta'!K356</f>
        <v>0</v>
      </c>
      <c r="AY351" s="278">
        <f>TABLA_BASE[[#This Row],[GANANCIA
UNIT.(S/.)]]*'🧾 Factura Comercial'!G355</f>
        <v>0</v>
      </c>
      <c r="AZ351" s="277">
        <f>IF(TABLA_BASE[[#This Row],[PRECIO VTA.
c/IGV(S/.)]]=0,0,TABLA_BASE[[#This Row],[GANANCIA
UNIT.(S/.)]]/TABLA_BASE[[#This Row],[PRECIO VTA.
c/IGV(S/.)]])</f>
        <v>0</v>
      </c>
      <c r="BA351" s="277">
        <f>IF(TABLA_BASE[[#This Row],[C/M UNIT.
(S/.)]]=0,0,TABLA_BASE[[#This Row],[GANANCIA
UNIT.(S/.)]]/TABLA_BASE[[#This Row],[C/M UNIT.
(S/.)]])</f>
        <v>0</v>
      </c>
      <c r="BB351" s="274" t="str">
        <f>IF(TABLA_BASE[[#This Row],[MARGEN
%]]&gt;=0.5,"🟢 ALTO",IF(TABLA_BASE[[#This Row],[MARGEN
%]]&gt;=0.3,"🟡 MEDIO","🔴 BAJO"))</f>
        <v>🟡 MEDIO</v>
      </c>
    </row>
    <row r="352" spans="1:54" ht="16.5" hidden="1" thickTop="1" thickBot="1" x14ac:dyDescent="0.3">
      <c r="A352" s="274">
        <f>'🧾 Factura Comercial'!E356</f>
        <v>0</v>
      </c>
      <c r="B352" s="274" t="str">
        <f>'🧾 Factura Comercial'!F356</f>
        <v>Unid.</v>
      </c>
      <c r="C352" s="275">
        <f>'🧾 Factura Comercial'!G356</f>
        <v>0</v>
      </c>
      <c r="D352" s="276">
        <f>'🧾 Factura Comercial'!H356</f>
        <v>0</v>
      </c>
      <c r="E352" s="276">
        <f>'🧾 Factura Comercial'!I356</f>
        <v>0</v>
      </c>
      <c r="F352" s="277">
        <f>IF('🧾 Tributos Aduana'!$F$6=0,0,'🧾 Factura Comercial'!I356/'🧾 Tributos Aduana'!$F$6)</f>
        <v>0</v>
      </c>
      <c r="G352" s="278">
        <f>'🧾 Factura Comercial'!H356*'📋 Datos Generales'!$E$19</f>
        <v>0</v>
      </c>
      <c r="H352" s="278">
        <f>TABLA_BASE[[#This Row],[FOB UNIT.
(S/.)]]*TABLA_BASE[[#This Row],[CANTIDAD
(unid.)]]</f>
        <v>0</v>
      </c>
      <c r="I352" s="280">
        <f>IF('🧾 Tributos Aduana'!$F$6=0,0,'🧾 Tributos Aduana'!$F$17*('🧾 Factura Comercial'!H356/'🧾 Tributos Aduana'!$F$6))</f>
        <v>0</v>
      </c>
      <c r="J352" s="280">
        <f>TABLA_BASE[[#This Row],[ADV UNIT.
(US$)
⚠️COSTO]]*TABLA_BASE[[#This Row],[CANTIDAD
(unid.)]]</f>
        <v>0</v>
      </c>
      <c r="K352" s="279">
        <f>IF('🧾 Tributos Aduana'!$F$6=0,0,'🧾 Tributos Aduana'!$F$18*('🧾 Factura Comercial'!H356/'🧾 Tributos Aduana'!$F$6))</f>
        <v>0</v>
      </c>
      <c r="L352" s="280">
        <f>TABLA_BASE[[#This Row],[IPM UNIT.
(US$)
✅CF]]*TABLA_BASE[[#This Row],[CANTIDAD
(unid.)]]</f>
        <v>0</v>
      </c>
      <c r="M352" s="279">
        <f>IF('🧾 Tributos Aduana'!$F$6=0,0,'🧾 Tributos Aduana'!$F$19*('🧾 Factura Comercial'!H356/'🧾 Tributos Aduana'!$F$6))</f>
        <v>0</v>
      </c>
      <c r="N352" s="280">
        <f>TABLA_BASE[[#This Row],[IGV UNIT.
(US$)
✅CF]]*TABLA_BASE[[#This Row],[CANTIDAD
(unid.)]]</f>
        <v>0</v>
      </c>
      <c r="O352" s="280">
        <f>IF('🧾 Tributos Aduana'!$F$6=0,0,'🧾 Tributos Aduana'!$F$23*('🧾 Factura Comercial'!H356/'🧾 Tributos Aduana'!$F$6))</f>
        <v>0</v>
      </c>
      <c r="P352" s="280">
        <f>TABLA_BASE[[#This Row],[PERCEP.
UNIT.(US$)
✅CF]]*TABLA_BASE[[#This Row],[CANTIDAD
(unid.)]]</f>
        <v>0</v>
      </c>
      <c r="Q352" s="279">
        <f>TABLA_BASE[[#This Row],[ADV UNIT.
(US$)
⚠️COSTO]]+TABLA_BASE[[#This Row],[IPM UNIT.
(US$)
✅CF]]+TABLA_BASE[[#This Row],[IGV UNIT.
(US$)
✅CF]]</f>
        <v>0</v>
      </c>
      <c r="R352" s="280">
        <f>TABLA_BASE[[#This Row],[DEUDA
ADUANERA
UNIT.]]*TABLA_BASE[[#This Row],[CANTIDAD
(unid.)]]</f>
        <v>0</v>
      </c>
      <c r="S352" s="278">
        <f>TABLA_BASE[[#This Row],[DEUDA
ADUANERA
UNIT.]]*'📋 Datos Generales'!$E$19</f>
        <v>0</v>
      </c>
      <c r="T352" s="278">
        <f>TABLA_BASE[[#This Row],[DEUDA
ADUANERA
TOTAL]]*'📋 Datos Generales'!$E$19</f>
        <v>0</v>
      </c>
      <c r="U352" s="281">
        <f>TABLA_BASE[[#This Row],[ADV UNIT.
(US$)
⚠️COSTO]]*'📋 Datos Generales'!$E$19</f>
        <v>0</v>
      </c>
      <c r="V352" s="281">
        <f>TABLA_BASE[[#This Row],[ADV UNIT.
(S/.)]]*TABLA_BASE[[#This Row],[CANTIDAD
(unid.)]]</f>
        <v>0</v>
      </c>
      <c r="W352" s="281">
        <f>TABLA_BASE[[#This Row],[IPM UNIT.
(US$)
✅CF]]*'📋 Datos Generales'!$E$19</f>
        <v>0</v>
      </c>
      <c r="X352" s="281">
        <f>TABLA_BASE[[#This Row],[IPM UNIT.
(S/.)]]*TABLA_BASE[[#This Row],[CANTIDAD
(unid.)]]</f>
        <v>0</v>
      </c>
      <c r="Y352" s="281">
        <f>TABLA_BASE[[#This Row],[IGV UNIT.
(US$)
✅CF]]*'📋 Datos Generales'!$E$19</f>
        <v>0</v>
      </c>
      <c r="Z352" s="281">
        <f>TABLA_BASE[[#This Row],[IGV UNIT.
(S/.)]]*TABLA_BASE[[#This Row],[CANTIDAD
(unid.)]]</f>
        <v>0</v>
      </c>
      <c r="AA352" s="281">
        <f>TABLA_BASE[[#This Row],[PERCEP.
UNIT.(US$)
✅CF]]*'📋 Datos Generales'!$E$19</f>
        <v>0</v>
      </c>
      <c r="AB352" s="281">
        <f>TABLA_BASE[[#This Row],[PERCEP.
UNIT.(S/.)]]*TABLA_BASE[[#This Row],[CANTIDAD
(unid.)]]</f>
        <v>0</v>
      </c>
      <c r="AC352" s="279">
        <f>TABLA_BASE[[#This Row],[ADV UNIT.
(US$)
⚠️COSTO]]+TABLA_BASE[[#This Row],[IPM UNIT.
(US$)
✅CF]]+TABLA_BASE[[#This Row],[IGV UNIT.
(US$)
✅CF]]+TABLA_BASE[[#This Row],[PERCEP.
UNIT.(US$)
✅CF]]</f>
        <v>0</v>
      </c>
      <c r="AD352" s="279">
        <f>TABLA_BASE[[#This Row],[TOTAL PAGO
SUNAT
UNIT.(US$)]]*TABLA_BASE[[#This Row],[CANTIDAD
(unid.)]]</f>
        <v>0</v>
      </c>
      <c r="AE352" s="281">
        <f>TABLA_BASE[[#This Row],[TOTAL PAGO
SUNAT
UNIT.(US$)]]*'📋 Datos Generales'!$E$19</f>
        <v>0</v>
      </c>
      <c r="AF352" s="281">
        <f>TABLA_BASE[[#This Row],[TOTAL TRIB.
UNIT.(S/.)]]*TABLA_BASE[[#This Row],[CANTIDAD
(unid.)]]</f>
        <v>0</v>
      </c>
      <c r="AG352" s="279">
        <f>IF('🧾 Factura Comercial'!G356=0,0,'📦 Gastos Importación'!$E$28*(IF('🧾 Tributos Aduana'!$F$6=0,0,'🧾 Factura Comercial'!I356/'🧾 Tributos Aduana'!$F$6))/'🧾 Factura Comercial'!G356)</f>
        <v>0</v>
      </c>
      <c r="AH352" s="279">
        <f>TABLA_BASE[[#This Row],[GASTOS IMP.
UNIT.(US$)]]*TABLA_BASE[[#This Row],[CANTIDAD
(unid.)]]</f>
        <v>0</v>
      </c>
      <c r="AI352" s="281">
        <f>TABLA_BASE[[#This Row],[GASTOS IMP.
UNIT.(US$)]]*'📋 Datos Generales'!$E$19</f>
        <v>0</v>
      </c>
      <c r="AJ352" s="281">
        <f>TABLA_BASE[[#This Row],[GASTOS IMP.
UNIT.(S/.)]]*TABLA_BASE[[#This Row],[CANTIDAD
(unid.)]]</f>
        <v>0</v>
      </c>
      <c r="AK352" s="280">
        <f>'🧮 Costos x Producto'!J356</f>
        <v>0</v>
      </c>
      <c r="AL352" s="278">
        <f>'🧮 Costos x Producto'!K356</f>
        <v>0</v>
      </c>
      <c r="AM352" s="278">
        <f>TABLA_BASE[[#This Row],[C/M UNIT.
(S/.)]]*TABLA_BASE[[#This Row],[CANTIDAD
(unid.)]]</f>
        <v>0</v>
      </c>
      <c r="AN352" s="279">
        <f>IF('🧾 Factura Comercial'!G356=0,0,'🧾 Tributos Aduana'!$F$17*(IF('🧾 Tributos Aduana'!$F$6=0,0,'🧾 Factura Comercial'!I356/'🧾 Tributos Aduana'!$F$6))/'🧾 Factura Comercial'!G356)</f>
        <v>0</v>
      </c>
      <c r="AO352" s="280">
        <f>IF('🧾 Factura Comercial'!G356=0,0,'🏦 Crédito Fiscal'!$C$16*(IF('🧾 Tributos Aduana'!$F$6=0,0,'🧾 Factura Comercial'!I356/'🧾 Tributos Aduana'!$F$6))/'🧾 Factura Comercial'!G356)</f>
        <v>0</v>
      </c>
      <c r="AP352" s="278">
        <f>TABLA_BASE[[#This Row],[CF UNIT.
✅RECUP.
(US$)]]*'📋 Datos Generales'!$E$19</f>
        <v>0</v>
      </c>
      <c r="AQ352" s="278">
        <f>TABLA_BASE[[#This Row],[CF UNIT.
✅RECUP.(S/.)]]*TABLA_BASE[[#This Row],[CANTIDAD
(unid.)]]</f>
        <v>0</v>
      </c>
      <c r="AR352" s="288">
        <f>'💰 Precio de Venta'!G357</f>
        <v>0.4</v>
      </c>
      <c r="AS352" s="278">
        <f>'💰 Precio de Venta'!H357</f>
        <v>0</v>
      </c>
      <c r="AT352" s="278">
        <f>TABLA_BASE[[#This Row],[VALOR VTA.
UNIT.(S/.)]]*TABLA_BASE[[#This Row],[CANTIDAD
(unid.)]]</f>
        <v>0</v>
      </c>
      <c r="AU352" s="281">
        <f>'💰 Precio de Venta'!I357</f>
        <v>0</v>
      </c>
      <c r="AV352" s="278">
        <f>'💰 Precio de Venta'!J357</f>
        <v>0</v>
      </c>
      <c r="AW352" s="278">
        <f>TABLA_BASE[[#This Row],[GANANCIA
UNIT.(S/.)]]*TABLA_BASE[[#This Row],[CANTIDAD
(unid.)]]</f>
        <v>0</v>
      </c>
      <c r="AX352" s="289">
        <f>'💰 Precio de Venta'!K357</f>
        <v>0</v>
      </c>
      <c r="AY352" s="278">
        <f>TABLA_BASE[[#This Row],[GANANCIA
UNIT.(S/.)]]*'🧾 Factura Comercial'!G356</f>
        <v>0</v>
      </c>
      <c r="AZ352" s="277">
        <f>IF(TABLA_BASE[[#This Row],[PRECIO VTA.
c/IGV(S/.)]]=0,0,TABLA_BASE[[#This Row],[GANANCIA
UNIT.(S/.)]]/TABLA_BASE[[#This Row],[PRECIO VTA.
c/IGV(S/.)]])</f>
        <v>0</v>
      </c>
      <c r="BA352" s="277">
        <f>IF(TABLA_BASE[[#This Row],[C/M UNIT.
(S/.)]]=0,0,TABLA_BASE[[#This Row],[GANANCIA
UNIT.(S/.)]]/TABLA_BASE[[#This Row],[C/M UNIT.
(S/.)]])</f>
        <v>0</v>
      </c>
      <c r="BB352" s="274" t="str">
        <f>IF(TABLA_BASE[[#This Row],[MARGEN
%]]&gt;=0.5,"🟢 ALTO",IF(TABLA_BASE[[#This Row],[MARGEN
%]]&gt;=0.3,"🟡 MEDIO","🔴 BAJO"))</f>
        <v>🟡 MEDIO</v>
      </c>
    </row>
    <row r="353" spans="1:54" ht="16.5" hidden="1" thickTop="1" thickBot="1" x14ac:dyDescent="0.3">
      <c r="A353" s="274">
        <f>'🧾 Factura Comercial'!E357</f>
        <v>0</v>
      </c>
      <c r="B353" s="274" t="str">
        <f>'🧾 Factura Comercial'!F357</f>
        <v>Unid.</v>
      </c>
      <c r="C353" s="275">
        <f>'🧾 Factura Comercial'!G357</f>
        <v>0</v>
      </c>
      <c r="D353" s="276">
        <f>'🧾 Factura Comercial'!H357</f>
        <v>0</v>
      </c>
      <c r="E353" s="276">
        <f>'🧾 Factura Comercial'!I357</f>
        <v>0</v>
      </c>
      <c r="F353" s="277">
        <f>IF('🧾 Tributos Aduana'!$F$6=0,0,'🧾 Factura Comercial'!I357/'🧾 Tributos Aduana'!$F$6)</f>
        <v>0</v>
      </c>
      <c r="G353" s="278">
        <f>'🧾 Factura Comercial'!H357*'📋 Datos Generales'!$E$19</f>
        <v>0</v>
      </c>
      <c r="H353" s="278">
        <f>TABLA_BASE[[#This Row],[FOB UNIT.
(S/.)]]*TABLA_BASE[[#This Row],[CANTIDAD
(unid.)]]</f>
        <v>0</v>
      </c>
      <c r="I353" s="280">
        <f>IF('🧾 Tributos Aduana'!$F$6=0,0,'🧾 Tributos Aduana'!$F$17*('🧾 Factura Comercial'!H357/'🧾 Tributos Aduana'!$F$6))</f>
        <v>0</v>
      </c>
      <c r="J353" s="280">
        <f>TABLA_BASE[[#This Row],[ADV UNIT.
(US$)
⚠️COSTO]]*TABLA_BASE[[#This Row],[CANTIDAD
(unid.)]]</f>
        <v>0</v>
      </c>
      <c r="K353" s="279">
        <f>IF('🧾 Tributos Aduana'!$F$6=0,0,'🧾 Tributos Aduana'!$F$18*('🧾 Factura Comercial'!H357/'🧾 Tributos Aduana'!$F$6))</f>
        <v>0</v>
      </c>
      <c r="L353" s="280">
        <f>TABLA_BASE[[#This Row],[IPM UNIT.
(US$)
✅CF]]*TABLA_BASE[[#This Row],[CANTIDAD
(unid.)]]</f>
        <v>0</v>
      </c>
      <c r="M353" s="279">
        <f>IF('🧾 Tributos Aduana'!$F$6=0,0,'🧾 Tributos Aduana'!$F$19*('🧾 Factura Comercial'!H357/'🧾 Tributos Aduana'!$F$6))</f>
        <v>0</v>
      </c>
      <c r="N353" s="280">
        <f>TABLA_BASE[[#This Row],[IGV UNIT.
(US$)
✅CF]]*TABLA_BASE[[#This Row],[CANTIDAD
(unid.)]]</f>
        <v>0</v>
      </c>
      <c r="O353" s="280">
        <f>IF('🧾 Tributos Aduana'!$F$6=0,0,'🧾 Tributos Aduana'!$F$23*('🧾 Factura Comercial'!H357/'🧾 Tributos Aduana'!$F$6))</f>
        <v>0</v>
      </c>
      <c r="P353" s="280">
        <f>TABLA_BASE[[#This Row],[PERCEP.
UNIT.(US$)
✅CF]]*TABLA_BASE[[#This Row],[CANTIDAD
(unid.)]]</f>
        <v>0</v>
      </c>
      <c r="Q353" s="279">
        <f>TABLA_BASE[[#This Row],[ADV UNIT.
(US$)
⚠️COSTO]]+TABLA_BASE[[#This Row],[IPM UNIT.
(US$)
✅CF]]+TABLA_BASE[[#This Row],[IGV UNIT.
(US$)
✅CF]]</f>
        <v>0</v>
      </c>
      <c r="R353" s="280">
        <f>TABLA_BASE[[#This Row],[DEUDA
ADUANERA
UNIT.]]*TABLA_BASE[[#This Row],[CANTIDAD
(unid.)]]</f>
        <v>0</v>
      </c>
      <c r="S353" s="278">
        <f>TABLA_BASE[[#This Row],[DEUDA
ADUANERA
UNIT.]]*'📋 Datos Generales'!$E$19</f>
        <v>0</v>
      </c>
      <c r="T353" s="278">
        <f>TABLA_BASE[[#This Row],[DEUDA
ADUANERA
TOTAL]]*'📋 Datos Generales'!$E$19</f>
        <v>0</v>
      </c>
      <c r="U353" s="281">
        <f>TABLA_BASE[[#This Row],[ADV UNIT.
(US$)
⚠️COSTO]]*'📋 Datos Generales'!$E$19</f>
        <v>0</v>
      </c>
      <c r="V353" s="281">
        <f>TABLA_BASE[[#This Row],[ADV UNIT.
(S/.)]]*TABLA_BASE[[#This Row],[CANTIDAD
(unid.)]]</f>
        <v>0</v>
      </c>
      <c r="W353" s="281">
        <f>TABLA_BASE[[#This Row],[IPM UNIT.
(US$)
✅CF]]*'📋 Datos Generales'!$E$19</f>
        <v>0</v>
      </c>
      <c r="X353" s="281">
        <f>TABLA_BASE[[#This Row],[IPM UNIT.
(S/.)]]*TABLA_BASE[[#This Row],[CANTIDAD
(unid.)]]</f>
        <v>0</v>
      </c>
      <c r="Y353" s="281">
        <f>TABLA_BASE[[#This Row],[IGV UNIT.
(US$)
✅CF]]*'📋 Datos Generales'!$E$19</f>
        <v>0</v>
      </c>
      <c r="Z353" s="281">
        <f>TABLA_BASE[[#This Row],[IGV UNIT.
(S/.)]]*TABLA_BASE[[#This Row],[CANTIDAD
(unid.)]]</f>
        <v>0</v>
      </c>
      <c r="AA353" s="281">
        <f>TABLA_BASE[[#This Row],[PERCEP.
UNIT.(US$)
✅CF]]*'📋 Datos Generales'!$E$19</f>
        <v>0</v>
      </c>
      <c r="AB353" s="281">
        <f>TABLA_BASE[[#This Row],[PERCEP.
UNIT.(S/.)]]*TABLA_BASE[[#This Row],[CANTIDAD
(unid.)]]</f>
        <v>0</v>
      </c>
      <c r="AC353" s="279">
        <f>TABLA_BASE[[#This Row],[ADV UNIT.
(US$)
⚠️COSTO]]+TABLA_BASE[[#This Row],[IPM UNIT.
(US$)
✅CF]]+TABLA_BASE[[#This Row],[IGV UNIT.
(US$)
✅CF]]+TABLA_BASE[[#This Row],[PERCEP.
UNIT.(US$)
✅CF]]</f>
        <v>0</v>
      </c>
      <c r="AD353" s="279">
        <f>TABLA_BASE[[#This Row],[TOTAL PAGO
SUNAT
UNIT.(US$)]]*TABLA_BASE[[#This Row],[CANTIDAD
(unid.)]]</f>
        <v>0</v>
      </c>
      <c r="AE353" s="281">
        <f>TABLA_BASE[[#This Row],[TOTAL PAGO
SUNAT
UNIT.(US$)]]*'📋 Datos Generales'!$E$19</f>
        <v>0</v>
      </c>
      <c r="AF353" s="281">
        <f>TABLA_BASE[[#This Row],[TOTAL TRIB.
UNIT.(S/.)]]*TABLA_BASE[[#This Row],[CANTIDAD
(unid.)]]</f>
        <v>0</v>
      </c>
      <c r="AG353" s="279">
        <f>IF('🧾 Factura Comercial'!G357=0,0,'📦 Gastos Importación'!$E$28*(IF('🧾 Tributos Aduana'!$F$6=0,0,'🧾 Factura Comercial'!I357/'🧾 Tributos Aduana'!$F$6))/'🧾 Factura Comercial'!G357)</f>
        <v>0</v>
      </c>
      <c r="AH353" s="279">
        <f>TABLA_BASE[[#This Row],[GASTOS IMP.
UNIT.(US$)]]*TABLA_BASE[[#This Row],[CANTIDAD
(unid.)]]</f>
        <v>0</v>
      </c>
      <c r="AI353" s="281">
        <f>TABLA_BASE[[#This Row],[GASTOS IMP.
UNIT.(US$)]]*'📋 Datos Generales'!$E$19</f>
        <v>0</v>
      </c>
      <c r="AJ353" s="281">
        <f>TABLA_BASE[[#This Row],[GASTOS IMP.
UNIT.(S/.)]]*TABLA_BASE[[#This Row],[CANTIDAD
(unid.)]]</f>
        <v>0</v>
      </c>
      <c r="AK353" s="280">
        <f>'🧮 Costos x Producto'!J357</f>
        <v>0</v>
      </c>
      <c r="AL353" s="278">
        <f>'🧮 Costos x Producto'!K357</f>
        <v>0</v>
      </c>
      <c r="AM353" s="278">
        <f>TABLA_BASE[[#This Row],[C/M UNIT.
(S/.)]]*TABLA_BASE[[#This Row],[CANTIDAD
(unid.)]]</f>
        <v>0</v>
      </c>
      <c r="AN353" s="279">
        <f>IF('🧾 Factura Comercial'!G357=0,0,'🧾 Tributos Aduana'!$F$17*(IF('🧾 Tributos Aduana'!$F$6=0,0,'🧾 Factura Comercial'!I357/'🧾 Tributos Aduana'!$F$6))/'🧾 Factura Comercial'!G357)</f>
        <v>0</v>
      </c>
      <c r="AO353" s="280">
        <f>IF('🧾 Factura Comercial'!G357=0,0,'🏦 Crédito Fiscal'!$C$16*(IF('🧾 Tributos Aduana'!$F$6=0,0,'🧾 Factura Comercial'!I357/'🧾 Tributos Aduana'!$F$6))/'🧾 Factura Comercial'!G357)</f>
        <v>0</v>
      </c>
      <c r="AP353" s="278">
        <f>TABLA_BASE[[#This Row],[CF UNIT.
✅RECUP.
(US$)]]*'📋 Datos Generales'!$E$19</f>
        <v>0</v>
      </c>
      <c r="AQ353" s="278">
        <f>TABLA_BASE[[#This Row],[CF UNIT.
✅RECUP.(S/.)]]*TABLA_BASE[[#This Row],[CANTIDAD
(unid.)]]</f>
        <v>0</v>
      </c>
      <c r="AR353" s="288">
        <f>'💰 Precio de Venta'!G358</f>
        <v>0.4</v>
      </c>
      <c r="AS353" s="278">
        <f>'💰 Precio de Venta'!H358</f>
        <v>0</v>
      </c>
      <c r="AT353" s="278">
        <f>TABLA_BASE[[#This Row],[VALOR VTA.
UNIT.(S/.)]]*TABLA_BASE[[#This Row],[CANTIDAD
(unid.)]]</f>
        <v>0</v>
      </c>
      <c r="AU353" s="281">
        <f>'💰 Precio de Venta'!I358</f>
        <v>0</v>
      </c>
      <c r="AV353" s="278">
        <f>'💰 Precio de Venta'!J358</f>
        <v>0</v>
      </c>
      <c r="AW353" s="278">
        <f>TABLA_BASE[[#This Row],[GANANCIA
UNIT.(S/.)]]*TABLA_BASE[[#This Row],[CANTIDAD
(unid.)]]</f>
        <v>0</v>
      </c>
      <c r="AX353" s="289">
        <f>'💰 Precio de Venta'!K358</f>
        <v>0</v>
      </c>
      <c r="AY353" s="278">
        <f>TABLA_BASE[[#This Row],[GANANCIA
UNIT.(S/.)]]*'🧾 Factura Comercial'!G357</f>
        <v>0</v>
      </c>
      <c r="AZ353" s="277">
        <f>IF(TABLA_BASE[[#This Row],[PRECIO VTA.
c/IGV(S/.)]]=0,0,TABLA_BASE[[#This Row],[GANANCIA
UNIT.(S/.)]]/TABLA_BASE[[#This Row],[PRECIO VTA.
c/IGV(S/.)]])</f>
        <v>0</v>
      </c>
      <c r="BA353" s="277">
        <f>IF(TABLA_BASE[[#This Row],[C/M UNIT.
(S/.)]]=0,0,TABLA_BASE[[#This Row],[GANANCIA
UNIT.(S/.)]]/TABLA_BASE[[#This Row],[C/M UNIT.
(S/.)]])</f>
        <v>0</v>
      </c>
      <c r="BB353" s="274" t="str">
        <f>IF(TABLA_BASE[[#This Row],[MARGEN
%]]&gt;=0.5,"🟢 ALTO",IF(TABLA_BASE[[#This Row],[MARGEN
%]]&gt;=0.3,"🟡 MEDIO","🔴 BAJO"))</f>
        <v>🟡 MEDIO</v>
      </c>
    </row>
    <row r="354" spans="1:54" ht="16.5" hidden="1" thickTop="1" thickBot="1" x14ac:dyDescent="0.3">
      <c r="A354" s="274">
        <f>'🧾 Factura Comercial'!E358</f>
        <v>0</v>
      </c>
      <c r="B354" s="274" t="str">
        <f>'🧾 Factura Comercial'!F358</f>
        <v>Unid.</v>
      </c>
      <c r="C354" s="275">
        <f>'🧾 Factura Comercial'!G358</f>
        <v>0</v>
      </c>
      <c r="D354" s="276">
        <f>'🧾 Factura Comercial'!H358</f>
        <v>0</v>
      </c>
      <c r="E354" s="276">
        <f>'🧾 Factura Comercial'!I358</f>
        <v>0</v>
      </c>
      <c r="F354" s="277">
        <f>IF('🧾 Tributos Aduana'!$F$6=0,0,'🧾 Factura Comercial'!I358/'🧾 Tributos Aduana'!$F$6)</f>
        <v>0</v>
      </c>
      <c r="G354" s="278">
        <f>'🧾 Factura Comercial'!H358*'📋 Datos Generales'!$E$19</f>
        <v>0</v>
      </c>
      <c r="H354" s="278">
        <f>TABLA_BASE[[#This Row],[FOB UNIT.
(S/.)]]*TABLA_BASE[[#This Row],[CANTIDAD
(unid.)]]</f>
        <v>0</v>
      </c>
      <c r="I354" s="280">
        <f>IF('🧾 Tributos Aduana'!$F$6=0,0,'🧾 Tributos Aduana'!$F$17*('🧾 Factura Comercial'!H358/'🧾 Tributos Aduana'!$F$6))</f>
        <v>0</v>
      </c>
      <c r="J354" s="280">
        <f>TABLA_BASE[[#This Row],[ADV UNIT.
(US$)
⚠️COSTO]]*TABLA_BASE[[#This Row],[CANTIDAD
(unid.)]]</f>
        <v>0</v>
      </c>
      <c r="K354" s="279">
        <f>IF('🧾 Tributos Aduana'!$F$6=0,0,'🧾 Tributos Aduana'!$F$18*('🧾 Factura Comercial'!H358/'🧾 Tributos Aduana'!$F$6))</f>
        <v>0</v>
      </c>
      <c r="L354" s="280">
        <f>TABLA_BASE[[#This Row],[IPM UNIT.
(US$)
✅CF]]*TABLA_BASE[[#This Row],[CANTIDAD
(unid.)]]</f>
        <v>0</v>
      </c>
      <c r="M354" s="279">
        <f>IF('🧾 Tributos Aduana'!$F$6=0,0,'🧾 Tributos Aduana'!$F$19*('🧾 Factura Comercial'!H358/'🧾 Tributos Aduana'!$F$6))</f>
        <v>0</v>
      </c>
      <c r="N354" s="280">
        <f>TABLA_BASE[[#This Row],[IGV UNIT.
(US$)
✅CF]]*TABLA_BASE[[#This Row],[CANTIDAD
(unid.)]]</f>
        <v>0</v>
      </c>
      <c r="O354" s="280">
        <f>IF('🧾 Tributos Aduana'!$F$6=0,0,'🧾 Tributos Aduana'!$F$23*('🧾 Factura Comercial'!H358/'🧾 Tributos Aduana'!$F$6))</f>
        <v>0</v>
      </c>
      <c r="P354" s="280">
        <f>TABLA_BASE[[#This Row],[PERCEP.
UNIT.(US$)
✅CF]]*TABLA_BASE[[#This Row],[CANTIDAD
(unid.)]]</f>
        <v>0</v>
      </c>
      <c r="Q354" s="279">
        <f>TABLA_BASE[[#This Row],[ADV UNIT.
(US$)
⚠️COSTO]]+TABLA_BASE[[#This Row],[IPM UNIT.
(US$)
✅CF]]+TABLA_BASE[[#This Row],[IGV UNIT.
(US$)
✅CF]]</f>
        <v>0</v>
      </c>
      <c r="R354" s="280">
        <f>TABLA_BASE[[#This Row],[DEUDA
ADUANERA
UNIT.]]*TABLA_BASE[[#This Row],[CANTIDAD
(unid.)]]</f>
        <v>0</v>
      </c>
      <c r="S354" s="278">
        <f>TABLA_BASE[[#This Row],[DEUDA
ADUANERA
UNIT.]]*'📋 Datos Generales'!$E$19</f>
        <v>0</v>
      </c>
      <c r="T354" s="278">
        <f>TABLA_BASE[[#This Row],[DEUDA
ADUANERA
TOTAL]]*'📋 Datos Generales'!$E$19</f>
        <v>0</v>
      </c>
      <c r="U354" s="281">
        <f>TABLA_BASE[[#This Row],[ADV UNIT.
(US$)
⚠️COSTO]]*'📋 Datos Generales'!$E$19</f>
        <v>0</v>
      </c>
      <c r="V354" s="281">
        <f>TABLA_BASE[[#This Row],[ADV UNIT.
(S/.)]]*TABLA_BASE[[#This Row],[CANTIDAD
(unid.)]]</f>
        <v>0</v>
      </c>
      <c r="W354" s="281">
        <f>TABLA_BASE[[#This Row],[IPM UNIT.
(US$)
✅CF]]*'📋 Datos Generales'!$E$19</f>
        <v>0</v>
      </c>
      <c r="X354" s="281">
        <f>TABLA_BASE[[#This Row],[IPM UNIT.
(S/.)]]*TABLA_BASE[[#This Row],[CANTIDAD
(unid.)]]</f>
        <v>0</v>
      </c>
      <c r="Y354" s="281">
        <f>TABLA_BASE[[#This Row],[IGV UNIT.
(US$)
✅CF]]*'📋 Datos Generales'!$E$19</f>
        <v>0</v>
      </c>
      <c r="Z354" s="281">
        <f>TABLA_BASE[[#This Row],[IGV UNIT.
(S/.)]]*TABLA_BASE[[#This Row],[CANTIDAD
(unid.)]]</f>
        <v>0</v>
      </c>
      <c r="AA354" s="281">
        <f>TABLA_BASE[[#This Row],[PERCEP.
UNIT.(US$)
✅CF]]*'📋 Datos Generales'!$E$19</f>
        <v>0</v>
      </c>
      <c r="AB354" s="281">
        <f>TABLA_BASE[[#This Row],[PERCEP.
UNIT.(S/.)]]*TABLA_BASE[[#This Row],[CANTIDAD
(unid.)]]</f>
        <v>0</v>
      </c>
      <c r="AC354" s="279">
        <f>TABLA_BASE[[#This Row],[ADV UNIT.
(US$)
⚠️COSTO]]+TABLA_BASE[[#This Row],[IPM UNIT.
(US$)
✅CF]]+TABLA_BASE[[#This Row],[IGV UNIT.
(US$)
✅CF]]+TABLA_BASE[[#This Row],[PERCEP.
UNIT.(US$)
✅CF]]</f>
        <v>0</v>
      </c>
      <c r="AD354" s="279">
        <f>TABLA_BASE[[#This Row],[TOTAL PAGO
SUNAT
UNIT.(US$)]]*TABLA_BASE[[#This Row],[CANTIDAD
(unid.)]]</f>
        <v>0</v>
      </c>
      <c r="AE354" s="281">
        <f>TABLA_BASE[[#This Row],[TOTAL PAGO
SUNAT
UNIT.(US$)]]*'📋 Datos Generales'!$E$19</f>
        <v>0</v>
      </c>
      <c r="AF354" s="281">
        <f>TABLA_BASE[[#This Row],[TOTAL TRIB.
UNIT.(S/.)]]*TABLA_BASE[[#This Row],[CANTIDAD
(unid.)]]</f>
        <v>0</v>
      </c>
      <c r="AG354" s="279">
        <f>IF('🧾 Factura Comercial'!G358=0,0,'📦 Gastos Importación'!$E$28*(IF('🧾 Tributos Aduana'!$F$6=0,0,'🧾 Factura Comercial'!I358/'🧾 Tributos Aduana'!$F$6))/'🧾 Factura Comercial'!G358)</f>
        <v>0</v>
      </c>
      <c r="AH354" s="279">
        <f>TABLA_BASE[[#This Row],[GASTOS IMP.
UNIT.(US$)]]*TABLA_BASE[[#This Row],[CANTIDAD
(unid.)]]</f>
        <v>0</v>
      </c>
      <c r="AI354" s="281">
        <f>TABLA_BASE[[#This Row],[GASTOS IMP.
UNIT.(US$)]]*'📋 Datos Generales'!$E$19</f>
        <v>0</v>
      </c>
      <c r="AJ354" s="281">
        <f>TABLA_BASE[[#This Row],[GASTOS IMP.
UNIT.(S/.)]]*TABLA_BASE[[#This Row],[CANTIDAD
(unid.)]]</f>
        <v>0</v>
      </c>
      <c r="AK354" s="280">
        <f>'🧮 Costos x Producto'!J358</f>
        <v>0</v>
      </c>
      <c r="AL354" s="278">
        <f>'🧮 Costos x Producto'!K358</f>
        <v>0</v>
      </c>
      <c r="AM354" s="278">
        <f>TABLA_BASE[[#This Row],[C/M UNIT.
(S/.)]]*TABLA_BASE[[#This Row],[CANTIDAD
(unid.)]]</f>
        <v>0</v>
      </c>
      <c r="AN354" s="279">
        <f>IF('🧾 Factura Comercial'!G358=0,0,'🧾 Tributos Aduana'!$F$17*(IF('🧾 Tributos Aduana'!$F$6=0,0,'🧾 Factura Comercial'!I358/'🧾 Tributos Aduana'!$F$6))/'🧾 Factura Comercial'!G358)</f>
        <v>0</v>
      </c>
      <c r="AO354" s="280">
        <f>IF('🧾 Factura Comercial'!G358=0,0,'🏦 Crédito Fiscal'!$C$16*(IF('🧾 Tributos Aduana'!$F$6=0,0,'🧾 Factura Comercial'!I358/'🧾 Tributos Aduana'!$F$6))/'🧾 Factura Comercial'!G358)</f>
        <v>0</v>
      </c>
      <c r="AP354" s="278">
        <f>TABLA_BASE[[#This Row],[CF UNIT.
✅RECUP.
(US$)]]*'📋 Datos Generales'!$E$19</f>
        <v>0</v>
      </c>
      <c r="AQ354" s="278">
        <f>TABLA_BASE[[#This Row],[CF UNIT.
✅RECUP.(S/.)]]*TABLA_BASE[[#This Row],[CANTIDAD
(unid.)]]</f>
        <v>0</v>
      </c>
      <c r="AR354" s="288">
        <f>'💰 Precio de Venta'!G359</f>
        <v>0.4</v>
      </c>
      <c r="AS354" s="278">
        <f>'💰 Precio de Venta'!H359</f>
        <v>0</v>
      </c>
      <c r="AT354" s="278">
        <f>TABLA_BASE[[#This Row],[VALOR VTA.
UNIT.(S/.)]]*TABLA_BASE[[#This Row],[CANTIDAD
(unid.)]]</f>
        <v>0</v>
      </c>
      <c r="AU354" s="281">
        <f>'💰 Precio de Venta'!I359</f>
        <v>0</v>
      </c>
      <c r="AV354" s="278">
        <f>'💰 Precio de Venta'!J359</f>
        <v>0</v>
      </c>
      <c r="AW354" s="278">
        <f>TABLA_BASE[[#This Row],[GANANCIA
UNIT.(S/.)]]*TABLA_BASE[[#This Row],[CANTIDAD
(unid.)]]</f>
        <v>0</v>
      </c>
      <c r="AX354" s="289">
        <f>'💰 Precio de Venta'!K359</f>
        <v>0</v>
      </c>
      <c r="AY354" s="278">
        <f>TABLA_BASE[[#This Row],[GANANCIA
UNIT.(S/.)]]*'🧾 Factura Comercial'!G358</f>
        <v>0</v>
      </c>
      <c r="AZ354" s="277">
        <f>IF(TABLA_BASE[[#This Row],[PRECIO VTA.
c/IGV(S/.)]]=0,0,TABLA_BASE[[#This Row],[GANANCIA
UNIT.(S/.)]]/TABLA_BASE[[#This Row],[PRECIO VTA.
c/IGV(S/.)]])</f>
        <v>0</v>
      </c>
      <c r="BA354" s="277">
        <f>IF(TABLA_BASE[[#This Row],[C/M UNIT.
(S/.)]]=0,0,TABLA_BASE[[#This Row],[GANANCIA
UNIT.(S/.)]]/TABLA_BASE[[#This Row],[C/M UNIT.
(S/.)]])</f>
        <v>0</v>
      </c>
      <c r="BB354" s="274" t="str">
        <f>IF(TABLA_BASE[[#This Row],[MARGEN
%]]&gt;=0.5,"🟢 ALTO",IF(TABLA_BASE[[#This Row],[MARGEN
%]]&gt;=0.3,"🟡 MEDIO","🔴 BAJO"))</f>
        <v>🟡 MEDIO</v>
      </c>
    </row>
    <row r="355" spans="1:54" ht="16.5" hidden="1" thickTop="1" thickBot="1" x14ac:dyDescent="0.3">
      <c r="A355" s="274">
        <f>'🧾 Factura Comercial'!E359</f>
        <v>0</v>
      </c>
      <c r="B355" s="274" t="str">
        <f>'🧾 Factura Comercial'!F359</f>
        <v>Unid.</v>
      </c>
      <c r="C355" s="275">
        <f>'🧾 Factura Comercial'!G359</f>
        <v>0</v>
      </c>
      <c r="D355" s="276">
        <f>'🧾 Factura Comercial'!H359</f>
        <v>0</v>
      </c>
      <c r="E355" s="276">
        <f>'🧾 Factura Comercial'!I359</f>
        <v>0</v>
      </c>
      <c r="F355" s="277">
        <f>IF('🧾 Tributos Aduana'!$F$6=0,0,'🧾 Factura Comercial'!I359/'🧾 Tributos Aduana'!$F$6)</f>
        <v>0</v>
      </c>
      <c r="G355" s="278">
        <f>'🧾 Factura Comercial'!H359*'📋 Datos Generales'!$E$19</f>
        <v>0</v>
      </c>
      <c r="H355" s="278">
        <f>TABLA_BASE[[#This Row],[FOB UNIT.
(S/.)]]*TABLA_BASE[[#This Row],[CANTIDAD
(unid.)]]</f>
        <v>0</v>
      </c>
      <c r="I355" s="280">
        <f>IF('🧾 Tributos Aduana'!$F$6=0,0,'🧾 Tributos Aduana'!$F$17*('🧾 Factura Comercial'!H359/'🧾 Tributos Aduana'!$F$6))</f>
        <v>0</v>
      </c>
      <c r="J355" s="280">
        <f>TABLA_BASE[[#This Row],[ADV UNIT.
(US$)
⚠️COSTO]]*TABLA_BASE[[#This Row],[CANTIDAD
(unid.)]]</f>
        <v>0</v>
      </c>
      <c r="K355" s="279">
        <f>IF('🧾 Tributos Aduana'!$F$6=0,0,'🧾 Tributos Aduana'!$F$18*('🧾 Factura Comercial'!H359/'🧾 Tributos Aduana'!$F$6))</f>
        <v>0</v>
      </c>
      <c r="L355" s="280">
        <f>TABLA_BASE[[#This Row],[IPM UNIT.
(US$)
✅CF]]*TABLA_BASE[[#This Row],[CANTIDAD
(unid.)]]</f>
        <v>0</v>
      </c>
      <c r="M355" s="279">
        <f>IF('🧾 Tributos Aduana'!$F$6=0,0,'🧾 Tributos Aduana'!$F$19*('🧾 Factura Comercial'!H359/'🧾 Tributos Aduana'!$F$6))</f>
        <v>0</v>
      </c>
      <c r="N355" s="280">
        <f>TABLA_BASE[[#This Row],[IGV UNIT.
(US$)
✅CF]]*TABLA_BASE[[#This Row],[CANTIDAD
(unid.)]]</f>
        <v>0</v>
      </c>
      <c r="O355" s="280">
        <f>IF('🧾 Tributos Aduana'!$F$6=0,0,'🧾 Tributos Aduana'!$F$23*('🧾 Factura Comercial'!H359/'🧾 Tributos Aduana'!$F$6))</f>
        <v>0</v>
      </c>
      <c r="P355" s="280">
        <f>TABLA_BASE[[#This Row],[PERCEP.
UNIT.(US$)
✅CF]]*TABLA_BASE[[#This Row],[CANTIDAD
(unid.)]]</f>
        <v>0</v>
      </c>
      <c r="Q355" s="279">
        <f>TABLA_BASE[[#This Row],[ADV UNIT.
(US$)
⚠️COSTO]]+TABLA_BASE[[#This Row],[IPM UNIT.
(US$)
✅CF]]+TABLA_BASE[[#This Row],[IGV UNIT.
(US$)
✅CF]]</f>
        <v>0</v>
      </c>
      <c r="R355" s="280">
        <f>TABLA_BASE[[#This Row],[DEUDA
ADUANERA
UNIT.]]*TABLA_BASE[[#This Row],[CANTIDAD
(unid.)]]</f>
        <v>0</v>
      </c>
      <c r="S355" s="278">
        <f>TABLA_BASE[[#This Row],[DEUDA
ADUANERA
UNIT.]]*'📋 Datos Generales'!$E$19</f>
        <v>0</v>
      </c>
      <c r="T355" s="278">
        <f>TABLA_BASE[[#This Row],[DEUDA
ADUANERA
TOTAL]]*'📋 Datos Generales'!$E$19</f>
        <v>0</v>
      </c>
      <c r="U355" s="281">
        <f>TABLA_BASE[[#This Row],[ADV UNIT.
(US$)
⚠️COSTO]]*'📋 Datos Generales'!$E$19</f>
        <v>0</v>
      </c>
      <c r="V355" s="281">
        <f>TABLA_BASE[[#This Row],[ADV UNIT.
(S/.)]]*TABLA_BASE[[#This Row],[CANTIDAD
(unid.)]]</f>
        <v>0</v>
      </c>
      <c r="W355" s="281">
        <f>TABLA_BASE[[#This Row],[IPM UNIT.
(US$)
✅CF]]*'📋 Datos Generales'!$E$19</f>
        <v>0</v>
      </c>
      <c r="X355" s="281">
        <f>TABLA_BASE[[#This Row],[IPM UNIT.
(S/.)]]*TABLA_BASE[[#This Row],[CANTIDAD
(unid.)]]</f>
        <v>0</v>
      </c>
      <c r="Y355" s="281">
        <f>TABLA_BASE[[#This Row],[IGV UNIT.
(US$)
✅CF]]*'📋 Datos Generales'!$E$19</f>
        <v>0</v>
      </c>
      <c r="Z355" s="281">
        <f>TABLA_BASE[[#This Row],[IGV UNIT.
(S/.)]]*TABLA_BASE[[#This Row],[CANTIDAD
(unid.)]]</f>
        <v>0</v>
      </c>
      <c r="AA355" s="281">
        <f>TABLA_BASE[[#This Row],[PERCEP.
UNIT.(US$)
✅CF]]*'📋 Datos Generales'!$E$19</f>
        <v>0</v>
      </c>
      <c r="AB355" s="281">
        <f>TABLA_BASE[[#This Row],[PERCEP.
UNIT.(S/.)]]*TABLA_BASE[[#This Row],[CANTIDAD
(unid.)]]</f>
        <v>0</v>
      </c>
      <c r="AC355" s="279">
        <f>TABLA_BASE[[#This Row],[ADV UNIT.
(US$)
⚠️COSTO]]+TABLA_BASE[[#This Row],[IPM UNIT.
(US$)
✅CF]]+TABLA_BASE[[#This Row],[IGV UNIT.
(US$)
✅CF]]+TABLA_BASE[[#This Row],[PERCEP.
UNIT.(US$)
✅CF]]</f>
        <v>0</v>
      </c>
      <c r="AD355" s="279">
        <f>TABLA_BASE[[#This Row],[TOTAL PAGO
SUNAT
UNIT.(US$)]]*TABLA_BASE[[#This Row],[CANTIDAD
(unid.)]]</f>
        <v>0</v>
      </c>
      <c r="AE355" s="281">
        <f>TABLA_BASE[[#This Row],[TOTAL PAGO
SUNAT
UNIT.(US$)]]*'📋 Datos Generales'!$E$19</f>
        <v>0</v>
      </c>
      <c r="AF355" s="281">
        <f>TABLA_BASE[[#This Row],[TOTAL TRIB.
UNIT.(S/.)]]*TABLA_BASE[[#This Row],[CANTIDAD
(unid.)]]</f>
        <v>0</v>
      </c>
      <c r="AG355" s="279">
        <f>IF('🧾 Factura Comercial'!G359=0,0,'📦 Gastos Importación'!$E$28*(IF('🧾 Tributos Aduana'!$F$6=0,0,'🧾 Factura Comercial'!I359/'🧾 Tributos Aduana'!$F$6))/'🧾 Factura Comercial'!G359)</f>
        <v>0</v>
      </c>
      <c r="AH355" s="279">
        <f>TABLA_BASE[[#This Row],[GASTOS IMP.
UNIT.(US$)]]*TABLA_BASE[[#This Row],[CANTIDAD
(unid.)]]</f>
        <v>0</v>
      </c>
      <c r="AI355" s="281">
        <f>TABLA_BASE[[#This Row],[GASTOS IMP.
UNIT.(US$)]]*'📋 Datos Generales'!$E$19</f>
        <v>0</v>
      </c>
      <c r="AJ355" s="281">
        <f>TABLA_BASE[[#This Row],[GASTOS IMP.
UNIT.(S/.)]]*TABLA_BASE[[#This Row],[CANTIDAD
(unid.)]]</f>
        <v>0</v>
      </c>
      <c r="AK355" s="280">
        <f>'🧮 Costos x Producto'!J359</f>
        <v>0</v>
      </c>
      <c r="AL355" s="278">
        <f>'🧮 Costos x Producto'!K359</f>
        <v>0</v>
      </c>
      <c r="AM355" s="278">
        <f>TABLA_BASE[[#This Row],[C/M UNIT.
(S/.)]]*TABLA_BASE[[#This Row],[CANTIDAD
(unid.)]]</f>
        <v>0</v>
      </c>
      <c r="AN355" s="279">
        <f>IF('🧾 Factura Comercial'!G359=0,0,'🧾 Tributos Aduana'!$F$17*(IF('🧾 Tributos Aduana'!$F$6=0,0,'🧾 Factura Comercial'!I359/'🧾 Tributos Aduana'!$F$6))/'🧾 Factura Comercial'!G359)</f>
        <v>0</v>
      </c>
      <c r="AO355" s="280">
        <f>IF('🧾 Factura Comercial'!G359=0,0,'🏦 Crédito Fiscal'!$C$16*(IF('🧾 Tributos Aduana'!$F$6=0,0,'🧾 Factura Comercial'!I359/'🧾 Tributos Aduana'!$F$6))/'🧾 Factura Comercial'!G359)</f>
        <v>0</v>
      </c>
      <c r="AP355" s="278">
        <f>TABLA_BASE[[#This Row],[CF UNIT.
✅RECUP.
(US$)]]*'📋 Datos Generales'!$E$19</f>
        <v>0</v>
      </c>
      <c r="AQ355" s="278">
        <f>TABLA_BASE[[#This Row],[CF UNIT.
✅RECUP.(S/.)]]*TABLA_BASE[[#This Row],[CANTIDAD
(unid.)]]</f>
        <v>0</v>
      </c>
      <c r="AR355" s="288">
        <f>'💰 Precio de Venta'!G360</f>
        <v>0.4</v>
      </c>
      <c r="AS355" s="278">
        <f>'💰 Precio de Venta'!H360</f>
        <v>0</v>
      </c>
      <c r="AT355" s="278">
        <f>TABLA_BASE[[#This Row],[VALOR VTA.
UNIT.(S/.)]]*TABLA_BASE[[#This Row],[CANTIDAD
(unid.)]]</f>
        <v>0</v>
      </c>
      <c r="AU355" s="281">
        <f>'💰 Precio de Venta'!I360</f>
        <v>0</v>
      </c>
      <c r="AV355" s="278">
        <f>'💰 Precio de Venta'!J360</f>
        <v>0</v>
      </c>
      <c r="AW355" s="278">
        <f>TABLA_BASE[[#This Row],[GANANCIA
UNIT.(S/.)]]*TABLA_BASE[[#This Row],[CANTIDAD
(unid.)]]</f>
        <v>0</v>
      </c>
      <c r="AX355" s="289">
        <f>'💰 Precio de Venta'!K360</f>
        <v>0</v>
      </c>
      <c r="AY355" s="278">
        <f>TABLA_BASE[[#This Row],[GANANCIA
UNIT.(S/.)]]*'🧾 Factura Comercial'!G359</f>
        <v>0</v>
      </c>
      <c r="AZ355" s="277">
        <f>IF(TABLA_BASE[[#This Row],[PRECIO VTA.
c/IGV(S/.)]]=0,0,TABLA_BASE[[#This Row],[GANANCIA
UNIT.(S/.)]]/TABLA_BASE[[#This Row],[PRECIO VTA.
c/IGV(S/.)]])</f>
        <v>0</v>
      </c>
      <c r="BA355" s="277">
        <f>IF(TABLA_BASE[[#This Row],[C/M UNIT.
(S/.)]]=0,0,TABLA_BASE[[#This Row],[GANANCIA
UNIT.(S/.)]]/TABLA_BASE[[#This Row],[C/M UNIT.
(S/.)]])</f>
        <v>0</v>
      </c>
      <c r="BB355" s="274" t="str">
        <f>IF(TABLA_BASE[[#This Row],[MARGEN
%]]&gt;=0.5,"🟢 ALTO",IF(TABLA_BASE[[#This Row],[MARGEN
%]]&gt;=0.3,"🟡 MEDIO","🔴 BAJO"))</f>
        <v>🟡 MEDIO</v>
      </c>
    </row>
    <row r="356" spans="1:54" ht="16.5" hidden="1" thickTop="1" thickBot="1" x14ac:dyDescent="0.3">
      <c r="A356" s="274">
        <f>'🧾 Factura Comercial'!E360</f>
        <v>0</v>
      </c>
      <c r="B356" s="274" t="str">
        <f>'🧾 Factura Comercial'!F360</f>
        <v>Unid.</v>
      </c>
      <c r="C356" s="275">
        <f>'🧾 Factura Comercial'!G360</f>
        <v>0</v>
      </c>
      <c r="D356" s="276">
        <f>'🧾 Factura Comercial'!H360</f>
        <v>0</v>
      </c>
      <c r="E356" s="276">
        <f>'🧾 Factura Comercial'!I360</f>
        <v>0</v>
      </c>
      <c r="F356" s="277">
        <f>IF('🧾 Tributos Aduana'!$F$6=0,0,'🧾 Factura Comercial'!I360/'🧾 Tributos Aduana'!$F$6)</f>
        <v>0</v>
      </c>
      <c r="G356" s="278">
        <f>'🧾 Factura Comercial'!H360*'📋 Datos Generales'!$E$19</f>
        <v>0</v>
      </c>
      <c r="H356" s="278">
        <f>TABLA_BASE[[#This Row],[FOB UNIT.
(S/.)]]*TABLA_BASE[[#This Row],[CANTIDAD
(unid.)]]</f>
        <v>0</v>
      </c>
      <c r="I356" s="280">
        <f>IF('🧾 Tributos Aduana'!$F$6=0,0,'🧾 Tributos Aduana'!$F$17*('🧾 Factura Comercial'!H360/'🧾 Tributos Aduana'!$F$6))</f>
        <v>0</v>
      </c>
      <c r="J356" s="280">
        <f>TABLA_BASE[[#This Row],[ADV UNIT.
(US$)
⚠️COSTO]]*TABLA_BASE[[#This Row],[CANTIDAD
(unid.)]]</f>
        <v>0</v>
      </c>
      <c r="K356" s="279">
        <f>IF('🧾 Tributos Aduana'!$F$6=0,0,'🧾 Tributos Aduana'!$F$18*('🧾 Factura Comercial'!H360/'🧾 Tributos Aduana'!$F$6))</f>
        <v>0</v>
      </c>
      <c r="L356" s="280">
        <f>TABLA_BASE[[#This Row],[IPM UNIT.
(US$)
✅CF]]*TABLA_BASE[[#This Row],[CANTIDAD
(unid.)]]</f>
        <v>0</v>
      </c>
      <c r="M356" s="279">
        <f>IF('🧾 Tributos Aduana'!$F$6=0,0,'🧾 Tributos Aduana'!$F$19*('🧾 Factura Comercial'!H360/'🧾 Tributos Aduana'!$F$6))</f>
        <v>0</v>
      </c>
      <c r="N356" s="280">
        <f>TABLA_BASE[[#This Row],[IGV UNIT.
(US$)
✅CF]]*TABLA_BASE[[#This Row],[CANTIDAD
(unid.)]]</f>
        <v>0</v>
      </c>
      <c r="O356" s="280">
        <f>IF('🧾 Tributos Aduana'!$F$6=0,0,'🧾 Tributos Aduana'!$F$23*('🧾 Factura Comercial'!H360/'🧾 Tributos Aduana'!$F$6))</f>
        <v>0</v>
      </c>
      <c r="P356" s="280">
        <f>TABLA_BASE[[#This Row],[PERCEP.
UNIT.(US$)
✅CF]]*TABLA_BASE[[#This Row],[CANTIDAD
(unid.)]]</f>
        <v>0</v>
      </c>
      <c r="Q356" s="279">
        <f>TABLA_BASE[[#This Row],[ADV UNIT.
(US$)
⚠️COSTO]]+TABLA_BASE[[#This Row],[IPM UNIT.
(US$)
✅CF]]+TABLA_BASE[[#This Row],[IGV UNIT.
(US$)
✅CF]]</f>
        <v>0</v>
      </c>
      <c r="R356" s="280">
        <f>TABLA_BASE[[#This Row],[DEUDA
ADUANERA
UNIT.]]*TABLA_BASE[[#This Row],[CANTIDAD
(unid.)]]</f>
        <v>0</v>
      </c>
      <c r="S356" s="278">
        <f>TABLA_BASE[[#This Row],[DEUDA
ADUANERA
UNIT.]]*'📋 Datos Generales'!$E$19</f>
        <v>0</v>
      </c>
      <c r="T356" s="278">
        <f>TABLA_BASE[[#This Row],[DEUDA
ADUANERA
TOTAL]]*'📋 Datos Generales'!$E$19</f>
        <v>0</v>
      </c>
      <c r="U356" s="281">
        <f>TABLA_BASE[[#This Row],[ADV UNIT.
(US$)
⚠️COSTO]]*'📋 Datos Generales'!$E$19</f>
        <v>0</v>
      </c>
      <c r="V356" s="281">
        <f>TABLA_BASE[[#This Row],[ADV UNIT.
(S/.)]]*TABLA_BASE[[#This Row],[CANTIDAD
(unid.)]]</f>
        <v>0</v>
      </c>
      <c r="W356" s="281">
        <f>TABLA_BASE[[#This Row],[IPM UNIT.
(US$)
✅CF]]*'📋 Datos Generales'!$E$19</f>
        <v>0</v>
      </c>
      <c r="X356" s="281">
        <f>TABLA_BASE[[#This Row],[IPM UNIT.
(S/.)]]*TABLA_BASE[[#This Row],[CANTIDAD
(unid.)]]</f>
        <v>0</v>
      </c>
      <c r="Y356" s="281">
        <f>TABLA_BASE[[#This Row],[IGV UNIT.
(US$)
✅CF]]*'📋 Datos Generales'!$E$19</f>
        <v>0</v>
      </c>
      <c r="Z356" s="281">
        <f>TABLA_BASE[[#This Row],[IGV UNIT.
(S/.)]]*TABLA_BASE[[#This Row],[CANTIDAD
(unid.)]]</f>
        <v>0</v>
      </c>
      <c r="AA356" s="281">
        <f>TABLA_BASE[[#This Row],[PERCEP.
UNIT.(US$)
✅CF]]*'📋 Datos Generales'!$E$19</f>
        <v>0</v>
      </c>
      <c r="AB356" s="281">
        <f>TABLA_BASE[[#This Row],[PERCEP.
UNIT.(S/.)]]*TABLA_BASE[[#This Row],[CANTIDAD
(unid.)]]</f>
        <v>0</v>
      </c>
      <c r="AC356" s="279">
        <f>TABLA_BASE[[#This Row],[ADV UNIT.
(US$)
⚠️COSTO]]+TABLA_BASE[[#This Row],[IPM UNIT.
(US$)
✅CF]]+TABLA_BASE[[#This Row],[IGV UNIT.
(US$)
✅CF]]+TABLA_BASE[[#This Row],[PERCEP.
UNIT.(US$)
✅CF]]</f>
        <v>0</v>
      </c>
      <c r="AD356" s="279">
        <f>TABLA_BASE[[#This Row],[TOTAL PAGO
SUNAT
UNIT.(US$)]]*TABLA_BASE[[#This Row],[CANTIDAD
(unid.)]]</f>
        <v>0</v>
      </c>
      <c r="AE356" s="281">
        <f>TABLA_BASE[[#This Row],[TOTAL PAGO
SUNAT
UNIT.(US$)]]*'📋 Datos Generales'!$E$19</f>
        <v>0</v>
      </c>
      <c r="AF356" s="281">
        <f>TABLA_BASE[[#This Row],[TOTAL TRIB.
UNIT.(S/.)]]*TABLA_BASE[[#This Row],[CANTIDAD
(unid.)]]</f>
        <v>0</v>
      </c>
      <c r="AG356" s="279">
        <f>IF('🧾 Factura Comercial'!G360=0,0,'📦 Gastos Importación'!$E$28*(IF('🧾 Tributos Aduana'!$F$6=0,0,'🧾 Factura Comercial'!I360/'🧾 Tributos Aduana'!$F$6))/'🧾 Factura Comercial'!G360)</f>
        <v>0</v>
      </c>
      <c r="AH356" s="279">
        <f>TABLA_BASE[[#This Row],[GASTOS IMP.
UNIT.(US$)]]*TABLA_BASE[[#This Row],[CANTIDAD
(unid.)]]</f>
        <v>0</v>
      </c>
      <c r="AI356" s="281">
        <f>TABLA_BASE[[#This Row],[GASTOS IMP.
UNIT.(US$)]]*'📋 Datos Generales'!$E$19</f>
        <v>0</v>
      </c>
      <c r="AJ356" s="281">
        <f>TABLA_BASE[[#This Row],[GASTOS IMP.
UNIT.(S/.)]]*TABLA_BASE[[#This Row],[CANTIDAD
(unid.)]]</f>
        <v>0</v>
      </c>
      <c r="AK356" s="280">
        <f>'🧮 Costos x Producto'!J360</f>
        <v>0</v>
      </c>
      <c r="AL356" s="278">
        <f>'🧮 Costos x Producto'!K360</f>
        <v>0</v>
      </c>
      <c r="AM356" s="278">
        <f>TABLA_BASE[[#This Row],[C/M UNIT.
(S/.)]]*TABLA_BASE[[#This Row],[CANTIDAD
(unid.)]]</f>
        <v>0</v>
      </c>
      <c r="AN356" s="279">
        <f>IF('🧾 Factura Comercial'!G360=0,0,'🧾 Tributos Aduana'!$F$17*(IF('🧾 Tributos Aduana'!$F$6=0,0,'🧾 Factura Comercial'!I360/'🧾 Tributos Aduana'!$F$6))/'🧾 Factura Comercial'!G360)</f>
        <v>0</v>
      </c>
      <c r="AO356" s="280">
        <f>IF('🧾 Factura Comercial'!G360=0,0,'🏦 Crédito Fiscal'!$C$16*(IF('🧾 Tributos Aduana'!$F$6=0,0,'🧾 Factura Comercial'!I360/'🧾 Tributos Aduana'!$F$6))/'🧾 Factura Comercial'!G360)</f>
        <v>0</v>
      </c>
      <c r="AP356" s="278">
        <f>TABLA_BASE[[#This Row],[CF UNIT.
✅RECUP.
(US$)]]*'📋 Datos Generales'!$E$19</f>
        <v>0</v>
      </c>
      <c r="AQ356" s="278">
        <f>TABLA_BASE[[#This Row],[CF UNIT.
✅RECUP.(S/.)]]*TABLA_BASE[[#This Row],[CANTIDAD
(unid.)]]</f>
        <v>0</v>
      </c>
      <c r="AR356" s="288">
        <f>'💰 Precio de Venta'!G361</f>
        <v>0.4</v>
      </c>
      <c r="AS356" s="278">
        <f>'💰 Precio de Venta'!H361</f>
        <v>0</v>
      </c>
      <c r="AT356" s="278">
        <f>TABLA_BASE[[#This Row],[VALOR VTA.
UNIT.(S/.)]]*TABLA_BASE[[#This Row],[CANTIDAD
(unid.)]]</f>
        <v>0</v>
      </c>
      <c r="AU356" s="281">
        <f>'💰 Precio de Venta'!I361</f>
        <v>0</v>
      </c>
      <c r="AV356" s="278">
        <f>'💰 Precio de Venta'!J361</f>
        <v>0</v>
      </c>
      <c r="AW356" s="278">
        <f>TABLA_BASE[[#This Row],[GANANCIA
UNIT.(S/.)]]*TABLA_BASE[[#This Row],[CANTIDAD
(unid.)]]</f>
        <v>0</v>
      </c>
      <c r="AX356" s="289">
        <f>'💰 Precio de Venta'!K361</f>
        <v>0</v>
      </c>
      <c r="AY356" s="278">
        <f>TABLA_BASE[[#This Row],[GANANCIA
UNIT.(S/.)]]*'🧾 Factura Comercial'!G360</f>
        <v>0</v>
      </c>
      <c r="AZ356" s="277">
        <f>IF(TABLA_BASE[[#This Row],[PRECIO VTA.
c/IGV(S/.)]]=0,0,TABLA_BASE[[#This Row],[GANANCIA
UNIT.(S/.)]]/TABLA_BASE[[#This Row],[PRECIO VTA.
c/IGV(S/.)]])</f>
        <v>0</v>
      </c>
      <c r="BA356" s="277">
        <f>IF(TABLA_BASE[[#This Row],[C/M UNIT.
(S/.)]]=0,0,TABLA_BASE[[#This Row],[GANANCIA
UNIT.(S/.)]]/TABLA_BASE[[#This Row],[C/M UNIT.
(S/.)]])</f>
        <v>0</v>
      </c>
      <c r="BB356" s="274" t="str">
        <f>IF(TABLA_BASE[[#This Row],[MARGEN
%]]&gt;=0.5,"🟢 ALTO",IF(TABLA_BASE[[#This Row],[MARGEN
%]]&gt;=0.3,"🟡 MEDIO","🔴 BAJO"))</f>
        <v>🟡 MEDIO</v>
      </c>
    </row>
    <row r="357" spans="1:54" ht="16.5" hidden="1" thickTop="1" thickBot="1" x14ac:dyDescent="0.3">
      <c r="A357" s="274">
        <f>'🧾 Factura Comercial'!E361</f>
        <v>0</v>
      </c>
      <c r="B357" s="274" t="str">
        <f>'🧾 Factura Comercial'!F361</f>
        <v>Unid.</v>
      </c>
      <c r="C357" s="275">
        <f>'🧾 Factura Comercial'!G361</f>
        <v>0</v>
      </c>
      <c r="D357" s="276">
        <f>'🧾 Factura Comercial'!H361</f>
        <v>0</v>
      </c>
      <c r="E357" s="276">
        <f>'🧾 Factura Comercial'!I361</f>
        <v>0</v>
      </c>
      <c r="F357" s="277">
        <f>IF('🧾 Tributos Aduana'!$F$6=0,0,'🧾 Factura Comercial'!I361/'🧾 Tributos Aduana'!$F$6)</f>
        <v>0</v>
      </c>
      <c r="G357" s="278">
        <f>'🧾 Factura Comercial'!H361*'📋 Datos Generales'!$E$19</f>
        <v>0</v>
      </c>
      <c r="H357" s="278">
        <f>TABLA_BASE[[#This Row],[FOB UNIT.
(S/.)]]*TABLA_BASE[[#This Row],[CANTIDAD
(unid.)]]</f>
        <v>0</v>
      </c>
      <c r="I357" s="280">
        <f>IF('🧾 Tributos Aduana'!$F$6=0,0,'🧾 Tributos Aduana'!$F$17*('🧾 Factura Comercial'!H361/'🧾 Tributos Aduana'!$F$6))</f>
        <v>0</v>
      </c>
      <c r="J357" s="280">
        <f>TABLA_BASE[[#This Row],[ADV UNIT.
(US$)
⚠️COSTO]]*TABLA_BASE[[#This Row],[CANTIDAD
(unid.)]]</f>
        <v>0</v>
      </c>
      <c r="K357" s="279">
        <f>IF('🧾 Tributos Aduana'!$F$6=0,0,'🧾 Tributos Aduana'!$F$18*('🧾 Factura Comercial'!H361/'🧾 Tributos Aduana'!$F$6))</f>
        <v>0</v>
      </c>
      <c r="L357" s="280">
        <f>TABLA_BASE[[#This Row],[IPM UNIT.
(US$)
✅CF]]*TABLA_BASE[[#This Row],[CANTIDAD
(unid.)]]</f>
        <v>0</v>
      </c>
      <c r="M357" s="279">
        <f>IF('🧾 Tributos Aduana'!$F$6=0,0,'🧾 Tributos Aduana'!$F$19*('🧾 Factura Comercial'!H361/'🧾 Tributos Aduana'!$F$6))</f>
        <v>0</v>
      </c>
      <c r="N357" s="280">
        <f>TABLA_BASE[[#This Row],[IGV UNIT.
(US$)
✅CF]]*TABLA_BASE[[#This Row],[CANTIDAD
(unid.)]]</f>
        <v>0</v>
      </c>
      <c r="O357" s="280">
        <f>IF('🧾 Tributos Aduana'!$F$6=0,0,'🧾 Tributos Aduana'!$F$23*('🧾 Factura Comercial'!H361/'🧾 Tributos Aduana'!$F$6))</f>
        <v>0</v>
      </c>
      <c r="P357" s="280">
        <f>TABLA_BASE[[#This Row],[PERCEP.
UNIT.(US$)
✅CF]]*TABLA_BASE[[#This Row],[CANTIDAD
(unid.)]]</f>
        <v>0</v>
      </c>
      <c r="Q357" s="279">
        <f>TABLA_BASE[[#This Row],[ADV UNIT.
(US$)
⚠️COSTO]]+TABLA_BASE[[#This Row],[IPM UNIT.
(US$)
✅CF]]+TABLA_BASE[[#This Row],[IGV UNIT.
(US$)
✅CF]]</f>
        <v>0</v>
      </c>
      <c r="R357" s="280">
        <f>TABLA_BASE[[#This Row],[DEUDA
ADUANERA
UNIT.]]*TABLA_BASE[[#This Row],[CANTIDAD
(unid.)]]</f>
        <v>0</v>
      </c>
      <c r="S357" s="278">
        <f>TABLA_BASE[[#This Row],[DEUDA
ADUANERA
UNIT.]]*'📋 Datos Generales'!$E$19</f>
        <v>0</v>
      </c>
      <c r="T357" s="278">
        <f>TABLA_BASE[[#This Row],[DEUDA
ADUANERA
TOTAL]]*'📋 Datos Generales'!$E$19</f>
        <v>0</v>
      </c>
      <c r="U357" s="281">
        <f>TABLA_BASE[[#This Row],[ADV UNIT.
(US$)
⚠️COSTO]]*'📋 Datos Generales'!$E$19</f>
        <v>0</v>
      </c>
      <c r="V357" s="281">
        <f>TABLA_BASE[[#This Row],[ADV UNIT.
(S/.)]]*TABLA_BASE[[#This Row],[CANTIDAD
(unid.)]]</f>
        <v>0</v>
      </c>
      <c r="W357" s="281">
        <f>TABLA_BASE[[#This Row],[IPM UNIT.
(US$)
✅CF]]*'📋 Datos Generales'!$E$19</f>
        <v>0</v>
      </c>
      <c r="X357" s="281">
        <f>TABLA_BASE[[#This Row],[IPM UNIT.
(S/.)]]*TABLA_BASE[[#This Row],[CANTIDAD
(unid.)]]</f>
        <v>0</v>
      </c>
      <c r="Y357" s="281">
        <f>TABLA_BASE[[#This Row],[IGV UNIT.
(US$)
✅CF]]*'📋 Datos Generales'!$E$19</f>
        <v>0</v>
      </c>
      <c r="Z357" s="281">
        <f>TABLA_BASE[[#This Row],[IGV UNIT.
(S/.)]]*TABLA_BASE[[#This Row],[CANTIDAD
(unid.)]]</f>
        <v>0</v>
      </c>
      <c r="AA357" s="281">
        <f>TABLA_BASE[[#This Row],[PERCEP.
UNIT.(US$)
✅CF]]*'📋 Datos Generales'!$E$19</f>
        <v>0</v>
      </c>
      <c r="AB357" s="281">
        <f>TABLA_BASE[[#This Row],[PERCEP.
UNIT.(S/.)]]*TABLA_BASE[[#This Row],[CANTIDAD
(unid.)]]</f>
        <v>0</v>
      </c>
      <c r="AC357" s="279">
        <f>TABLA_BASE[[#This Row],[ADV UNIT.
(US$)
⚠️COSTO]]+TABLA_BASE[[#This Row],[IPM UNIT.
(US$)
✅CF]]+TABLA_BASE[[#This Row],[IGV UNIT.
(US$)
✅CF]]+TABLA_BASE[[#This Row],[PERCEP.
UNIT.(US$)
✅CF]]</f>
        <v>0</v>
      </c>
      <c r="AD357" s="279">
        <f>TABLA_BASE[[#This Row],[TOTAL PAGO
SUNAT
UNIT.(US$)]]*TABLA_BASE[[#This Row],[CANTIDAD
(unid.)]]</f>
        <v>0</v>
      </c>
      <c r="AE357" s="281">
        <f>TABLA_BASE[[#This Row],[TOTAL PAGO
SUNAT
UNIT.(US$)]]*'📋 Datos Generales'!$E$19</f>
        <v>0</v>
      </c>
      <c r="AF357" s="281">
        <f>TABLA_BASE[[#This Row],[TOTAL TRIB.
UNIT.(S/.)]]*TABLA_BASE[[#This Row],[CANTIDAD
(unid.)]]</f>
        <v>0</v>
      </c>
      <c r="AG357" s="279">
        <f>IF('🧾 Factura Comercial'!G361=0,0,'📦 Gastos Importación'!$E$28*(IF('🧾 Tributos Aduana'!$F$6=0,0,'🧾 Factura Comercial'!I361/'🧾 Tributos Aduana'!$F$6))/'🧾 Factura Comercial'!G361)</f>
        <v>0</v>
      </c>
      <c r="AH357" s="279">
        <f>TABLA_BASE[[#This Row],[GASTOS IMP.
UNIT.(US$)]]*TABLA_BASE[[#This Row],[CANTIDAD
(unid.)]]</f>
        <v>0</v>
      </c>
      <c r="AI357" s="281">
        <f>TABLA_BASE[[#This Row],[GASTOS IMP.
UNIT.(US$)]]*'📋 Datos Generales'!$E$19</f>
        <v>0</v>
      </c>
      <c r="AJ357" s="281">
        <f>TABLA_BASE[[#This Row],[GASTOS IMP.
UNIT.(S/.)]]*TABLA_BASE[[#This Row],[CANTIDAD
(unid.)]]</f>
        <v>0</v>
      </c>
      <c r="AK357" s="280">
        <f>'🧮 Costos x Producto'!J361</f>
        <v>0</v>
      </c>
      <c r="AL357" s="278">
        <f>'🧮 Costos x Producto'!K361</f>
        <v>0</v>
      </c>
      <c r="AM357" s="278">
        <f>TABLA_BASE[[#This Row],[C/M UNIT.
(S/.)]]*TABLA_BASE[[#This Row],[CANTIDAD
(unid.)]]</f>
        <v>0</v>
      </c>
      <c r="AN357" s="279">
        <f>IF('🧾 Factura Comercial'!G361=0,0,'🧾 Tributos Aduana'!$F$17*(IF('🧾 Tributos Aduana'!$F$6=0,0,'🧾 Factura Comercial'!I361/'🧾 Tributos Aduana'!$F$6))/'🧾 Factura Comercial'!G361)</f>
        <v>0</v>
      </c>
      <c r="AO357" s="280">
        <f>IF('🧾 Factura Comercial'!G361=0,0,'🏦 Crédito Fiscal'!$C$16*(IF('🧾 Tributos Aduana'!$F$6=0,0,'🧾 Factura Comercial'!I361/'🧾 Tributos Aduana'!$F$6))/'🧾 Factura Comercial'!G361)</f>
        <v>0</v>
      </c>
      <c r="AP357" s="278">
        <f>TABLA_BASE[[#This Row],[CF UNIT.
✅RECUP.
(US$)]]*'📋 Datos Generales'!$E$19</f>
        <v>0</v>
      </c>
      <c r="AQ357" s="278">
        <f>TABLA_BASE[[#This Row],[CF UNIT.
✅RECUP.(S/.)]]*TABLA_BASE[[#This Row],[CANTIDAD
(unid.)]]</f>
        <v>0</v>
      </c>
      <c r="AR357" s="288">
        <f>'💰 Precio de Venta'!G362</f>
        <v>0.4</v>
      </c>
      <c r="AS357" s="278">
        <f>'💰 Precio de Venta'!H362</f>
        <v>0</v>
      </c>
      <c r="AT357" s="278">
        <f>TABLA_BASE[[#This Row],[VALOR VTA.
UNIT.(S/.)]]*TABLA_BASE[[#This Row],[CANTIDAD
(unid.)]]</f>
        <v>0</v>
      </c>
      <c r="AU357" s="281">
        <f>'💰 Precio de Venta'!I362</f>
        <v>0</v>
      </c>
      <c r="AV357" s="278">
        <f>'💰 Precio de Venta'!J362</f>
        <v>0</v>
      </c>
      <c r="AW357" s="278">
        <f>TABLA_BASE[[#This Row],[GANANCIA
UNIT.(S/.)]]*TABLA_BASE[[#This Row],[CANTIDAD
(unid.)]]</f>
        <v>0</v>
      </c>
      <c r="AX357" s="289">
        <f>'💰 Precio de Venta'!K362</f>
        <v>0</v>
      </c>
      <c r="AY357" s="278">
        <f>TABLA_BASE[[#This Row],[GANANCIA
UNIT.(S/.)]]*'🧾 Factura Comercial'!G361</f>
        <v>0</v>
      </c>
      <c r="AZ357" s="277">
        <f>IF(TABLA_BASE[[#This Row],[PRECIO VTA.
c/IGV(S/.)]]=0,0,TABLA_BASE[[#This Row],[GANANCIA
UNIT.(S/.)]]/TABLA_BASE[[#This Row],[PRECIO VTA.
c/IGV(S/.)]])</f>
        <v>0</v>
      </c>
      <c r="BA357" s="277">
        <f>IF(TABLA_BASE[[#This Row],[C/M UNIT.
(S/.)]]=0,0,TABLA_BASE[[#This Row],[GANANCIA
UNIT.(S/.)]]/TABLA_BASE[[#This Row],[C/M UNIT.
(S/.)]])</f>
        <v>0</v>
      </c>
      <c r="BB357" s="274" t="str">
        <f>IF(TABLA_BASE[[#This Row],[MARGEN
%]]&gt;=0.5,"🟢 ALTO",IF(TABLA_BASE[[#This Row],[MARGEN
%]]&gt;=0.3,"🟡 MEDIO","🔴 BAJO"))</f>
        <v>🟡 MEDIO</v>
      </c>
    </row>
    <row r="358" spans="1:54" ht="16.5" hidden="1" thickTop="1" thickBot="1" x14ac:dyDescent="0.3">
      <c r="A358" s="274">
        <f>'🧾 Factura Comercial'!E362</f>
        <v>0</v>
      </c>
      <c r="B358" s="274" t="str">
        <f>'🧾 Factura Comercial'!F362</f>
        <v>Unid.</v>
      </c>
      <c r="C358" s="275">
        <f>'🧾 Factura Comercial'!G362</f>
        <v>0</v>
      </c>
      <c r="D358" s="276">
        <f>'🧾 Factura Comercial'!H362</f>
        <v>0</v>
      </c>
      <c r="E358" s="276">
        <f>'🧾 Factura Comercial'!I362</f>
        <v>0</v>
      </c>
      <c r="F358" s="277">
        <f>IF('🧾 Tributos Aduana'!$F$6=0,0,'🧾 Factura Comercial'!I362/'🧾 Tributos Aduana'!$F$6)</f>
        <v>0</v>
      </c>
      <c r="G358" s="278">
        <f>'🧾 Factura Comercial'!H362*'📋 Datos Generales'!$E$19</f>
        <v>0</v>
      </c>
      <c r="H358" s="278">
        <f>TABLA_BASE[[#This Row],[FOB UNIT.
(S/.)]]*TABLA_BASE[[#This Row],[CANTIDAD
(unid.)]]</f>
        <v>0</v>
      </c>
      <c r="I358" s="280">
        <f>IF('🧾 Tributos Aduana'!$F$6=0,0,'🧾 Tributos Aduana'!$F$17*('🧾 Factura Comercial'!H362/'🧾 Tributos Aduana'!$F$6))</f>
        <v>0</v>
      </c>
      <c r="J358" s="280">
        <f>TABLA_BASE[[#This Row],[ADV UNIT.
(US$)
⚠️COSTO]]*TABLA_BASE[[#This Row],[CANTIDAD
(unid.)]]</f>
        <v>0</v>
      </c>
      <c r="K358" s="279">
        <f>IF('🧾 Tributos Aduana'!$F$6=0,0,'🧾 Tributos Aduana'!$F$18*('🧾 Factura Comercial'!H362/'🧾 Tributos Aduana'!$F$6))</f>
        <v>0</v>
      </c>
      <c r="L358" s="280">
        <f>TABLA_BASE[[#This Row],[IPM UNIT.
(US$)
✅CF]]*TABLA_BASE[[#This Row],[CANTIDAD
(unid.)]]</f>
        <v>0</v>
      </c>
      <c r="M358" s="279">
        <f>IF('🧾 Tributos Aduana'!$F$6=0,0,'🧾 Tributos Aduana'!$F$19*('🧾 Factura Comercial'!H362/'🧾 Tributos Aduana'!$F$6))</f>
        <v>0</v>
      </c>
      <c r="N358" s="280">
        <f>TABLA_BASE[[#This Row],[IGV UNIT.
(US$)
✅CF]]*TABLA_BASE[[#This Row],[CANTIDAD
(unid.)]]</f>
        <v>0</v>
      </c>
      <c r="O358" s="280">
        <f>IF('🧾 Tributos Aduana'!$F$6=0,0,'🧾 Tributos Aduana'!$F$23*('🧾 Factura Comercial'!H362/'🧾 Tributos Aduana'!$F$6))</f>
        <v>0</v>
      </c>
      <c r="P358" s="280">
        <f>TABLA_BASE[[#This Row],[PERCEP.
UNIT.(US$)
✅CF]]*TABLA_BASE[[#This Row],[CANTIDAD
(unid.)]]</f>
        <v>0</v>
      </c>
      <c r="Q358" s="279">
        <f>TABLA_BASE[[#This Row],[ADV UNIT.
(US$)
⚠️COSTO]]+TABLA_BASE[[#This Row],[IPM UNIT.
(US$)
✅CF]]+TABLA_BASE[[#This Row],[IGV UNIT.
(US$)
✅CF]]</f>
        <v>0</v>
      </c>
      <c r="R358" s="280">
        <f>TABLA_BASE[[#This Row],[DEUDA
ADUANERA
UNIT.]]*TABLA_BASE[[#This Row],[CANTIDAD
(unid.)]]</f>
        <v>0</v>
      </c>
      <c r="S358" s="278">
        <f>TABLA_BASE[[#This Row],[DEUDA
ADUANERA
UNIT.]]*'📋 Datos Generales'!$E$19</f>
        <v>0</v>
      </c>
      <c r="T358" s="278">
        <f>TABLA_BASE[[#This Row],[DEUDA
ADUANERA
TOTAL]]*'📋 Datos Generales'!$E$19</f>
        <v>0</v>
      </c>
      <c r="U358" s="281">
        <f>TABLA_BASE[[#This Row],[ADV UNIT.
(US$)
⚠️COSTO]]*'📋 Datos Generales'!$E$19</f>
        <v>0</v>
      </c>
      <c r="V358" s="281">
        <f>TABLA_BASE[[#This Row],[ADV UNIT.
(S/.)]]*TABLA_BASE[[#This Row],[CANTIDAD
(unid.)]]</f>
        <v>0</v>
      </c>
      <c r="W358" s="281">
        <f>TABLA_BASE[[#This Row],[IPM UNIT.
(US$)
✅CF]]*'📋 Datos Generales'!$E$19</f>
        <v>0</v>
      </c>
      <c r="X358" s="281">
        <f>TABLA_BASE[[#This Row],[IPM UNIT.
(S/.)]]*TABLA_BASE[[#This Row],[CANTIDAD
(unid.)]]</f>
        <v>0</v>
      </c>
      <c r="Y358" s="281">
        <f>TABLA_BASE[[#This Row],[IGV UNIT.
(US$)
✅CF]]*'📋 Datos Generales'!$E$19</f>
        <v>0</v>
      </c>
      <c r="Z358" s="281">
        <f>TABLA_BASE[[#This Row],[IGV UNIT.
(S/.)]]*TABLA_BASE[[#This Row],[CANTIDAD
(unid.)]]</f>
        <v>0</v>
      </c>
      <c r="AA358" s="281">
        <f>TABLA_BASE[[#This Row],[PERCEP.
UNIT.(US$)
✅CF]]*'📋 Datos Generales'!$E$19</f>
        <v>0</v>
      </c>
      <c r="AB358" s="281">
        <f>TABLA_BASE[[#This Row],[PERCEP.
UNIT.(S/.)]]*TABLA_BASE[[#This Row],[CANTIDAD
(unid.)]]</f>
        <v>0</v>
      </c>
      <c r="AC358" s="279">
        <f>TABLA_BASE[[#This Row],[ADV UNIT.
(US$)
⚠️COSTO]]+TABLA_BASE[[#This Row],[IPM UNIT.
(US$)
✅CF]]+TABLA_BASE[[#This Row],[IGV UNIT.
(US$)
✅CF]]+TABLA_BASE[[#This Row],[PERCEP.
UNIT.(US$)
✅CF]]</f>
        <v>0</v>
      </c>
      <c r="AD358" s="279">
        <f>TABLA_BASE[[#This Row],[TOTAL PAGO
SUNAT
UNIT.(US$)]]*TABLA_BASE[[#This Row],[CANTIDAD
(unid.)]]</f>
        <v>0</v>
      </c>
      <c r="AE358" s="281">
        <f>TABLA_BASE[[#This Row],[TOTAL PAGO
SUNAT
UNIT.(US$)]]*'📋 Datos Generales'!$E$19</f>
        <v>0</v>
      </c>
      <c r="AF358" s="281">
        <f>TABLA_BASE[[#This Row],[TOTAL TRIB.
UNIT.(S/.)]]*TABLA_BASE[[#This Row],[CANTIDAD
(unid.)]]</f>
        <v>0</v>
      </c>
      <c r="AG358" s="279">
        <f>IF('🧾 Factura Comercial'!G362=0,0,'📦 Gastos Importación'!$E$28*(IF('🧾 Tributos Aduana'!$F$6=0,0,'🧾 Factura Comercial'!I362/'🧾 Tributos Aduana'!$F$6))/'🧾 Factura Comercial'!G362)</f>
        <v>0</v>
      </c>
      <c r="AH358" s="279">
        <f>TABLA_BASE[[#This Row],[GASTOS IMP.
UNIT.(US$)]]*TABLA_BASE[[#This Row],[CANTIDAD
(unid.)]]</f>
        <v>0</v>
      </c>
      <c r="AI358" s="281">
        <f>TABLA_BASE[[#This Row],[GASTOS IMP.
UNIT.(US$)]]*'📋 Datos Generales'!$E$19</f>
        <v>0</v>
      </c>
      <c r="AJ358" s="281">
        <f>TABLA_BASE[[#This Row],[GASTOS IMP.
UNIT.(S/.)]]*TABLA_BASE[[#This Row],[CANTIDAD
(unid.)]]</f>
        <v>0</v>
      </c>
      <c r="AK358" s="280">
        <f>'🧮 Costos x Producto'!J362</f>
        <v>0</v>
      </c>
      <c r="AL358" s="278">
        <f>'🧮 Costos x Producto'!K362</f>
        <v>0</v>
      </c>
      <c r="AM358" s="278">
        <f>TABLA_BASE[[#This Row],[C/M UNIT.
(S/.)]]*TABLA_BASE[[#This Row],[CANTIDAD
(unid.)]]</f>
        <v>0</v>
      </c>
      <c r="AN358" s="279">
        <f>IF('🧾 Factura Comercial'!G362=0,0,'🧾 Tributos Aduana'!$F$17*(IF('🧾 Tributos Aduana'!$F$6=0,0,'🧾 Factura Comercial'!I362/'🧾 Tributos Aduana'!$F$6))/'🧾 Factura Comercial'!G362)</f>
        <v>0</v>
      </c>
      <c r="AO358" s="280">
        <f>IF('🧾 Factura Comercial'!G362=0,0,'🏦 Crédito Fiscal'!$C$16*(IF('🧾 Tributos Aduana'!$F$6=0,0,'🧾 Factura Comercial'!I362/'🧾 Tributos Aduana'!$F$6))/'🧾 Factura Comercial'!G362)</f>
        <v>0</v>
      </c>
      <c r="AP358" s="278">
        <f>TABLA_BASE[[#This Row],[CF UNIT.
✅RECUP.
(US$)]]*'📋 Datos Generales'!$E$19</f>
        <v>0</v>
      </c>
      <c r="AQ358" s="278">
        <f>TABLA_BASE[[#This Row],[CF UNIT.
✅RECUP.(S/.)]]*TABLA_BASE[[#This Row],[CANTIDAD
(unid.)]]</f>
        <v>0</v>
      </c>
      <c r="AR358" s="288">
        <f>'💰 Precio de Venta'!G363</f>
        <v>0.4</v>
      </c>
      <c r="AS358" s="278">
        <f>'💰 Precio de Venta'!H363</f>
        <v>0</v>
      </c>
      <c r="AT358" s="278">
        <f>TABLA_BASE[[#This Row],[VALOR VTA.
UNIT.(S/.)]]*TABLA_BASE[[#This Row],[CANTIDAD
(unid.)]]</f>
        <v>0</v>
      </c>
      <c r="AU358" s="281">
        <f>'💰 Precio de Venta'!I363</f>
        <v>0</v>
      </c>
      <c r="AV358" s="278">
        <f>'💰 Precio de Venta'!J363</f>
        <v>0</v>
      </c>
      <c r="AW358" s="278">
        <f>TABLA_BASE[[#This Row],[GANANCIA
UNIT.(S/.)]]*TABLA_BASE[[#This Row],[CANTIDAD
(unid.)]]</f>
        <v>0</v>
      </c>
      <c r="AX358" s="289">
        <f>'💰 Precio de Venta'!K363</f>
        <v>0</v>
      </c>
      <c r="AY358" s="278">
        <f>TABLA_BASE[[#This Row],[GANANCIA
UNIT.(S/.)]]*'🧾 Factura Comercial'!G362</f>
        <v>0</v>
      </c>
      <c r="AZ358" s="277">
        <f>IF(TABLA_BASE[[#This Row],[PRECIO VTA.
c/IGV(S/.)]]=0,0,TABLA_BASE[[#This Row],[GANANCIA
UNIT.(S/.)]]/TABLA_BASE[[#This Row],[PRECIO VTA.
c/IGV(S/.)]])</f>
        <v>0</v>
      </c>
      <c r="BA358" s="277">
        <f>IF(TABLA_BASE[[#This Row],[C/M UNIT.
(S/.)]]=0,0,TABLA_BASE[[#This Row],[GANANCIA
UNIT.(S/.)]]/TABLA_BASE[[#This Row],[C/M UNIT.
(S/.)]])</f>
        <v>0</v>
      </c>
      <c r="BB358" s="274" t="str">
        <f>IF(TABLA_BASE[[#This Row],[MARGEN
%]]&gt;=0.5,"🟢 ALTO",IF(TABLA_BASE[[#This Row],[MARGEN
%]]&gt;=0.3,"🟡 MEDIO","🔴 BAJO"))</f>
        <v>🟡 MEDIO</v>
      </c>
    </row>
    <row r="359" spans="1:54" ht="16.5" hidden="1" thickTop="1" thickBot="1" x14ac:dyDescent="0.3">
      <c r="A359" s="274">
        <f>'🧾 Factura Comercial'!E363</f>
        <v>0</v>
      </c>
      <c r="B359" s="274" t="str">
        <f>'🧾 Factura Comercial'!F363</f>
        <v>Unid.</v>
      </c>
      <c r="C359" s="275">
        <f>'🧾 Factura Comercial'!G363</f>
        <v>0</v>
      </c>
      <c r="D359" s="276">
        <f>'🧾 Factura Comercial'!H363</f>
        <v>0</v>
      </c>
      <c r="E359" s="276">
        <f>'🧾 Factura Comercial'!I363</f>
        <v>0</v>
      </c>
      <c r="F359" s="277">
        <f>IF('🧾 Tributos Aduana'!$F$6=0,0,'🧾 Factura Comercial'!I363/'🧾 Tributos Aduana'!$F$6)</f>
        <v>0</v>
      </c>
      <c r="G359" s="278">
        <f>'🧾 Factura Comercial'!H363*'📋 Datos Generales'!$E$19</f>
        <v>0</v>
      </c>
      <c r="H359" s="278">
        <f>TABLA_BASE[[#This Row],[FOB UNIT.
(S/.)]]*TABLA_BASE[[#This Row],[CANTIDAD
(unid.)]]</f>
        <v>0</v>
      </c>
      <c r="I359" s="280">
        <f>IF('🧾 Tributos Aduana'!$F$6=0,0,'🧾 Tributos Aduana'!$F$17*('🧾 Factura Comercial'!H363/'🧾 Tributos Aduana'!$F$6))</f>
        <v>0</v>
      </c>
      <c r="J359" s="280">
        <f>TABLA_BASE[[#This Row],[ADV UNIT.
(US$)
⚠️COSTO]]*TABLA_BASE[[#This Row],[CANTIDAD
(unid.)]]</f>
        <v>0</v>
      </c>
      <c r="K359" s="279">
        <f>IF('🧾 Tributos Aduana'!$F$6=0,0,'🧾 Tributos Aduana'!$F$18*('🧾 Factura Comercial'!H363/'🧾 Tributos Aduana'!$F$6))</f>
        <v>0</v>
      </c>
      <c r="L359" s="280">
        <f>TABLA_BASE[[#This Row],[IPM UNIT.
(US$)
✅CF]]*TABLA_BASE[[#This Row],[CANTIDAD
(unid.)]]</f>
        <v>0</v>
      </c>
      <c r="M359" s="279">
        <f>IF('🧾 Tributos Aduana'!$F$6=0,0,'🧾 Tributos Aduana'!$F$19*('🧾 Factura Comercial'!H363/'🧾 Tributos Aduana'!$F$6))</f>
        <v>0</v>
      </c>
      <c r="N359" s="280">
        <f>TABLA_BASE[[#This Row],[IGV UNIT.
(US$)
✅CF]]*TABLA_BASE[[#This Row],[CANTIDAD
(unid.)]]</f>
        <v>0</v>
      </c>
      <c r="O359" s="280">
        <f>IF('🧾 Tributos Aduana'!$F$6=0,0,'🧾 Tributos Aduana'!$F$23*('🧾 Factura Comercial'!H363/'🧾 Tributos Aduana'!$F$6))</f>
        <v>0</v>
      </c>
      <c r="P359" s="280">
        <f>TABLA_BASE[[#This Row],[PERCEP.
UNIT.(US$)
✅CF]]*TABLA_BASE[[#This Row],[CANTIDAD
(unid.)]]</f>
        <v>0</v>
      </c>
      <c r="Q359" s="279">
        <f>TABLA_BASE[[#This Row],[ADV UNIT.
(US$)
⚠️COSTO]]+TABLA_BASE[[#This Row],[IPM UNIT.
(US$)
✅CF]]+TABLA_BASE[[#This Row],[IGV UNIT.
(US$)
✅CF]]</f>
        <v>0</v>
      </c>
      <c r="R359" s="280">
        <f>TABLA_BASE[[#This Row],[DEUDA
ADUANERA
UNIT.]]*TABLA_BASE[[#This Row],[CANTIDAD
(unid.)]]</f>
        <v>0</v>
      </c>
      <c r="S359" s="278">
        <f>TABLA_BASE[[#This Row],[DEUDA
ADUANERA
UNIT.]]*'📋 Datos Generales'!$E$19</f>
        <v>0</v>
      </c>
      <c r="T359" s="278">
        <f>TABLA_BASE[[#This Row],[DEUDA
ADUANERA
TOTAL]]*'📋 Datos Generales'!$E$19</f>
        <v>0</v>
      </c>
      <c r="U359" s="281">
        <f>TABLA_BASE[[#This Row],[ADV UNIT.
(US$)
⚠️COSTO]]*'📋 Datos Generales'!$E$19</f>
        <v>0</v>
      </c>
      <c r="V359" s="281">
        <f>TABLA_BASE[[#This Row],[ADV UNIT.
(S/.)]]*TABLA_BASE[[#This Row],[CANTIDAD
(unid.)]]</f>
        <v>0</v>
      </c>
      <c r="W359" s="281">
        <f>TABLA_BASE[[#This Row],[IPM UNIT.
(US$)
✅CF]]*'📋 Datos Generales'!$E$19</f>
        <v>0</v>
      </c>
      <c r="X359" s="281">
        <f>TABLA_BASE[[#This Row],[IPM UNIT.
(S/.)]]*TABLA_BASE[[#This Row],[CANTIDAD
(unid.)]]</f>
        <v>0</v>
      </c>
      <c r="Y359" s="281">
        <f>TABLA_BASE[[#This Row],[IGV UNIT.
(US$)
✅CF]]*'📋 Datos Generales'!$E$19</f>
        <v>0</v>
      </c>
      <c r="Z359" s="281">
        <f>TABLA_BASE[[#This Row],[IGV UNIT.
(S/.)]]*TABLA_BASE[[#This Row],[CANTIDAD
(unid.)]]</f>
        <v>0</v>
      </c>
      <c r="AA359" s="281">
        <f>TABLA_BASE[[#This Row],[PERCEP.
UNIT.(US$)
✅CF]]*'📋 Datos Generales'!$E$19</f>
        <v>0</v>
      </c>
      <c r="AB359" s="281">
        <f>TABLA_BASE[[#This Row],[PERCEP.
UNIT.(S/.)]]*TABLA_BASE[[#This Row],[CANTIDAD
(unid.)]]</f>
        <v>0</v>
      </c>
      <c r="AC359" s="279">
        <f>TABLA_BASE[[#This Row],[ADV UNIT.
(US$)
⚠️COSTO]]+TABLA_BASE[[#This Row],[IPM UNIT.
(US$)
✅CF]]+TABLA_BASE[[#This Row],[IGV UNIT.
(US$)
✅CF]]+TABLA_BASE[[#This Row],[PERCEP.
UNIT.(US$)
✅CF]]</f>
        <v>0</v>
      </c>
      <c r="AD359" s="279">
        <f>TABLA_BASE[[#This Row],[TOTAL PAGO
SUNAT
UNIT.(US$)]]*TABLA_BASE[[#This Row],[CANTIDAD
(unid.)]]</f>
        <v>0</v>
      </c>
      <c r="AE359" s="281">
        <f>TABLA_BASE[[#This Row],[TOTAL PAGO
SUNAT
UNIT.(US$)]]*'📋 Datos Generales'!$E$19</f>
        <v>0</v>
      </c>
      <c r="AF359" s="281">
        <f>TABLA_BASE[[#This Row],[TOTAL TRIB.
UNIT.(S/.)]]*TABLA_BASE[[#This Row],[CANTIDAD
(unid.)]]</f>
        <v>0</v>
      </c>
      <c r="AG359" s="279">
        <f>IF('🧾 Factura Comercial'!G363=0,0,'📦 Gastos Importación'!$E$28*(IF('🧾 Tributos Aduana'!$F$6=0,0,'🧾 Factura Comercial'!I363/'🧾 Tributos Aduana'!$F$6))/'🧾 Factura Comercial'!G363)</f>
        <v>0</v>
      </c>
      <c r="AH359" s="279">
        <f>TABLA_BASE[[#This Row],[GASTOS IMP.
UNIT.(US$)]]*TABLA_BASE[[#This Row],[CANTIDAD
(unid.)]]</f>
        <v>0</v>
      </c>
      <c r="AI359" s="281">
        <f>TABLA_BASE[[#This Row],[GASTOS IMP.
UNIT.(US$)]]*'📋 Datos Generales'!$E$19</f>
        <v>0</v>
      </c>
      <c r="AJ359" s="281">
        <f>TABLA_BASE[[#This Row],[GASTOS IMP.
UNIT.(S/.)]]*TABLA_BASE[[#This Row],[CANTIDAD
(unid.)]]</f>
        <v>0</v>
      </c>
      <c r="AK359" s="280">
        <f>'🧮 Costos x Producto'!J363</f>
        <v>0</v>
      </c>
      <c r="AL359" s="278">
        <f>'🧮 Costos x Producto'!K363</f>
        <v>0</v>
      </c>
      <c r="AM359" s="278">
        <f>TABLA_BASE[[#This Row],[C/M UNIT.
(S/.)]]*TABLA_BASE[[#This Row],[CANTIDAD
(unid.)]]</f>
        <v>0</v>
      </c>
      <c r="AN359" s="279">
        <f>IF('🧾 Factura Comercial'!G363=0,0,'🧾 Tributos Aduana'!$F$17*(IF('🧾 Tributos Aduana'!$F$6=0,0,'🧾 Factura Comercial'!I363/'🧾 Tributos Aduana'!$F$6))/'🧾 Factura Comercial'!G363)</f>
        <v>0</v>
      </c>
      <c r="AO359" s="280">
        <f>IF('🧾 Factura Comercial'!G363=0,0,'🏦 Crédito Fiscal'!$C$16*(IF('🧾 Tributos Aduana'!$F$6=0,0,'🧾 Factura Comercial'!I363/'🧾 Tributos Aduana'!$F$6))/'🧾 Factura Comercial'!G363)</f>
        <v>0</v>
      </c>
      <c r="AP359" s="278">
        <f>TABLA_BASE[[#This Row],[CF UNIT.
✅RECUP.
(US$)]]*'📋 Datos Generales'!$E$19</f>
        <v>0</v>
      </c>
      <c r="AQ359" s="278">
        <f>TABLA_BASE[[#This Row],[CF UNIT.
✅RECUP.(S/.)]]*TABLA_BASE[[#This Row],[CANTIDAD
(unid.)]]</f>
        <v>0</v>
      </c>
      <c r="AR359" s="288">
        <f>'💰 Precio de Venta'!G364</f>
        <v>0.4</v>
      </c>
      <c r="AS359" s="278">
        <f>'💰 Precio de Venta'!H364</f>
        <v>0</v>
      </c>
      <c r="AT359" s="278">
        <f>TABLA_BASE[[#This Row],[VALOR VTA.
UNIT.(S/.)]]*TABLA_BASE[[#This Row],[CANTIDAD
(unid.)]]</f>
        <v>0</v>
      </c>
      <c r="AU359" s="281">
        <f>'💰 Precio de Venta'!I364</f>
        <v>0</v>
      </c>
      <c r="AV359" s="278">
        <f>'💰 Precio de Venta'!J364</f>
        <v>0</v>
      </c>
      <c r="AW359" s="278">
        <f>TABLA_BASE[[#This Row],[GANANCIA
UNIT.(S/.)]]*TABLA_BASE[[#This Row],[CANTIDAD
(unid.)]]</f>
        <v>0</v>
      </c>
      <c r="AX359" s="289">
        <f>'💰 Precio de Venta'!K364</f>
        <v>0</v>
      </c>
      <c r="AY359" s="278">
        <f>TABLA_BASE[[#This Row],[GANANCIA
UNIT.(S/.)]]*'🧾 Factura Comercial'!G363</f>
        <v>0</v>
      </c>
      <c r="AZ359" s="277">
        <f>IF(TABLA_BASE[[#This Row],[PRECIO VTA.
c/IGV(S/.)]]=0,0,TABLA_BASE[[#This Row],[GANANCIA
UNIT.(S/.)]]/TABLA_BASE[[#This Row],[PRECIO VTA.
c/IGV(S/.)]])</f>
        <v>0</v>
      </c>
      <c r="BA359" s="277">
        <f>IF(TABLA_BASE[[#This Row],[C/M UNIT.
(S/.)]]=0,0,TABLA_BASE[[#This Row],[GANANCIA
UNIT.(S/.)]]/TABLA_BASE[[#This Row],[C/M UNIT.
(S/.)]])</f>
        <v>0</v>
      </c>
      <c r="BB359" s="274" t="str">
        <f>IF(TABLA_BASE[[#This Row],[MARGEN
%]]&gt;=0.5,"🟢 ALTO",IF(TABLA_BASE[[#This Row],[MARGEN
%]]&gt;=0.3,"🟡 MEDIO","🔴 BAJO"))</f>
        <v>🟡 MEDIO</v>
      </c>
    </row>
    <row r="360" spans="1:54" ht="16.5" hidden="1" thickTop="1" thickBot="1" x14ac:dyDescent="0.3">
      <c r="A360" s="274">
        <f>'🧾 Factura Comercial'!E364</f>
        <v>0</v>
      </c>
      <c r="B360" s="274" t="str">
        <f>'🧾 Factura Comercial'!F364</f>
        <v>Unid.</v>
      </c>
      <c r="C360" s="275">
        <f>'🧾 Factura Comercial'!G364</f>
        <v>0</v>
      </c>
      <c r="D360" s="276">
        <f>'🧾 Factura Comercial'!H364</f>
        <v>0</v>
      </c>
      <c r="E360" s="276">
        <f>'🧾 Factura Comercial'!I364</f>
        <v>0</v>
      </c>
      <c r="F360" s="277">
        <f>IF('🧾 Tributos Aduana'!$F$6=0,0,'🧾 Factura Comercial'!I364/'🧾 Tributos Aduana'!$F$6)</f>
        <v>0</v>
      </c>
      <c r="G360" s="278">
        <f>'🧾 Factura Comercial'!H364*'📋 Datos Generales'!$E$19</f>
        <v>0</v>
      </c>
      <c r="H360" s="278">
        <f>TABLA_BASE[[#This Row],[FOB UNIT.
(S/.)]]*TABLA_BASE[[#This Row],[CANTIDAD
(unid.)]]</f>
        <v>0</v>
      </c>
      <c r="I360" s="280">
        <f>IF('🧾 Tributos Aduana'!$F$6=0,0,'🧾 Tributos Aduana'!$F$17*('🧾 Factura Comercial'!H364/'🧾 Tributos Aduana'!$F$6))</f>
        <v>0</v>
      </c>
      <c r="J360" s="280">
        <f>TABLA_BASE[[#This Row],[ADV UNIT.
(US$)
⚠️COSTO]]*TABLA_BASE[[#This Row],[CANTIDAD
(unid.)]]</f>
        <v>0</v>
      </c>
      <c r="K360" s="279">
        <f>IF('🧾 Tributos Aduana'!$F$6=0,0,'🧾 Tributos Aduana'!$F$18*('🧾 Factura Comercial'!H364/'🧾 Tributos Aduana'!$F$6))</f>
        <v>0</v>
      </c>
      <c r="L360" s="280">
        <f>TABLA_BASE[[#This Row],[IPM UNIT.
(US$)
✅CF]]*TABLA_BASE[[#This Row],[CANTIDAD
(unid.)]]</f>
        <v>0</v>
      </c>
      <c r="M360" s="279">
        <f>IF('🧾 Tributos Aduana'!$F$6=0,0,'🧾 Tributos Aduana'!$F$19*('🧾 Factura Comercial'!H364/'🧾 Tributos Aduana'!$F$6))</f>
        <v>0</v>
      </c>
      <c r="N360" s="280">
        <f>TABLA_BASE[[#This Row],[IGV UNIT.
(US$)
✅CF]]*TABLA_BASE[[#This Row],[CANTIDAD
(unid.)]]</f>
        <v>0</v>
      </c>
      <c r="O360" s="280">
        <f>IF('🧾 Tributos Aduana'!$F$6=0,0,'🧾 Tributos Aduana'!$F$23*('🧾 Factura Comercial'!H364/'🧾 Tributos Aduana'!$F$6))</f>
        <v>0</v>
      </c>
      <c r="P360" s="280">
        <f>TABLA_BASE[[#This Row],[PERCEP.
UNIT.(US$)
✅CF]]*TABLA_BASE[[#This Row],[CANTIDAD
(unid.)]]</f>
        <v>0</v>
      </c>
      <c r="Q360" s="279">
        <f>TABLA_BASE[[#This Row],[ADV UNIT.
(US$)
⚠️COSTO]]+TABLA_BASE[[#This Row],[IPM UNIT.
(US$)
✅CF]]+TABLA_BASE[[#This Row],[IGV UNIT.
(US$)
✅CF]]</f>
        <v>0</v>
      </c>
      <c r="R360" s="280">
        <f>TABLA_BASE[[#This Row],[DEUDA
ADUANERA
UNIT.]]*TABLA_BASE[[#This Row],[CANTIDAD
(unid.)]]</f>
        <v>0</v>
      </c>
      <c r="S360" s="278">
        <f>TABLA_BASE[[#This Row],[DEUDA
ADUANERA
UNIT.]]*'📋 Datos Generales'!$E$19</f>
        <v>0</v>
      </c>
      <c r="T360" s="278">
        <f>TABLA_BASE[[#This Row],[DEUDA
ADUANERA
TOTAL]]*'📋 Datos Generales'!$E$19</f>
        <v>0</v>
      </c>
      <c r="U360" s="281">
        <f>TABLA_BASE[[#This Row],[ADV UNIT.
(US$)
⚠️COSTO]]*'📋 Datos Generales'!$E$19</f>
        <v>0</v>
      </c>
      <c r="V360" s="281">
        <f>TABLA_BASE[[#This Row],[ADV UNIT.
(S/.)]]*TABLA_BASE[[#This Row],[CANTIDAD
(unid.)]]</f>
        <v>0</v>
      </c>
      <c r="W360" s="281">
        <f>TABLA_BASE[[#This Row],[IPM UNIT.
(US$)
✅CF]]*'📋 Datos Generales'!$E$19</f>
        <v>0</v>
      </c>
      <c r="X360" s="281">
        <f>TABLA_BASE[[#This Row],[IPM UNIT.
(S/.)]]*TABLA_BASE[[#This Row],[CANTIDAD
(unid.)]]</f>
        <v>0</v>
      </c>
      <c r="Y360" s="281">
        <f>TABLA_BASE[[#This Row],[IGV UNIT.
(US$)
✅CF]]*'📋 Datos Generales'!$E$19</f>
        <v>0</v>
      </c>
      <c r="Z360" s="281">
        <f>TABLA_BASE[[#This Row],[IGV UNIT.
(S/.)]]*TABLA_BASE[[#This Row],[CANTIDAD
(unid.)]]</f>
        <v>0</v>
      </c>
      <c r="AA360" s="281">
        <f>TABLA_BASE[[#This Row],[PERCEP.
UNIT.(US$)
✅CF]]*'📋 Datos Generales'!$E$19</f>
        <v>0</v>
      </c>
      <c r="AB360" s="281">
        <f>TABLA_BASE[[#This Row],[PERCEP.
UNIT.(S/.)]]*TABLA_BASE[[#This Row],[CANTIDAD
(unid.)]]</f>
        <v>0</v>
      </c>
      <c r="AC360" s="279">
        <f>TABLA_BASE[[#This Row],[ADV UNIT.
(US$)
⚠️COSTO]]+TABLA_BASE[[#This Row],[IPM UNIT.
(US$)
✅CF]]+TABLA_BASE[[#This Row],[IGV UNIT.
(US$)
✅CF]]+TABLA_BASE[[#This Row],[PERCEP.
UNIT.(US$)
✅CF]]</f>
        <v>0</v>
      </c>
      <c r="AD360" s="279">
        <f>TABLA_BASE[[#This Row],[TOTAL PAGO
SUNAT
UNIT.(US$)]]*TABLA_BASE[[#This Row],[CANTIDAD
(unid.)]]</f>
        <v>0</v>
      </c>
      <c r="AE360" s="281">
        <f>TABLA_BASE[[#This Row],[TOTAL PAGO
SUNAT
UNIT.(US$)]]*'📋 Datos Generales'!$E$19</f>
        <v>0</v>
      </c>
      <c r="AF360" s="281">
        <f>TABLA_BASE[[#This Row],[TOTAL TRIB.
UNIT.(S/.)]]*TABLA_BASE[[#This Row],[CANTIDAD
(unid.)]]</f>
        <v>0</v>
      </c>
      <c r="AG360" s="279">
        <f>IF('🧾 Factura Comercial'!G364=0,0,'📦 Gastos Importación'!$E$28*(IF('🧾 Tributos Aduana'!$F$6=0,0,'🧾 Factura Comercial'!I364/'🧾 Tributos Aduana'!$F$6))/'🧾 Factura Comercial'!G364)</f>
        <v>0</v>
      </c>
      <c r="AH360" s="279">
        <f>TABLA_BASE[[#This Row],[GASTOS IMP.
UNIT.(US$)]]*TABLA_BASE[[#This Row],[CANTIDAD
(unid.)]]</f>
        <v>0</v>
      </c>
      <c r="AI360" s="281">
        <f>TABLA_BASE[[#This Row],[GASTOS IMP.
UNIT.(US$)]]*'📋 Datos Generales'!$E$19</f>
        <v>0</v>
      </c>
      <c r="AJ360" s="281">
        <f>TABLA_BASE[[#This Row],[GASTOS IMP.
UNIT.(S/.)]]*TABLA_BASE[[#This Row],[CANTIDAD
(unid.)]]</f>
        <v>0</v>
      </c>
      <c r="AK360" s="280">
        <f>'🧮 Costos x Producto'!J364</f>
        <v>0</v>
      </c>
      <c r="AL360" s="278">
        <f>'🧮 Costos x Producto'!K364</f>
        <v>0</v>
      </c>
      <c r="AM360" s="278">
        <f>TABLA_BASE[[#This Row],[C/M UNIT.
(S/.)]]*TABLA_BASE[[#This Row],[CANTIDAD
(unid.)]]</f>
        <v>0</v>
      </c>
      <c r="AN360" s="279">
        <f>IF('🧾 Factura Comercial'!G364=0,0,'🧾 Tributos Aduana'!$F$17*(IF('🧾 Tributos Aduana'!$F$6=0,0,'🧾 Factura Comercial'!I364/'🧾 Tributos Aduana'!$F$6))/'🧾 Factura Comercial'!G364)</f>
        <v>0</v>
      </c>
      <c r="AO360" s="280">
        <f>IF('🧾 Factura Comercial'!G364=0,0,'🏦 Crédito Fiscal'!$C$16*(IF('🧾 Tributos Aduana'!$F$6=0,0,'🧾 Factura Comercial'!I364/'🧾 Tributos Aduana'!$F$6))/'🧾 Factura Comercial'!G364)</f>
        <v>0</v>
      </c>
      <c r="AP360" s="278">
        <f>TABLA_BASE[[#This Row],[CF UNIT.
✅RECUP.
(US$)]]*'📋 Datos Generales'!$E$19</f>
        <v>0</v>
      </c>
      <c r="AQ360" s="278">
        <f>TABLA_BASE[[#This Row],[CF UNIT.
✅RECUP.(S/.)]]*TABLA_BASE[[#This Row],[CANTIDAD
(unid.)]]</f>
        <v>0</v>
      </c>
      <c r="AR360" s="288">
        <f>'💰 Precio de Venta'!G365</f>
        <v>0.4</v>
      </c>
      <c r="AS360" s="278">
        <f>'💰 Precio de Venta'!H365</f>
        <v>0</v>
      </c>
      <c r="AT360" s="278">
        <f>TABLA_BASE[[#This Row],[VALOR VTA.
UNIT.(S/.)]]*TABLA_BASE[[#This Row],[CANTIDAD
(unid.)]]</f>
        <v>0</v>
      </c>
      <c r="AU360" s="281">
        <f>'💰 Precio de Venta'!I365</f>
        <v>0</v>
      </c>
      <c r="AV360" s="278">
        <f>'💰 Precio de Venta'!J365</f>
        <v>0</v>
      </c>
      <c r="AW360" s="278">
        <f>TABLA_BASE[[#This Row],[GANANCIA
UNIT.(S/.)]]*TABLA_BASE[[#This Row],[CANTIDAD
(unid.)]]</f>
        <v>0</v>
      </c>
      <c r="AX360" s="289">
        <f>'💰 Precio de Venta'!K365</f>
        <v>0</v>
      </c>
      <c r="AY360" s="278">
        <f>TABLA_BASE[[#This Row],[GANANCIA
UNIT.(S/.)]]*'🧾 Factura Comercial'!G364</f>
        <v>0</v>
      </c>
      <c r="AZ360" s="277">
        <f>IF(TABLA_BASE[[#This Row],[PRECIO VTA.
c/IGV(S/.)]]=0,0,TABLA_BASE[[#This Row],[GANANCIA
UNIT.(S/.)]]/TABLA_BASE[[#This Row],[PRECIO VTA.
c/IGV(S/.)]])</f>
        <v>0</v>
      </c>
      <c r="BA360" s="277">
        <f>IF(TABLA_BASE[[#This Row],[C/M UNIT.
(S/.)]]=0,0,TABLA_BASE[[#This Row],[GANANCIA
UNIT.(S/.)]]/TABLA_BASE[[#This Row],[C/M UNIT.
(S/.)]])</f>
        <v>0</v>
      </c>
      <c r="BB360" s="274" t="str">
        <f>IF(TABLA_BASE[[#This Row],[MARGEN
%]]&gt;=0.5,"🟢 ALTO",IF(TABLA_BASE[[#This Row],[MARGEN
%]]&gt;=0.3,"🟡 MEDIO","🔴 BAJO"))</f>
        <v>🟡 MEDIO</v>
      </c>
    </row>
    <row r="361" spans="1:54" ht="16.5" hidden="1" thickTop="1" thickBot="1" x14ac:dyDescent="0.3">
      <c r="A361" s="274">
        <f>'🧾 Factura Comercial'!E365</f>
        <v>0</v>
      </c>
      <c r="B361" s="274" t="str">
        <f>'🧾 Factura Comercial'!F365</f>
        <v>Unid.</v>
      </c>
      <c r="C361" s="275">
        <f>'🧾 Factura Comercial'!G365</f>
        <v>0</v>
      </c>
      <c r="D361" s="276">
        <f>'🧾 Factura Comercial'!H365</f>
        <v>0</v>
      </c>
      <c r="E361" s="276">
        <f>'🧾 Factura Comercial'!I365</f>
        <v>0</v>
      </c>
      <c r="F361" s="277">
        <f>IF('🧾 Tributos Aduana'!$F$6=0,0,'🧾 Factura Comercial'!I365/'🧾 Tributos Aduana'!$F$6)</f>
        <v>0</v>
      </c>
      <c r="G361" s="278">
        <f>'🧾 Factura Comercial'!H365*'📋 Datos Generales'!$E$19</f>
        <v>0</v>
      </c>
      <c r="H361" s="278">
        <f>TABLA_BASE[[#This Row],[FOB UNIT.
(S/.)]]*TABLA_BASE[[#This Row],[CANTIDAD
(unid.)]]</f>
        <v>0</v>
      </c>
      <c r="I361" s="280">
        <f>IF('🧾 Tributos Aduana'!$F$6=0,0,'🧾 Tributos Aduana'!$F$17*('🧾 Factura Comercial'!H365/'🧾 Tributos Aduana'!$F$6))</f>
        <v>0</v>
      </c>
      <c r="J361" s="280">
        <f>TABLA_BASE[[#This Row],[ADV UNIT.
(US$)
⚠️COSTO]]*TABLA_BASE[[#This Row],[CANTIDAD
(unid.)]]</f>
        <v>0</v>
      </c>
      <c r="K361" s="279">
        <f>IF('🧾 Tributos Aduana'!$F$6=0,0,'🧾 Tributos Aduana'!$F$18*('🧾 Factura Comercial'!H365/'🧾 Tributos Aduana'!$F$6))</f>
        <v>0</v>
      </c>
      <c r="L361" s="280">
        <f>TABLA_BASE[[#This Row],[IPM UNIT.
(US$)
✅CF]]*TABLA_BASE[[#This Row],[CANTIDAD
(unid.)]]</f>
        <v>0</v>
      </c>
      <c r="M361" s="279">
        <f>IF('🧾 Tributos Aduana'!$F$6=0,0,'🧾 Tributos Aduana'!$F$19*('🧾 Factura Comercial'!H365/'🧾 Tributos Aduana'!$F$6))</f>
        <v>0</v>
      </c>
      <c r="N361" s="280">
        <f>TABLA_BASE[[#This Row],[IGV UNIT.
(US$)
✅CF]]*TABLA_BASE[[#This Row],[CANTIDAD
(unid.)]]</f>
        <v>0</v>
      </c>
      <c r="O361" s="280">
        <f>IF('🧾 Tributos Aduana'!$F$6=0,0,'🧾 Tributos Aduana'!$F$23*('🧾 Factura Comercial'!H365/'🧾 Tributos Aduana'!$F$6))</f>
        <v>0</v>
      </c>
      <c r="P361" s="280">
        <f>TABLA_BASE[[#This Row],[PERCEP.
UNIT.(US$)
✅CF]]*TABLA_BASE[[#This Row],[CANTIDAD
(unid.)]]</f>
        <v>0</v>
      </c>
      <c r="Q361" s="279">
        <f>TABLA_BASE[[#This Row],[ADV UNIT.
(US$)
⚠️COSTO]]+TABLA_BASE[[#This Row],[IPM UNIT.
(US$)
✅CF]]+TABLA_BASE[[#This Row],[IGV UNIT.
(US$)
✅CF]]</f>
        <v>0</v>
      </c>
      <c r="R361" s="280">
        <f>TABLA_BASE[[#This Row],[DEUDA
ADUANERA
UNIT.]]*TABLA_BASE[[#This Row],[CANTIDAD
(unid.)]]</f>
        <v>0</v>
      </c>
      <c r="S361" s="278">
        <f>TABLA_BASE[[#This Row],[DEUDA
ADUANERA
UNIT.]]*'📋 Datos Generales'!$E$19</f>
        <v>0</v>
      </c>
      <c r="T361" s="278">
        <f>TABLA_BASE[[#This Row],[DEUDA
ADUANERA
TOTAL]]*'📋 Datos Generales'!$E$19</f>
        <v>0</v>
      </c>
      <c r="U361" s="281">
        <f>TABLA_BASE[[#This Row],[ADV UNIT.
(US$)
⚠️COSTO]]*'📋 Datos Generales'!$E$19</f>
        <v>0</v>
      </c>
      <c r="V361" s="281">
        <f>TABLA_BASE[[#This Row],[ADV UNIT.
(S/.)]]*TABLA_BASE[[#This Row],[CANTIDAD
(unid.)]]</f>
        <v>0</v>
      </c>
      <c r="W361" s="281">
        <f>TABLA_BASE[[#This Row],[IPM UNIT.
(US$)
✅CF]]*'📋 Datos Generales'!$E$19</f>
        <v>0</v>
      </c>
      <c r="X361" s="281">
        <f>TABLA_BASE[[#This Row],[IPM UNIT.
(S/.)]]*TABLA_BASE[[#This Row],[CANTIDAD
(unid.)]]</f>
        <v>0</v>
      </c>
      <c r="Y361" s="281">
        <f>TABLA_BASE[[#This Row],[IGV UNIT.
(US$)
✅CF]]*'📋 Datos Generales'!$E$19</f>
        <v>0</v>
      </c>
      <c r="Z361" s="281">
        <f>TABLA_BASE[[#This Row],[IGV UNIT.
(S/.)]]*TABLA_BASE[[#This Row],[CANTIDAD
(unid.)]]</f>
        <v>0</v>
      </c>
      <c r="AA361" s="281">
        <f>TABLA_BASE[[#This Row],[PERCEP.
UNIT.(US$)
✅CF]]*'📋 Datos Generales'!$E$19</f>
        <v>0</v>
      </c>
      <c r="AB361" s="281">
        <f>TABLA_BASE[[#This Row],[PERCEP.
UNIT.(S/.)]]*TABLA_BASE[[#This Row],[CANTIDAD
(unid.)]]</f>
        <v>0</v>
      </c>
      <c r="AC361" s="279">
        <f>TABLA_BASE[[#This Row],[ADV UNIT.
(US$)
⚠️COSTO]]+TABLA_BASE[[#This Row],[IPM UNIT.
(US$)
✅CF]]+TABLA_BASE[[#This Row],[IGV UNIT.
(US$)
✅CF]]+TABLA_BASE[[#This Row],[PERCEP.
UNIT.(US$)
✅CF]]</f>
        <v>0</v>
      </c>
      <c r="AD361" s="279">
        <f>TABLA_BASE[[#This Row],[TOTAL PAGO
SUNAT
UNIT.(US$)]]*TABLA_BASE[[#This Row],[CANTIDAD
(unid.)]]</f>
        <v>0</v>
      </c>
      <c r="AE361" s="281">
        <f>TABLA_BASE[[#This Row],[TOTAL PAGO
SUNAT
UNIT.(US$)]]*'📋 Datos Generales'!$E$19</f>
        <v>0</v>
      </c>
      <c r="AF361" s="281">
        <f>TABLA_BASE[[#This Row],[TOTAL TRIB.
UNIT.(S/.)]]*TABLA_BASE[[#This Row],[CANTIDAD
(unid.)]]</f>
        <v>0</v>
      </c>
      <c r="AG361" s="279">
        <f>IF('🧾 Factura Comercial'!G365=0,0,'📦 Gastos Importación'!$E$28*(IF('🧾 Tributos Aduana'!$F$6=0,0,'🧾 Factura Comercial'!I365/'🧾 Tributos Aduana'!$F$6))/'🧾 Factura Comercial'!G365)</f>
        <v>0</v>
      </c>
      <c r="AH361" s="279">
        <f>TABLA_BASE[[#This Row],[GASTOS IMP.
UNIT.(US$)]]*TABLA_BASE[[#This Row],[CANTIDAD
(unid.)]]</f>
        <v>0</v>
      </c>
      <c r="AI361" s="281">
        <f>TABLA_BASE[[#This Row],[GASTOS IMP.
UNIT.(US$)]]*'📋 Datos Generales'!$E$19</f>
        <v>0</v>
      </c>
      <c r="AJ361" s="281">
        <f>TABLA_BASE[[#This Row],[GASTOS IMP.
UNIT.(S/.)]]*TABLA_BASE[[#This Row],[CANTIDAD
(unid.)]]</f>
        <v>0</v>
      </c>
      <c r="AK361" s="280">
        <f>'🧮 Costos x Producto'!J365</f>
        <v>0</v>
      </c>
      <c r="AL361" s="278">
        <f>'🧮 Costos x Producto'!K365</f>
        <v>0</v>
      </c>
      <c r="AM361" s="278">
        <f>TABLA_BASE[[#This Row],[C/M UNIT.
(S/.)]]*TABLA_BASE[[#This Row],[CANTIDAD
(unid.)]]</f>
        <v>0</v>
      </c>
      <c r="AN361" s="279">
        <f>IF('🧾 Factura Comercial'!G365=0,0,'🧾 Tributos Aduana'!$F$17*(IF('🧾 Tributos Aduana'!$F$6=0,0,'🧾 Factura Comercial'!I365/'🧾 Tributos Aduana'!$F$6))/'🧾 Factura Comercial'!G365)</f>
        <v>0</v>
      </c>
      <c r="AO361" s="280">
        <f>IF('🧾 Factura Comercial'!G365=0,0,'🏦 Crédito Fiscal'!$C$16*(IF('🧾 Tributos Aduana'!$F$6=0,0,'🧾 Factura Comercial'!I365/'🧾 Tributos Aduana'!$F$6))/'🧾 Factura Comercial'!G365)</f>
        <v>0</v>
      </c>
      <c r="AP361" s="278">
        <f>TABLA_BASE[[#This Row],[CF UNIT.
✅RECUP.
(US$)]]*'📋 Datos Generales'!$E$19</f>
        <v>0</v>
      </c>
      <c r="AQ361" s="278">
        <f>TABLA_BASE[[#This Row],[CF UNIT.
✅RECUP.(S/.)]]*TABLA_BASE[[#This Row],[CANTIDAD
(unid.)]]</f>
        <v>0</v>
      </c>
      <c r="AR361" s="288">
        <f>'💰 Precio de Venta'!G366</f>
        <v>0.4</v>
      </c>
      <c r="AS361" s="278">
        <f>'💰 Precio de Venta'!H366</f>
        <v>0</v>
      </c>
      <c r="AT361" s="278">
        <f>TABLA_BASE[[#This Row],[VALOR VTA.
UNIT.(S/.)]]*TABLA_BASE[[#This Row],[CANTIDAD
(unid.)]]</f>
        <v>0</v>
      </c>
      <c r="AU361" s="281">
        <f>'💰 Precio de Venta'!I366</f>
        <v>0</v>
      </c>
      <c r="AV361" s="278">
        <f>'💰 Precio de Venta'!J366</f>
        <v>0</v>
      </c>
      <c r="AW361" s="278">
        <f>TABLA_BASE[[#This Row],[GANANCIA
UNIT.(S/.)]]*TABLA_BASE[[#This Row],[CANTIDAD
(unid.)]]</f>
        <v>0</v>
      </c>
      <c r="AX361" s="289">
        <f>'💰 Precio de Venta'!K366</f>
        <v>0</v>
      </c>
      <c r="AY361" s="278">
        <f>TABLA_BASE[[#This Row],[GANANCIA
UNIT.(S/.)]]*'🧾 Factura Comercial'!G365</f>
        <v>0</v>
      </c>
      <c r="AZ361" s="277">
        <f>IF(TABLA_BASE[[#This Row],[PRECIO VTA.
c/IGV(S/.)]]=0,0,TABLA_BASE[[#This Row],[GANANCIA
UNIT.(S/.)]]/TABLA_BASE[[#This Row],[PRECIO VTA.
c/IGV(S/.)]])</f>
        <v>0</v>
      </c>
      <c r="BA361" s="277">
        <f>IF(TABLA_BASE[[#This Row],[C/M UNIT.
(S/.)]]=0,0,TABLA_BASE[[#This Row],[GANANCIA
UNIT.(S/.)]]/TABLA_BASE[[#This Row],[C/M UNIT.
(S/.)]])</f>
        <v>0</v>
      </c>
      <c r="BB361" s="274" t="str">
        <f>IF(TABLA_BASE[[#This Row],[MARGEN
%]]&gt;=0.5,"🟢 ALTO",IF(TABLA_BASE[[#This Row],[MARGEN
%]]&gt;=0.3,"🟡 MEDIO","🔴 BAJO"))</f>
        <v>🟡 MEDIO</v>
      </c>
    </row>
    <row r="362" spans="1:54" ht="16.5" hidden="1" thickTop="1" thickBot="1" x14ac:dyDescent="0.3">
      <c r="A362" s="274">
        <f>'🧾 Factura Comercial'!E366</f>
        <v>0</v>
      </c>
      <c r="B362" s="274" t="str">
        <f>'🧾 Factura Comercial'!F366</f>
        <v>Unid.</v>
      </c>
      <c r="C362" s="275">
        <f>'🧾 Factura Comercial'!G366</f>
        <v>0</v>
      </c>
      <c r="D362" s="276">
        <f>'🧾 Factura Comercial'!H366</f>
        <v>0</v>
      </c>
      <c r="E362" s="276">
        <f>'🧾 Factura Comercial'!I366</f>
        <v>0</v>
      </c>
      <c r="F362" s="277">
        <f>IF('🧾 Tributos Aduana'!$F$6=0,0,'🧾 Factura Comercial'!I366/'🧾 Tributos Aduana'!$F$6)</f>
        <v>0</v>
      </c>
      <c r="G362" s="278">
        <f>'🧾 Factura Comercial'!H366*'📋 Datos Generales'!$E$19</f>
        <v>0</v>
      </c>
      <c r="H362" s="278">
        <f>TABLA_BASE[[#This Row],[FOB UNIT.
(S/.)]]*TABLA_BASE[[#This Row],[CANTIDAD
(unid.)]]</f>
        <v>0</v>
      </c>
      <c r="I362" s="280">
        <f>IF('🧾 Tributos Aduana'!$F$6=0,0,'🧾 Tributos Aduana'!$F$17*('🧾 Factura Comercial'!H366/'🧾 Tributos Aduana'!$F$6))</f>
        <v>0</v>
      </c>
      <c r="J362" s="280">
        <f>TABLA_BASE[[#This Row],[ADV UNIT.
(US$)
⚠️COSTO]]*TABLA_BASE[[#This Row],[CANTIDAD
(unid.)]]</f>
        <v>0</v>
      </c>
      <c r="K362" s="279">
        <f>IF('🧾 Tributos Aduana'!$F$6=0,0,'🧾 Tributos Aduana'!$F$18*('🧾 Factura Comercial'!H366/'🧾 Tributos Aduana'!$F$6))</f>
        <v>0</v>
      </c>
      <c r="L362" s="280">
        <f>TABLA_BASE[[#This Row],[IPM UNIT.
(US$)
✅CF]]*TABLA_BASE[[#This Row],[CANTIDAD
(unid.)]]</f>
        <v>0</v>
      </c>
      <c r="M362" s="279">
        <f>IF('🧾 Tributos Aduana'!$F$6=0,0,'🧾 Tributos Aduana'!$F$19*('🧾 Factura Comercial'!H366/'🧾 Tributos Aduana'!$F$6))</f>
        <v>0</v>
      </c>
      <c r="N362" s="280">
        <f>TABLA_BASE[[#This Row],[IGV UNIT.
(US$)
✅CF]]*TABLA_BASE[[#This Row],[CANTIDAD
(unid.)]]</f>
        <v>0</v>
      </c>
      <c r="O362" s="280">
        <f>IF('🧾 Tributos Aduana'!$F$6=0,0,'🧾 Tributos Aduana'!$F$23*('🧾 Factura Comercial'!H366/'🧾 Tributos Aduana'!$F$6))</f>
        <v>0</v>
      </c>
      <c r="P362" s="280">
        <f>TABLA_BASE[[#This Row],[PERCEP.
UNIT.(US$)
✅CF]]*TABLA_BASE[[#This Row],[CANTIDAD
(unid.)]]</f>
        <v>0</v>
      </c>
      <c r="Q362" s="279">
        <f>TABLA_BASE[[#This Row],[ADV UNIT.
(US$)
⚠️COSTO]]+TABLA_BASE[[#This Row],[IPM UNIT.
(US$)
✅CF]]+TABLA_BASE[[#This Row],[IGV UNIT.
(US$)
✅CF]]</f>
        <v>0</v>
      </c>
      <c r="R362" s="280">
        <f>TABLA_BASE[[#This Row],[DEUDA
ADUANERA
UNIT.]]*TABLA_BASE[[#This Row],[CANTIDAD
(unid.)]]</f>
        <v>0</v>
      </c>
      <c r="S362" s="278">
        <f>TABLA_BASE[[#This Row],[DEUDA
ADUANERA
UNIT.]]*'📋 Datos Generales'!$E$19</f>
        <v>0</v>
      </c>
      <c r="T362" s="278">
        <f>TABLA_BASE[[#This Row],[DEUDA
ADUANERA
TOTAL]]*'📋 Datos Generales'!$E$19</f>
        <v>0</v>
      </c>
      <c r="U362" s="281">
        <f>TABLA_BASE[[#This Row],[ADV UNIT.
(US$)
⚠️COSTO]]*'📋 Datos Generales'!$E$19</f>
        <v>0</v>
      </c>
      <c r="V362" s="281">
        <f>TABLA_BASE[[#This Row],[ADV UNIT.
(S/.)]]*TABLA_BASE[[#This Row],[CANTIDAD
(unid.)]]</f>
        <v>0</v>
      </c>
      <c r="W362" s="281">
        <f>TABLA_BASE[[#This Row],[IPM UNIT.
(US$)
✅CF]]*'📋 Datos Generales'!$E$19</f>
        <v>0</v>
      </c>
      <c r="X362" s="281">
        <f>TABLA_BASE[[#This Row],[IPM UNIT.
(S/.)]]*TABLA_BASE[[#This Row],[CANTIDAD
(unid.)]]</f>
        <v>0</v>
      </c>
      <c r="Y362" s="281">
        <f>TABLA_BASE[[#This Row],[IGV UNIT.
(US$)
✅CF]]*'📋 Datos Generales'!$E$19</f>
        <v>0</v>
      </c>
      <c r="Z362" s="281">
        <f>TABLA_BASE[[#This Row],[IGV UNIT.
(S/.)]]*TABLA_BASE[[#This Row],[CANTIDAD
(unid.)]]</f>
        <v>0</v>
      </c>
      <c r="AA362" s="281">
        <f>TABLA_BASE[[#This Row],[PERCEP.
UNIT.(US$)
✅CF]]*'📋 Datos Generales'!$E$19</f>
        <v>0</v>
      </c>
      <c r="AB362" s="281">
        <f>TABLA_BASE[[#This Row],[PERCEP.
UNIT.(S/.)]]*TABLA_BASE[[#This Row],[CANTIDAD
(unid.)]]</f>
        <v>0</v>
      </c>
      <c r="AC362" s="279">
        <f>TABLA_BASE[[#This Row],[ADV UNIT.
(US$)
⚠️COSTO]]+TABLA_BASE[[#This Row],[IPM UNIT.
(US$)
✅CF]]+TABLA_BASE[[#This Row],[IGV UNIT.
(US$)
✅CF]]+TABLA_BASE[[#This Row],[PERCEP.
UNIT.(US$)
✅CF]]</f>
        <v>0</v>
      </c>
      <c r="AD362" s="279">
        <f>TABLA_BASE[[#This Row],[TOTAL PAGO
SUNAT
UNIT.(US$)]]*TABLA_BASE[[#This Row],[CANTIDAD
(unid.)]]</f>
        <v>0</v>
      </c>
      <c r="AE362" s="281">
        <f>TABLA_BASE[[#This Row],[TOTAL PAGO
SUNAT
UNIT.(US$)]]*'📋 Datos Generales'!$E$19</f>
        <v>0</v>
      </c>
      <c r="AF362" s="281">
        <f>TABLA_BASE[[#This Row],[TOTAL TRIB.
UNIT.(S/.)]]*TABLA_BASE[[#This Row],[CANTIDAD
(unid.)]]</f>
        <v>0</v>
      </c>
      <c r="AG362" s="279">
        <f>IF('🧾 Factura Comercial'!G366=0,0,'📦 Gastos Importación'!$E$28*(IF('🧾 Tributos Aduana'!$F$6=0,0,'🧾 Factura Comercial'!I366/'🧾 Tributos Aduana'!$F$6))/'🧾 Factura Comercial'!G366)</f>
        <v>0</v>
      </c>
      <c r="AH362" s="279">
        <f>TABLA_BASE[[#This Row],[GASTOS IMP.
UNIT.(US$)]]*TABLA_BASE[[#This Row],[CANTIDAD
(unid.)]]</f>
        <v>0</v>
      </c>
      <c r="AI362" s="281">
        <f>TABLA_BASE[[#This Row],[GASTOS IMP.
UNIT.(US$)]]*'📋 Datos Generales'!$E$19</f>
        <v>0</v>
      </c>
      <c r="AJ362" s="281">
        <f>TABLA_BASE[[#This Row],[GASTOS IMP.
UNIT.(S/.)]]*TABLA_BASE[[#This Row],[CANTIDAD
(unid.)]]</f>
        <v>0</v>
      </c>
      <c r="AK362" s="280">
        <f>'🧮 Costos x Producto'!J366</f>
        <v>0</v>
      </c>
      <c r="AL362" s="278">
        <f>'🧮 Costos x Producto'!K366</f>
        <v>0</v>
      </c>
      <c r="AM362" s="278">
        <f>TABLA_BASE[[#This Row],[C/M UNIT.
(S/.)]]*TABLA_BASE[[#This Row],[CANTIDAD
(unid.)]]</f>
        <v>0</v>
      </c>
      <c r="AN362" s="279">
        <f>IF('🧾 Factura Comercial'!G366=0,0,'🧾 Tributos Aduana'!$F$17*(IF('🧾 Tributos Aduana'!$F$6=0,0,'🧾 Factura Comercial'!I366/'🧾 Tributos Aduana'!$F$6))/'🧾 Factura Comercial'!G366)</f>
        <v>0</v>
      </c>
      <c r="AO362" s="280">
        <f>IF('🧾 Factura Comercial'!G366=0,0,'🏦 Crédito Fiscal'!$C$16*(IF('🧾 Tributos Aduana'!$F$6=0,0,'🧾 Factura Comercial'!I366/'🧾 Tributos Aduana'!$F$6))/'🧾 Factura Comercial'!G366)</f>
        <v>0</v>
      </c>
      <c r="AP362" s="278">
        <f>TABLA_BASE[[#This Row],[CF UNIT.
✅RECUP.
(US$)]]*'📋 Datos Generales'!$E$19</f>
        <v>0</v>
      </c>
      <c r="AQ362" s="278">
        <f>TABLA_BASE[[#This Row],[CF UNIT.
✅RECUP.(S/.)]]*TABLA_BASE[[#This Row],[CANTIDAD
(unid.)]]</f>
        <v>0</v>
      </c>
      <c r="AR362" s="288">
        <f>'💰 Precio de Venta'!G367</f>
        <v>0.4</v>
      </c>
      <c r="AS362" s="278">
        <f>'💰 Precio de Venta'!H367</f>
        <v>0</v>
      </c>
      <c r="AT362" s="278">
        <f>TABLA_BASE[[#This Row],[VALOR VTA.
UNIT.(S/.)]]*TABLA_BASE[[#This Row],[CANTIDAD
(unid.)]]</f>
        <v>0</v>
      </c>
      <c r="AU362" s="281">
        <f>'💰 Precio de Venta'!I367</f>
        <v>0</v>
      </c>
      <c r="AV362" s="278">
        <f>'💰 Precio de Venta'!J367</f>
        <v>0</v>
      </c>
      <c r="AW362" s="278">
        <f>TABLA_BASE[[#This Row],[GANANCIA
UNIT.(S/.)]]*TABLA_BASE[[#This Row],[CANTIDAD
(unid.)]]</f>
        <v>0</v>
      </c>
      <c r="AX362" s="289">
        <f>'💰 Precio de Venta'!K367</f>
        <v>0</v>
      </c>
      <c r="AY362" s="278">
        <f>TABLA_BASE[[#This Row],[GANANCIA
UNIT.(S/.)]]*'🧾 Factura Comercial'!G366</f>
        <v>0</v>
      </c>
      <c r="AZ362" s="277">
        <f>IF(TABLA_BASE[[#This Row],[PRECIO VTA.
c/IGV(S/.)]]=0,0,TABLA_BASE[[#This Row],[GANANCIA
UNIT.(S/.)]]/TABLA_BASE[[#This Row],[PRECIO VTA.
c/IGV(S/.)]])</f>
        <v>0</v>
      </c>
      <c r="BA362" s="277">
        <f>IF(TABLA_BASE[[#This Row],[C/M UNIT.
(S/.)]]=0,0,TABLA_BASE[[#This Row],[GANANCIA
UNIT.(S/.)]]/TABLA_BASE[[#This Row],[C/M UNIT.
(S/.)]])</f>
        <v>0</v>
      </c>
      <c r="BB362" s="274" t="str">
        <f>IF(TABLA_BASE[[#This Row],[MARGEN
%]]&gt;=0.5,"🟢 ALTO",IF(TABLA_BASE[[#This Row],[MARGEN
%]]&gt;=0.3,"🟡 MEDIO","🔴 BAJO"))</f>
        <v>🟡 MEDIO</v>
      </c>
    </row>
    <row r="363" spans="1:54" ht="16.5" hidden="1" thickTop="1" thickBot="1" x14ac:dyDescent="0.3">
      <c r="A363" s="274">
        <f>'🧾 Factura Comercial'!E367</f>
        <v>0</v>
      </c>
      <c r="B363" s="274" t="str">
        <f>'🧾 Factura Comercial'!F367</f>
        <v>Unid.</v>
      </c>
      <c r="C363" s="275">
        <f>'🧾 Factura Comercial'!G367</f>
        <v>0</v>
      </c>
      <c r="D363" s="276">
        <f>'🧾 Factura Comercial'!H367</f>
        <v>0</v>
      </c>
      <c r="E363" s="276">
        <f>'🧾 Factura Comercial'!I367</f>
        <v>0</v>
      </c>
      <c r="F363" s="277">
        <f>IF('🧾 Tributos Aduana'!$F$6=0,0,'🧾 Factura Comercial'!I367/'🧾 Tributos Aduana'!$F$6)</f>
        <v>0</v>
      </c>
      <c r="G363" s="278">
        <f>'🧾 Factura Comercial'!H367*'📋 Datos Generales'!$E$19</f>
        <v>0</v>
      </c>
      <c r="H363" s="278">
        <f>TABLA_BASE[[#This Row],[FOB UNIT.
(S/.)]]*TABLA_BASE[[#This Row],[CANTIDAD
(unid.)]]</f>
        <v>0</v>
      </c>
      <c r="I363" s="280">
        <f>IF('🧾 Tributos Aduana'!$F$6=0,0,'🧾 Tributos Aduana'!$F$17*('🧾 Factura Comercial'!H367/'🧾 Tributos Aduana'!$F$6))</f>
        <v>0</v>
      </c>
      <c r="J363" s="280">
        <f>TABLA_BASE[[#This Row],[ADV UNIT.
(US$)
⚠️COSTO]]*TABLA_BASE[[#This Row],[CANTIDAD
(unid.)]]</f>
        <v>0</v>
      </c>
      <c r="K363" s="279">
        <f>IF('🧾 Tributos Aduana'!$F$6=0,0,'🧾 Tributos Aduana'!$F$18*('🧾 Factura Comercial'!H367/'🧾 Tributos Aduana'!$F$6))</f>
        <v>0</v>
      </c>
      <c r="L363" s="280">
        <f>TABLA_BASE[[#This Row],[IPM UNIT.
(US$)
✅CF]]*TABLA_BASE[[#This Row],[CANTIDAD
(unid.)]]</f>
        <v>0</v>
      </c>
      <c r="M363" s="279">
        <f>IF('🧾 Tributos Aduana'!$F$6=0,0,'🧾 Tributos Aduana'!$F$19*('🧾 Factura Comercial'!H367/'🧾 Tributos Aduana'!$F$6))</f>
        <v>0</v>
      </c>
      <c r="N363" s="280">
        <f>TABLA_BASE[[#This Row],[IGV UNIT.
(US$)
✅CF]]*TABLA_BASE[[#This Row],[CANTIDAD
(unid.)]]</f>
        <v>0</v>
      </c>
      <c r="O363" s="280">
        <f>IF('🧾 Tributos Aduana'!$F$6=0,0,'🧾 Tributos Aduana'!$F$23*('🧾 Factura Comercial'!H367/'🧾 Tributos Aduana'!$F$6))</f>
        <v>0</v>
      </c>
      <c r="P363" s="280">
        <f>TABLA_BASE[[#This Row],[PERCEP.
UNIT.(US$)
✅CF]]*TABLA_BASE[[#This Row],[CANTIDAD
(unid.)]]</f>
        <v>0</v>
      </c>
      <c r="Q363" s="279">
        <f>TABLA_BASE[[#This Row],[ADV UNIT.
(US$)
⚠️COSTO]]+TABLA_BASE[[#This Row],[IPM UNIT.
(US$)
✅CF]]+TABLA_BASE[[#This Row],[IGV UNIT.
(US$)
✅CF]]</f>
        <v>0</v>
      </c>
      <c r="R363" s="280">
        <f>TABLA_BASE[[#This Row],[DEUDA
ADUANERA
UNIT.]]*TABLA_BASE[[#This Row],[CANTIDAD
(unid.)]]</f>
        <v>0</v>
      </c>
      <c r="S363" s="278">
        <f>TABLA_BASE[[#This Row],[DEUDA
ADUANERA
UNIT.]]*'📋 Datos Generales'!$E$19</f>
        <v>0</v>
      </c>
      <c r="T363" s="278">
        <f>TABLA_BASE[[#This Row],[DEUDA
ADUANERA
TOTAL]]*'📋 Datos Generales'!$E$19</f>
        <v>0</v>
      </c>
      <c r="U363" s="281">
        <f>TABLA_BASE[[#This Row],[ADV UNIT.
(US$)
⚠️COSTO]]*'📋 Datos Generales'!$E$19</f>
        <v>0</v>
      </c>
      <c r="V363" s="281">
        <f>TABLA_BASE[[#This Row],[ADV UNIT.
(S/.)]]*TABLA_BASE[[#This Row],[CANTIDAD
(unid.)]]</f>
        <v>0</v>
      </c>
      <c r="W363" s="281">
        <f>TABLA_BASE[[#This Row],[IPM UNIT.
(US$)
✅CF]]*'📋 Datos Generales'!$E$19</f>
        <v>0</v>
      </c>
      <c r="X363" s="281">
        <f>TABLA_BASE[[#This Row],[IPM UNIT.
(S/.)]]*TABLA_BASE[[#This Row],[CANTIDAD
(unid.)]]</f>
        <v>0</v>
      </c>
      <c r="Y363" s="281">
        <f>TABLA_BASE[[#This Row],[IGV UNIT.
(US$)
✅CF]]*'📋 Datos Generales'!$E$19</f>
        <v>0</v>
      </c>
      <c r="Z363" s="281">
        <f>TABLA_BASE[[#This Row],[IGV UNIT.
(S/.)]]*TABLA_BASE[[#This Row],[CANTIDAD
(unid.)]]</f>
        <v>0</v>
      </c>
      <c r="AA363" s="281">
        <f>TABLA_BASE[[#This Row],[PERCEP.
UNIT.(US$)
✅CF]]*'📋 Datos Generales'!$E$19</f>
        <v>0</v>
      </c>
      <c r="AB363" s="281">
        <f>TABLA_BASE[[#This Row],[PERCEP.
UNIT.(S/.)]]*TABLA_BASE[[#This Row],[CANTIDAD
(unid.)]]</f>
        <v>0</v>
      </c>
      <c r="AC363" s="279">
        <f>TABLA_BASE[[#This Row],[ADV UNIT.
(US$)
⚠️COSTO]]+TABLA_BASE[[#This Row],[IPM UNIT.
(US$)
✅CF]]+TABLA_BASE[[#This Row],[IGV UNIT.
(US$)
✅CF]]+TABLA_BASE[[#This Row],[PERCEP.
UNIT.(US$)
✅CF]]</f>
        <v>0</v>
      </c>
      <c r="AD363" s="279">
        <f>TABLA_BASE[[#This Row],[TOTAL PAGO
SUNAT
UNIT.(US$)]]*TABLA_BASE[[#This Row],[CANTIDAD
(unid.)]]</f>
        <v>0</v>
      </c>
      <c r="AE363" s="281">
        <f>TABLA_BASE[[#This Row],[TOTAL PAGO
SUNAT
UNIT.(US$)]]*'📋 Datos Generales'!$E$19</f>
        <v>0</v>
      </c>
      <c r="AF363" s="281">
        <f>TABLA_BASE[[#This Row],[TOTAL TRIB.
UNIT.(S/.)]]*TABLA_BASE[[#This Row],[CANTIDAD
(unid.)]]</f>
        <v>0</v>
      </c>
      <c r="AG363" s="279">
        <f>IF('🧾 Factura Comercial'!G367=0,0,'📦 Gastos Importación'!$E$28*(IF('🧾 Tributos Aduana'!$F$6=0,0,'🧾 Factura Comercial'!I367/'🧾 Tributos Aduana'!$F$6))/'🧾 Factura Comercial'!G367)</f>
        <v>0</v>
      </c>
      <c r="AH363" s="279">
        <f>TABLA_BASE[[#This Row],[GASTOS IMP.
UNIT.(US$)]]*TABLA_BASE[[#This Row],[CANTIDAD
(unid.)]]</f>
        <v>0</v>
      </c>
      <c r="AI363" s="281">
        <f>TABLA_BASE[[#This Row],[GASTOS IMP.
UNIT.(US$)]]*'📋 Datos Generales'!$E$19</f>
        <v>0</v>
      </c>
      <c r="AJ363" s="281">
        <f>TABLA_BASE[[#This Row],[GASTOS IMP.
UNIT.(S/.)]]*TABLA_BASE[[#This Row],[CANTIDAD
(unid.)]]</f>
        <v>0</v>
      </c>
      <c r="AK363" s="280">
        <f>'🧮 Costos x Producto'!J367</f>
        <v>0</v>
      </c>
      <c r="AL363" s="278">
        <f>'🧮 Costos x Producto'!K367</f>
        <v>0</v>
      </c>
      <c r="AM363" s="278">
        <f>TABLA_BASE[[#This Row],[C/M UNIT.
(S/.)]]*TABLA_BASE[[#This Row],[CANTIDAD
(unid.)]]</f>
        <v>0</v>
      </c>
      <c r="AN363" s="279">
        <f>IF('🧾 Factura Comercial'!G367=0,0,'🧾 Tributos Aduana'!$F$17*(IF('🧾 Tributos Aduana'!$F$6=0,0,'🧾 Factura Comercial'!I367/'🧾 Tributos Aduana'!$F$6))/'🧾 Factura Comercial'!G367)</f>
        <v>0</v>
      </c>
      <c r="AO363" s="280">
        <f>IF('🧾 Factura Comercial'!G367=0,0,'🏦 Crédito Fiscal'!$C$16*(IF('🧾 Tributos Aduana'!$F$6=0,0,'🧾 Factura Comercial'!I367/'🧾 Tributos Aduana'!$F$6))/'🧾 Factura Comercial'!G367)</f>
        <v>0</v>
      </c>
      <c r="AP363" s="278">
        <f>TABLA_BASE[[#This Row],[CF UNIT.
✅RECUP.
(US$)]]*'📋 Datos Generales'!$E$19</f>
        <v>0</v>
      </c>
      <c r="AQ363" s="278">
        <f>TABLA_BASE[[#This Row],[CF UNIT.
✅RECUP.(S/.)]]*TABLA_BASE[[#This Row],[CANTIDAD
(unid.)]]</f>
        <v>0</v>
      </c>
      <c r="AR363" s="288">
        <f>'💰 Precio de Venta'!G368</f>
        <v>0.4</v>
      </c>
      <c r="AS363" s="278">
        <f>'💰 Precio de Venta'!H368</f>
        <v>0</v>
      </c>
      <c r="AT363" s="278">
        <f>TABLA_BASE[[#This Row],[VALOR VTA.
UNIT.(S/.)]]*TABLA_BASE[[#This Row],[CANTIDAD
(unid.)]]</f>
        <v>0</v>
      </c>
      <c r="AU363" s="281">
        <f>'💰 Precio de Venta'!I368</f>
        <v>0</v>
      </c>
      <c r="AV363" s="278">
        <f>'💰 Precio de Venta'!J368</f>
        <v>0</v>
      </c>
      <c r="AW363" s="278">
        <f>TABLA_BASE[[#This Row],[GANANCIA
UNIT.(S/.)]]*TABLA_BASE[[#This Row],[CANTIDAD
(unid.)]]</f>
        <v>0</v>
      </c>
      <c r="AX363" s="289">
        <f>'💰 Precio de Venta'!K368</f>
        <v>0</v>
      </c>
      <c r="AY363" s="278">
        <f>TABLA_BASE[[#This Row],[GANANCIA
UNIT.(S/.)]]*'🧾 Factura Comercial'!G367</f>
        <v>0</v>
      </c>
      <c r="AZ363" s="277">
        <f>IF(TABLA_BASE[[#This Row],[PRECIO VTA.
c/IGV(S/.)]]=0,0,TABLA_BASE[[#This Row],[GANANCIA
UNIT.(S/.)]]/TABLA_BASE[[#This Row],[PRECIO VTA.
c/IGV(S/.)]])</f>
        <v>0</v>
      </c>
      <c r="BA363" s="277">
        <f>IF(TABLA_BASE[[#This Row],[C/M UNIT.
(S/.)]]=0,0,TABLA_BASE[[#This Row],[GANANCIA
UNIT.(S/.)]]/TABLA_BASE[[#This Row],[C/M UNIT.
(S/.)]])</f>
        <v>0</v>
      </c>
      <c r="BB363" s="274" t="str">
        <f>IF(TABLA_BASE[[#This Row],[MARGEN
%]]&gt;=0.5,"🟢 ALTO",IF(TABLA_BASE[[#This Row],[MARGEN
%]]&gt;=0.3,"🟡 MEDIO","🔴 BAJO"))</f>
        <v>🟡 MEDIO</v>
      </c>
    </row>
    <row r="364" spans="1:54" ht="16.5" hidden="1" thickTop="1" thickBot="1" x14ac:dyDescent="0.3">
      <c r="A364" s="274">
        <f>'🧾 Factura Comercial'!E368</f>
        <v>0</v>
      </c>
      <c r="B364" s="274" t="str">
        <f>'🧾 Factura Comercial'!F368</f>
        <v>Unid.</v>
      </c>
      <c r="C364" s="275">
        <f>'🧾 Factura Comercial'!G368</f>
        <v>0</v>
      </c>
      <c r="D364" s="276">
        <f>'🧾 Factura Comercial'!H368</f>
        <v>0</v>
      </c>
      <c r="E364" s="276">
        <f>'🧾 Factura Comercial'!I368</f>
        <v>0</v>
      </c>
      <c r="F364" s="277">
        <f>IF('🧾 Tributos Aduana'!$F$6=0,0,'🧾 Factura Comercial'!I368/'🧾 Tributos Aduana'!$F$6)</f>
        <v>0</v>
      </c>
      <c r="G364" s="278">
        <f>'🧾 Factura Comercial'!H368*'📋 Datos Generales'!$E$19</f>
        <v>0</v>
      </c>
      <c r="H364" s="278">
        <f>TABLA_BASE[[#This Row],[FOB UNIT.
(S/.)]]*TABLA_BASE[[#This Row],[CANTIDAD
(unid.)]]</f>
        <v>0</v>
      </c>
      <c r="I364" s="280">
        <f>IF('🧾 Tributos Aduana'!$F$6=0,0,'🧾 Tributos Aduana'!$F$17*('🧾 Factura Comercial'!H368/'🧾 Tributos Aduana'!$F$6))</f>
        <v>0</v>
      </c>
      <c r="J364" s="280">
        <f>TABLA_BASE[[#This Row],[ADV UNIT.
(US$)
⚠️COSTO]]*TABLA_BASE[[#This Row],[CANTIDAD
(unid.)]]</f>
        <v>0</v>
      </c>
      <c r="K364" s="279">
        <f>IF('🧾 Tributos Aduana'!$F$6=0,0,'🧾 Tributos Aduana'!$F$18*('🧾 Factura Comercial'!H368/'🧾 Tributos Aduana'!$F$6))</f>
        <v>0</v>
      </c>
      <c r="L364" s="280">
        <f>TABLA_BASE[[#This Row],[IPM UNIT.
(US$)
✅CF]]*TABLA_BASE[[#This Row],[CANTIDAD
(unid.)]]</f>
        <v>0</v>
      </c>
      <c r="M364" s="279">
        <f>IF('🧾 Tributos Aduana'!$F$6=0,0,'🧾 Tributos Aduana'!$F$19*('🧾 Factura Comercial'!H368/'🧾 Tributos Aduana'!$F$6))</f>
        <v>0</v>
      </c>
      <c r="N364" s="280">
        <f>TABLA_BASE[[#This Row],[IGV UNIT.
(US$)
✅CF]]*TABLA_BASE[[#This Row],[CANTIDAD
(unid.)]]</f>
        <v>0</v>
      </c>
      <c r="O364" s="280">
        <f>IF('🧾 Tributos Aduana'!$F$6=0,0,'🧾 Tributos Aduana'!$F$23*('🧾 Factura Comercial'!H368/'🧾 Tributos Aduana'!$F$6))</f>
        <v>0</v>
      </c>
      <c r="P364" s="280">
        <f>TABLA_BASE[[#This Row],[PERCEP.
UNIT.(US$)
✅CF]]*TABLA_BASE[[#This Row],[CANTIDAD
(unid.)]]</f>
        <v>0</v>
      </c>
      <c r="Q364" s="279">
        <f>TABLA_BASE[[#This Row],[ADV UNIT.
(US$)
⚠️COSTO]]+TABLA_BASE[[#This Row],[IPM UNIT.
(US$)
✅CF]]+TABLA_BASE[[#This Row],[IGV UNIT.
(US$)
✅CF]]</f>
        <v>0</v>
      </c>
      <c r="R364" s="280">
        <f>TABLA_BASE[[#This Row],[DEUDA
ADUANERA
UNIT.]]*TABLA_BASE[[#This Row],[CANTIDAD
(unid.)]]</f>
        <v>0</v>
      </c>
      <c r="S364" s="278">
        <f>TABLA_BASE[[#This Row],[DEUDA
ADUANERA
UNIT.]]*'📋 Datos Generales'!$E$19</f>
        <v>0</v>
      </c>
      <c r="T364" s="278">
        <f>TABLA_BASE[[#This Row],[DEUDA
ADUANERA
TOTAL]]*'📋 Datos Generales'!$E$19</f>
        <v>0</v>
      </c>
      <c r="U364" s="281">
        <f>TABLA_BASE[[#This Row],[ADV UNIT.
(US$)
⚠️COSTO]]*'📋 Datos Generales'!$E$19</f>
        <v>0</v>
      </c>
      <c r="V364" s="281">
        <f>TABLA_BASE[[#This Row],[ADV UNIT.
(S/.)]]*TABLA_BASE[[#This Row],[CANTIDAD
(unid.)]]</f>
        <v>0</v>
      </c>
      <c r="W364" s="281">
        <f>TABLA_BASE[[#This Row],[IPM UNIT.
(US$)
✅CF]]*'📋 Datos Generales'!$E$19</f>
        <v>0</v>
      </c>
      <c r="X364" s="281">
        <f>TABLA_BASE[[#This Row],[IPM UNIT.
(S/.)]]*TABLA_BASE[[#This Row],[CANTIDAD
(unid.)]]</f>
        <v>0</v>
      </c>
      <c r="Y364" s="281">
        <f>TABLA_BASE[[#This Row],[IGV UNIT.
(US$)
✅CF]]*'📋 Datos Generales'!$E$19</f>
        <v>0</v>
      </c>
      <c r="Z364" s="281">
        <f>TABLA_BASE[[#This Row],[IGV UNIT.
(S/.)]]*TABLA_BASE[[#This Row],[CANTIDAD
(unid.)]]</f>
        <v>0</v>
      </c>
      <c r="AA364" s="281">
        <f>TABLA_BASE[[#This Row],[PERCEP.
UNIT.(US$)
✅CF]]*'📋 Datos Generales'!$E$19</f>
        <v>0</v>
      </c>
      <c r="AB364" s="281">
        <f>TABLA_BASE[[#This Row],[PERCEP.
UNIT.(S/.)]]*TABLA_BASE[[#This Row],[CANTIDAD
(unid.)]]</f>
        <v>0</v>
      </c>
      <c r="AC364" s="279">
        <f>TABLA_BASE[[#This Row],[ADV UNIT.
(US$)
⚠️COSTO]]+TABLA_BASE[[#This Row],[IPM UNIT.
(US$)
✅CF]]+TABLA_BASE[[#This Row],[IGV UNIT.
(US$)
✅CF]]+TABLA_BASE[[#This Row],[PERCEP.
UNIT.(US$)
✅CF]]</f>
        <v>0</v>
      </c>
      <c r="AD364" s="279">
        <f>TABLA_BASE[[#This Row],[TOTAL PAGO
SUNAT
UNIT.(US$)]]*TABLA_BASE[[#This Row],[CANTIDAD
(unid.)]]</f>
        <v>0</v>
      </c>
      <c r="AE364" s="281">
        <f>TABLA_BASE[[#This Row],[TOTAL PAGO
SUNAT
UNIT.(US$)]]*'📋 Datos Generales'!$E$19</f>
        <v>0</v>
      </c>
      <c r="AF364" s="281">
        <f>TABLA_BASE[[#This Row],[TOTAL TRIB.
UNIT.(S/.)]]*TABLA_BASE[[#This Row],[CANTIDAD
(unid.)]]</f>
        <v>0</v>
      </c>
      <c r="AG364" s="279">
        <f>IF('🧾 Factura Comercial'!G368=0,0,'📦 Gastos Importación'!$E$28*(IF('🧾 Tributos Aduana'!$F$6=0,0,'🧾 Factura Comercial'!I368/'🧾 Tributos Aduana'!$F$6))/'🧾 Factura Comercial'!G368)</f>
        <v>0</v>
      </c>
      <c r="AH364" s="279">
        <f>TABLA_BASE[[#This Row],[GASTOS IMP.
UNIT.(US$)]]*TABLA_BASE[[#This Row],[CANTIDAD
(unid.)]]</f>
        <v>0</v>
      </c>
      <c r="AI364" s="281">
        <f>TABLA_BASE[[#This Row],[GASTOS IMP.
UNIT.(US$)]]*'📋 Datos Generales'!$E$19</f>
        <v>0</v>
      </c>
      <c r="AJ364" s="281">
        <f>TABLA_BASE[[#This Row],[GASTOS IMP.
UNIT.(S/.)]]*TABLA_BASE[[#This Row],[CANTIDAD
(unid.)]]</f>
        <v>0</v>
      </c>
      <c r="AK364" s="280">
        <f>'🧮 Costos x Producto'!J368</f>
        <v>0</v>
      </c>
      <c r="AL364" s="278">
        <f>'🧮 Costos x Producto'!K368</f>
        <v>0</v>
      </c>
      <c r="AM364" s="278">
        <f>TABLA_BASE[[#This Row],[C/M UNIT.
(S/.)]]*TABLA_BASE[[#This Row],[CANTIDAD
(unid.)]]</f>
        <v>0</v>
      </c>
      <c r="AN364" s="279">
        <f>IF('🧾 Factura Comercial'!G368=0,0,'🧾 Tributos Aduana'!$F$17*(IF('🧾 Tributos Aduana'!$F$6=0,0,'🧾 Factura Comercial'!I368/'🧾 Tributos Aduana'!$F$6))/'🧾 Factura Comercial'!G368)</f>
        <v>0</v>
      </c>
      <c r="AO364" s="280">
        <f>IF('🧾 Factura Comercial'!G368=0,0,'🏦 Crédito Fiscal'!$C$16*(IF('🧾 Tributos Aduana'!$F$6=0,0,'🧾 Factura Comercial'!I368/'🧾 Tributos Aduana'!$F$6))/'🧾 Factura Comercial'!G368)</f>
        <v>0</v>
      </c>
      <c r="AP364" s="278">
        <f>TABLA_BASE[[#This Row],[CF UNIT.
✅RECUP.
(US$)]]*'📋 Datos Generales'!$E$19</f>
        <v>0</v>
      </c>
      <c r="AQ364" s="278">
        <f>TABLA_BASE[[#This Row],[CF UNIT.
✅RECUP.(S/.)]]*TABLA_BASE[[#This Row],[CANTIDAD
(unid.)]]</f>
        <v>0</v>
      </c>
      <c r="AR364" s="288">
        <f>'💰 Precio de Venta'!G369</f>
        <v>0.4</v>
      </c>
      <c r="AS364" s="278">
        <f>'💰 Precio de Venta'!H369</f>
        <v>0</v>
      </c>
      <c r="AT364" s="278">
        <f>TABLA_BASE[[#This Row],[VALOR VTA.
UNIT.(S/.)]]*TABLA_BASE[[#This Row],[CANTIDAD
(unid.)]]</f>
        <v>0</v>
      </c>
      <c r="AU364" s="281">
        <f>'💰 Precio de Venta'!I369</f>
        <v>0</v>
      </c>
      <c r="AV364" s="278">
        <f>'💰 Precio de Venta'!J369</f>
        <v>0</v>
      </c>
      <c r="AW364" s="278">
        <f>TABLA_BASE[[#This Row],[GANANCIA
UNIT.(S/.)]]*TABLA_BASE[[#This Row],[CANTIDAD
(unid.)]]</f>
        <v>0</v>
      </c>
      <c r="AX364" s="289">
        <f>'💰 Precio de Venta'!K369</f>
        <v>0</v>
      </c>
      <c r="AY364" s="278">
        <f>TABLA_BASE[[#This Row],[GANANCIA
UNIT.(S/.)]]*'🧾 Factura Comercial'!G368</f>
        <v>0</v>
      </c>
      <c r="AZ364" s="277">
        <f>IF(TABLA_BASE[[#This Row],[PRECIO VTA.
c/IGV(S/.)]]=0,0,TABLA_BASE[[#This Row],[GANANCIA
UNIT.(S/.)]]/TABLA_BASE[[#This Row],[PRECIO VTA.
c/IGV(S/.)]])</f>
        <v>0</v>
      </c>
      <c r="BA364" s="277">
        <f>IF(TABLA_BASE[[#This Row],[C/M UNIT.
(S/.)]]=0,0,TABLA_BASE[[#This Row],[GANANCIA
UNIT.(S/.)]]/TABLA_BASE[[#This Row],[C/M UNIT.
(S/.)]])</f>
        <v>0</v>
      </c>
      <c r="BB364" s="274" t="str">
        <f>IF(TABLA_BASE[[#This Row],[MARGEN
%]]&gt;=0.5,"🟢 ALTO",IF(TABLA_BASE[[#This Row],[MARGEN
%]]&gt;=0.3,"🟡 MEDIO","🔴 BAJO"))</f>
        <v>🟡 MEDIO</v>
      </c>
    </row>
    <row r="365" spans="1:54" ht="16.5" hidden="1" thickTop="1" thickBot="1" x14ac:dyDescent="0.3">
      <c r="A365" s="274">
        <f>'🧾 Factura Comercial'!E369</f>
        <v>0</v>
      </c>
      <c r="B365" s="274" t="str">
        <f>'🧾 Factura Comercial'!F369</f>
        <v>Unid.</v>
      </c>
      <c r="C365" s="275">
        <f>'🧾 Factura Comercial'!G369</f>
        <v>0</v>
      </c>
      <c r="D365" s="276">
        <f>'🧾 Factura Comercial'!H369</f>
        <v>0</v>
      </c>
      <c r="E365" s="276">
        <f>'🧾 Factura Comercial'!I369</f>
        <v>0</v>
      </c>
      <c r="F365" s="277">
        <f>IF('🧾 Tributos Aduana'!$F$6=0,0,'🧾 Factura Comercial'!I369/'🧾 Tributos Aduana'!$F$6)</f>
        <v>0</v>
      </c>
      <c r="G365" s="278">
        <f>'🧾 Factura Comercial'!H369*'📋 Datos Generales'!$E$19</f>
        <v>0</v>
      </c>
      <c r="H365" s="278">
        <f>TABLA_BASE[[#This Row],[FOB UNIT.
(S/.)]]*TABLA_BASE[[#This Row],[CANTIDAD
(unid.)]]</f>
        <v>0</v>
      </c>
      <c r="I365" s="280">
        <f>IF('🧾 Tributos Aduana'!$F$6=0,0,'🧾 Tributos Aduana'!$F$17*('🧾 Factura Comercial'!H369/'🧾 Tributos Aduana'!$F$6))</f>
        <v>0</v>
      </c>
      <c r="J365" s="280">
        <f>TABLA_BASE[[#This Row],[ADV UNIT.
(US$)
⚠️COSTO]]*TABLA_BASE[[#This Row],[CANTIDAD
(unid.)]]</f>
        <v>0</v>
      </c>
      <c r="K365" s="279">
        <f>IF('🧾 Tributos Aduana'!$F$6=0,0,'🧾 Tributos Aduana'!$F$18*('🧾 Factura Comercial'!H369/'🧾 Tributos Aduana'!$F$6))</f>
        <v>0</v>
      </c>
      <c r="L365" s="280">
        <f>TABLA_BASE[[#This Row],[IPM UNIT.
(US$)
✅CF]]*TABLA_BASE[[#This Row],[CANTIDAD
(unid.)]]</f>
        <v>0</v>
      </c>
      <c r="M365" s="279">
        <f>IF('🧾 Tributos Aduana'!$F$6=0,0,'🧾 Tributos Aduana'!$F$19*('🧾 Factura Comercial'!H369/'🧾 Tributos Aduana'!$F$6))</f>
        <v>0</v>
      </c>
      <c r="N365" s="280">
        <f>TABLA_BASE[[#This Row],[IGV UNIT.
(US$)
✅CF]]*TABLA_BASE[[#This Row],[CANTIDAD
(unid.)]]</f>
        <v>0</v>
      </c>
      <c r="O365" s="280">
        <f>IF('🧾 Tributos Aduana'!$F$6=0,0,'🧾 Tributos Aduana'!$F$23*('🧾 Factura Comercial'!H369/'🧾 Tributos Aduana'!$F$6))</f>
        <v>0</v>
      </c>
      <c r="P365" s="280">
        <f>TABLA_BASE[[#This Row],[PERCEP.
UNIT.(US$)
✅CF]]*TABLA_BASE[[#This Row],[CANTIDAD
(unid.)]]</f>
        <v>0</v>
      </c>
      <c r="Q365" s="279">
        <f>TABLA_BASE[[#This Row],[ADV UNIT.
(US$)
⚠️COSTO]]+TABLA_BASE[[#This Row],[IPM UNIT.
(US$)
✅CF]]+TABLA_BASE[[#This Row],[IGV UNIT.
(US$)
✅CF]]</f>
        <v>0</v>
      </c>
      <c r="R365" s="280">
        <f>TABLA_BASE[[#This Row],[DEUDA
ADUANERA
UNIT.]]*TABLA_BASE[[#This Row],[CANTIDAD
(unid.)]]</f>
        <v>0</v>
      </c>
      <c r="S365" s="278">
        <f>TABLA_BASE[[#This Row],[DEUDA
ADUANERA
UNIT.]]*'📋 Datos Generales'!$E$19</f>
        <v>0</v>
      </c>
      <c r="T365" s="278">
        <f>TABLA_BASE[[#This Row],[DEUDA
ADUANERA
TOTAL]]*'📋 Datos Generales'!$E$19</f>
        <v>0</v>
      </c>
      <c r="U365" s="281">
        <f>TABLA_BASE[[#This Row],[ADV UNIT.
(US$)
⚠️COSTO]]*'📋 Datos Generales'!$E$19</f>
        <v>0</v>
      </c>
      <c r="V365" s="281">
        <f>TABLA_BASE[[#This Row],[ADV UNIT.
(S/.)]]*TABLA_BASE[[#This Row],[CANTIDAD
(unid.)]]</f>
        <v>0</v>
      </c>
      <c r="W365" s="281">
        <f>TABLA_BASE[[#This Row],[IPM UNIT.
(US$)
✅CF]]*'📋 Datos Generales'!$E$19</f>
        <v>0</v>
      </c>
      <c r="X365" s="281">
        <f>TABLA_BASE[[#This Row],[IPM UNIT.
(S/.)]]*TABLA_BASE[[#This Row],[CANTIDAD
(unid.)]]</f>
        <v>0</v>
      </c>
      <c r="Y365" s="281">
        <f>TABLA_BASE[[#This Row],[IGV UNIT.
(US$)
✅CF]]*'📋 Datos Generales'!$E$19</f>
        <v>0</v>
      </c>
      <c r="Z365" s="281">
        <f>TABLA_BASE[[#This Row],[IGV UNIT.
(S/.)]]*TABLA_BASE[[#This Row],[CANTIDAD
(unid.)]]</f>
        <v>0</v>
      </c>
      <c r="AA365" s="281">
        <f>TABLA_BASE[[#This Row],[PERCEP.
UNIT.(US$)
✅CF]]*'📋 Datos Generales'!$E$19</f>
        <v>0</v>
      </c>
      <c r="AB365" s="281">
        <f>TABLA_BASE[[#This Row],[PERCEP.
UNIT.(S/.)]]*TABLA_BASE[[#This Row],[CANTIDAD
(unid.)]]</f>
        <v>0</v>
      </c>
      <c r="AC365" s="279">
        <f>TABLA_BASE[[#This Row],[ADV UNIT.
(US$)
⚠️COSTO]]+TABLA_BASE[[#This Row],[IPM UNIT.
(US$)
✅CF]]+TABLA_BASE[[#This Row],[IGV UNIT.
(US$)
✅CF]]+TABLA_BASE[[#This Row],[PERCEP.
UNIT.(US$)
✅CF]]</f>
        <v>0</v>
      </c>
      <c r="AD365" s="279">
        <f>TABLA_BASE[[#This Row],[TOTAL PAGO
SUNAT
UNIT.(US$)]]*TABLA_BASE[[#This Row],[CANTIDAD
(unid.)]]</f>
        <v>0</v>
      </c>
      <c r="AE365" s="281">
        <f>TABLA_BASE[[#This Row],[TOTAL PAGO
SUNAT
UNIT.(US$)]]*'📋 Datos Generales'!$E$19</f>
        <v>0</v>
      </c>
      <c r="AF365" s="281">
        <f>TABLA_BASE[[#This Row],[TOTAL TRIB.
UNIT.(S/.)]]*TABLA_BASE[[#This Row],[CANTIDAD
(unid.)]]</f>
        <v>0</v>
      </c>
      <c r="AG365" s="279">
        <f>IF('🧾 Factura Comercial'!G369=0,0,'📦 Gastos Importación'!$E$28*(IF('🧾 Tributos Aduana'!$F$6=0,0,'🧾 Factura Comercial'!I369/'🧾 Tributos Aduana'!$F$6))/'🧾 Factura Comercial'!G369)</f>
        <v>0</v>
      </c>
      <c r="AH365" s="279">
        <f>TABLA_BASE[[#This Row],[GASTOS IMP.
UNIT.(US$)]]*TABLA_BASE[[#This Row],[CANTIDAD
(unid.)]]</f>
        <v>0</v>
      </c>
      <c r="AI365" s="281">
        <f>TABLA_BASE[[#This Row],[GASTOS IMP.
UNIT.(US$)]]*'📋 Datos Generales'!$E$19</f>
        <v>0</v>
      </c>
      <c r="AJ365" s="281">
        <f>TABLA_BASE[[#This Row],[GASTOS IMP.
UNIT.(S/.)]]*TABLA_BASE[[#This Row],[CANTIDAD
(unid.)]]</f>
        <v>0</v>
      </c>
      <c r="AK365" s="280">
        <f>'🧮 Costos x Producto'!J369</f>
        <v>0</v>
      </c>
      <c r="AL365" s="278">
        <f>'🧮 Costos x Producto'!K369</f>
        <v>0</v>
      </c>
      <c r="AM365" s="278">
        <f>TABLA_BASE[[#This Row],[C/M UNIT.
(S/.)]]*TABLA_BASE[[#This Row],[CANTIDAD
(unid.)]]</f>
        <v>0</v>
      </c>
      <c r="AN365" s="279">
        <f>IF('🧾 Factura Comercial'!G369=0,0,'🧾 Tributos Aduana'!$F$17*(IF('🧾 Tributos Aduana'!$F$6=0,0,'🧾 Factura Comercial'!I369/'🧾 Tributos Aduana'!$F$6))/'🧾 Factura Comercial'!G369)</f>
        <v>0</v>
      </c>
      <c r="AO365" s="280">
        <f>IF('🧾 Factura Comercial'!G369=0,0,'🏦 Crédito Fiscal'!$C$16*(IF('🧾 Tributos Aduana'!$F$6=0,0,'🧾 Factura Comercial'!I369/'🧾 Tributos Aduana'!$F$6))/'🧾 Factura Comercial'!G369)</f>
        <v>0</v>
      </c>
      <c r="AP365" s="278">
        <f>TABLA_BASE[[#This Row],[CF UNIT.
✅RECUP.
(US$)]]*'📋 Datos Generales'!$E$19</f>
        <v>0</v>
      </c>
      <c r="AQ365" s="278">
        <f>TABLA_BASE[[#This Row],[CF UNIT.
✅RECUP.(S/.)]]*TABLA_BASE[[#This Row],[CANTIDAD
(unid.)]]</f>
        <v>0</v>
      </c>
      <c r="AR365" s="288">
        <f>'💰 Precio de Venta'!G370</f>
        <v>0.4</v>
      </c>
      <c r="AS365" s="278">
        <f>'💰 Precio de Venta'!H370</f>
        <v>0</v>
      </c>
      <c r="AT365" s="278">
        <f>TABLA_BASE[[#This Row],[VALOR VTA.
UNIT.(S/.)]]*TABLA_BASE[[#This Row],[CANTIDAD
(unid.)]]</f>
        <v>0</v>
      </c>
      <c r="AU365" s="281">
        <f>'💰 Precio de Venta'!I370</f>
        <v>0</v>
      </c>
      <c r="AV365" s="278">
        <f>'💰 Precio de Venta'!J370</f>
        <v>0</v>
      </c>
      <c r="AW365" s="278">
        <f>TABLA_BASE[[#This Row],[GANANCIA
UNIT.(S/.)]]*TABLA_BASE[[#This Row],[CANTIDAD
(unid.)]]</f>
        <v>0</v>
      </c>
      <c r="AX365" s="289">
        <f>'💰 Precio de Venta'!K370</f>
        <v>0</v>
      </c>
      <c r="AY365" s="278">
        <f>TABLA_BASE[[#This Row],[GANANCIA
UNIT.(S/.)]]*'🧾 Factura Comercial'!G369</f>
        <v>0</v>
      </c>
      <c r="AZ365" s="277">
        <f>IF(TABLA_BASE[[#This Row],[PRECIO VTA.
c/IGV(S/.)]]=0,0,TABLA_BASE[[#This Row],[GANANCIA
UNIT.(S/.)]]/TABLA_BASE[[#This Row],[PRECIO VTA.
c/IGV(S/.)]])</f>
        <v>0</v>
      </c>
      <c r="BA365" s="277">
        <f>IF(TABLA_BASE[[#This Row],[C/M UNIT.
(S/.)]]=0,0,TABLA_BASE[[#This Row],[GANANCIA
UNIT.(S/.)]]/TABLA_BASE[[#This Row],[C/M UNIT.
(S/.)]])</f>
        <v>0</v>
      </c>
      <c r="BB365" s="274" t="str">
        <f>IF(TABLA_BASE[[#This Row],[MARGEN
%]]&gt;=0.5,"🟢 ALTO",IF(TABLA_BASE[[#This Row],[MARGEN
%]]&gt;=0.3,"🟡 MEDIO","🔴 BAJO"))</f>
        <v>🟡 MEDIO</v>
      </c>
    </row>
    <row r="366" spans="1:54" ht="16.5" hidden="1" thickTop="1" thickBot="1" x14ac:dyDescent="0.3">
      <c r="A366" s="274">
        <f>'🧾 Factura Comercial'!E370</f>
        <v>0</v>
      </c>
      <c r="B366" s="274" t="str">
        <f>'🧾 Factura Comercial'!F370</f>
        <v>Unid.</v>
      </c>
      <c r="C366" s="275">
        <f>'🧾 Factura Comercial'!G370</f>
        <v>0</v>
      </c>
      <c r="D366" s="276">
        <f>'🧾 Factura Comercial'!H370</f>
        <v>0</v>
      </c>
      <c r="E366" s="276">
        <f>'🧾 Factura Comercial'!I370</f>
        <v>0</v>
      </c>
      <c r="F366" s="277">
        <f>IF('🧾 Tributos Aduana'!$F$6=0,0,'🧾 Factura Comercial'!I370/'🧾 Tributos Aduana'!$F$6)</f>
        <v>0</v>
      </c>
      <c r="G366" s="278">
        <f>'🧾 Factura Comercial'!H370*'📋 Datos Generales'!$E$19</f>
        <v>0</v>
      </c>
      <c r="H366" s="278">
        <f>TABLA_BASE[[#This Row],[FOB UNIT.
(S/.)]]*TABLA_BASE[[#This Row],[CANTIDAD
(unid.)]]</f>
        <v>0</v>
      </c>
      <c r="I366" s="280">
        <f>IF('🧾 Tributos Aduana'!$F$6=0,0,'🧾 Tributos Aduana'!$F$17*('🧾 Factura Comercial'!H370/'🧾 Tributos Aduana'!$F$6))</f>
        <v>0</v>
      </c>
      <c r="J366" s="280">
        <f>TABLA_BASE[[#This Row],[ADV UNIT.
(US$)
⚠️COSTO]]*TABLA_BASE[[#This Row],[CANTIDAD
(unid.)]]</f>
        <v>0</v>
      </c>
      <c r="K366" s="279">
        <f>IF('🧾 Tributos Aduana'!$F$6=0,0,'🧾 Tributos Aduana'!$F$18*('🧾 Factura Comercial'!H370/'🧾 Tributos Aduana'!$F$6))</f>
        <v>0</v>
      </c>
      <c r="L366" s="280">
        <f>TABLA_BASE[[#This Row],[IPM UNIT.
(US$)
✅CF]]*TABLA_BASE[[#This Row],[CANTIDAD
(unid.)]]</f>
        <v>0</v>
      </c>
      <c r="M366" s="279">
        <f>IF('🧾 Tributos Aduana'!$F$6=0,0,'🧾 Tributos Aduana'!$F$19*('🧾 Factura Comercial'!H370/'🧾 Tributos Aduana'!$F$6))</f>
        <v>0</v>
      </c>
      <c r="N366" s="280">
        <f>TABLA_BASE[[#This Row],[IGV UNIT.
(US$)
✅CF]]*TABLA_BASE[[#This Row],[CANTIDAD
(unid.)]]</f>
        <v>0</v>
      </c>
      <c r="O366" s="280">
        <f>IF('🧾 Tributos Aduana'!$F$6=0,0,'🧾 Tributos Aduana'!$F$23*('🧾 Factura Comercial'!H370/'🧾 Tributos Aduana'!$F$6))</f>
        <v>0</v>
      </c>
      <c r="P366" s="280">
        <f>TABLA_BASE[[#This Row],[PERCEP.
UNIT.(US$)
✅CF]]*TABLA_BASE[[#This Row],[CANTIDAD
(unid.)]]</f>
        <v>0</v>
      </c>
      <c r="Q366" s="279">
        <f>TABLA_BASE[[#This Row],[ADV UNIT.
(US$)
⚠️COSTO]]+TABLA_BASE[[#This Row],[IPM UNIT.
(US$)
✅CF]]+TABLA_BASE[[#This Row],[IGV UNIT.
(US$)
✅CF]]</f>
        <v>0</v>
      </c>
      <c r="R366" s="280">
        <f>TABLA_BASE[[#This Row],[DEUDA
ADUANERA
UNIT.]]*TABLA_BASE[[#This Row],[CANTIDAD
(unid.)]]</f>
        <v>0</v>
      </c>
      <c r="S366" s="278">
        <f>TABLA_BASE[[#This Row],[DEUDA
ADUANERA
UNIT.]]*'📋 Datos Generales'!$E$19</f>
        <v>0</v>
      </c>
      <c r="T366" s="278">
        <f>TABLA_BASE[[#This Row],[DEUDA
ADUANERA
TOTAL]]*'📋 Datos Generales'!$E$19</f>
        <v>0</v>
      </c>
      <c r="U366" s="281">
        <f>TABLA_BASE[[#This Row],[ADV UNIT.
(US$)
⚠️COSTO]]*'📋 Datos Generales'!$E$19</f>
        <v>0</v>
      </c>
      <c r="V366" s="281">
        <f>TABLA_BASE[[#This Row],[ADV UNIT.
(S/.)]]*TABLA_BASE[[#This Row],[CANTIDAD
(unid.)]]</f>
        <v>0</v>
      </c>
      <c r="W366" s="281">
        <f>TABLA_BASE[[#This Row],[IPM UNIT.
(US$)
✅CF]]*'📋 Datos Generales'!$E$19</f>
        <v>0</v>
      </c>
      <c r="X366" s="281">
        <f>TABLA_BASE[[#This Row],[IPM UNIT.
(S/.)]]*TABLA_BASE[[#This Row],[CANTIDAD
(unid.)]]</f>
        <v>0</v>
      </c>
      <c r="Y366" s="281">
        <f>TABLA_BASE[[#This Row],[IGV UNIT.
(US$)
✅CF]]*'📋 Datos Generales'!$E$19</f>
        <v>0</v>
      </c>
      <c r="Z366" s="281">
        <f>TABLA_BASE[[#This Row],[IGV UNIT.
(S/.)]]*TABLA_BASE[[#This Row],[CANTIDAD
(unid.)]]</f>
        <v>0</v>
      </c>
      <c r="AA366" s="281">
        <f>TABLA_BASE[[#This Row],[PERCEP.
UNIT.(US$)
✅CF]]*'📋 Datos Generales'!$E$19</f>
        <v>0</v>
      </c>
      <c r="AB366" s="281">
        <f>TABLA_BASE[[#This Row],[PERCEP.
UNIT.(S/.)]]*TABLA_BASE[[#This Row],[CANTIDAD
(unid.)]]</f>
        <v>0</v>
      </c>
      <c r="AC366" s="279">
        <f>TABLA_BASE[[#This Row],[ADV UNIT.
(US$)
⚠️COSTO]]+TABLA_BASE[[#This Row],[IPM UNIT.
(US$)
✅CF]]+TABLA_BASE[[#This Row],[IGV UNIT.
(US$)
✅CF]]+TABLA_BASE[[#This Row],[PERCEP.
UNIT.(US$)
✅CF]]</f>
        <v>0</v>
      </c>
      <c r="AD366" s="279">
        <f>TABLA_BASE[[#This Row],[TOTAL PAGO
SUNAT
UNIT.(US$)]]*TABLA_BASE[[#This Row],[CANTIDAD
(unid.)]]</f>
        <v>0</v>
      </c>
      <c r="AE366" s="281">
        <f>TABLA_BASE[[#This Row],[TOTAL PAGO
SUNAT
UNIT.(US$)]]*'📋 Datos Generales'!$E$19</f>
        <v>0</v>
      </c>
      <c r="AF366" s="281">
        <f>TABLA_BASE[[#This Row],[TOTAL TRIB.
UNIT.(S/.)]]*TABLA_BASE[[#This Row],[CANTIDAD
(unid.)]]</f>
        <v>0</v>
      </c>
      <c r="AG366" s="279">
        <f>IF('🧾 Factura Comercial'!G370=0,0,'📦 Gastos Importación'!$E$28*(IF('🧾 Tributos Aduana'!$F$6=0,0,'🧾 Factura Comercial'!I370/'🧾 Tributos Aduana'!$F$6))/'🧾 Factura Comercial'!G370)</f>
        <v>0</v>
      </c>
      <c r="AH366" s="279">
        <f>TABLA_BASE[[#This Row],[GASTOS IMP.
UNIT.(US$)]]*TABLA_BASE[[#This Row],[CANTIDAD
(unid.)]]</f>
        <v>0</v>
      </c>
      <c r="AI366" s="281">
        <f>TABLA_BASE[[#This Row],[GASTOS IMP.
UNIT.(US$)]]*'📋 Datos Generales'!$E$19</f>
        <v>0</v>
      </c>
      <c r="AJ366" s="281">
        <f>TABLA_BASE[[#This Row],[GASTOS IMP.
UNIT.(S/.)]]*TABLA_BASE[[#This Row],[CANTIDAD
(unid.)]]</f>
        <v>0</v>
      </c>
      <c r="AK366" s="280">
        <f>'🧮 Costos x Producto'!J370</f>
        <v>0</v>
      </c>
      <c r="AL366" s="278">
        <f>'🧮 Costos x Producto'!K370</f>
        <v>0</v>
      </c>
      <c r="AM366" s="278">
        <f>TABLA_BASE[[#This Row],[C/M UNIT.
(S/.)]]*TABLA_BASE[[#This Row],[CANTIDAD
(unid.)]]</f>
        <v>0</v>
      </c>
      <c r="AN366" s="279">
        <f>IF('🧾 Factura Comercial'!G370=0,0,'🧾 Tributos Aduana'!$F$17*(IF('🧾 Tributos Aduana'!$F$6=0,0,'🧾 Factura Comercial'!I370/'🧾 Tributos Aduana'!$F$6))/'🧾 Factura Comercial'!G370)</f>
        <v>0</v>
      </c>
      <c r="AO366" s="280">
        <f>IF('🧾 Factura Comercial'!G370=0,0,'🏦 Crédito Fiscal'!$C$16*(IF('🧾 Tributos Aduana'!$F$6=0,0,'🧾 Factura Comercial'!I370/'🧾 Tributos Aduana'!$F$6))/'🧾 Factura Comercial'!G370)</f>
        <v>0</v>
      </c>
      <c r="AP366" s="278">
        <f>TABLA_BASE[[#This Row],[CF UNIT.
✅RECUP.
(US$)]]*'📋 Datos Generales'!$E$19</f>
        <v>0</v>
      </c>
      <c r="AQ366" s="278">
        <f>TABLA_BASE[[#This Row],[CF UNIT.
✅RECUP.(S/.)]]*TABLA_BASE[[#This Row],[CANTIDAD
(unid.)]]</f>
        <v>0</v>
      </c>
      <c r="AR366" s="288">
        <f>'💰 Precio de Venta'!G371</f>
        <v>0.4</v>
      </c>
      <c r="AS366" s="278">
        <f>'💰 Precio de Venta'!H371</f>
        <v>0</v>
      </c>
      <c r="AT366" s="278">
        <f>TABLA_BASE[[#This Row],[VALOR VTA.
UNIT.(S/.)]]*TABLA_BASE[[#This Row],[CANTIDAD
(unid.)]]</f>
        <v>0</v>
      </c>
      <c r="AU366" s="281">
        <f>'💰 Precio de Venta'!I371</f>
        <v>0</v>
      </c>
      <c r="AV366" s="278">
        <f>'💰 Precio de Venta'!J371</f>
        <v>0</v>
      </c>
      <c r="AW366" s="278">
        <f>TABLA_BASE[[#This Row],[GANANCIA
UNIT.(S/.)]]*TABLA_BASE[[#This Row],[CANTIDAD
(unid.)]]</f>
        <v>0</v>
      </c>
      <c r="AX366" s="289">
        <f>'💰 Precio de Venta'!K371</f>
        <v>0</v>
      </c>
      <c r="AY366" s="278">
        <f>TABLA_BASE[[#This Row],[GANANCIA
UNIT.(S/.)]]*'🧾 Factura Comercial'!G370</f>
        <v>0</v>
      </c>
      <c r="AZ366" s="277">
        <f>IF(TABLA_BASE[[#This Row],[PRECIO VTA.
c/IGV(S/.)]]=0,0,TABLA_BASE[[#This Row],[GANANCIA
UNIT.(S/.)]]/TABLA_BASE[[#This Row],[PRECIO VTA.
c/IGV(S/.)]])</f>
        <v>0</v>
      </c>
      <c r="BA366" s="277">
        <f>IF(TABLA_BASE[[#This Row],[C/M UNIT.
(S/.)]]=0,0,TABLA_BASE[[#This Row],[GANANCIA
UNIT.(S/.)]]/TABLA_BASE[[#This Row],[C/M UNIT.
(S/.)]])</f>
        <v>0</v>
      </c>
      <c r="BB366" s="274" t="str">
        <f>IF(TABLA_BASE[[#This Row],[MARGEN
%]]&gt;=0.5,"🟢 ALTO",IF(TABLA_BASE[[#This Row],[MARGEN
%]]&gt;=0.3,"🟡 MEDIO","🔴 BAJO"))</f>
        <v>🟡 MEDIO</v>
      </c>
    </row>
    <row r="367" spans="1:54" ht="16.5" hidden="1" thickTop="1" thickBot="1" x14ac:dyDescent="0.3">
      <c r="A367" s="274">
        <f>'🧾 Factura Comercial'!E371</f>
        <v>0</v>
      </c>
      <c r="B367" s="274" t="str">
        <f>'🧾 Factura Comercial'!F371</f>
        <v>Unid.</v>
      </c>
      <c r="C367" s="275">
        <f>'🧾 Factura Comercial'!G371</f>
        <v>0</v>
      </c>
      <c r="D367" s="276">
        <f>'🧾 Factura Comercial'!H371</f>
        <v>0</v>
      </c>
      <c r="E367" s="276">
        <f>'🧾 Factura Comercial'!I371</f>
        <v>0</v>
      </c>
      <c r="F367" s="277">
        <f>IF('🧾 Tributos Aduana'!$F$6=0,0,'🧾 Factura Comercial'!I371/'🧾 Tributos Aduana'!$F$6)</f>
        <v>0</v>
      </c>
      <c r="G367" s="278">
        <f>'🧾 Factura Comercial'!H371*'📋 Datos Generales'!$E$19</f>
        <v>0</v>
      </c>
      <c r="H367" s="278">
        <f>TABLA_BASE[[#This Row],[FOB UNIT.
(S/.)]]*TABLA_BASE[[#This Row],[CANTIDAD
(unid.)]]</f>
        <v>0</v>
      </c>
      <c r="I367" s="280">
        <f>IF('🧾 Tributos Aduana'!$F$6=0,0,'🧾 Tributos Aduana'!$F$17*('🧾 Factura Comercial'!H371/'🧾 Tributos Aduana'!$F$6))</f>
        <v>0</v>
      </c>
      <c r="J367" s="280">
        <f>TABLA_BASE[[#This Row],[ADV UNIT.
(US$)
⚠️COSTO]]*TABLA_BASE[[#This Row],[CANTIDAD
(unid.)]]</f>
        <v>0</v>
      </c>
      <c r="K367" s="279">
        <f>IF('🧾 Tributos Aduana'!$F$6=0,0,'🧾 Tributos Aduana'!$F$18*('🧾 Factura Comercial'!H371/'🧾 Tributos Aduana'!$F$6))</f>
        <v>0</v>
      </c>
      <c r="L367" s="280">
        <f>TABLA_BASE[[#This Row],[IPM UNIT.
(US$)
✅CF]]*TABLA_BASE[[#This Row],[CANTIDAD
(unid.)]]</f>
        <v>0</v>
      </c>
      <c r="M367" s="279">
        <f>IF('🧾 Tributos Aduana'!$F$6=0,0,'🧾 Tributos Aduana'!$F$19*('🧾 Factura Comercial'!H371/'🧾 Tributos Aduana'!$F$6))</f>
        <v>0</v>
      </c>
      <c r="N367" s="280">
        <f>TABLA_BASE[[#This Row],[IGV UNIT.
(US$)
✅CF]]*TABLA_BASE[[#This Row],[CANTIDAD
(unid.)]]</f>
        <v>0</v>
      </c>
      <c r="O367" s="280">
        <f>IF('🧾 Tributos Aduana'!$F$6=0,0,'🧾 Tributos Aduana'!$F$23*('🧾 Factura Comercial'!H371/'🧾 Tributos Aduana'!$F$6))</f>
        <v>0</v>
      </c>
      <c r="P367" s="280">
        <f>TABLA_BASE[[#This Row],[PERCEP.
UNIT.(US$)
✅CF]]*TABLA_BASE[[#This Row],[CANTIDAD
(unid.)]]</f>
        <v>0</v>
      </c>
      <c r="Q367" s="279">
        <f>TABLA_BASE[[#This Row],[ADV UNIT.
(US$)
⚠️COSTO]]+TABLA_BASE[[#This Row],[IPM UNIT.
(US$)
✅CF]]+TABLA_BASE[[#This Row],[IGV UNIT.
(US$)
✅CF]]</f>
        <v>0</v>
      </c>
      <c r="R367" s="280">
        <f>TABLA_BASE[[#This Row],[DEUDA
ADUANERA
UNIT.]]*TABLA_BASE[[#This Row],[CANTIDAD
(unid.)]]</f>
        <v>0</v>
      </c>
      <c r="S367" s="278">
        <f>TABLA_BASE[[#This Row],[DEUDA
ADUANERA
UNIT.]]*'📋 Datos Generales'!$E$19</f>
        <v>0</v>
      </c>
      <c r="T367" s="278">
        <f>TABLA_BASE[[#This Row],[DEUDA
ADUANERA
TOTAL]]*'📋 Datos Generales'!$E$19</f>
        <v>0</v>
      </c>
      <c r="U367" s="281">
        <f>TABLA_BASE[[#This Row],[ADV UNIT.
(US$)
⚠️COSTO]]*'📋 Datos Generales'!$E$19</f>
        <v>0</v>
      </c>
      <c r="V367" s="281">
        <f>TABLA_BASE[[#This Row],[ADV UNIT.
(S/.)]]*TABLA_BASE[[#This Row],[CANTIDAD
(unid.)]]</f>
        <v>0</v>
      </c>
      <c r="W367" s="281">
        <f>TABLA_BASE[[#This Row],[IPM UNIT.
(US$)
✅CF]]*'📋 Datos Generales'!$E$19</f>
        <v>0</v>
      </c>
      <c r="X367" s="281">
        <f>TABLA_BASE[[#This Row],[IPM UNIT.
(S/.)]]*TABLA_BASE[[#This Row],[CANTIDAD
(unid.)]]</f>
        <v>0</v>
      </c>
      <c r="Y367" s="281">
        <f>TABLA_BASE[[#This Row],[IGV UNIT.
(US$)
✅CF]]*'📋 Datos Generales'!$E$19</f>
        <v>0</v>
      </c>
      <c r="Z367" s="281">
        <f>TABLA_BASE[[#This Row],[IGV UNIT.
(S/.)]]*TABLA_BASE[[#This Row],[CANTIDAD
(unid.)]]</f>
        <v>0</v>
      </c>
      <c r="AA367" s="281">
        <f>TABLA_BASE[[#This Row],[PERCEP.
UNIT.(US$)
✅CF]]*'📋 Datos Generales'!$E$19</f>
        <v>0</v>
      </c>
      <c r="AB367" s="281">
        <f>TABLA_BASE[[#This Row],[PERCEP.
UNIT.(S/.)]]*TABLA_BASE[[#This Row],[CANTIDAD
(unid.)]]</f>
        <v>0</v>
      </c>
      <c r="AC367" s="279">
        <f>TABLA_BASE[[#This Row],[ADV UNIT.
(US$)
⚠️COSTO]]+TABLA_BASE[[#This Row],[IPM UNIT.
(US$)
✅CF]]+TABLA_BASE[[#This Row],[IGV UNIT.
(US$)
✅CF]]+TABLA_BASE[[#This Row],[PERCEP.
UNIT.(US$)
✅CF]]</f>
        <v>0</v>
      </c>
      <c r="AD367" s="279">
        <f>TABLA_BASE[[#This Row],[TOTAL PAGO
SUNAT
UNIT.(US$)]]*TABLA_BASE[[#This Row],[CANTIDAD
(unid.)]]</f>
        <v>0</v>
      </c>
      <c r="AE367" s="281">
        <f>TABLA_BASE[[#This Row],[TOTAL PAGO
SUNAT
UNIT.(US$)]]*'📋 Datos Generales'!$E$19</f>
        <v>0</v>
      </c>
      <c r="AF367" s="281">
        <f>TABLA_BASE[[#This Row],[TOTAL TRIB.
UNIT.(S/.)]]*TABLA_BASE[[#This Row],[CANTIDAD
(unid.)]]</f>
        <v>0</v>
      </c>
      <c r="AG367" s="279">
        <f>IF('🧾 Factura Comercial'!G371=0,0,'📦 Gastos Importación'!$E$28*(IF('🧾 Tributos Aduana'!$F$6=0,0,'🧾 Factura Comercial'!I371/'🧾 Tributos Aduana'!$F$6))/'🧾 Factura Comercial'!G371)</f>
        <v>0</v>
      </c>
      <c r="AH367" s="279">
        <f>TABLA_BASE[[#This Row],[GASTOS IMP.
UNIT.(US$)]]*TABLA_BASE[[#This Row],[CANTIDAD
(unid.)]]</f>
        <v>0</v>
      </c>
      <c r="AI367" s="281">
        <f>TABLA_BASE[[#This Row],[GASTOS IMP.
UNIT.(US$)]]*'📋 Datos Generales'!$E$19</f>
        <v>0</v>
      </c>
      <c r="AJ367" s="281">
        <f>TABLA_BASE[[#This Row],[GASTOS IMP.
UNIT.(S/.)]]*TABLA_BASE[[#This Row],[CANTIDAD
(unid.)]]</f>
        <v>0</v>
      </c>
      <c r="AK367" s="280">
        <f>'🧮 Costos x Producto'!J371</f>
        <v>0</v>
      </c>
      <c r="AL367" s="278">
        <f>'🧮 Costos x Producto'!K371</f>
        <v>0</v>
      </c>
      <c r="AM367" s="278">
        <f>TABLA_BASE[[#This Row],[C/M UNIT.
(S/.)]]*TABLA_BASE[[#This Row],[CANTIDAD
(unid.)]]</f>
        <v>0</v>
      </c>
      <c r="AN367" s="279">
        <f>IF('🧾 Factura Comercial'!G371=0,0,'🧾 Tributos Aduana'!$F$17*(IF('🧾 Tributos Aduana'!$F$6=0,0,'🧾 Factura Comercial'!I371/'🧾 Tributos Aduana'!$F$6))/'🧾 Factura Comercial'!G371)</f>
        <v>0</v>
      </c>
      <c r="AO367" s="280">
        <f>IF('🧾 Factura Comercial'!G371=0,0,'🏦 Crédito Fiscal'!$C$16*(IF('🧾 Tributos Aduana'!$F$6=0,0,'🧾 Factura Comercial'!I371/'🧾 Tributos Aduana'!$F$6))/'🧾 Factura Comercial'!G371)</f>
        <v>0</v>
      </c>
      <c r="AP367" s="278">
        <f>TABLA_BASE[[#This Row],[CF UNIT.
✅RECUP.
(US$)]]*'📋 Datos Generales'!$E$19</f>
        <v>0</v>
      </c>
      <c r="AQ367" s="278">
        <f>TABLA_BASE[[#This Row],[CF UNIT.
✅RECUP.(S/.)]]*TABLA_BASE[[#This Row],[CANTIDAD
(unid.)]]</f>
        <v>0</v>
      </c>
      <c r="AR367" s="288">
        <f>'💰 Precio de Venta'!G372</f>
        <v>0.4</v>
      </c>
      <c r="AS367" s="278">
        <f>'💰 Precio de Venta'!H372</f>
        <v>0</v>
      </c>
      <c r="AT367" s="278">
        <f>TABLA_BASE[[#This Row],[VALOR VTA.
UNIT.(S/.)]]*TABLA_BASE[[#This Row],[CANTIDAD
(unid.)]]</f>
        <v>0</v>
      </c>
      <c r="AU367" s="281">
        <f>'💰 Precio de Venta'!I372</f>
        <v>0</v>
      </c>
      <c r="AV367" s="278">
        <f>'💰 Precio de Venta'!J372</f>
        <v>0</v>
      </c>
      <c r="AW367" s="278">
        <f>TABLA_BASE[[#This Row],[GANANCIA
UNIT.(S/.)]]*TABLA_BASE[[#This Row],[CANTIDAD
(unid.)]]</f>
        <v>0</v>
      </c>
      <c r="AX367" s="289">
        <f>'💰 Precio de Venta'!K372</f>
        <v>0</v>
      </c>
      <c r="AY367" s="278">
        <f>TABLA_BASE[[#This Row],[GANANCIA
UNIT.(S/.)]]*'🧾 Factura Comercial'!G371</f>
        <v>0</v>
      </c>
      <c r="AZ367" s="277">
        <f>IF(TABLA_BASE[[#This Row],[PRECIO VTA.
c/IGV(S/.)]]=0,0,TABLA_BASE[[#This Row],[GANANCIA
UNIT.(S/.)]]/TABLA_BASE[[#This Row],[PRECIO VTA.
c/IGV(S/.)]])</f>
        <v>0</v>
      </c>
      <c r="BA367" s="277">
        <f>IF(TABLA_BASE[[#This Row],[C/M UNIT.
(S/.)]]=0,0,TABLA_BASE[[#This Row],[GANANCIA
UNIT.(S/.)]]/TABLA_BASE[[#This Row],[C/M UNIT.
(S/.)]])</f>
        <v>0</v>
      </c>
      <c r="BB367" s="274" t="str">
        <f>IF(TABLA_BASE[[#This Row],[MARGEN
%]]&gt;=0.5,"🟢 ALTO",IF(TABLA_BASE[[#This Row],[MARGEN
%]]&gt;=0.3,"🟡 MEDIO","🔴 BAJO"))</f>
        <v>🟡 MEDIO</v>
      </c>
    </row>
    <row r="368" spans="1:54" ht="16.5" hidden="1" thickTop="1" thickBot="1" x14ac:dyDescent="0.3">
      <c r="A368" s="274">
        <f>'🧾 Factura Comercial'!E372</f>
        <v>0</v>
      </c>
      <c r="B368" s="274" t="str">
        <f>'🧾 Factura Comercial'!F372</f>
        <v>Unid.</v>
      </c>
      <c r="C368" s="275">
        <f>'🧾 Factura Comercial'!G372</f>
        <v>0</v>
      </c>
      <c r="D368" s="276">
        <f>'🧾 Factura Comercial'!H372</f>
        <v>0</v>
      </c>
      <c r="E368" s="276">
        <f>'🧾 Factura Comercial'!I372</f>
        <v>0</v>
      </c>
      <c r="F368" s="277">
        <f>IF('🧾 Tributos Aduana'!$F$6=0,0,'🧾 Factura Comercial'!I372/'🧾 Tributos Aduana'!$F$6)</f>
        <v>0</v>
      </c>
      <c r="G368" s="278">
        <f>'🧾 Factura Comercial'!H372*'📋 Datos Generales'!$E$19</f>
        <v>0</v>
      </c>
      <c r="H368" s="278">
        <f>TABLA_BASE[[#This Row],[FOB UNIT.
(S/.)]]*TABLA_BASE[[#This Row],[CANTIDAD
(unid.)]]</f>
        <v>0</v>
      </c>
      <c r="I368" s="280">
        <f>IF('🧾 Tributos Aduana'!$F$6=0,0,'🧾 Tributos Aduana'!$F$17*('🧾 Factura Comercial'!H372/'🧾 Tributos Aduana'!$F$6))</f>
        <v>0</v>
      </c>
      <c r="J368" s="280">
        <f>TABLA_BASE[[#This Row],[ADV UNIT.
(US$)
⚠️COSTO]]*TABLA_BASE[[#This Row],[CANTIDAD
(unid.)]]</f>
        <v>0</v>
      </c>
      <c r="K368" s="279">
        <f>IF('🧾 Tributos Aduana'!$F$6=0,0,'🧾 Tributos Aduana'!$F$18*('🧾 Factura Comercial'!H372/'🧾 Tributos Aduana'!$F$6))</f>
        <v>0</v>
      </c>
      <c r="L368" s="280">
        <f>TABLA_BASE[[#This Row],[IPM UNIT.
(US$)
✅CF]]*TABLA_BASE[[#This Row],[CANTIDAD
(unid.)]]</f>
        <v>0</v>
      </c>
      <c r="M368" s="279">
        <f>IF('🧾 Tributos Aduana'!$F$6=0,0,'🧾 Tributos Aduana'!$F$19*('🧾 Factura Comercial'!H372/'🧾 Tributos Aduana'!$F$6))</f>
        <v>0</v>
      </c>
      <c r="N368" s="280">
        <f>TABLA_BASE[[#This Row],[IGV UNIT.
(US$)
✅CF]]*TABLA_BASE[[#This Row],[CANTIDAD
(unid.)]]</f>
        <v>0</v>
      </c>
      <c r="O368" s="280">
        <f>IF('🧾 Tributos Aduana'!$F$6=0,0,'🧾 Tributos Aduana'!$F$23*('🧾 Factura Comercial'!H372/'🧾 Tributos Aduana'!$F$6))</f>
        <v>0</v>
      </c>
      <c r="P368" s="280">
        <f>TABLA_BASE[[#This Row],[PERCEP.
UNIT.(US$)
✅CF]]*TABLA_BASE[[#This Row],[CANTIDAD
(unid.)]]</f>
        <v>0</v>
      </c>
      <c r="Q368" s="279">
        <f>TABLA_BASE[[#This Row],[ADV UNIT.
(US$)
⚠️COSTO]]+TABLA_BASE[[#This Row],[IPM UNIT.
(US$)
✅CF]]+TABLA_BASE[[#This Row],[IGV UNIT.
(US$)
✅CF]]</f>
        <v>0</v>
      </c>
      <c r="R368" s="280">
        <f>TABLA_BASE[[#This Row],[DEUDA
ADUANERA
UNIT.]]*TABLA_BASE[[#This Row],[CANTIDAD
(unid.)]]</f>
        <v>0</v>
      </c>
      <c r="S368" s="278">
        <f>TABLA_BASE[[#This Row],[DEUDA
ADUANERA
UNIT.]]*'📋 Datos Generales'!$E$19</f>
        <v>0</v>
      </c>
      <c r="T368" s="278">
        <f>TABLA_BASE[[#This Row],[DEUDA
ADUANERA
TOTAL]]*'📋 Datos Generales'!$E$19</f>
        <v>0</v>
      </c>
      <c r="U368" s="281">
        <f>TABLA_BASE[[#This Row],[ADV UNIT.
(US$)
⚠️COSTO]]*'📋 Datos Generales'!$E$19</f>
        <v>0</v>
      </c>
      <c r="V368" s="281">
        <f>TABLA_BASE[[#This Row],[ADV UNIT.
(S/.)]]*TABLA_BASE[[#This Row],[CANTIDAD
(unid.)]]</f>
        <v>0</v>
      </c>
      <c r="W368" s="281">
        <f>TABLA_BASE[[#This Row],[IPM UNIT.
(US$)
✅CF]]*'📋 Datos Generales'!$E$19</f>
        <v>0</v>
      </c>
      <c r="X368" s="281">
        <f>TABLA_BASE[[#This Row],[IPM UNIT.
(S/.)]]*TABLA_BASE[[#This Row],[CANTIDAD
(unid.)]]</f>
        <v>0</v>
      </c>
      <c r="Y368" s="281">
        <f>TABLA_BASE[[#This Row],[IGV UNIT.
(US$)
✅CF]]*'📋 Datos Generales'!$E$19</f>
        <v>0</v>
      </c>
      <c r="Z368" s="281">
        <f>TABLA_BASE[[#This Row],[IGV UNIT.
(S/.)]]*TABLA_BASE[[#This Row],[CANTIDAD
(unid.)]]</f>
        <v>0</v>
      </c>
      <c r="AA368" s="281">
        <f>TABLA_BASE[[#This Row],[PERCEP.
UNIT.(US$)
✅CF]]*'📋 Datos Generales'!$E$19</f>
        <v>0</v>
      </c>
      <c r="AB368" s="281">
        <f>TABLA_BASE[[#This Row],[PERCEP.
UNIT.(S/.)]]*TABLA_BASE[[#This Row],[CANTIDAD
(unid.)]]</f>
        <v>0</v>
      </c>
      <c r="AC368" s="279">
        <f>TABLA_BASE[[#This Row],[ADV UNIT.
(US$)
⚠️COSTO]]+TABLA_BASE[[#This Row],[IPM UNIT.
(US$)
✅CF]]+TABLA_BASE[[#This Row],[IGV UNIT.
(US$)
✅CF]]+TABLA_BASE[[#This Row],[PERCEP.
UNIT.(US$)
✅CF]]</f>
        <v>0</v>
      </c>
      <c r="AD368" s="279">
        <f>TABLA_BASE[[#This Row],[TOTAL PAGO
SUNAT
UNIT.(US$)]]*TABLA_BASE[[#This Row],[CANTIDAD
(unid.)]]</f>
        <v>0</v>
      </c>
      <c r="AE368" s="281">
        <f>TABLA_BASE[[#This Row],[TOTAL PAGO
SUNAT
UNIT.(US$)]]*'📋 Datos Generales'!$E$19</f>
        <v>0</v>
      </c>
      <c r="AF368" s="281">
        <f>TABLA_BASE[[#This Row],[TOTAL TRIB.
UNIT.(S/.)]]*TABLA_BASE[[#This Row],[CANTIDAD
(unid.)]]</f>
        <v>0</v>
      </c>
      <c r="AG368" s="279">
        <f>IF('🧾 Factura Comercial'!G372=0,0,'📦 Gastos Importación'!$E$28*(IF('🧾 Tributos Aduana'!$F$6=0,0,'🧾 Factura Comercial'!I372/'🧾 Tributos Aduana'!$F$6))/'🧾 Factura Comercial'!G372)</f>
        <v>0</v>
      </c>
      <c r="AH368" s="279">
        <f>TABLA_BASE[[#This Row],[GASTOS IMP.
UNIT.(US$)]]*TABLA_BASE[[#This Row],[CANTIDAD
(unid.)]]</f>
        <v>0</v>
      </c>
      <c r="AI368" s="281">
        <f>TABLA_BASE[[#This Row],[GASTOS IMP.
UNIT.(US$)]]*'📋 Datos Generales'!$E$19</f>
        <v>0</v>
      </c>
      <c r="AJ368" s="281">
        <f>TABLA_BASE[[#This Row],[GASTOS IMP.
UNIT.(S/.)]]*TABLA_BASE[[#This Row],[CANTIDAD
(unid.)]]</f>
        <v>0</v>
      </c>
      <c r="AK368" s="280">
        <f>'🧮 Costos x Producto'!J372</f>
        <v>0</v>
      </c>
      <c r="AL368" s="278">
        <f>'🧮 Costos x Producto'!K372</f>
        <v>0</v>
      </c>
      <c r="AM368" s="278">
        <f>TABLA_BASE[[#This Row],[C/M UNIT.
(S/.)]]*TABLA_BASE[[#This Row],[CANTIDAD
(unid.)]]</f>
        <v>0</v>
      </c>
      <c r="AN368" s="279">
        <f>IF('🧾 Factura Comercial'!G372=0,0,'🧾 Tributos Aduana'!$F$17*(IF('🧾 Tributos Aduana'!$F$6=0,0,'🧾 Factura Comercial'!I372/'🧾 Tributos Aduana'!$F$6))/'🧾 Factura Comercial'!G372)</f>
        <v>0</v>
      </c>
      <c r="AO368" s="280">
        <f>IF('🧾 Factura Comercial'!G372=0,0,'🏦 Crédito Fiscal'!$C$16*(IF('🧾 Tributos Aduana'!$F$6=0,0,'🧾 Factura Comercial'!I372/'🧾 Tributos Aduana'!$F$6))/'🧾 Factura Comercial'!G372)</f>
        <v>0</v>
      </c>
      <c r="AP368" s="278">
        <f>TABLA_BASE[[#This Row],[CF UNIT.
✅RECUP.
(US$)]]*'📋 Datos Generales'!$E$19</f>
        <v>0</v>
      </c>
      <c r="AQ368" s="278">
        <f>TABLA_BASE[[#This Row],[CF UNIT.
✅RECUP.(S/.)]]*TABLA_BASE[[#This Row],[CANTIDAD
(unid.)]]</f>
        <v>0</v>
      </c>
      <c r="AR368" s="288">
        <f>'💰 Precio de Venta'!G373</f>
        <v>0.4</v>
      </c>
      <c r="AS368" s="278">
        <f>'💰 Precio de Venta'!H373</f>
        <v>0</v>
      </c>
      <c r="AT368" s="278">
        <f>TABLA_BASE[[#This Row],[VALOR VTA.
UNIT.(S/.)]]*TABLA_BASE[[#This Row],[CANTIDAD
(unid.)]]</f>
        <v>0</v>
      </c>
      <c r="AU368" s="281">
        <f>'💰 Precio de Venta'!I373</f>
        <v>0</v>
      </c>
      <c r="AV368" s="278">
        <f>'💰 Precio de Venta'!J373</f>
        <v>0</v>
      </c>
      <c r="AW368" s="278">
        <f>TABLA_BASE[[#This Row],[GANANCIA
UNIT.(S/.)]]*TABLA_BASE[[#This Row],[CANTIDAD
(unid.)]]</f>
        <v>0</v>
      </c>
      <c r="AX368" s="289">
        <f>'💰 Precio de Venta'!K373</f>
        <v>0</v>
      </c>
      <c r="AY368" s="278">
        <f>TABLA_BASE[[#This Row],[GANANCIA
UNIT.(S/.)]]*'🧾 Factura Comercial'!G372</f>
        <v>0</v>
      </c>
      <c r="AZ368" s="277">
        <f>IF(TABLA_BASE[[#This Row],[PRECIO VTA.
c/IGV(S/.)]]=0,0,TABLA_BASE[[#This Row],[GANANCIA
UNIT.(S/.)]]/TABLA_BASE[[#This Row],[PRECIO VTA.
c/IGV(S/.)]])</f>
        <v>0</v>
      </c>
      <c r="BA368" s="277">
        <f>IF(TABLA_BASE[[#This Row],[C/M UNIT.
(S/.)]]=0,0,TABLA_BASE[[#This Row],[GANANCIA
UNIT.(S/.)]]/TABLA_BASE[[#This Row],[C/M UNIT.
(S/.)]])</f>
        <v>0</v>
      </c>
      <c r="BB368" s="274" t="str">
        <f>IF(TABLA_BASE[[#This Row],[MARGEN
%]]&gt;=0.5,"🟢 ALTO",IF(TABLA_BASE[[#This Row],[MARGEN
%]]&gt;=0.3,"🟡 MEDIO","🔴 BAJO"))</f>
        <v>🟡 MEDIO</v>
      </c>
    </row>
    <row r="369" spans="1:54" ht="16.5" hidden="1" thickTop="1" thickBot="1" x14ac:dyDescent="0.3">
      <c r="A369" s="274">
        <f>'🧾 Factura Comercial'!E373</f>
        <v>0</v>
      </c>
      <c r="B369" s="274" t="str">
        <f>'🧾 Factura Comercial'!F373</f>
        <v>Unid.</v>
      </c>
      <c r="C369" s="275">
        <f>'🧾 Factura Comercial'!G373</f>
        <v>0</v>
      </c>
      <c r="D369" s="276">
        <f>'🧾 Factura Comercial'!H373</f>
        <v>0</v>
      </c>
      <c r="E369" s="276">
        <f>'🧾 Factura Comercial'!I373</f>
        <v>0</v>
      </c>
      <c r="F369" s="277">
        <f>IF('🧾 Tributos Aduana'!$F$6=0,0,'🧾 Factura Comercial'!I373/'🧾 Tributos Aduana'!$F$6)</f>
        <v>0</v>
      </c>
      <c r="G369" s="278">
        <f>'🧾 Factura Comercial'!H373*'📋 Datos Generales'!$E$19</f>
        <v>0</v>
      </c>
      <c r="H369" s="278">
        <f>TABLA_BASE[[#This Row],[FOB UNIT.
(S/.)]]*TABLA_BASE[[#This Row],[CANTIDAD
(unid.)]]</f>
        <v>0</v>
      </c>
      <c r="I369" s="280">
        <f>IF('🧾 Tributos Aduana'!$F$6=0,0,'🧾 Tributos Aduana'!$F$17*('🧾 Factura Comercial'!H373/'🧾 Tributos Aduana'!$F$6))</f>
        <v>0</v>
      </c>
      <c r="J369" s="280">
        <f>TABLA_BASE[[#This Row],[ADV UNIT.
(US$)
⚠️COSTO]]*TABLA_BASE[[#This Row],[CANTIDAD
(unid.)]]</f>
        <v>0</v>
      </c>
      <c r="K369" s="279">
        <f>IF('🧾 Tributos Aduana'!$F$6=0,0,'🧾 Tributos Aduana'!$F$18*('🧾 Factura Comercial'!H373/'🧾 Tributos Aduana'!$F$6))</f>
        <v>0</v>
      </c>
      <c r="L369" s="280">
        <f>TABLA_BASE[[#This Row],[IPM UNIT.
(US$)
✅CF]]*TABLA_BASE[[#This Row],[CANTIDAD
(unid.)]]</f>
        <v>0</v>
      </c>
      <c r="M369" s="279">
        <f>IF('🧾 Tributos Aduana'!$F$6=0,0,'🧾 Tributos Aduana'!$F$19*('🧾 Factura Comercial'!H373/'🧾 Tributos Aduana'!$F$6))</f>
        <v>0</v>
      </c>
      <c r="N369" s="280">
        <f>TABLA_BASE[[#This Row],[IGV UNIT.
(US$)
✅CF]]*TABLA_BASE[[#This Row],[CANTIDAD
(unid.)]]</f>
        <v>0</v>
      </c>
      <c r="O369" s="280">
        <f>IF('🧾 Tributos Aduana'!$F$6=0,0,'🧾 Tributos Aduana'!$F$23*('🧾 Factura Comercial'!H373/'🧾 Tributos Aduana'!$F$6))</f>
        <v>0</v>
      </c>
      <c r="P369" s="280">
        <f>TABLA_BASE[[#This Row],[PERCEP.
UNIT.(US$)
✅CF]]*TABLA_BASE[[#This Row],[CANTIDAD
(unid.)]]</f>
        <v>0</v>
      </c>
      <c r="Q369" s="279">
        <f>TABLA_BASE[[#This Row],[ADV UNIT.
(US$)
⚠️COSTO]]+TABLA_BASE[[#This Row],[IPM UNIT.
(US$)
✅CF]]+TABLA_BASE[[#This Row],[IGV UNIT.
(US$)
✅CF]]</f>
        <v>0</v>
      </c>
      <c r="R369" s="280">
        <f>TABLA_BASE[[#This Row],[DEUDA
ADUANERA
UNIT.]]*TABLA_BASE[[#This Row],[CANTIDAD
(unid.)]]</f>
        <v>0</v>
      </c>
      <c r="S369" s="278">
        <f>TABLA_BASE[[#This Row],[DEUDA
ADUANERA
UNIT.]]*'📋 Datos Generales'!$E$19</f>
        <v>0</v>
      </c>
      <c r="T369" s="278">
        <f>TABLA_BASE[[#This Row],[DEUDA
ADUANERA
TOTAL]]*'📋 Datos Generales'!$E$19</f>
        <v>0</v>
      </c>
      <c r="U369" s="281">
        <f>TABLA_BASE[[#This Row],[ADV UNIT.
(US$)
⚠️COSTO]]*'📋 Datos Generales'!$E$19</f>
        <v>0</v>
      </c>
      <c r="V369" s="281">
        <f>TABLA_BASE[[#This Row],[ADV UNIT.
(S/.)]]*TABLA_BASE[[#This Row],[CANTIDAD
(unid.)]]</f>
        <v>0</v>
      </c>
      <c r="W369" s="281">
        <f>TABLA_BASE[[#This Row],[IPM UNIT.
(US$)
✅CF]]*'📋 Datos Generales'!$E$19</f>
        <v>0</v>
      </c>
      <c r="X369" s="281">
        <f>TABLA_BASE[[#This Row],[IPM UNIT.
(S/.)]]*TABLA_BASE[[#This Row],[CANTIDAD
(unid.)]]</f>
        <v>0</v>
      </c>
      <c r="Y369" s="281">
        <f>TABLA_BASE[[#This Row],[IGV UNIT.
(US$)
✅CF]]*'📋 Datos Generales'!$E$19</f>
        <v>0</v>
      </c>
      <c r="Z369" s="281">
        <f>TABLA_BASE[[#This Row],[IGV UNIT.
(S/.)]]*TABLA_BASE[[#This Row],[CANTIDAD
(unid.)]]</f>
        <v>0</v>
      </c>
      <c r="AA369" s="281">
        <f>TABLA_BASE[[#This Row],[PERCEP.
UNIT.(US$)
✅CF]]*'📋 Datos Generales'!$E$19</f>
        <v>0</v>
      </c>
      <c r="AB369" s="281">
        <f>TABLA_BASE[[#This Row],[PERCEP.
UNIT.(S/.)]]*TABLA_BASE[[#This Row],[CANTIDAD
(unid.)]]</f>
        <v>0</v>
      </c>
      <c r="AC369" s="279">
        <f>TABLA_BASE[[#This Row],[ADV UNIT.
(US$)
⚠️COSTO]]+TABLA_BASE[[#This Row],[IPM UNIT.
(US$)
✅CF]]+TABLA_BASE[[#This Row],[IGV UNIT.
(US$)
✅CF]]+TABLA_BASE[[#This Row],[PERCEP.
UNIT.(US$)
✅CF]]</f>
        <v>0</v>
      </c>
      <c r="AD369" s="279">
        <f>TABLA_BASE[[#This Row],[TOTAL PAGO
SUNAT
UNIT.(US$)]]*TABLA_BASE[[#This Row],[CANTIDAD
(unid.)]]</f>
        <v>0</v>
      </c>
      <c r="AE369" s="281">
        <f>TABLA_BASE[[#This Row],[TOTAL PAGO
SUNAT
UNIT.(US$)]]*'📋 Datos Generales'!$E$19</f>
        <v>0</v>
      </c>
      <c r="AF369" s="281">
        <f>TABLA_BASE[[#This Row],[TOTAL TRIB.
UNIT.(S/.)]]*TABLA_BASE[[#This Row],[CANTIDAD
(unid.)]]</f>
        <v>0</v>
      </c>
      <c r="AG369" s="279">
        <f>IF('🧾 Factura Comercial'!G373=0,0,'📦 Gastos Importación'!$E$28*(IF('🧾 Tributos Aduana'!$F$6=0,0,'🧾 Factura Comercial'!I373/'🧾 Tributos Aduana'!$F$6))/'🧾 Factura Comercial'!G373)</f>
        <v>0</v>
      </c>
      <c r="AH369" s="279">
        <f>TABLA_BASE[[#This Row],[GASTOS IMP.
UNIT.(US$)]]*TABLA_BASE[[#This Row],[CANTIDAD
(unid.)]]</f>
        <v>0</v>
      </c>
      <c r="AI369" s="281">
        <f>TABLA_BASE[[#This Row],[GASTOS IMP.
UNIT.(US$)]]*'📋 Datos Generales'!$E$19</f>
        <v>0</v>
      </c>
      <c r="AJ369" s="281">
        <f>TABLA_BASE[[#This Row],[GASTOS IMP.
UNIT.(S/.)]]*TABLA_BASE[[#This Row],[CANTIDAD
(unid.)]]</f>
        <v>0</v>
      </c>
      <c r="AK369" s="280">
        <f>'🧮 Costos x Producto'!J373</f>
        <v>0</v>
      </c>
      <c r="AL369" s="278">
        <f>'🧮 Costos x Producto'!K373</f>
        <v>0</v>
      </c>
      <c r="AM369" s="278">
        <f>TABLA_BASE[[#This Row],[C/M UNIT.
(S/.)]]*TABLA_BASE[[#This Row],[CANTIDAD
(unid.)]]</f>
        <v>0</v>
      </c>
      <c r="AN369" s="279">
        <f>IF('🧾 Factura Comercial'!G373=0,0,'🧾 Tributos Aduana'!$F$17*(IF('🧾 Tributos Aduana'!$F$6=0,0,'🧾 Factura Comercial'!I373/'🧾 Tributos Aduana'!$F$6))/'🧾 Factura Comercial'!G373)</f>
        <v>0</v>
      </c>
      <c r="AO369" s="280">
        <f>IF('🧾 Factura Comercial'!G373=0,0,'🏦 Crédito Fiscal'!$C$16*(IF('🧾 Tributos Aduana'!$F$6=0,0,'🧾 Factura Comercial'!I373/'🧾 Tributos Aduana'!$F$6))/'🧾 Factura Comercial'!G373)</f>
        <v>0</v>
      </c>
      <c r="AP369" s="278">
        <f>TABLA_BASE[[#This Row],[CF UNIT.
✅RECUP.
(US$)]]*'📋 Datos Generales'!$E$19</f>
        <v>0</v>
      </c>
      <c r="AQ369" s="278">
        <f>TABLA_BASE[[#This Row],[CF UNIT.
✅RECUP.(S/.)]]*TABLA_BASE[[#This Row],[CANTIDAD
(unid.)]]</f>
        <v>0</v>
      </c>
      <c r="AR369" s="288">
        <f>'💰 Precio de Venta'!G374</f>
        <v>0.4</v>
      </c>
      <c r="AS369" s="278">
        <f>'💰 Precio de Venta'!H374</f>
        <v>0</v>
      </c>
      <c r="AT369" s="278">
        <f>TABLA_BASE[[#This Row],[VALOR VTA.
UNIT.(S/.)]]*TABLA_BASE[[#This Row],[CANTIDAD
(unid.)]]</f>
        <v>0</v>
      </c>
      <c r="AU369" s="281">
        <f>'💰 Precio de Venta'!I374</f>
        <v>0</v>
      </c>
      <c r="AV369" s="278">
        <f>'💰 Precio de Venta'!J374</f>
        <v>0</v>
      </c>
      <c r="AW369" s="278">
        <f>TABLA_BASE[[#This Row],[GANANCIA
UNIT.(S/.)]]*TABLA_BASE[[#This Row],[CANTIDAD
(unid.)]]</f>
        <v>0</v>
      </c>
      <c r="AX369" s="289">
        <f>'💰 Precio de Venta'!K374</f>
        <v>0</v>
      </c>
      <c r="AY369" s="278">
        <f>TABLA_BASE[[#This Row],[GANANCIA
UNIT.(S/.)]]*'🧾 Factura Comercial'!G373</f>
        <v>0</v>
      </c>
      <c r="AZ369" s="277">
        <f>IF(TABLA_BASE[[#This Row],[PRECIO VTA.
c/IGV(S/.)]]=0,0,TABLA_BASE[[#This Row],[GANANCIA
UNIT.(S/.)]]/TABLA_BASE[[#This Row],[PRECIO VTA.
c/IGV(S/.)]])</f>
        <v>0</v>
      </c>
      <c r="BA369" s="277">
        <f>IF(TABLA_BASE[[#This Row],[C/M UNIT.
(S/.)]]=0,0,TABLA_BASE[[#This Row],[GANANCIA
UNIT.(S/.)]]/TABLA_BASE[[#This Row],[C/M UNIT.
(S/.)]])</f>
        <v>0</v>
      </c>
      <c r="BB369" s="274" t="str">
        <f>IF(TABLA_BASE[[#This Row],[MARGEN
%]]&gt;=0.5,"🟢 ALTO",IF(TABLA_BASE[[#This Row],[MARGEN
%]]&gt;=0.3,"🟡 MEDIO","🔴 BAJO"))</f>
        <v>🟡 MEDIO</v>
      </c>
    </row>
    <row r="370" spans="1:54" ht="16.5" hidden="1" thickTop="1" thickBot="1" x14ac:dyDescent="0.3">
      <c r="A370" s="274">
        <f>'🧾 Factura Comercial'!E374</f>
        <v>0</v>
      </c>
      <c r="B370" s="274" t="str">
        <f>'🧾 Factura Comercial'!F374</f>
        <v>Unid.</v>
      </c>
      <c r="C370" s="275">
        <f>'🧾 Factura Comercial'!G374</f>
        <v>0</v>
      </c>
      <c r="D370" s="276">
        <f>'🧾 Factura Comercial'!H374</f>
        <v>0</v>
      </c>
      <c r="E370" s="276">
        <f>'🧾 Factura Comercial'!I374</f>
        <v>0</v>
      </c>
      <c r="F370" s="277">
        <f>IF('🧾 Tributos Aduana'!$F$6=0,0,'🧾 Factura Comercial'!I374/'🧾 Tributos Aduana'!$F$6)</f>
        <v>0</v>
      </c>
      <c r="G370" s="278">
        <f>'🧾 Factura Comercial'!H374*'📋 Datos Generales'!$E$19</f>
        <v>0</v>
      </c>
      <c r="H370" s="278">
        <f>TABLA_BASE[[#This Row],[FOB UNIT.
(S/.)]]*TABLA_BASE[[#This Row],[CANTIDAD
(unid.)]]</f>
        <v>0</v>
      </c>
      <c r="I370" s="280">
        <f>IF('🧾 Tributos Aduana'!$F$6=0,0,'🧾 Tributos Aduana'!$F$17*('🧾 Factura Comercial'!H374/'🧾 Tributos Aduana'!$F$6))</f>
        <v>0</v>
      </c>
      <c r="J370" s="280">
        <f>TABLA_BASE[[#This Row],[ADV UNIT.
(US$)
⚠️COSTO]]*TABLA_BASE[[#This Row],[CANTIDAD
(unid.)]]</f>
        <v>0</v>
      </c>
      <c r="K370" s="279">
        <f>IF('🧾 Tributos Aduana'!$F$6=0,0,'🧾 Tributos Aduana'!$F$18*('🧾 Factura Comercial'!H374/'🧾 Tributos Aduana'!$F$6))</f>
        <v>0</v>
      </c>
      <c r="L370" s="280">
        <f>TABLA_BASE[[#This Row],[IPM UNIT.
(US$)
✅CF]]*TABLA_BASE[[#This Row],[CANTIDAD
(unid.)]]</f>
        <v>0</v>
      </c>
      <c r="M370" s="279">
        <f>IF('🧾 Tributos Aduana'!$F$6=0,0,'🧾 Tributos Aduana'!$F$19*('🧾 Factura Comercial'!H374/'🧾 Tributos Aduana'!$F$6))</f>
        <v>0</v>
      </c>
      <c r="N370" s="280">
        <f>TABLA_BASE[[#This Row],[IGV UNIT.
(US$)
✅CF]]*TABLA_BASE[[#This Row],[CANTIDAD
(unid.)]]</f>
        <v>0</v>
      </c>
      <c r="O370" s="280">
        <f>IF('🧾 Tributos Aduana'!$F$6=0,0,'🧾 Tributos Aduana'!$F$23*('🧾 Factura Comercial'!H374/'🧾 Tributos Aduana'!$F$6))</f>
        <v>0</v>
      </c>
      <c r="P370" s="280">
        <f>TABLA_BASE[[#This Row],[PERCEP.
UNIT.(US$)
✅CF]]*TABLA_BASE[[#This Row],[CANTIDAD
(unid.)]]</f>
        <v>0</v>
      </c>
      <c r="Q370" s="279">
        <f>TABLA_BASE[[#This Row],[ADV UNIT.
(US$)
⚠️COSTO]]+TABLA_BASE[[#This Row],[IPM UNIT.
(US$)
✅CF]]+TABLA_BASE[[#This Row],[IGV UNIT.
(US$)
✅CF]]</f>
        <v>0</v>
      </c>
      <c r="R370" s="280">
        <f>TABLA_BASE[[#This Row],[DEUDA
ADUANERA
UNIT.]]*TABLA_BASE[[#This Row],[CANTIDAD
(unid.)]]</f>
        <v>0</v>
      </c>
      <c r="S370" s="278">
        <f>TABLA_BASE[[#This Row],[DEUDA
ADUANERA
UNIT.]]*'📋 Datos Generales'!$E$19</f>
        <v>0</v>
      </c>
      <c r="T370" s="278">
        <f>TABLA_BASE[[#This Row],[DEUDA
ADUANERA
TOTAL]]*'📋 Datos Generales'!$E$19</f>
        <v>0</v>
      </c>
      <c r="U370" s="281">
        <f>TABLA_BASE[[#This Row],[ADV UNIT.
(US$)
⚠️COSTO]]*'📋 Datos Generales'!$E$19</f>
        <v>0</v>
      </c>
      <c r="V370" s="281">
        <f>TABLA_BASE[[#This Row],[ADV UNIT.
(S/.)]]*TABLA_BASE[[#This Row],[CANTIDAD
(unid.)]]</f>
        <v>0</v>
      </c>
      <c r="W370" s="281">
        <f>TABLA_BASE[[#This Row],[IPM UNIT.
(US$)
✅CF]]*'📋 Datos Generales'!$E$19</f>
        <v>0</v>
      </c>
      <c r="X370" s="281">
        <f>TABLA_BASE[[#This Row],[IPM UNIT.
(S/.)]]*TABLA_BASE[[#This Row],[CANTIDAD
(unid.)]]</f>
        <v>0</v>
      </c>
      <c r="Y370" s="281">
        <f>TABLA_BASE[[#This Row],[IGV UNIT.
(US$)
✅CF]]*'📋 Datos Generales'!$E$19</f>
        <v>0</v>
      </c>
      <c r="Z370" s="281">
        <f>TABLA_BASE[[#This Row],[IGV UNIT.
(S/.)]]*TABLA_BASE[[#This Row],[CANTIDAD
(unid.)]]</f>
        <v>0</v>
      </c>
      <c r="AA370" s="281">
        <f>TABLA_BASE[[#This Row],[PERCEP.
UNIT.(US$)
✅CF]]*'📋 Datos Generales'!$E$19</f>
        <v>0</v>
      </c>
      <c r="AB370" s="281">
        <f>TABLA_BASE[[#This Row],[PERCEP.
UNIT.(S/.)]]*TABLA_BASE[[#This Row],[CANTIDAD
(unid.)]]</f>
        <v>0</v>
      </c>
      <c r="AC370" s="279">
        <f>TABLA_BASE[[#This Row],[ADV UNIT.
(US$)
⚠️COSTO]]+TABLA_BASE[[#This Row],[IPM UNIT.
(US$)
✅CF]]+TABLA_BASE[[#This Row],[IGV UNIT.
(US$)
✅CF]]+TABLA_BASE[[#This Row],[PERCEP.
UNIT.(US$)
✅CF]]</f>
        <v>0</v>
      </c>
      <c r="AD370" s="279">
        <f>TABLA_BASE[[#This Row],[TOTAL PAGO
SUNAT
UNIT.(US$)]]*TABLA_BASE[[#This Row],[CANTIDAD
(unid.)]]</f>
        <v>0</v>
      </c>
      <c r="AE370" s="281">
        <f>TABLA_BASE[[#This Row],[TOTAL PAGO
SUNAT
UNIT.(US$)]]*'📋 Datos Generales'!$E$19</f>
        <v>0</v>
      </c>
      <c r="AF370" s="281">
        <f>TABLA_BASE[[#This Row],[TOTAL TRIB.
UNIT.(S/.)]]*TABLA_BASE[[#This Row],[CANTIDAD
(unid.)]]</f>
        <v>0</v>
      </c>
      <c r="AG370" s="279">
        <f>IF('🧾 Factura Comercial'!G374=0,0,'📦 Gastos Importación'!$E$28*(IF('🧾 Tributos Aduana'!$F$6=0,0,'🧾 Factura Comercial'!I374/'🧾 Tributos Aduana'!$F$6))/'🧾 Factura Comercial'!G374)</f>
        <v>0</v>
      </c>
      <c r="AH370" s="279">
        <f>TABLA_BASE[[#This Row],[GASTOS IMP.
UNIT.(US$)]]*TABLA_BASE[[#This Row],[CANTIDAD
(unid.)]]</f>
        <v>0</v>
      </c>
      <c r="AI370" s="281">
        <f>TABLA_BASE[[#This Row],[GASTOS IMP.
UNIT.(US$)]]*'📋 Datos Generales'!$E$19</f>
        <v>0</v>
      </c>
      <c r="AJ370" s="281">
        <f>TABLA_BASE[[#This Row],[GASTOS IMP.
UNIT.(S/.)]]*TABLA_BASE[[#This Row],[CANTIDAD
(unid.)]]</f>
        <v>0</v>
      </c>
      <c r="AK370" s="280">
        <f>'🧮 Costos x Producto'!J374</f>
        <v>0</v>
      </c>
      <c r="AL370" s="278">
        <f>'🧮 Costos x Producto'!K374</f>
        <v>0</v>
      </c>
      <c r="AM370" s="278">
        <f>TABLA_BASE[[#This Row],[C/M UNIT.
(S/.)]]*TABLA_BASE[[#This Row],[CANTIDAD
(unid.)]]</f>
        <v>0</v>
      </c>
      <c r="AN370" s="279">
        <f>IF('🧾 Factura Comercial'!G374=0,0,'🧾 Tributos Aduana'!$F$17*(IF('🧾 Tributos Aduana'!$F$6=0,0,'🧾 Factura Comercial'!I374/'🧾 Tributos Aduana'!$F$6))/'🧾 Factura Comercial'!G374)</f>
        <v>0</v>
      </c>
      <c r="AO370" s="280">
        <f>IF('🧾 Factura Comercial'!G374=0,0,'🏦 Crédito Fiscal'!$C$16*(IF('🧾 Tributos Aduana'!$F$6=0,0,'🧾 Factura Comercial'!I374/'🧾 Tributos Aduana'!$F$6))/'🧾 Factura Comercial'!G374)</f>
        <v>0</v>
      </c>
      <c r="AP370" s="278">
        <f>TABLA_BASE[[#This Row],[CF UNIT.
✅RECUP.
(US$)]]*'📋 Datos Generales'!$E$19</f>
        <v>0</v>
      </c>
      <c r="AQ370" s="278">
        <f>TABLA_BASE[[#This Row],[CF UNIT.
✅RECUP.(S/.)]]*TABLA_BASE[[#This Row],[CANTIDAD
(unid.)]]</f>
        <v>0</v>
      </c>
      <c r="AR370" s="288">
        <f>'💰 Precio de Venta'!G375</f>
        <v>0.4</v>
      </c>
      <c r="AS370" s="278">
        <f>'💰 Precio de Venta'!H375</f>
        <v>0</v>
      </c>
      <c r="AT370" s="278">
        <f>TABLA_BASE[[#This Row],[VALOR VTA.
UNIT.(S/.)]]*TABLA_BASE[[#This Row],[CANTIDAD
(unid.)]]</f>
        <v>0</v>
      </c>
      <c r="AU370" s="281">
        <f>'💰 Precio de Venta'!I375</f>
        <v>0</v>
      </c>
      <c r="AV370" s="278">
        <f>'💰 Precio de Venta'!J375</f>
        <v>0</v>
      </c>
      <c r="AW370" s="278">
        <f>TABLA_BASE[[#This Row],[GANANCIA
UNIT.(S/.)]]*TABLA_BASE[[#This Row],[CANTIDAD
(unid.)]]</f>
        <v>0</v>
      </c>
      <c r="AX370" s="289">
        <f>'💰 Precio de Venta'!K375</f>
        <v>0</v>
      </c>
      <c r="AY370" s="278">
        <f>TABLA_BASE[[#This Row],[GANANCIA
UNIT.(S/.)]]*'🧾 Factura Comercial'!G374</f>
        <v>0</v>
      </c>
      <c r="AZ370" s="277">
        <f>IF(TABLA_BASE[[#This Row],[PRECIO VTA.
c/IGV(S/.)]]=0,0,TABLA_BASE[[#This Row],[GANANCIA
UNIT.(S/.)]]/TABLA_BASE[[#This Row],[PRECIO VTA.
c/IGV(S/.)]])</f>
        <v>0</v>
      </c>
      <c r="BA370" s="277">
        <f>IF(TABLA_BASE[[#This Row],[C/M UNIT.
(S/.)]]=0,0,TABLA_BASE[[#This Row],[GANANCIA
UNIT.(S/.)]]/TABLA_BASE[[#This Row],[C/M UNIT.
(S/.)]])</f>
        <v>0</v>
      </c>
      <c r="BB370" s="274" t="str">
        <f>IF(TABLA_BASE[[#This Row],[MARGEN
%]]&gt;=0.5,"🟢 ALTO",IF(TABLA_BASE[[#This Row],[MARGEN
%]]&gt;=0.3,"🟡 MEDIO","🔴 BAJO"))</f>
        <v>🟡 MEDIO</v>
      </c>
    </row>
    <row r="371" spans="1:54" ht="16.5" hidden="1" thickTop="1" thickBot="1" x14ac:dyDescent="0.3">
      <c r="A371" s="274">
        <f>'🧾 Factura Comercial'!E375</f>
        <v>0</v>
      </c>
      <c r="B371" s="274" t="str">
        <f>'🧾 Factura Comercial'!F375</f>
        <v>Unid.</v>
      </c>
      <c r="C371" s="275">
        <f>'🧾 Factura Comercial'!G375</f>
        <v>0</v>
      </c>
      <c r="D371" s="276">
        <f>'🧾 Factura Comercial'!H375</f>
        <v>0</v>
      </c>
      <c r="E371" s="276">
        <f>'🧾 Factura Comercial'!I375</f>
        <v>0</v>
      </c>
      <c r="F371" s="277">
        <f>IF('🧾 Tributos Aduana'!$F$6=0,0,'🧾 Factura Comercial'!I375/'🧾 Tributos Aduana'!$F$6)</f>
        <v>0</v>
      </c>
      <c r="G371" s="278">
        <f>'🧾 Factura Comercial'!H375*'📋 Datos Generales'!$E$19</f>
        <v>0</v>
      </c>
      <c r="H371" s="278">
        <f>TABLA_BASE[[#This Row],[FOB UNIT.
(S/.)]]*TABLA_BASE[[#This Row],[CANTIDAD
(unid.)]]</f>
        <v>0</v>
      </c>
      <c r="I371" s="280">
        <f>IF('🧾 Tributos Aduana'!$F$6=0,0,'🧾 Tributos Aduana'!$F$17*('🧾 Factura Comercial'!H375/'🧾 Tributos Aduana'!$F$6))</f>
        <v>0</v>
      </c>
      <c r="J371" s="280">
        <f>TABLA_BASE[[#This Row],[ADV UNIT.
(US$)
⚠️COSTO]]*TABLA_BASE[[#This Row],[CANTIDAD
(unid.)]]</f>
        <v>0</v>
      </c>
      <c r="K371" s="279">
        <f>IF('🧾 Tributos Aduana'!$F$6=0,0,'🧾 Tributos Aduana'!$F$18*('🧾 Factura Comercial'!H375/'🧾 Tributos Aduana'!$F$6))</f>
        <v>0</v>
      </c>
      <c r="L371" s="280">
        <f>TABLA_BASE[[#This Row],[IPM UNIT.
(US$)
✅CF]]*TABLA_BASE[[#This Row],[CANTIDAD
(unid.)]]</f>
        <v>0</v>
      </c>
      <c r="M371" s="279">
        <f>IF('🧾 Tributos Aduana'!$F$6=0,0,'🧾 Tributos Aduana'!$F$19*('🧾 Factura Comercial'!H375/'🧾 Tributos Aduana'!$F$6))</f>
        <v>0</v>
      </c>
      <c r="N371" s="280">
        <f>TABLA_BASE[[#This Row],[IGV UNIT.
(US$)
✅CF]]*TABLA_BASE[[#This Row],[CANTIDAD
(unid.)]]</f>
        <v>0</v>
      </c>
      <c r="O371" s="280">
        <f>IF('🧾 Tributos Aduana'!$F$6=0,0,'🧾 Tributos Aduana'!$F$23*('🧾 Factura Comercial'!H375/'🧾 Tributos Aduana'!$F$6))</f>
        <v>0</v>
      </c>
      <c r="P371" s="280">
        <f>TABLA_BASE[[#This Row],[PERCEP.
UNIT.(US$)
✅CF]]*TABLA_BASE[[#This Row],[CANTIDAD
(unid.)]]</f>
        <v>0</v>
      </c>
      <c r="Q371" s="279">
        <f>TABLA_BASE[[#This Row],[ADV UNIT.
(US$)
⚠️COSTO]]+TABLA_BASE[[#This Row],[IPM UNIT.
(US$)
✅CF]]+TABLA_BASE[[#This Row],[IGV UNIT.
(US$)
✅CF]]</f>
        <v>0</v>
      </c>
      <c r="R371" s="280">
        <f>TABLA_BASE[[#This Row],[DEUDA
ADUANERA
UNIT.]]*TABLA_BASE[[#This Row],[CANTIDAD
(unid.)]]</f>
        <v>0</v>
      </c>
      <c r="S371" s="278">
        <f>TABLA_BASE[[#This Row],[DEUDA
ADUANERA
UNIT.]]*'📋 Datos Generales'!$E$19</f>
        <v>0</v>
      </c>
      <c r="T371" s="278">
        <f>TABLA_BASE[[#This Row],[DEUDA
ADUANERA
TOTAL]]*'📋 Datos Generales'!$E$19</f>
        <v>0</v>
      </c>
      <c r="U371" s="281">
        <f>TABLA_BASE[[#This Row],[ADV UNIT.
(US$)
⚠️COSTO]]*'📋 Datos Generales'!$E$19</f>
        <v>0</v>
      </c>
      <c r="V371" s="281">
        <f>TABLA_BASE[[#This Row],[ADV UNIT.
(S/.)]]*TABLA_BASE[[#This Row],[CANTIDAD
(unid.)]]</f>
        <v>0</v>
      </c>
      <c r="W371" s="281">
        <f>TABLA_BASE[[#This Row],[IPM UNIT.
(US$)
✅CF]]*'📋 Datos Generales'!$E$19</f>
        <v>0</v>
      </c>
      <c r="X371" s="281">
        <f>TABLA_BASE[[#This Row],[IPM UNIT.
(S/.)]]*TABLA_BASE[[#This Row],[CANTIDAD
(unid.)]]</f>
        <v>0</v>
      </c>
      <c r="Y371" s="281">
        <f>TABLA_BASE[[#This Row],[IGV UNIT.
(US$)
✅CF]]*'📋 Datos Generales'!$E$19</f>
        <v>0</v>
      </c>
      <c r="Z371" s="281">
        <f>TABLA_BASE[[#This Row],[IGV UNIT.
(S/.)]]*TABLA_BASE[[#This Row],[CANTIDAD
(unid.)]]</f>
        <v>0</v>
      </c>
      <c r="AA371" s="281">
        <f>TABLA_BASE[[#This Row],[PERCEP.
UNIT.(US$)
✅CF]]*'📋 Datos Generales'!$E$19</f>
        <v>0</v>
      </c>
      <c r="AB371" s="281">
        <f>TABLA_BASE[[#This Row],[PERCEP.
UNIT.(S/.)]]*TABLA_BASE[[#This Row],[CANTIDAD
(unid.)]]</f>
        <v>0</v>
      </c>
      <c r="AC371" s="279">
        <f>TABLA_BASE[[#This Row],[ADV UNIT.
(US$)
⚠️COSTO]]+TABLA_BASE[[#This Row],[IPM UNIT.
(US$)
✅CF]]+TABLA_BASE[[#This Row],[IGV UNIT.
(US$)
✅CF]]+TABLA_BASE[[#This Row],[PERCEP.
UNIT.(US$)
✅CF]]</f>
        <v>0</v>
      </c>
      <c r="AD371" s="279">
        <f>TABLA_BASE[[#This Row],[TOTAL PAGO
SUNAT
UNIT.(US$)]]*TABLA_BASE[[#This Row],[CANTIDAD
(unid.)]]</f>
        <v>0</v>
      </c>
      <c r="AE371" s="281">
        <f>TABLA_BASE[[#This Row],[TOTAL PAGO
SUNAT
UNIT.(US$)]]*'📋 Datos Generales'!$E$19</f>
        <v>0</v>
      </c>
      <c r="AF371" s="281">
        <f>TABLA_BASE[[#This Row],[TOTAL TRIB.
UNIT.(S/.)]]*TABLA_BASE[[#This Row],[CANTIDAD
(unid.)]]</f>
        <v>0</v>
      </c>
      <c r="AG371" s="279">
        <f>IF('🧾 Factura Comercial'!G375=0,0,'📦 Gastos Importación'!$E$28*(IF('🧾 Tributos Aduana'!$F$6=0,0,'🧾 Factura Comercial'!I375/'🧾 Tributos Aduana'!$F$6))/'🧾 Factura Comercial'!G375)</f>
        <v>0</v>
      </c>
      <c r="AH371" s="279">
        <f>TABLA_BASE[[#This Row],[GASTOS IMP.
UNIT.(US$)]]*TABLA_BASE[[#This Row],[CANTIDAD
(unid.)]]</f>
        <v>0</v>
      </c>
      <c r="AI371" s="281">
        <f>TABLA_BASE[[#This Row],[GASTOS IMP.
UNIT.(US$)]]*'📋 Datos Generales'!$E$19</f>
        <v>0</v>
      </c>
      <c r="AJ371" s="281">
        <f>TABLA_BASE[[#This Row],[GASTOS IMP.
UNIT.(S/.)]]*TABLA_BASE[[#This Row],[CANTIDAD
(unid.)]]</f>
        <v>0</v>
      </c>
      <c r="AK371" s="280">
        <f>'🧮 Costos x Producto'!J375</f>
        <v>0</v>
      </c>
      <c r="AL371" s="278">
        <f>'🧮 Costos x Producto'!K375</f>
        <v>0</v>
      </c>
      <c r="AM371" s="278">
        <f>TABLA_BASE[[#This Row],[C/M UNIT.
(S/.)]]*TABLA_BASE[[#This Row],[CANTIDAD
(unid.)]]</f>
        <v>0</v>
      </c>
      <c r="AN371" s="279">
        <f>IF('🧾 Factura Comercial'!G375=0,0,'🧾 Tributos Aduana'!$F$17*(IF('🧾 Tributos Aduana'!$F$6=0,0,'🧾 Factura Comercial'!I375/'🧾 Tributos Aduana'!$F$6))/'🧾 Factura Comercial'!G375)</f>
        <v>0</v>
      </c>
      <c r="AO371" s="280">
        <f>IF('🧾 Factura Comercial'!G375=0,0,'🏦 Crédito Fiscal'!$C$16*(IF('🧾 Tributos Aduana'!$F$6=0,0,'🧾 Factura Comercial'!I375/'🧾 Tributos Aduana'!$F$6))/'🧾 Factura Comercial'!G375)</f>
        <v>0</v>
      </c>
      <c r="AP371" s="278">
        <f>TABLA_BASE[[#This Row],[CF UNIT.
✅RECUP.
(US$)]]*'📋 Datos Generales'!$E$19</f>
        <v>0</v>
      </c>
      <c r="AQ371" s="278">
        <f>TABLA_BASE[[#This Row],[CF UNIT.
✅RECUP.(S/.)]]*TABLA_BASE[[#This Row],[CANTIDAD
(unid.)]]</f>
        <v>0</v>
      </c>
      <c r="AR371" s="288">
        <f>'💰 Precio de Venta'!G376</f>
        <v>0.4</v>
      </c>
      <c r="AS371" s="278">
        <f>'💰 Precio de Venta'!H376</f>
        <v>0</v>
      </c>
      <c r="AT371" s="278">
        <f>TABLA_BASE[[#This Row],[VALOR VTA.
UNIT.(S/.)]]*TABLA_BASE[[#This Row],[CANTIDAD
(unid.)]]</f>
        <v>0</v>
      </c>
      <c r="AU371" s="281">
        <f>'💰 Precio de Venta'!I376</f>
        <v>0</v>
      </c>
      <c r="AV371" s="278">
        <f>'💰 Precio de Venta'!J376</f>
        <v>0</v>
      </c>
      <c r="AW371" s="278">
        <f>TABLA_BASE[[#This Row],[GANANCIA
UNIT.(S/.)]]*TABLA_BASE[[#This Row],[CANTIDAD
(unid.)]]</f>
        <v>0</v>
      </c>
      <c r="AX371" s="289">
        <f>'💰 Precio de Venta'!K376</f>
        <v>0</v>
      </c>
      <c r="AY371" s="278">
        <f>TABLA_BASE[[#This Row],[GANANCIA
UNIT.(S/.)]]*'🧾 Factura Comercial'!G375</f>
        <v>0</v>
      </c>
      <c r="AZ371" s="277">
        <f>IF(TABLA_BASE[[#This Row],[PRECIO VTA.
c/IGV(S/.)]]=0,0,TABLA_BASE[[#This Row],[GANANCIA
UNIT.(S/.)]]/TABLA_BASE[[#This Row],[PRECIO VTA.
c/IGV(S/.)]])</f>
        <v>0</v>
      </c>
      <c r="BA371" s="277">
        <f>IF(TABLA_BASE[[#This Row],[C/M UNIT.
(S/.)]]=0,0,TABLA_BASE[[#This Row],[GANANCIA
UNIT.(S/.)]]/TABLA_BASE[[#This Row],[C/M UNIT.
(S/.)]])</f>
        <v>0</v>
      </c>
      <c r="BB371" s="274" t="str">
        <f>IF(TABLA_BASE[[#This Row],[MARGEN
%]]&gt;=0.5,"🟢 ALTO",IF(TABLA_BASE[[#This Row],[MARGEN
%]]&gt;=0.3,"🟡 MEDIO","🔴 BAJO"))</f>
        <v>🟡 MEDIO</v>
      </c>
    </row>
    <row r="372" spans="1:54" ht="16.5" hidden="1" thickTop="1" thickBot="1" x14ac:dyDescent="0.3">
      <c r="A372" s="274">
        <f>'🧾 Factura Comercial'!E376</f>
        <v>0</v>
      </c>
      <c r="B372" s="274" t="str">
        <f>'🧾 Factura Comercial'!F376</f>
        <v>Unid.</v>
      </c>
      <c r="C372" s="275">
        <f>'🧾 Factura Comercial'!G376</f>
        <v>0</v>
      </c>
      <c r="D372" s="276">
        <f>'🧾 Factura Comercial'!H376</f>
        <v>0</v>
      </c>
      <c r="E372" s="276">
        <f>'🧾 Factura Comercial'!I376</f>
        <v>0</v>
      </c>
      <c r="F372" s="277">
        <f>IF('🧾 Tributos Aduana'!$F$6=0,0,'🧾 Factura Comercial'!I376/'🧾 Tributos Aduana'!$F$6)</f>
        <v>0</v>
      </c>
      <c r="G372" s="278">
        <f>'🧾 Factura Comercial'!H376*'📋 Datos Generales'!$E$19</f>
        <v>0</v>
      </c>
      <c r="H372" s="278">
        <f>TABLA_BASE[[#This Row],[FOB UNIT.
(S/.)]]*TABLA_BASE[[#This Row],[CANTIDAD
(unid.)]]</f>
        <v>0</v>
      </c>
      <c r="I372" s="280">
        <f>IF('🧾 Tributos Aduana'!$F$6=0,0,'🧾 Tributos Aduana'!$F$17*('🧾 Factura Comercial'!H376/'🧾 Tributos Aduana'!$F$6))</f>
        <v>0</v>
      </c>
      <c r="J372" s="280">
        <f>TABLA_BASE[[#This Row],[ADV UNIT.
(US$)
⚠️COSTO]]*TABLA_BASE[[#This Row],[CANTIDAD
(unid.)]]</f>
        <v>0</v>
      </c>
      <c r="K372" s="279">
        <f>IF('🧾 Tributos Aduana'!$F$6=0,0,'🧾 Tributos Aduana'!$F$18*('🧾 Factura Comercial'!H376/'🧾 Tributos Aduana'!$F$6))</f>
        <v>0</v>
      </c>
      <c r="L372" s="280">
        <f>TABLA_BASE[[#This Row],[IPM UNIT.
(US$)
✅CF]]*TABLA_BASE[[#This Row],[CANTIDAD
(unid.)]]</f>
        <v>0</v>
      </c>
      <c r="M372" s="279">
        <f>IF('🧾 Tributos Aduana'!$F$6=0,0,'🧾 Tributos Aduana'!$F$19*('🧾 Factura Comercial'!H376/'🧾 Tributos Aduana'!$F$6))</f>
        <v>0</v>
      </c>
      <c r="N372" s="280">
        <f>TABLA_BASE[[#This Row],[IGV UNIT.
(US$)
✅CF]]*TABLA_BASE[[#This Row],[CANTIDAD
(unid.)]]</f>
        <v>0</v>
      </c>
      <c r="O372" s="280">
        <f>IF('🧾 Tributos Aduana'!$F$6=0,0,'🧾 Tributos Aduana'!$F$23*('🧾 Factura Comercial'!H376/'🧾 Tributos Aduana'!$F$6))</f>
        <v>0</v>
      </c>
      <c r="P372" s="280">
        <f>TABLA_BASE[[#This Row],[PERCEP.
UNIT.(US$)
✅CF]]*TABLA_BASE[[#This Row],[CANTIDAD
(unid.)]]</f>
        <v>0</v>
      </c>
      <c r="Q372" s="279">
        <f>TABLA_BASE[[#This Row],[ADV UNIT.
(US$)
⚠️COSTO]]+TABLA_BASE[[#This Row],[IPM UNIT.
(US$)
✅CF]]+TABLA_BASE[[#This Row],[IGV UNIT.
(US$)
✅CF]]</f>
        <v>0</v>
      </c>
      <c r="R372" s="280">
        <f>TABLA_BASE[[#This Row],[DEUDA
ADUANERA
UNIT.]]*TABLA_BASE[[#This Row],[CANTIDAD
(unid.)]]</f>
        <v>0</v>
      </c>
      <c r="S372" s="278">
        <f>TABLA_BASE[[#This Row],[DEUDA
ADUANERA
UNIT.]]*'📋 Datos Generales'!$E$19</f>
        <v>0</v>
      </c>
      <c r="T372" s="278">
        <f>TABLA_BASE[[#This Row],[DEUDA
ADUANERA
TOTAL]]*'📋 Datos Generales'!$E$19</f>
        <v>0</v>
      </c>
      <c r="U372" s="281">
        <f>TABLA_BASE[[#This Row],[ADV UNIT.
(US$)
⚠️COSTO]]*'📋 Datos Generales'!$E$19</f>
        <v>0</v>
      </c>
      <c r="V372" s="281">
        <f>TABLA_BASE[[#This Row],[ADV UNIT.
(S/.)]]*TABLA_BASE[[#This Row],[CANTIDAD
(unid.)]]</f>
        <v>0</v>
      </c>
      <c r="W372" s="281">
        <f>TABLA_BASE[[#This Row],[IPM UNIT.
(US$)
✅CF]]*'📋 Datos Generales'!$E$19</f>
        <v>0</v>
      </c>
      <c r="X372" s="281">
        <f>TABLA_BASE[[#This Row],[IPM UNIT.
(S/.)]]*TABLA_BASE[[#This Row],[CANTIDAD
(unid.)]]</f>
        <v>0</v>
      </c>
      <c r="Y372" s="281">
        <f>TABLA_BASE[[#This Row],[IGV UNIT.
(US$)
✅CF]]*'📋 Datos Generales'!$E$19</f>
        <v>0</v>
      </c>
      <c r="Z372" s="281">
        <f>TABLA_BASE[[#This Row],[IGV UNIT.
(S/.)]]*TABLA_BASE[[#This Row],[CANTIDAD
(unid.)]]</f>
        <v>0</v>
      </c>
      <c r="AA372" s="281">
        <f>TABLA_BASE[[#This Row],[PERCEP.
UNIT.(US$)
✅CF]]*'📋 Datos Generales'!$E$19</f>
        <v>0</v>
      </c>
      <c r="AB372" s="281">
        <f>TABLA_BASE[[#This Row],[PERCEP.
UNIT.(S/.)]]*TABLA_BASE[[#This Row],[CANTIDAD
(unid.)]]</f>
        <v>0</v>
      </c>
      <c r="AC372" s="279">
        <f>TABLA_BASE[[#This Row],[ADV UNIT.
(US$)
⚠️COSTO]]+TABLA_BASE[[#This Row],[IPM UNIT.
(US$)
✅CF]]+TABLA_BASE[[#This Row],[IGV UNIT.
(US$)
✅CF]]+TABLA_BASE[[#This Row],[PERCEP.
UNIT.(US$)
✅CF]]</f>
        <v>0</v>
      </c>
      <c r="AD372" s="279">
        <f>TABLA_BASE[[#This Row],[TOTAL PAGO
SUNAT
UNIT.(US$)]]*TABLA_BASE[[#This Row],[CANTIDAD
(unid.)]]</f>
        <v>0</v>
      </c>
      <c r="AE372" s="281">
        <f>TABLA_BASE[[#This Row],[TOTAL PAGO
SUNAT
UNIT.(US$)]]*'📋 Datos Generales'!$E$19</f>
        <v>0</v>
      </c>
      <c r="AF372" s="281">
        <f>TABLA_BASE[[#This Row],[TOTAL TRIB.
UNIT.(S/.)]]*TABLA_BASE[[#This Row],[CANTIDAD
(unid.)]]</f>
        <v>0</v>
      </c>
      <c r="AG372" s="279">
        <f>IF('🧾 Factura Comercial'!G376=0,0,'📦 Gastos Importación'!$E$28*(IF('🧾 Tributos Aduana'!$F$6=0,0,'🧾 Factura Comercial'!I376/'🧾 Tributos Aduana'!$F$6))/'🧾 Factura Comercial'!G376)</f>
        <v>0</v>
      </c>
      <c r="AH372" s="279">
        <f>TABLA_BASE[[#This Row],[GASTOS IMP.
UNIT.(US$)]]*TABLA_BASE[[#This Row],[CANTIDAD
(unid.)]]</f>
        <v>0</v>
      </c>
      <c r="AI372" s="281">
        <f>TABLA_BASE[[#This Row],[GASTOS IMP.
UNIT.(US$)]]*'📋 Datos Generales'!$E$19</f>
        <v>0</v>
      </c>
      <c r="AJ372" s="281">
        <f>TABLA_BASE[[#This Row],[GASTOS IMP.
UNIT.(S/.)]]*TABLA_BASE[[#This Row],[CANTIDAD
(unid.)]]</f>
        <v>0</v>
      </c>
      <c r="AK372" s="280">
        <f>'🧮 Costos x Producto'!J376</f>
        <v>0</v>
      </c>
      <c r="AL372" s="278">
        <f>'🧮 Costos x Producto'!K376</f>
        <v>0</v>
      </c>
      <c r="AM372" s="278">
        <f>TABLA_BASE[[#This Row],[C/M UNIT.
(S/.)]]*TABLA_BASE[[#This Row],[CANTIDAD
(unid.)]]</f>
        <v>0</v>
      </c>
      <c r="AN372" s="279">
        <f>IF('🧾 Factura Comercial'!G376=0,0,'🧾 Tributos Aduana'!$F$17*(IF('🧾 Tributos Aduana'!$F$6=0,0,'🧾 Factura Comercial'!I376/'🧾 Tributos Aduana'!$F$6))/'🧾 Factura Comercial'!G376)</f>
        <v>0</v>
      </c>
      <c r="AO372" s="280">
        <f>IF('🧾 Factura Comercial'!G376=0,0,'🏦 Crédito Fiscal'!$C$16*(IF('🧾 Tributos Aduana'!$F$6=0,0,'🧾 Factura Comercial'!I376/'🧾 Tributos Aduana'!$F$6))/'🧾 Factura Comercial'!G376)</f>
        <v>0</v>
      </c>
      <c r="AP372" s="278">
        <f>TABLA_BASE[[#This Row],[CF UNIT.
✅RECUP.
(US$)]]*'📋 Datos Generales'!$E$19</f>
        <v>0</v>
      </c>
      <c r="AQ372" s="278">
        <f>TABLA_BASE[[#This Row],[CF UNIT.
✅RECUP.(S/.)]]*TABLA_BASE[[#This Row],[CANTIDAD
(unid.)]]</f>
        <v>0</v>
      </c>
      <c r="AR372" s="288">
        <f>'💰 Precio de Venta'!G377</f>
        <v>0.4</v>
      </c>
      <c r="AS372" s="278">
        <f>'💰 Precio de Venta'!H377</f>
        <v>0</v>
      </c>
      <c r="AT372" s="278">
        <f>TABLA_BASE[[#This Row],[VALOR VTA.
UNIT.(S/.)]]*TABLA_BASE[[#This Row],[CANTIDAD
(unid.)]]</f>
        <v>0</v>
      </c>
      <c r="AU372" s="281">
        <f>'💰 Precio de Venta'!I377</f>
        <v>0</v>
      </c>
      <c r="AV372" s="278">
        <f>'💰 Precio de Venta'!J377</f>
        <v>0</v>
      </c>
      <c r="AW372" s="278">
        <f>TABLA_BASE[[#This Row],[GANANCIA
UNIT.(S/.)]]*TABLA_BASE[[#This Row],[CANTIDAD
(unid.)]]</f>
        <v>0</v>
      </c>
      <c r="AX372" s="289">
        <f>'💰 Precio de Venta'!K377</f>
        <v>0</v>
      </c>
      <c r="AY372" s="278">
        <f>TABLA_BASE[[#This Row],[GANANCIA
UNIT.(S/.)]]*'🧾 Factura Comercial'!G376</f>
        <v>0</v>
      </c>
      <c r="AZ372" s="277">
        <f>IF(TABLA_BASE[[#This Row],[PRECIO VTA.
c/IGV(S/.)]]=0,0,TABLA_BASE[[#This Row],[GANANCIA
UNIT.(S/.)]]/TABLA_BASE[[#This Row],[PRECIO VTA.
c/IGV(S/.)]])</f>
        <v>0</v>
      </c>
      <c r="BA372" s="277">
        <f>IF(TABLA_BASE[[#This Row],[C/M UNIT.
(S/.)]]=0,0,TABLA_BASE[[#This Row],[GANANCIA
UNIT.(S/.)]]/TABLA_BASE[[#This Row],[C/M UNIT.
(S/.)]])</f>
        <v>0</v>
      </c>
      <c r="BB372" s="274" t="str">
        <f>IF(TABLA_BASE[[#This Row],[MARGEN
%]]&gt;=0.5,"🟢 ALTO",IF(TABLA_BASE[[#This Row],[MARGEN
%]]&gt;=0.3,"🟡 MEDIO","🔴 BAJO"))</f>
        <v>🟡 MEDIO</v>
      </c>
    </row>
    <row r="373" spans="1:54" ht="16.5" hidden="1" thickTop="1" thickBot="1" x14ac:dyDescent="0.3">
      <c r="A373" s="274">
        <f>'🧾 Factura Comercial'!E377</f>
        <v>0</v>
      </c>
      <c r="B373" s="274" t="str">
        <f>'🧾 Factura Comercial'!F377</f>
        <v>Unid.</v>
      </c>
      <c r="C373" s="275">
        <f>'🧾 Factura Comercial'!G377</f>
        <v>0</v>
      </c>
      <c r="D373" s="276">
        <f>'🧾 Factura Comercial'!H377</f>
        <v>0</v>
      </c>
      <c r="E373" s="276">
        <f>'🧾 Factura Comercial'!I377</f>
        <v>0</v>
      </c>
      <c r="F373" s="277">
        <f>IF('🧾 Tributos Aduana'!$F$6=0,0,'🧾 Factura Comercial'!I377/'🧾 Tributos Aduana'!$F$6)</f>
        <v>0</v>
      </c>
      <c r="G373" s="278">
        <f>'🧾 Factura Comercial'!H377*'📋 Datos Generales'!$E$19</f>
        <v>0</v>
      </c>
      <c r="H373" s="278">
        <f>TABLA_BASE[[#This Row],[FOB UNIT.
(S/.)]]*TABLA_BASE[[#This Row],[CANTIDAD
(unid.)]]</f>
        <v>0</v>
      </c>
      <c r="I373" s="280">
        <f>IF('🧾 Tributos Aduana'!$F$6=0,0,'🧾 Tributos Aduana'!$F$17*('🧾 Factura Comercial'!H377/'🧾 Tributos Aduana'!$F$6))</f>
        <v>0</v>
      </c>
      <c r="J373" s="280">
        <f>TABLA_BASE[[#This Row],[ADV UNIT.
(US$)
⚠️COSTO]]*TABLA_BASE[[#This Row],[CANTIDAD
(unid.)]]</f>
        <v>0</v>
      </c>
      <c r="K373" s="279">
        <f>IF('🧾 Tributos Aduana'!$F$6=0,0,'🧾 Tributos Aduana'!$F$18*('🧾 Factura Comercial'!H377/'🧾 Tributos Aduana'!$F$6))</f>
        <v>0</v>
      </c>
      <c r="L373" s="280">
        <f>TABLA_BASE[[#This Row],[IPM UNIT.
(US$)
✅CF]]*TABLA_BASE[[#This Row],[CANTIDAD
(unid.)]]</f>
        <v>0</v>
      </c>
      <c r="M373" s="279">
        <f>IF('🧾 Tributos Aduana'!$F$6=0,0,'🧾 Tributos Aduana'!$F$19*('🧾 Factura Comercial'!H377/'🧾 Tributos Aduana'!$F$6))</f>
        <v>0</v>
      </c>
      <c r="N373" s="280">
        <f>TABLA_BASE[[#This Row],[IGV UNIT.
(US$)
✅CF]]*TABLA_BASE[[#This Row],[CANTIDAD
(unid.)]]</f>
        <v>0</v>
      </c>
      <c r="O373" s="280">
        <f>IF('🧾 Tributos Aduana'!$F$6=0,0,'🧾 Tributos Aduana'!$F$23*('🧾 Factura Comercial'!H377/'🧾 Tributos Aduana'!$F$6))</f>
        <v>0</v>
      </c>
      <c r="P373" s="280">
        <f>TABLA_BASE[[#This Row],[PERCEP.
UNIT.(US$)
✅CF]]*TABLA_BASE[[#This Row],[CANTIDAD
(unid.)]]</f>
        <v>0</v>
      </c>
      <c r="Q373" s="279">
        <f>TABLA_BASE[[#This Row],[ADV UNIT.
(US$)
⚠️COSTO]]+TABLA_BASE[[#This Row],[IPM UNIT.
(US$)
✅CF]]+TABLA_BASE[[#This Row],[IGV UNIT.
(US$)
✅CF]]</f>
        <v>0</v>
      </c>
      <c r="R373" s="280">
        <f>TABLA_BASE[[#This Row],[DEUDA
ADUANERA
UNIT.]]*TABLA_BASE[[#This Row],[CANTIDAD
(unid.)]]</f>
        <v>0</v>
      </c>
      <c r="S373" s="278">
        <f>TABLA_BASE[[#This Row],[DEUDA
ADUANERA
UNIT.]]*'📋 Datos Generales'!$E$19</f>
        <v>0</v>
      </c>
      <c r="T373" s="278">
        <f>TABLA_BASE[[#This Row],[DEUDA
ADUANERA
TOTAL]]*'📋 Datos Generales'!$E$19</f>
        <v>0</v>
      </c>
      <c r="U373" s="281">
        <f>TABLA_BASE[[#This Row],[ADV UNIT.
(US$)
⚠️COSTO]]*'📋 Datos Generales'!$E$19</f>
        <v>0</v>
      </c>
      <c r="V373" s="281">
        <f>TABLA_BASE[[#This Row],[ADV UNIT.
(S/.)]]*TABLA_BASE[[#This Row],[CANTIDAD
(unid.)]]</f>
        <v>0</v>
      </c>
      <c r="W373" s="281">
        <f>TABLA_BASE[[#This Row],[IPM UNIT.
(US$)
✅CF]]*'📋 Datos Generales'!$E$19</f>
        <v>0</v>
      </c>
      <c r="X373" s="281">
        <f>TABLA_BASE[[#This Row],[IPM UNIT.
(S/.)]]*TABLA_BASE[[#This Row],[CANTIDAD
(unid.)]]</f>
        <v>0</v>
      </c>
      <c r="Y373" s="281">
        <f>TABLA_BASE[[#This Row],[IGV UNIT.
(US$)
✅CF]]*'📋 Datos Generales'!$E$19</f>
        <v>0</v>
      </c>
      <c r="Z373" s="281">
        <f>TABLA_BASE[[#This Row],[IGV UNIT.
(S/.)]]*TABLA_BASE[[#This Row],[CANTIDAD
(unid.)]]</f>
        <v>0</v>
      </c>
      <c r="AA373" s="281">
        <f>TABLA_BASE[[#This Row],[PERCEP.
UNIT.(US$)
✅CF]]*'📋 Datos Generales'!$E$19</f>
        <v>0</v>
      </c>
      <c r="AB373" s="281">
        <f>TABLA_BASE[[#This Row],[PERCEP.
UNIT.(S/.)]]*TABLA_BASE[[#This Row],[CANTIDAD
(unid.)]]</f>
        <v>0</v>
      </c>
      <c r="AC373" s="279">
        <f>TABLA_BASE[[#This Row],[ADV UNIT.
(US$)
⚠️COSTO]]+TABLA_BASE[[#This Row],[IPM UNIT.
(US$)
✅CF]]+TABLA_BASE[[#This Row],[IGV UNIT.
(US$)
✅CF]]+TABLA_BASE[[#This Row],[PERCEP.
UNIT.(US$)
✅CF]]</f>
        <v>0</v>
      </c>
      <c r="AD373" s="279">
        <f>TABLA_BASE[[#This Row],[TOTAL PAGO
SUNAT
UNIT.(US$)]]*TABLA_BASE[[#This Row],[CANTIDAD
(unid.)]]</f>
        <v>0</v>
      </c>
      <c r="AE373" s="281">
        <f>TABLA_BASE[[#This Row],[TOTAL PAGO
SUNAT
UNIT.(US$)]]*'📋 Datos Generales'!$E$19</f>
        <v>0</v>
      </c>
      <c r="AF373" s="281">
        <f>TABLA_BASE[[#This Row],[TOTAL TRIB.
UNIT.(S/.)]]*TABLA_BASE[[#This Row],[CANTIDAD
(unid.)]]</f>
        <v>0</v>
      </c>
      <c r="AG373" s="279">
        <f>IF('🧾 Factura Comercial'!G377=0,0,'📦 Gastos Importación'!$E$28*(IF('🧾 Tributos Aduana'!$F$6=0,0,'🧾 Factura Comercial'!I377/'🧾 Tributos Aduana'!$F$6))/'🧾 Factura Comercial'!G377)</f>
        <v>0</v>
      </c>
      <c r="AH373" s="279">
        <f>TABLA_BASE[[#This Row],[GASTOS IMP.
UNIT.(US$)]]*TABLA_BASE[[#This Row],[CANTIDAD
(unid.)]]</f>
        <v>0</v>
      </c>
      <c r="AI373" s="281">
        <f>TABLA_BASE[[#This Row],[GASTOS IMP.
UNIT.(US$)]]*'📋 Datos Generales'!$E$19</f>
        <v>0</v>
      </c>
      <c r="AJ373" s="281">
        <f>TABLA_BASE[[#This Row],[GASTOS IMP.
UNIT.(S/.)]]*TABLA_BASE[[#This Row],[CANTIDAD
(unid.)]]</f>
        <v>0</v>
      </c>
      <c r="AK373" s="280">
        <f>'🧮 Costos x Producto'!J377</f>
        <v>0</v>
      </c>
      <c r="AL373" s="278">
        <f>'🧮 Costos x Producto'!K377</f>
        <v>0</v>
      </c>
      <c r="AM373" s="278">
        <f>TABLA_BASE[[#This Row],[C/M UNIT.
(S/.)]]*TABLA_BASE[[#This Row],[CANTIDAD
(unid.)]]</f>
        <v>0</v>
      </c>
      <c r="AN373" s="279">
        <f>IF('🧾 Factura Comercial'!G377=0,0,'🧾 Tributos Aduana'!$F$17*(IF('🧾 Tributos Aduana'!$F$6=0,0,'🧾 Factura Comercial'!I377/'🧾 Tributos Aduana'!$F$6))/'🧾 Factura Comercial'!G377)</f>
        <v>0</v>
      </c>
      <c r="AO373" s="280">
        <f>IF('🧾 Factura Comercial'!G377=0,0,'🏦 Crédito Fiscal'!$C$16*(IF('🧾 Tributos Aduana'!$F$6=0,0,'🧾 Factura Comercial'!I377/'🧾 Tributos Aduana'!$F$6))/'🧾 Factura Comercial'!G377)</f>
        <v>0</v>
      </c>
      <c r="AP373" s="278">
        <f>TABLA_BASE[[#This Row],[CF UNIT.
✅RECUP.
(US$)]]*'📋 Datos Generales'!$E$19</f>
        <v>0</v>
      </c>
      <c r="AQ373" s="278">
        <f>TABLA_BASE[[#This Row],[CF UNIT.
✅RECUP.(S/.)]]*TABLA_BASE[[#This Row],[CANTIDAD
(unid.)]]</f>
        <v>0</v>
      </c>
      <c r="AR373" s="288">
        <f>'💰 Precio de Venta'!G378</f>
        <v>0.4</v>
      </c>
      <c r="AS373" s="278">
        <f>'💰 Precio de Venta'!H378</f>
        <v>0</v>
      </c>
      <c r="AT373" s="278">
        <f>TABLA_BASE[[#This Row],[VALOR VTA.
UNIT.(S/.)]]*TABLA_BASE[[#This Row],[CANTIDAD
(unid.)]]</f>
        <v>0</v>
      </c>
      <c r="AU373" s="281">
        <f>'💰 Precio de Venta'!I378</f>
        <v>0</v>
      </c>
      <c r="AV373" s="278">
        <f>'💰 Precio de Venta'!J378</f>
        <v>0</v>
      </c>
      <c r="AW373" s="278">
        <f>TABLA_BASE[[#This Row],[GANANCIA
UNIT.(S/.)]]*TABLA_BASE[[#This Row],[CANTIDAD
(unid.)]]</f>
        <v>0</v>
      </c>
      <c r="AX373" s="289">
        <f>'💰 Precio de Venta'!K378</f>
        <v>0</v>
      </c>
      <c r="AY373" s="278">
        <f>TABLA_BASE[[#This Row],[GANANCIA
UNIT.(S/.)]]*'🧾 Factura Comercial'!G377</f>
        <v>0</v>
      </c>
      <c r="AZ373" s="277">
        <f>IF(TABLA_BASE[[#This Row],[PRECIO VTA.
c/IGV(S/.)]]=0,0,TABLA_BASE[[#This Row],[GANANCIA
UNIT.(S/.)]]/TABLA_BASE[[#This Row],[PRECIO VTA.
c/IGV(S/.)]])</f>
        <v>0</v>
      </c>
      <c r="BA373" s="277">
        <f>IF(TABLA_BASE[[#This Row],[C/M UNIT.
(S/.)]]=0,0,TABLA_BASE[[#This Row],[GANANCIA
UNIT.(S/.)]]/TABLA_BASE[[#This Row],[C/M UNIT.
(S/.)]])</f>
        <v>0</v>
      </c>
      <c r="BB373" s="274" t="str">
        <f>IF(TABLA_BASE[[#This Row],[MARGEN
%]]&gt;=0.5,"🟢 ALTO",IF(TABLA_BASE[[#This Row],[MARGEN
%]]&gt;=0.3,"🟡 MEDIO","🔴 BAJO"))</f>
        <v>🟡 MEDIO</v>
      </c>
    </row>
    <row r="374" spans="1:54" ht="16.5" hidden="1" thickTop="1" thickBot="1" x14ac:dyDescent="0.3">
      <c r="A374" s="274">
        <f>'🧾 Factura Comercial'!E378</f>
        <v>0</v>
      </c>
      <c r="B374" s="274" t="str">
        <f>'🧾 Factura Comercial'!F378</f>
        <v>Unid.</v>
      </c>
      <c r="C374" s="275">
        <f>'🧾 Factura Comercial'!G378</f>
        <v>0</v>
      </c>
      <c r="D374" s="276">
        <f>'🧾 Factura Comercial'!H378</f>
        <v>0</v>
      </c>
      <c r="E374" s="276">
        <f>'🧾 Factura Comercial'!I378</f>
        <v>0</v>
      </c>
      <c r="F374" s="277">
        <f>IF('🧾 Tributos Aduana'!$F$6=0,0,'🧾 Factura Comercial'!I378/'🧾 Tributos Aduana'!$F$6)</f>
        <v>0</v>
      </c>
      <c r="G374" s="278">
        <f>'🧾 Factura Comercial'!H378*'📋 Datos Generales'!$E$19</f>
        <v>0</v>
      </c>
      <c r="H374" s="278">
        <f>TABLA_BASE[[#This Row],[FOB UNIT.
(S/.)]]*TABLA_BASE[[#This Row],[CANTIDAD
(unid.)]]</f>
        <v>0</v>
      </c>
      <c r="I374" s="280">
        <f>IF('🧾 Tributos Aduana'!$F$6=0,0,'🧾 Tributos Aduana'!$F$17*('🧾 Factura Comercial'!H378/'🧾 Tributos Aduana'!$F$6))</f>
        <v>0</v>
      </c>
      <c r="J374" s="280">
        <f>TABLA_BASE[[#This Row],[ADV UNIT.
(US$)
⚠️COSTO]]*TABLA_BASE[[#This Row],[CANTIDAD
(unid.)]]</f>
        <v>0</v>
      </c>
      <c r="K374" s="279">
        <f>IF('🧾 Tributos Aduana'!$F$6=0,0,'🧾 Tributos Aduana'!$F$18*('🧾 Factura Comercial'!H378/'🧾 Tributos Aduana'!$F$6))</f>
        <v>0</v>
      </c>
      <c r="L374" s="280">
        <f>TABLA_BASE[[#This Row],[IPM UNIT.
(US$)
✅CF]]*TABLA_BASE[[#This Row],[CANTIDAD
(unid.)]]</f>
        <v>0</v>
      </c>
      <c r="M374" s="279">
        <f>IF('🧾 Tributos Aduana'!$F$6=0,0,'🧾 Tributos Aduana'!$F$19*('🧾 Factura Comercial'!H378/'🧾 Tributos Aduana'!$F$6))</f>
        <v>0</v>
      </c>
      <c r="N374" s="280">
        <f>TABLA_BASE[[#This Row],[IGV UNIT.
(US$)
✅CF]]*TABLA_BASE[[#This Row],[CANTIDAD
(unid.)]]</f>
        <v>0</v>
      </c>
      <c r="O374" s="280">
        <f>IF('🧾 Tributos Aduana'!$F$6=0,0,'🧾 Tributos Aduana'!$F$23*('🧾 Factura Comercial'!H378/'🧾 Tributos Aduana'!$F$6))</f>
        <v>0</v>
      </c>
      <c r="P374" s="280">
        <f>TABLA_BASE[[#This Row],[PERCEP.
UNIT.(US$)
✅CF]]*TABLA_BASE[[#This Row],[CANTIDAD
(unid.)]]</f>
        <v>0</v>
      </c>
      <c r="Q374" s="279">
        <f>TABLA_BASE[[#This Row],[ADV UNIT.
(US$)
⚠️COSTO]]+TABLA_BASE[[#This Row],[IPM UNIT.
(US$)
✅CF]]+TABLA_BASE[[#This Row],[IGV UNIT.
(US$)
✅CF]]</f>
        <v>0</v>
      </c>
      <c r="R374" s="280">
        <f>TABLA_BASE[[#This Row],[DEUDA
ADUANERA
UNIT.]]*TABLA_BASE[[#This Row],[CANTIDAD
(unid.)]]</f>
        <v>0</v>
      </c>
      <c r="S374" s="278">
        <f>TABLA_BASE[[#This Row],[DEUDA
ADUANERA
UNIT.]]*'📋 Datos Generales'!$E$19</f>
        <v>0</v>
      </c>
      <c r="T374" s="278">
        <f>TABLA_BASE[[#This Row],[DEUDA
ADUANERA
TOTAL]]*'📋 Datos Generales'!$E$19</f>
        <v>0</v>
      </c>
      <c r="U374" s="281">
        <f>TABLA_BASE[[#This Row],[ADV UNIT.
(US$)
⚠️COSTO]]*'📋 Datos Generales'!$E$19</f>
        <v>0</v>
      </c>
      <c r="V374" s="281">
        <f>TABLA_BASE[[#This Row],[ADV UNIT.
(S/.)]]*TABLA_BASE[[#This Row],[CANTIDAD
(unid.)]]</f>
        <v>0</v>
      </c>
      <c r="W374" s="281">
        <f>TABLA_BASE[[#This Row],[IPM UNIT.
(US$)
✅CF]]*'📋 Datos Generales'!$E$19</f>
        <v>0</v>
      </c>
      <c r="X374" s="281">
        <f>TABLA_BASE[[#This Row],[IPM UNIT.
(S/.)]]*TABLA_BASE[[#This Row],[CANTIDAD
(unid.)]]</f>
        <v>0</v>
      </c>
      <c r="Y374" s="281">
        <f>TABLA_BASE[[#This Row],[IGV UNIT.
(US$)
✅CF]]*'📋 Datos Generales'!$E$19</f>
        <v>0</v>
      </c>
      <c r="Z374" s="281">
        <f>TABLA_BASE[[#This Row],[IGV UNIT.
(S/.)]]*TABLA_BASE[[#This Row],[CANTIDAD
(unid.)]]</f>
        <v>0</v>
      </c>
      <c r="AA374" s="281">
        <f>TABLA_BASE[[#This Row],[PERCEP.
UNIT.(US$)
✅CF]]*'📋 Datos Generales'!$E$19</f>
        <v>0</v>
      </c>
      <c r="AB374" s="281">
        <f>TABLA_BASE[[#This Row],[PERCEP.
UNIT.(S/.)]]*TABLA_BASE[[#This Row],[CANTIDAD
(unid.)]]</f>
        <v>0</v>
      </c>
      <c r="AC374" s="279">
        <f>TABLA_BASE[[#This Row],[ADV UNIT.
(US$)
⚠️COSTO]]+TABLA_BASE[[#This Row],[IPM UNIT.
(US$)
✅CF]]+TABLA_BASE[[#This Row],[IGV UNIT.
(US$)
✅CF]]+TABLA_BASE[[#This Row],[PERCEP.
UNIT.(US$)
✅CF]]</f>
        <v>0</v>
      </c>
      <c r="AD374" s="279">
        <f>TABLA_BASE[[#This Row],[TOTAL PAGO
SUNAT
UNIT.(US$)]]*TABLA_BASE[[#This Row],[CANTIDAD
(unid.)]]</f>
        <v>0</v>
      </c>
      <c r="AE374" s="281">
        <f>TABLA_BASE[[#This Row],[TOTAL PAGO
SUNAT
UNIT.(US$)]]*'📋 Datos Generales'!$E$19</f>
        <v>0</v>
      </c>
      <c r="AF374" s="281">
        <f>TABLA_BASE[[#This Row],[TOTAL TRIB.
UNIT.(S/.)]]*TABLA_BASE[[#This Row],[CANTIDAD
(unid.)]]</f>
        <v>0</v>
      </c>
      <c r="AG374" s="279">
        <f>IF('🧾 Factura Comercial'!G378=0,0,'📦 Gastos Importación'!$E$28*(IF('🧾 Tributos Aduana'!$F$6=0,0,'🧾 Factura Comercial'!I378/'🧾 Tributos Aduana'!$F$6))/'🧾 Factura Comercial'!G378)</f>
        <v>0</v>
      </c>
      <c r="AH374" s="279">
        <f>TABLA_BASE[[#This Row],[GASTOS IMP.
UNIT.(US$)]]*TABLA_BASE[[#This Row],[CANTIDAD
(unid.)]]</f>
        <v>0</v>
      </c>
      <c r="AI374" s="281">
        <f>TABLA_BASE[[#This Row],[GASTOS IMP.
UNIT.(US$)]]*'📋 Datos Generales'!$E$19</f>
        <v>0</v>
      </c>
      <c r="AJ374" s="281">
        <f>TABLA_BASE[[#This Row],[GASTOS IMP.
UNIT.(S/.)]]*TABLA_BASE[[#This Row],[CANTIDAD
(unid.)]]</f>
        <v>0</v>
      </c>
      <c r="AK374" s="280">
        <f>'🧮 Costos x Producto'!J378</f>
        <v>0</v>
      </c>
      <c r="AL374" s="278">
        <f>'🧮 Costos x Producto'!K378</f>
        <v>0</v>
      </c>
      <c r="AM374" s="278">
        <f>TABLA_BASE[[#This Row],[C/M UNIT.
(S/.)]]*TABLA_BASE[[#This Row],[CANTIDAD
(unid.)]]</f>
        <v>0</v>
      </c>
      <c r="AN374" s="279">
        <f>IF('🧾 Factura Comercial'!G378=0,0,'🧾 Tributos Aduana'!$F$17*(IF('🧾 Tributos Aduana'!$F$6=0,0,'🧾 Factura Comercial'!I378/'🧾 Tributos Aduana'!$F$6))/'🧾 Factura Comercial'!G378)</f>
        <v>0</v>
      </c>
      <c r="AO374" s="280">
        <f>IF('🧾 Factura Comercial'!G378=0,0,'🏦 Crédito Fiscal'!$C$16*(IF('🧾 Tributos Aduana'!$F$6=0,0,'🧾 Factura Comercial'!I378/'🧾 Tributos Aduana'!$F$6))/'🧾 Factura Comercial'!G378)</f>
        <v>0</v>
      </c>
      <c r="AP374" s="278">
        <f>TABLA_BASE[[#This Row],[CF UNIT.
✅RECUP.
(US$)]]*'📋 Datos Generales'!$E$19</f>
        <v>0</v>
      </c>
      <c r="AQ374" s="278">
        <f>TABLA_BASE[[#This Row],[CF UNIT.
✅RECUP.(S/.)]]*TABLA_BASE[[#This Row],[CANTIDAD
(unid.)]]</f>
        <v>0</v>
      </c>
      <c r="AR374" s="288">
        <f>'💰 Precio de Venta'!G379</f>
        <v>0.4</v>
      </c>
      <c r="AS374" s="278">
        <f>'💰 Precio de Venta'!H379</f>
        <v>0</v>
      </c>
      <c r="AT374" s="278">
        <f>TABLA_BASE[[#This Row],[VALOR VTA.
UNIT.(S/.)]]*TABLA_BASE[[#This Row],[CANTIDAD
(unid.)]]</f>
        <v>0</v>
      </c>
      <c r="AU374" s="281">
        <f>'💰 Precio de Venta'!I379</f>
        <v>0</v>
      </c>
      <c r="AV374" s="278">
        <f>'💰 Precio de Venta'!J379</f>
        <v>0</v>
      </c>
      <c r="AW374" s="278">
        <f>TABLA_BASE[[#This Row],[GANANCIA
UNIT.(S/.)]]*TABLA_BASE[[#This Row],[CANTIDAD
(unid.)]]</f>
        <v>0</v>
      </c>
      <c r="AX374" s="289">
        <f>'💰 Precio de Venta'!K379</f>
        <v>0</v>
      </c>
      <c r="AY374" s="278">
        <f>TABLA_BASE[[#This Row],[GANANCIA
UNIT.(S/.)]]*'🧾 Factura Comercial'!G378</f>
        <v>0</v>
      </c>
      <c r="AZ374" s="277">
        <f>IF(TABLA_BASE[[#This Row],[PRECIO VTA.
c/IGV(S/.)]]=0,0,TABLA_BASE[[#This Row],[GANANCIA
UNIT.(S/.)]]/TABLA_BASE[[#This Row],[PRECIO VTA.
c/IGV(S/.)]])</f>
        <v>0</v>
      </c>
      <c r="BA374" s="277">
        <f>IF(TABLA_BASE[[#This Row],[C/M UNIT.
(S/.)]]=0,0,TABLA_BASE[[#This Row],[GANANCIA
UNIT.(S/.)]]/TABLA_BASE[[#This Row],[C/M UNIT.
(S/.)]])</f>
        <v>0</v>
      </c>
      <c r="BB374" s="274" t="str">
        <f>IF(TABLA_BASE[[#This Row],[MARGEN
%]]&gt;=0.5,"🟢 ALTO",IF(TABLA_BASE[[#This Row],[MARGEN
%]]&gt;=0.3,"🟡 MEDIO","🔴 BAJO"))</f>
        <v>🟡 MEDIO</v>
      </c>
    </row>
    <row r="375" spans="1:54" ht="16.5" hidden="1" thickTop="1" thickBot="1" x14ac:dyDescent="0.3">
      <c r="A375" s="274">
        <f>'🧾 Factura Comercial'!E379</f>
        <v>0</v>
      </c>
      <c r="B375" s="274" t="str">
        <f>'🧾 Factura Comercial'!F379</f>
        <v>Unid.</v>
      </c>
      <c r="C375" s="275">
        <f>'🧾 Factura Comercial'!G379</f>
        <v>0</v>
      </c>
      <c r="D375" s="276">
        <f>'🧾 Factura Comercial'!H379</f>
        <v>0</v>
      </c>
      <c r="E375" s="276">
        <f>'🧾 Factura Comercial'!I379</f>
        <v>0</v>
      </c>
      <c r="F375" s="277">
        <f>IF('🧾 Tributos Aduana'!$F$6=0,0,'🧾 Factura Comercial'!I379/'🧾 Tributos Aduana'!$F$6)</f>
        <v>0</v>
      </c>
      <c r="G375" s="278">
        <f>'🧾 Factura Comercial'!H379*'📋 Datos Generales'!$E$19</f>
        <v>0</v>
      </c>
      <c r="H375" s="278">
        <f>TABLA_BASE[[#This Row],[FOB UNIT.
(S/.)]]*TABLA_BASE[[#This Row],[CANTIDAD
(unid.)]]</f>
        <v>0</v>
      </c>
      <c r="I375" s="280">
        <f>IF('🧾 Tributos Aduana'!$F$6=0,0,'🧾 Tributos Aduana'!$F$17*('🧾 Factura Comercial'!H379/'🧾 Tributos Aduana'!$F$6))</f>
        <v>0</v>
      </c>
      <c r="J375" s="280">
        <f>TABLA_BASE[[#This Row],[ADV UNIT.
(US$)
⚠️COSTO]]*TABLA_BASE[[#This Row],[CANTIDAD
(unid.)]]</f>
        <v>0</v>
      </c>
      <c r="K375" s="279">
        <f>IF('🧾 Tributos Aduana'!$F$6=0,0,'🧾 Tributos Aduana'!$F$18*('🧾 Factura Comercial'!H379/'🧾 Tributos Aduana'!$F$6))</f>
        <v>0</v>
      </c>
      <c r="L375" s="280">
        <f>TABLA_BASE[[#This Row],[IPM UNIT.
(US$)
✅CF]]*TABLA_BASE[[#This Row],[CANTIDAD
(unid.)]]</f>
        <v>0</v>
      </c>
      <c r="M375" s="279">
        <f>IF('🧾 Tributos Aduana'!$F$6=0,0,'🧾 Tributos Aduana'!$F$19*('🧾 Factura Comercial'!H379/'🧾 Tributos Aduana'!$F$6))</f>
        <v>0</v>
      </c>
      <c r="N375" s="280">
        <f>TABLA_BASE[[#This Row],[IGV UNIT.
(US$)
✅CF]]*TABLA_BASE[[#This Row],[CANTIDAD
(unid.)]]</f>
        <v>0</v>
      </c>
      <c r="O375" s="280">
        <f>IF('🧾 Tributos Aduana'!$F$6=0,0,'🧾 Tributos Aduana'!$F$23*('🧾 Factura Comercial'!H379/'🧾 Tributos Aduana'!$F$6))</f>
        <v>0</v>
      </c>
      <c r="P375" s="280">
        <f>TABLA_BASE[[#This Row],[PERCEP.
UNIT.(US$)
✅CF]]*TABLA_BASE[[#This Row],[CANTIDAD
(unid.)]]</f>
        <v>0</v>
      </c>
      <c r="Q375" s="279">
        <f>TABLA_BASE[[#This Row],[ADV UNIT.
(US$)
⚠️COSTO]]+TABLA_BASE[[#This Row],[IPM UNIT.
(US$)
✅CF]]+TABLA_BASE[[#This Row],[IGV UNIT.
(US$)
✅CF]]</f>
        <v>0</v>
      </c>
      <c r="R375" s="280">
        <f>TABLA_BASE[[#This Row],[DEUDA
ADUANERA
UNIT.]]*TABLA_BASE[[#This Row],[CANTIDAD
(unid.)]]</f>
        <v>0</v>
      </c>
      <c r="S375" s="278">
        <f>TABLA_BASE[[#This Row],[DEUDA
ADUANERA
UNIT.]]*'📋 Datos Generales'!$E$19</f>
        <v>0</v>
      </c>
      <c r="T375" s="278">
        <f>TABLA_BASE[[#This Row],[DEUDA
ADUANERA
TOTAL]]*'📋 Datos Generales'!$E$19</f>
        <v>0</v>
      </c>
      <c r="U375" s="281">
        <f>TABLA_BASE[[#This Row],[ADV UNIT.
(US$)
⚠️COSTO]]*'📋 Datos Generales'!$E$19</f>
        <v>0</v>
      </c>
      <c r="V375" s="281">
        <f>TABLA_BASE[[#This Row],[ADV UNIT.
(S/.)]]*TABLA_BASE[[#This Row],[CANTIDAD
(unid.)]]</f>
        <v>0</v>
      </c>
      <c r="W375" s="281">
        <f>TABLA_BASE[[#This Row],[IPM UNIT.
(US$)
✅CF]]*'📋 Datos Generales'!$E$19</f>
        <v>0</v>
      </c>
      <c r="X375" s="281">
        <f>TABLA_BASE[[#This Row],[IPM UNIT.
(S/.)]]*TABLA_BASE[[#This Row],[CANTIDAD
(unid.)]]</f>
        <v>0</v>
      </c>
      <c r="Y375" s="281">
        <f>TABLA_BASE[[#This Row],[IGV UNIT.
(US$)
✅CF]]*'📋 Datos Generales'!$E$19</f>
        <v>0</v>
      </c>
      <c r="Z375" s="281">
        <f>TABLA_BASE[[#This Row],[IGV UNIT.
(S/.)]]*TABLA_BASE[[#This Row],[CANTIDAD
(unid.)]]</f>
        <v>0</v>
      </c>
      <c r="AA375" s="281">
        <f>TABLA_BASE[[#This Row],[PERCEP.
UNIT.(US$)
✅CF]]*'📋 Datos Generales'!$E$19</f>
        <v>0</v>
      </c>
      <c r="AB375" s="281">
        <f>TABLA_BASE[[#This Row],[PERCEP.
UNIT.(S/.)]]*TABLA_BASE[[#This Row],[CANTIDAD
(unid.)]]</f>
        <v>0</v>
      </c>
      <c r="AC375" s="279">
        <f>TABLA_BASE[[#This Row],[ADV UNIT.
(US$)
⚠️COSTO]]+TABLA_BASE[[#This Row],[IPM UNIT.
(US$)
✅CF]]+TABLA_BASE[[#This Row],[IGV UNIT.
(US$)
✅CF]]+TABLA_BASE[[#This Row],[PERCEP.
UNIT.(US$)
✅CF]]</f>
        <v>0</v>
      </c>
      <c r="AD375" s="279">
        <f>TABLA_BASE[[#This Row],[TOTAL PAGO
SUNAT
UNIT.(US$)]]*TABLA_BASE[[#This Row],[CANTIDAD
(unid.)]]</f>
        <v>0</v>
      </c>
      <c r="AE375" s="281">
        <f>TABLA_BASE[[#This Row],[TOTAL PAGO
SUNAT
UNIT.(US$)]]*'📋 Datos Generales'!$E$19</f>
        <v>0</v>
      </c>
      <c r="AF375" s="281">
        <f>TABLA_BASE[[#This Row],[TOTAL TRIB.
UNIT.(S/.)]]*TABLA_BASE[[#This Row],[CANTIDAD
(unid.)]]</f>
        <v>0</v>
      </c>
      <c r="AG375" s="279">
        <f>IF('🧾 Factura Comercial'!G379=0,0,'📦 Gastos Importación'!$E$28*(IF('🧾 Tributos Aduana'!$F$6=0,0,'🧾 Factura Comercial'!I379/'🧾 Tributos Aduana'!$F$6))/'🧾 Factura Comercial'!G379)</f>
        <v>0</v>
      </c>
      <c r="AH375" s="279">
        <f>TABLA_BASE[[#This Row],[GASTOS IMP.
UNIT.(US$)]]*TABLA_BASE[[#This Row],[CANTIDAD
(unid.)]]</f>
        <v>0</v>
      </c>
      <c r="AI375" s="281">
        <f>TABLA_BASE[[#This Row],[GASTOS IMP.
UNIT.(US$)]]*'📋 Datos Generales'!$E$19</f>
        <v>0</v>
      </c>
      <c r="AJ375" s="281">
        <f>TABLA_BASE[[#This Row],[GASTOS IMP.
UNIT.(S/.)]]*TABLA_BASE[[#This Row],[CANTIDAD
(unid.)]]</f>
        <v>0</v>
      </c>
      <c r="AK375" s="280">
        <f>'🧮 Costos x Producto'!J379</f>
        <v>0</v>
      </c>
      <c r="AL375" s="278">
        <f>'🧮 Costos x Producto'!K379</f>
        <v>0</v>
      </c>
      <c r="AM375" s="278">
        <f>TABLA_BASE[[#This Row],[C/M UNIT.
(S/.)]]*TABLA_BASE[[#This Row],[CANTIDAD
(unid.)]]</f>
        <v>0</v>
      </c>
      <c r="AN375" s="279">
        <f>IF('🧾 Factura Comercial'!G379=0,0,'🧾 Tributos Aduana'!$F$17*(IF('🧾 Tributos Aduana'!$F$6=0,0,'🧾 Factura Comercial'!I379/'🧾 Tributos Aduana'!$F$6))/'🧾 Factura Comercial'!G379)</f>
        <v>0</v>
      </c>
      <c r="AO375" s="280">
        <f>IF('🧾 Factura Comercial'!G379=0,0,'🏦 Crédito Fiscal'!$C$16*(IF('🧾 Tributos Aduana'!$F$6=0,0,'🧾 Factura Comercial'!I379/'🧾 Tributos Aduana'!$F$6))/'🧾 Factura Comercial'!G379)</f>
        <v>0</v>
      </c>
      <c r="AP375" s="278">
        <f>TABLA_BASE[[#This Row],[CF UNIT.
✅RECUP.
(US$)]]*'📋 Datos Generales'!$E$19</f>
        <v>0</v>
      </c>
      <c r="AQ375" s="278">
        <f>TABLA_BASE[[#This Row],[CF UNIT.
✅RECUP.(S/.)]]*TABLA_BASE[[#This Row],[CANTIDAD
(unid.)]]</f>
        <v>0</v>
      </c>
      <c r="AR375" s="288">
        <f>'💰 Precio de Venta'!G380</f>
        <v>0.4</v>
      </c>
      <c r="AS375" s="278">
        <f>'💰 Precio de Venta'!H380</f>
        <v>0</v>
      </c>
      <c r="AT375" s="278">
        <f>TABLA_BASE[[#This Row],[VALOR VTA.
UNIT.(S/.)]]*TABLA_BASE[[#This Row],[CANTIDAD
(unid.)]]</f>
        <v>0</v>
      </c>
      <c r="AU375" s="281">
        <f>'💰 Precio de Venta'!I380</f>
        <v>0</v>
      </c>
      <c r="AV375" s="278">
        <f>'💰 Precio de Venta'!J380</f>
        <v>0</v>
      </c>
      <c r="AW375" s="278">
        <f>TABLA_BASE[[#This Row],[GANANCIA
UNIT.(S/.)]]*TABLA_BASE[[#This Row],[CANTIDAD
(unid.)]]</f>
        <v>0</v>
      </c>
      <c r="AX375" s="289">
        <f>'💰 Precio de Venta'!K380</f>
        <v>0</v>
      </c>
      <c r="AY375" s="278">
        <f>TABLA_BASE[[#This Row],[GANANCIA
UNIT.(S/.)]]*'🧾 Factura Comercial'!G379</f>
        <v>0</v>
      </c>
      <c r="AZ375" s="277">
        <f>IF(TABLA_BASE[[#This Row],[PRECIO VTA.
c/IGV(S/.)]]=0,0,TABLA_BASE[[#This Row],[GANANCIA
UNIT.(S/.)]]/TABLA_BASE[[#This Row],[PRECIO VTA.
c/IGV(S/.)]])</f>
        <v>0</v>
      </c>
      <c r="BA375" s="277">
        <f>IF(TABLA_BASE[[#This Row],[C/M UNIT.
(S/.)]]=0,0,TABLA_BASE[[#This Row],[GANANCIA
UNIT.(S/.)]]/TABLA_BASE[[#This Row],[C/M UNIT.
(S/.)]])</f>
        <v>0</v>
      </c>
      <c r="BB375" s="274" t="str">
        <f>IF(TABLA_BASE[[#This Row],[MARGEN
%]]&gt;=0.5,"🟢 ALTO",IF(TABLA_BASE[[#This Row],[MARGEN
%]]&gt;=0.3,"🟡 MEDIO","🔴 BAJO"))</f>
        <v>🟡 MEDIO</v>
      </c>
    </row>
    <row r="376" spans="1:54" ht="16.5" hidden="1" thickTop="1" thickBot="1" x14ac:dyDescent="0.3">
      <c r="A376" s="274">
        <f>'🧾 Factura Comercial'!E380</f>
        <v>0</v>
      </c>
      <c r="B376" s="274" t="str">
        <f>'🧾 Factura Comercial'!F380</f>
        <v>Unid.</v>
      </c>
      <c r="C376" s="275">
        <f>'🧾 Factura Comercial'!G380</f>
        <v>0</v>
      </c>
      <c r="D376" s="276">
        <f>'🧾 Factura Comercial'!H380</f>
        <v>0</v>
      </c>
      <c r="E376" s="276">
        <f>'🧾 Factura Comercial'!I380</f>
        <v>0</v>
      </c>
      <c r="F376" s="277">
        <f>IF('🧾 Tributos Aduana'!$F$6=0,0,'🧾 Factura Comercial'!I380/'🧾 Tributos Aduana'!$F$6)</f>
        <v>0</v>
      </c>
      <c r="G376" s="278">
        <f>'🧾 Factura Comercial'!H380*'📋 Datos Generales'!$E$19</f>
        <v>0</v>
      </c>
      <c r="H376" s="278">
        <f>TABLA_BASE[[#This Row],[FOB UNIT.
(S/.)]]*TABLA_BASE[[#This Row],[CANTIDAD
(unid.)]]</f>
        <v>0</v>
      </c>
      <c r="I376" s="280">
        <f>IF('🧾 Tributos Aduana'!$F$6=0,0,'🧾 Tributos Aduana'!$F$17*('🧾 Factura Comercial'!H380/'🧾 Tributos Aduana'!$F$6))</f>
        <v>0</v>
      </c>
      <c r="J376" s="280">
        <f>TABLA_BASE[[#This Row],[ADV UNIT.
(US$)
⚠️COSTO]]*TABLA_BASE[[#This Row],[CANTIDAD
(unid.)]]</f>
        <v>0</v>
      </c>
      <c r="K376" s="279">
        <f>IF('🧾 Tributos Aduana'!$F$6=0,0,'🧾 Tributos Aduana'!$F$18*('🧾 Factura Comercial'!H380/'🧾 Tributos Aduana'!$F$6))</f>
        <v>0</v>
      </c>
      <c r="L376" s="280">
        <f>TABLA_BASE[[#This Row],[IPM UNIT.
(US$)
✅CF]]*TABLA_BASE[[#This Row],[CANTIDAD
(unid.)]]</f>
        <v>0</v>
      </c>
      <c r="M376" s="279">
        <f>IF('🧾 Tributos Aduana'!$F$6=0,0,'🧾 Tributos Aduana'!$F$19*('🧾 Factura Comercial'!H380/'🧾 Tributos Aduana'!$F$6))</f>
        <v>0</v>
      </c>
      <c r="N376" s="280">
        <f>TABLA_BASE[[#This Row],[IGV UNIT.
(US$)
✅CF]]*TABLA_BASE[[#This Row],[CANTIDAD
(unid.)]]</f>
        <v>0</v>
      </c>
      <c r="O376" s="280">
        <f>IF('🧾 Tributos Aduana'!$F$6=0,0,'🧾 Tributos Aduana'!$F$23*('🧾 Factura Comercial'!H380/'🧾 Tributos Aduana'!$F$6))</f>
        <v>0</v>
      </c>
      <c r="P376" s="280">
        <f>TABLA_BASE[[#This Row],[PERCEP.
UNIT.(US$)
✅CF]]*TABLA_BASE[[#This Row],[CANTIDAD
(unid.)]]</f>
        <v>0</v>
      </c>
      <c r="Q376" s="279">
        <f>TABLA_BASE[[#This Row],[ADV UNIT.
(US$)
⚠️COSTO]]+TABLA_BASE[[#This Row],[IPM UNIT.
(US$)
✅CF]]+TABLA_BASE[[#This Row],[IGV UNIT.
(US$)
✅CF]]</f>
        <v>0</v>
      </c>
      <c r="R376" s="280">
        <f>TABLA_BASE[[#This Row],[DEUDA
ADUANERA
UNIT.]]*TABLA_BASE[[#This Row],[CANTIDAD
(unid.)]]</f>
        <v>0</v>
      </c>
      <c r="S376" s="278">
        <f>TABLA_BASE[[#This Row],[DEUDA
ADUANERA
UNIT.]]*'📋 Datos Generales'!$E$19</f>
        <v>0</v>
      </c>
      <c r="T376" s="278">
        <f>TABLA_BASE[[#This Row],[DEUDA
ADUANERA
TOTAL]]*'📋 Datos Generales'!$E$19</f>
        <v>0</v>
      </c>
      <c r="U376" s="281">
        <f>TABLA_BASE[[#This Row],[ADV UNIT.
(US$)
⚠️COSTO]]*'📋 Datos Generales'!$E$19</f>
        <v>0</v>
      </c>
      <c r="V376" s="281">
        <f>TABLA_BASE[[#This Row],[ADV UNIT.
(S/.)]]*TABLA_BASE[[#This Row],[CANTIDAD
(unid.)]]</f>
        <v>0</v>
      </c>
      <c r="W376" s="281">
        <f>TABLA_BASE[[#This Row],[IPM UNIT.
(US$)
✅CF]]*'📋 Datos Generales'!$E$19</f>
        <v>0</v>
      </c>
      <c r="X376" s="281">
        <f>TABLA_BASE[[#This Row],[IPM UNIT.
(S/.)]]*TABLA_BASE[[#This Row],[CANTIDAD
(unid.)]]</f>
        <v>0</v>
      </c>
      <c r="Y376" s="281">
        <f>TABLA_BASE[[#This Row],[IGV UNIT.
(US$)
✅CF]]*'📋 Datos Generales'!$E$19</f>
        <v>0</v>
      </c>
      <c r="Z376" s="281">
        <f>TABLA_BASE[[#This Row],[IGV UNIT.
(S/.)]]*TABLA_BASE[[#This Row],[CANTIDAD
(unid.)]]</f>
        <v>0</v>
      </c>
      <c r="AA376" s="281">
        <f>TABLA_BASE[[#This Row],[PERCEP.
UNIT.(US$)
✅CF]]*'📋 Datos Generales'!$E$19</f>
        <v>0</v>
      </c>
      <c r="AB376" s="281">
        <f>TABLA_BASE[[#This Row],[PERCEP.
UNIT.(S/.)]]*TABLA_BASE[[#This Row],[CANTIDAD
(unid.)]]</f>
        <v>0</v>
      </c>
      <c r="AC376" s="279">
        <f>TABLA_BASE[[#This Row],[ADV UNIT.
(US$)
⚠️COSTO]]+TABLA_BASE[[#This Row],[IPM UNIT.
(US$)
✅CF]]+TABLA_BASE[[#This Row],[IGV UNIT.
(US$)
✅CF]]+TABLA_BASE[[#This Row],[PERCEP.
UNIT.(US$)
✅CF]]</f>
        <v>0</v>
      </c>
      <c r="AD376" s="279">
        <f>TABLA_BASE[[#This Row],[TOTAL PAGO
SUNAT
UNIT.(US$)]]*TABLA_BASE[[#This Row],[CANTIDAD
(unid.)]]</f>
        <v>0</v>
      </c>
      <c r="AE376" s="281">
        <f>TABLA_BASE[[#This Row],[TOTAL PAGO
SUNAT
UNIT.(US$)]]*'📋 Datos Generales'!$E$19</f>
        <v>0</v>
      </c>
      <c r="AF376" s="281">
        <f>TABLA_BASE[[#This Row],[TOTAL TRIB.
UNIT.(S/.)]]*TABLA_BASE[[#This Row],[CANTIDAD
(unid.)]]</f>
        <v>0</v>
      </c>
      <c r="AG376" s="279">
        <f>IF('🧾 Factura Comercial'!G380=0,0,'📦 Gastos Importación'!$E$28*(IF('🧾 Tributos Aduana'!$F$6=0,0,'🧾 Factura Comercial'!I380/'🧾 Tributos Aduana'!$F$6))/'🧾 Factura Comercial'!G380)</f>
        <v>0</v>
      </c>
      <c r="AH376" s="279">
        <f>TABLA_BASE[[#This Row],[GASTOS IMP.
UNIT.(US$)]]*TABLA_BASE[[#This Row],[CANTIDAD
(unid.)]]</f>
        <v>0</v>
      </c>
      <c r="AI376" s="281">
        <f>TABLA_BASE[[#This Row],[GASTOS IMP.
UNIT.(US$)]]*'📋 Datos Generales'!$E$19</f>
        <v>0</v>
      </c>
      <c r="AJ376" s="281">
        <f>TABLA_BASE[[#This Row],[GASTOS IMP.
UNIT.(S/.)]]*TABLA_BASE[[#This Row],[CANTIDAD
(unid.)]]</f>
        <v>0</v>
      </c>
      <c r="AK376" s="280">
        <f>'🧮 Costos x Producto'!J380</f>
        <v>0</v>
      </c>
      <c r="AL376" s="278">
        <f>'🧮 Costos x Producto'!K380</f>
        <v>0</v>
      </c>
      <c r="AM376" s="278">
        <f>TABLA_BASE[[#This Row],[C/M UNIT.
(S/.)]]*TABLA_BASE[[#This Row],[CANTIDAD
(unid.)]]</f>
        <v>0</v>
      </c>
      <c r="AN376" s="279">
        <f>IF('🧾 Factura Comercial'!G380=0,0,'🧾 Tributos Aduana'!$F$17*(IF('🧾 Tributos Aduana'!$F$6=0,0,'🧾 Factura Comercial'!I380/'🧾 Tributos Aduana'!$F$6))/'🧾 Factura Comercial'!G380)</f>
        <v>0</v>
      </c>
      <c r="AO376" s="280">
        <f>IF('🧾 Factura Comercial'!G380=0,0,'🏦 Crédito Fiscal'!$C$16*(IF('🧾 Tributos Aduana'!$F$6=0,0,'🧾 Factura Comercial'!I380/'🧾 Tributos Aduana'!$F$6))/'🧾 Factura Comercial'!G380)</f>
        <v>0</v>
      </c>
      <c r="AP376" s="278">
        <f>TABLA_BASE[[#This Row],[CF UNIT.
✅RECUP.
(US$)]]*'📋 Datos Generales'!$E$19</f>
        <v>0</v>
      </c>
      <c r="AQ376" s="278">
        <f>TABLA_BASE[[#This Row],[CF UNIT.
✅RECUP.(S/.)]]*TABLA_BASE[[#This Row],[CANTIDAD
(unid.)]]</f>
        <v>0</v>
      </c>
      <c r="AR376" s="288">
        <f>'💰 Precio de Venta'!G381</f>
        <v>0.4</v>
      </c>
      <c r="AS376" s="278">
        <f>'💰 Precio de Venta'!H381</f>
        <v>0</v>
      </c>
      <c r="AT376" s="278">
        <f>TABLA_BASE[[#This Row],[VALOR VTA.
UNIT.(S/.)]]*TABLA_BASE[[#This Row],[CANTIDAD
(unid.)]]</f>
        <v>0</v>
      </c>
      <c r="AU376" s="281">
        <f>'💰 Precio de Venta'!I381</f>
        <v>0</v>
      </c>
      <c r="AV376" s="278">
        <f>'💰 Precio de Venta'!J381</f>
        <v>0</v>
      </c>
      <c r="AW376" s="278">
        <f>TABLA_BASE[[#This Row],[GANANCIA
UNIT.(S/.)]]*TABLA_BASE[[#This Row],[CANTIDAD
(unid.)]]</f>
        <v>0</v>
      </c>
      <c r="AX376" s="289">
        <f>'💰 Precio de Venta'!K381</f>
        <v>0</v>
      </c>
      <c r="AY376" s="278">
        <f>TABLA_BASE[[#This Row],[GANANCIA
UNIT.(S/.)]]*'🧾 Factura Comercial'!G380</f>
        <v>0</v>
      </c>
      <c r="AZ376" s="277">
        <f>IF(TABLA_BASE[[#This Row],[PRECIO VTA.
c/IGV(S/.)]]=0,0,TABLA_BASE[[#This Row],[GANANCIA
UNIT.(S/.)]]/TABLA_BASE[[#This Row],[PRECIO VTA.
c/IGV(S/.)]])</f>
        <v>0</v>
      </c>
      <c r="BA376" s="277">
        <f>IF(TABLA_BASE[[#This Row],[C/M UNIT.
(S/.)]]=0,0,TABLA_BASE[[#This Row],[GANANCIA
UNIT.(S/.)]]/TABLA_BASE[[#This Row],[C/M UNIT.
(S/.)]])</f>
        <v>0</v>
      </c>
      <c r="BB376" s="274" t="str">
        <f>IF(TABLA_BASE[[#This Row],[MARGEN
%]]&gt;=0.5,"🟢 ALTO",IF(TABLA_BASE[[#This Row],[MARGEN
%]]&gt;=0.3,"🟡 MEDIO","🔴 BAJO"))</f>
        <v>🟡 MEDIO</v>
      </c>
    </row>
    <row r="377" spans="1:54" ht="16.5" hidden="1" thickTop="1" thickBot="1" x14ac:dyDescent="0.3">
      <c r="A377" s="274">
        <f>'🧾 Factura Comercial'!E381</f>
        <v>0</v>
      </c>
      <c r="B377" s="274" t="str">
        <f>'🧾 Factura Comercial'!F381</f>
        <v>Unid.</v>
      </c>
      <c r="C377" s="275">
        <f>'🧾 Factura Comercial'!G381</f>
        <v>0</v>
      </c>
      <c r="D377" s="276">
        <f>'🧾 Factura Comercial'!H381</f>
        <v>0</v>
      </c>
      <c r="E377" s="276">
        <f>'🧾 Factura Comercial'!I381</f>
        <v>0</v>
      </c>
      <c r="F377" s="277">
        <f>IF('🧾 Tributos Aduana'!$F$6=0,0,'🧾 Factura Comercial'!I381/'🧾 Tributos Aduana'!$F$6)</f>
        <v>0</v>
      </c>
      <c r="G377" s="278">
        <f>'🧾 Factura Comercial'!H381*'📋 Datos Generales'!$E$19</f>
        <v>0</v>
      </c>
      <c r="H377" s="278">
        <f>TABLA_BASE[[#This Row],[FOB UNIT.
(S/.)]]*TABLA_BASE[[#This Row],[CANTIDAD
(unid.)]]</f>
        <v>0</v>
      </c>
      <c r="I377" s="280">
        <f>IF('🧾 Tributos Aduana'!$F$6=0,0,'🧾 Tributos Aduana'!$F$17*('🧾 Factura Comercial'!H381/'🧾 Tributos Aduana'!$F$6))</f>
        <v>0</v>
      </c>
      <c r="J377" s="280">
        <f>TABLA_BASE[[#This Row],[ADV UNIT.
(US$)
⚠️COSTO]]*TABLA_BASE[[#This Row],[CANTIDAD
(unid.)]]</f>
        <v>0</v>
      </c>
      <c r="K377" s="279">
        <f>IF('🧾 Tributos Aduana'!$F$6=0,0,'🧾 Tributos Aduana'!$F$18*('🧾 Factura Comercial'!H381/'🧾 Tributos Aduana'!$F$6))</f>
        <v>0</v>
      </c>
      <c r="L377" s="280">
        <f>TABLA_BASE[[#This Row],[IPM UNIT.
(US$)
✅CF]]*TABLA_BASE[[#This Row],[CANTIDAD
(unid.)]]</f>
        <v>0</v>
      </c>
      <c r="M377" s="279">
        <f>IF('🧾 Tributos Aduana'!$F$6=0,0,'🧾 Tributos Aduana'!$F$19*('🧾 Factura Comercial'!H381/'🧾 Tributos Aduana'!$F$6))</f>
        <v>0</v>
      </c>
      <c r="N377" s="280">
        <f>TABLA_BASE[[#This Row],[IGV UNIT.
(US$)
✅CF]]*TABLA_BASE[[#This Row],[CANTIDAD
(unid.)]]</f>
        <v>0</v>
      </c>
      <c r="O377" s="280">
        <f>IF('🧾 Tributos Aduana'!$F$6=0,0,'🧾 Tributos Aduana'!$F$23*('🧾 Factura Comercial'!H381/'🧾 Tributos Aduana'!$F$6))</f>
        <v>0</v>
      </c>
      <c r="P377" s="280">
        <f>TABLA_BASE[[#This Row],[PERCEP.
UNIT.(US$)
✅CF]]*TABLA_BASE[[#This Row],[CANTIDAD
(unid.)]]</f>
        <v>0</v>
      </c>
      <c r="Q377" s="279">
        <f>TABLA_BASE[[#This Row],[ADV UNIT.
(US$)
⚠️COSTO]]+TABLA_BASE[[#This Row],[IPM UNIT.
(US$)
✅CF]]+TABLA_BASE[[#This Row],[IGV UNIT.
(US$)
✅CF]]</f>
        <v>0</v>
      </c>
      <c r="R377" s="280">
        <f>TABLA_BASE[[#This Row],[DEUDA
ADUANERA
UNIT.]]*TABLA_BASE[[#This Row],[CANTIDAD
(unid.)]]</f>
        <v>0</v>
      </c>
      <c r="S377" s="278">
        <f>TABLA_BASE[[#This Row],[DEUDA
ADUANERA
UNIT.]]*'📋 Datos Generales'!$E$19</f>
        <v>0</v>
      </c>
      <c r="T377" s="278">
        <f>TABLA_BASE[[#This Row],[DEUDA
ADUANERA
TOTAL]]*'📋 Datos Generales'!$E$19</f>
        <v>0</v>
      </c>
      <c r="U377" s="281">
        <f>TABLA_BASE[[#This Row],[ADV UNIT.
(US$)
⚠️COSTO]]*'📋 Datos Generales'!$E$19</f>
        <v>0</v>
      </c>
      <c r="V377" s="281">
        <f>TABLA_BASE[[#This Row],[ADV UNIT.
(S/.)]]*TABLA_BASE[[#This Row],[CANTIDAD
(unid.)]]</f>
        <v>0</v>
      </c>
      <c r="W377" s="281">
        <f>TABLA_BASE[[#This Row],[IPM UNIT.
(US$)
✅CF]]*'📋 Datos Generales'!$E$19</f>
        <v>0</v>
      </c>
      <c r="X377" s="281">
        <f>TABLA_BASE[[#This Row],[IPM UNIT.
(S/.)]]*TABLA_BASE[[#This Row],[CANTIDAD
(unid.)]]</f>
        <v>0</v>
      </c>
      <c r="Y377" s="281">
        <f>TABLA_BASE[[#This Row],[IGV UNIT.
(US$)
✅CF]]*'📋 Datos Generales'!$E$19</f>
        <v>0</v>
      </c>
      <c r="Z377" s="281">
        <f>TABLA_BASE[[#This Row],[IGV UNIT.
(S/.)]]*TABLA_BASE[[#This Row],[CANTIDAD
(unid.)]]</f>
        <v>0</v>
      </c>
      <c r="AA377" s="281">
        <f>TABLA_BASE[[#This Row],[PERCEP.
UNIT.(US$)
✅CF]]*'📋 Datos Generales'!$E$19</f>
        <v>0</v>
      </c>
      <c r="AB377" s="281">
        <f>TABLA_BASE[[#This Row],[PERCEP.
UNIT.(S/.)]]*TABLA_BASE[[#This Row],[CANTIDAD
(unid.)]]</f>
        <v>0</v>
      </c>
      <c r="AC377" s="279">
        <f>TABLA_BASE[[#This Row],[ADV UNIT.
(US$)
⚠️COSTO]]+TABLA_BASE[[#This Row],[IPM UNIT.
(US$)
✅CF]]+TABLA_BASE[[#This Row],[IGV UNIT.
(US$)
✅CF]]+TABLA_BASE[[#This Row],[PERCEP.
UNIT.(US$)
✅CF]]</f>
        <v>0</v>
      </c>
      <c r="AD377" s="279">
        <f>TABLA_BASE[[#This Row],[TOTAL PAGO
SUNAT
UNIT.(US$)]]*TABLA_BASE[[#This Row],[CANTIDAD
(unid.)]]</f>
        <v>0</v>
      </c>
      <c r="AE377" s="281">
        <f>TABLA_BASE[[#This Row],[TOTAL PAGO
SUNAT
UNIT.(US$)]]*'📋 Datos Generales'!$E$19</f>
        <v>0</v>
      </c>
      <c r="AF377" s="281">
        <f>TABLA_BASE[[#This Row],[TOTAL TRIB.
UNIT.(S/.)]]*TABLA_BASE[[#This Row],[CANTIDAD
(unid.)]]</f>
        <v>0</v>
      </c>
      <c r="AG377" s="279">
        <f>IF('🧾 Factura Comercial'!G381=0,0,'📦 Gastos Importación'!$E$28*(IF('🧾 Tributos Aduana'!$F$6=0,0,'🧾 Factura Comercial'!I381/'🧾 Tributos Aduana'!$F$6))/'🧾 Factura Comercial'!G381)</f>
        <v>0</v>
      </c>
      <c r="AH377" s="279">
        <f>TABLA_BASE[[#This Row],[GASTOS IMP.
UNIT.(US$)]]*TABLA_BASE[[#This Row],[CANTIDAD
(unid.)]]</f>
        <v>0</v>
      </c>
      <c r="AI377" s="281">
        <f>TABLA_BASE[[#This Row],[GASTOS IMP.
UNIT.(US$)]]*'📋 Datos Generales'!$E$19</f>
        <v>0</v>
      </c>
      <c r="AJ377" s="281">
        <f>TABLA_BASE[[#This Row],[GASTOS IMP.
UNIT.(S/.)]]*TABLA_BASE[[#This Row],[CANTIDAD
(unid.)]]</f>
        <v>0</v>
      </c>
      <c r="AK377" s="280">
        <f>'🧮 Costos x Producto'!J381</f>
        <v>0</v>
      </c>
      <c r="AL377" s="278">
        <f>'🧮 Costos x Producto'!K381</f>
        <v>0</v>
      </c>
      <c r="AM377" s="278">
        <f>TABLA_BASE[[#This Row],[C/M UNIT.
(S/.)]]*TABLA_BASE[[#This Row],[CANTIDAD
(unid.)]]</f>
        <v>0</v>
      </c>
      <c r="AN377" s="279">
        <f>IF('🧾 Factura Comercial'!G381=0,0,'🧾 Tributos Aduana'!$F$17*(IF('🧾 Tributos Aduana'!$F$6=0,0,'🧾 Factura Comercial'!I381/'🧾 Tributos Aduana'!$F$6))/'🧾 Factura Comercial'!G381)</f>
        <v>0</v>
      </c>
      <c r="AO377" s="280">
        <f>IF('🧾 Factura Comercial'!G381=0,0,'🏦 Crédito Fiscal'!$C$16*(IF('🧾 Tributos Aduana'!$F$6=0,0,'🧾 Factura Comercial'!I381/'🧾 Tributos Aduana'!$F$6))/'🧾 Factura Comercial'!G381)</f>
        <v>0</v>
      </c>
      <c r="AP377" s="278">
        <f>TABLA_BASE[[#This Row],[CF UNIT.
✅RECUP.
(US$)]]*'📋 Datos Generales'!$E$19</f>
        <v>0</v>
      </c>
      <c r="AQ377" s="278">
        <f>TABLA_BASE[[#This Row],[CF UNIT.
✅RECUP.(S/.)]]*TABLA_BASE[[#This Row],[CANTIDAD
(unid.)]]</f>
        <v>0</v>
      </c>
      <c r="AR377" s="288">
        <f>'💰 Precio de Venta'!G382</f>
        <v>0.4</v>
      </c>
      <c r="AS377" s="278">
        <f>'💰 Precio de Venta'!H382</f>
        <v>0</v>
      </c>
      <c r="AT377" s="278">
        <f>TABLA_BASE[[#This Row],[VALOR VTA.
UNIT.(S/.)]]*TABLA_BASE[[#This Row],[CANTIDAD
(unid.)]]</f>
        <v>0</v>
      </c>
      <c r="AU377" s="281">
        <f>'💰 Precio de Venta'!I382</f>
        <v>0</v>
      </c>
      <c r="AV377" s="278">
        <f>'💰 Precio de Venta'!J382</f>
        <v>0</v>
      </c>
      <c r="AW377" s="278">
        <f>TABLA_BASE[[#This Row],[GANANCIA
UNIT.(S/.)]]*TABLA_BASE[[#This Row],[CANTIDAD
(unid.)]]</f>
        <v>0</v>
      </c>
      <c r="AX377" s="289">
        <f>'💰 Precio de Venta'!K382</f>
        <v>0</v>
      </c>
      <c r="AY377" s="278">
        <f>TABLA_BASE[[#This Row],[GANANCIA
UNIT.(S/.)]]*'🧾 Factura Comercial'!G381</f>
        <v>0</v>
      </c>
      <c r="AZ377" s="277">
        <f>IF(TABLA_BASE[[#This Row],[PRECIO VTA.
c/IGV(S/.)]]=0,0,TABLA_BASE[[#This Row],[GANANCIA
UNIT.(S/.)]]/TABLA_BASE[[#This Row],[PRECIO VTA.
c/IGV(S/.)]])</f>
        <v>0</v>
      </c>
      <c r="BA377" s="277">
        <f>IF(TABLA_BASE[[#This Row],[C/M UNIT.
(S/.)]]=0,0,TABLA_BASE[[#This Row],[GANANCIA
UNIT.(S/.)]]/TABLA_BASE[[#This Row],[C/M UNIT.
(S/.)]])</f>
        <v>0</v>
      </c>
      <c r="BB377" s="274" t="str">
        <f>IF(TABLA_BASE[[#This Row],[MARGEN
%]]&gt;=0.5,"🟢 ALTO",IF(TABLA_BASE[[#This Row],[MARGEN
%]]&gt;=0.3,"🟡 MEDIO","🔴 BAJO"))</f>
        <v>🟡 MEDIO</v>
      </c>
    </row>
    <row r="378" spans="1:54" ht="16.5" hidden="1" thickTop="1" thickBot="1" x14ac:dyDescent="0.3">
      <c r="A378" s="274">
        <f>'🧾 Factura Comercial'!E382</f>
        <v>0</v>
      </c>
      <c r="B378" s="274" t="str">
        <f>'🧾 Factura Comercial'!F382</f>
        <v>Unid.</v>
      </c>
      <c r="C378" s="275">
        <f>'🧾 Factura Comercial'!G382</f>
        <v>0</v>
      </c>
      <c r="D378" s="276">
        <f>'🧾 Factura Comercial'!H382</f>
        <v>0</v>
      </c>
      <c r="E378" s="276">
        <f>'🧾 Factura Comercial'!I382</f>
        <v>0</v>
      </c>
      <c r="F378" s="277">
        <f>IF('🧾 Tributos Aduana'!$F$6=0,0,'🧾 Factura Comercial'!I382/'🧾 Tributos Aduana'!$F$6)</f>
        <v>0</v>
      </c>
      <c r="G378" s="278">
        <f>'🧾 Factura Comercial'!H382*'📋 Datos Generales'!$E$19</f>
        <v>0</v>
      </c>
      <c r="H378" s="278">
        <f>TABLA_BASE[[#This Row],[FOB UNIT.
(S/.)]]*TABLA_BASE[[#This Row],[CANTIDAD
(unid.)]]</f>
        <v>0</v>
      </c>
      <c r="I378" s="280">
        <f>IF('🧾 Tributos Aduana'!$F$6=0,0,'🧾 Tributos Aduana'!$F$17*('🧾 Factura Comercial'!H382/'🧾 Tributos Aduana'!$F$6))</f>
        <v>0</v>
      </c>
      <c r="J378" s="280">
        <f>TABLA_BASE[[#This Row],[ADV UNIT.
(US$)
⚠️COSTO]]*TABLA_BASE[[#This Row],[CANTIDAD
(unid.)]]</f>
        <v>0</v>
      </c>
      <c r="K378" s="279">
        <f>IF('🧾 Tributos Aduana'!$F$6=0,0,'🧾 Tributos Aduana'!$F$18*('🧾 Factura Comercial'!H382/'🧾 Tributos Aduana'!$F$6))</f>
        <v>0</v>
      </c>
      <c r="L378" s="280">
        <f>TABLA_BASE[[#This Row],[IPM UNIT.
(US$)
✅CF]]*TABLA_BASE[[#This Row],[CANTIDAD
(unid.)]]</f>
        <v>0</v>
      </c>
      <c r="M378" s="279">
        <f>IF('🧾 Tributos Aduana'!$F$6=0,0,'🧾 Tributos Aduana'!$F$19*('🧾 Factura Comercial'!H382/'🧾 Tributos Aduana'!$F$6))</f>
        <v>0</v>
      </c>
      <c r="N378" s="280">
        <f>TABLA_BASE[[#This Row],[IGV UNIT.
(US$)
✅CF]]*TABLA_BASE[[#This Row],[CANTIDAD
(unid.)]]</f>
        <v>0</v>
      </c>
      <c r="O378" s="280">
        <f>IF('🧾 Tributos Aduana'!$F$6=0,0,'🧾 Tributos Aduana'!$F$23*('🧾 Factura Comercial'!H382/'🧾 Tributos Aduana'!$F$6))</f>
        <v>0</v>
      </c>
      <c r="P378" s="280">
        <f>TABLA_BASE[[#This Row],[PERCEP.
UNIT.(US$)
✅CF]]*TABLA_BASE[[#This Row],[CANTIDAD
(unid.)]]</f>
        <v>0</v>
      </c>
      <c r="Q378" s="279">
        <f>TABLA_BASE[[#This Row],[ADV UNIT.
(US$)
⚠️COSTO]]+TABLA_BASE[[#This Row],[IPM UNIT.
(US$)
✅CF]]+TABLA_BASE[[#This Row],[IGV UNIT.
(US$)
✅CF]]</f>
        <v>0</v>
      </c>
      <c r="R378" s="280">
        <f>TABLA_BASE[[#This Row],[DEUDA
ADUANERA
UNIT.]]*TABLA_BASE[[#This Row],[CANTIDAD
(unid.)]]</f>
        <v>0</v>
      </c>
      <c r="S378" s="278">
        <f>TABLA_BASE[[#This Row],[DEUDA
ADUANERA
UNIT.]]*'📋 Datos Generales'!$E$19</f>
        <v>0</v>
      </c>
      <c r="T378" s="278">
        <f>TABLA_BASE[[#This Row],[DEUDA
ADUANERA
TOTAL]]*'📋 Datos Generales'!$E$19</f>
        <v>0</v>
      </c>
      <c r="U378" s="281">
        <f>TABLA_BASE[[#This Row],[ADV UNIT.
(US$)
⚠️COSTO]]*'📋 Datos Generales'!$E$19</f>
        <v>0</v>
      </c>
      <c r="V378" s="281">
        <f>TABLA_BASE[[#This Row],[ADV UNIT.
(S/.)]]*TABLA_BASE[[#This Row],[CANTIDAD
(unid.)]]</f>
        <v>0</v>
      </c>
      <c r="W378" s="281">
        <f>TABLA_BASE[[#This Row],[IPM UNIT.
(US$)
✅CF]]*'📋 Datos Generales'!$E$19</f>
        <v>0</v>
      </c>
      <c r="X378" s="281">
        <f>TABLA_BASE[[#This Row],[IPM UNIT.
(S/.)]]*TABLA_BASE[[#This Row],[CANTIDAD
(unid.)]]</f>
        <v>0</v>
      </c>
      <c r="Y378" s="281">
        <f>TABLA_BASE[[#This Row],[IGV UNIT.
(US$)
✅CF]]*'📋 Datos Generales'!$E$19</f>
        <v>0</v>
      </c>
      <c r="Z378" s="281">
        <f>TABLA_BASE[[#This Row],[IGV UNIT.
(S/.)]]*TABLA_BASE[[#This Row],[CANTIDAD
(unid.)]]</f>
        <v>0</v>
      </c>
      <c r="AA378" s="281">
        <f>TABLA_BASE[[#This Row],[PERCEP.
UNIT.(US$)
✅CF]]*'📋 Datos Generales'!$E$19</f>
        <v>0</v>
      </c>
      <c r="AB378" s="281">
        <f>TABLA_BASE[[#This Row],[PERCEP.
UNIT.(S/.)]]*TABLA_BASE[[#This Row],[CANTIDAD
(unid.)]]</f>
        <v>0</v>
      </c>
      <c r="AC378" s="279">
        <f>TABLA_BASE[[#This Row],[ADV UNIT.
(US$)
⚠️COSTO]]+TABLA_BASE[[#This Row],[IPM UNIT.
(US$)
✅CF]]+TABLA_BASE[[#This Row],[IGV UNIT.
(US$)
✅CF]]+TABLA_BASE[[#This Row],[PERCEP.
UNIT.(US$)
✅CF]]</f>
        <v>0</v>
      </c>
      <c r="AD378" s="279">
        <f>TABLA_BASE[[#This Row],[TOTAL PAGO
SUNAT
UNIT.(US$)]]*TABLA_BASE[[#This Row],[CANTIDAD
(unid.)]]</f>
        <v>0</v>
      </c>
      <c r="AE378" s="281">
        <f>TABLA_BASE[[#This Row],[TOTAL PAGO
SUNAT
UNIT.(US$)]]*'📋 Datos Generales'!$E$19</f>
        <v>0</v>
      </c>
      <c r="AF378" s="281">
        <f>TABLA_BASE[[#This Row],[TOTAL TRIB.
UNIT.(S/.)]]*TABLA_BASE[[#This Row],[CANTIDAD
(unid.)]]</f>
        <v>0</v>
      </c>
      <c r="AG378" s="279">
        <f>IF('🧾 Factura Comercial'!G382=0,0,'📦 Gastos Importación'!$E$28*(IF('🧾 Tributos Aduana'!$F$6=0,0,'🧾 Factura Comercial'!I382/'🧾 Tributos Aduana'!$F$6))/'🧾 Factura Comercial'!G382)</f>
        <v>0</v>
      </c>
      <c r="AH378" s="279">
        <f>TABLA_BASE[[#This Row],[GASTOS IMP.
UNIT.(US$)]]*TABLA_BASE[[#This Row],[CANTIDAD
(unid.)]]</f>
        <v>0</v>
      </c>
      <c r="AI378" s="281">
        <f>TABLA_BASE[[#This Row],[GASTOS IMP.
UNIT.(US$)]]*'📋 Datos Generales'!$E$19</f>
        <v>0</v>
      </c>
      <c r="AJ378" s="281">
        <f>TABLA_BASE[[#This Row],[GASTOS IMP.
UNIT.(S/.)]]*TABLA_BASE[[#This Row],[CANTIDAD
(unid.)]]</f>
        <v>0</v>
      </c>
      <c r="AK378" s="280">
        <f>'🧮 Costos x Producto'!J382</f>
        <v>0</v>
      </c>
      <c r="AL378" s="278">
        <f>'🧮 Costos x Producto'!K382</f>
        <v>0</v>
      </c>
      <c r="AM378" s="278">
        <f>TABLA_BASE[[#This Row],[C/M UNIT.
(S/.)]]*TABLA_BASE[[#This Row],[CANTIDAD
(unid.)]]</f>
        <v>0</v>
      </c>
      <c r="AN378" s="279">
        <f>IF('🧾 Factura Comercial'!G382=0,0,'🧾 Tributos Aduana'!$F$17*(IF('🧾 Tributos Aduana'!$F$6=0,0,'🧾 Factura Comercial'!I382/'🧾 Tributos Aduana'!$F$6))/'🧾 Factura Comercial'!G382)</f>
        <v>0</v>
      </c>
      <c r="AO378" s="280">
        <f>IF('🧾 Factura Comercial'!G382=0,0,'🏦 Crédito Fiscal'!$C$16*(IF('🧾 Tributos Aduana'!$F$6=0,0,'🧾 Factura Comercial'!I382/'🧾 Tributos Aduana'!$F$6))/'🧾 Factura Comercial'!G382)</f>
        <v>0</v>
      </c>
      <c r="AP378" s="278">
        <f>TABLA_BASE[[#This Row],[CF UNIT.
✅RECUP.
(US$)]]*'📋 Datos Generales'!$E$19</f>
        <v>0</v>
      </c>
      <c r="AQ378" s="278">
        <f>TABLA_BASE[[#This Row],[CF UNIT.
✅RECUP.(S/.)]]*TABLA_BASE[[#This Row],[CANTIDAD
(unid.)]]</f>
        <v>0</v>
      </c>
      <c r="AR378" s="288">
        <f>'💰 Precio de Venta'!G383</f>
        <v>0.4</v>
      </c>
      <c r="AS378" s="278">
        <f>'💰 Precio de Venta'!H383</f>
        <v>0</v>
      </c>
      <c r="AT378" s="278">
        <f>TABLA_BASE[[#This Row],[VALOR VTA.
UNIT.(S/.)]]*TABLA_BASE[[#This Row],[CANTIDAD
(unid.)]]</f>
        <v>0</v>
      </c>
      <c r="AU378" s="281">
        <f>'💰 Precio de Venta'!I383</f>
        <v>0</v>
      </c>
      <c r="AV378" s="278">
        <f>'💰 Precio de Venta'!J383</f>
        <v>0</v>
      </c>
      <c r="AW378" s="278">
        <f>TABLA_BASE[[#This Row],[GANANCIA
UNIT.(S/.)]]*TABLA_BASE[[#This Row],[CANTIDAD
(unid.)]]</f>
        <v>0</v>
      </c>
      <c r="AX378" s="289">
        <f>'💰 Precio de Venta'!K383</f>
        <v>0</v>
      </c>
      <c r="AY378" s="278">
        <f>TABLA_BASE[[#This Row],[GANANCIA
UNIT.(S/.)]]*'🧾 Factura Comercial'!G382</f>
        <v>0</v>
      </c>
      <c r="AZ378" s="277">
        <f>IF(TABLA_BASE[[#This Row],[PRECIO VTA.
c/IGV(S/.)]]=0,0,TABLA_BASE[[#This Row],[GANANCIA
UNIT.(S/.)]]/TABLA_BASE[[#This Row],[PRECIO VTA.
c/IGV(S/.)]])</f>
        <v>0</v>
      </c>
      <c r="BA378" s="277">
        <f>IF(TABLA_BASE[[#This Row],[C/M UNIT.
(S/.)]]=0,0,TABLA_BASE[[#This Row],[GANANCIA
UNIT.(S/.)]]/TABLA_BASE[[#This Row],[C/M UNIT.
(S/.)]])</f>
        <v>0</v>
      </c>
      <c r="BB378" s="274" t="str">
        <f>IF(TABLA_BASE[[#This Row],[MARGEN
%]]&gt;=0.5,"🟢 ALTO",IF(TABLA_BASE[[#This Row],[MARGEN
%]]&gt;=0.3,"🟡 MEDIO","🔴 BAJO"))</f>
        <v>🟡 MEDIO</v>
      </c>
    </row>
    <row r="379" spans="1:54" ht="16.5" hidden="1" thickTop="1" thickBot="1" x14ac:dyDescent="0.3">
      <c r="A379" s="274">
        <f>'🧾 Factura Comercial'!E383</f>
        <v>0</v>
      </c>
      <c r="B379" s="274" t="str">
        <f>'🧾 Factura Comercial'!F383</f>
        <v>Unid.</v>
      </c>
      <c r="C379" s="275">
        <f>'🧾 Factura Comercial'!G383</f>
        <v>0</v>
      </c>
      <c r="D379" s="276">
        <f>'🧾 Factura Comercial'!H383</f>
        <v>0</v>
      </c>
      <c r="E379" s="276">
        <f>'🧾 Factura Comercial'!I383</f>
        <v>0</v>
      </c>
      <c r="F379" s="277">
        <f>IF('🧾 Tributos Aduana'!$F$6=0,0,'🧾 Factura Comercial'!I383/'🧾 Tributos Aduana'!$F$6)</f>
        <v>0</v>
      </c>
      <c r="G379" s="278">
        <f>'🧾 Factura Comercial'!H383*'📋 Datos Generales'!$E$19</f>
        <v>0</v>
      </c>
      <c r="H379" s="278">
        <f>TABLA_BASE[[#This Row],[FOB UNIT.
(S/.)]]*TABLA_BASE[[#This Row],[CANTIDAD
(unid.)]]</f>
        <v>0</v>
      </c>
      <c r="I379" s="280">
        <f>IF('🧾 Tributos Aduana'!$F$6=0,0,'🧾 Tributos Aduana'!$F$17*('🧾 Factura Comercial'!H383/'🧾 Tributos Aduana'!$F$6))</f>
        <v>0</v>
      </c>
      <c r="J379" s="280">
        <f>TABLA_BASE[[#This Row],[ADV UNIT.
(US$)
⚠️COSTO]]*TABLA_BASE[[#This Row],[CANTIDAD
(unid.)]]</f>
        <v>0</v>
      </c>
      <c r="K379" s="279">
        <f>IF('🧾 Tributos Aduana'!$F$6=0,0,'🧾 Tributos Aduana'!$F$18*('🧾 Factura Comercial'!H383/'🧾 Tributos Aduana'!$F$6))</f>
        <v>0</v>
      </c>
      <c r="L379" s="280">
        <f>TABLA_BASE[[#This Row],[IPM UNIT.
(US$)
✅CF]]*TABLA_BASE[[#This Row],[CANTIDAD
(unid.)]]</f>
        <v>0</v>
      </c>
      <c r="M379" s="279">
        <f>IF('🧾 Tributos Aduana'!$F$6=0,0,'🧾 Tributos Aduana'!$F$19*('🧾 Factura Comercial'!H383/'🧾 Tributos Aduana'!$F$6))</f>
        <v>0</v>
      </c>
      <c r="N379" s="280">
        <f>TABLA_BASE[[#This Row],[IGV UNIT.
(US$)
✅CF]]*TABLA_BASE[[#This Row],[CANTIDAD
(unid.)]]</f>
        <v>0</v>
      </c>
      <c r="O379" s="280">
        <f>IF('🧾 Tributos Aduana'!$F$6=0,0,'🧾 Tributos Aduana'!$F$23*('🧾 Factura Comercial'!H383/'🧾 Tributos Aduana'!$F$6))</f>
        <v>0</v>
      </c>
      <c r="P379" s="280">
        <f>TABLA_BASE[[#This Row],[PERCEP.
UNIT.(US$)
✅CF]]*TABLA_BASE[[#This Row],[CANTIDAD
(unid.)]]</f>
        <v>0</v>
      </c>
      <c r="Q379" s="279">
        <f>TABLA_BASE[[#This Row],[ADV UNIT.
(US$)
⚠️COSTO]]+TABLA_BASE[[#This Row],[IPM UNIT.
(US$)
✅CF]]+TABLA_BASE[[#This Row],[IGV UNIT.
(US$)
✅CF]]</f>
        <v>0</v>
      </c>
      <c r="R379" s="280">
        <f>TABLA_BASE[[#This Row],[DEUDA
ADUANERA
UNIT.]]*TABLA_BASE[[#This Row],[CANTIDAD
(unid.)]]</f>
        <v>0</v>
      </c>
      <c r="S379" s="278">
        <f>TABLA_BASE[[#This Row],[DEUDA
ADUANERA
UNIT.]]*'📋 Datos Generales'!$E$19</f>
        <v>0</v>
      </c>
      <c r="T379" s="278">
        <f>TABLA_BASE[[#This Row],[DEUDA
ADUANERA
TOTAL]]*'📋 Datos Generales'!$E$19</f>
        <v>0</v>
      </c>
      <c r="U379" s="281">
        <f>TABLA_BASE[[#This Row],[ADV UNIT.
(US$)
⚠️COSTO]]*'📋 Datos Generales'!$E$19</f>
        <v>0</v>
      </c>
      <c r="V379" s="281">
        <f>TABLA_BASE[[#This Row],[ADV UNIT.
(S/.)]]*TABLA_BASE[[#This Row],[CANTIDAD
(unid.)]]</f>
        <v>0</v>
      </c>
      <c r="W379" s="281">
        <f>TABLA_BASE[[#This Row],[IPM UNIT.
(US$)
✅CF]]*'📋 Datos Generales'!$E$19</f>
        <v>0</v>
      </c>
      <c r="X379" s="281">
        <f>TABLA_BASE[[#This Row],[IPM UNIT.
(S/.)]]*TABLA_BASE[[#This Row],[CANTIDAD
(unid.)]]</f>
        <v>0</v>
      </c>
      <c r="Y379" s="281">
        <f>TABLA_BASE[[#This Row],[IGV UNIT.
(US$)
✅CF]]*'📋 Datos Generales'!$E$19</f>
        <v>0</v>
      </c>
      <c r="Z379" s="281">
        <f>TABLA_BASE[[#This Row],[IGV UNIT.
(S/.)]]*TABLA_BASE[[#This Row],[CANTIDAD
(unid.)]]</f>
        <v>0</v>
      </c>
      <c r="AA379" s="281">
        <f>TABLA_BASE[[#This Row],[PERCEP.
UNIT.(US$)
✅CF]]*'📋 Datos Generales'!$E$19</f>
        <v>0</v>
      </c>
      <c r="AB379" s="281">
        <f>TABLA_BASE[[#This Row],[PERCEP.
UNIT.(S/.)]]*TABLA_BASE[[#This Row],[CANTIDAD
(unid.)]]</f>
        <v>0</v>
      </c>
      <c r="AC379" s="279">
        <f>TABLA_BASE[[#This Row],[ADV UNIT.
(US$)
⚠️COSTO]]+TABLA_BASE[[#This Row],[IPM UNIT.
(US$)
✅CF]]+TABLA_BASE[[#This Row],[IGV UNIT.
(US$)
✅CF]]+TABLA_BASE[[#This Row],[PERCEP.
UNIT.(US$)
✅CF]]</f>
        <v>0</v>
      </c>
      <c r="AD379" s="279">
        <f>TABLA_BASE[[#This Row],[TOTAL PAGO
SUNAT
UNIT.(US$)]]*TABLA_BASE[[#This Row],[CANTIDAD
(unid.)]]</f>
        <v>0</v>
      </c>
      <c r="AE379" s="281">
        <f>TABLA_BASE[[#This Row],[TOTAL PAGO
SUNAT
UNIT.(US$)]]*'📋 Datos Generales'!$E$19</f>
        <v>0</v>
      </c>
      <c r="AF379" s="281">
        <f>TABLA_BASE[[#This Row],[TOTAL TRIB.
UNIT.(S/.)]]*TABLA_BASE[[#This Row],[CANTIDAD
(unid.)]]</f>
        <v>0</v>
      </c>
      <c r="AG379" s="279">
        <f>IF('🧾 Factura Comercial'!G383=0,0,'📦 Gastos Importación'!$E$28*(IF('🧾 Tributos Aduana'!$F$6=0,0,'🧾 Factura Comercial'!I383/'🧾 Tributos Aduana'!$F$6))/'🧾 Factura Comercial'!G383)</f>
        <v>0</v>
      </c>
      <c r="AH379" s="279">
        <f>TABLA_BASE[[#This Row],[GASTOS IMP.
UNIT.(US$)]]*TABLA_BASE[[#This Row],[CANTIDAD
(unid.)]]</f>
        <v>0</v>
      </c>
      <c r="AI379" s="281">
        <f>TABLA_BASE[[#This Row],[GASTOS IMP.
UNIT.(US$)]]*'📋 Datos Generales'!$E$19</f>
        <v>0</v>
      </c>
      <c r="AJ379" s="281">
        <f>TABLA_BASE[[#This Row],[GASTOS IMP.
UNIT.(S/.)]]*TABLA_BASE[[#This Row],[CANTIDAD
(unid.)]]</f>
        <v>0</v>
      </c>
      <c r="AK379" s="280">
        <f>'🧮 Costos x Producto'!J383</f>
        <v>0</v>
      </c>
      <c r="AL379" s="278">
        <f>'🧮 Costos x Producto'!K383</f>
        <v>0</v>
      </c>
      <c r="AM379" s="278">
        <f>TABLA_BASE[[#This Row],[C/M UNIT.
(S/.)]]*TABLA_BASE[[#This Row],[CANTIDAD
(unid.)]]</f>
        <v>0</v>
      </c>
      <c r="AN379" s="279">
        <f>IF('🧾 Factura Comercial'!G383=0,0,'🧾 Tributos Aduana'!$F$17*(IF('🧾 Tributos Aduana'!$F$6=0,0,'🧾 Factura Comercial'!I383/'🧾 Tributos Aduana'!$F$6))/'🧾 Factura Comercial'!G383)</f>
        <v>0</v>
      </c>
      <c r="AO379" s="280">
        <f>IF('🧾 Factura Comercial'!G383=0,0,'🏦 Crédito Fiscal'!$C$16*(IF('🧾 Tributos Aduana'!$F$6=0,0,'🧾 Factura Comercial'!I383/'🧾 Tributos Aduana'!$F$6))/'🧾 Factura Comercial'!G383)</f>
        <v>0</v>
      </c>
      <c r="AP379" s="278">
        <f>TABLA_BASE[[#This Row],[CF UNIT.
✅RECUP.
(US$)]]*'📋 Datos Generales'!$E$19</f>
        <v>0</v>
      </c>
      <c r="AQ379" s="278">
        <f>TABLA_BASE[[#This Row],[CF UNIT.
✅RECUP.(S/.)]]*TABLA_BASE[[#This Row],[CANTIDAD
(unid.)]]</f>
        <v>0</v>
      </c>
      <c r="AR379" s="288">
        <f>'💰 Precio de Venta'!G384</f>
        <v>0.4</v>
      </c>
      <c r="AS379" s="278">
        <f>'💰 Precio de Venta'!H384</f>
        <v>0</v>
      </c>
      <c r="AT379" s="278">
        <f>TABLA_BASE[[#This Row],[VALOR VTA.
UNIT.(S/.)]]*TABLA_BASE[[#This Row],[CANTIDAD
(unid.)]]</f>
        <v>0</v>
      </c>
      <c r="AU379" s="281">
        <f>'💰 Precio de Venta'!I384</f>
        <v>0</v>
      </c>
      <c r="AV379" s="278">
        <f>'💰 Precio de Venta'!J384</f>
        <v>0</v>
      </c>
      <c r="AW379" s="278">
        <f>TABLA_BASE[[#This Row],[GANANCIA
UNIT.(S/.)]]*TABLA_BASE[[#This Row],[CANTIDAD
(unid.)]]</f>
        <v>0</v>
      </c>
      <c r="AX379" s="289">
        <f>'💰 Precio de Venta'!K384</f>
        <v>0</v>
      </c>
      <c r="AY379" s="278">
        <f>TABLA_BASE[[#This Row],[GANANCIA
UNIT.(S/.)]]*'🧾 Factura Comercial'!G383</f>
        <v>0</v>
      </c>
      <c r="AZ379" s="277">
        <f>IF(TABLA_BASE[[#This Row],[PRECIO VTA.
c/IGV(S/.)]]=0,0,TABLA_BASE[[#This Row],[GANANCIA
UNIT.(S/.)]]/TABLA_BASE[[#This Row],[PRECIO VTA.
c/IGV(S/.)]])</f>
        <v>0</v>
      </c>
      <c r="BA379" s="277">
        <f>IF(TABLA_BASE[[#This Row],[C/M UNIT.
(S/.)]]=0,0,TABLA_BASE[[#This Row],[GANANCIA
UNIT.(S/.)]]/TABLA_BASE[[#This Row],[C/M UNIT.
(S/.)]])</f>
        <v>0</v>
      </c>
      <c r="BB379" s="274" t="str">
        <f>IF(TABLA_BASE[[#This Row],[MARGEN
%]]&gt;=0.5,"🟢 ALTO",IF(TABLA_BASE[[#This Row],[MARGEN
%]]&gt;=0.3,"🟡 MEDIO","🔴 BAJO"))</f>
        <v>🟡 MEDIO</v>
      </c>
    </row>
    <row r="380" spans="1:54" ht="16.5" hidden="1" thickTop="1" thickBot="1" x14ac:dyDescent="0.3">
      <c r="A380" s="274">
        <f>'🧾 Factura Comercial'!E384</f>
        <v>0</v>
      </c>
      <c r="B380" s="274" t="str">
        <f>'🧾 Factura Comercial'!F384</f>
        <v>Unid.</v>
      </c>
      <c r="C380" s="275">
        <f>'🧾 Factura Comercial'!G384</f>
        <v>0</v>
      </c>
      <c r="D380" s="276">
        <f>'🧾 Factura Comercial'!H384</f>
        <v>0</v>
      </c>
      <c r="E380" s="276">
        <f>'🧾 Factura Comercial'!I384</f>
        <v>0</v>
      </c>
      <c r="F380" s="277">
        <f>IF('🧾 Tributos Aduana'!$F$6=0,0,'🧾 Factura Comercial'!I384/'🧾 Tributos Aduana'!$F$6)</f>
        <v>0</v>
      </c>
      <c r="G380" s="278">
        <f>'🧾 Factura Comercial'!H384*'📋 Datos Generales'!$E$19</f>
        <v>0</v>
      </c>
      <c r="H380" s="278">
        <f>TABLA_BASE[[#This Row],[FOB UNIT.
(S/.)]]*TABLA_BASE[[#This Row],[CANTIDAD
(unid.)]]</f>
        <v>0</v>
      </c>
      <c r="I380" s="280">
        <f>IF('🧾 Tributos Aduana'!$F$6=0,0,'🧾 Tributos Aduana'!$F$17*('🧾 Factura Comercial'!H384/'🧾 Tributos Aduana'!$F$6))</f>
        <v>0</v>
      </c>
      <c r="J380" s="280">
        <f>TABLA_BASE[[#This Row],[ADV UNIT.
(US$)
⚠️COSTO]]*TABLA_BASE[[#This Row],[CANTIDAD
(unid.)]]</f>
        <v>0</v>
      </c>
      <c r="K380" s="279">
        <f>IF('🧾 Tributos Aduana'!$F$6=0,0,'🧾 Tributos Aduana'!$F$18*('🧾 Factura Comercial'!H384/'🧾 Tributos Aduana'!$F$6))</f>
        <v>0</v>
      </c>
      <c r="L380" s="280">
        <f>TABLA_BASE[[#This Row],[IPM UNIT.
(US$)
✅CF]]*TABLA_BASE[[#This Row],[CANTIDAD
(unid.)]]</f>
        <v>0</v>
      </c>
      <c r="M380" s="279">
        <f>IF('🧾 Tributos Aduana'!$F$6=0,0,'🧾 Tributos Aduana'!$F$19*('🧾 Factura Comercial'!H384/'🧾 Tributos Aduana'!$F$6))</f>
        <v>0</v>
      </c>
      <c r="N380" s="280">
        <f>TABLA_BASE[[#This Row],[IGV UNIT.
(US$)
✅CF]]*TABLA_BASE[[#This Row],[CANTIDAD
(unid.)]]</f>
        <v>0</v>
      </c>
      <c r="O380" s="280">
        <f>IF('🧾 Tributos Aduana'!$F$6=0,0,'🧾 Tributos Aduana'!$F$23*('🧾 Factura Comercial'!H384/'🧾 Tributos Aduana'!$F$6))</f>
        <v>0</v>
      </c>
      <c r="P380" s="280">
        <f>TABLA_BASE[[#This Row],[PERCEP.
UNIT.(US$)
✅CF]]*TABLA_BASE[[#This Row],[CANTIDAD
(unid.)]]</f>
        <v>0</v>
      </c>
      <c r="Q380" s="279">
        <f>TABLA_BASE[[#This Row],[ADV UNIT.
(US$)
⚠️COSTO]]+TABLA_BASE[[#This Row],[IPM UNIT.
(US$)
✅CF]]+TABLA_BASE[[#This Row],[IGV UNIT.
(US$)
✅CF]]</f>
        <v>0</v>
      </c>
      <c r="R380" s="280">
        <f>TABLA_BASE[[#This Row],[DEUDA
ADUANERA
UNIT.]]*TABLA_BASE[[#This Row],[CANTIDAD
(unid.)]]</f>
        <v>0</v>
      </c>
      <c r="S380" s="278">
        <f>TABLA_BASE[[#This Row],[DEUDA
ADUANERA
UNIT.]]*'📋 Datos Generales'!$E$19</f>
        <v>0</v>
      </c>
      <c r="T380" s="278">
        <f>TABLA_BASE[[#This Row],[DEUDA
ADUANERA
TOTAL]]*'📋 Datos Generales'!$E$19</f>
        <v>0</v>
      </c>
      <c r="U380" s="281">
        <f>TABLA_BASE[[#This Row],[ADV UNIT.
(US$)
⚠️COSTO]]*'📋 Datos Generales'!$E$19</f>
        <v>0</v>
      </c>
      <c r="V380" s="281">
        <f>TABLA_BASE[[#This Row],[ADV UNIT.
(S/.)]]*TABLA_BASE[[#This Row],[CANTIDAD
(unid.)]]</f>
        <v>0</v>
      </c>
      <c r="W380" s="281">
        <f>TABLA_BASE[[#This Row],[IPM UNIT.
(US$)
✅CF]]*'📋 Datos Generales'!$E$19</f>
        <v>0</v>
      </c>
      <c r="X380" s="281">
        <f>TABLA_BASE[[#This Row],[IPM UNIT.
(S/.)]]*TABLA_BASE[[#This Row],[CANTIDAD
(unid.)]]</f>
        <v>0</v>
      </c>
      <c r="Y380" s="281">
        <f>TABLA_BASE[[#This Row],[IGV UNIT.
(US$)
✅CF]]*'📋 Datos Generales'!$E$19</f>
        <v>0</v>
      </c>
      <c r="Z380" s="281">
        <f>TABLA_BASE[[#This Row],[IGV UNIT.
(S/.)]]*TABLA_BASE[[#This Row],[CANTIDAD
(unid.)]]</f>
        <v>0</v>
      </c>
      <c r="AA380" s="281">
        <f>TABLA_BASE[[#This Row],[PERCEP.
UNIT.(US$)
✅CF]]*'📋 Datos Generales'!$E$19</f>
        <v>0</v>
      </c>
      <c r="AB380" s="281">
        <f>TABLA_BASE[[#This Row],[PERCEP.
UNIT.(S/.)]]*TABLA_BASE[[#This Row],[CANTIDAD
(unid.)]]</f>
        <v>0</v>
      </c>
      <c r="AC380" s="279">
        <f>TABLA_BASE[[#This Row],[ADV UNIT.
(US$)
⚠️COSTO]]+TABLA_BASE[[#This Row],[IPM UNIT.
(US$)
✅CF]]+TABLA_BASE[[#This Row],[IGV UNIT.
(US$)
✅CF]]+TABLA_BASE[[#This Row],[PERCEP.
UNIT.(US$)
✅CF]]</f>
        <v>0</v>
      </c>
      <c r="AD380" s="279">
        <f>TABLA_BASE[[#This Row],[TOTAL PAGO
SUNAT
UNIT.(US$)]]*TABLA_BASE[[#This Row],[CANTIDAD
(unid.)]]</f>
        <v>0</v>
      </c>
      <c r="AE380" s="281">
        <f>TABLA_BASE[[#This Row],[TOTAL PAGO
SUNAT
UNIT.(US$)]]*'📋 Datos Generales'!$E$19</f>
        <v>0</v>
      </c>
      <c r="AF380" s="281">
        <f>TABLA_BASE[[#This Row],[TOTAL TRIB.
UNIT.(S/.)]]*TABLA_BASE[[#This Row],[CANTIDAD
(unid.)]]</f>
        <v>0</v>
      </c>
      <c r="AG380" s="279">
        <f>IF('🧾 Factura Comercial'!G384=0,0,'📦 Gastos Importación'!$E$28*(IF('🧾 Tributos Aduana'!$F$6=0,0,'🧾 Factura Comercial'!I384/'🧾 Tributos Aduana'!$F$6))/'🧾 Factura Comercial'!G384)</f>
        <v>0</v>
      </c>
      <c r="AH380" s="279">
        <f>TABLA_BASE[[#This Row],[GASTOS IMP.
UNIT.(US$)]]*TABLA_BASE[[#This Row],[CANTIDAD
(unid.)]]</f>
        <v>0</v>
      </c>
      <c r="AI380" s="281">
        <f>TABLA_BASE[[#This Row],[GASTOS IMP.
UNIT.(US$)]]*'📋 Datos Generales'!$E$19</f>
        <v>0</v>
      </c>
      <c r="AJ380" s="281">
        <f>TABLA_BASE[[#This Row],[GASTOS IMP.
UNIT.(S/.)]]*TABLA_BASE[[#This Row],[CANTIDAD
(unid.)]]</f>
        <v>0</v>
      </c>
      <c r="AK380" s="280">
        <f>'🧮 Costos x Producto'!J384</f>
        <v>0</v>
      </c>
      <c r="AL380" s="278">
        <f>'🧮 Costos x Producto'!K384</f>
        <v>0</v>
      </c>
      <c r="AM380" s="278">
        <f>TABLA_BASE[[#This Row],[C/M UNIT.
(S/.)]]*TABLA_BASE[[#This Row],[CANTIDAD
(unid.)]]</f>
        <v>0</v>
      </c>
      <c r="AN380" s="279">
        <f>IF('🧾 Factura Comercial'!G384=0,0,'🧾 Tributos Aduana'!$F$17*(IF('🧾 Tributos Aduana'!$F$6=0,0,'🧾 Factura Comercial'!I384/'🧾 Tributos Aduana'!$F$6))/'🧾 Factura Comercial'!G384)</f>
        <v>0</v>
      </c>
      <c r="AO380" s="280">
        <f>IF('🧾 Factura Comercial'!G384=0,0,'🏦 Crédito Fiscal'!$C$16*(IF('🧾 Tributos Aduana'!$F$6=0,0,'🧾 Factura Comercial'!I384/'🧾 Tributos Aduana'!$F$6))/'🧾 Factura Comercial'!G384)</f>
        <v>0</v>
      </c>
      <c r="AP380" s="278">
        <f>TABLA_BASE[[#This Row],[CF UNIT.
✅RECUP.
(US$)]]*'📋 Datos Generales'!$E$19</f>
        <v>0</v>
      </c>
      <c r="AQ380" s="278">
        <f>TABLA_BASE[[#This Row],[CF UNIT.
✅RECUP.(S/.)]]*TABLA_BASE[[#This Row],[CANTIDAD
(unid.)]]</f>
        <v>0</v>
      </c>
      <c r="AR380" s="288">
        <f>'💰 Precio de Venta'!G385</f>
        <v>0.4</v>
      </c>
      <c r="AS380" s="278">
        <f>'💰 Precio de Venta'!H385</f>
        <v>0</v>
      </c>
      <c r="AT380" s="278">
        <f>TABLA_BASE[[#This Row],[VALOR VTA.
UNIT.(S/.)]]*TABLA_BASE[[#This Row],[CANTIDAD
(unid.)]]</f>
        <v>0</v>
      </c>
      <c r="AU380" s="281">
        <f>'💰 Precio de Venta'!I385</f>
        <v>0</v>
      </c>
      <c r="AV380" s="278">
        <f>'💰 Precio de Venta'!J385</f>
        <v>0</v>
      </c>
      <c r="AW380" s="278">
        <f>TABLA_BASE[[#This Row],[GANANCIA
UNIT.(S/.)]]*TABLA_BASE[[#This Row],[CANTIDAD
(unid.)]]</f>
        <v>0</v>
      </c>
      <c r="AX380" s="289">
        <f>'💰 Precio de Venta'!K385</f>
        <v>0</v>
      </c>
      <c r="AY380" s="278">
        <f>TABLA_BASE[[#This Row],[GANANCIA
UNIT.(S/.)]]*'🧾 Factura Comercial'!G384</f>
        <v>0</v>
      </c>
      <c r="AZ380" s="277">
        <f>IF(TABLA_BASE[[#This Row],[PRECIO VTA.
c/IGV(S/.)]]=0,0,TABLA_BASE[[#This Row],[GANANCIA
UNIT.(S/.)]]/TABLA_BASE[[#This Row],[PRECIO VTA.
c/IGV(S/.)]])</f>
        <v>0</v>
      </c>
      <c r="BA380" s="277">
        <f>IF(TABLA_BASE[[#This Row],[C/M UNIT.
(S/.)]]=0,0,TABLA_BASE[[#This Row],[GANANCIA
UNIT.(S/.)]]/TABLA_BASE[[#This Row],[C/M UNIT.
(S/.)]])</f>
        <v>0</v>
      </c>
      <c r="BB380" s="274" t="str">
        <f>IF(TABLA_BASE[[#This Row],[MARGEN
%]]&gt;=0.5,"🟢 ALTO",IF(TABLA_BASE[[#This Row],[MARGEN
%]]&gt;=0.3,"🟡 MEDIO","🔴 BAJO"))</f>
        <v>🟡 MEDIO</v>
      </c>
    </row>
    <row r="381" spans="1:54" ht="16.5" hidden="1" thickTop="1" thickBot="1" x14ac:dyDescent="0.3">
      <c r="A381" s="274">
        <f>'🧾 Factura Comercial'!E385</f>
        <v>0</v>
      </c>
      <c r="B381" s="274" t="str">
        <f>'🧾 Factura Comercial'!F385</f>
        <v>Unid.</v>
      </c>
      <c r="C381" s="275">
        <f>'🧾 Factura Comercial'!G385</f>
        <v>0</v>
      </c>
      <c r="D381" s="276">
        <f>'🧾 Factura Comercial'!H385</f>
        <v>0</v>
      </c>
      <c r="E381" s="276">
        <f>'🧾 Factura Comercial'!I385</f>
        <v>0</v>
      </c>
      <c r="F381" s="277">
        <f>IF('🧾 Tributos Aduana'!$F$6=0,0,'🧾 Factura Comercial'!I385/'🧾 Tributos Aduana'!$F$6)</f>
        <v>0</v>
      </c>
      <c r="G381" s="278">
        <f>'🧾 Factura Comercial'!H385*'📋 Datos Generales'!$E$19</f>
        <v>0</v>
      </c>
      <c r="H381" s="278">
        <f>TABLA_BASE[[#This Row],[FOB UNIT.
(S/.)]]*TABLA_BASE[[#This Row],[CANTIDAD
(unid.)]]</f>
        <v>0</v>
      </c>
      <c r="I381" s="280">
        <f>IF('🧾 Tributos Aduana'!$F$6=0,0,'🧾 Tributos Aduana'!$F$17*('🧾 Factura Comercial'!H385/'🧾 Tributos Aduana'!$F$6))</f>
        <v>0</v>
      </c>
      <c r="J381" s="280">
        <f>TABLA_BASE[[#This Row],[ADV UNIT.
(US$)
⚠️COSTO]]*TABLA_BASE[[#This Row],[CANTIDAD
(unid.)]]</f>
        <v>0</v>
      </c>
      <c r="K381" s="279">
        <f>IF('🧾 Tributos Aduana'!$F$6=0,0,'🧾 Tributos Aduana'!$F$18*('🧾 Factura Comercial'!H385/'🧾 Tributos Aduana'!$F$6))</f>
        <v>0</v>
      </c>
      <c r="L381" s="280">
        <f>TABLA_BASE[[#This Row],[IPM UNIT.
(US$)
✅CF]]*TABLA_BASE[[#This Row],[CANTIDAD
(unid.)]]</f>
        <v>0</v>
      </c>
      <c r="M381" s="279">
        <f>IF('🧾 Tributos Aduana'!$F$6=0,0,'🧾 Tributos Aduana'!$F$19*('🧾 Factura Comercial'!H385/'🧾 Tributos Aduana'!$F$6))</f>
        <v>0</v>
      </c>
      <c r="N381" s="280">
        <f>TABLA_BASE[[#This Row],[IGV UNIT.
(US$)
✅CF]]*TABLA_BASE[[#This Row],[CANTIDAD
(unid.)]]</f>
        <v>0</v>
      </c>
      <c r="O381" s="280">
        <f>IF('🧾 Tributos Aduana'!$F$6=0,0,'🧾 Tributos Aduana'!$F$23*('🧾 Factura Comercial'!H385/'🧾 Tributos Aduana'!$F$6))</f>
        <v>0</v>
      </c>
      <c r="P381" s="280">
        <f>TABLA_BASE[[#This Row],[PERCEP.
UNIT.(US$)
✅CF]]*TABLA_BASE[[#This Row],[CANTIDAD
(unid.)]]</f>
        <v>0</v>
      </c>
      <c r="Q381" s="279">
        <f>TABLA_BASE[[#This Row],[ADV UNIT.
(US$)
⚠️COSTO]]+TABLA_BASE[[#This Row],[IPM UNIT.
(US$)
✅CF]]+TABLA_BASE[[#This Row],[IGV UNIT.
(US$)
✅CF]]</f>
        <v>0</v>
      </c>
      <c r="R381" s="280">
        <f>TABLA_BASE[[#This Row],[DEUDA
ADUANERA
UNIT.]]*TABLA_BASE[[#This Row],[CANTIDAD
(unid.)]]</f>
        <v>0</v>
      </c>
      <c r="S381" s="278">
        <f>TABLA_BASE[[#This Row],[DEUDA
ADUANERA
UNIT.]]*'📋 Datos Generales'!$E$19</f>
        <v>0</v>
      </c>
      <c r="T381" s="278">
        <f>TABLA_BASE[[#This Row],[DEUDA
ADUANERA
TOTAL]]*'📋 Datos Generales'!$E$19</f>
        <v>0</v>
      </c>
      <c r="U381" s="281">
        <f>TABLA_BASE[[#This Row],[ADV UNIT.
(US$)
⚠️COSTO]]*'📋 Datos Generales'!$E$19</f>
        <v>0</v>
      </c>
      <c r="V381" s="281">
        <f>TABLA_BASE[[#This Row],[ADV UNIT.
(S/.)]]*TABLA_BASE[[#This Row],[CANTIDAD
(unid.)]]</f>
        <v>0</v>
      </c>
      <c r="W381" s="281">
        <f>TABLA_BASE[[#This Row],[IPM UNIT.
(US$)
✅CF]]*'📋 Datos Generales'!$E$19</f>
        <v>0</v>
      </c>
      <c r="X381" s="281">
        <f>TABLA_BASE[[#This Row],[IPM UNIT.
(S/.)]]*TABLA_BASE[[#This Row],[CANTIDAD
(unid.)]]</f>
        <v>0</v>
      </c>
      <c r="Y381" s="281">
        <f>TABLA_BASE[[#This Row],[IGV UNIT.
(US$)
✅CF]]*'📋 Datos Generales'!$E$19</f>
        <v>0</v>
      </c>
      <c r="Z381" s="281">
        <f>TABLA_BASE[[#This Row],[IGV UNIT.
(S/.)]]*TABLA_BASE[[#This Row],[CANTIDAD
(unid.)]]</f>
        <v>0</v>
      </c>
      <c r="AA381" s="281">
        <f>TABLA_BASE[[#This Row],[PERCEP.
UNIT.(US$)
✅CF]]*'📋 Datos Generales'!$E$19</f>
        <v>0</v>
      </c>
      <c r="AB381" s="281">
        <f>TABLA_BASE[[#This Row],[PERCEP.
UNIT.(S/.)]]*TABLA_BASE[[#This Row],[CANTIDAD
(unid.)]]</f>
        <v>0</v>
      </c>
      <c r="AC381" s="279">
        <f>TABLA_BASE[[#This Row],[ADV UNIT.
(US$)
⚠️COSTO]]+TABLA_BASE[[#This Row],[IPM UNIT.
(US$)
✅CF]]+TABLA_BASE[[#This Row],[IGV UNIT.
(US$)
✅CF]]+TABLA_BASE[[#This Row],[PERCEP.
UNIT.(US$)
✅CF]]</f>
        <v>0</v>
      </c>
      <c r="AD381" s="279">
        <f>TABLA_BASE[[#This Row],[TOTAL PAGO
SUNAT
UNIT.(US$)]]*TABLA_BASE[[#This Row],[CANTIDAD
(unid.)]]</f>
        <v>0</v>
      </c>
      <c r="AE381" s="281">
        <f>TABLA_BASE[[#This Row],[TOTAL PAGO
SUNAT
UNIT.(US$)]]*'📋 Datos Generales'!$E$19</f>
        <v>0</v>
      </c>
      <c r="AF381" s="281">
        <f>TABLA_BASE[[#This Row],[TOTAL TRIB.
UNIT.(S/.)]]*TABLA_BASE[[#This Row],[CANTIDAD
(unid.)]]</f>
        <v>0</v>
      </c>
      <c r="AG381" s="279">
        <f>IF('🧾 Factura Comercial'!G385=0,0,'📦 Gastos Importación'!$E$28*(IF('🧾 Tributos Aduana'!$F$6=0,0,'🧾 Factura Comercial'!I385/'🧾 Tributos Aduana'!$F$6))/'🧾 Factura Comercial'!G385)</f>
        <v>0</v>
      </c>
      <c r="AH381" s="279">
        <f>TABLA_BASE[[#This Row],[GASTOS IMP.
UNIT.(US$)]]*TABLA_BASE[[#This Row],[CANTIDAD
(unid.)]]</f>
        <v>0</v>
      </c>
      <c r="AI381" s="281">
        <f>TABLA_BASE[[#This Row],[GASTOS IMP.
UNIT.(US$)]]*'📋 Datos Generales'!$E$19</f>
        <v>0</v>
      </c>
      <c r="AJ381" s="281">
        <f>TABLA_BASE[[#This Row],[GASTOS IMP.
UNIT.(S/.)]]*TABLA_BASE[[#This Row],[CANTIDAD
(unid.)]]</f>
        <v>0</v>
      </c>
      <c r="AK381" s="280">
        <f>'🧮 Costos x Producto'!J385</f>
        <v>0</v>
      </c>
      <c r="AL381" s="278">
        <f>'🧮 Costos x Producto'!K385</f>
        <v>0</v>
      </c>
      <c r="AM381" s="278">
        <f>TABLA_BASE[[#This Row],[C/M UNIT.
(S/.)]]*TABLA_BASE[[#This Row],[CANTIDAD
(unid.)]]</f>
        <v>0</v>
      </c>
      <c r="AN381" s="279">
        <f>IF('🧾 Factura Comercial'!G385=0,0,'🧾 Tributos Aduana'!$F$17*(IF('🧾 Tributos Aduana'!$F$6=0,0,'🧾 Factura Comercial'!I385/'🧾 Tributos Aduana'!$F$6))/'🧾 Factura Comercial'!G385)</f>
        <v>0</v>
      </c>
      <c r="AO381" s="280">
        <f>IF('🧾 Factura Comercial'!G385=0,0,'🏦 Crédito Fiscal'!$C$16*(IF('🧾 Tributos Aduana'!$F$6=0,0,'🧾 Factura Comercial'!I385/'🧾 Tributos Aduana'!$F$6))/'🧾 Factura Comercial'!G385)</f>
        <v>0</v>
      </c>
      <c r="AP381" s="278">
        <f>TABLA_BASE[[#This Row],[CF UNIT.
✅RECUP.
(US$)]]*'📋 Datos Generales'!$E$19</f>
        <v>0</v>
      </c>
      <c r="AQ381" s="278">
        <f>TABLA_BASE[[#This Row],[CF UNIT.
✅RECUP.(S/.)]]*TABLA_BASE[[#This Row],[CANTIDAD
(unid.)]]</f>
        <v>0</v>
      </c>
      <c r="AR381" s="288">
        <f>'💰 Precio de Venta'!G386</f>
        <v>0.4</v>
      </c>
      <c r="AS381" s="278">
        <f>'💰 Precio de Venta'!H386</f>
        <v>0</v>
      </c>
      <c r="AT381" s="278">
        <f>TABLA_BASE[[#This Row],[VALOR VTA.
UNIT.(S/.)]]*TABLA_BASE[[#This Row],[CANTIDAD
(unid.)]]</f>
        <v>0</v>
      </c>
      <c r="AU381" s="281">
        <f>'💰 Precio de Venta'!I386</f>
        <v>0</v>
      </c>
      <c r="AV381" s="278">
        <f>'💰 Precio de Venta'!J386</f>
        <v>0</v>
      </c>
      <c r="AW381" s="278">
        <f>TABLA_BASE[[#This Row],[GANANCIA
UNIT.(S/.)]]*TABLA_BASE[[#This Row],[CANTIDAD
(unid.)]]</f>
        <v>0</v>
      </c>
      <c r="AX381" s="289">
        <f>'💰 Precio de Venta'!K386</f>
        <v>0</v>
      </c>
      <c r="AY381" s="278">
        <f>TABLA_BASE[[#This Row],[GANANCIA
UNIT.(S/.)]]*'🧾 Factura Comercial'!G385</f>
        <v>0</v>
      </c>
      <c r="AZ381" s="277">
        <f>IF(TABLA_BASE[[#This Row],[PRECIO VTA.
c/IGV(S/.)]]=0,0,TABLA_BASE[[#This Row],[GANANCIA
UNIT.(S/.)]]/TABLA_BASE[[#This Row],[PRECIO VTA.
c/IGV(S/.)]])</f>
        <v>0</v>
      </c>
      <c r="BA381" s="277">
        <f>IF(TABLA_BASE[[#This Row],[C/M UNIT.
(S/.)]]=0,0,TABLA_BASE[[#This Row],[GANANCIA
UNIT.(S/.)]]/TABLA_BASE[[#This Row],[C/M UNIT.
(S/.)]])</f>
        <v>0</v>
      </c>
      <c r="BB381" s="274" t="str">
        <f>IF(TABLA_BASE[[#This Row],[MARGEN
%]]&gt;=0.5,"🟢 ALTO",IF(TABLA_BASE[[#This Row],[MARGEN
%]]&gt;=0.3,"🟡 MEDIO","🔴 BAJO"))</f>
        <v>🟡 MEDIO</v>
      </c>
    </row>
    <row r="382" spans="1:54" ht="16.5" hidden="1" thickTop="1" thickBot="1" x14ac:dyDescent="0.3">
      <c r="A382" s="274">
        <f>'🧾 Factura Comercial'!E386</f>
        <v>0</v>
      </c>
      <c r="B382" s="274" t="str">
        <f>'🧾 Factura Comercial'!F386</f>
        <v>Unid.</v>
      </c>
      <c r="C382" s="275">
        <f>'🧾 Factura Comercial'!G386</f>
        <v>0</v>
      </c>
      <c r="D382" s="276">
        <f>'🧾 Factura Comercial'!H386</f>
        <v>0</v>
      </c>
      <c r="E382" s="276">
        <f>'🧾 Factura Comercial'!I386</f>
        <v>0</v>
      </c>
      <c r="F382" s="277">
        <f>IF('🧾 Tributos Aduana'!$F$6=0,0,'🧾 Factura Comercial'!I386/'🧾 Tributos Aduana'!$F$6)</f>
        <v>0</v>
      </c>
      <c r="G382" s="278">
        <f>'🧾 Factura Comercial'!H386*'📋 Datos Generales'!$E$19</f>
        <v>0</v>
      </c>
      <c r="H382" s="278">
        <f>TABLA_BASE[[#This Row],[FOB UNIT.
(S/.)]]*TABLA_BASE[[#This Row],[CANTIDAD
(unid.)]]</f>
        <v>0</v>
      </c>
      <c r="I382" s="280">
        <f>IF('🧾 Tributos Aduana'!$F$6=0,0,'🧾 Tributos Aduana'!$F$17*('🧾 Factura Comercial'!H386/'🧾 Tributos Aduana'!$F$6))</f>
        <v>0</v>
      </c>
      <c r="J382" s="280">
        <f>TABLA_BASE[[#This Row],[ADV UNIT.
(US$)
⚠️COSTO]]*TABLA_BASE[[#This Row],[CANTIDAD
(unid.)]]</f>
        <v>0</v>
      </c>
      <c r="K382" s="279">
        <f>IF('🧾 Tributos Aduana'!$F$6=0,0,'🧾 Tributos Aduana'!$F$18*('🧾 Factura Comercial'!H386/'🧾 Tributos Aduana'!$F$6))</f>
        <v>0</v>
      </c>
      <c r="L382" s="280">
        <f>TABLA_BASE[[#This Row],[IPM UNIT.
(US$)
✅CF]]*TABLA_BASE[[#This Row],[CANTIDAD
(unid.)]]</f>
        <v>0</v>
      </c>
      <c r="M382" s="279">
        <f>IF('🧾 Tributos Aduana'!$F$6=0,0,'🧾 Tributos Aduana'!$F$19*('🧾 Factura Comercial'!H386/'🧾 Tributos Aduana'!$F$6))</f>
        <v>0</v>
      </c>
      <c r="N382" s="280">
        <f>TABLA_BASE[[#This Row],[IGV UNIT.
(US$)
✅CF]]*TABLA_BASE[[#This Row],[CANTIDAD
(unid.)]]</f>
        <v>0</v>
      </c>
      <c r="O382" s="280">
        <f>IF('🧾 Tributos Aduana'!$F$6=0,0,'🧾 Tributos Aduana'!$F$23*('🧾 Factura Comercial'!H386/'🧾 Tributos Aduana'!$F$6))</f>
        <v>0</v>
      </c>
      <c r="P382" s="280">
        <f>TABLA_BASE[[#This Row],[PERCEP.
UNIT.(US$)
✅CF]]*TABLA_BASE[[#This Row],[CANTIDAD
(unid.)]]</f>
        <v>0</v>
      </c>
      <c r="Q382" s="279">
        <f>TABLA_BASE[[#This Row],[ADV UNIT.
(US$)
⚠️COSTO]]+TABLA_BASE[[#This Row],[IPM UNIT.
(US$)
✅CF]]+TABLA_BASE[[#This Row],[IGV UNIT.
(US$)
✅CF]]</f>
        <v>0</v>
      </c>
      <c r="R382" s="280">
        <f>TABLA_BASE[[#This Row],[DEUDA
ADUANERA
UNIT.]]*TABLA_BASE[[#This Row],[CANTIDAD
(unid.)]]</f>
        <v>0</v>
      </c>
      <c r="S382" s="278">
        <f>TABLA_BASE[[#This Row],[DEUDA
ADUANERA
UNIT.]]*'📋 Datos Generales'!$E$19</f>
        <v>0</v>
      </c>
      <c r="T382" s="278">
        <f>TABLA_BASE[[#This Row],[DEUDA
ADUANERA
TOTAL]]*'📋 Datos Generales'!$E$19</f>
        <v>0</v>
      </c>
      <c r="U382" s="281">
        <f>TABLA_BASE[[#This Row],[ADV UNIT.
(US$)
⚠️COSTO]]*'📋 Datos Generales'!$E$19</f>
        <v>0</v>
      </c>
      <c r="V382" s="281">
        <f>TABLA_BASE[[#This Row],[ADV UNIT.
(S/.)]]*TABLA_BASE[[#This Row],[CANTIDAD
(unid.)]]</f>
        <v>0</v>
      </c>
      <c r="W382" s="281">
        <f>TABLA_BASE[[#This Row],[IPM UNIT.
(US$)
✅CF]]*'📋 Datos Generales'!$E$19</f>
        <v>0</v>
      </c>
      <c r="X382" s="281">
        <f>TABLA_BASE[[#This Row],[IPM UNIT.
(S/.)]]*TABLA_BASE[[#This Row],[CANTIDAD
(unid.)]]</f>
        <v>0</v>
      </c>
      <c r="Y382" s="281">
        <f>TABLA_BASE[[#This Row],[IGV UNIT.
(US$)
✅CF]]*'📋 Datos Generales'!$E$19</f>
        <v>0</v>
      </c>
      <c r="Z382" s="281">
        <f>TABLA_BASE[[#This Row],[IGV UNIT.
(S/.)]]*TABLA_BASE[[#This Row],[CANTIDAD
(unid.)]]</f>
        <v>0</v>
      </c>
      <c r="AA382" s="281">
        <f>TABLA_BASE[[#This Row],[PERCEP.
UNIT.(US$)
✅CF]]*'📋 Datos Generales'!$E$19</f>
        <v>0</v>
      </c>
      <c r="AB382" s="281">
        <f>TABLA_BASE[[#This Row],[PERCEP.
UNIT.(S/.)]]*TABLA_BASE[[#This Row],[CANTIDAD
(unid.)]]</f>
        <v>0</v>
      </c>
      <c r="AC382" s="279">
        <f>TABLA_BASE[[#This Row],[ADV UNIT.
(US$)
⚠️COSTO]]+TABLA_BASE[[#This Row],[IPM UNIT.
(US$)
✅CF]]+TABLA_BASE[[#This Row],[IGV UNIT.
(US$)
✅CF]]+TABLA_BASE[[#This Row],[PERCEP.
UNIT.(US$)
✅CF]]</f>
        <v>0</v>
      </c>
      <c r="AD382" s="279">
        <f>TABLA_BASE[[#This Row],[TOTAL PAGO
SUNAT
UNIT.(US$)]]*TABLA_BASE[[#This Row],[CANTIDAD
(unid.)]]</f>
        <v>0</v>
      </c>
      <c r="AE382" s="281">
        <f>TABLA_BASE[[#This Row],[TOTAL PAGO
SUNAT
UNIT.(US$)]]*'📋 Datos Generales'!$E$19</f>
        <v>0</v>
      </c>
      <c r="AF382" s="281">
        <f>TABLA_BASE[[#This Row],[TOTAL TRIB.
UNIT.(S/.)]]*TABLA_BASE[[#This Row],[CANTIDAD
(unid.)]]</f>
        <v>0</v>
      </c>
      <c r="AG382" s="279">
        <f>IF('🧾 Factura Comercial'!G386=0,0,'📦 Gastos Importación'!$E$28*(IF('🧾 Tributos Aduana'!$F$6=0,0,'🧾 Factura Comercial'!I386/'🧾 Tributos Aduana'!$F$6))/'🧾 Factura Comercial'!G386)</f>
        <v>0</v>
      </c>
      <c r="AH382" s="279">
        <f>TABLA_BASE[[#This Row],[GASTOS IMP.
UNIT.(US$)]]*TABLA_BASE[[#This Row],[CANTIDAD
(unid.)]]</f>
        <v>0</v>
      </c>
      <c r="AI382" s="281">
        <f>TABLA_BASE[[#This Row],[GASTOS IMP.
UNIT.(US$)]]*'📋 Datos Generales'!$E$19</f>
        <v>0</v>
      </c>
      <c r="AJ382" s="281">
        <f>TABLA_BASE[[#This Row],[GASTOS IMP.
UNIT.(S/.)]]*TABLA_BASE[[#This Row],[CANTIDAD
(unid.)]]</f>
        <v>0</v>
      </c>
      <c r="AK382" s="280">
        <f>'🧮 Costos x Producto'!J386</f>
        <v>0</v>
      </c>
      <c r="AL382" s="278">
        <f>'🧮 Costos x Producto'!K386</f>
        <v>0</v>
      </c>
      <c r="AM382" s="278">
        <f>TABLA_BASE[[#This Row],[C/M UNIT.
(S/.)]]*TABLA_BASE[[#This Row],[CANTIDAD
(unid.)]]</f>
        <v>0</v>
      </c>
      <c r="AN382" s="279">
        <f>IF('🧾 Factura Comercial'!G386=0,0,'🧾 Tributos Aduana'!$F$17*(IF('🧾 Tributos Aduana'!$F$6=0,0,'🧾 Factura Comercial'!I386/'🧾 Tributos Aduana'!$F$6))/'🧾 Factura Comercial'!G386)</f>
        <v>0</v>
      </c>
      <c r="AO382" s="280">
        <f>IF('🧾 Factura Comercial'!G386=0,0,'🏦 Crédito Fiscal'!$C$16*(IF('🧾 Tributos Aduana'!$F$6=0,0,'🧾 Factura Comercial'!I386/'🧾 Tributos Aduana'!$F$6))/'🧾 Factura Comercial'!G386)</f>
        <v>0</v>
      </c>
      <c r="AP382" s="278">
        <f>TABLA_BASE[[#This Row],[CF UNIT.
✅RECUP.
(US$)]]*'📋 Datos Generales'!$E$19</f>
        <v>0</v>
      </c>
      <c r="AQ382" s="278">
        <f>TABLA_BASE[[#This Row],[CF UNIT.
✅RECUP.(S/.)]]*TABLA_BASE[[#This Row],[CANTIDAD
(unid.)]]</f>
        <v>0</v>
      </c>
      <c r="AR382" s="288">
        <f>'💰 Precio de Venta'!G387</f>
        <v>0.4</v>
      </c>
      <c r="AS382" s="278">
        <f>'💰 Precio de Venta'!H387</f>
        <v>0</v>
      </c>
      <c r="AT382" s="278">
        <f>TABLA_BASE[[#This Row],[VALOR VTA.
UNIT.(S/.)]]*TABLA_BASE[[#This Row],[CANTIDAD
(unid.)]]</f>
        <v>0</v>
      </c>
      <c r="AU382" s="281">
        <f>'💰 Precio de Venta'!I387</f>
        <v>0</v>
      </c>
      <c r="AV382" s="278">
        <f>'💰 Precio de Venta'!J387</f>
        <v>0</v>
      </c>
      <c r="AW382" s="278">
        <f>TABLA_BASE[[#This Row],[GANANCIA
UNIT.(S/.)]]*TABLA_BASE[[#This Row],[CANTIDAD
(unid.)]]</f>
        <v>0</v>
      </c>
      <c r="AX382" s="289">
        <f>'💰 Precio de Venta'!K387</f>
        <v>0</v>
      </c>
      <c r="AY382" s="278">
        <f>TABLA_BASE[[#This Row],[GANANCIA
UNIT.(S/.)]]*'🧾 Factura Comercial'!G386</f>
        <v>0</v>
      </c>
      <c r="AZ382" s="277">
        <f>IF(TABLA_BASE[[#This Row],[PRECIO VTA.
c/IGV(S/.)]]=0,0,TABLA_BASE[[#This Row],[GANANCIA
UNIT.(S/.)]]/TABLA_BASE[[#This Row],[PRECIO VTA.
c/IGV(S/.)]])</f>
        <v>0</v>
      </c>
      <c r="BA382" s="277">
        <f>IF(TABLA_BASE[[#This Row],[C/M UNIT.
(S/.)]]=0,0,TABLA_BASE[[#This Row],[GANANCIA
UNIT.(S/.)]]/TABLA_BASE[[#This Row],[C/M UNIT.
(S/.)]])</f>
        <v>0</v>
      </c>
      <c r="BB382" s="274" t="str">
        <f>IF(TABLA_BASE[[#This Row],[MARGEN
%]]&gt;=0.5,"🟢 ALTO",IF(TABLA_BASE[[#This Row],[MARGEN
%]]&gt;=0.3,"🟡 MEDIO","🔴 BAJO"))</f>
        <v>🟡 MEDIO</v>
      </c>
    </row>
    <row r="383" spans="1:54" ht="16.5" hidden="1" thickTop="1" thickBot="1" x14ac:dyDescent="0.3">
      <c r="A383" s="274">
        <f>'🧾 Factura Comercial'!E387</f>
        <v>0</v>
      </c>
      <c r="B383" s="274" t="str">
        <f>'🧾 Factura Comercial'!F387</f>
        <v>Unid.</v>
      </c>
      <c r="C383" s="275">
        <f>'🧾 Factura Comercial'!G387</f>
        <v>0</v>
      </c>
      <c r="D383" s="276">
        <f>'🧾 Factura Comercial'!H387</f>
        <v>0</v>
      </c>
      <c r="E383" s="276">
        <f>'🧾 Factura Comercial'!I387</f>
        <v>0</v>
      </c>
      <c r="F383" s="277">
        <f>IF('🧾 Tributos Aduana'!$F$6=0,0,'🧾 Factura Comercial'!I387/'🧾 Tributos Aduana'!$F$6)</f>
        <v>0</v>
      </c>
      <c r="G383" s="278">
        <f>'🧾 Factura Comercial'!H387*'📋 Datos Generales'!$E$19</f>
        <v>0</v>
      </c>
      <c r="H383" s="278">
        <f>TABLA_BASE[[#This Row],[FOB UNIT.
(S/.)]]*TABLA_BASE[[#This Row],[CANTIDAD
(unid.)]]</f>
        <v>0</v>
      </c>
      <c r="I383" s="280">
        <f>IF('🧾 Tributos Aduana'!$F$6=0,0,'🧾 Tributos Aduana'!$F$17*('🧾 Factura Comercial'!H387/'🧾 Tributos Aduana'!$F$6))</f>
        <v>0</v>
      </c>
      <c r="J383" s="280">
        <f>TABLA_BASE[[#This Row],[ADV UNIT.
(US$)
⚠️COSTO]]*TABLA_BASE[[#This Row],[CANTIDAD
(unid.)]]</f>
        <v>0</v>
      </c>
      <c r="K383" s="279">
        <f>IF('🧾 Tributos Aduana'!$F$6=0,0,'🧾 Tributos Aduana'!$F$18*('🧾 Factura Comercial'!H387/'🧾 Tributos Aduana'!$F$6))</f>
        <v>0</v>
      </c>
      <c r="L383" s="280">
        <f>TABLA_BASE[[#This Row],[IPM UNIT.
(US$)
✅CF]]*TABLA_BASE[[#This Row],[CANTIDAD
(unid.)]]</f>
        <v>0</v>
      </c>
      <c r="M383" s="279">
        <f>IF('🧾 Tributos Aduana'!$F$6=0,0,'🧾 Tributos Aduana'!$F$19*('🧾 Factura Comercial'!H387/'🧾 Tributos Aduana'!$F$6))</f>
        <v>0</v>
      </c>
      <c r="N383" s="280">
        <f>TABLA_BASE[[#This Row],[IGV UNIT.
(US$)
✅CF]]*TABLA_BASE[[#This Row],[CANTIDAD
(unid.)]]</f>
        <v>0</v>
      </c>
      <c r="O383" s="280">
        <f>IF('🧾 Tributos Aduana'!$F$6=0,0,'🧾 Tributos Aduana'!$F$23*('🧾 Factura Comercial'!H387/'🧾 Tributos Aduana'!$F$6))</f>
        <v>0</v>
      </c>
      <c r="P383" s="280">
        <f>TABLA_BASE[[#This Row],[PERCEP.
UNIT.(US$)
✅CF]]*TABLA_BASE[[#This Row],[CANTIDAD
(unid.)]]</f>
        <v>0</v>
      </c>
      <c r="Q383" s="279">
        <f>TABLA_BASE[[#This Row],[ADV UNIT.
(US$)
⚠️COSTO]]+TABLA_BASE[[#This Row],[IPM UNIT.
(US$)
✅CF]]+TABLA_BASE[[#This Row],[IGV UNIT.
(US$)
✅CF]]</f>
        <v>0</v>
      </c>
      <c r="R383" s="280">
        <f>TABLA_BASE[[#This Row],[DEUDA
ADUANERA
UNIT.]]*TABLA_BASE[[#This Row],[CANTIDAD
(unid.)]]</f>
        <v>0</v>
      </c>
      <c r="S383" s="278">
        <f>TABLA_BASE[[#This Row],[DEUDA
ADUANERA
UNIT.]]*'📋 Datos Generales'!$E$19</f>
        <v>0</v>
      </c>
      <c r="T383" s="278">
        <f>TABLA_BASE[[#This Row],[DEUDA
ADUANERA
TOTAL]]*'📋 Datos Generales'!$E$19</f>
        <v>0</v>
      </c>
      <c r="U383" s="281">
        <f>TABLA_BASE[[#This Row],[ADV UNIT.
(US$)
⚠️COSTO]]*'📋 Datos Generales'!$E$19</f>
        <v>0</v>
      </c>
      <c r="V383" s="281">
        <f>TABLA_BASE[[#This Row],[ADV UNIT.
(S/.)]]*TABLA_BASE[[#This Row],[CANTIDAD
(unid.)]]</f>
        <v>0</v>
      </c>
      <c r="W383" s="281">
        <f>TABLA_BASE[[#This Row],[IPM UNIT.
(US$)
✅CF]]*'📋 Datos Generales'!$E$19</f>
        <v>0</v>
      </c>
      <c r="X383" s="281">
        <f>TABLA_BASE[[#This Row],[IPM UNIT.
(S/.)]]*TABLA_BASE[[#This Row],[CANTIDAD
(unid.)]]</f>
        <v>0</v>
      </c>
      <c r="Y383" s="281">
        <f>TABLA_BASE[[#This Row],[IGV UNIT.
(US$)
✅CF]]*'📋 Datos Generales'!$E$19</f>
        <v>0</v>
      </c>
      <c r="Z383" s="281">
        <f>TABLA_BASE[[#This Row],[IGV UNIT.
(S/.)]]*TABLA_BASE[[#This Row],[CANTIDAD
(unid.)]]</f>
        <v>0</v>
      </c>
      <c r="AA383" s="281">
        <f>TABLA_BASE[[#This Row],[PERCEP.
UNIT.(US$)
✅CF]]*'📋 Datos Generales'!$E$19</f>
        <v>0</v>
      </c>
      <c r="AB383" s="281">
        <f>TABLA_BASE[[#This Row],[PERCEP.
UNIT.(S/.)]]*TABLA_BASE[[#This Row],[CANTIDAD
(unid.)]]</f>
        <v>0</v>
      </c>
      <c r="AC383" s="279">
        <f>TABLA_BASE[[#This Row],[ADV UNIT.
(US$)
⚠️COSTO]]+TABLA_BASE[[#This Row],[IPM UNIT.
(US$)
✅CF]]+TABLA_BASE[[#This Row],[IGV UNIT.
(US$)
✅CF]]+TABLA_BASE[[#This Row],[PERCEP.
UNIT.(US$)
✅CF]]</f>
        <v>0</v>
      </c>
      <c r="AD383" s="279">
        <f>TABLA_BASE[[#This Row],[TOTAL PAGO
SUNAT
UNIT.(US$)]]*TABLA_BASE[[#This Row],[CANTIDAD
(unid.)]]</f>
        <v>0</v>
      </c>
      <c r="AE383" s="281">
        <f>TABLA_BASE[[#This Row],[TOTAL PAGO
SUNAT
UNIT.(US$)]]*'📋 Datos Generales'!$E$19</f>
        <v>0</v>
      </c>
      <c r="AF383" s="281">
        <f>TABLA_BASE[[#This Row],[TOTAL TRIB.
UNIT.(S/.)]]*TABLA_BASE[[#This Row],[CANTIDAD
(unid.)]]</f>
        <v>0</v>
      </c>
      <c r="AG383" s="279">
        <f>IF('🧾 Factura Comercial'!G387=0,0,'📦 Gastos Importación'!$E$28*(IF('🧾 Tributos Aduana'!$F$6=0,0,'🧾 Factura Comercial'!I387/'🧾 Tributos Aduana'!$F$6))/'🧾 Factura Comercial'!G387)</f>
        <v>0</v>
      </c>
      <c r="AH383" s="279">
        <f>TABLA_BASE[[#This Row],[GASTOS IMP.
UNIT.(US$)]]*TABLA_BASE[[#This Row],[CANTIDAD
(unid.)]]</f>
        <v>0</v>
      </c>
      <c r="AI383" s="281">
        <f>TABLA_BASE[[#This Row],[GASTOS IMP.
UNIT.(US$)]]*'📋 Datos Generales'!$E$19</f>
        <v>0</v>
      </c>
      <c r="AJ383" s="281">
        <f>TABLA_BASE[[#This Row],[GASTOS IMP.
UNIT.(S/.)]]*TABLA_BASE[[#This Row],[CANTIDAD
(unid.)]]</f>
        <v>0</v>
      </c>
      <c r="AK383" s="280">
        <f>'🧮 Costos x Producto'!J387</f>
        <v>0</v>
      </c>
      <c r="AL383" s="278">
        <f>'🧮 Costos x Producto'!K387</f>
        <v>0</v>
      </c>
      <c r="AM383" s="278">
        <f>TABLA_BASE[[#This Row],[C/M UNIT.
(S/.)]]*TABLA_BASE[[#This Row],[CANTIDAD
(unid.)]]</f>
        <v>0</v>
      </c>
      <c r="AN383" s="279">
        <f>IF('🧾 Factura Comercial'!G387=0,0,'🧾 Tributos Aduana'!$F$17*(IF('🧾 Tributos Aduana'!$F$6=0,0,'🧾 Factura Comercial'!I387/'🧾 Tributos Aduana'!$F$6))/'🧾 Factura Comercial'!G387)</f>
        <v>0</v>
      </c>
      <c r="AO383" s="280">
        <f>IF('🧾 Factura Comercial'!G387=0,0,'🏦 Crédito Fiscal'!$C$16*(IF('🧾 Tributos Aduana'!$F$6=0,0,'🧾 Factura Comercial'!I387/'🧾 Tributos Aduana'!$F$6))/'🧾 Factura Comercial'!G387)</f>
        <v>0</v>
      </c>
      <c r="AP383" s="278">
        <f>TABLA_BASE[[#This Row],[CF UNIT.
✅RECUP.
(US$)]]*'📋 Datos Generales'!$E$19</f>
        <v>0</v>
      </c>
      <c r="AQ383" s="278">
        <f>TABLA_BASE[[#This Row],[CF UNIT.
✅RECUP.(S/.)]]*TABLA_BASE[[#This Row],[CANTIDAD
(unid.)]]</f>
        <v>0</v>
      </c>
      <c r="AR383" s="288">
        <f>'💰 Precio de Venta'!G388</f>
        <v>0.4</v>
      </c>
      <c r="AS383" s="278">
        <f>'💰 Precio de Venta'!H388</f>
        <v>0</v>
      </c>
      <c r="AT383" s="278">
        <f>TABLA_BASE[[#This Row],[VALOR VTA.
UNIT.(S/.)]]*TABLA_BASE[[#This Row],[CANTIDAD
(unid.)]]</f>
        <v>0</v>
      </c>
      <c r="AU383" s="281">
        <f>'💰 Precio de Venta'!I388</f>
        <v>0</v>
      </c>
      <c r="AV383" s="278">
        <f>'💰 Precio de Venta'!J388</f>
        <v>0</v>
      </c>
      <c r="AW383" s="278">
        <f>TABLA_BASE[[#This Row],[GANANCIA
UNIT.(S/.)]]*TABLA_BASE[[#This Row],[CANTIDAD
(unid.)]]</f>
        <v>0</v>
      </c>
      <c r="AX383" s="289">
        <f>'💰 Precio de Venta'!K388</f>
        <v>0</v>
      </c>
      <c r="AY383" s="278">
        <f>TABLA_BASE[[#This Row],[GANANCIA
UNIT.(S/.)]]*'🧾 Factura Comercial'!G387</f>
        <v>0</v>
      </c>
      <c r="AZ383" s="277">
        <f>IF(TABLA_BASE[[#This Row],[PRECIO VTA.
c/IGV(S/.)]]=0,0,TABLA_BASE[[#This Row],[GANANCIA
UNIT.(S/.)]]/TABLA_BASE[[#This Row],[PRECIO VTA.
c/IGV(S/.)]])</f>
        <v>0</v>
      </c>
      <c r="BA383" s="277">
        <f>IF(TABLA_BASE[[#This Row],[C/M UNIT.
(S/.)]]=0,0,TABLA_BASE[[#This Row],[GANANCIA
UNIT.(S/.)]]/TABLA_BASE[[#This Row],[C/M UNIT.
(S/.)]])</f>
        <v>0</v>
      </c>
      <c r="BB383" s="274" t="str">
        <f>IF(TABLA_BASE[[#This Row],[MARGEN
%]]&gt;=0.5,"🟢 ALTO",IF(TABLA_BASE[[#This Row],[MARGEN
%]]&gt;=0.3,"🟡 MEDIO","🔴 BAJO"))</f>
        <v>🟡 MEDIO</v>
      </c>
    </row>
    <row r="384" spans="1:54" ht="16.5" hidden="1" thickTop="1" thickBot="1" x14ac:dyDescent="0.3">
      <c r="A384" s="274">
        <f>'🧾 Factura Comercial'!E388</f>
        <v>0</v>
      </c>
      <c r="B384" s="274" t="str">
        <f>'🧾 Factura Comercial'!F388</f>
        <v>Unid.</v>
      </c>
      <c r="C384" s="275">
        <f>'🧾 Factura Comercial'!G388</f>
        <v>0</v>
      </c>
      <c r="D384" s="276">
        <f>'🧾 Factura Comercial'!H388</f>
        <v>0</v>
      </c>
      <c r="E384" s="276">
        <f>'🧾 Factura Comercial'!I388</f>
        <v>0</v>
      </c>
      <c r="F384" s="277">
        <f>IF('🧾 Tributos Aduana'!$F$6=0,0,'🧾 Factura Comercial'!I388/'🧾 Tributos Aduana'!$F$6)</f>
        <v>0</v>
      </c>
      <c r="G384" s="278">
        <f>'🧾 Factura Comercial'!H388*'📋 Datos Generales'!$E$19</f>
        <v>0</v>
      </c>
      <c r="H384" s="278">
        <f>TABLA_BASE[[#This Row],[FOB UNIT.
(S/.)]]*TABLA_BASE[[#This Row],[CANTIDAD
(unid.)]]</f>
        <v>0</v>
      </c>
      <c r="I384" s="280">
        <f>IF('🧾 Tributos Aduana'!$F$6=0,0,'🧾 Tributos Aduana'!$F$17*('🧾 Factura Comercial'!H388/'🧾 Tributos Aduana'!$F$6))</f>
        <v>0</v>
      </c>
      <c r="J384" s="280">
        <f>TABLA_BASE[[#This Row],[ADV UNIT.
(US$)
⚠️COSTO]]*TABLA_BASE[[#This Row],[CANTIDAD
(unid.)]]</f>
        <v>0</v>
      </c>
      <c r="K384" s="279">
        <f>IF('🧾 Tributos Aduana'!$F$6=0,0,'🧾 Tributos Aduana'!$F$18*('🧾 Factura Comercial'!H388/'🧾 Tributos Aduana'!$F$6))</f>
        <v>0</v>
      </c>
      <c r="L384" s="280">
        <f>TABLA_BASE[[#This Row],[IPM UNIT.
(US$)
✅CF]]*TABLA_BASE[[#This Row],[CANTIDAD
(unid.)]]</f>
        <v>0</v>
      </c>
      <c r="M384" s="279">
        <f>IF('🧾 Tributos Aduana'!$F$6=0,0,'🧾 Tributos Aduana'!$F$19*('🧾 Factura Comercial'!H388/'🧾 Tributos Aduana'!$F$6))</f>
        <v>0</v>
      </c>
      <c r="N384" s="280">
        <f>TABLA_BASE[[#This Row],[IGV UNIT.
(US$)
✅CF]]*TABLA_BASE[[#This Row],[CANTIDAD
(unid.)]]</f>
        <v>0</v>
      </c>
      <c r="O384" s="280">
        <f>IF('🧾 Tributos Aduana'!$F$6=0,0,'🧾 Tributos Aduana'!$F$23*('🧾 Factura Comercial'!H388/'🧾 Tributos Aduana'!$F$6))</f>
        <v>0</v>
      </c>
      <c r="P384" s="280">
        <f>TABLA_BASE[[#This Row],[PERCEP.
UNIT.(US$)
✅CF]]*TABLA_BASE[[#This Row],[CANTIDAD
(unid.)]]</f>
        <v>0</v>
      </c>
      <c r="Q384" s="279">
        <f>TABLA_BASE[[#This Row],[ADV UNIT.
(US$)
⚠️COSTO]]+TABLA_BASE[[#This Row],[IPM UNIT.
(US$)
✅CF]]+TABLA_BASE[[#This Row],[IGV UNIT.
(US$)
✅CF]]</f>
        <v>0</v>
      </c>
      <c r="R384" s="280">
        <f>TABLA_BASE[[#This Row],[DEUDA
ADUANERA
UNIT.]]*TABLA_BASE[[#This Row],[CANTIDAD
(unid.)]]</f>
        <v>0</v>
      </c>
      <c r="S384" s="278">
        <f>TABLA_BASE[[#This Row],[DEUDA
ADUANERA
UNIT.]]*'📋 Datos Generales'!$E$19</f>
        <v>0</v>
      </c>
      <c r="T384" s="278">
        <f>TABLA_BASE[[#This Row],[DEUDA
ADUANERA
TOTAL]]*'📋 Datos Generales'!$E$19</f>
        <v>0</v>
      </c>
      <c r="U384" s="281">
        <f>TABLA_BASE[[#This Row],[ADV UNIT.
(US$)
⚠️COSTO]]*'📋 Datos Generales'!$E$19</f>
        <v>0</v>
      </c>
      <c r="V384" s="281">
        <f>TABLA_BASE[[#This Row],[ADV UNIT.
(S/.)]]*TABLA_BASE[[#This Row],[CANTIDAD
(unid.)]]</f>
        <v>0</v>
      </c>
      <c r="W384" s="281">
        <f>TABLA_BASE[[#This Row],[IPM UNIT.
(US$)
✅CF]]*'📋 Datos Generales'!$E$19</f>
        <v>0</v>
      </c>
      <c r="X384" s="281">
        <f>TABLA_BASE[[#This Row],[IPM UNIT.
(S/.)]]*TABLA_BASE[[#This Row],[CANTIDAD
(unid.)]]</f>
        <v>0</v>
      </c>
      <c r="Y384" s="281">
        <f>TABLA_BASE[[#This Row],[IGV UNIT.
(US$)
✅CF]]*'📋 Datos Generales'!$E$19</f>
        <v>0</v>
      </c>
      <c r="Z384" s="281">
        <f>TABLA_BASE[[#This Row],[IGV UNIT.
(S/.)]]*TABLA_BASE[[#This Row],[CANTIDAD
(unid.)]]</f>
        <v>0</v>
      </c>
      <c r="AA384" s="281">
        <f>TABLA_BASE[[#This Row],[PERCEP.
UNIT.(US$)
✅CF]]*'📋 Datos Generales'!$E$19</f>
        <v>0</v>
      </c>
      <c r="AB384" s="281">
        <f>TABLA_BASE[[#This Row],[PERCEP.
UNIT.(S/.)]]*TABLA_BASE[[#This Row],[CANTIDAD
(unid.)]]</f>
        <v>0</v>
      </c>
      <c r="AC384" s="279">
        <f>TABLA_BASE[[#This Row],[ADV UNIT.
(US$)
⚠️COSTO]]+TABLA_BASE[[#This Row],[IPM UNIT.
(US$)
✅CF]]+TABLA_BASE[[#This Row],[IGV UNIT.
(US$)
✅CF]]+TABLA_BASE[[#This Row],[PERCEP.
UNIT.(US$)
✅CF]]</f>
        <v>0</v>
      </c>
      <c r="AD384" s="279">
        <f>TABLA_BASE[[#This Row],[TOTAL PAGO
SUNAT
UNIT.(US$)]]*TABLA_BASE[[#This Row],[CANTIDAD
(unid.)]]</f>
        <v>0</v>
      </c>
      <c r="AE384" s="281">
        <f>TABLA_BASE[[#This Row],[TOTAL PAGO
SUNAT
UNIT.(US$)]]*'📋 Datos Generales'!$E$19</f>
        <v>0</v>
      </c>
      <c r="AF384" s="281">
        <f>TABLA_BASE[[#This Row],[TOTAL TRIB.
UNIT.(S/.)]]*TABLA_BASE[[#This Row],[CANTIDAD
(unid.)]]</f>
        <v>0</v>
      </c>
      <c r="AG384" s="279">
        <f>IF('🧾 Factura Comercial'!G388=0,0,'📦 Gastos Importación'!$E$28*(IF('🧾 Tributos Aduana'!$F$6=0,0,'🧾 Factura Comercial'!I388/'🧾 Tributos Aduana'!$F$6))/'🧾 Factura Comercial'!G388)</f>
        <v>0</v>
      </c>
      <c r="AH384" s="279">
        <f>TABLA_BASE[[#This Row],[GASTOS IMP.
UNIT.(US$)]]*TABLA_BASE[[#This Row],[CANTIDAD
(unid.)]]</f>
        <v>0</v>
      </c>
      <c r="AI384" s="281">
        <f>TABLA_BASE[[#This Row],[GASTOS IMP.
UNIT.(US$)]]*'📋 Datos Generales'!$E$19</f>
        <v>0</v>
      </c>
      <c r="AJ384" s="281">
        <f>TABLA_BASE[[#This Row],[GASTOS IMP.
UNIT.(S/.)]]*TABLA_BASE[[#This Row],[CANTIDAD
(unid.)]]</f>
        <v>0</v>
      </c>
      <c r="AK384" s="280">
        <f>'🧮 Costos x Producto'!J388</f>
        <v>0</v>
      </c>
      <c r="AL384" s="278">
        <f>'🧮 Costos x Producto'!K388</f>
        <v>0</v>
      </c>
      <c r="AM384" s="278">
        <f>TABLA_BASE[[#This Row],[C/M UNIT.
(S/.)]]*TABLA_BASE[[#This Row],[CANTIDAD
(unid.)]]</f>
        <v>0</v>
      </c>
      <c r="AN384" s="279">
        <f>IF('🧾 Factura Comercial'!G388=0,0,'🧾 Tributos Aduana'!$F$17*(IF('🧾 Tributos Aduana'!$F$6=0,0,'🧾 Factura Comercial'!I388/'🧾 Tributos Aduana'!$F$6))/'🧾 Factura Comercial'!G388)</f>
        <v>0</v>
      </c>
      <c r="AO384" s="280">
        <f>IF('🧾 Factura Comercial'!G388=0,0,'🏦 Crédito Fiscal'!$C$16*(IF('🧾 Tributos Aduana'!$F$6=0,0,'🧾 Factura Comercial'!I388/'🧾 Tributos Aduana'!$F$6))/'🧾 Factura Comercial'!G388)</f>
        <v>0</v>
      </c>
      <c r="AP384" s="278">
        <f>TABLA_BASE[[#This Row],[CF UNIT.
✅RECUP.
(US$)]]*'📋 Datos Generales'!$E$19</f>
        <v>0</v>
      </c>
      <c r="AQ384" s="278">
        <f>TABLA_BASE[[#This Row],[CF UNIT.
✅RECUP.(S/.)]]*TABLA_BASE[[#This Row],[CANTIDAD
(unid.)]]</f>
        <v>0</v>
      </c>
      <c r="AR384" s="288">
        <f>'💰 Precio de Venta'!G389</f>
        <v>0.4</v>
      </c>
      <c r="AS384" s="278">
        <f>'💰 Precio de Venta'!H389</f>
        <v>0</v>
      </c>
      <c r="AT384" s="278">
        <f>TABLA_BASE[[#This Row],[VALOR VTA.
UNIT.(S/.)]]*TABLA_BASE[[#This Row],[CANTIDAD
(unid.)]]</f>
        <v>0</v>
      </c>
      <c r="AU384" s="281">
        <f>'💰 Precio de Venta'!I389</f>
        <v>0</v>
      </c>
      <c r="AV384" s="278">
        <f>'💰 Precio de Venta'!J389</f>
        <v>0</v>
      </c>
      <c r="AW384" s="278">
        <f>TABLA_BASE[[#This Row],[GANANCIA
UNIT.(S/.)]]*TABLA_BASE[[#This Row],[CANTIDAD
(unid.)]]</f>
        <v>0</v>
      </c>
      <c r="AX384" s="289">
        <f>'💰 Precio de Venta'!K389</f>
        <v>0</v>
      </c>
      <c r="AY384" s="278">
        <f>TABLA_BASE[[#This Row],[GANANCIA
UNIT.(S/.)]]*'🧾 Factura Comercial'!G388</f>
        <v>0</v>
      </c>
      <c r="AZ384" s="277">
        <f>IF(TABLA_BASE[[#This Row],[PRECIO VTA.
c/IGV(S/.)]]=0,0,TABLA_BASE[[#This Row],[GANANCIA
UNIT.(S/.)]]/TABLA_BASE[[#This Row],[PRECIO VTA.
c/IGV(S/.)]])</f>
        <v>0</v>
      </c>
      <c r="BA384" s="277">
        <f>IF(TABLA_BASE[[#This Row],[C/M UNIT.
(S/.)]]=0,0,TABLA_BASE[[#This Row],[GANANCIA
UNIT.(S/.)]]/TABLA_BASE[[#This Row],[C/M UNIT.
(S/.)]])</f>
        <v>0</v>
      </c>
      <c r="BB384" s="274" t="str">
        <f>IF(TABLA_BASE[[#This Row],[MARGEN
%]]&gt;=0.5,"🟢 ALTO",IF(TABLA_BASE[[#This Row],[MARGEN
%]]&gt;=0.3,"🟡 MEDIO","🔴 BAJO"))</f>
        <v>🟡 MEDIO</v>
      </c>
    </row>
    <row r="385" spans="1:54" ht="16.5" hidden="1" thickTop="1" thickBot="1" x14ac:dyDescent="0.3">
      <c r="A385" s="274">
        <f>'🧾 Factura Comercial'!E389</f>
        <v>0</v>
      </c>
      <c r="B385" s="274" t="str">
        <f>'🧾 Factura Comercial'!F389</f>
        <v>Unid.</v>
      </c>
      <c r="C385" s="275">
        <f>'🧾 Factura Comercial'!G389</f>
        <v>0</v>
      </c>
      <c r="D385" s="276">
        <f>'🧾 Factura Comercial'!H389</f>
        <v>0</v>
      </c>
      <c r="E385" s="276">
        <f>'🧾 Factura Comercial'!I389</f>
        <v>0</v>
      </c>
      <c r="F385" s="277">
        <f>IF('🧾 Tributos Aduana'!$F$6=0,0,'🧾 Factura Comercial'!I389/'🧾 Tributos Aduana'!$F$6)</f>
        <v>0</v>
      </c>
      <c r="G385" s="278">
        <f>'🧾 Factura Comercial'!H389*'📋 Datos Generales'!$E$19</f>
        <v>0</v>
      </c>
      <c r="H385" s="278">
        <f>TABLA_BASE[[#This Row],[FOB UNIT.
(S/.)]]*TABLA_BASE[[#This Row],[CANTIDAD
(unid.)]]</f>
        <v>0</v>
      </c>
      <c r="I385" s="280">
        <f>IF('🧾 Tributos Aduana'!$F$6=0,0,'🧾 Tributos Aduana'!$F$17*('🧾 Factura Comercial'!H389/'🧾 Tributos Aduana'!$F$6))</f>
        <v>0</v>
      </c>
      <c r="J385" s="280">
        <f>TABLA_BASE[[#This Row],[ADV UNIT.
(US$)
⚠️COSTO]]*TABLA_BASE[[#This Row],[CANTIDAD
(unid.)]]</f>
        <v>0</v>
      </c>
      <c r="K385" s="279">
        <f>IF('🧾 Tributos Aduana'!$F$6=0,0,'🧾 Tributos Aduana'!$F$18*('🧾 Factura Comercial'!H389/'🧾 Tributos Aduana'!$F$6))</f>
        <v>0</v>
      </c>
      <c r="L385" s="280">
        <f>TABLA_BASE[[#This Row],[IPM UNIT.
(US$)
✅CF]]*TABLA_BASE[[#This Row],[CANTIDAD
(unid.)]]</f>
        <v>0</v>
      </c>
      <c r="M385" s="279">
        <f>IF('🧾 Tributos Aduana'!$F$6=0,0,'🧾 Tributos Aduana'!$F$19*('🧾 Factura Comercial'!H389/'🧾 Tributos Aduana'!$F$6))</f>
        <v>0</v>
      </c>
      <c r="N385" s="280">
        <f>TABLA_BASE[[#This Row],[IGV UNIT.
(US$)
✅CF]]*TABLA_BASE[[#This Row],[CANTIDAD
(unid.)]]</f>
        <v>0</v>
      </c>
      <c r="O385" s="280">
        <f>IF('🧾 Tributos Aduana'!$F$6=0,0,'🧾 Tributos Aduana'!$F$23*('🧾 Factura Comercial'!H389/'🧾 Tributos Aduana'!$F$6))</f>
        <v>0</v>
      </c>
      <c r="P385" s="280">
        <f>TABLA_BASE[[#This Row],[PERCEP.
UNIT.(US$)
✅CF]]*TABLA_BASE[[#This Row],[CANTIDAD
(unid.)]]</f>
        <v>0</v>
      </c>
      <c r="Q385" s="279">
        <f>TABLA_BASE[[#This Row],[ADV UNIT.
(US$)
⚠️COSTO]]+TABLA_BASE[[#This Row],[IPM UNIT.
(US$)
✅CF]]+TABLA_BASE[[#This Row],[IGV UNIT.
(US$)
✅CF]]</f>
        <v>0</v>
      </c>
      <c r="R385" s="280">
        <f>TABLA_BASE[[#This Row],[DEUDA
ADUANERA
UNIT.]]*TABLA_BASE[[#This Row],[CANTIDAD
(unid.)]]</f>
        <v>0</v>
      </c>
      <c r="S385" s="278">
        <f>TABLA_BASE[[#This Row],[DEUDA
ADUANERA
UNIT.]]*'📋 Datos Generales'!$E$19</f>
        <v>0</v>
      </c>
      <c r="T385" s="278">
        <f>TABLA_BASE[[#This Row],[DEUDA
ADUANERA
TOTAL]]*'📋 Datos Generales'!$E$19</f>
        <v>0</v>
      </c>
      <c r="U385" s="281">
        <f>TABLA_BASE[[#This Row],[ADV UNIT.
(US$)
⚠️COSTO]]*'📋 Datos Generales'!$E$19</f>
        <v>0</v>
      </c>
      <c r="V385" s="281">
        <f>TABLA_BASE[[#This Row],[ADV UNIT.
(S/.)]]*TABLA_BASE[[#This Row],[CANTIDAD
(unid.)]]</f>
        <v>0</v>
      </c>
      <c r="W385" s="281">
        <f>TABLA_BASE[[#This Row],[IPM UNIT.
(US$)
✅CF]]*'📋 Datos Generales'!$E$19</f>
        <v>0</v>
      </c>
      <c r="X385" s="281">
        <f>TABLA_BASE[[#This Row],[IPM UNIT.
(S/.)]]*TABLA_BASE[[#This Row],[CANTIDAD
(unid.)]]</f>
        <v>0</v>
      </c>
      <c r="Y385" s="281">
        <f>TABLA_BASE[[#This Row],[IGV UNIT.
(US$)
✅CF]]*'📋 Datos Generales'!$E$19</f>
        <v>0</v>
      </c>
      <c r="Z385" s="281">
        <f>TABLA_BASE[[#This Row],[IGV UNIT.
(S/.)]]*TABLA_BASE[[#This Row],[CANTIDAD
(unid.)]]</f>
        <v>0</v>
      </c>
      <c r="AA385" s="281">
        <f>TABLA_BASE[[#This Row],[PERCEP.
UNIT.(US$)
✅CF]]*'📋 Datos Generales'!$E$19</f>
        <v>0</v>
      </c>
      <c r="AB385" s="281">
        <f>TABLA_BASE[[#This Row],[PERCEP.
UNIT.(S/.)]]*TABLA_BASE[[#This Row],[CANTIDAD
(unid.)]]</f>
        <v>0</v>
      </c>
      <c r="AC385" s="279">
        <f>TABLA_BASE[[#This Row],[ADV UNIT.
(US$)
⚠️COSTO]]+TABLA_BASE[[#This Row],[IPM UNIT.
(US$)
✅CF]]+TABLA_BASE[[#This Row],[IGV UNIT.
(US$)
✅CF]]+TABLA_BASE[[#This Row],[PERCEP.
UNIT.(US$)
✅CF]]</f>
        <v>0</v>
      </c>
      <c r="AD385" s="279">
        <f>TABLA_BASE[[#This Row],[TOTAL PAGO
SUNAT
UNIT.(US$)]]*TABLA_BASE[[#This Row],[CANTIDAD
(unid.)]]</f>
        <v>0</v>
      </c>
      <c r="AE385" s="281">
        <f>TABLA_BASE[[#This Row],[TOTAL PAGO
SUNAT
UNIT.(US$)]]*'📋 Datos Generales'!$E$19</f>
        <v>0</v>
      </c>
      <c r="AF385" s="281">
        <f>TABLA_BASE[[#This Row],[TOTAL TRIB.
UNIT.(S/.)]]*TABLA_BASE[[#This Row],[CANTIDAD
(unid.)]]</f>
        <v>0</v>
      </c>
      <c r="AG385" s="279">
        <f>IF('🧾 Factura Comercial'!G389=0,0,'📦 Gastos Importación'!$E$28*(IF('🧾 Tributos Aduana'!$F$6=0,0,'🧾 Factura Comercial'!I389/'🧾 Tributos Aduana'!$F$6))/'🧾 Factura Comercial'!G389)</f>
        <v>0</v>
      </c>
      <c r="AH385" s="279">
        <f>TABLA_BASE[[#This Row],[GASTOS IMP.
UNIT.(US$)]]*TABLA_BASE[[#This Row],[CANTIDAD
(unid.)]]</f>
        <v>0</v>
      </c>
      <c r="AI385" s="281">
        <f>TABLA_BASE[[#This Row],[GASTOS IMP.
UNIT.(US$)]]*'📋 Datos Generales'!$E$19</f>
        <v>0</v>
      </c>
      <c r="AJ385" s="281">
        <f>TABLA_BASE[[#This Row],[GASTOS IMP.
UNIT.(S/.)]]*TABLA_BASE[[#This Row],[CANTIDAD
(unid.)]]</f>
        <v>0</v>
      </c>
      <c r="AK385" s="280">
        <f>'🧮 Costos x Producto'!J389</f>
        <v>0</v>
      </c>
      <c r="AL385" s="278">
        <f>'🧮 Costos x Producto'!K389</f>
        <v>0</v>
      </c>
      <c r="AM385" s="278">
        <f>TABLA_BASE[[#This Row],[C/M UNIT.
(S/.)]]*TABLA_BASE[[#This Row],[CANTIDAD
(unid.)]]</f>
        <v>0</v>
      </c>
      <c r="AN385" s="279">
        <f>IF('🧾 Factura Comercial'!G389=0,0,'🧾 Tributos Aduana'!$F$17*(IF('🧾 Tributos Aduana'!$F$6=0,0,'🧾 Factura Comercial'!I389/'🧾 Tributos Aduana'!$F$6))/'🧾 Factura Comercial'!G389)</f>
        <v>0</v>
      </c>
      <c r="AO385" s="280">
        <f>IF('🧾 Factura Comercial'!G389=0,0,'🏦 Crédito Fiscal'!$C$16*(IF('🧾 Tributos Aduana'!$F$6=0,0,'🧾 Factura Comercial'!I389/'🧾 Tributos Aduana'!$F$6))/'🧾 Factura Comercial'!G389)</f>
        <v>0</v>
      </c>
      <c r="AP385" s="278">
        <f>TABLA_BASE[[#This Row],[CF UNIT.
✅RECUP.
(US$)]]*'📋 Datos Generales'!$E$19</f>
        <v>0</v>
      </c>
      <c r="AQ385" s="278">
        <f>TABLA_BASE[[#This Row],[CF UNIT.
✅RECUP.(S/.)]]*TABLA_BASE[[#This Row],[CANTIDAD
(unid.)]]</f>
        <v>0</v>
      </c>
      <c r="AR385" s="288">
        <f>'💰 Precio de Venta'!G390</f>
        <v>0.4</v>
      </c>
      <c r="AS385" s="278">
        <f>'💰 Precio de Venta'!H390</f>
        <v>0</v>
      </c>
      <c r="AT385" s="278">
        <f>TABLA_BASE[[#This Row],[VALOR VTA.
UNIT.(S/.)]]*TABLA_BASE[[#This Row],[CANTIDAD
(unid.)]]</f>
        <v>0</v>
      </c>
      <c r="AU385" s="281">
        <f>'💰 Precio de Venta'!I390</f>
        <v>0</v>
      </c>
      <c r="AV385" s="278">
        <f>'💰 Precio de Venta'!J390</f>
        <v>0</v>
      </c>
      <c r="AW385" s="278">
        <f>TABLA_BASE[[#This Row],[GANANCIA
UNIT.(S/.)]]*TABLA_BASE[[#This Row],[CANTIDAD
(unid.)]]</f>
        <v>0</v>
      </c>
      <c r="AX385" s="289">
        <f>'💰 Precio de Venta'!K390</f>
        <v>0</v>
      </c>
      <c r="AY385" s="278">
        <f>TABLA_BASE[[#This Row],[GANANCIA
UNIT.(S/.)]]*'🧾 Factura Comercial'!G389</f>
        <v>0</v>
      </c>
      <c r="AZ385" s="277">
        <f>IF(TABLA_BASE[[#This Row],[PRECIO VTA.
c/IGV(S/.)]]=0,0,TABLA_BASE[[#This Row],[GANANCIA
UNIT.(S/.)]]/TABLA_BASE[[#This Row],[PRECIO VTA.
c/IGV(S/.)]])</f>
        <v>0</v>
      </c>
      <c r="BA385" s="277">
        <f>IF(TABLA_BASE[[#This Row],[C/M UNIT.
(S/.)]]=0,0,TABLA_BASE[[#This Row],[GANANCIA
UNIT.(S/.)]]/TABLA_BASE[[#This Row],[C/M UNIT.
(S/.)]])</f>
        <v>0</v>
      </c>
      <c r="BB385" s="274" t="str">
        <f>IF(TABLA_BASE[[#This Row],[MARGEN
%]]&gt;=0.5,"🟢 ALTO",IF(TABLA_BASE[[#This Row],[MARGEN
%]]&gt;=0.3,"🟡 MEDIO","🔴 BAJO"))</f>
        <v>🟡 MEDIO</v>
      </c>
    </row>
    <row r="386" spans="1:54" ht="16.5" hidden="1" thickTop="1" thickBot="1" x14ac:dyDescent="0.3">
      <c r="A386" s="274">
        <f>'🧾 Factura Comercial'!E390</f>
        <v>0</v>
      </c>
      <c r="B386" s="274" t="str">
        <f>'🧾 Factura Comercial'!F390</f>
        <v>Unid.</v>
      </c>
      <c r="C386" s="275">
        <f>'🧾 Factura Comercial'!G390</f>
        <v>0</v>
      </c>
      <c r="D386" s="276">
        <f>'🧾 Factura Comercial'!H390</f>
        <v>0</v>
      </c>
      <c r="E386" s="276">
        <f>'🧾 Factura Comercial'!I390</f>
        <v>0</v>
      </c>
      <c r="F386" s="277">
        <f>IF('🧾 Tributos Aduana'!$F$6=0,0,'🧾 Factura Comercial'!I390/'🧾 Tributos Aduana'!$F$6)</f>
        <v>0</v>
      </c>
      <c r="G386" s="278">
        <f>'🧾 Factura Comercial'!H390*'📋 Datos Generales'!$E$19</f>
        <v>0</v>
      </c>
      <c r="H386" s="278">
        <f>TABLA_BASE[[#This Row],[FOB UNIT.
(S/.)]]*TABLA_BASE[[#This Row],[CANTIDAD
(unid.)]]</f>
        <v>0</v>
      </c>
      <c r="I386" s="280">
        <f>IF('🧾 Tributos Aduana'!$F$6=0,0,'🧾 Tributos Aduana'!$F$17*('🧾 Factura Comercial'!H390/'🧾 Tributos Aduana'!$F$6))</f>
        <v>0</v>
      </c>
      <c r="J386" s="280">
        <f>TABLA_BASE[[#This Row],[ADV UNIT.
(US$)
⚠️COSTO]]*TABLA_BASE[[#This Row],[CANTIDAD
(unid.)]]</f>
        <v>0</v>
      </c>
      <c r="K386" s="279">
        <f>IF('🧾 Tributos Aduana'!$F$6=0,0,'🧾 Tributos Aduana'!$F$18*('🧾 Factura Comercial'!H390/'🧾 Tributos Aduana'!$F$6))</f>
        <v>0</v>
      </c>
      <c r="L386" s="280">
        <f>TABLA_BASE[[#This Row],[IPM UNIT.
(US$)
✅CF]]*TABLA_BASE[[#This Row],[CANTIDAD
(unid.)]]</f>
        <v>0</v>
      </c>
      <c r="M386" s="279">
        <f>IF('🧾 Tributos Aduana'!$F$6=0,0,'🧾 Tributos Aduana'!$F$19*('🧾 Factura Comercial'!H390/'🧾 Tributos Aduana'!$F$6))</f>
        <v>0</v>
      </c>
      <c r="N386" s="280">
        <f>TABLA_BASE[[#This Row],[IGV UNIT.
(US$)
✅CF]]*TABLA_BASE[[#This Row],[CANTIDAD
(unid.)]]</f>
        <v>0</v>
      </c>
      <c r="O386" s="280">
        <f>IF('🧾 Tributos Aduana'!$F$6=0,0,'🧾 Tributos Aduana'!$F$23*('🧾 Factura Comercial'!H390/'🧾 Tributos Aduana'!$F$6))</f>
        <v>0</v>
      </c>
      <c r="P386" s="280">
        <f>TABLA_BASE[[#This Row],[PERCEP.
UNIT.(US$)
✅CF]]*TABLA_BASE[[#This Row],[CANTIDAD
(unid.)]]</f>
        <v>0</v>
      </c>
      <c r="Q386" s="279">
        <f>TABLA_BASE[[#This Row],[ADV UNIT.
(US$)
⚠️COSTO]]+TABLA_BASE[[#This Row],[IPM UNIT.
(US$)
✅CF]]+TABLA_BASE[[#This Row],[IGV UNIT.
(US$)
✅CF]]</f>
        <v>0</v>
      </c>
      <c r="R386" s="280">
        <f>TABLA_BASE[[#This Row],[DEUDA
ADUANERA
UNIT.]]*TABLA_BASE[[#This Row],[CANTIDAD
(unid.)]]</f>
        <v>0</v>
      </c>
      <c r="S386" s="278">
        <f>TABLA_BASE[[#This Row],[DEUDA
ADUANERA
UNIT.]]*'📋 Datos Generales'!$E$19</f>
        <v>0</v>
      </c>
      <c r="T386" s="278">
        <f>TABLA_BASE[[#This Row],[DEUDA
ADUANERA
TOTAL]]*'📋 Datos Generales'!$E$19</f>
        <v>0</v>
      </c>
      <c r="U386" s="281">
        <f>TABLA_BASE[[#This Row],[ADV UNIT.
(US$)
⚠️COSTO]]*'📋 Datos Generales'!$E$19</f>
        <v>0</v>
      </c>
      <c r="V386" s="281">
        <f>TABLA_BASE[[#This Row],[ADV UNIT.
(S/.)]]*TABLA_BASE[[#This Row],[CANTIDAD
(unid.)]]</f>
        <v>0</v>
      </c>
      <c r="W386" s="281">
        <f>TABLA_BASE[[#This Row],[IPM UNIT.
(US$)
✅CF]]*'📋 Datos Generales'!$E$19</f>
        <v>0</v>
      </c>
      <c r="X386" s="281">
        <f>TABLA_BASE[[#This Row],[IPM UNIT.
(S/.)]]*TABLA_BASE[[#This Row],[CANTIDAD
(unid.)]]</f>
        <v>0</v>
      </c>
      <c r="Y386" s="281">
        <f>TABLA_BASE[[#This Row],[IGV UNIT.
(US$)
✅CF]]*'📋 Datos Generales'!$E$19</f>
        <v>0</v>
      </c>
      <c r="Z386" s="281">
        <f>TABLA_BASE[[#This Row],[IGV UNIT.
(S/.)]]*TABLA_BASE[[#This Row],[CANTIDAD
(unid.)]]</f>
        <v>0</v>
      </c>
      <c r="AA386" s="281">
        <f>TABLA_BASE[[#This Row],[PERCEP.
UNIT.(US$)
✅CF]]*'📋 Datos Generales'!$E$19</f>
        <v>0</v>
      </c>
      <c r="AB386" s="281">
        <f>TABLA_BASE[[#This Row],[PERCEP.
UNIT.(S/.)]]*TABLA_BASE[[#This Row],[CANTIDAD
(unid.)]]</f>
        <v>0</v>
      </c>
      <c r="AC386" s="279">
        <f>TABLA_BASE[[#This Row],[ADV UNIT.
(US$)
⚠️COSTO]]+TABLA_BASE[[#This Row],[IPM UNIT.
(US$)
✅CF]]+TABLA_BASE[[#This Row],[IGV UNIT.
(US$)
✅CF]]+TABLA_BASE[[#This Row],[PERCEP.
UNIT.(US$)
✅CF]]</f>
        <v>0</v>
      </c>
      <c r="AD386" s="279">
        <f>TABLA_BASE[[#This Row],[TOTAL PAGO
SUNAT
UNIT.(US$)]]*TABLA_BASE[[#This Row],[CANTIDAD
(unid.)]]</f>
        <v>0</v>
      </c>
      <c r="AE386" s="281">
        <f>TABLA_BASE[[#This Row],[TOTAL PAGO
SUNAT
UNIT.(US$)]]*'📋 Datos Generales'!$E$19</f>
        <v>0</v>
      </c>
      <c r="AF386" s="281">
        <f>TABLA_BASE[[#This Row],[TOTAL TRIB.
UNIT.(S/.)]]*TABLA_BASE[[#This Row],[CANTIDAD
(unid.)]]</f>
        <v>0</v>
      </c>
      <c r="AG386" s="279">
        <f>IF('🧾 Factura Comercial'!G390=0,0,'📦 Gastos Importación'!$E$28*(IF('🧾 Tributos Aduana'!$F$6=0,0,'🧾 Factura Comercial'!I390/'🧾 Tributos Aduana'!$F$6))/'🧾 Factura Comercial'!G390)</f>
        <v>0</v>
      </c>
      <c r="AH386" s="279">
        <f>TABLA_BASE[[#This Row],[GASTOS IMP.
UNIT.(US$)]]*TABLA_BASE[[#This Row],[CANTIDAD
(unid.)]]</f>
        <v>0</v>
      </c>
      <c r="AI386" s="281">
        <f>TABLA_BASE[[#This Row],[GASTOS IMP.
UNIT.(US$)]]*'📋 Datos Generales'!$E$19</f>
        <v>0</v>
      </c>
      <c r="AJ386" s="281">
        <f>TABLA_BASE[[#This Row],[GASTOS IMP.
UNIT.(S/.)]]*TABLA_BASE[[#This Row],[CANTIDAD
(unid.)]]</f>
        <v>0</v>
      </c>
      <c r="AK386" s="280">
        <f>'🧮 Costos x Producto'!J390</f>
        <v>0</v>
      </c>
      <c r="AL386" s="278">
        <f>'🧮 Costos x Producto'!K390</f>
        <v>0</v>
      </c>
      <c r="AM386" s="278">
        <f>TABLA_BASE[[#This Row],[C/M UNIT.
(S/.)]]*TABLA_BASE[[#This Row],[CANTIDAD
(unid.)]]</f>
        <v>0</v>
      </c>
      <c r="AN386" s="279">
        <f>IF('🧾 Factura Comercial'!G390=0,0,'🧾 Tributos Aduana'!$F$17*(IF('🧾 Tributos Aduana'!$F$6=0,0,'🧾 Factura Comercial'!I390/'🧾 Tributos Aduana'!$F$6))/'🧾 Factura Comercial'!G390)</f>
        <v>0</v>
      </c>
      <c r="AO386" s="280">
        <f>IF('🧾 Factura Comercial'!G390=0,0,'🏦 Crédito Fiscal'!$C$16*(IF('🧾 Tributos Aduana'!$F$6=0,0,'🧾 Factura Comercial'!I390/'🧾 Tributos Aduana'!$F$6))/'🧾 Factura Comercial'!G390)</f>
        <v>0</v>
      </c>
      <c r="AP386" s="278">
        <f>TABLA_BASE[[#This Row],[CF UNIT.
✅RECUP.
(US$)]]*'📋 Datos Generales'!$E$19</f>
        <v>0</v>
      </c>
      <c r="AQ386" s="278">
        <f>TABLA_BASE[[#This Row],[CF UNIT.
✅RECUP.(S/.)]]*TABLA_BASE[[#This Row],[CANTIDAD
(unid.)]]</f>
        <v>0</v>
      </c>
      <c r="AR386" s="288">
        <f>'💰 Precio de Venta'!G391</f>
        <v>0.4</v>
      </c>
      <c r="AS386" s="278">
        <f>'💰 Precio de Venta'!H391</f>
        <v>0</v>
      </c>
      <c r="AT386" s="278">
        <f>TABLA_BASE[[#This Row],[VALOR VTA.
UNIT.(S/.)]]*TABLA_BASE[[#This Row],[CANTIDAD
(unid.)]]</f>
        <v>0</v>
      </c>
      <c r="AU386" s="281">
        <f>'💰 Precio de Venta'!I391</f>
        <v>0</v>
      </c>
      <c r="AV386" s="278">
        <f>'💰 Precio de Venta'!J391</f>
        <v>0</v>
      </c>
      <c r="AW386" s="278">
        <f>TABLA_BASE[[#This Row],[GANANCIA
UNIT.(S/.)]]*TABLA_BASE[[#This Row],[CANTIDAD
(unid.)]]</f>
        <v>0</v>
      </c>
      <c r="AX386" s="289">
        <f>'💰 Precio de Venta'!K391</f>
        <v>0</v>
      </c>
      <c r="AY386" s="278">
        <f>TABLA_BASE[[#This Row],[GANANCIA
UNIT.(S/.)]]*'🧾 Factura Comercial'!G390</f>
        <v>0</v>
      </c>
      <c r="AZ386" s="277">
        <f>IF(TABLA_BASE[[#This Row],[PRECIO VTA.
c/IGV(S/.)]]=0,0,TABLA_BASE[[#This Row],[GANANCIA
UNIT.(S/.)]]/TABLA_BASE[[#This Row],[PRECIO VTA.
c/IGV(S/.)]])</f>
        <v>0</v>
      </c>
      <c r="BA386" s="277">
        <f>IF(TABLA_BASE[[#This Row],[C/M UNIT.
(S/.)]]=0,0,TABLA_BASE[[#This Row],[GANANCIA
UNIT.(S/.)]]/TABLA_BASE[[#This Row],[C/M UNIT.
(S/.)]])</f>
        <v>0</v>
      </c>
      <c r="BB386" s="274" t="str">
        <f>IF(TABLA_BASE[[#This Row],[MARGEN
%]]&gt;=0.5,"🟢 ALTO",IF(TABLA_BASE[[#This Row],[MARGEN
%]]&gt;=0.3,"🟡 MEDIO","🔴 BAJO"))</f>
        <v>🟡 MEDIO</v>
      </c>
    </row>
    <row r="387" spans="1:54" ht="16.5" hidden="1" thickTop="1" thickBot="1" x14ac:dyDescent="0.3">
      <c r="A387" s="274">
        <f>'🧾 Factura Comercial'!E391</f>
        <v>0</v>
      </c>
      <c r="B387" s="274" t="str">
        <f>'🧾 Factura Comercial'!F391</f>
        <v>Unid.</v>
      </c>
      <c r="C387" s="275">
        <f>'🧾 Factura Comercial'!G391</f>
        <v>0</v>
      </c>
      <c r="D387" s="276">
        <f>'🧾 Factura Comercial'!H391</f>
        <v>0</v>
      </c>
      <c r="E387" s="276">
        <f>'🧾 Factura Comercial'!I391</f>
        <v>0</v>
      </c>
      <c r="F387" s="277">
        <f>IF('🧾 Tributos Aduana'!$F$6=0,0,'🧾 Factura Comercial'!I391/'🧾 Tributos Aduana'!$F$6)</f>
        <v>0</v>
      </c>
      <c r="G387" s="278">
        <f>'🧾 Factura Comercial'!H391*'📋 Datos Generales'!$E$19</f>
        <v>0</v>
      </c>
      <c r="H387" s="278">
        <f>TABLA_BASE[[#This Row],[FOB UNIT.
(S/.)]]*TABLA_BASE[[#This Row],[CANTIDAD
(unid.)]]</f>
        <v>0</v>
      </c>
      <c r="I387" s="280">
        <f>IF('🧾 Tributos Aduana'!$F$6=0,0,'🧾 Tributos Aduana'!$F$17*('🧾 Factura Comercial'!H391/'🧾 Tributos Aduana'!$F$6))</f>
        <v>0</v>
      </c>
      <c r="J387" s="280">
        <f>TABLA_BASE[[#This Row],[ADV UNIT.
(US$)
⚠️COSTO]]*TABLA_BASE[[#This Row],[CANTIDAD
(unid.)]]</f>
        <v>0</v>
      </c>
      <c r="K387" s="279">
        <f>IF('🧾 Tributos Aduana'!$F$6=0,0,'🧾 Tributos Aduana'!$F$18*('🧾 Factura Comercial'!H391/'🧾 Tributos Aduana'!$F$6))</f>
        <v>0</v>
      </c>
      <c r="L387" s="280">
        <f>TABLA_BASE[[#This Row],[IPM UNIT.
(US$)
✅CF]]*TABLA_BASE[[#This Row],[CANTIDAD
(unid.)]]</f>
        <v>0</v>
      </c>
      <c r="M387" s="279">
        <f>IF('🧾 Tributos Aduana'!$F$6=0,0,'🧾 Tributos Aduana'!$F$19*('🧾 Factura Comercial'!H391/'🧾 Tributos Aduana'!$F$6))</f>
        <v>0</v>
      </c>
      <c r="N387" s="280">
        <f>TABLA_BASE[[#This Row],[IGV UNIT.
(US$)
✅CF]]*TABLA_BASE[[#This Row],[CANTIDAD
(unid.)]]</f>
        <v>0</v>
      </c>
      <c r="O387" s="280">
        <f>IF('🧾 Tributos Aduana'!$F$6=0,0,'🧾 Tributos Aduana'!$F$23*('🧾 Factura Comercial'!H391/'🧾 Tributos Aduana'!$F$6))</f>
        <v>0</v>
      </c>
      <c r="P387" s="280">
        <f>TABLA_BASE[[#This Row],[PERCEP.
UNIT.(US$)
✅CF]]*TABLA_BASE[[#This Row],[CANTIDAD
(unid.)]]</f>
        <v>0</v>
      </c>
      <c r="Q387" s="279">
        <f>TABLA_BASE[[#This Row],[ADV UNIT.
(US$)
⚠️COSTO]]+TABLA_BASE[[#This Row],[IPM UNIT.
(US$)
✅CF]]+TABLA_BASE[[#This Row],[IGV UNIT.
(US$)
✅CF]]</f>
        <v>0</v>
      </c>
      <c r="R387" s="280">
        <f>TABLA_BASE[[#This Row],[DEUDA
ADUANERA
UNIT.]]*TABLA_BASE[[#This Row],[CANTIDAD
(unid.)]]</f>
        <v>0</v>
      </c>
      <c r="S387" s="278">
        <f>TABLA_BASE[[#This Row],[DEUDA
ADUANERA
UNIT.]]*'📋 Datos Generales'!$E$19</f>
        <v>0</v>
      </c>
      <c r="T387" s="278">
        <f>TABLA_BASE[[#This Row],[DEUDA
ADUANERA
TOTAL]]*'📋 Datos Generales'!$E$19</f>
        <v>0</v>
      </c>
      <c r="U387" s="281">
        <f>TABLA_BASE[[#This Row],[ADV UNIT.
(US$)
⚠️COSTO]]*'📋 Datos Generales'!$E$19</f>
        <v>0</v>
      </c>
      <c r="V387" s="281">
        <f>TABLA_BASE[[#This Row],[ADV UNIT.
(S/.)]]*TABLA_BASE[[#This Row],[CANTIDAD
(unid.)]]</f>
        <v>0</v>
      </c>
      <c r="W387" s="281">
        <f>TABLA_BASE[[#This Row],[IPM UNIT.
(US$)
✅CF]]*'📋 Datos Generales'!$E$19</f>
        <v>0</v>
      </c>
      <c r="X387" s="281">
        <f>TABLA_BASE[[#This Row],[IPM UNIT.
(S/.)]]*TABLA_BASE[[#This Row],[CANTIDAD
(unid.)]]</f>
        <v>0</v>
      </c>
      <c r="Y387" s="281">
        <f>TABLA_BASE[[#This Row],[IGV UNIT.
(US$)
✅CF]]*'📋 Datos Generales'!$E$19</f>
        <v>0</v>
      </c>
      <c r="Z387" s="281">
        <f>TABLA_BASE[[#This Row],[IGV UNIT.
(S/.)]]*TABLA_BASE[[#This Row],[CANTIDAD
(unid.)]]</f>
        <v>0</v>
      </c>
      <c r="AA387" s="281">
        <f>TABLA_BASE[[#This Row],[PERCEP.
UNIT.(US$)
✅CF]]*'📋 Datos Generales'!$E$19</f>
        <v>0</v>
      </c>
      <c r="AB387" s="281">
        <f>TABLA_BASE[[#This Row],[PERCEP.
UNIT.(S/.)]]*TABLA_BASE[[#This Row],[CANTIDAD
(unid.)]]</f>
        <v>0</v>
      </c>
      <c r="AC387" s="279">
        <f>TABLA_BASE[[#This Row],[ADV UNIT.
(US$)
⚠️COSTO]]+TABLA_BASE[[#This Row],[IPM UNIT.
(US$)
✅CF]]+TABLA_BASE[[#This Row],[IGV UNIT.
(US$)
✅CF]]+TABLA_BASE[[#This Row],[PERCEP.
UNIT.(US$)
✅CF]]</f>
        <v>0</v>
      </c>
      <c r="AD387" s="279">
        <f>TABLA_BASE[[#This Row],[TOTAL PAGO
SUNAT
UNIT.(US$)]]*TABLA_BASE[[#This Row],[CANTIDAD
(unid.)]]</f>
        <v>0</v>
      </c>
      <c r="AE387" s="281">
        <f>TABLA_BASE[[#This Row],[TOTAL PAGO
SUNAT
UNIT.(US$)]]*'📋 Datos Generales'!$E$19</f>
        <v>0</v>
      </c>
      <c r="AF387" s="281">
        <f>TABLA_BASE[[#This Row],[TOTAL TRIB.
UNIT.(S/.)]]*TABLA_BASE[[#This Row],[CANTIDAD
(unid.)]]</f>
        <v>0</v>
      </c>
      <c r="AG387" s="279">
        <f>IF('🧾 Factura Comercial'!G391=0,0,'📦 Gastos Importación'!$E$28*(IF('🧾 Tributos Aduana'!$F$6=0,0,'🧾 Factura Comercial'!I391/'🧾 Tributos Aduana'!$F$6))/'🧾 Factura Comercial'!G391)</f>
        <v>0</v>
      </c>
      <c r="AH387" s="279">
        <f>TABLA_BASE[[#This Row],[GASTOS IMP.
UNIT.(US$)]]*TABLA_BASE[[#This Row],[CANTIDAD
(unid.)]]</f>
        <v>0</v>
      </c>
      <c r="AI387" s="281">
        <f>TABLA_BASE[[#This Row],[GASTOS IMP.
UNIT.(US$)]]*'📋 Datos Generales'!$E$19</f>
        <v>0</v>
      </c>
      <c r="AJ387" s="281">
        <f>TABLA_BASE[[#This Row],[GASTOS IMP.
UNIT.(S/.)]]*TABLA_BASE[[#This Row],[CANTIDAD
(unid.)]]</f>
        <v>0</v>
      </c>
      <c r="AK387" s="280">
        <f>'🧮 Costos x Producto'!J391</f>
        <v>0</v>
      </c>
      <c r="AL387" s="278">
        <f>'🧮 Costos x Producto'!K391</f>
        <v>0</v>
      </c>
      <c r="AM387" s="278">
        <f>TABLA_BASE[[#This Row],[C/M UNIT.
(S/.)]]*TABLA_BASE[[#This Row],[CANTIDAD
(unid.)]]</f>
        <v>0</v>
      </c>
      <c r="AN387" s="279">
        <f>IF('🧾 Factura Comercial'!G391=0,0,'🧾 Tributos Aduana'!$F$17*(IF('🧾 Tributos Aduana'!$F$6=0,0,'🧾 Factura Comercial'!I391/'🧾 Tributos Aduana'!$F$6))/'🧾 Factura Comercial'!G391)</f>
        <v>0</v>
      </c>
      <c r="AO387" s="280">
        <f>IF('🧾 Factura Comercial'!G391=0,0,'🏦 Crédito Fiscal'!$C$16*(IF('🧾 Tributos Aduana'!$F$6=0,0,'🧾 Factura Comercial'!I391/'🧾 Tributos Aduana'!$F$6))/'🧾 Factura Comercial'!G391)</f>
        <v>0</v>
      </c>
      <c r="AP387" s="278">
        <f>TABLA_BASE[[#This Row],[CF UNIT.
✅RECUP.
(US$)]]*'📋 Datos Generales'!$E$19</f>
        <v>0</v>
      </c>
      <c r="AQ387" s="278">
        <f>TABLA_BASE[[#This Row],[CF UNIT.
✅RECUP.(S/.)]]*TABLA_BASE[[#This Row],[CANTIDAD
(unid.)]]</f>
        <v>0</v>
      </c>
      <c r="AR387" s="288">
        <f>'💰 Precio de Venta'!G392</f>
        <v>0.4</v>
      </c>
      <c r="AS387" s="278">
        <f>'💰 Precio de Venta'!H392</f>
        <v>0</v>
      </c>
      <c r="AT387" s="278">
        <f>TABLA_BASE[[#This Row],[VALOR VTA.
UNIT.(S/.)]]*TABLA_BASE[[#This Row],[CANTIDAD
(unid.)]]</f>
        <v>0</v>
      </c>
      <c r="AU387" s="281">
        <f>'💰 Precio de Venta'!I392</f>
        <v>0</v>
      </c>
      <c r="AV387" s="278">
        <f>'💰 Precio de Venta'!J392</f>
        <v>0</v>
      </c>
      <c r="AW387" s="278">
        <f>TABLA_BASE[[#This Row],[GANANCIA
UNIT.(S/.)]]*TABLA_BASE[[#This Row],[CANTIDAD
(unid.)]]</f>
        <v>0</v>
      </c>
      <c r="AX387" s="289">
        <f>'💰 Precio de Venta'!K392</f>
        <v>0</v>
      </c>
      <c r="AY387" s="278">
        <f>TABLA_BASE[[#This Row],[GANANCIA
UNIT.(S/.)]]*'🧾 Factura Comercial'!G391</f>
        <v>0</v>
      </c>
      <c r="AZ387" s="277">
        <f>IF(TABLA_BASE[[#This Row],[PRECIO VTA.
c/IGV(S/.)]]=0,0,TABLA_BASE[[#This Row],[GANANCIA
UNIT.(S/.)]]/TABLA_BASE[[#This Row],[PRECIO VTA.
c/IGV(S/.)]])</f>
        <v>0</v>
      </c>
      <c r="BA387" s="277">
        <f>IF(TABLA_BASE[[#This Row],[C/M UNIT.
(S/.)]]=0,0,TABLA_BASE[[#This Row],[GANANCIA
UNIT.(S/.)]]/TABLA_BASE[[#This Row],[C/M UNIT.
(S/.)]])</f>
        <v>0</v>
      </c>
      <c r="BB387" s="274" t="str">
        <f>IF(TABLA_BASE[[#This Row],[MARGEN
%]]&gt;=0.5,"🟢 ALTO",IF(TABLA_BASE[[#This Row],[MARGEN
%]]&gt;=0.3,"🟡 MEDIO","🔴 BAJO"))</f>
        <v>🟡 MEDIO</v>
      </c>
    </row>
    <row r="388" spans="1:54" ht="16.5" hidden="1" thickTop="1" thickBot="1" x14ac:dyDescent="0.3">
      <c r="A388" s="274">
        <f>'🧾 Factura Comercial'!E392</f>
        <v>0</v>
      </c>
      <c r="B388" s="274" t="str">
        <f>'🧾 Factura Comercial'!F392</f>
        <v>Unid.</v>
      </c>
      <c r="C388" s="275">
        <f>'🧾 Factura Comercial'!G392</f>
        <v>0</v>
      </c>
      <c r="D388" s="276">
        <f>'🧾 Factura Comercial'!H392</f>
        <v>0</v>
      </c>
      <c r="E388" s="276">
        <f>'🧾 Factura Comercial'!I392</f>
        <v>0</v>
      </c>
      <c r="F388" s="277">
        <f>IF('🧾 Tributos Aduana'!$F$6=0,0,'🧾 Factura Comercial'!I392/'🧾 Tributos Aduana'!$F$6)</f>
        <v>0</v>
      </c>
      <c r="G388" s="278">
        <f>'🧾 Factura Comercial'!H392*'📋 Datos Generales'!$E$19</f>
        <v>0</v>
      </c>
      <c r="H388" s="278">
        <f>TABLA_BASE[[#This Row],[FOB UNIT.
(S/.)]]*TABLA_BASE[[#This Row],[CANTIDAD
(unid.)]]</f>
        <v>0</v>
      </c>
      <c r="I388" s="280">
        <f>IF('🧾 Tributos Aduana'!$F$6=0,0,'🧾 Tributos Aduana'!$F$17*('🧾 Factura Comercial'!H392/'🧾 Tributos Aduana'!$F$6))</f>
        <v>0</v>
      </c>
      <c r="J388" s="280">
        <f>TABLA_BASE[[#This Row],[ADV UNIT.
(US$)
⚠️COSTO]]*TABLA_BASE[[#This Row],[CANTIDAD
(unid.)]]</f>
        <v>0</v>
      </c>
      <c r="K388" s="279">
        <f>IF('🧾 Tributos Aduana'!$F$6=0,0,'🧾 Tributos Aduana'!$F$18*('🧾 Factura Comercial'!H392/'🧾 Tributos Aduana'!$F$6))</f>
        <v>0</v>
      </c>
      <c r="L388" s="280">
        <f>TABLA_BASE[[#This Row],[IPM UNIT.
(US$)
✅CF]]*TABLA_BASE[[#This Row],[CANTIDAD
(unid.)]]</f>
        <v>0</v>
      </c>
      <c r="M388" s="279">
        <f>IF('🧾 Tributos Aduana'!$F$6=0,0,'🧾 Tributos Aduana'!$F$19*('🧾 Factura Comercial'!H392/'🧾 Tributos Aduana'!$F$6))</f>
        <v>0</v>
      </c>
      <c r="N388" s="280">
        <f>TABLA_BASE[[#This Row],[IGV UNIT.
(US$)
✅CF]]*TABLA_BASE[[#This Row],[CANTIDAD
(unid.)]]</f>
        <v>0</v>
      </c>
      <c r="O388" s="280">
        <f>IF('🧾 Tributos Aduana'!$F$6=0,0,'🧾 Tributos Aduana'!$F$23*('🧾 Factura Comercial'!H392/'🧾 Tributos Aduana'!$F$6))</f>
        <v>0</v>
      </c>
      <c r="P388" s="280">
        <f>TABLA_BASE[[#This Row],[PERCEP.
UNIT.(US$)
✅CF]]*TABLA_BASE[[#This Row],[CANTIDAD
(unid.)]]</f>
        <v>0</v>
      </c>
      <c r="Q388" s="279">
        <f>TABLA_BASE[[#This Row],[ADV UNIT.
(US$)
⚠️COSTO]]+TABLA_BASE[[#This Row],[IPM UNIT.
(US$)
✅CF]]+TABLA_BASE[[#This Row],[IGV UNIT.
(US$)
✅CF]]</f>
        <v>0</v>
      </c>
      <c r="R388" s="280">
        <f>TABLA_BASE[[#This Row],[DEUDA
ADUANERA
UNIT.]]*TABLA_BASE[[#This Row],[CANTIDAD
(unid.)]]</f>
        <v>0</v>
      </c>
      <c r="S388" s="278">
        <f>TABLA_BASE[[#This Row],[DEUDA
ADUANERA
UNIT.]]*'📋 Datos Generales'!$E$19</f>
        <v>0</v>
      </c>
      <c r="T388" s="278">
        <f>TABLA_BASE[[#This Row],[DEUDA
ADUANERA
TOTAL]]*'📋 Datos Generales'!$E$19</f>
        <v>0</v>
      </c>
      <c r="U388" s="281">
        <f>TABLA_BASE[[#This Row],[ADV UNIT.
(US$)
⚠️COSTO]]*'📋 Datos Generales'!$E$19</f>
        <v>0</v>
      </c>
      <c r="V388" s="281">
        <f>TABLA_BASE[[#This Row],[ADV UNIT.
(S/.)]]*TABLA_BASE[[#This Row],[CANTIDAD
(unid.)]]</f>
        <v>0</v>
      </c>
      <c r="W388" s="281">
        <f>TABLA_BASE[[#This Row],[IPM UNIT.
(US$)
✅CF]]*'📋 Datos Generales'!$E$19</f>
        <v>0</v>
      </c>
      <c r="X388" s="281">
        <f>TABLA_BASE[[#This Row],[IPM UNIT.
(S/.)]]*TABLA_BASE[[#This Row],[CANTIDAD
(unid.)]]</f>
        <v>0</v>
      </c>
      <c r="Y388" s="281">
        <f>TABLA_BASE[[#This Row],[IGV UNIT.
(US$)
✅CF]]*'📋 Datos Generales'!$E$19</f>
        <v>0</v>
      </c>
      <c r="Z388" s="281">
        <f>TABLA_BASE[[#This Row],[IGV UNIT.
(S/.)]]*TABLA_BASE[[#This Row],[CANTIDAD
(unid.)]]</f>
        <v>0</v>
      </c>
      <c r="AA388" s="281">
        <f>TABLA_BASE[[#This Row],[PERCEP.
UNIT.(US$)
✅CF]]*'📋 Datos Generales'!$E$19</f>
        <v>0</v>
      </c>
      <c r="AB388" s="281">
        <f>TABLA_BASE[[#This Row],[PERCEP.
UNIT.(S/.)]]*TABLA_BASE[[#This Row],[CANTIDAD
(unid.)]]</f>
        <v>0</v>
      </c>
      <c r="AC388" s="279">
        <f>TABLA_BASE[[#This Row],[ADV UNIT.
(US$)
⚠️COSTO]]+TABLA_BASE[[#This Row],[IPM UNIT.
(US$)
✅CF]]+TABLA_BASE[[#This Row],[IGV UNIT.
(US$)
✅CF]]+TABLA_BASE[[#This Row],[PERCEP.
UNIT.(US$)
✅CF]]</f>
        <v>0</v>
      </c>
      <c r="AD388" s="279">
        <f>TABLA_BASE[[#This Row],[TOTAL PAGO
SUNAT
UNIT.(US$)]]*TABLA_BASE[[#This Row],[CANTIDAD
(unid.)]]</f>
        <v>0</v>
      </c>
      <c r="AE388" s="281">
        <f>TABLA_BASE[[#This Row],[TOTAL PAGO
SUNAT
UNIT.(US$)]]*'📋 Datos Generales'!$E$19</f>
        <v>0</v>
      </c>
      <c r="AF388" s="281">
        <f>TABLA_BASE[[#This Row],[TOTAL TRIB.
UNIT.(S/.)]]*TABLA_BASE[[#This Row],[CANTIDAD
(unid.)]]</f>
        <v>0</v>
      </c>
      <c r="AG388" s="279">
        <f>IF('🧾 Factura Comercial'!G392=0,0,'📦 Gastos Importación'!$E$28*(IF('🧾 Tributos Aduana'!$F$6=0,0,'🧾 Factura Comercial'!I392/'🧾 Tributos Aduana'!$F$6))/'🧾 Factura Comercial'!G392)</f>
        <v>0</v>
      </c>
      <c r="AH388" s="279">
        <f>TABLA_BASE[[#This Row],[GASTOS IMP.
UNIT.(US$)]]*TABLA_BASE[[#This Row],[CANTIDAD
(unid.)]]</f>
        <v>0</v>
      </c>
      <c r="AI388" s="281">
        <f>TABLA_BASE[[#This Row],[GASTOS IMP.
UNIT.(US$)]]*'📋 Datos Generales'!$E$19</f>
        <v>0</v>
      </c>
      <c r="AJ388" s="281">
        <f>TABLA_BASE[[#This Row],[GASTOS IMP.
UNIT.(S/.)]]*TABLA_BASE[[#This Row],[CANTIDAD
(unid.)]]</f>
        <v>0</v>
      </c>
      <c r="AK388" s="280">
        <f>'🧮 Costos x Producto'!J392</f>
        <v>0</v>
      </c>
      <c r="AL388" s="278">
        <f>'🧮 Costos x Producto'!K392</f>
        <v>0</v>
      </c>
      <c r="AM388" s="278">
        <f>TABLA_BASE[[#This Row],[C/M UNIT.
(S/.)]]*TABLA_BASE[[#This Row],[CANTIDAD
(unid.)]]</f>
        <v>0</v>
      </c>
      <c r="AN388" s="279">
        <f>IF('🧾 Factura Comercial'!G392=0,0,'🧾 Tributos Aduana'!$F$17*(IF('🧾 Tributos Aduana'!$F$6=0,0,'🧾 Factura Comercial'!I392/'🧾 Tributos Aduana'!$F$6))/'🧾 Factura Comercial'!G392)</f>
        <v>0</v>
      </c>
      <c r="AO388" s="280">
        <f>IF('🧾 Factura Comercial'!G392=0,0,'🏦 Crédito Fiscal'!$C$16*(IF('🧾 Tributos Aduana'!$F$6=0,0,'🧾 Factura Comercial'!I392/'🧾 Tributos Aduana'!$F$6))/'🧾 Factura Comercial'!G392)</f>
        <v>0</v>
      </c>
      <c r="AP388" s="278">
        <f>TABLA_BASE[[#This Row],[CF UNIT.
✅RECUP.
(US$)]]*'📋 Datos Generales'!$E$19</f>
        <v>0</v>
      </c>
      <c r="AQ388" s="278">
        <f>TABLA_BASE[[#This Row],[CF UNIT.
✅RECUP.(S/.)]]*TABLA_BASE[[#This Row],[CANTIDAD
(unid.)]]</f>
        <v>0</v>
      </c>
      <c r="AR388" s="288">
        <f>'💰 Precio de Venta'!G393</f>
        <v>0.4</v>
      </c>
      <c r="AS388" s="278">
        <f>'💰 Precio de Venta'!H393</f>
        <v>0</v>
      </c>
      <c r="AT388" s="278">
        <f>TABLA_BASE[[#This Row],[VALOR VTA.
UNIT.(S/.)]]*TABLA_BASE[[#This Row],[CANTIDAD
(unid.)]]</f>
        <v>0</v>
      </c>
      <c r="AU388" s="281">
        <f>'💰 Precio de Venta'!I393</f>
        <v>0</v>
      </c>
      <c r="AV388" s="278">
        <f>'💰 Precio de Venta'!J393</f>
        <v>0</v>
      </c>
      <c r="AW388" s="278">
        <f>TABLA_BASE[[#This Row],[GANANCIA
UNIT.(S/.)]]*TABLA_BASE[[#This Row],[CANTIDAD
(unid.)]]</f>
        <v>0</v>
      </c>
      <c r="AX388" s="289">
        <f>'💰 Precio de Venta'!K393</f>
        <v>0</v>
      </c>
      <c r="AY388" s="278">
        <f>TABLA_BASE[[#This Row],[GANANCIA
UNIT.(S/.)]]*'🧾 Factura Comercial'!G392</f>
        <v>0</v>
      </c>
      <c r="AZ388" s="277">
        <f>IF(TABLA_BASE[[#This Row],[PRECIO VTA.
c/IGV(S/.)]]=0,0,TABLA_BASE[[#This Row],[GANANCIA
UNIT.(S/.)]]/TABLA_BASE[[#This Row],[PRECIO VTA.
c/IGV(S/.)]])</f>
        <v>0</v>
      </c>
      <c r="BA388" s="277">
        <f>IF(TABLA_BASE[[#This Row],[C/M UNIT.
(S/.)]]=0,0,TABLA_BASE[[#This Row],[GANANCIA
UNIT.(S/.)]]/TABLA_BASE[[#This Row],[C/M UNIT.
(S/.)]])</f>
        <v>0</v>
      </c>
      <c r="BB388" s="274" t="str">
        <f>IF(TABLA_BASE[[#This Row],[MARGEN
%]]&gt;=0.5,"🟢 ALTO",IF(TABLA_BASE[[#This Row],[MARGEN
%]]&gt;=0.3,"🟡 MEDIO","🔴 BAJO"))</f>
        <v>🟡 MEDIO</v>
      </c>
    </row>
    <row r="389" spans="1:54" ht="16.5" hidden="1" thickTop="1" thickBot="1" x14ac:dyDescent="0.3">
      <c r="A389" s="274">
        <f>'🧾 Factura Comercial'!E393</f>
        <v>0</v>
      </c>
      <c r="B389" s="274" t="str">
        <f>'🧾 Factura Comercial'!F393</f>
        <v>Unid.</v>
      </c>
      <c r="C389" s="275">
        <f>'🧾 Factura Comercial'!G393</f>
        <v>0</v>
      </c>
      <c r="D389" s="276">
        <f>'🧾 Factura Comercial'!H393</f>
        <v>0</v>
      </c>
      <c r="E389" s="276">
        <f>'🧾 Factura Comercial'!I393</f>
        <v>0</v>
      </c>
      <c r="F389" s="277">
        <f>IF('🧾 Tributos Aduana'!$F$6=0,0,'🧾 Factura Comercial'!I393/'🧾 Tributos Aduana'!$F$6)</f>
        <v>0</v>
      </c>
      <c r="G389" s="278">
        <f>'🧾 Factura Comercial'!H393*'📋 Datos Generales'!$E$19</f>
        <v>0</v>
      </c>
      <c r="H389" s="278">
        <f>TABLA_BASE[[#This Row],[FOB UNIT.
(S/.)]]*TABLA_BASE[[#This Row],[CANTIDAD
(unid.)]]</f>
        <v>0</v>
      </c>
      <c r="I389" s="280">
        <f>IF('🧾 Tributos Aduana'!$F$6=0,0,'🧾 Tributos Aduana'!$F$17*('🧾 Factura Comercial'!H393/'🧾 Tributos Aduana'!$F$6))</f>
        <v>0</v>
      </c>
      <c r="J389" s="280">
        <f>TABLA_BASE[[#This Row],[ADV UNIT.
(US$)
⚠️COSTO]]*TABLA_BASE[[#This Row],[CANTIDAD
(unid.)]]</f>
        <v>0</v>
      </c>
      <c r="K389" s="279">
        <f>IF('🧾 Tributos Aduana'!$F$6=0,0,'🧾 Tributos Aduana'!$F$18*('🧾 Factura Comercial'!H393/'🧾 Tributos Aduana'!$F$6))</f>
        <v>0</v>
      </c>
      <c r="L389" s="280">
        <f>TABLA_BASE[[#This Row],[IPM UNIT.
(US$)
✅CF]]*TABLA_BASE[[#This Row],[CANTIDAD
(unid.)]]</f>
        <v>0</v>
      </c>
      <c r="M389" s="279">
        <f>IF('🧾 Tributos Aduana'!$F$6=0,0,'🧾 Tributos Aduana'!$F$19*('🧾 Factura Comercial'!H393/'🧾 Tributos Aduana'!$F$6))</f>
        <v>0</v>
      </c>
      <c r="N389" s="280">
        <f>TABLA_BASE[[#This Row],[IGV UNIT.
(US$)
✅CF]]*TABLA_BASE[[#This Row],[CANTIDAD
(unid.)]]</f>
        <v>0</v>
      </c>
      <c r="O389" s="280">
        <f>IF('🧾 Tributos Aduana'!$F$6=0,0,'🧾 Tributos Aduana'!$F$23*('🧾 Factura Comercial'!H393/'🧾 Tributos Aduana'!$F$6))</f>
        <v>0</v>
      </c>
      <c r="P389" s="280">
        <f>TABLA_BASE[[#This Row],[PERCEP.
UNIT.(US$)
✅CF]]*TABLA_BASE[[#This Row],[CANTIDAD
(unid.)]]</f>
        <v>0</v>
      </c>
      <c r="Q389" s="279">
        <f>TABLA_BASE[[#This Row],[ADV UNIT.
(US$)
⚠️COSTO]]+TABLA_BASE[[#This Row],[IPM UNIT.
(US$)
✅CF]]+TABLA_BASE[[#This Row],[IGV UNIT.
(US$)
✅CF]]</f>
        <v>0</v>
      </c>
      <c r="R389" s="280">
        <f>TABLA_BASE[[#This Row],[DEUDA
ADUANERA
UNIT.]]*TABLA_BASE[[#This Row],[CANTIDAD
(unid.)]]</f>
        <v>0</v>
      </c>
      <c r="S389" s="278">
        <f>TABLA_BASE[[#This Row],[DEUDA
ADUANERA
UNIT.]]*'📋 Datos Generales'!$E$19</f>
        <v>0</v>
      </c>
      <c r="T389" s="278">
        <f>TABLA_BASE[[#This Row],[DEUDA
ADUANERA
TOTAL]]*'📋 Datos Generales'!$E$19</f>
        <v>0</v>
      </c>
      <c r="U389" s="281">
        <f>TABLA_BASE[[#This Row],[ADV UNIT.
(US$)
⚠️COSTO]]*'📋 Datos Generales'!$E$19</f>
        <v>0</v>
      </c>
      <c r="V389" s="281">
        <f>TABLA_BASE[[#This Row],[ADV UNIT.
(S/.)]]*TABLA_BASE[[#This Row],[CANTIDAD
(unid.)]]</f>
        <v>0</v>
      </c>
      <c r="W389" s="281">
        <f>TABLA_BASE[[#This Row],[IPM UNIT.
(US$)
✅CF]]*'📋 Datos Generales'!$E$19</f>
        <v>0</v>
      </c>
      <c r="X389" s="281">
        <f>TABLA_BASE[[#This Row],[IPM UNIT.
(S/.)]]*TABLA_BASE[[#This Row],[CANTIDAD
(unid.)]]</f>
        <v>0</v>
      </c>
      <c r="Y389" s="281">
        <f>TABLA_BASE[[#This Row],[IGV UNIT.
(US$)
✅CF]]*'📋 Datos Generales'!$E$19</f>
        <v>0</v>
      </c>
      <c r="Z389" s="281">
        <f>TABLA_BASE[[#This Row],[IGV UNIT.
(S/.)]]*TABLA_BASE[[#This Row],[CANTIDAD
(unid.)]]</f>
        <v>0</v>
      </c>
      <c r="AA389" s="281">
        <f>TABLA_BASE[[#This Row],[PERCEP.
UNIT.(US$)
✅CF]]*'📋 Datos Generales'!$E$19</f>
        <v>0</v>
      </c>
      <c r="AB389" s="281">
        <f>TABLA_BASE[[#This Row],[PERCEP.
UNIT.(S/.)]]*TABLA_BASE[[#This Row],[CANTIDAD
(unid.)]]</f>
        <v>0</v>
      </c>
      <c r="AC389" s="279">
        <f>TABLA_BASE[[#This Row],[ADV UNIT.
(US$)
⚠️COSTO]]+TABLA_BASE[[#This Row],[IPM UNIT.
(US$)
✅CF]]+TABLA_BASE[[#This Row],[IGV UNIT.
(US$)
✅CF]]+TABLA_BASE[[#This Row],[PERCEP.
UNIT.(US$)
✅CF]]</f>
        <v>0</v>
      </c>
      <c r="AD389" s="279">
        <f>TABLA_BASE[[#This Row],[TOTAL PAGO
SUNAT
UNIT.(US$)]]*TABLA_BASE[[#This Row],[CANTIDAD
(unid.)]]</f>
        <v>0</v>
      </c>
      <c r="AE389" s="281">
        <f>TABLA_BASE[[#This Row],[TOTAL PAGO
SUNAT
UNIT.(US$)]]*'📋 Datos Generales'!$E$19</f>
        <v>0</v>
      </c>
      <c r="AF389" s="281">
        <f>TABLA_BASE[[#This Row],[TOTAL TRIB.
UNIT.(S/.)]]*TABLA_BASE[[#This Row],[CANTIDAD
(unid.)]]</f>
        <v>0</v>
      </c>
      <c r="AG389" s="279">
        <f>IF('🧾 Factura Comercial'!G393=0,0,'📦 Gastos Importación'!$E$28*(IF('🧾 Tributos Aduana'!$F$6=0,0,'🧾 Factura Comercial'!I393/'🧾 Tributos Aduana'!$F$6))/'🧾 Factura Comercial'!G393)</f>
        <v>0</v>
      </c>
      <c r="AH389" s="279">
        <f>TABLA_BASE[[#This Row],[GASTOS IMP.
UNIT.(US$)]]*TABLA_BASE[[#This Row],[CANTIDAD
(unid.)]]</f>
        <v>0</v>
      </c>
      <c r="AI389" s="281">
        <f>TABLA_BASE[[#This Row],[GASTOS IMP.
UNIT.(US$)]]*'📋 Datos Generales'!$E$19</f>
        <v>0</v>
      </c>
      <c r="AJ389" s="281">
        <f>TABLA_BASE[[#This Row],[GASTOS IMP.
UNIT.(S/.)]]*TABLA_BASE[[#This Row],[CANTIDAD
(unid.)]]</f>
        <v>0</v>
      </c>
      <c r="AK389" s="280">
        <f>'🧮 Costos x Producto'!J393</f>
        <v>0</v>
      </c>
      <c r="AL389" s="278">
        <f>'🧮 Costos x Producto'!K393</f>
        <v>0</v>
      </c>
      <c r="AM389" s="278">
        <f>TABLA_BASE[[#This Row],[C/M UNIT.
(S/.)]]*TABLA_BASE[[#This Row],[CANTIDAD
(unid.)]]</f>
        <v>0</v>
      </c>
      <c r="AN389" s="279">
        <f>IF('🧾 Factura Comercial'!G393=0,0,'🧾 Tributos Aduana'!$F$17*(IF('🧾 Tributos Aduana'!$F$6=0,0,'🧾 Factura Comercial'!I393/'🧾 Tributos Aduana'!$F$6))/'🧾 Factura Comercial'!G393)</f>
        <v>0</v>
      </c>
      <c r="AO389" s="280">
        <f>IF('🧾 Factura Comercial'!G393=0,0,'🏦 Crédito Fiscal'!$C$16*(IF('🧾 Tributos Aduana'!$F$6=0,0,'🧾 Factura Comercial'!I393/'🧾 Tributos Aduana'!$F$6))/'🧾 Factura Comercial'!G393)</f>
        <v>0</v>
      </c>
      <c r="AP389" s="278">
        <f>TABLA_BASE[[#This Row],[CF UNIT.
✅RECUP.
(US$)]]*'📋 Datos Generales'!$E$19</f>
        <v>0</v>
      </c>
      <c r="AQ389" s="278">
        <f>TABLA_BASE[[#This Row],[CF UNIT.
✅RECUP.(S/.)]]*TABLA_BASE[[#This Row],[CANTIDAD
(unid.)]]</f>
        <v>0</v>
      </c>
      <c r="AR389" s="288">
        <f>'💰 Precio de Venta'!G394</f>
        <v>0.4</v>
      </c>
      <c r="AS389" s="278">
        <f>'💰 Precio de Venta'!H394</f>
        <v>0</v>
      </c>
      <c r="AT389" s="278">
        <f>TABLA_BASE[[#This Row],[VALOR VTA.
UNIT.(S/.)]]*TABLA_BASE[[#This Row],[CANTIDAD
(unid.)]]</f>
        <v>0</v>
      </c>
      <c r="AU389" s="281">
        <f>'💰 Precio de Venta'!I394</f>
        <v>0</v>
      </c>
      <c r="AV389" s="278">
        <f>'💰 Precio de Venta'!J394</f>
        <v>0</v>
      </c>
      <c r="AW389" s="278">
        <f>TABLA_BASE[[#This Row],[GANANCIA
UNIT.(S/.)]]*TABLA_BASE[[#This Row],[CANTIDAD
(unid.)]]</f>
        <v>0</v>
      </c>
      <c r="AX389" s="289">
        <f>'💰 Precio de Venta'!K394</f>
        <v>0</v>
      </c>
      <c r="AY389" s="278">
        <f>TABLA_BASE[[#This Row],[GANANCIA
UNIT.(S/.)]]*'🧾 Factura Comercial'!G393</f>
        <v>0</v>
      </c>
      <c r="AZ389" s="277">
        <f>IF(TABLA_BASE[[#This Row],[PRECIO VTA.
c/IGV(S/.)]]=0,0,TABLA_BASE[[#This Row],[GANANCIA
UNIT.(S/.)]]/TABLA_BASE[[#This Row],[PRECIO VTA.
c/IGV(S/.)]])</f>
        <v>0</v>
      </c>
      <c r="BA389" s="277">
        <f>IF(TABLA_BASE[[#This Row],[C/M UNIT.
(S/.)]]=0,0,TABLA_BASE[[#This Row],[GANANCIA
UNIT.(S/.)]]/TABLA_BASE[[#This Row],[C/M UNIT.
(S/.)]])</f>
        <v>0</v>
      </c>
      <c r="BB389" s="274" t="str">
        <f>IF(TABLA_BASE[[#This Row],[MARGEN
%]]&gt;=0.5,"🟢 ALTO",IF(TABLA_BASE[[#This Row],[MARGEN
%]]&gt;=0.3,"🟡 MEDIO","🔴 BAJO"))</f>
        <v>🟡 MEDIO</v>
      </c>
    </row>
    <row r="390" spans="1:54" ht="16.5" hidden="1" thickTop="1" thickBot="1" x14ac:dyDescent="0.3">
      <c r="A390" s="274">
        <f>'🧾 Factura Comercial'!E394</f>
        <v>0</v>
      </c>
      <c r="B390" s="274" t="str">
        <f>'🧾 Factura Comercial'!F394</f>
        <v>Unid.</v>
      </c>
      <c r="C390" s="275">
        <f>'🧾 Factura Comercial'!G394</f>
        <v>0</v>
      </c>
      <c r="D390" s="276">
        <f>'🧾 Factura Comercial'!H394</f>
        <v>0</v>
      </c>
      <c r="E390" s="276">
        <f>'🧾 Factura Comercial'!I394</f>
        <v>0</v>
      </c>
      <c r="F390" s="277">
        <f>IF('🧾 Tributos Aduana'!$F$6=0,0,'🧾 Factura Comercial'!I394/'🧾 Tributos Aduana'!$F$6)</f>
        <v>0</v>
      </c>
      <c r="G390" s="278">
        <f>'🧾 Factura Comercial'!H394*'📋 Datos Generales'!$E$19</f>
        <v>0</v>
      </c>
      <c r="H390" s="278">
        <f>TABLA_BASE[[#This Row],[FOB UNIT.
(S/.)]]*TABLA_BASE[[#This Row],[CANTIDAD
(unid.)]]</f>
        <v>0</v>
      </c>
      <c r="I390" s="280">
        <f>IF('🧾 Tributos Aduana'!$F$6=0,0,'🧾 Tributos Aduana'!$F$17*('🧾 Factura Comercial'!H394/'🧾 Tributos Aduana'!$F$6))</f>
        <v>0</v>
      </c>
      <c r="J390" s="280">
        <f>TABLA_BASE[[#This Row],[ADV UNIT.
(US$)
⚠️COSTO]]*TABLA_BASE[[#This Row],[CANTIDAD
(unid.)]]</f>
        <v>0</v>
      </c>
      <c r="K390" s="279">
        <f>IF('🧾 Tributos Aduana'!$F$6=0,0,'🧾 Tributos Aduana'!$F$18*('🧾 Factura Comercial'!H394/'🧾 Tributos Aduana'!$F$6))</f>
        <v>0</v>
      </c>
      <c r="L390" s="280">
        <f>TABLA_BASE[[#This Row],[IPM UNIT.
(US$)
✅CF]]*TABLA_BASE[[#This Row],[CANTIDAD
(unid.)]]</f>
        <v>0</v>
      </c>
      <c r="M390" s="279">
        <f>IF('🧾 Tributos Aduana'!$F$6=0,0,'🧾 Tributos Aduana'!$F$19*('🧾 Factura Comercial'!H394/'🧾 Tributos Aduana'!$F$6))</f>
        <v>0</v>
      </c>
      <c r="N390" s="280">
        <f>TABLA_BASE[[#This Row],[IGV UNIT.
(US$)
✅CF]]*TABLA_BASE[[#This Row],[CANTIDAD
(unid.)]]</f>
        <v>0</v>
      </c>
      <c r="O390" s="280">
        <f>IF('🧾 Tributos Aduana'!$F$6=0,0,'🧾 Tributos Aduana'!$F$23*('🧾 Factura Comercial'!H394/'🧾 Tributos Aduana'!$F$6))</f>
        <v>0</v>
      </c>
      <c r="P390" s="280">
        <f>TABLA_BASE[[#This Row],[PERCEP.
UNIT.(US$)
✅CF]]*TABLA_BASE[[#This Row],[CANTIDAD
(unid.)]]</f>
        <v>0</v>
      </c>
      <c r="Q390" s="279">
        <f>TABLA_BASE[[#This Row],[ADV UNIT.
(US$)
⚠️COSTO]]+TABLA_BASE[[#This Row],[IPM UNIT.
(US$)
✅CF]]+TABLA_BASE[[#This Row],[IGV UNIT.
(US$)
✅CF]]</f>
        <v>0</v>
      </c>
      <c r="R390" s="280">
        <f>TABLA_BASE[[#This Row],[DEUDA
ADUANERA
UNIT.]]*TABLA_BASE[[#This Row],[CANTIDAD
(unid.)]]</f>
        <v>0</v>
      </c>
      <c r="S390" s="278">
        <f>TABLA_BASE[[#This Row],[DEUDA
ADUANERA
UNIT.]]*'📋 Datos Generales'!$E$19</f>
        <v>0</v>
      </c>
      <c r="T390" s="278">
        <f>TABLA_BASE[[#This Row],[DEUDA
ADUANERA
TOTAL]]*'📋 Datos Generales'!$E$19</f>
        <v>0</v>
      </c>
      <c r="U390" s="281">
        <f>TABLA_BASE[[#This Row],[ADV UNIT.
(US$)
⚠️COSTO]]*'📋 Datos Generales'!$E$19</f>
        <v>0</v>
      </c>
      <c r="V390" s="281">
        <f>TABLA_BASE[[#This Row],[ADV UNIT.
(S/.)]]*TABLA_BASE[[#This Row],[CANTIDAD
(unid.)]]</f>
        <v>0</v>
      </c>
      <c r="W390" s="281">
        <f>TABLA_BASE[[#This Row],[IPM UNIT.
(US$)
✅CF]]*'📋 Datos Generales'!$E$19</f>
        <v>0</v>
      </c>
      <c r="X390" s="281">
        <f>TABLA_BASE[[#This Row],[IPM UNIT.
(S/.)]]*TABLA_BASE[[#This Row],[CANTIDAD
(unid.)]]</f>
        <v>0</v>
      </c>
      <c r="Y390" s="281">
        <f>TABLA_BASE[[#This Row],[IGV UNIT.
(US$)
✅CF]]*'📋 Datos Generales'!$E$19</f>
        <v>0</v>
      </c>
      <c r="Z390" s="281">
        <f>TABLA_BASE[[#This Row],[IGV UNIT.
(S/.)]]*TABLA_BASE[[#This Row],[CANTIDAD
(unid.)]]</f>
        <v>0</v>
      </c>
      <c r="AA390" s="281">
        <f>TABLA_BASE[[#This Row],[PERCEP.
UNIT.(US$)
✅CF]]*'📋 Datos Generales'!$E$19</f>
        <v>0</v>
      </c>
      <c r="AB390" s="281">
        <f>TABLA_BASE[[#This Row],[PERCEP.
UNIT.(S/.)]]*TABLA_BASE[[#This Row],[CANTIDAD
(unid.)]]</f>
        <v>0</v>
      </c>
      <c r="AC390" s="279">
        <f>TABLA_BASE[[#This Row],[ADV UNIT.
(US$)
⚠️COSTO]]+TABLA_BASE[[#This Row],[IPM UNIT.
(US$)
✅CF]]+TABLA_BASE[[#This Row],[IGV UNIT.
(US$)
✅CF]]+TABLA_BASE[[#This Row],[PERCEP.
UNIT.(US$)
✅CF]]</f>
        <v>0</v>
      </c>
      <c r="AD390" s="279">
        <f>TABLA_BASE[[#This Row],[TOTAL PAGO
SUNAT
UNIT.(US$)]]*TABLA_BASE[[#This Row],[CANTIDAD
(unid.)]]</f>
        <v>0</v>
      </c>
      <c r="AE390" s="281">
        <f>TABLA_BASE[[#This Row],[TOTAL PAGO
SUNAT
UNIT.(US$)]]*'📋 Datos Generales'!$E$19</f>
        <v>0</v>
      </c>
      <c r="AF390" s="281">
        <f>TABLA_BASE[[#This Row],[TOTAL TRIB.
UNIT.(S/.)]]*TABLA_BASE[[#This Row],[CANTIDAD
(unid.)]]</f>
        <v>0</v>
      </c>
      <c r="AG390" s="279">
        <f>IF('🧾 Factura Comercial'!G394=0,0,'📦 Gastos Importación'!$E$28*(IF('🧾 Tributos Aduana'!$F$6=0,0,'🧾 Factura Comercial'!I394/'🧾 Tributos Aduana'!$F$6))/'🧾 Factura Comercial'!G394)</f>
        <v>0</v>
      </c>
      <c r="AH390" s="279">
        <f>TABLA_BASE[[#This Row],[GASTOS IMP.
UNIT.(US$)]]*TABLA_BASE[[#This Row],[CANTIDAD
(unid.)]]</f>
        <v>0</v>
      </c>
      <c r="AI390" s="281">
        <f>TABLA_BASE[[#This Row],[GASTOS IMP.
UNIT.(US$)]]*'📋 Datos Generales'!$E$19</f>
        <v>0</v>
      </c>
      <c r="AJ390" s="281">
        <f>TABLA_BASE[[#This Row],[GASTOS IMP.
UNIT.(S/.)]]*TABLA_BASE[[#This Row],[CANTIDAD
(unid.)]]</f>
        <v>0</v>
      </c>
      <c r="AK390" s="280">
        <f>'🧮 Costos x Producto'!J394</f>
        <v>0</v>
      </c>
      <c r="AL390" s="278">
        <f>'🧮 Costos x Producto'!K394</f>
        <v>0</v>
      </c>
      <c r="AM390" s="278">
        <f>TABLA_BASE[[#This Row],[C/M UNIT.
(S/.)]]*TABLA_BASE[[#This Row],[CANTIDAD
(unid.)]]</f>
        <v>0</v>
      </c>
      <c r="AN390" s="279">
        <f>IF('🧾 Factura Comercial'!G394=0,0,'🧾 Tributos Aduana'!$F$17*(IF('🧾 Tributos Aduana'!$F$6=0,0,'🧾 Factura Comercial'!I394/'🧾 Tributos Aduana'!$F$6))/'🧾 Factura Comercial'!G394)</f>
        <v>0</v>
      </c>
      <c r="AO390" s="280">
        <f>IF('🧾 Factura Comercial'!G394=0,0,'🏦 Crédito Fiscal'!$C$16*(IF('🧾 Tributos Aduana'!$F$6=0,0,'🧾 Factura Comercial'!I394/'🧾 Tributos Aduana'!$F$6))/'🧾 Factura Comercial'!G394)</f>
        <v>0</v>
      </c>
      <c r="AP390" s="278">
        <f>TABLA_BASE[[#This Row],[CF UNIT.
✅RECUP.
(US$)]]*'📋 Datos Generales'!$E$19</f>
        <v>0</v>
      </c>
      <c r="AQ390" s="278">
        <f>TABLA_BASE[[#This Row],[CF UNIT.
✅RECUP.(S/.)]]*TABLA_BASE[[#This Row],[CANTIDAD
(unid.)]]</f>
        <v>0</v>
      </c>
      <c r="AR390" s="288">
        <f>'💰 Precio de Venta'!G395</f>
        <v>0.4</v>
      </c>
      <c r="AS390" s="278">
        <f>'💰 Precio de Venta'!H395</f>
        <v>0</v>
      </c>
      <c r="AT390" s="278">
        <f>TABLA_BASE[[#This Row],[VALOR VTA.
UNIT.(S/.)]]*TABLA_BASE[[#This Row],[CANTIDAD
(unid.)]]</f>
        <v>0</v>
      </c>
      <c r="AU390" s="281">
        <f>'💰 Precio de Venta'!I395</f>
        <v>0</v>
      </c>
      <c r="AV390" s="278">
        <f>'💰 Precio de Venta'!J395</f>
        <v>0</v>
      </c>
      <c r="AW390" s="278">
        <f>TABLA_BASE[[#This Row],[GANANCIA
UNIT.(S/.)]]*TABLA_BASE[[#This Row],[CANTIDAD
(unid.)]]</f>
        <v>0</v>
      </c>
      <c r="AX390" s="289">
        <f>'💰 Precio de Venta'!K395</f>
        <v>0</v>
      </c>
      <c r="AY390" s="278">
        <f>TABLA_BASE[[#This Row],[GANANCIA
UNIT.(S/.)]]*'🧾 Factura Comercial'!G394</f>
        <v>0</v>
      </c>
      <c r="AZ390" s="277">
        <f>IF(TABLA_BASE[[#This Row],[PRECIO VTA.
c/IGV(S/.)]]=0,0,TABLA_BASE[[#This Row],[GANANCIA
UNIT.(S/.)]]/TABLA_BASE[[#This Row],[PRECIO VTA.
c/IGV(S/.)]])</f>
        <v>0</v>
      </c>
      <c r="BA390" s="277">
        <f>IF(TABLA_BASE[[#This Row],[C/M UNIT.
(S/.)]]=0,0,TABLA_BASE[[#This Row],[GANANCIA
UNIT.(S/.)]]/TABLA_BASE[[#This Row],[C/M UNIT.
(S/.)]])</f>
        <v>0</v>
      </c>
      <c r="BB390" s="274" t="str">
        <f>IF(TABLA_BASE[[#This Row],[MARGEN
%]]&gt;=0.5,"🟢 ALTO",IF(TABLA_BASE[[#This Row],[MARGEN
%]]&gt;=0.3,"🟡 MEDIO","🔴 BAJO"))</f>
        <v>🟡 MEDIO</v>
      </c>
    </row>
    <row r="391" spans="1:54" ht="16.5" hidden="1" thickTop="1" thickBot="1" x14ac:dyDescent="0.3">
      <c r="A391" s="274">
        <f>'🧾 Factura Comercial'!E395</f>
        <v>0</v>
      </c>
      <c r="B391" s="274" t="str">
        <f>'🧾 Factura Comercial'!F395</f>
        <v>Unid.</v>
      </c>
      <c r="C391" s="275">
        <f>'🧾 Factura Comercial'!G395</f>
        <v>0</v>
      </c>
      <c r="D391" s="276">
        <f>'🧾 Factura Comercial'!H395</f>
        <v>0</v>
      </c>
      <c r="E391" s="276">
        <f>'🧾 Factura Comercial'!I395</f>
        <v>0</v>
      </c>
      <c r="F391" s="277">
        <f>IF('🧾 Tributos Aduana'!$F$6=0,0,'🧾 Factura Comercial'!I395/'🧾 Tributos Aduana'!$F$6)</f>
        <v>0</v>
      </c>
      <c r="G391" s="278">
        <f>'🧾 Factura Comercial'!H395*'📋 Datos Generales'!$E$19</f>
        <v>0</v>
      </c>
      <c r="H391" s="278">
        <f>TABLA_BASE[[#This Row],[FOB UNIT.
(S/.)]]*TABLA_BASE[[#This Row],[CANTIDAD
(unid.)]]</f>
        <v>0</v>
      </c>
      <c r="I391" s="280">
        <f>IF('🧾 Tributos Aduana'!$F$6=0,0,'🧾 Tributos Aduana'!$F$17*('🧾 Factura Comercial'!H395/'🧾 Tributos Aduana'!$F$6))</f>
        <v>0</v>
      </c>
      <c r="J391" s="280">
        <f>TABLA_BASE[[#This Row],[ADV UNIT.
(US$)
⚠️COSTO]]*TABLA_BASE[[#This Row],[CANTIDAD
(unid.)]]</f>
        <v>0</v>
      </c>
      <c r="K391" s="279">
        <f>IF('🧾 Tributos Aduana'!$F$6=0,0,'🧾 Tributos Aduana'!$F$18*('🧾 Factura Comercial'!H395/'🧾 Tributos Aduana'!$F$6))</f>
        <v>0</v>
      </c>
      <c r="L391" s="280">
        <f>TABLA_BASE[[#This Row],[IPM UNIT.
(US$)
✅CF]]*TABLA_BASE[[#This Row],[CANTIDAD
(unid.)]]</f>
        <v>0</v>
      </c>
      <c r="M391" s="279">
        <f>IF('🧾 Tributos Aduana'!$F$6=0,0,'🧾 Tributos Aduana'!$F$19*('🧾 Factura Comercial'!H395/'🧾 Tributos Aduana'!$F$6))</f>
        <v>0</v>
      </c>
      <c r="N391" s="280">
        <f>TABLA_BASE[[#This Row],[IGV UNIT.
(US$)
✅CF]]*TABLA_BASE[[#This Row],[CANTIDAD
(unid.)]]</f>
        <v>0</v>
      </c>
      <c r="O391" s="280">
        <f>IF('🧾 Tributos Aduana'!$F$6=0,0,'🧾 Tributos Aduana'!$F$23*('🧾 Factura Comercial'!H395/'🧾 Tributos Aduana'!$F$6))</f>
        <v>0</v>
      </c>
      <c r="P391" s="280">
        <f>TABLA_BASE[[#This Row],[PERCEP.
UNIT.(US$)
✅CF]]*TABLA_BASE[[#This Row],[CANTIDAD
(unid.)]]</f>
        <v>0</v>
      </c>
      <c r="Q391" s="279">
        <f>TABLA_BASE[[#This Row],[ADV UNIT.
(US$)
⚠️COSTO]]+TABLA_BASE[[#This Row],[IPM UNIT.
(US$)
✅CF]]+TABLA_BASE[[#This Row],[IGV UNIT.
(US$)
✅CF]]</f>
        <v>0</v>
      </c>
      <c r="R391" s="280">
        <f>TABLA_BASE[[#This Row],[DEUDA
ADUANERA
UNIT.]]*TABLA_BASE[[#This Row],[CANTIDAD
(unid.)]]</f>
        <v>0</v>
      </c>
      <c r="S391" s="278">
        <f>TABLA_BASE[[#This Row],[DEUDA
ADUANERA
UNIT.]]*'📋 Datos Generales'!$E$19</f>
        <v>0</v>
      </c>
      <c r="T391" s="278">
        <f>TABLA_BASE[[#This Row],[DEUDA
ADUANERA
TOTAL]]*'📋 Datos Generales'!$E$19</f>
        <v>0</v>
      </c>
      <c r="U391" s="281">
        <f>TABLA_BASE[[#This Row],[ADV UNIT.
(US$)
⚠️COSTO]]*'📋 Datos Generales'!$E$19</f>
        <v>0</v>
      </c>
      <c r="V391" s="281">
        <f>TABLA_BASE[[#This Row],[ADV UNIT.
(S/.)]]*TABLA_BASE[[#This Row],[CANTIDAD
(unid.)]]</f>
        <v>0</v>
      </c>
      <c r="W391" s="281">
        <f>TABLA_BASE[[#This Row],[IPM UNIT.
(US$)
✅CF]]*'📋 Datos Generales'!$E$19</f>
        <v>0</v>
      </c>
      <c r="X391" s="281">
        <f>TABLA_BASE[[#This Row],[IPM UNIT.
(S/.)]]*TABLA_BASE[[#This Row],[CANTIDAD
(unid.)]]</f>
        <v>0</v>
      </c>
      <c r="Y391" s="281">
        <f>TABLA_BASE[[#This Row],[IGV UNIT.
(US$)
✅CF]]*'📋 Datos Generales'!$E$19</f>
        <v>0</v>
      </c>
      <c r="Z391" s="281">
        <f>TABLA_BASE[[#This Row],[IGV UNIT.
(S/.)]]*TABLA_BASE[[#This Row],[CANTIDAD
(unid.)]]</f>
        <v>0</v>
      </c>
      <c r="AA391" s="281">
        <f>TABLA_BASE[[#This Row],[PERCEP.
UNIT.(US$)
✅CF]]*'📋 Datos Generales'!$E$19</f>
        <v>0</v>
      </c>
      <c r="AB391" s="281">
        <f>TABLA_BASE[[#This Row],[PERCEP.
UNIT.(S/.)]]*TABLA_BASE[[#This Row],[CANTIDAD
(unid.)]]</f>
        <v>0</v>
      </c>
      <c r="AC391" s="279">
        <f>TABLA_BASE[[#This Row],[ADV UNIT.
(US$)
⚠️COSTO]]+TABLA_BASE[[#This Row],[IPM UNIT.
(US$)
✅CF]]+TABLA_BASE[[#This Row],[IGV UNIT.
(US$)
✅CF]]+TABLA_BASE[[#This Row],[PERCEP.
UNIT.(US$)
✅CF]]</f>
        <v>0</v>
      </c>
      <c r="AD391" s="279">
        <f>TABLA_BASE[[#This Row],[TOTAL PAGO
SUNAT
UNIT.(US$)]]*TABLA_BASE[[#This Row],[CANTIDAD
(unid.)]]</f>
        <v>0</v>
      </c>
      <c r="AE391" s="281">
        <f>TABLA_BASE[[#This Row],[TOTAL PAGO
SUNAT
UNIT.(US$)]]*'📋 Datos Generales'!$E$19</f>
        <v>0</v>
      </c>
      <c r="AF391" s="281">
        <f>TABLA_BASE[[#This Row],[TOTAL TRIB.
UNIT.(S/.)]]*TABLA_BASE[[#This Row],[CANTIDAD
(unid.)]]</f>
        <v>0</v>
      </c>
      <c r="AG391" s="279">
        <f>IF('🧾 Factura Comercial'!G395=0,0,'📦 Gastos Importación'!$E$28*(IF('🧾 Tributos Aduana'!$F$6=0,0,'🧾 Factura Comercial'!I395/'🧾 Tributos Aduana'!$F$6))/'🧾 Factura Comercial'!G395)</f>
        <v>0</v>
      </c>
      <c r="AH391" s="279">
        <f>TABLA_BASE[[#This Row],[GASTOS IMP.
UNIT.(US$)]]*TABLA_BASE[[#This Row],[CANTIDAD
(unid.)]]</f>
        <v>0</v>
      </c>
      <c r="AI391" s="281">
        <f>TABLA_BASE[[#This Row],[GASTOS IMP.
UNIT.(US$)]]*'📋 Datos Generales'!$E$19</f>
        <v>0</v>
      </c>
      <c r="AJ391" s="281">
        <f>TABLA_BASE[[#This Row],[GASTOS IMP.
UNIT.(S/.)]]*TABLA_BASE[[#This Row],[CANTIDAD
(unid.)]]</f>
        <v>0</v>
      </c>
      <c r="AK391" s="280">
        <f>'🧮 Costos x Producto'!J395</f>
        <v>0</v>
      </c>
      <c r="AL391" s="278">
        <f>'🧮 Costos x Producto'!K395</f>
        <v>0</v>
      </c>
      <c r="AM391" s="278">
        <f>TABLA_BASE[[#This Row],[C/M UNIT.
(S/.)]]*TABLA_BASE[[#This Row],[CANTIDAD
(unid.)]]</f>
        <v>0</v>
      </c>
      <c r="AN391" s="279">
        <f>IF('🧾 Factura Comercial'!G395=0,0,'🧾 Tributos Aduana'!$F$17*(IF('🧾 Tributos Aduana'!$F$6=0,0,'🧾 Factura Comercial'!I395/'🧾 Tributos Aduana'!$F$6))/'🧾 Factura Comercial'!G395)</f>
        <v>0</v>
      </c>
      <c r="AO391" s="280">
        <f>IF('🧾 Factura Comercial'!G395=0,0,'🏦 Crédito Fiscal'!$C$16*(IF('🧾 Tributos Aduana'!$F$6=0,0,'🧾 Factura Comercial'!I395/'🧾 Tributos Aduana'!$F$6))/'🧾 Factura Comercial'!G395)</f>
        <v>0</v>
      </c>
      <c r="AP391" s="278">
        <f>TABLA_BASE[[#This Row],[CF UNIT.
✅RECUP.
(US$)]]*'📋 Datos Generales'!$E$19</f>
        <v>0</v>
      </c>
      <c r="AQ391" s="278">
        <f>TABLA_BASE[[#This Row],[CF UNIT.
✅RECUP.(S/.)]]*TABLA_BASE[[#This Row],[CANTIDAD
(unid.)]]</f>
        <v>0</v>
      </c>
      <c r="AR391" s="288">
        <f>'💰 Precio de Venta'!G396</f>
        <v>0.4</v>
      </c>
      <c r="AS391" s="278">
        <f>'💰 Precio de Venta'!H396</f>
        <v>0</v>
      </c>
      <c r="AT391" s="278">
        <f>TABLA_BASE[[#This Row],[VALOR VTA.
UNIT.(S/.)]]*TABLA_BASE[[#This Row],[CANTIDAD
(unid.)]]</f>
        <v>0</v>
      </c>
      <c r="AU391" s="281">
        <f>'💰 Precio de Venta'!I396</f>
        <v>0</v>
      </c>
      <c r="AV391" s="278">
        <f>'💰 Precio de Venta'!J396</f>
        <v>0</v>
      </c>
      <c r="AW391" s="278">
        <f>TABLA_BASE[[#This Row],[GANANCIA
UNIT.(S/.)]]*TABLA_BASE[[#This Row],[CANTIDAD
(unid.)]]</f>
        <v>0</v>
      </c>
      <c r="AX391" s="289">
        <f>'💰 Precio de Venta'!K396</f>
        <v>0</v>
      </c>
      <c r="AY391" s="278">
        <f>TABLA_BASE[[#This Row],[GANANCIA
UNIT.(S/.)]]*'🧾 Factura Comercial'!G395</f>
        <v>0</v>
      </c>
      <c r="AZ391" s="277">
        <f>IF(TABLA_BASE[[#This Row],[PRECIO VTA.
c/IGV(S/.)]]=0,0,TABLA_BASE[[#This Row],[GANANCIA
UNIT.(S/.)]]/TABLA_BASE[[#This Row],[PRECIO VTA.
c/IGV(S/.)]])</f>
        <v>0</v>
      </c>
      <c r="BA391" s="277">
        <f>IF(TABLA_BASE[[#This Row],[C/M UNIT.
(S/.)]]=0,0,TABLA_BASE[[#This Row],[GANANCIA
UNIT.(S/.)]]/TABLA_BASE[[#This Row],[C/M UNIT.
(S/.)]])</f>
        <v>0</v>
      </c>
      <c r="BB391" s="274" t="str">
        <f>IF(TABLA_BASE[[#This Row],[MARGEN
%]]&gt;=0.5,"🟢 ALTO",IF(TABLA_BASE[[#This Row],[MARGEN
%]]&gt;=0.3,"🟡 MEDIO","🔴 BAJO"))</f>
        <v>🟡 MEDIO</v>
      </c>
    </row>
    <row r="392" spans="1:54" ht="16.5" hidden="1" thickTop="1" thickBot="1" x14ac:dyDescent="0.3">
      <c r="A392" s="274">
        <f>'🧾 Factura Comercial'!E396</f>
        <v>0</v>
      </c>
      <c r="B392" s="274" t="str">
        <f>'🧾 Factura Comercial'!F396</f>
        <v>Unid.</v>
      </c>
      <c r="C392" s="275">
        <f>'🧾 Factura Comercial'!G396</f>
        <v>0</v>
      </c>
      <c r="D392" s="276">
        <f>'🧾 Factura Comercial'!H396</f>
        <v>0</v>
      </c>
      <c r="E392" s="276">
        <f>'🧾 Factura Comercial'!I396</f>
        <v>0</v>
      </c>
      <c r="F392" s="277">
        <f>IF('🧾 Tributos Aduana'!$F$6=0,0,'🧾 Factura Comercial'!I396/'🧾 Tributos Aduana'!$F$6)</f>
        <v>0</v>
      </c>
      <c r="G392" s="278">
        <f>'🧾 Factura Comercial'!H396*'📋 Datos Generales'!$E$19</f>
        <v>0</v>
      </c>
      <c r="H392" s="278">
        <f>TABLA_BASE[[#This Row],[FOB UNIT.
(S/.)]]*TABLA_BASE[[#This Row],[CANTIDAD
(unid.)]]</f>
        <v>0</v>
      </c>
      <c r="I392" s="280">
        <f>IF('🧾 Tributos Aduana'!$F$6=0,0,'🧾 Tributos Aduana'!$F$17*('🧾 Factura Comercial'!H396/'🧾 Tributos Aduana'!$F$6))</f>
        <v>0</v>
      </c>
      <c r="J392" s="280">
        <f>TABLA_BASE[[#This Row],[ADV UNIT.
(US$)
⚠️COSTO]]*TABLA_BASE[[#This Row],[CANTIDAD
(unid.)]]</f>
        <v>0</v>
      </c>
      <c r="K392" s="279">
        <f>IF('🧾 Tributos Aduana'!$F$6=0,0,'🧾 Tributos Aduana'!$F$18*('🧾 Factura Comercial'!H396/'🧾 Tributos Aduana'!$F$6))</f>
        <v>0</v>
      </c>
      <c r="L392" s="280">
        <f>TABLA_BASE[[#This Row],[IPM UNIT.
(US$)
✅CF]]*TABLA_BASE[[#This Row],[CANTIDAD
(unid.)]]</f>
        <v>0</v>
      </c>
      <c r="M392" s="279">
        <f>IF('🧾 Tributos Aduana'!$F$6=0,0,'🧾 Tributos Aduana'!$F$19*('🧾 Factura Comercial'!H396/'🧾 Tributos Aduana'!$F$6))</f>
        <v>0</v>
      </c>
      <c r="N392" s="280">
        <f>TABLA_BASE[[#This Row],[IGV UNIT.
(US$)
✅CF]]*TABLA_BASE[[#This Row],[CANTIDAD
(unid.)]]</f>
        <v>0</v>
      </c>
      <c r="O392" s="280">
        <f>IF('🧾 Tributos Aduana'!$F$6=0,0,'🧾 Tributos Aduana'!$F$23*('🧾 Factura Comercial'!H396/'🧾 Tributos Aduana'!$F$6))</f>
        <v>0</v>
      </c>
      <c r="P392" s="280">
        <f>TABLA_BASE[[#This Row],[PERCEP.
UNIT.(US$)
✅CF]]*TABLA_BASE[[#This Row],[CANTIDAD
(unid.)]]</f>
        <v>0</v>
      </c>
      <c r="Q392" s="279">
        <f>TABLA_BASE[[#This Row],[ADV UNIT.
(US$)
⚠️COSTO]]+TABLA_BASE[[#This Row],[IPM UNIT.
(US$)
✅CF]]+TABLA_BASE[[#This Row],[IGV UNIT.
(US$)
✅CF]]</f>
        <v>0</v>
      </c>
      <c r="R392" s="280">
        <f>TABLA_BASE[[#This Row],[DEUDA
ADUANERA
UNIT.]]*TABLA_BASE[[#This Row],[CANTIDAD
(unid.)]]</f>
        <v>0</v>
      </c>
      <c r="S392" s="278">
        <f>TABLA_BASE[[#This Row],[DEUDA
ADUANERA
UNIT.]]*'📋 Datos Generales'!$E$19</f>
        <v>0</v>
      </c>
      <c r="T392" s="278">
        <f>TABLA_BASE[[#This Row],[DEUDA
ADUANERA
TOTAL]]*'📋 Datos Generales'!$E$19</f>
        <v>0</v>
      </c>
      <c r="U392" s="281">
        <f>TABLA_BASE[[#This Row],[ADV UNIT.
(US$)
⚠️COSTO]]*'📋 Datos Generales'!$E$19</f>
        <v>0</v>
      </c>
      <c r="V392" s="281">
        <f>TABLA_BASE[[#This Row],[ADV UNIT.
(S/.)]]*TABLA_BASE[[#This Row],[CANTIDAD
(unid.)]]</f>
        <v>0</v>
      </c>
      <c r="W392" s="281">
        <f>TABLA_BASE[[#This Row],[IPM UNIT.
(US$)
✅CF]]*'📋 Datos Generales'!$E$19</f>
        <v>0</v>
      </c>
      <c r="X392" s="281">
        <f>TABLA_BASE[[#This Row],[IPM UNIT.
(S/.)]]*TABLA_BASE[[#This Row],[CANTIDAD
(unid.)]]</f>
        <v>0</v>
      </c>
      <c r="Y392" s="281">
        <f>TABLA_BASE[[#This Row],[IGV UNIT.
(US$)
✅CF]]*'📋 Datos Generales'!$E$19</f>
        <v>0</v>
      </c>
      <c r="Z392" s="281">
        <f>TABLA_BASE[[#This Row],[IGV UNIT.
(S/.)]]*TABLA_BASE[[#This Row],[CANTIDAD
(unid.)]]</f>
        <v>0</v>
      </c>
      <c r="AA392" s="281">
        <f>TABLA_BASE[[#This Row],[PERCEP.
UNIT.(US$)
✅CF]]*'📋 Datos Generales'!$E$19</f>
        <v>0</v>
      </c>
      <c r="AB392" s="281">
        <f>TABLA_BASE[[#This Row],[PERCEP.
UNIT.(S/.)]]*TABLA_BASE[[#This Row],[CANTIDAD
(unid.)]]</f>
        <v>0</v>
      </c>
      <c r="AC392" s="279">
        <f>TABLA_BASE[[#This Row],[ADV UNIT.
(US$)
⚠️COSTO]]+TABLA_BASE[[#This Row],[IPM UNIT.
(US$)
✅CF]]+TABLA_BASE[[#This Row],[IGV UNIT.
(US$)
✅CF]]+TABLA_BASE[[#This Row],[PERCEP.
UNIT.(US$)
✅CF]]</f>
        <v>0</v>
      </c>
      <c r="AD392" s="279">
        <f>TABLA_BASE[[#This Row],[TOTAL PAGO
SUNAT
UNIT.(US$)]]*TABLA_BASE[[#This Row],[CANTIDAD
(unid.)]]</f>
        <v>0</v>
      </c>
      <c r="AE392" s="281">
        <f>TABLA_BASE[[#This Row],[TOTAL PAGO
SUNAT
UNIT.(US$)]]*'📋 Datos Generales'!$E$19</f>
        <v>0</v>
      </c>
      <c r="AF392" s="281">
        <f>TABLA_BASE[[#This Row],[TOTAL TRIB.
UNIT.(S/.)]]*TABLA_BASE[[#This Row],[CANTIDAD
(unid.)]]</f>
        <v>0</v>
      </c>
      <c r="AG392" s="279">
        <f>IF('🧾 Factura Comercial'!G396=0,0,'📦 Gastos Importación'!$E$28*(IF('🧾 Tributos Aduana'!$F$6=0,0,'🧾 Factura Comercial'!I396/'🧾 Tributos Aduana'!$F$6))/'🧾 Factura Comercial'!G396)</f>
        <v>0</v>
      </c>
      <c r="AH392" s="279">
        <f>TABLA_BASE[[#This Row],[GASTOS IMP.
UNIT.(US$)]]*TABLA_BASE[[#This Row],[CANTIDAD
(unid.)]]</f>
        <v>0</v>
      </c>
      <c r="AI392" s="281">
        <f>TABLA_BASE[[#This Row],[GASTOS IMP.
UNIT.(US$)]]*'📋 Datos Generales'!$E$19</f>
        <v>0</v>
      </c>
      <c r="AJ392" s="281">
        <f>TABLA_BASE[[#This Row],[GASTOS IMP.
UNIT.(S/.)]]*TABLA_BASE[[#This Row],[CANTIDAD
(unid.)]]</f>
        <v>0</v>
      </c>
      <c r="AK392" s="280">
        <f>'🧮 Costos x Producto'!J396</f>
        <v>0</v>
      </c>
      <c r="AL392" s="278">
        <f>'🧮 Costos x Producto'!K396</f>
        <v>0</v>
      </c>
      <c r="AM392" s="278">
        <f>TABLA_BASE[[#This Row],[C/M UNIT.
(S/.)]]*TABLA_BASE[[#This Row],[CANTIDAD
(unid.)]]</f>
        <v>0</v>
      </c>
      <c r="AN392" s="279">
        <f>IF('🧾 Factura Comercial'!G396=0,0,'🧾 Tributos Aduana'!$F$17*(IF('🧾 Tributos Aduana'!$F$6=0,0,'🧾 Factura Comercial'!I396/'🧾 Tributos Aduana'!$F$6))/'🧾 Factura Comercial'!G396)</f>
        <v>0</v>
      </c>
      <c r="AO392" s="280">
        <f>IF('🧾 Factura Comercial'!G396=0,0,'🏦 Crédito Fiscal'!$C$16*(IF('🧾 Tributos Aduana'!$F$6=0,0,'🧾 Factura Comercial'!I396/'🧾 Tributos Aduana'!$F$6))/'🧾 Factura Comercial'!G396)</f>
        <v>0</v>
      </c>
      <c r="AP392" s="278">
        <f>TABLA_BASE[[#This Row],[CF UNIT.
✅RECUP.
(US$)]]*'📋 Datos Generales'!$E$19</f>
        <v>0</v>
      </c>
      <c r="AQ392" s="278">
        <f>TABLA_BASE[[#This Row],[CF UNIT.
✅RECUP.(S/.)]]*TABLA_BASE[[#This Row],[CANTIDAD
(unid.)]]</f>
        <v>0</v>
      </c>
      <c r="AR392" s="288">
        <f>'💰 Precio de Venta'!G397</f>
        <v>0.4</v>
      </c>
      <c r="AS392" s="278">
        <f>'💰 Precio de Venta'!H397</f>
        <v>0</v>
      </c>
      <c r="AT392" s="278">
        <f>TABLA_BASE[[#This Row],[VALOR VTA.
UNIT.(S/.)]]*TABLA_BASE[[#This Row],[CANTIDAD
(unid.)]]</f>
        <v>0</v>
      </c>
      <c r="AU392" s="281">
        <f>'💰 Precio de Venta'!I397</f>
        <v>0</v>
      </c>
      <c r="AV392" s="278">
        <f>'💰 Precio de Venta'!J397</f>
        <v>0</v>
      </c>
      <c r="AW392" s="278">
        <f>TABLA_BASE[[#This Row],[GANANCIA
UNIT.(S/.)]]*TABLA_BASE[[#This Row],[CANTIDAD
(unid.)]]</f>
        <v>0</v>
      </c>
      <c r="AX392" s="289">
        <f>'💰 Precio de Venta'!K397</f>
        <v>0</v>
      </c>
      <c r="AY392" s="278">
        <f>TABLA_BASE[[#This Row],[GANANCIA
UNIT.(S/.)]]*'🧾 Factura Comercial'!G396</f>
        <v>0</v>
      </c>
      <c r="AZ392" s="277">
        <f>IF(TABLA_BASE[[#This Row],[PRECIO VTA.
c/IGV(S/.)]]=0,0,TABLA_BASE[[#This Row],[GANANCIA
UNIT.(S/.)]]/TABLA_BASE[[#This Row],[PRECIO VTA.
c/IGV(S/.)]])</f>
        <v>0</v>
      </c>
      <c r="BA392" s="277">
        <f>IF(TABLA_BASE[[#This Row],[C/M UNIT.
(S/.)]]=0,0,TABLA_BASE[[#This Row],[GANANCIA
UNIT.(S/.)]]/TABLA_BASE[[#This Row],[C/M UNIT.
(S/.)]])</f>
        <v>0</v>
      </c>
      <c r="BB392" s="274" t="str">
        <f>IF(TABLA_BASE[[#This Row],[MARGEN
%]]&gt;=0.5,"🟢 ALTO",IF(TABLA_BASE[[#This Row],[MARGEN
%]]&gt;=0.3,"🟡 MEDIO","🔴 BAJO"))</f>
        <v>🟡 MEDIO</v>
      </c>
    </row>
    <row r="393" spans="1:54" ht="16.5" hidden="1" thickTop="1" thickBot="1" x14ac:dyDescent="0.3">
      <c r="A393" s="274">
        <f>'🧾 Factura Comercial'!E397</f>
        <v>0</v>
      </c>
      <c r="B393" s="274" t="str">
        <f>'🧾 Factura Comercial'!F397</f>
        <v>Unid.</v>
      </c>
      <c r="C393" s="275">
        <f>'🧾 Factura Comercial'!G397</f>
        <v>0</v>
      </c>
      <c r="D393" s="276">
        <f>'🧾 Factura Comercial'!H397</f>
        <v>0</v>
      </c>
      <c r="E393" s="276">
        <f>'🧾 Factura Comercial'!I397</f>
        <v>0</v>
      </c>
      <c r="F393" s="277">
        <f>IF('🧾 Tributos Aduana'!$F$6=0,0,'🧾 Factura Comercial'!I397/'🧾 Tributos Aduana'!$F$6)</f>
        <v>0</v>
      </c>
      <c r="G393" s="278">
        <f>'🧾 Factura Comercial'!H397*'📋 Datos Generales'!$E$19</f>
        <v>0</v>
      </c>
      <c r="H393" s="278">
        <f>TABLA_BASE[[#This Row],[FOB UNIT.
(S/.)]]*TABLA_BASE[[#This Row],[CANTIDAD
(unid.)]]</f>
        <v>0</v>
      </c>
      <c r="I393" s="280">
        <f>IF('🧾 Tributos Aduana'!$F$6=0,0,'🧾 Tributos Aduana'!$F$17*('🧾 Factura Comercial'!H397/'🧾 Tributos Aduana'!$F$6))</f>
        <v>0</v>
      </c>
      <c r="J393" s="280">
        <f>TABLA_BASE[[#This Row],[ADV UNIT.
(US$)
⚠️COSTO]]*TABLA_BASE[[#This Row],[CANTIDAD
(unid.)]]</f>
        <v>0</v>
      </c>
      <c r="K393" s="279">
        <f>IF('🧾 Tributos Aduana'!$F$6=0,0,'🧾 Tributos Aduana'!$F$18*('🧾 Factura Comercial'!H397/'🧾 Tributos Aduana'!$F$6))</f>
        <v>0</v>
      </c>
      <c r="L393" s="280">
        <f>TABLA_BASE[[#This Row],[IPM UNIT.
(US$)
✅CF]]*TABLA_BASE[[#This Row],[CANTIDAD
(unid.)]]</f>
        <v>0</v>
      </c>
      <c r="M393" s="279">
        <f>IF('🧾 Tributos Aduana'!$F$6=0,0,'🧾 Tributos Aduana'!$F$19*('🧾 Factura Comercial'!H397/'🧾 Tributos Aduana'!$F$6))</f>
        <v>0</v>
      </c>
      <c r="N393" s="280">
        <f>TABLA_BASE[[#This Row],[IGV UNIT.
(US$)
✅CF]]*TABLA_BASE[[#This Row],[CANTIDAD
(unid.)]]</f>
        <v>0</v>
      </c>
      <c r="O393" s="280">
        <f>IF('🧾 Tributos Aduana'!$F$6=0,0,'🧾 Tributos Aduana'!$F$23*('🧾 Factura Comercial'!H397/'🧾 Tributos Aduana'!$F$6))</f>
        <v>0</v>
      </c>
      <c r="P393" s="280">
        <f>TABLA_BASE[[#This Row],[PERCEP.
UNIT.(US$)
✅CF]]*TABLA_BASE[[#This Row],[CANTIDAD
(unid.)]]</f>
        <v>0</v>
      </c>
      <c r="Q393" s="279">
        <f>TABLA_BASE[[#This Row],[ADV UNIT.
(US$)
⚠️COSTO]]+TABLA_BASE[[#This Row],[IPM UNIT.
(US$)
✅CF]]+TABLA_BASE[[#This Row],[IGV UNIT.
(US$)
✅CF]]</f>
        <v>0</v>
      </c>
      <c r="R393" s="280">
        <f>TABLA_BASE[[#This Row],[DEUDA
ADUANERA
UNIT.]]*TABLA_BASE[[#This Row],[CANTIDAD
(unid.)]]</f>
        <v>0</v>
      </c>
      <c r="S393" s="278">
        <f>TABLA_BASE[[#This Row],[DEUDA
ADUANERA
UNIT.]]*'📋 Datos Generales'!$E$19</f>
        <v>0</v>
      </c>
      <c r="T393" s="278">
        <f>TABLA_BASE[[#This Row],[DEUDA
ADUANERA
TOTAL]]*'📋 Datos Generales'!$E$19</f>
        <v>0</v>
      </c>
      <c r="U393" s="281">
        <f>TABLA_BASE[[#This Row],[ADV UNIT.
(US$)
⚠️COSTO]]*'📋 Datos Generales'!$E$19</f>
        <v>0</v>
      </c>
      <c r="V393" s="281">
        <f>TABLA_BASE[[#This Row],[ADV UNIT.
(S/.)]]*TABLA_BASE[[#This Row],[CANTIDAD
(unid.)]]</f>
        <v>0</v>
      </c>
      <c r="W393" s="281">
        <f>TABLA_BASE[[#This Row],[IPM UNIT.
(US$)
✅CF]]*'📋 Datos Generales'!$E$19</f>
        <v>0</v>
      </c>
      <c r="X393" s="281">
        <f>TABLA_BASE[[#This Row],[IPM UNIT.
(S/.)]]*TABLA_BASE[[#This Row],[CANTIDAD
(unid.)]]</f>
        <v>0</v>
      </c>
      <c r="Y393" s="281">
        <f>TABLA_BASE[[#This Row],[IGV UNIT.
(US$)
✅CF]]*'📋 Datos Generales'!$E$19</f>
        <v>0</v>
      </c>
      <c r="Z393" s="281">
        <f>TABLA_BASE[[#This Row],[IGV UNIT.
(S/.)]]*TABLA_BASE[[#This Row],[CANTIDAD
(unid.)]]</f>
        <v>0</v>
      </c>
      <c r="AA393" s="281">
        <f>TABLA_BASE[[#This Row],[PERCEP.
UNIT.(US$)
✅CF]]*'📋 Datos Generales'!$E$19</f>
        <v>0</v>
      </c>
      <c r="AB393" s="281">
        <f>TABLA_BASE[[#This Row],[PERCEP.
UNIT.(S/.)]]*TABLA_BASE[[#This Row],[CANTIDAD
(unid.)]]</f>
        <v>0</v>
      </c>
      <c r="AC393" s="279">
        <f>TABLA_BASE[[#This Row],[ADV UNIT.
(US$)
⚠️COSTO]]+TABLA_BASE[[#This Row],[IPM UNIT.
(US$)
✅CF]]+TABLA_BASE[[#This Row],[IGV UNIT.
(US$)
✅CF]]+TABLA_BASE[[#This Row],[PERCEP.
UNIT.(US$)
✅CF]]</f>
        <v>0</v>
      </c>
      <c r="AD393" s="279">
        <f>TABLA_BASE[[#This Row],[TOTAL PAGO
SUNAT
UNIT.(US$)]]*TABLA_BASE[[#This Row],[CANTIDAD
(unid.)]]</f>
        <v>0</v>
      </c>
      <c r="AE393" s="281">
        <f>TABLA_BASE[[#This Row],[TOTAL PAGO
SUNAT
UNIT.(US$)]]*'📋 Datos Generales'!$E$19</f>
        <v>0</v>
      </c>
      <c r="AF393" s="281">
        <f>TABLA_BASE[[#This Row],[TOTAL TRIB.
UNIT.(S/.)]]*TABLA_BASE[[#This Row],[CANTIDAD
(unid.)]]</f>
        <v>0</v>
      </c>
      <c r="AG393" s="279">
        <f>IF('🧾 Factura Comercial'!G397=0,0,'📦 Gastos Importación'!$E$28*(IF('🧾 Tributos Aduana'!$F$6=0,0,'🧾 Factura Comercial'!I397/'🧾 Tributos Aduana'!$F$6))/'🧾 Factura Comercial'!G397)</f>
        <v>0</v>
      </c>
      <c r="AH393" s="279">
        <f>TABLA_BASE[[#This Row],[GASTOS IMP.
UNIT.(US$)]]*TABLA_BASE[[#This Row],[CANTIDAD
(unid.)]]</f>
        <v>0</v>
      </c>
      <c r="AI393" s="281">
        <f>TABLA_BASE[[#This Row],[GASTOS IMP.
UNIT.(US$)]]*'📋 Datos Generales'!$E$19</f>
        <v>0</v>
      </c>
      <c r="AJ393" s="281">
        <f>TABLA_BASE[[#This Row],[GASTOS IMP.
UNIT.(S/.)]]*TABLA_BASE[[#This Row],[CANTIDAD
(unid.)]]</f>
        <v>0</v>
      </c>
      <c r="AK393" s="280">
        <f>'🧮 Costos x Producto'!J397</f>
        <v>0</v>
      </c>
      <c r="AL393" s="278">
        <f>'🧮 Costos x Producto'!K397</f>
        <v>0</v>
      </c>
      <c r="AM393" s="278">
        <f>TABLA_BASE[[#This Row],[C/M UNIT.
(S/.)]]*TABLA_BASE[[#This Row],[CANTIDAD
(unid.)]]</f>
        <v>0</v>
      </c>
      <c r="AN393" s="279">
        <f>IF('🧾 Factura Comercial'!G397=0,0,'🧾 Tributos Aduana'!$F$17*(IF('🧾 Tributos Aduana'!$F$6=0,0,'🧾 Factura Comercial'!I397/'🧾 Tributos Aduana'!$F$6))/'🧾 Factura Comercial'!G397)</f>
        <v>0</v>
      </c>
      <c r="AO393" s="280">
        <f>IF('🧾 Factura Comercial'!G397=0,0,'🏦 Crédito Fiscal'!$C$16*(IF('🧾 Tributos Aduana'!$F$6=0,0,'🧾 Factura Comercial'!I397/'🧾 Tributos Aduana'!$F$6))/'🧾 Factura Comercial'!G397)</f>
        <v>0</v>
      </c>
      <c r="AP393" s="278">
        <f>TABLA_BASE[[#This Row],[CF UNIT.
✅RECUP.
(US$)]]*'📋 Datos Generales'!$E$19</f>
        <v>0</v>
      </c>
      <c r="AQ393" s="278">
        <f>TABLA_BASE[[#This Row],[CF UNIT.
✅RECUP.(S/.)]]*TABLA_BASE[[#This Row],[CANTIDAD
(unid.)]]</f>
        <v>0</v>
      </c>
      <c r="AR393" s="288">
        <f>'💰 Precio de Venta'!G398</f>
        <v>0.4</v>
      </c>
      <c r="AS393" s="278">
        <f>'💰 Precio de Venta'!H398</f>
        <v>0</v>
      </c>
      <c r="AT393" s="278">
        <f>TABLA_BASE[[#This Row],[VALOR VTA.
UNIT.(S/.)]]*TABLA_BASE[[#This Row],[CANTIDAD
(unid.)]]</f>
        <v>0</v>
      </c>
      <c r="AU393" s="281">
        <f>'💰 Precio de Venta'!I398</f>
        <v>0</v>
      </c>
      <c r="AV393" s="278">
        <f>'💰 Precio de Venta'!J398</f>
        <v>0</v>
      </c>
      <c r="AW393" s="278">
        <f>TABLA_BASE[[#This Row],[GANANCIA
UNIT.(S/.)]]*TABLA_BASE[[#This Row],[CANTIDAD
(unid.)]]</f>
        <v>0</v>
      </c>
      <c r="AX393" s="289">
        <f>'💰 Precio de Venta'!K398</f>
        <v>0</v>
      </c>
      <c r="AY393" s="278">
        <f>TABLA_BASE[[#This Row],[GANANCIA
UNIT.(S/.)]]*'🧾 Factura Comercial'!G397</f>
        <v>0</v>
      </c>
      <c r="AZ393" s="277">
        <f>IF(TABLA_BASE[[#This Row],[PRECIO VTA.
c/IGV(S/.)]]=0,0,TABLA_BASE[[#This Row],[GANANCIA
UNIT.(S/.)]]/TABLA_BASE[[#This Row],[PRECIO VTA.
c/IGV(S/.)]])</f>
        <v>0</v>
      </c>
      <c r="BA393" s="277">
        <f>IF(TABLA_BASE[[#This Row],[C/M UNIT.
(S/.)]]=0,0,TABLA_BASE[[#This Row],[GANANCIA
UNIT.(S/.)]]/TABLA_BASE[[#This Row],[C/M UNIT.
(S/.)]])</f>
        <v>0</v>
      </c>
      <c r="BB393" s="274" t="str">
        <f>IF(TABLA_BASE[[#This Row],[MARGEN
%]]&gt;=0.5,"🟢 ALTO",IF(TABLA_BASE[[#This Row],[MARGEN
%]]&gt;=0.3,"🟡 MEDIO","🔴 BAJO"))</f>
        <v>🟡 MEDIO</v>
      </c>
    </row>
    <row r="394" spans="1:54" ht="16.5" hidden="1" thickTop="1" thickBot="1" x14ac:dyDescent="0.3">
      <c r="A394" s="274">
        <f>'🧾 Factura Comercial'!E398</f>
        <v>0</v>
      </c>
      <c r="B394" s="274" t="str">
        <f>'🧾 Factura Comercial'!F398</f>
        <v>Unid.</v>
      </c>
      <c r="C394" s="275">
        <f>'🧾 Factura Comercial'!G398</f>
        <v>0</v>
      </c>
      <c r="D394" s="276">
        <f>'🧾 Factura Comercial'!H398</f>
        <v>0</v>
      </c>
      <c r="E394" s="276">
        <f>'🧾 Factura Comercial'!I398</f>
        <v>0</v>
      </c>
      <c r="F394" s="277">
        <f>IF('🧾 Tributos Aduana'!$F$6=0,0,'🧾 Factura Comercial'!I398/'🧾 Tributos Aduana'!$F$6)</f>
        <v>0</v>
      </c>
      <c r="G394" s="278">
        <f>'🧾 Factura Comercial'!H398*'📋 Datos Generales'!$E$19</f>
        <v>0</v>
      </c>
      <c r="H394" s="278">
        <f>TABLA_BASE[[#This Row],[FOB UNIT.
(S/.)]]*TABLA_BASE[[#This Row],[CANTIDAD
(unid.)]]</f>
        <v>0</v>
      </c>
      <c r="I394" s="280">
        <f>IF('🧾 Tributos Aduana'!$F$6=0,0,'🧾 Tributos Aduana'!$F$17*('🧾 Factura Comercial'!H398/'🧾 Tributos Aduana'!$F$6))</f>
        <v>0</v>
      </c>
      <c r="J394" s="280">
        <f>TABLA_BASE[[#This Row],[ADV UNIT.
(US$)
⚠️COSTO]]*TABLA_BASE[[#This Row],[CANTIDAD
(unid.)]]</f>
        <v>0</v>
      </c>
      <c r="K394" s="279">
        <f>IF('🧾 Tributos Aduana'!$F$6=0,0,'🧾 Tributos Aduana'!$F$18*('🧾 Factura Comercial'!H398/'🧾 Tributos Aduana'!$F$6))</f>
        <v>0</v>
      </c>
      <c r="L394" s="280">
        <f>TABLA_BASE[[#This Row],[IPM UNIT.
(US$)
✅CF]]*TABLA_BASE[[#This Row],[CANTIDAD
(unid.)]]</f>
        <v>0</v>
      </c>
      <c r="M394" s="279">
        <f>IF('🧾 Tributos Aduana'!$F$6=0,0,'🧾 Tributos Aduana'!$F$19*('🧾 Factura Comercial'!H398/'🧾 Tributos Aduana'!$F$6))</f>
        <v>0</v>
      </c>
      <c r="N394" s="280">
        <f>TABLA_BASE[[#This Row],[IGV UNIT.
(US$)
✅CF]]*TABLA_BASE[[#This Row],[CANTIDAD
(unid.)]]</f>
        <v>0</v>
      </c>
      <c r="O394" s="280">
        <f>IF('🧾 Tributos Aduana'!$F$6=0,0,'🧾 Tributos Aduana'!$F$23*('🧾 Factura Comercial'!H398/'🧾 Tributos Aduana'!$F$6))</f>
        <v>0</v>
      </c>
      <c r="P394" s="280">
        <f>TABLA_BASE[[#This Row],[PERCEP.
UNIT.(US$)
✅CF]]*TABLA_BASE[[#This Row],[CANTIDAD
(unid.)]]</f>
        <v>0</v>
      </c>
      <c r="Q394" s="279">
        <f>TABLA_BASE[[#This Row],[ADV UNIT.
(US$)
⚠️COSTO]]+TABLA_BASE[[#This Row],[IPM UNIT.
(US$)
✅CF]]+TABLA_BASE[[#This Row],[IGV UNIT.
(US$)
✅CF]]</f>
        <v>0</v>
      </c>
      <c r="R394" s="280">
        <f>TABLA_BASE[[#This Row],[DEUDA
ADUANERA
UNIT.]]*TABLA_BASE[[#This Row],[CANTIDAD
(unid.)]]</f>
        <v>0</v>
      </c>
      <c r="S394" s="278">
        <f>TABLA_BASE[[#This Row],[DEUDA
ADUANERA
UNIT.]]*'📋 Datos Generales'!$E$19</f>
        <v>0</v>
      </c>
      <c r="T394" s="278">
        <f>TABLA_BASE[[#This Row],[DEUDA
ADUANERA
TOTAL]]*'📋 Datos Generales'!$E$19</f>
        <v>0</v>
      </c>
      <c r="U394" s="281">
        <f>TABLA_BASE[[#This Row],[ADV UNIT.
(US$)
⚠️COSTO]]*'📋 Datos Generales'!$E$19</f>
        <v>0</v>
      </c>
      <c r="V394" s="281">
        <f>TABLA_BASE[[#This Row],[ADV UNIT.
(S/.)]]*TABLA_BASE[[#This Row],[CANTIDAD
(unid.)]]</f>
        <v>0</v>
      </c>
      <c r="W394" s="281">
        <f>TABLA_BASE[[#This Row],[IPM UNIT.
(US$)
✅CF]]*'📋 Datos Generales'!$E$19</f>
        <v>0</v>
      </c>
      <c r="X394" s="281">
        <f>TABLA_BASE[[#This Row],[IPM UNIT.
(S/.)]]*TABLA_BASE[[#This Row],[CANTIDAD
(unid.)]]</f>
        <v>0</v>
      </c>
      <c r="Y394" s="281">
        <f>TABLA_BASE[[#This Row],[IGV UNIT.
(US$)
✅CF]]*'📋 Datos Generales'!$E$19</f>
        <v>0</v>
      </c>
      <c r="Z394" s="281">
        <f>TABLA_BASE[[#This Row],[IGV UNIT.
(S/.)]]*TABLA_BASE[[#This Row],[CANTIDAD
(unid.)]]</f>
        <v>0</v>
      </c>
      <c r="AA394" s="281">
        <f>TABLA_BASE[[#This Row],[PERCEP.
UNIT.(US$)
✅CF]]*'📋 Datos Generales'!$E$19</f>
        <v>0</v>
      </c>
      <c r="AB394" s="281">
        <f>TABLA_BASE[[#This Row],[PERCEP.
UNIT.(S/.)]]*TABLA_BASE[[#This Row],[CANTIDAD
(unid.)]]</f>
        <v>0</v>
      </c>
      <c r="AC394" s="279">
        <f>TABLA_BASE[[#This Row],[ADV UNIT.
(US$)
⚠️COSTO]]+TABLA_BASE[[#This Row],[IPM UNIT.
(US$)
✅CF]]+TABLA_BASE[[#This Row],[IGV UNIT.
(US$)
✅CF]]+TABLA_BASE[[#This Row],[PERCEP.
UNIT.(US$)
✅CF]]</f>
        <v>0</v>
      </c>
      <c r="AD394" s="279">
        <f>TABLA_BASE[[#This Row],[TOTAL PAGO
SUNAT
UNIT.(US$)]]*TABLA_BASE[[#This Row],[CANTIDAD
(unid.)]]</f>
        <v>0</v>
      </c>
      <c r="AE394" s="281">
        <f>TABLA_BASE[[#This Row],[TOTAL PAGO
SUNAT
UNIT.(US$)]]*'📋 Datos Generales'!$E$19</f>
        <v>0</v>
      </c>
      <c r="AF394" s="281">
        <f>TABLA_BASE[[#This Row],[TOTAL TRIB.
UNIT.(S/.)]]*TABLA_BASE[[#This Row],[CANTIDAD
(unid.)]]</f>
        <v>0</v>
      </c>
      <c r="AG394" s="279">
        <f>IF('🧾 Factura Comercial'!G398=0,0,'📦 Gastos Importación'!$E$28*(IF('🧾 Tributos Aduana'!$F$6=0,0,'🧾 Factura Comercial'!I398/'🧾 Tributos Aduana'!$F$6))/'🧾 Factura Comercial'!G398)</f>
        <v>0</v>
      </c>
      <c r="AH394" s="279">
        <f>TABLA_BASE[[#This Row],[GASTOS IMP.
UNIT.(US$)]]*TABLA_BASE[[#This Row],[CANTIDAD
(unid.)]]</f>
        <v>0</v>
      </c>
      <c r="AI394" s="281">
        <f>TABLA_BASE[[#This Row],[GASTOS IMP.
UNIT.(US$)]]*'📋 Datos Generales'!$E$19</f>
        <v>0</v>
      </c>
      <c r="AJ394" s="281">
        <f>TABLA_BASE[[#This Row],[GASTOS IMP.
UNIT.(S/.)]]*TABLA_BASE[[#This Row],[CANTIDAD
(unid.)]]</f>
        <v>0</v>
      </c>
      <c r="AK394" s="280">
        <f>'🧮 Costos x Producto'!J398</f>
        <v>0</v>
      </c>
      <c r="AL394" s="278">
        <f>'🧮 Costos x Producto'!K398</f>
        <v>0</v>
      </c>
      <c r="AM394" s="278">
        <f>TABLA_BASE[[#This Row],[C/M UNIT.
(S/.)]]*TABLA_BASE[[#This Row],[CANTIDAD
(unid.)]]</f>
        <v>0</v>
      </c>
      <c r="AN394" s="279">
        <f>IF('🧾 Factura Comercial'!G398=0,0,'🧾 Tributos Aduana'!$F$17*(IF('🧾 Tributos Aduana'!$F$6=0,0,'🧾 Factura Comercial'!I398/'🧾 Tributos Aduana'!$F$6))/'🧾 Factura Comercial'!G398)</f>
        <v>0</v>
      </c>
      <c r="AO394" s="280">
        <f>IF('🧾 Factura Comercial'!G398=0,0,'🏦 Crédito Fiscal'!$C$16*(IF('🧾 Tributos Aduana'!$F$6=0,0,'🧾 Factura Comercial'!I398/'🧾 Tributos Aduana'!$F$6))/'🧾 Factura Comercial'!G398)</f>
        <v>0</v>
      </c>
      <c r="AP394" s="278">
        <f>TABLA_BASE[[#This Row],[CF UNIT.
✅RECUP.
(US$)]]*'📋 Datos Generales'!$E$19</f>
        <v>0</v>
      </c>
      <c r="AQ394" s="278">
        <f>TABLA_BASE[[#This Row],[CF UNIT.
✅RECUP.(S/.)]]*TABLA_BASE[[#This Row],[CANTIDAD
(unid.)]]</f>
        <v>0</v>
      </c>
      <c r="AR394" s="288">
        <f>'💰 Precio de Venta'!G399</f>
        <v>0.4</v>
      </c>
      <c r="AS394" s="278">
        <f>'💰 Precio de Venta'!H399</f>
        <v>0</v>
      </c>
      <c r="AT394" s="278">
        <f>TABLA_BASE[[#This Row],[VALOR VTA.
UNIT.(S/.)]]*TABLA_BASE[[#This Row],[CANTIDAD
(unid.)]]</f>
        <v>0</v>
      </c>
      <c r="AU394" s="281">
        <f>'💰 Precio de Venta'!I399</f>
        <v>0</v>
      </c>
      <c r="AV394" s="278">
        <f>'💰 Precio de Venta'!J399</f>
        <v>0</v>
      </c>
      <c r="AW394" s="278">
        <f>TABLA_BASE[[#This Row],[GANANCIA
UNIT.(S/.)]]*TABLA_BASE[[#This Row],[CANTIDAD
(unid.)]]</f>
        <v>0</v>
      </c>
      <c r="AX394" s="289">
        <f>'💰 Precio de Venta'!K399</f>
        <v>0</v>
      </c>
      <c r="AY394" s="278">
        <f>TABLA_BASE[[#This Row],[GANANCIA
UNIT.(S/.)]]*'🧾 Factura Comercial'!G398</f>
        <v>0</v>
      </c>
      <c r="AZ394" s="277">
        <f>IF(TABLA_BASE[[#This Row],[PRECIO VTA.
c/IGV(S/.)]]=0,0,TABLA_BASE[[#This Row],[GANANCIA
UNIT.(S/.)]]/TABLA_BASE[[#This Row],[PRECIO VTA.
c/IGV(S/.)]])</f>
        <v>0</v>
      </c>
      <c r="BA394" s="277">
        <f>IF(TABLA_BASE[[#This Row],[C/M UNIT.
(S/.)]]=0,0,TABLA_BASE[[#This Row],[GANANCIA
UNIT.(S/.)]]/TABLA_BASE[[#This Row],[C/M UNIT.
(S/.)]])</f>
        <v>0</v>
      </c>
      <c r="BB394" s="274" t="str">
        <f>IF(TABLA_BASE[[#This Row],[MARGEN
%]]&gt;=0.5,"🟢 ALTO",IF(TABLA_BASE[[#This Row],[MARGEN
%]]&gt;=0.3,"🟡 MEDIO","🔴 BAJO"))</f>
        <v>🟡 MEDIO</v>
      </c>
    </row>
    <row r="395" spans="1:54" ht="16.5" hidden="1" thickTop="1" thickBot="1" x14ac:dyDescent="0.3">
      <c r="A395" s="274">
        <f>'🧾 Factura Comercial'!E399</f>
        <v>0</v>
      </c>
      <c r="B395" s="274" t="str">
        <f>'🧾 Factura Comercial'!F399</f>
        <v>Unid.</v>
      </c>
      <c r="C395" s="275">
        <f>'🧾 Factura Comercial'!G399</f>
        <v>0</v>
      </c>
      <c r="D395" s="276">
        <f>'🧾 Factura Comercial'!H399</f>
        <v>0</v>
      </c>
      <c r="E395" s="276">
        <f>'🧾 Factura Comercial'!I399</f>
        <v>0</v>
      </c>
      <c r="F395" s="277">
        <f>IF('🧾 Tributos Aduana'!$F$6=0,0,'🧾 Factura Comercial'!I399/'🧾 Tributos Aduana'!$F$6)</f>
        <v>0</v>
      </c>
      <c r="G395" s="278">
        <f>'🧾 Factura Comercial'!H399*'📋 Datos Generales'!$E$19</f>
        <v>0</v>
      </c>
      <c r="H395" s="278">
        <f>TABLA_BASE[[#This Row],[FOB UNIT.
(S/.)]]*TABLA_BASE[[#This Row],[CANTIDAD
(unid.)]]</f>
        <v>0</v>
      </c>
      <c r="I395" s="280">
        <f>IF('🧾 Tributos Aduana'!$F$6=0,0,'🧾 Tributos Aduana'!$F$17*('🧾 Factura Comercial'!H399/'🧾 Tributos Aduana'!$F$6))</f>
        <v>0</v>
      </c>
      <c r="J395" s="280">
        <f>TABLA_BASE[[#This Row],[ADV UNIT.
(US$)
⚠️COSTO]]*TABLA_BASE[[#This Row],[CANTIDAD
(unid.)]]</f>
        <v>0</v>
      </c>
      <c r="K395" s="279">
        <f>IF('🧾 Tributos Aduana'!$F$6=0,0,'🧾 Tributos Aduana'!$F$18*('🧾 Factura Comercial'!H399/'🧾 Tributos Aduana'!$F$6))</f>
        <v>0</v>
      </c>
      <c r="L395" s="280">
        <f>TABLA_BASE[[#This Row],[IPM UNIT.
(US$)
✅CF]]*TABLA_BASE[[#This Row],[CANTIDAD
(unid.)]]</f>
        <v>0</v>
      </c>
      <c r="M395" s="279">
        <f>IF('🧾 Tributos Aduana'!$F$6=0,0,'🧾 Tributos Aduana'!$F$19*('🧾 Factura Comercial'!H399/'🧾 Tributos Aduana'!$F$6))</f>
        <v>0</v>
      </c>
      <c r="N395" s="280">
        <f>TABLA_BASE[[#This Row],[IGV UNIT.
(US$)
✅CF]]*TABLA_BASE[[#This Row],[CANTIDAD
(unid.)]]</f>
        <v>0</v>
      </c>
      <c r="O395" s="280">
        <f>IF('🧾 Tributos Aduana'!$F$6=0,0,'🧾 Tributos Aduana'!$F$23*('🧾 Factura Comercial'!H399/'🧾 Tributos Aduana'!$F$6))</f>
        <v>0</v>
      </c>
      <c r="P395" s="280">
        <f>TABLA_BASE[[#This Row],[PERCEP.
UNIT.(US$)
✅CF]]*TABLA_BASE[[#This Row],[CANTIDAD
(unid.)]]</f>
        <v>0</v>
      </c>
      <c r="Q395" s="279">
        <f>TABLA_BASE[[#This Row],[ADV UNIT.
(US$)
⚠️COSTO]]+TABLA_BASE[[#This Row],[IPM UNIT.
(US$)
✅CF]]+TABLA_BASE[[#This Row],[IGV UNIT.
(US$)
✅CF]]</f>
        <v>0</v>
      </c>
      <c r="R395" s="280">
        <f>TABLA_BASE[[#This Row],[DEUDA
ADUANERA
UNIT.]]*TABLA_BASE[[#This Row],[CANTIDAD
(unid.)]]</f>
        <v>0</v>
      </c>
      <c r="S395" s="278">
        <f>TABLA_BASE[[#This Row],[DEUDA
ADUANERA
UNIT.]]*'📋 Datos Generales'!$E$19</f>
        <v>0</v>
      </c>
      <c r="T395" s="278">
        <f>TABLA_BASE[[#This Row],[DEUDA
ADUANERA
TOTAL]]*'📋 Datos Generales'!$E$19</f>
        <v>0</v>
      </c>
      <c r="U395" s="281">
        <f>TABLA_BASE[[#This Row],[ADV UNIT.
(US$)
⚠️COSTO]]*'📋 Datos Generales'!$E$19</f>
        <v>0</v>
      </c>
      <c r="V395" s="281">
        <f>TABLA_BASE[[#This Row],[ADV UNIT.
(S/.)]]*TABLA_BASE[[#This Row],[CANTIDAD
(unid.)]]</f>
        <v>0</v>
      </c>
      <c r="W395" s="281">
        <f>TABLA_BASE[[#This Row],[IPM UNIT.
(US$)
✅CF]]*'📋 Datos Generales'!$E$19</f>
        <v>0</v>
      </c>
      <c r="X395" s="281">
        <f>TABLA_BASE[[#This Row],[IPM UNIT.
(S/.)]]*TABLA_BASE[[#This Row],[CANTIDAD
(unid.)]]</f>
        <v>0</v>
      </c>
      <c r="Y395" s="281">
        <f>TABLA_BASE[[#This Row],[IGV UNIT.
(US$)
✅CF]]*'📋 Datos Generales'!$E$19</f>
        <v>0</v>
      </c>
      <c r="Z395" s="281">
        <f>TABLA_BASE[[#This Row],[IGV UNIT.
(S/.)]]*TABLA_BASE[[#This Row],[CANTIDAD
(unid.)]]</f>
        <v>0</v>
      </c>
      <c r="AA395" s="281">
        <f>TABLA_BASE[[#This Row],[PERCEP.
UNIT.(US$)
✅CF]]*'📋 Datos Generales'!$E$19</f>
        <v>0</v>
      </c>
      <c r="AB395" s="281">
        <f>TABLA_BASE[[#This Row],[PERCEP.
UNIT.(S/.)]]*TABLA_BASE[[#This Row],[CANTIDAD
(unid.)]]</f>
        <v>0</v>
      </c>
      <c r="AC395" s="279">
        <f>TABLA_BASE[[#This Row],[ADV UNIT.
(US$)
⚠️COSTO]]+TABLA_BASE[[#This Row],[IPM UNIT.
(US$)
✅CF]]+TABLA_BASE[[#This Row],[IGV UNIT.
(US$)
✅CF]]+TABLA_BASE[[#This Row],[PERCEP.
UNIT.(US$)
✅CF]]</f>
        <v>0</v>
      </c>
      <c r="AD395" s="279">
        <f>TABLA_BASE[[#This Row],[TOTAL PAGO
SUNAT
UNIT.(US$)]]*TABLA_BASE[[#This Row],[CANTIDAD
(unid.)]]</f>
        <v>0</v>
      </c>
      <c r="AE395" s="281">
        <f>TABLA_BASE[[#This Row],[TOTAL PAGO
SUNAT
UNIT.(US$)]]*'📋 Datos Generales'!$E$19</f>
        <v>0</v>
      </c>
      <c r="AF395" s="281">
        <f>TABLA_BASE[[#This Row],[TOTAL TRIB.
UNIT.(S/.)]]*TABLA_BASE[[#This Row],[CANTIDAD
(unid.)]]</f>
        <v>0</v>
      </c>
      <c r="AG395" s="279">
        <f>IF('🧾 Factura Comercial'!G399=0,0,'📦 Gastos Importación'!$E$28*(IF('🧾 Tributos Aduana'!$F$6=0,0,'🧾 Factura Comercial'!I399/'🧾 Tributos Aduana'!$F$6))/'🧾 Factura Comercial'!G399)</f>
        <v>0</v>
      </c>
      <c r="AH395" s="279">
        <f>TABLA_BASE[[#This Row],[GASTOS IMP.
UNIT.(US$)]]*TABLA_BASE[[#This Row],[CANTIDAD
(unid.)]]</f>
        <v>0</v>
      </c>
      <c r="AI395" s="281">
        <f>TABLA_BASE[[#This Row],[GASTOS IMP.
UNIT.(US$)]]*'📋 Datos Generales'!$E$19</f>
        <v>0</v>
      </c>
      <c r="AJ395" s="281">
        <f>TABLA_BASE[[#This Row],[GASTOS IMP.
UNIT.(S/.)]]*TABLA_BASE[[#This Row],[CANTIDAD
(unid.)]]</f>
        <v>0</v>
      </c>
      <c r="AK395" s="280">
        <f>'🧮 Costos x Producto'!J399</f>
        <v>0</v>
      </c>
      <c r="AL395" s="278">
        <f>'🧮 Costos x Producto'!K399</f>
        <v>0</v>
      </c>
      <c r="AM395" s="278">
        <f>TABLA_BASE[[#This Row],[C/M UNIT.
(S/.)]]*TABLA_BASE[[#This Row],[CANTIDAD
(unid.)]]</f>
        <v>0</v>
      </c>
      <c r="AN395" s="279">
        <f>IF('🧾 Factura Comercial'!G399=0,0,'🧾 Tributos Aduana'!$F$17*(IF('🧾 Tributos Aduana'!$F$6=0,0,'🧾 Factura Comercial'!I399/'🧾 Tributos Aduana'!$F$6))/'🧾 Factura Comercial'!G399)</f>
        <v>0</v>
      </c>
      <c r="AO395" s="280">
        <f>IF('🧾 Factura Comercial'!G399=0,0,'🏦 Crédito Fiscal'!$C$16*(IF('🧾 Tributos Aduana'!$F$6=0,0,'🧾 Factura Comercial'!I399/'🧾 Tributos Aduana'!$F$6))/'🧾 Factura Comercial'!G399)</f>
        <v>0</v>
      </c>
      <c r="AP395" s="278">
        <f>TABLA_BASE[[#This Row],[CF UNIT.
✅RECUP.
(US$)]]*'📋 Datos Generales'!$E$19</f>
        <v>0</v>
      </c>
      <c r="AQ395" s="278">
        <f>TABLA_BASE[[#This Row],[CF UNIT.
✅RECUP.(S/.)]]*TABLA_BASE[[#This Row],[CANTIDAD
(unid.)]]</f>
        <v>0</v>
      </c>
      <c r="AR395" s="288">
        <f>'💰 Precio de Venta'!G400</f>
        <v>0.4</v>
      </c>
      <c r="AS395" s="278">
        <f>'💰 Precio de Venta'!H400</f>
        <v>0</v>
      </c>
      <c r="AT395" s="278">
        <f>TABLA_BASE[[#This Row],[VALOR VTA.
UNIT.(S/.)]]*TABLA_BASE[[#This Row],[CANTIDAD
(unid.)]]</f>
        <v>0</v>
      </c>
      <c r="AU395" s="281">
        <f>'💰 Precio de Venta'!I400</f>
        <v>0</v>
      </c>
      <c r="AV395" s="278">
        <f>'💰 Precio de Venta'!J400</f>
        <v>0</v>
      </c>
      <c r="AW395" s="278">
        <f>TABLA_BASE[[#This Row],[GANANCIA
UNIT.(S/.)]]*TABLA_BASE[[#This Row],[CANTIDAD
(unid.)]]</f>
        <v>0</v>
      </c>
      <c r="AX395" s="289">
        <f>'💰 Precio de Venta'!K400</f>
        <v>0</v>
      </c>
      <c r="AY395" s="278">
        <f>TABLA_BASE[[#This Row],[GANANCIA
UNIT.(S/.)]]*'🧾 Factura Comercial'!G399</f>
        <v>0</v>
      </c>
      <c r="AZ395" s="277">
        <f>IF(TABLA_BASE[[#This Row],[PRECIO VTA.
c/IGV(S/.)]]=0,0,TABLA_BASE[[#This Row],[GANANCIA
UNIT.(S/.)]]/TABLA_BASE[[#This Row],[PRECIO VTA.
c/IGV(S/.)]])</f>
        <v>0</v>
      </c>
      <c r="BA395" s="277">
        <f>IF(TABLA_BASE[[#This Row],[C/M UNIT.
(S/.)]]=0,0,TABLA_BASE[[#This Row],[GANANCIA
UNIT.(S/.)]]/TABLA_BASE[[#This Row],[C/M UNIT.
(S/.)]])</f>
        <v>0</v>
      </c>
      <c r="BB395" s="274" t="str">
        <f>IF(TABLA_BASE[[#This Row],[MARGEN
%]]&gt;=0.5,"🟢 ALTO",IF(TABLA_BASE[[#This Row],[MARGEN
%]]&gt;=0.3,"🟡 MEDIO","🔴 BAJO"))</f>
        <v>🟡 MEDIO</v>
      </c>
    </row>
    <row r="396" spans="1:54" ht="16.5" hidden="1" thickTop="1" thickBot="1" x14ac:dyDescent="0.3">
      <c r="A396" s="274">
        <f>'🧾 Factura Comercial'!E400</f>
        <v>0</v>
      </c>
      <c r="B396" s="274" t="str">
        <f>'🧾 Factura Comercial'!F400</f>
        <v>Unid.</v>
      </c>
      <c r="C396" s="275">
        <f>'🧾 Factura Comercial'!G400</f>
        <v>0</v>
      </c>
      <c r="D396" s="276">
        <f>'🧾 Factura Comercial'!H400</f>
        <v>0</v>
      </c>
      <c r="E396" s="276">
        <f>'🧾 Factura Comercial'!I400</f>
        <v>0</v>
      </c>
      <c r="F396" s="277">
        <f>IF('🧾 Tributos Aduana'!$F$6=0,0,'🧾 Factura Comercial'!I400/'🧾 Tributos Aduana'!$F$6)</f>
        <v>0</v>
      </c>
      <c r="G396" s="278">
        <f>'🧾 Factura Comercial'!H400*'📋 Datos Generales'!$E$19</f>
        <v>0</v>
      </c>
      <c r="H396" s="278">
        <f>TABLA_BASE[[#This Row],[FOB UNIT.
(S/.)]]*TABLA_BASE[[#This Row],[CANTIDAD
(unid.)]]</f>
        <v>0</v>
      </c>
      <c r="I396" s="280">
        <f>IF('🧾 Tributos Aduana'!$F$6=0,0,'🧾 Tributos Aduana'!$F$17*('🧾 Factura Comercial'!H400/'🧾 Tributos Aduana'!$F$6))</f>
        <v>0</v>
      </c>
      <c r="J396" s="280">
        <f>TABLA_BASE[[#This Row],[ADV UNIT.
(US$)
⚠️COSTO]]*TABLA_BASE[[#This Row],[CANTIDAD
(unid.)]]</f>
        <v>0</v>
      </c>
      <c r="K396" s="279">
        <f>IF('🧾 Tributos Aduana'!$F$6=0,0,'🧾 Tributos Aduana'!$F$18*('🧾 Factura Comercial'!H400/'🧾 Tributos Aduana'!$F$6))</f>
        <v>0</v>
      </c>
      <c r="L396" s="280">
        <f>TABLA_BASE[[#This Row],[IPM UNIT.
(US$)
✅CF]]*TABLA_BASE[[#This Row],[CANTIDAD
(unid.)]]</f>
        <v>0</v>
      </c>
      <c r="M396" s="279">
        <f>IF('🧾 Tributos Aduana'!$F$6=0,0,'🧾 Tributos Aduana'!$F$19*('🧾 Factura Comercial'!H400/'🧾 Tributos Aduana'!$F$6))</f>
        <v>0</v>
      </c>
      <c r="N396" s="280">
        <f>TABLA_BASE[[#This Row],[IGV UNIT.
(US$)
✅CF]]*TABLA_BASE[[#This Row],[CANTIDAD
(unid.)]]</f>
        <v>0</v>
      </c>
      <c r="O396" s="280">
        <f>IF('🧾 Tributos Aduana'!$F$6=0,0,'🧾 Tributos Aduana'!$F$23*('🧾 Factura Comercial'!H400/'🧾 Tributos Aduana'!$F$6))</f>
        <v>0</v>
      </c>
      <c r="P396" s="280">
        <f>TABLA_BASE[[#This Row],[PERCEP.
UNIT.(US$)
✅CF]]*TABLA_BASE[[#This Row],[CANTIDAD
(unid.)]]</f>
        <v>0</v>
      </c>
      <c r="Q396" s="279">
        <f>TABLA_BASE[[#This Row],[ADV UNIT.
(US$)
⚠️COSTO]]+TABLA_BASE[[#This Row],[IPM UNIT.
(US$)
✅CF]]+TABLA_BASE[[#This Row],[IGV UNIT.
(US$)
✅CF]]</f>
        <v>0</v>
      </c>
      <c r="R396" s="280">
        <f>TABLA_BASE[[#This Row],[DEUDA
ADUANERA
UNIT.]]*TABLA_BASE[[#This Row],[CANTIDAD
(unid.)]]</f>
        <v>0</v>
      </c>
      <c r="S396" s="278">
        <f>TABLA_BASE[[#This Row],[DEUDA
ADUANERA
UNIT.]]*'📋 Datos Generales'!$E$19</f>
        <v>0</v>
      </c>
      <c r="T396" s="278">
        <f>TABLA_BASE[[#This Row],[DEUDA
ADUANERA
TOTAL]]*'📋 Datos Generales'!$E$19</f>
        <v>0</v>
      </c>
      <c r="U396" s="281">
        <f>TABLA_BASE[[#This Row],[ADV UNIT.
(US$)
⚠️COSTO]]*'📋 Datos Generales'!$E$19</f>
        <v>0</v>
      </c>
      <c r="V396" s="281">
        <f>TABLA_BASE[[#This Row],[ADV UNIT.
(S/.)]]*TABLA_BASE[[#This Row],[CANTIDAD
(unid.)]]</f>
        <v>0</v>
      </c>
      <c r="W396" s="281">
        <f>TABLA_BASE[[#This Row],[IPM UNIT.
(US$)
✅CF]]*'📋 Datos Generales'!$E$19</f>
        <v>0</v>
      </c>
      <c r="X396" s="281">
        <f>TABLA_BASE[[#This Row],[IPM UNIT.
(S/.)]]*TABLA_BASE[[#This Row],[CANTIDAD
(unid.)]]</f>
        <v>0</v>
      </c>
      <c r="Y396" s="281">
        <f>TABLA_BASE[[#This Row],[IGV UNIT.
(US$)
✅CF]]*'📋 Datos Generales'!$E$19</f>
        <v>0</v>
      </c>
      <c r="Z396" s="281">
        <f>TABLA_BASE[[#This Row],[IGV UNIT.
(S/.)]]*TABLA_BASE[[#This Row],[CANTIDAD
(unid.)]]</f>
        <v>0</v>
      </c>
      <c r="AA396" s="281">
        <f>TABLA_BASE[[#This Row],[PERCEP.
UNIT.(US$)
✅CF]]*'📋 Datos Generales'!$E$19</f>
        <v>0</v>
      </c>
      <c r="AB396" s="281">
        <f>TABLA_BASE[[#This Row],[PERCEP.
UNIT.(S/.)]]*TABLA_BASE[[#This Row],[CANTIDAD
(unid.)]]</f>
        <v>0</v>
      </c>
      <c r="AC396" s="279">
        <f>TABLA_BASE[[#This Row],[ADV UNIT.
(US$)
⚠️COSTO]]+TABLA_BASE[[#This Row],[IPM UNIT.
(US$)
✅CF]]+TABLA_BASE[[#This Row],[IGV UNIT.
(US$)
✅CF]]+TABLA_BASE[[#This Row],[PERCEP.
UNIT.(US$)
✅CF]]</f>
        <v>0</v>
      </c>
      <c r="AD396" s="279">
        <f>TABLA_BASE[[#This Row],[TOTAL PAGO
SUNAT
UNIT.(US$)]]*TABLA_BASE[[#This Row],[CANTIDAD
(unid.)]]</f>
        <v>0</v>
      </c>
      <c r="AE396" s="281">
        <f>TABLA_BASE[[#This Row],[TOTAL PAGO
SUNAT
UNIT.(US$)]]*'📋 Datos Generales'!$E$19</f>
        <v>0</v>
      </c>
      <c r="AF396" s="281">
        <f>TABLA_BASE[[#This Row],[TOTAL TRIB.
UNIT.(S/.)]]*TABLA_BASE[[#This Row],[CANTIDAD
(unid.)]]</f>
        <v>0</v>
      </c>
      <c r="AG396" s="279">
        <f>IF('🧾 Factura Comercial'!G400=0,0,'📦 Gastos Importación'!$E$28*(IF('🧾 Tributos Aduana'!$F$6=0,0,'🧾 Factura Comercial'!I400/'🧾 Tributos Aduana'!$F$6))/'🧾 Factura Comercial'!G400)</f>
        <v>0</v>
      </c>
      <c r="AH396" s="279">
        <f>TABLA_BASE[[#This Row],[GASTOS IMP.
UNIT.(US$)]]*TABLA_BASE[[#This Row],[CANTIDAD
(unid.)]]</f>
        <v>0</v>
      </c>
      <c r="AI396" s="281">
        <f>TABLA_BASE[[#This Row],[GASTOS IMP.
UNIT.(US$)]]*'📋 Datos Generales'!$E$19</f>
        <v>0</v>
      </c>
      <c r="AJ396" s="281">
        <f>TABLA_BASE[[#This Row],[GASTOS IMP.
UNIT.(S/.)]]*TABLA_BASE[[#This Row],[CANTIDAD
(unid.)]]</f>
        <v>0</v>
      </c>
      <c r="AK396" s="280">
        <f>'🧮 Costos x Producto'!J400</f>
        <v>0</v>
      </c>
      <c r="AL396" s="278">
        <f>'🧮 Costos x Producto'!K400</f>
        <v>0</v>
      </c>
      <c r="AM396" s="278">
        <f>TABLA_BASE[[#This Row],[C/M UNIT.
(S/.)]]*TABLA_BASE[[#This Row],[CANTIDAD
(unid.)]]</f>
        <v>0</v>
      </c>
      <c r="AN396" s="279">
        <f>IF('🧾 Factura Comercial'!G400=0,0,'🧾 Tributos Aduana'!$F$17*(IF('🧾 Tributos Aduana'!$F$6=0,0,'🧾 Factura Comercial'!I400/'🧾 Tributos Aduana'!$F$6))/'🧾 Factura Comercial'!G400)</f>
        <v>0</v>
      </c>
      <c r="AO396" s="280">
        <f>IF('🧾 Factura Comercial'!G400=0,0,'🏦 Crédito Fiscal'!$C$16*(IF('🧾 Tributos Aduana'!$F$6=0,0,'🧾 Factura Comercial'!I400/'🧾 Tributos Aduana'!$F$6))/'🧾 Factura Comercial'!G400)</f>
        <v>0</v>
      </c>
      <c r="AP396" s="278">
        <f>TABLA_BASE[[#This Row],[CF UNIT.
✅RECUP.
(US$)]]*'📋 Datos Generales'!$E$19</f>
        <v>0</v>
      </c>
      <c r="AQ396" s="278">
        <f>TABLA_BASE[[#This Row],[CF UNIT.
✅RECUP.(S/.)]]*TABLA_BASE[[#This Row],[CANTIDAD
(unid.)]]</f>
        <v>0</v>
      </c>
      <c r="AR396" s="288">
        <f>'💰 Precio de Venta'!G401</f>
        <v>0.4</v>
      </c>
      <c r="AS396" s="278">
        <f>'💰 Precio de Venta'!H401</f>
        <v>0</v>
      </c>
      <c r="AT396" s="278">
        <f>TABLA_BASE[[#This Row],[VALOR VTA.
UNIT.(S/.)]]*TABLA_BASE[[#This Row],[CANTIDAD
(unid.)]]</f>
        <v>0</v>
      </c>
      <c r="AU396" s="281">
        <f>'💰 Precio de Venta'!I401</f>
        <v>0</v>
      </c>
      <c r="AV396" s="278">
        <f>'💰 Precio de Venta'!J401</f>
        <v>0</v>
      </c>
      <c r="AW396" s="278">
        <f>TABLA_BASE[[#This Row],[GANANCIA
UNIT.(S/.)]]*TABLA_BASE[[#This Row],[CANTIDAD
(unid.)]]</f>
        <v>0</v>
      </c>
      <c r="AX396" s="289">
        <f>'💰 Precio de Venta'!K401</f>
        <v>0</v>
      </c>
      <c r="AY396" s="278">
        <f>TABLA_BASE[[#This Row],[GANANCIA
UNIT.(S/.)]]*'🧾 Factura Comercial'!G400</f>
        <v>0</v>
      </c>
      <c r="AZ396" s="277">
        <f>IF(TABLA_BASE[[#This Row],[PRECIO VTA.
c/IGV(S/.)]]=0,0,TABLA_BASE[[#This Row],[GANANCIA
UNIT.(S/.)]]/TABLA_BASE[[#This Row],[PRECIO VTA.
c/IGV(S/.)]])</f>
        <v>0</v>
      </c>
      <c r="BA396" s="277">
        <f>IF(TABLA_BASE[[#This Row],[C/M UNIT.
(S/.)]]=0,0,TABLA_BASE[[#This Row],[GANANCIA
UNIT.(S/.)]]/TABLA_BASE[[#This Row],[C/M UNIT.
(S/.)]])</f>
        <v>0</v>
      </c>
      <c r="BB396" s="274" t="str">
        <f>IF(TABLA_BASE[[#This Row],[MARGEN
%]]&gt;=0.5,"🟢 ALTO",IF(TABLA_BASE[[#This Row],[MARGEN
%]]&gt;=0.3,"🟡 MEDIO","🔴 BAJO"))</f>
        <v>🟡 MEDIO</v>
      </c>
    </row>
    <row r="397" spans="1:54" ht="16.5" hidden="1" thickTop="1" thickBot="1" x14ac:dyDescent="0.3">
      <c r="A397" s="274">
        <f>'🧾 Factura Comercial'!E401</f>
        <v>0</v>
      </c>
      <c r="B397" s="274" t="str">
        <f>'🧾 Factura Comercial'!F401</f>
        <v>Unid.</v>
      </c>
      <c r="C397" s="275">
        <f>'🧾 Factura Comercial'!G401</f>
        <v>0</v>
      </c>
      <c r="D397" s="276">
        <f>'🧾 Factura Comercial'!H401</f>
        <v>0</v>
      </c>
      <c r="E397" s="276">
        <f>'🧾 Factura Comercial'!I401</f>
        <v>0</v>
      </c>
      <c r="F397" s="277">
        <f>IF('🧾 Tributos Aduana'!$F$6=0,0,'🧾 Factura Comercial'!I401/'🧾 Tributos Aduana'!$F$6)</f>
        <v>0</v>
      </c>
      <c r="G397" s="278">
        <f>'🧾 Factura Comercial'!H401*'📋 Datos Generales'!$E$19</f>
        <v>0</v>
      </c>
      <c r="H397" s="278">
        <f>TABLA_BASE[[#This Row],[FOB UNIT.
(S/.)]]*TABLA_BASE[[#This Row],[CANTIDAD
(unid.)]]</f>
        <v>0</v>
      </c>
      <c r="I397" s="280">
        <f>IF('🧾 Tributos Aduana'!$F$6=0,0,'🧾 Tributos Aduana'!$F$17*('🧾 Factura Comercial'!H401/'🧾 Tributos Aduana'!$F$6))</f>
        <v>0</v>
      </c>
      <c r="J397" s="280">
        <f>TABLA_BASE[[#This Row],[ADV UNIT.
(US$)
⚠️COSTO]]*TABLA_BASE[[#This Row],[CANTIDAD
(unid.)]]</f>
        <v>0</v>
      </c>
      <c r="K397" s="279">
        <f>IF('🧾 Tributos Aduana'!$F$6=0,0,'🧾 Tributos Aduana'!$F$18*('🧾 Factura Comercial'!H401/'🧾 Tributos Aduana'!$F$6))</f>
        <v>0</v>
      </c>
      <c r="L397" s="280">
        <f>TABLA_BASE[[#This Row],[IPM UNIT.
(US$)
✅CF]]*TABLA_BASE[[#This Row],[CANTIDAD
(unid.)]]</f>
        <v>0</v>
      </c>
      <c r="M397" s="279">
        <f>IF('🧾 Tributos Aduana'!$F$6=0,0,'🧾 Tributos Aduana'!$F$19*('🧾 Factura Comercial'!H401/'🧾 Tributos Aduana'!$F$6))</f>
        <v>0</v>
      </c>
      <c r="N397" s="280">
        <f>TABLA_BASE[[#This Row],[IGV UNIT.
(US$)
✅CF]]*TABLA_BASE[[#This Row],[CANTIDAD
(unid.)]]</f>
        <v>0</v>
      </c>
      <c r="O397" s="280">
        <f>IF('🧾 Tributos Aduana'!$F$6=0,0,'🧾 Tributos Aduana'!$F$23*('🧾 Factura Comercial'!H401/'🧾 Tributos Aduana'!$F$6))</f>
        <v>0</v>
      </c>
      <c r="P397" s="280">
        <f>TABLA_BASE[[#This Row],[PERCEP.
UNIT.(US$)
✅CF]]*TABLA_BASE[[#This Row],[CANTIDAD
(unid.)]]</f>
        <v>0</v>
      </c>
      <c r="Q397" s="279">
        <f>TABLA_BASE[[#This Row],[ADV UNIT.
(US$)
⚠️COSTO]]+TABLA_BASE[[#This Row],[IPM UNIT.
(US$)
✅CF]]+TABLA_BASE[[#This Row],[IGV UNIT.
(US$)
✅CF]]</f>
        <v>0</v>
      </c>
      <c r="R397" s="280">
        <f>TABLA_BASE[[#This Row],[DEUDA
ADUANERA
UNIT.]]*TABLA_BASE[[#This Row],[CANTIDAD
(unid.)]]</f>
        <v>0</v>
      </c>
      <c r="S397" s="278">
        <f>TABLA_BASE[[#This Row],[DEUDA
ADUANERA
UNIT.]]*'📋 Datos Generales'!$E$19</f>
        <v>0</v>
      </c>
      <c r="T397" s="278">
        <f>TABLA_BASE[[#This Row],[DEUDA
ADUANERA
TOTAL]]*'📋 Datos Generales'!$E$19</f>
        <v>0</v>
      </c>
      <c r="U397" s="281">
        <f>TABLA_BASE[[#This Row],[ADV UNIT.
(US$)
⚠️COSTO]]*'📋 Datos Generales'!$E$19</f>
        <v>0</v>
      </c>
      <c r="V397" s="281">
        <f>TABLA_BASE[[#This Row],[ADV UNIT.
(S/.)]]*TABLA_BASE[[#This Row],[CANTIDAD
(unid.)]]</f>
        <v>0</v>
      </c>
      <c r="W397" s="281">
        <f>TABLA_BASE[[#This Row],[IPM UNIT.
(US$)
✅CF]]*'📋 Datos Generales'!$E$19</f>
        <v>0</v>
      </c>
      <c r="X397" s="281">
        <f>TABLA_BASE[[#This Row],[IPM UNIT.
(S/.)]]*TABLA_BASE[[#This Row],[CANTIDAD
(unid.)]]</f>
        <v>0</v>
      </c>
      <c r="Y397" s="281">
        <f>TABLA_BASE[[#This Row],[IGV UNIT.
(US$)
✅CF]]*'📋 Datos Generales'!$E$19</f>
        <v>0</v>
      </c>
      <c r="Z397" s="281">
        <f>TABLA_BASE[[#This Row],[IGV UNIT.
(S/.)]]*TABLA_BASE[[#This Row],[CANTIDAD
(unid.)]]</f>
        <v>0</v>
      </c>
      <c r="AA397" s="281">
        <f>TABLA_BASE[[#This Row],[PERCEP.
UNIT.(US$)
✅CF]]*'📋 Datos Generales'!$E$19</f>
        <v>0</v>
      </c>
      <c r="AB397" s="281">
        <f>TABLA_BASE[[#This Row],[PERCEP.
UNIT.(S/.)]]*TABLA_BASE[[#This Row],[CANTIDAD
(unid.)]]</f>
        <v>0</v>
      </c>
      <c r="AC397" s="279">
        <f>TABLA_BASE[[#This Row],[ADV UNIT.
(US$)
⚠️COSTO]]+TABLA_BASE[[#This Row],[IPM UNIT.
(US$)
✅CF]]+TABLA_BASE[[#This Row],[IGV UNIT.
(US$)
✅CF]]+TABLA_BASE[[#This Row],[PERCEP.
UNIT.(US$)
✅CF]]</f>
        <v>0</v>
      </c>
      <c r="AD397" s="279">
        <f>TABLA_BASE[[#This Row],[TOTAL PAGO
SUNAT
UNIT.(US$)]]*TABLA_BASE[[#This Row],[CANTIDAD
(unid.)]]</f>
        <v>0</v>
      </c>
      <c r="AE397" s="281">
        <f>TABLA_BASE[[#This Row],[TOTAL PAGO
SUNAT
UNIT.(US$)]]*'📋 Datos Generales'!$E$19</f>
        <v>0</v>
      </c>
      <c r="AF397" s="281">
        <f>TABLA_BASE[[#This Row],[TOTAL TRIB.
UNIT.(S/.)]]*TABLA_BASE[[#This Row],[CANTIDAD
(unid.)]]</f>
        <v>0</v>
      </c>
      <c r="AG397" s="279">
        <f>IF('🧾 Factura Comercial'!G401=0,0,'📦 Gastos Importación'!$E$28*(IF('🧾 Tributos Aduana'!$F$6=0,0,'🧾 Factura Comercial'!I401/'🧾 Tributos Aduana'!$F$6))/'🧾 Factura Comercial'!G401)</f>
        <v>0</v>
      </c>
      <c r="AH397" s="279">
        <f>TABLA_BASE[[#This Row],[GASTOS IMP.
UNIT.(US$)]]*TABLA_BASE[[#This Row],[CANTIDAD
(unid.)]]</f>
        <v>0</v>
      </c>
      <c r="AI397" s="281">
        <f>TABLA_BASE[[#This Row],[GASTOS IMP.
UNIT.(US$)]]*'📋 Datos Generales'!$E$19</f>
        <v>0</v>
      </c>
      <c r="AJ397" s="281">
        <f>TABLA_BASE[[#This Row],[GASTOS IMP.
UNIT.(S/.)]]*TABLA_BASE[[#This Row],[CANTIDAD
(unid.)]]</f>
        <v>0</v>
      </c>
      <c r="AK397" s="280">
        <f>'🧮 Costos x Producto'!J401</f>
        <v>0</v>
      </c>
      <c r="AL397" s="278">
        <f>'🧮 Costos x Producto'!K401</f>
        <v>0</v>
      </c>
      <c r="AM397" s="278">
        <f>TABLA_BASE[[#This Row],[C/M UNIT.
(S/.)]]*TABLA_BASE[[#This Row],[CANTIDAD
(unid.)]]</f>
        <v>0</v>
      </c>
      <c r="AN397" s="279">
        <f>IF('🧾 Factura Comercial'!G401=0,0,'🧾 Tributos Aduana'!$F$17*(IF('🧾 Tributos Aduana'!$F$6=0,0,'🧾 Factura Comercial'!I401/'🧾 Tributos Aduana'!$F$6))/'🧾 Factura Comercial'!G401)</f>
        <v>0</v>
      </c>
      <c r="AO397" s="280">
        <f>IF('🧾 Factura Comercial'!G401=0,0,'🏦 Crédito Fiscal'!$C$16*(IF('🧾 Tributos Aduana'!$F$6=0,0,'🧾 Factura Comercial'!I401/'🧾 Tributos Aduana'!$F$6))/'🧾 Factura Comercial'!G401)</f>
        <v>0</v>
      </c>
      <c r="AP397" s="278">
        <f>TABLA_BASE[[#This Row],[CF UNIT.
✅RECUP.
(US$)]]*'📋 Datos Generales'!$E$19</f>
        <v>0</v>
      </c>
      <c r="AQ397" s="278">
        <f>TABLA_BASE[[#This Row],[CF UNIT.
✅RECUP.(S/.)]]*TABLA_BASE[[#This Row],[CANTIDAD
(unid.)]]</f>
        <v>0</v>
      </c>
      <c r="AR397" s="288">
        <f>'💰 Precio de Venta'!G402</f>
        <v>0.4</v>
      </c>
      <c r="AS397" s="278">
        <f>'💰 Precio de Venta'!H402</f>
        <v>0</v>
      </c>
      <c r="AT397" s="278">
        <f>TABLA_BASE[[#This Row],[VALOR VTA.
UNIT.(S/.)]]*TABLA_BASE[[#This Row],[CANTIDAD
(unid.)]]</f>
        <v>0</v>
      </c>
      <c r="AU397" s="281">
        <f>'💰 Precio de Venta'!I402</f>
        <v>0</v>
      </c>
      <c r="AV397" s="278">
        <f>'💰 Precio de Venta'!J402</f>
        <v>0</v>
      </c>
      <c r="AW397" s="278">
        <f>TABLA_BASE[[#This Row],[GANANCIA
UNIT.(S/.)]]*TABLA_BASE[[#This Row],[CANTIDAD
(unid.)]]</f>
        <v>0</v>
      </c>
      <c r="AX397" s="289">
        <f>'💰 Precio de Venta'!K402</f>
        <v>0</v>
      </c>
      <c r="AY397" s="278">
        <f>TABLA_BASE[[#This Row],[GANANCIA
UNIT.(S/.)]]*'🧾 Factura Comercial'!G401</f>
        <v>0</v>
      </c>
      <c r="AZ397" s="277">
        <f>IF(TABLA_BASE[[#This Row],[PRECIO VTA.
c/IGV(S/.)]]=0,0,TABLA_BASE[[#This Row],[GANANCIA
UNIT.(S/.)]]/TABLA_BASE[[#This Row],[PRECIO VTA.
c/IGV(S/.)]])</f>
        <v>0</v>
      </c>
      <c r="BA397" s="277">
        <f>IF(TABLA_BASE[[#This Row],[C/M UNIT.
(S/.)]]=0,0,TABLA_BASE[[#This Row],[GANANCIA
UNIT.(S/.)]]/TABLA_BASE[[#This Row],[C/M UNIT.
(S/.)]])</f>
        <v>0</v>
      </c>
      <c r="BB397" s="274" t="str">
        <f>IF(TABLA_BASE[[#This Row],[MARGEN
%]]&gt;=0.5,"🟢 ALTO",IF(TABLA_BASE[[#This Row],[MARGEN
%]]&gt;=0.3,"🟡 MEDIO","🔴 BAJO"))</f>
        <v>🟡 MEDIO</v>
      </c>
    </row>
    <row r="398" spans="1:54" ht="16.5" hidden="1" thickTop="1" thickBot="1" x14ac:dyDescent="0.3">
      <c r="A398" s="274">
        <f>'🧾 Factura Comercial'!E402</f>
        <v>0</v>
      </c>
      <c r="B398" s="274" t="str">
        <f>'🧾 Factura Comercial'!F402</f>
        <v>Unid.</v>
      </c>
      <c r="C398" s="275">
        <f>'🧾 Factura Comercial'!G402</f>
        <v>0</v>
      </c>
      <c r="D398" s="276">
        <f>'🧾 Factura Comercial'!H402</f>
        <v>0</v>
      </c>
      <c r="E398" s="276">
        <f>'🧾 Factura Comercial'!I402</f>
        <v>0</v>
      </c>
      <c r="F398" s="277">
        <f>IF('🧾 Tributos Aduana'!$F$6=0,0,'🧾 Factura Comercial'!I402/'🧾 Tributos Aduana'!$F$6)</f>
        <v>0</v>
      </c>
      <c r="G398" s="278">
        <f>'🧾 Factura Comercial'!H402*'📋 Datos Generales'!$E$19</f>
        <v>0</v>
      </c>
      <c r="H398" s="278">
        <f>TABLA_BASE[[#This Row],[FOB UNIT.
(S/.)]]*TABLA_BASE[[#This Row],[CANTIDAD
(unid.)]]</f>
        <v>0</v>
      </c>
      <c r="I398" s="280">
        <f>IF('🧾 Tributos Aduana'!$F$6=0,0,'🧾 Tributos Aduana'!$F$17*('🧾 Factura Comercial'!H402/'🧾 Tributos Aduana'!$F$6))</f>
        <v>0</v>
      </c>
      <c r="J398" s="280">
        <f>TABLA_BASE[[#This Row],[ADV UNIT.
(US$)
⚠️COSTO]]*TABLA_BASE[[#This Row],[CANTIDAD
(unid.)]]</f>
        <v>0</v>
      </c>
      <c r="K398" s="279">
        <f>IF('🧾 Tributos Aduana'!$F$6=0,0,'🧾 Tributos Aduana'!$F$18*('🧾 Factura Comercial'!H402/'🧾 Tributos Aduana'!$F$6))</f>
        <v>0</v>
      </c>
      <c r="L398" s="280">
        <f>TABLA_BASE[[#This Row],[IPM UNIT.
(US$)
✅CF]]*TABLA_BASE[[#This Row],[CANTIDAD
(unid.)]]</f>
        <v>0</v>
      </c>
      <c r="M398" s="279">
        <f>IF('🧾 Tributos Aduana'!$F$6=0,0,'🧾 Tributos Aduana'!$F$19*('🧾 Factura Comercial'!H402/'🧾 Tributos Aduana'!$F$6))</f>
        <v>0</v>
      </c>
      <c r="N398" s="280">
        <f>TABLA_BASE[[#This Row],[IGV UNIT.
(US$)
✅CF]]*TABLA_BASE[[#This Row],[CANTIDAD
(unid.)]]</f>
        <v>0</v>
      </c>
      <c r="O398" s="280">
        <f>IF('🧾 Tributos Aduana'!$F$6=0,0,'🧾 Tributos Aduana'!$F$23*('🧾 Factura Comercial'!H402/'🧾 Tributos Aduana'!$F$6))</f>
        <v>0</v>
      </c>
      <c r="P398" s="280">
        <f>TABLA_BASE[[#This Row],[PERCEP.
UNIT.(US$)
✅CF]]*TABLA_BASE[[#This Row],[CANTIDAD
(unid.)]]</f>
        <v>0</v>
      </c>
      <c r="Q398" s="279">
        <f>TABLA_BASE[[#This Row],[ADV UNIT.
(US$)
⚠️COSTO]]+TABLA_BASE[[#This Row],[IPM UNIT.
(US$)
✅CF]]+TABLA_BASE[[#This Row],[IGV UNIT.
(US$)
✅CF]]</f>
        <v>0</v>
      </c>
      <c r="R398" s="280">
        <f>TABLA_BASE[[#This Row],[DEUDA
ADUANERA
UNIT.]]*TABLA_BASE[[#This Row],[CANTIDAD
(unid.)]]</f>
        <v>0</v>
      </c>
      <c r="S398" s="278">
        <f>TABLA_BASE[[#This Row],[DEUDA
ADUANERA
UNIT.]]*'📋 Datos Generales'!$E$19</f>
        <v>0</v>
      </c>
      <c r="T398" s="278">
        <f>TABLA_BASE[[#This Row],[DEUDA
ADUANERA
TOTAL]]*'📋 Datos Generales'!$E$19</f>
        <v>0</v>
      </c>
      <c r="U398" s="281">
        <f>TABLA_BASE[[#This Row],[ADV UNIT.
(US$)
⚠️COSTO]]*'📋 Datos Generales'!$E$19</f>
        <v>0</v>
      </c>
      <c r="V398" s="281">
        <f>TABLA_BASE[[#This Row],[ADV UNIT.
(S/.)]]*TABLA_BASE[[#This Row],[CANTIDAD
(unid.)]]</f>
        <v>0</v>
      </c>
      <c r="W398" s="281">
        <f>TABLA_BASE[[#This Row],[IPM UNIT.
(US$)
✅CF]]*'📋 Datos Generales'!$E$19</f>
        <v>0</v>
      </c>
      <c r="X398" s="281">
        <f>TABLA_BASE[[#This Row],[IPM UNIT.
(S/.)]]*TABLA_BASE[[#This Row],[CANTIDAD
(unid.)]]</f>
        <v>0</v>
      </c>
      <c r="Y398" s="281">
        <f>TABLA_BASE[[#This Row],[IGV UNIT.
(US$)
✅CF]]*'📋 Datos Generales'!$E$19</f>
        <v>0</v>
      </c>
      <c r="Z398" s="281">
        <f>TABLA_BASE[[#This Row],[IGV UNIT.
(S/.)]]*TABLA_BASE[[#This Row],[CANTIDAD
(unid.)]]</f>
        <v>0</v>
      </c>
      <c r="AA398" s="281">
        <f>TABLA_BASE[[#This Row],[PERCEP.
UNIT.(US$)
✅CF]]*'📋 Datos Generales'!$E$19</f>
        <v>0</v>
      </c>
      <c r="AB398" s="281">
        <f>TABLA_BASE[[#This Row],[PERCEP.
UNIT.(S/.)]]*TABLA_BASE[[#This Row],[CANTIDAD
(unid.)]]</f>
        <v>0</v>
      </c>
      <c r="AC398" s="279">
        <f>TABLA_BASE[[#This Row],[ADV UNIT.
(US$)
⚠️COSTO]]+TABLA_BASE[[#This Row],[IPM UNIT.
(US$)
✅CF]]+TABLA_BASE[[#This Row],[IGV UNIT.
(US$)
✅CF]]+TABLA_BASE[[#This Row],[PERCEP.
UNIT.(US$)
✅CF]]</f>
        <v>0</v>
      </c>
      <c r="AD398" s="279">
        <f>TABLA_BASE[[#This Row],[TOTAL PAGO
SUNAT
UNIT.(US$)]]*TABLA_BASE[[#This Row],[CANTIDAD
(unid.)]]</f>
        <v>0</v>
      </c>
      <c r="AE398" s="281">
        <f>TABLA_BASE[[#This Row],[TOTAL PAGO
SUNAT
UNIT.(US$)]]*'📋 Datos Generales'!$E$19</f>
        <v>0</v>
      </c>
      <c r="AF398" s="281">
        <f>TABLA_BASE[[#This Row],[TOTAL TRIB.
UNIT.(S/.)]]*TABLA_BASE[[#This Row],[CANTIDAD
(unid.)]]</f>
        <v>0</v>
      </c>
      <c r="AG398" s="279">
        <f>IF('🧾 Factura Comercial'!G402=0,0,'📦 Gastos Importación'!$E$28*(IF('🧾 Tributos Aduana'!$F$6=0,0,'🧾 Factura Comercial'!I402/'🧾 Tributos Aduana'!$F$6))/'🧾 Factura Comercial'!G402)</f>
        <v>0</v>
      </c>
      <c r="AH398" s="279">
        <f>TABLA_BASE[[#This Row],[GASTOS IMP.
UNIT.(US$)]]*TABLA_BASE[[#This Row],[CANTIDAD
(unid.)]]</f>
        <v>0</v>
      </c>
      <c r="AI398" s="281">
        <f>TABLA_BASE[[#This Row],[GASTOS IMP.
UNIT.(US$)]]*'📋 Datos Generales'!$E$19</f>
        <v>0</v>
      </c>
      <c r="AJ398" s="281">
        <f>TABLA_BASE[[#This Row],[GASTOS IMP.
UNIT.(S/.)]]*TABLA_BASE[[#This Row],[CANTIDAD
(unid.)]]</f>
        <v>0</v>
      </c>
      <c r="AK398" s="280">
        <f>'🧮 Costos x Producto'!J402</f>
        <v>0</v>
      </c>
      <c r="AL398" s="278">
        <f>'🧮 Costos x Producto'!K402</f>
        <v>0</v>
      </c>
      <c r="AM398" s="278">
        <f>TABLA_BASE[[#This Row],[C/M UNIT.
(S/.)]]*TABLA_BASE[[#This Row],[CANTIDAD
(unid.)]]</f>
        <v>0</v>
      </c>
      <c r="AN398" s="279">
        <f>IF('🧾 Factura Comercial'!G402=0,0,'🧾 Tributos Aduana'!$F$17*(IF('🧾 Tributos Aduana'!$F$6=0,0,'🧾 Factura Comercial'!I402/'🧾 Tributos Aduana'!$F$6))/'🧾 Factura Comercial'!G402)</f>
        <v>0</v>
      </c>
      <c r="AO398" s="280">
        <f>IF('🧾 Factura Comercial'!G402=0,0,'🏦 Crédito Fiscal'!$C$16*(IF('🧾 Tributos Aduana'!$F$6=0,0,'🧾 Factura Comercial'!I402/'🧾 Tributos Aduana'!$F$6))/'🧾 Factura Comercial'!G402)</f>
        <v>0</v>
      </c>
      <c r="AP398" s="278">
        <f>TABLA_BASE[[#This Row],[CF UNIT.
✅RECUP.
(US$)]]*'📋 Datos Generales'!$E$19</f>
        <v>0</v>
      </c>
      <c r="AQ398" s="278">
        <f>TABLA_BASE[[#This Row],[CF UNIT.
✅RECUP.(S/.)]]*TABLA_BASE[[#This Row],[CANTIDAD
(unid.)]]</f>
        <v>0</v>
      </c>
      <c r="AR398" s="288">
        <f>'💰 Precio de Venta'!G403</f>
        <v>0.4</v>
      </c>
      <c r="AS398" s="278">
        <f>'💰 Precio de Venta'!H403</f>
        <v>0</v>
      </c>
      <c r="AT398" s="278">
        <f>TABLA_BASE[[#This Row],[VALOR VTA.
UNIT.(S/.)]]*TABLA_BASE[[#This Row],[CANTIDAD
(unid.)]]</f>
        <v>0</v>
      </c>
      <c r="AU398" s="281">
        <f>'💰 Precio de Venta'!I403</f>
        <v>0</v>
      </c>
      <c r="AV398" s="278">
        <f>'💰 Precio de Venta'!J403</f>
        <v>0</v>
      </c>
      <c r="AW398" s="278">
        <f>TABLA_BASE[[#This Row],[GANANCIA
UNIT.(S/.)]]*TABLA_BASE[[#This Row],[CANTIDAD
(unid.)]]</f>
        <v>0</v>
      </c>
      <c r="AX398" s="289">
        <f>'💰 Precio de Venta'!K403</f>
        <v>0</v>
      </c>
      <c r="AY398" s="278">
        <f>TABLA_BASE[[#This Row],[GANANCIA
UNIT.(S/.)]]*'🧾 Factura Comercial'!G402</f>
        <v>0</v>
      </c>
      <c r="AZ398" s="277">
        <f>IF(TABLA_BASE[[#This Row],[PRECIO VTA.
c/IGV(S/.)]]=0,0,TABLA_BASE[[#This Row],[GANANCIA
UNIT.(S/.)]]/TABLA_BASE[[#This Row],[PRECIO VTA.
c/IGV(S/.)]])</f>
        <v>0</v>
      </c>
      <c r="BA398" s="277">
        <f>IF(TABLA_BASE[[#This Row],[C/M UNIT.
(S/.)]]=0,0,TABLA_BASE[[#This Row],[GANANCIA
UNIT.(S/.)]]/TABLA_BASE[[#This Row],[C/M UNIT.
(S/.)]])</f>
        <v>0</v>
      </c>
      <c r="BB398" s="274" t="str">
        <f>IF(TABLA_BASE[[#This Row],[MARGEN
%]]&gt;=0.5,"🟢 ALTO",IF(TABLA_BASE[[#This Row],[MARGEN
%]]&gt;=0.3,"🟡 MEDIO","🔴 BAJO"))</f>
        <v>🟡 MEDIO</v>
      </c>
    </row>
    <row r="399" spans="1:54" ht="16.5" hidden="1" thickTop="1" thickBot="1" x14ac:dyDescent="0.3">
      <c r="A399" s="274">
        <f>'🧾 Factura Comercial'!E403</f>
        <v>0</v>
      </c>
      <c r="B399" s="274" t="str">
        <f>'🧾 Factura Comercial'!F403</f>
        <v>Unid.</v>
      </c>
      <c r="C399" s="275">
        <f>'🧾 Factura Comercial'!G403</f>
        <v>0</v>
      </c>
      <c r="D399" s="276">
        <f>'🧾 Factura Comercial'!H403</f>
        <v>0</v>
      </c>
      <c r="E399" s="276">
        <f>'🧾 Factura Comercial'!I403</f>
        <v>0</v>
      </c>
      <c r="F399" s="277">
        <f>IF('🧾 Tributos Aduana'!$F$6=0,0,'🧾 Factura Comercial'!I403/'🧾 Tributos Aduana'!$F$6)</f>
        <v>0</v>
      </c>
      <c r="G399" s="278">
        <f>'🧾 Factura Comercial'!H403*'📋 Datos Generales'!$E$19</f>
        <v>0</v>
      </c>
      <c r="H399" s="278">
        <f>TABLA_BASE[[#This Row],[FOB UNIT.
(S/.)]]*TABLA_BASE[[#This Row],[CANTIDAD
(unid.)]]</f>
        <v>0</v>
      </c>
      <c r="I399" s="280">
        <f>IF('🧾 Tributos Aduana'!$F$6=0,0,'🧾 Tributos Aduana'!$F$17*('🧾 Factura Comercial'!H403/'🧾 Tributos Aduana'!$F$6))</f>
        <v>0</v>
      </c>
      <c r="J399" s="280">
        <f>TABLA_BASE[[#This Row],[ADV UNIT.
(US$)
⚠️COSTO]]*TABLA_BASE[[#This Row],[CANTIDAD
(unid.)]]</f>
        <v>0</v>
      </c>
      <c r="K399" s="279">
        <f>IF('🧾 Tributos Aduana'!$F$6=0,0,'🧾 Tributos Aduana'!$F$18*('🧾 Factura Comercial'!H403/'🧾 Tributos Aduana'!$F$6))</f>
        <v>0</v>
      </c>
      <c r="L399" s="280">
        <f>TABLA_BASE[[#This Row],[IPM UNIT.
(US$)
✅CF]]*TABLA_BASE[[#This Row],[CANTIDAD
(unid.)]]</f>
        <v>0</v>
      </c>
      <c r="M399" s="279">
        <f>IF('🧾 Tributos Aduana'!$F$6=0,0,'🧾 Tributos Aduana'!$F$19*('🧾 Factura Comercial'!H403/'🧾 Tributos Aduana'!$F$6))</f>
        <v>0</v>
      </c>
      <c r="N399" s="280">
        <f>TABLA_BASE[[#This Row],[IGV UNIT.
(US$)
✅CF]]*TABLA_BASE[[#This Row],[CANTIDAD
(unid.)]]</f>
        <v>0</v>
      </c>
      <c r="O399" s="280">
        <f>IF('🧾 Tributos Aduana'!$F$6=0,0,'🧾 Tributos Aduana'!$F$23*('🧾 Factura Comercial'!H403/'🧾 Tributos Aduana'!$F$6))</f>
        <v>0</v>
      </c>
      <c r="P399" s="280">
        <f>TABLA_BASE[[#This Row],[PERCEP.
UNIT.(US$)
✅CF]]*TABLA_BASE[[#This Row],[CANTIDAD
(unid.)]]</f>
        <v>0</v>
      </c>
      <c r="Q399" s="279">
        <f>TABLA_BASE[[#This Row],[ADV UNIT.
(US$)
⚠️COSTO]]+TABLA_BASE[[#This Row],[IPM UNIT.
(US$)
✅CF]]+TABLA_BASE[[#This Row],[IGV UNIT.
(US$)
✅CF]]</f>
        <v>0</v>
      </c>
      <c r="R399" s="280">
        <f>TABLA_BASE[[#This Row],[DEUDA
ADUANERA
UNIT.]]*TABLA_BASE[[#This Row],[CANTIDAD
(unid.)]]</f>
        <v>0</v>
      </c>
      <c r="S399" s="278">
        <f>TABLA_BASE[[#This Row],[DEUDA
ADUANERA
UNIT.]]*'📋 Datos Generales'!$E$19</f>
        <v>0</v>
      </c>
      <c r="T399" s="278">
        <f>TABLA_BASE[[#This Row],[DEUDA
ADUANERA
TOTAL]]*'📋 Datos Generales'!$E$19</f>
        <v>0</v>
      </c>
      <c r="U399" s="281">
        <f>TABLA_BASE[[#This Row],[ADV UNIT.
(US$)
⚠️COSTO]]*'📋 Datos Generales'!$E$19</f>
        <v>0</v>
      </c>
      <c r="V399" s="281">
        <f>TABLA_BASE[[#This Row],[ADV UNIT.
(S/.)]]*TABLA_BASE[[#This Row],[CANTIDAD
(unid.)]]</f>
        <v>0</v>
      </c>
      <c r="W399" s="281">
        <f>TABLA_BASE[[#This Row],[IPM UNIT.
(US$)
✅CF]]*'📋 Datos Generales'!$E$19</f>
        <v>0</v>
      </c>
      <c r="X399" s="281">
        <f>TABLA_BASE[[#This Row],[IPM UNIT.
(S/.)]]*TABLA_BASE[[#This Row],[CANTIDAD
(unid.)]]</f>
        <v>0</v>
      </c>
      <c r="Y399" s="281">
        <f>TABLA_BASE[[#This Row],[IGV UNIT.
(US$)
✅CF]]*'📋 Datos Generales'!$E$19</f>
        <v>0</v>
      </c>
      <c r="Z399" s="281">
        <f>TABLA_BASE[[#This Row],[IGV UNIT.
(S/.)]]*TABLA_BASE[[#This Row],[CANTIDAD
(unid.)]]</f>
        <v>0</v>
      </c>
      <c r="AA399" s="281">
        <f>TABLA_BASE[[#This Row],[PERCEP.
UNIT.(US$)
✅CF]]*'📋 Datos Generales'!$E$19</f>
        <v>0</v>
      </c>
      <c r="AB399" s="281">
        <f>TABLA_BASE[[#This Row],[PERCEP.
UNIT.(S/.)]]*TABLA_BASE[[#This Row],[CANTIDAD
(unid.)]]</f>
        <v>0</v>
      </c>
      <c r="AC399" s="279">
        <f>TABLA_BASE[[#This Row],[ADV UNIT.
(US$)
⚠️COSTO]]+TABLA_BASE[[#This Row],[IPM UNIT.
(US$)
✅CF]]+TABLA_BASE[[#This Row],[IGV UNIT.
(US$)
✅CF]]+TABLA_BASE[[#This Row],[PERCEP.
UNIT.(US$)
✅CF]]</f>
        <v>0</v>
      </c>
      <c r="AD399" s="279">
        <f>TABLA_BASE[[#This Row],[TOTAL PAGO
SUNAT
UNIT.(US$)]]*TABLA_BASE[[#This Row],[CANTIDAD
(unid.)]]</f>
        <v>0</v>
      </c>
      <c r="AE399" s="281">
        <f>TABLA_BASE[[#This Row],[TOTAL PAGO
SUNAT
UNIT.(US$)]]*'📋 Datos Generales'!$E$19</f>
        <v>0</v>
      </c>
      <c r="AF399" s="281">
        <f>TABLA_BASE[[#This Row],[TOTAL TRIB.
UNIT.(S/.)]]*TABLA_BASE[[#This Row],[CANTIDAD
(unid.)]]</f>
        <v>0</v>
      </c>
      <c r="AG399" s="279">
        <f>IF('🧾 Factura Comercial'!G403=0,0,'📦 Gastos Importación'!$E$28*(IF('🧾 Tributos Aduana'!$F$6=0,0,'🧾 Factura Comercial'!I403/'🧾 Tributos Aduana'!$F$6))/'🧾 Factura Comercial'!G403)</f>
        <v>0</v>
      </c>
      <c r="AH399" s="279">
        <f>TABLA_BASE[[#This Row],[GASTOS IMP.
UNIT.(US$)]]*TABLA_BASE[[#This Row],[CANTIDAD
(unid.)]]</f>
        <v>0</v>
      </c>
      <c r="AI399" s="281">
        <f>TABLA_BASE[[#This Row],[GASTOS IMP.
UNIT.(US$)]]*'📋 Datos Generales'!$E$19</f>
        <v>0</v>
      </c>
      <c r="AJ399" s="281">
        <f>TABLA_BASE[[#This Row],[GASTOS IMP.
UNIT.(S/.)]]*TABLA_BASE[[#This Row],[CANTIDAD
(unid.)]]</f>
        <v>0</v>
      </c>
      <c r="AK399" s="280">
        <f>'🧮 Costos x Producto'!J403</f>
        <v>0</v>
      </c>
      <c r="AL399" s="278">
        <f>'🧮 Costos x Producto'!K403</f>
        <v>0</v>
      </c>
      <c r="AM399" s="278">
        <f>TABLA_BASE[[#This Row],[C/M UNIT.
(S/.)]]*TABLA_BASE[[#This Row],[CANTIDAD
(unid.)]]</f>
        <v>0</v>
      </c>
      <c r="AN399" s="279">
        <f>IF('🧾 Factura Comercial'!G403=0,0,'🧾 Tributos Aduana'!$F$17*(IF('🧾 Tributos Aduana'!$F$6=0,0,'🧾 Factura Comercial'!I403/'🧾 Tributos Aduana'!$F$6))/'🧾 Factura Comercial'!G403)</f>
        <v>0</v>
      </c>
      <c r="AO399" s="280">
        <f>IF('🧾 Factura Comercial'!G403=0,0,'🏦 Crédito Fiscal'!$C$16*(IF('🧾 Tributos Aduana'!$F$6=0,0,'🧾 Factura Comercial'!I403/'🧾 Tributos Aduana'!$F$6))/'🧾 Factura Comercial'!G403)</f>
        <v>0</v>
      </c>
      <c r="AP399" s="278">
        <f>TABLA_BASE[[#This Row],[CF UNIT.
✅RECUP.
(US$)]]*'📋 Datos Generales'!$E$19</f>
        <v>0</v>
      </c>
      <c r="AQ399" s="278">
        <f>TABLA_BASE[[#This Row],[CF UNIT.
✅RECUP.(S/.)]]*TABLA_BASE[[#This Row],[CANTIDAD
(unid.)]]</f>
        <v>0</v>
      </c>
      <c r="AR399" s="288">
        <f>'💰 Precio de Venta'!G404</f>
        <v>0.4</v>
      </c>
      <c r="AS399" s="278">
        <f>'💰 Precio de Venta'!H404</f>
        <v>0</v>
      </c>
      <c r="AT399" s="278">
        <f>TABLA_BASE[[#This Row],[VALOR VTA.
UNIT.(S/.)]]*TABLA_BASE[[#This Row],[CANTIDAD
(unid.)]]</f>
        <v>0</v>
      </c>
      <c r="AU399" s="281">
        <f>'💰 Precio de Venta'!I404</f>
        <v>0</v>
      </c>
      <c r="AV399" s="278">
        <f>'💰 Precio de Venta'!J404</f>
        <v>0</v>
      </c>
      <c r="AW399" s="278">
        <f>TABLA_BASE[[#This Row],[GANANCIA
UNIT.(S/.)]]*TABLA_BASE[[#This Row],[CANTIDAD
(unid.)]]</f>
        <v>0</v>
      </c>
      <c r="AX399" s="289">
        <f>'💰 Precio de Venta'!K404</f>
        <v>0</v>
      </c>
      <c r="AY399" s="278">
        <f>TABLA_BASE[[#This Row],[GANANCIA
UNIT.(S/.)]]*'🧾 Factura Comercial'!G403</f>
        <v>0</v>
      </c>
      <c r="AZ399" s="277">
        <f>IF(TABLA_BASE[[#This Row],[PRECIO VTA.
c/IGV(S/.)]]=0,0,TABLA_BASE[[#This Row],[GANANCIA
UNIT.(S/.)]]/TABLA_BASE[[#This Row],[PRECIO VTA.
c/IGV(S/.)]])</f>
        <v>0</v>
      </c>
      <c r="BA399" s="277">
        <f>IF(TABLA_BASE[[#This Row],[C/M UNIT.
(S/.)]]=0,0,TABLA_BASE[[#This Row],[GANANCIA
UNIT.(S/.)]]/TABLA_BASE[[#This Row],[C/M UNIT.
(S/.)]])</f>
        <v>0</v>
      </c>
      <c r="BB399" s="274" t="str">
        <f>IF(TABLA_BASE[[#This Row],[MARGEN
%]]&gt;=0.5,"🟢 ALTO",IF(TABLA_BASE[[#This Row],[MARGEN
%]]&gt;=0.3,"🟡 MEDIO","🔴 BAJO"))</f>
        <v>🟡 MEDIO</v>
      </c>
    </row>
    <row r="400" spans="1:54" ht="16.5" hidden="1" thickTop="1" thickBot="1" x14ac:dyDescent="0.3">
      <c r="A400" s="274">
        <f>'🧾 Factura Comercial'!E404</f>
        <v>0</v>
      </c>
      <c r="B400" s="274" t="str">
        <f>'🧾 Factura Comercial'!F404</f>
        <v>Unid.</v>
      </c>
      <c r="C400" s="275">
        <f>'🧾 Factura Comercial'!G404</f>
        <v>0</v>
      </c>
      <c r="D400" s="276">
        <f>'🧾 Factura Comercial'!H404</f>
        <v>0</v>
      </c>
      <c r="E400" s="276">
        <f>'🧾 Factura Comercial'!I404</f>
        <v>0</v>
      </c>
      <c r="F400" s="277">
        <f>IF('🧾 Tributos Aduana'!$F$6=0,0,'🧾 Factura Comercial'!I404/'🧾 Tributos Aduana'!$F$6)</f>
        <v>0</v>
      </c>
      <c r="G400" s="278">
        <f>'🧾 Factura Comercial'!H404*'📋 Datos Generales'!$E$19</f>
        <v>0</v>
      </c>
      <c r="H400" s="278">
        <f>TABLA_BASE[[#This Row],[FOB UNIT.
(S/.)]]*TABLA_BASE[[#This Row],[CANTIDAD
(unid.)]]</f>
        <v>0</v>
      </c>
      <c r="I400" s="280">
        <f>IF('🧾 Tributos Aduana'!$F$6=0,0,'🧾 Tributos Aduana'!$F$17*('🧾 Factura Comercial'!H404/'🧾 Tributos Aduana'!$F$6))</f>
        <v>0</v>
      </c>
      <c r="J400" s="280">
        <f>TABLA_BASE[[#This Row],[ADV UNIT.
(US$)
⚠️COSTO]]*TABLA_BASE[[#This Row],[CANTIDAD
(unid.)]]</f>
        <v>0</v>
      </c>
      <c r="K400" s="279">
        <f>IF('🧾 Tributos Aduana'!$F$6=0,0,'🧾 Tributos Aduana'!$F$18*('🧾 Factura Comercial'!H404/'🧾 Tributos Aduana'!$F$6))</f>
        <v>0</v>
      </c>
      <c r="L400" s="280">
        <f>TABLA_BASE[[#This Row],[IPM UNIT.
(US$)
✅CF]]*TABLA_BASE[[#This Row],[CANTIDAD
(unid.)]]</f>
        <v>0</v>
      </c>
      <c r="M400" s="279">
        <f>IF('🧾 Tributos Aduana'!$F$6=0,0,'🧾 Tributos Aduana'!$F$19*('🧾 Factura Comercial'!H404/'🧾 Tributos Aduana'!$F$6))</f>
        <v>0</v>
      </c>
      <c r="N400" s="280">
        <f>TABLA_BASE[[#This Row],[IGV UNIT.
(US$)
✅CF]]*TABLA_BASE[[#This Row],[CANTIDAD
(unid.)]]</f>
        <v>0</v>
      </c>
      <c r="O400" s="280">
        <f>IF('🧾 Tributos Aduana'!$F$6=0,0,'🧾 Tributos Aduana'!$F$23*('🧾 Factura Comercial'!H404/'🧾 Tributos Aduana'!$F$6))</f>
        <v>0</v>
      </c>
      <c r="P400" s="280">
        <f>TABLA_BASE[[#This Row],[PERCEP.
UNIT.(US$)
✅CF]]*TABLA_BASE[[#This Row],[CANTIDAD
(unid.)]]</f>
        <v>0</v>
      </c>
      <c r="Q400" s="279">
        <f>TABLA_BASE[[#This Row],[ADV UNIT.
(US$)
⚠️COSTO]]+TABLA_BASE[[#This Row],[IPM UNIT.
(US$)
✅CF]]+TABLA_BASE[[#This Row],[IGV UNIT.
(US$)
✅CF]]</f>
        <v>0</v>
      </c>
      <c r="R400" s="280">
        <f>TABLA_BASE[[#This Row],[DEUDA
ADUANERA
UNIT.]]*TABLA_BASE[[#This Row],[CANTIDAD
(unid.)]]</f>
        <v>0</v>
      </c>
      <c r="S400" s="278">
        <f>TABLA_BASE[[#This Row],[DEUDA
ADUANERA
UNIT.]]*'📋 Datos Generales'!$E$19</f>
        <v>0</v>
      </c>
      <c r="T400" s="278">
        <f>TABLA_BASE[[#This Row],[DEUDA
ADUANERA
TOTAL]]*'📋 Datos Generales'!$E$19</f>
        <v>0</v>
      </c>
      <c r="U400" s="281">
        <f>TABLA_BASE[[#This Row],[ADV UNIT.
(US$)
⚠️COSTO]]*'📋 Datos Generales'!$E$19</f>
        <v>0</v>
      </c>
      <c r="V400" s="281">
        <f>TABLA_BASE[[#This Row],[ADV UNIT.
(S/.)]]*TABLA_BASE[[#This Row],[CANTIDAD
(unid.)]]</f>
        <v>0</v>
      </c>
      <c r="W400" s="281">
        <f>TABLA_BASE[[#This Row],[IPM UNIT.
(US$)
✅CF]]*'📋 Datos Generales'!$E$19</f>
        <v>0</v>
      </c>
      <c r="X400" s="281">
        <f>TABLA_BASE[[#This Row],[IPM UNIT.
(S/.)]]*TABLA_BASE[[#This Row],[CANTIDAD
(unid.)]]</f>
        <v>0</v>
      </c>
      <c r="Y400" s="281">
        <f>TABLA_BASE[[#This Row],[IGV UNIT.
(US$)
✅CF]]*'📋 Datos Generales'!$E$19</f>
        <v>0</v>
      </c>
      <c r="Z400" s="281">
        <f>TABLA_BASE[[#This Row],[IGV UNIT.
(S/.)]]*TABLA_BASE[[#This Row],[CANTIDAD
(unid.)]]</f>
        <v>0</v>
      </c>
      <c r="AA400" s="281">
        <f>TABLA_BASE[[#This Row],[PERCEP.
UNIT.(US$)
✅CF]]*'📋 Datos Generales'!$E$19</f>
        <v>0</v>
      </c>
      <c r="AB400" s="281">
        <f>TABLA_BASE[[#This Row],[PERCEP.
UNIT.(S/.)]]*TABLA_BASE[[#This Row],[CANTIDAD
(unid.)]]</f>
        <v>0</v>
      </c>
      <c r="AC400" s="279">
        <f>TABLA_BASE[[#This Row],[ADV UNIT.
(US$)
⚠️COSTO]]+TABLA_BASE[[#This Row],[IPM UNIT.
(US$)
✅CF]]+TABLA_BASE[[#This Row],[IGV UNIT.
(US$)
✅CF]]+TABLA_BASE[[#This Row],[PERCEP.
UNIT.(US$)
✅CF]]</f>
        <v>0</v>
      </c>
      <c r="AD400" s="279">
        <f>TABLA_BASE[[#This Row],[TOTAL PAGO
SUNAT
UNIT.(US$)]]*TABLA_BASE[[#This Row],[CANTIDAD
(unid.)]]</f>
        <v>0</v>
      </c>
      <c r="AE400" s="281">
        <f>TABLA_BASE[[#This Row],[TOTAL PAGO
SUNAT
UNIT.(US$)]]*'📋 Datos Generales'!$E$19</f>
        <v>0</v>
      </c>
      <c r="AF400" s="281">
        <f>TABLA_BASE[[#This Row],[TOTAL TRIB.
UNIT.(S/.)]]*TABLA_BASE[[#This Row],[CANTIDAD
(unid.)]]</f>
        <v>0</v>
      </c>
      <c r="AG400" s="279">
        <f>IF('🧾 Factura Comercial'!G404=0,0,'📦 Gastos Importación'!$E$28*(IF('🧾 Tributos Aduana'!$F$6=0,0,'🧾 Factura Comercial'!I404/'🧾 Tributos Aduana'!$F$6))/'🧾 Factura Comercial'!G404)</f>
        <v>0</v>
      </c>
      <c r="AH400" s="279">
        <f>TABLA_BASE[[#This Row],[GASTOS IMP.
UNIT.(US$)]]*TABLA_BASE[[#This Row],[CANTIDAD
(unid.)]]</f>
        <v>0</v>
      </c>
      <c r="AI400" s="281">
        <f>TABLA_BASE[[#This Row],[GASTOS IMP.
UNIT.(US$)]]*'📋 Datos Generales'!$E$19</f>
        <v>0</v>
      </c>
      <c r="AJ400" s="281">
        <f>TABLA_BASE[[#This Row],[GASTOS IMP.
UNIT.(S/.)]]*TABLA_BASE[[#This Row],[CANTIDAD
(unid.)]]</f>
        <v>0</v>
      </c>
      <c r="AK400" s="280">
        <f>'🧮 Costos x Producto'!J404</f>
        <v>0</v>
      </c>
      <c r="AL400" s="278">
        <f>'🧮 Costos x Producto'!K404</f>
        <v>0</v>
      </c>
      <c r="AM400" s="278">
        <f>TABLA_BASE[[#This Row],[C/M UNIT.
(S/.)]]*TABLA_BASE[[#This Row],[CANTIDAD
(unid.)]]</f>
        <v>0</v>
      </c>
      <c r="AN400" s="279">
        <f>IF('🧾 Factura Comercial'!G404=0,0,'🧾 Tributos Aduana'!$F$17*(IF('🧾 Tributos Aduana'!$F$6=0,0,'🧾 Factura Comercial'!I404/'🧾 Tributos Aduana'!$F$6))/'🧾 Factura Comercial'!G404)</f>
        <v>0</v>
      </c>
      <c r="AO400" s="280">
        <f>IF('🧾 Factura Comercial'!G404=0,0,'🏦 Crédito Fiscal'!$C$16*(IF('🧾 Tributos Aduana'!$F$6=0,0,'🧾 Factura Comercial'!I404/'🧾 Tributos Aduana'!$F$6))/'🧾 Factura Comercial'!G404)</f>
        <v>0</v>
      </c>
      <c r="AP400" s="278">
        <f>TABLA_BASE[[#This Row],[CF UNIT.
✅RECUP.
(US$)]]*'📋 Datos Generales'!$E$19</f>
        <v>0</v>
      </c>
      <c r="AQ400" s="278">
        <f>TABLA_BASE[[#This Row],[CF UNIT.
✅RECUP.(S/.)]]*TABLA_BASE[[#This Row],[CANTIDAD
(unid.)]]</f>
        <v>0</v>
      </c>
      <c r="AR400" s="288">
        <f>'💰 Precio de Venta'!G405</f>
        <v>0.4</v>
      </c>
      <c r="AS400" s="278">
        <f>'💰 Precio de Venta'!H405</f>
        <v>0</v>
      </c>
      <c r="AT400" s="278">
        <f>TABLA_BASE[[#This Row],[VALOR VTA.
UNIT.(S/.)]]*TABLA_BASE[[#This Row],[CANTIDAD
(unid.)]]</f>
        <v>0</v>
      </c>
      <c r="AU400" s="281">
        <f>'💰 Precio de Venta'!I405</f>
        <v>0</v>
      </c>
      <c r="AV400" s="278">
        <f>'💰 Precio de Venta'!J405</f>
        <v>0</v>
      </c>
      <c r="AW400" s="278">
        <f>TABLA_BASE[[#This Row],[GANANCIA
UNIT.(S/.)]]*TABLA_BASE[[#This Row],[CANTIDAD
(unid.)]]</f>
        <v>0</v>
      </c>
      <c r="AX400" s="289">
        <f>'💰 Precio de Venta'!K405</f>
        <v>0</v>
      </c>
      <c r="AY400" s="278">
        <f>TABLA_BASE[[#This Row],[GANANCIA
UNIT.(S/.)]]*'🧾 Factura Comercial'!G404</f>
        <v>0</v>
      </c>
      <c r="AZ400" s="277">
        <f>IF(TABLA_BASE[[#This Row],[PRECIO VTA.
c/IGV(S/.)]]=0,0,TABLA_BASE[[#This Row],[GANANCIA
UNIT.(S/.)]]/TABLA_BASE[[#This Row],[PRECIO VTA.
c/IGV(S/.)]])</f>
        <v>0</v>
      </c>
      <c r="BA400" s="277">
        <f>IF(TABLA_BASE[[#This Row],[C/M UNIT.
(S/.)]]=0,0,TABLA_BASE[[#This Row],[GANANCIA
UNIT.(S/.)]]/TABLA_BASE[[#This Row],[C/M UNIT.
(S/.)]])</f>
        <v>0</v>
      </c>
      <c r="BB400" s="274" t="str">
        <f>IF(TABLA_BASE[[#This Row],[MARGEN
%]]&gt;=0.5,"🟢 ALTO",IF(TABLA_BASE[[#This Row],[MARGEN
%]]&gt;=0.3,"🟡 MEDIO","🔴 BAJO"))</f>
        <v>🟡 MEDIO</v>
      </c>
    </row>
    <row r="401" spans="1:54" ht="16.5" hidden="1" thickTop="1" thickBot="1" x14ac:dyDescent="0.3">
      <c r="A401" s="274">
        <f>'🧾 Factura Comercial'!E405</f>
        <v>0</v>
      </c>
      <c r="B401" s="274" t="str">
        <f>'🧾 Factura Comercial'!F405</f>
        <v>Unid.</v>
      </c>
      <c r="C401" s="275">
        <f>'🧾 Factura Comercial'!G405</f>
        <v>0</v>
      </c>
      <c r="D401" s="276">
        <f>'🧾 Factura Comercial'!H405</f>
        <v>0</v>
      </c>
      <c r="E401" s="276">
        <f>'🧾 Factura Comercial'!I405</f>
        <v>0</v>
      </c>
      <c r="F401" s="277">
        <f>IF('🧾 Tributos Aduana'!$F$6=0,0,'🧾 Factura Comercial'!I405/'🧾 Tributos Aduana'!$F$6)</f>
        <v>0</v>
      </c>
      <c r="G401" s="278">
        <f>'🧾 Factura Comercial'!H405*'📋 Datos Generales'!$E$19</f>
        <v>0</v>
      </c>
      <c r="H401" s="278">
        <f>TABLA_BASE[[#This Row],[FOB UNIT.
(S/.)]]*TABLA_BASE[[#This Row],[CANTIDAD
(unid.)]]</f>
        <v>0</v>
      </c>
      <c r="I401" s="280">
        <f>IF('🧾 Tributos Aduana'!$F$6=0,0,'🧾 Tributos Aduana'!$F$17*('🧾 Factura Comercial'!H405/'🧾 Tributos Aduana'!$F$6))</f>
        <v>0</v>
      </c>
      <c r="J401" s="280">
        <f>TABLA_BASE[[#This Row],[ADV UNIT.
(US$)
⚠️COSTO]]*TABLA_BASE[[#This Row],[CANTIDAD
(unid.)]]</f>
        <v>0</v>
      </c>
      <c r="K401" s="279">
        <f>IF('🧾 Tributos Aduana'!$F$6=0,0,'🧾 Tributos Aduana'!$F$18*('🧾 Factura Comercial'!H405/'🧾 Tributos Aduana'!$F$6))</f>
        <v>0</v>
      </c>
      <c r="L401" s="280">
        <f>TABLA_BASE[[#This Row],[IPM UNIT.
(US$)
✅CF]]*TABLA_BASE[[#This Row],[CANTIDAD
(unid.)]]</f>
        <v>0</v>
      </c>
      <c r="M401" s="279">
        <f>IF('🧾 Tributos Aduana'!$F$6=0,0,'🧾 Tributos Aduana'!$F$19*('🧾 Factura Comercial'!H405/'🧾 Tributos Aduana'!$F$6))</f>
        <v>0</v>
      </c>
      <c r="N401" s="280">
        <f>TABLA_BASE[[#This Row],[IGV UNIT.
(US$)
✅CF]]*TABLA_BASE[[#This Row],[CANTIDAD
(unid.)]]</f>
        <v>0</v>
      </c>
      <c r="O401" s="280">
        <f>IF('🧾 Tributos Aduana'!$F$6=0,0,'🧾 Tributos Aduana'!$F$23*('🧾 Factura Comercial'!H405/'🧾 Tributos Aduana'!$F$6))</f>
        <v>0</v>
      </c>
      <c r="P401" s="280">
        <f>TABLA_BASE[[#This Row],[PERCEP.
UNIT.(US$)
✅CF]]*TABLA_BASE[[#This Row],[CANTIDAD
(unid.)]]</f>
        <v>0</v>
      </c>
      <c r="Q401" s="279">
        <f>TABLA_BASE[[#This Row],[ADV UNIT.
(US$)
⚠️COSTO]]+TABLA_BASE[[#This Row],[IPM UNIT.
(US$)
✅CF]]+TABLA_BASE[[#This Row],[IGV UNIT.
(US$)
✅CF]]</f>
        <v>0</v>
      </c>
      <c r="R401" s="280">
        <f>TABLA_BASE[[#This Row],[DEUDA
ADUANERA
UNIT.]]*TABLA_BASE[[#This Row],[CANTIDAD
(unid.)]]</f>
        <v>0</v>
      </c>
      <c r="S401" s="278">
        <f>TABLA_BASE[[#This Row],[DEUDA
ADUANERA
UNIT.]]*'📋 Datos Generales'!$E$19</f>
        <v>0</v>
      </c>
      <c r="T401" s="278">
        <f>TABLA_BASE[[#This Row],[DEUDA
ADUANERA
TOTAL]]*'📋 Datos Generales'!$E$19</f>
        <v>0</v>
      </c>
      <c r="U401" s="281">
        <f>TABLA_BASE[[#This Row],[ADV UNIT.
(US$)
⚠️COSTO]]*'📋 Datos Generales'!$E$19</f>
        <v>0</v>
      </c>
      <c r="V401" s="281">
        <f>TABLA_BASE[[#This Row],[ADV UNIT.
(S/.)]]*TABLA_BASE[[#This Row],[CANTIDAD
(unid.)]]</f>
        <v>0</v>
      </c>
      <c r="W401" s="281">
        <f>TABLA_BASE[[#This Row],[IPM UNIT.
(US$)
✅CF]]*'📋 Datos Generales'!$E$19</f>
        <v>0</v>
      </c>
      <c r="X401" s="281">
        <f>TABLA_BASE[[#This Row],[IPM UNIT.
(S/.)]]*TABLA_BASE[[#This Row],[CANTIDAD
(unid.)]]</f>
        <v>0</v>
      </c>
      <c r="Y401" s="281">
        <f>TABLA_BASE[[#This Row],[IGV UNIT.
(US$)
✅CF]]*'📋 Datos Generales'!$E$19</f>
        <v>0</v>
      </c>
      <c r="Z401" s="281">
        <f>TABLA_BASE[[#This Row],[IGV UNIT.
(S/.)]]*TABLA_BASE[[#This Row],[CANTIDAD
(unid.)]]</f>
        <v>0</v>
      </c>
      <c r="AA401" s="281">
        <f>TABLA_BASE[[#This Row],[PERCEP.
UNIT.(US$)
✅CF]]*'📋 Datos Generales'!$E$19</f>
        <v>0</v>
      </c>
      <c r="AB401" s="281">
        <f>TABLA_BASE[[#This Row],[PERCEP.
UNIT.(S/.)]]*TABLA_BASE[[#This Row],[CANTIDAD
(unid.)]]</f>
        <v>0</v>
      </c>
      <c r="AC401" s="279">
        <f>TABLA_BASE[[#This Row],[ADV UNIT.
(US$)
⚠️COSTO]]+TABLA_BASE[[#This Row],[IPM UNIT.
(US$)
✅CF]]+TABLA_BASE[[#This Row],[IGV UNIT.
(US$)
✅CF]]+TABLA_BASE[[#This Row],[PERCEP.
UNIT.(US$)
✅CF]]</f>
        <v>0</v>
      </c>
      <c r="AD401" s="279">
        <f>TABLA_BASE[[#This Row],[TOTAL PAGO
SUNAT
UNIT.(US$)]]*TABLA_BASE[[#This Row],[CANTIDAD
(unid.)]]</f>
        <v>0</v>
      </c>
      <c r="AE401" s="281">
        <f>TABLA_BASE[[#This Row],[TOTAL PAGO
SUNAT
UNIT.(US$)]]*'📋 Datos Generales'!$E$19</f>
        <v>0</v>
      </c>
      <c r="AF401" s="281">
        <f>TABLA_BASE[[#This Row],[TOTAL TRIB.
UNIT.(S/.)]]*TABLA_BASE[[#This Row],[CANTIDAD
(unid.)]]</f>
        <v>0</v>
      </c>
      <c r="AG401" s="279">
        <f>IF('🧾 Factura Comercial'!G405=0,0,'📦 Gastos Importación'!$E$28*(IF('🧾 Tributos Aduana'!$F$6=0,0,'🧾 Factura Comercial'!I405/'🧾 Tributos Aduana'!$F$6))/'🧾 Factura Comercial'!G405)</f>
        <v>0</v>
      </c>
      <c r="AH401" s="279">
        <f>TABLA_BASE[[#This Row],[GASTOS IMP.
UNIT.(US$)]]*TABLA_BASE[[#This Row],[CANTIDAD
(unid.)]]</f>
        <v>0</v>
      </c>
      <c r="AI401" s="281">
        <f>TABLA_BASE[[#This Row],[GASTOS IMP.
UNIT.(US$)]]*'📋 Datos Generales'!$E$19</f>
        <v>0</v>
      </c>
      <c r="AJ401" s="281">
        <f>TABLA_BASE[[#This Row],[GASTOS IMP.
UNIT.(S/.)]]*TABLA_BASE[[#This Row],[CANTIDAD
(unid.)]]</f>
        <v>0</v>
      </c>
      <c r="AK401" s="280">
        <f>'🧮 Costos x Producto'!J405</f>
        <v>0</v>
      </c>
      <c r="AL401" s="278">
        <f>'🧮 Costos x Producto'!K405</f>
        <v>0</v>
      </c>
      <c r="AM401" s="278">
        <f>TABLA_BASE[[#This Row],[C/M UNIT.
(S/.)]]*TABLA_BASE[[#This Row],[CANTIDAD
(unid.)]]</f>
        <v>0</v>
      </c>
      <c r="AN401" s="279">
        <f>IF('🧾 Factura Comercial'!G405=0,0,'🧾 Tributos Aduana'!$F$17*(IF('🧾 Tributos Aduana'!$F$6=0,0,'🧾 Factura Comercial'!I405/'🧾 Tributos Aduana'!$F$6))/'🧾 Factura Comercial'!G405)</f>
        <v>0</v>
      </c>
      <c r="AO401" s="280">
        <f>IF('🧾 Factura Comercial'!G405=0,0,'🏦 Crédito Fiscal'!$C$16*(IF('🧾 Tributos Aduana'!$F$6=0,0,'🧾 Factura Comercial'!I405/'🧾 Tributos Aduana'!$F$6))/'🧾 Factura Comercial'!G405)</f>
        <v>0</v>
      </c>
      <c r="AP401" s="278">
        <f>TABLA_BASE[[#This Row],[CF UNIT.
✅RECUP.
(US$)]]*'📋 Datos Generales'!$E$19</f>
        <v>0</v>
      </c>
      <c r="AQ401" s="278">
        <f>TABLA_BASE[[#This Row],[CF UNIT.
✅RECUP.(S/.)]]*TABLA_BASE[[#This Row],[CANTIDAD
(unid.)]]</f>
        <v>0</v>
      </c>
      <c r="AR401" s="288">
        <f>'💰 Precio de Venta'!G406</f>
        <v>0.4</v>
      </c>
      <c r="AS401" s="278">
        <f>'💰 Precio de Venta'!H406</f>
        <v>0</v>
      </c>
      <c r="AT401" s="278">
        <f>TABLA_BASE[[#This Row],[VALOR VTA.
UNIT.(S/.)]]*TABLA_BASE[[#This Row],[CANTIDAD
(unid.)]]</f>
        <v>0</v>
      </c>
      <c r="AU401" s="281">
        <f>'💰 Precio de Venta'!I406</f>
        <v>0</v>
      </c>
      <c r="AV401" s="278">
        <f>'💰 Precio de Venta'!J406</f>
        <v>0</v>
      </c>
      <c r="AW401" s="278">
        <f>TABLA_BASE[[#This Row],[GANANCIA
UNIT.(S/.)]]*TABLA_BASE[[#This Row],[CANTIDAD
(unid.)]]</f>
        <v>0</v>
      </c>
      <c r="AX401" s="289">
        <f>'💰 Precio de Venta'!K406</f>
        <v>0</v>
      </c>
      <c r="AY401" s="278">
        <f>TABLA_BASE[[#This Row],[GANANCIA
UNIT.(S/.)]]*'🧾 Factura Comercial'!G405</f>
        <v>0</v>
      </c>
      <c r="AZ401" s="277">
        <f>IF(TABLA_BASE[[#This Row],[PRECIO VTA.
c/IGV(S/.)]]=0,0,TABLA_BASE[[#This Row],[GANANCIA
UNIT.(S/.)]]/TABLA_BASE[[#This Row],[PRECIO VTA.
c/IGV(S/.)]])</f>
        <v>0</v>
      </c>
      <c r="BA401" s="277">
        <f>IF(TABLA_BASE[[#This Row],[C/M UNIT.
(S/.)]]=0,0,TABLA_BASE[[#This Row],[GANANCIA
UNIT.(S/.)]]/TABLA_BASE[[#This Row],[C/M UNIT.
(S/.)]])</f>
        <v>0</v>
      </c>
      <c r="BB401" s="274" t="str">
        <f>IF(TABLA_BASE[[#This Row],[MARGEN
%]]&gt;=0.5,"🟢 ALTO",IF(TABLA_BASE[[#This Row],[MARGEN
%]]&gt;=0.3,"🟡 MEDIO","🔴 BAJO"))</f>
        <v>🟡 MEDIO</v>
      </c>
    </row>
    <row r="402" spans="1:54" ht="16.5" hidden="1" thickTop="1" thickBot="1" x14ac:dyDescent="0.3">
      <c r="A402" s="274">
        <f>'🧾 Factura Comercial'!E406</f>
        <v>0</v>
      </c>
      <c r="B402" s="274" t="str">
        <f>'🧾 Factura Comercial'!F406</f>
        <v>Unid.</v>
      </c>
      <c r="C402" s="275">
        <f>'🧾 Factura Comercial'!G406</f>
        <v>0</v>
      </c>
      <c r="D402" s="276">
        <f>'🧾 Factura Comercial'!H406</f>
        <v>0</v>
      </c>
      <c r="E402" s="276">
        <f>'🧾 Factura Comercial'!I406</f>
        <v>0</v>
      </c>
      <c r="F402" s="277">
        <f>IF('🧾 Tributos Aduana'!$F$6=0,0,'🧾 Factura Comercial'!I406/'🧾 Tributos Aduana'!$F$6)</f>
        <v>0</v>
      </c>
      <c r="G402" s="278">
        <f>'🧾 Factura Comercial'!H406*'📋 Datos Generales'!$E$19</f>
        <v>0</v>
      </c>
      <c r="H402" s="278">
        <f>TABLA_BASE[[#This Row],[FOB UNIT.
(S/.)]]*TABLA_BASE[[#This Row],[CANTIDAD
(unid.)]]</f>
        <v>0</v>
      </c>
      <c r="I402" s="280">
        <f>IF('🧾 Tributos Aduana'!$F$6=0,0,'🧾 Tributos Aduana'!$F$17*('🧾 Factura Comercial'!H406/'🧾 Tributos Aduana'!$F$6))</f>
        <v>0</v>
      </c>
      <c r="J402" s="280">
        <f>TABLA_BASE[[#This Row],[ADV UNIT.
(US$)
⚠️COSTO]]*TABLA_BASE[[#This Row],[CANTIDAD
(unid.)]]</f>
        <v>0</v>
      </c>
      <c r="K402" s="279">
        <f>IF('🧾 Tributos Aduana'!$F$6=0,0,'🧾 Tributos Aduana'!$F$18*('🧾 Factura Comercial'!H406/'🧾 Tributos Aduana'!$F$6))</f>
        <v>0</v>
      </c>
      <c r="L402" s="280">
        <f>TABLA_BASE[[#This Row],[IPM UNIT.
(US$)
✅CF]]*TABLA_BASE[[#This Row],[CANTIDAD
(unid.)]]</f>
        <v>0</v>
      </c>
      <c r="M402" s="279">
        <f>IF('🧾 Tributos Aduana'!$F$6=0,0,'🧾 Tributos Aduana'!$F$19*('🧾 Factura Comercial'!H406/'🧾 Tributos Aduana'!$F$6))</f>
        <v>0</v>
      </c>
      <c r="N402" s="280">
        <f>TABLA_BASE[[#This Row],[IGV UNIT.
(US$)
✅CF]]*TABLA_BASE[[#This Row],[CANTIDAD
(unid.)]]</f>
        <v>0</v>
      </c>
      <c r="O402" s="280">
        <f>IF('🧾 Tributos Aduana'!$F$6=0,0,'🧾 Tributos Aduana'!$F$23*('🧾 Factura Comercial'!H406/'🧾 Tributos Aduana'!$F$6))</f>
        <v>0</v>
      </c>
      <c r="P402" s="280">
        <f>TABLA_BASE[[#This Row],[PERCEP.
UNIT.(US$)
✅CF]]*TABLA_BASE[[#This Row],[CANTIDAD
(unid.)]]</f>
        <v>0</v>
      </c>
      <c r="Q402" s="279">
        <f>TABLA_BASE[[#This Row],[ADV UNIT.
(US$)
⚠️COSTO]]+TABLA_BASE[[#This Row],[IPM UNIT.
(US$)
✅CF]]+TABLA_BASE[[#This Row],[IGV UNIT.
(US$)
✅CF]]</f>
        <v>0</v>
      </c>
      <c r="R402" s="280">
        <f>TABLA_BASE[[#This Row],[DEUDA
ADUANERA
UNIT.]]*TABLA_BASE[[#This Row],[CANTIDAD
(unid.)]]</f>
        <v>0</v>
      </c>
      <c r="S402" s="278">
        <f>TABLA_BASE[[#This Row],[DEUDA
ADUANERA
UNIT.]]*'📋 Datos Generales'!$E$19</f>
        <v>0</v>
      </c>
      <c r="T402" s="278">
        <f>TABLA_BASE[[#This Row],[DEUDA
ADUANERA
TOTAL]]*'📋 Datos Generales'!$E$19</f>
        <v>0</v>
      </c>
      <c r="U402" s="281">
        <f>TABLA_BASE[[#This Row],[ADV UNIT.
(US$)
⚠️COSTO]]*'📋 Datos Generales'!$E$19</f>
        <v>0</v>
      </c>
      <c r="V402" s="281">
        <f>TABLA_BASE[[#This Row],[ADV UNIT.
(S/.)]]*TABLA_BASE[[#This Row],[CANTIDAD
(unid.)]]</f>
        <v>0</v>
      </c>
      <c r="W402" s="281">
        <f>TABLA_BASE[[#This Row],[IPM UNIT.
(US$)
✅CF]]*'📋 Datos Generales'!$E$19</f>
        <v>0</v>
      </c>
      <c r="X402" s="281">
        <f>TABLA_BASE[[#This Row],[IPM UNIT.
(S/.)]]*TABLA_BASE[[#This Row],[CANTIDAD
(unid.)]]</f>
        <v>0</v>
      </c>
      <c r="Y402" s="281">
        <f>TABLA_BASE[[#This Row],[IGV UNIT.
(US$)
✅CF]]*'📋 Datos Generales'!$E$19</f>
        <v>0</v>
      </c>
      <c r="Z402" s="281">
        <f>TABLA_BASE[[#This Row],[IGV UNIT.
(S/.)]]*TABLA_BASE[[#This Row],[CANTIDAD
(unid.)]]</f>
        <v>0</v>
      </c>
      <c r="AA402" s="281">
        <f>TABLA_BASE[[#This Row],[PERCEP.
UNIT.(US$)
✅CF]]*'📋 Datos Generales'!$E$19</f>
        <v>0</v>
      </c>
      <c r="AB402" s="281">
        <f>TABLA_BASE[[#This Row],[PERCEP.
UNIT.(S/.)]]*TABLA_BASE[[#This Row],[CANTIDAD
(unid.)]]</f>
        <v>0</v>
      </c>
      <c r="AC402" s="279">
        <f>TABLA_BASE[[#This Row],[ADV UNIT.
(US$)
⚠️COSTO]]+TABLA_BASE[[#This Row],[IPM UNIT.
(US$)
✅CF]]+TABLA_BASE[[#This Row],[IGV UNIT.
(US$)
✅CF]]+TABLA_BASE[[#This Row],[PERCEP.
UNIT.(US$)
✅CF]]</f>
        <v>0</v>
      </c>
      <c r="AD402" s="279">
        <f>TABLA_BASE[[#This Row],[TOTAL PAGO
SUNAT
UNIT.(US$)]]*TABLA_BASE[[#This Row],[CANTIDAD
(unid.)]]</f>
        <v>0</v>
      </c>
      <c r="AE402" s="281">
        <f>TABLA_BASE[[#This Row],[TOTAL PAGO
SUNAT
UNIT.(US$)]]*'📋 Datos Generales'!$E$19</f>
        <v>0</v>
      </c>
      <c r="AF402" s="281">
        <f>TABLA_BASE[[#This Row],[TOTAL TRIB.
UNIT.(S/.)]]*TABLA_BASE[[#This Row],[CANTIDAD
(unid.)]]</f>
        <v>0</v>
      </c>
      <c r="AG402" s="279">
        <f>IF('🧾 Factura Comercial'!G406=0,0,'📦 Gastos Importación'!$E$28*(IF('🧾 Tributos Aduana'!$F$6=0,0,'🧾 Factura Comercial'!I406/'🧾 Tributos Aduana'!$F$6))/'🧾 Factura Comercial'!G406)</f>
        <v>0</v>
      </c>
      <c r="AH402" s="279">
        <f>TABLA_BASE[[#This Row],[GASTOS IMP.
UNIT.(US$)]]*TABLA_BASE[[#This Row],[CANTIDAD
(unid.)]]</f>
        <v>0</v>
      </c>
      <c r="AI402" s="281">
        <f>TABLA_BASE[[#This Row],[GASTOS IMP.
UNIT.(US$)]]*'📋 Datos Generales'!$E$19</f>
        <v>0</v>
      </c>
      <c r="AJ402" s="281">
        <f>TABLA_BASE[[#This Row],[GASTOS IMP.
UNIT.(S/.)]]*TABLA_BASE[[#This Row],[CANTIDAD
(unid.)]]</f>
        <v>0</v>
      </c>
      <c r="AK402" s="280">
        <f>'🧮 Costos x Producto'!J406</f>
        <v>0</v>
      </c>
      <c r="AL402" s="278">
        <f>'🧮 Costos x Producto'!K406</f>
        <v>0</v>
      </c>
      <c r="AM402" s="278">
        <f>TABLA_BASE[[#This Row],[C/M UNIT.
(S/.)]]*TABLA_BASE[[#This Row],[CANTIDAD
(unid.)]]</f>
        <v>0</v>
      </c>
      <c r="AN402" s="279">
        <f>IF('🧾 Factura Comercial'!G406=0,0,'🧾 Tributos Aduana'!$F$17*(IF('🧾 Tributos Aduana'!$F$6=0,0,'🧾 Factura Comercial'!I406/'🧾 Tributos Aduana'!$F$6))/'🧾 Factura Comercial'!G406)</f>
        <v>0</v>
      </c>
      <c r="AO402" s="280">
        <f>IF('🧾 Factura Comercial'!G406=0,0,'🏦 Crédito Fiscal'!$C$16*(IF('🧾 Tributos Aduana'!$F$6=0,0,'🧾 Factura Comercial'!I406/'🧾 Tributos Aduana'!$F$6))/'🧾 Factura Comercial'!G406)</f>
        <v>0</v>
      </c>
      <c r="AP402" s="278">
        <f>TABLA_BASE[[#This Row],[CF UNIT.
✅RECUP.
(US$)]]*'📋 Datos Generales'!$E$19</f>
        <v>0</v>
      </c>
      <c r="AQ402" s="278">
        <f>TABLA_BASE[[#This Row],[CF UNIT.
✅RECUP.(S/.)]]*TABLA_BASE[[#This Row],[CANTIDAD
(unid.)]]</f>
        <v>0</v>
      </c>
      <c r="AR402" s="288">
        <f>'💰 Precio de Venta'!G407</f>
        <v>0.4</v>
      </c>
      <c r="AS402" s="278">
        <f>'💰 Precio de Venta'!H407</f>
        <v>0</v>
      </c>
      <c r="AT402" s="278">
        <f>TABLA_BASE[[#This Row],[VALOR VTA.
UNIT.(S/.)]]*TABLA_BASE[[#This Row],[CANTIDAD
(unid.)]]</f>
        <v>0</v>
      </c>
      <c r="AU402" s="281">
        <f>'💰 Precio de Venta'!I407</f>
        <v>0</v>
      </c>
      <c r="AV402" s="278">
        <f>'💰 Precio de Venta'!J407</f>
        <v>0</v>
      </c>
      <c r="AW402" s="278">
        <f>TABLA_BASE[[#This Row],[GANANCIA
UNIT.(S/.)]]*TABLA_BASE[[#This Row],[CANTIDAD
(unid.)]]</f>
        <v>0</v>
      </c>
      <c r="AX402" s="289">
        <f>'💰 Precio de Venta'!K407</f>
        <v>0</v>
      </c>
      <c r="AY402" s="278">
        <f>TABLA_BASE[[#This Row],[GANANCIA
UNIT.(S/.)]]*'🧾 Factura Comercial'!G406</f>
        <v>0</v>
      </c>
      <c r="AZ402" s="277">
        <f>IF(TABLA_BASE[[#This Row],[PRECIO VTA.
c/IGV(S/.)]]=0,0,TABLA_BASE[[#This Row],[GANANCIA
UNIT.(S/.)]]/TABLA_BASE[[#This Row],[PRECIO VTA.
c/IGV(S/.)]])</f>
        <v>0</v>
      </c>
      <c r="BA402" s="277">
        <f>IF(TABLA_BASE[[#This Row],[C/M UNIT.
(S/.)]]=0,0,TABLA_BASE[[#This Row],[GANANCIA
UNIT.(S/.)]]/TABLA_BASE[[#This Row],[C/M UNIT.
(S/.)]])</f>
        <v>0</v>
      </c>
      <c r="BB402" s="274" t="str">
        <f>IF(TABLA_BASE[[#This Row],[MARGEN
%]]&gt;=0.5,"🟢 ALTO",IF(TABLA_BASE[[#This Row],[MARGEN
%]]&gt;=0.3,"🟡 MEDIO","🔴 BAJO"))</f>
        <v>🟡 MEDIO</v>
      </c>
    </row>
    <row r="403" spans="1:54" ht="16.5" hidden="1" thickTop="1" thickBot="1" x14ac:dyDescent="0.3">
      <c r="A403" s="274">
        <f>'🧾 Factura Comercial'!E407</f>
        <v>0</v>
      </c>
      <c r="B403" s="274" t="str">
        <f>'🧾 Factura Comercial'!F407</f>
        <v>Unid.</v>
      </c>
      <c r="C403" s="275">
        <f>'🧾 Factura Comercial'!G407</f>
        <v>0</v>
      </c>
      <c r="D403" s="276">
        <f>'🧾 Factura Comercial'!H407</f>
        <v>0</v>
      </c>
      <c r="E403" s="276">
        <f>'🧾 Factura Comercial'!I407</f>
        <v>0</v>
      </c>
      <c r="F403" s="277">
        <f>IF('🧾 Tributos Aduana'!$F$6=0,0,'🧾 Factura Comercial'!I407/'🧾 Tributos Aduana'!$F$6)</f>
        <v>0</v>
      </c>
      <c r="G403" s="278">
        <f>'🧾 Factura Comercial'!H407*'📋 Datos Generales'!$E$19</f>
        <v>0</v>
      </c>
      <c r="H403" s="278">
        <f>TABLA_BASE[[#This Row],[FOB UNIT.
(S/.)]]*TABLA_BASE[[#This Row],[CANTIDAD
(unid.)]]</f>
        <v>0</v>
      </c>
      <c r="I403" s="280">
        <f>IF('🧾 Tributos Aduana'!$F$6=0,0,'🧾 Tributos Aduana'!$F$17*('🧾 Factura Comercial'!H407/'🧾 Tributos Aduana'!$F$6))</f>
        <v>0</v>
      </c>
      <c r="J403" s="280">
        <f>TABLA_BASE[[#This Row],[ADV UNIT.
(US$)
⚠️COSTO]]*TABLA_BASE[[#This Row],[CANTIDAD
(unid.)]]</f>
        <v>0</v>
      </c>
      <c r="K403" s="279">
        <f>IF('🧾 Tributos Aduana'!$F$6=0,0,'🧾 Tributos Aduana'!$F$18*('🧾 Factura Comercial'!H407/'🧾 Tributos Aduana'!$F$6))</f>
        <v>0</v>
      </c>
      <c r="L403" s="280">
        <f>TABLA_BASE[[#This Row],[IPM UNIT.
(US$)
✅CF]]*TABLA_BASE[[#This Row],[CANTIDAD
(unid.)]]</f>
        <v>0</v>
      </c>
      <c r="M403" s="279">
        <f>IF('🧾 Tributos Aduana'!$F$6=0,0,'🧾 Tributos Aduana'!$F$19*('🧾 Factura Comercial'!H407/'🧾 Tributos Aduana'!$F$6))</f>
        <v>0</v>
      </c>
      <c r="N403" s="280">
        <f>TABLA_BASE[[#This Row],[IGV UNIT.
(US$)
✅CF]]*TABLA_BASE[[#This Row],[CANTIDAD
(unid.)]]</f>
        <v>0</v>
      </c>
      <c r="O403" s="280">
        <f>IF('🧾 Tributos Aduana'!$F$6=0,0,'🧾 Tributos Aduana'!$F$23*('🧾 Factura Comercial'!H407/'🧾 Tributos Aduana'!$F$6))</f>
        <v>0</v>
      </c>
      <c r="P403" s="280">
        <f>TABLA_BASE[[#This Row],[PERCEP.
UNIT.(US$)
✅CF]]*TABLA_BASE[[#This Row],[CANTIDAD
(unid.)]]</f>
        <v>0</v>
      </c>
      <c r="Q403" s="279">
        <f>TABLA_BASE[[#This Row],[ADV UNIT.
(US$)
⚠️COSTO]]+TABLA_BASE[[#This Row],[IPM UNIT.
(US$)
✅CF]]+TABLA_BASE[[#This Row],[IGV UNIT.
(US$)
✅CF]]</f>
        <v>0</v>
      </c>
      <c r="R403" s="280">
        <f>TABLA_BASE[[#This Row],[DEUDA
ADUANERA
UNIT.]]*TABLA_BASE[[#This Row],[CANTIDAD
(unid.)]]</f>
        <v>0</v>
      </c>
      <c r="S403" s="278">
        <f>TABLA_BASE[[#This Row],[DEUDA
ADUANERA
UNIT.]]*'📋 Datos Generales'!$E$19</f>
        <v>0</v>
      </c>
      <c r="T403" s="278">
        <f>TABLA_BASE[[#This Row],[DEUDA
ADUANERA
TOTAL]]*'📋 Datos Generales'!$E$19</f>
        <v>0</v>
      </c>
      <c r="U403" s="281">
        <f>TABLA_BASE[[#This Row],[ADV UNIT.
(US$)
⚠️COSTO]]*'📋 Datos Generales'!$E$19</f>
        <v>0</v>
      </c>
      <c r="V403" s="281">
        <f>TABLA_BASE[[#This Row],[ADV UNIT.
(S/.)]]*TABLA_BASE[[#This Row],[CANTIDAD
(unid.)]]</f>
        <v>0</v>
      </c>
      <c r="W403" s="281">
        <f>TABLA_BASE[[#This Row],[IPM UNIT.
(US$)
✅CF]]*'📋 Datos Generales'!$E$19</f>
        <v>0</v>
      </c>
      <c r="X403" s="281">
        <f>TABLA_BASE[[#This Row],[IPM UNIT.
(S/.)]]*TABLA_BASE[[#This Row],[CANTIDAD
(unid.)]]</f>
        <v>0</v>
      </c>
      <c r="Y403" s="281">
        <f>TABLA_BASE[[#This Row],[IGV UNIT.
(US$)
✅CF]]*'📋 Datos Generales'!$E$19</f>
        <v>0</v>
      </c>
      <c r="Z403" s="281">
        <f>TABLA_BASE[[#This Row],[IGV UNIT.
(S/.)]]*TABLA_BASE[[#This Row],[CANTIDAD
(unid.)]]</f>
        <v>0</v>
      </c>
      <c r="AA403" s="281">
        <f>TABLA_BASE[[#This Row],[PERCEP.
UNIT.(US$)
✅CF]]*'📋 Datos Generales'!$E$19</f>
        <v>0</v>
      </c>
      <c r="AB403" s="281">
        <f>TABLA_BASE[[#This Row],[PERCEP.
UNIT.(S/.)]]*TABLA_BASE[[#This Row],[CANTIDAD
(unid.)]]</f>
        <v>0</v>
      </c>
      <c r="AC403" s="279">
        <f>TABLA_BASE[[#This Row],[ADV UNIT.
(US$)
⚠️COSTO]]+TABLA_BASE[[#This Row],[IPM UNIT.
(US$)
✅CF]]+TABLA_BASE[[#This Row],[IGV UNIT.
(US$)
✅CF]]+TABLA_BASE[[#This Row],[PERCEP.
UNIT.(US$)
✅CF]]</f>
        <v>0</v>
      </c>
      <c r="AD403" s="279">
        <f>TABLA_BASE[[#This Row],[TOTAL PAGO
SUNAT
UNIT.(US$)]]*TABLA_BASE[[#This Row],[CANTIDAD
(unid.)]]</f>
        <v>0</v>
      </c>
      <c r="AE403" s="281">
        <f>TABLA_BASE[[#This Row],[TOTAL PAGO
SUNAT
UNIT.(US$)]]*'📋 Datos Generales'!$E$19</f>
        <v>0</v>
      </c>
      <c r="AF403" s="281">
        <f>TABLA_BASE[[#This Row],[TOTAL TRIB.
UNIT.(S/.)]]*TABLA_BASE[[#This Row],[CANTIDAD
(unid.)]]</f>
        <v>0</v>
      </c>
      <c r="AG403" s="279">
        <f>IF('🧾 Factura Comercial'!G407=0,0,'📦 Gastos Importación'!$E$28*(IF('🧾 Tributos Aduana'!$F$6=0,0,'🧾 Factura Comercial'!I407/'🧾 Tributos Aduana'!$F$6))/'🧾 Factura Comercial'!G407)</f>
        <v>0</v>
      </c>
      <c r="AH403" s="279">
        <f>TABLA_BASE[[#This Row],[GASTOS IMP.
UNIT.(US$)]]*TABLA_BASE[[#This Row],[CANTIDAD
(unid.)]]</f>
        <v>0</v>
      </c>
      <c r="AI403" s="281">
        <f>TABLA_BASE[[#This Row],[GASTOS IMP.
UNIT.(US$)]]*'📋 Datos Generales'!$E$19</f>
        <v>0</v>
      </c>
      <c r="AJ403" s="281">
        <f>TABLA_BASE[[#This Row],[GASTOS IMP.
UNIT.(S/.)]]*TABLA_BASE[[#This Row],[CANTIDAD
(unid.)]]</f>
        <v>0</v>
      </c>
      <c r="AK403" s="280">
        <f>'🧮 Costos x Producto'!J407</f>
        <v>0</v>
      </c>
      <c r="AL403" s="278">
        <f>'🧮 Costos x Producto'!K407</f>
        <v>0</v>
      </c>
      <c r="AM403" s="278">
        <f>TABLA_BASE[[#This Row],[C/M UNIT.
(S/.)]]*TABLA_BASE[[#This Row],[CANTIDAD
(unid.)]]</f>
        <v>0</v>
      </c>
      <c r="AN403" s="279">
        <f>IF('🧾 Factura Comercial'!G407=0,0,'🧾 Tributos Aduana'!$F$17*(IF('🧾 Tributos Aduana'!$F$6=0,0,'🧾 Factura Comercial'!I407/'🧾 Tributos Aduana'!$F$6))/'🧾 Factura Comercial'!G407)</f>
        <v>0</v>
      </c>
      <c r="AO403" s="280">
        <f>IF('🧾 Factura Comercial'!G407=0,0,'🏦 Crédito Fiscal'!$C$16*(IF('🧾 Tributos Aduana'!$F$6=0,0,'🧾 Factura Comercial'!I407/'🧾 Tributos Aduana'!$F$6))/'🧾 Factura Comercial'!G407)</f>
        <v>0</v>
      </c>
      <c r="AP403" s="278">
        <f>TABLA_BASE[[#This Row],[CF UNIT.
✅RECUP.
(US$)]]*'📋 Datos Generales'!$E$19</f>
        <v>0</v>
      </c>
      <c r="AQ403" s="278">
        <f>TABLA_BASE[[#This Row],[CF UNIT.
✅RECUP.(S/.)]]*TABLA_BASE[[#This Row],[CANTIDAD
(unid.)]]</f>
        <v>0</v>
      </c>
      <c r="AR403" s="288">
        <f>'💰 Precio de Venta'!G408</f>
        <v>0.4</v>
      </c>
      <c r="AS403" s="278">
        <f>'💰 Precio de Venta'!H408</f>
        <v>0</v>
      </c>
      <c r="AT403" s="278">
        <f>TABLA_BASE[[#This Row],[VALOR VTA.
UNIT.(S/.)]]*TABLA_BASE[[#This Row],[CANTIDAD
(unid.)]]</f>
        <v>0</v>
      </c>
      <c r="AU403" s="281">
        <f>'💰 Precio de Venta'!I408</f>
        <v>0</v>
      </c>
      <c r="AV403" s="278">
        <f>'💰 Precio de Venta'!J408</f>
        <v>0</v>
      </c>
      <c r="AW403" s="278">
        <f>TABLA_BASE[[#This Row],[GANANCIA
UNIT.(S/.)]]*TABLA_BASE[[#This Row],[CANTIDAD
(unid.)]]</f>
        <v>0</v>
      </c>
      <c r="AX403" s="289">
        <f>'💰 Precio de Venta'!K408</f>
        <v>0</v>
      </c>
      <c r="AY403" s="278">
        <f>TABLA_BASE[[#This Row],[GANANCIA
UNIT.(S/.)]]*'🧾 Factura Comercial'!G407</f>
        <v>0</v>
      </c>
      <c r="AZ403" s="277">
        <f>IF(TABLA_BASE[[#This Row],[PRECIO VTA.
c/IGV(S/.)]]=0,0,TABLA_BASE[[#This Row],[GANANCIA
UNIT.(S/.)]]/TABLA_BASE[[#This Row],[PRECIO VTA.
c/IGV(S/.)]])</f>
        <v>0</v>
      </c>
      <c r="BA403" s="277">
        <f>IF(TABLA_BASE[[#This Row],[C/M UNIT.
(S/.)]]=0,0,TABLA_BASE[[#This Row],[GANANCIA
UNIT.(S/.)]]/TABLA_BASE[[#This Row],[C/M UNIT.
(S/.)]])</f>
        <v>0</v>
      </c>
      <c r="BB403" s="274" t="str">
        <f>IF(TABLA_BASE[[#This Row],[MARGEN
%]]&gt;=0.5,"🟢 ALTO",IF(TABLA_BASE[[#This Row],[MARGEN
%]]&gt;=0.3,"🟡 MEDIO","🔴 BAJO"))</f>
        <v>🟡 MEDIO</v>
      </c>
    </row>
    <row r="404" spans="1:54" ht="16.5" hidden="1" thickTop="1" thickBot="1" x14ac:dyDescent="0.3">
      <c r="A404" s="274">
        <f>'🧾 Factura Comercial'!E408</f>
        <v>0</v>
      </c>
      <c r="B404" s="274" t="str">
        <f>'🧾 Factura Comercial'!F408</f>
        <v>Unid.</v>
      </c>
      <c r="C404" s="275">
        <f>'🧾 Factura Comercial'!G408</f>
        <v>0</v>
      </c>
      <c r="D404" s="276">
        <f>'🧾 Factura Comercial'!H408</f>
        <v>0</v>
      </c>
      <c r="E404" s="276">
        <f>'🧾 Factura Comercial'!I408</f>
        <v>0</v>
      </c>
      <c r="F404" s="277">
        <f>IF('🧾 Tributos Aduana'!$F$6=0,0,'🧾 Factura Comercial'!I408/'🧾 Tributos Aduana'!$F$6)</f>
        <v>0</v>
      </c>
      <c r="G404" s="278">
        <f>'🧾 Factura Comercial'!H408*'📋 Datos Generales'!$E$19</f>
        <v>0</v>
      </c>
      <c r="H404" s="278">
        <f>TABLA_BASE[[#This Row],[FOB UNIT.
(S/.)]]*TABLA_BASE[[#This Row],[CANTIDAD
(unid.)]]</f>
        <v>0</v>
      </c>
      <c r="I404" s="280">
        <f>IF('🧾 Tributos Aduana'!$F$6=0,0,'🧾 Tributos Aduana'!$F$17*('🧾 Factura Comercial'!H408/'🧾 Tributos Aduana'!$F$6))</f>
        <v>0</v>
      </c>
      <c r="J404" s="280">
        <f>TABLA_BASE[[#This Row],[ADV UNIT.
(US$)
⚠️COSTO]]*TABLA_BASE[[#This Row],[CANTIDAD
(unid.)]]</f>
        <v>0</v>
      </c>
      <c r="K404" s="279">
        <f>IF('🧾 Tributos Aduana'!$F$6=0,0,'🧾 Tributos Aduana'!$F$18*('🧾 Factura Comercial'!H408/'🧾 Tributos Aduana'!$F$6))</f>
        <v>0</v>
      </c>
      <c r="L404" s="280">
        <f>TABLA_BASE[[#This Row],[IPM UNIT.
(US$)
✅CF]]*TABLA_BASE[[#This Row],[CANTIDAD
(unid.)]]</f>
        <v>0</v>
      </c>
      <c r="M404" s="279">
        <f>IF('🧾 Tributos Aduana'!$F$6=0,0,'🧾 Tributos Aduana'!$F$19*('🧾 Factura Comercial'!H408/'🧾 Tributos Aduana'!$F$6))</f>
        <v>0</v>
      </c>
      <c r="N404" s="280">
        <f>TABLA_BASE[[#This Row],[IGV UNIT.
(US$)
✅CF]]*TABLA_BASE[[#This Row],[CANTIDAD
(unid.)]]</f>
        <v>0</v>
      </c>
      <c r="O404" s="280">
        <f>IF('🧾 Tributos Aduana'!$F$6=0,0,'🧾 Tributos Aduana'!$F$23*('🧾 Factura Comercial'!H408/'🧾 Tributos Aduana'!$F$6))</f>
        <v>0</v>
      </c>
      <c r="P404" s="280">
        <f>TABLA_BASE[[#This Row],[PERCEP.
UNIT.(US$)
✅CF]]*TABLA_BASE[[#This Row],[CANTIDAD
(unid.)]]</f>
        <v>0</v>
      </c>
      <c r="Q404" s="279">
        <f>TABLA_BASE[[#This Row],[ADV UNIT.
(US$)
⚠️COSTO]]+TABLA_BASE[[#This Row],[IPM UNIT.
(US$)
✅CF]]+TABLA_BASE[[#This Row],[IGV UNIT.
(US$)
✅CF]]</f>
        <v>0</v>
      </c>
      <c r="R404" s="280">
        <f>TABLA_BASE[[#This Row],[DEUDA
ADUANERA
UNIT.]]*TABLA_BASE[[#This Row],[CANTIDAD
(unid.)]]</f>
        <v>0</v>
      </c>
      <c r="S404" s="278">
        <f>TABLA_BASE[[#This Row],[DEUDA
ADUANERA
UNIT.]]*'📋 Datos Generales'!$E$19</f>
        <v>0</v>
      </c>
      <c r="T404" s="278">
        <f>TABLA_BASE[[#This Row],[DEUDA
ADUANERA
TOTAL]]*'📋 Datos Generales'!$E$19</f>
        <v>0</v>
      </c>
      <c r="U404" s="281">
        <f>TABLA_BASE[[#This Row],[ADV UNIT.
(US$)
⚠️COSTO]]*'📋 Datos Generales'!$E$19</f>
        <v>0</v>
      </c>
      <c r="V404" s="281">
        <f>TABLA_BASE[[#This Row],[ADV UNIT.
(S/.)]]*TABLA_BASE[[#This Row],[CANTIDAD
(unid.)]]</f>
        <v>0</v>
      </c>
      <c r="W404" s="281">
        <f>TABLA_BASE[[#This Row],[IPM UNIT.
(US$)
✅CF]]*'📋 Datos Generales'!$E$19</f>
        <v>0</v>
      </c>
      <c r="X404" s="281">
        <f>TABLA_BASE[[#This Row],[IPM UNIT.
(S/.)]]*TABLA_BASE[[#This Row],[CANTIDAD
(unid.)]]</f>
        <v>0</v>
      </c>
      <c r="Y404" s="281">
        <f>TABLA_BASE[[#This Row],[IGV UNIT.
(US$)
✅CF]]*'📋 Datos Generales'!$E$19</f>
        <v>0</v>
      </c>
      <c r="Z404" s="281">
        <f>TABLA_BASE[[#This Row],[IGV UNIT.
(S/.)]]*TABLA_BASE[[#This Row],[CANTIDAD
(unid.)]]</f>
        <v>0</v>
      </c>
      <c r="AA404" s="281">
        <f>TABLA_BASE[[#This Row],[PERCEP.
UNIT.(US$)
✅CF]]*'📋 Datos Generales'!$E$19</f>
        <v>0</v>
      </c>
      <c r="AB404" s="281">
        <f>TABLA_BASE[[#This Row],[PERCEP.
UNIT.(S/.)]]*TABLA_BASE[[#This Row],[CANTIDAD
(unid.)]]</f>
        <v>0</v>
      </c>
      <c r="AC404" s="279">
        <f>TABLA_BASE[[#This Row],[ADV UNIT.
(US$)
⚠️COSTO]]+TABLA_BASE[[#This Row],[IPM UNIT.
(US$)
✅CF]]+TABLA_BASE[[#This Row],[IGV UNIT.
(US$)
✅CF]]+TABLA_BASE[[#This Row],[PERCEP.
UNIT.(US$)
✅CF]]</f>
        <v>0</v>
      </c>
      <c r="AD404" s="279">
        <f>TABLA_BASE[[#This Row],[TOTAL PAGO
SUNAT
UNIT.(US$)]]*TABLA_BASE[[#This Row],[CANTIDAD
(unid.)]]</f>
        <v>0</v>
      </c>
      <c r="AE404" s="281">
        <f>TABLA_BASE[[#This Row],[TOTAL PAGO
SUNAT
UNIT.(US$)]]*'📋 Datos Generales'!$E$19</f>
        <v>0</v>
      </c>
      <c r="AF404" s="281">
        <f>TABLA_BASE[[#This Row],[TOTAL TRIB.
UNIT.(S/.)]]*TABLA_BASE[[#This Row],[CANTIDAD
(unid.)]]</f>
        <v>0</v>
      </c>
      <c r="AG404" s="279">
        <f>IF('🧾 Factura Comercial'!G408=0,0,'📦 Gastos Importación'!$E$28*(IF('🧾 Tributos Aduana'!$F$6=0,0,'🧾 Factura Comercial'!I408/'🧾 Tributos Aduana'!$F$6))/'🧾 Factura Comercial'!G408)</f>
        <v>0</v>
      </c>
      <c r="AH404" s="279">
        <f>TABLA_BASE[[#This Row],[GASTOS IMP.
UNIT.(US$)]]*TABLA_BASE[[#This Row],[CANTIDAD
(unid.)]]</f>
        <v>0</v>
      </c>
      <c r="AI404" s="281">
        <f>TABLA_BASE[[#This Row],[GASTOS IMP.
UNIT.(US$)]]*'📋 Datos Generales'!$E$19</f>
        <v>0</v>
      </c>
      <c r="AJ404" s="281">
        <f>TABLA_BASE[[#This Row],[GASTOS IMP.
UNIT.(S/.)]]*TABLA_BASE[[#This Row],[CANTIDAD
(unid.)]]</f>
        <v>0</v>
      </c>
      <c r="AK404" s="280">
        <f>'🧮 Costos x Producto'!J408</f>
        <v>0</v>
      </c>
      <c r="AL404" s="278">
        <f>'🧮 Costos x Producto'!K408</f>
        <v>0</v>
      </c>
      <c r="AM404" s="278">
        <f>TABLA_BASE[[#This Row],[C/M UNIT.
(S/.)]]*TABLA_BASE[[#This Row],[CANTIDAD
(unid.)]]</f>
        <v>0</v>
      </c>
      <c r="AN404" s="279">
        <f>IF('🧾 Factura Comercial'!G408=0,0,'🧾 Tributos Aduana'!$F$17*(IF('🧾 Tributos Aduana'!$F$6=0,0,'🧾 Factura Comercial'!I408/'🧾 Tributos Aduana'!$F$6))/'🧾 Factura Comercial'!G408)</f>
        <v>0</v>
      </c>
      <c r="AO404" s="280">
        <f>IF('🧾 Factura Comercial'!G408=0,0,'🏦 Crédito Fiscal'!$C$16*(IF('🧾 Tributos Aduana'!$F$6=0,0,'🧾 Factura Comercial'!I408/'🧾 Tributos Aduana'!$F$6))/'🧾 Factura Comercial'!G408)</f>
        <v>0</v>
      </c>
      <c r="AP404" s="278">
        <f>TABLA_BASE[[#This Row],[CF UNIT.
✅RECUP.
(US$)]]*'📋 Datos Generales'!$E$19</f>
        <v>0</v>
      </c>
      <c r="AQ404" s="278">
        <f>TABLA_BASE[[#This Row],[CF UNIT.
✅RECUP.(S/.)]]*TABLA_BASE[[#This Row],[CANTIDAD
(unid.)]]</f>
        <v>0</v>
      </c>
      <c r="AR404" s="288">
        <f>'💰 Precio de Venta'!G409</f>
        <v>0.4</v>
      </c>
      <c r="AS404" s="278">
        <f>'💰 Precio de Venta'!H409</f>
        <v>0</v>
      </c>
      <c r="AT404" s="278">
        <f>TABLA_BASE[[#This Row],[VALOR VTA.
UNIT.(S/.)]]*TABLA_BASE[[#This Row],[CANTIDAD
(unid.)]]</f>
        <v>0</v>
      </c>
      <c r="AU404" s="281">
        <f>'💰 Precio de Venta'!I409</f>
        <v>0</v>
      </c>
      <c r="AV404" s="278">
        <f>'💰 Precio de Venta'!J409</f>
        <v>0</v>
      </c>
      <c r="AW404" s="278">
        <f>TABLA_BASE[[#This Row],[GANANCIA
UNIT.(S/.)]]*TABLA_BASE[[#This Row],[CANTIDAD
(unid.)]]</f>
        <v>0</v>
      </c>
      <c r="AX404" s="289">
        <f>'💰 Precio de Venta'!K409</f>
        <v>0</v>
      </c>
      <c r="AY404" s="278">
        <f>TABLA_BASE[[#This Row],[GANANCIA
UNIT.(S/.)]]*'🧾 Factura Comercial'!G408</f>
        <v>0</v>
      </c>
      <c r="AZ404" s="277">
        <f>IF(TABLA_BASE[[#This Row],[PRECIO VTA.
c/IGV(S/.)]]=0,0,TABLA_BASE[[#This Row],[GANANCIA
UNIT.(S/.)]]/TABLA_BASE[[#This Row],[PRECIO VTA.
c/IGV(S/.)]])</f>
        <v>0</v>
      </c>
      <c r="BA404" s="277">
        <f>IF(TABLA_BASE[[#This Row],[C/M UNIT.
(S/.)]]=0,0,TABLA_BASE[[#This Row],[GANANCIA
UNIT.(S/.)]]/TABLA_BASE[[#This Row],[C/M UNIT.
(S/.)]])</f>
        <v>0</v>
      </c>
      <c r="BB404" s="274" t="str">
        <f>IF(TABLA_BASE[[#This Row],[MARGEN
%]]&gt;=0.5,"🟢 ALTO",IF(TABLA_BASE[[#This Row],[MARGEN
%]]&gt;=0.3,"🟡 MEDIO","🔴 BAJO"))</f>
        <v>🟡 MEDIO</v>
      </c>
    </row>
    <row r="405" spans="1:54" ht="16.5" hidden="1" thickTop="1" thickBot="1" x14ac:dyDescent="0.3">
      <c r="A405" s="274">
        <f>'🧾 Factura Comercial'!E409</f>
        <v>0</v>
      </c>
      <c r="B405" s="274" t="str">
        <f>'🧾 Factura Comercial'!F409</f>
        <v>Unid.</v>
      </c>
      <c r="C405" s="275">
        <f>'🧾 Factura Comercial'!G409</f>
        <v>0</v>
      </c>
      <c r="D405" s="276">
        <f>'🧾 Factura Comercial'!H409</f>
        <v>0</v>
      </c>
      <c r="E405" s="276">
        <f>'🧾 Factura Comercial'!I409</f>
        <v>0</v>
      </c>
      <c r="F405" s="277">
        <f>IF('🧾 Tributos Aduana'!$F$6=0,0,'🧾 Factura Comercial'!I409/'🧾 Tributos Aduana'!$F$6)</f>
        <v>0</v>
      </c>
      <c r="G405" s="278">
        <f>'🧾 Factura Comercial'!H409*'📋 Datos Generales'!$E$19</f>
        <v>0</v>
      </c>
      <c r="H405" s="278">
        <f>TABLA_BASE[[#This Row],[FOB UNIT.
(S/.)]]*TABLA_BASE[[#This Row],[CANTIDAD
(unid.)]]</f>
        <v>0</v>
      </c>
      <c r="I405" s="280">
        <f>IF('🧾 Tributos Aduana'!$F$6=0,0,'🧾 Tributos Aduana'!$F$17*('🧾 Factura Comercial'!H409/'🧾 Tributos Aduana'!$F$6))</f>
        <v>0</v>
      </c>
      <c r="J405" s="280">
        <f>TABLA_BASE[[#This Row],[ADV UNIT.
(US$)
⚠️COSTO]]*TABLA_BASE[[#This Row],[CANTIDAD
(unid.)]]</f>
        <v>0</v>
      </c>
      <c r="K405" s="279">
        <f>IF('🧾 Tributos Aduana'!$F$6=0,0,'🧾 Tributos Aduana'!$F$18*('🧾 Factura Comercial'!H409/'🧾 Tributos Aduana'!$F$6))</f>
        <v>0</v>
      </c>
      <c r="L405" s="280">
        <f>TABLA_BASE[[#This Row],[IPM UNIT.
(US$)
✅CF]]*TABLA_BASE[[#This Row],[CANTIDAD
(unid.)]]</f>
        <v>0</v>
      </c>
      <c r="M405" s="279">
        <f>IF('🧾 Tributos Aduana'!$F$6=0,0,'🧾 Tributos Aduana'!$F$19*('🧾 Factura Comercial'!H409/'🧾 Tributos Aduana'!$F$6))</f>
        <v>0</v>
      </c>
      <c r="N405" s="280">
        <f>TABLA_BASE[[#This Row],[IGV UNIT.
(US$)
✅CF]]*TABLA_BASE[[#This Row],[CANTIDAD
(unid.)]]</f>
        <v>0</v>
      </c>
      <c r="O405" s="280">
        <f>IF('🧾 Tributos Aduana'!$F$6=0,0,'🧾 Tributos Aduana'!$F$23*('🧾 Factura Comercial'!H409/'🧾 Tributos Aduana'!$F$6))</f>
        <v>0</v>
      </c>
      <c r="P405" s="280">
        <f>TABLA_BASE[[#This Row],[PERCEP.
UNIT.(US$)
✅CF]]*TABLA_BASE[[#This Row],[CANTIDAD
(unid.)]]</f>
        <v>0</v>
      </c>
      <c r="Q405" s="279">
        <f>TABLA_BASE[[#This Row],[ADV UNIT.
(US$)
⚠️COSTO]]+TABLA_BASE[[#This Row],[IPM UNIT.
(US$)
✅CF]]+TABLA_BASE[[#This Row],[IGV UNIT.
(US$)
✅CF]]</f>
        <v>0</v>
      </c>
      <c r="R405" s="280">
        <f>TABLA_BASE[[#This Row],[DEUDA
ADUANERA
UNIT.]]*TABLA_BASE[[#This Row],[CANTIDAD
(unid.)]]</f>
        <v>0</v>
      </c>
      <c r="S405" s="278">
        <f>TABLA_BASE[[#This Row],[DEUDA
ADUANERA
UNIT.]]*'📋 Datos Generales'!$E$19</f>
        <v>0</v>
      </c>
      <c r="T405" s="278">
        <f>TABLA_BASE[[#This Row],[DEUDA
ADUANERA
TOTAL]]*'📋 Datos Generales'!$E$19</f>
        <v>0</v>
      </c>
      <c r="U405" s="281">
        <f>TABLA_BASE[[#This Row],[ADV UNIT.
(US$)
⚠️COSTO]]*'📋 Datos Generales'!$E$19</f>
        <v>0</v>
      </c>
      <c r="V405" s="281">
        <f>TABLA_BASE[[#This Row],[ADV UNIT.
(S/.)]]*TABLA_BASE[[#This Row],[CANTIDAD
(unid.)]]</f>
        <v>0</v>
      </c>
      <c r="W405" s="281">
        <f>TABLA_BASE[[#This Row],[IPM UNIT.
(US$)
✅CF]]*'📋 Datos Generales'!$E$19</f>
        <v>0</v>
      </c>
      <c r="X405" s="281">
        <f>TABLA_BASE[[#This Row],[IPM UNIT.
(S/.)]]*TABLA_BASE[[#This Row],[CANTIDAD
(unid.)]]</f>
        <v>0</v>
      </c>
      <c r="Y405" s="281">
        <f>TABLA_BASE[[#This Row],[IGV UNIT.
(US$)
✅CF]]*'📋 Datos Generales'!$E$19</f>
        <v>0</v>
      </c>
      <c r="Z405" s="281">
        <f>TABLA_BASE[[#This Row],[IGV UNIT.
(S/.)]]*TABLA_BASE[[#This Row],[CANTIDAD
(unid.)]]</f>
        <v>0</v>
      </c>
      <c r="AA405" s="281">
        <f>TABLA_BASE[[#This Row],[PERCEP.
UNIT.(US$)
✅CF]]*'📋 Datos Generales'!$E$19</f>
        <v>0</v>
      </c>
      <c r="AB405" s="281">
        <f>TABLA_BASE[[#This Row],[PERCEP.
UNIT.(S/.)]]*TABLA_BASE[[#This Row],[CANTIDAD
(unid.)]]</f>
        <v>0</v>
      </c>
      <c r="AC405" s="279">
        <f>TABLA_BASE[[#This Row],[ADV UNIT.
(US$)
⚠️COSTO]]+TABLA_BASE[[#This Row],[IPM UNIT.
(US$)
✅CF]]+TABLA_BASE[[#This Row],[IGV UNIT.
(US$)
✅CF]]+TABLA_BASE[[#This Row],[PERCEP.
UNIT.(US$)
✅CF]]</f>
        <v>0</v>
      </c>
      <c r="AD405" s="279">
        <f>TABLA_BASE[[#This Row],[TOTAL PAGO
SUNAT
UNIT.(US$)]]*TABLA_BASE[[#This Row],[CANTIDAD
(unid.)]]</f>
        <v>0</v>
      </c>
      <c r="AE405" s="281">
        <f>TABLA_BASE[[#This Row],[TOTAL PAGO
SUNAT
UNIT.(US$)]]*'📋 Datos Generales'!$E$19</f>
        <v>0</v>
      </c>
      <c r="AF405" s="281">
        <f>TABLA_BASE[[#This Row],[TOTAL TRIB.
UNIT.(S/.)]]*TABLA_BASE[[#This Row],[CANTIDAD
(unid.)]]</f>
        <v>0</v>
      </c>
      <c r="AG405" s="279">
        <f>IF('🧾 Factura Comercial'!G409=0,0,'📦 Gastos Importación'!$E$28*(IF('🧾 Tributos Aduana'!$F$6=0,0,'🧾 Factura Comercial'!I409/'🧾 Tributos Aduana'!$F$6))/'🧾 Factura Comercial'!G409)</f>
        <v>0</v>
      </c>
      <c r="AH405" s="279">
        <f>TABLA_BASE[[#This Row],[GASTOS IMP.
UNIT.(US$)]]*TABLA_BASE[[#This Row],[CANTIDAD
(unid.)]]</f>
        <v>0</v>
      </c>
      <c r="AI405" s="281">
        <f>TABLA_BASE[[#This Row],[GASTOS IMP.
UNIT.(US$)]]*'📋 Datos Generales'!$E$19</f>
        <v>0</v>
      </c>
      <c r="AJ405" s="281">
        <f>TABLA_BASE[[#This Row],[GASTOS IMP.
UNIT.(S/.)]]*TABLA_BASE[[#This Row],[CANTIDAD
(unid.)]]</f>
        <v>0</v>
      </c>
      <c r="AK405" s="280">
        <f>'🧮 Costos x Producto'!J409</f>
        <v>0</v>
      </c>
      <c r="AL405" s="278">
        <f>'🧮 Costos x Producto'!K409</f>
        <v>0</v>
      </c>
      <c r="AM405" s="278">
        <f>TABLA_BASE[[#This Row],[C/M UNIT.
(S/.)]]*TABLA_BASE[[#This Row],[CANTIDAD
(unid.)]]</f>
        <v>0</v>
      </c>
      <c r="AN405" s="279">
        <f>IF('🧾 Factura Comercial'!G409=0,0,'🧾 Tributos Aduana'!$F$17*(IF('🧾 Tributos Aduana'!$F$6=0,0,'🧾 Factura Comercial'!I409/'🧾 Tributos Aduana'!$F$6))/'🧾 Factura Comercial'!G409)</f>
        <v>0</v>
      </c>
      <c r="AO405" s="280">
        <f>IF('🧾 Factura Comercial'!G409=0,0,'🏦 Crédito Fiscal'!$C$16*(IF('🧾 Tributos Aduana'!$F$6=0,0,'🧾 Factura Comercial'!I409/'🧾 Tributos Aduana'!$F$6))/'🧾 Factura Comercial'!G409)</f>
        <v>0</v>
      </c>
      <c r="AP405" s="278">
        <f>TABLA_BASE[[#This Row],[CF UNIT.
✅RECUP.
(US$)]]*'📋 Datos Generales'!$E$19</f>
        <v>0</v>
      </c>
      <c r="AQ405" s="278">
        <f>TABLA_BASE[[#This Row],[CF UNIT.
✅RECUP.(S/.)]]*TABLA_BASE[[#This Row],[CANTIDAD
(unid.)]]</f>
        <v>0</v>
      </c>
      <c r="AR405" s="288">
        <f>'💰 Precio de Venta'!G410</f>
        <v>0.4</v>
      </c>
      <c r="AS405" s="278">
        <f>'💰 Precio de Venta'!H410</f>
        <v>0</v>
      </c>
      <c r="AT405" s="278">
        <f>TABLA_BASE[[#This Row],[VALOR VTA.
UNIT.(S/.)]]*TABLA_BASE[[#This Row],[CANTIDAD
(unid.)]]</f>
        <v>0</v>
      </c>
      <c r="AU405" s="281">
        <f>'💰 Precio de Venta'!I410</f>
        <v>0</v>
      </c>
      <c r="AV405" s="278">
        <f>'💰 Precio de Venta'!J410</f>
        <v>0</v>
      </c>
      <c r="AW405" s="278">
        <f>TABLA_BASE[[#This Row],[GANANCIA
UNIT.(S/.)]]*TABLA_BASE[[#This Row],[CANTIDAD
(unid.)]]</f>
        <v>0</v>
      </c>
      <c r="AX405" s="289">
        <f>'💰 Precio de Venta'!K410</f>
        <v>0</v>
      </c>
      <c r="AY405" s="278">
        <f>TABLA_BASE[[#This Row],[GANANCIA
UNIT.(S/.)]]*'🧾 Factura Comercial'!G409</f>
        <v>0</v>
      </c>
      <c r="AZ405" s="277">
        <f>IF(TABLA_BASE[[#This Row],[PRECIO VTA.
c/IGV(S/.)]]=0,0,TABLA_BASE[[#This Row],[GANANCIA
UNIT.(S/.)]]/TABLA_BASE[[#This Row],[PRECIO VTA.
c/IGV(S/.)]])</f>
        <v>0</v>
      </c>
      <c r="BA405" s="277">
        <f>IF(TABLA_BASE[[#This Row],[C/M UNIT.
(S/.)]]=0,0,TABLA_BASE[[#This Row],[GANANCIA
UNIT.(S/.)]]/TABLA_BASE[[#This Row],[C/M UNIT.
(S/.)]])</f>
        <v>0</v>
      </c>
      <c r="BB405" s="274" t="str">
        <f>IF(TABLA_BASE[[#This Row],[MARGEN
%]]&gt;=0.5,"🟢 ALTO",IF(TABLA_BASE[[#This Row],[MARGEN
%]]&gt;=0.3,"🟡 MEDIO","🔴 BAJO"))</f>
        <v>🟡 MEDIO</v>
      </c>
    </row>
    <row r="406" spans="1:54" ht="16.5" hidden="1" thickTop="1" thickBot="1" x14ac:dyDescent="0.3">
      <c r="A406" s="274">
        <f>'🧾 Factura Comercial'!E410</f>
        <v>0</v>
      </c>
      <c r="B406" s="274" t="str">
        <f>'🧾 Factura Comercial'!F410</f>
        <v>Unid.</v>
      </c>
      <c r="C406" s="275">
        <f>'🧾 Factura Comercial'!G410</f>
        <v>0</v>
      </c>
      <c r="D406" s="276">
        <f>'🧾 Factura Comercial'!H410</f>
        <v>0</v>
      </c>
      <c r="E406" s="276">
        <f>'🧾 Factura Comercial'!I410</f>
        <v>0</v>
      </c>
      <c r="F406" s="277">
        <f>IF('🧾 Tributos Aduana'!$F$6=0,0,'🧾 Factura Comercial'!I410/'🧾 Tributos Aduana'!$F$6)</f>
        <v>0</v>
      </c>
      <c r="G406" s="278">
        <f>'🧾 Factura Comercial'!H410*'📋 Datos Generales'!$E$19</f>
        <v>0</v>
      </c>
      <c r="H406" s="278">
        <f>TABLA_BASE[[#This Row],[FOB UNIT.
(S/.)]]*TABLA_BASE[[#This Row],[CANTIDAD
(unid.)]]</f>
        <v>0</v>
      </c>
      <c r="I406" s="280">
        <f>IF('🧾 Tributos Aduana'!$F$6=0,0,'🧾 Tributos Aduana'!$F$17*('🧾 Factura Comercial'!H410/'🧾 Tributos Aduana'!$F$6))</f>
        <v>0</v>
      </c>
      <c r="J406" s="280">
        <f>TABLA_BASE[[#This Row],[ADV UNIT.
(US$)
⚠️COSTO]]*TABLA_BASE[[#This Row],[CANTIDAD
(unid.)]]</f>
        <v>0</v>
      </c>
      <c r="K406" s="279">
        <f>IF('🧾 Tributos Aduana'!$F$6=0,0,'🧾 Tributos Aduana'!$F$18*('🧾 Factura Comercial'!H410/'🧾 Tributos Aduana'!$F$6))</f>
        <v>0</v>
      </c>
      <c r="L406" s="280">
        <f>TABLA_BASE[[#This Row],[IPM UNIT.
(US$)
✅CF]]*TABLA_BASE[[#This Row],[CANTIDAD
(unid.)]]</f>
        <v>0</v>
      </c>
      <c r="M406" s="279">
        <f>IF('🧾 Tributos Aduana'!$F$6=0,0,'🧾 Tributos Aduana'!$F$19*('🧾 Factura Comercial'!H410/'🧾 Tributos Aduana'!$F$6))</f>
        <v>0</v>
      </c>
      <c r="N406" s="280">
        <f>TABLA_BASE[[#This Row],[IGV UNIT.
(US$)
✅CF]]*TABLA_BASE[[#This Row],[CANTIDAD
(unid.)]]</f>
        <v>0</v>
      </c>
      <c r="O406" s="280">
        <f>IF('🧾 Tributos Aduana'!$F$6=0,0,'🧾 Tributos Aduana'!$F$23*('🧾 Factura Comercial'!H410/'🧾 Tributos Aduana'!$F$6))</f>
        <v>0</v>
      </c>
      <c r="P406" s="280">
        <f>TABLA_BASE[[#This Row],[PERCEP.
UNIT.(US$)
✅CF]]*TABLA_BASE[[#This Row],[CANTIDAD
(unid.)]]</f>
        <v>0</v>
      </c>
      <c r="Q406" s="279">
        <f>TABLA_BASE[[#This Row],[ADV UNIT.
(US$)
⚠️COSTO]]+TABLA_BASE[[#This Row],[IPM UNIT.
(US$)
✅CF]]+TABLA_BASE[[#This Row],[IGV UNIT.
(US$)
✅CF]]</f>
        <v>0</v>
      </c>
      <c r="R406" s="280">
        <f>TABLA_BASE[[#This Row],[DEUDA
ADUANERA
UNIT.]]*TABLA_BASE[[#This Row],[CANTIDAD
(unid.)]]</f>
        <v>0</v>
      </c>
      <c r="S406" s="278">
        <f>TABLA_BASE[[#This Row],[DEUDA
ADUANERA
UNIT.]]*'📋 Datos Generales'!$E$19</f>
        <v>0</v>
      </c>
      <c r="T406" s="278">
        <f>TABLA_BASE[[#This Row],[DEUDA
ADUANERA
TOTAL]]*'📋 Datos Generales'!$E$19</f>
        <v>0</v>
      </c>
      <c r="U406" s="281">
        <f>TABLA_BASE[[#This Row],[ADV UNIT.
(US$)
⚠️COSTO]]*'📋 Datos Generales'!$E$19</f>
        <v>0</v>
      </c>
      <c r="V406" s="281">
        <f>TABLA_BASE[[#This Row],[ADV UNIT.
(S/.)]]*TABLA_BASE[[#This Row],[CANTIDAD
(unid.)]]</f>
        <v>0</v>
      </c>
      <c r="W406" s="281">
        <f>TABLA_BASE[[#This Row],[IPM UNIT.
(US$)
✅CF]]*'📋 Datos Generales'!$E$19</f>
        <v>0</v>
      </c>
      <c r="X406" s="281">
        <f>TABLA_BASE[[#This Row],[IPM UNIT.
(S/.)]]*TABLA_BASE[[#This Row],[CANTIDAD
(unid.)]]</f>
        <v>0</v>
      </c>
      <c r="Y406" s="281">
        <f>TABLA_BASE[[#This Row],[IGV UNIT.
(US$)
✅CF]]*'📋 Datos Generales'!$E$19</f>
        <v>0</v>
      </c>
      <c r="Z406" s="281">
        <f>TABLA_BASE[[#This Row],[IGV UNIT.
(S/.)]]*TABLA_BASE[[#This Row],[CANTIDAD
(unid.)]]</f>
        <v>0</v>
      </c>
      <c r="AA406" s="281">
        <f>TABLA_BASE[[#This Row],[PERCEP.
UNIT.(US$)
✅CF]]*'📋 Datos Generales'!$E$19</f>
        <v>0</v>
      </c>
      <c r="AB406" s="281">
        <f>TABLA_BASE[[#This Row],[PERCEP.
UNIT.(S/.)]]*TABLA_BASE[[#This Row],[CANTIDAD
(unid.)]]</f>
        <v>0</v>
      </c>
      <c r="AC406" s="279">
        <f>TABLA_BASE[[#This Row],[ADV UNIT.
(US$)
⚠️COSTO]]+TABLA_BASE[[#This Row],[IPM UNIT.
(US$)
✅CF]]+TABLA_BASE[[#This Row],[IGV UNIT.
(US$)
✅CF]]+TABLA_BASE[[#This Row],[PERCEP.
UNIT.(US$)
✅CF]]</f>
        <v>0</v>
      </c>
      <c r="AD406" s="279">
        <f>TABLA_BASE[[#This Row],[TOTAL PAGO
SUNAT
UNIT.(US$)]]*TABLA_BASE[[#This Row],[CANTIDAD
(unid.)]]</f>
        <v>0</v>
      </c>
      <c r="AE406" s="281">
        <f>TABLA_BASE[[#This Row],[TOTAL PAGO
SUNAT
UNIT.(US$)]]*'📋 Datos Generales'!$E$19</f>
        <v>0</v>
      </c>
      <c r="AF406" s="281">
        <f>TABLA_BASE[[#This Row],[TOTAL TRIB.
UNIT.(S/.)]]*TABLA_BASE[[#This Row],[CANTIDAD
(unid.)]]</f>
        <v>0</v>
      </c>
      <c r="AG406" s="279">
        <f>IF('🧾 Factura Comercial'!G410=0,0,'📦 Gastos Importación'!$E$28*(IF('🧾 Tributos Aduana'!$F$6=0,0,'🧾 Factura Comercial'!I410/'🧾 Tributos Aduana'!$F$6))/'🧾 Factura Comercial'!G410)</f>
        <v>0</v>
      </c>
      <c r="AH406" s="279">
        <f>TABLA_BASE[[#This Row],[GASTOS IMP.
UNIT.(US$)]]*TABLA_BASE[[#This Row],[CANTIDAD
(unid.)]]</f>
        <v>0</v>
      </c>
      <c r="AI406" s="281">
        <f>TABLA_BASE[[#This Row],[GASTOS IMP.
UNIT.(US$)]]*'📋 Datos Generales'!$E$19</f>
        <v>0</v>
      </c>
      <c r="AJ406" s="281">
        <f>TABLA_BASE[[#This Row],[GASTOS IMP.
UNIT.(S/.)]]*TABLA_BASE[[#This Row],[CANTIDAD
(unid.)]]</f>
        <v>0</v>
      </c>
      <c r="AK406" s="280">
        <f>'🧮 Costos x Producto'!J410</f>
        <v>0</v>
      </c>
      <c r="AL406" s="278">
        <f>'🧮 Costos x Producto'!K410</f>
        <v>0</v>
      </c>
      <c r="AM406" s="278">
        <f>TABLA_BASE[[#This Row],[C/M UNIT.
(S/.)]]*TABLA_BASE[[#This Row],[CANTIDAD
(unid.)]]</f>
        <v>0</v>
      </c>
      <c r="AN406" s="279">
        <f>IF('🧾 Factura Comercial'!G410=0,0,'🧾 Tributos Aduana'!$F$17*(IF('🧾 Tributos Aduana'!$F$6=0,0,'🧾 Factura Comercial'!I410/'🧾 Tributos Aduana'!$F$6))/'🧾 Factura Comercial'!G410)</f>
        <v>0</v>
      </c>
      <c r="AO406" s="280">
        <f>IF('🧾 Factura Comercial'!G410=0,0,'🏦 Crédito Fiscal'!$C$16*(IF('🧾 Tributos Aduana'!$F$6=0,0,'🧾 Factura Comercial'!I410/'🧾 Tributos Aduana'!$F$6))/'🧾 Factura Comercial'!G410)</f>
        <v>0</v>
      </c>
      <c r="AP406" s="278">
        <f>TABLA_BASE[[#This Row],[CF UNIT.
✅RECUP.
(US$)]]*'📋 Datos Generales'!$E$19</f>
        <v>0</v>
      </c>
      <c r="AQ406" s="278">
        <f>TABLA_BASE[[#This Row],[CF UNIT.
✅RECUP.(S/.)]]*TABLA_BASE[[#This Row],[CANTIDAD
(unid.)]]</f>
        <v>0</v>
      </c>
      <c r="AR406" s="288">
        <f>'💰 Precio de Venta'!G411</f>
        <v>0.4</v>
      </c>
      <c r="AS406" s="278">
        <f>'💰 Precio de Venta'!H411</f>
        <v>0</v>
      </c>
      <c r="AT406" s="278">
        <f>TABLA_BASE[[#This Row],[VALOR VTA.
UNIT.(S/.)]]*TABLA_BASE[[#This Row],[CANTIDAD
(unid.)]]</f>
        <v>0</v>
      </c>
      <c r="AU406" s="281">
        <f>'💰 Precio de Venta'!I411</f>
        <v>0</v>
      </c>
      <c r="AV406" s="278">
        <f>'💰 Precio de Venta'!J411</f>
        <v>0</v>
      </c>
      <c r="AW406" s="278">
        <f>TABLA_BASE[[#This Row],[GANANCIA
UNIT.(S/.)]]*TABLA_BASE[[#This Row],[CANTIDAD
(unid.)]]</f>
        <v>0</v>
      </c>
      <c r="AX406" s="289">
        <f>'💰 Precio de Venta'!K411</f>
        <v>0</v>
      </c>
      <c r="AY406" s="278">
        <f>TABLA_BASE[[#This Row],[GANANCIA
UNIT.(S/.)]]*'🧾 Factura Comercial'!G410</f>
        <v>0</v>
      </c>
      <c r="AZ406" s="277">
        <f>IF(TABLA_BASE[[#This Row],[PRECIO VTA.
c/IGV(S/.)]]=0,0,TABLA_BASE[[#This Row],[GANANCIA
UNIT.(S/.)]]/TABLA_BASE[[#This Row],[PRECIO VTA.
c/IGV(S/.)]])</f>
        <v>0</v>
      </c>
      <c r="BA406" s="277">
        <f>IF(TABLA_BASE[[#This Row],[C/M UNIT.
(S/.)]]=0,0,TABLA_BASE[[#This Row],[GANANCIA
UNIT.(S/.)]]/TABLA_BASE[[#This Row],[C/M UNIT.
(S/.)]])</f>
        <v>0</v>
      </c>
      <c r="BB406" s="274" t="str">
        <f>IF(TABLA_BASE[[#This Row],[MARGEN
%]]&gt;=0.5,"🟢 ALTO",IF(TABLA_BASE[[#This Row],[MARGEN
%]]&gt;=0.3,"🟡 MEDIO","🔴 BAJO"))</f>
        <v>🟡 MEDIO</v>
      </c>
    </row>
    <row r="407" spans="1:54" ht="16.5" hidden="1" thickTop="1" thickBot="1" x14ac:dyDescent="0.3">
      <c r="A407" s="274">
        <f>'🧾 Factura Comercial'!E411</f>
        <v>0</v>
      </c>
      <c r="B407" s="274" t="str">
        <f>'🧾 Factura Comercial'!F411</f>
        <v>Unid.</v>
      </c>
      <c r="C407" s="275">
        <f>'🧾 Factura Comercial'!G411</f>
        <v>0</v>
      </c>
      <c r="D407" s="276">
        <f>'🧾 Factura Comercial'!H411</f>
        <v>0</v>
      </c>
      <c r="E407" s="276">
        <f>'🧾 Factura Comercial'!I411</f>
        <v>0</v>
      </c>
      <c r="F407" s="277">
        <f>IF('🧾 Tributos Aduana'!$F$6=0,0,'🧾 Factura Comercial'!I411/'🧾 Tributos Aduana'!$F$6)</f>
        <v>0</v>
      </c>
      <c r="G407" s="278">
        <f>'🧾 Factura Comercial'!H411*'📋 Datos Generales'!$E$19</f>
        <v>0</v>
      </c>
      <c r="H407" s="278">
        <f>TABLA_BASE[[#This Row],[FOB UNIT.
(S/.)]]*TABLA_BASE[[#This Row],[CANTIDAD
(unid.)]]</f>
        <v>0</v>
      </c>
      <c r="I407" s="280">
        <f>IF('🧾 Tributos Aduana'!$F$6=0,0,'🧾 Tributos Aduana'!$F$17*('🧾 Factura Comercial'!H411/'🧾 Tributos Aduana'!$F$6))</f>
        <v>0</v>
      </c>
      <c r="J407" s="280">
        <f>TABLA_BASE[[#This Row],[ADV UNIT.
(US$)
⚠️COSTO]]*TABLA_BASE[[#This Row],[CANTIDAD
(unid.)]]</f>
        <v>0</v>
      </c>
      <c r="K407" s="279">
        <f>IF('🧾 Tributos Aduana'!$F$6=0,0,'🧾 Tributos Aduana'!$F$18*('🧾 Factura Comercial'!H411/'🧾 Tributos Aduana'!$F$6))</f>
        <v>0</v>
      </c>
      <c r="L407" s="280">
        <f>TABLA_BASE[[#This Row],[IPM UNIT.
(US$)
✅CF]]*TABLA_BASE[[#This Row],[CANTIDAD
(unid.)]]</f>
        <v>0</v>
      </c>
      <c r="M407" s="279">
        <f>IF('🧾 Tributos Aduana'!$F$6=0,0,'🧾 Tributos Aduana'!$F$19*('🧾 Factura Comercial'!H411/'🧾 Tributos Aduana'!$F$6))</f>
        <v>0</v>
      </c>
      <c r="N407" s="280">
        <f>TABLA_BASE[[#This Row],[IGV UNIT.
(US$)
✅CF]]*TABLA_BASE[[#This Row],[CANTIDAD
(unid.)]]</f>
        <v>0</v>
      </c>
      <c r="O407" s="280">
        <f>IF('🧾 Tributos Aduana'!$F$6=0,0,'🧾 Tributos Aduana'!$F$23*('🧾 Factura Comercial'!H411/'🧾 Tributos Aduana'!$F$6))</f>
        <v>0</v>
      </c>
      <c r="P407" s="280">
        <f>TABLA_BASE[[#This Row],[PERCEP.
UNIT.(US$)
✅CF]]*TABLA_BASE[[#This Row],[CANTIDAD
(unid.)]]</f>
        <v>0</v>
      </c>
      <c r="Q407" s="279">
        <f>TABLA_BASE[[#This Row],[ADV UNIT.
(US$)
⚠️COSTO]]+TABLA_BASE[[#This Row],[IPM UNIT.
(US$)
✅CF]]+TABLA_BASE[[#This Row],[IGV UNIT.
(US$)
✅CF]]</f>
        <v>0</v>
      </c>
      <c r="R407" s="280">
        <f>TABLA_BASE[[#This Row],[DEUDA
ADUANERA
UNIT.]]*TABLA_BASE[[#This Row],[CANTIDAD
(unid.)]]</f>
        <v>0</v>
      </c>
      <c r="S407" s="278">
        <f>TABLA_BASE[[#This Row],[DEUDA
ADUANERA
UNIT.]]*'📋 Datos Generales'!$E$19</f>
        <v>0</v>
      </c>
      <c r="T407" s="278">
        <f>TABLA_BASE[[#This Row],[DEUDA
ADUANERA
TOTAL]]*'📋 Datos Generales'!$E$19</f>
        <v>0</v>
      </c>
      <c r="U407" s="281">
        <f>TABLA_BASE[[#This Row],[ADV UNIT.
(US$)
⚠️COSTO]]*'📋 Datos Generales'!$E$19</f>
        <v>0</v>
      </c>
      <c r="V407" s="281">
        <f>TABLA_BASE[[#This Row],[ADV UNIT.
(S/.)]]*TABLA_BASE[[#This Row],[CANTIDAD
(unid.)]]</f>
        <v>0</v>
      </c>
      <c r="W407" s="281">
        <f>TABLA_BASE[[#This Row],[IPM UNIT.
(US$)
✅CF]]*'📋 Datos Generales'!$E$19</f>
        <v>0</v>
      </c>
      <c r="X407" s="281">
        <f>TABLA_BASE[[#This Row],[IPM UNIT.
(S/.)]]*TABLA_BASE[[#This Row],[CANTIDAD
(unid.)]]</f>
        <v>0</v>
      </c>
      <c r="Y407" s="281">
        <f>TABLA_BASE[[#This Row],[IGV UNIT.
(US$)
✅CF]]*'📋 Datos Generales'!$E$19</f>
        <v>0</v>
      </c>
      <c r="Z407" s="281">
        <f>TABLA_BASE[[#This Row],[IGV UNIT.
(S/.)]]*TABLA_BASE[[#This Row],[CANTIDAD
(unid.)]]</f>
        <v>0</v>
      </c>
      <c r="AA407" s="281">
        <f>TABLA_BASE[[#This Row],[PERCEP.
UNIT.(US$)
✅CF]]*'📋 Datos Generales'!$E$19</f>
        <v>0</v>
      </c>
      <c r="AB407" s="281">
        <f>TABLA_BASE[[#This Row],[PERCEP.
UNIT.(S/.)]]*TABLA_BASE[[#This Row],[CANTIDAD
(unid.)]]</f>
        <v>0</v>
      </c>
      <c r="AC407" s="279">
        <f>TABLA_BASE[[#This Row],[ADV UNIT.
(US$)
⚠️COSTO]]+TABLA_BASE[[#This Row],[IPM UNIT.
(US$)
✅CF]]+TABLA_BASE[[#This Row],[IGV UNIT.
(US$)
✅CF]]+TABLA_BASE[[#This Row],[PERCEP.
UNIT.(US$)
✅CF]]</f>
        <v>0</v>
      </c>
      <c r="AD407" s="279">
        <f>TABLA_BASE[[#This Row],[TOTAL PAGO
SUNAT
UNIT.(US$)]]*TABLA_BASE[[#This Row],[CANTIDAD
(unid.)]]</f>
        <v>0</v>
      </c>
      <c r="AE407" s="281">
        <f>TABLA_BASE[[#This Row],[TOTAL PAGO
SUNAT
UNIT.(US$)]]*'📋 Datos Generales'!$E$19</f>
        <v>0</v>
      </c>
      <c r="AF407" s="281">
        <f>TABLA_BASE[[#This Row],[TOTAL TRIB.
UNIT.(S/.)]]*TABLA_BASE[[#This Row],[CANTIDAD
(unid.)]]</f>
        <v>0</v>
      </c>
      <c r="AG407" s="279">
        <f>IF('🧾 Factura Comercial'!G411=0,0,'📦 Gastos Importación'!$E$28*(IF('🧾 Tributos Aduana'!$F$6=0,0,'🧾 Factura Comercial'!I411/'🧾 Tributos Aduana'!$F$6))/'🧾 Factura Comercial'!G411)</f>
        <v>0</v>
      </c>
      <c r="AH407" s="279">
        <f>TABLA_BASE[[#This Row],[GASTOS IMP.
UNIT.(US$)]]*TABLA_BASE[[#This Row],[CANTIDAD
(unid.)]]</f>
        <v>0</v>
      </c>
      <c r="AI407" s="281">
        <f>TABLA_BASE[[#This Row],[GASTOS IMP.
UNIT.(US$)]]*'📋 Datos Generales'!$E$19</f>
        <v>0</v>
      </c>
      <c r="AJ407" s="281">
        <f>TABLA_BASE[[#This Row],[GASTOS IMP.
UNIT.(S/.)]]*TABLA_BASE[[#This Row],[CANTIDAD
(unid.)]]</f>
        <v>0</v>
      </c>
      <c r="AK407" s="280">
        <f>'🧮 Costos x Producto'!J411</f>
        <v>0</v>
      </c>
      <c r="AL407" s="278">
        <f>'🧮 Costos x Producto'!K411</f>
        <v>0</v>
      </c>
      <c r="AM407" s="278">
        <f>TABLA_BASE[[#This Row],[C/M UNIT.
(S/.)]]*TABLA_BASE[[#This Row],[CANTIDAD
(unid.)]]</f>
        <v>0</v>
      </c>
      <c r="AN407" s="279">
        <f>IF('🧾 Factura Comercial'!G411=0,0,'🧾 Tributos Aduana'!$F$17*(IF('🧾 Tributos Aduana'!$F$6=0,0,'🧾 Factura Comercial'!I411/'🧾 Tributos Aduana'!$F$6))/'🧾 Factura Comercial'!G411)</f>
        <v>0</v>
      </c>
      <c r="AO407" s="280">
        <f>IF('🧾 Factura Comercial'!G411=0,0,'🏦 Crédito Fiscal'!$C$16*(IF('🧾 Tributos Aduana'!$F$6=0,0,'🧾 Factura Comercial'!I411/'🧾 Tributos Aduana'!$F$6))/'🧾 Factura Comercial'!G411)</f>
        <v>0</v>
      </c>
      <c r="AP407" s="278">
        <f>TABLA_BASE[[#This Row],[CF UNIT.
✅RECUP.
(US$)]]*'📋 Datos Generales'!$E$19</f>
        <v>0</v>
      </c>
      <c r="AQ407" s="278">
        <f>TABLA_BASE[[#This Row],[CF UNIT.
✅RECUP.(S/.)]]*TABLA_BASE[[#This Row],[CANTIDAD
(unid.)]]</f>
        <v>0</v>
      </c>
      <c r="AR407" s="288">
        <f>'💰 Precio de Venta'!G412</f>
        <v>0.4</v>
      </c>
      <c r="AS407" s="278">
        <f>'💰 Precio de Venta'!H412</f>
        <v>0</v>
      </c>
      <c r="AT407" s="278">
        <f>TABLA_BASE[[#This Row],[VALOR VTA.
UNIT.(S/.)]]*TABLA_BASE[[#This Row],[CANTIDAD
(unid.)]]</f>
        <v>0</v>
      </c>
      <c r="AU407" s="281">
        <f>'💰 Precio de Venta'!I412</f>
        <v>0</v>
      </c>
      <c r="AV407" s="278">
        <f>'💰 Precio de Venta'!J412</f>
        <v>0</v>
      </c>
      <c r="AW407" s="278">
        <f>TABLA_BASE[[#This Row],[GANANCIA
UNIT.(S/.)]]*TABLA_BASE[[#This Row],[CANTIDAD
(unid.)]]</f>
        <v>0</v>
      </c>
      <c r="AX407" s="289">
        <f>'💰 Precio de Venta'!K412</f>
        <v>0</v>
      </c>
      <c r="AY407" s="278">
        <f>TABLA_BASE[[#This Row],[GANANCIA
UNIT.(S/.)]]*'🧾 Factura Comercial'!G411</f>
        <v>0</v>
      </c>
      <c r="AZ407" s="277">
        <f>IF(TABLA_BASE[[#This Row],[PRECIO VTA.
c/IGV(S/.)]]=0,0,TABLA_BASE[[#This Row],[GANANCIA
UNIT.(S/.)]]/TABLA_BASE[[#This Row],[PRECIO VTA.
c/IGV(S/.)]])</f>
        <v>0</v>
      </c>
      <c r="BA407" s="277">
        <f>IF(TABLA_BASE[[#This Row],[C/M UNIT.
(S/.)]]=0,0,TABLA_BASE[[#This Row],[GANANCIA
UNIT.(S/.)]]/TABLA_BASE[[#This Row],[C/M UNIT.
(S/.)]])</f>
        <v>0</v>
      </c>
      <c r="BB407" s="274" t="str">
        <f>IF(TABLA_BASE[[#This Row],[MARGEN
%]]&gt;=0.5,"🟢 ALTO",IF(TABLA_BASE[[#This Row],[MARGEN
%]]&gt;=0.3,"🟡 MEDIO","🔴 BAJO"))</f>
        <v>🟡 MEDIO</v>
      </c>
    </row>
    <row r="408" spans="1:54" ht="16.5" hidden="1" thickTop="1" thickBot="1" x14ac:dyDescent="0.3">
      <c r="A408" s="274">
        <f>'🧾 Factura Comercial'!E412</f>
        <v>0</v>
      </c>
      <c r="B408" s="274" t="str">
        <f>'🧾 Factura Comercial'!F412</f>
        <v>Unid.</v>
      </c>
      <c r="C408" s="275">
        <f>'🧾 Factura Comercial'!G412</f>
        <v>0</v>
      </c>
      <c r="D408" s="276">
        <f>'🧾 Factura Comercial'!H412</f>
        <v>0</v>
      </c>
      <c r="E408" s="276">
        <f>'🧾 Factura Comercial'!I412</f>
        <v>0</v>
      </c>
      <c r="F408" s="277">
        <f>IF('🧾 Tributos Aduana'!$F$6=0,0,'🧾 Factura Comercial'!I412/'🧾 Tributos Aduana'!$F$6)</f>
        <v>0</v>
      </c>
      <c r="G408" s="278">
        <f>'🧾 Factura Comercial'!H412*'📋 Datos Generales'!$E$19</f>
        <v>0</v>
      </c>
      <c r="H408" s="278">
        <f>TABLA_BASE[[#This Row],[FOB UNIT.
(S/.)]]*TABLA_BASE[[#This Row],[CANTIDAD
(unid.)]]</f>
        <v>0</v>
      </c>
      <c r="I408" s="280">
        <f>IF('🧾 Tributos Aduana'!$F$6=0,0,'🧾 Tributos Aduana'!$F$17*('🧾 Factura Comercial'!H412/'🧾 Tributos Aduana'!$F$6))</f>
        <v>0</v>
      </c>
      <c r="J408" s="280">
        <f>TABLA_BASE[[#This Row],[ADV UNIT.
(US$)
⚠️COSTO]]*TABLA_BASE[[#This Row],[CANTIDAD
(unid.)]]</f>
        <v>0</v>
      </c>
      <c r="K408" s="279">
        <f>IF('🧾 Tributos Aduana'!$F$6=0,0,'🧾 Tributos Aduana'!$F$18*('🧾 Factura Comercial'!H412/'🧾 Tributos Aduana'!$F$6))</f>
        <v>0</v>
      </c>
      <c r="L408" s="280">
        <f>TABLA_BASE[[#This Row],[IPM UNIT.
(US$)
✅CF]]*TABLA_BASE[[#This Row],[CANTIDAD
(unid.)]]</f>
        <v>0</v>
      </c>
      <c r="M408" s="279">
        <f>IF('🧾 Tributos Aduana'!$F$6=0,0,'🧾 Tributos Aduana'!$F$19*('🧾 Factura Comercial'!H412/'🧾 Tributos Aduana'!$F$6))</f>
        <v>0</v>
      </c>
      <c r="N408" s="280">
        <f>TABLA_BASE[[#This Row],[IGV UNIT.
(US$)
✅CF]]*TABLA_BASE[[#This Row],[CANTIDAD
(unid.)]]</f>
        <v>0</v>
      </c>
      <c r="O408" s="280">
        <f>IF('🧾 Tributos Aduana'!$F$6=0,0,'🧾 Tributos Aduana'!$F$23*('🧾 Factura Comercial'!H412/'🧾 Tributos Aduana'!$F$6))</f>
        <v>0</v>
      </c>
      <c r="P408" s="280">
        <f>TABLA_BASE[[#This Row],[PERCEP.
UNIT.(US$)
✅CF]]*TABLA_BASE[[#This Row],[CANTIDAD
(unid.)]]</f>
        <v>0</v>
      </c>
      <c r="Q408" s="279">
        <f>TABLA_BASE[[#This Row],[ADV UNIT.
(US$)
⚠️COSTO]]+TABLA_BASE[[#This Row],[IPM UNIT.
(US$)
✅CF]]+TABLA_BASE[[#This Row],[IGV UNIT.
(US$)
✅CF]]</f>
        <v>0</v>
      </c>
      <c r="R408" s="280">
        <f>TABLA_BASE[[#This Row],[DEUDA
ADUANERA
UNIT.]]*TABLA_BASE[[#This Row],[CANTIDAD
(unid.)]]</f>
        <v>0</v>
      </c>
      <c r="S408" s="278">
        <f>TABLA_BASE[[#This Row],[DEUDA
ADUANERA
UNIT.]]*'📋 Datos Generales'!$E$19</f>
        <v>0</v>
      </c>
      <c r="T408" s="278">
        <f>TABLA_BASE[[#This Row],[DEUDA
ADUANERA
TOTAL]]*'📋 Datos Generales'!$E$19</f>
        <v>0</v>
      </c>
      <c r="U408" s="281">
        <f>TABLA_BASE[[#This Row],[ADV UNIT.
(US$)
⚠️COSTO]]*'📋 Datos Generales'!$E$19</f>
        <v>0</v>
      </c>
      <c r="V408" s="281">
        <f>TABLA_BASE[[#This Row],[ADV UNIT.
(S/.)]]*TABLA_BASE[[#This Row],[CANTIDAD
(unid.)]]</f>
        <v>0</v>
      </c>
      <c r="W408" s="281">
        <f>TABLA_BASE[[#This Row],[IPM UNIT.
(US$)
✅CF]]*'📋 Datos Generales'!$E$19</f>
        <v>0</v>
      </c>
      <c r="X408" s="281">
        <f>TABLA_BASE[[#This Row],[IPM UNIT.
(S/.)]]*TABLA_BASE[[#This Row],[CANTIDAD
(unid.)]]</f>
        <v>0</v>
      </c>
      <c r="Y408" s="281">
        <f>TABLA_BASE[[#This Row],[IGV UNIT.
(US$)
✅CF]]*'📋 Datos Generales'!$E$19</f>
        <v>0</v>
      </c>
      <c r="Z408" s="281">
        <f>TABLA_BASE[[#This Row],[IGV UNIT.
(S/.)]]*TABLA_BASE[[#This Row],[CANTIDAD
(unid.)]]</f>
        <v>0</v>
      </c>
      <c r="AA408" s="281">
        <f>TABLA_BASE[[#This Row],[PERCEP.
UNIT.(US$)
✅CF]]*'📋 Datos Generales'!$E$19</f>
        <v>0</v>
      </c>
      <c r="AB408" s="281">
        <f>TABLA_BASE[[#This Row],[PERCEP.
UNIT.(S/.)]]*TABLA_BASE[[#This Row],[CANTIDAD
(unid.)]]</f>
        <v>0</v>
      </c>
      <c r="AC408" s="279">
        <f>TABLA_BASE[[#This Row],[ADV UNIT.
(US$)
⚠️COSTO]]+TABLA_BASE[[#This Row],[IPM UNIT.
(US$)
✅CF]]+TABLA_BASE[[#This Row],[IGV UNIT.
(US$)
✅CF]]+TABLA_BASE[[#This Row],[PERCEP.
UNIT.(US$)
✅CF]]</f>
        <v>0</v>
      </c>
      <c r="AD408" s="279">
        <f>TABLA_BASE[[#This Row],[TOTAL PAGO
SUNAT
UNIT.(US$)]]*TABLA_BASE[[#This Row],[CANTIDAD
(unid.)]]</f>
        <v>0</v>
      </c>
      <c r="AE408" s="281">
        <f>TABLA_BASE[[#This Row],[TOTAL PAGO
SUNAT
UNIT.(US$)]]*'📋 Datos Generales'!$E$19</f>
        <v>0</v>
      </c>
      <c r="AF408" s="281">
        <f>TABLA_BASE[[#This Row],[TOTAL TRIB.
UNIT.(S/.)]]*TABLA_BASE[[#This Row],[CANTIDAD
(unid.)]]</f>
        <v>0</v>
      </c>
      <c r="AG408" s="279">
        <f>IF('🧾 Factura Comercial'!G412=0,0,'📦 Gastos Importación'!$E$28*(IF('🧾 Tributos Aduana'!$F$6=0,0,'🧾 Factura Comercial'!I412/'🧾 Tributos Aduana'!$F$6))/'🧾 Factura Comercial'!G412)</f>
        <v>0</v>
      </c>
      <c r="AH408" s="279">
        <f>TABLA_BASE[[#This Row],[GASTOS IMP.
UNIT.(US$)]]*TABLA_BASE[[#This Row],[CANTIDAD
(unid.)]]</f>
        <v>0</v>
      </c>
      <c r="AI408" s="281">
        <f>TABLA_BASE[[#This Row],[GASTOS IMP.
UNIT.(US$)]]*'📋 Datos Generales'!$E$19</f>
        <v>0</v>
      </c>
      <c r="AJ408" s="281">
        <f>TABLA_BASE[[#This Row],[GASTOS IMP.
UNIT.(S/.)]]*TABLA_BASE[[#This Row],[CANTIDAD
(unid.)]]</f>
        <v>0</v>
      </c>
      <c r="AK408" s="280">
        <f>'🧮 Costos x Producto'!J412</f>
        <v>0</v>
      </c>
      <c r="AL408" s="278">
        <f>'🧮 Costos x Producto'!K412</f>
        <v>0</v>
      </c>
      <c r="AM408" s="278">
        <f>TABLA_BASE[[#This Row],[C/M UNIT.
(S/.)]]*TABLA_BASE[[#This Row],[CANTIDAD
(unid.)]]</f>
        <v>0</v>
      </c>
      <c r="AN408" s="279">
        <f>IF('🧾 Factura Comercial'!G412=0,0,'🧾 Tributos Aduana'!$F$17*(IF('🧾 Tributos Aduana'!$F$6=0,0,'🧾 Factura Comercial'!I412/'🧾 Tributos Aduana'!$F$6))/'🧾 Factura Comercial'!G412)</f>
        <v>0</v>
      </c>
      <c r="AO408" s="280">
        <f>IF('🧾 Factura Comercial'!G412=0,0,'🏦 Crédito Fiscal'!$C$16*(IF('🧾 Tributos Aduana'!$F$6=0,0,'🧾 Factura Comercial'!I412/'🧾 Tributos Aduana'!$F$6))/'🧾 Factura Comercial'!G412)</f>
        <v>0</v>
      </c>
      <c r="AP408" s="278">
        <f>TABLA_BASE[[#This Row],[CF UNIT.
✅RECUP.
(US$)]]*'📋 Datos Generales'!$E$19</f>
        <v>0</v>
      </c>
      <c r="AQ408" s="278">
        <f>TABLA_BASE[[#This Row],[CF UNIT.
✅RECUP.(S/.)]]*TABLA_BASE[[#This Row],[CANTIDAD
(unid.)]]</f>
        <v>0</v>
      </c>
      <c r="AR408" s="288">
        <f>'💰 Precio de Venta'!G413</f>
        <v>0.4</v>
      </c>
      <c r="AS408" s="278">
        <f>'💰 Precio de Venta'!H413</f>
        <v>0</v>
      </c>
      <c r="AT408" s="278">
        <f>TABLA_BASE[[#This Row],[VALOR VTA.
UNIT.(S/.)]]*TABLA_BASE[[#This Row],[CANTIDAD
(unid.)]]</f>
        <v>0</v>
      </c>
      <c r="AU408" s="281">
        <f>'💰 Precio de Venta'!I413</f>
        <v>0</v>
      </c>
      <c r="AV408" s="278">
        <f>'💰 Precio de Venta'!J413</f>
        <v>0</v>
      </c>
      <c r="AW408" s="278">
        <f>TABLA_BASE[[#This Row],[GANANCIA
UNIT.(S/.)]]*TABLA_BASE[[#This Row],[CANTIDAD
(unid.)]]</f>
        <v>0</v>
      </c>
      <c r="AX408" s="289">
        <f>'💰 Precio de Venta'!K413</f>
        <v>0</v>
      </c>
      <c r="AY408" s="278">
        <f>TABLA_BASE[[#This Row],[GANANCIA
UNIT.(S/.)]]*'🧾 Factura Comercial'!G412</f>
        <v>0</v>
      </c>
      <c r="AZ408" s="277">
        <f>IF(TABLA_BASE[[#This Row],[PRECIO VTA.
c/IGV(S/.)]]=0,0,TABLA_BASE[[#This Row],[GANANCIA
UNIT.(S/.)]]/TABLA_BASE[[#This Row],[PRECIO VTA.
c/IGV(S/.)]])</f>
        <v>0</v>
      </c>
      <c r="BA408" s="277">
        <f>IF(TABLA_BASE[[#This Row],[C/M UNIT.
(S/.)]]=0,0,TABLA_BASE[[#This Row],[GANANCIA
UNIT.(S/.)]]/TABLA_BASE[[#This Row],[C/M UNIT.
(S/.)]])</f>
        <v>0</v>
      </c>
      <c r="BB408" s="274" t="str">
        <f>IF(TABLA_BASE[[#This Row],[MARGEN
%]]&gt;=0.5,"🟢 ALTO",IF(TABLA_BASE[[#This Row],[MARGEN
%]]&gt;=0.3,"🟡 MEDIO","🔴 BAJO"))</f>
        <v>🟡 MEDIO</v>
      </c>
    </row>
    <row r="409" spans="1:54" ht="16.5" hidden="1" thickTop="1" thickBot="1" x14ac:dyDescent="0.3">
      <c r="A409" s="274">
        <f>'🧾 Factura Comercial'!E413</f>
        <v>0</v>
      </c>
      <c r="B409" s="274" t="str">
        <f>'🧾 Factura Comercial'!F413</f>
        <v>Unid.</v>
      </c>
      <c r="C409" s="275">
        <f>'🧾 Factura Comercial'!G413</f>
        <v>0</v>
      </c>
      <c r="D409" s="276">
        <f>'🧾 Factura Comercial'!H413</f>
        <v>0</v>
      </c>
      <c r="E409" s="276">
        <f>'🧾 Factura Comercial'!I413</f>
        <v>0</v>
      </c>
      <c r="F409" s="277">
        <f>IF('🧾 Tributos Aduana'!$F$6=0,0,'🧾 Factura Comercial'!I413/'🧾 Tributos Aduana'!$F$6)</f>
        <v>0</v>
      </c>
      <c r="G409" s="278">
        <f>'🧾 Factura Comercial'!H413*'📋 Datos Generales'!$E$19</f>
        <v>0</v>
      </c>
      <c r="H409" s="278">
        <f>TABLA_BASE[[#This Row],[FOB UNIT.
(S/.)]]*TABLA_BASE[[#This Row],[CANTIDAD
(unid.)]]</f>
        <v>0</v>
      </c>
      <c r="I409" s="280">
        <f>IF('🧾 Tributos Aduana'!$F$6=0,0,'🧾 Tributos Aduana'!$F$17*('🧾 Factura Comercial'!H413/'🧾 Tributos Aduana'!$F$6))</f>
        <v>0</v>
      </c>
      <c r="J409" s="280">
        <f>TABLA_BASE[[#This Row],[ADV UNIT.
(US$)
⚠️COSTO]]*TABLA_BASE[[#This Row],[CANTIDAD
(unid.)]]</f>
        <v>0</v>
      </c>
      <c r="K409" s="279">
        <f>IF('🧾 Tributos Aduana'!$F$6=0,0,'🧾 Tributos Aduana'!$F$18*('🧾 Factura Comercial'!H413/'🧾 Tributos Aduana'!$F$6))</f>
        <v>0</v>
      </c>
      <c r="L409" s="280">
        <f>TABLA_BASE[[#This Row],[IPM UNIT.
(US$)
✅CF]]*TABLA_BASE[[#This Row],[CANTIDAD
(unid.)]]</f>
        <v>0</v>
      </c>
      <c r="M409" s="279">
        <f>IF('🧾 Tributos Aduana'!$F$6=0,0,'🧾 Tributos Aduana'!$F$19*('🧾 Factura Comercial'!H413/'🧾 Tributos Aduana'!$F$6))</f>
        <v>0</v>
      </c>
      <c r="N409" s="280">
        <f>TABLA_BASE[[#This Row],[IGV UNIT.
(US$)
✅CF]]*TABLA_BASE[[#This Row],[CANTIDAD
(unid.)]]</f>
        <v>0</v>
      </c>
      <c r="O409" s="280">
        <f>IF('🧾 Tributos Aduana'!$F$6=0,0,'🧾 Tributos Aduana'!$F$23*('🧾 Factura Comercial'!H413/'🧾 Tributos Aduana'!$F$6))</f>
        <v>0</v>
      </c>
      <c r="P409" s="280">
        <f>TABLA_BASE[[#This Row],[PERCEP.
UNIT.(US$)
✅CF]]*TABLA_BASE[[#This Row],[CANTIDAD
(unid.)]]</f>
        <v>0</v>
      </c>
      <c r="Q409" s="279">
        <f>TABLA_BASE[[#This Row],[ADV UNIT.
(US$)
⚠️COSTO]]+TABLA_BASE[[#This Row],[IPM UNIT.
(US$)
✅CF]]+TABLA_BASE[[#This Row],[IGV UNIT.
(US$)
✅CF]]</f>
        <v>0</v>
      </c>
      <c r="R409" s="280">
        <f>TABLA_BASE[[#This Row],[DEUDA
ADUANERA
UNIT.]]*TABLA_BASE[[#This Row],[CANTIDAD
(unid.)]]</f>
        <v>0</v>
      </c>
      <c r="S409" s="278">
        <f>TABLA_BASE[[#This Row],[DEUDA
ADUANERA
UNIT.]]*'📋 Datos Generales'!$E$19</f>
        <v>0</v>
      </c>
      <c r="T409" s="278">
        <f>TABLA_BASE[[#This Row],[DEUDA
ADUANERA
TOTAL]]*'📋 Datos Generales'!$E$19</f>
        <v>0</v>
      </c>
      <c r="U409" s="281">
        <f>TABLA_BASE[[#This Row],[ADV UNIT.
(US$)
⚠️COSTO]]*'📋 Datos Generales'!$E$19</f>
        <v>0</v>
      </c>
      <c r="V409" s="281">
        <f>TABLA_BASE[[#This Row],[ADV UNIT.
(S/.)]]*TABLA_BASE[[#This Row],[CANTIDAD
(unid.)]]</f>
        <v>0</v>
      </c>
      <c r="W409" s="281">
        <f>TABLA_BASE[[#This Row],[IPM UNIT.
(US$)
✅CF]]*'📋 Datos Generales'!$E$19</f>
        <v>0</v>
      </c>
      <c r="X409" s="281">
        <f>TABLA_BASE[[#This Row],[IPM UNIT.
(S/.)]]*TABLA_BASE[[#This Row],[CANTIDAD
(unid.)]]</f>
        <v>0</v>
      </c>
      <c r="Y409" s="281">
        <f>TABLA_BASE[[#This Row],[IGV UNIT.
(US$)
✅CF]]*'📋 Datos Generales'!$E$19</f>
        <v>0</v>
      </c>
      <c r="Z409" s="281">
        <f>TABLA_BASE[[#This Row],[IGV UNIT.
(S/.)]]*TABLA_BASE[[#This Row],[CANTIDAD
(unid.)]]</f>
        <v>0</v>
      </c>
      <c r="AA409" s="281">
        <f>TABLA_BASE[[#This Row],[PERCEP.
UNIT.(US$)
✅CF]]*'📋 Datos Generales'!$E$19</f>
        <v>0</v>
      </c>
      <c r="AB409" s="281">
        <f>TABLA_BASE[[#This Row],[PERCEP.
UNIT.(S/.)]]*TABLA_BASE[[#This Row],[CANTIDAD
(unid.)]]</f>
        <v>0</v>
      </c>
      <c r="AC409" s="279">
        <f>TABLA_BASE[[#This Row],[ADV UNIT.
(US$)
⚠️COSTO]]+TABLA_BASE[[#This Row],[IPM UNIT.
(US$)
✅CF]]+TABLA_BASE[[#This Row],[IGV UNIT.
(US$)
✅CF]]+TABLA_BASE[[#This Row],[PERCEP.
UNIT.(US$)
✅CF]]</f>
        <v>0</v>
      </c>
      <c r="AD409" s="279">
        <f>TABLA_BASE[[#This Row],[TOTAL PAGO
SUNAT
UNIT.(US$)]]*TABLA_BASE[[#This Row],[CANTIDAD
(unid.)]]</f>
        <v>0</v>
      </c>
      <c r="AE409" s="281">
        <f>TABLA_BASE[[#This Row],[TOTAL PAGO
SUNAT
UNIT.(US$)]]*'📋 Datos Generales'!$E$19</f>
        <v>0</v>
      </c>
      <c r="AF409" s="281">
        <f>TABLA_BASE[[#This Row],[TOTAL TRIB.
UNIT.(S/.)]]*TABLA_BASE[[#This Row],[CANTIDAD
(unid.)]]</f>
        <v>0</v>
      </c>
      <c r="AG409" s="279">
        <f>IF('🧾 Factura Comercial'!G413=0,0,'📦 Gastos Importación'!$E$28*(IF('🧾 Tributos Aduana'!$F$6=0,0,'🧾 Factura Comercial'!I413/'🧾 Tributos Aduana'!$F$6))/'🧾 Factura Comercial'!G413)</f>
        <v>0</v>
      </c>
      <c r="AH409" s="279">
        <f>TABLA_BASE[[#This Row],[GASTOS IMP.
UNIT.(US$)]]*TABLA_BASE[[#This Row],[CANTIDAD
(unid.)]]</f>
        <v>0</v>
      </c>
      <c r="AI409" s="281">
        <f>TABLA_BASE[[#This Row],[GASTOS IMP.
UNIT.(US$)]]*'📋 Datos Generales'!$E$19</f>
        <v>0</v>
      </c>
      <c r="AJ409" s="281">
        <f>TABLA_BASE[[#This Row],[GASTOS IMP.
UNIT.(S/.)]]*TABLA_BASE[[#This Row],[CANTIDAD
(unid.)]]</f>
        <v>0</v>
      </c>
      <c r="AK409" s="280">
        <f>'🧮 Costos x Producto'!J413</f>
        <v>0</v>
      </c>
      <c r="AL409" s="278">
        <f>'🧮 Costos x Producto'!K413</f>
        <v>0</v>
      </c>
      <c r="AM409" s="278">
        <f>TABLA_BASE[[#This Row],[C/M UNIT.
(S/.)]]*TABLA_BASE[[#This Row],[CANTIDAD
(unid.)]]</f>
        <v>0</v>
      </c>
      <c r="AN409" s="279">
        <f>IF('🧾 Factura Comercial'!G413=0,0,'🧾 Tributos Aduana'!$F$17*(IF('🧾 Tributos Aduana'!$F$6=0,0,'🧾 Factura Comercial'!I413/'🧾 Tributos Aduana'!$F$6))/'🧾 Factura Comercial'!G413)</f>
        <v>0</v>
      </c>
      <c r="AO409" s="280">
        <f>IF('🧾 Factura Comercial'!G413=0,0,'🏦 Crédito Fiscal'!$C$16*(IF('🧾 Tributos Aduana'!$F$6=0,0,'🧾 Factura Comercial'!I413/'🧾 Tributos Aduana'!$F$6))/'🧾 Factura Comercial'!G413)</f>
        <v>0</v>
      </c>
      <c r="AP409" s="278">
        <f>TABLA_BASE[[#This Row],[CF UNIT.
✅RECUP.
(US$)]]*'📋 Datos Generales'!$E$19</f>
        <v>0</v>
      </c>
      <c r="AQ409" s="278">
        <f>TABLA_BASE[[#This Row],[CF UNIT.
✅RECUP.(S/.)]]*TABLA_BASE[[#This Row],[CANTIDAD
(unid.)]]</f>
        <v>0</v>
      </c>
      <c r="AR409" s="288">
        <f>'💰 Precio de Venta'!G414</f>
        <v>0.4</v>
      </c>
      <c r="AS409" s="278">
        <f>'💰 Precio de Venta'!H414</f>
        <v>0</v>
      </c>
      <c r="AT409" s="278">
        <f>TABLA_BASE[[#This Row],[VALOR VTA.
UNIT.(S/.)]]*TABLA_BASE[[#This Row],[CANTIDAD
(unid.)]]</f>
        <v>0</v>
      </c>
      <c r="AU409" s="281">
        <f>'💰 Precio de Venta'!I414</f>
        <v>0</v>
      </c>
      <c r="AV409" s="278">
        <f>'💰 Precio de Venta'!J414</f>
        <v>0</v>
      </c>
      <c r="AW409" s="278">
        <f>TABLA_BASE[[#This Row],[GANANCIA
UNIT.(S/.)]]*TABLA_BASE[[#This Row],[CANTIDAD
(unid.)]]</f>
        <v>0</v>
      </c>
      <c r="AX409" s="289">
        <f>'💰 Precio de Venta'!K414</f>
        <v>0</v>
      </c>
      <c r="AY409" s="278">
        <f>TABLA_BASE[[#This Row],[GANANCIA
UNIT.(S/.)]]*'🧾 Factura Comercial'!G413</f>
        <v>0</v>
      </c>
      <c r="AZ409" s="277">
        <f>IF(TABLA_BASE[[#This Row],[PRECIO VTA.
c/IGV(S/.)]]=0,0,TABLA_BASE[[#This Row],[GANANCIA
UNIT.(S/.)]]/TABLA_BASE[[#This Row],[PRECIO VTA.
c/IGV(S/.)]])</f>
        <v>0</v>
      </c>
      <c r="BA409" s="277">
        <f>IF(TABLA_BASE[[#This Row],[C/M UNIT.
(S/.)]]=0,0,TABLA_BASE[[#This Row],[GANANCIA
UNIT.(S/.)]]/TABLA_BASE[[#This Row],[C/M UNIT.
(S/.)]])</f>
        <v>0</v>
      </c>
      <c r="BB409" s="274" t="str">
        <f>IF(TABLA_BASE[[#This Row],[MARGEN
%]]&gt;=0.5,"🟢 ALTO",IF(TABLA_BASE[[#This Row],[MARGEN
%]]&gt;=0.3,"🟡 MEDIO","🔴 BAJO"))</f>
        <v>🟡 MEDIO</v>
      </c>
    </row>
    <row r="410" spans="1:54" ht="16.5" hidden="1" thickTop="1" thickBot="1" x14ac:dyDescent="0.3">
      <c r="A410" s="274">
        <f>'🧾 Factura Comercial'!E414</f>
        <v>0</v>
      </c>
      <c r="B410" s="274" t="str">
        <f>'🧾 Factura Comercial'!F414</f>
        <v>Unid.</v>
      </c>
      <c r="C410" s="275">
        <f>'🧾 Factura Comercial'!G414</f>
        <v>0</v>
      </c>
      <c r="D410" s="276">
        <f>'🧾 Factura Comercial'!H414</f>
        <v>0</v>
      </c>
      <c r="E410" s="276">
        <f>'🧾 Factura Comercial'!I414</f>
        <v>0</v>
      </c>
      <c r="F410" s="277">
        <f>IF('🧾 Tributos Aduana'!$F$6=0,0,'🧾 Factura Comercial'!I414/'🧾 Tributos Aduana'!$F$6)</f>
        <v>0</v>
      </c>
      <c r="G410" s="278">
        <f>'🧾 Factura Comercial'!H414*'📋 Datos Generales'!$E$19</f>
        <v>0</v>
      </c>
      <c r="H410" s="278">
        <f>TABLA_BASE[[#This Row],[FOB UNIT.
(S/.)]]*TABLA_BASE[[#This Row],[CANTIDAD
(unid.)]]</f>
        <v>0</v>
      </c>
      <c r="I410" s="280">
        <f>IF('🧾 Tributos Aduana'!$F$6=0,0,'🧾 Tributos Aduana'!$F$17*('🧾 Factura Comercial'!H414/'🧾 Tributos Aduana'!$F$6))</f>
        <v>0</v>
      </c>
      <c r="J410" s="280">
        <f>TABLA_BASE[[#This Row],[ADV UNIT.
(US$)
⚠️COSTO]]*TABLA_BASE[[#This Row],[CANTIDAD
(unid.)]]</f>
        <v>0</v>
      </c>
      <c r="K410" s="279">
        <f>IF('🧾 Tributos Aduana'!$F$6=0,0,'🧾 Tributos Aduana'!$F$18*('🧾 Factura Comercial'!H414/'🧾 Tributos Aduana'!$F$6))</f>
        <v>0</v>
      </c>
      <c r="L410" s="280">
        <f>TABLA_BASE[[#This Row],[IPM UNIT.
(US$)
✅CF]]*TABLA_BASE[[#This Row],[CANTIDAD
(unid.)]]</f>
        <v>0</v>
      </c>
      <c r="M410" s="279">
        <f>IF('🧾 Tributos Aduana'!$F$6=0,0,'🧾 Tributos Aduana'!$F$19*('🧾 Factura Comercial'!H414/'🧾 Tributos Aduana'!$F$6))</f>
        <v>0</v>
      </c>
      <c r="N410" s="280">
        <f>TABLA_BASE[[#This Row],[IGV UNIT.
(US$)
✅CF]]*TABLA_BASE[[#This Row],[CANTIDAD
(unid.)]]</f>
        <v>0</v>
      </c>
      <c r="O410" s="280">
        <f>IF('🧾 Tributos Aduana'!$F$6=0,0,'🧾 Tributos Aduana'!$F$23*('🧾 Factura Comercial'!H414/'🧾 Tributos Aduana'!$F$6))</f>
        <v>0</v>
      </c>
      <c r="P410" s="280">
        <f>TABLA_BASE[[#This Row],[PERCEP.
UNIT.(US$)
✅CF]]*TABLA_BASE[[#This Row],[CANTIDAD
(unid.)]]</f>
        <v>0</v>
      </c>
      <c r="Q410" s="279">
        <f>TABLA_BASE[[#This Row],[ADV UNIT.
(US$)
⚠️COSTO]]+TABLA_BASE[[#This Row],[IPM UNIT.
(US$)
✅CF]]+TABLA_BASE[[#This Row],[IGV UNIT.
(US$)
✅CF]]</f>
        <v>0</v>
      </c>
      <c r="R410" s="280">
        <f>TABLA_BASE[[#This Row],[DEUDA
ADUANERA
UNIT.]]*TABLA_BASE[[#This Row],[CANTIDAD
(unid.)]]</f>
        <v>0</v>
      </c>
      <c r="S410" s="278">
        <f>TABLA_BASE[[#This Row],[DEUDA
ADUANERA
UNIT.]]*'📋 Datos Generales'!$E$19</f>
        <v>0</v>
      </c>
      <c r="T410" s="278">
        <f>TABLA_BASE[[#This Row],[DEUDA
ADUANERA
TOTAL]]*'📋 Datos Generales'!$E$19</f>
        <v>0</v>
      </c>
      <c r="U410" s="281">
        <f>TABLA_BASE[[#This Row],[ADV UNIT.
(US$)
⚠️COSTO]]*'📋 Datos Generales'!$E$19</f>
        <v>0</v>
      </c>
      <c r="V410" s="281">
        <f>TABLA_BASE[[#This Row],[ADV UNIT.
(S/.)]]*TABLA_BASE[[#This Row],[CANTIDAD
(unid.)]]</f>
        <v>0</v>
      </c>
      <c r="W410" s="281">
        <f>TABLA_BASE[[#This Row],[IPM UNIT.
(US$)
✅CF]]*'📋 Datos Generales'!$E$19</f>
        <v>0</v>
      </c>
      <c r="X410" s="281">
        <f>TABLA_BASE[[#This Row],[IPM UNIT.
(S/.)]]*TABLA_BASE[[#This Row],[CANTIDAD
(unid.)]]</f>
        <v>0</v>
      </c>
      <c r="Y410" s="281">
        <f>TABLA_BASE[[#This Row],[IGV UNIT.
(US$)
✅CF]]*'📋 Datos Generales'!$E$19</f>
        <v>0</v>
      </c>
      <c r="Z410" s="281">
        <f>TABLA_BASE[[#This Row],[IGV UNIT.
(S/.)]]*TABLA_BASE[[#This Row],[CANTIDAD
(unid.)]]</f>
        <v>0</v>
      </c>
      <c r="AA410" s="281">
        <f>TABLA_BASE[[#This Row],[PERCEP.
UNIT.(US$)
✅CF]]*'📋 Datos Generales'!$E$19</f>
        <v>0</v>
      </c>
      <c r="AB410" s="281">
        <f>TABLA_BASE[[#This Row],[PERCEP.
UNIT.(S/.)]]*TABLA_BASE[[#This Row],[CANTIDAD
(unid.)]]</f>
        <v>0</v>
      </c>
      <c r="AC410" s="279">
        <f>TABLA_BASE[[#This Row],[ADV UNIT.
(US$)
⚠️COSTO]]+TABLA_BASE[[#This Row],[IPM UNIT.
(US$)
✅CF]]+TABLA_BASE[[#This Row],[IGV UNIT.
(US$)
✅CF]]+TABLA_BASE[[#This Row],[PERCEP.
UNIT.(US$)
✅CF]]</f>
        <v>0</v>
      </c>
      <c r="AD410" s="279">
        <f>TABLA_BASE[[#This Row],[TOTAL PAGO
SUNAT
UNIT.(US$)]]*TABLA_BASE[[#This Row],[CANTIDAD
(unid.)]]</f>
        <v>0</v>
      </c>
      <c r="AE410" s="281">
        <f>TABLA_BASE[[#This Row],[TOTAL PAGO
SUNAT
UNIT.(US$)]]*'📋 Datos Generales'!$E$19</f>
        <v>0</v>
      </c>
      <c r="AF410" s="281">
        <f>TABLA_BASE[[#This Row],[TOTAL TRIB.
UNIT.(S/.)]]*TABLA_BASE[[#This Row],[CANTIDAD
(unid.)]]</f>
        <v>0</v>
      </c>
      <c r="AG410" s="279">
        <f>IF('🧾 Factura Comercial'!G414=0,0,'📦 Gastos Importación'!$E$28*(IF('🧾 Tributos Aduana'!$F$6=0,0,'🧾 Factura Comercial'!I414/'🧾 Tributos Aduana'!$F$6))/'🧾 Factura Comercial'!G414)</f>
        <v>0</v>
      </c>
      <c r="AH410" s="279">
        <f>TABLA_BASE[[#This Row],[GASTOS IMP.
UNIT.(US$)]]*TABLA_BASE[[#This Row],[CANTIDAD
(unid.)]]</f>
        <v>0</v>
      </c>
      <c r="AI410" s="281">
        <f>TABLA_BASE[[#This Row],[GASTOS IMP.
UNIT.(US$)]]*'📋 Datos Generales'!$E$19</f>
        <v>0</v>
      </c>
      <c r="AJ410" s="281">
        <f>TABLA_BASE[[#This Row],[GASTOS IMP.
UNIT.(S/.)]]*TABLA_BASE[[#This Row],[CANTIDAD
(unid.)]]</f>
        <v>0</v>
      </c>
      <c r="AK410" s="280">
        <f>'🧮 Costos x Producto'!J414</f>
        <v>0</v>
      </c>
      <c r="AL410" s="278">
        <f>'🧮 Costos x Producto'!K414</f>
        <v>0</v>
      </c>
      <c r="AM410" s="278">
        <f>TABLA_BASE[[#This Row],[C/M UNIT.
(S/.)]]*TABLA_BASE[[#This Row],[CANTIDAD
(unid.)]]</f>
        <v>0</v>
      </c>
      <c r="AN410" s="279">
        <f>IF('🧾 Factura Comercial'!G414=0,0,'🧾 Tributos Aduana'!$F$17*(IF('🧾 Tributos Aduana'!$F$6=0,0,'🧾 Factura Comercial'!I414/'🧾 Tributos Aduana'!$F$6))/'🧾 Factura Comercial'!G414)</f>
        <v>0</v>
      </c>
      <c r="AO410" s="280">
        <f>IF('🧾 Factura Comercial'!G414=0,0,'🏦 Crédito Fiscal'!$C$16*(IF('🧾 Tributos Aduana'!$F$6=0,0,'🧾 Factura Comercial'!I414/'🧾 Tributos Aduana'!$F$6))/'🧾 Factura Comercial'!G414)</f>
        <v>0</v>
      </c>
      <c r="AP410" s="278">
        <f>TABLA_BASE[[#This Row],[CF UNIT.
✅RECUP.
(US$)]]*'📋 Datos Generales'!$E$19</f>
        <v>0</v>
      </c>
      <c r="AQ410" s="278">
        <f>TABLA_BASE[[#This Row],[CF UNIT.
✅RECUP.(S/.)]]*TABLA_BASE[[#This Row],[CANTIDAD
(unid.)]]</f>
        <v>0</v>
      </c>
      <c r="AR410" s="288">
        <f>'💰 Precio de Venta'!G415</f>
        <v>0.4</v>
      </c>
      <c r="AS410" s="278">
        <f>'💰 Precio de Venta'!H415</f>
        <v>0</v>
      </c>
      <c r="AT410" s="278">
        <f>TABLA_BASE[[#This Row],[VALOR VTA.
UNIT.(S/.)]]*TABLA_BASE[[#This Row],[CANTIDAD
(unid.)]]</f>
        <v>0</v>
      </c>
      <c r="AU410" s="281">
        <f>'💰 Precio de Venta'!I415</f>
        <v>0</v>
      </c>
      <c r="AV410" s="278">
        <f>'💰 Precio de Venta'!J415</f>
        <v>0</v>
      </c>
      <c r="AW410" s="278">
        <f>TABLA_BASE[[#This Row],[GANANCIA
UNIT.(S/.)]]*TABLA_BASE[[#This Row],[CANTIDAD
(unid.)]]</f>
        <v>0</v>
      </c>
      <c r="AX410" s="289">
        <f>'💰 Precio de Venta'!K415</f>
        <v>0</v>
      </c>
      <c r="AY410" s="278">
        <f>TABLA_BASE[[#This Row],[GANANCIA
UNIT.(S/.)]]*'🧾 Factura Comercial'!G414</f>
        <v>0</v>
      </c>
      <c r="AZ410" s="277">
        <f>IF(TABLA_BASE[[#This Row],[PRECIO VTA.
c/IGV(S/.)]]=0,0,TABLA_BASE[[#This Row],[GANANCIA
UNIT.(S/.)]]/TABLA_BASE[[#This Row],[PRECIO VTA.
c/IGV(S/.)]])</f>
        <v>0</v>
      </c>
      <c r="BA410" s="277">
        <f>IF(TABLA_BASE[[#This Row],[C/M UNIT.
(S/.)]]=0,0,TABLA_BASE[[#This Row],[GANANCIA
UNIT.(S/.)]]/TABLA_BASE[[#This Row],[C/M UNIT.
(S/.)]])</f>
        <v>0</v>
      </c>
      <c r="BB410" s="274" t="str">
        <f>IF(TABLA_BASE[[#This Row],[MARGEN
%]]&gt;=0.5,"🟢 ALTO",IF(TABLA_BASE[[#This Row],[MARGEN
%]]&gt;=0.3,"🟡 MEDIO","🔴 BAJO"))</f>
        <v>🟡 MEDIO</v>
      </c>
    </row>
    <row r="411" spans="1:54" ht="16.5" hidden="1" thickTop="1" thickBot="1" x14ac:dyDescent="0.3">
      <c r="A411" s="274">
        <f>'🧾 Factura Comercial'!E415</f>
        <v>0</v>
      </c>
      <c r="B411" s="274" t="str">
        <f>'🧾 Factura Comercial'!F415</f>
        <v>Unid.</v>
      </c>
      <c r="C411" s="275">
        <f>'🧾 Factura Comercial'!G415</f>
        <v>0</v>
      </c>
      <c r="D411" s="276">
        <f>'🧾 Factura Comercial'!H415</f>
        <v>0</v>
      </c>
      <c r="E411" s="276">
        <f>'🧾 Factura Comercial'!I415</f>
        <v>0</v>
      </c>
      <c r="F411" s="277">
        <f>IF('🧾 Tributos Aduana'!$F$6=0,0,'🧾 Factura Comercial'!I415/'🧾 Tributos Aduana'!$F$6)</f>
        <v>0</v>
      </c>
      <c r="G411" s="278">
        <f>'🧾 Factura Comercial'!H415*'📋 Datos Generales'!$E$19</f>
        <v>0</v>
      </c>
      <c r="H411" s="278">
        <f>TABLA_BASE[[#This Row],[FOB UNIT.
(S/.)]]*TABLA_BASE[[#This Row],[CANTIDAD
(unid.)]]</f>
        <v>0</v>
      </c>
      <c r="I411" s="280">
        <f>IF('🧾 Tributos Aduana'!$F$6=0,0,'🧾 Tributos Aduana'!$F$17*('🧾 Factura Comercial'!H415/'🧾 Tributos Aduana'!$F$6))</f>
        <v>0</v>
      </c>
      <c r="J411" s="280">
        <f>TABLA_BASE[[#This Row],[ADV UNIT.
(US$)
⚠️COSTO]]*TABLA_BASE[[#This Row],[CANTIDAD
(unid.)]]</f>
        <v>0</v>
      </c>
      <c r="K411" s="279">
        <f>IF('🧾 Tributos Aduana'!$F$6=0,0,'🧾 Tributos Aduana'!$F$18*('🧾 Factura Comercial'!H415/'🧾 Tributos Aduana'!$F$6))</f>
        <v>0</v>
      </c>
      <c r="L411" s="280">
        <f>TABLA_BASE[[#This Row],[IPM UNIT.
(US$)
✅CF]]*TABLA_BASE[[#This Row],[CANTIDAD
(unid.)]]</f>
        <v>0</v>
      </c>
      <c r="M411" s="279">
        <f>IF('🧾 Tributos Aduana'!$F$6=0,0,'🧾 Tributos Aduana'!$F$19*('🧾 Factura Comercial'!H415/'🧾 Tributos Aduana'!$F$6))</f>
        <v>0</v>
      </c>
      <c r="N411" s="280">
        <f>TABLA_BASE[[#This Row],[IGV UNIT.
(US$)
✅CF]]*TABLA_BASE[[#This Row],[CANTIDAD
(unid.)]]</f>
        <v>0</v>
      </c>
      <c r="O411" s="280">
        <f>IF('🧾 Tributos Aduana'!$F$6=0,0,'🧾 Tributos Aduana'!$F$23*('🧾 Factura Comercial'!H415/'🧾 Tributos Aduana'!$F$6))</f>
        <v>0</v>
      </c>
      <c r="P411" s="280">
        <f>TABLA_BASE[[#This Row],[PERCEP.
UNIT.(US$)
✅CF]]*TABLA_BASE[[#This Row],[CANTIDAD
(unid.)]]</f>
        <v>0</v>
      </c>
      <c r="Q411" s="279">
        <f>TABLA_BASE[[#This Row],[ADV UNIT.
(US$)
⚠️COSTO]]+TABLA_BASE[[#This Row],[IPM UNIT.
(US$)
✅CF]]+TABLA_BASE[[#This Row],[IGV UNIT.
(US$)
✅CF]]</f>
        <v>0</v>
      </c>
      <c r="R411" s="280">
        <f>TABLA_BASE[[#This Row],[DEUDA
ADUANERA
UNIT.]]*TABLA_BASE[[#This Row],[CANTIDAD
(unid.)]]</f>
        <v>0</v>
      </c>
      <c r="S411" s="278">
        <f>TABLA_BASE[[#This Row],[DEUDA
ADUANERA
UNIT.]]*'📋 Datos Generales'!$E$19</f>
        <v>0</v>
      </c>
      <c r="T411" s="278">
        <f>TABLA_BASE[[#This Row],[DEUDA
ADUANERA
TOTAL]]*'📋 Datos Generales'!$E$19</f>
        <v>0</v>
      </c>
      <c r="U411" s="281">
        <f>TABLA_BASE[[#This Row],[ADV UNIT.
(US$)
⚠️COSTO]]*'📋 Datos Generales'!$E$19</f>
        <v>0</v>
      </c>
      <c r="V411" s="281">
        <f>TABLA_BASE[[#This Row],[ADV UNIT.
(S/.)]]*TABLA_BASE[[#This Row],[CANTIDAD
(unid.)]]</f>
        <v>0</v>
      </c>
      <c r="W411" s="281">
        <f>TABLA_BASE[[#This Row],[IPM UNIT.
(US$)
✅CF]]*'📋 Datos Generales'!$E$19</f>
        <v>0</v>
      </c>
      <c r="X411" s="281">
        <f>TABLA_BASE[[#This Row],[IPM UNIT.
(S/.)]]*TABLA_BASE[[#This Row],[CANTIDAD
(unid.)]]</f>
        <v>0</v>
      </c>
      <c r="Y411" s="281">
        <f>TABLA_BASE[[#This Row],[IGV UNIT.
(US$)
✅CF]]*'📋 Datos Generales'!$E$19</f>
        <v>0</v>
      </c>
      <c r="Z411" s="281">
        <f>TABLA_BASE[[#This Row],[IGV UNIT.
(S/.)]]*TABLA_BASE[[#This Row],[CANTIDAD
(unid.)]]</f>
        <v>0</v>
      </c>
      <c r="AA411" s="281">
        <f>TABLA_BASE[[#This Row],[PERCEP.
UNIT.(US$)
✅CF]]*'📋 Datos Generales'!$E$19</f>
        <v>0</v>
      </c>
      <c r="AB411" s="281">
        <f>TABLA_BASE[[#This Row],[PERCEP.
UNIT.(S/.)]]*TABLA_BASE[[#This Row],[CANTIDAD
(unid.)]]</f>
        <v>0</v>
      </c>
      <c r="AC411" s="279">
        <f>TABLA_BASE[[#This Row],[ADV UNIT.
(US$)
⚠️COSTO]]+TABLA_BASE[[#This Row],[IPM UNIT.
(US$)
✅CF]]+TABLA_BASE[[#This Row],[IGV UNIT.
(US$)
✅CF]]+TABLA_BASE[[#This Row],[PERCEP.
UNIT.(US$)
✅CF]]</f>
        <v>0</v>
      </c>
      <c r="AD411" s="279">
        <f>TABLA_BASE[[#This Row],[TOTAL PAGO
SUNAT
UNIT.(US$)]]*TABLA_BASE[[#This Row],[CANTIDAD
(unid.)]]</f>
        <v>0</v>
      </c>
      <c r="AE411" s="281">
        <f>TABLA_BASE[[#This Row],[TOTAL PAGO
SUNAT
UNIT.(US$)]]*'📋 Datos Generales'!$E$19</f>
        <v>0</v>
      </c>
      <c r="AF411" s="281">
        <f>TABLA_BASE[[#This Row],[TOTAL TRIB.
UNIT.(S/.)]]*TABLA_BASE[[#This Row],[CANTIDAD
(unid.)]]</f>
        <v>0</v>
      </c>
      <c r="AG411" s="279">
        <f>IF('🧾 Factura Comercial'!G415=0,0,'📦 Gastos Importación'!$E$28*(IF('🧾 Tributos Aduana'!$F$6=0,0,'🧾 Factura Comercial'!I415/'🧾 Tributos Aduana'!$F$6))/'🧾 Factura Comercial'!G415)</f>
        <v>0</v>
      </c>
      <c r="AH411" s="279">
        <f>TABLA_BASE[[#This Row],[GASTOS IMP.
UNIT.(US$)]]*TABLA_BASE[[#This Row],[CANTIDAD
(unid.)]]</f>
        <v>0</v>
      </c>
      <c r="AI411" s="281">
        <f>TABLA_BASE[[#This Row],[GASTOS IMP.
UNIT.(US$)]]*'📋 Datos Generales'!$E$19</f>
        <v>0</v>
      </c>
      <c r="AJ411" s="281">
        <f>TABLA_BASE[[#This Row],[GASTOS IMP.
UNIT.(S/.)]]*TABLA_BASE[[#This Row],[CANTIDAD
(unid.)]]</f>
        <v>0</v>
      </c>
      <c r="AK411" s="280">
        <f>'🧮 Costos x Producto'!J415</f>
        <v>0</v>
      </c>
      <c r="AL411" s="278">
        <f>'🧮 Costos x Producto'!K415</f>
        <v>0</v>
      </c>
      <c r="AM411" s="278">
        <f>TABLA_BASE[[#This Row],[C/M UNIT.
(S/.)]]*TABLA_BASE[[#This Row],[CANTIDAD
(unid.)]]</f>
        <v>0</v>
      </c>
      <c r="AN411" s="279">
        <f>IF('🧾 Factura Comercial'!G415=0,0,'🧾 Tributos Aduana'!$F$17*(IF('🧾 Tributos Aduana'!$F$6=0,0,'🧾 Factura Comercial'!I415/'🧾 Tributos Aduana'!$F$6))/'🧾 Factura Comercial'!G415)</f>
        <v>0</v>
      </c>
      <c r="AO411" s="280">
        <f>IF('🧾 Factura Comercial'!G415=0,0,'🏦 Crédito Fiscal'!$C$16*(IF('🧾 Tributos Aduana'!$F$6=0,0,'🧾 Factura Comercial'!I415/'🧾 Tributos Aduana'!$F$6))/'🧾 Factura Comercial'!G415)</f>
        <v>0</v>
      </c>
      <c r="AP411" s="278">
        <f>TABLA_BASE[[#This Row],[CF UNIT.
✅RECUP.
(US$)]]*'📋 Datos Generales'!$E$19</f>
        <v>0</v>
      </c>
      <c r="AQ411" s="278">
        <f>TABLA_BASE[[#This Row],[CF UNIT.
✅RECUP.(S/.)]]*TABLA_BASE[[#This Row],[CANTIDAD
(unid.)]]</f>
        <v>0</v>
      </c>
      <c r="AR411" s="288">
        <f>'💰 Precio de Venta'!G416</f>
        <v>0.4</v>
      </c>
      <c r="AS411" s="278">
        <f>'💰 Precio de Venta'!H416</f>
        <v>0</v>
      </c>
      <c r="AT411" s="278">
        <f>TABLA_BASE[[#This Row],[VALOR VTA.
UNIT.(S/.)]]*TABLA_BASE[[#This Row],[CANTIDAD
(unid.)]]</f>
        <v>0</v>
      </c>
      <c r="AU411" s="281">
        <f>'💰 Precio de Venta'!I416</f>
        <v>0</v>
      </c>
      <c r="AV411" s="278">
        <f>'💰 Precio de Venta'!J416</f>
        <v>0</v>
      </c>
      <c r="AW411" s="278">
        <f>TABLA_BASE[[#This Row],[GANANCIA
UNIT.(S/.)]]*TABLA_BASE[[#This Row],[CANTIDAD
(unid.)]]</f>
        <v>0</v>
      </c>
      <c r="AX411" s="289">
        <f>'💰 Precio de Venta'!K416</f>
        <v>0</v>
      </c>
      <c r="AY411" s="278">
        <f>TABLA_BASE[[#This Row],[GANANCIA
UNIT.(S/.)]]*'🧾 Factura Comercial'!G415</f>
        <v>0</v>
      </c>
      <c r="AZ411" s="277">
        <f>IF(TABLA_BASE[[#This Row],[PRECIO VTA.
c/IGV(S/.)]]=0,0,TABLA_BASE[[#This Row],[GANANCIA
UNIT.(S/.)]]/TABLA_BASE[[#This Row],[PRECIO VTA.
c/IGV(S/.)]])</f>
        <v>0</v>
      </c>
      <c r="BA411" s="277">
        <f>IF(TABLA_BASE[[#This Row],[C/M UNIT.
(S/.)]]=0,0,TABLA_BASE[[#This Row],[GANANCIA
UNIT.(S/.)]]/TABLA_BASE[[#This Row],[C/M UNIT.
(S/.)]])</f>
        <v>0</v>
      </c>
      <c r="BB411" s="274" t="str">
        <f>IF(TABLA_BASE[[#This Row],[MARGEN
%]]&gt;=0.5,"🟢 ALTO",IF(TABLA_BASE[[#This Row],[MARGEN
%]]&gt;=0.3,"🟡 MEDIO","🔴 BAJO"))</f>
        <v>🟡 MEDIO</v>
      </c>
    </row>
    <row r="412" spans="1:54" ht="16.5" hidden="1" thickTop="1" thickBot="1" x14ac:dyDescent="0.3">
      <c r="A412" s="274">
        <f>'🧾 Factura Comercial'!E416</f>
        <v>0</v>
      </c>
      <c r="B412" s="274" t="str">
        <f>'🧾 Factura Comercial'!F416</f>
        <v>Unid.</v>
      </c>
      <c r="C412" s="275">
        <f>'🧾 Factura Comercial'!G416</f>
        <v>0</v>
      </c>
      <c r="D412" s="276">
        <f>'🧾 Factura Comercial'!H416</f>
        <v>0</v>
      </c>
      <c r="E412" s="276">
        <f>'🧾 Factura Comercial'!I416</f>
        <v>0</v>
      </c>
      <c r="F412" s="277">
        <f>IF('🧾 Tributos Aduana'!$F$6=0,0,'🧾 Factura Comercial'!I416/'🧾 Tributos Aduana'!$F$6)</f>
        <v>0</v>
      </c>
      <c r="G412" s="278">
        <f>'🧾 Factura Comercial'!H416*'📋 Datos Generales'!$E$19</f>
        <v>0</v>
      </c>
      <c r="H412" s="278">
        <f>TABLA_BASE[[#This Row],[FOB UNIT.
(S/.)]]*TABLA_BASE[[#This Row],[CANTIDAD
(unid.)]]</f>
        <v>0</v>
      </c>
      <c r="I412" s="280">
        <f>IF('🧾 Tributos Aduana'!$F$6=0,0,'🧾 Tributos Aduana'!$F$17*('🧾 Factura Comercial'!H416/'🧾 Tributos Aduana'!$F$6))</f>
        <v>0</v>
      </c>
      <c r="J412" s="280">
        <f>TABLA_BASE[[#This Row],[ADV UNIT.
(US$)
⚠️COSTO]]*TABLA_BASE[[#This Row],[CANTIDAD
(unid.)]]</f>
        <v>0</v>
      </c>
      <c r="K412" s="279">
        <f>IF('🧾 Tributos Aduana'!$F$6=0,0,'🧾 Tributos Aduana'!$F$18*('🧾 Factura Comercial'!H416/'🧾 Tributos Aduana'!$F$6))</f>
        <v>0</v>
      </c>
      <c r="L412" s="280">
        <f>TABLA_BASE[[#This Row],[IPM UNIT.
(US$)
✅CF]]*TABLA_BASE[[#This Row],[CANTIDAD
(unid.)]]</f>
        <v>0</v>
      </c>
      <c r="M412" s="279">
        <f>IF('🧾 Tributos Aduana'!$F$6=0,0,'🧾 Tributos Aduana'!$F$19*('🧾 Factura Comercial'!H416/'🧾 Tributos Aduana'!$F$6))</f>
        <v>0</v>
      </c>
      <c r="N412" s="280">
        <f>TABLA_BASE[[#This Row],[IGV UNIT.
(US$)
✅CF]]*TABLA_BASE[[#This Row],[CANTIDAD
(unid.)]]</f>
        <v>0</v>
      </c>
      <c r="O412" s="280">
        <f>IF('🧾 Tributos Aduana'!$F$6=0,0,'🧾 Tributos Aduana'!$F$23*('🧾 Factura Comercial'!H416/'🧾 Tributos Aduana'!$F$6))</f>
        <v>0</v>
      </c>
      <c r="P412" s="280">
        <f>TABLA_BASE[[#This Row],[PERCEP.
UNIT.(US$)
✅CF]]*TABLA_BASE[[#This Row],[CANTIDAD
(unid.)]]</f>
        <v>0</v>
      </c>
      <c r="Q412" s="279">
        <f>TABLA_BASE[[#This Row],[ADV UNIT.
(US$)
⚠️COSTO]]+TABLA_BASE[[#This Row],[IPM UNIT.
(US$)
✅CF]]+TABLA_BASE[[#This Row],[IGV UNIT.
(US$)
✅CF]]</f>
        <v>0</v>
      </c>
      <c r="R412" s="280">
        <f>TABLA_BASE[[#This Row],[DEUDA
ADUANERA
UNIT.]]*TABLA_BASE[[#This Row],[CANTIDAD
(unid.)]]</f>
        <v>0</v>
      </c>
      <c r="S412" s="278">
        <f>TABLA_BASE[[#This Row],[DEUDA
ADUANERA
UNIT.]]*'📋 Datos Generales'!$E$19</f>
        <v>0</v>
      </c>
      <c r="T412" s="278">
        <f>TABLA_BASE[[#This Row],[DEUDA
ADUANERA
TOTAL]]*'📋 Datos Generales'!$E$19</f>
        <v>0</v>
      </c>
      <c r="U412" s="281">
        <f>TABLA_BASE[[#This Row],[ADV UNIT.
(US$)
⚠️COSTO]]*'📋 Datos Generales'!$E$19</f>
        <v>0</v>
      </c>
      <c r="V412" s="281">
        <f>TABLA_BASE[[#This Row],[ADV UNIT.
(S/.)]]*TABLA_BASE[[#This Row],[CANTIDAD
(unid.)]]</f>
        <v>0</v>
      </c>
      <c r="W412" s="281">
        <f>TABLA_BASE[[#This Row],[IPM UNIT.
(US$)
✅CF]]*'📋 Datos Generales'!$E$19</f>
        <v>0</v>
      </c>
      <c r="X412" s="281">
        <f>TABLA_BASE[[#This Row],[IPM UNIT.
(S/.)]]*TABLA_BASE[[#This Row],[CANTIDAD
(unid.)]]</f>
        <v>0</v>
      </c>
      <c r="Y412" s="281">
        <f>TABLA_BASE[[#This Row],[IGV UNIT.
(US$)
✅CF]]*'📋 Datos Generales'!$E$19</f>
        <v>0</v>
      </c>
      <c r="Z412" s="281">
        <f>TABLA_BASE[[#This Row],[IGV UNIT.
(S/.)]]*TABLA_BASE[[#This Row],[CANTIDAD
(unid.)]]</f>
        <v>0</v>
      </c>
      <c r="AA412" s="281">
        <f>TABLA_BASE[[#This Row],[PERCEP.
UNIT.(US$)
✅CF]]*'📋 Datos Generales'!$E$19</f>
        <v>0</v>
      </c>
      <c r="AB412" s="281">
        <f>TABLA_BASE[[#This Row],[PERCEP.
UNIT.(S/.)]]*TABLA_BASE[[#This Row],[CANTIDAD
(unid.)]]</f>
        <v>0</v>
      </c>
      <c r="AC412" s="279">
        <f>TABLA_BASE[[#This Row],[ADV UNIT.
(US$)
⚠️COSTO]]+TABLA_BASE[[#This Row],[IPM UNIT.
(US$)
✅CF]]+TABLA_BASE[[#This Row],[IGV UNIT.
(US$)
✅CF]]+TABLA_BASE[[#This Row],[PERCEP.
UNIT.(US$)
✅CF]]</f>
        <v>0</v>
      </c>
      <c r="AD412" s="279">
        <f>TABLA_BASE[[#This Row],[TOTAL PAGO
SUNAT
UNIT.(US$)]]*TABLA_BASE[[#This Row],[CANTIDAD
(unid.)]]</f>
        <v>0</v>
      </c>
      <c r="AE412" s="281">
        <f>TABLA_BASE[[#This Row],[TOTAL PAGO
SUNAT
UNIT.(US$)]]*'📋 Datos Generales'!$E$19</f>
        <v>0</v>
      </c>
      <c r="AF412" s="281">
        <f>TABLA_BASE[[#This Row],[TOTAL TRIB.
UNIT.(S/.)]]*TABLA_BASE[[#This Row],[CANTIDAD
(unid.)]]</f>
        <v>0</v>
      </c>
      <c r="AG412" s="279">
        <f>IF('🧾 Factura Comercial'!G416=0,0,'📦 Gastos Importación'!$E$28*(IF('🧾 Tributos Aduana'!$F$6=0,0,'🧾 Factura Comercial'!I416/'🧾 Tributos Aduana'!$F$6))/'🧾 Factura Comercial'!G416)</f>
        <v>0</v>
      </c>
      <c r="AH412" s="279">
        <f>TABLA_BASE[[#This Row],[GASTOS IMP.
UNIT.(US$)]]*TABLA_BASE[[#This Row],[CANTIDAD
(unid.)]]</f>
        <v>0</v>
      </c>
      <c r="AI412" s="281">
        <f>TABLA_BASE[[#This Row],[GASTOS IMP.
UNIT.(US$)]]*'📋 Datos Generales'!$E$19</f>
        <v>0</v>
      </c>
      <c r="AJ412" s="281">
        <f>TABLA_BASE[[#This Row],[GASTOS IMP.
UNIT.(S/.)]]*TABLA_BASE[[#This Row],[CANTIDAD
(unid.)]]</f>
        <v>0</v>
      </c>
      <c r="AK412" s="280">
        <f>'🧮 Costos x Producto'!J416</f>
        <v>0</v>
      </c>
      <c r="AL412" s="278">
        <f>'🧮 Costos x Producto'!K416</f>
        <v>0</v>
      </c>
      <c r="AM412" s="278">
        <f>TABLA_BASE[[#This Row],[C/M UNIT.
(S/.)]]*TABLA_BASE[[#This Row],[CANTIDAD
(unid.)]]</f>
        <v>0</v>
      </c>
      <c r="AN412" s="279">
        <f>IF('🧾 Factura Comercial'!G416=0,0,'🧾 Tributos Aduana'!$F$17*(IF('🧾 Tributos Aduana'!$F$6=0,0,'🧾 Factura Comercial'!I416/'🧾 Tributos Aduana'!$F$6))/'🧾 Factura Comercial'!G416)</f>
        <v>0</v>
      </c>
      <c r="AO412" s="280">
        <f>IF('🧾 Factura Comercial'!G416=0,0,'🏦 Crédito Fiscal'!$C$16*(IF('🧾 Tributos Aduana'!$F$6=0,0,'🧾 Factura Comercial'!I416/'🧾 Tributos Aduana'!$F$6))/'🧾 Factura Comercial'!G416)</f>
        <v>0</v>
      </c>
      <c r="AP412" s="278">
        <f>TABLA_BASE[[#This Row],[CF UNIT.
✅RECUP.
(US$)]]*'📋 Datos Generales'!$E$19</f>
        <v>0</v>
      </c>
      <c r="AQ412" s="278">
        <f>TABLA_BASE[[#This Row],[CF UNIT.
✅RECUP.(S/.)]]*TABLA_BASE[[#This Row],[CANTIDAD
(unid.)]]</f>
        <v>0</v>
      </c>
      <c r="AR412" s="288">
        <f>'💰 Precio de Venta'!G417</f>
        <v>0.4</v>
      </c>
      <c r="AS412" s="278">
        <f>'💰 Precio de Venta'!H417</f>
        <v>0</v>
      </c>
      <c r="AT412" s="278">
        <f>TABLA_BASE[[#This Row],[VALOR VTA.
UNIT.(S/.)]]*TABLA_BASE[[#This Row],[CANTIDAD
(unid.)]]</f>
        <v>0</v>
      </c>
      <c r="AU412" s="281">
        <f>'💰 Precio de Venta'!I417</f>
        <v>0</v>
      </c>
      <c r="AV412" s="278">
        <f>'💰 Precio de Venta'!J417</f>
        <v>0</v>
      </c>
      <c r="AW412" s="278">
        <f>TABLA_BASE[[#This Row],[GANANCIA
UNIT.(S/.)]]*TABLA_BASE[[#This Row],[CANTIDAD
(unid.)]]</f>
        <v>0</v>
      </c>
      <c r="AX412" s="289">
        <f>'💰 Precio de Venta'!K417</f>
        <v>0</v>
      </c>
      <c r="AY412" s="278">
        <f>TABLA_BASE[[#This Row],[GANANCIA
UNIT.(S/.)]]*'🧾 Factura Comercial'!G416</f>
        <v>0</v>
      </c>
      <c r="AZ412" s="277">
        <f>IF(TABLA_BASE[[#This Row],[PRECIO VTA.
c/IGV(S/.)]]=0,0,TABLA_BASE[[#This Row],[GANANCIA
UNIT.(S/.)]]/TABLA_BASE[[#This Row],[PRECIO VTA.
c/IGV(S/.)]])</f>
        <v>0</v>
      </c>
      <c r="BA412" s="277">
        <f>IF(TABLA_BASE[[#This Row],[C/M UNIT.
(S/.)]]=0,0,TABLA_BASE[[#This Row],[GANANCIA
UNIT.(S/.)]]/TABLA_BASE[[#This Row],[C/M UNIT.
(S/.)]])</f>
        <v>0</v>
      </c>
      <c r="BB412" s="274" t="str">
        <f>IF(TABLA_BASE[[#This Row],[MARGEN
%]]&gt;=0.5,"🟢 ALTO",IF(TABLA_BASE[[#This Row],[MARGEN
%]]&gt;=0.3,"🟡 MEDIO","🔴 BAJO"))</f>
        <v>🟡 MEDIO</v>
      </c>
    </row>
    <row r="413" spans="1:54" ht="16.5" hidden="1" thickTop="1" thickBot="1" x14ac:dyDescent="0.3">
      <c r="A413" s="274">
        <f>'🧾 Factura Comercial'!E417</f>
        <v>0</v>
      </c>
      <c r="B413" s="274" t="str">
        <f>'🧾 Factura Comercial'!F417</f>
        <v>Unid.</v>
      </c>
      <c r="C413" s="275">
        <f>'🧾 Factura Comercial'!G417</f>
        <v>0</v>
      </c>
      <c r="D413" s="276">
        <f>'🧾 Factura Comercial'!H417</f>
        <v>0</v>
      </c>
      <c r="E413" s="276">
        <f>'🧾 Factura Comercial'!I417</f>
        <v>0</v>
      </c>
      <c r="F413" s="277">
        <f>IF('🧾 Tributos Aduana'!$F$6=0,0,'🧾 Factura Comercial'!I417/'🧾 Tributos Aduana'!$F$6)</f>
        <v>0</v>
      </c>
      <c r="G413" s="278">
        <f>'🧾 Factura Comercial'!H417*'📋 Datos Generales'!$E$19</f>
        <v>0</v>
      </c>
      <c r="H413" s="278">
        <f>TABLA_BASE[[#This Row],[FOB UNIT.
(S/.)]]*TABLA_BASE[[#This Row],[CANTIDAD
(unid.)]]</f>
        <v>0</v>
      </c>
      <c r="I413" s="280">
        <f>IF('🧾 Tributos Aduana'!$F$6=0,0,'🧾 Tributos Aduana'!$F$17*('🧾 Factura Comercial'!H417/'🧾 Tributos Aduana'!$F$6))</f>
        <v>0</v>
      </c>
      <c r="J413" s="280">
        <f>TABLA_BASE[[#This Row],[ADV UNIT.
(US$)
⚠️COSTO]]*TABLA_BASE[[#This Row],[CANTIDAD
(unid.)]]</f>
        <v>0</v>
      </c>
      <c r="K413" s="279">
        <f>IF('🧾 Tributos Aduana'!$F$6=0,0,'🧾 Tributos Aduana'!$F$18*('🧾 Factura Comercial'!H417/'🧾 Tributos Aduana'!$F$6))</f>
        <v>0</v>
      </c>
      <c r="L413" s="280">
        <f>TABLA_BASE[[#This Row],[IPM UNIT.
(US$)
✅CF]]*TABLA_BASE[[#This Row],[CANTIDAD
(unid.)]]</f>
        <v>0</v>
      </c>
      <c r="M413" s="279">
        <f>IF('🧾 Tributos Aduana'!$F$6=0,0,'🧾 Tributos Aduana'!$F$19*('🧾 Factura Comercial'!H417/'🧾 Tributos Aduana'!$F$6))</f>
        <v>0</v>
      </c>
      <c r="N413" s="280">
        <f>TABLA_BASE[[#This Row],[IGV UNIT.
(US$)
✅CF]]*TABLA_BASE[[#This Row],[CANTIDAD
(unid.)]]</f>
        <v>0</v>
      </c>
      <c r="O413" s="280">
        <f>IF('🧾 Tributos Aduana'!$F$6=0,0,'🧾 Tributos Aduana'!$F$23*('🧾 Factura Comercial'!H417/'🧾 Tributos Aduana'!$F$6))</f>
        <v>0</v>
      </c>
      <c r="P413" s="280">
        <f>TABLA_BASE[[#This Row],[PERCEP.
UNIT.(US$)
✅CF]]*TABLA_BASE[[#This Row],[CANTIDAD
(unid.)]]</f>
        <v>0</v>
      </c>
      <c r="Q413" s="279">
        <f>TABLA_BASE[[#This Row],[ADV UNIT.
(US$)
⚠️COSTO]]+TABLA_BASE[[#This Row],[IPM UNIT.
(US$)
✅CF]]+TABLA_BASE[[#This Row],[IGV UNIT.
(US$)
✅CF]]</f>
        <v>0</v>
      </c>
      <c r="R413" s="280">
        <f>TABLA_BASE[[#This Row],[DEUDA
ADUANERA
UNIT.]]*TABLA_BASE[[#This Row],[CANTIDAD
(unid.)]]</f>
        <v>0</v>
      </c>
      <c r="S413" s="278">
        <f>TABLA_BASE[[#This Row],[DEUDA
ADUANERA
UNIT.]]*'📋 Datos Generales'!$E$19</f>
        <v>0</v>
      </c>
      <c r="T413" s="278">
        <f>TABLA_BASE[[#This Row],[DEUDA
ADUANERA
TOTAL]]*'📋 Datos Generales'!$E$19</f>
        <v>0</v>
      </c>
      <c r="U413" s="281">
        <f>TABLA_BASE[[#This Row],[ADV UNIT.
(US$)
⚠️COSTO]]*'📋 Datos Generales'!$E$19</f>
        <v>0</v>
      </c>
      <c r="V413" s="281">
        <f>TABLA_BASE[[#This Row],[ADV UNIT.
(S/.)]]*TABLA_BASE[[#This Row],[CANTIDAD
(unid.)]]</f>
        <v>0</v>
      </c>
      <c r="W413" s="281">
        <f>TABLA_BASE[[#This Row],[IPM UNIT.
(US$)
✅CF]]*'📋 Datos Generales'!$E$19</f>
        <v>0</v>
      </c>
      <c r="X413" s="281">
        <f>TABLA_BASE[[#This Row],[IPM UNIT.
(S/.)]]*TABLA_BASE[[#This Row],[CANTIDAD
(unid.)]]</f>
        <v>0</v>
      </c>
      <c r="Y413" s="281">
        <f>TABLA_BASE[[#This Row],[IGV UNIT.
(US$)
✅CF]]*'📋 Datos Generales'!$E$19</f>
        <v>0</v>
      </c>
      <c r="Z413" s="281">
        <f>TABLA_BASE[[#This Row],[IGV UNIT.
(S/.)]]*TABLA_BASE[[#This Row],[CANTIDAD
(unid.)]]</f>
        <v>0</v>
      </c>
      <c r="AA413" s="281">
        <f>TABLA_BASE[[#This Row],[PERCEP.
UNIT.(US$)
✅CF]]*'📋 Datos Generales'!$E$19</f>
        <v>0</v>
      </c>
      <c r="AB413" s="281">
        <f>TABLA_BASE[[#This Row],[PERCEP.
UNIT.(S/.)]]*TABLA_BASE[[#This Row],[CANTIDAD
(unid.)]]</f>
        <v>0</v>
      </c>
      <c r="AC413" s="279">
        <f>TABLA_BASE[[#This Row],[ADV UNIT.
(US$)
⚠️COSTO]]+TABLA_BASE[[#This Row],[IPM UNIT.
(US$)
✅CF]]+TABLA_BASE[[#This Row],[IGV UNIT.
(US$)
✅CF]]+TABLA_BASE[[#This Row],[PERCEP.
UNIT.(US$)
✅CF]]</f>
        <v>0</v>
      </c>
      <c r="AD413" s="279">
        <f>TABLA_BASE[[#This Row],[TOTAL PAGO
SUNAT
UNIT.(US$)]]*TABLA_BASE[[#This Row],[CANTIDAD
(unid.)]]</f>
        <v>0</v>
      </c>
      <c r="AE413" s="281">
        <f>TABLA_BASE[[#This Row],[TOTAL PAGO
SUNAT
UNIT.(US$)]]*'📋 Datos Generales'!$E$19</f>
        <v>0</v>
      </c>
      <c r="AF413" s="281">
        <f>TABLA_BASE[[#This Row],[TOTAL TRIB.
UNIT.(S/.)]]*TABLA_BASE[[#This Row],[CANTIDAD
(unid.)]]</f>
        <v>0</v>
      </c>
      <c r="AG413" s="279">
        <f>IF('🧾 Factura Comercial'!G417=0,0,'📦 Gastos Importación'!$E$28*(IF('🧾 Tributos Aduana'!$F$6=0,0,'🧾 Factura Comercial'!I417/'🧾 Tributos Aduana'!$F$6))/'🧾 Factura Comercial'!G417)</f>
        <v>0</v>
      </c>
      <c r="AH413" s="279">
        <f>TABLA_BASE[[#This Row],[GASTOS IMP.
UNIT.(US$)]]*TABLA_BASE[[#This Row],[CANTIDAD
(unid.)]]</f>
        <v>0</v>
      </c>
      <c r="AI413" s="281">
        <f>TABLA_BASE[[#This Row],[GASTOS IMP.
UNIT.(US$)]]*'📋 Datos Generales'!$E$19</f>
        <v>0</v>
      </c>
      <c r="AJ413" s="281">
        <f>TABLA_BASE[[#This Row],[GASTOS IMP.
UNIT.(S/.)]]*TABLA_BASE[[#This Row],[CANTIDAD
(unid.)]]</f>
        <v>0</v>
      </c>
      <c r="AK413" s="280">
        <f>'🧮 Costos x Producto'!J417</f>
        <v>0</v>
      </c>
      <c r="AL413" s="278">
        <f>'🧮 Costos x Producto'!K417</f>
        <v>0</v>
      </c>
      <c r="AM413" s="278">
        <f>TABLA_BASE[[#This Row],[C/M UNIT.
(S/.)]]*TABLA_BASE[[#This Row],[CANTIDAD
(unid.)]]</f>
        <v>0</v>
      </c>
      <c r="AN413" s="279">
        <f>IF('🧾 Factura Comercial'!G417=0,0,'🧾 Tributos Aduana'!$F$17*(IF('🧾 Tributos Aduana'!$F$6=0,0,'🧾 Factura Comercial'!I417/'🧾 Tributos Aduana'!$F$6))/'🧾 Factura Comercial'!G417)</f>
        <v>0</v>
      </c>
      <c r="AO413" s="280">
        <f>IF('🧾 Factura Comercial'!G417=0,0,'🏦 Crédito Fiscal'!$C$16*(IF('🧾 Tributos Aduana'!$F$6=0,0,'🧾 Factura Comercial'!I417/'🧾 Tributos Aduana'!$F$6))/'🧾 Factura Comercial'!G417)</f>
        <v>0</v>
      </c>
      <c r="AP413" s="278">
        <f>TABLA_BASE[[#This Row],[CF UNIT.
✅RECUP.
(US$)]]*'📋 Datos Generales'!$E$19</f>
        <v>0</v>
      </c>
      <c r="AQ413" s="278">
        <f>TABLA_BASE[[#This Row],[CF UNIT.
✅RECUP.(S/.)]]*TABLA_BASE[[#This Row],[CANTIDAD
(unid.)]]</f>
        <v>0</v>
      </c>
      <c r="AR413" s="288">
        <f>'💰 Precio de Venta'!G418</f>
        <v>0.4</v>
      </c>
      <c r="AS413" s="278">
        <f>'💰 Precio de Venta'!H418</f>
        <v>0</v>
      </c>
      <c r="AT413" s="278">
        <f>TABLA_BASE[[#This Row],[VALOR VTA.
UNIT.(S/.)]]*TABLA_BASE[[#This Row],[CANTIDAD
(unid.)]]</f>
        <v>0</v>
      </c>
      <c r="AU413" s="281">
        <f>'💰 Precio de Venta'!I418</f>
        <v>0</v>
      </c>
      <c r="AV413" s="278">
        <f>'💰 Precio de Venta'!J418</f>
        <v>0</v>
      </c>
      <c r="AW413" s="278">
        <f>TABLA_BASE[[#This Row],[GANANCIA
UNIT.(S/.)]]*TABLA_BASE[[#This Row],[CANTIDAD
(unid.)]]</f>
        <v>0</v>
      </c>
      <c r="AX413" s="289">
        <f>'💰 Precio de Venta'!K418</f>
        <v>0</v>
      </c>
      <c r="AY413" s="278">
        <f>TABLA_BASE[[#This Row],[GANANCIA
UNIT.(S/.)]]*'🧾 Factura Comercial'!G417</f>
        <v>0</v>
      </c>
      <c r="AZ413" s="277">
        <f>IF(TABLA_BASE[[#This Row],[PRECIO VTA.
c/IGV(S/.)]]=0,0,TABLA_BASE[[#This Row],[GANANCIA
UNIT.(S/.)]]/TABLA_BASE[[#This Row],[PRECIO VTA.
c/IGV(S/.)]])</f>
        <v>0</v>
      </c>
      <c r="BA413" s="277">
        <f>IF(TABLA_BASE[[#This Row],[C/M UNIT.
(S/.)]]=0,0,TABLA_BASE[[#This Row],[GANANCIA
UNIT.(S/.)]]/TABLA_BASE[[#This Row],[C/M UNIT.
(S/.)]])</f>
        <v>0</v>
      </c>
      <c r="BB413" s="274" t="str">
        <f>IF(TABLA_BASE[[#This Row],[MARGEN
%]]&gt;=0.5,"🟢 ALTO",IF(TABLA_BASE[[#This Row],[MARGEN
%]]&gt;=0.3,"🟡 MEDIO","🔴 BAJO"))</f>
        <v>🟡 MEDIO</v>
      </c>
    </row>
    <row r="414" spans="1:54" ht="16.5" hidden="1" thickTop="1" thickBot="1" x14ac:dyDescent="0.3">
      <c r="A414" s="274">
        <f>'🧾 Factura Comercial'!E418</f>
        <v>0</v>
      </c>
      <c r="B414" s="274" t="str">
        <f>'🧾 Factura Comercial'!F418</f>
        <v>Unid.</v>
      </c>
      <c r="C414" s="275">
        <f>'🧾 Factura Comercial'!G418</f>
        <v>0</v>
      </c>
      <c r="D414" s="276">
        <f>'🧾 Factura Comercial'!H418</f>
        <v>0</v>
      </c>
      <c r="E414" s="276">
        <f>'🧾 Factura Comercial'!I418</f>
        <v>0</v>
      </c>
      <c r="F414" s="277">
        <f>IF('🧾 Tributos Aduana'!$F$6=0,0,'🧾 Factura Comercial'!I418/'🧾 Tributos Aduana'!$F$6)</f>
        <v>0</v>
      </c>
      <c r="G414" s="278">
        <f>'🧾 Factura Comercial'!H418*'📋 Datos Generales'!$E$19</f>
        <v>0</v>
      </c>
      <c r="H414" s="278">
        <f>TABLA_BASE[[#This Row],[FOB UNIT.
(S/.)]]*TABLA_BASE[[#This Row],[CANTIDAD
(unid.)]]</f>
        <v>0</v>
      </c>
      <c r="I414" s="280">
        <f>IF('🧾 Tributos Aduana'!$F$6=0,0,'🧾 Tributos Aduana'!$F$17*('🧾 Factura Comercial'!H418/'🧾 Tributos Aduana'!$F$6))</f>
        <v>0</v>
      </c>
      <c r="J414" s="280">
        <f>TABLA_BASE[[#This Row],[ADV UNIT.
(US$)
⚠️COSTO]]*TABLA_BASE[[#This Row],[CANTIDAD
(unid.)]]</f>
        <v>0</v>
      </c>
      <c r="K414" s="279">
        <f>IF('🧾 Tributos Aduana'!$F$6=0,0,'🧾 Tributos Aduana'!$F$18*('🧾 Factura Comercial'!H418/'🧾 Tributos Aduana'!$F$6))</f>
        <v>0</v>
      </c>
      <c r="L414" s="280">
        <f>TABLA_BASE[[#This Row],[IPM UNIT.
(US$)
✅CF]]*TABLA_BASE[[#This Row],[CANTIDAD
(unid.)]]</f>
        <v>0</v>
      </c>
      <c r="M414" s="279">
        <f>IF('🧾 Tributos Aduana'!$F$6=0,0,'🧾 Tributos Aduana'!$F$19*('🧾 Factura Comercial'!H418/'🧾 Tributos Aduana'!$F$6))</f>
        <v>0</v>
      </c>
      <c r="N414" s="280">
        <f>TABLA_BASE[[#This Row],[IGV UNIT.
(US$)
✅CF]]*TABLA_BASE[[#This Row],[CANTIDAD
(unid.)]]</f>
        <v>0</v>
      </c>
      <c r="O414" s="280">
        <f>IF('🧾 Tributos Aduana'!$F$6=0,0,'🧾 Tributos Aduana'!$F$23*('🧾 Factura Comercial'!H418/'🧾 Tributos Aduana'!$F$6))</f>
        <v>0</v>
      </c>
      <c r="P414" s="280">
        <f>TABLA_BASE[[#This Row],[PERCEP.
UNIT.(US$)
✅CF]]*TABLA_BASE[[#This Row],[CANTIDAD
(unid.)]]</f>
        <v>0</v>
      </c>
      <c r="Q414" s="279">
        <f>TABLA_BASE[[#This Row],[ADV UNIT.
(US$)
⚠️COSTO]]+TABLA_BASE[[#This Row],[IPM UNIT.
(US$)
✅CF]]+TABLA_BASE[[#This Row],[IGV UNIT.
(US$)
✅CF]]</f>
        <v>0</v>
      </c>
      <c r="R414" s="280">
        <f>TABLA_BASE[[#This Row],[DEUDA
ADUANERA
UNIT.]]*TABLA_BASE[[#This Row],[CANTIDAD
(unid.)]]</f>
        <v>0</v>
      </c>
      <c r="S414" s="278">
        <f>TABLA_BASE[[#This Row],[DEUDA
ADUANERA
UNIT.]]*'📋 Datos Generales'!$E$19</f>
        <v>0</v>
      </c>
      <c r="T414" s="278">
        <f>TABLA_BASE[[#This Row],[DEUDA
ADUANERA
TOTAL]]*'📋 Datos Generales'!$E$19</f>
        <v>0</v>
      </c>
      <c r="U414" s="281">
        <f>TABLA_BASE[[#This Row],[ADV UNIT.
(US$)
⚠️COSTO]]*'📋 Datos Generales'!$E$19</f>
        <v>0</v>
      </c>
      <c r="V414" s="281">
        <f>TABLA_BASE[[#This Row],[ADV UNIT.
(S/.)]]*TABLA_BASE[[#This Row],[CANTIDAD
(unid.)]]</f>
        <v>0</v>
      </c>
      <c r="W414" s="281">
        <f>TABLA_BASE[[#This Row],[IPM UNIT.
(US$)
✅CF]]*'📋 Datos Generales'!$E$19</f>
        <v>0</v>
      </c>
      <c r="X414" s="281">
        <f>TABLA_BASE[[#This Row],[IPM UNIT.
(S/.)]]*TABLA_BASE[[#This Row],[CANTIDAD
(unid.)]]</f>
        <v>0</v>
      </c>
      <c r="Y414" s="281">
        <f>TABLA_BASE[[#This Row],[IGV UNIT.
(US$)
✅CF]]*'📋 Datos Generales'!$E$19</f>
        <v>0</v>
      </c>
      <c r="Z414" s="281">
        <f>TABLA_BASE[[#This Row],[IGV UNIT.
(S/.)]]*TABLA_BASE[[#This Row],[CANTIDAD
(unid.)]]</f>
        <v>0</v>
      </c>
      <c r="AA414" s="281">
        <f>TABLA_BASE[[#This Row],[PERCEP.
UNIT.(US$)
✅CF]]*'📋 Datos Generales'!$E$19</f>
        <v>0</v>
      </c>
      <c r="AB414" s="281">
        <f>TABLA_BASE[[#This Row],[PERCEP.
UNIT.(S/.)]]*TABLA_BASE[[#This Row],[CANTIDAD
(unid.)]]</f>
        <v>0</v>
      </c>
      <c r="AC414" s="279">
        <f>TABLA_BASE[[#This Row],[ADV UNIT.
(US$)
⚠️COSTO]]+TABLA_BASE[[#This Row],[IPM UNIT.
(US$)
✅CF]]+TABLA_BASE[[#This Row],[IGV UNIT.
(US$)
✅CF]]+TABLA_BASE[[#This Row],[PERCEP.
UNIT.(US$)
✅CF]]</f>
        <v>0</v>
      </c>
      <c r="AD414" s="279">
        <f>TABLA_BASE[[#This Row],[TOTAL PAGO
SUNAT
UNIT.(US$)]]*TABLA_BASE[[#This Row],[CANTIDAD
(unid.)]]</f>
        <v>0</v>
      </c>
      <c r="AE414" s="281">
        <f>TABLA_BASE[[#This Row],[TOTAL PAGO
SUNAT
UNIT.(US$)]]*'📋 Datos Generales'!$E$19</f>
        <v>0</v>
      </c>
      <c r="AF414" s="281">
        <f>TABLA_BASE[[#This Row],[TOTAL TRIB.
UNIT.(S/.)]]*TABLA_BASE[[#This Row],[CANTIDAD
(unid.)]]</f>
        <v>0</v>
      </c>
      <c r="AG414" s="279">
        <f>IF('🧾 Factura Comercial'!G418=0,0,'📦 Gastos Importación'!$E$28*(IF('🧾 Tributos Aduana'!$F$6=0,0,'🧾 Factura Comercial'!I418/'🧾 Tributos Aduana'!$F$6))/'🧾 Factura Comercial'!G418)</f>
        <v>0</v>
      </c>
      <c r="AH414" s="279">
        <f>TABLA_BASE[[#This Row],[GASTOS IMP.
UNIT.(US$)]]*TABLA_BASE[[#This Row],[CANTIDAD
(unid.)]]</f>
        <v>0</v>
      </c>
      <c r="AI414" s="281">
        <f>TABLA_BASE[[#This Row],[GASTOS IMP.
UNIT.(US$)]]*'📋 Datos Generales'!$E$19</f>
        <v>0</v>
      </c>
      <c r="AJ414" s="281">
        <f>TABLA_BASE[[#This Row],[GASTOS IMP.
UNIT.(S/.)]]*TABLA_BASE[[#This Row],[CANTIDAD
(unid.)]]</f>
        <v>0</v>
      </c>
      <c r="AK414" s="280">
        <f>'🧮 Costos x Producto'!J418</f>
        <v>0</v>
      </c>
      <c r="AL414" s="278">
        <f>'🧮 Costos x Producto'!K418</f>
        <v>0</v>
      </c>
      <c r="AM414" s="278">
        <f>TABLA_BASE[[#This Row],[C/M UNIT.
(S/.)]]*TABLA_BASE[[#This Row],[CANTIDAD
(unid.)]]</f>
        <v>0</v>
      </c>
      <c r="AN414" s="279">
        <f>IF('🧾 Factura Comercial'!G418=0,0,'🧾 Tributos Aduana'!$F$17*(IF('🧾 Tributos Aduana'!$F$6=0,0,'🧾 Factura Comercial'!I418/'🧾 Tributos Aduana'!$F$6))/'🧾 Factura Comercial'!G418)</f>
        <v>0</v>
      </c>
      <c r="AO414" s="280">
        <f>IF('🧾 Factura Comercial'!G418=0,0,'🏦 Crédito Fiscal'!$C$16*(IF('🧾 Tributos Aduana'!$F$6=0,0,'🧾 Factura Comercial'!I418/'🧾 Tributos Aduana'!$F$6))/'🧾 Factura Comercial'!G418)</f>
        <v>0</v>
      </c>
      <c r="AP414" s="278">
        <f>TABLA_BASE[[#This Row],[CF UNIT.
✅RECUP.
(US$)]]*'📋 Datos Generales'!$E$19</f>
        <v>0</v>
      </c>
      <c r="AQ414" s="278">
        <f>TABLA_BASE[[#This Row],[CF UNIT.
✅RECUP.(S/.)]]*TABLA_BASE[[#This Row],[CANTIDAD
(unid.)]]</f>
        <v>0</v>
      </c>
      <c r="AR414" s="288">
        <f>'💰 Precio de Venta'!G419</f>
        <v>0.4</v>
      </c>
      <c r="AS414" s="278">
        <f>'💰 Precio de Venta'!H419</f>
        <v>0</v>
      </c>
      <c r="AT414" s="278">
        <f>TABLA_BASE[[#This Row],[VALOR VTA.
UNIT.(S/.)]]*TABLA_BASE[[#This Row],[CANTIDAD
(unid.)]]</f>
        <v>0</v>
      </c>
      <c r="AU414" s="281">
        <f>'💰 Precio de Venta'!I419</f>
        <v>0</v>
      </c>
      <c r="AV414" s="278">
        <f>'💰 Precio de Venta'!J419</f>
        <v>0</v>
      </c>
      <c r="AW414" s="278">
        <f>TABLA_BASE[[#This Row],[GANANCIA
UNIT.(S/.)]]*TABLA_BASE[[#This Row],[CANTIDAD
(unid.)]]</f>
        <v>0</v>
      </c>
      <c r="AX414" s="289">
        <f>'💰 Precio de Venta'!K419</f>
        <v>0</v>
      </c>
      <c r="AY414" s="278">
        <f>TABLA_BASE[[#This Row],[GANANCIA
UNIT.(S/.)]]*'🧾 Factura Comercial'!G418</f>
        <v>0</v>
      </c>
      <c r="AZ414" s="277">
        <f>IF(TABLA_BASE[[#This Row],[PRECIO VTA.
c/IGV(S/.)]]=0,0,TABLA_BASE[[#This Row],[GANANCIA
UNIT.(S/.)]]/TABLA_BASE[[#This Row],[PRECIO VTA.
c/IGV(S/.)]])</f>
        <v>0</v>
      </c>
      <c r="BA414" s="277">
        <f>IF(TABLA_BASE[[#This Row],[C/M UNIT.
(S/.)]]=0,0,TABLA_BASE[[#This Row],[GANANCIA
UNIT.(S/.)]]/TABLA_BASE[[#This Row],[C/M UNIT.
(S/.)]])</f>
        <v>0</v>
      </c>
      <c r="BB414" s="274" t="str">
        <f>IF(TABLA_BASE[[#This Row],[MARGEN
%]]&gt;=0.5,"🟢 ALTO",IF(TABLA_BASE[[#This Row],[MARGEN
%]]&gt;=0.3,"🟡 MEDIO","🔴 BAJO"))</f>
        <v>🟡 MEDIO</v>
      </c>
    </row>
    <row r="415" spans="1:54" ht="16.5" hidden="1" thickTop="1" thickBot="1" x14ac:dyDescent="0.3">
      <c r="A415" s="274">
        <f>'🧾 Factura Comercial'!E419</f>
        <v>0</v>
      </c>
      <c r="B415" s="274" t="str">
        <f>'🧾 Factura Comercial'!F419</f>
        <v>Unid.</v>
      </c>
      <c r="C415" s="275">
        <f>'🧾 Factura Comercial'!G419</f>
        <v>0</v>
      </c>
      <c r="D415" s="276">
        <f>'🧾 Factura Comercial'!H419</f>
        <v>0</v>
      </c>
      <c r="E415" s="276">
        <f>'🧾 Factura Comercial'!I419</f>
        <v>0</v>
      </c>
      <c r="F415" s="277">
        <f>IF('🧾 Tributos Aduana'!$F$6=0,0,'🧾 Factura Comercial'!I419/'🧾 Tributos Aduana'!$F$6)</f>
        <v>0</v>
      </c>
      <c r="G415" s="278">
        <f>'🧾 Factura Comercial'!H419*'📋 Datos Generales'!$E$19</f>
        <v>0</v>
      </c>
      <c r="H415" s="278">
        <f>TABLA_BASE[[#This Row],[FOB UNIT.
(S/.)]]*TABLA_BASE[[#This Row],[CANTIDAD
(unid.)]]</f>
        <v>0</v>
      </c>
      <c r="I415" s="280">
        <f>IF('🧾 Tributos Aduana'!$F$6=0,0,'🧾 Tributos Aduana'!$F$17*('🧾 Factura Comercial'!H419/'🧾 Tributos Aduana'!$F$6))</f>
        <v>0</v>
      </c>
      <c r="J415" s="280">
        <f>TABLA_BASE[[#This Row],[ADV UNIT.
(US$)
⚠️COSTO]]*TABLA_BASE[[#This Row],[CANTIDAD
(unid.)]]</f>
        <v>0</v>
      </c>
      <c r="K415" s="279">
        <f>IF('🧾 Tributos Aduana'!$F$6=0,0,'🧾 Tributos Aduana'!$F$18*('🧾 Factura Comercial'!H419/'🧾 Tributos Aduana'!$F$6))</f>
        <v>0</v>
      </c>
      <c r="L415" s="280">
        <f>TABLA_BASE[[#This Row],[IPM UNIT.
(US$)
✅CF]]*TABLA_BASE[[#This Row],[CANTIDAD
(unid.)]]</f>
        <v>0</v>
      </c>
      <c r="M415" s="279">
        <f>IF('🧾 Tributos Aduana'!$F$6=0,0,'🧾 Tributos Aduana'!$F$19*('🧾 Factura Comercial'!H419/'🧾 Tributos Aduana'!$F$6))</f>
        <v>0</v>
      </c>
      <c r="N415" s="280">
        <f>TABLA_BASE[[#This Row],[IGV UNIT.
(US$)
✅CF]]*TABLA_BASE[[#This Row],[CANTIDAD
(unid.)]]</f>
        <v>0</v>
      </c>
      <c r="O415" s="280">
        <f>IF('🧾 Tributos Aduana'!$F$6=0,0,'🧾 Tributos Aduana'!$F$23*('🧾 Factura Comercial'!H419/'🧾 Tributos Aduana'!$F$6))</f>
        <v>0</v>
      </c>
      <c r="P415" s="280">
        <f>TABLA_BASE[[#This Row],[PERCEP.
UNIT.(US$)
✅CF]]*TABLA_BASE[[#This Row],[CANTIDAD
(unid.)]]</f>
        <v>0</v>
      </c>
      <c r="Q415" s="279">
        <f>TABLA_BASE[[#This Row],[ADV UNIT.
(US$)
⚠️COSTO]]+TABLA_BASE[[#This Row],[IPM UNIT.
(US$)
✅CF]]+TABLA_BASE[[#This Row],[IGV UNIT.
(US$)
✅CF]]</f>
        <v>0</v>
      </c>
      <c r="R415" s="280">
        <f>TABLA_BASE[[#This Row],[DEUDA
ADUANERA
UNIT.]]*TABLA_BASE[[#This Row],[CANTIDAD
(unid.)]]</f>
        <v>0</v>
      </c>
      <c r="S415" s="278">
        <f>TABLA_BASE[[#This Row],[DEUDA
ADUANERA
UNIT.]]*'📋 Datos Generales'!$E$19</f>
        <v>0</v>
      </c>
      <c r="T415" s="278">
        <f>TABLA_BASE[[#This Row],[DEUDA
ADUANERA
TOTAL]]*'📋 Datos Generales'!$E$19</f>
        <v>0</v>
      </c>
      <c r="U415" s="281">
        <f>TABLA_BASE[[#This Row],[ADV UNIT.
(US$)
⚠️COSTO]]*'📋 Datos Generales'!$E$19</f>
        <v>0</v>
      </c>
      <c r="V415" s="281">
        <f>TABLA_BASE[[#This Row],[ADV UNIT.
(S/.)]]*TABLA_BASE[[#This Row],[CANTIDAD
(unid.)]]</f>
        <v>0</v>
      </c>
      <c r="W415" s="281">
        <f>TABLA_BASE[[#This Row],[IPM UNIT.
(US$)
✅CF]]*'📋 Datos Generales'!$E$19</f>
        <v>0</v>
      </c>
      <c r="X415" s="281">
        <f>TABLA_BASE[[#This Row],[IPM UNIT.
(S/.)]]*TABLA_BASE[[#This Row],[CANTIDAD
(unid.)]]</f>
        <v>0</v>
      </c>
      <c r="Y415" s="281">
        <f>TABLA_BASE[[#This Row],[IGV UNIT.
(US$)
✅CF]]*'📋 Datos Generales'!$E$19</f>
        <v>0</v>
      </c>
      <c r="Z415" s="281">
        <f>TABLA_BASE[[#This Row],[IGV UNIT.
(S/.)]]*TABLA_BASE[[#This Row],[CANTIDAD
(unid.)]]</f>
        <v>0</v>
      </c>
      <c r="AA415" s="281">
        <f>TABLA_BASE[[#This Row],[PERCEP.
UNIT.(US$)
✅CF]]*'📋 Datos Generales'!$E$19</f>
        <v>0</v>
      </c>
      <c r="AB415" s="281">
        <f>TABLA_BASE[[#This Row],[PERCEP.
UNIT.(S/.)]]*TABLA_BASE[[#This Row],[CANTIDAD
(unid.)]]</f>
        <v>0</v>
      </c>
      <c r="AC415" s="279">
        <f>TABLA_BASE[[#This Row],[ADV UNIT.
(US$)
⚠️COSTO]]+TABLA_BASE[[#This Row],[IPM UNIT.
(US$)
✅CF]]+TABLA_BASE[[#This Row],[IGV UNIT.
(US$)
✅CF]]+TABLA_BASE[[#This Row],[PERCEP.
UNIT.(US$)
✅CF]]</f>
        <v>0</v>
      </c>
      <c r="AD415" s="279">
        <f>TABLA_BASE[[#This Row],[TOTAL PAGO
SUNAT
UNIT.(US$)]]*TABLA_BASE[[#This Row],[CANTIDAD
(unid.)]]</f>
        <v>0</v>
      </c>
      <c r="AE415" s="281">
        <f>TABLA_BASE[[#This Row],[TOTAL PAGO
SUNAT
UNIT.(US$)]]*'📋 Datos Generales'!$E$19</f>
        <v>0</v>
      </c>
      <c r="AF415" s="281">
        <f>TABLA_BASE[[#This Row],[TOTAL TRIB.
UNIT.(S/.)]]*TABLA_BASE[[#This Row],[CANTIDAD
(unid.)]]</f>
        <v>0</v>
      </c>
      <c r="AG415" s="279">
        <f>IF('🧾 Factura Comercial'!G419=0,0,'📦 Gastos Importación'!$E$28*(IF('🧾 Tributos Aduana'!$F$6=0,0,'🧾 Factura Comercial'!I419/'🧾 Tributos Aduana'!$F$6))/'🧾 Factura Comercial'!G419)</f>
        <v>0</v>
      </c>
      <c r="AH415" s="279">
        <f>TABLA_BASE[[#This Row],[GASTOS IMP.
UNIT.(US$)]]*TABLA_BASE[[#This Row],[CANTIDAD
(unid.)]]</f>
        <v>0</v>
      </c>
      <c r="AI415" s="281">
        <f>TABLA_BASE[[#This Row],[GASTOS IMP.
UNIT.(US$)]]*'📋 Datos Generales'!$E$19</f>
        <v>0</v>
      </c>
      <c r="AJ415" s="281">
        <f>TABLA_BASE[[#This Row],[GASTOS IMP.
UNIT.(S/.)]]*TABLA_BASE[[#This Row],[CANTIDAD
(unid.)]]</f>
        <v>0</v>
      </c>
      <c r="AK415" s="280">
        <f>'🧮 Costos x Producto'!J419</f>
        <v>0</v>
      </c>
      <c r="AL415" s="278">
        <f>'🧮 Costos x Producto'!K419</f>
        <v>0</v>
      </c>
      <c r="AM415" s="278">
        <f>TABLA_BASE[[#This Row],[C/M UNIT.
(S/.)]]*TABLA_BASE[[#This Row],[CANTIDAD
(unid.)]]</f>
        <v>0</v>
      </c>
      <c r="AN415" s="279">
        <f>IF('🧾 Factura Comercial'!G419=0,0,'🧾 Tributos Aduana'!$F$17*(IF('🧾 Tributos Aduana'!$F$6=0,0,'🧾 Factura Comercial'!I419/'🧾 Tributos Aduana'!$F$6))/'🧾 Factura Comercial'!G419)</f>
        <v>0</v>
      </c>
      <c r="AO415" s="280">
        <f>IF('🧾 Factura Comercial'!G419=0,0,'🏦 Crédito Fiscal'!$C$16*(IF('🧾 Tributos Aduana'!$F$6=0,0,'🧾 Factura Comercial'!I419/'🧾 Tributos Aduana'!$F$6))/'🧾 Factura Comercial'!G419)</f>
        <v>0</v>
      </c>
      <c r="AP415" s="278">
        <f>TABLA_BASE[[#This Row],[CF UNIT.
✅RECUP.
(US$)]]*'📋 Datos Generales'!$E$19</f>
        <v>0</v>
      </c>
      <c r="AQ415" s="278">
        <f>TABLA_BASE[[#This Row],[CF UNIT.
✅RECUP.(S/.)]]*TABLA_BASE[[#This Row],[CANTIDAD
(unid.)]]</f>
        <v>0</v>
      </c>
      <c r="AR415" s="288">
        <f>'💰 Precio de Venta'!G420</f>
        <v>0.4</v>
      </c>
      <c r="AS415" s="278">
        <f>'💰 Precio de Venta'!H420</f>
        <v>0</v>
      </c>
      <c r="AT415" s="278">
        <f>TABLA_BASE[[#This Row],[VALOR VTA.
UNIT.(S/.)]]*TABLA_BASE[[#This Row],[CANTIDAD
(unid.)]]</f>
        <v>0</v>
      </c>
      <c r="AU415" s="281">
        <f>'💰 Precio de Venta'!I420</f>
        <v>0</v>
      </c>
      <c r="AV415" s="278">
        <f>'💰 Precio de Venta'!J420</f>
        <v>0</v>
      </c>
      <c r="AW415" s="278">
        <f>TABLA_BASE[[#This Row],[GANANCIA
UNIT.(S/.)]]*TABLA_BASE[[#This Row],[CANTIDAD
(unid.)]]</f>
        <v>0</v>
      </c>
      <c r="AX415" s="289">
        <f>'💰 Precio de Venta'!K420</f>
        <v>0</v>
      </c>
      <c r="AY415" s="278">
        <f>TABLA_BASE[[#This Row],[GANANCIA
UNIT.(S/.)]]*'🧾 Factura Comercial'!G419</f>
        <v>0</v>
      </c>
      <c r="AZ415" s="277">
        <f>IF(TABLA_BASE[[#This Row],[PRECIO VTA.
c/IGV(S/.)]]=0,0,TABLA_BASE[[#This Row],[GANANCIA
UNIT.(S/.)]]/TABLA_BASE[[#This Row],[PRECIO VTA.
c/IGV(S/.)]])</f>
        <v>0</v>
      </c>
      <c r="BA415" s="277">
        <f>IF(TABLA_BASE[[#This Row],[C/M UNIT.
(S/.)]]=0,0,TABLA_BASE[[#This Row],[GANANCIA
UNIT.(S/.)]]/TABLA_BASE[[#This Row],[C/M UNIT.
(S/.)]])</f>
        <v>0</v>
      </c>
      <c r="BB415" s="274" t="str">
        <f>IF(TABLA_BASE[[#This Row],[MARGEN
%]]&gt;=0.5,"🟢 ALTO",IF(TABLA_BASE[[#This Row],[MARGEN
%]]&gt;=0.3,"🟡 MEDIO","🔴 BAJO"))</f>
        <v>🟡 MEDIO</v>
      </c>
    </row>
    <row r="416" spans="1:54" ht="16.5" hidden="1" thickTop="1" thickBot="1" x14ac:dyDescent="0.3">
      <c r="A416" s="274">
        <f>'🧾 Factura Comercial'!E420</f>
        <v>0</v>
      </c>
      <c r="B416" s="274" t="str">
        <f>'🧾 Factura Comercial'!F420</f>
        <v>Unid.</v>
      </c>
      <c r="C416" s="275">
        <f>'🧾 Factura Comercial'!G420</f>
        <v>0</v>
      </c>
      <c r="D416" s="276">
        <f>'🧾 Factura Comercial'!H420</f>
        <v>0</v>
      </c>
      <c r="E416" s="276">
        <f>'🧾 Factura Comercial'!I420</f>
        <v>0</v>
      </c>
      <c r="F416" s="277">
        <f>IF('🧾 Tributos Aduana'!$F$6=0,0,'🧾 Factura Comercial'!I420/'🧾 Tributos Aduana'!$F$6)</f>
        <v>0</v>
      </c>
      <c r="G416" s="278">
        <f>'🧾 Factura Comercial'!H420*'📋 Datos Generales'!$E$19</f>
        <v>0</v>
      </c>
      <c r="H416" s="278">
        <f>TABLA_BASE[[#This Row],[FOB UNIT.
(S/.)]]*TABLA_BASE[[#This Row],[CANTIDAD
(unid.)]]</f>
        <v>0</v>
      </c>
      <c r="I416" s="280">
        <f>IF('🧾 Tributos Aduana'!$F$6=0,0,'🧾 Tributos Aduana'!$F$17*('🧾 Factura Comercial'!H420/'🧾 Tributos Aduana'!$F$6))</f>
        <v>0</v>
      </c>
      <c r="J416" s="280">
        <f>TABLA_BASE[[#This Row],[ADV UNIT.
(US$)
⚠️COSTO]]*TABLA_BASE[[#This Row],[CANTIDAD
(unid.)]]</f>
        <v>0</v>
      </c>
      <c r="K416" s="279">
        <f>IF('🧾 Tributos Aduana'!$F$6=0,0,'🧾 Tributos Aduana'!$F$18*('🧾 Factura Comercial'!H420/'🧾 Tributos Aduana'!$F$6))</f>
        <v>0</v>
      </c>
      <c r="L416" s="280">
        <f>TABLA_BASE[[#This Row],[IPM UNIT.
(US$)
✅CF]]*TABLA_BASE[[#This Row],[CANTIDAD
(unid.)]]</f>
        <v>0</v>
      </c>
      <c r="M416" s="279">
        <f>IF('🧾 Tributos Aduana'!$F$6=0,0,'🧾 Tributos Aduana'!$F$19*('🧾 Factura Comercial'!H420/'🧾 Tributos Aduana'!$F$6))</f>
        <v>0</v>
      </c>
      <c r="N416" s="280">
        <f>TABLA_BASE[[#This Row],[IGV UNIT.
(US$)
✅CF]]*TABLA_BASE[[#This Row],[CANTIDAD
(unid.)]]</f>
        <v>0</v>
      </c>
      <c r="O416" s="280">
        <f>IF('🧾 Tributos Aduana'!$F$6=0,0,'🧾 Tributos Aduana'!$F$23*('🧾 Factura Comercial'!H420/'🧾 Tributos Aduana'!$F$6))</f>
        <v>0</v>
      </c>
      <c r="P416" s="280">
        <f>TABLA_BASE[[#This Row],[PERCEP.
UNIT.(US$)
✅CF]]*TABLA_BASE[[#This Row],[CANTIDAD
(unid.)]]</f>
        <v>0</v>
      </c>
      <c r="Q416" s="279">
        <f>TABLA_BASE[[#This Row],[ADV UNIT.
(US$)
⚠️COSTO]]+TABLA_BASE[[#This Row],[IPM UNIT.
(US$)
✅CF]]+TABLA_BASE[[#This Row],[IGV UNIT.
(US$)
✅CF]]</f>
        <v>0</v>
      </c>
      <c r="R416" s="280">
        <f>TABLA_BASE[[#This Row],[DEUDA
ADUANERA
UNIT.]]*TABLA_BASE[[#This Row],[CANTIDAD
(unid.)]]</f>
        <v>0</v>
      </c>
      <c r="S416" s="278">
        <f>TABLA_BASE[[#This Row],[DEUDA
ADUANERA
UNIT.]]*'📋 Datos Generales'!$E$19</f>
        <v>0</v>
      </c>
      <c r="T416" s="278">
        <f>TABLA_BASE[[#This Row],[DEUDA
ADUANERA
TOTAL]]*'📋 Datos Generales'!$E$19</f>
        <v>0</v>
      </c>
      <c r="U416" s="281">
        <f>TABLA_BASE[[#This Row],[ADV UNIT.
(US$)
⚠️COSTO]]*'📋 Datos Generales'!$E$19</f>
        <v>0</v>
      </c>
      <c r="V416" s="281">
        <f>TABLA_BASE[[#This Row],[ADV UNIT.
(S/.)]]*TABLA_BASE[[#This Row],[CANTIDAD
(unid.)]]</f>
        <v>0</v>
      </c>
      <c r="W416" s="281">
        <f>TABLA_BASE[[#This Row],[IPM UNIT.
(US$)
✅CF]]*'📋 Datos Generales'!$E$19</f>
        <v>0</v>
      </c>
      <c r="X416" s="281">
        <f>TABLA_BASE[[#This Row],[IPM UNIT.
(S/.)]]*TABLA_BASE[[#This Row],[CANTIDAD
(unid.)]]</f>
        <v>0</v>
      </c>
      <c r="Y416" s="281">
        <f>TABLA_BASE[[#This Row],[IGV UNIT.
(US$)
✅CF]]*'📋 Datos Generales'!$E$19</f>
        <v>0</v>
      </c>
      <c r="Z416" s="281">
        <f>TABLA_BASE[[#This Row],[IGV UNIT.
(S/.)]]*TABLA_BASE[[#This Row],[CANTIDAD
(unid.)]]</f>
        <v>0</v>
      </c>
      <c r="AA416" s="281">
        <f>TABLA_BASE[[#This Row],[PERCEP.
UNIT.(US$)
✅CF]]*'📋 Datos Generales'!$E$19</f>
        <v>0</v>
      </c>
      <c r="AB416" s="281">
        <f>TABLA_BASE[[#This Row],[PERCEP.
UNIT.(S/.)]]*TABLA_BASE[[#This Row],[CANTIDAD
(unid.)]]</f>
        <v>0</v>
      </c>
      <c r="AC416" s="279">
        <f>TABLA_BASE[[#This Row],[ADV UNIT.
(US$)
⚠️COSTO]]+TABLA_BASE[[#This Row],[IPM UNIT.
(US$)
✅CF]]+TABLA_BASE[[#This Row],[IGV UNIT.
(US$)
✅CF]]+TABLA_BASE[[#This Row],[PERCEP.
UNIT.(US$)
✅CF]]</f>
        <v>0</v>
      </c>
      <c r="AD416" s="279">
        <f>TABLA_BASE[[#This Row],[TOTAL PAGO
SUNAT
UNIT.(US$)]]*TABLA_BASE[[#This Row],[CANTIDAD
(unid.)]]</f>
        <v>0</v>
      </c>
      <c r="AE416" s="281">
        <f>TABLA_BASE[[#This Row],[TOTAL PAGO
SUNAT
UNIT.(US$)]]*'📋 Datos Generales'!$E$19</f>
        <v>0</v>
      </c>
      <c r="AF416" s="281">
        <f>TABLA_BASE[[#This Row],[TOTAL TRIB.
UNIT.(S/.)]]*TABLA_BASE[[#This Row],[CANTIDAD
(unid.)]]</f>
        <v>0</v>
      </c>
      <c r="AG416" s="279">
        <f>IF('🧾 Factura Comercial'!G420=0,0,'📦 Gastos Importación'!$E$28*(IF('🧾 Tributos Aduana'!$F$6=0,0,'🧾 Factura Comercial'!I420/'🧾 Tributos Aduana'!$F$6))/'🧾 Factura Comercial'!G420)</f>
        <v>0</v>
      </c>
      <c r="AH416" s="279">
        <f>TABLA_BASE[[#This Row],[GASTOS IMP.
UNIT.(US$)]]*TABLA_BASE[[#This Row],[CANTIDAD
(unid.)]]</f>
        <v>0</v>
      </c>
      <c r="AI416" s="281">
        <f>TABLA_BASE[[#This Row],[GASTOS IMP.
UNIT.(US$)]]*'📋 Datos Generales'!$E$19</f>
        <v>0</v>
      </c>
      <c r="AJ416" s="281">
        <f>TABLA_BASE[[#This Row],[GASTOS IMP.
UNIT.(S/.)]]*TABLA_BASE[[#This Row],[CANTIDAD
(unid.)]]</f>
        <v>0</v>
      </c>
      <c r="AK416" s="280">
        <f>'🧮 Costos x Producto'!J420</f>
        <v>0</v>
      </c>
      <c r="AL416" s="278">
        <f>'🧮 Costos x Producto'!K420</f>
        <v>0</v>
      </c>
      <c r="AM416" s="278">
        <f>TABLA_BASE[[#This Row],[C/M UNIT.
(S/.)]]*TABLA_BASE[[#This Row],[CANTIDAD
(unid.)]]</f>
        <v>0</v>
      </c>
      <c r="AN416" s="279">
        <f>IF('🧾 Factura Comercial'!G420=0,0,'🧾 Tributos Aduana'!$F$17*(IF('🧾 Tributos Aduana'!$F$6=0,0,'🧾 Factura Comercial'!I420/'🧾 Tributos Aduana'!$F$6))/'🧾 Factura Comercial'!G420)</f>
        <v>0</v>
      </c>
      <c r="AO416" s="280">
        <f>IF('🧾 Factura Comercial'!G420=0,0,'🏦 Crédito Fiscal'!$C$16*(IF('🧾 Tributos Aduana'!$F$6=0,0,'🧾 Factura Comercial'!I420/'🧾 Tributos Aduana'!$F$6))/'🧾 Factura Comercial'!G420)</f>
        <v>0</v>
      </c>
      <c r="AP416" s="278">
        <f>TABLA_BASE[[#This Row],[CF UNIT.
✅RECUP.
(US$)]]*'📋 Datos Generales'!$E$19</f>
        <v>0</v>
      </c>
      <c r="AQ416" s="278">
        <f>TABLA_BASE[[#This Row],[CF UNIT.
✅RECUP.(S/.)]]*TABLA_BASE[[#This Row],[CANTIDAD
(unid.)]]</f>
        <v>0</v>
      </c>
      <c r="AR416" s="288">
        <f>'💰 Precio de Venta'!G421</f>
        <v>0.4</v>
      </c>
      <c r="AS416" s="278">
        <f>'💰 Precio de Venta'!H421</f>
        <v>0</v>
      </c>
      <c r="AT416" s="278">
        <f>TABLA_BASE[[#This Row],[VALOR VTA.
UNIT.(S/.)]]*TABLA_BASE[[#This Row],[CANTIDAD
(unid.)]]</f>
        <v>0</v>
      </c>
      <c r="AU416" s="281">
        <f>'💰 Precio de Venta'!I421</f>
        <v>0</v>
      </c>
      <c r="AV416" s="278">
        <f>'💰 Precio de Venta'!J421</f>
        <v>0</v>
      </c>
      <c r="AW416" s="278">
        <f>TABLA_BASE[[#This Row],[GANANCIA
UNIT.(S/.)]]*TABLA_BASE[[#This Row],[CANTIDAD
(unid.)]]</f>
        <v>0</v>
      </c>
      <c r="AX416" s="289">
        <f>'💰 Precio de Venta'!K421</f>
        <v>0</v>
      </c>
      <c r="AY416" s="278">
        <f>TABLA_BASE[[#This Row],[GANANCIA
UNIT.(S/.)]]*'🧾 Factura Comercial'!G420</f>
        <v>0</v>
      </c>
      <c r="AZ416" s="277">
        <f>IF(TABLA_BASE[[#This Row],[PRECIO VTA.
c/IGV(S/.)]]=0,0,TABLA_BASE[[#This Row],[GANANCIA
UNIT.(S/.)]]/TABLA_BASE[[#This Row],[PRECIO VTA.
c/IGV(S/.)]])</f>
        <v>0</v>
      </c>
      <c r="BA416" s="277">
        <f>IF(TABLA_BASE[[#This Row],[C/M UNIT.
(S/.)]]=0,0,TABLA_BASE[[#This Row],[GANANCIA
UNIT.(S/.)]]/TABLA_BASE[[#This Row],[C/M UNIT.
(S/.)]])</f>
        <v>0</v>
      </c>
      <c r="BB416" s="274" t="str">
        <f>IF(TABLA_BASE[[#This Row],[MARGEN
%]]&gt;=0.5,"🟢 ALTO",IF(TABLA_BASE[[#This Row],[MARGEN
%]]&gt;=0.3,"🟡 MEDIO","🔴 BAJO"))</f>
        <v>🟡 MEDIO</v>
      </c>
    </row>
    <row r="417" spans="1:54" ht="16.5" hidden="1" thickTop="1" thickBot="1" x14ac:dyDescent="0.3">
      <c r="A417" s="274">
        <f>'🧾 Factura Comercial'!E421</f>
        <v>0</v>
      </c>
      <c r="B417" s="274" t="str">
        <f>'🧾 Factura Comercial'!F421</f>
        <v>Unid.</v>
      </c>
      <c r="C417" s="275">
        <f>'🧾 Factura Comercial'!G421</f>
        <v>0</v>
      </c>
      <c r="D417" s="276">
        <f>'🧾 Factura Comercial'!H421</f>
        <v>0</v>
      </c>
      <c r="E417" s="276">
        <f>'🧾 Factura Comercial'!I421</f>
        <v>0</v>
      </c>
      <c r="F417" s="277">
        <f>IF('🧾 Tributos Aduana'!$F$6=0,0,'🧾 Factura Comercial'!I421/'🧾 Tributos Aduana'!$F$6)</f>
        <v>0</v>
      </c>
      <c r="G417" s="278">
        <f>'🧾 Factura Comercial'!H421*'📋 Datos Generales'!$E$19</f>
        <v>0</v>
      </c>
      <c r="H417" s="278">
        <f>TABLA_BASE[[#This Row],[FOB UNIT.
(S/.)]]*TABLA_BASE[[#This Row],[CANTIDAD
(unid.)]]</f>
        <v>0</v>
      </c>
      <c r="I417" s="280">
        <f>IF('🧾 Tributos Aduana'!$F$6=0,0,'🧾 Tributos Aduana'!$F$17*('🧾 Factura Comercial'!H421/'🧾 Tributos Aduana'!$F$6))</f>
        <v>0</v>
      </c>
      <c r="J417" s="280">
        <f>TABLA_BASE[[#This Row],[ADV UNIT.
(US$)
⚠️COSTO]]*TABLA_BASE[[#This Row],[CANTIDAD
(unid.)]]</f>
        <v>0</v>
      </c>
      <c r="K417" s="279">
        <f>IF('🧾 Tributos Aduana'!$F$6=0,0,'🧾 Tributos Aduana'!$F$18*('🧾 Factura Comercial'!H421/'🧾 Tributos Aduana'!$F$6))</f>
        <v>0</v>
      </c>
      <c r="L417" s="280">
        <f>TABLA_BASE[[#This Row],[IPM UNIT.
(US$)
✅CF]]*TABLA_BASE[[#This Row],[CANTIDAD
(unid.)]]</f>
        <v>0</v>
      </c>
      <c r="M417" s="279">
        <f>IF('🧾 Tributos Aduana'!$F$6=0,0,'🧾 Tributos Aduana'!$F$19*('🧾 Factura Comercial'!H421/'🧾 Tributos Aduana'!$F$6))</f>
        <v>0</v>
      </c>
      <c r="N417" s="280">
        <f>TABLA_BASE[[#This Row],[IGV UNIT.
(US$)
✅CF]]*TABLA_BASE[[#This Row],[CANTIDAD
(unid.)]]</f>
        <v>0</v>
      </c>
      <c r="O417" s="280">
        <f>IF('🧾 Tributos Aduana'!$F$6=0,0,'🧾 Tributos Aduana'!$F$23*('🧾 Factura Comercial'!H421/'🧾 Tributos Aduana'!$F$6))</f>
        <v>0</v>
      </c>
      <c r="P417" s="280">
        <f>TABLA_BASE[[#This Row],[PERCEP.
UNIT.(US$)
✅CF]]*TABLA_BASE[[#This Row],[CANTIDAD
(unid.)]]</f>
        <v>0</v>
      </c>
      <c r="Q417" s="279">
        <f>TABLA_BASE[[#This Row],[ADV UNIT.
(US$)
⚠️COSTO]]+TABLA_BASE[[#This Row],[IPM UNIT.
(US$)
✅CF]]+TABLA_BASE[[#This Row],[IGV UNIT.
(US$)
✅CF]]</f>
        <v>0</v>
      </c>
      <c r="R417" s="280">
        <f>TABLA_BASE[[#This Row],[DEUDA
ADUANERA
UNIT.]]*TABLA_BASE[[#This Row],[CANTIDAD
(unid.)]]</f>
        <v>0</v>
      </c>
      <c r="S417" s="278">
        <f>TABLA_BASE[[#This Row],[DEUDA
ADUANERA
UNIT.]]*'📋 Datos Generales'!$E$19</f>
        <v>0</v>
      </c>
      <c r="T417" s="278">
        <f>TABLA_BASE[[#This Row],[DEUDA
ADUANERA
TOTAL]]*'📋 Datos Generales'!$E$19</f>
        <v>0</v>
      </c>
      <c r="U417" s="281">
        <f>TABLA_BASE[[#This Row],[ADV UNIT.
(US$)
⚠️COSTO]]*'📋 Datos Generales'!$E$19</f>
        <v>0</v>
      </c>
      <c r="V417" s="281">
        <f>TABLA_BASE[[#This Row],[ADV UNIT.
(S/.)]]*TABLA_BASE[[#This Row],[CANTIDAD
(unid.)]]</f>
        <v>0</v>
      </c>
      <c r="W417" s="281">
        <f>TABLA_BASE[[#This Row],[IPM UNIT.
(US$)
✅CF]]*'📋 Datos Generales'!$E$19</f>
        <v>0</v>
      </c>
      <c r="X417" s="281">
        <f>TABLA_BASE[[#This Row],[IPM UNIT.
(S/.)]]*TABLA_BASE[[#This Row],[CANTIDAD
(unid.)]]</f>
        <v>0</v>
      </c>
      <c r="Y417" s="281">
        <f>TABLA_BASE[[#This Row],[IGV UNIT.
(US$)
✅CF]]*'📋 Datos Generales'!$E$19</f>
        <v>0</v>
      </c>
      <c r="Z417" s="281">
        <f>TABLA_BASE[[#This Row],[IGV UNIT.
(S/.)]]*TABLA_BASE[[#This Row],[CANTIDAD
(unid.)]]</f>
        <v>0</v>
      </c>
      <c r="AA417" s="281">
        <f>TABLA_BASE[[#This Row],[PERCEP.
UNIT.(US$)
✅CF]]*'📋 Datos Generales'!$E$19</f>
        <v>0</v>
      </c>
      <c r="AB417" s="281">
        <f>TABLA_BASE[[#This Row],[PERCEP.
UNIT.(S/.)]]*TABLA_BASE[[#This Row],[CANTIDAD
(unid.)]]</f>
        <v>0</v>
      </c>
      <c r="AC417" s="279">
        <f>TABLA_BASE[[#This Row],[ADV UNIT.
(US$)
⚠️COSTO]]+TABLA_BASE[[#This Row],[IPM UNIT.
(US$)
✅CF]]+TABLA_BASE[[#This Row],[IGV UNIT.
(US$)
✅CF]]+TABLA_BASE[[#This Row],[PERCEP.
UNIT.(US$)
✅CF]]</f>
        <v>0</v>
      </c>
      <c r="AD417" s="279">
        <f>TABLA_BASE[[#This Row],[TOTAL PAGO
SUNAT
UNIT.(US$)]]*TABLA_BASE[[#This Row],[CANTIDAD
(unid.)]]</f>
        <v>0</v>
      </c>
      <c r="AE417" s="281">
        <f>TABLA_BASE[[#This Row],[TOTAL PAGO
SUNAT
UNIT.(US$)]]*'📋 Datos Generales'!$E$19</f>
        <v>0</v>
      </c>
      <c r="AF417" s="281">
        <f>TABLA_BASE[[#This Row],[TOTAL TRIB.
UNIT.(S/.)]]*TABLA_BASE[[#This Row],[CANTIDAD
(unid.)]]</f>
        <v>0</v>
      </c>
      <c r="AG417" s="279">
        <f>IF('🧾 Factura Comercial'!G421=0,0,'📦 Gastos Importación'!$E$28*(IF('🧾 Tributos Aduana'!$F$6=0,0,'🧾 Factura Comercial'!I421/'🧾 Tributos Aduana'!$F$6))/'🧾 Factura Comercial'!G421)</f>
        <v>0</v>
      </c>
      <c r="AH417" s="279">
        <f>TABLA_BASE[[#This Row],[GASTOS IMP.
UNIT.(US$)]]*TABLA_BASE[[#This Row],[CANTIDAD
(unid.)]]</f>
        <v>0</v>
      </c>
      <c r="AI417" s="281">
        <f>TABLA_BASE[[#This Row],[GASTOS IMP.
UNIT.(US$)]]*'📋 Datos Generales'!$E$19</f>
        <v>0</v>
      </c>
      <c r="AJ417" s="281">
        <f>TABLA_BASE[[#This Row],[GASTOS IMP.
UNIT.(S/.)]]*TABLA_BASE[[#This Row],[CANTIDAD
(unid.)]]</f>
        <v>0</v>
      </c>
      <c r="AK417" s="280">
        <f>'🧮 Costos x Producto'!J421</f>
        <v>0</v>
      </c>
      <c r="AL417" s="278">
        <f>'🧮 Costos x Producto'!K421</f>
        <v>0</v>
      </c>
      <c r="AM417" s="278">
        <f>TABLA_BASE[[#This Row],[C/M UNIT.
(S/.)]]*TABLA_BASE[[#This Row],[CANTIDAD
(unid.)]]</f>
        <v>0</v>
      </c>
      <c r="AN417" s="279">
        <f>IF('🧾 Factura Comercial'!G421=0,0,'🧾 Tributos Aduana'!$F$17*(IF('🧾 Tributos Aduana'!$F$6=0,0,'🧾 Factura Comercial'!I421/'🧾 Tributos Aduana'!$F$6))/'🧾 Factura Comercial'!G421)</f>
        <v>0</v>
      </c>
      <c r="AO417" s="280">
        <f>IF('🧾 Factura Comercial'!G421=0,0,'🏦 Crédito Fiscal'!$C$16*(IF('🧾 Tributos Aduana'!$F$6=0,0,'🧾 Factura Comercial'!I421/'🧾 Tributos Aduana'!$F$6))/'🧾 Factura Comercial'!G421)</f>
        <v>0</v>
      </c>
      <c r="AP417" s="278">
        <f>TABLA_BASE[[#This Row],[CF UNIT.
✅RECUP.
(US$)]]*'📋 Datos Generales'!$E$19</f>
        <v>0</v>
      </c>
      <c r="AQ417" s="278">
        <f>TABLA_BASE[[#This Row],[CF UNIT.
✅RECUP.(S/.)]]*TABLA_BASE[[#This Row],[CANTIDAD
(unid.)]]</f>
        <v>0</v>
      </c>
      <c r="AR417" s="288">
        <f>'💰 Precio de Venta'!G422</f>
        <v>0.4</v>
      </c>
      <c r="AS417" s="278">
        <f>'💰 Precio de Venta'!H422</f>
        <v>0</v>
      </c>
      <c r="AT417" s="278">
        <f>TABLA_BASE[[#This Row],[VALOR VTA.
UNIT.(S/.)]]*TABLA_BASE[[#This Row],[CANTIDAD
(unid.)]]</f>
        <v>0</v>
      </c>
      <c r="AU417" s="281">
        <f>'💰 Precio de Venta'!I422</f>
        <v>0</v>
      </c>
      <c r="AV417" s="278">
        <f>'💰 Precio de Venta'!J422</f>
        <v>0</v>
      </c>
      <c r="AW417" s="278">
        <f>TABLA_BASE[[#This Row],[GANANCIA
UNIT.(S/.)]]*TABLA_BASE[[#This Row],[CANTIDAD
(unid.)]]</f>
        <v>0</v>
      </c>
      <c r="AX417" s="289">
        <f>'💰 Precio de Venta'!K422</f>
        <v>0</v>
      </c>
      <c r="AY417" s="278">
        <f>TABLA_BASE[[#This Row],[GANANCIA
UNIT.(S/.)]]*'🧾 Factura Comercial'!G421</f>
        <v>0</v>
      </c>
      <c r="AZ417" s="277">
        <f>IF(TABLA_BASE[[#This Row],[PRECIO VTA.
c/IGV(S/.)]]=0,0,TABLA_BASE[[#This Row],[GANANCIA
UNIT.(S/.)]]/TABLA_BASE[[#This Row],[PRECIO VTA.
c/IGV(S/.)]])</f>
        <v>0</v>
      </c>
      <c r="BA417" s="277">
        <f>IF(TABLA_BASE[[#This Row],[C/M UNIT.
(S/.)]]=0,0,TABLA_BASE[[#This Row],[GANANCIA
UNIT.(S/.)]]/TABLA_BASE[[#This Row],[C/M UNIT.
(S/.)]])</f>
        <v>0</v>
      </c>
      <c r="BB417" s="274" t="str">
        <f>IF(TABLA_BASE[[#This Row],[MARGEN
%]]&gt;=0.5,"🟢 ALTO",IF(TABLA_BASE[[#This Row],[MARGEN
%]]&gt;=0.3,"🟡 MEDIO","🔴 BAJO"))</f>
        <v>🟡 MEDIO</v>
      </c>
    </row>
    <row r="418" spans="1:54" ht="16.5" hidden="1" thickTop="1" thickBot="1" x14ac:dyDescent="0.3">
      <c r="A418" s="274">
        <f>'🧾 Factura Comercial'!E422</f>
        <v>0</v>
      </c>
      <c r="B418" s="274" t="str">
        <f>'🧾 Factura Comercial'!F422</f>
        <v>Unid.</v>
      </c>
      <c r="C418" s="275">
        <f>'🧾 Factura Comercial'!G422</f>
        <v>0</v>
      </c>
      <c r="D418" s="276">
        <f>'🧾 Factura Comercial'!H422</f>
        <v>0</v>
      </c>
      <c r="E418" s="276">
        <f>'🧾 Factura Comercial'!I422</f>
        <v>0</v>
      </c>
      <c r="F418" s="277">
        <f>IF('🧾 Tributos Aduana'!$F$6=0,0,'🧾 Factura Comercial'!I422/'🧾 Tributos Aduana'!$F$6)</f>
        <v>0</v>
      </c>
      <c r="G418" s="278">
        <f>'🧾 Factura Comercial'!H422*'📋 Datos Generales'!$E$19</f>
        <v>0</v>
      </c>
      <c r="H418" s="278">
        <f>TABLA_BASE[[#This Row],[FOB UNIT.
(S/.)]]*TABLA_BASE[[#This Row],[CANTIDAD
(unid.)]]</f>
        <v>0</v>
      </c>
      <c r="I418" s="280">
        <f>IF('🧾 Tributos Aduana'!$F$6=0,0,'🧾 Tributos Aduana'!$F$17*('🧾 Factura Comercial'!H422/'🧾 Tributos Aduana'!$F$6))</f>
        <v>0</v>
      </c>
      <c r="J418" s="280">
        <f>TABLA_BASE[[#This Row],[ADV UNIT.
(US$)
⚠️COSTO]]*TABLA_BASE[[#This Row],[CANTIDAD
(unid.)]]</f>
        <v>0</v>
      </c>
      <c r="K418" s="279">
        <f>IF('🧾 Tributos Aduana'!$F$6=0,0,'🧾 Tributos Aduana'!$F$18*('🧾 Factura Comercial'!H422/'🧾 Tributos Aduana'!$F$6))</f>
        <v>0</v>
      </c>
      <c r="L418" s="280">
        <f>TABLA_BASE[[#This Row],[IPM UNIT.
(US$)
✅CF]]*TABLA_BASE[[#This Row],[CANTIDAD
(unid.)]]</f>
        <v>0</v>
      </c>
      <c r="M418" s="279">
        <f>IF('🧾 Tributos Aduana'!$F$6=0,0,'🧾 Tributos Aduana'!$F$19*('🧾 Factura Comercial'!H422/'🧾 Tributos Aduana'!$F$6))</f>
        <v>0</v>
      </c>
      <c r="N418" s="280">
        <f>TABLA_BASE[[#This Row],[IGV UNIT.
(US$)
✅CF]]*TABLA_BASE[[#This Row],[CANTIDAD
(unid.)]]</f>
        <v>0</v>
      </c>
      <c r="O418" s="280">
        <f>IF('🧾 Tributos Aduana'!$F$6=0,0,'🧾 Tributos Aduana'!$F$23*('🧾 Factura Comercial'!H422/'🧾 Tributos Aduana'!$F$6))</f>
        <v>0</v>
      </c>
      <c r="P418" s="280">
        <f>TABLA_BASE[[#This Row],[PERCEP.
UNIT.(US$)
✅CF]]*TABLA_BASE[[#This Row],[CANTIDAD
(unid.)]]</f>
        <v>0</v>
      </c>
      <c r="Q418" s="279">
        <f>TABLA_BASE[[#This Row],[ADV UNIT.
(US$)
⚠️COSTO]]+TABLA_BASE[[#This Row],[IPM UNIT.
(US$)
✅CF]]+TABLA_BASE[[#This Row],[IGV UNIT.
(US$)
✅CF]]</f>
        <v>0</v>
      </c>
      <c r="R418" s="280">
        <f>TABLA_BASE[[#This Row],[DEUDA
ADUANERA
UNIT.]]*TABLA_BASE[[#This Row],[CANTIDAD
(unid.)]]</f>
        <v>0</v>
      </c>
      <c r="S418" s="278">
        <f>TABLA_BASE[[#This Row],[DEUDA
ADUANERA
UNIT.]]*'📋 Datos Generales'!$E$19</f>
        <v>0</v>
      </c>
      <c r="T418" s="278">
        <f>TABLA_BASE[[#This Row],[DEUDA
ADUANERA
TOTAL]]*'📋 Datos Generales'!$E$19</f>
        <v>0</v>
      </c>
      <c r="U418" s="281">
        <f>TABLA_BASE[[#This Row],[ADV UNIT.
(US$)
⚠️COSTO]]*'📋 Datos Generales'!$E$19</f>
        <v>0</v>
      </c>
      <c r="V418" s="281">
        <f>TABLA_BASE[[#This Row],[ADV UNIT.
(S/.)]]*TABLA_BASE[[#This Row],[CANTIDAD
(unid.)]]</f>
        <v>0</v>
      </c>
      <c r="W418" s="281">
        <f>TABLA_BASE[[#This Row],[IPM UNIT.
(US$)
✅CF]]*'📋 Datos Generales'!$E$19</f>
        <v>0</v>
      </c>
      <c r="X418" s="281">
        <f>TABLA_BASE[[#This Row],[IPM UNIT.
(S/.)]]*TABLA_BASE[[#This Row],[CANTIDAD
(unid.)]]</f>
        <v>0</v>
      </c>
      <c r="Y418" s="281">
        <f>TABLA_BASE[[#This Row],[IGV UNIT.
(US$)
✅CF]]*'📋 Datos Generales'!$E$19</f>
        <v>0</v>
      </c>
      <c r="Z418" s="281">
        <f>TABLA_BASE[[#This Row],[IGV UNIT.
(S/.)]]*TABLA_BASE[[#This Row],[CANTIDAD
(unid.)]]</f>
        <v>0</v>
      </c>
      <c r="AA418" s="281">
        <f>TABLA_BASE[[#This Row],[PERCEP.
UNIT.(US$)
✅CF]]*'📋 Datos Generales'!$E$19</f>
        <v>0</v>
      </c>
      <c r="AB418" s="281">
        <f>TABLA_BASE[[#This Row],[PERCEP.
UNIT.(S/.)]]*TABLA_BASE[[#This Row],[CANTIDAD
(unid.)]]</f>
        <v>0</v>
      </c>
      <c r="AC418" s="279">
        <f>TABLA_BASE[[#This Row],[ADV UNIT.
(US$)
⚠️COSTO]]+TABLA_BASE[[#This Row],[IPM UNIT.
(US$)
✅CF]]+TABLA_BASE[[#This Row],[IGV UNIT.
(US$)
✅CF]]+TABLA_BASE[[#This Row],[PERCEP.
UNIT.(US$)
✅CF]]</f>
        <v>0</v>
      </c>
      <c r="AD418" s="279">
        <f>TABLA_BASE[[#This Row],[TOTAL PAGO
SUNAT
UNIT.(US$)]]*TABLA_BASE[[#This Row],[CANTIDAD
(unid.)]]</f>
        <v>0</v>
      </c>
      <c r="AE418" s="281">
        <f>TABLA_BASE[[#This Row],[TOTAL PAGO
SUNAT
UNIT.(US$)]]*'📋 Datos Generales'!$E$19</f>
        <v>0</v>
      </c>
      <c r="AF418" s="281">
        <f>TABLA_BASE[[#This Row],[TOTAL TRIB.
UNIT.(S/.)]]*TABLA_BASE[[#This Row],[CANTIDAD
(unid.)]]</f>
        <v>0</v>
      </c>
      <c r="AG418" s="279">
        <f>IF('🧾 Factura Comercial'!G422=0,0,'📦 Gastos Importación'!$E$28*(IF('🧾 Tributos Aduana'!$F$6=0,0,'🧾 Factura Comercial'!I422/'🧾 Tributos Aduana'!$F$6))/'🧾 Factura Comercial'!G422)</f>
        <v>0</v>
      </c>
      <c r="AH418" s="279">
        <f>TABLA_BASE[[#This Row],[GASTOS IMP.
UNIT.(US$)]]*TABLA_BASE[[#This Row],[CANTIDAD
(unid.)]]</f>
        <v>0</v>
      </c>
      <c r="AI418" s="281">
        <f>TABLA_BASE[[#This Row],[GASTOS IMP.
UNIT.(US$)]]*'📋 Datos Generales'!$E$19</f>
        <v>0</v>
      </c>
      <c r="AJ418" s="281">
        <f>TABLA_BASE[[#This Row],[GASTOS IMP.
UNIT.(S/.)]]*TABLA_BASE[[#This Row],[CANTIDAD
(unid.)]]</f>
        <v>0</v>
      </c>
      <c r="AK418" s="280">
        <f>'🧮 Costos x Producto'!J422</f>
        <v>0</v>
      </c>
      <c r="AL418" s="278">
        <f>'🧮 Costos x Producto'!K422</f>
        <v>0</v>
      </c>
      <c r="AM418" s="278">
        <f>TABLA_BASE[[#This Row],[C/M UNIT.
(S/.)]]*TABLA_BASE[[#This Row],[CANTIDAD
(unid.)]]</f>
        <v>0</v>
      </c>
      <c r="AN418" s="279">
        <f>IF('🧾 Factura Comercial'!G422=0,0,'🧾 Tributos Aduana'!$F$17*(IF('🧾 Tributos Aduana'!$F$6=0,0,'🧾 Factura Comercial'!I422/'🧾 Tributos Aduana'!$F$6))/'🧾 Factura Comercial'!G422)</f>
        <v>0</v>
      </c>
      <c r="AO418" s="280">
        <f>IF('🧾 Factura Comercial'!G422=0,0,'🏦 Crédito Fiscal'!$C$16*(IF('🧾 Tributos Aduana'!$F$6=0,0,'🧾 Factura Comercial'!I422/'🧾 Tributos Aduana'!$F$6))/'🧾 Factura Comercial'!G422)</f>
        <v>0</v>
      </c>
      <c r="AP418" s="278">
        <f>TABLA_BASE[[#This Row],[CF UNIT.
✅RECUP.
(US$)]]*'📋 Datos Generales'!$E$19</f>
        <v>0</v>
      </c>
      <c r="AQ418" s="278">
        <f>TABLA_BASE[[#This Row],[CF UNIT.
✅RECUP.(S/.)]]*TABLA_BASE[[#This Row],[CANTIDAD
(unid.)]]</f>
        <v>0</v>
      </c>
      <c r="AR418" s="288">
        <f>'💰 Precio de Venta'!G423</f>
        <v>0.4</v>
      </c>
      <c r="AS418" s="278">
        <f>'💰 Precio de Venta'!H423</f>
        <v>0</v>
      </c>
      <c r="AT418" s="278">
        <f>TABLA_BASE[[#This Row],[VALOR VTA.
UNIT.(S/.)]]*TABLA_BASE[[#This Row],[CANTIDAD
(unid.)]]</f>
        <v>0</v>
      </c>
      <c r="AU418" s="281">
        <f>'💰 Precio de Venta'!I423</f>
        <v>0</v>
      </c>
      <c r="AV418" s="278">
        <f>'💰 Precio de Venta'!J423</f>
        <v>0</v>
      </c>
      <c r="AW418" s="278">
        <f>TABLA_BASE[[#This Row],[GANANCIA
UNIT.(S/.)]]*TABLA_BASE[[#This Row],[CANTIDAD
(unid.)]]</f>
        <v>0</v>
      </c>
      <c r="AX418" s="289">
        <f>'💰 Precio de Venta'!K423</f>
        <v>0</v>
      </c>
      <c r="AY418" s="278">
        <f>TABLA_BASE[[#This Row],[GANANCIA
UNIT.(S/.)]]*'🧾 Factura Comercial'!G422</f>
        <v>0</v>
      </c>
      <c r="AZ418" s="277">
        <f>IF(TABLA_BASE[[#This Row],[PRECIO VTA.
c/IGV(S/.)]]=0,0,TABLA_BASE[[#This Row],[GANANCIA
UNIT.(S/.)]]/TABLA_BASE[[#This Row],[PRECIO VTA.
c/IGV(S/.)]])</f>
        <v>0</v>
      </c>
      <c r="BA418" s="277">
        <f>IF(TABLA_BASE[[#This Row],[C/M UNIT.
(S/.)]]=0,0,TABLA_BASE[[#This Row],[GANANCIA
UNIT.(S/.)]]/TABLA_BASE[[#This Row],[C/M UNIT.
(S/.)]])</f>
        <v>0</v>
      </c>
      <c r="BB418" s="274" t="str">
        <f>IF(TABLA_BASE[[#This Row],[MARGEN
%]]&gt;=0.5,"🟢 ALTO",IF(TABLA_BASE[[#This Row],[MARGEN
%]]&gt;=0.3,"🟡 MEDIO","🔴 BAJO"))</f>
        <v>🟡 MEDIO</v>
      </c>
    </row>
    <row r="419" spans="1:54" ht="16.5" hidden="1" thickTop="1" thickBot="1" x14ac:dyDescent="0.3">
      <c r="A419" s="274">
        <f>'🧾 Factura Comercial'!E423</f>
        <v>0</v>
      </c>
      <c r="B419" s="274" t="str">
        <f>'🧾 Factura Comercial'!F423</f>
        <v>Unid.</v>
      </c>
      <c r="C419" s="275">
        <f>'🧾 Factura Comercial'!G423</f>
        <v>0</v>
      </c>
      <c r="D419" s="276">
        <f>'🧾 Factura Comercial'!H423</f>
        <v>0</v>
      </c>
      <c r="E419" s="276">
        <f>'🧾 Factura Comercial'!I423</f>
        <v>0</v>
      </c>
      <c r="F419" s="277">
        <f>IF('🧾 Tributos Aduana'!$F$6=0,0,'🧾 Factura Comercial'!I423/'🧾 Tributos Aduana'!$F$6)</f>
        <v>0</v>
      </c>
      <c r="G419" s="278">
        <f>'🧾 Factura Comercial'!H423*'📋 Datos Generales'!$E$19</f>
        <v>0</v>
      </c>
      <c r="H419" s="278">
        <f>TABLA_BASE[[#This Row],[FOB UNIT.
(S/.)]]*TABLA_BASE[[#This Row],[CANTIDAD
(unid.)]]</f>
        <v>0</v>
      </c>
      <c r="I419" s="280">
        <f>IF('🧾 Tributos Aduana'!$F$6=0,0,'🧾 Tributos Aduana'!$F$17*('🧾 Factura Comercial'!H423/'🧾 Tributos Aduana'!$F$6))</f>
        <v>0</v>
      </c>
      <c r="J419" s="280">
        <f>TABLA_BASE[[#This Row],[ADV UNIT.
(US$)
⚠️COSTO]]*TABLA_BASE[[#This Row],[CANTIDAD
(unid.)]]</f>
        <v>0</v>
      </c>
      <c r="K419" s="279">
        <f>IF('🧾 Tributos Aduana'!$F$6=0,0,'🧾 Tributos Aduana'!$F$18*('🧾 Factura Comercial'!H423/'🧾 Tributos Aduana'!$F$6))</f>
        <v>0</v>
      </c>
      <c r="L419" s="280">
        <f>TABLA_BASE[[#This Row],[IPM UNIT.
(US$)
✅CF]]*TABLA_BASE[[#This Row],[CANTIDAD
(unid.)]]</f>
        <v>0</v>
      </c>
      <c r="M419" s="279">
        <f>IF('🧾 Tributos Aduana'!$F$6=0,0,'🧾 Tributos Aduana'!$F$19*('🧾 Factura Comercial'!H423/'🧾 Tributos Aduana'!$F$6))</f>
        <v>0</v>
      </c>
      <c r="N419" s="280">
        <f>TABLA_BASE[[#This Row],[IGV UNIT.
(US$)
✅CF]]*TABLA_BASE[[#This Row],[CANTIDAD
(unid.)]]</f>
        <v>0</v>
      </c>
      <c r="O419" s="280">
        <f>IF('🧾 Tributos Aduana'!$F$6=0,0,'🧾 Tributos Aduana'!$F$23*('🧾 Factura Comercial'!H423/'🧾 Tributos Aduana'!$F$6))</f>
        <v>0</v>
      </c>
      <c r="P419" s="280">
        <f>TABLA_BASE[[#This Row],[PERCEP.
UNIT.(US$)
✅CF]]*TABLA_BASE[[#This Row],[CANTIDAD
(unid.)]]</f>
        <v>0</v>
      </c>
      <c r="Q419" s="279">
        <f>TABLA_BASE[[#This Row],[ADV UNIT.
(US$)
⚠️COSTO]]+TABLA_BASE[[#This Row],[IPM UNIT.
(US$)
✅CF]]+TABLA_BASE[[#This Row],[IGV UNIT.
(US$)
✅CF]]</f>
        <v>0</v>
      </c>
      <c r="R419" s="280">
        <f>TABLA_BASE[[#This Row],[DEUDA
ADUANERA
UNIT.]]*TABLA_BASE[[#This Row],[CANTIDAD
(unid.)]]</f>
        <v>0</v>
      </c>
      <c r="S419" s="278">
        <f>TABLA_BASE[[#This Row],[DEUDA
ADUANERA
UNIT.]]*'📋 Datos Generales'!$E$19</f>
        <v>0</v>
      </c>
      <c r="T419" s="278">
        <f>TABLA_BASE[[#This Row],[DEUDA
ADUANERA
TOTAL]]*'📋 Datos Generales'!$E$19</f>
        <v>0</v>
      </c>
      <c r="U419" s="281">
        <f>TABLA_BASE[[#This Row],[ADV UNIT.
(US$)
⚠️COSTO]]*'📋 Datos Generales'!$E$19</f>
        <v>0</v>
      </c>
      <c r="V419" s="281">
        <f>TABLA_BASE[[#This Row],[ADV UNIT.
(S/.)]]*TABLA_BASE[[#This Row],[CANTIDAD
(unid.)]]</f>
        <v>0</v>
      </c>
      <c r="W419" s="281">
        <f>TABLA_BASE[[#This Row],[IPM UNIT.
(US$)
✅CF]]*'📋 Datos Generales'!$E$19</f>
        <v>0</v>
      </c>
      <c r="X419" s="281">
        <f>TABLA_BASE[[#This Row],[IPM UNIT.
(S/.)]]*TABLA_BASE[[#This Row],[CANTIDAD
(unid.)]]</f>
        <v>0</v>
      </c>
      <c r="Y419" s="281">
        <f>TABLA_BASE[[#This Row],[IGV UNIT.
(US$)
✅CF]]*'📋 Datos Generales'!$E$19</f>
        <v>0</v>
      </c>
      <c r="Z419" s="281">
        <f>TABLA_BASE[[#This Row],[IGV UNIT.
(S/.)]]*TABLA_BASE[[#This Row],[CANTIDAD
(unid.)]]</f>
        <v>0</v>
      </c>
      <c r="AA419" s="281">
        <f>TABLA_BASE[[#This Row],[PERCEP.
UNIT.(US$)
✅CF]]*'📋 Datos Generales'!$E$19</f>
        <v>0</v>
      </c>
      <c r="AB419" s="281">
        <f>TABLA_BASE[[#This Row],[PERCEP.
UNIT.(S/.)]]*TABLA_BASE[[#This Row],[CANTIDAD
(unid.)]]</f>
        <v>0</v>
      </c>
      <c r="AC419" s="279">
        <f>TABLA_BASE[[#This Row],[ADV UNIT.
(US$)
⚠️COSTO]]+TABLA_BASE[[#This Row],[IPM UNIT.
(US$)
✅CF]]+TABLA_BASE[[#This Row],[IGV UNIT.
(US$)
✅CF]]+TABLA_BASE[[#This Row],[PERCEP.
UNIT.(US$)
✅CF]]</f>
        <v>0</v>
      </c>
      <c r="AD419" s="279">
        <f>TABLA_BASE[[#This Row],[TOTAL PAGO
SUNAT
UNIT.(US$)]]*TABLA_BASE[[#This Row],[CANTIDAD
(unid.)]]</f>
        <v>0</v>
      </c>
      <c r="AE419" s="281">
        <f>TABLA_BASE[[#This Row],[TOTAL PAGO
SUNAT
UNIT.(US$)]]*'📋 Datos Generales'!$E$19</f>
        <v>0</v>
      </c>
      <c r="AF419" s="281">
        <f>TABLA_BASE[[#This Row],[TOTAL TRIB.
UNIT.(S/.)]]*TABLA_BASE[[#This Row],[CANTIDAD
(unid.)]]</f>
        <v>0</v>
      </c>
      <c r="AG419" s="279">
        <f>IF('🧾 Factura Comercial'!G423=0,0,'📦 Gastos Importación'!$E$28*(IF('🧾 Tributos Aduana'!$F$6=0,0,'🧾 Factura Comercial'!I423/'🧾 Tributos Aduana'!$F$6))/'🧾 Factura Comercial'!G423)</f>
        <v>0</v>
      </c>
      <c r="AH419" s="279">
        <f>TABLA_BASE[[#This Row],[GASTOS IMP.
UNIT.(US$)]]*TABLA_BASE[[#This Row],[CANTIDAD
(unid.)]]</f>
        <v>0</v>
      </c>
      <c r="AI419" s="281">
        <f>TABLA_BASE[[#This Row],[GASTOS IMP.
UNIT.(US$)]]*'📋 Datos Generales'!$E$19</f>
        <v>0</v>
      </c>
      <c r="AJ419" s="281">
        <f>TABLA_BASE[[#This Row],[GASTOS IMP.
UNIT.(S/.)]]*TABLA_BASE[[#This Row],[CANTIDAD
(unid.)]]</f>
        <v>0</v>
      </c>
      <c r="AK419" s="280">
        <f>'🧮 Costos x Producto'!J423</f>
        <v>0</v>
      </c>
      <c r="AL419" s="278">
        <f>'🧮 Costos x Producto'!K423</f>
        <v>0</v>
      </c>
      <c r="AM419" s="278">
        <f>TABLA_BASE[[#This Row],[C/M UNIT.
(S/.)]]*TABLA_BASE[[#This Row],[CANTIDAD
(unid.)]]</f>
        <v>0</v>
      </c>
      <c r="AN419" s="279">
        <f>IF('🧾 Factura Comercial'!G423=0,0,'🧾 Tributos Aduana'!$F$17*(IF('🧾 Tributos Aduana'!$F$6=0,0,'🧾 Factura Comercial'!I423/'🧾 Tributos Aduana'!$F$6))/'🧾 Factura Comercial'!G423)</f>
        <v>0</v>
      </c>
      <c r="AO419" s="280">
        <f>IF('🧾 Factura Comercial'!G423=0,0,'🏦 Crédito Fiscal'!$C$16*(IF('🧾 Tributos Aduana'!$F$6=0,0,'🧾 Factura Comercial'!I423/'🧾 Tributos Aduana'!$F$6))/'🧾 Factura Comercial'!G423)</f>
        <v>0</v>
      </c>
      <c r="AP419" s="278">
        <f>TABLA_BASE[[#This Row],[CF UNIT.
✅RECUP.
(US$)]]*'📋 Datos Generales'!$E$19</f>
        <v>0</v>
      </c>
      <c r="AQ419" s="278">
        <f>TABLA_BASE[[#This Row],[CF UNIT.
✅RECUP.(S/.)]]*TABLA_BASE[[#This Row],[CANTIDAD
(unid.)]]</f>
        <v>0</v>
      </c>
      <c r="AR419" s="288">
        <f>'💰 Precio de Venta'!G424</f>
        <v>0.4</v>
      </c>
      <c r="AS419" s="278">
        <f>'💰 Precio de Venta'!H424</f>
        <v>0</v>
      </c>
      <c r="AT419" s="278">
        <f>TABLA_BASE[[#This Row],[VALOR VTA.
UNIT.(S/.)]]*TABLA_BASE[[#This Row],[CANTIDAD
(unid.)]]</f>
        <v>0</v>
      </c>
      <c r="AU419" s="281">
        <f>'💰 Precio de Venta'!I424</f>
        <v>0</v>
      </c>
      <c r="AV419" s="278">
        <f>'💰 Precio de Venta'!J424</f>
        <v>0</v>
      </c>
      <c r="AW419" s="278">
        <f>TABLA_BASE[[#This Row],[GANANCIA
UNIT.(S/.)]]*TABLA_BASE[[#This Row],[CANTIDAD
(unid.)]]</f>
        <v>0</v>
      </c>
      <c r="AX419" s="289">
        <f>'💰 Precio de Venta'!K424</f>
        <v>0</v>
      </c>
      <c r="AY419" s="278">
        <f>TABLA_BASE[[#This Row],[GANANCIA
UNIT.(S/.)]]*'🧾 Factura Comercial'!G423</f>
        <v>0</v>
      </c>
      <c r="AZ419" s="277">
        <f>IF(TABLA_BASE[[#This Row],[PRECIO VTA.
c/IGV(S/.)]]=0,0,TABLA_BASE[[#This Row],[GANANCIA
UNIT.(S/.)]]/TABLA_BASE[[#This Row],[PRECIO VTA.
c/IGV(S/.)]])</f>
        <v>0</v>
      </c>
      <c r="BA419" s="277">
        <f>IF(TABLA_BASE[[#This Row],[C/M UNIT.
(S/.)]]=0,0,TABLA_BASE[[#This Row],[GANANCIA
UNIT.(S/.)]]/TABLA_BASE[[#This Row],[C/M UNIT.
(S/.)]])</f>
        <v>0</v>
      </c>
      <c r="BB419" s="274" t="str">
        <f>IF(TABLA_BASE[[#This Row],[MARGEN
%]]&gt;=0.5,"🟢 ALTO",IF(TABLA_BASE[[#This Row],[MARGEN
%]]&gt;=0.3,"🟡 MEDIO","🔴 BAJO"))</f>
        <v>🟡 MEDIO</v>
      </c>
    </row>
    <row r="420" spans="1:54" ht="16.5" hidden="1" thickTop="1" thickBot="1" x14ac:dyDescent="0.3">
      <c r="A420" s="274">
        <f>'🧾 Factura Comercial'!E424</f>
        <v>0</v>
      </c>
      <c r="B420" s="274" t="str">
        <f>'🧾 Factura Comercial'!F424</f>
        <v>Unid.</v>
      </c>
      <c r="C420" s="275">
        <f>'🧾 Factura Comercial'!G424</f>
        <v>0</v>
      </c>
      <c r="D420" s="276">
        <f>'🧾 Factura Comercial'!H424</f>
        <v>0</v>
      </c>
      <c r="E420" s="276">
        <f>'🧾 Factura Comercial'!I424</f>
        <v>0</v>
      </c>
      <c r="F420" s="277">
        <f>IF('🧾 Tributos Aduana'!$F$6=0,0,'🧾 Factura Comercial'!I424/'🧾 Tributos Aduana'!$F$6)</f>
        <v>0</v>
      </c>
      <c r="G420" s="278">
        <f>'🧾 Factura Comercial'!H424*'📋 Datos Generales'!$E$19</f>
        <v>0</v>
      </c>
      <c r="H420" s="278">
        <f>TABLA_BASE[[#This Row],[FOB UNIT.
(S/.)]]*TABLA_BASE[[#This Row],[CANTIDAD
(unid.)]]</f>
        <v>0</v>
      </c>
      <c r="I420" s="280">
        <f>IF('🧾 Tributos Aduana'!$F$6=0,0,'🧾 Tributos Aduana'!$F$17*('🧾 Factura Comercial'!H424/'🧾 Tributos Aduana'!$F$6))</f>
        <v>0</v>
      </c>
      <c r="J420" s="280">
        <f>TABLA_BASE[[#This Row],[ADV UNIT.
(US$)
⚠️COSTO]]*TABLA_BASE[[#This Row],[CANTIDAD
(unid.)]]</f>
        <v>0</v>
      </c>
      <c r="K420" s="279">
        <f>IF('🧾 Tributos Aduana'!$F$6=0,0,'🧾 Tributos Aduana'!$F$18*('🧾 Factura Comercial'!H424/'🧾 Tributos Aduana'!$F$6))</f>
        <v>0</v>
      </c>
      <c r="L420" s="280">
        <f>TABLA_BASE[[#This Row],[IPM UNIT.
(US$)
✅CF]]*TABLA_BASE[[#This Row],[CANTIDAD
(unid.)]]</f>
        <v>0</v>
      </c>
      <c r="M420" s="279">
        <f>IF('🧾 Tributos Aduana'!$F$6=0,0,'🧾 Tributos Aduana'!$F$19*('🧾 Factura Comercial'!H424/'🧾 Tributos Aduana'!$F$6))</f>
        <v>0</v>
      </c>
      <c r="N420" s="280">
        <f>TABLA_BASE[[#This Row],[IGV UNIT.
(US$)
✅CF]]*TABLA_BASE[[#This Row],[CANTIDAD
(unid.)]]</f>
        <v>0</v>
      </c>
      <c r="O420" s="280">
        <f>IF('🧾 Tributos Aduana'!$F$6=0,0,'🧾 Tributos Aduana'!$F$23*('🧾 Factura Comercial'!H424/'🧾 Tributos Aduana'!$F$6))</f>
        <v>0</v>
      </c>
      <c r="P420" s="280">
        <f>TABLA_BASE[[#This Row],[PERCEP.
UNIT.(US$)
✅CF]]*TABLA_BASE[[#This Row],[CANTIDAD
(unid.)]]</f>
        <v>0</v>
      </c>
      <c r="Q420" s="279">
        <f>TABLA_BASE[[#This Row],[ADV UNIT.
(US$)
⚠️COSTO]]+TABLA_BASE[[#This Row],[IPM UNIT.
(US$)
✅CF]]+TABLA_BASE[[#This Row],[IGV UNIT.
(US$)
✅CF]]</f>
        <v>0</v>
      </c>
      <c r="R420" s="280">
        <f>TABLA_BASE[[#This Row],[DEUDA
ADUANERA
UNIT.]]*TABLA_BASE[[#This Row],[CANTIDAD
(unid.)]]</f>
        <v>0</v>
      </c>
      <c r="S420" s="278">
        <f>TABLA_BASE[[#This Row],[DEUDA
ADUANERA
UNIT.]]*'📋 Datos Generales'!$E$19</f>
        <v>0</v>
      </c>
      <c r="T420" s="278">
        <f>TABLA_BASE[[#This Row],[DEUDA
ADUANERA
TOTAL]]*'📋 Datos Generales'!$E$19</f>
        <v>0</v>
      </c>
      <c r="U420" s="281">
        <f>TABLA_BASE[[#This Row],[ADV UNIT.
(US$)
⚠️COSTO]]*'📋 Datos Generales'!$E$19</f>
        <v>0</v>
      </c>
      <c r="V420" s="281">
        <f>TABLA_BASE[[#This Row],[ADV UNIT.
(S/.)]]*TABLA_BASE[[#This Row],[CANTIDAD
(unid.)]]</f>
        <v>0</v>
      </c>
      <c r="W420" s="281">
        <f>TABLA_BASE[[#This Row],[IPM UNIT.
(US$)
✅CF]]*'📋 Datos Generales'!$E$19</f>
        <v>0</v>
      </c>
      <c r="X420" s="281">
        <f>TABLA_BASE[[#This Row],[IPM UNIT.
(S/.)]]*TABLA_BASE[[#This Row],[CANTIDAD
(unid.)]]</f>
        <v>0</v>
      </c>
      <c r="Y420" s="281">
        <f>TABLA_BASE[[#This Row],[IGV UNIT.
(US$)
✅CF]]*'📋 Datos Generales'!$E$19</f>
        <v>0</v>
      </c>
      <c r="Z420" s="281">
        <f>TABLA_BASE[[#This Row],[IGV UNIT.
(S/.)]]*TABLA_BASE[[#This Row],[CANTIDAD
(unid.)]]</f>
        <v>0</v>
      </c>
      <c r="AA420" s="281">
        <f>TABLA_BASE[[#This Row],[PERCEP.
UNIT.(US$)
✅CF]]*'📋 Datos Generales'!$E$19</f>
        <v>0</v>
      </c>
      <c r="AB420" s="281">
        <f>TABLA_BASE[[#This Row],[PERCEP.
UNIT.(S/.)]]*TABLA_BASE[[#This Row],[CANTIDAD
(unid.)]]</f>
        <v>0</v>
      </c>
      <c r="AC420" s="279">
        <f>TABLA_BASE[[#This Row],[ADV UNIT.
(US$)
⚠️COSTO]]+TABLA_BASE[[#This Row],[IPM UNIT.
(US$)
✅CF]]+TABLA_BASE[[#This Row],[IGV UNIT.
(US$)
✅CF]]+TABLA_BASE[[#This Row],[PERCEP.
UNIT.(US$)
✅CF]]</f>
        <v>0</v>
      </c>
      <c r="AD420" s="279">
        <f>TABLA_BASE[[#This Row],[TOTAL PAGO
SUNAT
UNIT.(US$)]]*TABLA_BASE[[#This Row],[CANTIDAD
(unid.)]]</f>
        <v>0</v>
      </c>
      <c r="AE420" s="281">
        <f>TABLA_BASE[[#This Row],[TOTAL PAGO
SUNAT
UNIT.(US$)]]*'📋 Datos Generales'!$E$19</f>
        <v>0</v>
      </c>
      <c r="AF420" s="281">
        <f>TABLA_BASE[[#This Row],[TOTAL TRIB.
UNIT.(S/.)]]*TABLA_BASE[[#This Row],[CANTIDAD
(unid.)]]</f>
        <v>0</v>
      </c>
      <c r="AG420" s="279">
        <f>IF('🧾 Factura Comercial'!G424=0,0,'📦 Gastos Importación'!$E$28*(IF('🧾 Tributos Aduana'!$F$6=0,0,'🧾 Factura Comercial'!I424/'🧾 Tributos Aduana'!$F$6))/'🧾 Factura Comercial'!G424)</f>
        <v>0</v>
      </c>
      <c r="AH420" s="279">
        <f>TABLA_BASE[[#This Row],[GASTOS IMP.
UNIT.(US$)]]*TABLA_BASE[[#This Row],[CANTIDAD
(unid.)]]</f>
        <v>0</v>
      </c>
      <c r="AI420" s="281">
        <f>TABLA_BASE[[#This Row],[GASTOS IMP.
UNIT.(US$)]]*'📋 Datos Generales'!$E$19</f>
        <v>0</v>
      </c>
      <c r="AJ420" s="281">
        <f>TABLA_BASE[[#This Row],[GASTOS IMP.
UNIT.(S/.)]]*TABLA_BASE[[#This Row],[CANTIDAD
(unid.)]]</f>
        <v>0</v>
      </c>
      <c r="AK420" s="280">
        <f>'🧮 Costos x Producto'!J424</f>
        <v>0</v>
      </c>
      <c r="AL420" s="278">
        <f>'🧮 Costos x Producto'!K424</f>
        <v>0</v>
      </c>
      <c r="AM420" s="278">
        <f>TABLA_BASE[[#This Row],[C/M UNIT.
(S/.)]]*TABLA_BASE[[#This Row],[CANTIDAD
(unid.)]]</f>
        <v>0</v>
      </c>
      <c r="AN420" s="279">
        <f>IF('🧾 Factura Comercial'!G424=0,0,'🧾 Tributos Aduana'!$F$17*(IF('🧾 Tributos Aduana'!$F$6=0,0,'🧾 Factura Comercial'!I424/'🧾 Tributos Aduana'!$F$6))/'🧾 Factura Comercial'!G424)</f>
        <v>0</v>
      </c>
      <c r="AO420" s="280">
        <f>IF('🧾 Factura Comercial'!G424=0,0,'🏦 Crédito Fiscal'!$C$16*(IF('🧾 Tributos Aduana'!$F$6=0,0,'🧾 Factura Comercial'!I424/'🧾 Tributos Aduana'!$F$6))/'🧾 Factura Comercial'!G424)</f>
        <v>0</v>
      </c>
      <c r="AP420" s="278">
        <f>TABLA_BASE[[#This Row],[CF UNIT.
✅RECUP.
(US$)]]*'📋 Datos Generales'!$E$19</f>
        <v>0</v>
      </c>
      <c r="AQ420" s="278">
        <f>TABLA_BASE[[#This Row],[CF UNIT.
✅RECUP.(S/.)]]*TABLA_BASE[[#This Row],[CANTIDAD
(unid.)]]</f>
        <v>0</v>
      </c>
      <c r="AR420" s="288">
        <f>'💰 Precio de Venta'!G425</f>
        <v>0.4</v>
      </c>
      <c r="AS420" s="278">
        <f>'💰 Precio de Venta'!H425</f>
        <v>0</v>
      </c>
      <c r="AT420" s="278">
        <f>TABLA_BASE[[#This Row],[VALOR VTA.
UNIT.(S/.)]]*TABLA_BASE[[#This Row],[CANTIDAD
(unid.)]]</f>
        <v>0</v>
      </c>
      <c r="AU420" s="281">
        <f>'💰 Precio de Venta'!I425</f>
        <v>0</v>
      </c>
      <c r="AV420" s="278">
        <f>'💰 Precio de Venta'!J425</f>
        <v>0</v>
      </c>
      <c r="AW420" s="278">
        <f>TABLA_BASE[[#This Row],[GANANCIA
UNIT.(S/.)]]*TABLA_BASE[[#This Row],[CANTIDAD
(unid.)]]</f>
        <v>0</v>
      </c>
      <c r="AX420" s="289">
        <f>'💰 Precio de Venta'!K425</f>
        <v>0</v>
      </c>
      <c r="AY420" s="278">
        <f>TABLA_BASE[[#This Row],[GANANCIA
UNIT.(S/.)]]*'🧾 Factura Comercial'!G424</f>
        <v>0</v>
      </c>
      <c r="AZ420" s="277">
        <f>IF(TABLA_BASE[[#This Row],[PRECIO VTA.
c/IGV(S/.)]]=0,0,TABLA_BASE[[#This Row],[GANANCIA
UNIT.(S/.)]]/TABLA_BASE[[#This Row],[PRECIO VTA.
c/IGV(S/.)]])</f>
        <v>0</v>
      </c>
      <c r="BA420" s="277">
        <f>IF(TABLA_BASE[[#This Row],[C/M UNIT.
(S/.)]]=0,0,TABLA_BASE[[#This Row],[GANANCIA
UNIT.(S/.)]]/TABLA_BASE[[#This Row],[C/M UNIT.
(S/.)]])</f>
        <v>0</v>
      </c>
      <c r="BB420" s="274" t="str">
        <f>IF(TABLA_BASE[[#This Row],[MARGEN
%]]&gt;=0.5,"🟢 ALTO",IF(TABLA_BASE[[#This Row],[MARGEN
%]]&gt;=0.3,"🟡 MEDIO","🔴 BAJO"))</f>
        <v>🟡 MEDIO</v>
      </c>
    </row>
    <row r="421" spans="1:54" ht="16.5" hidden="1" thickTop="1" thickBot="1" x14ac:dyDescent="0.3">
      <c r="A421" s="274">
        <f>'🧾 Factura Comercial'!E425</f>
        <v>0</v>
      </c>
      <c r="B421" s="274" t="str">
        <f>'🧾 Factura Comercial'!F425</f>
        <v>Unid.</v>
      </c>
      <c r="C421" s="275">
        <f>'🧾 Factura Comercial'!G425</f>
        <v>0</v>
      </c>
      <c r="D421" s="276">
        <f>'🧾 Factura Comercial'!H425</f>
        <v>0</v>
      </c>
      <c r="E421" s="276">
        <f>'🧾 Factura Comercial'!I425</f>
        <v>0</v>
      </c>
      <c r="F421" s="277">
        <f>IF('🧾 Tributos Aduana'!$F$6=0,0,'🧾 Factura Comercial'!I425/'🧾 Tributos Aduana'!$F$6)</f>
        <v>0</v>
      </c>
      <c r="G421" s="278">
        <f>'🧾 Factura Comercial'!H425*'📋 Datos Generales'!$E$19</f>
        <v>0</v>
      </c>
      <c r="H421" s="278">
        <f>TABLA_BASE[[#This Row],[FOB UNIT.
(S/.)]]*TABLA_BASE[[#This Row],[CANTIDAD
(unid.)]]</f>
        <v>0</v>
      </c>
      <c r="I421" s="280">
        <f>IF('🧾 Tributos Aduana'!$F$6=0,0,'🧾 Tributos Aduana'!$F$17*('🧾 Factura Comercial'!H425/'🧾 Tributos Aduana'!$F$6))</f>
        <v>0</v>
      </c>
      <c r="J421" s="280">
        <f>TABLA_BASE[[#This Row],[ADV UNIT.
(US$)
⚠️COSTO]]*TABLA_BASE[[#This Row],[CANTIDAD
(unid.)]]</f>
        <v>0</v>
      </c>
      <c r="K421" s="279">
        <f>IF('🧾 Tributos Aduana'!$F$6=0,0,'🧾 Tributos Aduana'!$F$18*('🧾 Factura Comercial'!H425/'🧾 Tributos Aduana'!$F$6))</f>
        <v>0</v>
      </c>
      <c r="L421" s="280">
        <f>TABLA_BASE[[#This Row],[IPM UNIT.
(US$)
✅CF]]*TABLA_BASE[[#This Row],[CANTIDAD
(unid.)]]</f>
        <v>0</v>
      </c>
      <c r="M421" s="279">
        <f>IF('🧾 Tributos Aduana'!$F$6=0,0,'🧾 Tributos Aduana'!$F$19*('🧾 Factura Comercial'!H425/'🧾 Tributos Aduana'!$F$6))</f>
        <v>0</v>
      </c>
      <c r="N421" s="280">
        <f>TABLA_BASE[[#This Row],[IGV UNIT.
(US$)
✅CF]]*TABLA_BASE[[#This Row],[CANTIDAD
(unid.)]]</f>
        <v>0</v>
      </c>
      <c r="O421" s="280">
        <f>IF('🧾 Tributos Aduana'!$F$6=0,0,'🧾 Tributos Aduana'!$F$23*('🧾 Factura Comercial'!H425/'🧾 Tributos Aduana'!$F$6))</f>
        <v>0</v>
      </c>
      <c r="P421" s="280">
        <f>TABLA_BASE[[#This Row],[PERCEP.
UNIT.(US$)
✅CF]]*TABLA_BASE[[#This Row],[CANTIDAD
(unid.)]]</f>
        <v>0</v>
      </c>
      <c r="Q421" s="279">
        <f>TABLA_BASE[[#This Row],[ADV UNIT.
(US$)
⚠️COSTO]]+TABLA_BASE[[#This Row],[IPM UNIT.
(US$)
✅CF]]+TABLA_BASE[[#This Row],[IGV UNIT.
(US$)
✅CF]]</f>
        <v>0</v>
      </c>
      <c r="R421" s="280">
        <f>TABLA_BASE[[#This Row],[DEUDA
ADUANERA
UNIT.]]*TABLA_BASE[[#This Row],[CANTIDAD
(unid.)]]</f>
        <v>0</v>
      </c>
      <c r="S421" s="278">
        <f>TABLA_BASE[[#This Row],[DEUDA
ADUANERA
UNIT.]]*'📋 Datos Generales'!$E$19</f>
        <v>0</v>
      </c>
      <c r="T421" s="278">
        <f>TABLA_BASE[[#This Row],[DEUDA
ADUANERA
TOTAL]]*'📋 Datos Generales'!$E$19</f>
        <v>0</v>
      </c>
      <c r="U421" s="281">
        <f>TABLA_BASE[[#This Row],[ADV UNIT.
(US$)
⚠️COSTO]]*'📋 Datos Generales'!$E$19</f>
        <v>0</v>
      </c>
      <c r="V421" s="281">
        <f>TABLA_BASE[[#This Row],[ADV UNIT.
(S/.)]]*TABLA_BASE[[#This Row],[CANTIDAD
(unid.)]]</f>
        <v>0</v>
      </c>
      <c r="W421" s="281">
        <f>TABLA_BASE[[#This Row],[IPM UNIT.
(US$)
✅CF]]*'📋 Datos Generales'!$E$19</f>
        <v>0</v>
      </c>
      <c r="X421" s="281">
        <f>TABLA_BASE[[#This Row],[IPM UNIT.
(S/.)]]*TABLA_BASE[[#This Row],[CANTIDAD
(unid.)]]</f>
        <v>0</v>
      </c>
      <c r="Y421" s="281">
        <f>TABLA_BASE[[#This Row],[IGV UNIT.
(US$)
✅CF]]*'📋 Datos Generales'!$E$19</f>
        <v>0</v>
      </c>
      <c r="Z421" s="281">
        <f>TABLA_BASE[[#This Row],[IGV UNIT.
(S/.)]]*TABLA_BASE[[#This Row],[CANTIDAD
(unid.)]]</f>
        <v>0</v>
      </c>
      <c r="AA421" s="281">
        <f>TABLA_BASE[[#This Row],[PERCEP.
UNIT.(US$)
✅CF]]*'📋 Datos Generales'!$E$19</f>
        <v>0</v>
      </c>
      <c r="AB421" s="281">
        <f>TABLA_BASE[[#This Row],[PERCEP.
UNIT.(S/.)]]*TABLA_BASE[[#This Row],[CANTIDAD
(unid.)]]</f>
        <v>0</v>
      </c>
      <c r="AC421" s="279">
        <f>TABLA_BASE[[#This Row],[ADV UNIT.
(US$)
⚠️COSTO]]+TABLA_BASE[[#This Row],[IPM UNIT.
(US$)
✅CF]]+TABLA_BASE[[#This Row],[IGV UNIT.
(US$)
✅CF]]+TABLA_BASE[[#This Row],[PERCEP.
UNIT.(US$)
✅CF]]</f>
        <v>0</v>
      </c>
      <c r="AD421" s="279">
        <f>TABLA_BASE[[#This Row],[TOTAL PAGO
SUNAT
UNIT.(US$)]]*TABLA_BASE[[#This Row],[CANTIDAD
(unid.)]]</f>
        <v>0</v>
      </c>
      <c r="AE421" s="281">
        <f>TABLA_BASE[[#This Row],[TOTAL PAGO
SUNAT
UNIT.(US$)]]*'📋 Datos Generales'!$E$19</f>
        <v>0</v>
      </c>
      <c r="AF421" s="281">
        <f>TABLA_BASE[[#This Row],[TOTAL TRIB.
UNIT.(S/.)]]*TABLA_BASE[[#This Row],[CANTIDAD
(unid.)]]</f>
        <v>0</v>
      </c>
      <c r="AG421" s="279">
        <f>IF('🧾 Factura Comercial'!G425=0,0,'📦 Gastos Importación'!$E$28*(IF('🧾 Tributos Aduana'!$F$6=0,0,'🧾 Factura Comercial'!I425/'🧾 Tributos Aduana'!$F$6))/'🧾 Factura Comercial'!G425)</f>
        <v>0</v>
      </c>
      <c r="AH421" s="279">
        <f>TABLA_BASE[[#This Row],[GASTOS IMP.
UNIT.(US$)]]*TABLA_BASE[[#This Row],[CANTIDAD
(unid.)]]</f>
        <v>0</v>
      </c>
      <c r="AI421" s="281">
        <f>TABLA_BASE[[#This Row],[GASTOS IMP.
UNIT.(US$)]]*'📋 Datos Generales'!$E$19</f>
        <v>0</v>
      </c>
      <c r="AJ421" s="281">
        <f>TABLA_BASE[[#This Row],[GASTOS IMP.
UNIT.(S/.)]]*TABLA_BASE[[#This Row],[CANTIDAD
(unid.)]]</f>
        <v>0</v>
      </c>
      <c r="AK421" s="280">
        <f>'🧮 Costos x Producto'!J425</f>
        <v>0</v>
      </c>
      <c r="AL421" s="278">
        <f>'🧮 Costos x Producto'!K425</f>
        <v>0</v>
      </c>
      <c r="AM421" s="278">
        <f>TABLA_BASE[[#This Row],[C/M UNIT.
(S/.)]]*TABLA_BASE[[#This Row],[CANTIDAD
(unid.)]]</f>
        <v>0</v>
      </c>
      <c r="AN421" s="279">
        <f>IF('🧾 Factura Comercial'!G425=0,0,'🧾 Tributos Aduana'!$F$17*(IF('🧾 Tributos Aduana'!$F$6=0,0,'🧾 Factura Comercial'!I425/'🧾 Tributos Aduana'!$F$6))/'🧾 Factura Comercial'!G425)</f>
        <v>0</v>
      </c>
      <c r="AO421" s="280">
        <f>IF('🧾 Factura Comercial'!G425=0,0,'🏦 Crédito Fiscal'!$C$16*(IF('🧾 Tributos Aduana'!$F$6=0,0,'🧾 Factura Comercial'!I425/'🧾 Tributos Aduana'!$F$6))/'🧾 Factura Comercial'!G425)</f>
        <v>0</v>
      </c>
      <c r="AP421" s="278">
        <f>TABLA_BASE[[#This Row],[CF UNIT.
✅RECUP.
(US$)]]*'📋 Datos Generales'!$E$19</f>
        <v>0</v>
      </c>
      <c r="AQ421" s="278">
        <f>TABLA_BASE[[#This Row],[CF UNIT.
✅RECUP.(S/.)]]*TABLA_BASE[[#This Row],[CANTIDAD
(unid.)]]</f>
        <v>0</v>
      </c>
      <c r="AR421" s="288">
        <f>'💰 Precio de Venta'!G426</f>
        <v>0.4</v>
      </c>
      <c r="AS421" s="278">
        <f>'💰 Precio de Venta'!H426</f>
        <v>0</v>
      </c>
      <c r="AT421" s="278">
        <f>TABLA_BASE[[#This Row],[VALOR VTA.
UNIT.(S/.)]]*TABLA_BASE[[#This Row],[CANTIDAD
(unid.)]]</f>
        <v>0</v>
      </c>
      <c r="AU421" s="281">
        <f>'💰 Precio de Venta'!I426</f>
        <v>0</v>
      </c>
      <c r="AV421" s="278">
        <f>'💰 Precio de Venta'!J426</f>
        <v>0</v>
      </c>
      <c r="AW421" s="278">
        <f>TABLA_BASE[[#This Row],[GANANCIA
UNIT.(S/.)]]*TABLA_BASE[[#This Row],[CANTIDAD
(unid.)]]</f>
        <v>0</v>
      </c>
      <c r="AX421" s="289">
        <f>'💰 Precio de Venta'!K426</f>
        <v>0</v>
      </c>
      <c r="AY421" s="278">
        <f>TABLA_BASE[[#This Row],[GANANCIA
UNIT.(S/.)]]*'🧾 Factura Comercial'!G425</f>
        <v>0</v>
      </c>
      <c r="AZ421" s="277">
        <f>IF(TABLA_BASE[[#This Row],[PRECIO VTA.
c/IGV(S/.)]]=0,0,TABLA_BASE[[#This Row],[GANANCIA
UNIT.(S/.)]]/TABLA_BASE[[#This Row],[PRECIO VTA.
c/IGV(S/.)]])</f>
        <v>0</v>
      </c>
      <c r="BA421" s="277">
        <f>IF(TABLA_BASE[[#This Row],[C/M UNIT.
(S/.)]]=0,0,TABLA_BASE[[#This Row],[GANANCIA
UNIT.(S/.)]]/TABLA_BASE[[#This Row],[C/M UNIT.
(S/.)]])</f>
        <v>0</v>
      </c>
      <c r="BB421" s="274" t="str">
        <f>IF(TABLA_BASE[[#This Row],[MARGEN
%]]&gt;=0.5,"🟢 ALTO",IF(TABLA_BASE[[#This Row],[MARGEN
%]]&gt;=0.3,"🟡 MEDIO","🔴 BAJO"))</f>
        <v>🟡 MEDIO</v>
      </c>
    </row>
    <row r="422" spans="1:54" ht="16.5" hidden="1" thickTop="1" thickBot="1" x14ac:dyDescent="0.3">
      <c r="A422" s="274">
        <f>'🧾 Factura Comercial'!E426</f>
        <v>0</v>
      </c>
      <c r="B422" s="274" t="str">
        <f>'🧾 Factura Comercial'!F426</f>
        <v>Unid.</v>
      </c>
      <c r="C422" s="275">
        <f>'🧾 Factura Comercial'!G426</f>
        <v>0</v>
      </c>
      <c r="D422" s="276">
        <f>'🧾 Factura Comercial'!H426</f>
        <v>0</v>
      </c>
      <c r="E422" s="276">
        <f>'🧾 Factura Comercial'!I426</f>
        <v>0</v>
      </c>
      <c r="F422" s="277">
        <f>IF('🧾 Tributos Aduana'!$F$6=0,0,'🧾 Factura Comercial'!I426/'🧾 Tributos Aduana'!$F$6)</f>
        <v>0</v>
      </c>
      <c r="G422" s="278">
        <f>'🧾 Factura Comercial'!H426*'📋 Datos Generales'!$E$19</f>
        <v>0</v>
      </c>
      <c r="H422" s="278">
        <f>TABLA_BASE[[#This Row],[FOB UNIT.
(S/.)]]*TABLA_BASE[[#This Row],[CANTIDAD
(unid.)]]</f>
        <v>0</v>
      </c>
      <c r="I422" s="280">
        <f>IF('🧾 Tributos Aduana'!$F$6=0,0,'🧾 Tributos Aduana'!$F$17*('🧾 Factura Comercial'!H426/'🧾 Tributos Aduana'!$F$6))</f>
        <v>0</v>
      </c>
      <c r="J422" s="280">
        <f>TABLA_BASE[[#This Row],[ADV UNIT.
(US$)
⚠️COSTO]]*TABLA_BASE[[#This Row],[CANTIDAD
(unid.)]]</f>
        <v>0</v>
      </c>
      <c r="K422" s="279">
        <f>IF('🧾 Tributos Aduana'!$F$6=0,0,'🧾 Tributos Aduana'!$F$18*('🧾 Factura Comercial'!H426/'🧾 Tributos Aduana'!$F$6))</f>
        <v>0</v>
      </c>
      <c r="L422" s="280">
        <f>TABLA_BASE[[#This Row],[IPM UNIT.
(US$)
✅CF]]*TABLA_BASE[[#This Row],[CANTIDAD
(unid.)]]</f>
        <v>0</v>
      </c>
      <c r="M422" s="279">
        <f>IF('🧾 Tributos Aduana'!$F$6=0,0,'🧾 Tributos Aduana'!$F$19*('🧾 Factura Comercial'!H426/'🧾 Tributos Aduana'!$F$6))</f>
        <v>0</v>
      </c>
      <c r="N422" s="280">
        <f>TABLA_BASE[[#This Row],[IGV UNIT.
(US$)
✅CF]]*TABLA_BASE[[#This Row],[CANTIDAD
(unid.)]]</f>
        <v>0</v>
      </c>
      <c r="O422" s="280">
        <f>IF('🧾 Tributos Aduana'!$F$6=0,0,'🧾 Tributos Aduana'!$F$23*('🧾 Factura Comercial'!H426/'🧾 Tributos Aduana'!$F$6))</f>
        <v>0</v>
      </c>
      <c r="P422" s="280">
        <f>TABLA_BASE[[#This Row],[PERCEP.
UNIT.(US$)
✅CF]]*TABLA_BASE[[#This Row],[CANTIDAD
(unid.)]]</f>
        <v>0</v>
      </c>
      <c r="Q422" s="279">
        <f>TABLA_BASE[[#This Row],[ADV UNIT.
(US$)
⚠️COSTO]]+TABLA_BASE[[#This Row],[IPM UNIT.
(US$)
✅CF]]+TABLA_BASE[[#This Row],[IGV UNIT.
(US$)
✅CF]]</f>
        <v>0</v>
      </c>
      <c r="R422" s="280">
        <f>TABLA_BASE[[#This Row],[DEUDA
ADUANERA
UNIT.]]*TABLA_BASE[[#This Row],[CANTIDAD
(unid.)]]</f>
        <v>0</v>
      </c>
      <c r="S422" s="278">
        <f>TABLA_BASE[[#This Row],[DEUDA
ADUANERA
UNIT.]]*'📋 Datos Generales'!$E$19</f>
        <v>0</v>
      </c>
      <c r="T422" s="278">
        <f>TABLA_BASE[[#This Row],[DEUDA
ADUANERA
TOTAL]]*'📋 Datos Generales'!$E$19</f>
        <v>0</v>
      </c>
      <c r="U422" s="281">
        <f>TABLA_BASE[[#This Row],[ADV UNIT.
(US$)
⚠️COSTO]]*'📋 Datos Generales'!$E$19</f>
        <v>0</v>
      </c>
      <c r="V422" s="281">
        <f>TABLA_BASE[[#This Row],[ADV UNIT.
(S/.)]]*TABLA_BASE[[#This Row],[CANTIDAD
(unid.)]]</f>
        <v>0</v>
      </c>
      <c r="W422" s="281">
        <f>TABLA_BASE[[#This Row],[IPM UNIT.
(US$)
✅CF]]*'📋 Datos Generales'!$E$19</f>
        <v>0</v>
      </c>
      <c r="X422" s="281">
        <f>TABLA_BASE[[#This Row],[IPM UNIT.
(S/.)]]*TABLA_BASE[[#This Row],[CANTIDAD
(unid.)]]</f>
        <v>0</v>
      </c>
      <c r="Y422" s="281">
        <f>TABLA_BASE[[#This Row],[IGV UNIT.
(US$)
✅CF]]*'📋 Datos Generales'!$E$19</f>
        <v>0</v>
      </c>
      <c r="Z422" s="281">
        <f>TABLA_BASE[[#This Row],[IGV UNIT.
(S/.)]]*TABLA_BASE[[#This Row],[CANTIDAD
(unid.)]]</f>
        <v>0</v>
      </c>
      <c r="AA422" s="281">
        <f>TABLA_BASE[[#This Row],[PERCEP.
UNIT.(US$)
✅CF]]*'📋 Datos Generales'!$E$19</f>
        <v>0</v>
      </c>
      <c r="AB422" s="281">
        <f>TABLA_BASE[[#This Row],[PERCEP.
UNIT.(S/.)]]*TABLA_BASE[[#This Row],[CANTIDAD
(unid.)]]</f>
        <v>0</v>
      </c>
      <c r="AC422" s="279">
        <f>TABLA_BASE[[#This Row],[ADV UNIT.
(US$)
⚠️COSTO]]+TABLA_BASE[[#This Row],[IPM UNIT.
(US$)
✅CF]]+TABLA_BASE[[#This Row],[IGV UNIT.
(US$)
✅CF]]+TABLA_BASE[[#This Row],[PERCEP.
UNIT.(US$)
✅CF]]</f>
        <v>0</v>
      </c>
      <c r="AD422" s="279">
        <f>TABLA_BASE[[#This Row],[TOTAL PAGO
SUNAT
UNIT.(US$)]]*TABLA_BASE[[#This Row],[CANTIDAD
(unid.)]]</f>
        <v>0</v>
      </c>
      <c r="AE422" s="281">
        <f>TABLA_BASE[[#This Row],[TOTAL PAGO
SUNAT
UNIT.(US$)]]*'📋 Datos Generales'!$E$19</f>
        <v>0</v>
      </c>
      <c r="AF422" s="281">
        <f>TABLA_BASE[[#This Row],[TOTAL TRIB.
UNIT.(S/.)]]*TABLA_BASE[[#This Row],[CANTIDAD
(unid.)]]</f>
        <v>0</v>
      </c>
      <c r="AG422" s="279">
        <f>IF('🧾 Factura Comercial'!G426=0,0,'📦 Gastos Importación'!$E$28*(IF('🧾 Tributos Aduana'!$F$6=0,0,'🧾 Factura Comercial'!I426/'🧾 Tributos Aduana'!$F$6))/'🧾 Factura Comercial'!G426)</f>
        <v>0</v>
      </c>
      <c r="AH422" s="279">
        <f>TABLA_BASE[[#This Row],[GASTOS IMP.
UNIT.(US$)]]*TABLA_BASE[[#This Row],[CANTIDAD
(unid.)]]</f>
        <v>0</v>
      </c>
      <c r="AI422" s="281">
        <f>TABLA_BASE[[#This Row],[GASTOS IMP.
UNIT.(US$)]]*'📋 Datos Generales'!$E$19</f>
        <v>0</v>
      </c>
      <c r="AJ422" s="281">
        <f>TABLA_BASE[[#This Row],[GASTOS IMP.
UNIT.(S/.)]]*TABLA_BASE[[#This Row],[CANTIDAD
(unid.)]]</f>
        <v>0</v>
      </c>
      <c r="AK422" s="280">
        <f>'🧮 Costos x Producto'!J426</f>
        <v>0</v>
      </c>
      <c r="AL422" s="278">
        <f>'🧮 Costos x Producto'!K426</f>
        <v>0</v>
      </c>
      <c r="AM422" s="278">
        <f>TABLA_BASE[[#This Row],[C/M UNIT.
(S/.)]]*TABLA_BASE[[#This Row],[CANTIDAD
(unid.)]]</f>
        <v>0</v>
      </c>
      <c r="AN422" s="279">
        <f>IF('🧾 Factura Comercial'!G426=0,0,'🧾 Tributos Aduana'!$F$17*(IF('🧾 Tributos Aduana'!$F$6=0,0,'🧾 Factura Comercial'!I426/'🧾 Tributos Aduana'!$F$6))/'🧾 Factura Comercial'!G426)</f>
        <v>0</v>
      </c>
      <c r="AO422" s="280">
        <f>IF('🧾 Factura Comercial'!G426=0,0,'🏦 Crédito Fiscal'!$C$16*(IF('🧾 Tributos Aduana'!$F$6=0,0,'🧾 Factura Comercial'!I426/'🧾 Tributos Aduana'!$F$6))/'🧾 Factura Comercial'!G426)</f>
        <v>0</v>
      </c>
      <c r="AP422" s="278">
        <f>TABLA_BASE[[#This Row],[CF UNIT.
✅RECUP.
(US$)]]*'📋 Datos Generales'!$E$19</f>
        <v>0</v>
      </c>
      <c r="AQ422" s="278">
        <f>TABLA_BASE[[#This Row],[CF UNIT.
✅RECUP.(S/.)]]*TABLA_BASE[[#This Row],[CANTIDAD
(unid.)]]</f>
        <v>0</v>
      </c>
      <c r="AR422" s="288">
        <f>'💰 Precio de Venta'!G427</f>
        <v>0.4</v>
      </c>
      <c r="AS422" s="278">
        <f>'💰 Precio de Venta'!H427</f>
        <v>0</v>
      </c>
      <c r="AT422" s="278">
        <f>TABLA_BASE[[#This Row],[VALOR VTA.
UNIT.(S/.)]]*TABLA_BASE[[#This Row],[CANTIDAD
(unid.)]]</f>
        <v>0</v>
      </c>
      <c r="AU422" s="281">
        <f>'💰 Precio de Venta'!I427</f>
        <v>0</v>
      </c>
      <c r="AV422" s="278">
        <f>'💰 Precio de Venta'!J427</f>
        <v>0</v>
      </c>
      <c r="AW422" s="278">
        <f>TABLA_BASE[[#This Row],[GANANCIA
UNIT.(S/.)]]*TABLA_BASE[[#This Row],[CANTIDAD
(unid.)]]</f>
        <v>0</v>
      </c>
      <c r="AX422" s="289">
        <f>'💰 Precio de Venta'!K427</f>
        <v>0</v>
      </c>
      <c r="AY422" s="278">
        <f>TABLA_BASE[[#This Row],[GANANCIA
UNIT.(S/.)]]*'🧾 Factura Comercial'!G426</f>
        <v>0</v>
      </c>
      <c r="AZ422" s="277">
        <f>IF(TABLA_BASE[[#This Row],[PRECIO VTA.
c/IGV(S/.)]]=0,0,TABLA_BASE[[#This Row],[GANANCIA
UNIT.(S/.)]]/TABLA_BASE[[#This Row],[PRECIO VTA.
c/IGV(S/.)]])</f>
        <v>0</v>
      </c>
      <c r="BA422" s="277">
        <f>IF(TABLA_BASE[[#This Row],[C/M UNIT.
(S/.)]]=0,0,TABLA_BASE[[#This Row],[GANANCIA
UNIT.(S/.)]]/TABLA_BASE[[#This Row],[C/M UNIT.
(S/.)]])</f>
        <v>0</v>
      </c>
      <c r="BB422" s="274" t="str">
        <f>IF(TABLA_BASE[[#This Row],[MARGEN
%]]&gt;=0.5,"🟢 ALTO",IF(TABLA_BASE[[#This Row],[MARGEN
%]]&gt;=0.3,"🟡 MEDIO","🔴 BAJO"))</f>
        <v>🟡 MEDIO</v>
      </c>
    </row>
    <row r="423" spans="1:54" ht="16.5" hidden="1" thickTop="1" thickBot="1" x14ac:dyDescent="0.3">
      <c r="A423" s="274">
        <f>'🧾 Factura Comercial'!E427</f>
        <v>0</v>
      </c>
      <c r="B423" s="274" t="str">
        <f>'🧾 Factura Comercial'!F427</f>
        <v>Unid.</v>
      </c>
      <c r="C423" s="275">
        <f>'🧾 Factura Comercial'!G427</f>
        <v>0</v>
      </c>
      <c r="D423" s="276">
        <f>'🧾 Factura Comercial'!H427</f>
        <v>0</v>
      </c>
      <c r="E423" s="276">
        <f>'🧾 Factura Comercial'!I427</f>
        <v>0</v>
      </c>
      <c r="F423" s="277">
        <f>IF('🧾 Tributos Aduana'!$F$6=0,0,'🧾 Factura Comercial'!I427/'🧾 Tributos Aduana'!$F$6)</f>
        <v>0</v>
      </c>
      <c r="G423" s="278">
        <f>'🧾 Factura Comercial'!H427*'📋 Datos Generales'!$E$19</f>
        <v>0</v>
      </c>
      <c r="H423" s="278">
        <f>TABLA_BASE[[#This Row],[FOB UNIT.
(S/.)]]*TABLA_BASE[[#This Row],[CANTIDAD
(unid.)]]</f>
        <v>0</v>
      </c>
      <c r="I423" s="280">
        <f>IF('🧾 Tributos Aduana'!$F$6=0,0,'🧾 Tributos Aduana'!$F$17*('🧾 Factura Comercial'!H427/'🧾 Tributos Aduana'!$F$6))</f>
        <v>0</v>
      </c>
      <c r="J423" s="280">
        <f>TABLA_BASE[[#This Row],[ADV UNIT.
(US$)
⚠️COSTO]]*TABLA_BASE[[#This Row],[CANTIDAD
(unid.)]]</f>
        <v>0</v>
      </c>
      <c r="K423" s="279">
        <f>IF('🧾 Tributos Aduana'!$F$6=0,0,'🧾 Tributos Aduana'!$F$18*('🧾 Factura Comercial'!H427/'🧾 Tributos Aduana'!$F$6))</f>
        <v>0</v>
      </c>
      <c r="L423" s="280">
        <f>TABLA_BASE[[#This Row],[IPM UNIT.
(US$)
✅CF]]*TABLA_BASE[[#This Row],[CANTIDAD
(unid.)]]</f>
        <v>0</v>
      </c>
      <c r="M423" s="279">
        <f>IF('🧾 Tributos Aduana'!$F$6=0,0,'🧾 Tributos Aduana'!$F$19*('🧾 Factura Comercial'!H427/'🧾 Tributos Aduana'!$F$6))</f>
        <v>0</v>
      </c>
      <c r="N423" s="280">
        <f>TABLA_BASE[[#This Row],[IGV UNIT.
(US$)
✅CF]]*TABLA_BASE[[#This Row],[CANTIDAD
(unid.)]]</f>
        <v>0</v>
      </c>
      <c r="O423" s="280">
        <f>IF('🧾 Tributos Aduana'!$F$6=0,0,'🧾 Tributos Aduana'!$F$23*('🧾 Factura Comercial'!H427/'🧾 Tributos Aduana'!$F$6))</f>
        <v>0</v>
      </c>
      <c r="P423" s="280">
        <f>TABLA_BASE[[#This Row],[PERCEP.
UNIT.(US$)
✅CF]]*TABLA_BASE[[#This Row],[CANTIDAD
(unid.)]]</f>
        <v>0</v>
      </c>
      <c r="Q423" s="279">
        <f>TABLA_BASE[[#This Row],[ADV UNIT.
(US$)
⚠️COSTO]]+TABLA_BASE[[#This Row],[IPM UNIT.
(US$)
✅CF]]+TABLA_BASE[[#This Row],[IGV UNIT.
(US$)
✅CF]]</f>
        <v>0</v>
      </c>
      <c r="R423" s="280">
        <f>TABLA_BASE[[#This Row],[DEUDA
ADUANERA
UNIT.]]*TABLA_BASE[[#This Row],[CANTIDAD
(unid.)]]</f>
        <v>0</v>
      </c>
      <c r="S423" s="278">
        <f>TABLA_BASE[[#This Row],[DEUDA
ADUANERA
UNIT.]]*'📋 Datos Generales'!$E$19</f>
        <v>0</v>
      </c>
      <c r="T423" s="278">
        <f>TABLA_BASE[[#This Row],[DEUDA
ADUANERA
TOTAL]]*'📋 Datos Generales'!$E$19</f>
        <v>0</v>
      </c>
      <c r="U423" s="281">
        <f>TABLA_BASE[[#This Row],[ADV UNIT.
(US$)
⚠️COSTO]]*'📋 Datos Generales'!$E$19</f>
        <v>0</v>
      </c>
      <c r="V423" s="281">
        <f>TABLA_BASE[[#This Row],[ADV UNIT.
(S/.)]]*TABLA_BASE[[#This Row],[CANTIDAD
(unid.)]]</f>
        <v>0</v>
      </c>
      <c r="W423" s="281">
        <f>TABLA_BASE[[#This Row],[IPM UNIT.
(US$)
✅CF]]*'📋 Datos Generales'!$E$19</f>
        <v>0</v>
      </c>
      <c r="X423" s="281">
        <f>TABLA_BASE[[#This Row],[IPM UNIT.
(S/.)]]*TABLA_BASE[[#This Row],[CANTIDAD
(unid.)]]</f>
        <v>0</v>
      </c>
      <c r="Y423" s="281">
        <f>TABLA_BASE[[#This Row],[IGV UNIT.
(US$)
✅CF]]*'📋 Datos Generales'!$E$19</f>
        <v>0</v>
      </c>
      <c r="Z423" s="281">
        <f>TABLA_BASE[[#This Row],[IGV UNIT.
(S/.)]]*TABLA_BASE[[#This Row],[CANTIDAD
(unid.)]]</f>
        <v>0</v>
      </c>
      <c r="AA423" s="281">
        <f>TABLA_BASE[[#This Row],[PERCEP.
UNIT.(US$)
✅CF]]*'📋 Datos Generales'!$E$19</f>
        <v>0</v>
      </c>
      <c r="AB423" s="281">
        <f>TABLA_BASE[[#This Row],[PERCEP.
UNIT.(S/.)]]*TABLA_BASE[[#This Row],[CANTIDAD
(unid.)]]</f>
        <v>0</v>
      </c>
      <c r="AC423" s="279">
        <f>TABLA_BASE[[#This Row],[ADV UNIT.
(US$)
⚠️COSTO]]+TABLA_BASE[[#This Row],[IPM UNIT.
(US$)
✅CF]]+TABLA_BASE[[#This Row],[IGV UNIT.
(US$)
✅CF]]+TABLA_BASE[[#This Row],[PERCEP.
UNIT.(US$)
✅CF]]</f>
        <v>0</v>
      </c>
      <c r="AD423" s="279">
        <f>TABLA_BASE[[#This Row],[TOTAL PAGO
SUNAT
UNIT.(US$)]]*TABLA_BASE[[#This Row],[CANTIDAD
(unid.)]]</f>
        <v>0</v>
      </c>
      <c r="AE423" s="281">
        <f>TABLA_BASE[[#This Row],[TOTAL PAGO
SUNAT
UNIT.(US$)]]*'📋 Datos Generales'!$E$19</f>
        <v>0</v>
      </c>
      <c r="AF423" s="281">
        <f>TABLA_BASE[[#This Row],[TOTAL TRIB.
UNIT.(S/.)]]*TABLA_BASE[[#This Row],[CANTIDAD
(unid.)]]</f>
        <v>0</v>
      </c>
      <c r="AG423" s="279">
        <f>IF('🧾 Factura Comercial'!G427=0,0,'📦 Gastos Importación'!$E$28*(IF('🧾 Tributos Aduana'!$F$6=0,0,'🧾 Factura Comercial'!I427/'🧾 Tributos Aduana'!$F$6))/'🧾 Factura Comercial'!G427)</f>
        <v>0</v>
      </c>
      <c r="AH423" s="279">
        <f>TABLA_BASE[[#This Row],[GASTOS IMP.
UNIT.(US$)]]*TABLA_BASE[[#This Row],[CANTIDAD
(unid.)]]</f>
        <v>0</v>
      </c>
      <c r="AI423" s="281">
        <f>TABLA_BASE[[#This Row],[GASTOS IMP.
UNIT.(US$)]]*'📋 Datos Generales'!$E$19</f>
        <v>0</v>
      </c>
      <c r="AJ423" s="281">
        <f>TABLA_BASE[[#This Row],[GASTOS IMP.
UNIT.(S/.)]]*TABLA_BASE[[#This Row],[CANTIDAD
(unid.)]]</f>
        <v>0</v>
      </c>
      <c r="AK423" s="280">
        <f>'🧮 Costos x Producto'!J427</f>
        <v>0</v>
      </c>
      <c r="AL423" s="278">
        <f>'🧮 Costos x Producto'!K427</f>
        <v>0</v>
      </c>
      <c r="AM423" s="278">
        <f>TABLA_BASE[[#This Row],[C/M UNIT.
(S/.)]]*TABLA_BASE[[#This Row],[CANTIDAD
(unid.)]]</f>
        <v>0</v>
      </c>
      <c r="AN423" s="279">
        <f>IF('🧾 Factura Comercial'!G427=0,0,'🧾 Tributos Aduana'!$F$17*(IF('🧾 Tributos Aduana'!$F$6=0,0,'🧾 Factura Comercial'!I427/'🧾 Tributos Aduana'!$F$6))/'🧾 Factura Comercial'!G427)</f>
        <v>0</v>
      </c>
      <c r="AO423" s="280">
        <f>IF('🧾 Factura Comercial'!G427=0,0,'🏦 Crédito Fiscal'!$C$16*(IF('🧾 Tributos Aduana'!$F$6=0,0,'🧾 Factura Comercial'!I427/'🧾 Tributos Aduana'!$F$6))/'🧾 Factura Comercial'!G427)</f>
        <v>0</v>
      </c>
      <c r="AP423" s="278">
        <f>TABLA_BASE[[#This Row],[CF UNIT.
✅RECUP.
(US$)]]*'📋 Datos Generales'!$E$19</f>
        <v>0</v>
      </c>
      <c r="AQ423" s="278">
        <f>TABLA_BASE[[#This Row],[CF UNIT.
✅RECUP.(S/.)]]*TABLA_BASE[[#This Row],[CANTIDAD
(unid.)]]</f>
        <v>0</v>
      </c>
      <c r="AR423" s="288">
        <f>'💰 Precio de Venta'!G428</f>
        <v>0.4</v>
      </c>
      <c r="AS423" s="278">
        <f>'💰 Precio de Venta'!H428</f>
        <v>0</v>
      </c>
      <c r="AT423" s="278">
        <f>TABLA_BASE[[#This Row],[VALOR VTA.
UNIT.(S/.)]]*TABLA_BASE[[#This Row],[CANTIDAD
(unid.)]]</f>
        <v>0</v>
      </c>
      <c r="AU423" s="281">
        <f>'💰 Precio de Venta'!I428</f>
        <v>0</v>
      </c>
      <c r="AV423" s="278">
        <f>'💰 Precio de Venta'!J428</f>
        <v>0</v>
      </c>
      <c r="AW423" s="278">
        <f>TABLA_BASE[[#This Row],[GANANCIA
UNIT.(S/.)]]*TABLA_BASE[[#This Row],[CANTIDAD
(unid.)]]</f>
        <v>0</v>
      </c>
      <c r="AX423" s="289">
        <f>'💰 Precio de Venta'!K428</f>
        <v>0</v>
      </c>
      <c r="AY423" s="278">
        <f>TABLA_BASE[[#This Row],[GANANCIA
UNIT.(S/.)]]*'🧾 Factura Comercial'!G427</f>
        <v>0</v>
      </c>
      <c r="AZ423" s="277">
        <f>IF(TABLA_BASE[[#This Row],[PRECIO VTA.
c/IGV(S/.)]]=0,0,TABLA_BASE[[#This Row],[GANANCIA
UNIT.(S/.)]]/TABLA_BASE[[#This Row],[PRECIO VTA.
c/IGV(S/.)]])</f>
        <v>0</v>
      </c>
      <c r="BA423" s="277">
        <f>IF(TABLA_BASE[[#This Row],[C/M UNIT.
(S/.)]]=0,0,TABLA_BASE[[#This Row],[GANANCIA
UNIT.(S/.)]]/TABLA_BASE[[#This Row],[C/M UNIT.
(S/.)]])</f>
        <v>0</v>
      </c>
      <c r="BB423" s="274" t="str">
        <f>IF(TABLA_BASE[[#This Row],[MARGEN
%]]&gt;=0.5,"🟢 ALTO",IF(TABLA_BASE[[#This Row],[MARGEN
%]]&gt;=0.3,"🟡 MEDIO","🔴 BAJO"))</f>
        <v>🟡 MEDIO</v>
      </c>
    </row>
    <row r="424" spans="1:54" ht="16.5" hidden="1" thickTop="1" thickBot="1" x14ac:dyDescent="0.3">
      <c r="A424" s="274">
        <f>'🧾 Factura Comercial'!E428</f>
        <v>0</v>
      </c>
      <c r="B424" s="274" t="str">
        <f>'🧾 Factura Comercial'!F428</f>
        <v>Unid.</v>
      </c>
      <c r="C424" s="275">
        <f>'🧾 Factura Comercial'!G428</f>
        <v>0</v>
      </c>
      <c r="D424" s="276">
        <f>'🧾 Factura Comercial'!H428</f>
        <v>0</v>
      </c>
      <c r="E424" s="276">
        <f>'🧾 Factura Comercial'!I428</f>
        <v>0</v>
      </c>
      <c r="F424" s="277">
        <f>IF('🧾 Tributos Aduana'!$F$6=0,0,'🧾 Factura Comercial'!I428/'🧾 Tributos Aduana'!$F$6)</f>
        <v>0</v>
      </c>
      <c r="G424" s="278">
        <f>'🧾 Factura Comercial'!H428*'📋 Datos Generales'!$E$19</f>
        <v>0</v>
      </c>
      <c r="H424" s="278">
        <f>TABLA_BASE[[#This Row],[FOB UNIT.
(S/.)]]*TABLA_BASE[[#This Row],[CANTIDAD
(unid.)]]</f>
        <v>0</v>
      </c>
      <c r="I424" s="280">
        <f>IF('🧾 Tributos Aduana'!$F$6=0,0,'🧾 Tributos Aduana'!$F$17*('🧾 Factura Comercial'!H428/'🧾 Tributos Aduana'!$F$6))</f>
        <v>0</v>
      </c>
      <c r="J424" s="280">
        <f>TABLA_BASE[[#This Row],[ADV UNIT.
(US$)
⚠️COSTO]]*TABLA_BASE[[#This Row],[CANTIDAD
(unid.)]]</f>
        <v>0</v>
      </c>
      <c r="K424" s="279">
        <f>IF('🧾 Tributos Aduana'!$F$6=0,0,'🧾 Tributos Aduana'!$F$18*('🧾 Factura Comercial'!H428/'🧾 Tributos Aduana'!$F$6))</f>
        <v>0</v>
      </c>
      <c r="L424" s="280">
        <f>TABLA_BASE[[#This Row],[IPM UNIT.
(US$)
✅CF]]*TABLA_BASE[[#This Row],[CANTIDAD
(unid.)]]</f>
        <v>0</v>
      </c>
      <c r="M424" s="279">
        <f>IF('🧾 Tributos Aduana'!$F$6=0,0,'🧾 Tributos Aduana'!$F$19*('🧾 Factura Comercial'!H428/'🧾 Tributos Aduana'!$F$6))</f>
        <v>0</v>
      </c>
      <c r="N424" s="280">
        <f>TABLA_BASE[[#This Row],[IGV UNIT.
(US$)
✅CF]]*TABLA_BASE[[#This Row],[CANTIDAD
(unid.)]]</f>
        <v>0</v>
      </c>
      <c r="O424" s="280">
        <f>IF('🧾 Tributos Aduana'!$F$6=0,0,'🧾 Tributos Aduana'!$F$23*('🧾 Factura Comercial'!H428/'🧾 Tributos Aduana'!$F$6))</f>
        <v>0</v>
      </c>
      <c r="P424" s="280">
        <f>TABLA_BASE[[#This Row],[PERCEP.
UNIT.(US$)
✅CF]]*TABLA_BASE[[#This Row],[CANTIDAD
(unid.)]]</f>
        <v>0</v>
      </c>
      <c r="Q424" s="279">
        <f>TABLA_BASE[[#This Row],[ADV UNIT.
(US$)
⚠️COSTO]]+TABLA_BASE[[#This Row],[IPM UNIT.
(US$)
✅CF]]+TABLA_BASE[[#This Row],[IGV UNIT.
(US$)
✅CF]]</f>
        <v>0</v>
      </c>
      <c r="R424" s="280">
        <f>TABLA_BASE[[#This Row],[DEUDA
ADUANERA
UNIT.]]*TABLA_BASE[[#This Row],[CANTIDAD
(unid.)]]</f>
        <v>0</v>
      </c>
      <c r="S424" s="278">
        <f>TABLA_BASE[[#This Row],[DEUDA
ADUANERA
UNIT.]]*'📋 Datos Generales'!$E$19</f>
        <v>0</v>
      </c>
      <c r="T424" s="278">
        <f>TABLA_BASE[[#This Row],[DEUDA
ADUANERA
TOTAL]]*'📋 Datos Generales'!$E$19</f>
        <v>0</v>
      </c>
      <c r="U424" s="281">
        <f>TABLA_BASE[[#This Row],[ADV UNIT.
(US$)
⚠️COSTO]]*'📋 Datos Generales'!$E$19</f>
        <v>0</v>
      </c>
      <c r="V424" s="281">
        <f>TABLA_BASE[[#This Row],[ADV UNIT.
(S/.)]]*TABLA_BASE[[#This Row],[CANTIDAD
(unid.)]]</f>
        <v>0</v>
      </c>
      <c r="W424" s="281">
        <f>TABLA_BASE[[#This Row],[IPM UNIT.
(US$)
✅CF]]*'📋 Datos Generales'!$E$19</f>
        <v>0</v>
      </c>
      <c r="X424" s="281">
        <f>TABLA_BASE[[#This Row],[IPM UNIT.
(S/.)]]*TABLA_BASE[[#This Row],[CANTIDAD
(unid.)]]</f>
        <v>0</v>
      </c>
      <c r="Y424" s="281">
        <f>TABLA_BASE[[#This Row],[IGV UNIT.
(US$)
✅CF]]*'📋 Datos Generales'!$E$19</f>
        <v>0</v>
      </c>
      <c r="Z424" s="281">
        <f>TABLA_BASE[[#This Row],[IGV UNIT.
(S/.)]]*TABLA_BASE[[#This Row],[CANTIDAD
(unid.)]]</f>
        <v>0</v>
      </c>
      <c r="AA424" s="281">
        <f>TABLA_BASE[[#This Row],[PERCEP.
UNIT.(US$)
✅CF]]*'📋 Datos Generales'!$E$19</f>
        <v>0</v>
      </c>
      <c r="AB424" s="281">
        <f>TABLA_BASE[[#This Row],[PERCEP.
UNIT.(S/.)]]*TABLA_BASE[[#This Row],[CANTIDAD
(unid.)]]</f>
        <v>0</v>
      </c>
      <c r="AC424" s="279">
        <f>TABLA_BASE[[#This Row],[ADV UNIT.
(US$)
⚠️COSTO]]+TABLA_BASE[[#This Row],[IPM UNIT.
(US$)
✅CF]]+TABLA_BASE[[#This Row],[IGV UNIT.
(US$)
✅CF]]+TABLA_BASE[[#This Row],[PERCEP.
UNIT.(US$)
✅CF]]</f>
        <v>0</v>
      </c>
      <c r="AD424" s="279">
        <f>TABLA_BASE[[#This Row],[TOTAL PAGO
SUNAT
UNIT.(US$)]]*TABLA_BASE[[#This Row],[CANTIDAD
(unid.)]]</f>
        <v>0</v>
      </c>
      <c r="AE424" s="281">
        <f>TABLA_BASE[[#This Row],[TOTAL PAGO
SUNAT
UNIT.(US$)]]*'📋 Datos Generales'!$E$19</f>
        <v>0</v>
      </c>
      <c r="AF424" s="281">
        <f>TABLA_BASE[[#This Row],[TOTAL TRIB.
UNIT.(S/.)]]*TABLA_BASE[[#This Row],[CANTIDAD
(unid.)]]</f>
        <v>0</v>
      </c>
      <c r="AG424" s="279">
        <f>IF('🧾 Factura Comercial'!G428=0,0,'📦 Gastos Importación'!$E$28*(IF('🧾 Tributos Aduana'!$F$6=0,0,'🧾 Factura Comercial'!I428/'🧾 Tributos Aduana'!$F$6))/'🧾 Factura Comercial'!G428)</f>
        <v>0</v>
      </c>
      <c r="AH424" s="279">
        <f>TABLA_BASE[[#This Row],[GASTOS IMP.
UNIT.(US$)]]*TABLA_BASE[[#This Row],[CANTIDAD
(unid.)]]</f>
        <v>0</v>
      </c>
      <c r="AI424" s="281">
        <f>TABLA_BASE[[#This Row],[GASTOS IMP.
UNIT.(US$)]]*'📋 Datos Generales'!$E$19</f>
        <v>0</v>
      </c>
      <c r="AJ424" s="281">
        <f>TABLA_BASE[[#This Row],[GASTOS IMP.
UNIT.(S/.)]]*TABLA_BASE[[#This Row],[CANTIDAD
(unid.)]]</f>
        <v>0</v>
      </c>
      <c r="AK424" s="280">
        <f>'🧮 Costos x Producto'!J428</f>
        <v>0</v>
      </c>
      <c r="AL424" s="278">
        <f>'🧮 Costos x Producto'!K428</f>
        <v>0</v>
      </c>
      <c r="AM424" s="278">
        <f>TABLA_BASE[[#This Row],[C/M UNIT.
(S/.)]]*TABLA_BASE[[#This Row],[CANTIDAD
(unid.)]]</f>
        <v>0</v>
      </c>
      <c r="AN424" s="279">
        <f>IF('🧾 Factura Comercial'!G428=0,0,'🧾 Tributos Aduana'!$F$17*(IF('🧾 Tributos Aduana'!$F$6=0,0,'🧾 Factura Comercial'!I428/'🧾 Tributos Aduana'!$F$6))/'🧾 Factura Comercial'!G428)</f>
        <v>0</v>
      </c>
      <c r="AO424" s="280">
        <f>IF('🧾 Factura Comercial'!G428=0,0,'🏦 Crédito Fiscal'!$C$16*(IF('🧾 Tributos Aduana'!$F$6=0,0,'🧾 Factura Comercial'!I428/'🧾 Tributos Aduana'!$F$6))/'🧾 Factura Comercial'!G428)</f>
        <v>0</v>
      </c>
      <c r="AP424" s="278">
        <f>TABLA_BASE[[#This Row],[CF UNIT.
✅RECUP.
(US$)]]*'📋 Datos Generales'!$E$19</f>
        <v>0</v>
      </c>
      <c r="AQ424" s="278">
        <f>TABLA_BASE[[#This Row],[CF UNIT.
✅RECUP.(S/.)]]*TABLA_BASE[[#This Row],[CANTIDAD
(unid.)]]</f>
        <v>0</v>
      </c>
      <c r="AR424" s="288">
        <f>'💰 Precio de Venta'!G429</f>
        <v>0.4</v>
      </c>
      <c r="AS424" s="278">
        <f>'💰 Precio de Venta'!H429</f>
        <v>0</v>
      </c>
      <c r="AT424" s="278">
        <f>TABLA_BASE[[#This Row],[VALOR VTA.
UNIT.(S/.)]]*TABLA_BASE[[#This Row],[CANTIDAD
(unid.)]]</f>
        <v>0</v>
      </c>
      <c r="AU424" s="281">
        <f>'💰 Precio de Venta'!I429</f>
        <v>0</v>
      </c>
      <c r="AV424" s="278">
        <f>'💰 Precio de Venta'!J429</f>
        <v>0</v>
      </c>
      <c r="AW424" s="278">
        <f>TABLA_BASE[[#This Row],[GANANCIA
UNIT.(S/.)]]*TABLA_BASE[[#This Row],[CANTIDAD
(unid.)]]</f>
        <v>0</v>
      </c>
      <c r="AX424" s="289">
        <f>'💰 Precio de Venta'!K429</f>
        <v>0</v>
      </c>
      <c r="AY424" s="278">
        <f>TABLA_BASE[[#This Row],[GANANCIA
UNIT.(S/.)]]*'🧾 Factura Comercial'!G428</f>
        <v>0</v>
      </c>
      <c r="AZ424" s="277">
        <f>IF(TABLA_BASE[[#This Row],[PRECIO VTA.
c/IGV(S/.)]]=0,0,TABLA_BASE[[#This Row],[GANANCIA
UNIT.(S/.)]]/TABLA_BASE[[#This Row],[PRECIO VTA.
c/IGV(S/.)]])</f>
        <v>0</v>
      </c>
      <c r="BA424" s="277">
        <f>IF(TABLA_BASE[[#This Row],[C/M UNIT.
(S/.)]]=0,0,TABLA_BASE[[#This Row],[GANANCIA
UNIT.(S/.)]]/TABLA_BASE[[#This Row],[C/M UNIT.
(S/.)]])</f>
        <v>0</v>
      </c>
      <c r="BB424" s="274" t="str">
        <f>IF(TABLA_BASE[[#This Row],[MARGEN
%]]&gt;=0.5,"🟢 ALTO",IF(TABLA_BASE[[#This Row],[MARGEN
%]]&gt;=0.3,"🟡 MEDIO","🔴 BAJO"))</f>
        <v>🟡 MEDIO</v>
      </c>
    </row>
    <row r="425" spans="1:54" ht="16.5" hidden="1" thickTop="1" thickBot="1" x14ac:dyDescent="0.3">
      <c r="A425" s="274">
        <f>'🧾 Factura Comercial'!E429</f>
        <v>0</v>
      </c>
      <c r="B425" s="274" t="str">
        <f>'🧾 Factura Comercial'!F429</f>
        <v>Unid.</v>
      </c>
      <c r="C425" s="275">
        <f>'🧾 Factura Comercial'!G429</f>
        <v>0</v>
      </c>
      <c r="D425" s="276">
        <f>'🧾 Factura Comercial'!H429</f>
        <v>0</v>
      </c>
      <c r="E425" s="276">
        <f>'🧾 Factura Comercial'!I429</f>
        <v>0</v>
      </c>
      <c r="F425" s="277">
        <f>IF('🧾 Tributos Aduana'!$F$6=0,0,'🧾 Factura Comercial'!I429/'🧾 Tributos Aduana'!$F$6)</f>
        <v>0</v>
      </c>
      <c r="G425" s="278">
        <f>'🧾 Factura Comercial'!H429*'📋 Datos Generales'!$E$19</f>
        <v>0</v>
      </c>
      <c r="H425" s="278">
        <f>TABLA_BASE[[#This Row],[FOB UNIT.
(S/.)]]*TABLA_BASE[[#This Row],[CANTIDAD
(unid.)]]</f>
        <v>0</v>
      </c>
      <c r="I425" s="280">
        <f>IF('🧾 Tributos Aduana'!$F$6=0,0,'🧾 Tributos Aduana'!$F$17*('🧾 Factura Comercial'!H429/'🧾 Tributos Aduana'!$F$6))</f>
        <v>0</v>
      </c>
      <c r="J425" s="280">
        <f>TABLA_BASE[[#This Row],[ADV UNIT.
(US$)
⚠️COSTO]]*TABLA_BASE[[#This Row],[CANTIDAD
(unid.)]]</f>
        <v>0</v>
      </c>
      <c r="K425" s="279">
        <f>IF('🧾 Tributos Aduana'!$F$6=0,0,'🧾 Tributos Aduana'!$F$18*('🧾 Factura Comercial'!H429/'🧾 Tributos Aduana'!$F$6))</f>
        <v>0</v>
      </c>
      <c r="L425" s="280">
        <f>TABLA_BASE[[#This Row],[IPM UNIT.
(US$)
✅CF]]*TABLA_BASE[[#This Row],[CANTIDAD
(unid.)]]</f>
        <v>0</v>
      </c>
      <c r="M425" s="279">
        <f>IF('🧾 Tributos Aduana'!$F$6=0,0,'🧾 Tributos Aduana'!$F$19*('🧾 Factura Comercial'!H429/'🧾 Tributos Aduana'!$F$6))</f>
        <v>0</v>
      </c>
      <c r="N425" s="280">
        <f>TABLA_BASE[[#This Row],[IGV UNIT.
(US$)
✅CF]]*TABLA_BASE[[#This Row],[CANTIDAD
(unid.)]]</f>
        <v>0</v>
      </c>
      <c r="O425" s="280">
        <f>IF('🧾 Tributos Aduana'!$F$6=0,0,'🧾 Tributos Aduana'!$F$23*('🧾 Factura Comercial'!H429/'🧾 Tributos Aduana'!$F$6))</f>
        <v>0</v>
      </c>
      <c r="P425" s="280">
        <f>TABLA_BASE[[#This Row],[PERCEP.
UNIT.(US$)
✅CF]]*TABLA_BASE[[#This Row],[CANTIDAD
(unid.)]]</f>
        <v>0</v>
      </c>
      <c r="Q425" s="279">
        <f>TABLA_BASE[[#This Row],[ADV UNIT.
(US$)
⚠️COSTO]]+TABLA_BASE[[#This Row],[IPM UNIT.
(US$)
✅CF]]+TABLA_BASE[[#This Row],[IGV UNIT.
(US$)
✅CF]]</f>
        <v>0</v>
      </c>
      <c r="R425" s="280">
        <f>TABLA_BASE[[#This Row],[DEUDA
ADUANERA
UNIT.]]*TABLA_BASE[[#This Row],[CANTIDAD
(unid.)]]</f>
        <v>0</v>
      </c>
      <c r="S425" s="278">
        <f>TABLA_BASE[[#This Row],[DEUDA
ADUANERA
UNIT.]]*'📋 Datos Generales'!$E$19</f>
        <v>0</v>
      </c>
      <c r="T425" s="278">
        <f>TABLA_BASE[[#This Row],[DEUDA
ADUANERA
TOTAL]]*'📋 Datos Generales'!$E$19</f>
        <v>0</v>
      </c>
      <c r="U425" s="281">
        <f>TABLA_BASE[[#This Row],[ADV UNIT.
(US$)
⚠️COSTO]]*'📋 Datos Generales'!$E$19</f>
        <v>0</v>
      </c>
      <c r="V425" s="281">
        <f>TABLA_BASE[[#This Row],[ADV UNIT.
(S/.)]]*TABLA_BASE[[#This Row],[CANTIDAD
(unid.)]]</f>
        <v>0</v>
      </c>
      <c r="W425" s="281">
        <f>TABLA_BASE[[#This Row],[IPM UNIT.
(US$)
✅CF]]*'📋 Datos Generales'!$E$19</f>
        <v>0</v>
      </c>
      <c r="X425" s="281">
        <f>TABLA_BASE[[#This Row],[IPM UNIT.
(S/.)]]*TABLA_BASE[[#This Row],[CANTIDAD
(unid.)]]</f>
        <v>0</v>
      </c>
      <c r="Y425" s="281">
        <f>TABLA_BASE[[#This Row],[IGV UNIT.
(US$)
✅CF]]*'📋 Datos Generales'!$E$19</f>
        <v>0</v>
      </c>
      <c r="Z425" s="281">
        <f>TABLA_BASE[[#This Row],[IGV UNIT.
(S/.)]]*TABLA_BASE[[#This Row],[CANTIDAD
(unid.)]]</f>
        <v>0</v>
      </c>
      <c r="AA425" s="281">
        <f>TABLA_BASE[[#This Row],[PERCEP.
UNIT.(US$)
✅CF]]*'📋 Datos Generales'!$E$19</f>
        <v>0</v>
      </c>
      <c r="AB425" s="281">
        <f>TABLA_BASE[[#This Row],[PERCEP.
UNIT.(S/.)]]*TABLA_BASE[[#This Row],[CANTIDAD
(unid.)]]</f>
        <v>0</v>
      </c>
      <c r="AC425" s="279">
        <f>TABLA_BASE[[#This Row],[ADV UNIT.
(US$)
⚠️COSTO]]+TABLA_BASE[[#This Row],[IPM UNIT.
(US$)
✅CF]]+TABLA_BASE[[#This Row],[IGV UNIT.
(US$)
✅CF]]+TABLA_BASE[[#This Row],[PERCEP.
UNIT.(US$)
✅CF]]</f>
        <v>0</v>
      </c>
      <c r="AD425" s="279">
        <f>TABLA_BASE[[#This Row],[TOTAL PAGO
SUNAT
UNIT.(US$)]]*TABLA_BASE[[#This Row],[CANTIDAD
(unid.)]]</f>
        <v>0</v>
      </c>
      <c r="AE425" s="281">
        <f>TABLA_BASE[[#This Row],[TOTAL PAGO
SUNAT
UNIT.(US$)]]*'📋 Datos Generales'!$E$19</f>
        <v>0</v>
      </c>
      <c r="AF425" s="281">
        <f>TABLA_BASE[[#This Row],[TOTAL TRIB.
UNIT.(S/.)]]*TABLA_BASE[[#This Row],[CANTIDAD
(unid.)]]</f>
        <v>0</v>
      </c>
      <c r="AG425" s="279">
        <f>IF('🧾 Factura Comercial'!G429=0,0,'📦 Gastos Importación'!$E$28*(IF('🧾 Tributos Aduana'!$F$6=0,0,'🧾 Factura Comercial'!I429/'🧾 Tributos Aduana'!$F$6))/'🧾 Factura Comercial'!G429)</f>
        <v>0</v>
      </c>
      <c r="AH425" s="279">
        <f>TABLA_BASE[[#This Row],[GASTOS IMP.
UNIT.(US$)]]*TABLA_BASE[[#This Row],[CANTIDAD
(unid.)]]</f>
        <v>0</v>
      </c>
      <c r="AI425" s="281">
        <f>TABLA_BASE[[#This Row],[GASTOS IMP.
UNIT.(US$)]]*'📋 Datos Generales'!$E$19</f>
        <v>0</v>
      </c>
      <c r="AJ425" s="281">
        <f>TABLA_BASE[[#This Row],[GASTOS IMP.
UNIT.(S/.)]]*TABLA_BASE[[#This Row],[CANTIDAD
(unid.)]]</f>
        <v>0</v>
      </c>
      <c r="AK425" s="280">
        <f>'🧮 Costos x Producto'!J429</f>
        <v>0</v>
      </c>
      <c r="AL425" s="278">
        <f>'🧮 Costos x Producto'!K429</f>
        <v>0</v>
      </c>
      <c r="AM425" s="278">
        <f>TABLA_BASE[[#This Row],[C/M UNIT.
(S/.)]]*TABLA_BASE[[#This Row],[CANTIDAD
(unid.)]]</f>
        <v>0</v>
      </c>
      <c r="AN425" s="279">
        <f>IF('🧾 Factura Comercial'!G429=0,0,'🧾 Tributos Aduana'!$F$17*(IF('🧾 Tributos Aduana'!$F$6=0,0,'🧾 Factura Comercial'!I429/'🧾 Tributos Aduana'!$F$6))/'🧾 Factura Comercial'!G429)</f>
        <v>0</v>
      </c>
      <c r="AO425" s="280">
        <f>IF('🧾 Factura Comercial'!G429=0,0,'🏦 Crédito Fiscal'!$C$16*(IF('🧾 Tributos Aduana'!$F$6=0,0,'🧾 Factura Comercial'!I429/'🧾 Tributos Aduana'!$F$6))/'🧾 Factura Comercial'!G429)</f>
        <v>0</v>
      </c>
      <c r="AP425" s="278">
        <f>TABLA_BASE[[#This Row],[CF UNIT.
✅RECUP.
(US$)]]*'📋 Datos Generales'!$E$19</f>
        <v>0</v>
      </c>
      <c r="AQ425" s="278">
        <f>TABLA_BASE[[#This Row],[CF UNIT.
✅RECUP.(S/.)]]*TABLA_BASE[[#This Row],[CANTIDAD
(unid.)]]</f>
        <v>0</v>
      </c>
      <c r="AR425" s="288">
        <f>'💰 Precio de Venta'!G430</f>
        <v>0.4</v>
      </c>
      <c r="AS425" s="278">
        <f>'💰 Precio de Venta'!H430</f>
        <v>0</v>
      </c>
      <c r="AT425" s="278">
        <f>TABLA_BASE[[#This Row],[VALOR VTA.
UNIT.(S/.)]]*TABLA_BASE[[#This Row],[CANTIDAD
(unid.)]]</f>
        <v>0</v>
      </c>
      <c r="AU425" s="281">
        <f>'💰 Precio de Venta'!I430</f>
        <v>0</v>
      </c>
      <c r="AV425" s="278">
        <f>'💰 Precio de Venta'!J430</f>
        <v>0</v>
      </c>
      <c r="AW425" s="278">
        <f>TABLA_BASE[[#This Row],[GANANCIA
UNIT.(S/.)]]*TABLA_BASE[[#This Row],[CANTIDAD
(unid.)]]</f>
        <v>0</v>
      </c>
      <c r="AX425" s="289">
        <f>'💰 Precio de Venta'!K430</f>
        <v>0</v>
      </c>
      <c r="AY425" s="278">
        <f>TABLA_BASE[[#This Row],[GANANCIA
UNIT.(S/.)]]*'🧾 Factura Comercial'!G429</f>
        <v>0</v>
      </c>
      <c r="AZ425" s="277">
        <f>IF(TABLA_BASE[[#This Row],[PRECIO VTA.
c/IGV(S/.)]]=0,0,TABLA_BASE[[#This Row],[GANANCIA
UNIT.(S/.)]]/TABLA_BASE[[#This Row],[PRECIO VTA.
c/IGV(S/.)]])</f>
        <v>0</v>
      </c>
      <c r="BA425" s="277">
        <f>IF(TABLA_BASE[[#This Row],[C/M UNIT.
(S/.)]]=0,0,TABLA_BASE[[#This Row],[GANANCIA
UNIT.(S/.)]]/TABLA_BASE[[#This Row],[C/M UNIT.
(S/.)]])</f>
        <v>0</v>
      </c>
      <c r="BB425" s="274" t="str">
        <f>IF(TABLA_BASE[[#This Row],[MARGEN
%]]&gt;=0.5,"🟢 ALTO",IF(TABLA_BASE[[#This Row],[MARGEN
%]]&gt;=0.3,"🟡 MEDIO","🔴 BAJO"))</f>
        <v>🟡 MEDIO</v>
      </c>
    </row>
    <row r="426" spans="1:54" ht="16.5" hidden="1" thickTop="1" thickBot="1" x14ac:dyDescent="0.3">
      <c r="A426" s="274">
        <f>'🧾 Factura Comercial'!E430</f>
        <v>0</v>
      </c>
      <c r="B426" s="274" t="str">
        <f>'🧾 Factura Comercial'!F430</f>
        <v>Unid.</v>
      </c>
      <c r="C426" s="275">
        <f>'🧾 Factura Comercial'!G430</f>
        <v>0</v>
      </c>
      <c r="D426" s="276">
        <f>'🧾 Factura Comercial'!H430</f>
        <v>0</v>
      </c>
      <c r="E426" s="276">
        <f>'🧾 Factura Comercial'!I430</f>
        <v>0</v>
      </c>
      <c r="F426" s="277">
        <f>IF('🧾 Tributos Aduana'!$F$6=0,0,'🧾 Factura Comercial'!I430/'🧾 Tributos Aduana'!$F$6)</f>
        <v>0</v>
      </c>
      <c r="G426" s="278">
        <f>'🧾 Factura Comercial'!H430*'📋 Datos Generales'!$E$19</f>
        <v>0</v>
      </c>
      <c r="H426" s="278">
        <f>TABLA_BASE[[#This Row],[FOB UNIT.
(S/.)]]*TABLA_BASE[[#This Row],[CANTIDAD
(unid.)]]</f>
        <v>0</v>
      </c>
      <c r="I426" s="280">
        <f>IF('🧾 Tributos Aduana'!$F$6=0,0,'🧾 Tributos Aduana'!$F$17*('🧾 Factura Comercial'!H430/'🧾 Tributos Aduana'!$F$6))</f>
        <v>0</v>
      </c>
      <c r="J426" s="280">
        <f>TABLA_BASE[[#This Row],[ADV UNIT.
(US$)
⚠️COSTO]]*TABLA_BASE[[#This Row],[CANTIDAD
(unid.)]]</f>
        <v>0</v>
      </c>
      <c r="K426" s="279">
        <f>IF('🧾 Tributos Aduana'!$F$6=0,0,'🧾 Tributos Aduana'!$F$18*('🧾 Factura Comercial'!H430/'🧾 Tributos Aduana'!$F$6))</f>
        <v>0</v>
      </c>
      <c r="L426" s="280">
        <f>TABLA_BASE[[#This Row],[IPM UNIT.
(US$)
✅CF]]*TABLA_BASE[[#This Row],[CANTIDAD
(unid.)]]</f>
        <v>0</v>
      </c>
      <c r="M426" s="279">
        <f>IF('🧾 Tributos Aduana'!$F$6=0,0,'🧾 Tributos Aduana'!$F$19*('🧾 Factura Comercial'!H430/'🧾 Tributos Aduana'!$F$6))</f>
        <v>0</v>
      </c>
      <c r="N426" s="280">
        <f>TABLA_BASE[[#This Row],[IGV UNIT.
(US$)
✅CF]]*TABLA_BASE[[#This Row],[CANTIDAD
(unid.)]]</f>
        <v>0</v>
      </c>
      <c r="O426" s="280">
        <f>IF('🧾 Tributos Aduana'!$F$6=0,0,'🧾 Tributos Aduana'!$F$23*('🧾 Factura Comercial'!H430/'🧾 Tributos Aduana'!$F$6))</f>
        <v>0</v>
      </c>
      <c r="P426" s="280">
        <f>TABLA_BASE[[#This Row],[PERCEP.
UNIT.(US$)
✅CF]]*TABLA_BASE[[#This Row],[CANTIDAD
(unid.)]]</f>
        <v>0</v>
      </c>
      <c r="Q426" s="279">
        <f>TABLA_BASE[[#This Row],[ADV UNIT.
(US$)
⚠️COSTO]]+TABLA_BASE[[#This Row],[IPM UNIT.
(US$)
✅CF]]+TABLA_BASE[[#This Row],[IGV UNIT.
(US$)
✅CF]]</f>
        <v>0</v>
      </c>
      <c r="R426" s="280">
        <f>TABLA_BASE[[#This Row],[DEUDA
ADUANERA
UNIT.]]*TABLA_BASE[[#This Row],[CANTIDAD
(unid.)]]</f>
        <v>0</v>
      </c>
      <c r="S426" s="278">
        <f>TABLA_BASE[[#This Row],[DEUDA
ADUANERA
UNIT.]]*'📋 Datos Generales'!$E$19</f>
        <v>0</v>
      </c>
      <c r="T426" s="278">
        <f>TABLA_BASE[[#This Row],[DEUDA
ADUANERA
TOTAL]]*'📋 Datos Generales'!$E$19</f>
        <v>0</v>
      </c>
      <c r="U426" s="281">
        <f>TABLA_BASE[[#This Row],[ADV UNIT.
(US$)
⚠️COSTO]]*'📋 Datos Generales'!$E$19</f>
        <v>0</v>
      </c>
      <c r="V426" s="281">
        <f>TABLA_BASE[[#This Row],[ADV UNIT.
(S/.)]]*TABLA_BASE[[#This Row],[CANTIDAD
(unid.)]]</f>
        <v>0</v>
      </c>
      <c r="W426" s="281">
        <f>TABLA_BASE[[#This Row],[IPM UNIT.
(US$)
✅CF]]*'📋 Datos Generales'!$E$19</f>
        <v>0</v>
      </c>
      <c r="X426" s="281">
        <f>TABLA_BASE[[#This Row],[IPM UNIT.
(S/.)]]*TABLA_BASE[[#This Row],[CANTIDAD
(unid.)]]</f>
        <v>0</v>
      </c>
      <c r="Y426" s="281">
        <f>TABLA_BASE[[#This Row],[IGV UNIT.
(US$)
✅CF]]*'📋 Datos Generales'!$E$19</f>
        <v>0</v>
      </c>
      <c r="Z426" s="281">
        <f>TABLA_BASE[[#This Row],[IGV UNIT.
(S/.)]]*TABLA_BASE[[#This Row],[CANTIDAD
(unid.)]]</f>
        <v>0</v>
      </c>
      <c r="AA426" s="281">
        <f>TABLA_BASE[[#This Row],[PERCEP.
UNIT.(US$)
✅CF]]*'📋 Datos Generales'!$E$19</f>
        <v>0</v>
      </c>
      <c r="AB426" s="281">
        <f>TABLA_BASE[[#This Row],[PERCEP.
UNIT.(S/.)]]*TABLA_BASE[[#This Row],[CANTIDAD
(unid.)]]</f>
        <v>0</v>
      </c>
      <c r="AC426" s="279">
        <f>TABLA_BASE[[#This Row],[ADV UNIT.
(US$)
⚠️COSTO]]+TABLA_BASE[[#This Row],[IPM UNIT.
(US$)
✅CF]]+TABLA_BASE[[#This Row],[IGV UNIT.
(US$)
✅CF]]+TABLA_BASE[[#This Row],[PERCEP.
UNIT.(US$)
✅CF]]</f>
        <v>0</v>
      </c>
      <c r="AD426" s="279">
        <f>TABLA_BASE[[#This Row],[TOTAL PAGO
SUNAT
UNIT.(US$)]]*TABLA_BASE[[#This Row],[CANTIDAD
(unid.)]]</f>
        <v>0</v>
      </c>
      <c r="AE426" s="281">
        <f>TABLA_BASE[[#This Row],[TOTAL PAGO
SUNAT
UNIT.(US$)]]*'📋 Datos Generales'!$E$19</f>
        <v>0</v>
      </c>
      <c r="AF426" s="281">
        <f>TABLA_BASE[[#This Row],[TOTAL TRIB.
UNIT.(S/.)]]*TABLA_BASE[[#This Row],[CANTIDAD
(unid.)]]</f>
        <v>0</v>
      </c>
      <c r="AG426" s="279">
        <f>IF('🧾 Factura Comercial'!G430=0,0,'📦 Gastos Importación'!$E$28*(IF('🧾 Tributos Aduana'!$F$6=0,0,'🧾 Factura Comercial'!I430/'🧾 Tributos Aduana'!$F$6))/'🧾 Factura Comercial'!G430)</f>
        <v>0</v>
      </c>
      <c r="AH426" s="279">
        <f>TABLA_BASE[[#This Row],[GASTOS IMP.
UNIT.(US$)]]*TABLA_BASE[[#This Row],[CANTIDAD
(unid.)]]</f>
        <v>0</v>
      </c>
      <c r="AI426" s="281">
        <f>TABLA_BASE[[#This Row],[GASTOS IMP.
UNIT.(US$)]]*'📋 Datos Generales'!$E$19</f>
        <v>0</v>
      </c>
      <c r="AJ426" s="281">
        <f>TABLA_BASE[[#This Row],[GASTOS IMP.
UNIT.(S/.)]]*TABLA_BASE[[#This Row],[CANTIDAD
(unid.)]]</f>
        <v>0</v>
      </c>
      <c r="AK426" s="280">
        <f>'🧮 Costos x Producto'!J430</f>
        <v>0</v>
      </c>
      <c r="AL426" s="278">
        <f>'🧮 Costos x Producto'!K430</f>
        <v>0</v>
      </c>
      <c r="AM426" s="278">
        <f>TABLA_BASE[[#This Row],[C/M UNIT.
(S/.)]]*TABLA_BASE[[#This Row],[CANTIDAD
(unid.)]]</f>
        <v>0</v>
      </c>
      <c r="AN426" s="279">
        <f>IF('🧾 Factura Comercial'!G430=0,0,'🧾 Tributos Aduana'!$F$17*(IF('🧾 Tributos Aduana'!$F$6=0,0,'🧾 Factura Comercial'!I430/'🧾 Tributos Aduana'!$F$6))/'🧾 Factura Comercial'!G430)</f>
        <v>0</v>
      </c>
      <c r="AO426" s="280">
        <f>IF('🧾 Factura Comercial'!G430=0,0,'🏦 Crédito Fiscal'!$C$16*(IF('🧾 Tributos Aduana'!$F$6=0,0,'🧾 Factura Comercial'!I430/'🧾 Tributos Aduana'!$F$6))/'🧾 Factura Comercial'!G430)</f>
        <v>0</v>
      </c>
      <c r="AP426" s="278">
        <f>TABLA_BASE[[#This Row],[CF UNIT.
✅RECUP.
(US$)]]*'📋 Datos Generales'!$E$19</f>
        <v>0</v>
      </c>
      <c r="AQ426" s="278">
        <f>TABLA_BASE[[#This Row],[CF UNIT.
✅RECUP.(S/.)]]*TABLA_BASE[[#This Row],[CANTIDAD
(unid.)]]</f>
        <v>0</v>
      </c>
      <c r="AR426" s="288">
        <f>'💰 Precio de Venta'!G431</f>
        <v>0.4</v>
      </c>
      <c r="AS426" s="278">
        <f>'💰 Precio de Venta'!H431</f>
        <v>0</v>
      </c>
      <c r="AT426" s="278">
        <f>TABLA_BASE[[#This Row],[VALOR VTA.
UNIT.(S/.)]]*TABLA_BASE[[#This Row],[CANTIDAD
(unid.)]]</f>
        <v>0</v>
      </c>
      <c r="AU426" s="281">
        <f>'💰 Precio de Venta'!I431</f>
        <v>0</v>
      </c>
      <c r="AV426" s="278">
        <f>'💰 Precio de Venta'!J431</f>
        <v>0</v>
      </c>
      <c r="AW426" s="278">
        <f>TABLA_BASE[[#This Row],[GANANCIA
UNIT.(S/.)]]*TABLA_BASE[[#This Row],[CANTIDAD
(unid.)]]</f>
        <v>0</v>
      </c>
      <c r="AX426" s="289">
        <f>'💰 Precio de Venta'!K431</f>
        <v>0</v>
      </c>
      <c r="AY426" s="278">
        <f>TABLA_BASE[[#This Row],[GANANCIA
UNIT.(S/.)]]*'🧾 Factura Comercial'!G430</f>
        <v>0</v>
      </c>
      <c r="AZ426" s="277">
        <f>IF(TABLA_BASE[[#This Row],[PRECIO VTA.
c/IGV(S/.)]]=0,0,TABLA_BASE[[#This Row],[GANANCIA
UNIT.(S/.)]]/TABLA_BASE[[#This Row],[PRECIO VTA.
c/IGV(S/.)]])</f>
        <v>0</v>
      </c>
      <c r="BA426" s="277">
        <f>IF(TABLA_BASE[[#This Row],[C/M UNIT.
(S/.)]]=0,0,TABLA_BASE[[#This Row],[GANANCIA
UNIT.(S/.)]]/TABLA_BASE[[#This Row],[C/M UNIT.
(S/.)]])</f>
        <v>0</v>
      </c>
      <c r="BB426" s="274" t="str">
        <f>IF(TABLA_BASE[[#This Row],[MARGEN
%]]&gt;=0.5,"🟢 ALTO",IF(TABLA_BASE[[#This Row],[MARGEN
%]]&gt;=0.3,"🟡 MEDIO","🔴 BAJO"))</f>
        <v>🟡 MEDIO</v>
      </c>
    </row>
    <row r="427" spans="1:54" ht="16.5" hidden="1" thickTop="1" thickBot="1" x14ac:dyDescent="0.3">
      <c r="A427" s="274">
        <f>'🧾 Factura Comercial'!E431</f>
        <v>0</v>
      </c>
      <c r="B427" s="274" t="str">
        <f>'🧾 Factura Comercial'!F431</f>
        <v>Unid.</v>
      </c>
      <c r="C427" s="275">
        <f>'🧾 Factura Comercial'!G431</f>
        <v>0</v>
      </c>
      <c r="D427" s="276">
        <f>'🧾 Factura Comercial'!H431</f>
        <v>0</v>
      </c>
      <c r="E427" s="276">
        <f>'🧾 Factura Comercial'!I431</f>
        <v>0</v>
      </c>
      <c r="F427" s="277">
        <f>IF('🧾 Tributos Aduana'!$F$6=0,0,'🧾 Factura Comercial'!I431/'🧾 Tributos Aduana'!$F$6)</f>
        <v>0</v>
      </c>
      <c r="G427" s="278">
        <f>'🧾 Factura Comercial'!H431*'📋 Datos Generales'!$E$19</f>
        <v>0</v>
      </c>
      <c r="H427" s="278">
        <f>TABLA_BASE[[#This Row],[FOB UNIT.
(S/.)]]*TABLA_BASE[[#This Row],[CANTIDAD
(unid.)]]</f>
        <v>0</v>
      </c>
      <c r="I427" s="280">
        <f>IF('🧾 Tributos Aduana'!$F$6=0,0,'🧾 Tributos Aduana'!$F$17*('🧾 Factura Comercial'!H431/'🧾 Tributos Aduana'!$F$6))</f>
        <v>0</v>
      </c>
      <c r="J427" s="280">
        <f>TABLA_BASE[[#This Row],[ADV UNIT.
(US$)
⚠️COSTO]]*TABLA_BASE[[#This Row],[CANTIDAD
(unid.)]]</f>
        <v>0</v>
      </c>
      <c r="K427" s="279">
        <f>IF('🧾 Tributos Aduana'!$F$6=0,0,'🧾 Tributos Aduana'!$F$18*('🧾 Factura Comercial'!H431/'🧾 Tributos Aduana'!$F$6))</f>
        <v>0</v>
      </c>
      <c r="L427" s="280">
        <f>TABLA_BASE[[#This Row],[IPM UNIT.
(US$)
✅CF]]*TABLA_BASE[[#This Row],[CANTIDAD
(unid.)]]</f>
        <v>0</v>
      </c>
      <c r="M427" s="279">
        <f>IF('🧾 Tributos Aduana'!$F$6=0,0,'🧾 Tributos Aduana'!$F$19*('🧾 Factura Comercial'!H431/'🧾 Tributos Aduana'!$F$6))</f>
        <v>0</v>
      </c>
      <c r="N427" s="280">
        <f>TABLA_BASE[[#This Row],[IGV UNIT.
(US$)
✅CF]]*TABLA_BASE[[#This Row],[CANTIDAD
(unid.)]]</f>
        <v>0</v>
      </c>
      <c r="O427" s="280">
        <f>IF('🧾 Tributos Aduana'!$F$6=0,0,'🧾 Tributos Aduana'!$F$23*('🧾 Factura Comercial'!H431/'🧾 Tributos Aduana'!$F$6))</f>
        <v>0</v>
      </c>
      <c r="P427" s="280">
        <f>TABLA_BASE[[#This Row],[PERCEP.
UNIT.(US$)
✅CF]]*TABLA_BASE[[#This Row],[CANTIDAD
(unid.)]]</f>
        <v>0</v>
      </c>
      <c r="Q427" s="279">
        <f>TABLA_BASE[[#This Row],[ADV UNIT.
(US$)
⚠️COSTO]]+TABLA_BASE[[#This Row],[IPM UNIT.
(US$)
✅CF]]+TABLA_BASE[[#This Row],[IGV UNIT.
(US$)
✅CF]]</f>
        <v>0</v>
      </c>
      <c r="R427" s="280">
        <f>TABLA_BASE[[#This Row],[DEUDA
ADUANERA
UNIT.]]*TABLA_BASE[[#This Row],[CANTIDAD
(unid.)]]</f>
        <v>0</v>
      </c>
      <c r="S427" s="278">
        <f>TABLA_BASE[[#This Row],[DEUDA
ADUANERA
UNIT.]]*'📋 Datos Generales'!$E$19</f>
        <v>0</v>
      </c>
      <c r="T427" s="278">
        <f>TABLA_BASE[[#This Row],[DEUDA
ADUANERA
TOTAL]]*'📋 Datos Generales'!$E$19</f>
        <v>0</v>
      </c>
      <c r="U427" s="281">
        <f>TABLA_BASE[[#This Row],[ADV UNIT.
(US$)
⚠️COSTO]]*'📋 Datos Generales'!$E$19</f>
        <v>0</v>
      </c>
      <c r="V427" s="281">
        <f>TABLA_BASE[[#This Row],[ADV UNIT.
(S/.)]]*TABLA_BASE[[#This Row],[CANTIDAD
(unid.)]]</f>
        <v>0</v>
      </c>
      <c r="W427" s="281">
        <f>TABLA_BASE[[#This Row],[IPM UNIT.
(US$)
✅CF]]*'📋 Datos Generales'!$E$19</f>
        <v>0</v>
      </c>
      <c r="X427" s="281">
        <f>TABLA_BASE[[#This Row],[IPM UNIT.
(S/.)]]*TABLA_BASE[[#This Row],[CANTIDAD
(unid.)]]</f>
        <v>0</v>
      </c>
      <c r="Y427" s="281">
        <f>TABLA_BASE[[#This Row],[IGV UNIT.
(US$)
✅CF]]*'📋 Datos Generales'!$E$19</f>
        <v>0</v>
      </c>
      <c r="Z427" s="281">
        <f>TABLA_BASE[[#This Row],[IGV UNIT.
(S/.)]]*TABLA_BASE[[#This Row],[CANTIDAD
(unid.)]]</f>
        <v>0</v>
      </c>
      <c r="AA427" s="281">
        <f>TABLA_BASE[[#This Row],[PERCEP.
UNIT.(US$)
✅CF]]*'📋 Datos Generales'!$E$19</f>
        <v>0</v>
      </c>
      <c r="AB427" s="281">
        <f>TABLA_BASE[[#This Row],[PERCEP.
UNIT.(S/.)]]*TABLA_BASE[[#This Row],[CANTIDAD
(unid.)]]</f>
        <v>0</v>
      </c>
      <c r="AC427" s="279">
        <f>TABLA_BASE[[#This Row],[ADV UNIT.
(US$)
⚠️COSTO]]+TABLA_BASE[[#This Row],[IPM UNIT.
(US$)
✅CF]]+TABLA_BASE[[#This Row],[IGV UNIT.
(US$)
✅CF]]+TABLA_BASE[[#This Row],[PERCEP.
UNIT.(US$)
✅CF]]</f>
        <v>0</v>
      </c>
      <c r="AD427" s="279">
        <f>TABLA_BASE[[#This Row],[TOTAL PAGO
SUNAT
UNIT.(US$)]]*TABLA_BASE[[#This Row],[CANTIDAD
(unid.)]]</f>
        <v>0</v>
      </c>
      <c r="AE427" s="281">
        <f>TABLA_BASE[[#This Row],[TOTAL PAGO
SUNAT
UNIT.(US$)]]*'📋 Datos Generales'!$E$19</f>
        <v>0</v>
      </c>
      <c r="AF427" s="281">
        <f>TABLA_BASE[[#This Row],[TOTAL TRIB.
UNIT.(S/.)]]*TABLA_BASE[[#This Row],[CANTIDAD
(unid.)]]</f>
        <v>0</v>
      </c>
      <c r="AG427" s="279">
        <f>IF('🧾 Factura Comercial'!G431=0,0,'📦 Gastos Importación'!$E$28*(IF('🧾 Tributos Aduana'!$F$6=0,0,'🧾 Factura Comercial'!I431/'🧾 Tributos Aduana'!$F$6))/'🧾 Factura Comercial'!G431)</f>
        <v>0</v>
      </c>
      <c r="AH427" s="279">
        <f>TABLA_BASE[[#This Row],[GASTOS IMP.
UNIT.(US$)]]*TABLA_BASE[[#This Row],[CANTIDAD
(unid.)]]</f>
        <v>0</v>
      </c>
      <c r="AI427" s="281">
        <f>TABLA_BASE[[#This Row],[GASTOS IMP.
UNIT.(US$)]]*'📋 Datos Generales'!$E$19</f>
        <v>0</v>
      </c>
      <c r="AJ427" s="281">
        <f>TABLA_BASE[[#This Row],[GASTOS IMP.
UNIT.(S/.)]]*TABLA_BASE[[#This Row],[CANTIDAD
(unid.)]]</f>
        <v>0</v>
      </c>
      <c r="AK427" s="280">
        <f>'🧮 Costos x Producto'!J431</f>
        <v>0</v>
      </c>
      <c r="AL427" s="278">
        <f>'🧮 Costos x Producto'!K431</f>
        <v>0</v>
      </c>
      <c r="AM427" s="278">
        <f>TABLA_BASE[[#This Row],[C/M UNIT.
(S/.)]]*TABLA_BASE[[#This Row],[CANTIDAD
(unid.)]]</f>
        <v>0</v>
      </c>
      <c r="AN427" s="279">
        <f>IF('🧾 Factura Comercial'!G431=0,0,'🧾 Tributos Aduana'!$F$17*(IF('🧾 Tributos Aduana'!$F$6=0,0,'🧾 Factura Comercial'!I431/'🧾 Tributos Aduana'!$F$6))/'🧾 Factura Comercial'!G431)</f>
        <v>0</v>
      </c>
      <c r="AO427" s="280">
        <f>IF('🧾 Factura Comercial'!G431=0,0,'🏦 Crédito Fiscal'!$C$16*(IF('🧾 Tributos Aduana'!$F$6=0,0,'🧾 Factura Comercial'!I431/'🧾 Tributos Aduana'!$F$6))/'🧾 Factura Comercial'!G431)</f>
        <v>0</v>
      </c>
      <c r="AP427" s="278">
        <f>TABLA_BASE[[#This Row],[CF UNIT.
✅RECUP.
(US$)]]*'📋 Datos Generales'!$E$19</f>
        <v>0</v>
      </c>
      <c r="AQ427" s="278">
        <f>TABLA_BASE[[#This Row],[CF UNIT.
✅RECUP.(S/.)]]*TABLA_BASE[[#This Row],[CANTIDAD
(unid.)]]</f>
        <v>0</v>
      </c>
      <c r="AR427" s="288">
        <f>'💰 Precio de Venta'!G432</f>
        <v>0.4</v>
      </c>
      <c r="AS427" s="278">
        <f>'💰 Precio de Venta'!H432</f>
        <v>0</v>
      </c>
      <c r="AT427" s="278">
        <f>TABLA_BASE[[#This Row],[VALOR VTA.
UNIT.(S/.)]]*TABLA_BASE[[#This Row],[CANTIDAD
(unid.)]]</f>
        <v>0</v>
      </c>
      <c r="AU427" s="281">
        <f>'💰 Precio de Venta'!I432</f>
        <v>0</v>
      </c>
      <c r="AV427" s="278">
        <f>'💰 Precio de Venta'!J432</f>
        <v>0</v>
      </c>
      <c r="AW427" s="278">
        <f>TABLA_BASE[[#This Row],[GANANCIA
UNIT.(S/.)]]*TABLA_BASE[[#This Row],[CANTIDAD
(unid.)]]</f>
        <v>0</v>
      </c>
      <c r="AX427" s="289">
        <f>'💰 Precio de Venta'!K432</f>
        <v>0</v>
      </c>
      <c r="AY427" s="278">
        <f>TABLA_BASE[[#This Row],[GANANCIA
UNIT.(S/.)]]*'🧾 Factura Comercial'!G431</f>
        <v>0</v>
      </c>
      <c r="AZ427" s="277">
        <f>IF(TABLA_BASE[[#This Row],[PRECIO VTA.
c/IGV(S/.)]]=0,0,TABLA_BASE[[#This Row],[GANANCIA
UNIT.(S/.)]]/TABLA_BASE[[#This Row],[PRECIO VTA.
c/IGV(S/.)]])</f>
        <v>0</v>
      </c>
      <c r="BA427" s="277">
        <f>IF(TABLA_BASE[[#This Row],[C/M UNIT.
(S/.)]]=0,0,TABLA_BASE[[#This Row],[GANANCIA
UNIT.(S/.)]]/TABLA_BASE[[#This Row],[C/M UNIT.
(S/.)]])</f>
        <v>0</v>
      </c>
      <c r="BB427" s="274" t="str">
        <f>IF(TABLA_BASE[[#This Row],[MARGEN
%]]&gt;=0.5,"🟢 ALTO",IF(TABLA_BASE[[#This Row],[MARGEN
%]]&gt;=0.3,"🟡 MEDIO","🔴 BAJO"))</f>
        <v>🟡 MEDIO</v>
      </c>
    </row>
    <row r="428" spans="1:54" ht="16.5" hidden="1" thickTop="1" thickBot="1" x14ac:dyDescent="0.3">
      <c r="A428" s="274">
        <f>'🧾 Factura Comercial'!E432</f>
        <v>0</v>
      </c>
      <c r="B428" s="274" t="str">
        <f>'🧾 Factura Comercial'!F432</f>
        <v>Unid.</v>
      </c>
      <c r="C428" s="275">
        <f>'🧾 Factura Comercial'!G432</f>
        <v>0</v>
      </c>
      <c r="D428" s="276">
        <f>'🧾 Factura Comercial'!H432</f>
        <v>0</v>
      </c>
      <c r="E428" s="276">
        <f>'🧾 Factura Comercial'!I432</f>
        <v>0</v>
      </c>
      <c r="F428" s="277">
        <f>IF('🧾 Tributos Aduana'!$F$6=0,0,'🧾 Factura Comercial'!I432/'🧾 Tributos Aduana'!$F$6)</f>
        <v>0</v>
      </c>
      <c r="G428" s="278">
        <f>'🧾 Factura Comercial'!H432*'📋 Datos Generales'!$E$19</f>
        <v>0</v>
      </c>
      <c r="H428" s="278">
        <f>TABLA_BASE[[#This Row],[FOB UNIT.
(S/.)]]*TABLA_BASE[[#This Row],[CANTIDAD
(unid.)]]</f>
        <v>0</v>
      </c>
      <c r="I428" s="280">
        <f>IF('🧾 Tributos Aduana'!$F$6=0,0,'🧾 Tributos Aduana'!$F$17*('🧾 Factura Comercial'!H432/'🧾 Tributos Aduana'!$F$6))</f>
        <v>0</v>
      </c>
      <c r="J428" s="280">
        <f>TABLA_BASE[[#This Row],[ADV UNIT.
(US$)
⚠️COSTO]]*TABLA_BASE[[#This Row],[CANTIDAD
(unid.)]]</f>
        <v>0</v>
      </c>
      <c r="K428" s="279">
        <f>IF('🧾 Tributos Aduana'!$F$6=0,0,'🧾 Tributos Aduana'!$F$18*('🧾 Factura Comercial'!H432/'🧾 Tributos Aduana'!$F$6))</f>
        <v>0</v>
      </c>
      <c r="L428" s="280">
        <f>TABLA_BASE[[#This Row],[IPM UNIT.
(US$)
✅CF]]*TABLA_BASE[[#This Row],[CANTIDAD
(unid.)]]</f>
        <v>0</v>
      </c>
      <c r="M428" s="279">
        <f>IF('🧾 Tributos Aduana'!$F$6=0,0,'🧾 Tributos Aduana'!$F$19*('🧾 Factura Comercial'!H432/'🧾 Tributos Aduana'!$F$6))</f>
        <v>0</v>
      </c>
      <c r="N428" s="280">
        <f>TABLA_BASE[[#This Row],[IGV UNIT.
(US$)
✅CF]]*TABLA_BASE[[#This Row],[CANTIDAD
(unid.)]]</f>
        <v>0</v>
      </c>
      <c r="O428" s="280">
        <f>IF('🧾 Tributos Aduana'!$F$6=0,0,'🧾 Tributos Aduana'!$F$23*('🧾 Factura Comercial'!H432/'🧾 Tributos Aduana'!$F$6))</f>
        <v>0</v>
      </c>
      <c r="P428" s="280">
        <f>TABLA_BASE[[#This Row],[PERCEP.
UNIT.(US$)
✅CF]]*TABLA_BASE[[#This Row],[CANTIDAD
(unid.)]]</f>
        <v>0</v>
      </c>
      <c r="Q428" s="279">
        <f>TABLA_BASE[[#This Row],[ADV UNIT.
(US$)
⚠️COSTO]]+TABLA_BASE[[#This Row],[IPM UNIT.
(US$)
✅CF]]+TABLA_BASE[[#This Row],[IGV UNIT.
(US$)
✅CF]]</f>
        <v>0</v>
      </c>
      <c r="R428" s="280">
        <f>TABLA_BASE[[#This Row],[DEUDA
ADUANERA
UNIT.]]*TABLA_BASE[[#This Row],[CANTIDAD
(unid.)]]</f>
        <v>0</v>
      </c>
      <c r="S428" s="278">
        <f>TABLA_BASE[[#This Row],[DEUDA
ADUANERA
UNIT.]]*'📋 Datos Generales'!$E$19</f>
        <v>0</v>
      </c>
      <c r="T428" s="278">
        <f>TABLA_BASE[[#This Row],[DEUDA
ADUANERA
TOTAL]]*'📋 Datos Generales'!$E$19</f>
        <v>0</v>
      </c>
      <c r="U428" s="281">
        <f>TABLA_BASE[[#This Row],[ADV UNIT.
(US$)
⚠️COSTO]]*'📋 Datos Generales'!$E$19</f>
        <v>0</v>
      </c>
      <c r="V428" s="281">
        <f>TABLA_BASE[[#This Row],[ADV UNIT.
(S/.)]]*TABLA_BASE[[#This Row],[CANTIDAD
(unid.)]]</f>
        <v>0</v>
      </c>
      <c r="W428" s="281">
        <f>TABLA_BASE[[#This Row],[IPM UNIT.
(US$)
✅CF]]*'📋 Datos Generales'!$E$19</f>
        <v>0</v>
      </c>
      <c r="X428" s="281">
        <f>TABLA_BASE[[#This Row],[IPM UNIT.
(S/.)]]*TABLA_BASE[[#This Row],[CANTIDAD
(unid.)]]</f>
        <v>0</v>
      </c>
      <c r="Y428" s="281">
        <f>TABLA_BASE[[#This Row],[IGV UNIT.
(US$)
✅CF]]*'📋 Datos Generales'!$E$19</f>
        <v>0</v>
      </c>
      <c r="Z428" s="281">
        <f>TABLA_BASE[[#This Row],[IGV UNIT.
(S/.)]]*TABLA_BASE[[#This Row],[CANTIDAD
(unid.)]]</f>
        <v>0</v>
      </c>
      <c r="AA428" s="281">
        <f>TABLA_BASE[[#This Row],[PERCEP.
UNIT.(US$)
✅CF]]*'📋 Datos Generales'!$E$19</f>
        <v>0</v>
      </c>
      <c r="AB428" s="281">
        <f>TABLA_BASE[[#This Row],[PERCEP.
UNIT.(S/.)]]*TABLA_BASE[[#This Row],[CANTIDAD
(unid.)]]</f>
        <v>0</v>
      </c>
      <c r="AC428" s="279">
        <f>TABLA_BASE[[#This Row],[ADV UNIT.
(US$)
⚠️COSTO]]+TABLA_BASE[[#This Row],[IPM UNIT.
(US$)
✅CF]]+TABLA_BASE[[#This Row],[IGV UNIT.
(US$)
✅CF]]+TABLA_BASE[[#This Row],[PERCEP.
UNIT.(US$)
✅CF]]</f>
        <v>0</v>
      </c>
      <c r="AD428" s="279">
        <f>TABLA_BASE[[#This Row],[TOTAL PAGO
SUNAT
UNIT.(US$)]]*TABLA_BASE[[#This Row],[CANTIDAD
(unid.)]]</f>
        <v>0</v>
      </c>
      <c r="AE428" s="281">
        <f>TABLA_BASE[[#This Row],[TOTAL PAGO
SUNAT
UNIT.(US$)]]*'📋 Datos Generales'!$E$19</f>
        <v>0</v>
      </c>
      <c r="AF428" s="281">
        <f>TABLA_BASE[[#This Row],[TOTAL TRIB.
UNIT.(S/.)]]*TABLA_BASE[[#This Row],[CANTIDAD
(unid.)]]</f>
        <v>0</v>
      </c>
      <c r="AG428" s="279">
        <f>IF('🧾 Factura Comercial'!G432=0,0,'📦 Gastos Importación'!$E$28*(IF('🧾 Tributos Aduana'!$F$6=0,0,'🧾 Factura Comercial'!I432/'🧾 Tributos Aduana'!$F$6))/'🧾 Factura Comercial'!G432)</f>
        <v>0</v>
      </c>
      <c r="AH428" s="279">
        <f>TABLA_BASE[[#This Row],[GASTOS IMP.
UNIT.(US$)]]*TABLA_BASE[[#This Row],[CANTIDAD
(unid.)]]</f>
        <v>0</v>
      </c>
      <c r="AI428" s="281">
        <f>TABLA_BASE[[#This Row],[GASTOS IMP.
UNIT.(US$)]]*'📋 Datos Generales'!$E$19</f>
        <v>0</v>
      </c>
      <c r="AJ428" s="281">
        <f>TABLA_BASE[[#This Row],[GASTOS IMP.
UNIT.(S/.)]]*TABLA_BASE[[#This Row],[CANTIDAD
(unid.)]]</f>
        <v>0</v>
      </c>
      <c r="AK428" s="280">
        <f>'🧮 Costos x Producto'!J432</f>
        <v>0</v>
      </c>
      <c r="AL428" s="278">
        <f>'🧮 Costos x Producto'!K432</f>
        <v>0</v>
      </c>
      <c r="AM428" s="278">
        <f>TABLA_BASE[[#This Row],[C/M UNIT.
(S/.)]]*TABLA_BASE[[#This Row],[CANTIDAD
(unid.)]]</f>
        <v>0</v>
      </c>
      <c r="AN428" s="279">
        <f>IF('🧾 Factura Comercial'!G432=0,0,'🧾 Tributos Aduana'!$F$17*(IF('🧾 Tributos Aduana'!$F$6=0,0,'🧾 Factura Comercial'!I432/'🧾 Tributos Aduana'!$F$6))/'🧾 Factura Comercial'!G432)</f>
        <v>0</v>
      </c>
      <c r="AO428" s="280">
        <f>IF('🧾 Factura Comercial'!G432=0,0,'🏦 Crédito Fiscal'!$C$16*(IF('🧾 Tributos Aduana'!$F$6=0,0,'🧾 Factura Comercial'!I432/'🧾 Tributos Aduana'!$F$6))/'🧾 Factura Comercial'!G432)</f>
        <v>0</v>
      </c>
      <c r="AP428" s="278">
        <f>TABLA_BASE[[#This Row],[CF UNIT.
✅RECUP.
(US$)]]*'📋 Datos Generales'!$E$19</f>
        <v>0</v>
      </c>
      <c r="AQ428" s="278">
        <f>TABLA_BASE[[#This Row],[CF UNIT.
✅RECUP.(S/.)]]*TABLA_BASE[[#This Row],[CANTIDAD
(unid.)]]</f>
        <v>0</v>
      </c>
      <c r="AR428" s="288">
        <f>'💰 Precio de Venta'!G433</f>
        <v>0.4</v>
      </c>
      <c r="AS428" s="278">
        <f>'💰 Precio de Venta'!H433</f>
        <v>0</v>
      </c>
      <c r="AT428" s="278">
        <f>TABLA_BASE[[#This Row],[VALOR VTA.
UNIT.(S/.)]]*TABLA_BASE[[#This Row],[CANTIDAD
(unid.)]]</f>
        <v>0</v>
      </c>
      <c r="AU428" s="281">
        <f>'💰 Precio de Venta'!I433</f>
        <v>0</v>
      </c>
      <c r="AV428" s="278">
        <f>'💰 Precio de Venta'!J433</f>
        <v>0</v>
      </c>
      <c r="AW428" s="278">
        <f>TABLA_BASE[[#This Row],[GANANCIA
UNIT.(S/.)]]*TABLA_BASE[[#This Row],[CANTIDAD
(unid.)]]</f>
        <v>0</v>
      </c>
      <c r="AX428" s="289">
        <f>'💰 Precio de Venta'!K433</f>
        <v>0</v>
      </c>
      <c r="AY428" s="278">
        <f>TABLA_BASE[[#This Row],[GANANCIA
UNIT.(S/.)]]*'🧾 Factura Comercial'!G432</f>
        <v>0</v>
      </c>
      <c r="AZ428" s="277">
        <f>IF(TABLA_BASE[[#This Row],[PRECIO VTA.
c/IGV(S/.)]]=0,0,TABLA_BASE[[#This Row],[GANANCIA
UNIT.(S/.)]]/TABLA_BASE[[#This Row],[PRECIO VTA.
c/IGV(S/.)]])</f>
        <v>0</v>
      </c>
      <c r="BA428" s="277">
        <f>IF(TABLA_BASE[[#This Row],[C/M UNIT.
(S/.)]]=0,0,TABLA_BASE[[#This Row],[GANANCIA
UNIT.(S/.)]]/TABLA_BASE[[#This Row],[C/M UNIT.
(S/.)]])</f>
        <v>0</v>
      </c>
      <c r="BB428" s="274" t="str">
        <f>IF(TABLA_BASE[[#This Row],[MARGEN
%]]&gt;=0.5,"🟢 ALTO",IF(TABLA_BASE[[#This Row],[MARGEN
%]]&gt;=0.3,"🟡 MEDIO","🔴 BAJO"))</f>
        <v>🟡 MEDIO</v>
      </c>
    </row>
    <row r="429" spans="1:54" ht="16.5" hidden="1" thickTop="1" thickBot="1" x14ac:dyDescent="0.3">
      <c r="A429" s="274">
        <f>'🧾 Factura Comercial'!E433</f>
        <v>0</v>
      </c>
      <c r="B429" s="274" t="str">
        <f>'🧾 Factura Comercial'!F433</f>
        <v>Unid.</v>
      </c>
      <c r="C429" s="275">
        <f>'🧾 Factura Comercial'!G433</f>
        <v>0</v>
      </c>
      <c r="D429" s="276">
        <f>'🧾 Factura Comercial'!H433</f>
        <v>0</v>
      </c>
      <c r="E429" s="276">
        <f>'🧾 Factura Comercial'!I433</f>
        <v>0</v>
      </c>
      <c r="F429" s="277">
        <f>IF('🧾 Tributos Aduana'!$F$6=0,0,'🧾 Factura Comercial'!I433/'🧾 Tributos Aduana'!$F$6)</f>
        <v>0</v>
      </c>
      <c r="G429" s="278">
        <f>'🧾 Factura Comercial'!H433*'📋 Datos Generales'!$E$19</f>
        <v>0</v>
      </c>
      <c r="H429" s="278">
        <f>TABLA_BASE[[#This Row],[FOB UNIT.
(S/.)]]*TABLA_BASE[[#This Row],[CANTIDAD
(unid.)]]</f>
        <v>0</v>
      </c>
      <c r="I429" s="280">
        <f>IF('🧾 Tributos Aduana'!$F$6=0,0,'🧾 Tributos Aduana'!$F$17*('🧾 Factura Comercial'!H433/'🧾 Tributos Aduana'!$F$6))</f>
        <v>0</v>
      </c>
      <c r="J429" s="280">
        <f>TABLA_BASE[[#This Row],[ADV UNIT.
(US$)
⚠️COSTO]]*TABLA_BASE[[#This Row],[CANTIDAD
(unid.)]]</f>
        <v>0</v>
      </c>
      <c r="K429" s="279">
        <f>IF('🧾 Tributos Aduana'!$F$6=0,0,'🧾 Tributos Aduana'!$F$18*('🧾 Factura Comercial'!H433/'🧾 Tributos Aduana'!$F$6))</f>
        <v>0</v>
      </c>
      <c r="L429" s="280">
        <f>TABLA_BASE[[#This Row],[IPM UNIT.
(US$)
✅CF]]*TABLA_BASE[[#This Row],[CANTIDAD
(unid.)]]</f>
        <v>0</v>
      </c>
      <c r="M429" s="279">
        <f>IF('🧾 Tributos Aduana'!$F$6=0,0,'🧾 Tributos Aduana'!$F$19*('🧾 Factura Comercial'!H433/'🧾 Tributos Aduana'!$F$6))</f>
        <v>0</v>
      </c>
      <c r="N429" s="280">
        <f>TABLA_BASE[[#This Row],[IGV UNIT.
(US$)
✅CF]]*TABLA_BASE[[#This Row],[CANTIDAD
(unid.)]]</f>
        <v>0</v>
      </c>
      <c r="O429" s="280">
        <f>IF('🧾 Tributos Aduana'!$F$6=0,0,'🧾 Tributos Aduana'!$F$23*('🧾 Factura Comercial'!H433/'🧾 Tributos Aduana'!$F$6))</f>
        <v>0</v>
      </c>
      <c r="P429" s="280">
        <f>TABLA_BASE[[#This Row],[PERCEP.
UNIT.(US$)
✅CF]]*TABLA_BASE[[#This Row],[CANTIDAD
(unid.)]]</f>
        <v>0</v>
      </c>
      <c r="Q429" s="279">
        <f>TABLA_BASE[[#This Row],[ADV UNIT.
(US$)
⚠️COSTO]]+TABLA_BASE[[#This Row],[IPM UNIT.
(US$)
✅CF]]+TABLA_BASE[[#This Row],[IGV UNIT.
(US$)
✅CF]]</f>
        <v>0</v>
      </c>
      <c r="R429" s="280">
        <f>TABLA_BASE[[#This Row],[DEUDA
ADUANERA
UNIT.]]*TABLA_BASE[[#This Row],[CANTIDAD
(unid.)]]</f>
        <v>0</v>
      </c>
      <c r="S429" s="278">
        <f>TABLA_BASE[[#This Row],[DEUDA
ADUANERA
UNIT.]]*'📋 Datos Generales'!$E$19</f>
        <v>0</v>
      </c>
      <c r="T429" s="278">
        <f>TABLA_BASE[[#This Row],[DEUDA
ADUANERA
TOTAL]]*'📋 Datos Generales'!$E$19</f>
        <v>0</v>
      </c>
      <c r="U429" s="281">
        <f>TABLA_BASE[[#This Row],[ADV UNIT.
(US$)
⚠️COSTO]]*'📋 Datos Generales'!$E$19</f>
        <v>0</v>
      </c>
      <c r="V429" s="281">
        <f>TABLA_BASE[[#This Row],[ADV UNIT.
(S/.)]]*TABLA_BASE[[#This Row],[CANTIDAD
(unid.)]]</f>
        <v>0</v>
      </c>
      <c r="W429" s="281">
        <f>TABLA_BASE[[#This Row],[IPM UNIT.
(US$)
✅CF]]*'📋 Datos Generales'!$E$19</f>
        <v>0</v>
      </c>
      <c r="X429" s="281">
        <f>TABLA_BASE[[#This Row],[IPM UNIT.
(S/.)]]*TABLA_BASE[[#This Row],[CANTIDAD
(unid.)]]</f>
        <v>0</v>
      </c>
      <c r="Y429" s="281">
        <f>TABLA_BASE[[#This Row],[IGV UNIT.
(US$)
✅CF]]*'📋 Datos Generales'!$E$19</f>
        <v>0</v>
      </c>
      <c r="Z429" s="281">
        <f>TABLA_BASE[[#This Row],[IGV UNIT.
(S/.)]]*TABLA_BASE[[#This Row],[CANTIDAD
(unid.)]]</f>
        <v>0</v>
      </c>
      <c r="AA429" s="281">
        <f>TABLA_BASE[[#This Row],[PERCEP.
UNIT.(US$)
✅CF]]*'📋 Datos Generales'!$E$19</f>
        <v>0</v>
      </c>
      <c r="AB429" s="281">
        <f>TABLA_BASE[[#This Row],[PERCEP.
UNIT.(S/.)]]*TABLA_BASE[[#This Row],[CANTIDAD
(unid.)]]</f>
        <v>0</v>
      </c>
      <c r="AC429" s="279">
        <f>TABLA_BASE[[#This Row],[ADV UNIT.
(US$)
⚠️COSTO]]+TABLA_BASE[[#This Row],[IPM UNIT.
(US$)
✅CF]]+TABLA_BASE[[#This Row],[IGV UNIT.
(US$)
✅CF]]+TABLA_BASE[[#This Row],[PERCEP.
UNIT.(US$)
✅CF]]</f>
        <v>0</v>
      </c>
      <c r="AD429" s="279">
        <f>TABLA_BASE[[#This Row],[TOTAL PAGO
SUNAT
UNIT.(US$)]]*TABLA_BASE[[#This Row],[CANTIDAD
(unid.)]]</f>
        <v>0</v>
      </c>
      <c r="AE429" s="281">
        <f>TABLA_BASE[[#This Row],[TOTAL PAGO
SUNAT
UNIT.(US$)]]*'📋 Datos Generales'!$E$19</f>
        <v>0</v>
      </c>
      <c r="AF429" s="281">
        <f>TABLA_BASE[[#This Row],[TOTAL TRIB.
UNIT.(S/.)]]*TABLA_BASE[[#This Row],[CANTIDAD
(unid.)]]</f>
        <v>0</v>
      </c>
      <c r="AG429" s="279">
        <f>IF('🧾 Factura Comercial'!G433=0,0,'📦 Gastos Importación'!$E$28*(IF('🧾 Tributos Aduana'!$F$6=0,0,'🧾 Factura Comercial'!I433/'🧾 Tributos Aduana'!$F$6))/'🧾 Factura Comercial'!G433)</f>
        <v>0</v>
      </c>
      <c r="AH429" s="279">
        <f>TABLA_BASE[[#This Row],[GASTOS IMP.
UNIT.(US$)]]*TABLA_BASE[[#This Row],[CANTIDAD
(unid.)]]</f>
        <v>0</v>
      </c>
      <c r="AI429" s="281">
        <f>TABLA_BASE[[#This Row],[GASTOS IMP.
UNIT.(US$)]]*'📋 Datos Generales'!$E$19</f>
        <v>0</v>
      </c>
      <c r="AJ429" s="281">
        <f>TABLA_BASE[[#This Row],[GASTOS IMP.
UNIT.(S/.)]]*TABLA_BASE[[#This Row],[CANTIDAD
(unid.)]]</f>
        <v>0</v>
      </c>
      <c r="AK429" s="280">
        <f>'🧮 Costos x Producto'!J433</f>
        <v>0</v>
      </c>
      <c r="AL429" s="278">
        <f>'🧮 Costos x Producto'!K433</f>
        <v>0</v>
      </c>
      <c r="AM429" s="278">
        <f>TABLA_BASE[[#This Row],[C/M UNIT.
(S/.)]]*TABLA_BASE[[#This Row],[CANTIDAD
(unid.)]]</f>
        <v>0</v>
      </c>
      <c r="AN429" s="279">
        <f>IF('🧾 Factura Comercial'!G433=0,0,'🧾 Tributos Aduana'!$F$17*(IF('🧾 Tributos Aduana'!$F$6=0,0,'🧾 Factura Comercial'!I433/'🧾 Tributos Aduana'!$F$6))/'🧾 Factura Comercial'!G433)</f>
        <v>0</v>
      </c>
      <c r="AO429" s="280">
        <f>IF('🧾 Factura Comercial'!G433=0,0,'🏦 Crédito Fiscal'!$C$16*(IF('🧾 Tributos Aduana'!$F$6=0,0,'🧾 Factura Comercial'!I433/'🧾 Tributos Aduana'!$F$6))/'🧾 Factura Comercial'!G433)</f>
        <v>0</v>
      </c>
      <c r="AP429" s="278">
        <f>TABLA_BASE[[#This Row],[CF UNIT.
✅RECUP.
(US$)]]*'📋 Datos Generales'!$E$19</f>
        <v>0</v>
      </c>
      <c r="AQ429" s="278">
        <f>TABLA_BASE[[#This Row],[CF UNIT.
✅RECUP.(S/.)]]*TABLA_BASE[[#This Row],[CANTIDAD
(unid.)]]</f>
        <v>0</v>
      </c>
      <c r="AR429" s="288">
        <f>'💰 Precio de Venta'!G434</f>
        <v>0.4</v>
      </c>
      <c r="AS429" s="278">
        <f>'💰 Precio de Venta'!H434</f>
        <v>0</v>
      </c>
      <c r="AT429" s="278">
        <f>TABLA_BASE[[#This Row],[VALOR VTA.
UNIT.(S/.)]]*TABLA_BASE[[#This Row],[CANTIDAD
(unid.)]]</f>
        <v>0</v>
      </c>
      <c r="AU429" s="281">
        <f>'💰 Precio de Venta'!I434</f>
        <v>0</v>
      </c>
      <c r="AV429" s="278">
        <f>'💰 Precio de Venta'!J434</f>
        <v>0</v>
      </c>
      <c r="AW429" s="278">
        <f>TABLA_BASE[[#This Row],[GANANCIA
UNIT.(S/.)]]*TABLA_BASE[[#This Row],[CANTIDAD
(unid.)]]</f>
        <v>0</v>
      </c>
      <c r="AX429" s="289">
        <f>'💰 Precio de Venta'!K434</f>
        <v>0</v>
      </c>
      <c r="AY429" s="278">
        <f>TABLA_BASE[[#This Row],[GANANCIA
UNIT.(S/.)]]*'🧾 Factura Comercial'!G433</f>
        <v>0</v>
      </c>
      <c r="AZ429" s="277">
        <f>IF(TABLA_BASE[[#This Row],[PRECIO VTA.
c/IGV(S/.)]]=0,0,TABLA_BASE[[#This Row],[GANANCIA
UNIT.(S/.)]]/TABLA_BASE[[#This Row],[PRECIO VTA.
c/IGV(S/.)]])</f>
        <v>0</v>
      </c>
      <c r="BA429" s="277">
        <f>IF(TABLA_BASE[[#This Row],[C/M UNIT.
(S/.)]]=0,0,TABLA_BASE[[#This Row],[GANANCIA
UNIT.(S/.)]]/TABLA_BASE[[#This Row],[C/M UNIT.
(S/.)]])</f>
        <v>0</v>
      </c>
      <c r="BB429" s="274" t="str">
        <f>IF(TABLA_BASE[[#This Row],[MARGEN
%]]&gt;=0.5,"🟢 ALTO",IF(TABLA_BASE[[#This Row],[MARGEN
%]]&gt;=0.3,"🟡 MEDIO","🔴 BAJO"))</f>
        <v>🟡 MEDIO</v>
      </c>
    </row>
    <row r="430" spans="1:54" ht="16.5" hidden="1" thickTop="1" thickBot="1" x14ac:dyDescent="0.3">
      <c r="A430" s="274">
        <f>'🧾 Factura Comercial'!E434</f>
        <v>0</v>
      </c>
      <c r="B430" s="274" t="str">
        <f>'🧾 Factura Comercial'!F434</f>
        <v>Unid.</v>
      </c>
      <c r="C430" s="275">
        <f>'🧾 Factura Comercial'!G434</f>
        <v>0</v>
      </c>
      <c r="D430" s="276">
        <f>'🧾 Factura Comercial'!H434</f>
        <v>0</v>
      </c>
      <c r="E430" s="276">
        <f>'🧾 Factura Comercial'!I434</f>
        <v>0</v>
      </c>
      <c r="F430" s="277">
        <f>IF('🧾 Tributos Aduana'!$F$6=0,0,'🧾 Factura Comercial'!I434/'🧾 Tributos Aduana'!$F$6)</f>
        <v>0</v>
      </c>
      <c r="G430" s="278">
        <f>'🧾 Factura Comercial'!H434*'📋 Datos Generales'!$E$19</f>
        <v>0</v>
      </c>
      <c r="H430" s="278">
        <f>TABLA_BASE[[#This Row],[FOB UNIT.
(S/.)]]*TABLA_BASE[[#This Row],[CANTIDAD
(unid.)]]</f>
        <v>0</v>
      </c>
      <c r="I430" s="280">
        <f>IF('🧾 Tributos Aduana'!$F$6=0,0,'🧾 Tributos Aduana'!$F$17*('🧾 Factura Comercial'!H434/'🧾 Tributos Aduana'!$F$6))</f>
        <v>0</v>
      </c>
      <c r="J430" s="280">
        <f>TABLA_BASE[[#This Row],[ADV UNIT.
(US$)
⚠️COSTO]]*TABLA_BASE[[#This Row],[CANTIDAD
(unid.)]]</f>
        <v>0</v>
      </c>
      <c r="K430" s="279">
        <f>IF('🧾 Tributos Aduana'!$F$6=0,0,'🧾 Tributos Aduana'!$F$18*('🧾 Factura Comercial'!H434/'🧾 Tributos Aduana'!$F$6))</f>
        <v>0</v>
      </c>
      <c r="L430" s="280">
        <f>TABLA_BASE[[#This Row],[IPM UNIT.
(US$)
✅CF]]*TABLA_BASE[[#This Row],[CANTIDAD
(unid.)]]</f>
        <v>0</v>
      </c>
      <c r="M430" s="279">
        <f>IF('🧾 Tributos Aduana'!$F$6=0,0,'🧾 Tributos Aduana'!$F$19*('🧾 Factura Comercial'!H434/'🧾 Tributos Aduana'!$F$6))</f>
        <v>0</v>
      </c>
      <c r="N430" s="280">
        <f>TABLA_BASE[[#This Row],[IGV UNIT.
(US$)
✅CF]]*TABLA_BASE[[#This Row],[CANTIDAD
(unid.)]]</f>
        <v>0</v>
      </c>
      <c r="O430" s="280">
        <f>IF('🧾 Tributos Aduana'!$F$6=0,0,'🧾 Tributos Aduana'!$F$23*('🧾 Factura Comercial'!H434/'🧾 Tributos Aduana'!$F$6))</f>
        <v>0</v>
      </c>
      <c r="P430" s="280">
        <f>TABLA_BASE[[#This Row],[PERCEP.
UNIT.(US$)
✅CF]]*TABLA_BASE[[#This Row],[CANTIDAD
(unid.)]]</f>
        <v>0</v>
      </c>
      <c r="Q430" s="279">
        <f>TABLA_BASE[[#This Row],[ADV UNIT.
(US$)
⚠️COSTO]]+TABLA_BASE[[#This Row],[IPM UNIT.
(US$)
✅CF]]+TABLA_BASE[[#This Row],[IGV UNIT.
(US$)
✅CF]]</f>
        <v>0</v>
      </c>
      <c r="R430" s="280">
        <f>TABLA_BASE[[#This Row],[DEUDA
ADUANERA
UNIT.]]*TABLA_BASE[[#This Row],[CANTIDAD
(unid.)]]</f>
        <v>0</v>
      </c>
      <c r="S430" s="278">
        <f>TABLA_BASE[[#This Row],[DEUDA
ADUANERA
UNIT.]]*'📋 Datos Generales'!$E$19</f>
        <v>0</v>
      </c>
      <c r="T430" s="278">
        <f>TABLA_BASE[[#This Row],[DEUDA
ADUANERA
TOTAL]]*'📋 Datos Generales'!$E$19</f>
        <v>0</v>
      </c>
      <c r="U430" s="281">
        <f>TABLA_BASE[[#This Row],[ADV UNIT.
(US$)
⚠️COSTO]]*'📋 Datos Generales'!$E$19</f>
        <v>0</v>
      </c>
      <c r="V430" s="281">
        <f>TABLA_BASE[[#This Row],[ADV UNIT.
(S/.)]]*TABLA_BASE[[#This Row],[CANTIDAD
(unid.)]]</f>
        <v>0</v>
      </c>
      <c r="W430" s="281">
        <f>TABLA_BASE[[#This Row],[IPM UNIT.
(US$)
✅CF]]*'📋 Datos Generales'!$E$19</f>
        <v>0</v>
      </c>
      <c r="X430" s="281">
        <f>TABLA_BASE[[#This Row],[IPM UNIT.
(S/.)]]*TABLA_BASE[[#This Row],[CANTIDAD
(unid.)]]</f>
        <v>0</v>
      </c>
      <c r="Y430" s="281">
        <f>TABLA_BASE[[#This Row],[IGV UNIT.
(US$)
✅CF]]*'📋 Datos Generales'!$E$19</f>
        <v>0</v>
      </c>
      <c r="Z430" s="281">
        <f>TABLA_BASE[[#This Row],[IGV UNIT.
(S/.)]]*TABLA_BASE[[#This Row],[CANTIDAD
(unid.)]]</f>
        <v>0</v>
      </c>
      <c r="AA430" s="281">
        <f>TABLA_BASE[[#This Row],[PERCEP.
UNIT.(US$)
✅CF]]*'📋 Datos Generales'!$E$19</f>
        <v>0</v>
      </c>
      <c r="AB430" s="281">
        <f>TABLA_BASE[[#This Row],[PERCEP.
UNIT.(S/.)]]*TABLA_BASE[[#This Row],[CANTIDAD
(unid.)]]</f>
        <v>0</v>
      </c>
      <c r="AC430" s="279">
        <f>TABLA_BASE[[#This Row],[ADV UNIT.
(US$)
⚠️COSTO]]+TABLA_BASE[[#This Row],[IPM UNIT.
(US$)
✅CF]]+TABLA_BASE[[#This Row],[IGV UNIT.
(US$)
✅CF]]+TABLA_BASE[[#This Row],[PERCEP.
UNIT.(US$)
✅CF]]</f>
        <v>0</v>
      </c>
      <c r="AD430" s="279">
        <f>TABLA_BASE[[#This Row],[TOTAL PAGO
SUNAT
UNIT.(US$)]]*TABLA_BASE[[#This Row],[CANTIDAD
(unid.)]]</f>
        <v>0</v>
      </c>
      <c r="AE430" s="281">
        <f>TABLA_BASE[[#This Row],[TOTAL PAGO
SUNAT
UNIT.(US$)]]*'📋 Datos Generales'!$E$19</f>
        <v>0</v>
      </c>
      <c r="AF430" s="281">
        <f>TABLA_BASE[[#This Row],[TOTAL TRIB.
UNIT.(S/.)]]*TABLA_BASE[[#This Row],[CANTIDAD
(unid.)]]</f>
        <v>0</v>
      </c>
      <c r="AG430" s="279">
        <f>IF('🧾 Factura Comercial'!G434=0,0,'📦 Gastos Importación'!$E$28*(IF('🧾 Tributos Aduana'!$F$6=0,0,'🧾 Factura Comercial'!I434/'🧾 Tributos Aduana'!$F$6))/'🧾 Factura Comercial'!G434)</f>
        <v>0</v>
      </c>
      <c r="AH430" s="279">
        <f>TABLA_BASE[[#This Row],[GASTOS IMP.
UNIT.(US$)]]*TABLA_BASE[[#This Row],[CANTIDAD
(unid.)]]</f>
        <v>0</v>
      </c>
      <c r="AI430" s="281">
        <f>TABLA_BASE[[#This Row],[GASTOS IMP.
UNIT.(US$)]]*'📋 Datos Generales'!$E$19</f>
        <v>0</v>
      </c>
      <c r="AJ430" s="281">
        <f>TABLA_BASE[[#This Row],[GASTOS IMP.
UNIT.(S/.)]]*TABLA_BASE[[#This Row],[CANTIDAD
(unid.)]]</f>
        <v>0</v>
      </c>
      <c r="AK430" s="280">
        <f>'🧮 Costos x Producto'!J434</f>
        <v>0</v>
      </c>
      <c r="AL430" s="278">
        <f>'🧮 Costos x Producto'!K434</f>
        <v>0</v>
      </c>
      <c r="AM430" s="278">
        <f>TABLA_BASE[[#This Row],[C/M UNIT.
(S/.)]]*TABLA_BASE[[#This Row],[CANTIDAD
(unid.)]]</f>
        <v>0</v>
      </c>
      <c r="AN430" s="279">
        <f>IF('🧾 Factura Comercial'!G434=0,0,'🧾 Tributos Aduana'!$F$17*(IF('🧾 Tributos Aduana'!$F$6=0,0,'🧾 Factura Comercial'!I434/'🧾 Tributos Aduana'!$F$6))/'🧾 Factura Comercial'!G434)</f>
        <v>0</v>
      </c>
      <c r="AO430" s="280">
        <f>IF('🧾 Factura Comercial'!G434=0,0,'🏦 Crédito Fiscal'!$C$16*(IF('🧾 Tributos Aduana'!$F$6=0,0,'🧾 Factura Comercial'!I434/'🧾 Tributos Aduana'!$F$6))/'🧾 Factura Comercial'!G434)</f>
        <v>0</v>
      </c>
      <c r="AP430" s="278">
        <f>TABLA_BASE[[#This Row],[CF UNIT.
✅RECUP.
(US$)]]*'📋 Datos Generales'!$E$19</f>
        <v>0</v>
      </c>
      <c r="AQ430" s="278">
        <f>TABLA_BASE[[#This Row],[CF UNIT.
✅RECUP.(S/.)]]*TABLA_BASE[[#This Row],[CANTIDAD
(unid.)]]</f>
        <v>0</v>
      </c>
      <c r="AR430" s="288">
        <f>'💰 Precio de Venta'!G435</f>
        <v>0.4</v>
      </c>
      <c r="AS430" s="278">
        <f>'💰 Precio de Venta'!H435</f>
        <v>0</v>
      </c>
      <c r="AT430" s="278">
        <f>TABLA_BASE[[#This Row],[VALOR VTA.
UNIT.(S/.)]]*TABLA_BASE[[#This Row],[CANTIDAD
(unid.)]]</f>
        <v>0</v>
      </c>
      <c r="AU430" s="281">
        <f>'💰 Precio de Venta'!I435</f>
        <v>0</v>
      </c>
      <c r="AV430" s="278">
        <f>'💰 Precio de Venta'!J435</f>
        <v>0</v>
      </c>
      <c r="AW430" s="278">
        <f>TABLA_BASE[[#This Row],[GANANCIA
UNIT.(S/.)]]*TABLA_BASE[[#This Row],[CANTIDAD
(unid.)]]</f>
        <v>0</v>
      </c>
      <c r="AX430" s="289">
        <f>'💰 Precio de Venta'!K435</f>
        <v>0</v>
      </c>
      <c r="AY430" s="278">
        <f>TABLA_BASE[[#This Row],[GANANCIA
UNIT.(S/.)]]*'🧾 Factura Comercial'!G434</f>
        <v>0</v>
      </c>
      <c r="AZ430" s="277">
        <f>IF(TABLA_BASE[[#This Row],[PRECIO VTA.
c/IGV(S/.)]]=0,0,TABLA_BASE[[#This Row],[GANANCIA
UNIT.(S/.)]]/TABLA_BASE[[#This Row],[PRECIO VTA.
c/IGV(S/.)]])</f>
        <v>0</v>
      </c>
      <c r="BA430" s="277">
        <f>IF(TABLA_BASE[[#This Row],[C/M UNIT.
(S/.)]]=0,0,TABLA_BASE[[#This Row],[GANANCIA
UNIT.(S/.)]]/TABLA_BASE[[#This Row],[C/M UNIT.
(S/.)]])</f>
        <v>0</v>
      </c>
      <c r="BB430" s="274" t="str">
        <f>IF(TABLA_BASE[[#This Row],[MARGEN
%]]&gt;=0.5,"🟢 ALTO",IF(TABLA_BASE[[#This Row],[MARGEN
%]]&gt;=0.3,"🟡 MEDIO","🔴 BAJO"))</f>
        <v>🟡 MEDIO</v>
      </c>
    </row>
    <row r="431" spans="1:54" ht="16.5" hidden="1" thickTop="1" thickBot="1" x14ac:dyDescent="0.3">
      <c r="A431" s="274">
        <f>'🧾 Factura Comercial'!E435</f>
        <v>0</v>
      </c>
      <c r="B431" s="274" t="str">
        <f>'🧾 Factura Comercial'!F435</f>
        <v>Unid.</v>
      </c>
      <c r="C431" s="275">
        <f>'🧾 Factura Comercial'!G435</f>
        <v>0</v>
      </c>
      <c r="D431" s="276">
        <f>'🧾 Factura Comercial'!H435</f>
        <v>0</v>
      </c>
      <c r="E431" s="276">
        <f>'🧾 Factura Comercial'!I435</f>
        <v>0</v>
      </c>
      <c r="F431" s="277">
        <f>IF('🧾 Tributos Aduana'!$F$6=0,0,'🧾 Factura Comercial'!I435/'🧾 Tributos Aduana'!$F$6)</f>
        <v>0</v>
      </c>
      <c r="G431" s="278">
        <f>'🧾 Factura Comercial'!H435*'📋 Datos Generales'!$E$19</f>
        <v>0</v>
      </c>
      <c r="H431" s="278">
        <f>TABLA_BASE[[#This Row],[FOB UNIT.
(S/.)]]*TABLA_BASE[[#This Row],[CANTIDAD
(unid.)]]</f>
        <v>0</v>
      </c>
      <c r="I431" s="280">
        <f>IF('🧾 Tributos Aduana'!$F$6=0,0,'🧾 Tributos Aduana'!$F$17*('🧾 Factura Comercial'!H435/'🧾 Tributos Aduana'!$F$6))</f>
        <v>0</v>
      </c>
      <c r="J431" s="280">
        <f>TABLA_BASE[[#This Row],[ADV UNIT.
(US$)
⚠️COSTO]]*TABLA_BASE[[#This Row],[CANTIDAD
(unid.)]]</f>
        <v>0</v>
      </c>
      <c r="K431" s="279">
        <f>IF('🧾 Tributos Aduana'!$F$6=0,0,'🧾 Tributos Aduana'!$F$18*('🧾 Factura Comercial'!H435/'🧾 Tributos Aduana'!$F$6))</f>
        <v>0</v>
      </c>
      <c r="L431" s="280">
        <f>TABLA_BASE[[#This Row],[IPM UNIT.
(US$)
✅CF]]*TABLA_BASE[[#This Row],[CANTIDAD
(unid.)]]</f>
        <v>0</v>
      </c>
      <c r="M431" s="279">
        <f>IF('🧾 Tributos Aduana'!$F$6=0,0,'🧾 Tributos Aduana'!$F$19*('🧾 Factura Comercial'!H435/'🧾 Tributos Aduana'!$F$6))</f>
        <v>0</v>
      </c>
      <c r="N431" s="280">
        <f>TABLA_BASE[[#This Row],[IGV UNIT.
(US$)
✅CF]]*TABLA_BASE[[#This Row],[CANTIDAD
(unid.)]]</f>
        <v>0</v>
      </c>
      <c r="O431" s="280">
        <f>IF('🧾 Tributos Aduana'!$F$6=0,0,'🧾 Tributos Aduana'!$F$23*('🧾 Factura Comercial'!H435/'🧾 Tributos Aduana'!$F$6))</f>
        <v>0</v>
      </c>
      <c r="P431" s="280">
        <f>TABLA_BASE[[#This Row],[PERCEP.
UNIT.(US$)
✅CF]]*TABLA_BASE[[#This Row],[CANTIDAD
(unid.)]]</f>
        <v>0</v>
      </c>
      <c r="Q431" s="279">
        <f>TABLA_BASE[[#This Row],[ADV UNIT.
(US$)
⚠️COSTO]]+TABLA_BASE[[#This Row],[IPM UNIT.
(US$)
✅CF]]+TABLA_BASE[[#This Row],[IGV UNIT.
(US$)
✅CF]]</f>
        <v>0</v>
      </c>
      <c r="R431" s="280">
        <f>TABLA_BASE[[#This Row],[DEUDA
ADUANERA
UNIT.]]*TABLA_BASE[[#This Row],[CANTIDAD
(unid.)]]</f>
        <v>0</v>
      </c>
      <c r="S431" s="278">
        <f>TABLA_BASE[[#This Row],[DEUDA
ADUANERA
UNIT.]]*'📋 Datos Generales'!$E$19</f>
        <v>0</v>
      </c>
      <c r="T431" s="278">
        <f>TABLA_BASE[[#This Row],[DEUDA
ADUANERA
TOTAL]]*'📋 Datos Generales'!$E$19</f>
        <v>0</v>
      </c>
      <c r="U431" s="281">
        <f>TABLA_BASE[[#This Row],[ADV UNIT.
(US$)
⚠️COSTO]]*'📋 Datos Generales'!$E$19</f>
        <v>0</v>
      </c>
      <c r="V431" s="281">
        <f>TABLA_BASE[[#This Row],[ADV UNIT.
(S/.)]]*TABLA_BASE[[#This Row],[CANTIDAD
(unid.)]]</f>
        <v>0</v>
      </c>
      <c r="W431" s="281">
        <f>TABLA_BASE[[#This Row],[IPM UNIT.
(US$)
✅CF]]*'📋 Datos Generales'!$E$19</f>
        <v>0</v>
      </c>
      <c r="X431" s="281">
        <f>TABLA_BASE[[#This Row],[IPM UNIT.
(S/.)]]*TABLA_BASE[[#This Row],[CANTIDAD
(unid.)]]</f>
        <v>0</v>
      </c>
      <c r="Y431" s="281">
        <f>TABLA_BASE[[#This Row],[IGV UNIT.
(US$)
✅CF]]*'📋 Datos Generales'!$E$19</f>
        <v>0</v>
      </c>
      <c r="Z431" s="281">
        <f>TABLA_BASE[[#This Row],[IGV UNIT.
(S/.)]]*TABLA_BASE[[#This Row],[CANTIDAD
(unid.)]]</f>
        <v>0</v>
      </c>
      <c r="AA431" s="281">
        <f>TABLA_BASE[[#This Row],[PERCEP.
UNIT.(US$)
✅CF]]*'📋 Datos Generales'!$E$19</f>
        <v>0</v>
      </c>
      <c r="AB431" s="281">
        <f>TABLA_BASE[[#This Row],[PERCEP.
UNIT.(S/.)]]*TABLA_BASE[[#This Row],[CANTIDAD
(unid.)]]</f>
        <v>0</v>
      </c>
      <c r="AC431" s="279">
        <f>TABLA_BASE[[#This Row],[ADV UNIT.
(US$)
⚠️COSTO]]+TABLA_BASE[[#This Row],[IPM UNIT.
(US$)
✅CF]]+TABLA_BASE[[#This Row],[IGV UNIT.
(US$)
✅CF]]+TABLA_BASE[[#This Row],[PERCEP.
UNIT.(US$)
✅CF]]</f>
        <v>0</v>
      </c>
      <c r="AD431" s="279">
        <f>TABLA_BASE[[#This Row],[TOTAL PAGO
SUNAT
UNIT.(US$)]]*TABLA_BASE[[#This Row],[CANTIDAD
(unid.)]]</f>
        <v>0</v>
      </c>
      <c r="AE431" s="281">
        <f>TABLA_BASE[[#This Row],[TOTAL PAGO
SUNAT
UNIT.(US$)]]*'📋 Datos Generales'!$E$19</f>
        <v>0</v>
      </c>
      <c r="AF431" s="281">
        <f>TABLA_BASE[[#This Row],[TOTAL TRIB.
UNIT.(S/.)]]*TABLA_BASE[[#This Row],[CANTIDAD
(unid.)]]</f>
        <v>0</v>
      </c>
      <c r="AG431" s="279">
        <f>IF('🧾 Factura Comercial'!G435=0,0,'📦 Gastos Importación'!$E$28*(IF('🧾 Tributos Aduana'!$F$6=0,0,'🧾 Factura Comercial'!I435/'🧾 Tributos Aduana'!$F$6))/'🧾 Factura Comercial'!G435)</f>
        <v>0</v>
      </c>
      <c r="AH431" s="279">
        <f>TABLA_BASE[[#This Row],[GASTOS IMP.
UNIT.(US$)]]*TABLA_BASE[[#This Row],[CANTIDAD
(unid.)]]</f>
        <v>0</v>
      </c>
      <c r="AI431" s="281">
        <f>TABLA_BASE[[#This Row],[GASTOS IMP.
UNIT.(US$)]]*'📋 Datos Generales'!$E$19</f>
        <v>0</v>
      </c>
      <c r="AJ431" s="281">
        <f>TABLA_BASE[[#This Row],[GASTOS IMP.
UNIT.(S/.)]]*TABLA_BASE[[#This Row],[CANTIDAD
(unid.)]]</f>
        <v>0</v>
      </c>
      <c r="AK431" s="280">
        <f>'🧮 Costos x Producto'!J435</f>
        <v>0</v>
      </c>
      <c r="AL431" s="278">
        <f>'🧮 Costos x Producto'!K435</f>
        <v>0</v>
      </c>
      <c r="AM431" s="278">
        <f>TABLA_BASE[[#This Row],[C/M UNIT.
(S/.)]]*TABLA_BASE[[#This Row],[CANTIDAD
(unid.)]]</f>
        <v>0</v>
      </c>
      <c r="AN431" s="279">
        <f>IF('🧾 Factura Comercial'!G435=0,0,'🧾 Tributos Aduana'!$F$17*(IF('🧾 Tributos Aduana'!$F$6=0,0,'🧾 Factura Comercial'!I435/'🧾 Tributos Aduana'!$F$6))/'🧾 Factura Comercial'!G435)</f>
        <v>0</v>
      </c>
      <c r="AO431" s="280">
        <f>IF('🧾 Factura Comercial'!G435=0,0,'🏦 Crédito Fiscal'!$C$16*(IF('🧾 Tributos Aduana'!$F$6=0,0,'🧾 Factura Comercial'!I435/'🧾 Tributos Aduana'!$F$6))/'🧾 Factura Comercial'!G435)</f>
        <v>0</v>
      </c>
      <c r="AP431" s="278">
        <f>TABLA_BASE[[#This Row],[CF UNIT.
✅RECUP.
(US$)]]*'📋 Datos Generales'!$E$19</f>
        <v>0</v>
      </c>
      <c r="AQ431" s="278">
        <f>TABLA_BASE[[#This Row],[CF UNIT.
✅RECUP.(S/.)]]*TABLA_BASE[[#This Row],[CANTIDAD
(unid.)]]</f>
        <v>0</v>
      </c>
      <c r="AR431" s="288">
        <f>'💰 Precio de Venta'!G436</f>
        <v>0.4</v>
      </c>
      <c r="AS431" s="278">
        <f>'💰 Precio de Venta'!H436</f>
        <v>0</v>
      </c>
      <c r="AT431" s="278">
        <f>TABLA_BASE[[#This Row],[VALOR VTA.
UNIT.(S/.)]]*TABLA_BASE[[#This Row],[CANTIDAD
(unid.)]]</f>
        <v>0</v>
      </c>
      <c r="AU431" s="281">
        <f>'💰 Precio de Venta'!I436</f>
        <v>0</v>
      </c>
      <c r="AV431" s="278">
        <f>'💰 Precio de Venta'!J436</f>
        <v>0</v>
      </c>
      <c r="AW431" s="278">
        <f>TABLA_BASE[[#This Row],[GANANCIA
UNIT.(S/.)]]*TABLA_BASE[[#This Row],[CANTIDAD
(unid.)]]</f>
        <v>0</v>
      </c>
      <c r="AX431" s="289">
        <f>'💰 Precio de Venta'!K436</f>
        <v>0</v>
      </c>
      <c r="AY431" s="278">
        <f>TABLA_BASE[[#This Row],[GANANCIA
UNIT.(S/.)]]*'🧾 Factura Comercial'!G435</f>
        <v>0</v>
      </c>
      <c r="AZ431" s="277">
        <f>IF(TABLA_BASE[[#This Row],[PRECIO VTA.
c/IGV(S/.)]]=0,0,TABLA_BASE[[#This Row],[GANANCIA
UNIT.(S/.)]]/TABLA_BASE[[#This Row],[PRECIO VTA.
c/IGV(S/.)]])</f>
        <v>0</v>
      </c>
      <c r="BA431" s="277">
        <f>IF(TABLA_BASE[[#This Row],[C/M UNIT.
(S/.)]]=0,0,TABLA_BASE[[#This Row],[GANANCIA
UNIT.(S/.)]]/TABLA_BASE[[#This Row],[C/M UNIT.
(S/.)]])</f>
        <v>0</v>
      </c>
      <c r="BB431" s="274" t="str">
        <f>IF(TABLA_BASE[[#This Row],[MARGEN
%]]&gt;=0.5,"🟢 ALTO",IF(TABLA_BASE[[#This Row],[MARGEN
%]]&gt;=0.3,"🟡 MEDIO","🔴 BAJO"))</f>
        <v>🟡 MEDIO</v>
      </c>
    </row>
    <row r="432" spans="1:54" ht="16.5" hidden="1" thickTop="1" thickBot="1" x14ac:dyDescent="0.3">
      <c r="A432" s="274">
        <f>'🧾 Factura Comercial'!E436</f>
        <v>0</v>
      </c>
      <c r="B432" s="274" t="str">
        <f>'🧾 Factura Comercial'!F436</f>
        <v>Unid.</v>
      </c>
      <c r="C432" s="275">
        <f>'🧾 Factura Comercial'!G436</f>
        <v>0</v>
      </c>
      <c r="D432" s="276">
        <f>'🧾 Factura Comercial'!H436</f>
        <v>0</v>
      </c>
      <c r="E432" s="276">
        <f>'🧾 Factura Comercial'!I436</f>
        <v>0</v>
      </c>
      <c r="F432" s="277">
        <f>IF('🧾 Tributos Aduana'!$F$6=0,0,'🧾 Factura Comercial'!I436/'🧾 Tributos Aduana'!$F$6)</f>
        <v>0</v>
      </c>
      <c r="G432" s="278">
        <f>'🧾 Factura Comercial'!H436*'📋 Datos Generales'!$E$19</f>
        <v>0</v>
      </c>
      <c r="H432" s="278">
        <f>TABLA_BASE[[#This Row],[FOB UNIT.
(S/.)]]*TABLA_BASE[[#This Row],[CANTIDAD
(unid.)]]</f>
        <v>0</v>
      </c>
      <c r="I432" s="280">
        <f>IF('🧾 Tributos Aduana'!$F$6=0,0,'🧾 Tributos Aduana'!$F$17*('🧾 Factura Comercial'!H436/'🧾 Tributos Aduana'!$F$6))</f>
        <v>0</v>
      </c>
      <c r="J432" s="280">
        <f>TABLA_BASE[[#This Row],[ADV UNIT.
(US$)
⚠️COSTO]]*TABLA_BASE[[#This Row],[CANTIDAD
(unid.)]]</f>
        <v>0</v>
      </c>
      <c r="K432" s="279">
        <f>IF('🧾 Tributos Aduana'!$F$6=0,0,'🧾 Tributos Aduana'!$F$18*('🧾 Factura Comercial'!H436/'🧾 Tributos Aduana'!$F$6))</f>
        <v>0</v>
      </c>
      <c r="L432" s="280">
        <f>TABLA_BASE[[#This Row],[IPM UNIT.
(US$)
✅CF]]*TABLA_BASE[[#This Row],[CANTIDAD
(unid.)]]</f>
        <v>0</v>
      </c>
      <c r="M432" s="279">
        <f>IF('🧾 Tributos Aduana'!$F$6=0,0,'🧾 Tributos Aduana'!$F$19*('🧾 Factura Comercial'!H436/'🧾 Tributos Aduana'!$F$6))</f>
        <v>0</v>
      </c>
      <c r="N432" s="280">
        <f>TABLA_BASE[[#This Row],[IGV UNIT.
(US$)
✅CF]]*TABLA_BASE[[#This Row],[CANTIDAD
(unid.)]]</f>
        <v>0</v>
      </c>
      <c r="O432" s="280">
        <f>IF('🧾 Tributos Aduana'!$F$6=0,0,'🧾 Tributos Aduana'!$F$23*('🧾 Factura Comercial'!H436/'🧾 Tributos Aduana'!$F$6))</f>
        <v>0</v>
      </c>
      <c r="P432" s="280">
        <f>TABLA_BASE[[#This Row],[PERCEP.
UNIT.(US$)
✅CF]]*TABLA_BASE[[#This Row],[CANTIDAD
(unid.)]]</f>
        <v>0</v>
      </c>
      <c r="Q432" s="279">
        <f>TABLA_BASE[[#This Row],[ADV UNIT.
(US$)
⚠️COSTO]]+TABLA_BASE[[#This Row],[IPM UNIT.
(US$)
✅CF]]+TABLA_BASE[[#This Row],[IGV UNIT.
(US$)
✅CF]]</f>
        <v>0</v>
      </c>
      <c r="R432" s="280">
        <f>TABLA_BASE[[#This Row],[DEUDA
ADUANERA
UNIT.]]*TABLA_BASE[[#This Row],[CANTIDAD
(unid.)]]</f>
        <v>0</v>
      </c>
      <c r="S432" s="278">
        <f>TABLA_BASE[[#This Row],[DEUDA
ADUANERA
UNIT.]]*'📋 Datos Generales'!$E$19</f>
        <v>0</v>
      </c>
      <c r="T432" s="278">
        <f>TABLA_BASE[[#This Row],[DEUDA
ADUANERA
TOTAL]]*'📋 Datos Generales'!$E$19</f>
        <v>0</v>
      </c>
      <c r="U432" s="281">
        <f>TABLA_BASE[[#This Row],[ADV UNIT.
(US$)
⚠️COSTO]]*'📋 Datos Generales'!$E$19</f>
        <v>0</v>
      </c>
      <c r="V432" s="281">
        <f>TABLA_BASE[[#This Row],[ADV UNIT.
(S/.)]]*TABLA_BASE[[#This Row],[CANTIDAD
(unid.)]]</f>
        <v>0</v>
      </c>
      <c r="W432" s="281">
        <f>TABLA_BASE[[#This Row],[IPM UNIT.
(US$)
✅CF]]*'📋 Datos Generales'!$E$19</f>
        <v>0</v>
      </c>
      <c r="X432" s="281">
        <f>TABLA_BASE[[#This Row],[IPM UNIT.
(S/.)]]*TABLA_BASE[[#This Row],[CANTIDAD
(unid.)]]</f>
        <v>0</v>
      </c>
      <c r="Y432" s="281">
        <f>TABLA_BASE[[#This Row],[IGV UNIT.
(US$)
✅CF]]*'📋 Datos Generales'!$E$19</f>
        <v>0</v>
      </c>
      <c r="Z432" s="281">
        <f>TABLA_BASE[[#This Row],[IGV UNIT.
(S/.)]]*TABLA_BASE[[#This Row],[CANTIDAD
(unid.)]]</f>
        <v>0</v>
      </c>
      <c r="AA432" s="281">
        <f>TABLA_BASE[[#This Row],[PERCEP.
UNIT.(US$)
✅CF]]*'📋 Datos Generales'!$E$19</f>
        <v>0</v>
      </c>
      <c r="AB432" s="281">
        <f>TABLA_BASE[[#This Row],[PERCEP.
UNIT.(S/.)]]*TABLA_BASE[[#This Row],[CANTIDAD
(unid.)]]</f>
        <v>0</v>
      </c>
      <c r="AC432" s="279">
        <f>TABLA_BASE[[#This Row],[ADV UNIT.
(US$)
⚠️COSTO]]+TABLA_BASE[[#This Row],[IPM UNIT.
(US$)
✅CF]]+TABLA_BASE[[#This Row],[IGV UNIT.
(US$)
✅CF]]+TABLA_BASE[[#This Row],[PERCEP.
UNIT.(US$)
✅CF]]</f>
        <v>0</v>
      </c>
      <c r="AD432" s="279">
        <f>TABLA_BASE[[#This Row],[TOTAL PAGO
SUNAT
UNIT.(US$)]]*TABLA_BASE[[#This Row],[CANTIDAD
(unid.)]]</f>
        <v>0</v>
      </c>
      <c r="AE432" s="281">
        <f>TABLA_BASE[[#This Row],[TOTAL PAGO
SUNAT
UNIT.(US$)]]*'📋 Datos Generales'!$E$19</f>
        <v>0</v>
      </c>
      <c r="AF432" s="281">
        <f>TABLA_BASE[[#This Row],[TOTAL TRIB.
UNIT.(S/.)]]*TABLA_BASE[[#This Row],[CANTIDAD
(unid.)]]</f>
        <v>0</v>
      </c>
      <c r="AG432" s="279">
        <f>IF('🧾 Factura Comercial'!G436=0,0,'📦 Gastos Importación'!$E$28*(IF('🧾 Tributos Aduana'!$F$6=0,0,'🧾 Factura Comercial'!I436/'🧾 Tributos Aduana'!$F$6))/'🧾 Factura Comercial'!G436)</f>
        <v>0</v>
      </c>
      <c r="AH432" s="279">
        <f>TABLA_BASE[[#This Row],[GASTOS IMP.
UNIT.(US$)]]*TABLA_BASE[[#This Row],[CANTIDAD
(unid.)]]</f>
        <v>0</v>
      </c>
      <c r="AI432" s="281">
        <f>TABLA_BASE[[#This Row],[GASTOS IMP.
UNIT.(US$)]]*'📋 Datos Generales'!$E$19</f>
        <v>0</v>
      </c>
      <c r="AJ432" s="281">
        <f>TABLA_BASE[[#This Row],[GASTOS IMP.
UNIT.(S/.)]]*TABLA_BASE[[#This Row],[CANTIDAD
(unid.)]]</f>
        <v>0</v>
      </c>
      <c r="AK432" s="280">
        <f>'🧮 Costos x Producto'!J436</f>
        <v>0</v>
      </c>
      <c r="AL432" s="278">
        <f>'🧮 Costos x Producto'!K436</f>
        <v>0</v>
      </c>
      <c r="AM432" s="278">
        <f>TABLA_BASE[[#This Row],[C/M UNIT.
(S/.)]]*TABLA_BASE[[#This Row],[CANTIDAD
(unid.)]]</f>
        <v>0</v>
      </c>
      <c r="AN432" s="279">
        <f>IF('🧾 Factura Comercial'!G436=0,0,'🧾 Tributos Aduana'!$F$17*(IF('🧾 Tributos Aduana'!$F$6=0,0,'🧾 Factura Comercial'!I436/'🧾 Tributos Aduana'!$F$6))/'🧾 Factura Comercial'!G436)</f>
        <v>0</v>
      </c>
      <c r="AO432" s="280">
        <f>IF('🧾 Factura Comercial'!G436=0,0,'🏦 Crédito Fiscal'!$C$16*(IF('🧾 Tributos Aduana'!$F$6=0,0,'🧾 Factura Comercial'!I436/'🧾 Tributos Aduana'!$F$6))/'🧾 Factura Comercial'!G436)</f>
        <v>0</v>
      </c>
      <c r="AP432" s="278">
        <f>TABLA_BASE[[#This Row],[CF UNIT.
✅RECUP.
(US$)]]*'📋 Datos Generales'!$E$19</f>
        <v>0</v>
      </c>
      <c r="AQ432" s="278">
        <f>TABLA_BASE[[#This Row],[CF UNIT.
✅RECUP.(S/.)]]*TABLA_BASE[[#This Row],[CANTIDAD
(unid.)]]</f>
        <v>0</v>
      </c>
      <c r="AR432" s="288">
        <f>'💰 Precio de Venta'!G437</f>
        <v>0.4</v>
      </c>
      <c r="AS432" s="278">
        <f>'💰 Precio de Venta'!H437</f>
        <v>0</v>
      </c>
      <c r="AT432" s="278">
        <f>TABLA_BASE[[#This Row],[VALOR VTA.
UNIT.(S/.)]]*TABLA_BASE[[#This Row],[CANTIDAD
(unid.)]]</f>
        <v>0</v>
      </c>
      <c r="AU432" s="281">
        <f>'💰 Precio de Venta'!I437</f>
        <v>0</v>
      </c>
      <c r="AV432" s="278">
        <f>'💰 Precio de Venta'!J437</f>
        <v>0</v>
      </c>
      <c r="AW432" s="278">
        <f>TABLA_BASE[[#This Row],[GANANCIA
UNIT.(S/.)]]*TABLA_BASE[[#This Row],[CANTIDAD
(unid.)]]</f>
        <v>0</v>
      </c>
      <c r="AX432" s="289">
        <f>'💰 Precio de Venta'!K437</f>
        <v>0</v>
      </c>
      <c r="AY432" s="278">
        <f>TABLA_BASE[[#This Row],[GANANCIA
UNIT.(S/.)]]*'🧾 Factura Comercial'!G436</f>
        <v>0</v>
      </c>
      <c r="AZ432" s="277">
        <f>IF(TABLA_BASE[[#This Row],[PRECIO VTA.
c/IGV(S/.)]]=0,0,TABLA_BASE[[#This Row],[GANANCIA
UNIT.(S/.)]]/TABLA_BASE[[#This Row],[PRECIO VTA.
c/IGV(S/.)]])</f>
        <v>0</v>
      </c>
      <c r="BA432" s="277">
        <f>IF(TABLA_BASE[[#This Row],[C/M UNIT.
(S/.)]]=0,0,TABLA_BASE[[#This Row],[GANANCIA
UNIT.(S/.)]]/TABLA_BASE[[#This Row],[C/M UNIT.
(S/.)]])</f>
        <v>0</v>
      </c>
      <c r="BB432" s="274" t="str">
        <f>IF(TABLA_BASE[[#This Row],[MARGEN
%]]&gt;=0.5,"🟢 ALTO",IF(TABLA_BASE[[#This Row],[MARGEN
%]]&gt;=0.3,"🟡 MEDIO","🔴 BAJO"))</f>
        <v>🟡 MEDIO</v>
      </c>
    </row>
    <row r="433" spans="1:54" ht="16.5" hidden="1" thickTop="1" thickBot="1" x14ac:dyDescent="0.3">
      <c r="A433" s="274">
        <f>'🧾 Factura Comercial'!E437</f>
        <v>0</v>
      </c>
      <c r="B433" s="274" t="str">
        <f>'🧾 Factura Comercial'!F437</f>
        <v>Unid.</v>
      </c>
      <c r="C433" s="275">
        <f>'🧾 Factura Comercial'!G437</f>
        <v>0</v>
      </c>
      <c r="D433" s="276">
        <f>'🧾 Factura Comercial'!H437</f>
        <v>0</v>
      </c>
      <c r="E433" s="276">
        <f>'🧾 Factura Comercial'!I437</f>
        <v>0</v>
      </c>
      <c r="F433" s="277">
        <f>IF('🧾 Tributos Aduana'!$F$6=0,0,'🧾 Factura Comercial'!I437/'🧾 Tributos Aduana'!$F$6)</f>
        <v>0</v>
      </c>
      <c r="G433" s="278">
        <f>'🧾 Factura Comercial'!H437*'📋 Datos Generales'!$E$19</f>
        <v>0</v>
      </c>
      <c r="H433" s="278">
        <f>TABLA_BASE[[#This Row],[FOB UNIT.
(S/.)]]*TABLA_BASE[[#This Row],[CANTIDAD
(unid.)]]</f>
        <v>0</v>
      </c>
      <c r="I433" s="280">
        <f>IF('🧾 Tributos Aduana'!$F$6=0,0,'🧾 Tributos Aduana'!$F$17*('🧾 Factura Comercial'!H437/'🧾 Tributos Aduana'!$F$6))</f>
        <v>0</v>
      </c>
      <c r="J433" s="280">
        <f>TABLA_BASE[[#This Row],[ADV UNIT.
(US$)
⚠️COSTO]]*TABLA_BASE[[#This Row],[CANTIDAD
(unid.)]]</f>
        <v>0</v>
      </c>
      <c r="K433" s="279">
        <f>IF('🧾 Tributos Aduana'!$F$6=0,0,'🧾 Tributos Aduana'!$F$18*('🧾 Factura Comercial'!H437/'🧾 Tributos Aduana'!$F$6))</f>
        <v>0</v>
      </c>
      <c r="L433" s="280">
        <f>TABLA_BASE[[#This Row],[IPM UNIT.
(US$)
✅CF]]*TABLA_BASE[[#This Row],[CANTIDAD
(unid.)]]</f>
        <v>0</v>
      </c>
      <c r="M433" s="279">
        <f>IF('🧾 Tributos Aduana'!$F$6=0,0,'🧾 Tributos Aduana'!$F$19*('🧾 Factura Comercial'!H437/'🧾 Tributos Aduana'!$F$6))</f>
        <v>0</v>
      </c>
      <c r="N433" s="280">
        <f>TABLA_BASE[[#This Row],[IGV UNIT.
(US$)
✅CF]]*TABLA_BASE[[#This Row],[CANTIDAD
(unid.)]]</f>
        <v>0</v>
      </c>
      <c r="O433" s="280">
        <f>IF('🧾 Tributos Aduana'!$F$6=0,0,'🧾 Tributos Aduana'!$F$23*('🧾 Factura Comercial'!H437/'🧾 Tributos Aduana'!$F$6))</f>
        <v>0</v>
      </c>
      <c r="P433" s="280">
        <f>TABLA_BASE[[#This Row],[PERCEP.
UNIT.(US$)
✅CF]]*TABLA_BASE[[#This Row],[CANTIDAD
(unid.)]]</f>
        <v>0</v>
      </c>
      <c r="Q433" s="279">
        <f>TABLA_BASE[[#This Row],[ADV UNIT.
(US$)
⚠️COSTO]]+TABLA_BASE[[#This Row],[IPM UNIT.
(US$)
✅CF]]+TABLA_BASE[[#This Row],[IGV UNIT.
(US$)
✅CF]]</f>
        <v>0</v>
      </c>
      <c r="R433" s="280">
        <f>TABLA_BASE[[#This Row],[DEUDA
ADUANERA
UNIT.]]*TABLA_BASE[[#This Row],[CANTIDAD
(unid.)]]</f>
        <v>0</v>
      </c>
      <c r="S433" s="278">
        <f>TABLA_BASE[[#This Row],[DEUDA
ADUANERA
UNIT.]]*'📋 Datos Generales'!$E$19</f>
        <v>0</v>
      </c>
      <c r="T433" s="278">
        <f>TABLA_BASE[[#This Row],[DEUDA
ADUANERA
TOTAL]]*'📋 Datos Generales'!$E$19</f>
        <v>0</v>
      </c>
      <c r="U433" s="281">
        <f>TABLA_BASE[[#This Row],[ADV UNIT.
(US$)
⚠️COSTO]]*'📋 Datos Generales'!$E$19</f>
        <v>0</v>
      </c>
      <c r="V433" s="281">
        <f>TABLA_BASE[[#This Row],[ADV UNIT.
(S/.)]]*TABLA_BASE[[#This Row],[CANTIDAD
(unid.)]]</f>
        <v>0</v>
      </c>
      <c r="W433" s="281">
        <f>TABLA_BASE[[#This Row],[IPM UNIT.
(US$)
✅CF]]*'📋 Datos Generales'!$E$19</f>
        <v>0</v>
      </c>
      <c r="X433" s="281">
        <f>TABLA_BASE[[#This Row],[IPM UNIT.
(S/.)]]*TABLA_BASE[[#This Row],[CANTIDAD
(unid.)]]</f>
        <v>0</v>
      </c>
      <c r="Y433" s="281">
        <f>TABLA_BASE[[#This Row],[IGV UNIT.
(US$)
✅CF]]*'📋 Datos Generales'!$E$19</f>
        <v>0</v>
      </c>
      <c r="Z433" s="281">
        <f>TABLA_BASE[[#This Row],[IGV UNIT.
(S/.)]]*TABLA_BASE[[#This Row],[CANTIDAD
(unid.)]]</f>
        <v>0</v>
      </c>
      <c r="AA433" s="281">
        <f>TABLA_BASE[[#This Row],[PERCEP.
UNIT.(US$)
✅CF]]*'📋 Datos Generales'!$E$19</f>
        <v>0</v>
      </c>
      <c r="AB433" s="281">
        <f>TABLA_BASE[[#This Row],[PERCEP.
UNIT.(S/.)]]*TABLA_BASE[[#This Row],[CANTIDAD
(unid.)]]</f>
        <v>0</v>
      </c>
      <c r="AC433" s="279">
        <f>TABLA_BASE[[#This Row],[ADV UNIT.
(US$)
⚠️COSTO]]+TABLA_BASE[[#This Row],[IPM UNIT.
(US$)
✅CF]]+TABLA_BASE[[#This Row],[IGV UNIT.
(US$)
✅CF]]+TABLA_BASE[[#This Row],[PERCEP.
UNIT.(US$)
✅CF]]</f>
        <v>0</v>
      </c>
      <c r="AD433" s="279">
        <f>TABLA_BASE[[#This Row],[TOTAL PAGO
SUNAT
UNIT.(US$)]]*TABLA_BASE[[#This Row],[CANTIDAD
(unid.)]]</f>
        <v>0</v>
      </c>
      <c r="AE433" s="281">
        <f>TABLA_BASE[[#This Row],[TOTAL PAGO
SUNAT
UNIT.(US$)]]*'📋 Datos Generales'!$E$19</f>
        <v>0</v>
      </c>
      <c r="AF433" s="281">
        <f>TABLA_BASE[[#This Row],[TOTAL TRIB.
UNIT.(S/.)]]*TABLA_BASE[[#This Row],[CANTIDAD
(unid.)]]</f>
        <v>0</v>
      </c>
      <c r="AG433" s="279">
        <f>IF('🧾 Factura Comercial'!G437=0,0,'📦 Gastos Importación'!$E$28*(IF('🧾 Tributos Aduana'!$F$6=0,0,'🧾 Factura Comercial'!I437/'🧾 Tributos Aduana'!$F$6))/'🧾 Factura Comercial'!G437)</f>
        <v>0</v>
      </c>
      <c r="AH433" s="279">
        <f>TABLA_BASE[[#This Row],[GASTOS IMP.
UNIT.(US$)]]*TABLA_BASE[[#This Row],[CANTIDAD
(unid.)]]</f>
        <v>0</v>
      </c>
      <c r="AI433" s="281">
        <f>TABLA_BASE[[#This Row],[GASTOS IMP.
UNIT.(US$)]]*'📋 Datos Generales'!$E$19</f>
        <v>0</v>
      </c>
      <c r="AJ433" s="281">
        <f>TABLA_BASE[[#This Row],[GASTOS IMP.
UNIT.(S/.)]]*TABLA_BASE[[#This Row],[CANTIDAD
(unid.)]]</f>
        <v>0</v>
      </c>
      <c r="AK433" s="280">
        <f>'🧮 Costos x Producto'!J437</f>
        <v>0</v>
      </c>
      <c r="AL433" s="278">
        <f>'🧮 Costos x Producto'!K437</f>
        <v>0</v>
      </c>
      <c r="AM433" s="278">
        <f>TABLA_BASE[[#This Row],[C/M UNIT.
(S/.)]]*TABLA_BASE[[#This Row],[CANTIDAD
(unid.)]]</f>
        <v>0</v>
      </c>
      <c r="AN433" s="279">
        <f>IF('🧾 Factura Comercial'!G437=0,0,'🧾 Tributos Aduana'!$F$17*(IF('🧾 Tributos Aduana'!$F$6=0,0,'🧾 Factura Comercial'!I437/'🧾 Tributos Aduana'!$F$6))/'🧾 Factura Comercial'!G437)</f>
        <v>0</v>
      </c>
      <c r="AO433" s="280">
        <f>IF('🧾 Factura Comercial'!G437=0,0,'🏦 Crédito Fiscal'!$C$16*(IF('🧾 Tributos Aduana'!$F$6=0,0,'🧾 Factura Comercial'!I437/'🧾 Tributos Aduana'!$F$6))/'🧾 Factura Comercial'!G437)</f>
        <v>0</v>
      </c>
      <c r="AP433" s="278">
        <f>TABLA_BASE[[#This Row],[CF UNIT.
✅RECUP.
(US$)]]*'📋 Datos Generales'!$E$19</f>
        <v>0</v>
      </c>
      <c r="AQ433" s="278">
        <f>TABLA_BASE[[#This Row],[CF UNIT.
✅RECUP.(S/.)]]*TABLA_BASE[[#This Row],[CANTIDAD
(unid.)]]</f>
        <v>0</v>
      </c>
      <c r="AR433" s="288">
        <f>'💰 Precio de Venta'!G438</f>
        <v>0.4</v>
      </c>
      <c r="AS433" s="278">
        <f>'💰 Precio de Venta'!H438</f>
        <v>0</v>
      </c>
      <c r="AT433" s="278">
        <f>TABLA_BASE[[#This Row],[VALOR VTA.
UNIT.(S/.)]]*TABLA_BASE[[#This Row],[CANTIDAD
(unid.)]]</f>
        <v>0</v>
      </c>
      <c r="AU433" s="281">
        <f>'💰 Precio de Venta'!I438</f>
        <v>0</v>
      </c>
      <c r="AV433" s="278">
        <f>'💰 Precio de Venta'!J438</f>
        <v>0</v>
      </c>
      <c r="AW433" s="278">
        <f>TABLA_BASE[[#This Row],[GANANCIA
UNIT.(S/.)]]*TABLA_BASE[[#This Row],[CANTIDAD
(unid.)]]</f>
        <v>0</v>
      </c>
      <c r="AX433" s="289">
        <f>'💰 Precio de Venta'!K438</f>
        <v>0</v>
      </c>
      <c r="AY433" s="278">
        <f>TABLA_BASE[[#This Row],[GANANCIA
UNIT.(S/.)]]*'🧾 Factura Comercial'!G437</f>
        <v>0</v>
      </c>
      <c r="AZ433" s="277">
        <f>IF(TABLA_BASE[[#This Row],[PRECIO VTA.
c/IGV(S/.)]]=0,0,TABLA_BASE[[#This Row],[GANANCIA
UNIT.(S/.)]]/TABLA_BASE[[#This Row],[PRECIO VTA.
c/IGV(S/.)]])</f>
        <v>0</v>
      </c>
      <c r="BA433" s="277">
        <f>IF(TABLA_BASE[[#This Row],[C/M UNIT.
(S/.)]]=0,0,TABLA_BASE[[#This Row],[GANANCIA
UNIT.(S/.)]]/TABLA_BASE[[#This Row],[C/M UNIT.
(S/.)]])</f>
        <v>0</v>
      </c>
      <c r="BB433" s="274" t="str">
        <f>IF(TABLA_BASE[[#This Row],[MARGEN
%]]&gt;=0.5,"🟢 ALTO",IF(TABLA_BASE[[#This Row],[MARGEN
%]]&gt;=0.3,"🟡 MEDIO","🔴 BAJO"))</f>
        <v>🟡 MEDIO</v>
      </c>
    </row>
    <row r="434" spans="1:54" ht="16.5" hidden="1" thickTop="1" thickBot="1" x14ac:dyDescent="0.3">
      <c r="A434" s="274">
        <f>'🧾 Factura Comercial'!E438</f>
        <v>0</v>
      </c>
      <c r="B434" s="274" t="str">
        <f>'🧾 Factura Comercial'!F438</f>
        <v>Unid.</v>
      </c>
      <c r="C434" s="275">
        <f>'🧾 Factura Comercial'!G438</f>
        <v>0</v>
      </c>
      <c r="D434" s="276">
        <f>'🧾 Factura Comercial'!H438</f>
        <v>0</v>
      </c>
      <c r="E434" s="276">
        <f>'🧾 Factura Comercial'!I438</f>
        <v>0</v>
      </c>
      <c r="F434" s="277">
        <f>IF('🧾 Tributos Aduana'!$F$6=0,0,'🧾 Factura Comercial'!I438/'🧾 Tributos Aduana'!$F$6)</f>
        <v>0</v>
      </c>
      <c r="G434" s="278">
        <f>'🧾 Factura Comercial'!H438*'📋 Datos Generales'!$E$19</f>
        <v>0</v>
      </c>
      <c r="H434" s="278">
        <f>TABLA_BASE[[#This Row],[FOB UNIT.
(S/.)]]*TABLA_BASE[[#This Row],[CANTIDAD
(unid.)]]</f>
        <v>0</v>
      </c>
      <c r="I434" s="280">
        <f>IF('🧾 Tributos Aduana'!$F$6=0,0,'🧾 Tributos Aduana'!$F$17*('🧾 Factura Comercial'!H438/'🧾 Tributos Aduana'!$F$6))</f>
        <v>0</v>
      </c>
      <c r="J434" s="280">
        <f>TABLA_BASE[[#This Row],[ADV UNIT.
(US$)
⚠️COSTO]]*TABLA_BASE[[#This Row],[CANTIDAD
(unid.)]]</f>
        <v>0</v>
      </c>
      <c r="K434" s="279">
        <f>IF('🧾 Tributos Aduana'!$F$6=0,0,'🧾 Tributos Aduana'!$F$18*('🧾 Factura Comercial'!H438/'🧾 Tributos Aduana'!$F$6))</f>
        <v>0</v>
      </c>
      <c r="L434" s="280">
        <f>TABLA_BASE[[#This Row],[IPM UNIT.
(US$)
✅CF]]*TABLA_BASE[[#This Row],[CANTIDAD
(unid.)]]</f>
        <v>0</v>
      </c>
      <c r="M434" s="279">
        <f>IF('🧾 Tributos Aduana'!$F$6=0,0,'🧾 Tributos Aduana'!$F$19*('🧾 Factura Comercial'!H438/'🧾 Tributos Aduana'!$F$6))</f>
        <v>0</v>
      </c>
      <c r="N434" s="280">
        <f>TABLA_BASE[[#This Row],[IGV UNIT.
(US$)
✅CF]]*TABLA_BASE[[#This Row],[CANTIDAD
(unid.)]]</f>
        <v>0</v>
      </c>
      <c r="O434" s="280">
        <f>IF('🧾 Tributos Aduana'!$F$6=0,0,'🧾 Tributos Aduana'!$F$23*('🧾 Factura Comercial'!H438/'🧾 Tributos Aduana'!$F$6))</f>
        <v>0</v>
      </c>
      <c r="P434" s="280">
        <f>TABLA_BASE[[#This Row],[PERCEP.
UNIT.(US$)
✅CF]]*TABLA_BASE[[#This Row],[CANTIDAD
(unid.)]]</f>
        <v>0</v>
      </c>
      <c r="Q434" s="279">
        <f>TABLA_BASE[[#This Row],[ADV UNIT.
(US$)
⚠️COSTO]]+TABLA_BASE[[#This Row],[IPM UNIT.
(US$)
✅CF]]+TABLA_BASE[[#This Row],[IGV UNIT.
(US$)
✅CF]]</f>
        <v>0</v>
      </c>
      <c r="R434" s="280">
        <f>TABLA_BASE[[#This Row],[DEUDA
ADUANERA
UNIT.]]*TABLA_BASE[[#This Row],[CANTIDAD
(unid.)]]</f>
        <v>0</v>
      </c>
      <c r="S434" s="278">
        <f>TABLA_BASE[[#This Row],[DEUDA
ADUANERA
UNIT.]]*'📋 Datos Generales'!$E$19</f>
        <v>0</v>
      </c>
      <c r="T434" s="278">
        <f>TABLA_BASE[[#This Row],[DEUDA
ADUANERA
TOTAL]]*'📋 Datos Generales'!$E$19</f>
        <v>0</v>
      </c>
      <c r="U434" s="281">
        <f>TABLA_BASE[[#This Row],[ADV UNIT.
(US$)
⚠️COSTO]]*'📋 Datos Generales'!$E$19</f>
        <v>0</v>
      </c>
      <c r="V434" s="281">
        <f>TABLA_BASE[[#This Row],[ADV UNIT.
(S/.)]]*TABLA_BASE[[#This Row],[CANTIDAD
(unid.)]]</f>
        <v>0</v>
      </c>
      <c r="W434" s="281">
        <f>TABLA_BASE[[#This Row],[IPM UNIT.
(US$)
✅CF]]*'📋 Datos Generales'!$E$19</f>
        <v>0</v>
      </c>
      <c r="X434" s="281">
        <f>TABLA_BASE[[#This Row],[IPM UNIT.
(S/.)]]*TABLA_BASE[[#This Row],[CANTIDAD
(unid.)]]</f>
        <v>0</v>
      </c>
      <c r="Y434" s="281">
        <f>TABLA_BASE[[#This Row],[IGV UNIT.
(US$)
✅CF]]*'📋 Datos Generales'!$E$19</f>
        <v>0</v>
      </c>
      <c r="Z434" s="281">
        <f>TABLA_BASE[[#This Row],[IGV UNIT.
(S/.)]]*TABLA_BASE[[#This Row],[CANTIDAD
(unid.)]]</f>
        <v>0</v>
      </c>
      <c r="AA434" s="281">
        <f>TABLA_BASE[[#This Row],[PERCEP.
UNIT.(US$)
✅CF]]*'📋 Datos Generales'!$E$19</f>
        <v>0</v>
      </c>
      <c r="AB434" s="281">
        <f>TABLA_BASE[[#This Row],[PERCEP.
UNIT.(S/.)]]*TABLA_BASE[[#This Row],[CANTIDAD
(unid.)]]</f>
        <v>0</v>
      </c>
      <c r="AC434" s="279">
        <f>TABLA_BASE[[#This Row],[ADV UNIT.
(US$)
⚠️COSTO]]+TABLA_BASE[[#This Row],[IPM UNIT.
(US$)
✅CF]]+TABLA_BASE[[#This Row],[IGV UNIT.
(US$)
✅CF]]+TABLA_BASE[[#This Row],[PERCEP.
UNIT.(US$)
✅CF]]</f>
        <v>0</v>
      </c>
      <c r="AD434" s="279">
        <f>TABLA_BASE[[#This Row],[TOTAL PAGO
SUNAT
UNIT.(US$)]]*TABLA_BASE[[#This Row],[CANTIDAD
(unid.)]]</f>
        <v>0</v>
      </c>
      <c r="AE434" s="281">
        <f>TABLA_BASE[[#This Row],[TOTAL PAGO
SUNAT
UNIT.(US$)]]*'📋 Datos Generales'!$E$19</f>
        <v>0</v>
      </c>
      <c r="AF434" s="281">
        <f>TABLA_BASE[[#This Row],[TOTAL TRIB.
UNIT.(S/.)]]*TABLA_BASE[[#This Row],[CANTIDAD
(unid.)]]</f>
        <v>0</v>
      </c>
      <c r="AG434" s="279">
        <f>IF('🧾 Factura Comercial'!G438=0,0,'📦 Gastos Importación'!$E$28*(IF('🧾 Tributos Aduana'!$F$6=0,0,'🧾 Factura Comercial'!I438/'🧾 Tributos Aduana'!$F$6))/'🧾 Factura Comercial'!G438)</f>
        <v>0</v>
      </c>
      <c r="AH434" s="279">
        <f>TABLA_BASE[[#This Row],[GASTOS IMP.
UNIT.(US$)]]*TABLA_BASE[[#This Row],[CANTIDAD
(unid.)]]</f>
        <v>0</v>
      </c>
      <c r="AI434" s="281">
        <f>TABLA_BASE[[#This Row],[GASTOS IMP.
UNIT.(US$)]]*'📋 Datos Generales'!$E$19</f>
        <v>0</v>
      </c>
      <c r="AJ434" s="281">
        <f>TABLA_BASE[[#This Row],[GASTOS IMP.
UNIT.(S/.)]]*TABLA_BASE[[#This Row],[CANTIDAD
(unid.)]]</f>
        <v>0</v>
      </c>
      <c r="AK434" s="280">
        <f>'🧮 Costos x Producto'!J438</f>
        <v>0</v>
      </c>
      <c r="AL434" s="278">
        <f>'🧮 Costos x Producto'!K438</f>
        <v>0</v>
      </c>
      <c r="AM434" s="278">
        <f>TABLA_BASE[[#This Row],[C/M UNIT.
(S/.)]]*TABLA_BASE[[#This Row],[CANTIDAD
(unid.)]]</f>
        <v>0</v>
      </c>
      <c r="AN434" s="279">
        <f>IF('🧾 Factura Comercial'!G438=0,0,'🧾 Tributos Aduana'!$F$17*(IF('🧾 Tributos Aduana'!$F$6=0,0,'🧾 Factura Comercial'!I438/'🧾 Tributos Aduana'!$F$6))/'🧾 Factura Comercial'!G438)</f>
        <v>0</v>
      </c>
      <c r="AO434" s="280">
        <f>IF('🧾 Factura Comercial'!G438=0,0,'🏦 Crédito Fiscal'!$C$16*(IF('🧾 Tributos Aduana'!$F$6=0,0,'🧾 Factura Comercial'!I438/'🧾 Tributos Aduana'!$F$6))/'🧾 Factura Comercial'!G438)</f>
        <v>0</v>
      </c>
      <c r="AP434" s="278">
        <f>TABLA_BASE[[#This Row],[CF UNIT.
✅RECUP.
(US$)]]*'📋 Datos Generales'!$E$19</f>
        <v>0</v>
      </c>
      <c r="AQ434" s="278">
        <f>TABLA_BASE[[#This Row],[CF UNIT.
✅RECUP.(S/.)]]*TABLA_BASE[[#This Row],[CANTIDAD
(unid.)]]</f>
        <v>0</v>
      </c>
      <c r="AR434" s="288">
        <f>'💰 Precio de Venta'!G439</f>
        <v>0.4</v>
      </c>
      <c r="AS434" s="278">
        <f>'💰 Precio de Venta'!H439</f>
        <v>0</v>
      </c>
      <c r="AT434" s="278">
        <f>TABLA_BASE[[#This Row],[VALOR VTA.
UNIT.(S/.)]]*TABLA_BASE[[#This Row],[CANTIDAD
(unid.)]]</f>
        <v>0</v>
      </c>
      <c r="AU434" s="281">
        <f>'💰 Precio de Venta'!I439</f>
        <v>0</v>
      </c>
      <c r="AV434" s="278">
        <f>'💰 Precio de Venta'!J439</f>
        <v>0</v>
      </c>
      <c r="AW434" s="278">
        <f>TABLA_BASE[[#This Row],[GANANCIA
UNIT.(S/.)]]*TABLA_BASE[[#This Row],[CANTIDAD
(unid.)]]</f>
        <v>0</v>
      </c>
      <c r="AX434" s="289">
        <f>'💰 Precio de Venta'!K439</f>
        <v>0</v>
      </c>
      <c r="AY434" s="278">
        <f>TABLA_BASE[[#This Row],[GANANCIA
UNIT.(S/.)]]*'🧾 Factura Comercial'!G438</f>
        <v>0</v>
      </c>
      <c r="AZ434" s="277">
        <f>IF(TABLA_BASE[[#This Row],[PRECIO VTA.
c/IGV(S/.)]]=0,0,TABLA_BASE[[#This Row],[GANANCIA
UNIT.(S/.)]]/TABLA_BASE[[#This Row],[PRECIO VTA.
c/IGV(S/.)]])</f>
        <v>0</v>
      </c>
      <c r="BA434" s="277">
        <f>IF(TABLA_BASE[[#This Row],[C/M UNIT.
(S/.)]]=0,0,TABLA_BASE[[#This Row],[GANANCIA
UNIT.(S/.)]]/TABLA_BASE[[#This Row],[C/M UNIT.
(S/.)]])</f>
        <v>0</v>
      </c>
      <c r="BB434" s="274" t="str">
        <f>IF(TABLA_BASE[[#This Row],[MARGEN
%]]&gt;=0.5,"🟢 ALTO",IF(TABLA_BASE[[#This Row],[MARGEN
%]]&gt;=0.3,"🟡 MEDIO","🔴 BAJO"))</f>
        <v>🟡 MEDIO</v>
      </c>
    </row>
    <row r="435" spans="1:54" ht="16.5" hidden="1" thickTop="1" thickBot="1" x14ac:dyDescent="0.3">
      <c r="A435" s="274">
        <f>'🧾 Factura Comercial'!E439</f>
        <v>0</v>
      </c>
      <c r="B435" s="274" t="str">
        <f>'🧾 Factura Comercial'!F439</f>
        <v>Unid.</v>
      </c>
      <c r="C435" s="275">
        <f>'🧾 Factura Comercial'!G439</f>
        <v>0</v>
      </c>
      <c r="D435" s="276">
        <f>'🧾 Factura Comercial'!H439</f>
        <v>0</v>
      </c>
      <c r="E435" s="276">
        <f>'🧾 Factura Comercial'!I439</f>
        <v>0</v>
      </c>
      <c r="F435" s="277">
        <f>IF('🧾 Tributos Aduana'!$F$6=0,0,'🧾 Factura Comercial'!I439/'🧾 Tributos Aduana'!$F$6)</f>
        <v>0</v>
      </c>
      <c r="G435" s="278">
        <f>'🧾 Factura Comercial'!H439*'📋 Datos Generales'!$E$19</f>
        <v>0</v>
      </c>
      <c r="H435" s="278">
        <f>TABLA_BASE[[#This Row],[FOB UNIT.
(S/.)]]*TABLA_BASE[[#This Row],[CANTIDAD
(unid.)]]</f>
        <v>0</v>
      </c>
      <c r="I435" s="280">
        <f>IF('🧾 Tributos Aduana'!$F$6=0,0,'🧾 Tributos Aduana'!$F$17*('🧾 Factura Comercial'!H439/'🧾 Tributos Aduana'!$F$6))</f>
        <v>0</v>
      </c>
      <c r="J435" s="280">
        <f>TABLA_BASE[[#This Row],[ADV UNIT.
(US$)
⚠️COSTO]]*TABLA_BASE[[#This Row],[CANTIDAD
(unid.)]]</f>
        <v>0</v>
      </c>
      <c r="K435" s="279">
        <f>IF('🧾 Tributos Aduana'!$F$6=0,0,'🧾 Tributos Aduana'!$F$18*('🧾 Factura Comercial'!H439/'🧾 Tributos Aduana'!$F$6))</f>
        <v>0</v>
      </c>
      <c r="L435" s="280">
        <f>TABLA_BASE[[#This Row],[IPM UNIT.
(US$)
✅CF]]*TABLA_BASE[[#This Row],[CANTIDAD
(unid.)]]</f>
        <v>0</v>
      </c>
      <c r="M435" s="279">
        <f>IF('🧾 Tributos Aduana'!$F$6=0,0,'🧾 Tributos Aduana'!$F$19*('🧾 Factura Comercial'!H439/'🧾 Tributos Aduana'!$F$6))</f>
        <v>0</v>
      </c>
      <c r="N435" s="280">
        <f>TABLA_BASE[[#This Row],[IGV UNIT.
(US$)
✅CF]]*TABLA_BASE[[#This Row],[CANTIDAD
(unid.)]]</f>
        <v>0</v>
      </c>
      <c r="O435" s="280">
        <f>IF('🧾 Tributos Aduana'!$F$6=0,0,'🧾 Tributos Aduana'!$F$23*('🧾 Factura Comercial'!H439/'🧾 Tributos Aduana'!$F$6))</f>
        <v>0</v>
      </c>
      <c r="P435" s="280">
        <f>TABLA_BASE[[#This Row],[PERCEP.
UNIT.(US$)
✅CF]]*TABLA_BASE[[#This Row],[CANTIDAD
(unid.)]]</f>
        <v>0</v>
      </c>
      <c r="Q435" s="279">
        <f>TABLA_BASE[[#This Row],[ADV UNIT.
(US$)
⚠️COSTO]]+TABLA_BASE[[#This Row],[IPM UNIT.
(US$)
✅CF]]+TABLA_BASE[[#This Row],[IGV UNIT.
(US$)
✅CF]]</f>
        <v>0</v>
      </c>
      <c r="R435" s="280">
        <f>TABLA_BASE[[#This Row],[DEUDA
ADUANERA
UNIT.]]*TABLA_BASE[[#This Row],[CANTIDAD
(unid.)]]</f>
        <v>0</v>
      </c>
      <c r="S435" s="278">
        <f>TABLA_BASE[[#This Row],[DEUDA
ADUANERA
UNIT.]]*'📋 Datos Generales'!$E$19</f>
        <v>0</v>
      </c>
      <c r="T435" s="278">
        <f>TABLA_BASE[[#This Row],[DEUDA
ADUANERA
TOTAL]]*'📋 Datos Generales'!$E$19</f>
        <v>0</v>
      </c>
      <c r="U435" s="281">
        <f>TABLA_BASE[[#This Row],[ADV UNIT.
(US$)
⚠️COSTO]]*'📋 Datos Generales'!$E$19</f>
        <v>0</v>
      </c>
      <c r="V435" s="281">
        <f>TABLA_BASE[[#This Row],[ADV UNIT.
(S/.)]]*TABLA_BASE[[#This Row],[CANTIDAD
(unid.)]]</f>
        <v>0</v>
      </c>
      <c r="W435" s="281">
        <f>TABLA_BASE[[#This Row],[IPM UNIT.
(US$)
✅CF]]*'📋 Datos Generales'!$E$19</f>
        <v>0</v>
      </c>
      <c r="X435" s="281">
        <f>TABLA_BASE[[#This Row],[IPM UNIT.
(S/.)]]*TABLA_BASE[[#This Row],[CANTIDAD
(unid.)]]</f>
        <v>0</v>
      </c>
      <c r="Y435" s="281">
        <f>TABLA_BASE[[#This Row],[IGV UNIT.
(US$)
✅CF]]*'📋 Datos Generales'!$E$19</f>
        <v>0</v>
      </c>
      <c r="Z435" s="281">
        <f>TABLA_BASE[[#This Row],[IGV UNIT.
(S/.)]]*TABLA_BASE[[#This Row],[CANTIDAD
(unid.)]]</f>
        <v>0</v>
      </c>
      <c r="AA435" s="281">
        <f>TABLA_BASE[[#This Row],[PERCEP.
UNIT.(US$)
✅CF]]*'📋 Datos Generales'!$E$19</f>
        <v>0</v>
      </c>
      <c r="AB435" s="281">
        <f>TABLA_BASE[[#This Row],[PERCEP.
UNIT.(S/.)]]*TABLA_BASE[[#This Row],[CANTIDAD
(unid.)]]</f>
        <v>0</v>
      </c>
      <c r="AC435" s="279">
        <f>TABLA_BASE[[#This Row],[ADV UNIT.
(US$)
⚠️COSTO]]+TABLA_BASE[[#This Row],[IPM UNIT.
(US$)
✅CF]]+TABLA_BASE[[#This Row],[IGV UNIT.
(US$)
✅CF]]+TABLA_BASE[[#This Row],[PERCEP.
UNIT.(US$)
✅CF]]</f>
        <v>0</v>
      </c>
      <c r="AD435" s="279">
        <f>TABLA_BASE[[#This Row],[TOTAL PAGO
SUNAT
UNIT.(US$)]]*TABLA_BASE[[#This Row],[CANTIDAD
(unid.)]]</f>
        <v>0</v>
      </c>
      <c r="AE435" s="281">
        <f>TABLA_BASE[[#This Row],[TOTAL PAGO
SUNAT
UNIT.(US$)]]*'📋 Datos Generales'!$E$19</f>
        <v>0</v>
      </c>
      <c r="AF435" s="281">
        <f>TABLA_BASE[[#This Row],[TOTAL TRIB.
UNIT.(S/.)]]*TABLA_BASE[[#This Row],[CANTIDAD
(unid.)]]</f>
        <v>0</v>
      </c>
      <c r="AG435" s="279">
        <f>IF('🧾 Factura Comercial'!G439=0,0,'📦 Gastos Importación'!$E$28*(IF('🧾 Tributos Aduana'!$F$6=0,0,'🧾 Factura Comercial'!I439/'🧾 Tributos Aduana'!$F$6))/'🧾 Factura Comercial'!G439)</f>
        <v>0</v>
      </c>
      <c r="AH435" s="279">
        <f>TABLA_BASE[[#This Row],[GASTOS IMP.
UNIT.(US$)]]*TABLA_BASE[[#This Row],[CANTIDAD
(unid.)]]</f>
        <v>0</v>
      </c>
      <c r="AI435" s="281">
        <f>TABLA_BASE[[#This Row],[GASTOS IMP.
UNIT.(US$)]]*'📋 Datos Generales'!$E$19</f>
        <v>0</v>
      </c>
      <c r="AJ435" s="281">
        <f>TABLA_BASE[[#This Row],[GASTOS IMP.
UNIT.(S/.)]]*TABLA_BASE[[#This Row],[CANTIDAD
(unid.)]]</f>
        <v>0</v>
      </c>
      <c r="AK435" s="280">
        <f>'🧮 Costos x Producto'!J439</f>
        <v>0</v>
      </c>
      <c r="AL435" s="278">
        <f>'🧮 Costos x Producto'!K439</f>
        <v>0</v>
      </c>
      <c r="AM435" s="278">
        <f>TABLA_BASE[[#This Row],[C/M UNIT.
(S/.)]]*TABLA_BASE[[#This Row],[CANTIDAD
(unid.)]]</f>
        <v>0</v>
      </c>
      <c r="AN435" s="279">
        <f>IF('🧾 Factura Comercial'!G439=0,0,'🧾 Tributos Aduana'!$F$17*(IF('🧾 Tributos Aduana'!$F$6=0,0,'🧾 Factura Comercial'!I439/'🧾 Tributos Aduana'!$F$6))/'🧾 Factura Comercial'!G439)</f>
        <v>0</v>
      </c>
      <c r="AO435" s="280">
        <f>IF('🧾 Factura Comercial'!G439=0,0,'🏦 Crédito Fiscal'!$C$16*(IF('🧾 Tributos Aduana'!$F$6=0,0,'🧾 Factura Comercial'!I439/'🧾 Tributos Aduana'!$F$6))/'🧾 Factura Comercial'!G439)</f>
        <v>0</v>
      </c>
      <c r="AP435" s="278">
        <f>TABLA_BASE[[#This Row],[CF UNIT.
✅RECUP.
(US$)]]*'📋 Datos Generales'!$E$19</f>
        <v>0</v>
      </c>
      <c r="AQ435" s="278">
        <f>TABLA_BASE[[#This Row],[CF UNIT.
✅RECUP.(S/.)]]*TABLA_BASE[[#This Row],[CANTIDAD
(unid.)]]</f>
        <v>0</v>
      </c>
      <c r="AR435" s="288">
        <f>'💰 Precio de Venta'!G440</f>
        <v>0.4</v>
      </c>
      <c r="AS435" s="278">
        <f>'💰 Precio de Venta'!H440</f>
        <v>0</v>
      </c>
      <c r="AT435" s="278">
        <f>TABLA_BASE[[#This Row],[VALOR VTA.
UNIT.(S/.)]]*TABLA_BASE[[#This Row],[CANTIDAD
(unid.)]]</f>
        <v>0</v>
      </c>
      <c r="AU435" s="281">
        <f>'💰 Precio de Venta'!I440</f>
        <v>0</v>
      </c>
      <c r="AV435" s="278">
        <f>'💰 Precio de Venta'!J440</f>
        <v>0</v>
      </c>
      <c r="AW435" s="278">
        <f>TABLA_BASE[[#This Row],[GANANCIA
UNIT.(S/.)]]*TABLA_BASE[[#This Row],[CANTIDAD
(unid.)]]</f>
        <v>0</v>
      </c>
      <c r="AX435" s="289">
        <f>'💰 Precio de Venta'!K440</f>
        <v>0</v>
      </c>
      <c r="AY435" s="278">
        <f>TABLA_BASE[[#This Row],[GANANCIA
UNIT.(S/.)]]*'🧾 Factura Comercial'!G439</f>
        <v>0</v>
      </c>
      <c r="AZ435" s="277">
        <f>IF(TABLA_BASE[[#This Row],[PRECIO VTA.
c/IGV(S/.)]]=0,0,TABLA_BASE[[#This Row],[GANANCIA
UNIT.(S/.)]]/TABLA_BASE[[#This Row],[PRECIO VTA.
c/IGV(S/.)]])</f>
        <v>0</v>
      </c>
      <c r="BA435" s="277">
        <f>IF(TABLA_BASE[[#This Row],[C/M UNIT.
(S/.)]]=0,0,TABLA_BASE[[#This Row],[GANANCIA
UNIT.(S/.)]]/TABLA_BASE[[#This Row],[C/M UNIT.
(S/.)]])</f>
        <v>0</v>
      </c>
      <c r="BB435" s="274" t="str">
        <f>IF(TABLA_BASE[[#This Row],[MARGEN
%]]&gt;=0.5,"🟢 ALTO",IF(TABLA_BASE[[#This Row],[MARGEN
%]]&gt;=0.3,"🟡 MEDIO","🔴 BAJO"))</f>
        <v>🟡 MEDIO</v>
      </c>
    </row>
    <row r="436" spans="1:54" ht="16.5" hidden="1" thickTop="1" thickBot="1" x14ac:dyDescent="0.3">
      <c r="A436" s="274">
        <f>'🧾 Factura Comercial'!E440</f>
        <v>0</v>
      </c>
      <c r="B436" s="274" t="str">
        <f>'🧾 Factura Comercial'!F440</f>
        <v>Unid.</v>
      </c>
      <c r="C436" s="275">
        <f>'🧾 Factura Comercial'!G440</f>
        <v>0</v>
      </c>
      <c r="D436" s="276">
        <f>'🧾 Factura Comercial'!H440</f>
        <v>0</v>
      </c>
      <c r="E436" s="276">
        <f>'🧾 Factura Comercial'!I440</f>
        <v>0</v>
      </c>
      <c r="F436" s="277">
        <f>IF('🧾 Tributos Aduana'!$F$6=0,0,'🧾 Factura Comercial'!I440/'🧾 Tributos Aduana'!$F$6)</f>
        <v>0</v>
      </c>
      <c r="G436" s="278">
        <f>'🧾 Factura Comercial'!H440*'📋 Datos Generales'!$E$19</f>
        <v>0</v>
      </c>
      <c r="H436" s="278">
        <f>TABLA_BASE[[#This Row],[FOB UNIT.
(S/.)]]*TABLA_BASE[[#This Row],[CANTIDAD
(unid.)]]</f>
        <v>0</v>
      </c>
      <c r="I436" s="280">
        <f>IF('🧾 Tributos Aduana'!$F$6=0,0,'🧾 Tributos Aduana'!$F$17*('🧾 Factura Comercial'!H440/'🧾 Tributos Aduana'!$F$6))</f>
        <v>0</v>
      </c>
      <c r="J436" s="280">
        <f>TABLA_BASE[[#This Row],[ADV UNIT.
(US$)
⚠️COSTO]]*TABLA_BASE[[#This Row],[CANTIDAD
(unid.)]]</f>
        <v>0</v>
      </c>
      <c r="K436" s="279">
        <f>IF('🧾 Tributos Aduana'!$F$6=0,0,'🧾 Tributos Aduana'!$F$18*('🧾 Factura Comercial'!H440/'🧾 Tributos Aduana'!$F$6))</f>
        <v>0</v>
      </c>
      <c r="L436" s="280">
        <f>TABLA_BASE[[#This Row],[IPM UNIT.
(US$)
✅CF]]*TABLA_BASE[[#This Row],[CANTIDAD
(unid.)]]</f>
        <v>0</v>
      </c>
      <c r="M436" s="279">
        <f>IF('🧾 Tributos Aduana'!$F$6=0,0,'🧾 Tributos Aduana'!$F$19*('🧾 Factura Comercial'!H440/'🧾 Tributos Aduana'!$F$6))</f>
        <v>0</v>
      </c>
      <c r="N436" s="280">
        <f>TABLA_BASE[[#This Row],[IGV UNIT.
(US$)
✅CF]]*TABLA_BASE[[#This Row],[CANTIDAD
(unid.)]]</f>
        <v>0</v>
      </c>
      <c r="O436" s="280">
        <f>IF('🧾 Tributos Aduana'!$F$6=0,0,'🧾 Tributos Aduana'!$F$23*('🧾 Factura Comercial'!H440/'🧾 Tributos Aduana'!$F$6))</f>
        <v>0</v>
      </c>
      <c r="P436" s="280">
        <f>TABLA_BASE[[#This Row],[PERCEP.
UNIT.(US$)
✅CF]]*TABLA_BASE[[#This Row],[CANTIDAD
(unid.)]]</f>
        <v>0</v>
      </c>
      <c r="Q436" s="279">
        <f>TABLA_BASE[[#This Row],[ADV UNIT.
(US$)
⚠️COSTO]]+TABLA_BASE[[#This Row],[IPM UNIT.
(US$)
✅CF]]+TABLA_BASE[[#This Row],[IGV UNIT.
(US$)
✅CF]]</f>
        <v>0</v>
      </c>
      <c r="R436" s="280">
        <f>TABLA_BASE[[#This Row],[DEUDA
ADUANERA
UNIT.]]*TABLA_BASE[[#This Row],[CANTIDAD
(unid.)]]</f>
        <v>0</v>
      </c>
      <c r="S436" s="278">
        <f>TABLA_BASE[[#This Row],[DEUDA
ADUANERA
UNIT.]]*'📋 Datos Generales'!$E$19</f>
        <v>0</v>
      </c>
      <c r="T436" s="278">
        <f>TABLA_BASE[[#This Row],[DEUDA
ADUANERA
TOTAL]]*'📋 Datos Generales'!$E$19</f>
        <v>0</v>
      </c>
      <c r="U436" s="281">
        <f>TABLA_BASE[[#This Row],[ADV UNIT.
(US$)
⚠️COSTO]]*'📋 Datos Generales'!$E$19</f>
        <v>0</v>
      </c>
      <c r="V436" s="281">
        <f>TABLA_BASE[[#This Row],[ADV UNIT.
(S/.)]]*TABLA_BASE[[#This Row],[CANTIDAD
(unid.)]]</f>
        <v>0</v>
      </c>
      <c r="W436" s="281">
        <f>TABLA_BASE[[#This Row],[IPM UNIT.
(US$)
✅CF]]*'📋 Datos Generales'!$E$19</f>
        <v>0</v>
      </c>
      <c r="X436" s="281">
        <f>TABLA_BASE[[#This Row],[IPM UNIT.
(S/.)]]*TABLA_BASE[[#This Row],[CANTIDAD
(unid.)]]</f>
        <v>0</v>
      </c>
      <c r="Y436" s="281">
        <f>TABLA_BASE[[#This Row],[IGV UNIT.
(US$)
✅CF]]*'📋 Datos Generales'!$E$19</f>
        <v>0</v>
      </c>
      <c r="Z436" s="281">
        <f>TABLA_BASE[[#This Row],[IGV UNIT.
(S/.)]]*TABLA_BASE[[#This Row],[CANTIDAD
(unid.)]]</f>
        <v>0</v>
      </c>
      <c r="AA436" s="281">
        <f>TABLA_BASE[[#This Row],[PERCEP.
UNIT.(US$)
✅CF]]*'📋 Datos Generales'!$E$19</f>
        <v>0</v>
      </c>
      <c r="AB436" s="281">
        <f>TABLA_BASE[[#This Row],[PERCEP.
UNIT.(S/.)]]*TABLA_BASE[[#This Row],[CANTIDAD
(unid.)]]</f>
        <v>0</v>
      </c>
      <c r="AC436" s="279">
        <f>TABLA_BASE[[#This Row],[ADV UNIT.
(US$)
⚠️COSTO]]+TABLA_BASE[[#This Row],[IPM UNIT.
(US$)
✅CF]]+TABLA_BASE[[#This Row],[IGV UNIT.
(US$)
✅CF]]+TABLA_BASE[[#This Row],[PERCEP.
UNIT.(US$)
✅CF]]</f>
        <v>0</v>
      </c>
      <c r="AD436" s="279">
        <f>TABLA_BASE[[#This Row],[TOTAL PAGO
SUNAT
UNIT.(US$)]]*TABLA_BASE[[#This Row],[CANTIDAD
(unid.)]]</f>
        <v>0</v>
      </c>
      <c r="AE436" s="281">
        <f>TABLA_BASE[[#This Row],[TOTAL PAGO
SUNAT
UNIT.(US$)]]*'📋 Datos Generales'!$E$19</f>
        <v>0</v>
      </c>
      <c r="AF436" s="281">
        <f>TABLA_BASE[[#This Row],[TOTAL TRIB.
UNIT.(S/.)]]*TABLA_BASE[[#This Row],[CANTIDAD
(unid.)]]</f>
        <v>0</v>
      </c>
      <c r="AG436" s="279">
        <f>IF('🧾 Factura Comercial'!G440=0,0,'📦 Gastos Importación'!$E$28*(IF('🧾 Tributos Aduana'!$F$6=0,0,'🧾 Factura Comercial'!I440/'🧾 Tributos Aduana'!$F$6))/'🧾 Factura Comercial'!G440)</f>
        <v>0</v>
      </c>
      <c r="AH436" s="279">
        <f>TABLA_BASE[[#This Row],[GASTOS IMP.
UNIT.(US$)]]*TABLA_BASE[[#This Row],[CANTIDAD
(unid.)]]</f>
        <v>0</v>
      </c>
      <c r="AI436" s="281">
        <f>TABLA_BASE[[#This Row],[GASTOS IMP.
UNIT.(US$)]]*'📋 Datos Generales'!$E$19</f>
        <v>0</v>
      </c>
      <c r="AJ436" s="281">
        <f>TABLA_BASE[[#This Row],[GASTOS IMP.
UNIT.(S/.)]]*TABLA_BASE[[#This Row],[CANTIDAD
(unid.)]]</f>
        <v>0</v>
      </c>
      <c r="AK436" s="280">
        <f>'🧮 Costos x Producto'!J440</f>
        <v>0</v>
      </c>
      <c r="AL436" s="278">
        <f>'🧮 Costos x Producto'!K440</f>
        <v>0</v>
      </c>
      <c r="AM436" s="278">
        <f>TABLA_BASE[[#This Row],[C/M UNIT.
(S/.)]]*TABLA_BASE[[#This Row],[CANTIDAD
(unid.)]]</f>
        <v>0</v>
      </c>
      <c r="AN436" s="279">
        <f>IF('🧾 Factura Comercial'!G440=0,0,'🧾 Tributos Aduana'!$F$17*(IF('🧾 Tributos Aduana'!$F$6=0,0,'🧾 Factura Comercial'!I440/'🧾 Tributos Aduana'!$F$6))/'🧾 Factura Comercial'!G440)</f>
        <v>0</v>
      </c>
      <c r="AO436" s="280">
        <f>IF('🧾 Factura Comercial'!G440=0,0,'🏦 Crédito Fiscal'!$C$16*(IF('🧾 Tributos Aduana'!$F$6=0,0,'🧾 Factura Comercial'!I440/'🧾 Tributos Aduana'!$F$6))/'🧾 Factura Comercial'!G440)</f>
        <v>0</v>
      </c>
      <c r="AP436" s="278">
        <f>TABLA_BASE[[#This Row],[CF UNIT.
✅RECUP.
(US$)]]*'📋 Datos Generales'!$E$19</f>
        <v>0</v>
      </c>
      <c r="AQ436" s="278">
        <f>TABLA_BASE[[#This Row],[CF UNIT.
✅RECUP.(S/.)]]*TABLA_BASE[[#This Row],[CANTIDAD
(unid.)]]</f>
        <v>0</v>
      </c>
      <c r="AR436" s="288">
        <f>'💰 Precio de Venta'!G441</f>
        <v>0.4</v>
      </c>
      <c r="AS436" s="278">
        <f>'💰 Precio de Venta'!H441</f>
        <v>0</v>
      </c>
      <c r="AT436" s="278">
        <f>TABLA_BASE[[#This Row],[VALOR VTA.
UNIT.(S/.)]]*TABLA_BASE[[#This Row],[CANTIDAD
(unid.)]]</f>
        <v>0</v>
      </c>
      <c r="AU436" s="281">
        <f>'💰 Precio de Venta'!I441</f>
        <v>0</v>
      </c>
      <c r="AV436" s="278">
        <f>'💰 Precio de Venta'!J441</f>
        <v>0</v>
      </c>
      <c r="AW436" s="278">
        <f>TABLA_BASE[[#This Row],[GANANCIA
UNIT.(S/.)]]*TABLA_BASE[[#This Row],[CANTIDAD
(unid.)]]</f>
        <v>0</v>
      </c>
      <c r="AX436" s="289">
        <f>'💰 Precio de Venta'!K441</f>
        <v>0</v>
      </c>
      <c r="AY436" s="278">
        <f>TABLA_BASE[[#This Row],[GANANCIA
UNIT.(S/.)]]*'🧾 Factura Comercial'!G440</f>
        <v>0</v>
      </c>
      <c r="AZ436" s="277">
        <f>IF(TABLA_BASE[[#This Row],[PRECIO VTA.
c/IGV(S/.)]]=0,0,TABLA_BASE[[#This Row],[GANANCIA
UNIT.(S/.)]]/TABLA_BASE[[#This Row],[PRECIO VTA.
c/IGV(S/.)]])</f>
        <v>0</v>
      </c>
      <c r="BA436" s="277">
        <f>IF(TABLA_BASE[[#This Row],[C/M UNIT.
(S/.)]]=0,0,TABLA_BASE[[#This Row],[GANANCIA
UNIT.(S/.)]]/TABLA_BASE[[#This Row],[C/M UNIT.
(S/.)]])</f>
        <v>0</v>
      </c>
      <c r="BB436" s="274" t="str">
        <f>IF(TABLA_BASE[[#This Row],[MARGEN
%]]&gt;=0.5,"🟢 ALTO",IF(TABLA_BASE[[#This Row],[MARGEN
%]]&gt;=0.3,"🟡 MEDIO","🔴 BAJO"))</f>
        <v>🟡 MEDIO</v>
      </c>
    </row>
    <row r="437" spans="1:54" ht="16.5" hidden="1" thickTop="1" thickBot="1" x14ac:dyDescent="0.3">
      <c r="A437" s="274">
        <f>'🧾 Factura Comercial'!E441</f>
        <v>0</v>
      </c>
      <c r="B437" s="274" t="str">
        <f>'🧾 Factura Comercial'!F441</f>
        <v>Unid.</v>
      </c>
      <c r="C437" s="275">
        <f>'🧾 Factura Comercial'!G441</f>
        <v>0</v>
      </c>
      <c r="D437" s="276">
        <f>'🧾 Factura Comercial'!H441</f>
        <v>0</v>
      </c>
      <c r="E437" s="276">
        <f>'🧾 Factura Comercial'!I441</f>
        <v>0</v>
      </c>
      <c r="F437" s="277">
        <f>IF('🧾 Tributos Aduana'!$F$6=0,0,'🧾 Factura Comercial'!I441/'🧾 Tributos Aduana'!$F$6)</f>
        <v>0</v>
      </c>
      <c r="G437" s="278">
        <f>'🧾 Factura Comercial'!H441*'📋 Datos Generales'!$E$19</f>
        <v>0</v>
      </c>
      <c r="H437" s="278">
        <f>TABLA_BASE[[#This Row],[FOB UNIT.
(S/.)]]*TABLA_BASE[[#This Row],[CANTIDAD
(unid.)]]</f>
        <v>0</v>
      </c>
      <c r="I437" s="280">
        <f>IF('🧾 Tributos Aduana'!$F$6=0,0,'🧾 Tributos Aduana'!$F$17*('🧾 Factura Comercial'!H441/'🧾 Tributos Aduana'!$F$6))</f>
        <v>0</v>
      </c>
      <c r="J437" s="280">
        <f>TABLA_BASE[[#This Row],[ADV UNIT.
(US$)
⚠️COSTO]]*TABLA_BASE[[#This Row],[CANTIDAD
(unid.)]]</f>
        <v>0</v>
      </c>
      <c r="K437" s="279">
        <f>IF('🧾 Tributos Aduana'!$F$6=0,0,'🧾 Tributos Aduana'!$F$18*('🧾 Factura Comercial'!H441/'🧾 Tributos Aduana'!$F$6))</f>
        <v>0</v>
      </c>
      <c r="L437" s="280">
        <f>TABLA_BASE[[#This Row],[IPM UNIT.
(US$)
✅CF]]*TABLA_BASE[[#This Row],[CANTIDAD
(unid.)]]</f>
        <v>0</v>
      </c>
      <c r="M437" s="279">
        <f>IF('🧾 Tributos Aduana'!$F$6=0,0,'🧾 Tributos Aduana'!$F$19*('🧾 Factura Comercial'!H441/'🧾 Tributos Aduana'!$F$6))</f>
        <v>0</v>
      </c>
      <c r="N437" s="280">
        <f>TABLA_BASE[[#This Row],[IGV UNIT.
(US$)
✅CF]]*TABLA_BASE[[#This Row],[CANTIDAD
(unid.)]]</f>
        <v>0</v>
      </c>
      <c r="O437" s="280">
        <f>IF('🧾 Tributos Aduana'!$F$6=0,0,'🧾 Tributos Aduana'!$F$23*('🧾 Factura Comercial'!H441/'🧾 Tributos Aduana'!$F$6))</f>
        <v>0</v>
      </c>
      <c r="P437" s="280">
        <f>TABLA_BASE[[#This Row],[PERCEP.
UNIT.(US$)
✅CF]]*TABLA_BASE[[#This Row],[CANTIDAD
(unid.)]]</f>
        <v>0</v>
      </c>
      <c r="Q437" s="279">
        <f>TABLA_BASE[[#This Row],[ADV UNIT.
(US$)
⚠️COSTO]]+TABLA_BASE[[#This Row],[IPM UNIT.
(US$)
✅CF]]+TABLA_BASE[[#This Row],[IGV UNIT.
(US$)
✅CF]]</f>
        <v>0</v>
      </c>
      <c r="R437" s="280">
        <f>TABLA_BASE[[#This Row],[DEUDA
ADUANERA
UNIT.]]*TABLA_BASE[[#This Row],[CANTIDAD
(unid.)]]</f>
        <v>0</v>
      </c>
      <c r="S437" s="278">
        <f>TABLA_BASE[[#This Row],[DEUDA
ADUANERA
UNIT.]]*'📋 Datos Generales'!$E$19</f>
        <v>0</v>
      </c>
      <c r="T437" s="278">
        <f>TABLA_BASE[[#This Row],[DEUDA
ADUANERA
TOTAL]]*'📋 Datos Generales'!$E$19</f>
        <v>0</v>
      </c>
      <c r="U437" s="281">
        <f>TABLA_BASE[[#This Row],[ADV UNIT.
(US$)
⚠️COSTO]]*'📋 Datos Generales'!$E$19</f>
        <v>0</v>
      </c>
      <c r="V437" s="281">
        <f>TABLA_BASE[[#This Row],[ADV UNIT.
(S/.)]]*TABLA_BASE[[#This Row],[CANTIDAD
(unid.)]]</f>
        <v>0</v>
      </c>
      <c r="W437" s="281">
        <f>TABLA_BASE[[#This Row],[IPM UNIT.
(US$)
✅CF]]*'📋 Datos Generales'!$E$19</f>
        <v>0</v>
      </c>
      <c r="X437" s="281">
        <f>TABLA_BASE[[#This Row],[IPM UNIT.
(S/.)]]*TABLA_BASE[[#This Row],[CANTIDAD
(unid.)]]</f>
        <v>0</v>
      </c>
      <c r="Y437" s="281">
        <f>TABLA_BASE[[#This Row],[IGV UNIT.
(US$)
✅CF]]*'📋 Datos Generales'!$E$19</f>
        <v>0</v>
      </c>
      <c r="Z437" s="281">
        <f>TABLA_BASE[[#This Row],[IGV UNIT.
(S/.)]]*TABLA_BASE[[#This Row],[CANTIDAD
(unid.)]]</f>
        <v>0</v>
      </c>
      <c r="AA437" s="281">
        <f>TABLA_BASE[[#This Row],[PERCEP.
UNIT.(US$)
✅CF]]*'📋 Datos Generales'!$E$19</f>
        <v>0</v>
      </c>
      <c r="AB437" s="281">
        <f>TABLA_BASE[[#This Row],[PERCEP.
UNIT.(S/.)]]*TABLA_BASE[[#This Row],[CANTIDAD
(unid.)]]</f>
        <v>0</v>
      </c>
      <c r="AC437" s="279">
        <f>TABLA_BASE[[#This Row],[ADV UNIT.
(US$)
⚠️COSTO]]+TABLA_BASE[[#This Row],[IPM UNIT.
(US$)
✅CF]]+TABLA_BASE[[#This Row],[IGV UNIT.
(US$)
✅CF]]+TABLA_BASE[[#This Row],[PERCEP.
UNIT.(US$)
✅CF]]</f>
        <v>0</v>
      </c>
      <c r="AD437" s="279">
        <f>TABLA_BASE[[#This Row],[TOTAL PAGO
SUNAT
UNIT.(US$)]]*TABLA_BASE[[#This Row],[CANTIDAD
(unid.)]]</f>
        <v>0</v>
      </c>
      <c r="AE437" s="281">
        <f>TABLA_BASE[[#This Row],[TOTAL PAGO
SUNAT
UNIT.(US$)]]*'📋 Datos Generales'!$E$19</f>
        <v>0</v>
      </c>
      <c r="AF437" s="281">
        <f>TABLA_BASE[[#This Row],[TOTAL TRIB.
UNIT.(S/.)]]*TABLA_BASE[[#This Row],[CANTIDAD
(unid.)]]</f>
        <v>0</v>
      </c>
      <c r="AG437" s="279">
        <f>IF('🧾 Factura Comercial'!G441=0,0,'📦 Gastos Importación'!$E$28*(IF('🧾 Tributos Aduana'!$F$6=0,0,'🧾 Factura Comercial'!I441/'🧾 Tributos Aduana'!$F$6))/'🧾 Factura Comercial'!G441)</f>
        <v>0</v>
      </c>
      <c r="AH437" s="279">
        <f>TABLA_BASE[[#This Row],[GASTOS IMP.
UNIT.(US$)]]*TABLA_BASE[[#This Row],[CANTIDAD
(unid.)]]</f>
        <v>0</v>
      </c>
      <c r="AI437" s="281">
        <f>TABLA_BASE[[#This Row],[GASTOS IMP.
UNIT.(US$)]]*'📋 Datos Generales'!$E$19</f>
        <v>0</v>
      </c>
      <c r="AJ437" s="281">
        <f>TABLA_BASE[[#This Row],[GASTOS IMP.
UNIT.(S/.)]]*TABLA_BASE[[#This Row],[CANTIDAD
(unid.)]]</f>
        <v>0</v>
      </c>
      <c r="AK437" s="280">
        <f>'🧮 Costos x Producto'!J441</f>
        <v>0</v>
      </c>
      <c r="AL437" s="278">
        <f>'🧮 Costos x Producto'!K441</f>
        <v>0</v>
      </c>
      <c r="AM437" s="278">
        <f>TABLA_BASE[[#This Row],[C/M UNIT.
(S/.)]]*TABLA_BASE[[#This Row],[CANTIDAD
(unid.)]]</f>
        <v>0</v>
      </c>
      <c r="AN437" s="279">
        <f>IF('🧾 Factura Comercial'!G441=0,0,'🧾 Tributos Aduana'!$F$17*(IF('🧾 Tributos Aduana'!$F$6=0,0,'🧾 Factura Comercial'!I441/'🧾 Tributos Aduana'!$F$6))/'🧾 Factura Comercial'!G441)</f>
        <v>0</v>
      </c>
      <c r="AO437" s="280">
        <f>IF('🧾 Factura Comercial'!G441=0,0,'🏦 Crédito Fiscal'!$C$16*(IF('🧾 Tributos Aduana'!$F$6=0,0,'🧾 Factura Comercial'!I441/'🧾 Tributos Aduana'!$F$6))/'🧾 Factura Comercial'!G441)</f>
        <v>0</v>
      </c>
      <c r="AP437" s="278">
        <f>TABLA_BASE[[#This Row],[CF UNIT.
✅RECUP.
(US$)]]*'📋 Datos Generales'!$E$19</f>
        <v>0</v>
      </c>
      <c r="AQ437" s="278">
        <f>TABLA_BASE[[#This Row],[CF UNIT.
✅RECUP.(S/.)]]*TABLA_BASE[[#This Row],[CANTIDAD
(unid.)]]</f>
        <v>0</v>
      </c>
      <c r="AR437" s="288">
        <f>'💰 Precio de Venta'!G442</f>
        <v>0.4</v>
      </c>
      <c r="AS437" s="278">
        <f>'💰 Precio de Venta'!H442</f>
        <v>0</v>
      </c>
      <c r="AT437" s="278">
        <f>TABLA_BASE[[#This Row],[VALOR VTA.
UNIT.(S/.)]]*TABLA_BASE[[#This Row],[CANTIDAD
(unid.)]]</f>
        <v>0</v>
      </c>
      <c r="AU437" s="281">
        <f>'💰 Precio de Venta'!I442</f>
        <v>0</v>
      </c>
      <c r="AV437" s="278">
        <f>'💰 Precio de Venta'!J442</f>
        <v>0</v>
      </c>
      <c r="AW437" s="278">
        <f>TABLA_BASE[[#This Row],[GANANCIA
UNIT.(S/.)]]*TABLA_BASE[[#This Row],[CANTIDAD
(unid.)]]</f>
        <v>0</v>
      </c>
      <c r="AX437" s="289">
        <f>'💰 Precio de Venta'!K442</f>
        <v>0</v>
      </c>
      <c r="AY437" s="278">
        <f>TABLA_BASE[[#This Row],[GANANCIA
UNIT.(S/.)]]*'🧾 Factura Comercial'!G441</f>
        <v>0</v>
      </c>
      <c r="AZ437" s="277">
        <f>IF(TABLA_BASE[[#This Row],[PRECIO VTA.
c/IGV(S/.)]]=0,0,TABLA_BASE[[#This Row],[GANANCIA
UNIT.(S/.)]]/TABLA_BASE[[#This Row],[PRECIO VTA.
c/IGV(S/.)]])</f>
        <v>0</v>
      </c>
      <c r="BA437" s="277">
        <f>IF(TABLA_BASE[[#This Row],[C/M UNIT.
(S/.)]]=0,0,TABLA_BASE[[#This Row],[GANANCIA
UNIT.(S/.)]]/TABLA_BASE[[#This Row],[C/M UNIT.
(S/.)]])</f>
        <v>0</v>
      </c>
      <c r="BB437" s="274" t="str">
        <f>IF(TABLA_BASE[[#This Row],[MARGEN
%]]&gt;=0.5,"🟢 ALTO",IF(TABLA_BASE[[#This Row],[MARGEN
%]]&gt;=0.3,"🟡 MEDIO","🔴 BAJO"))</f>
        <v>🟡 MEDIO</v>
      </c>
    </row>
    <row r="438" spans="1:54" ht="16.5" hidden="1" thickTop="1" thickBot="1" x14ac:dyDescent="0.3">
      <c r="A438" s="274">
        <f>'🧾 Factura Comercial'!E442</f>
        <v>0</v>
      </c>
      <c r="B438" s="274" t="str">
        <f>'🧾 Factura Comercial'!F442</f>
        <v>Unid.</v>
      </c>
      <c r="C438" s="275">
        <f>'🧾 Factura Comercial'!G442</f>
        <v>0</v>
      </c>
      <c r="D438" s="276">
        <f>'🧾 Factura Comercial'!H442</f>
        <v>0</v>
      </c>
      <c r="E438" s="276">
        <f>'🧾 Factura Comercial'!I442</f>
        <v>0</v>
      </c>
      <c r="F438" s="277">
        <f>IF('🧾 Tributos Aduana'!$F$6=0,0,'🧾 Factura Comercial'!I442/'🧾 Tributos Aduana'!$F$6)</f>
        <v>0</v>
      </c>
      <c r="G438" s="278">
        <f>'🧾 Factura Comercial'!H442*'📋 Datos Generales'!$E$19</f>
        <v>0</v>
      </c>
      <c r="H438" s="278">
        <f>TABLA_BASE[[#This Row],[FOB UNIT.
(S/.)]]*TABLA_BASE[[#This Row],[CANTIDAD
(unid.)]]</f>
        <v>0</v>
      </c>
      <c r="I438" s="280">
        <f>IF('🧾 Tributos Aduana'!$F$6=0,0,'🧾 Tributos Aduana'!$F$17*('🧾 Factura Comercial'!H442/'🧾 Tributos Aduana'!$F$6))</f>
        <v>0</v>
      </c>
      <c r="J438" s="280">
        <f>TABLA_BASE[[#This Row],[ADV UNIT.
(US$)
⚠️COSTO]]*TABLA_BASE[[#This Row],[CANTIDAD
(unid.)]]</f>
        <v>0</v>
      </c>
      <c r="K438" s="279">
        <f>IF('🧾 Tributos Aduana'!$F$6=0,0,'🧾 Tributos Aduana'!$F$18*('🧾 Factura Comercial'!H442/'🧾 Tributos Aduana'!$F$6))</f>
        <v>0</v>
      </c>
      <c r="L438" s="280">
        <f>TABLA_BASE[[#This Row],[IPM UNIT.
(US$)
✅CF]]*TABLA_BASE[[#This Row],[CANTIDAD
(unid.)]]</f>
        <v>0</v>
      </c>
      <c r="M438" s="279">
        <f>IF('🧾 Tributos Aduana'!$F$6=0,0,'🧾 Tributos Aduana'!$F$19*('🧾 Factura Comercial'!H442/'🧾 Tributos Aduana'!$F$6))</f>
        <v>0</v>
      </c>
      <c r="N438" s="280">
        <f>TABLA_BASE[[#This Row],[IGV UNIT.
(US$)
✅CF]]*TABLA_BASE[[#This Row],[CANTIDAD
(unid.)]]</f>
        <v>0</v>
      </c>
      <c r="O438" s="280">
        <f>IF('🧾 Tributos Aduana'!$F$6=0,0,'🧾 Tributos Aduana'!$F$23*('🧾 Factura Comercial'!H442/'🧾 Tributos Aduana'!$F$6))</f>
        <v>0</v>
      </c>
      <c r="P438" s="280">
        <f>TABLA_BASE[[#This Row],[PERCEP.
UNIT.(US$)
✅CF]]*TABLA_BASE[[#This Row],[CANTIDAD
(unid.)]]</f>
        <v>0</v>
      </c>
      <c r="Q438" s="279">
        <f>TABLA_BASE[[#This Row],[ADV UNIT.
(US$)
⚠️COSTO]]+TABLA_BASE[[#This Row],[IPM UNIT.
(US$)
✅CF]]+TABLA_BASE[[#This Row],[IGV UNIT.
(US$)
✅CF]]</f>
        <v>0</v>
      </c>
      <c r="R438" s="280">
        <f>TABLA_BASE[[#This Row],[DEUDA
ADUANERA
UNIT.]]*TABLA_BASE[[#This Row],[CANTIDAD
(unid.)]]</f>
        <v>0</v>
      </c>
      <c r="S438" s="278">
        <f>TABLA_BASE[[#This Row],[DEUDA
ADUANERA
UNIT.]]*'📋 Datos Generales'!$E$19</f>
        <v>0</v>
      </c>
      <c r="T438" s="278">
        <f>TABLA_BASE[[#This Row],[DEUDA
ADUANERA
TOTAL]]*'📋 Datos Generales'!$E$19</f>
        <v>0</v>
      </c>
      <c r="U438" s="281">
        <f>TABLA_BASE[[#This Row],[ADV UNIT.
(US$)
⚠️COSTO]]*'📋 Datos Generales'!$E$19</f>
        <v>0</v>
      </c>
      <c r="V438" s="281">
        <f>TABLA_BASE[[#This Row],[ADV UNIT.
(S/.)]]*TABLA_BASE[[#This Row],[CANTIDAD
(unid.)]]</f>
        <v>0</v>
      </c>
      <c r="W438" s="281">
        <f>TABLA_BASE[[#This Row],[IPM UNIT.
(US$)
✅CF]]*'📋 Datos Generales'!$E$19</f>
        <v>0</v>
      </c>
      <c r="X438" s="281">
        <f>TABLA_BASE[[#This Row],[IPM UNIT.
(S/.)]]*TABLA_BASE[[#This Row],[CANTIDAD
(unid.)]]</f>
        <v>0</v>
      </c>
      <c r="Y438" s="281">
        <f>TABLA_BASE[[#This Row],[IGV UNIT.
(US$)
✅CF]]*'📋 Datos Generales'!$E$19</f>
        <v>0</v>
      </c>
      <c r="Z438" s="281">
        <f>TABLA_BASE[[#This Row],[IGV UNIT.
(S/.)]]*TABLA_BASE[[#This Row],[CANTIDAD
(unid.)]]</f>
        <v>0</v>
      </c>
      <c r="AA438" s="281">
        <f>TABLA_BASE[[#This Row],[PERCEP.
UNIT.(US$)
✅CF]]*'📋 Datos Generales'!$E$19</f>
        <v>0</v>
      </c>
      <c r="AB438" s="281">
        <f>TABLA_BASE[[#This Row],[PERCEP.
UNIT.(S/.)]]*TABLA_BASE[[#This Row],[CANTIDAD
(unid.)]]</f>
        <v>0</v>
      </c>
      <c r="AC438" s="279">
        <f>TABLA_BASE[[#This Row],[ADV UNIT.
(US$)
⚠️COSTO]]+TABLA_BASE[[#This Row],[IPM UNIT.
(US$)
✅CF]]+TABLA_BASE[[#This Row],[IGV UNIT.
(US$)
✅CF]]+TABLA_BASE[[#This Row],[PERCEP.
UNIT.(US$)
✅CF]]</f>
        <v>0</v>
      </c>
      <c r="AD438" s="279">
        <f>TABLA_BASE[[#This Row],[TOTAL PAGO
SUNAT
UNIT.(US$)]]*TABLA_BASE[[#This Row],[CANTIDAD
(unid.)]]</f>
        <v>0</v>
      </c>
      <c r="AE438" s="281">
        <f>TABLA_BASE[[#This Row],[TOTAL PAGO
SUNAT
UNIT.(US$)]]*'📋 Datos Generales'!$E$19</f>
        <v>0</v>
      </c>
      <c r="AF438" s="281">
        <f>TABLA_BASE[[#This Row],[TOTAL TRIB.
UNIT.(S/.)]]*TABLA_BASE[[#This Row],[CANTIDAD
(unid.)]]</f>
        <v>0</v>
      </c>
      <c r="AG438" s="279">
        <f>IF('🧾 Factura Comercial'!G442=0,0,'📦 Gastos Importación'!$E$28*(IF('🧾 Tributos Aduana'!$F$6=0,0,'🧾 Factura Comercial'!I442/'🧾 Tributos Aduana'!$F$6))/'🧾 Factura Comercial'!G442)</f>
        <v>0</v>
      </c>
      <c r="AH438" s="279">
        <f>TABLA_BASE[[#This Row],[GASTOS IMP.
UNIT.(US$)]]*TABLA_BASE[[#This Row],[CANTIDAD
(unid.)]]</f>
        <v>0</v>
      </c>
      <c r="AI438" s="281">
        <f>TABLA_BASE[[#This Row],[GASTOS IMP.
UNIT.(US$)]]*'📋 Datos Generales'!$E$19</f>
        <v>0</v>
      </c>
      <c r="AJ438" s="281">
        <f>TABLA_BASE[[#This Row],[GASTOS IMP.
UNIT.(S/.)]]*TABLA_BASE[[#This Row],[CANTIDAD
(unid.)]]</f>
        <v>0</v>
      </c>
      <c r="AK438" s="280">
        <f>'🧮 Costos x Producto'!J442</f>
        <v>0</v>
      </c>
      <c r="AL438" s="278">
        <f>'🧮 Costos x Producto'!K442</f>
        <v>0</v>
      </c>
      <c r="AM438" s="278">
        <f>TABLA_BASE[[#This Row],[C/M UNIT.
(S/.)]]*TABLA_BASE[[#This Row],[CANTIDAD
(unid.)]]</f>
        <v>0</v>
      </c>
      <c r="AN438" s="279">
        <f>IF('🧾 Factura Comercial'!G442=0,0,'🧾 Tributos Aduana'!$F$17*(IF('🧾 Tributos Aduana'!$F$6=0,0,'🧾 Factura Comercial'!I442/'🧾 Tributos Aduana'!$F$6))/'🧾 Factura Comercial'!G442)</f>
        <v>0</v>
      </c>
      <c r="AO438" s="280">
        <f>IF('🧾 Factura Comercial'!G442=0,0,'🏦 Crédito Fiscal'!$C$16*(IF('🧾 Tributos Aduana'!$F$6=0,0,'🧾 Factura Comercial'!I442/'🧾 Tributos Aduana'!$F$6))/'🧾 Factura Comercial'!G442)</f>
        <v>0</v>
      </c>
      <c r="AP438" s="278">
        <f>TABLA_BASE[[#This Row],[CF UNIT.
✅RECUP.
(US$)]]*'📋 Datos Generales'!$E$19</f>
        <v>0</v>
      </c>
      <c r="AQ438" s="278">
        <f>TABLA_BASE[[#This Row],[CF UNIT.
✅RECUP.(S/.)]]*TABLA_BASE[[#This Row],[CANTIDAD
(unid.)]]</f>
        <v>0</v>
      </c>
      <c r="AR438" s="288">
        <f>'💰 Precio de Venta'!G443</f>
        <v>0.4</v>
      </c>
      <c r="AS438" s="278">
        <f>'💰 Precio de Venta'!H443</f>
        <v>0</v>
      </c>
      <c r="AT438" s="278">
        <f>TABLA_BASE[[#This Row],[VALOR VTA.
UNIT.(S/.)]]*TABLA_BASE[[#This Row],[CANTIDAD
(unid.)]]</f>
        <v>0</v>
      </c>
      <c r="AU438" s="281">
        <f>'💰 Precio de Venta'!I443</f>
        <v>0</v>
      </c>
      <c r="AV438" s="278">
        <f>'💰 Precio de Venta'!J443</f>
        <v>0</v>
      </c>
      <c r="AW438" s="278">
        <f>TABLA_BASE[[#This Row],[GANANCIA
UNIT.(S/.)]]*TABLA_BASE[[#This Row],[CANTIDAD
(unid.)]]</f>
        <v>0</v>
      </c>
      <c r="AX438" s="289">
        <f>'💰 Precio de Venta'!K443</f>
        <v>0</v>
      </c>
      <c r="AY438" s="278">
        <f>TABLA_BASE[[#This Row],[GANANCIA
UNIT.(S/.)]]*'🧾 Factura Comercial'!G442</f>
        <v>0</v>
      </c>
      <c r="AZ438" s="277">
        <f>IF(TABLA_BASE[[#This Row],[PRECIO VTA.
c/IGV(S/.)]]=0,0,TABLA_BASE[[#This Row],[GANANCIA
UNIT.(S/.)]]/TABLA_BASE[[#This Row],[PRECIO VTA.
c/IGV(S/.)]])</f>
        <v>0</v>
      </c>
      <c r="BA438" s="277">
        <f>IF(TABLA_BASE[[#This Row],[C/M UNIT.
(S/.)]]=0,0,TABLA_BASE[[#This Row],[GANANCIA
UNIT.(S/.)]]/TABLA_BASE[[#This Row],[C/M UNIT.
(S/.)]])</f>
        <v>0</v>
      </c>
      <c r="BB438" s="274" t="str">
        <f>IF(TABLA_BASE[[#This Row],[MARGEN
%]]&gt;=0.5,"🟢 ALTO",IF(TABLA_BASE[[#This Row],[MARGEN
%]]&gt;=0.3,"🟡 MEDIO","🔴 BAJO"))</f>
        <v>🟡 MEDIO</v>
      </c>
    </row>
    <row r="439" spans="1:54" ht="16.5" hidden="1" thickTop="1" thickBot="1" x14ac:dyDescent="0.3">
      <c r="A439" s="274">
        <f>'🧾 Factura Comercial'!E443</f>
        <v>0</v>
      </c>
      <c r="B439" s="274" t="str">
        <f>'🧾 Factura Comercial'!F443</f>
        <v>Unid.</v>
      </c>
      <c r="C439" s="275">
        <f>'🧾 Factura Comercial'!G443</f>
        <v>0</v>
      </c>
      <c r="D439" s="276">
        <f>'🧾 Factura Comercial'!H443</f>
        <v>0</v>
      </c>
      <c r="E439" s="276">
        <f>'🧾 Factura Comercial'!I443</f>
        <v>0</v>
      </c>
      <c r="F439" s="277">
        <f>IF('🧾 Tributos Aduana'!$F$6=0,0,'🧾 Factura Comercial'!I443/'🧾 Tributos Aduana'!$F$6)</f>
        <v>0</v>
      </c>
      <c r="G439" s="278">
        <f>'🧾 Factura Comercial'!H443*'📋 Datos Generales'!$E$19</f>
        <v>0</v>
      </c>
      <c r="H439" s="278">
        <f>TABLA_BASE[[#This Row],[FOB UNIT.
(S/.)]]*TABLA_BASE[[#This Row],[CANTIDAD
(unid.)]]</f>
        <v>0</v>
      </c>
      <c r="I439" s="280">
        <f>IF('🧾 Tributos Aduana'!$F$6=0,0,'🧾 Tributos Aduana'!$F$17*('🧾 Factura Comercial'!H443/'🧾 Tributos Aduana'!$F$6))</f>
        <v>0</v>
      </c>
      <c r="J439" s="280">
        <f>TABLA_BASE[[#This Row],[ADV UNIT.
(US$)
⚠️COSTO]]*TABLA_BASE[[#This Row],[CANTIDAD
(unid.)]]</f>
        <v>0</v>
      </c>
      <c r="K439" s="279">
        <f>IF('🧾 Tributos Aduana'!$F$6=0,0,'🧾 Tributos Aduana'!$F$18*('🧾 Factura Comercial'!H443/'🧾 Tributos Aduana'!$F$6))</f>
        <v>0</v>
      </c>
      <c r="L439" s="280">
        <f>TABLA_BASE[[#This Row],[IPM UNIT.
(US$)
✅CF]]*TABLA_BASE[[#This Row],[CANTIDAD
(unid.)]]</f>
        <v>0</v>
      </c>
      <c r="M439" s="279">
        <f>IF('🧾 Tributos Aduana'!$F$6=0,0,'🧾 Tributos Aduana'!$F$19*('🧾 Factura Comercial'!H443/'🧾 Tributos Aduana'!$F$6))</f>
        <v>0</v>
      </c>
      <c r="N439" s="280">
        <f>TABLA_BASE[[#This Row],[IGV UNIT.
(US$)
✅CF]]*TABLA_BASE[[#This Row],[CANTIDAD
(unid.)]]</f>
        <v>0</v>
      </c>
      <c r="O439" s="280">
        <f>IF('🧾 Tributos Aduana'!$F$6=0,0,'🧾 Tributos Aduana'!$F$23*('🧾 Factura Comercial'!H443/'🧾 Tributos Aduana'!$F$6))</f>
        <v>0</v>
      </c>
      <c r="P439" s="280">
        <f>TABLA_BASE[[#This Row],[PERCEP.
UNIT.(US$)
✅CF]]*TABLA_BASE[[#This Row],[CANTIDAD
(unid.)]]</f>
        <v>0</v>
      </c>
      <c r="Q439" s="279">
        <f>TABLA_BASE[[#This Row],[ADV UNIT.
(US$)
⚠️COSTO]]+TABLA_BASE[[#This Row],[IPM UNIT.
(US$)
✅CF]]+TABLA_BASE[[#This Row],[IGV UNIT.
(US$)
✅CF]]</f>
        <v>0</v>
      </c>
      <c r="R439" s="280">
        <f>TABLA_BASE[[#This Row],[DEUDA
ADUANERA
UNIT.]]*TABLA_BASE[[#This Row],[CANTIDAD
(unid.)]]</f>
        <v>0</v>
      </c>
      <c r="S439" s="278">
        <f>TABLA_BASE[[#This Row],[DEUDA
ADUANERA
UNIT.]]*'📋 Datos Generales'!$E$19</f>
        <v>0</v>
      </c>
      <c r="T439" s="278">
        <f>TABLA_BASE[[#This Row],[DEUDA
ADUANERA
TOTAL]]*'📋 Datos Generales'!$E$19</f>
        <v>0</v>
      </c>
      <c r="U439" s="281">
        <f>TABLA_BASE[[#This Row],[ADV UNIT.
(US$)
⚠️COSTO]]*'📋 Datos Generales'!$E$19</f>
        <v>0</v>
      </c>
      <c r="V439" s="281">
        <f>TABLA_BASE[[#This Row],[ADV UNIT.
(S/.)]]*TABLA_BASE[[#This Row],[CANTIDAD
(unid.)]]</f>
        <v>0</v>
      </c>
      <c r="W439" s="281">
        <f>TABLA_BASE[[#This Row],[IPM UNIT.
(US$)
✅CF]]*'📋 Datos Generales'!$E$19</f>
        <v>0</v>
      </c>
      <c r="X439" s="281">
        <f>TABLA_BASE[[#This Row],[IPM UNIT.
(S/.)]]*TABLA_BASE[[#This Row],[CANTIDAD
(unid.)]]</f>
        <v>0</v>
      </c>
      <c r="Y439" s="281">
        <f>TABLA_BASE[[#This Row],[IGV UNIT.
(US$)
✅CF]]*'📋 Datos Generales'!$E$19</f>
        <v>0</v>
      </c>
      <c r="Z439" s="281">
        <f>TABLA_BASE[[#This Row],[IGV UNIT.
(S/.)]]*TABLA_BASE[[#This Row],[CANTIDAD
(unid.)]]</f>
        <v>0</v>
      </c>
      <c r="AA439" s="281">
        <f>TABLA_BASE[[#This Row],[PERCEP.
UNIT.(US$)
✅CF]]*'📋 Datos Generales'!$E$19</f>
        <v>0</v>
      </c>
      <c r="AB439" s="281">
        <f>TABLA_BASE[[#This Row],[PERCEP.
UNIT.(S/.)]]*TABLA_BASE[[#This Row],[CANTIDAD
(unid.)]]</f>
        <v>0</v>
      </c>
      <c r="AC439" s="279">
        <f>TABLA_BASE[[#This Row],[ADV UNIT.
(US$)
⚠️COSTO]]+TABLA_BASE[[#This Row],[IPM UNIT.
(US$)
✅CF]]+TABLA_BASE[[#This Row],[IGV UNIT.
(US$)
✅CF]]+TABLA_BASE[[#This Row],[PERCEP.
UNIT.(US$)
✅CF]]</f>
        <v>0</v>
      </c>
      <c r="AD439" s="279">
        <f>TABLA_BASE[[#This Row],[TOTAL PAGO
SUNAT
UNIT.(US$)]]*TABLA_BASE[[#This Row],[CANTIDAD
(unid.)]]</f>
        <v>0</v>
      </c>
      <c r="AE439" s="281">
        <f>TABLA_BASE[[#This Row],[TOTAL PAGO
SUNAT
UNIT.(US$)]]*'📋 Datos Generales'!$E$19</f>
        <v>0</v>
      </c>
      <c r="AF439" s="281">
        <f>TABLA_BASE[[#This Row],[TOTAL TRIB.
UNIT.(S/.)]]*TABLA_BASE[[#This Row],[CANTIDAD
(unid.)]]</f>
        <v>0</v>
      </c>
      <c r="AG439" s="279">
        <f>IF('🧾 Factura Comercial'!G443=0,0,'📦 Gastos Importación'!$E$28*(IF('🧾 Tributos Aduana'!$F$6=0,0,'🧾 Factura Comercial'!I443/'🧾 Tributos Aduana'!$F$6))/'🧾 Factura Comercial'!G443)</f>
        <v>0</v>
      </c>
      <c r="AH439" s="279">
        <f>TABLA_BASE[[#This Row],[GASTOS IMP.
UNIT.(US$)]]*TABLA_BASE[[#This Row],[CANTIDAD
(unid.)]]</f>
        <v>0</v>
      </c>
      <c r="AI439" s="281">
        <f>TABLA_BASE[[#This Row],[GASTOS IMP.
UNIT.(US$)]]*'📋 Datos Generales'!$E$19</f>
        <v>0</v>
      </c>
      <c r="AJ439" s="281">
        <f>TABLA_BASE[[#This Row],[GASTOS IMP.
UNIT.(S/.)]]*TABLA_BASE[[#This Row],[CANTIDAD
(unid.)]]</f>
        <v>0</v>
      </c>
      <c r="AK439" s="280">
        <f>'🧮 Costos x Producto'!J443</f>
        <v>0</v>
      </c>
      <c r="AL439" s="278">
        <f>'🧮 Costos x Producto'!K443</f>
        <v>0</v>
      </c>
      <c r="AM439" s="278">
        <f>TABLA_BASE[[#This Row],[C/M UNIT.
(S/.)]]*TABLA_BASE[[#This Row],[CANTIDAD
(unid.)]]</f>
        <v>0</v>
      </c>
      <c r="AN439" s="279">
        <f>IF('🧾 Factura Comercial'!G443=0,0,'🧾 Tributos Aduana'!$F$17*(IF('🧾 Tributos Aduana'!$F$6=0,0,'🧾 Factura Comercial'!I443/'🧾 Tributos Aduana'!$F$6))/'🧾 Factura Comercial'!G443)</f>
        <v>0</v>
      </c>
      <c r="AO439" s="280">
        <f>IF('🧾 Factura Comercial'!G443=0,0,'🏦 Crédito Fiscal'!$C$16*(IF('🧾 Tributos Aduana'!$F$6=0,0,'🧾 Factura Comercial'!I443/'🧾 Tributos Aduana'!$F$6))/'🧾 Factura Comercial'!G443)</f>
        <v>0</v>
      </c>
      <c r="AP439" s="278">
        <f>TABLA_BASE[[#This Row],[CF UNIT.
✅RECUP.
(US$)]]*'📋 Datos Generales'!$E$19</f>
        <v>0</v>
      </c>
      <c r="AQ439" s="278">
        <f>TABLA_BASE[[#This Row],[CF UNIT.
✅RECUP.(S/.)]]*TABLA_BASE[[#This Row],[CANTIDAD
(unid.)]]</f>
        <v>0</v>
      </c>
      <c r="AR439" s="288">
        <f>'💰 Precio de Venta'!G444</f>
        <v>0.4</v>
      </c>
      <c r="AS439" s="278">
        <f>'💰 Precio de Venta'!H444</f>
        <v>0</v>
      </c>
      <c r="AT439" s="278">
        <f>TABLA_BASE[[#This Row],[VALOR VTA.
UNIT.(S/.)]]*TABLA_BASE[[#This Row],[CANTIDAD
(unid.)]]</f>
        <v>0</v>
      </c>
      <c r="AU439" s="281">
        <f>'💰 Precio de Venta'!I444</f>
        <v>0</v>
      </c>
      <c r="AV439" s="278">
        <f>'💰 Precio de Venta'!J444</f>
        <v>0</v>
      </c>
      <c r="AW439" s="278">
        <f>TABLA_BASE[[#This Row],[GANANCIA
UNIT.(S/.)]]*TABLA_BASE[[#This Row],[CANTIDAD
(unid.)]]</f>
        <v>0</v>
      </c>
      <c r="AX439" s="289">
        <f>'💰 Precio de Venta'!K444</f>
        <v>0</v>
      </c>
      <c r="AY439" s="278">
        <f>TABLA_BASE[[#This Row],[GANANCIA
UNIT.(S/.)]]*'🧾 Factura Comercial'!G443</f>
        <v>0</v>
      </c>
      <c r="AZ439" s="277">
        <f>IF(TABLA_BASE[[#This Row],[PRECIO VTA.
c/IGV(S/.)]]=0,0,TABLA_BASE[[#This Row],[GANANCIA
UNIT.(S/.)]]/TABLA_BASE[[#This Row],[PRECIO VTA.
c/IGV(S/.)]])</f>
        <v>0</v>
      </c>
      <c r="BA439" s="277">
        <f>IF(TABLA_BASE[[#This Row],[C/M UNIT.
(S/.)]]=0,0,TABLA_BASE[[#This Row],[GANANCIA
UNIT.(S/.)]]/TABLA_BASE[[#This Row],[C/M UNIT.
(S/.)]])</f>
        <v>0</v>
      </c>
      <c r="BB439" s="274" t="str">
        <f>IF(TABLA_BASE[[#This Row],[MARGEN
%]]&gt;=0.5,"🟢 ALTO",IF(TABLA_BASE[[#This Row],[MARGEN
%]]&gt;=0.3,"🟡 MEDIO","🔴 BAJO"))</f>
        <v>🟡 MEDIO</v>
      </c>
    </row>
    <row r="440" spans="1:54" ht="16.5" hidden="1" thickTop="1" thickBot="1" x14ac:dyDescent="0.3">
      <c r="A440" s="274">
        <f>'🧾 Factura Comercial'!E444</f>
        <v>0</v>
      </c>
      <c r="B440" s="274" t="str">
        <f>'🧾 Factura Comercial'!F444</f>
        <v>Unid.</v>
      </c>
      <c r="C440" s="275">
        <f>'🧾 Factura Comercial'!G444</f>
        <v>0</v>
      </c>
      <c r="D440" s="276">
        <f>'🧾 Factura Comercial'!H444</f>
        <v>0</v>
      </c>
      <c r="E440" s="276">
        <f>'🧾 Factura Comercial'!I444</f>
        <v>0</v>
      </c>
      <c r="F440" s="277">
        <f>IF('🧾 Tributos Aduana'!$F$6=0,0,'🧾 Factura Comercial'!I444/'🧾 Tributos Aduana'!$F$6)</f>
        <v>0</v>
      </c>
      <c r="G440" s="278">
        <f>'🧾 Factura Comercial'!H444*'📋 Datos Generales'!$E$19</f>
        <v>0</v>
      </c>
      <c r="H440" s="278">
        <f>TABLA_BASE[[#This Row],[FOB UNIT.
(S/.)]]*TABLA_BASE[[#This Row],[CANTIDAD
(unid.)]]</f>
        <v>0</v>
      </c>
      <c r="I440" s="280">
        <f>IF('🧾 Tributos Aduana'!$F$6=0,0,'🧾 Tributos Aduana'!$F$17*('🧾 Factura Comercial'!H444/'🧾 Tributos Aduana'!$F$6))</f>
        <v>0</v>
      </c>
      <c r="J440" s="280">
        <f>TABLA_BASE[[#This Row],[ADV UNIT.
(US$)
⚠️COSTO]]*TABLA_BASE[[#This Row],[CANTIDAD
(unid.)]]</f>
        <v>0</v>
      </c>
      <c r="K440" s="279">
        <f>IF('🧾 Tributos Aduana'!$F$6=0,0,'🧾 Tributos Aduana'!$F$18*('🧾 Factura Comercial'!H444/'🧾 Tributos Aduana'!$F$6))</f>
        <v>0</v>
      </c>
      <c r="L440" s="280">
        <f>TABLA_BASE[[#This Row],[IPM UNIT.
(US$)
✅CF]]*TABLA_BASE[[#This Row],[CANTIDAD
(unid.)]]</f>
        <v>0</v>
      </c>
      <c r="M440" s="279">
        <f>IF('🧾 Tributos Aduana'!$F$6=0,0,'🧾 Tributos Aduana'!$F$19*('🧾 Factura Comercial'!H444/'🧾 Tributos Aduana'!$F$6))</f>
        <v>0</v>
      </c>
      <c r="N440" s="280">
        <f>TABLA_BASE[[#This Row],[IGV UNIT.
(US$)
✅CF]]*TABLA_BASE[[#This Row],[CANTIDAD
(unid.)]]</f>
        <v>0</v>
      </c>
      <c r="O440" s="280">
        <f>IF('🧾 Tributos Aduana'!$F$6=0,0,'🧾 Tributos Aduana'!$F$23*('🧾 Factura Comercial'!H444/'🧾 Tributos Aduana'!$F$6))</f>
        <v>0</v>
      </c>
      <c r="P440" s="280">
        <f>TABLA_BASE[[#This Row],[PERCEP.
UNIT.(US$)
✅CF]]*TABLA_BASE[[#This Row],[CANTIDAD
(unid.)]]</f>
        <v>0</v>
      </c>
      <c r="Q440" s="279">
        <f>TABLA_BASE[[#This Row],[ADV UNIT.
(US$)
⚠️COSTO]]+TABLA_BASE[[#This Row],[IPM UNIT.
(US$)
✅CF]]+TABLA_BASE[[#This Row],[IGV UNIT.
(US$)
✅CF]]</f>
        <v>0</v>
      </c>
      <c r="R440" s="280">
        <f>TABLA_BASE[[#This Row],[DEUDA
ADUANERA
UNIT.]]*TABLA_BASE[[#This Row],[CANTIDAD
(unid.)]]</f>
        <v>0</v>
      </c>
      <c r="S440" s="278">
        <f>TABLA_BASE[[#This Row],[DEUDA
ADUANERA
UNIT.]]*'📋 Datos Generales'!$E$19</f>
        <v>0</v>
      </c>
      <c r="T440" s="278">
        <f>TABLA_BASE[[#This Row],[DEUDA
ADUANERA
TOTAL]]*'📋 Datos Generales'!$E$19</f>
        <v>0</v>
      </c>
      <c r="U440" s="281">
        <f>TABLA_BASE[[#This Row],[ADV UNIT.
(US$)
⚠️COSTO]]*'📋 Datos Generales'!$E$19</f>
        <v>0</v>
      </c>
      <c r="V440" s="281">
        <f>TABLA_BASE[[#This Row],[ADV UNIT.
(S/.)]]*TABLA_BASE[[#This Row],[CANTIDAD
(unid.)]]</f>
        <v>0</v>
      </c>
      <c r="W440" s="281">
        <f>TABLA_BASE[[#This Row],[IPM UNIT.
(US$)
✅CF]]*'📋 Datos Generales'!$E$19</f>
        <v>0</v>
      </c>
      <c r="X440" s="281">
        <f>TABLA_BASE[[#This Row],[IPM UNIT.
(S/.)]]*TABLA_BASE[[#This Row],[CANTIDAD
(unid.)]]</f>
        <v>0</v>
      </c>
      <c r="Y440" s="281">
        <f>TABLA_BASE[[#This Row],[IGV UNIT.
(US$)
✅CF]]*'📋 Datos Generales'!$E$19</f>
        <v>0</v>
      </c>
      <c r="Z440" s="281">
        <f>TABLA_BASE[[#This Row],[IGV UNIT.
(S/.)]]*TABLA_BASE[[#This Row],[CANTIDAD
(unid.)]]</f>
        <v>0</v>
      </c>
      <c r="AA440" s="281">
        <f>TABLA_BASE[[#This Row],[PERCEP.
UNIT.(US$)
✅CF]]*'📋 Datos Generales'!$E$19</f>
        <v>0</v>
      </c>
      <c r="AB440" s="281">
        <f>TABLA_BASE[[#This Row],[PERCEP.
UNIT.(S/.)]]*TABLA_BASE[[#This Row],[CANTIDAD
(unid.)]]</f>
        <v>0</v>
      </c>
      <c r="AC440" s="279">
        <f>TABLA_BASE[[#This Row],[ADV UNIT.
(US$)
⚠️COSTO]]+TABLA_BASE[[#This Row],[IPM UNIT.
(US$)
✅CF]]+TABLA_BASE[[#This Row],[IGV UNIT.
(US$)
✅CF]]+TABLA_BASE[[#This Row],[PERCEP.
UNIT.(US$)
✅CF]]</f>
        <v>0</v>
      </c>
      <c r="AD440" s="279">
        <f>TABLA_BASE[[#This Row],[TOTAL PAGO
SUNAT
UNIT.(US$)]]*TABLA_BASE[[#This Row],[CANTIDAD
(unid.)]]</f>
        <v>0</v>
      </c>
      <c r="AE440" s="281">
        <f>TABLA_BASE[[#This Row],[TOTAL PAGO
SUNAT
UNIT.(US$)]]*'📋 Datos Generales'!$E$19</f>
        <v>0</v>
      </c>
      <c r="AF440" s="281">
        <f>TABLA_BASE[[#This Row],[TOTAL TRIB.
UNIT.(S/.)]]*TABLA_BASE[[#This Row],[CANTIDAD
(unid.)]]</f>
        <v>0</v>
      </c>
      <c r="AG440" s="279">
        <f>IF('🧾 Factura Comercial'!G444=0,0,'📦 Gastos Importación'!$E$28*(IF('🧾 Tributos Aduana'!$F$6=0,0,'🧾 Factura Comercial'!I444/'🧾 Tributos Aduana'!$F$6))/'🧾 Factura Comercial'!G444)</f>
        <v>0</v>
      </c>
      <c r="AH440" s="279">
        <f>TABLA_BASE[[#This Row],[GASTOS IMP.
UNIT.(US$)]]*TABLA_BASE[[#This Row],[CANTIDAD
(unid.)]]</f>
        <v>0</v>
      </c>
      <c r="AI440" s="281">
        <f>TABLA_BASE[[#This Row],[GASTOS IMP.
UNIT.(US$)]]*'📋 Datos Generales'!$E$19</f>
        <v>0</v>
      </c>
      <c r="AJ440" s="281">
        <f>TABLA_BASE[[#This Row],[GASTOS IMP.
UNIT.(S/.)]]*TABLA_BASE[[#This Row],[CANTIDAD
(unid.)]]</f>
        <v>0</v>
      </c>
      <c r="AK440" s="280">
        <f>'🧮 Costos x Producto'!J444</f>
        <v>0</v>
      </c>
      <c r="AL440" s="278">
        <f>'🧮 Costos x Producto'!K444</f>
        <v>0</v>
      </c>
      <c r="AM440" s="278">
        <f>TABLA_BASE[[#This Row],[C/M UNIT.
(S/.)]]*TABLA_BASE[[#This Row],[CANTIDAD
(unid.)]]</f>
        <v>0</v>
      </c>
      <c r="AN440" s="279">
        <f>IF('🧾 Factura Comercial'!G444=0,0,'🧾 Tributos Aduana'!$F$17*(IF('🧾 Tributos Aduana'!$F$6=0,0,'🧾 Factura Comercial'!I444/'🧾 Tributos Aduana'!$F$6))/'🧾 Factura Comercial'!G444)</f>
        <v>0</v>
      </c>
      <c r="AO440" s="280">
        <f>IF('🧾 Factura Comercial'!G444=0,0,'🏦 Crédito Fiscal'!$C$16*(IF('🧾 Tributos Aduana'!$F$6=0,0,'🧾 Factura Comercial'!I444/'🧾 Tributos Aduana'!$F$6))/'🧾 Factura Comercial'!G444)</f>
        <v>0</v>
      </c>
      <c r="AP440" s="278">
        <f>TABLA_BASE[[#This Row],[CF UNIT.
✅RECUP.
(US$)]]*'📋 Datos Generales'!$E$19</f>
        <v>0</v>
      </c>
      <c r="AQ440" s="278">
        <f>TABLA_BASE[[#This Row],[CF UNIT.
✅RECUP.(S/.)]]*TABLA_BASE[[#This Row],[CANTIDAD
(unid.)]]</f>
        <v>0</v>
      </c>
      <c r="AR440" s="288">
        <f>'💰 Precio de Venta'!G445</f>
        <v>0.4</v>
      </c>
      <c r="AS440" s="278">
        <f>'💰 Precio de Venta'!H445</f>
        <v>0</v>
      </c>
      <c r="AT440" s="278">
        <f>TABLA_BASE[[#This Row],[VALOR VTA.
UNIT.(S/.)]]*TABLA_BASE[[#This Row],[CANTIDAD
(unid.)]]</f>
        <v>0</v>
      </c>
      <c r="AU440" s="281">
        <f>'💰 Precio de Venta'!I445</f>
        <v>0</v>
      </c>
      <c r="AV440" s="278">
        <f>'💰 Precio de Venta'!J445</f>
        <v>0</v>
      </c>
      <c r="AW440" s="278">
        <f>TABLA_BASE[[#This Row],[GANANCIA
UNIT.(S/.)]]*TABLA_BASE[[#This Row],[CANTIDAD
(unid.)]]</f>
        <v>0</v>
      </c>
      <c r="AX440" s="289">
        <f>'💰 Precio de Venta'!K445</f>
        <v>0</v>
      </c>
      <c r="AY440" s="278">
        <f>TABLA_BASE[[#This Row],[GANANCIA
UNIT.(S/.)]]*'🧾 Factura Comercial'!G444</f>
        <v>0</v>
      </c>
      <c r="AZ440" s="277">
        <f>IF(TABLA_BASE[[#This Row],[PRECIO VTA.
c/IGV(S/.)]]=0,0,TABLA_BASE[[#This Row],[GANANCIA
UNIT.(S/.)]]/TABLA_BASE[[#This Row],[PRECIO VTA.
c/IGV(S/.)]])</f>
        <v>0</v>
      </c>
      <c r="BA440" s="277">
        <f>IF(TABLA_BASE[[#This Row],[C/M UNIT.
(S/.)]]=0,0,TABLA_BASE[[#This Row],[GANANCIA
UNIT.(S/.)]]/TABLA_BASE[[#This Row],[C/M UNIT.
(S/.)]])</f>
        <v>0</v>
      </c>
      <c r="BB440" s="274" t="str">
        <f>IF(TABLA_BASE[[#This Row],[MARGEN
%]]&gt;=0.5,"🟢 ALTO",IF(TABLA_BASE[[#This Row],[MARGEN
%]]&gt;=0.3,"🟡 MEDIO","🔴 BAJO"))</f>
        <v>🟡 MEDIO</v>
      </c>
    </row>
    <row r="441" spans="1:54" ht="16.5" hidden="1" thickTop="1" thickBot="1" x14ac:dyDescent="0.3">
      <c r="A441" s="274">
        <f>'🧾 Factura Comercial'!E445</f>
        <v>0</v>
      </c>
      <c r="B441" s="274" t="str">
        <f>'🧾 Factura Comercial'!F445</f>
        <v>Unid.</v>
      </c>
      <c r="C441" s="275">
        <f>'🧾 Factura Comercial'!G445</f>
        <v>0</v>
      </c>
      <c r="D441" s="276">
        <f>'🧾 Factura Comercial'!H445</f>
        <v>0</v>
      </c>
      <c r="E441" s="276">
        <f>'🧾 Factura Comercial'!I445</f>
        <v>0</v>
      </c>
      <c r="F441" s="277">
        <f>IF('🧾 Tributos Aduana'!$F$6=0,0,'🧾 Factura Comercial'!I445/'🧾 Tributos Aduana'!$F$6)</f>
        <v>0</v>
      </c>
      <c r="G441" s="278">
        <f>'🧾 Factura Comercial'!H445*'📋 Datos Generales'!$E$19</f>
        <v>0</v>
      </c>
      <c r="H441" s="278">
        <f>TABLA_BASE[[#This Row],[FOB UNIT.
(S/.)]]*TABLA_BASE[[#This Row],[CANTIDAD
(unid.)]]</f>
        <v>0</v>
      </c>
      <c r="I441" s="280">
        <f>IF('🧾 Tributos Aduana'!$F$6=0,0,'🧾 Tributos Aduana'!$F$17*('🧾 Factura Comercial'!H445/'🧾 Tributos Aduana'!$F$6))</f>
        <v>0</v>
      </c>
      <c r="J441" s="280">
        <f>TABLA_BASE[[#This Row],[ADV UNIT.
(US$)
⚠️COSTO]]*TABLA_BASE[[#This Row],[CANTIDAD
(unid.)]]</f>
        <v>0</v>
      </c>
      <c r="K441" s="279">
        <f>IF('🧾 Tributos Aduana'!$F$6=0,0,'🧾 Tributos Aduana'!$F$18*('🧾 Factura Comercial'!H445/'🧾 Tributos Aduana'!$F$6))</f>
        <v>0</v>
      </c>
      <c r="L441" s="280">
        <f>TABLA_BASE[[#This Row],[IPM UNIT.
(US$)
✅CF]]*TABLA_BASE[[#This Row],[CANTIDAD
(unid.)]]</f>
        <v>0</v>
      </c>
      <c r="M441" s="279">
        <f>IF('🧾 Tributos Aduana'!$F$6=0,0,'🧾 Tributos Aduana'!$F$19*('🧾 Factura Comercial'!H445/'🧾 Tributos Aduana'!$F$6))</f>
        <v>0</v>
      </c>
      <c r="N441" s="280">
        <f>TABLA_BASE[[#This Row],[IGV UNIT.
(US$)
✅CF]]*TABLA_BASE[[#This Row],[CANTIDAD
(unid.)]]</f>
        <v>0</v>
      </c>
      <c r="O441" s="280">
        <f>IF('🧾 Tributos Aduana'!$F$6=0,0,'🧾 Tributos Aduana'!$F$23*('🧾 Factura Comercial'!H445/'🧾 Tributos Aduana'!$F$6))</f>
        <v>0</v>
      </c>
      <c r="P441" s="280">
        <f>TABLA_BASE[[#This Row],[PERCEP.
UNIT.(US$)
✅CF]]*TABLA_BASE[[#This Row],[CANTIDAD
(unid.)]]</f>
        <v>0</v>
      </c>
      <c r="Q441" s="279">
        <f>TABLA_BASE[[#This Row],[ADV UNIT.
(US$)
⚠️COSTO]]+TABLA_BASE[[#This Row],[IPM UNIT.
(US$)
✅CF]]+TABLA_BASE[[#This Row],[IGV UNIT.
(US$)
✅CF]]</f>
        <v>0</v>
      </c>
      <c r="R441" s="280">
        <f>TABLA_BASE[[#This Row],[DEUDA
ADUANERA
UNIT.]]*TABLA_BASE[[#This Row],[CANTIDAD
(unid.)]]</f>
        <v>0</v>
      </c>
      <c r="S441" s="278">
        <f>TABLA_BASE[[#This Row],[DEUDA
ADUANERA
UNIT.]]*'📋 Datos Generales'!$E$19</f>
        <v>0</v>
      </c>
      <c r="T441" s="278">
        <f>TABLA_BASE[[#This Row],[DEUDA
ADUANERA
TOTAL]]*'📋 Datos Generales'!$E$19</f>
        <v>0</v>
      </c>
      <c r="U441" s="281">
        <f>TABLA_BASE[[#This Row],[ADV UNIT.
(US$)
⚠️COSTO]]*'📋 Datos Generales'!$E$19</f>
        <v>0</v>
      </c>
      <c r="V441" s="281">
        <f>TABLA_BASE[[#This Row],[ADV UNIT.
(S/.)]]*TABLA_BASE[[#This Row],[CANTIDAD
(unid.)]]</f>
        <v>0</v>
      </c>
      <c r="W441" s="281">
        <f>TABLA_BASE[[#This Row],[IPM UNIT.
(US$)
✅CF]]*'📋 Datos Generales'!$E$19</f>
        <v>0</v>
      </c>
      <c r="X441" s="281">
        <f>TABLA_BASE[[#This Row],[IPM UNIT.
(S/.)]]*TABLA_BASE[[#This Row],[CANTIDAD
(unid.)]]</f>
        <v>0</v>
      </c>
      <c r="Y441" s="281">
        <f>TABLA_BASE[[#This Row],[IGV UNIT.
(US$)
✅CF]]*'📋 Datos Generales'!$E$19</f>
        <v>0</v>
      </c>
      <c r="Z441" s="281">
        <f>TABLA_BASE[[#This Row],[IGV UNIT.
(S/.)]]*TABLA_BASE[[#This Row],[CANTIDAD
(unid.)]]</f>
        <v>0</v>
      </c>
      <c r="AA441" s="281">
        <f>TABLA_BASE[[#This Row],[PERCEP.
UNIT.(US$)
✅CF]]*'📋 Datos Generales'!$E$19</f>
        <v>0</v>
      </c>
      <c r="AB441" s="281">
        <f>TABLA_BASE[[#This Row],[PERCEP.
UNIT.(S/.)]]*TABLA_BASE[[#This Row],[CANTIDAD
(unid.)]]</f>
        <v>0</v>
      </c>
      <c r="AC441" s="279">
        <f>TABLA_BASE[[#This Row],[ADV UNIT.
(US$)
⚠️COSTO]]+TABLA_BASE[[#This Row],[IPM UNIT.
(US$)
✅CF]]+TABLA_BASE[[#This Row],[IGV UNIT.
(US$)
✅CF]]+TABLA_BASE[[#This Row],[PERCEP.
UNIT.(US$)
✅CF]]</f>
        <v>0</v>
      </c>
      <c r="AD441" s="279">
        <f>TABLA_BASE[[#This Row],[TOTAL PAGO
SUNAT
UNIT.(US$)]]*TABLA_BASE[[#This Row],[CANTIDAD
(unid.)]]</f>
        <v>0</v>
      </c>
      <c r="AE441" s="281">
        <f>TABLA_BASE[[#This Row],[TOTAL PAGO
SUNAT
UNIT.(US$)]]*'📋 Datos Generales'!$E$19</f>
        <v>0</v>
      </c>
      <c r="AF441" s="281">
        <f>TABLA_BASE[[#This Row],[TOTAL TRIB.
UNIT.(S/.)]]*TABLA_BASE[[#This Row],[CANTIDAD
(unid.)]]</f>
        <v>0</v>
      </c>
      <c r="AG441" s="279">
        <f>IF('🧾 Factura Comercial'!G445=0,0,'📦 Gastos Importación'!$E$28*(IF('🧾 Tributos Aduana'!$F$6=0,0,'🧾 Factura Comercial'!I445/'🧾 Tributos Aduana'!$F$6))/'🧾 Factura Comercial'!G445)</f>
        <v>0</v>
      </c>
      <c r="AH441" s="279">
        <f>TABLA_BASE[[#This Row],[GASTOS IMP.
UNIT.(US$)]]*TABLA_BASE[[#This Row],[CANTIDAD
(unid.)]]</f>
        <v>0</v>
      </c>
      <c r="AI441" s="281">
        <f>TABLA_BASE[[#This Row],[GASTOS IMP.
UNIT.(US$)]]*'📋 Datos Generales'!$E$19</f>
        <v>0</v>
      </c>
      <c r="AJ441" s="281">
        <f>TABLA_BASE[[#This Row],[GASTOS IMP.
UNIT.(S/.)]]*TABLA_BASE[[#This Row],[CANTIDAD
(unid.)]]</f>
        <v>0</v>
      </c>
      <c r="AK441" s="280">
        <f>'🧮 Costos x Producto'!J445</f>
        <v>0</v>
      </c>
      <c r="AL441" s="278">
        <f>'🧮 Costos x Producto'!K445</f>
        <v>0</v>
      </c>
      <c r="AM441" s="278">
        <f>TABLA_BASE[[#This Row],[C/M UNIT.
(S/.)]]*TABLA_BASE[[#This Row],[CANTIDAD
(unid.)]]</f>
        <v>0</v>
      </c>
      <c r="AN441" s="279">
        <f>IF('🧾 Factura Comercial'!G445=0,0,'🧾 Tributos Aduana'!$F$17*(IF('🧾 Tributos Aduana'!$F$6=0,0,'🧾 Factura Comercial'!I445/'🧾 Tributos Aduana'!$F$6))/'🧾 Factura Comercial'!G445)</f>
        <v>0</v>
      </c>
      <c r="AO441" s="280">
        <f>IF('🧾 Factura Comercial'!G445=0,0,'🏦 Crédito Fiscal'!$C$16*(IF('🧾 Tributos Aduana'!$F$6=0,0,'🧾 Factura Comercial'!I445/'🧾 Tributos Aduana'!$F$6))/'🧾 Factura Comercial'!G445)</f>
        <v>0</v>
      </c>
      <c r="AP441" s="278">
        <f>TABLA_BASE[[#This Row],[CF UNIT.
✅RECUP.
(US$)]]*'📋 Datos Generales'!$E$19</f>
        <v>0</v>
      </c>
      <c r="AQ441" s="278">
        <f>TABLA_BASE[[#This Row],[CF UNIT.
✅RECUP.(S/.)]]*TABLA_BASE[[#This Row],[CANTIDAD
(unid.)]]</f>
        <v>0</v>
      </c>
      <c r="AR441" s="288">
        <f>'💰 Precio de Venta'!G446</f>
        <v>0.4</v>
      </c>
      <c r="AS441" s="278">
        <f>'💰 Precio de Venta'!H446</f>
        <v>0</v>
      </c>
      <c r="AT441" s="278">
        <f>TABLA_BASE[[#This Row],[VALOR VTA.
UNIT.(S/.)]]*TABLA_BASE[[#This Row],[CANTIDAD
(unid.)]]</f>
        <v>0</v>
      </c>
      <c r="AU441" s="281">
        <f>'💰 Precio de Venta'!I446</f>
        <v>0</v>
      </c>
      <c r="AV441" s="278">
        <f>'💰 Precio de Venta'!J446</f>
        <v>0</v>
      </c>
      <c r="AW441" s="278">
        <f>TABLA_BASE[[#This Row],[GANANCIA
UNIT.(S/.)]]*TABLA_BASE[[#This Row],[CANTIDAD
(unid.)]]</f>
        <v>0</v>
      </c>
      <c r="AX441" s="289">
        <f>'💰 Precio de Venta'!K446</f>
        <v>0</v>
      </c>
      <c r="AY441" s="278">
        <f>TABLA_BASE[[#This Row],[GANANCIA
UNIT.(S/.)]]*'🧾 Factura Comercial'!G445</f>
        <v>0</v>
      </c>
      <c r="AZ441" s="277">
        <f>IF(TABLA_BASE[[#This Row],[PRECIO VTA.
c/IGV(S/.)]]=0,0,TABLA_BASE[[#This Row],[GANANCIA
UNIT.(S/.)]]/TABLA_BASE[[#This Row],[PRECIO VTA.
c/IGV(S/.)]])</f>
        <v>0</v>
      </c>
      <c r="BA441" s="277">
        <f>IF(TABLA_BASE[[#This Row],[C/M UNIT.
(S/.)]]=0,0,TABLA_BASE[[#This Row],[GANANCIA
UNIT.(S/.)]]/TABLA_BASE[[#This Row],[C/M UNIT.
(S/.)]])</f>
        <v>0</v>
      </c>
      <c r="BB441" s="274" t="str">
        <f>IF(TABLA_BASE[[#This Row],[MARGEN
%]]&gt;=0.5,"🟢 ALTO",IF(TABLA_BASE[[#This Row],[MARGEN
%]]&gt;=0.3,"🟡 MEDIO","🔴 BAJO"))</f>
        <v>🟡 MEDIO</v>
      </c>
    </row>
    <row r="442" spans="1:54" ht="16.5" hidden="1" thickTop="1" thickBot="1" x14ac:dyDescent="0.3">
      <c r="A442" s="274">
        <f>'🧾 Factura Comercial'!E446</f>
        <v>0</v>
      </c>
      <c r="B442" s="274" t="str">
        <f>'🧾 Factura Comercial'!F446</f>
        <v>Unid.</v>
      </c>
      <c r="C442" s="275">
        <f>'🧾 Factura Comercial'!G446</f>
        <v>0</v>
      </c>
      <c r="D442" s="276">
        <f>'🧾 Factura Comercial'!H446</f>
        <v>0</v>
      </c>
      <c r="E442" s="276">
        <f>'🧾 Factura Comercial'!I446</f>
        <v>0</v>
      </c>
      <c r="F442" s="277">
        <f>IF('🧾 Tributos Aduana'!$F$6=0,0,'🧾 Factura Comercial'!I446/'🧾 Tributos Aduana'!$F$6)</f>
        <v>0</v>
      </c>
      <c r="G442" s="278">
        <f>'🧾 Factura Comercial'!H446*'📋 Datos Generales'!$E$19</f>
        <v>0</v>
      </c>
      <c r="H442" s="278">
        <f>TABLA_BASE[[#This Row],[FOB UNIT.
(S/.)]]*TABLA_BASE[[#This Row],[CANTIDAD
(unid.)]]</f>
        <v>0</v>
      </c>
      <c r="I442" s="280">
        <f>IF('🧾 Tributos Aduana'!$F$6=0,0,'🧾 Tributos Aduana'!$F$17*('🧾 Factura Comercial'!H446/'🧾 Tributos Aduana'!$F$6))</f>
        <v>0</v>
      </c>
      <c r="J442" s="280">
        <f>TABLA_BASE[[#This Row],[ADV UNIT.
(US$)
⚠️COSTO]]*TABLA_BASE[[#This Row],[CANTIDAD
(unid.)]]</f>
        <v>0</v>
      </c>
      <c r="K442" s="279">
        <f>IF('🧾 Tributos Aduana'!$F$6=0,0,'🧾 Tributos Aduana'!$F$18*('🧾 Factura Comercial'!H446/'🧾 Tributos Aduana'!$F$6))</f>
        <v>0</v>
      </c>
      <c r="L442" s="280">
        <f>TABLA_BASE[[#This Row],[IPM UNIT.
(US$)
✅CF]]*TABLA_BASE[[#This Row],[CANTIDAD
(unid.)]]</f>
        <v>0</v>
      </c>
      <c r="M442" s="279">
        <f>IF('🧾 Tributos Aduana'!$F$6=0,0,'🧾 Tributos Aduana'!$F$19*('🧾 Factura Comercial'!H446/'🧾 Tributos Aduana'!$F$6))</f>
        <v>0</v>
      </c>
      <c r="N442" s="280">
        <f>TABLA_BASE[[#This Row],[IGV UNIT.
(US$)
✅CF]]*TABLA_BASE[[#This Row],[CANTIDAD
(unid.)]]</f>
        <v>0</v>
      </c>
      <c r="O442" s="280">
        <f>IF('🧾 Tributos Aduana'!$F$6=0,0,'🧾 Tributos Aduana'!$F$23*('🧾 Factura Comercial'!H446/'🧾 Tributos Aduana'!$F$6))</f>
        <v>0</v>
      </c>
      <c r="P442" s="280">
        <f>TABLA_BASE[[#This Row],[PERCEP.
UNIT.(US$)
✅CF]]*TABLA_BASE[[#This Row],[CANTIDAD
(unid.)]]</f>
        <v>0</v>
      </c>
      <c r="Q442" s="279">
        <f>TABLA_BASE[[#This Row],[ADV UNIT.
(US$)
⚠️COSTO]]+TABLA_BASE[[#This Row],[IPM UNIT.
(US$)
✅CF]]+TABLA_BASE[[#This Row],[IGV UNIT.
(US$)
✅CF]]</f>
        <v>0</v>
      </c>
      <c r="R442" s="280">
        <f>TABLA_BASE[[#This Row],[DEUDA
ADUANERA
UNIT.]]*TABLA_BASE[[#This Row],[CANTIDAD
(unid.)]]</f>
        <v>0</v>
      </c>
      <c r="S442" s="278">
        <f>TABLA_BASE[[#This Row],[DEUDA
ADUANERA
UNIT.]]*'📋 Datos Generales'!$E$19</f>
        <v>0</v>
      </c>
      <c r="T442" s="278">
        <f>TABLA_BASE[[#This Row],[DEUDA
ADUANERA
TOTAL]]*'📋 Datos Generales'!$E$19</f>
        <v>0</v>
      </c>
      <c r="U442" s="281">
        <f>TABLA_BASE[[#This Row],[ADV UNIT.
(US$)
⚠️COSTO]]*'📋 Datos Generales'!$E$19</f>
        <v>0</v>
      </c>
      <c r="V442" s="281">
        <f>TABLA_BASE[[#This Row],[ADV UNIT.
(S/.)]]*TABLA_BASE[[#This Row],[CANTIDAD
(unid.)]]</f>
        <v>0</v>
      </c>
      <c r="W442" s="281">
        <f>TABLA_BASE[[#This Row],[IPM UNIT.
(US$)
✅CF]]*'📋 Datos Generales'!$E$19</f>
        <v>0</v>
      </c>
      <c r="X442" s="281">
        <f>TABLA_BASE[[#This Row],[IPM UNIT.
(S/.)]]*TABLA_BASE[[#This Row],[CANTIDAD
(unid.)]]</f>
        <v>0</v>
      </c>
      <c r="Y442" s="281">
        <f>TABLA_BASE[[#This Row],[IGV UNIT.
(US$)
✅CF]]*'📋 Datos Generales'!$E$19</f>
        <v>0</v>
      </c>
      <c r="Z442" s="281">
        <f>TABLA_BASE[[#This Row],[IGV UNIT.
(S/.)]]*TABLA_BASE[[#This Row],[CANTIDAD
(unid.)]]</f>
        <v>0</v>
      </c>
      <c r="AA442" s="281">
        <f>TABLA_BASE[[#This Row],[PERCEP.
UNIT.(US$)
✅CF]]*'📋 Datos Generales'!$E$19</f>
        <v>0</v>
      </c>
      <c r="AB442" s="281">
        <f>TABLA_BASE[[#This Row],[PERCEP.
UNIT.(S/.)]]*TABLA_BASE[[#This Row],[CANTIDAD
(unid.)]]</f>
        <v>0</v>
      </c>
      <c r="AC442" s="279">
        <f>TABLA_BASE[[#This Row],[ADV UNIT.
(US$)
⚠️COSTO]]+TABLA_BASE[[#This Row],[IPM UNIT.
(US$)
✅CF]]+TABLA_BASE[[#This Row],[IGV UNIT.
(US$)
✅CF]]+TABLA_BASE[[#This Row],[PERCEP.
UNIT.(US$)
✅CF]]</f>
        <v>0</v>
      </c>
      <c r="AD442" s="279">
        <f>TABLA_BASE[[#This Row],[TOTAL PAGO
SUNAT
UNIT.(US$)]]*TABLA_BASE[[#This Row],[CANTIDAD
(unid.)]]</f>
        <v>0</v>
      </c>
      <c r="AE442" s="281">
        <f>TABLA_BASE[[#This Row],[TOTAL PAGO
SUNAT
UNIT.(US$)]]*'📋 Datos Generales'!$E$19</f>
        <v>0</v>
      </c>
      <c r="AF442" s="281">
        <f>TABLA_BASE[[#This Row],[TOTAL TRIB.
UNIT.(S/.)]]*TABLA_BASE[[#This Row],[CANTIDAD
(unid.)]]</f>
        <v>0</v>
      </c>
      <c r="AG442" s="279">
        <f>IF('🧾 Factura Comercial'!G446=0,0,'📦 Gastos Importación'!$E$28*(IF('🧾 Tributos Aduana'!$F$6=0,0,'🧾 Factura Comercial'!I446/'🧾 Tributos Aduana'!$F$6))/'🧾 Factura Comercial'!G446)</f>
        <v>0</v>
      </c>
      <c r="AH442" s="279">
        <f>TABLA_BASE[[#This Row],[GASTOS IMP.
UNIT.(US$)]]*TABLA_BASE[[#This Row],[CANTIDAD
(unid.)]]</f>
        <v>0</v>
      </c>
      <c r="AI442" s="281">
        <f>TABLA_BASE[[#This Row],[GASTOS IMP.
UNIT.(US$)]]*'📋 Datos Generales'!$E$19</f>
        <v>0</v>
      </c>
      <c r="AJ442" s="281">
        <f>TABLA_BASE[[#This Row],[GASTOS IMP.
UNIT.(S/.)]]*TABLA_BASE[[#This Row],[CANTIDAD
(unid.)]]</f>
        <v>0</v>
      </c>
      <c r="AK442" s="280">
        <f>'🧮 Costos x Producto'!J446</f>
        <v>0</v>
      </c>
      <c r="AL442" s="278">
        <f>'🧮 Costos x Producto'!K446</f>
        <v>0</v>
      </c>
      <c r="AM442" s="278">
        <f>TABLA_BASE[[#This Row],[C/M UNIT.
(S/.)]]*TABLA_BASE[[#This Row],[CANTIDAD
(unid.)]]</f>
        <v>0</v>
      </c>
      <c r="AN442" s="279">
        <f>IF('🧾 Factura Comercial'!G446=0,0,'🧾 Tributos Aduana'!$F$17*(IF('🧾 Tributos Aduana'!$F$6=0,0,'🧾 Factura Comercial'!I446/'🧾 Tributos Aduana'!$F$6))/'🧾 Factura Comercial'!G446)</f>
        <v>0</v>
      </c>
      <c r="AO442" s="280">
        <f>IF('🧾 Factura Comercial'!G446=0,0,'🏦 Crédito Fiscal'!$C$16*(IF('🧾 Tributos Aduana'!$F$6=0,0,'🧾 Factura Comercial'!I446/'🧾 Tributos Aduana'!$F$6))/'🧾 Factura Comercial'!G446)</f>
        <v>0</v>
      </c>
      <c r="AP442" s="278">
        <f>TABLA_BASE[[#This Row],[CF UNIT.
✅RECUP.
(US$)]]*'📋 Datos Generales'!$E$19</f>
        <v>0</v>
      </c>
      <c r="AQ442" s="278">
        <f>TABLA_BASE[[#This Row],[CF UNIT.
✅RECUP.(S/.)]]*TABLA_BASE[[#This Row],[CANTIDAD
(unid.)]]</f>
        <v>0</v>
      </c>
      <c r="AR442" s="288">
        <f>'💰 Precio de Venta'!G447</f>
        <v>0.4</v>
      </c>
      <c r="AS442" s="278">
        <f>'💰 Precio de Venta'!H447</f>
        <v>0</v>
      </c>
      <c r="AT442" s="278">
        <f>TABLA_BASE[[#This Row],[VALOR VTA.
UNIT.(S/.)]]*TABLA_BASE[[#This Row],[CANTIDAD
(unid.)]]</f>
        <v>0</v>
      </c>
      <c r="AU442" s="281">
        <f>'💰 Precio de Venta'!I447</f>
        <v>0</v>
      </c>
      <c r="AV442" s="278">
        <f>'💰 Precio de Venta'!J447</f>
        <v>0</v>
      </c>
      <c r="AW442" s="278">
        <f>TABLA_BASE[[#This Row],[GANANCIA
UNIT.(S/.)]]*TABLA_BASE[[#This Row],[CANTIDAD
(unid.)]]</f>
        <v>0</v>
      </c>
      <c r="AX442" s="289">
        <f>'💰 Precio de Venta'!K447</f>
        <v>0</v>
      </c>
      <c r="AY442" s="278">
        <f>TABLA_BASE[[#This Row],[GANANCIA
UNIT.(S/.)]]*'🧾 Factura Comercial'!G446</f>
        <v>0</v>
      </c>
      <c r="AZ442" s="277">
        <f>IF(TABLA_BASE[[#This Row],[PRECIO VTA.
c/IGV(S/.)]]=0,0,TABLA_BASE[[#This Row],[GANANCIA
UNIT.(S/.)]]/TABLA_BASE[[#This Row],[PRECIO VTA.
c/IGV(S/.)]])</f>
        <v>0</v>
      </c>
      <c r="BA442" s="277">
        <f>IF(TABLA_BASE[[#This Row],[C/M UNIT.
(S/.)]]=0,0,TABLA_BASE[[#This Row],[GANANCIA
UNIT.(S/.)]]/TABLA_BASE[[#This Row],[C/M UNIT.
(S/.)]])</f>
        <v>0</v>
      </c>
      <c r="BB442" s="274" t="str">
        <f>IF(TABLA_BASE[[#This Row],[MARGEN
%]]&gt;=0.5,"🟢 ALTO",IF(TABLA_BASE[[#This Row],[MARGEN
%]]&gt;=0.3,"🟡 MEDIO","🔴 BAJO"))</f>
        <v>🟡 MEDIO</v>
      </c>
    </row>
    <row r="443" spans="1:54" ht="16.5" hidden="1" thickTop="1" thickBot="1" x14ac:dyDescent="0.3">
      <c r="A443" s="274">
        <f>'🧾 Factura Comercial'!E447</f>
        <v>0</v>
      </c>
      <c r="B443" s="274" t="str">
        <f>'🧾 Factura Comercial'!F447</f>
        <v>Unid.</v>
      </c>
      <c r="C443" s="275">
        <f>'🧾 Factura Comercial'!G447</f>
        <v>0</v>
      </c>
      <c r="D443" s="276">
        <f>'🧾 Factura Comercial'!H447</f>
        <v>0</v>
      </c>
      <c r="E443" s="276">
        <f>'🧾 Factura Comercial'!I447</f>
        <v>0</v>
      </c>
      <c r="F443" s="277">
        <f>IF('🧾 Tributos Aduana'!$F$6=0,0,'🧾 Factura Comercial'!I447/'🧾 Tributos Aduana'!$F$6)</f>
        <v>0</v>
      </c>
      <c r="G443" s="278">
        <f>'🧾 Factura Comercial'!H447*'📋 Datos Generales'!$E$19</f>
        <v>0</v>
      </c>
      <c r="H443" s="278">
        <f>TABLA_BASE[[#This Row],[FOB UNIT.
(S/.)]]*TABLA_BASE[[#This Row],[CANTIDAD
(unid.)]]</f>
        <v>0</v>
      </c>
      <c r="I443" s="280">
        <f>IF('🧾 Tributos Aduana'!$F$6=0,0,'🧾 Tributos Aduana'!$F$17*('🧾 Factura Comercial'!H447/'🧾 Tributos Aduana'!$F$6))</f>
        <v>0</v>
      </c>
      <c r="J443" s="280">
        <f>TABLA_BASE[[#This Row],[ADV UNIT.
(US$)
⚠️COSTO]]*TABLA_BASE[[#This Row],[CANTIDAD
(unid.)]]</f>
        <v>0</v>
      </c>
      <c r="K443" s="279">
        <f>IF('🧾 Tributos Aduana'!$F$6=0,0,'🧾 Tributos Aduana'!$F$18*('🧾 Factura Comercial'!H447/'🧾 Tributos Aduana'!$F$6))</f>
        <v>0</v>
      </c>
      <c r="L443" s="280">
        <f>TABLA_BASE[[#This Row],[IPM UNIT.
(US$)
✅CF]]*TABLA_BASE[[#This Row],[CANTIDAD
(unid.)]]</f>
        <v>0</v>
      </c>
      <c r="M443" s="279">
        <f>IF('🧾 Tributos Aduana'!$F$6=0,0,'🧾 Tributos Aduana'!$F$19*('🧾 Factura Comercial'!H447/'🧾 Tributos Aduana'!$F$6))</f>
        <v>0</v>
      </c>
      <c r="N443" s="280">
        <f>TABLA_BASE[[#This Row],[IGV UNIT.
(US$)
✅CF]]*TABLA_BASE[[#This Row],[CANTIDAD
(unid.)]]</f>
        <v>0</v>
      </c>
      <c r="O443" s="280">
        <f>IF('🧾 Tributos Aduana'!$F$6=0,0,'🧾 Tributos Aduana'!$F$23*('🧾 Factura Comercial'!H447/'🧾 Tributos Aduana'!$F$6))</f>
        <v>0</v>
      </c>
      <c r="P443" s="280">
        <f>TABLA_BASE[[#This Row],[PERCEP.
UNIT.(US$)
✅CF]]*TABLA_BASE[[#This Row],[CANTIDAD
(unid.)]]</f>
        <v>0</v>
      </c>
      <c r="Q443" s="279">
        <f>TABLA_BASE[[#This Row],[ADV UNIT.
(US$)
⚠️COSTO]]+TABLA_BASE[[#This Row],[IPM UNIT.
(US$)
✅CF]]+TABLA_BASE[[#This Row],[IGV UNIT.
(US$)
✅CF]]</f>
        <v>0</v>
      </c>
      <c r="R443" s="280">
        <f>TABLA_BASE[[#This Row],[DEUDA
ADUANERA
UNIT.]]*TABLA_BASE[[#This Row],[CANTIDAD
(unid.)]]</f>
        <v>0</v>
      </c>
      <c r="S443" s="278">
        <f>TABLA_BASE[[#This Row],[DEUDA
ADUANERA
UNIT.]]*'📋 Datos Generales'!$E$19</f>
        <v>0</v>
      </c>
      <c r="T443" s="278">
        <f>TABLA_BASE[[#This Row],[DEUDA
ADUANERA
TOTAL]]*'📋 Datos Generales'!$E$19</f>
        <v>0</v>
      </c>
      <c r="U443" s="281">
        <f>TABLA_BASE[[#This Row],[ADV UNIT.
(US$)
⚠️COSTO]]*'📋 Datos Generales'!$E$19</f>
        <v>0</v>
      </c>
      <c r="V443" s="281">
        <f>TABLA_BASE[[#This Row],[ADV UNIT.
(S/.)]]*TABLA_BASE[[#This Row],[CANTIDAD
(unid.)]]</f>
        <v>0</v>
      </c>
      <c r="W443" s="281">
        <f>TABLA_BASE[[#This Row],[IPM UNIT.
(US$)
✅CF]]*'📋 Datos Generales'!$E$19</f>
        <v>0</v>
      </c>
      <c r="X443" s="281">
        <f>TABLA_BASE[[#This Row],[IPM UNIT.
(S/.)]]*TABLA_BASE[[#This Row],[CANTIDAD
(unid.)]]</f>
        <v>0</v>
      </c>
      <c r="Y443" s="281">
        <f>TABLA_BASE[[#This Row],[IGV UNIT.
(US$)
✅CF]]*'📋 Datos Generales'!$E$19</f>
        <v>0</v>
      </c>
      <c r="Z443" s="281">
        <f>TABLA_BASE[[#This Row],[IGV UNIT.
(S/.)]]*TABLA_BASE[[#This Row],[CANTIDAD
(unid.)]]</f>
        <v>0</v>
      </c>
      <c r="AA443" s="281">
        <f>TABLA_BASE[[#This Row],[PERCEP.
UNIT.(US$)
✅CF]]*'📋 Datos Generales'!$E$19</f>
        <v>0</v>
      </c>
      <c r="AB443" s="281">
        <f>TABLA_BASE[[#This Row],[PERCEP.
UNIT.(S/.)]]*TABLA_BASE[[#This Row],[CANTIDAD
(unid.)]]</f>
        <v>0</v>
      </c>
      <c r="AC443" s="279">
        <f>TABLA_BASE[[#This Row],[ADV UNIT.
(US$)
⚠️COSTO]]+TABLA_BASE[[#This Row],[IPM UNIT.
(US$)
✅CF]]+TABLA_BASE[[#This Row],[IGV UNIT.
(US$)
✅CF]]+TABLA_BASE[[#This Row],[PERCEP.
UNIT.(US$)
✅CF]]</f>
        <v>0</v>
      </c>
      <c r="AD443" s="279">
        <f>TABLA_BASE[[#This Row],[TOTAL PAGO
SUNAT
UNIT.(US$)]]*TABLA_BASE[[#This Row],[CANTIDAD
(unid.)]]</f>
        <v>0</v>
      </c>
      <c r="AE443" s="281">
        <f>TABLA_BASE[[#This Row],[TOTAL PAGO
SUNAT
UNIT.(US$)]]*'📋 Datos Generales'!$E$19</f>
        <v>0</v>
      </c>
      <c r="AF443" s="281">
        <f>TABLA_BASE[[#This Row],[TOTAL TRIB.
UNIT.(S/.)]]*TABLA_BASE[[#This Row],[CANTIDAD
(unid.)]]</f>
        <v>0</v>
      </c>
      <c r="AG443" s="279">
        <f>IF('🧾 Factura Comercial'!G447=0,0,'📦 Gastos Importación'!$E$28*(IF('🧾 Tributos Aduana'!$F$6=0,0,'🧾 Factura Comercial'!I447/'🧾 Tributos Aduana'!$F$6))/'🧾 Factura Comercial'!G447)</f>
        <v>0</v>
      </c>
      <c r="AH443" s="279">
        <f>TABLA_BASE[[#This Row],[GASTOS IMP.
UNIT.(US$)]]*TABLA_BASE[[#This Row],[CANTIDAD
(unid.)]]</f>
        <v>0</v>
      </c>
      <c r="AI443" s="281">
        <f>TABLA_BASE[[#This Row],[GASTOS IMP.
UNIT.(US$)]]*'📋 Datos Generales'!$E$19</f>
        <v>0</v>
      </c>
      <c r="AJ443" s="281">
        <f>TABLA_BASE[[#This Row],[GASTOS IMP.
UNIT.(S/.)]]*TABLA_BASE[[#This Row],[CANTIDAD
(unid.)]]</f>
        <v>0</v>
      </c>
      <c r="AK443" s="280">
        <f>'🧮 Costos x Producto'!J447</f>
        <v>0</v>
      </c>
      <c r="AL443" s="278">
        <f>'🧮 Costos x Producto'!K447</f>
        <v>0</v>
      </c>
      <c r="AM443" s="278">
        <f>TABLA_BASE[[#This Row],[C/M UNIT.
(S/.)]]*TABLA_BASE[[#This Row],[CANTIDAD
(unid.)]]</f>
        <v>0</v>
      </c>
      <c r="AN443" s="279">
        <f>IF('🧾 Factura Comercial'!G447=0,0,'🧾 Tributos Aduana'!$F$17*(IF('🧾 Tributos Aduana'!$F$6=0,0,'🧾 Factura Comercial'!I447/'🧾 Tributos Aduana'!$F$6))/'🧾 Factura Comercial'!G447)</f>
        <v>0</v>
      </c>
      <c r="AO443" s="280">
        <f>IF('🧾 Factura Comercial'!G447=0,0,'🏦 Crédito Fiscal'!$C$16*(IF('🧾 Tributos Aduana'!$F$6=0,0,'🧾 Factura Comercial'!I447/'🧾 Tributos Aduana'!$F$6))/'🧾 Factura Comercial'!G447)</f>
        <v>0</v>
      </c>
      <c r="AP443" s="278">
        <f>TABLA_BASE[[#This Row],[CF UNIT.
✅RECUP.
(US$)]]*'📋 Datos Generales'!$E$19</f>
        <v>0</v>
      </c>
      <c r="AQ443" s="278">
        <f>TABLA_BASE[[#This Row],[CF UNIT.
✅RECUP.(S/.)]]*TABLA_BASE[[#This Row],[CANTIDAD
(unid.)]]</f>
        <v>0</v>
      </c>
      <c r="AR443" s="288">
        <f>'💰 Precio de Venta'!G448</f>
        <v>0.4</v>
      </c>
      <c r="AS443" s="278">
        <f>'💰 Precio de Venta'!H448</f>
        <v>0</v>
      </c>
      <c r="AT443" s="278">
        <f>TABLA_BASE[[#This Row],[VALOR VTA.
UNIT.(S/.)]]*TABLA_BASE[[#This Row],[CANTIDAD
(unid.)]]</f>
        <v>0</v>
      </c>
      <c r="AU443" s="281">
        <f>'💰 Precio de Venta'!I448</f>
        <v>0</v>
      </c>
      <c r="AV443" s="278">
        <f>'💰 Precio de Venta'!J448</f>
        <v>0</v>
      </c>
      <c r="AW443" s="278">
        <f>TABLA_BASE[[#This Row],[GANANCIA
UNIT.(S/.)]]*TABLA_BASE[[#This Row],[CANTIDAD
(unid.)]]</f>
        <v>0</v>
      </c>
      <c r="AX443" s="289">
        <f>'💰 Precio de Venta'!K448</f>
        <v>0</v>
      </c>
      <c r="AY443" s="278">
        <f>TABLA_BASE[[#This Row],[GANANCIA
UNIT.(S/.)]]*'🧾 Factura Comercial'!G447</f>
        <v>0</v>
      </c>
      <c r="AZ443" s="277">
        <f>IF(TABLA_BASE[[#This Row],[PRECIO VTA.
c/IGV(S/.)]]=0,0,TABLA_BASE[[#This Row],[GANANCIA
UNIT.(S/.)]]/TABLA_BASE[[#This Row],[PRECIO VTA.
c/IGV(S/.)]])</f>
        <v>0</v>
      </c>
      <c r="BA443" s="277">
        <f>IF(TABLA_BASE[[#This Row],[C/M UNIT.
(S/.)]]=0,0,TABLA_BASE[[#This Row],[GANANCIA
UNIT.(S/.)]]/TABLA_BASE[[#This Row],[C/M UNIT.
(S/.)]])</f>
        <v>0</v>
      </c>
      <c r="BB443" s="274" t="str">
        <f>IF(TABLA_BASE[[#This Row],[MARGEN
%]]&gt;=0.5,"🟢 ALTO",IF(TABLA_BASE[[#This Row],[MARGEN
%]]&gt;=0.3,"🟡 MEDIO","🔴 BAJO"))</f>
        <v>🟡 MEDIO</v>
      </c>
    </row>
    <row r="444" spans="1:54" ht="16.5" hidden="1" thickTop="1" thickBot="1" x14ac:dyDescent="0.3">
      <c r="A444" s="274">
        <f>'🧾 Factura Comercial'!E448</f>
        <v>0</v>
      </c>
      <c r="B444" s="274" t="str">
        <f>'🧾 Factura Comercial'!F448</f>
        <v>Unid.</v>
      </c>
      <c r="C444" s="275">
        <f>'🧾 Factura Comercial'!G448</f>
        <v>0</v>
      </c>
      <c r="D444" s="276">
        <f>'🧾 Factura Comercial'!H448</f>
        <v>0</v>
      </c>
      <c r="E444" s="276">
        <f>'🧾 Factura Comercial'!I448</f>
        <v>0</v>
      </c>
      <c r="F444" s="277">
        <f>IF('🧾 Tributos Aduana'!$F$6=0,0,'🧾 Factura Comercial'!I448/'🧾 Tributos Aduana'!$F$6)</f>
        <v>0</v>
      </c>
      <c r="G444" s="278">
        <f>'🧾 Factura Comercial'!H448*'📋 Datos Generales'!$E$19</f>
        <v>0</v>
      </c>
      <c r="H444" s="278">
        <f>TABLA_BASE[[#This Row],[FOB UNIT.
(S/.)]]*TABLA_BASE[[#This Row],[CANTIDAD
(unid.)]]</f>
        <v>0</v>
      </c>
      <c r="I444" s="280">
        <f>IF('🧾 Tributos Aduana'!$F$6=0,0,'🧾 Tributos Aduana'!$F$17*('🧾 Factura Comercial'!H448/'🧾 Tributos Aduana'!$F$6))</f>
        <v>0</v>
      </c>
      <c r="J444" s="280">
        <f>TABLA_BASE[[#This Row],[ADV UNIT.
(US$)
⚠️COSTO]]*TABLA_BASE[[#This Row],[CANTIDAD
(unid.)]]</f>
        <v>0</v>
      </c>
      <c r="K444" s="279">
        <f>IF('🧾 Tributos Aduana'!$F$6=0,0,'🧾 Tributos Aduana'!$F$18*('🧾 Factura Comercial'!H448/'🧾 Tributos Aduana'!$F$6))</f>
        <v>0</v>
      </c>
      <c r="L444" s="280">
        <f>TABLA_BASE[[#This Row],[IPM UNIT.
(US$)
✅CF]]*TABLA_BASE[[#This Row],[CANTIDAD
(unid.)]]</f>
        <v>0</v>
      </c>
      <c r="M444" s="279">
        <f>IF('🧾 Tributos Aduana'!$F$6=0,0,'🧾 Tributos Aduana'!$F$19*('🧾 Factura Comercial'!H448/'🧾 Tributos Aduana'!$F$6))</f>
        <v>0</v>
      </c>
      <c r="N444" s="280">
        <f>TABLA_BASE[[#This Row],[IGV UNIT.
(US$)
✅CF]]*TABLA_BASE[[#This Row],[CANTIDAD
(unid.)]]</f>
        <v>0</v>
      </c>
      <c r="O444" s="280">
        <f>IF('🧾 Tributos Aduana'!$F$6=0,0,'🧾 Tributos Aduana'!$F$23*('🧾 Factura Comercial'!H448/'🧾 Tributos Aduana'!$F$6))</f>
        <v>0</v>
      </c>
      <c r="P444" s="280">
        <f>TABLA_BASE[[#This Row],[PERCEP.
UNIT.(US$)
✅CF]]*TABLA_BASE[[#This Row],[CANTIDAD
(unid.)]]</f>
        <v>0</v>
      </c>
      <c r="Q444" s="279">
        <f>TABLA_BASE[[#This Row],[ADV UNIT.
(US$)
⚠️COSTO]]+TABLA_BASE[[#This Row],[IPM UNIT.
(US$)
✅CF]]+TABLA_BASE[[#This Row],[IGV UNIT.
(US$)
✅CF]]</f>
        <v>0</v>
      </c>
      <c r="R444" s="280">
        <f>TABLA_BASE[[#This Row],[DEUDA
ADUANERA
UNIT.]]*TABLA_BASE[[#This Row],[CANTIDAD
(unid.)]]</f>
        <v>0</v>
      </c>
      <c r="S444" s="278">
        <f>TABLA_BASE[[#This Row],[DEUDA
ADUANERA
UNIT.]]*'📋 Datos Generales'!$E$19</f>
        <v>0</v>
      </c>
      <c r="T444" s="278">
        <f>TABLA_BASE[[#This Row],[DEUDA
ADUANERA
TOTAL]]*'📋 Datos Generales'!$E$19</f>
        <v>0</v>
      </c>
      <c r="U444" s="281">
        <f>TABLA_BASE[[#This Row],[ADV UNIT.
(US$)
⚠️COSTO]]*'📋 Datos Generales'!$E$19</f>
        <v>0</v>
      </c>
      <c r="V444" s="281">
        <f>TABLA_BASE[[#This Row],[ADV UNIT.
(S/.)]]*TABLA_BASE[[#This Row],[CANTIDAD
(unid.)]]</f>
        <v>0</v>
      </c>
      <c r="W444" s="281">
        <f>TABLA_BASE[[#This Row],[IPM UNIT.
(US$)
✅CF]]*'📋 Datos Generales'!$E$19</f>
        <v>0</v>
      </c>
      <c r="X444" s="281">
        <f>TABLA_BASE[[#This Row],[IPM UNIT.
(S/.)]]*TABLA_BASE[[#This Row],[CANTIDAD
(unid.)]]</f>
        <v>0</v>
      </c>
      <c r="Y444" s="281">
        <f>TABLA_BASE[[#This Row],[IGV UNIT.
(US$)
✅CF]]*'📋 Datos Generales'!$E$19</f>
        <v>0</v>
      </c>
      <c r="Z444" s="281">
        <f>TABLA_BASE[[#This Row],[IGV UNIT.
(S/.)]]*TABLA_BASE[[#This Row],[CANTIDAD
(unid.)]]</f>
        <v>0</v>
      </c>
      <c r="AA444" s="281">
        <f>TABLA_BASE[[#This Row],[PERCEP.
UNIT.(US$)
✅CF]]*'📋 Datos Generales'!$E$19</f>
        <v>0</v>
      </c>
      <c r="AB444" s="281">
        <f>TABLA_BASE[[#This Row],[PERCEP.
UNIT.(S/.)]]*TABLA_BASE[[#This Row],[CANTIDAD
(unid.)]]</f>
        <v>0</v>
      </c>
      <c r="AC444" s="279">
        <f>TABLA_BASE[[#This Row],[ADV UNIT.
(US$)
⚠️COSTO]]+TABLA_BASE[[#This Row],[IPM UNIT.
(US$)
✅CF]]+TABLA_BASE[[#This Row],[IGV UNIT.
(US$)
✅CF]]+TABLA_BASE[[#This Row],[PERCEP.
UNIT.(US$)
✅CF]]</f>
        <v>0</v>
      </c>
      <c r="AD444" s="279">
        <f>TABLA_BASE[[#This Row],[TOTAL PAGO
SUNAT
UNIT.(US$)]]*TABLA_BASE[[#This Row],[CANTIDAD
(unid.)]]</f>
        <v>0</v>
      </c>
      <c r="AE444" s="281">
        <f>TABLA_BASE[[#This Row],[TOTAL PAGO
SUNAT
UNIT.(US$)]]*'📋 Datos Generales'!$E$19</f>
        <v>0</v>
      </c>
      <c r="AF444" s="281">
        <f>TABLA_BASE[[#This Row],[TOTAL TRIB.
UNIT.(S/.)]]*TABLA_BASE[[#This Row],[CANTIDAD
(unid.)]]</f>
        <v>0</v>
      </c>
      <c r="AG444" s="279">
        <f>IF('🧾 Factura Comercial'!G448=0,0,'📦 Gastos Importación'!$E$28*(IF('🧾 Tributos Aduana'!$F$6=0,0,'🧾 Factura Comercial'!I448/'🧾 Tributos Aduana'!$F$6))/'🧾 Factura Comercial'!G448)</f>
        <v>0</v>
      </c>
      <c r="AH444" s="279">
        <f>TABLA_BASE[[#This Row],[GASTOS IMP.
UNIT.(US$)]]*TABLA_BASE[[#This Row],[CANTIDAD
(unid.)]]</f>
        <v>0</v>
      </c>
      <c r="AI444" s="281">
        <f>TABLA_BASE[[#This Row],[GASTOS IMP.
UNIT.(US$)]]*'📋 Datos Generales'!$E$19</f>
        <v>0</v>
      </c>
      <c r="AJ444" s="281">
        <f>TABLA_BASE[[#This Row],[GASTOS IMP.
UNIT.(S/.)]]*TABLA_BASE[[#This Row],[CANTIDAD
(unid.)]]</f>
        <v>0</v>
      </c>
      <c r="AK444" s="280">
        <f>'🧮 Costos x Producto'!J448</f>
        <v>0</v>
      </c>
      <c r="AL444" s="278">
        <f>'🧮 Costos x Producto'!K448</f>
        <v>0</v>
      </c>
      <c r="AM444" s="278">
        <f>TABLA_BASE[[#This Row],[C/M UNIT.
(S/.)]]*TABLA_BASE[[#This Row],[CANTIDAD
(unid.)]]</f>
        <v>0</v>
      </c>
      <c r="AN444" s="279">
        <f>IF('🧾 Factura Comercial'!G448=0,0,'🧾 Tributos Aduana'!$F$17*(IF('🧾 Tributos Aduana'!$F$6=0,0,'🧾 Factura Comercial'!I448/'🧾 Tributos Aduana'!$F$6))/'🧾 Factura Comercial'!G448)</f>
        <v>0</v>
      </c>
      <c r="AO444" s="280">
        <f>IF('🧾 Factura Comercial'!G448=0,0,'🏦 Crédito Fiscal'!$C$16*(IF('🧾 Tributos Aduana'!$F$6=0,0,'🧾 Factura Comercial'!I448/'🧾 Tributos Aduana'!$F$6))/'🧾 Factura Comercial'!G448)</f>
        <v>0</v>
      </c>
      <c r="AP444" s="278">
        <f>TABLA_BASE[[#This Row],[CF UNIT.
✅RECUP.
(US$)]]*'📋 Datos Generales'!$E$19</f>
        <v>0</v>
      </c>
      <c r="AQ444" s="278">
        <f>TABLA_BASE[[#This Row],[CF UNIT.
✅RECUP.(S/.)]]*TABLA_BASE[[#This Row],[CANTIDAD
(unid.)]]</f>
        <v>0</v>
      </c>
      <c r="AR444" s="288">
        <f>'💰 Precio de Venta'!G449</f>
        <v>0.4</v>
      </c>
      <c r="AS444" s="278">
        <f>'💰 Precio de Venta'!H449</f>
        <v>0</v>
      </c>
      <c r="AT444" s="278">
        <f>TABLA_BASE[[#This Row],[VALOR VTA.
UNIT.(S/.)]]*TABLA_BASE[[#This Row],[CANTIDAD
(unid.)]]</f>
        <v>0</v>
      </c>
      <c r="AU444" s="281">
        <f>'💰 Precio de Venta'!I449</f>
        <v>0</v>
      </c>
      <c r="AV444" s="278">
        <f>'💰 Precio de Venta'!J449</f>
        <v>0</v>
      </c>
      <c r="AW444" s="278">
        <f>TABLA_BASE[[#This Row],[GANANCIA
UNIT.(S/.)]]*TABLA_BASE[[#This Row],[CANTIDAD
(unid.)]]</f>
        <v>0</v>
      </c>
      <c r="AX444" s="289">
        <f>'💰 Precio de Venta'!K449</f>
        <v>0</v>
      </c>
      <c r="AY444" s="278">
        <f>TABLA_BASE[[#This Row],[GANANCIA
UNIT.(S/.)]]*'🧾 Factura Comercial'!G448</f>
        <v>0</v>
      </c>
      <c r="AZ444" s="277">
        <f>IF(TABLA_BASE[[#This Row],[PRECIO VTA.
c/IGV(S/.)]]=0,0,TABLA_BASE[[#This Row],[GANANCIA
UNIT.(S/.)]]/TABLA_BASE[[#This Row],[PRECIO VTA.
c/IGV(S/.)]])</f>
        <v>0</v>
      </c>
      <c r="BA444" s="277">
        <f>IF(TABLA_BASE[[#This Row],[C/M UNIT.
(S/.)]]=0,0,TABLA_BASE[[#This Row],[GANANCIA
UNIT.(S/.)]]/TABLA_BASE[[#This Row],[C/M UNIT.
(S/.)]])</f>
        <v>0</v>
      </c>
      <c r="BB444" s="274" t="str">
        <f>IF(TABLA_BASE[[#This Row],[MARGEN
%]]&gt;=0.5,"🟢 ALTO",IF(TABLA_BASE[[#This Row],[MARGEN
%]]&gt;=0.3,"🟡 MEDIO","🔴 BAJO"))</f>
        <v>🟡 MEDIO</v>
      </c>
    </row>
    <row r="445" spans="1:54" ht="16.5" hidden="1" thickTop="1" thickBot="1" x14ac:dyDescent="0.3">
      <c r="A445" s="274">
        <f>'🧾 Factura Comercial'!E449</f>
        <v>0</v>
      </c>
      <c r="B445" s="274" t="str">
        <f>'🧾 Factura Comercial'!F449</f>
        <v>Unid.</v>
      </c>
      <c r="C445" s="275">
        <f>'🧾 Factura Comercial'!G449</f>
        <v>0</v>
      </c>
      <c r="D445" s="276">
        <f>'🧾 Factura Comercial'!H449</f>
        <v>0</v>
      </c>
      <c r="E445" s="276">
        <f>'🧾 Factura Comercial'!I449</f>
        <v>0</v>
      </c>
      <c r="F445" s="277">
        <f>IF('🧾 Tributos Aduana'!$F$6=0,0,'🧾 Factura Comercial'!I449/'🧾 Tributos Aduana'!$F$6)</f>
        <v>0</v>
      </c>
      <c r="G445" s="278">
        <f>'🧾 Factura Comercial'!H449*'📋 Datos Generales'!$E$19</f>
        <v>0</v>
      </c>
      <c r="H445" s="278">
        <f>TABLA_BASE[[#This Row],[FOB UNIT.
(S/.)]]*TABLA_BASE[[#This Row],[CANTIDAD
(unid.)]]</f>
        <v>0</v>
      </c>
      <c r="I445" s="280">
        <f>IF('🧾 Tributos Aduana'!$F$6=0,0,'🧾 Tributos Aduana'!$F$17*('🧾 Factura Comercial'!H449/'🧾 Tributos Aduana'!$F$6))</f>
        <v>0</v>
      </c>
      <c r="J445" s="280">
        <f>TABLA_BASE[[#This Row],[ADV UNIT.
(US$)
⚠️COSTO]]*TABLA_BASE[[#This Row],[CANTIDAD
(unid.)]]</f>
        <v>0</v>
      </c>
      <c r="K445" s="279">
        <f>IF('🧾 Tributos Aduana'!$F$6=0,0,'🧾 Tributos Aduana'!$F$18*('🧾 Factura Comercial'!H449/'🧾 Tributos Aduana'!$F$6))</f>
        <v>0</v>
      </c>
      <c r="L445" s="280">
        <f>TABLA_BASE[[#This Row],[IPM UNIT.
(US$)
✅CF]]*TABLA_BASE[[#This Row],[CANTIDAD
(unid.)]]</f>
        <v>0</v>
      </c>
      <c r="M445" s="279">
        <f>IF('🧾 Tributos Aduana'!$F$6=0,0,'🧾 Tributos Aduana'!$F$19*('🧾 Factura Comercial'!H449/'🧾 Tributos Aduana'!$F$6))</f>
        <v>0</v>
      </c>
      <c r="N445" s="280">
        <f>TABLA_BASE[[#This Row],[IGV UNIT.
(US$)
✅CF]]*TABLA_BASE[[#This Row],[CANTIDAD
(unid.)]]</f>
        <v>0</v>
      </c>
      <c r="O445" s="280">
        <f>IF('🧾 Tributos Aduana'!$F$6=0,0,'🧾 Tributos Aduana'!$F$23*('🧾 Factura Comercial'!H449/'🧾 Tributos Aduana'!$F$6))</f>
        <v>0</v>
      </c>
      <c r="P445" s="280">
        <f>TABLA_BASE[[#This Row],[PERCEP.
UNIT.(US$)
✅CF]]*TABLA_BASE[[#This Row],[CANTIDAD
(unid.)]]</f>
        <v>0</v>
      </c>
      <c r="Q445" s="279">
        <f>TABLA_BASE[[#This Row],[ADV UNIT.
(US$)
⚠️COSTO]]+TABLA_BASE[[#This Row],[IPM UNIT.
(US$)
✅CF]]+TABLA_BASE[[#This Row],[IGV UNIT.
(US$)
✅CF]]</f>
        <v>0</v>
      </c>
      <c r="R445" s="280">
        <f>TABLA_BASE[[#This Row],[DEUDA
ADUANERA
UNIT.]]*TABLA_BASE[[#This Row],[CANTIDAD
(unid.)]]</f>
        <v>0</v>
      </c>
      <c r="S445" s="278">
        <f>TABLA_BASE[[#This Row],[DEUDA
ADUANERA
UNIT.]]*'📋 Datos Generales'!$E$19</f>
        <v>0</v>
      </c>
      <c r="T445" s="278">
        <f>TABLA_BASE[[#This Row],[DEUDA
ADUANERA
TOTAL]]*'📋 Datos Generales'!$E$19</f>
        <v>0</v>
      </c>
      <c r="U445" s="281">
        <f>TABLA_BASE[[#This Row],[ADV UNIT.
(US$)
⚠️COSTO]]*'📋 Datos Generales'!$E$19</f>
        <v>0</v>
      </c>
      <c r="V445" s="281">
        <f>TABLA_BASE[[#This Row],[ADV UNIT.
(S/.)]]*TABLA_BASE[[#This Row],[CANTIDAD
(unid.)]]</f>
        <v>0</v>
      </c>
      <c r="W445" s="281">
        <f>TABLA_BASE[[#This Row],[IPM UNIT.
(US$)
✅CF]]*'📋 Datos Generales'!$E$19</f>
        <v>0</v>
      </c>
      <c r="X445" s="281">
        <f>TABLA_BASE[[#This Row],[IPM UNIT.
(S/.)]]*TABLA_BASE[[#This Row],[CANTIDAD
(unid.)]]</f>
        <v>0</v>
      </c>
      <c r="Y445" s="281">
        <f>TABLA_BASE[[#This Row],[IGV UNIT.
(US$)
✅CF]]*'📋 Datos Generales'!$E$19</f>
        <v>0</v>
      </c>
      <c r="Z445" s="281">
        <f>TABLA_BASE[[#This Row],[IGV UNIT.
(S/.)]]*TABLA_BASE[[#This Row],[CANTIDAD
(unid.)]]</f>
        <v>0</v>
      </c>
      <c r="AA445" s="281">
        <f>TABLA_BASE[[#This Row],[PERCEP.
UNIT.(US$)
✅CF]]*'📋 Datos Generales'!$E$19</f>
        <v>0</v>
      </c>
      <c r="AB445" s="281">
        <f>TABLA_BASE[[#This Row],[PERCEP.
UNIT.(S/.)]]*TABLA_BASE[[#This Row],[CANTIDAD
(unid.)]]</f>
        <v>0</v>
      </c>
      <c r="AC445" s="279">
        <f>TABLA_BASE[[#This Row],[ADV UNIT.
(US$)
⚠️COSTO]]+TABLA_BASE[[#This Row],[IPM UNIT.
(US$)
✅CF]]+TABLA_BASE[[#This Row],[IGV UNIT.
(US$)
✅CF]]+TABLA_BASE[[#This Row],[PERCEP.
UNIT.(US$)
✅CF]]</f>
        <v>0</v>
      </c>
      <c r="AD445" s="279">
        <f>TABLA_BASE[[#This Row],[TOTAL PAGO
SUNAT
UNIT.(US$)]]*TABLA_BASE[[#This Row],[CANTIDAD
(unid.)]]</f>
        <v>0</v>
      </c>
      <c r="AE445" s="281">
        <f>TABLA_BASE[[#This Row],[TOTAL PAGO
SUNAT
UNIT.(US$)]]*'📋 Datos Generales'!$E$19</f>
        <v>0</v>
      </c>
      <c r="AF445" s="281">
        <f>TABLA_BASE[[#This Row],[TOTAL TRIB.
UNIT.(S/.)]]*TABLA_BASE[[#This Row],[CANTIDAD
(unid.)]]</f>
        <v>0</v>
      </c>
      <c r="AG445" s="279">
        <f>IF('🧾 Factura Comercial'!G449=0,0,'📦 Gastos Importación'!$E$28*(IF('🧾 Tributos Aduana'!$F$6=0,0,'🧾 Factura Comercial'!I449/'🧾 Tributos Aduana'!$F$6))/'🧾 Factura Comercial'!G449)</f>
        <v>0</v>
      </c>
      <c r="AH445" s="279">
        <f>TABLA_BASE[[#This Row],[GASTOS IMP.
UNIT.(US$)]]*TABLA_BASE[[#This Row],[CANTIDAD
(unid.)]]</f>
        <v>0</v>
      </c>
      <c r="AI445" s="281">
        <f>TABLA_BASE[[#This Row],[GASTOS IMP.
UNIT.(US$)]]*'📋 Datos Generales'!$E$19</f>
        <v>0</v>
      </c>
      <c r="AJ445" s="281">
        <f>TABLA_BASE[[#This Row],[GASTOS IMP.
UNIT.(S/.)]]*TABLA_BASE[[#This Row],[CANTIDAD
(unid.)]]</f>
        <v>0</v>
      </c>
      <c r="AK445" s="280">
        <f>'🧮 Costos x Producto'!J449</f>
        <v>0</v>
      </c>
      <c r="AL445" s="278">
        <f>'🧮 Costos x Producto'!K449</f>
        <v>0</v>
      </c>
      <c r="AM445" s="278">
        <f>TABLA_BASE[[#This Row],[C/M UNIT.
(S/.)]]*TABLA_BASE[[#This Row],[CANTIDAD
(unid.)]]</f>
        <v>0</v>
      </c>
      <c r="AN445" s="279">
        <f>IF('🧾 Factura Comercial'!G449=0,0,'🧾 Tributos Aduana'!$F$17*(IF('🧾 Tributos Aduana'!$F$6=0,0,'🧾 Factura Comercial'!I449/'🧾 Tributos Aduana'!$F$6))/'🧾 Factura Comercial'!G449)</f>
        <v>0</v>
      </c>
      <c r="AO445" s="280">
        <f>IF('🧾 Factura Comercial'!G449=0,0,'🏦 Crédito Fiscal'!$C$16*(IF('🧾 Tributos Aduana'!$F$6=0,0,'🧾 Factura Comercial'!I449/'🧾 Tributos Aduana'!$F$6))/'🧾 Factura Comercial'!G449)</f>
        <v>0</v>
      </c>
      <c r="AP445" s="278">
        <f>TABLA_BASE[[#This Row],[CF UNIT.
✅RECUP.
(US$)]]*'📋 Datos Generales'!$E$19</f>
        <v>0</v>
      </c>
      <c r="AQ445" s="278">
        <f>TABLA_BASE[[#This Row],[CF UNIT.
✅RECUP.(S/.)]]*TABLA_BASE[[#This Row],[CANTIDAD
(unid.)]]</f>
        <v>0</v>
      </c>
      <c r="AR445" s="288">
        <f>'💰 Precio de Venta'!G450</f>
        <v>0.4</v>
      </c>
      <c r="AS445" s="278">
        <f>'💰 Precio de Venta'!H450</f>
        <v>0</v>
      </c>
      <c r="AT445" s="278">
        <f>TABLA_BASE[[#This Row],[VALOR VTA.
UNIT.(S/.)]]*TABLA_BASE[[#This Row],[CANTIDAD
(unid.)]]</f>
        <v>0</v>
      </c>
      <c r="AU445" s="281">
        <f>'💰 Precio de Venta'!I450</f>
        <v>0</v>
      </c>
      <c r="AV445" s="278">
        <f>'💰 Precio de Venta'!J450</f>
        <v>0</v>
      </c>
      <c r="AW445" s="278">
        <f>TABLA_BASE[[#This Row],[GANANCIA
UNIT.(S/.)]]*TABLA_BASE[[#This Row],[CANTIDAD
(unid.)]]</f>
        <v>0</v>
      </c>
      <c r="AX445" s="289">
        <f>'💰 Precio de Venta'!K450</f>
        <v>0</v>
      </c>
      <c r="AY445" s="278">
        <f>TABLA_BASE[[#This Row],[GANANCIA
UNIT.(S/.)]]*'🧾 Factura Comercial'!G449</f>
        <v>0</v>
      </c>
      <c r="AZ445" s="277">
        <f>IF(TABLA_BASE[[#This Row],[PRECIO VTA.
c/IGV(S/.)]]=0,0,TABLA_BASE[[#This Row],[GANANCIA
UNIT.(S/.)]]/TABLA_BASE[[#This Row],[PRECIO VTA.
c/IGV(S/.)]])</f>
        <v>0</v>
      </c>
      <c r="BA445" s="277">
        <f>IF(TABLA_BASE[[#This Row],[C/M UNIT.
(S/.)]]=0,0,TABLA_BASE[[#This Row],[GANANCIA
UNIT.(S/.)]]/TABLA_BASE[[#This Row],[C/M UNIT.
(S/.)]])</f>
        <v>0</v>
      </c>
      <c r="BB445" s="274" t="str">
        <f>IF(TABLA_BASE[[#This Row],[MARGEN
%]]&gt;=0.5,"🟢 ALTO",IF(TABLA_BASE[[#This Row],[MARGEN
%]]&gt;=0.3,"🟡 MEDIO","🔴 BAJO"))</f>
        <v>🟡 MEDIO</v>
      </c>
    </row>
    <row r="446" spans="1:54" ht="16.5" hidden="1" thickTop="1" thickBot="1" x14ac:dyDescent="0.3">
      <c r="A446" s="274">
        <f>'🧾 Factura Comercial'!E450</f>
        <v>0</v>
      </c>
      <c r="B446" s="274" t="str">
        <f>'🧾 Factura Comercial'!F450</f>
        <v>Unid.</v>
      </c>
      <c r="C446" s="275">
        <f>'🧾 Factura Comercial'!G450</f>
        <v>0</v>
      </c>
      <c r="D446" s="276">
        <f>'🧾 Factura Comercial'!H450</f>
        <v>0</v>
      </c>
      <c r="E446" s="276">
        <f>'🧾 Factura Comercial'!I450</f>
        <v>0</v>
      </c>
      <c r="F446" s="277">
        <f>IF('🧾 Tributos Aduana'!$F$6=0,0,'🧾 Factura Comercial'!I450/'🧾 Tributos Aduana'!$F$6)</f>
        <v>0</v>
      </c>
      <c r="G446" s="278">
        <f>'🧾 Factura Comercial'!H450*'📋 Datos Generales'!$E$19</f>
        <v>0</v>
      </c>
      <c r="H446" s="278">
        <f>TABLA_BASE[[#This Row],[FOB UNIT.
(S/.)]]*TABLA_BASE[[#This Row],[CANTIDAD
(unid.)]]</f>
        <v>0</v>
      </c>
      <c r="I446" s="280">
        <f>IF('🧾 Tributos Aduana'!$F$6=0,0,'🧾 Tributos Aduana'!$F$17*('🧾 Factura Comercial'!H450/'🧾 Tributos Aduana'!$F$6))</f>
        <v>0</v>
      </c>
      <c r="J446" s="280">
        <f>TABLA_BASE[[#This Row],[ADV UNIT.
(US$)
⚠️COSTO]]*TABLA_BASE[[#This Row],[CANTIDAD
(unid.)]]</f>
        <v>0</v>
      </c>
      <c r="K446" s="279">
        <f>IF('🧾 Tributos Aduana'!$F$6=0,0,'🧾 Tributos Aduana'!$F$18*('🧾 Factura Comercial'!H450/'🧾 Tributos Aduana'!$F$6))</f>
        <v>0</v>
      </c>
      <c r="L446" s="280">
        <f>TABLA_BASE[[#This Row],[IPM UNIT.
(US$)
✅CF]]*TABLA_BASE[[#This Row],[CANTIDAD
(unid.)]]</f>
        <v>0</v>
      </c>
      <c r="M446" s="279">
        <f>IF('🧾 Tributos Aduana'!$F$6=0,0,'🧾 Tributos Aduana'!$F$19*('🧾 Factura Comercial'!H450/'🧾 Tributos Aduana'!$F$6))</f>
        <v>0</v>
      </c>
      <c r="N446" s="280">
        <f>TABLA_BASE[[#This Row],[IGV UNIT.
(US$)
✅CF]]*TABLA_BASE[[#This Row],[CANTIDAD
(unid.)]]</f>
        <v>0</v>
      </c>
      <c r="O446" s="280">
        <f>IF('🧾 Tributos Aduana'!$F$6=0,0,'🧾 Tributos Aduana'!$F$23*('🧾 Factura Comercial'!H450/'🧾 Tributos Aduana'!$F$6))</f>
        <v>0</v>
      </c>
      <c r="P446" s="280">
        <f>TABLA_BASE[[#This Row],[PERCEP.
UNIT.(US$)
✅CF]]*TABLA_BASE[[#This Row],[CANTIDAD
(unid.)]]</f>
        <v>0</v>
      </c>
      <c r="Q446" s="279">
        <f>TABLA_BASE[[#This Row],[ADV UNIT.
(US$)
⚠️COSTO]]+TABLA_BASE[[#This Row],[IPM UNIT.
(US$)
✅CF]]+TABLA_BASE[[#This Row],[IGV UNIT.
(US$)
✅CF]]</f>
        <v>0</v>
      </c>
      <c r="R446" s="280">
        <f>TABLA_BASE[[#This Row],[DEUDA
ADUANERA
UNIT.]]*TABLA_BASE[[#This Row],[CANTIDAD
(unid.)]]</f>
        <v>0</v>
      </c>
      <c r="S446" s="278">
        <f>TABLA_BASE[[#This Row],[DEUDA
ADUANERA
UNIT.]]*'📋 Datos Generales'!$E$19</f>
        <v>0</v>
      </c>
      <c r="T446" s="278">
        <f>TABLA_BASE[[#This Row],[DEUDA
ADUANERA
TOTAL]]*'📋 Datos Generales'!$E$19</f>
        <v>0</v>
      </c>
      <c r="U446" s="281">
        <f>TABLA_BASE[[#This Row],[ADV UNIT.
(US$)
⚠️COSTO]]*'📋 Datos Generales'!$E$19</f>
        <v>0</v>
      </c>
      <c r="V446" s="281">
        <f>TABLA_BASE[[#This Row],[ADV UNIT.
(S/.)]]*TABLA_BASE[[#This Row],[CANTIDAD
(unid.)]]</f>
        <v>0</v>
      </c>
      <c r="W446" s="281">
        <f>TABLA_BASE[[#This Row],[IPM UNIT.
(US$)
✅CF]]*'📋 Datos Generales'!$E$19</f>
        <v>0</v>
      </c>
      <c r="X446" s="281">
        <f>TABLA_BASE[[#This Row],[IPM UNIT.
(S/.)]]*TABLA_BASE[[#This Row],[CANTIDAD
(unid.)]]</f>
        <v>0</v>
      </c>
      <c r="Y446" s="281">
        <f>TABLA_BASE[[#This Row],[IGV UNIT.
(US$)
✅CF]]*'📋 Datos Generales'!$E$19</f>
        <v>0</v>
      </c>
      <c r="Z446" s="281">
        <f>TABLA_BASE[[#This Row],[IGV UNIT.
(S/.)]]*TABLA_BASE[[#This Row],[CANTIDAD
(unid.)]]</f>
        <v>0</v>
      </c>
      <c r="AA446" s="281">
        <f>TABLA_BASE[[#This Row],[PERCEP.
UNIT.(US$)
✅CF]]*'📋 Datos Generales'!$E$19</f>
        <v>0</v>
      </c>
      <c r="AB446" s="281">
        <f>TABLA_BASE[[#This Row],[PERCEP.
UNIT.(S/.)]]*TABLA_BASE[[#This Row],[CANTIDAD
(unid.)]]</f>
        <v>0</v>
      </c>
      <c r="AC446" s="279">
        <f>TABLA_BASE[[#This Row],[ADV UNIT.
(US$)
⚠️COSTO]]+TABLA_BASE[[#This Row],[IPM UNIT.
(US$)
✅CF]]+TABLA_BASE[[#This Row],[IGV UNIT.
(US$)
✅CF]]+TABLA_BASE[[#This Row],[PERCEP.
UNIT.(US$)
✅CF]]</f>
        <v>0</v>
      </c>
      <c r="AD446" s="279">
        <f>TABLA_BASE[[#This Row],[TOTAL PAGO
SUNAT
UNIT.(US$)]]*TABLA_BASE[[#This Row],[CANTIDAD
(unid.)]]</f>
        <v>0</v>
      </c>
      <c r="AE446" s="281">
        <f>TABLA_BASE[[#This Row],[TOTAL PAGO
SUNAT
UNIT.(US$)]]*'📋 Datos Generales'!$E$19</f>
        <v>0</v>
      </c>
      <c r="AF446" s="281">
        <f>TABLA_BASE[[#This Row],[TOTAL TRIB.
UNIT.(S/.)]]*TABLA_BASE[[#This Row],[CANTIDAD
(unid.)]]</f>
        <v>0</v>
      </c>
      <c r="AG446" s="279">
        <f>IF('🧾 Factura Comercial'!G450=0,0,'📦 Gastos Importación'!$E$28*(IF('🧾 Tributos Aduana'!$F$6=0,0,'🧾 Factura Comercial'!I450/'🧾 Tributos Aduana'!$F$6))/'🧾 Factura Comercial'!G450)</f>
        <v>0</v>
      </c>
      <c r="AH446" s="279">
        <f>TABLA_BASE[[#This Row],[GASTOS IMP.
UNIT.(US$)]]*TABLA_BASE[[#This Row],[CANTIDAD
(unid.)]]</f>
        <v>0</v>
      </c>
      <c r="AI446" s="281">
        <f>TABLA_BASE[[#This Row],[GASTOS IMP.
UNIT.(US$)]]*'📋 Datos Generales'!$E$19</f>
        <v>0</v>
      </c>
      <c r="AJ446" s="281">
        <f>TABLA_BASE[[#This Row],[GASTOS IMP.
UNIT.(S/.)]]*TABLA_BASE[[#This Row],[CANTIDAD
(unid.)]]</f>
        <v>0</v>
      </c>
      <c r="AK446" s="280">
        <f>'🧮 Costos x Producto'!J450</f>
        <v>0</v>
      </c>
      <c r="AL446" s="278">
        <f>'🧮 Costos x Producto'!K450</f>
        <v>0</v>
      </c>
      <c r="AM446" s="278">
        <f>TABLA_BASE[[#This Row],[C/M UNIT.
(S/.)]]*TABLA_BASE[[#This Row],[CANTIDAD
(unid.)]]</f>
        <v>0</v>
      </c>
      <c r="AN446" s="279">
        <f>IF('🧾 Factura Comercial'!G450=0,0,'🧾 Tributos Aduana'!$F$17*(IF('🧾 Tributos Aduana'!$F$6=0,0,'🧾 Factura Comercial'!I450/'🧾 Tributos Aduana'!$F$6))/'🧾 Factura Comercial'!G450)</f>
        <v>0</v>
      </c>
      <c r="AO446" s="280">
        <f>IF('🧾 Factura Comercial'!G450=0,0,'🏦 Crédito Fiscal'!$C$16*(IF('🧾 Tributos Aduana'!$F$6=0,0,'🧾 Factura Comercial'!I450/'🧾 Tributos Aduana'!$F$6))/'🧾 Factura Comercial'!G450)</f>
        <v>0</v>
      </c>
      <c r="AP446" s="278">
        <f>TABLA_BASE[[#This Row],[CF UNIT.
✅RECUP.
(US$)]]*'📋 Datos Generales'!$E$19</f>
        <v>0</v>
      </c>
      <c r="AQ446" s="278">
        <f>TABLA_BASE[[#This Row],[CF UNIT.
✅RECUP.(S/.)]]*TABLA_BASE[[#This Row],[CANTIDAD
(unid.)]]</f>
        <v>0</v>
      </c>
      <c r="AR446" s="288">
        <f>'💰 Precio de Venta'!G451</f>
        <v>0.4</v>
      </c>
      <c r="AS446" s="278">
        <f>'💰 Precio de Venta'!H451</f>
        <v>0</v>
      </c>
      <c r="AT446" s="278">
        <f>TABLA_BASE[[#This Row],[VALOR VTA.
UNIT.(S/.)]]*TABLA_BASE[[#This Row],[CANTIDAD
(unid.)]]</f>
        <v>0</v>
      </c>
      <c r="AU446" s="281">
        <f>'💰 Precio de Venta'!I451</f>
        <v>0</v>
      </c>
      <c r="AV446" s="278">
        <f>'💰 Precio de Venta'!J451</f>
        <v>0</v>
      </c>
      <c r="AW446" s="278">
        <f>TABLA_BASE[[#This Row],[GANANCIA
UNIT.(S/.)]]*TABLA_BASE[[#This Row],[CANTIDAD
(unid.)]]</f>
        <v>0</v>
      </c>
      <c r="AX446" s="289">
        <f>'💰 Precio de Venta'!K451</f>
        <v>0</v>
      </c>
      <c r="AY446" s="278">
        <f>TABLA_BASE[[#This Row],[GANANCIA
UNIT.(S/.)]]*'🧾 Factura Comercial'!G450</f>
        <v>0</v>
      </c>
      <c r="AZ446" s="277">
        <f>IF(TABLA_BASE[[#This Row],[PRECIO VTA.
c/IGV(S/.)]]=0,0,TABLA_BASE[[#This Row],[GANANCIA
UNIT.(S/.)]]/TABLA_BASE[[#This Row],[PRECIO VTA.
c/IGV(S/.)]])</f>
        <v>0</v>
      </c>
      <c r="BA446" s="277">
        <f>IF(TABLA_BASE[[#This Row],[C/M UNIT.
(S/.)]]=0,0,TABLA_BASE[[#This Row],[GANANCIA
UNIT.(S/.)]]/TABLA_BASE[[#This Row],[C/M UNIT.
(S/.)]])</f>
        <v>0</v>
      </c>
      <c r="BB446" s="274" t="str">
        <f>IF(TABLA_BASE[[#This Row],[MARGEN
%]]&gt;=0.5,"🟢 ALTO",IF(TABLA_BASE[[#This Row],[MARGEN
%]]&gt;=0.3,"🟡 MEDIO","🔴 BAJO"))</f>
        <v>🟡 MEDIO</v>
      </c>
    </row>
    <row r="447" spans="1:54" ht="16.5" hidden="1" thickTop="1" thickBot="1" x14ac:dyDescent="0.3">
      <c r="A447" s="274">
        <f>'🧾 Factura Comercial'!E451</f>
        <v>0</v>
      </c>
      <c r="B447" s="274" t="str">
        <f>'🧾 Factura Comercial'!F451</f>
        <v>Unid.</v>
      </c>
      <c r="C447" s="275">
        <f>'🧾 Factura Comercial'!G451</f>
        <v>0</v>
      </c>
      <c r="D447" s="276">
        <f>'🧾 Factura Comercial'!H451</f>
        <v>0</v>
      </c>
      <c r="E447" s="276">
        <f>'🧾 Factura Comercial'!I451</f>
        <v>0</v>
      </c>
      <c r="F447" s="277">
        <f>IF('🧾 Tributos Aduana'!$F$6=0,0,'🧾 Factura Comercial'!I451/'🧾 Tributos Aduana'!$F$6)</f>
        <v>0</v>
      </c>
      <c r="G447" s="278">
        <f>'🧾 Factura Comercial'!H451*'📋 Datos Generales'!$E$19</f>
        <v>0</v>
      </c>
      <c r="H447" s="278">
        <f>TABLA_BASE[[#This Row],[FOB UNIT.
(S/.)]]*TABLA_BASE[[#This Row],[CANTIDAD
(unid.)]]</f>
        <v>0</v>
      </c>
      <c r="I447" s="280">
        <f>IF('🧾 Tributos Aduana'!$F$6=0,0,'🧾 Tributos Aduana'!$F$17*('🧾 Factura Comercial'!H451/'🧾 Tributos Aduana'!$F$6))</f>
        <v>0</v>
      </c>
      <c r="J447" s="280">
        <f>TABLA_BASE[[#This Row],[ADV UNIT.
(US$)
⚠️COSTO]]*TABLA_BASE[[#This Row],[CANTIDAD
(unid.)]]</f>
        <v>0</v>
      </c>
      <c r="K447" s="279">
        <f>IF('🧾 Tributos Aduana'!$F$6=0,0,'🧾 Tributos Aduana'!$F$18*('🧾 Factura Comercial'!H451/'🧾 Tributos Aduana'!$F$6))</f>
        <v>0</v>
      </c>
      <c r="L447" s="280">
        <f>TABLA_BASE[[#This Row],[IPM UNIT.
(US$)
✅CF]]*TABLA_BASE[[#This Row],[CANTIDAD
(unid.)]]</f>
        <v>0</v>
      </c>
      <c r="M447" s="279">
        <f>IF('🧾 Tributos Aduana'!$F$6=0,0,'🧾 Tributos Aduana'!$F$19*('🧾 Factura Comercial'!H451/'🧾 Tributos Aduana'!$F$6))</f>
        <v>0</v>
      </c>
      <c r="N447" s="280">
        <f>TABLA_BASE[[#This Row],[IGV UNIT.
(US$)
✅CF]]*TABLA_BASE[[#This Row],[CANTIDAD
(unid.)]]</f>
        <v>0</v>
      </c>
      <c r="O447" s="280">
        <f>IF('🧾 Tributos Aduana'!$F$6=0,0,'🧾 Tributos Aduana'!$F$23*('🧾 Factura Comercial'!H451/'🧾 Tributos Aduana'!$F$6))</f>
        <v>0</v>
      </c>
      <c r="P447" s="280">
        <f>TABLA_BASE[[#This Row],[PERCEP.
UNIT.(US$)
✅CF]]*TABLA_BASE[[#This Row],[CANTIDAD
(unid.)]]</f>
        <v>0</v>
      </c>
      <c r="Q447" s="279">
        <f>TABLA_BASE[[#This Row],[ADV UNIT.
(US$)
⚠️COSTO]]+TABLA_BASE[[#This Row],[IPM UNIT.
(US$)
✅CF]]+TABLA_BASE[[#This Row],[IGV UNIT.
(US$)
✅CF]]</f>
        <v>0</v>
      </c>
      <c r="R447" s="280">
        <f>TABLA_BASE[[#This Row],[DEUDA
ADUANERA
UNIT.]]*TABLA_BASE[[#This Row],[CANTIDAD
(unid.)]]</f>
        <v>0</v>
      </c>
      <c r="S447" s="278">
        <f>TABLA_BASE[[#This Row],[DEUDA
ADUANERA
UNIT.]]*'📋 Datos Generales'!$E$19</f>
        <v>0</v>
      </c>
      <c r="T447" s="278">
        <f>TABLA_BASE[[#This Row],[DEUDA
ADUANERA
TOTAL]]*'📋 Datos Generales'!$E$19</f>
        <v>0</v>
      </c>
      <c r="U447" s="281">
        <f>TABLA_BASE[[#This Row],[ADV UNIT.
(US$)
⚠️COSTO]]*'📋 Datos Generales'!$E$19</f>
        <v>0</v>
      </c>
      <c r="V447" s="281">
        <f>TABLA_BASE[[#This Row],[ADV UNIT.
(S/.)]]*TABLA_BASE[[#This Row],[CANTIDAD
(unid.)]]</f>
        <v>0</v>
      </c>
      <c r="W447" s="281">
        <f>TABLA_BASE[[#This Row],[IPM UNIT.
(US$)
✅CF]]*'📋 Datos Generales'!$E$19</f>
        <v>0</v>
      </c>
      <c r="X447" s="281">
        <f>TABLA_BASE[[#This Row],[IPM UNIT.
(S/.)]]*TABLA_BASE[[#This Row],[CANTIDAD
(unid.)]]</f>
        <v>0</v>
      </c>
      <c r="Y447" s="281">
        <f>TABLA_BASE[[#This Row],[IGV UNIT.
(US$)
✅CF]]*'📋 Datos Generales'!$E$19</f>
        <v>0</v>
      </c>
      <c r="Z447" s="281">
        <f>TABLA_BASE[[#This Row],[IGV UNIT.
(S/.)]]*TABLA_BASE[[#This Row],[CANTIDAD
(unid.)]]</f>
        <v>0</v>
      </c>
      <c r="AA447" s="281">
        <f>TABLA_BASE[[#This Row],[PERCEP.
UNIT.(US$)
✅CF]]*'📋 Datos Generales'!$E$19</f>
        <v>0</v>
      </c>
      <c r="AB447" s="281">
        <f>TABLA_BASE[[#This Row],[PERCEP.
UNIT.(S/.)]]*TABLA_BASE[[#This Row],[CANTIDAD
(unid.)]]</f>
        <v>0</v>
      </c>
      <c r="AC447" s="279">
        <f>TABLA_BASE[[#This Row],[ADV UNIT.
(US$)
⚠️COSTO]]+TABLA_BASE[[#This Row],[IPM UNIT.
(US$)
✅CF]]+TABLA_BASE[[#This Row],[IGV UNIT.
(US$)
✅CF]]+TABLA_BASE[[#This Row],[PERCEP.
UNIT.(US$)
✅CF]]</f>
        <v>0</v>
      </c>
      <c r="AD447" s="279">
        <f>TABLA_BASE[[#This Row],[TOTAL PAGO
SUNAT
UNIT.(US$)]]*TABLA_BASE[[#This Row],[CANTIDAD
(unid.)]]</f>
        <v>0</v>
      </c>
      <c r="AE447" s="281">
        <f>TABLA_BASE[[#This Row],[TOTAL PAGO
SUNAT
UNIT.(US$)]]*'📋 Datos Generales'!$E$19</f>
        <v>0</v>
      </c>
      <c r="AF447" s="281">
        <f>TABLA_BASE[[#This Row],[TOTAL TRIB.
UNIT.(S/.)]]*TABLA_BASE[[#This Row],[CANTIDAD
(unid.)]]</f>
        <v>0</v>
      </c>
      <c r="AG447" s="279">
        <f>IF('🧾 Factura Comercial'!G451=0,0,'📦 Gastos Importación'!$E$28*(IF('🧾 Tributos Aduana'!$F$6=0,0,'🧾 Factura Comercial'!I451/'🧾 Tributos Aduana'!$F$6))/'🧾 Factura Comercial'!G451)</f>
        <v>0</v>
      </c>
      <c r="AH447" s="279">
        <f>TABLA_BASE[[#This Row],[GASTOS IMP.
UNIT.(US$)]]*TABLA_BASE[[#This Row],[CANTIDAD
(unid.)]]</f>
        <v>0</v>
      </c>
      <c r="AI447" s="281">
        <f>TABLA_BASE[[#This Row],[GASTOS IMP.
UNIT.(US$)]]*'📋 Datos Generales'!$E$19</f>
        <v>0</v>
      </c>
      <c r="AJ447" s="281">
        <f>TABLA_BASE[[#This Row],[GASTOS IMP.
UNIT.(S/.)]]*TABLA_BASE[[#This Row],[CANTIDAD
(unid.)]]</f>
        <v>0</v>
      </c>
      <c r="AK447" s="280">
        <f>'🧮 Costos x Producto'!J451</f>
        <v>0</v>
      </c>
      <c r="AL447" s="278">
        <f>'🧮 Costos x Producto'!K451</f>
        <v>0</v>
      </c>
      <c r="AM447" s="278">
        <f>TABLA_BASE[[#This Row],[C/M UNIT.
(S/.)]]*TABLA_BASE[[#This Row],[CANTIDAD
(unid.)]]</f>
        <v>0</v>
      </c>
      <c r="AN447" s="279">
        <f>IF('🧾 Factura Comercial'!G451=0,0,'🧾 Tributos Aduana'!$F$17*(IF('🧾 Tributos Aduana'!$F$6=0,0,'🧾 Factura Comercial'!I451/'🧾 Tributos Aduana'!$F$6))/'🧾 Factura Comercial'!G451)</f>
        <v>0</v>
      </c>
      <c r="AO447" s="280">
        <f>IF('🧾 Factura Comercial'!G451=0,0,'🏦 Crédito Fiscal'!$C$16*(IF('🧾 Tributos Aduana'!$F$6=0,0,'🧾 Factura Comercial'!I451/'🧾 Tributos Aduana'!$F$6))/'🧾 Factura Comercial'!G451)</f>
        <v>0</v>
      </c>
      <c r="AP447" s="278">
        <f>TABLA_BASE[[#This Row],[CF UNIT.
✅RECUP.
(US$)]]*'📋 Datos Generales'!$E$19</f>
        <v>0</v>
      </c>
      <c r="AQ447" s="278">
        <f>TABLA_BASE[[#This Row],[CF UNIT.
✅RECUP.(S/.)]]*TABLA_BASE[[#This Row],[CANTIDAD
(unid.)]]</f>
        <v>0</v>
      </c>
      <c r="AR447" s="288">
        <f>'💰 Precio de Venta'!G452</f>
        <v>0.4</v>
      </c>
      <c r="AS447" s="278">
        <f>'💰 Precio de Venta'!H452</f>
        <v>0</v>
      </c>
      <c r="AT447" s="278">
        <f>TABLA_BASE[[#This Row],[VALOR VTA.
UNIT.(S/.)]]*TABLA_BASE[[#This Row],[CANTIDAD
(unid.)]]</f>
        <v>0</v>
      </c>
      <c r="AU447" s="281">
        <f>'💰 Precio de Venta'!I452</f>
        <v>0</v>
      </c>
      <c r="AV447" s="278">
        <f>'💰 Precio de Venta'!J452</f>
        <v>0</v>
      </c>
      <c r="AW447" s="278">
        <f>TABLA_BASE[[#This Row],[GANANCIA
UNIT.(S/.)]]*TABLA_BASE[[#This Row],[CANTIDAD
(unid.)]]</f>
        <v>0</v>
      </c>
      <c r="AX447" s="289">
        <f>'💰 Precio de Venta'!K452</f>
        <v>0</v>
      </c>
      <c r="AY447" s="278">
        <f>TABLA_BASE[[#This Row],[GANANCIA
UNIT.(S/.)]]*'🧾 Factura Comercial'!G451</f>
        <v>0</v>
      </c>
      <c r="AZ447" s="277">
        <f>IF(TABLA_BASE[[#This Row],[PRECIO VTA.
c/IGV(S/.)]]=0,0,TABLA_BASE[[#This Row],[GANANCIA
UNIT.(S/.)]]/TABLA_BASE[[#This Row],[PRECIO VTA.
c/IGV(S/.)]])</f>
        <v>0</v>
      </c>
      <c r="BA447" s="277">
        <f>IF(TABLA_BASE[[#This Row],[C/M UNIT.
(S/.)]]=0,0,TABLA_BASE[[#This Row],[GANANCIA
UNIT.(S/.)]]/TABLA_BASE[[#This Row],[C/M UNIT.
(S/.)]])</f>
        <v>0</v>
      </c>
      <c r="BB447" s="274" t="str">
        <f>IF(TABLA_BASE[[#This Row],[MARGEN
%]]&gt;=0.5,"🟢 ALTO",IF(TABLA_BASE[[#This Row],[MARGEN
%]]&gt;=0.3,"🟡 MEDIO","🔴 BAJO"))</f>
        <v>🟡 MEDIO</v>
      </c>
    </row>
    <row r="448" spans="1:54" ht="16.5" hidden="1" thickTop="1" thickBot="1" x14ac:dyDescent="0.3">
      <c r="A448" s="274">
        <f>'🧾 Factura Comercial'!E452</f>
        <v>0</v>
      </c>
      <c r="B448" s="274" t="str">
        <f>'🧾 Factura Comercial'!F452</f>
        <v>Unid.</v>
      </c>
      <c r="C448" s="275">
        <f>'🧾 Factura Comercial'!G452</f>
        <v>0</v>
      </c>
      <c r="D448" s="276">
        <f>'🧾 Factura Comercial'!H452</f>
        <v>0</v>
      </c>
      <c r="E448" s="276">
        <f>'🧾 Factura Comercial'!I452</f>
        <v>0</v>
      </c>
      <c r="F448" s="277">
        <f>IF('🧾 Tributos Aduana'!$F$6=0,0,'🧾 Factura Comercial'!I452/'🧾 Tributos Aduana'!$F$6)</f>
        <v>0</v>
      </c>
      <c r="G448" s="278">
        <f>'🧾 Factura Comercial'!H452*'📋 Datos Generales'!$E$19</f>
        <v>0</v>
      </c>
      <c r="H448" s="278">
        <f>TABLA_BASE[[#This Row],[FOB UNIT.
(S/.)]]*TABLA_BASE[[#This Row],[CANTIDAD
(unid.)]]</f>
        <v>0</v>
      </c>
      <c r="I448" s="280">
        <f>IF('🧾 Tributos Aduana'!$F$6=0,0,'🧾 Tributos Aduana'!$F$17*('🧾 Factura Comercial'!H452/'🧾 Tributos Aduana'!$F$6))</f>
        <v>0</v>
      </c>
      <c r="J448" s="280">
        <f>TABLA_BASE[[#This Row],[ADV UNIT.
(US$)
⚠️COSTO]]*TABLA_BASE[[#This Row],[CANTIDAD
(unid.)]]</f>
        <v>0</v>
      </c>
      <c r="K448" s="279">
        <f>IF('🧾 Tributos Aduana'!$F$6=0,0,'🧾 Tributos Aduana'!$F$18*('🧾 Factura Comercial'!H452/'🧾 Tributos Aduana'!$F$6))</f>
        <v>0</v>
      </c>
      <c r="L448" s="280">
        <f>TABLA_BASE[[#This Row],[IPM UNIT.
(US$)
✅CF]]*TABLA_BASE[[#This Row],[CANTIDAD
(unid.)]]</f>
        <v>0</v>
      </c>
      <c r="M448" s="279">
        <f>IF('🧾 Tributos Aduana'!$F$6=0,0,'🧾 Tributos Aduana'!$F$19*('🧾 Factura Comercial'!H452/'🧾 Tributos Aduana'!$F$6))</f>
        <v>0</v>
      </c>
      <c r="N448" s="280">
        <f>TABLA_BASE[[#This Row],[IGV UNIT.
(US$)
✅CF]]*TABLA_BASE[[#This Row],[CANTIDAD
(unid.)]]</f>
        <v>0</v>
      </c>
      <c r="O448" s="280">
        <f>IF('🧾 Tributos Aduana'!$F$6=0,0,'🧾 Tributos Aduana'!$F$23*('🧾 Factura Comercial'!H452/'🧾 Tributos Aduana'!$F$6))</f>
        <v>0</v>
      </c>
      <c r="P448" s="280">
        <f>TABLA_BASE[[#This Row],[PERCEP.
UNIT.(US$)
✅CF]]*TABLA_BASE[[#This Row],[CANTIDAD
(unid.)]]</f>
        <v>0</v>
      </c>
      <c r="Q448" s="279">
        <f>TABLA_BASE[[#This Row],[ADV UNIT.
(US$)
⚠️COSTO]]+TABLA_BASE[[#This Row],[IPM UNIT.
(US$)
✅CF]]+TABLA_BASE[[#This Row],[IGV UNIT.
(US$)
✅CF]]</f>
        <v>0</v>
      </c>
      <c r="R448" s="280">
        <f>TABLA_BASE[[#This Row],[DEUDA
ADUANERA
UNIT.]]*TABLA_BASE[[#This Row],[CANTIDAD
(unid.)]]</f>
        <v>0</v>
      </c>
      <c r="S448" s="278">
        <f>TABLA_BASE[[#This Row],[DEUDA
ADUANERA
UNIT.]]*'📋 Datos Generales'!$E$19</f>
        <v>0</v>
      </c>
      <c r="T448" s="278">
        <f>TABLA_BASE[[#This Row],[DEUDA
ADUANERA
TOTAL]]*'📋 Datos Generales'!$E$19</f>
        <v>0</v>
      </c>
      <c r="U448" s="281">
        <f>TABLA_BASE[[#This Row],[ADV UNIT.
(US$)
⚠️COSTO]]*'📋 Datos Generales'!$E$19</f>
        <v>0</v>
      </c>
      <c r="V448" s="281">
        <f>TABLA_BASE[[#This Row],[ADV UNIT.
(S/.)]]*TABLA_BASE[[#This Row],[CANTIDAD
(unid.)]]</f>
        <v>0</v>
      </c>
      <c r="W448" s="281">
        <f>TABLA_BASE[[#This Row],[IPM UNIT.
(US$)
✅CF]]*'📋 Datos Generales'!$E$19</f>
        <v>0</v>
      </c>
      <c r="X448" s="281">
        <f>TABLA_BASE[[#This Row],[IPM UNIT.
(S/.)]]*TABLA_BASE[[#This Row],[CANTIDAD
(unid.)]]</f>
        <v>0</v>
      </c>
      <c r="Y448" s="281">
        <f>TABLA_BASE[[#This Row],[IGV UNIT.
(US$)
✅CF]]*'📋 Datos Generales'!$E$19</f>
        <v>0</v>
      </c>
      <c r="Z448" s="281">
        <f>TABLA_BASE[[#This Row],[IGV UNIT.
(S/.)]]*TABLA_BASE[[#This Row],[CANTIDAD
(unid.)]]</f>
        <v>0</v>
      </c>
      <c r="AA448" s="281">
        <f>TABLA_BASE[[#This Row],[PERCEP.
UNIT.(US$)
✅CF]]*'📋 Datos Generales'!$E$19</f>
        <v>0</v>
      </c>
      <c r="AB448" s="281">
        <f>TABLA_BASE[[#This Row],[PERCEP.
UNIT.(S/.)]]*TABLA_BASE[[#This Row],[CANTIDAD
(unid.)]]</f>
        <v>0</v>
      </c>
      <c r="AC448" s="279">
        <f>TABLA_BASE[[#This Row],[ADV UNIT.
(US$)
⚠️COSTO]]+TABLA_BASE[[#This Row],[IPM UNIT.
(US$)
✅CF]]+TABLA_BASE[[#This Row],[IGV UNIT.
(US$)
✅CF]]+TABLA_BASE[[#This Row],[PERCEP.
UNIT.(US$)
✅CF]]</f>
        <v>0</v>
      </c>
      <c r="AD448" s="279">
        <f>TABLA_BASE[[#This Row],[TOTAL PAGO
SUNAT
UNIT.(US$)]]*TABLA_BASE[[#This Row],[CANTIDAD
(unid.)]]</f>
        <v>0</v>
      </c>
      <c r="AE448" s="281">
        <f>TABLA_BASE[[#This Row],[TOTAL PAGO
SUNAT
UNIT.(US$)]]*'📋 Datos Generales'!$E$19</f>
        <v>0</v>
      </c>
      <c r="AF448" s="281">
        <f>TABLA_BASE[[#This Row],[TOTAL TRIB.
UNIT.(S/.)]]*TABLA_BASE[[#This Row],[CANTIDAD
(unid.)]]</f>
        <v>0</v>
      </c>
      <c r="AG448" s="279">
        <f>IF('🧾 Factura Comercial'!G452=0,0,'📦 Gastos Importación'!$E$28*(IF('🧾 Tributos Aduana'!$F$6=0,0,'🧾 Factura Comercial'!I452/'🧾 Tributos Aduana'!$F$6))/'🧾 Factura Comercial'!G452)</f>
        <v>0</v>
      </c>
      <c r="AH448" s="279">
        <f>TABLA_BASE[[#This Row],[GASTOS IMP.
UNIT.(US$)]]*TABLA_BASE[[#This Row],[CANTIDAD
(unid.)]]</f>
        <v>0</v>
      </c>
      <c r="AI448" s="281">
        <f>TABLA_BASE[[#This Row],[GASTOS IMP.
UNIT.(US$)]]*'📋 Datos Generales'!$E$19</f>
        <v>0</v>
      </c>
      <c r="AJ448" s="281">
        <f>TABLA_BASE[[#This Row],[GASTOS IMP.
UNIT.(S/.)]]*TABLA_BASE[[#This Row],[CANTIDAD
(unid.)]]</f>
        <v>0</v>
      </c>
      <c r="AK448" s="280">
        <f>'🧮 Costos x Producto'!J452</f>
        <v>0</v>
      </c>
      <c r="AL448" s="278">
        <f>'🧮 Costos x Producto'!K452</f>
        <v>0</v>
      </c>
      <c r="AM448" s="278">
        <f>TABLA_BASE[[#This Row],[C/M UNIT.
(S/.)]]*TABLA_BASE[[#This Row],[CANTIDAD
(unid.)]]</f>
        <v>0</v>
      </c>
      <c r="AN448" s="279">
        <f>IF('🧾 Factura Comercial'!G452=0,0,'🧾 Tributos Aduana'!$F$17*(IF('🧾 Tributos Aduana'!$F$6=0,0,'🧾 Factura Comercial'!I452/'🧾 Tributos Aduana'!$F$6))/'🧾 Factura Comercial'!G452)</f>
        <v>0</v>
      </c>
      <c r="AO448" s="280">
        <f>IF('🧾 Factura Comercial'!G452=0,0,'🏦 Crédito Fiscal'!$C$16*(IF('🧾 Tributos Aduana'!$F$6=0,0,'🧾 Factura Comercial'!I452/'🧾 Tributos Aduana'!$F$6))/'🧾 Factura Comercial'!G452)</f>
        <v>0</v>
      </c>
      <c r="AP448" s="278">
        <f>TABLA_BASE[[#This Row],[CF UNIT.
✅RECUP.
(US$)]]*'📋 Datos Generales'!$E$19</f>
        <v>0</v>
      </c>
      <c r="AQ448" s="278">
        <f>TABLA_BASE[[#This Row],[CF UNIT.
✅RECUP.(S/.)]]*TABLA_BASE[[#This Row],[CANTIDAD
(unid.)]]</f>
        <v>0</v>
      </c>
      <c r="AR448" s="288">
        <f>'💰 Precio de Venta'!G453</f>
        <v>0.4</v>
      </c>
      <c r="AS448" s="278">
        <f>'💰 Precio de Venta'!H453</f>
        <v>0</v>
      </c>
      <c r="AT448" s="278">
        <f>TABLA_BASE[[#This Row],[VALOR VTA.
UNIT.(S/.)]]*TABLA_BASE[[#This Row],[CANTIDAD
(unid.)]]</f>
        <v>0</v>
      </c>
      <c r="AU448" s="281">
        <f>'💰 Precio de Venta'!I453</f>
        <v>0</v>
      </c>
      <c r="AV448" s="278">
        <f>'💰 Precio de Venta'!J453</f>
        <v>0</v>
      </c>
      <c r="AW448" s="278">
        <f>TABLA_BASE[[#This Row],[GANANCIA
UNIT.(S/.)]]*TABLA_BASE[[#This Row],[CANTIDAD
(unid.)]]</f>
        <v>0</v>
      </c>
      <c r="AX448" s="289">
        <f>'💰 Precio de Venta'!K453</f>
        <v>0</v>
      </c>
      <c r="AY448" s="278">
        <f>TABLA_BASE[[#This Row],[GANANCIA
UNIT.(S/.)]]*'🧾 Factura Comercial'!G452</f>
        <v>0</v>
      </c>
      <c r="AZ448" s="277">
        <f>IF(TABLA_BASE[[#This Row],[PRECIO VTA.
c/IGV(S/.)]]=0,0,TABLA_BASE[[#This Row],[GANANCIA
UNIT.(S/.)]]/TABLA_BASE[[#This Row],[PRECIO VTA.
c/IGV(S/.)]])</f>
        <v>0</v>
      </c>
      <c r="BA448" s="277">
        <f>IF(TABLA_BASE[[#This Row],[C/M UNIT.
(S/.)]]=0,0,TABLA_BASE[[#This Row],[GANANCIA
UNIT.(S/.)]]/TABLA_BASE[[#This Row],[C/M UNIT.
(S/.)]])</f>
        <v>0</v>
      </c>
      <c r="BB448" s="274" t="str">
        <f>IF(TABLA_BASE[[#This Row],[MARGEN
%]]&gt;=0.5,"🟢 ALTO",IF(TABLA_BASE[[#This Row],[MARGEN
%]]&gt;=0.3,"🟡 MEDIO","🔴 BAJO"))</f>
        <v>🟡 MEDIO</v>
      </c>
    </row>
    <row r="449" spans="1:54" ht="16.5" hidden="1" thickTop="1" thickBot="1" x14ac:dyDescent="0.3">
      <c r="A449" s="274">
        <f>'🧾 Factura Comercial'!E453</f>
        <v>0</v>
      </c>
      <c r="B449" s="274" t="str">
        <f>'🧾 Factura Comercial'!F453</f>
        <v>Unid.</v>
      </c>
      <c r="C449" s="275">
        <f>'🧾 Factura Comercial'!G453</f>
        <v>0</v>
      </c>
      <c r="D449" s="276">
        <f>'🧾 Factura Comercial'!H453</f>
        <v>0</v>
      </c>
      <c r="E449" s="276">
        <f>'🧾 Factura Comercial'!I453</f>
        <v>0</v>
      </c>
      <c r="F449" s="277">
        <f>IF('🧾 Tributos Aduana'!$F$6=0,0,'🧾 Factura Comercial'!I453/'🧾 Tributos Aduana'!$F$6)</f>
        <v>0</v>
      </c>
      <c r="G449" s="278">
        <f>'🧾 Factura Comercial'!H453*'📋 Datos Generales'!$E$19</f>
        <v>0</v>
      </c>
      <c r="H449" s="278">
        <f>TABLA_BASE[[#This Row],[FOB UNIT.
(S/.)]]*TABLA_BASE[[#This Row],[CANTIDAD
(unid.)]]</f>
        <v>0</v>
      </c>
      <c r="I449" s="280">
        <f>IF('🧾 Tributos Aduana'!$F$6=0,0,'🧾 Tributos Aduana'!$F$17*('🧾 Factura Comercial'!H453/'🧾 Tributos Aduana'!$F$6))</f>
        <v>0</v>
      </c>
      <c r="J449" s="280">
        <f>TABLA_BASE[[#This Row],[ADV UNIT.
(US$)
⚠️COSTO]]*TABLA_BASE[[#This Row],[CANTIDAD
(unid.)]]</f>
        <v>0</v>
      </c>
      <c r="K449" s="279">
        <f>IF('🧾 Tributos Aduana'!$F$6=0,0,'🧾 Tributos Aduana'!$F$18*('🧾 Factura Comercial'!H453/'🧾 Tributos Aduana'!$F$6))</f>
        <v>0</v>
      </c>
      <c r="L449" s="280">
        <f>TABLA_BASE[[#This Row],[IPM UNIT.
(US$)
✅CF]]*TABLA_BASE[[#This Row],[CANTIDAD
(unid.)]]</f>
        <v>0</v>
      </c>
      <c r="M449" s="279">
        <f>IF('🧾 Tributos Aduana'!$F$6=0,0,'🧾 Tributos Aduana'!$F$19*('🧾 Factura Comercial'!H453/'🧾 Tributos Aduana'!$F$6))</f>
        <v>0</v>
      </c>
      <c r="N449" s="280">
        <f>TABLA_BASE[[#This Row],[IGV UNIT.
(US$)
✅CF]]*TABLA_BASE[[#This Row],[CANTIDAD
(unid.)]]</f>
        <v>0</v>
      </c>
      <c r="O449" s="280">
        <f>IF('🧾 Tributos Aduana'!$F$6=0,0,'🧾 Tributos Aduana'!$F$23*('🧾 Factura Comercial'!H453/'🧾 Tributos Aduana'!$F$6))</f>
        <v>0</v>
      </c>
      <c r="P449" s="280">
        <f>TABLA_BASE[[#This Row],[PERCEP.
UNIT.(US$)
✅CF]]*TABLA_BASE[[#This Row],[CANTIDAD
(unid.)]]</f>
        <v>0</v>
      </c>
      <c r="Q449" s="279">
        <f>TABLA_BASE[[#This Row],[ADV UNIT.
(US$)
⚠️COSTO]]+TABLA_BASE[[#This Row],[IPM UNIT.
(US$)
✅CF]]+TABLA_BASE[[#This Row],[IGV UNIT.
(US$)
✅CF]]</f>
        <v>0</v>
      </c>
      <c r="R449" s="280">
        <f>TABLA_BASE[[#This Row],[DEUDA
ADUANERA
UNIT.]]*TABLA_BASE[[#This Row],[CANTIDAD
(unid.)]]</f>
        <v>0</v>
      </c>
      <c r="S449" s="278">
        <f>TABLA_BASE[[#This Row],[DEUDA
ADUANERA
UNIT.]]*'📋 Datos Generales'!$E$19</f>
        <v>0</v>
      </c>
      <c r="T449" s="278">
        <f>TABLA_BASE[[#This Row],[DEUDA
ADUANERA
TOTAL]]*'📋 Datos Generales'!$E$19</f>
        <v>0</v>
      </c>
      <c r="U449" s="281">
        <f>TABLA_BASE[[#This Row],[ADV UNIT.
(US$)
⚠️COSTO]]*'📋 Datos Generales'!$E$19</f>
        <v>0</v>
      </c>
      <c r="V449" s="281">
        <f>TABLA_BASE[[#This Row],[ADV UNIT.
(S/.)]]*TABLA_BASE[[#This Row],[CANTIDAD
(unid.)]]</f>
        <v>0</v>
      </c>
      <c r="W449" s="281">
        <f>TABLA_BASE[[#This Row],[IPM UNIT.
(US$)
✅CF]]*'📋 Datos Generales'!$E$19</f>
        <v>0</v>
      </c>
      <c r="X449" s="281">
        <f>TABLA_BASE[[#This Row],[IPM UNIT.
(S/.)]]*TABLA_BASE[[#This Row],[CANTIDAD
(unid.)]]</f>
        <v>0</v>
      </c>
      <c r="Y449" s="281">
        <f>TABLA_BASE[[#This Row],[IGV UNIT.
(US$)
✅CF]]*'📋 Datos Generales'!$E$19</f>
        <v>0</v>
      </c>
      <c r="Z449" s="281">
        <f>TABLA_BASE[[#This Row],[IGV UNIT.
(S/.)]]*TABLA_BASE[[#This Row],[CANTIDAD
(unid.)]]</f>
        <v>0</v>
      </c>
      <c r="AA449" s="281">
        <f>TABLA_BASE[[#This Row],[PERCEP.
UNIT.(US$)
✅CF]]*'📋 Datos Generales'!$E$19</f>
        <v>0</v>
      </c>
      <c r="AB449" s="281">
        <f>TABLA_BASE[[#This Row],[PERCEP.
UNIT.(S/.)]]*TABLA_BASE[[#This Row],[CANTIDAD
(unid.)]]</f>
        <v>0</v>
      </c>
      <c r="AC449" s="279">
        <f>TABLA_BASE[[#This Row],[ADV UNIT.
(US$)
⚠️COSTO]]+TABLA_BASE[[#This Row],[IPM UNIT.
(US$)
✅CF]]+TABLA_BASE[[#This Row],[IGV UNIT.
(US$)
✅CF]]+TABLA_BASE[[#This Row],[PERCEP.
UNIT.(US$)
✅CF]]</f>
        <v>0</v>
      </c>
      <c r="AD449" s="279">
        <f>TABLA_BASE[[#This Row],[TOTAL PAGO
SUNAT
UNIT.(US$)]]*TABLA_BASE[[#This Row],[CANTIDAD
(unid.)]]</f>
        <v>0</v>
      </c>
      <c r="AE449" s="281">
        <f>TABLA_BASE[[#This Row],[TOTAL PAGO
SUNAT
UNIT.(US$)]]*'📋 Datos Generales'!$E$19</f>
        <v>0</v>
      </c>
      <c r="AF449" s="281">
        <f>TABLA_BASE[[#This Row],[TOTAL TRIB.
UNIT.(S/.)]]*TABLA_BASE[[#This Row],[CANTIDAD
(unid.)]]</f>
        <v>0</v>
      </c>
      <c r="AG449" s="279">
        <f>IF('🧾 Factura Comercial'!G453=0,0,'📦 Gastos Importación'!$E$28*(IF('🧾 Tributos Aduana'!$F$6=0,0,'🧾 Factura Comercial'!I453/'🧾 Tributos Aduana'!$F$6))/'🧾 Factura Comercial'!G453)</f>
        <v>0</v>
      </c>
      <c r="AH449" s="279">
        <f>TABLA_BASE[[#This Row],[GASTOS IMP.
UNIT.(US$)]]*TABLA_BASE[[#This Row],[CANTIDAD
(unid.)]]</f>
        <v>0</v>
      </c>
      <c r="AI449" s="281">
        <f>TABLA_BASE[[#This Row],[GASTOS IMP.
UNIT.(US$)]]*'📋 Datos Generales'!$E$19</f>
        <v>0</v>
      </c>
      <c r="AJ449" s="281">
        <f>TABLA_BASE[[#This Row],[GASTOS IMP.
UNIT.(S/.)]]*TABLA_BASE[[#This Row],[CANTIDAD
(unid.)]]</f>
        <v>0</v>
      </c>
      <c r="AK449" s="280">
        <f>'🧮 Costos x Producto'!J453</f>
        <v>0</v>
      </c>
      <c r="AL449" s="278">
        <f>'🧮 Costos x Producto'!K453</f>
        <v>0</v>
      </c>
      <c r="AM449" s="278">
        <f>TABLA_BASE[[#This Row],[C/M UNIT.
(S/.)]]*TABLA_BASE[[#This Row],[CANTIDAD
(unid.)]]</f>
        <v>0</v>
      </c>
      <c r="AN449" s="279">
        <f>IF('🧾 Factura Comercial'!G453=0,0,'🧾 Tributos Aduana'!$F$17*(IF('🧾 Tributos Aduana'!$F$6=0,0,'🧾 Factura Comercial'!I453/'🧾 Tributos Aduana'!$F$6))/'🧾 Factura Comercial'!G453)</f>
        <v>0</v>
      </c>
      <c r="AO449" s="280">
        <f>IF('🧾 Factura Comercial'!G453=0,0,'🏦 Crédito Fiscal'!$C$16*(IF('🧾 Tributos Aduana'!$F$6=0,0,'🧾 Factura Comercial'!I453/'🧾 Tributos Aduana'!$F$6))/'🧾 Factura Comercial'!G453)</f>
        <v>0</v>
      </c>
      <c r="AP449" s="278">
        <f>TABLA_BASE[[#This Row],[CF UNIT.
✅RECUP.
(US$)]]*'📋 Datos Generales'!$E$19</f>
        <v>0</v>
      </c>
      <c r="AQ449" s="278">
        <f>TABLA_BASE[[#This Row],[CF UNIT.
✅RECUP.(S/.)]]*TABLA_BASE[[#This Row],[CANTIDAD
(unid.)]]</f>
        <v>0</v>
      </c>
      <c r="AR449" s="288">
        <f>'💰 Precio de Venta'!G454</f>
        <v>0.4</v>
      </c>
      <c r="AS449" s="278">
        <f>'💰 Precio de Venta'!H454</f>
        <v>0</v>
      </c>
      <c r="AT449" s="278">
        <f>TABLA_BASE[[#This Row],[VALOR VTA.
UNIT.(S/.)]]*TABLA_BASE[[#This Row],[CANTIDAD
(unid.)]]</f>
        <v>0</v>
      </c>
      <c r="AU449" s="281">
        <f>'💰 Precio de Venta'!I454</f>
        <v>0</v>
      </c>
      <c r="AV449" s="278">
        <f>'💰 Precio de Venta'!J454</f>
        <v>0</v>
      </c>
      <c r="AW449" s="278">
        <f>TABLA_BASE[[#This Row],[GANANCIA
UNIT.(S/.)]]*TABLA_BASE[[#This Row],[CANTIDAD
(unid.)]]</f>
        <v>0</v>
      </c>
      <c r="AX449" s="289">
        <f>'💰 Precio de Venta'!K454</f>
        <v>0</v>
      </c>
      <c r="AY449" s="278">
        <f>TABLA_BASE[[#This Row],[GANANCIA
UNIT.(S/.)]]*'🧾 Factura Comercial'!G453</f>
        <v>0</v>
      </c>
      <c r="AZ449" s="277">
        <f>IF(TABLA_BASE[[#This Row],[PRECIO VTA.
c/IGV(S/.)]]=0,0,TABLA_BASE[[#This Row],[GANANCIA
UNIT.(S/.)]]/TABLA_BASE[[#This Row],[PRECIO VTA.
c/IGV(S/.)]])</f>
        <v>0</v>
      </c>
      <c r="BA449" s="277">
        <f>IF(TABLA_BASE[[#This Row],[C/M UNIT.
(S/.)]]=0,0,TABLA_BASE[[#This Row],[GANANCIA
UNIT.(S/.)]]/TABLA_BASE[[#This Row],[C/M UNIT.
(S/.)]])</f>
        <v>0</v>
      </c>
      <c r="BB449" s="274" t="str">
        <f>IF(TABLA_BASE[[#This Row],[MARGEN
%]]&gt;=0.5,"🟢 ALTO",IF(TABLA_BASE[[#This Row],[MARGEN
%]]&gt;=0.3,"🟡 MEDIO","🔴 BAJO"))</f>
        <v>🟡 MEDIO</v>
      </c>
    </row>
    <row r="450" spans="1:54" ht="16.5" hidden="1" thickTop="1" thickBot="1" x14ac:dyDescent="0.3">
      <c r="A450" s="274">
        <f>'🧾 Factura Comercial'!E454</f>
        <v>0</v>
      </c>
      <c r="B450" s="274" t="str">
        <f>'🧾 Factura Comercial'!F454</f>
        <v>Unid.</v>
      </c>
      <c r="C450" s="275">
        <f>'🧾 Factura Comercial'!G454</f>
        <v>0</v>
      </c>
      <c r="D450" s="276">
        <f>'🧾 Factura Comercial'!H454</f>
        <v>0</v>
      </c>
      <c r="E450" s="276">
        <f>'🧾 Factura Comercial'!I454</f>
        <v>0</v>
      </c>
      <c r="F450" s="277">
        <f>IF('🧾 Tributos Aduana'!$F$6=0,0,'🧾 Factura Comercial'!I454/'🧾 Tributos Aduana'!$F$6)</f>
        <v>0</v>
      </c>
      <c r="G450" s="278">
        <f>'🧾 Factura Comercial'!H454*'📋 Datos Generales'!$E$19</f>
        <v>0</v>
      </c>
      <c r="H450" s="278">
        <f>TABLA_BASE[[#This Row],[FOB UNIT.
(S/.)]]*TABLA_BASE[[#This Row],[CANTIDAD
(unid.)]]</f>
        <v>0</v>
      </c>
      <c r="I450" s="280">
        <f>IF('🧾 Tributos Aduana'!$F$6=0,0,'🧾 Tributos Aduana'!$F$17*('🧾 Factura Comercial'!H454/'🧾 Tributos Aduana'!$F$6))</f>
        <v>0</v>
      </c>
      <c r="J450" s="280">
        <f>TABLA_BASE[[#This Row],[ADV UNIT.
(US$)
⚠️COSTO]]*TABLA_BASE[[#This Row],[CANTIDAD
(unid.)]]</f>
        <v>0</v>
      </c>
      <c r="K450" s="279">
        <f>IF('🧾 Tributos Aduana'!$F$6=0,0,'🧾 Tributos Aduana'!$F$18*('🧾 Factura Comercial'!H454/'🧾 Tributos Aduana'!$F$6))</f>
        <v>0</v>
      </c>
      <c r="L450" s="280">
        <f>TABLA_BASE[[#This Row],[IPM UNIT.
(US$)
✅CF]]*TABLA_BASE[[#This Row],[CANTIDAD
(unid.)]]</f>
        <v>0</v>
      </c>
      <c r="M450" s="279">
        <f>IF('🧾 Tributos Aduana'!$F$6=0,0,'🧾 Tributos Aduana'!$F$19*('🧾 Factura Comercial'!H454/'🧾 Tributos Aduana'!$F$6))</f>
        <v>0</v>
      </c>
      <c r="N450" s="280">
        <f>TABLA_BASE[[#This Row],[IGV UNIT.
(US$)
✅CF]]*TABLA_BASE[[#This Row],[CANTIDAD
(unid.)]]</f>
        <v>0</v>
      </c>
      <c r="O450" s="280">
        <f>IF('🧾 Tributos Aduana'!$F$6=0,0,'🧾 Tributos Aduana'!$F$23*('🧾 Factura Comercial'!H454/'🧾 Tributos Aduana'!$F$6))</f>
        <v>0</v>
      </c>
      <c r="P450" s="280">
        <f>TABLA_BASE[[#This Row],[PERCEP.
UNIT.(US$)
✅CF]]*TABLA_BASE[[#This Row],[CANTIDAD
(unid.)]]</f>
        <v>0</v>
      </c>
      <c r="Q450" s="279">
        <f>TABLA_BASE[[#This Row],[ADV UNIT.
(US$)
⚠️COSTO]]+TABLA_BASE[[#This Row],[IPM UNIT.
(US$)
✅CF]]+TABLA_BASE[[#This Row],[IGV UNIT.
(US$)
✅CF]]</f>
        <v>0</v>
      </c>
      <c r="R450" s="280">
        <f>TABLA_BASE[[#This Row],[DEUDA
ADUANERA
UNIT.]]*TABLA_BASE[[#This Row],[CANTIDAD
(unid.)]]</f>
        <v>0</v>
      </c>
      <c r="S450" s="278">
        <f>TABLA_BASE[[#This Row],[DEUDA
ADUANERA
UNIT.]]*'📋 Datos Generales'!$E$19</f>
        <v>0</v>
      </c>
      <c r="T450" s="278">
        <f>TABLA_BASE[[#This Row],[DEUDA
ADUANERA
TOTAL]]*'📋 Datos Generales'!$E$19</f>
        <v>0</v>
      </c>
      <c r="U450" s="281">
        <f>TABLA_BASE[[#This Row],[ADV UNIT.
(US$)
⚠️COSTO]]*'📋 Datos Generales'!$E$19</f>
        <v>0</v>
      </c>
      <c r="V450" s="281">
        <f>TABLA_BASE[[#This Row],[ADV UNIT.
(S/.)]]*TABLA_BASE[[#This Row],[CANTIDAD
(unid.)]]</f>
        <v>0</v>
      </c>
      <c r="W450" s="281">
        <f>TABLA_BASE[[#This Row],[IPM UNIT.
(US$)
✅CF]]*'📋 Datos Generales'!$E$19</f>
        <v>0</v>
      </c>
      <c r="X450" s="281">
        <f>TABLA_BASE[[#This Row],[IPM UNIT.
(S/.)]]*TABLA_BASE[[#This Row],[CANTIDAD
(unid.)]]</f>
        <v>0</v>
      </c>
      <c r="Y450" s="281">
        <f>TABLA_BASE[[#This Row],[IGV UNIT.
(US$)
✅CF]]*'📋 Datos Generales'!$E$19</f>
        <v>0</v>
      </c>
      <c r="Z450" s="281">
        <f>TABLA_BASE[[#This Row],[IGV UNIT.
(S/.)]]*TABLA_BASE[[#This Row],[CANTIDAD
(unid.)]]</f>
        <v>0</v>
      </c>
      <c r="AA450" s="281">
        <f>TABLA_BASE[[#This Row],[PERCEP.
UNIT.(US$)
✅CF]]*'📋 Datos Generales'!$E$19</f>
        <v>0</v>
      </c>
      <c r="AB450" s="281">
        <f>TABLA_BASE[[#This Row],[PERCEP.
UNIT.(S/.)]]*TABLA_BASE[[#This Row],[CANTIDAD
(unid.)]]</f>
        <v>0</v>
      </c>
      <c r="AC450" s="279">
        <f>TABLA_BASE[[#This Row],[ADV UNIT.
(US$)
⚠️COSTO]]+TABLA_BASE[[#This Row],[IPM UNIT.
(US$)
✅CF]]+TABLA_BASE[[#This Row],[IGV UNIT.
(US$)
✅CF]]+TABLA_BASE[[#This Row],[PERCEP.
UNIT.(US$)
✅CF]]</f>
        <v>0</v>
      </c>
      <c r="AD450" s="279">
        <f>TABLA_BASE[[#This Row],[TOTAL PAGO
SUNAT
UNIT.(US$)]]*TABLA_BASE[[#This Row],[CANTIDAD
(unid.)]]</f>
        <v>0</v>
      </c>
      <c r="AE450" s="281">
        <f>TABLA_BASE[[#This Row],[TOTAL PAGO
SUNAT
UNIT.(US$)]]*'📋 Datos Generales'!$E$19</f>
        <v>0</v>
      </c>
      <c r="AF450" s="281">
        <f>TABLA_BASE[[#This Row],[TOTAL TRIB.
UNIT.(S/.)]]*TABLA_BASE[[#This Row],[CANTIDAD
(unid.)]]</f>
        <v>0</v>
      </c>
      <c r="AG450" s="279">
        <f>IF('🧾 Factura Comercial'!G454=0,0,'📦 Gastos Importación'!$E$28*(IF('🧾 Tributos Aduana'!$F$6=0,0,'🧾 Factura Comercial'!I454/'🧾 Tributos Aduana'!$F$6))/'🧾 Factura Comercial'!G454)</f>
        <v>0</v>
      </c>
      <c r="AH450" s="279">
        <f>TABLA_BASE[[#This Row],[GASTOS IMP.
UNIT.(US$)]]*TABLA_BASE[[#This Row],[CANTIDAD
(unid.)]]</f>
        <v>0</v>
      </c>
      <c r="AI450" s="281">
        <f>TABLA_BASE[[#This Row],[GASTOS IMP.
UNIT.(US$)]]*'📋 Datos Generales'!$E$19</f>
        <v>0</v>
      </c>
      <c r="AJ450" s="281">
        <f>TABLA_BASE[[#This Row],[GASTOS IMP.
UNIT.(S/.)]]*TABLA_BASE[[#This Row],[CANTIDAD
(unid.)]]</f>
        <v>0</v>
      </c>
      <c r="AK450" s="280">
        <f>'🧮 Costos x Producto'!J454</f>
        <v>0</v>
      </c>
      <c r="AL450" s="278">
        <f>'🧮 Costos x Producto'!K454</f>
        <v>0</v>
      </c>
      <c r="AM450" s="278">
        <f>TABLA_BASE[[#This Row],[C/M UNIT.
(S/.)]]*TABLA_BASE[[#This Row],[CANTIDAD
(unid.)]]</f>
        <v>0</v>
      </c>
      <c r="AN450" s="279">
        <f>IF('🧾 Factura Comercial'!G454=0,0,'🧾 Tributos Aduana'!$F$17*(IF('🧾 Tributos Aduana'!$F$6=0,0,'🧾 Factura Comercial'!I454/'🧾 Tributos Aduana'!$F$6))/'🧾 Factura Comercial'!G454)</f>
        <v>0</v>
      </c>
      <c r="AO450" s="280">
        <f>IF('🧾 Factura Comercial'!G454=0,0,'🏦 Crédito Fiscal'!$C$16*(IF('🧾 Tributos Aduana'!$F$6=0,0,'🧾 Factura Comercial'!I454/'🧾 Tributos Aduana'!$F$6))/'🧾 Factura Comercial'!G454)</f>
        <v>0</v>
      </c>
      <c r="AP450" s="278">
        <f>TABLA_BASE[[#This Row],[CF UNIT.
✅RECUP.
(US$)]]*'📋 Datos Generales'!$E$19</f>
        <v>0</v>
      </c>
      <c r="AQ450" s="278">
        <f>TABLA_BASE[[#This Row],[CF UNIT.
✅RECUP.(S/.)]]*TABLA_BASE[[#This Row],[CANTIDAD
(unid.)]]</f>
        <v>0</v>
      </c>
      <c r="AR450" s="288">
        <f>'💰 Precio de Venta'!G455</f>
        <v>0.4</v>
      </c>
      <c r="AS450" s="278">
        <f>'💰 Precio de Venta'!H455</f>
        <v>0</v>
      </c>
      <c r="AT450" s="278">
        <f>TABLA_BASE[[#This Row],[VALOR VTA.
UNIT.(S/.)]]*TABLA_BASE[[#This Row],[CANTIDAD
(unid.)]]</f>
        <v>0</v>
      </c>
      <c r="AU450" s="281">
        <f>'💰 Precio de Venta'!I455</f>
        <v>0</v>
      </c>
      <c r="AV450" s="278">
        <f>'💰 Precio de Venta'!J455</f>
        <v>0</v>
      </c>
      <c r="AW450" s="278">
        <f>TABLA_BASE[[#This Row],[GANANCIA
UNIT.(S/.)]]*TABLA_BASE[[#This Row],[CANTIDAD
(unid.)]]</f>
        <v>0</v>
      </c>
      <c r="AX450" s="289">
        <f>'💰 Precio de Venta'!K455</f>
        <v>0</v>
      </c>
      <c r="AY450" s="278">
        <f>TABLA_BASE[[#This Row],[GANANCIA
UNIT.(S/.)]]*'🧾 Factura Comercial'!G454</f>
        <v>0</v>
      </c>
      <c r="AZ450" s="277">
        <f>IF(TABLA_BASE[[#This Row],[PRECIO VTA.
c/IGV(S/.)]]=0,0,TABLA_BASE[[#This Row],[GANANCIA
UNIT.(S/.)]]/TABLA_BASE[[#This Row],[PRECIO VTA.
c/IGV(S/.)]])</f>
        <v>0</v>
      </c>
      <c r="BA450" s="277">
        <f>IF(TABLA_BASE[[#This Row],[C/M UNIT.
(S/.)]]=0,0,TABLA_BASE[[#This Row],[GANANCIA
UNIT.(S/.)]]/TABLA_BASE[[#This Row],[C/M UNIT.
(S/.)]])</f>
        <v>0</v>
      </c>
      <c r="BB450" s="274" t="str">
        <f>IF(TABLA_BASE[[#This Row],[MARGEN
%]]&gt;=0.5,"🟢 ALTO",IF(TABLA_BASE[[#This Row],[MARGEN
%]]&gt;=0.3,"🟡 MEDIO","🔴 BAJO"))</f>
        <v>🟡 MEDIO</v>
      </c>
    </row>
    <row r="451" spans="1:54" ht="16.5" hidden="1" thickTop="1" thickBot="1" x14ac:dyDescent="0.3">
      <c r="A451" s="274">
        <f>'🧾 Factura Comercial'!E455</f>
        <v>0</v>
      </c>
      <c r="B451" s="274" t="str">
        <f>'🧾 Factura Comercial'!F455</f>
        <v>Unid.</v>
      </c>
      <c r="C451" s="275">
        <f>'🧾 Factura Comercial'!G455</f>
        <v>0</v>
      </c>
      <c r="D451" s="276">
        <f>'🧾 Factura Comercial'!H455</f>
        <v>0</v>
      </c>
      <c r="E451" s="276">
        <f>'🧾 Factura Comercial'!I455</f>
        <v>0</v>
      </c>
      <c r="F451" s="277">
        <f>IF('🧾 Tributos Aduana'!$F$6=0,0,'🧾 Factura Comercial'!I455/'🧾 Tributos Aduana'!$F$6)</f>
        <v>0</v>
      </c>
      <c r="G451" s="278">
        <f>'🧾 Factura Comercial'!H455*'📋 Datos Generales'!$E$19</f>
        <v>0</v>
      </c>
      <c r="H451" s="278">
        <f>TABLA_BASE[[#This Row],[FOB UNIT.
(S/.)]]*TABLA_BASE[[#This Row],[CANTIDAD
(unid.)]]</f>
        <v>0</v>
      </c>
      <c r="I451" s="280">
        <f>IF('🧾 Tributos Aduana'!$F$6=0,0,'🧾 Tributos Aduana'!$F$17*('🧾 Factura Comercial'!H455/'🧾 Tributos Aduana'!$F$6))</f>
        <v>0</v>
      </c>
      <c r="J451" s="280">
        <f>TABLA_BASE[[#This Row],[ADV UNIT.
(US$)
⚠️COSTO]]*TABLA_BASE[[#This Row],[CANTIDAD
(unid.)]]</f>
        <v>0</v>
      </c>
      <c r="K451" s="279">
        <f>IF('🧾 Tributos Aduana'!$F$6=0,0,'🧾 Tributos Aduana'!$F$18*('🧾 Factura Comercial'!H455/'🧾 Tributos Aduana'!$F$6))</f>
        <v>0</v>
      </c>
      <c r="L451" s="280">
        <f>TABLA_BASE[[#This Row],[IPM UNIT.
(US$)
✅CF]]*TABLA_BASE[[#This Row],[CANTIDAD
(unid.)]]</f>
        <v>0</v>
      </c>
      <c r="M451" s="279">
        <f>IF('🧾 Tributos Aduana'!$F$6=0,0,'🧾 Tributos Aduana'!$F$19*('🧾 Factura Comercial'!H455/'🧾 Tributos Aduana'!$F$6))</f>
        <v>0</v>
      </c>
      <c r="N451" s="280">
        <f>TABLA_BASE[[#This Row],[IGV UNIT.
(US$)
✅CF]]*TABLA_BASE[[#This Row],[CANTIDAD
(unid.)]]</f>
        <v>0</v>
      </c>
      <c r="O451" s="280">
        <f>IF('🧾 Tributos Aduana'!$F$6=0,0,'🧾 Tributos Aduana'!$F$23*('🧾 Factura Comercial'!H455/'🧾 Tributos Aduana'!$F$6))</f>
        <v>0</v>
      </c>
      <c r="P451" s="280">
        <f>TABLA_BASE[[#This Row],[PERCEP.
UNIT.(US$)
✅CF]]*TABLA_BASE[[#This Row],[CANTIDAD
(unid.)]]</f>
        <v>0</v>
      </c>
      <c r="Q451" s="279">
        <f>TABLA_BASE[[#This Row],[ADV UNIT.
(US$)
⚠️COSTO]]+TABLA_BASE[[#This Row],[IPM UNIT.
(US$)
✅CF]]+TABLA_BASE[[#This Row],[IGV UNIT.
(US$)
✅CF]]</f>
        <v>0</v>
      </c>
      <c r="R451" s="280">
        <f>TABLA_BASE[[#This Row],[DEUDA
ADUANERA
UNIT.]]*TABLA_BASE[[#This Row],[CANTIDAD
(unid.)]]</f>
        <v>0</v>
      </c>
      <c r="S451" s="278">
        <f>TABLA_BASE[[#This Row],[DEUDA
ADUANERA
UNIT.]]*'📋 Datos Generales'!$E$19</f>
        <v>0</v>
      </c>
      <c r="T451" s="278">
        <f>TABLA_BASE[[#This Row],[DEUDA
ADUANERA
TOTAL]]*'📋 Datos Generales'!$E$19</f>
        <v>0</v>
      </c>
      <c r="U451" s="281">
        <f>TABLA_BASE[[#This Row],[ADV UNIT.
(US$)
⚠️COSTO]]*'📋 Datos Generales'!$E$19</f>
        <v>0</v>
      </c>
      <c r="V451" s="281">
        <f>TABLA_BASE[[#This Row],[ADV UNIT.
(S/.)]]*TABLA_BASE[[#This Row],[CANTIDAD
(unid.)]]</f>
        <v>0</v>
      </c>
      <c r="W451" s="281">
        <f>TABLA_BASE[[#This Row],[IPM UNIT.
(US$)
✅CF]]*'📋 Datos Generales'!$E$19</f>
        <v>0</v>
      </c>
      <c r="X451" s="281">
        <f>TABLA_BASE[[#This Row],[IPM UNIT.
(S/.)]]*TABLA_BASE[[#This Row],[CANTIDAD
(unid.)]]</f>
        <v>0</v>
      </c>
      <c r="Y451" s="281">
        <f>TABLA_BASE[[#This Row],[IGV UNIT.
(US$)
✅CF]]*'📋 Datos Generales'!$E$19</f>
        <v>0</v>
      </c>
      <c r="Z451" s="281">
        <f>TABLA_BASE[[#This Row],[IGV UNIT.
(S/.)]]*TABLA_BASE[[#This Row],[CANTIDAD
(unid.)]]</f>
        <v>0</v>
      </c>
      <c r="AA451" s="281">
        <f>TABLA_BASE[[#This Row],[PERCEP.
UNIT.(US$)
✅CF]]*'📋 Datos Generales'!$E$19</f>
        <v>0</v>
      </c>
      <c r="AB451" s="281">
        <f>TABLA_BASE[[#This Row],[PERCEP.
UNIT.(S/.)]]*TABLA_BASE[[#This Row],[CANTIDAD
(unid.)]]</f>
        <v>0</v>
      </c>
      <c r="AC451" s="279">
        <f>TABLA_BASE[[#This Row],[ADV UNIT.
(US$)
⚠️COSTO]]+TABLA_BASE[[#This Row],[IPM UNIT.
(US$)
✅CF]]+TABLA_BASE[[#This Row],[IGV UNIT.
(US$)
✅CF]]+TABLA_BASE[[#This Row],[PERCEP.
UNIT.(US$)
✅CF]]</f>
        <v>0</v>
      </c>
      <c r="AD451" s="279">
        <f>TABLA_BASE[[#This Row],[TOTAL PAGO
SUNAT
UNIT.(US$)]]*TABLA_BASE[[#This Row],[CANTIDAD
(unid.)]]</f>
        <v>0</v>
      </c>
      <c r="AE451" s="281">
        <f>TABLA_BASE[[#This Row],[TOTAL PAGO
SUNAT
UNIT.(US$)]]*'📋 Datos Generales'!$E$19</f>
        <v>0</v>
      </c>
      <c r="AF451" s="281">
        <f>TABLA_BASE[[#This Row],[TOTAL TRIB.
UNIT.(S/.)]]*TABLA_BASE[[#This Row],[CANTIDAD
(unid.)]]</f>
        <v>0</v>
      </c>
      <c r="AG451" s="279">
        <f>IF('🧾 Factura Comercial'!G455=0,0,'📦 Gastos Importación'!$E$28*(IF('🧾 Tributos Aduana'!$F$6=0,0,'🧾 Factura Comercial'!I455/'🧾 Tributos Aduana'!$F$6))/'🧾 Factura Comercial'!G455)</f>
        <v>0</v>
      </c>
      <c r="AH451" s="279">
        <f>TABLA_BASE[[#This Row],[GASTOS IMP.
UNIT.(US$)]]*TABLA_BASE[[#This Row],[CANTIDAD
(unid.)]]</f>
        <v>0</v>
      </c>
      <c r="AI451" s="281">
        <f>TABLA_BASE[[#This Row],[GASTOS IMP.
UNIT.(US$)]]*'📋 Datos Generales'!$E$19</f>
        <v>0</v>
      </c>
      <c r="AJ451" s="281">
        <f>TABLA_BASE[[#This Row],[GASTOS IMP.
UNIT.(S/.)]]*TABLA_BASE[[#This Row],[CANTIDAD
(unid.)]]</f>
        <v>0</v>
      </c>
      <c r="AK451" s="280">
        <f>'🧮 Costos x Producto'!J455</f>
        <v>0</v>
      </c>
      <c r="AL451" s="278">
        <f>'🧮 Costos x Producto'!K455</f>
        <v>0</v>
      </c>
      <c r="AM451" s="278">
        <f>TABLA_BASE[[#This Row],[C/M UNIT.
(S/.)]]*TABLA_BASE[[#This Row],[CANTIDAD
(unid.)]]</f>
        <v>0</v>
      </c>
      <c r="AN451" s="279">
        <f>IF('🧾 Factura Comercial'!G455=0,0,'🧾 Tributos Aduana'!$F$17*(IF('🧾 Tributos Aduana'!$F$6=0,0,'🧾 Factura Comercial'!I455/'🧾 Tributos Aduana'!$F$6))/'🧾 Factura Comercial'!G455)</f>
        <v>0</v>
      </c>
      <c r="AO451" s="280">
        <f>IF('🧾 Factura Comercial'!G455=0,0,'🏦 Crédito Fiscal'!$C$16*(IF('🧾 Tributos Aduana'!$F$6=0,0,'🧾 Factura Comercial'!I455/'🧾 Tributos Aduana'!$F$6))/'🧾 Factura Comercial'!G455)</f>
        <v>0</v>
      </c>
      <c r="AP451" s="278">
        <f>TABLA_BASE[[#This Row],[CF UNIT.
✅RECUP.
(US$)]]*'📋 Datos Generales'!$E$19</f>
        <v>0</v>
      </c>
      <c r="AQ451" s="278">
        <f>TABLA_BASE[[#This Row],[CF UNIT.
✅RECUP.(S/.)]]*TABLA_BASE[[#This Row],[CANTIDAD
(unid.)]]</f>
        <v>0</v>
      </c>
      <c r="AR451" s="288">
        <f>'💰 Precio de Venta'!G456</f>
        <v>0.4</v>
      </c>
      <c r="AS451" s="278">
        <f>'💰 Precio de Venta'!H456</f>
        <v>0</v>
      </c>
      <c r="AT451" s="278">
        <f>TABLA_BASE[[#This Row],[VALOR VTA.
UNIT.(S/.)]]*TABLA_BASE[[#This Row],[CANTIDAD
(unid.)]]</f>
        <v>0</v>
      </c>
      <c r="AU451" s="281">
        <f>'💰 Precio de Venta'!I456</f>
        <v>0</v>
      </c>
      <c r="AV451" s="278">
        <f>'💰 Precio de Venta'!J456</f>
        <v>0</v>
      </c>
      <c r="AW451" s="278">
        <f>TABLA_BASE[[#This Row],[GANANCIA
UNIT.(S/.)]]*TABLA_BASE[[#This Row],[CANTIDAD
(unid.)]]</f>
        <v>0</v>
      </c>
      <c r="AX451" s="289">
        <f>'💰 Precio de Venta'!K456</f>
        <v>0</v>
      </c>
      <c r="AY451" s="278">
        <f>TABLA_BASE[[#This Row],[GANANCIA
UNIT.(S/.)]]*'🧾 Factura Comercial'!G455</f>
        <v>0</v>
      </c>
      <c r="AZ451" s="277">
        <f>IF(TABLA_BASE[[#This Row],[PRECIO VTA.
c/IGV(S/.)]]=0,0,TABLA_BASE[[#This Row],[GANANCIA
UNIT.(S/.)]]/TABLA_BASE[[#This Row],[PRECIO VTA.
c/IGV(S/.)]])</f>
        <v>0</v>
      </c>
      <c r="BA451" s="277">
        <f>IF(TABLA_BASE[[#This Row],[C/M UNIT.
(S/.)]]=0,0,TABLA_BASE[[#This Row],[GANANCIA
UNIT.(S/.)]]/TABLA_BASE[[#This Row],[C/M UNIT.
(S/.)]])</f>
        <v>0</v>
      </c>
      <c r="BB451" s="274" t="str">
        <f>IF(TABLA_BASE[[#This Row],[MARGEN
%]]&gt;=0.5,"🟢 ALTO",IF(TABLA_BASE[[#This Row],[MARGEN
%]]&gt;=0.3,"🟡 MEDIO","🔴 BAJO"))</f>
        <v>🟡 MEDIO</v>
      </c>
    </row>
    <row r="452" spans="1:54" ht="16.5" hidden="1" thickTop="1" thickBot="1" x14ac:dyDescent="0.3">
      <c r="A452" s="274">
        <f>'🧾 Factura Comercial'!E456</f>
        <v>0</v>
      </c>
      <c r="B452" s="274" t="str">
        <f>'🧾 Factura Comercial'!F456</f>
        <v>Unid.</v>
      </c>
      <c r="C452" s="275">
        <f>'🧾 Factura Comercial'!G456</f>
        <v>0</v>
      </c>
      <c r="D452" s="276">
        <f>'🧾 Factura Comercial'!H456</f>
        <v>0</v>
      </c>
      <c r="E452" s="276">
        <f>'🧾 Factura Comercial'!I456</f>
        <v>0</v>
      </c>
      <c r="F452" s="277">
        <f>IF('🧾 Tributos Aduana'!$F$6=0,0,'🧾 Factura Comercial'!I456/'🧾 Tributos Aduana'!$F$6)</f>
        <v>0</v>
      </c>
      <c r="G452" s="278">
        <f>'🧾 Factura Comercial'!H456*'📋 Datos Generales'!$E$19</f>
        <v>0</v>
      </c>
      <c r="H452" s="278">
        <f>TABLA_BASE[[#This Row],[FOB UNIT.
(S/.)]]*TABLA_BASE[[#This Row],[CANTIDAD
(unid.)]]</f>
        <v>0</v>
      </c>
      <c r="I452" s="280">
        <f>IF('🧾 Tributos Aduana'!$F$6=0,0,'🧾 Tributos Aduana'!$F$17*('🧾 Factura Comercial'!H456/'🧾 Tributos Aduana'!$F$6))</f>
        <v>0</v>
      </c>
      <c r="J452" s="280">
        <f>TABLA_BASE[[#This Row],[ADV UNIT.
(US$)
⚠️COSTO]]*TABLA_BASE[[#This Row],[CANTIDAD
(unid.)]]</f>
        <v>0</v>
      </c>
      <c r="K452" s="279">
        <f>IF('🧾 Tributos Aduana'!$F$6=0,0,'🧾 Tributos Aduana'!$F$18*('🧾 Factura Comercial'!H456/'🧾 Tributos Aduana'!$F$6))</f>
        <v>0</v>
      </c>
      <c r="L452" s="280">
        <f>TABLA_BASE[[#This Row],[IPM UNIT.
(US$)
✅CF]]*TABLA_BASE[[#This Row],[CANTIDAD
(unid.)]]</f>
        <v>0</v>
      </c>
      <c r="M452" s="279">
        <f>IF('🧾 Tributos Aduana'!$F$6=0,0,'🧾 Tributos Aduana'!$F$19*('🧾 Factura Comercial'!H456/'🧾 Tributos Aduana'!$F$6))</f>
        <v>0</v>
      </c>
      <c r="N452" s="280">
        <f>TABLA_BASE[[#This Row],[IGV UNIT.
(US$)
✅CF]]*TABLA_BASE[[#This Row],[CANTIDAD
(unid.)]]</f>
        <v>0</v>
      </c>
      <c r="O452" s="280">
        <f>IF('🧾 Tributos Aduana'!$F$6=0,0,'🧾 Tributos Aduana'!$F$23*('🧾 Factura Comercial'!H456/'🧾 Tributos Aduana'!$F$6))</f>
        <v>0</v>
      </c>
      <c r="P452" s="280">
        <f>TABLA_BASE[[#This Row],[PERCEP.
UNIT.(US$)
✅CF]]*TABLA_BASE[[#This Row],[CANTIDAD
(unid.)]]</f>
        <v>0</v>
      </c>
      <c r="Q452" s="279">
        <f>TABLA_BASE[[#This Row],[ADV UNIT.
(US$)
⚠️COSTO]]+TABLA_BASE[[#This Row],[IPM UNIT.
(US$)
✅CF]]+TABLA_BASE[[#This Row],[IGV UNIT.
(US$)
✅CF]]</f>
        <v>0</v>
      </c>
      <c r="R452" s="280">
        <f>TABLA_BASE[[#This Row],[DEUDA
ADUANERA
UNIT.]]*TABLA_BASE[[#This Row],[CANTIDAD
(unid.)]]</f>
        <v>0</v>
      </c>
      <c r="S452" s="278">
        <f>TABLA_BASE[[#This Row],[DEUDA
ADUANERA
UNIT.]]*'📋 Datos Generales'!$E$19</f>
        <v>0</v>
      </c>
      <c r="T452" s="278">
        <f>TABLA_BASE[[#This Row],[DEUDA
ADUANERA
TOTAL]]*'📋 Datos Generales'!$E$19</f>
        <v>0</v>
      </c>
      <c r="U452" s="281">
        <f>TABLA_BASE[[#This Row],[ADV UNIT.
(US$)
⚠️COSTO]]*'📋 Datos Generales'!$E$19</f>
        <v>0</v>
      </c>
      <c r="V452" s="281">
        <f>TABLA_BASE[[#This Row],[ADV UNIT.
(S/.)]]*TABLA_BASE[[#This Row],[CANTIDAD
(unid.)]]</f>
        <v>0</v>
      </c>
      <c r="W452" s="281">
        <f>TABLA_BASE[[#This Row],[IPM UNIT.
(US$)
✅CF]]*'📋 Datos Generales'!$E$19</f>
        <v>0</v>
      </c>
      <c r="X452" s="281">
        <f>TABLA_BASE[[#This Row],[IPM UNIT.
(S/.)]]*TABLA_BASE[[#This Row],[CANTIDAD
(unid.)]]</f>
        <v>0</v>
      </c>
      <c r="Y452" s="281">
        <f>TABLA_BASE[[#This Row],[IGV UNIT.
(US$)
✅CF]]*'📋 Datos Generales'!$E$19</f>
        <v>0</v>
      </c>
      <c r="Z452" s="281">
        <f>TABLA_BASE[[#This Row],[IGV UNIT.
(S/.)]]*TABLA_BASE[[#This Row],[CANTIDAD
(unid.)]]</f>
        <v>0</v>
      </c>
      <c r="AA452" s="281">
        <f>TABLA_BASE[[#This Row],[PERCEP.
UNIT.(US$)
✅CF]]*'📋 Datos Generales'!$E$19</f>
        <v>0</v>
      </c>
      <c r="AB452" s="281">
        <f>TABLA_BASE[[#This Row],[PERCEP.
UNIT.(S/.)]]*TABLA_BASE[[#This Row],[CANTIDAD
(unid.)]]</f>
        <v>0</v>
      </c>
      <c r="AC452" s="279">
        <f>TABLA_BASE[[#This Row],[ADV UNIT.
(US$)
⚠️COSTO]]+TABLA_BASE[[#This Row],[IPM UNIT.
(US$)
✅CF]]+TABLA_BASE[[#This Row],[IGV UNIT.
(US$)
✅CF]]+TABLA_BASE[[#This Row],[PERCEP.
UNIT.(US$)
✅CF]]</f>
        <v>0</v>
      </c>
      <c r="AD452" s="279">
        <f>TABLA_BASE[[#This Row],[TOTAL PAGO
SUNAT
UNIT.(US$)]]*TABLA_BASE[[#This Row],[CANTIDAD
(unid.)]]</f>
        <v>0</v>
      </c>
      <c r="AE452" s="281">
        <f>TABLA_BASE[[#This Row],[TOTAL PAGO
SUNAT
UNIT.(US$)]]*'📋 Datos Generales'!$E$19</f>
        <v>0</v>
      </c>
      <c r="AF452" s="281">
        <f>TABLA_BASE[[#This Row],[TOTAL TRIB.
UNIT.(S/.)]]*TABLA_BASE[[#This Row],[CANTIDAD
(unid.)]]</f>
        <v>0</v>
      </c>
      <c r="AG452" s="279">
        <f>IF('🧾 Factura Comercial'!G456=0,0,'📦 Gastos Importación'!$E$28*(IF('🧾 Tributos Aduana'!$F$6=0,0,'🧾 Factura Comercial'!I456/'🧾 Tributos Aduana'!$F$6))/'🧾 Factura Comercial'!G456)</f>
        <v>0</v>
      </c>
      <c r="AH452" s="279">
        <f>TABLA_BASE[[#This Row],[GASTOS IMP.
UNIT.(US$)]]*TABLA_BASE[[#This Row],[CANTIDAD
(unid.)]]</f>
        <v>0</v>
      </c>
      <c r="AI452" s="281">
        <f>TABLA_BASE[[#This Row],[GASTOS IMP.
UNIT.(US$)]]*'📋 Datos Generales'!$E$19</f>
        <v>0</v>
      </c>
      <c r="AJ452" s="281">
        <f>TABLA_BASE[[#This Row],[GASTOS IMP.
UNIT.(S/.)]]*TABLA_BASE[[#This Row],[CANTIDAD
(unid.)]]</f>
        <v>0</v>
      </c>
      <c r="AK452" s="280">
        <f>'🧮 Costos x Producto'!J456</f>
        <v>0</v>
      </c>
      <c r="AL452" s="278">
        <f>'🧮 Costos x Producto'!K456</f>
        <v>0</v>
      </c>
      <c r="AM452" s="278">
        <f>TABLA_BASE[[#This Row],[C/M UNIT.
(S/.)]]*TABLA_BASE[[#This Row],[CANTIDAD
(unid.)]]</f>
        <v>0</v>
      </c>
      <c r="AN452" s="279">
        <f>IF('🧾 Factura Comercial'!G456=0,0,'🧾 Tributos Aduana'!$F$17*(IF('🧾 Tributos Aduana'!$F$6=0,0,'🧾 Factura Comercial'!I456/'🧾 Tributos Aduana'!$F$6))/'🧾 Factura Comercial'!G456)</f>
        <v>0</v>
      </c>
      <c r="AO452" s="280">
        <f>IF('🧾 Factura Comercial'!G456=0,0,'🏦 Crédito Fiscal'!$C$16*(IF('🧾 Tributos Aduana'!$F$6=0,0,'🧾 Factura Comercial'!I456/'🧾 Tributos Aduana'!$F$6))/'🧾 Factura Comercial'!G456)</f>
        <v>0</v>
      </c>
      <c r="AP452" s="278">
        <f>TABLA_BASE[[#This Row],[CF UNIT.
✅RECUP.
(US$)]]*'📋 Datos Generales'!$E$19</f>
        <v>0</v>
      </c>
      <c r="AQ452" s="278">
        <f>TABLA_BASE[[#This Row],[CF UNIT.
✅RECUP.(S/.)]]*TABLA_BASE[[#This Row],[CANTIDAD
(unid.)]]</f>
        <v>0</v>
      </c>
      <c r="AR452" s="288">
        <f>'💰 Precio de Venta'!G457</f>
        <v>0.4</v>
      </c>
      <c r="AS452" s="278">
        <f>'💰 Precio de Venta'!H457</f>
        <v>0</v>
      </c>
      <c r="AT452" s="278">
        <f>TABLA_BASE[[#This Row],[VALOR VTA.
UNIT.(S/.)]]*TABLA_BASE[[#This Row],[CANTIDAD
(unid.)]]</f>
        <v>0</v>
      </c>
      <c r="AU452" s="281">
        <f>'💰 Precio de Venta'!I457</f>
        <v>0</v>
      </c>
      <c r="AV452" s="278">
        <f>'💰 Precio de Venta'!J457</f>
        <v>0</v>
      </c>
      <c r="AW452" s="278">
        <f>TABLA_BASE[[#This Row],[GANANCIA
UNIT.(S/.)]]*TABLA_BASE[[#This Row],[CANTIDAD
(unid.)]]</f>
        <v>0</v>
      </c>
      <c r="AX452" s="289">
        <f>'💰 Precio de Venta'!K457</f>
        <v>0</v>
      </c>
      <c r="AY452" s="278">
        <f>TABLA_BASE[[#This Row],[GANANCIA
UNIT.(S/.)]]*'🧾 Factura Comercial'!G456</f>
        <v>0</v>
      </c>
      <c r="AZ452" s="277">
        <f>IF(TABLA_BASE[[#This Row],[PRECIO VTA.
c/IGV(S/.)]]=0,0,TABLA_BASE[[#This Row],[GANANCIA
UNIT.(S/.)]]/TABLA_BASE[[#This Row],[PRECIO VTA.
c/IGV(S/.)]])</f>
        <v>0</v>
      </c>
      <c r="BA452" s="277">
        <f>IF(TABLA_BASE[[#This Row],[C/M UNIT.
(S/.)]]=0,0,TABLA_BASE[[#This Row],[GANANCIA
UNIT.(S/.)]]/TABLA_BASE[[#This Row],[C/M UNIT.
(S/.)]])</f>
        <v>0</v>
      </c>
      <c r="BB452" s="274" t="str">
        <f>IF(TABLA_BASE[[#This Row],[MARGEN
%]]&gt;=0.5,"🟢 ALTO",IF(TABLA_BASE[[#This Row],[MARGEN
%]]&gt;=0.3,"🟡 MEDIO","🔴 BAJO"))</f>
        <v>🟡 MEDIO</v>
      </c>
    </row>
    <row r="453" spans="1:54" ht="16.5" hidden="1" thickTop="1" thickBot="1" x14ac:dyDescent="0.3">
      <c r="A453" s="274">
        <f>'🧾 Factura Comercial'!E457</f>
        <v>0</v>
      </c>
      <c r="B453" s="274" t="str">
        <f>'🧾 Factura Comercial'!F457</f>
        <v>Unid.</v>
      </c>
      <c r="C453" s="275">
        <f>'🧾 Factura Comercial'!G457</f>
        <v>0</v>
      </c>
      <c r="D453" s="276">
        <f>'🧾 Factura Comercial'!H457</f>
        <v>0</v>
      </c>
      <c r="E453" s="276">
        <f>'🧾 Factura Comercial'!I457</f>
        <v>0</v>
      </c>
      <c r="F453" s="277">
        <f>IF('🧾 Tributos Aduana'!$F$6=0,0,'🧾 Factura Comercial'!I457/'🧾 Tributos Aduana'!$F$6)</f>
        <v>0</v>
      </c>
      <c r="G453" s="278">
        <f>'🧾 Factura Comercial'!H457*'📋 Datos Generales'!$E$19</f>
        <v>0</v>
      </c>
      <c r="H453" s="278">
        <f>TABLA_BASE[[#This Row],[FOB UNIT.
(S/.)]]*TABLA_BASE[[#This Row],[CANTIDAD
(unid.)]]</f>
        <v>0</v>
      </c>
      <c r="I453" s="280">
        <f>IF('🧾 Tributos Aduana'!$F$6=0,0,'🧾 Tributos Aduana'!$F$17*('🧾 Factura Comercial'!H457/'🧾 Tributos Aduana'!$F$6))</f>
        <v>0</v>
      </c>
      <c r="J453" s="280">
        <f>TABLA_BASE[[#This Row],[ADV UNIT.
(US$)
⚠️COSTO]]*TABLA_BASE[[#This Row],[CANTIDAD
(unid.)]]</f>
        <v>0</v>
      </c>
      <c r="K453" s="279">
        <f>IF('🧾 Tributos Aduana'!$F$6=0,0,'🧾 Tributos Aduana'!$F$18*('🧾 Factura Comercial'!H457/'🧾 Tributos Aduana'!$F$6))</f>
        <v>0</v>
      </c>
      <c r="L453" s="280">
        <f>TABLA_BASE[[#This Row],[IPM UNIT.
(US$)
✅CF]]*TABLA_BASE[[#This Row],[CANTIDAD
(unid.)]]</f>
        <v>0</v>
      </c>
      <c r="M453" s="279">
        <f>IF('🧾 Tributos Aduana'!$F$6=0,0,'🧾 Tributos Aduana'!$F$19*('🧾 Factura Comercial'!H457/'🧾 Tributos Aduana'!$F$6))</f>
        <v>0</v>
      </c>
      <c r="N453" s="280">
        <f>TABLA_BASE[[#This Row],[IGV UNIT.
(US$)
✅CF]]*TABLA_BASE[[#This Row],[CANTIDAD
(unid.)]]</f>
        <v>0</v>
      </c>
      <c r="O453" s="280">
        <f>IF('🧾 Tributos Aduana'!$F$6=0,0,'🧾 Tributos Aduana'!$F$23*('🧾 Factura Comercial'!H457/'🧾 Tributos Aduana'!$F$6))</f>
        <v>0</v>
      </c>
      <c r="P453" s="280">
        <f>TABLA_BASE[[#This Row],[PERCEP.
UNIT.(US$)
✅CF]]*TABLA_BASE[[#This Row],[CANTIDAD
(unid.)]]</f>
        <v>0</v>
      </c>
      <c r="Q453" s="279">
        <f>TABLA_BASE[[#This Row],[ADV UNIT.
(US$)
⚠️COSTO]]+TABLA_BASE[[#This Row],[IPM UNIT.
(US$)
✅CF]]+TABLA_BASE[[#This Row],[IGV UNIT.
(US$)
✅CF]]</f>
        <v>0</v>
      </c>
      <c r="R453" s="280">
        <f>TABLA_BASE[[#This Row],[DEUDA
ADUANERA
UNIT.]]*TABLA_BASE[[#This Row],[CANTIDAD
(unid.)]]</f>
        <v>0</v>
      </c>
      <c r="S453" s="278">
        <f>TABLA_BASE[[#This Row],[DEUDA
ADUANERA
UNIT.]]*'📋 Datos Generales'!$E$19</f>
        <v>0</v>
      </c>
      <c r="T453" s="278">
        <f>TABLA_BASE[[#This Row],[DEUDA
ADUANERA
TOTAL]]*'📋 Datos Generales'!$E$19</f>
        <v>0</v>
      </c>
      <c r="U453" s="281">
        <f>TABLA_BASE[[#This Row],[ADV UNIT.
(US$)
⚠️COSTO]]*'📋 Datos Generales'!$E$19</f>
        <v>0</v>
      </c>
      <c r="V453" s="281">
        <f>TABLA_BASE[[#This Row],[ADV UNIT.
(S/.)]]*TABLA_BASE[[#This Row],[CANTIDAD
(unid.)]]</f>
        <v>0</v>
      </c>
      <c r="W453" s="281">
        <f>TABLA_BASE[[#This Row],[IPM UNIT.
(US$)
✅CF]]*'📋 Datos Generales'!$E$19</f>
        <v>0</v>
      </c>
      <c r="X453" s="281">
        <f>TABLA_BASE[[#This Row],[IPM UNIT.
(S/.)]]*TABLA_BASE[[#This Row],[CANTIDAD
(unid.)]]</f>
        <v>0</v>
      </c>
      <c r="Y453" s="281">
        <f>TABLA_BASE[[#This Row],[IGV UNIT.
(US$)
✅CF]]*'📋 Datos Generales'!$E$19</f>
        <v>0</v>
      </c>
      <c r="Z453" s="281">
        <f>TABLA_BASE[[#This Row],[IGV UNIT.
(S/.)]]*TABLA_BASE[[#This Row],[CANTIDAD
(unid.)]]</f>
        <v>0</v>
      </c>
      <c r="AA453" s="281">
        <f>TABLA_BASE[[#This Row],[PERCEP.
UNIT.(US$)
✅CF]]*'📋 Datos Generales'!$E$19</f>
        <v>0</v>
      </c>
      <c r="AB453" s="281">
        <f>TABLA_BASE[[#This Row],[PERCEP.
UNIT.(S/.)]]*TABLA_BASE[[#This Row],[CANTIDAD
(unid.)]]</f>
        <v>0</v>
      </c>
      <c r="AC453" s="279">
        <f>TABLA_BASE[[#This Row],[ADV UNIT.
(US$)
⚠️COSTO]]+TABLA_BASE[[#This Row],[IPM UNIT.
(US$)
✅CF]]+TABLA_BASE[[#This Row],[IGV UNIT.
(US$)
✅CF]]+TABLA_BASE[[#This Row],[PERCEP.
UNIT.(US$)
✅CF]]</f>
        <v>0</v>
      </c>
      <c r="AD453" s="279">
        <f>TABLA_BASE[[#This Row],[TOTAL PAGO
SUNAT
UNIT.(US$)]]*TABLA_BASE[[#This Row],[CANTIDAD
(unid.)]]</f>
        <v>0</v>
      </c>
      <c r="AE453" s="281">
        <f>TABLA_BASE[[#This Row],[TOTAL PAGO
SUNAT
UNIT.(US$)]]*'📋 Datos Generales'!$E$19</f>
        <v>0</v>
      </c>
      <c r="AF453" s="281">
        <f>TABLA_BASE[[#This Row],[TOTAL TRIB.
UNIT.(S/.)]]*TABLA_BASE[[#This Row],[CANTIDAD
(unid.)]]</f>
        <v>0</v>
      </c>
      <c r="AG453" s="279">
        <f>IF('🧾 Factura Comercial'!G457=0,0,'📦 Gastos Importación'!$E$28*(IF('🧾 Tributos Aduana'!$F$6=0,0,'🧾 Factura Comercial'!I457/'🧾 Tributos Aduana'!$F$6))/'🧾 Factura Comercial'!G457)</f>
        <v>0</v>
      </c>
      <c r="AH453" s="279">
        <f>TABLA_BASE[[#This Row],[GASTOS IMP.
UNIT.(US$)]]*TABLA_BASE[[#This Row],[CANTIDAD
(unid.)]]</f>
        <v>0</v>
      </c>
      <c r="AI453" s="281">
        <f>TABLA_BASE[[#This Row],[GASTOS IMP.
UNIT.(US$)]]*'📋 Datos Generales'!$E$19</f>
        <v>0</v>
      </c>
      <c r="AJ453" s="281">
        <f>TABLA_BASE[[#This Row],[GASTOS IMP.
UNIT.(S/.)]]*TABLA_BASE[[#This Row],[CANTIDAD
(unid.)]]</f>
        <v>0</v>
      </c>
      <c r="AK453" s="280">
        <f>'🧮 Costos x Producto'!J457</f>
        <v>0</v>
      </c>
      <c r="AL453" s="278">
        <f>'🧮 Costos x Producto'!K457</f>
        <v>0</v>
      </c>
      <c r="AM453" s="278">
        <f>TABLA_BASE[[#This Row],[C/M UNIT.
(S/.)]]*TABLA_BASE[[#This Row],[CANTIDAD
(unid.)]]</f>
        <v>0</v>
      </c>
      <c r="AN453" s="279">
        <f>IF('🧾 Factura Comercial'!G457=0,0,'🧾 Tributos Aduana'!$F$17*(IF('🧾 Tributos Aduana'!$F$6=0,0,'🧾 Factura Comercial'!I457/'🧾 Tributos Aduana'!$F$6))/'🧾 Factura Comercial'!G457)</f>
        <v>0</v>
      </c>
      <c r="AO453" s="280">
        <f>IF('🧾 Factura Comercial'!G457=0,0,'🏦 Crédito Fiscal'!$C$16*(IF('🧾 Tributos Aduana'!$F$6=0,0,'🧾 Factura Comercial'!I457/'🧾 Tributos Aduana'!$F$6))/'🧾 Factura Comercial'!G457)</f>
        <v>0</v>
      </c>
      <c r="AP453" s="278">
        <f>TABLA_BASE[[#This Row],[CF UNIT.
✅RECUP.
(US$)]]*'📋 Datos Generales'!$E$19</f>
        <v>0</v>
      </c>
      <c r="AQ453" s="278">
        <f>TABLA_BASE[[#This Row],[CF UNIT.
✅RECUP.(S/.)]]*TABLA_BASE[[#This Row],[CANTIDAD
(unid.)]]</f>
        <v>0</v>
      </c>
      <c r="AR453" s="288">
        <f>'💰 Precio de Venta'!G458</f>
        <v>0.4</v>
      </c>
      <c r="AS453" s="278">
        <f>'💰 Precio de Venta'!H458</f>
        <v>0</v>
      </c>
      <c r="AT453" s="278">
        <f>TABLA_BASE[[#This Row],[VALOR VTA.
UNIT.(S/.)]]*TABLA_BASE[[#This Row],[CANTIDAD
(unid.)]]</f>
        <v>0</v>
      </c>
      <c r="AU453" s="281">
        <f>'💰 Precio de Venta'!I458</f>
        <v>0</v>
      </c>
      <c r="AV453" s="278">
        <f>'💰 Precio de Venta'!J458</f>
        <v>0</v>
      </c>
      <c r="AW453" s="278">
        <f>TABLA_BASE[[#This Row],[GANANCIA
UNIT.(S/.)]]*TABLA_BASE[[#This Row],[CANTIDAD
(unid.)]]</f>
        <v>0</v>
      </c>
      <c r="AX453" s="289">
        <f>'💰 Precio de Venta'!K458</f>
        <v>0</v>
      </c>
      <c r="AY453" s="278">
        <f>TABLA_BASE[[#This Row],[GANANCIA
UNIT.(S/.)]]*'🧾 Factura Comercial'!G457</f>
        <v>0</v>
      </c>
      <c r="AZ453" s="277">
        <f>IF(TABLA_BASE[[#This Row],[PRECIO VTA.
c/IGV(S/.)]]=0,0,TABLA_BASE[[#This Row],[GANANCIA
UNIT.(S/.)]]/TABLA_BASE[[#This Row],[PRECIO VTA.
c/IGV(S/.)]])</f>
        <v>0</v>
      </c>
      <c r="BA453" s="277">
        <f>IF(TABLA_BASE[[#This Row],[C/M UNIT.
(S/.)]]=0,0,TABLA_BASE[[#This Row],[GANANCIA
UNIT.(S/.)]]/TABLA_BASE[[#This Row],[C/M UNIT.
(S/.)]])</f>
        <v>0</v>
      </c>
      <c r="BB453" s="274" t="str">
        <f>IF(TABLA_BASE[[#This Row],[MARGEN
%]]&gt;=0.5,"🟢 ALTO",IF(TABLA_BASE[[#This Row],[MARGEN
%]]&gt;=0.3,"🟡 MEDIO","🔴 BAJO"))</f>
        <v>🟡 MEDIO</v>
      </c>
    </row>
    <row r="454" spans="1:54" ht="16.5" hidden="1" thickTop="1" thickBot="1" x14ac:dyDescent="0.3">
      <c r="A454" s="274">
        <f>'🧾 Factura Comercial'!E458</f>
        <v>0</v>
      </c>
      <c r="B454" s="274" t="str">
        <f>'🧾 Factura Comercial'!F458</f>
        <v>Unid.</v>
      </c>
      <c r="C454" s="275">
        <f>'🧾 Factura Comercial'!G458</f>
        <v>0</v>
      </c>
      <c r="D454" s="276">
        <f>'🧾 Factura Comercial'!H458</f>
        <v>0</v>
      </c>
      <c r="E454" s="276">
        <f>'🧾 Factura Comercial'!I458</f>
        <v>0</v>
      </c>
      <c r="F454" s="277">
        <f>IF('🧾 Tributos Aduana'!$F$6=0,0,'🧾 Factura Comercial'!I458/'🧾 Tributos Aduana'!$F$6)</f>
        <v>0</v>
      </c>
      <c r="G454" s="278">
        <f>'🧾 Factura Comercial'!H458*'📋 Datos Generales'!$E$19</f>
        <v>0</v>
      </c>
      <c r="H454" s="278">
        <f>TABLA_BASE[[#This Row],[FOB UNIT.
(S/.)]]*TABLA_BASE[[#This Row],[CANTIDAD
(unid.)]]</f>
        <v>0</v>
      </c>
      <c r="I454" s="280">
        <f>IF('🧾 Tributos Aduana'!$F$6=0,0,'🧾 Tributos Aduana'!$F$17*('🧾 Factura Comercial'!H458/'🧾 Tributos Aduana'!$F$6))</f>
        <v>0</v>
      </c>
      <c r="J454" s="280">
        <f>TABLA_BASE[[#This Row],[ADV UNIT.
(US$)
⚠️COSTO]]*TABLA_BASE[[#This Row],[CANTIDAD
(unid.)]]</f>
        <v>0</v>
      </c>
      <c r="K454" s="279">
        <f>IF('🧾 Tributos Aduana'!$F$6=0,0,'🧾 Tributos Aduana'!$F$18*('🧾 Factura Comercial'!H458/'🧾 Tributos Aduana'!$F$6))</f>
        <v>0</v>
      </c>
      <c r="L454" s="280">
        <f>TABLA_BASE[[#This Row],[IPM UNIT.
(US$)
✅CF]]*TABLA_BASE[[#This Row],[CANTIDAD
(unid.)]]</f>
        <v>0</v>
      </c>
      <c r="M454" s="279">
        <f>IF('🧾 Tributos Aduana'!$F$6=0,0,'🧾 Tributos Aduana'!$F$19*('🧾 Factura Comercial'!H458/'🧾 Tributos Aduana'!$F$6))</f>
        <v>0</v>
      </c>
      <c r="N454" s="280">
        <f>TABLA_BASE[[#This Row],[IGV UNIT.
(US$)
✅CF]]*TABLA_BASE[[#This Row],[CANTIDAD
(unid.)]]</f>
        <v>0</v>
      </c>
      <c r="O454" s="280">
        <f>IF('🧾 Tributos Aduana'!$F$6=0,0,'🧾 Tributos Aduana'!$F$23*('🧾 Factura Comercial'!H458/'🧾 Tributos Aduana'!$F$6))</f>
        <v>0</v>
      </c>
      <c r="P454" s="280">
        <f>TABLA_BASE[[#This Row],[PERCEP.
UNIT.(US$)
✅CF]]*TABLA_BASE[[#This Row],[CANTIDAD
(unid.)]]</f>
        <v>0</v>
      </c>
      <c r="Q454" s="279">
        <f>TABLA_BASE[[#This Row],[ADV UNIT.
(US$)
⚠️COSTO]]+TABLA_BASE[[#This Row],[IPM UNIT.
(US$)
✅CF]]+TABLA_BASE[[#This Row],[IGV UNIT.
(US$)
✅CF]]</f>
        <v>0</v>
      </c>
      <c r="R454" s="280">
        <f>TABLA_BASE[[#This Row],[DEUDA
ADUANERA
UNIT.]]*TABLA_BASE[[#This Row],[CANTIDAD
(unid.)]]</f>
        <v>0</v>
      </c>
      <c r="S454" s="278">
        <f>TABLA_BASE[[#This Row],[DEUDA
ADUANERA
UNIT.]]*'📋 Datos Generales'!$E$19</f>
        <v>0</v>
      </c>
      <c r="T454" s="278">
        <f>TABLA_BASE[[#This Row],[DEUDA
ADUANERA
TOTAL]]*'📋 Datos Generales'!$E$19</f>
        <v>0</v>
      </c>
      <c r="U454" s="281">
        <f>TABLA_BASE[[#This Row],[ADV UNIT.
(US$)
⚠️COSTO]]*'📋 Datos Generales'!$E$19</f>
        <v>0</v>
      </c>
      <c r="V454" s="281">
        <f>TABLA_BASE[[#This Row],[ADV UNIT.
(S/.)]]*TABLA_BASE[[#This Row],[CANTIDAD
(unid.)]]</f>
        <v>0</v>
      </c>
      <c r="W454" s="281">
        <f>TABLA_BASE[[#This Row],[IPM UNIT.
(US$)
✅CF]]*'📋 Datos Generales'!$E$19</f>
        <v>0</v>
      </c>
      <c r="X454" s="281">
        <f>TABLA_BASE[[#This Row],[IPM UNIT.
(S/.)]]*TABLA_BASE[[#This Row],[CANTIDAD
(unid.)]]</f>
        <v>0</v>
      </c>
      <c r="Y454" s="281">
        <f>TABLA_BASE[[#This Row],[IGV UNIT.
(US$)
✅CF]]*'📋 Datos Generales'!$E$19</f>
        <v>0</v>
      </c>
      <c r="Z454" s="281">
        <f>TABLA_BASE[[#This Row],[IGV UNIT.
(S/.)]]*TABLA_BASE[[#This Row],[CANTIDAD
(unid.)]]</f>
        <v>0</v>
      </c>
      <c r="AA454" s="281">
        <f>TABLA_BASE[[#This Row],[PERCEP.
UNIT.(US$)
✅CF]]*'📋 Datos Generales'!$E$19</f>
        <v>0</v>
      </c>
      <c r="AB454" s="281">
        <f>TABLA_BASE[[#This Row],[PERCEP.
UNIT.(S/.)]]*TABLA_BASE[[#This Row],[CANTIDAD
(unid.)]]</f>
        <v>0</v>
      </c>
      <c r="AC454" s="279">
        <f>TABLA_BASE[[#This Row],[ADV UNIT.
(US$)
⚠️COSTO]]+TABLA_BASE[[#This Row],[IPM UNIT.
(US$)
✅CF]]+TABLA_BASE[[#This Row],[IGV UNIT.
(US$)
✅CF]]+TABLA_BASE[[#This Row],[PERCEP.
UNIT.(US$)
✅CF]]</f>
        <v>0</v>
      </c>
      <c r="AD454" s="279">
        <f>TABLA_BASE[[#This Row],[TOTAL PAGO
SUNAT
UNIT.(US$)]]*TABLA_BASE[[#This Row],[CANTIDAD
(unid.)]]</f>
        <v>0</v>
      </c>
      <c r="AE454" s="281">
        <f>TABLA_BASE[[#This Row],[TOTAL PAGO
SUNAT
UNIT.(US$)]]*'📋 Datos Generales'!$E$19</f>
        <v>0</v>
      </c>
      <c r="AF454" s="281">
        <f>TABLA_BASE[[#This Row],[TOTAL TRIB.
UNIT.(S/.)]]*TABLA_BASE[[#This Row],[CANTIDAD
(unid.)]]</f>
        <v>0</v>
      </c>
      <c r="AG454" s="279">
        <f>IF('🧾 Factura Comercial'!G458=0,0,'📦 Gastos Importación'!$E$28*(IF('🧾 Tributos Aduana'!$F$6=0,0,'🧾 Factura Comercial'!I458/'🧾 Tributos Aduana'!$F$6))/'🧾 Factura Comercial'!G458)</f>
        <v>0</v>
      </c>
      <c r="AH454" s="279">
        <f>TABLA_BASE[[#This Row],[GASTOS IMP.
UNIT.(US$)]]*TABLA_BASE[[#This Row],[CANTIDAD
(unid.)]]</f>
        <v>0</v>
      </c>
      <c r="AI454" s="281">
        <f>TABLA_BASE[[#This Row],[GASTOS IMP.
UNIT.(US$)]]*'📋 Datos Generales'!$E$19</f>
        <v>0</v>
      </c>
      <c r="AJ454" s="281">
        <f>TABLA_BASE[[#This Row],[GASTOS IMP.
UNIT.(S/.)]]*TABLA_BASE[[#This Row],[CANTIDAD
(unid.)]]</f>
        <v>0</v>
      </c>
      <c r="AK454" s="280">
        <f>'🧮 Costos x Producto'!J458</f>
        <v>0</v>
      </c>
      <c r="AL454" s="278">
        <f>'🧮 Costos x Producto'!K458</f>
        <v>0</v>
      </c>
      <c r="AM454" s="278">
        <f>TABLA_BASE[[#This Row],[C/M UNIT.
(S/.)]]*TABLA_BASE[[#This Row],[CANTIDAD
(unid.)]]</f>
        <v>0</v>
      </c>
      <c r="AN454" s="279">
        <f>IF('🧾 Factura Comercial'!G458=0,0,'🧾 Tributos Aduana'!$F$17*(IF('🧾 Tributos Aduana'!$F$6=0,0,'🧾 Factura Comercial'!I458/'🧾 Tributos Aduana'!$F$6))/'🧾 Factura Comercial'!G458)</f>
        <v>0</v>
      </c>
      <c r="AO454" s="280">
        <f>IF('🧾 Factura Comercial'!G458=0,0,'🏦 Crédito Fiscal'!$C$16*(IF('🧾 Tributos Aduana'!$F$6=0,0,'🧾 Factura Comercial'!I458/'🧾 Tributos Aduana'!$F$6))/'🧾 Factura Comercial'!G458)</f>
        <v>0</v>
      </c>
      <c r="AP454" s="278">
        <f>TABLA_BASE[[#This Row],[CF UNIT.
✅RECUP.
(US$)]]*'📋 Datos Generales'!$E$19</f>
        <v>0</v>
      </c>
      <c r="AQ454" s="278">
        <f>TABLA_BASE[[#This Row],[CF UNIT.
✅RECUP.(S/.)]]*TABLA_BASE[[#This Row],[CANTIDAD
(unid.)]]</f>
        <v>0</v>
      </c>
      <c r="AR454" s="288">
        <f>'💰 Precio de Venta'!G459</f>
        <v>0.4</v>
      </c>
      <c r="AS454" s="278">
        <f>'💰 Precio de Venta'!H459</f>
        <v>0</v>
      </c>
      <c r="AT454" s="278">
        <f>TABLA_BASE[[#This Row],[VALOR VTA.
UNIT.(S/.)]]*TABLA_BASE[[#This Row],[CANTIDAD
(unid.)]]</f>
        <v>0</v>
      </c>
      <c r="AU454" s="281">
        <f>'💰 Precio de Venta'!I459</f>
        <v>0</v>
      </c>
      <c r="AV454" s="278">
        <f>'💰 Precio de Venta'!J459</f>
        <v>0</v>
      </c>
      <c r="AW454" s="278">
        <f>TABLA_BASE[[#This Row],[GANANCIA
UNIT.(S/.)]]*TABLA_BASE[[#This Row],[CANTIDAD
(unid.)]]</f>
        <v>0</v>
      </c>
      <c r="AX454" s="289">
        <f>'💰 Precio de Venta'!K459</f>
        <v>0</v>
      </c>
      <c r="AY454" s="278">
        <f>TABLA_BASE[[#This Row],[GANANCIA
UNIT.(S/.)]]*'🧾 Factura Comercial'!G458</f>
        <v>0</v>
      </c>
      <c r="AZ454" s="277">
        <f>IF(TABLA_BASE[[#This Row],[PRECIO VTA.
c/IGV(S/.)]]=0,0,TABLA_BASE[[#This Row],[GANANCIA
UNIT.(S/.)]]/TABLA_BASE[[#This Row],[PRECIO VTA.
c/IGV(S/.)]])</f>
        <v>0</v>
      </c>
      <c r="BA454" s="277">
        <f>IF(TABLA_BASE[[#This Row],[C/M UNIT.
(S/.)]]=0,0,TABLA_BASE[[#This Row],[GANANCIA
UNIT.(S/.)]]/TABLA_BASE[[#This Row],[C/M UNIT.
(S/.)]])</f>
        <v>0</v>
      </c>
      <c r="BB454" s="274" t="str">
        <f>IF(TABLA_BASE[[#This Row],[MARGEN
%]]&gt;=0.5,"🟢 ALTO",IF(TABLA_BASE[[#This Row],[MARGEN
%]]&gt;=0.3,"🟡 MEDIO","🔴 BAJO"))</f>
        <v>🟡 MEDIO</v>
      </c>
    </row>
    <row r="455" spans="1:54" ht="16.5" hidden="1" thickTop="1" thickBot="1" x14ac:dyDescent="0.3">
      <c r="A455" s="274">
        <f>'🧾 Factura Comercial'!E459</f>
        <v>0</v>
      </c>
      <c r="B455" s="274" t="str">
        <f>'🧾 Factura Comercial'!F459</f>
        <v>Unid.</v>
      </c>
      <c r="C455" s="275">
        <f>'🧾 Factura Comercial'!G459</f>
        <v>0</v>
      </c>
      <c r="D455" s="276">
        <f>'🧾 Factura Comercial'!H459</f>
        <v>0</v>
      </c>
      <c r="E455" s="276">
        <f>'🧾 Factura Comercial'!I459</f>
        <v>0</v>
      </c>
      <c r="F455" s="277">
        <f>IF('🧾 Tributos Aduana'!$F$6=0,0,'🧾 Factura Comercial'!I459/'🧾 Tributos Aduana'!$F$6)</f>
        <v>0</v>
      </c>
      <c r="G455" s="278">
        <f>'🧾 Factura Comercial'!H459*'📋 Datos Generales'!$E$19</f>
        <v>0</v>
      </c>
      <c r="H455" s="278">
        <f>TABLA_BASE[[#This Row],[FOB UNIT.
(S/.)]]*TABLA_BASE[[#This Row],[CANTIDAD
(unid.)]]</f>
        <v>0</v>
      </c>
      <c r="I455" s="280">
        <f>IF('🧾 Tributos Aduana'!$F$6=0,0,'🧾 Tributos Aduana'!$F$17*('🧾 Factura Comercial'!H459/'🧾 Tributos Aduana'!$F$6))</f>
        <v>0</v>
      </c>
      <c r="J455" s="280">
        <f>TABLA_BASE[[#This Row],[ADV UNIT.
(US$)
⚠️COSTO]]*TABLA_BASE[[#This Row],[CANTIDAD
(unid.)]]</f>
        <v>0</v>
      </c>
      <c r="K455" s="279">
        <f>IF('🧾 Tributos Aduana'!$F$6=0,0,'🧾 Tributos Aduana'!$F$18*('🧾 Factura Comercial'!H459/'🧾 Tributos Aduana'!$F$6))</f>
        <v>0</v>
      </c>
      <c r="L455" s="280">
        <f>TABLA_BASE[[#This Row],[IPM UNIT.
(US$)
✅CF]]*TABLA_BASE[[#This Row],[CANTIDAD
(unid.)]]</f>
        <v>0</v>
      </c>
      <c r="M455" s="279">
        <f>IF('🧾 Tributos Aduana'!$F$6=0,0,'🧾 Tributos Aduana'!$F$19*('🧾 Factura Comercial'!H459/'🧾 Tributos Aduana'!$F$6))</f>
        <v>0</v>
      </c>
      <c r="N455" s="280">
        <f>TABLA_BASE[[#This Row],[IGV UNIT.
(US$)
✅CF]]*TABLA_BASE[[#This Row],[CANTIDAD
(unid.)]]</f>
        <v>0</v>
      </c>
      <c r="O455" s="280">
        <f>IF('🧾 Tributos Aduana'!$F$6=0,0,'🧾 Tributos Aduana'!$F$23*('🧾 Factura Comercial'!H459/'🧾 Tributos Aduana'!$F$6))</f>
        <v>0</v>
      </c>
      <c r="P455" s="280">
        <f>TABLA_BASE[[#This Row],[PERCEP.
UNIT.(US$)
✅CF]]*TABLA_BASE[[#This Row],[CANTIDAD
(unid.)]]</f>
        <v>0</v>
      </c>
      <c r="Q455" s="279">
        <f>TABLA_BASE[[#This Row],[ADV UNIT.
(US$)
⚠️COSTO]]+TABLA_BASE[[#This Row],[IPM UNIT.
(US$)
✅CF]]+TABLA_BASE[[#This Row],[IGV UNIT.
(US$)
✅CF]]</f>
        <v>0</v>
      </c>
      <c r="R455" s="280">
        <f>TABLA_BASE[[#This Row],[DEUDA
ADUANERA
UNIT.]]*TABLA_BASE[[#This Row],[CANTIDAD
(unid.)]]</f>
        <v>0</v>
      </c>
      <c r="S455" s="278">
        <f>TABLA_BASE[[#This Row],[DEUDA
ADUANERA
UNIT.]]*'📋 Datos Generales'!$E$19</f>
        <v>0</v>
      </c>
      <c r="T455" s="278">
        <f>TABLA_BASE[[#This Row],[DEUDA
ADUANERA
TOTAL]]*'📋 Datos Generales'!$E$19</f>
        <v>0</v>
      </c>
      <c r="U455" s="281">
        <f>TABLA_BASE[[#This Row],[ADV UNIT.
(US$)
⚠️COSTO]]*'📋 Datos Generales'!$E$19</f>
        <v>0</v>
      </c>
      <c r="V455" s="281">
        <f>TABLA_BASE[[#This Row],[ADV UNIT.
(S/.)]]*TABLA_BASE[[#This Row],[CANTIDAD
(unid.)]]</f>
        <v>0</v>
      </c>
      <c r="W455" s="281">
        <f>TABLA_BASE[[#This Row],[IPM UNIT.
(US$)
✅CF]]*'📋 Datos Generales'!$E$19</f>
        <v>0</v>
      </c>
      <c r="X455" s="281">
        <f>TABLA_BASE[[#This Row],[IPM UNIT.
(S/.)]]*TABLA_BASE[[#This Row],[CANTIDAD
(unid.)]]</f>
        <v>0</v>
      </c>
      <c r="Y455" s="281">
        <f>TABLA_BASE[[#This Row],[IGV UNIT.
(US$)
✅CF]]*'📋 Datos Generales'!$E$19</f>
        <v>0</v>
      </c>
      <c r="Z455" s="281">
        <f>TABLA_BASE[[#This Row],[IGV UNIT.
(S/.)]]*TABLA_BASE[[#This Row],[CANTIDAD
(unid.)]]</f>
        <v>0</v>
      </c>
      <c r="AA455" s="281">
        <f>TABLA_BASE[[#This Row],[PERCEP.
UNIT.(US$)
✅CF]]*'📋 Datos Generales'!$E$19</f>
        <v>0</v>
      </c>
      <c r="AB455" s="281">
        <f>TABLA_BASE[[#This Row],[PERCEP.
UNIT.(S/.)]]*TABLA_BASE[[#This Row],[CANTIDAD
(unid.)]]</f>
        <v>0</v>
      </c>
      <c r="AC455" s="279">
        <f>TABLA_BASE[[#This Row],[ADV UNIT.
(US$)
⚠️COSTO]]+TABLA_BASE[[#This Row],[IPM UNIT.
(US$)
✅CF]]+TABLA_BASE[[#This Row],[IGV UNIT.
(US$)
✅CF]]+TABLA_BASE[[#This Row],[PERCEP.
UNIT.(US$)
✅CF]]</f>
        <v>0</v>
      </c>
      <c r="AD455" s="279">
        <f>TABLA_BASE[[#This Row],[TOTAL PAGO
SUNAT
UNIT.(US$)]]*TABLA_BASE[[#This Row],[CANTIDAD
(unid.)]]</f>
        <v>0</v>
      </c>
      <c r="AE455" s="281">
        <f>TABLA_BASE[[#This Row],[TOTAL PAGO
SUNAT
UNIT.(US$)]]*'📋 Datos Generales'!$E$19</f>
        <v>0</v>
      </c>
      <c r="AF455" s="281">
        <f>TABLA_BASE[[#This Row],[TOTAL TRIB.
UNIT.(S/.)]]*TABLA_BASE[[#This Row],[CANTIDAD
(unid.)]]</f>
        <v>0</v>
      </c>
      <c r="AG455" s="279">
        <f>IF('🧾 Factura Comercial'!G459=0,0,'📦 Gastos Importación'!$E$28*(IF('🧾 Tributos Aduana'!$F$6=0,0,'🧾 Factura Comercial'!I459/'🧾 Tributos Aduana'!$F$6))/'🧾 Factura Comercial'!G459)</f>
        <v>0</v>
      </c>
      <c r="AH455" s="279">
        <f>TABLA_BASE[[#This Row],[GASTOS IMP.
UNIT.(US$)]]*TABLA_BASE[[#This Row],[CANTIDAD
(unid.)]]</f>
        <v>0</v>
      </c>
      <c r="AI455" s="281">
        <f>TABLA_BASE[[#This Row],[GASTOS IMP.
UNIT.(US$)]]*'📋 Datos Generales'!$E$19</f>
        <v>0</v>
      </c>
      <c r="AJ455" s="281">
        <f>TABLA_BASE[[#This Row],[GASTOS IMP.
UNIT.(S/.)]]*TABLA_BASE[[#This Row],[CANTIDAD
(unid.)]]</f>
        <v>0</v>
      </c>
      <c r="AK455" s="280">
        <f>'🧮 Costos x Producto'!J459</f>
        <v>0</v>
      </c>
      <c r="AL455" s="278">
        <f>'🧮 Costos x Producto'!K459</f>
        <v>0</v>
      </c>
      <c r="AM455" s="278">
        <f>TABLA_BASE[[#This Row],[C/M UNIT.
(S/.)]]*TABLA_BASE[[#This Row],[CANTIDAD
(unid.)]]</f>
        <v>0</v>
      </c>
      <c r="AN455" s="279">
        <f>IF('🧾 Factura Comercial'!G459=0,0,'🧾 Tributos Aduana'!$F$17*(IF('🧾 Tributos Aduana'!$F$6=0,0,'🧾 Factura Comercial'!I459/'🧾 Tributos Aduana'!$F$6))/'🧾 Factura Comercial'!G459)</f>
        <v>0</v>
      </c>
      <c r="AO455" s="280">
        <f>IF('🧾 Factura Comercial'!G459=0,0,'🏦 Crédito Fiscal'!$C$16*(IF('🧾 Tributos Aduana'!$F$6=0,0,'🧾 Factura Comercial'!I459/'🧾 Tributos Aduana'!$F$6))/'🧾 Factura Comercial'!G459)</f>
        <v>0</v>
      </c>
      <c r="AP455" s="278">
        <f>TABLA_BASE[[#This Row],[CF UNIT.
✅RECUP.
(US$)]]*'📋 Datos Generales'!$E$19</f>
        <v>0</v>
      </c>
      <c r="AQ455" s="278">
        <f>TABLA_BASE[[#This Row],[CF UNIT.
✅RECUP.(S/.)]]*TABLA_BASE[[#This Row],[CANTIDAD
(unid.)]]</f>
        <v>0</v>
      </c>
      <c r="AR455" s="288">
        <f>'💰 Precio de Venta'!G460</f>
        <v>0.4</v>
      </c>
      <c r="AS455" s="278">
        <f>'💰 Precio de Venta'!H460</f>
        <v>0</v>
      </c>
      <c r="AT455" s="278">
        <f>TABLA_BASE[[#This Row],[VALOR VTA.
UNIT.(S/.)]]*TABLA_BASE[[#This Row],[CANTIDAD
(unid.)]]</f>
        <v>0</v>
      </c>
      <c r="AU455" s="281">
        <f>'💰 Precio de Venta'!I460</f>
        <v>0</v>
      </c>
      <c r="AV455" s="278">
        <f>'💰 Precio de Venta'!J460</f>
        <v>0</v>
      </c>
      <c r="AW455" s="278">
        <f>TABLA_BASE[[#This Row],[GANANCIA
UNIT.(S/.)]]*TABLA_BASE[[#This Row],[CANTIDAD
(unid.)]]</f>
        <v>0</v>
      </c>
      <c r="AX455" s="289">
        <f>'💰 Precio de Venta'!K460</f>
        <v>0</v>
      </c>
      <c r="AY455" s="278">
        <f>TABLA_BASE[[#This Row],[GANANCIA
UNIT.(S/.)]]*'🧾 Factura Comercial'!G459</f>
        <v>0</v>
      </c>
      <c r="AZ455" s="277">
        <f>IF(TABLA_BASE[[#This Row],[PRECIO VTA.
c/IGV(S/.)]]=0,0,TABLA_BASE[[#This Row],[GANANCIA
UNIT.(S/.)]]/TABLA_BASE[[#This Row],[PRECIO VTA.
c/IGV(S/.)]])</f>
        <v>0</v>
      </c>
      <c r="BA455" s="277">
        <f>IF(TABLA_BASE[[#This Row],[C/M UNIT.
(S/.)]]=0,0,TABLA_BASE[[#This Row],[GANANCIA
UNIT.(S/.)]]/TABLA_BASE[[#This Row],[C/M UNIT.
(S/.)]])</f>
        <v>0</v>
      </c>
      <c r="BB455" s="274" t="str">
        <f>IF(TABLA_BASE[[#This Row],[MARGEN
%]]&gt;=0.5,"🟢 ALTO",IF(TABLA_BASE[[#This Row],[MARGEN
%]]&gt;=0.3,"🟡 MEDIO","🔴 BAJO"))</f>
        <v>🟡 MEDIO</v>
      </c>
    </row>
    <row r="456" spans="1:54" ht="16.5" hidden="1" thickTop="1" thickBot="1" x14ac:dyDescent="0.3">
      <c r="A456" s="274">
        <f>'🧾 Factura Comercial'!E460</f>
        <v>0</v>
      </c>
      <c r="B456" s="274" t="str">
        <f>'🧾 Factura Comercial'!F460</f>
        <v>Unid.</v>
      </c>
      <c r="C456" s="275">
        <f>'🧾 Factura Comercial'!G460</f>
        <v>0</v>
      </c>
      <c r="D456" s="276">
        <f>'🧾 Factura Comercial'!H460</f>
        <v>0</v>
      </c>
      <c r="E456" s="276">
        <f>'🧾 Factura Comercial'!I460</f>
        <v>0</v>
      </c>
      <c r="F456" s="277">
        <f>IF('🧾 Tributos Aduana'!$F$6=0,0,'🧾 Factura Comercial'!I460/'🧾 Tributos Aduana'!$F$6)</f>
        <v>0</v>
      </c>
      <c r="G456" s="278">
        <f>'🧾 Factura Comercial'!H460*'📋 Datos Generales'!$E$19</f>
        <v>0</v>
      </c>
      <c r="H456" s="278">
        <f>TABLA_BASE[[#This Row],[FOB UNIT.
(S/.)]]*TABLA_BASE[[#This Row],[CANTIDAD
(unid.)]]</f>
        <v>0</v>
      </c>
      <c r="I456" s="280">
        <f>IF('🧾 Tributos Aduana'!$F$6=0,0,'🧾 Tributos Aduana'!$F$17*('🧾 Factura Comercial'!H460/'🧾 Tributos Aduana'!$F$6))</f>
        <v>0</v>
      </c>
      <c r="J456" s="280">
        <f>TABLA_BASE[[#This Row],[ADV UNIT.
(US$)
⚠️COSTO]]*TABLA_BASE[[#This Row],[CANTIDAD
(unid.)]]</f>
        <v>0</v>
      </c>
      <c r="K456" s="279">
        <f>IF('🧾 Tributos Aduana'!$F$6=0,0,'🧾 Tributos Aduana'!$F$18*('🧾 Factura Comercial'!H460/'🧾 Tributos Aduana'!$F$6))</f>
        <v>0</v>
      </c>
      <c r="L456" s="280">
        <f>TABLA_BASE[[#This Row],[IPM UNIT.
(US$)
✅CF]]*TABLA_BASE[[#This Row],[CANTIDAD
(unid.)]]</f>
        <v>0</v>
      </c>
      <c r="M456" s="279">
        <f>IF('🧾 Tributos Aduana'!$F$6=0,0,'🧾 Tributos Aduana'!$F$19*('🧾 Factura Comercial'!H460/'🧾 Tributos Aduana'!$F$6))</f>
        <v>0</v>
      </c>
      <c r="N456" s="280">
        <f>TABLA_BASE[[#This Row],[IGV UNIT.
(US$)
✅CF]]*TABLA_BASE[[#This Row],[CANTIDAD
(unid.)]]</f>
        <v>0</v>
      </c>
      <c r="O456" s="280">
        <f>IF('🧾 Tributos Aduana'!$F$6=0,0,'🧾 Tributos Aduana'!$F$23*('🧾 Factura Comercial'!H460/'🧾 Tributos Aduana'!$F$6))</f>
        <v>0</v>
      </c>
      <c r="P456" s="280">
        <f>TABLA_BASE[[#This Row],[PERCEP.
UNIT.(US$)
✅CF]]*TABLA_BASE[[#This Row],[CANTIDAD
(unid.)]]</f>
        <v>0</v>
      </c>
      <c r="Q456" s="279">
        <f>TABLA_BASE[[#This Row],[ADV UNIT.
(US$)
⚠️COSTO]]+TABLA_BASE[[#This Row],[IPM UNIT.
(US$)
✅CF]]+TABLA_BASE[[#This Row],[IGV UNIT.
(US$)
✅CF]]</f>
        <v>0</v>
      </c>
      <c r="R456" s="280">
        <f>TABLA_BASE[[#This Row],[DEUDA
ADUANERA
UNIT.]]*TABLA_BASE[[#This Row],[CANTIDAD
(unid.)]]</f>
        <v>0</v>
      </c>
      <c r="S456" s="278">
        <f>TABLA_BASE[[#This Row],[DEUDA
ADUANERA
UNIT.]]*'📋 Datos Generales'!$E$19</f>
        <v>0</v>
      </c>
      <c r="T456" s="278">
        <f>TABLA_BASE[[#This Row],[DEUDA
ADUANERA
TOTAL]]*'📋 Datos Generales'!$E$19</f>
        <v>0</v>
      </c>
      <c r="U456" s="281">
        <f>TABLA_BASE[[#This Row],[ADV UNIT.
(US$)
⚠️COSTO]]*'📋 Datos Generales'!$E$19</f>
        <v>0</v>
      </c>
      <c r="V456" s="281">
        <f>TABLA_BASE[[#This Row],[ADV UNIT.
(S/.)]]*TABLA_BASE[[#This Row],[CANTIDAD
(unid.)]]</f>
        <v>0</v>
      </c>
      <c r="W456" s="281">
        <f>TABLA_BASE[[#This Row],[IPM UNIT.
(US$)
✅CF]]*'📋 Datos Generales'!$E$19</f>
        <v>0</v>
      </c>
      <c r="X456" s="281">
        <f>TABLA_BASE[[#This Row],[IPM UNIT.
(S/.)]]*TABLA_BASE[[#This Row],[CANTIDAD
(unid.)]]</f>
        <v>0</v>
      </c>
      <c r="Y456" s="281">
        <f>TABLA_BASE[[#This Row],[IGV UNIT.
(US$)
✅CF]]*'📋 Datos Generales'!$E$19</f>
        <v>0</v>
      </c>
      <c r="Z456" s="281">
        <f>TABLA_BASE[[#This Row],[IGV UNIT.
(S/.)]]*TABLA_BASE[[#This Row],[CANTIDAD
(unid.)]]</f>
        <v>0</v>
      </c>
      <c r="AA456" s="281">
        <f>TABLA_BASE[[#This Row],[PERCEP.
UNIT.(US$)
✅CF]]*'📋 Datos Generales'!$E$19</f>
        <v>0</v>
      </c>
      <c r="AB456" s="281">
        <f>TABLA_BASE[[#This Row],[PERCEP.
UNIT.(S/.)]]*TABLA_BASE[[#This Row],[CANTIDAD
(unid.)]]</f>
        <v>0</v>
      </c>
      <c r="AC456" s="279">
        <f>TABLA_BASE[[#This Row],[ADV UNIT.
(US$)
⚠️COSTO]]+TABLA_BASE[[#This Row],[IPM UNIT.
(US$)
✅CF]]+TABLA_BASE[[#This Row],[IGV UNIT.
(US$)
✅CF]]+TABLA_BASE[[#This Row],[PERCEP.
UNIT.(US$)
✅CF]]</f>
        <v>0</v>
      </c>
      <c r="AD456" s="279">
        <f>TABLA_BASE[[#This Row],[TOTAL PAGO
SUNAT
UNIT.(US$)]]*TABLA_BASE[[#This Row],[CANTIDAD
(unid.)]]</f>
        <v>0</v>
      </c>
      <c r="AE456" s="281">
        <f>TABLA_BASE[[#This Row],[TOTAL PAGO
SUNAT
UNIT.(US$)]]*'📋 Datos Generales'!$E$19</f>
        <v>0</v>
      </c>
      <c r="AF456" s="281">
        <f>TABLA_BASE[[#This Row],[TOTAL TRIB.
UNIT.(S/.)]]*TABLA_BASE[[#This Row],[CANTIDAD
(unid.)]]</f>
        <v>0</v>
      </c>
      <c r="AG456" s="279">
        <f>IF('🧾 Factura Comercial'!G460=0,0,'📦 Gastos Importación'!$E$28*(IF('🧾 Tributos Aduana'!$F$6=0,0,'🧾 Factura Comercial'!I460/'🧾 Tributos Aduana'!$F$6))/'🧾 Factura Comercial'!G460)</f>
        <v>0</v>
      </c>
      <c r="AH456" s="279">
        <f>TABLA_BASE[[#This Row],[GASTOS IMP.
UNIT.(US$)]]*TABLA_BASE[[#This Row],[CANTIDAD
(unid.)]]</f>
        <v>0</v>
      </c>
      <c r="AI456" s="281">
        <f>TABLA_BASE[[#This Row],[GASTOS IMP.
UNIT.(US$)]]*'📋 Datos Generales'!$E$19</f>
        <v>0</v>
      </c>
      <c r="AJ456" s="281">
        <f>TABLA_BASE[[#This Row],[GASTOS IMP.
UNIT.(S/.)]]*TABLA_BASE[[#This Row],[CANTIDAD
(unid.)]]</f>
        <v>0</v>
      </c>
      <c r="AK456" s="280">
        <f>'🧮 Costos x Producto'!J460</f>
        <v>0</v>
      </c>
      <c r="AL456" s="278">
        <f>'🧮 Costos x Producto'!K460</f>
        <v>0</v>
      </c>
      <c r="AM456" s="278">
        <f>TABLA_BASE[[#This Row],[C/M UNIT.
(S/.)]]*TABLA_BASE[[#This Row],[CANTIDAD
(unid.)]]</f>
        <v>0</v>
      </c>
      <c r="AN456" s="279">
        <f>IF('🧾 Factura Comercial'!G460=0,0,'🧾 Tributos Aduana'!$F$17*(IF('🧾 Tributos Aduana'!$F$6=0,0,'🧾 Factura Comercial'!I460/'🧾 Tributos Aduana'!$F$6))/'🧾 Factura Comercial'!G460)</f>
        <v>0</v>
      </c>
      <c r="AO456" s="280">
        <f>IF('🧾 Factura Comercial'!G460=0,0,'🏦 Crédito Fiscal'!$C$16*(IF('🧾 Tributos Aduana'!$F$6=0,0,'🧾 Factura Comercial'!I460/'🧾 Tributos Aduana'!$F$6))/'🧾 Factura Comercial'!G460)</f>
        <v>0</v>
      </c>
      <c r="AP456" s="278">
        <f>TABLA_BASE[[#This Row],[CF UNIT.
✅RECUP.
(US$)]]*'📋 Datos Generales'!$E$19</f>
        <v>0</v>
      </c>
      <c r="AQ456" s="278">
        <f>TABLA_BASE[[#This Row],[CF UNIT.
✅RECUP.(S/.)]]*TABLA_BASE[[#This Row],[CANTIDAD
(unid.)]]</f>
        <v>0</v>
      </c>
      <c r="AR456" s="288">
        <f>'💰 Precio de Venta'!G461</f>
        <v>0.4</v>
      </c>
      <c r="AS456" s="278">
        <f>'💰 Precio de Venta'!H461</f>
        <v>0</v>
      </c>
      <c r="AT456" s="278">
        <f>TABLA_BASE[[#This Row],[VALOR VTA.
UNIT.(S/.)]]*TABLA_BASE[[#This Row],[CANTIDAD
(unid.)]]</f>
        <v>0</v>
      </c>
      <c r="AU456" s="281">
        <f>'💰 Precio de Venta'!I461</f>
        <v>0</v>
      </c>
      <c r="AV456" s="278">
        <f>'💰 Precio de Venta'!J461</f>
        <v>0</v>
      </c>
      <c r="AW456" s="278">
        <f>TABLA_BASE[[#This Row],[GANANCIA
UNIT.(S/.)]]*TABLA_BASE[[#This Row],[CANTIDAD
(unid.)]]</f>
        <v>0</v>
      </c>
      <c r="AX456" s="289">
        <f>'💰 Precio de Venta'!K461</f>
        <v>0</v>
      </c>
      <c r="AY456" s="278">
        <f>TABLA_BASE[[#This Row],[GANANCIA
UNIT.(S/.)]]*'🧾 Factura Comercial'!G460</f>
        <v>0</v>
      </c>
      <c r="AZ456" s="277">
        <f>IF(TABLA_BASE[[#This Row],[PRECIO VTA.
c/IGV(S/.)]]=0,0,TABLA_BASE[[#This Row],[GANANCIA
UNIT.(S/.)]]/TABLA_BASE[[#This Row],[PRECIO VTA.
c/IGV(S/.)]])</f>
        <v>0</v>
      </c>
      <c r="BA456" s="277">
        <f>IF(TABLA_BASE[[#This Row],[C/M UNIT.
(S/.)]]=0,0,TABLA_BASE[[#This Row],[GANANCIA
UNIT.(S/.)]]/TABLA_BASE[[#This Row],[C/M UNIT.
(S/.)]])</f>
        <v>0</v>
      </c>
      <c r="BB456" s="274" t="str">
        <f>IF(TABLA_BASE[[#This Row],[MARGEN
%]]&gt;=0.5,"🟢 ALTO",IF(TABLA_BASE[[#This Row],[MARGEN
%]]&gt;=0.3,"🟡 MEDIO","🔴 BAJO"))</f>
        <v>🟡 MEDIO</v>
      </c>
    </row>
    <row r="457" spans="1:54" ht="16.5" hidden="1" thickTop="1" thickBot="1" x14ac:dyDescent="0.3">
      <c r="A457" s="274">
        <f>'🧾 Factura Comercial'!E461</f>
        <v>0</v>
      </c>
      <c r="B457" s="274" t="str">
        <f>'🧾 Factura Comercial'!F461</f>
        <v>Unid.</v>
      </c>
      <c r="C457" s="275">
        <f>'🧾 Factura Comercial'!G461</f>
        <v>0</v>
      </c>
      <c r="D457" s="276">
        <f>'🧾 Factura Comercial'!H461</f>
        <v>0</v>
      </c>
      <c r="E457" s="276">
        <f>'🧾 Factura Comercial'!I461</f>
        <v>0</v>
      </c>
      <c r="F457" s="277">
        <f>IF('🧾 Tributos Aduana'!$F$6=0,0,'🧾 Factura Comercial'!I461/'🧾 Tributos Aduana'!$F$6)</f>
        <v>0</v>
      </c>
      <c r="G457" s="278">
        <f>'🧾 Factura Comercial'!H461*'📋 Datos Generales'!$E$19</f>
        <v>0</v>
      </c>
      <c r="H457" s="278">
        <f>TABLA_BASE[[#This Row],[FOB UNIT.
(S/.)]]*TABLA_BASE[[#This Row],[CANTIDAD
(unid.)]]</f>
        <v>0</v>
      </c>
      <c r="I457" s="280">
        <f>IF('🧾 Tributos Aduana'!$F$6=0,0,'🧾 Tributos Aduana'!$F$17*('🧾 Factura Comercial'!H461/'🧾 Tributos Aduana'!$F$6))</f>
        <v>0</v>
      </c>
      <c r="J457" s="280">
        <f>TABLA_BASE[[#This Row],[ADV UNIT.
(US$)
⚠️COSTO]]*TABLA_BASE[[#This Row],[CANTIDAD
(unid.)]]</f>
        <v>0</v>
      </c>
      <c r="K457" s="279">
        <f>IF('🧾 Tributos Aduana'!$F$6=0,0,'🧾 Tributos Aduana'!$F$18*('🧾 Factura Comercial'!H461/'🧾 Tributos Aduana'!$F$6))</f>
        <v>0</v>
      </c>
      <c r="L457" s="280">
        <f>TABLA_BASE[[#This Row],[IPM UNIT.
(US$)
✅CF]]*TABLA_BASE[[#This Row],[CANTIDAD
(unid.)]]</f>
        <v>0</v>
      </c>
      <c r="M457" s="279">
        <f>IF('🧾 Tributos Aduana'!$F$6=0,0,'🧾 Tributos Aduana'!$F$19*('🧾 Factura Comercial'!H461/'🧾 Tributos Aduana'!$F$6))</f>
        <v>0</v>
      </c>
      <c r="N457" s="280">
        <f>TABLA_BASE[[#This Row],[IGV UNIT.
(US$)
✅CF]]*TABLA_BASE[[#This Row],[CANTIDAD
(unid.)]]</f>
        <v>0</v>
      </c>
      <c r="O457" s="280">
        <f>IF('🧾 Tributos Aduana'!$F$6=0,0,'🧾 Tributos Aduana'!$F$23*('🧾 Factura Comercial'!H461/'🧾 Tributos Aduana'!$F$6))</f>
        <v>0</v>
      </c>
      <c r="P457" s="280">
        <f>TABLA_BASE[[#This Row],[PERCEP.
UNIT.(US$)
✅CF]]*TABLA_BASE[[#This Row],[CANTIDAD
(unid.)]]</f>
        <v>0</v>
      </c>
      <c r="Q457" s="279">
        <f>TABLA_BASE[[#This Row],[ADV UNIT.
(US$)
⚠️COSTO]]+TABLA_BASE[[#This Row],[IPM UNIT.
(US$)
✅CF]]+TABLA_BASE[[#This Row],[IGV UNIT.
(US$)
✅CF]]</f>
        <v>0</v>
      </c>
      <c r="R457" s="280">
        <f>TABLA_BASE[[#This Row],[DEUDA
ADUANERA
UNIT.]]*TABLA_BASE[[#This Row],[CANTIDAD
(unid.)]]</f>
        <v>0</v>
      </c>
      <c r="S457" s="278">
        <f>TABLA_BASE[[#This Row],[DEUDA
ADUANERA
UNIT.]]*'📋 Datos Generales'!$E$19</f>
        <v>0</v>
      </c>
      <c r="T457" s="278">
        <f>TABLA_BASE[[#This Row],[DEUDA
ADUANERA
TOTAL]]*'📋 Datos Generales'!$E$19</f>
        <v>0</v>
      </c>
      <c r="U457" s="281">
        <f>TABLA_BASE[[#This Row],[ADV UNIT.
(US$)
⚠️COSTO]]*'📋 Datos Generales'!$E$19</f>
        <v>0</v>
      </c>
      <c r="V457" s="281">
        <f>TABLA_BASE[[#This Row],[ADV UNIT.
(S/.)]]*TABLA_BASE[[#This Row],[CANTIDAD
(unid.)]]</f>
        <v>0</v>
      </c>
      <c r="W457" s="281">
        <f>TABLA_BASE[[#This Row],[IPM UNIT.
(US$)
✅CF]]*'📋 Datos Generales'!$E$19</f>
        <v>0</v>
      </c>
      <c r="X457" s="281">
        <f>TABLA_BASE[[#This Row],[IPM UNIT.
(S/.)]]*TABLA_BASE[[#This Row],[CANTIDAD
(unid.)]]</f>
        <v>0</v>
      </c>
      <c r="Y457" s="281">
        <f>TABLA_BASE[[#This Row],[IGV UNIT.
(US$)
✅CF]]*'📋 Datos Generales'!$E$19</f>
        <v>0</v>
      </c>
      <c r="Z457" s="281">
        <f>TABLA_BASE[[#This Row],[IGV UNIT.
(S/.)]]*TABLA_BASE[[#This Row],[CANTIDAD
(unid.)]]</f>
        <v>0</v>
      </c>
      <c r="AA457" s="281">
        <f>TABLA_BASE[[#This Row],[PERCEP.
UNIT.(US$)
✅CF]]*'📋 Datos Generales'!$E$19</f>
        <v>0</v>
      </c>
      <c r="AB457" s="281">
        <f>TABLA_BASE[[#This Row],[PERCEP.
UNIT.(S/.)]]*TABLA_BASE[[#This Row],[CANTIDAD
(unid.)]]</f>
        <v>0</v>
      </c>
      <c r="AC457" s="279">
        <f>TABLA_BASE[[#This Row],[ADV UNIT.
(US$)
⚠️COSTO]]+TABLA_BASE[[#This Row],[IPM UNIT.
(US$)
✅CF]]+TABLA_BASE[[#This Row],[IGV UNIT.
(US$)
✅CF]]+TABLA_BASE[[#This Row],[PERCEP.
UNIT.(US$)
✅CF]]</f>
        <v>0</v>
      </c>
      <c r="AD457" s="279">
        <f>TABLA_BASE[[#This Row],[TOTAL PAGO
SUNAT
UNIT.(US$)]]*TABLA_BASE[[#This Row],[CANTIDAD
(unid.)]]</f>
        <v>0</v>
      </c>
      <c r="AE457" s="281">
        <f>TABLA_BASE[[#This Row],[TOTAL PAGO
SUNAT
UNIT.(US$)]]*'📋 Datos Generales'!$E$19</f>
        <v>0</v>
      </c>
      <c r="AF457" s="281">
        <f>TABLA_BASE[[#This Row],[TOTAL TRIB.
UNIT.(S/.)]]*TABLA_BASE[[#This Row],[CANTIDAD
(unid.)]]</f>
        <v>0</v>
      </c>
      <c r="AG457" s="279">
        <f>IF('🧾 Factura Comercial'!G461=0,0,'📦 Gastos Importación'!$E$28*(IF('🧾 Tributos Aduana'!$F$6=0,0,'🧾 Factura Comercial'!I461/'🧾 Tributos Aduana'!$F$6))/'🧾 Factura Comercial'!G461)</f>
        <v>0</v>
      </c>
      <c r="AH457" s="279">
        <f>TABLA_BASE[[#This Row],[GASTOS IMP.
UNIT.(US$)]]*TABLA_BASE[[#This Row],[CANTIDAD
(unid.)]]</f>
        <v>0</v>
      </c>
      <c r="AI457" s="281">
        <f>TABLA_BASE[[#This Row],[GASTOS IMP.
UNIT.(US$)]]*'📋 Datos Generales'!$E$19</f>
        <v>0</v>
      </c>
      <c r="AJ457" s="281">
        <f>TABLA_BASE[[#This Row],[GASTOS IMP.
UNIT.(S/.)]]*TABLA_BASE[[#This Row],[CANTIDAD
(unid.)]]</f>
        <v>0</v>
      </c>
      <c r="AK457" s="280">
        <f>'🧮 Costos x Producto'!J461</f>
        <v>0</v>
      </c>
      <c r="AL457" s="278">
        <f>'🧮 Costos x Producto'!K461</f>
        <v>0</v>
      </c>
      <c r="AM457" s="278">
        <f>TABLA_BASE[[#This Row],[C/M UNIT.
(S/.)]]*TABLA_BASE[[#This Row],[CANTIDAD
(unid.)]]</f>
        <v>0</v>
      </c>
      <c r="AN457" s="279">
        <f>IF('🧾 Factura Comercial'!G461=0,0,'🧾 Tributos Aduana'!$F$17*(IF('🧾 Tributos Aduana'!$F$6=0,0,'🧾 Factura Comercial'!I461/'🧾 Tributos Aduana'!$F$6))/'🧾 Factura Comercial'!G461)</f>
        <v>0</v>
      </c>
      <c r="AO457" s="280">
        <f>IF('🧾 Factura Comercial'!G461=0,0,'🏦 Crédito Fiscal'!$C$16*(IF('🧾 Tributos Aduana'!$F$6=0,0,'🧾 Factura Comercial'!I461/'🧾 Tributos Aduana'!$F$6))/'🧾 Factura Comercial'!G461)</f>
        <v>0</v>
      </c>
      <c r="AP457" s="278">
        <f>TABLA_BASE[[#This Row],[CF UNIT.
✅RECUP.
(US$)]]*'📋 Datos Generales'!$E$19</f>
        <v>0</v>
      </c>
      <c r="AQ457" s="278">
        <f>TABLA_BASE[[#This Row],[CF UNIT.
✅RECUP.(S/.)]]*TABLA_BASE[[#This Row],[CANTIDAD
(unid.)]]</f>
        <v>0</v>
      </c>
      <c r="AR457" s="288">
        <f>'💰 Precio de Venta'!G462</f>
        <v>0.4</v>
      </c>
      <c r="AS457" s="278">
        <f>'💰 Precio de Venta'!H462</f>
        <v>0</v>
      </c>
      <c r="AT457" s="278">
        <f>TABLA_BASE[[#This Row],[VALOR VTA.
UNIT.(S/.)]]*TABLA_BASE[[#This Row],[CANTIDAD
(unid.)]]</f>
        <v>0</v>
      </c>
      <c r="AU457" s="281">
        <f>'💰 Precio de Venta'!I462</f>
        <v>0</v>
      </c>
      <c r="AV457" s="278">
        <f>'💰 Precio de Venta'!J462</f>
        <v>0</v>
      </c>
      <c r="AW457" s="278">
        <f>TABLA_BASE[[#This Row],[GANANCIA
UNIT.(S/.)]]*TABLA_BASE[[#This Row],[CANTIDAD
(unid.)]]</f>
        <v>0</v>
      </c>
      <c r="AX457" s="289">
        <f>'💰 Precio de Venta'!K462</f>
        <v>0</v>
      </c>
      <c r="AY457" s="278">
        <f>TABLA_BASE[[#This Row],[GANANCIA
UNIT.(S/.)]]*'🧾 Factura Comercial'!G461</f>
        <v>0</v>
      </c>
      <c r="AZ457" s="277">
        <f>IF(TABLA_BASE[[#This Row],[PRECIO VTA.
c/IGV(S/.)]]=0,0,TABLA_BASE[[#This Row],[GANANCIA
UNIT.(S/.)]]/TABLA_BASE[[#This Row],[PRECIO VTA.
c/IGV(S/.)]])</f>
        <v>0</v>
      </c>
      <c r="BA457" s="277">
        <f>IF(TABLA_BASE[[#This Row],[C/M UNIT.
(S/.)]]=0,0,TABLA_BASE[[#This Row],[GANANCIA
UNIT.(S/.)]]/TABLA_BASE[[#This Row],[C/M UNIT.
(S/.)]])</f>
        <v>0</v>
      </c>
      <c r="BB457" s="274" t="str">
        <f>IF(TABLA_BASE[[#This Row],[MARGEN
%]]&gt;=0.5,"🟢 ALTO",IF(TABLA_BASE[[#This Row],[MARGEN
%]]&gt;=0.3,"🟡 MEDIO","🔴 BAJO"))</f>
        <v>🟡 MEDIO</v>
      </c>
    </row>
    <row r="458" spans="1:54" ht="16.5" hidden="1" thickTop="1" thickBot="1" x14ac:dyDescent="0.3">
      <c r="A458" s="274">
        <f>'🧾 Factura Comercial'!E462</f>
        <v>0</v>
      </c>
      <c r="B458" s="274" t="str">
        <f>'🧾 Factura Comercial'!F462</f>
        <v>Unid.</v>
      </c>
      <c r="C458" s="275">
        <f>'🧾 Factura Comercial'!G462</f>
        <v>0</v>
      </c>
      <c r="D458" s="276">
        <f>'🧾 Factura Comercial'!H462</f>
        <v>0</v>
      </c>
      <c r="E458" s="276">
        <f>'🧾 Factura Comercial'!I462</f>
        <v>0</v>
      </c>
      <c r="F458" s="277">
        <f>IF('🧾 Tributos Aduana'!$F$6=0,0,'🧾 Factura Comercial'!I462/'🧾 Tributos Aduana'!$F$6)</f>
        <v>0</v>
      </c>
      <c r="G458" s="278">
        <f>'🧾 Factura Comercial'!H462*'📋 Datos Generales'!$E$19</f>
        <v>0</v>
      </c>
      <c r="H458" s="278">
        <f>TABLA_BASE[[#This Row],[FOB UNIT.
(S/.)]]*TABLA_BASE[[#This Row],[CANTIDAD
(unid.)]]</f>
        <v>0</v>
      </c>
      <c r="I458" s="280">
        <f>IF('🧾 Tributos Aduana'!$F$6=0,0,'🧾 Tributos Aduana'!$F$17*('🧾 Factura Comercial'!H462/'🧾 Tributos Aduana'!$F$6))</f>
        <v>0</v>
      </c>
      <c r="J458" s="280">
        <f>TABLA_BASE[[#This Row],[ADV UNIT.
(US$)
⚠️COSTO]]*TABLA_BASE[[#This Row],[CANTIDAD
(unid.)]]</f>
        <v>0</v>
      </c>
      <c r="K458" s="279">
        <f>IF('🧾 Tributos Aduana'!$F$6=0,0,'🧾 Tributos Aduana'!$F$18*('🧾 Factura Comercial'!H462/'🧾 Tributos Aduana'!$F$6))</f>
        <v>0</v>
      </c>
      <c r="L458" s="280">
        <f>TABLA_BASE[[#This Row],[IPM UNIT.
(US$)
✅CF]]*TABLA_BASE[[#This Row],[CANTIDAD
(unid.)]]</f>
        <v>0</v>
      </c>
      <c r="M458" s="279">
        <f>IF('🧾 Tributos Aduana'!$F$6=0,0,'🧾 Tributos Aduana'!$F$19*('🧾 Factura Comercial'!H462/'🧾 Tributos Aduana'!$F$6))</f>
        <v>0</v>
      </c>
      <c r="N458" s="280">
        <f>TABLA_BASE[[#This Row],[IGV UNIT.
(US$)
✅CF]]*TABLA_BASE[[#This Row],[CANTIDAD
(unid.)]]</f>
        <v>0</v>
      </c>
      <c r="O458" s="280">
        <f>IF('🧾 Tributos Aduana'!$F$6=0,0,'🧾 Tributos Aduana'!$F$23*('🧾 Factura Comercial'!H462/'🧾 Tributos Aduana'!$F$6))</f>
        <v>0</v>
      </c>
      <c r="P458" s="280">
        <f>TABLA_BASE[[#This Row],[PERCEP.
UNIT.(US$)
✅CF]]*TABLA_BASE[[#This Row],[CANTIDAD
(unid.)]]</f>
        <v>0</v>
      </c>
      <c r="Q458" s="279">
        <f>TABLA_BASE[[#This Row],[ADV UNIT.
(US$)
⚠️COSTO]]+TABLA_BASE[[#This Row],[IPM UNIT.
(US$)
✅CF]]+TABLA_BASE[[#This Row],[IGV UNIT.
(US$)
✅CF]]</f>
        <v>0</v>
      </c>
      <c r="R458" s="280">
        <f>TABLA_BASE[[#This Row],[DEUDA
ADUANERA
UNIT.]]*TABLA_BASE[[#This Row],[CANTIDAD
(unid.)]]</f>
        <v>0</v>
      </c>
      <c r="S458" s="278">
        <f>TABLA_BASE[[#This Row],[DEUDA
ADUANERA
UNIT.]]*'📋 Datos Generales'!$E$19</f>
        <v>0</v>
      </c>
      <c r="T458" s="278">
        <f>TABLA_BASE[[#This Row],[DEUDA
ADUANERA
TOTAL]]*'📋 Datos Generales'!$E$19</f>
        <v>0</v>
      </c>
      <c r="U458" s="281">
        <f>TABLA_BASE[[#This Row],[ADV UNIT.
(US$)
⚠️COSTO]]*'📋 Datos Generales'!$E$19</f>
        <v>0</v>
      </c>
      <c r="V458" s="281">
        <f>TABLA_BASE[[#This Row],[ADV UNIT.
(S/.)]]*TABLA_BASE[[#This Row],[CANTIDAD
(unid.)]]</f>
        <v>0</v>
      </c>
      <c r="W458" s="281">
        <f>TABLA_BASE[[#This Row],[IPM UNIT.
(US$)
✅CF]]*'📋 Datos Generales'!$E$19</f>
        <v>0</v>
      </c>
      <c r="X458" s="281">
        <f>TABLA_BASE[[#This Row],[IPM UNIT.
(S/.)]]*TABLA_BASE[[#This Row],[CANTIDAD
(unid.)]]</f>
        <v>0</v>
      </c>
      <c r="Y458" s="281">
        <f>TABLA_BASE[[#This Row],[IGV UNIT.
(US$)
✅CF]]*'📋 Datos Generales'!$E$19</f>
        <v>0</v>
      </c>
      <c r="Z458" s="281">
        <f>TABLA_BASE[[#This Row],[IGV UNIT.
(S/.)]]*TABLA_BASE[[#This Row],[CANTIDAD
(unid.)]]</f>
        <v>0</v>
      </c>
      <c r="AA458" s="281">
        <f>TABLA_BASE[[#This Row],[PERCEP.
UNIT.(US$)
✅CF]]*'📋 Datos Generales'!$E$19</f>
        <v>0</v>
      </c>
      <c r="AB458" s="281">
        <f>TABLA_BASE[[#This Row],[PERCEP.
UNIT.(S/.)]]*TABLA_BASE[[#This Row],[CANTIDAD
(unid.)]]</f>
        <v>0</v>
      </c>
      <c r="AC458" s="279">
        <f>TABLA_BASE[[#This Row],[ADV UNIT.
(US$)
⚠️COSTO]]+TABLA_BASE[[#This Row],[IPM UNIT.
(US$)
✅CF]]+TABLA_BASE[[#This Row],[IGV UNIT.
(US$)
✅CF]]+TABLA_BASE[[#This Row],[PERCEP.
UNIT.(US$)
✅CF]]</f>
        <v>0</v>
      </c>
      <c r="AD458" s="279">
        <f>TABLA_BASE[[#This Row],[TOTAL PAGO
SUNAT
UNIT.(US$)]]*TABLA_BASE[[#This Row],[CANTIDAD
(unid.)]]</f>
        <v>0</v>
      </c>
      <c r="AE458" s="281">
        <f>TABLA_BASE[[#This Row],[TOTAL PAGO
SUNAT
UNIT.(US$)]]*'📋 Datos Generales'!$E$19</f>
        <v>0</v>
      </c>
      <c r="AF458" s="281">
        <f>TABLA_BASE[[#This Row],[TOTAL TRIB.
UNIT.(S/.)]]*TABLA_BASE[[#This Row],[CANTIDAD
(unid.)]]</f>
        <v>0</v>
      </c>
      <c r="AG458" s="279">
        <f>IF('🧾 Factura Comercial'!G462=0,0,'📦 Gastos Importación'!$E$28*(IF('🧾 Tributos Aduana'!$F$6=0,0,'🧾 Factura Comercial'!I462/'🧾 Tributos Aduana'!$F$6))/'🧾 Factura Comercial'!G462)</f>
        <v>0</v>
      </c>
      <c r="AH458" s="279">
        <f>TABLA_BASE[[#This Row],[GASTOS IMP.
UNIT.(US$)]]*TABLA_BASE[[#This Row],[CANTIDAD
(unid.)]]</f>
        <v>0</v>
      </c>
      <c r="AI458" s="281">
        <f>TABLA_BASE[[#This Row],[GASTOS IMP.
UNIT.(US$)]]*'📋 Datos Generales'!$E$19</f>
        <v>0</v>
      </c>
      <c r="AJ458" s="281">
        <f>TABLA_BASE[[#This Row],[GASTOS IMP.
UNIT.(S/.)]]*TABLA_BASE[[#This Row],[CANTIDAD
(unid.)]]</f>
        <v>0</v>
      </c>
      <c r="AK458" s="280">
        <f>'🧮 Costos x Producto'!J462</f>
        <v>0</v>
      </c>
      <c r="AL458" s="278">
        <f>'🧮 Costos x Producto'!K462</f>
        <v>0</v>
      </c>
      <c r="AM458" s="278">
        <f>TABLA_BASE[[#This Row],[C/M UNIT.
(S/.)]]*TABLA_BASE[[#This Row],[CANTIDAD
(unid.)]]</f>
        <v>0</v>
      </c>
      <c r="AN458" s="279">
        <f>IF('🧾 Factura Comercial'!G462=0,0,'🧾 Tributos Aduana'!$F$17*(IF('🧾 Tributos Aduana'!$F$6=0,0,'🧾 Factura Comercial'!I462/'🧾 Tributos Aduana'!$F$6))/'🧾 Factura Comercial'!G462)</f>
        <v>0</v>
      </c>
      <c r="AO458" s="280">
        <f>IF('🧾 Factura Comercial'!G462=0,0,'🏦 Crédito Fiscal'!$C$16*(IF('🧾 Tributos Aduana'!$F$6=0,0,'🧾 Factura Comercial'!I462/'🧾 Tributos Aduana'!$F$6))/'🧾 Factura Comercial'!G462)</f>
        <v>0</v>
      </c>
      <c r="AP458" s="278">
        <f>TABLA_BASE[[#This Row],[CF UNIT.
✅RECUP.
(US$)]]*'📋 Datos Generales'!$E$19</f>
        <v>0</v>
      </c>
      <c r="AQ458" s="278">
        <f>TABLA_BASE[[#This Row],[CF UNIT.
✅RECUP.(S/.)]]*TABLA_BASE[[#This Row],[CANTIDAD
(unid.)]]</f>
        <v>0</v>
      </c>
      <c r="AR458" s="288">
        <f>'💰 Precio de Venta'!G463</f>
        <v>0.4</v>
      </c>
      <c r="AS458" s="278">
        <f>'💰 Precio de Venta'!H463</f>
        <v>0</v>
      </c>
      <c r="AT458" s="278">
        <f>TABLA_BASE[[#This Row],[VALOR VTA.
UNIT.(S/.)]]*TABLA_BASE[[#This Row],[CANTIDAD
(unid.)]]</f>
        <v>0</v>
      </c>
      <c r="AU458" s="281">
        <f>'💰 Precio de Venta'!I463</f>
        <v>0</v>
      </c>
      <c r="AV458" s="278">
        <f>'💰 Precio de Venta'!J463</f>
        <v>0</v>
      </c>
      <c r="AW458" s="278">
        <f>TABLA_BASE[[#This Row],[GANANCIA
UNIT.(S/.)]]*TABLA_BASE[[#This Row],[CANTIDAD
(unid.)]]</f>
        <v>0</v>
      </c>
      <c r="AX458" s="289">
        <f>'💰 Precio de Venta'!K463</f>
        <v>0</v>
      </c>
      <c r="AY458" s="278">
        <f>TABLA_BASE[[#This Row],[GANANCIA
UNIT.(S/.)]]*'🧾 Factura Comercial'!G462</f>
        <v>0</v>
      </c>
      <c r="AZ458" s="277">
        <f>IF(TABLA_BASE[[#This Row],[PRECIO VTA.
c/IGV(S/.)]]=0,0,TABLA_BASE[[#This Row],[GANANCIA
UNIT.(S/.)]]/TABLA_BASE[[#This Row],[PRECIO VTA.
c/IGV(S/.)]])</f>
        <v>0</v>
      </c>
      <c r="BA458" s="277">
        <f>IF(TABLA_BASE[[#This Row],[C/M UNIT.
(S/.)]]=0,0,TABLA_BASE[[#This Row],[GANANCIA
UNIT.(S/.)]]/TABLA_BASE[[#This Row],[C/M UNIT.
(S/.)]])</f>
        <v>0</v>
      </c>
      <c r="BB458" s="274" t="str">
        <f>IF(TABLA_BASE[[#This Row],[MARGEN
%]]&gt;=0.5,"🟢 ALTO",IF(TABLA_BASE[[#This Row],[MARGEN
%]]&gt;=0.3,"🟡 MEDIO","🔴 BAJO"))</f>
        <v>🟡 MEDIO</v>
      </c>
    </row>
    <row r="459" spans="1:54" ht="16.5" hidden="1" thickTop="1" thickBot="1" x14ac:dyDescent="0.3">
      <c r="A459" s="274">
        <f>'🧾 Factura Comercial'!E463</f>
        <v>0</v>
      </c>
      <c r="B459" s="274" t="str">
        <f>'🧾 Factura Comercial'!F463</f>
        <v>Unid.</v>
      </c>
      <c r="C459" s="275">
        <f>'🧾 Factura Comercial'!G463</f>
        <v>0</v>
      </c>
      <c r="D459" s="276">
        <f>'🧾 Factura Comercial'!H463</f>
        <v>0</v>
      </c>
      <c r="E459" s="276">
        <f>'🧾 Factura Comercial'!I463</f>
        <v>0</v>
      </c>
      <c r="F459" s="277">
        <f>IF('🧾 Tributos Aduana'!$F$6=0,0,'🧾 Factura Comercial'!I463/'🧾 Tributos Aduana'!$F$6)</f>
        <v>0</v>
      </c>
      <c r="G459" s="278">
        <f>'🧾 Factura Comercial'!H463*'📋 Datos Generales'!$E$19</f>
        <v>0</v>
      </c>
      <c r="H459" s="278">
        <f>TABLA_BASE[[#This Row],[FOB UNIT.
(S/.)]]*TABLA_BASE[[#This Row],[CANTIDAD
(unid.)]]</f>
        <v>0</v>
      </c>
      <c r="I459" s="280">
        <f>IF('🧾 Tributos Aduana'!$F$6=0,0,'🧾 Tributos Aduana'!$F$17*('🧾 Factura Comercial'!H463/'🧾 Tributos Aduana'!$F$6))</f>
        <v>0</v>
      </c>
      <c r="J459" s="280">
        <f>TABLA_BASE[[#This Row],[ADV UNIT.
(US$)
⚠️COSTO]]*TABLA_BASE[[#This Row],[CANTIDAD
(unid.)]]</f>
        <v>0</v>
      </c>
      <c r="K459" s="279">
        <f>IF('🧾 Tributos Aduana'!$F$6=0,0,'🧾 Tributos Aduana'!$F$18*('🧾 Factura Comercial'!H463/'🧾 Tributos Aduana'!$F$6))</f>
        <v>0</v>
      </c>
      <c r="L459" s="280">
        <f>TABLA_BASE[[#This Row],[IPM UNIT.
(US$)
✅CF]]*TABLA_BASE[[#This Row],[CANTIDAD
(unid.)]]</f>
        <v>0</v>
      </c>
      <c r="M459" s="279">
        <f>IF('🧾 Tributos Aduana'!$F$6=0,0,'🧾 Tributos Aduana'!$F$19*('🧾 Factura Comercial'!H463/'🧾 Tributos Aduana'!$F$6))</f>
        <v>0</v>
      </c>
      <c r="N459" s="280">
        <f>TABLA_BASE[[#This Row],[IGV UNIT.
(US$)
✅CF]]*TABLA_BASE[[#This Row],[CANTIDAD
(unid.)]]</f>
        <v>0</v>
      </c>
      <c r="O459" s="280">
        <f>IF('🧾 Tributos Aduana'!$F$6=0,0,'🧾 Tributos Aduana'!$F$23*('🧾 Factura Comercial'!H463/'🧾 Tributos Aduana'!$F$6))</f>
        <v>0</v>
      </c>
      <c r="P459" s="280">
        <f>TABLA_BASE[[#This Row],[PERCEP.
UNIT.(US$)
✅CF]]*TABLA_BASE[[#This Row],[CANTIDAD
(unid.)]]</f>
        <v>0</v>
      </c>
      <c r="Q459" s="279">
        <f>TABLA_BASE[[#This Row],[ADV UNIT.
(US$)
⚠️COSTO]]+TABLA_BASE[[#This Row],[IPM UNIT.
(US$)
✅CF]]+TABLA_BASE[[#This Row],[IGV UNIT.
(US$)
✅CF]]</f>
        <v>0</v>
      </c>
      <c r="R459" s="280">
        <f>TABLA_BASE[[#This Row],[DEUDA
ADUANERA
UNIT.]]*TABLA_BASE[[#This Row],[CANTIDAD
(unid.)]]</f>
        <v>0</v>
      </c>
      <c r="S459" s="278">
        <f>TABLA_BASE[[#This Row],[DEUDA
ADUANERA
UNIT.]]*'📋 Datos Generales'!$E$19</f>
        <v>0</v>
      </c>
      <c r="T459" s="278">
        <f>TABLA_BASE[[#This Row],[DEUDA
ADUANERA
TOTAL]]*'📋 Datos Generales'!$E$19</f>
        <v>0</v>
      </c>
      <c r="U459" s="281">
        <f>TABLA_BASE[[#This Row],[ADV UNIT.
(US$)
⚠️COSTO]]*'📋 Datos Generales'!$E$19</f>
        <v>0</v>
      </c>
      <c r="V459" s="281">
        <f>TABLA_BASE[[#This Row],[ADV UNIT.
(S/.)]]*TABLA_BASE[[#This Row],[CANTIDAD
(unid.)]]</f>
        <v>0</v>
      </c>
      <c r="W459" s="281">
        <f>TABLA_BASE[[#This Row],[IPM UNIT.
(US$)
✅CF]]*'📋 Datos Generales'!$E$19</f>
        <v>0</v>
      </c>
      <c r="X459" s="281">
        <f>TABLA_BASE[[#This Row],[IPM UNIT.
(S/.)]]*TABLA_BASE[[#This Row],[CANTIDAD
(unid.)]]</f>
        <v>0</v>
      </c>
      <c r="Y459" s="281">
        <f>TABLA_BASE[[#This Row],[IGV UNIT.
(US$)
✅CF]]*'📋 Datos Generales'!$E$19</f>
        <v>0</v>
      </c>
      <c r="Z459" s="281">
        <f>TABLA_BASE[[#This Row],[IGV UNIT.
(S/.)]]*TABLA_BASE[[#This Row],[CANTIDAD
(unid.)]]</f>
        <v>0</v>
      </c>
      <c r="AA459" s="281">
        <f>TABLA_BASE[[#This Row],[PERCEP.
UNIT.(US$)
✅CF]]*'📋 Datos Generales'!$E$19</f>
        <v>0</v>
      </c>
      <c r="AB459" s="281">
        <f>TABLA_BASE[[#This Row],[PERCEP.
UNIT.(S/.)]]*TABLA_BASE[[#This Row],[CANTIDAD
(unid.)]]</f>
        <v>0</v>
      </c>
      <c r="AC459" s="279">
        <f>TABLA_BASE[[#This Row],[ADV UNIT.
(US$)
⚠️COSTO]]+TABLA_BASE[[#This Row],[IPM UNIT.
(US$)
✅CF]]+TABLA_BASE[[#This Row],[IGV UNIT.
(US$)
✅CF]]+TABLA_BASE[[#This Row],[PERCEP.
UNIT.(US$)
✅CF]]</f>
        <v>0</v>
      </c>
      <c r="AD459" s="279">
        <f>TABLA_BASE[[#This Row],[TOTAL PAGO
SUNAT
UNIT.(US$)]]*TABLA_BASE[[#This Row],[CANTIDAD
(unid.)]]</f>
        <v>0</v>
      </c>
      <c r="AE459" s="281">
        <f>TABLA_BASE[[#This Row],[TOTAL PAGO
SUNAT
UNIT.(US$)]]*'📋 Datos Generales'!$E$19</f>
        <v>0</v>
      </c>
      <c r="AF459" s="281">
        <f>TABLA_BASE[[#This Row],[TOTAL TRIB.
UNIT.(S/.)]]*TABLA_BASE[[#This Row],[CANTIDAD
(unid.)]]</f>
        <v>0</v>
      </c>
      <c r="AG459" s="279">
        <f>IF('🧾 Factura Comercial'!G463=0,0,'📦 Gastos Importación'!$E$28*(IF('🧾 Tributos Aduana'!$F$6=0,0,'🧾 Factura Comercial'!I463/'🧾 Tributos Aduana'!$F$6))/'🧾 Factura Comercial'!G463)</f>
        <v>0</v>
      </c>
      <c r="AH459" s="279">
        <f>TABLA_BASE[[#This Row],[GASTOS IMP.
UNIT.(US$)]]*TABLA_BASE[[#This Row],[CANTIDAD
(unid.)]]</f>
        <v>0</v>
      </c>
      <c r="AI459" s="281">
        <f>TABLA_BASE[[#This Row],[GASTOS IMP.
UNIT.(US$)]]*'📋 Datos Generales'!$E$19</f>
        <v>0</v>
      </c>
      <c r="AJ459" s="281">
        <f>TABLA_BASE[[#This Row],[GASTOS IMP.
UNIT.(S/.)]]*TABLA_BASE[[#This Row],[CANTIDAD
(unid.)]]</f>
        <v>0</v>
      </c>
      <c r="AK459" s="280">
        <f>'🧮 Costos x Producto'!J463</f>
        <v>0</v>
      </c>
      <c r="AL459" s="278">
        <f>'🧮 Costos x Producto'!K463</f>
        <v>0</v>
      </c>
      <c r="AM459" s="278">
        <f>TABLA_BASE[[#This Row],[C/M UNIT.
(S/.)]]*TABLA_BASE[[#This Row],[CANTIDAD
(unid.)]]</f>
        <v>0</v>
      </c>
      <c r="AN459" s="279">
        <f>IF('🧾 Factura Comercial'!G463=0,0,'🧾 Tributos Aduana'!$F$17*(IF('🧾 Tributos Aduana'!$F$6=0,0,'🧾 Factura Comercial'!I463/'🧾 Tributos Aduana'!$F$6))/'🧾 Factura Comercial'!G463)</f>
        <v>0</v>
      </c>
      <c r="AO459" s="280">
        <f>IF('🧾 Factura Comercial'!G463=0,0,'🏦 Crédito Fiscal'!$C$16*(IF('🧾 Tributos Aduana'!$F$6=0,0,'🧾 Factura Comercial'!I463/'🧾 Tributos Aduana'!$F$6))/'🧾 Factura Comercial'!G463)</f>
        <v>0</v>
      </c>
      <c r="AP459" s="278">
        <f>TABLA_BASE[[#This Row],[CF UNIT.
✅RECUP.
(US$)]]*'📋 Datos Generales'!$E$19</f>
        <v>0</v>
      </c>
      <c r="AQ459" s="278">
        <f>TABLA_BASE[[#This Row],[CF UNIT.
✅RECUP.(S/.)]]*TABLA_BASE[[#This Row],[CANTIDAD
(unid.)]]</f>
        <v>0</v>
      </c>
      <c r="AR459" s="288">
        <f>'💰 Precio de Venta'!G464</f>
        <v>0.4</v>
      </c>
      <c r="AS459" s="278">
        <f>'💰 Precio de Venta'!H464</f>
        <v>0</v>
      </c>
      <c r="AT459" s="278">
        <f>TABLA_BASE[[#This Row],[VALOR VTA.
UNIT.(S/.)]]*TABLA_BASE[[#This Row],[CANTIDAD
(unid.)]]</f>
        <v>0</v>
      </c>
      <c r="AU459" s="281">
        <f>'💰 Precio de Venta'!I464</f>
        <v>0</v>
      </c>
      <c r="AV459" s="278">
        <f>'💰 Precio de Venta'!J464</f>
        <v>0</v>
      </c>
      <c r="AW459" s="278">
        <f>TABLA_BASE[[#This Row],[GANANCIA
UNIT.(S/.)]]*TABLA_BASE[[#This Row],[CANTIDAD
(unid.)]]</f>
        <v>0</v>
      </c>
      <c r="AX459" s="289">
        <f>'💰 Precio de Venta'!K464</f>
        <v>0</v>
      </c>
      <c r="AY459" s="278">
        <f>TABLA_BASE[[#This Row],[GANANCIA
UNIT.(S/.)]]*'🧾 Factura Comercial'!G463</f>
        <v>0</v>
      </c>
      <c r="AZ459" s="277">
        <f>IF(TABLA_BASE[[#This Row],[PRECIO VTA.
c/IGV(S/.)]]=0,0,TABLA_BASE[[#This Row],[GANANCIA
UNIT.(S/.)]]/TABLA_BASE[[#This Row],[PRECIO VTA.
c/IGV(S/.)]])</f>
        <v>0</v>
      </c>
      <c r="BA459" s="277">
        <f>IF(TABLA_BASE[[#This Row],[C/M UNIT.
(S/.)]]=0,0,TABLA_BASE[[#This Row],[GANANCIA
UNIT.(S/.)]]/TABLA_BASE[[#This Row],[C/M UNIT.
(S/.)]])</f>
        <v>0</v>
      </c>
      <c r="BB459" s="274" t="str">
        <f>IF(TABLA_BASE[[#This Row],[MARGEN
%]]&gt;=0.5,"🟢 ALTO",IF(TABLA_BASE[[#This Row],[MARGEN
%]]&gt;=0.3,"🟡 MEDIO","🔴 BAJO"))</f>
        <v>🟡 MEDIO</v>
      </c>
    </row>
    <row r="460" spans="1:54" ht="16.5" hidden="1" thickTop="1" thickBot="1" x14ac:dyDescent="0.3">
      <c r="A460" s="274">
        <f>'🧾 Factura Comercial'!E464</f>
        <v>0</v>
      </c>
      <c r="B460" s="274" t="str">
        <f>'🧾 Factura Comercial'!F464</f>
        <v>Unid.</v>
      </c>
      <c r="C460" s="275">
        <f>'🧾 Factura Comercial'!G464</f>
        <v>0</v>
      </c>
      <c r="D460" s="276">
        <f>'🧾 Factura Comercial'!H464</f>
        <v>0</v>
      </c>
      <c r="E460" s="276">
        <f>'🧾 Factura Comercial'!I464</f>
        <v>0</v>
      </c>
      <c r="F460" s="277">
        <f>IF('🧾 Tributos Aduana'!$F$6=0,0,'🧾 Factura Comercial'!I464/'🧾 Tributos Aduana'!$F$6)</f>
        <v>0</v>
      </c>
      <c r="G460" s="278">
        <f>'🧾 Factura Comercial'!H464*'📋 Datos Generales'!$E$19</f>
        <v>0</v>
      </c>
      <c r="H460" s="278">
        <f>TABLA_BASE[[#This Row],[FOB UNIT.
(S/.)]]*TABLA_BASE[[#This Row],[CANTIDAD
(unid.)]]</f>
        <v>0</v>
      </c>
      <c r="I460" s="280">
        <f>IF('🧾 Tributos Aduana'!$F$6=0,0,'🧾 Tributos Aduana'!$F$17*('🧾 Factura Comercial'!H464/'🧾 Tributos Aduana'!$F$6))</f>
        <v>0</v>
      </c>
      <c r="J460" s="280">
        <f>TABLA_BASE[[#This Row],[ADV UNIT.
(US$)
⚠️COSTO]]*TABLA_BASE[[#This Row],[CANTIDAD
(unid.)]]</f>
        <v>0</v>
      </c>
      <c r="K460" s="279">
        <f>IF('🧾 Tributos Aduana'!$F$6=0,0,'🧾 Tributos Aduana'!$F$18*('🧾 Factura Comercial'!H464/'🧾 Tributos Aduana'!$F$6))</f>
        <v>0</v>
      </c>
      <c r="L460" s="280">
        <f>TABLA_BASE[[#This Row],[IPM UNIT.
(US$)
✅CF]]*TABLA_BASE[[#This Row],[CANTIDAD
(unid.)]]</f>
        <v>0</v>
      </c>
      <c r="M460" s="279">
        <f>IF('🧾 Tributos Aduana'!$F$6=0,0,'🧾 Tributos Aduana'!$F$19*('🧾 Factura Comercial'!H464/'🧾 Tributos Aduana'!$F$6))</f>
        <v>0</v>
      </c>
      <c r="N460" s="280">
        <f>TABLA_BASE[[#This Row],[IGV UNIT.
(US$)
✅CF]]*TABLA_BASE[[#This Row],[CANTIDAD
(unid.)]]</f>
        <v>0</v>
      </c>
      <c r="O460" s="280">
        <f>IF('🧾 Tributos Aduana'!$F$6=0,0,'🧾 Tributos Aduana'!$F$23*('🧾 Factura Comercial'!H464/'🧾 Tributos Aduana'!$F$6))</f>
        <v>0</v>
      </c>
      <c r="P460" s="280">
        <f>TABLA_BASE[[#This Row],[PERCEP.
UNIT.(US$)
✅CF]]*TABLA_BASE[[#This Row],[CANTIDAD
(unid.)]]</f>
        <v>0</v>
      </c>
      <c r="Q460" s="279">
        <f>TABLA_BASE[[#This Row],[ADV UNIT.
(US$)
⚠️COSTO]]+TABLA_BASE[[#This Row],[IPM UNIT.
(US$)
✅CF]]+TABLA_BASE[[#This Row],[IGV UNIT.
(US$)
✅CF]]</f>
        <v>0</v>
      </c>
      <c r="R460" s="280">
        <f>TABLA_BASE[[#This Row],[DEUDA
ADUANERA
UNIT.]]*TABLA_BASE[[#This Row],[CANTIDAD
(unid.)]]</f>
        <v>0</v>
      </c>
      <c r="S460" s="278">
        <f>TABLA_BASE[[#This Row],[DEUDA
ADUANERA
UNIT.]]*'📋 Datos Generales'!$E$19</f>
        <v>0</v>
      </c>
      <c r="T460" s="278">
        <f>TABLA_BASE[[#This Row],[DEUDA
ADUANERA
TOTAL]]*'📋 Datos Generales'!$E$19</f>
        <v>0</v>
      </c>
      <c r="U460" s="281">
        <f>TABLA_BASE[[#This Row],[ADV UNIT.
(US$)
⚠️COSTO]]*'📋 Datos Generales'!$E$19</f>
        <v>0</v>
      </c>
      <c r="V460" s="281">
        <f>TABLA_BASE[[#This Row],[ADV UNIT.
(S/.)]]*TABLA_BASE[[#This Row],[CANTIDAD
(unid.)]]</f>
        <v>0</v>
      </c>
      <c r="W460" s="281">
        <f>TABLA_BASE[[#This Row],[IPM UNIT.
(US$)
✅CF]]*'📋 Datos Generales'!$E$19</f>
        <v>0</v>
      </c>
      <c r="X460" s="281">
        <f>TABLA_BASE[[#This Row],[IPM UNIT.
(S/.)]]*TABLA_BASE[[#This Row],[CANTIDAD
(unid.)]]</f>
        <v>0</v>
      </c>
      <c r="Y460" s="281">
        <f>TABLA_BASE[[#This Row],[IGV UNIT.
(US$)
✅CF]]*'📋 Datos Generales'!$E$19</f>
        <v>0</v>
      </c>
      <c r="Z460" s="281">
        <f>TABLA_BASE[[#This Row],[IGV UNIT.
(S/.)]]*TABLA_BASE[[#This Row],[CANTIDAD
(unid.)]]</f>
        <v>0</v>
      </c>
      <c r="AA460" s="281">
        <f>TABLA_BASE[[#This Row],[PERCEP.
UNIT.(US$)
✅CF]]*'📋 Datos Generales'!$E$19</f>
        <v>0</v>
      </c>
      <c r="AB460" s="281">
        <f>TABLA_BASE[[#This Row],[PERCEP.
UNIT.(S/.)]]*TABLA_BASE[[#This Row],[CANTIDAD
(unid.)]]</f>
        <v>0</v>
      </c>
      <c r="AC460" s="279">
        <f>TABLA_BASE[[#This Row],[ADV UNIT.
(US$)
⚠️COSTO]]+TABLA_BASE[[#This Row],[IPM UNIT.
(US$)
✅CF]]+TABLA_BASE[[#This Row],[IGV UNIT.
(US$)
✅CF]]+TABLA_BASE[[#This Row],[PERCEP.
UNIT.(US$)
✅CF]]</f>
        <v>0</v>
      </c>
      <c r="AD460" s="279">
        <f>TABLA_BASE[[#This Row],[TOTAL PAGO
SUNAT
UNIT.(US$)]]*TABLA_BASE[[#This Row],[CANTIDAD
(unid.)]]</f>
        <v>0</v>
      </c>
      <c r="AE460" s="281">
        <f>TABLA_BASE[[#This Row],[TOTAL PAGO
SUNAT
UNIT.(US$)]]*'📋 Datos Generales'!$E$19</f>
        <v>0</v>
      </c>
      <c r="AF460" s="281">
        <f>TABLA_BASE[[#This Row],[TOTAL TRIB.
UNIT.(S/.)]]*TABLA_BASE[[#This Row],[CANTIDAD
(unid.)]]</f>
        <v>0</v>
      </c>
      <c r="AG460" s="279">
        <f>IF('🧾 Factura Comercial'!G464=0,0,'📦 Gastos Importación'!$E$28*(IF('🧾 Tributos Aduana'!$F$6=0,0,'🧾 Factura Comercial'!I464/'🧾 Tributos Aduana'!$F$6))/'🧾 Factura Comercial'!G464)</f>
        <v>0</v>
      </c>
      <c r="AH460" s="279">
        <f>TABLA_BASE[[#This Row],[GASTOS IMP.
UNIT.(US$)]]*TABLA_BASE[[#This Row],[CANTIDAD
(unid.)]]</f>
        <v>0</v>
      </c>
      <c r="AI460" s="281">
        <f>TABLA_BASE[[#This Row],[GASTOS IMP.
UNIT.(US$)]]*'📋 Datos Generales'!$E$19</f>
        <v>0</v>
      </c>
      <c r="AJ460" s="281">
        <f>TABLA_BASE[[#This Row],[GASTOS IMP.
UNIT.(S/.)]]*TABLA_BASE[[#This Row],[CANTIDAD
(unid.)]]</f>
        <v>0</v>
      </c>
      <c r="AK460" s="280">
        <f>'🧮 Costos x Producto'!J464</f>
        <v>0</v>
      </c>
      <c r="AL460" s="278">
        <f>'🧮 Costos x Producto'!K464</f>
        <v>0</v>
      </c>
      <c r="AM460" s="278">
        <f>TABLA_BASE[[#This Row],[C/M UNIT.
(S/.)]]*TABLA_BASE[[#This Row],[CANTIDAD
(unid.)]]</f>
        <v>0</v>
      </c>
      <c r="AN460" s="279">
        <f>IF('🧾 Factura Comercial'!G464=0,0,'🧾 Tributos Aduana'!$F$17*(IF('🧾 Tributos Aduana'!$F$6=0,0,'🧾 Factura Comercial'!I464/'🧾 Tributos Aduana'!$F$6))/'🧾 Factura Comercial'!G464)</f>
        <v>0</v>
      </c>
      <c r="AO460" s="280">
        <f>IF('🧾 Factura Comercial'!G464=0,0,'🏦 Crédito Fiscal'!$C$16*(IF('🧾 Tributos Aduana'!$F$6=0,0,'🧾 Factura Comercial'!I464/'🧾 Tributos Aduana'!$F$6))/'🧾 Factura Comercial'!G464)</f>
        <v>0</v>
      </c>
      <c r="AP460" s="278">
        <f>TABLA_BASE[[#This Row],[CF UNIT.
✅RECUP.
(US$)]]*'📋 Datos Generales'!$E$19</f>
        <v>0</v>
      </c>
      <c r="AQ460" s="278">
        <f>TABLA_BASE[[#This Row],[CF UNIT.
✅RECUP.(S/.)]]*TABLA_BASE[[#This Row],[CANTIDAD
(unid.)]]</f>
        <v>0</v>
      </c>
      <c r="AR460" s="288">
        <f>'💰 Precio de Venta'!G465</f>
        <v>0.4</v>
      </c>
      <c r="AS460" s="278">
        <f>'💰 Precio de Venta'!H465</f>
        <v>0</v>
      </c>
      <c r="AT460" s="278">
        <f>TABLA_BASE[[#This Row],[VALOR VTA.
UNIT.(S/.)]]*TABLA_BASE[[#This Row],[CANTIDAD
(unid.)]]</f>
        <v>0</v>
      </c>
      <c r="AU460" s="281">
        <f>'💰 Precio de Venta'!I465</f>
        <v>0</v>
      </c>
      <c r="AV460" s="278">
        <f>'💰 Precio de Venta'!J465</f>
        <v>0</v>
      </c>
      <c r="AW460" s="278">
        <f>TABLA_BASE[[#This Row],[GANANCIA
UNIT.(S/.)]]*TABLA_BASE[[#This Row],[CANTIDAD
(unid.)]]</f>
        <v>0</v>
      </c>
      <c r="AX460" s="289">
        <f>'💰 Precio de Venta'!K465</f>
        <v>0</v>
      </c>
      <c r="AY460" s="278">
        <f>TABLA_BASE[[#This Row],[GANANCIA
UNIT.(S/.)]]*'🧾 Factura Comercial'!G464</f>
        <v>0</v>
      </c>
      <c r="AZ460" s="277">
        <f>IF(TABLA_BASE[[#This Row],[PRECIO VTA.
c/IGV(S/.)]]=0,0,TABLA_BASE[[#This Row],[GANANCIA
UNIT.(S/.)]]/TABLA_BASE[[#This Row],[PRECIO VTA.
c/IGV(S/.)]])</f>
        <v>0</v>
      </c>
      <c r="BA460" s="277">
        <f>IF(TABLA_BASE[[#This Row],[C/M UNIT.
(S/.)]]=0,0,TABLA_BASE[[#This Row],[GANANCIA
UNIT.(S/.)]]/TABLA_BASE[[#This Row],[C/M UNIT.
(S/.)]])</f>
        <v>0</v>
      </c>
      <c r="BB460" s="274" t="str">
        <f>IF(TABLA_BASE[[#This Row],[MARGEN
%]]&gt;=0.5,"🟢 ALTO",IF(TABLA_BASE[[#This Row],[MARGEN
%]]&gt;=0.3,"🟡 MEDIO","🔴 BAJO"))</f>
        <v>🟡 MEDIO</v>
      </c>
    </row>
    <row r="461" spans="1:54" ht="16.5" hidden="1" thickTop="1" thickBot="1" x14ac:dyDescent="0.3">
      <c r="A461" s="274">
        <f>'🧾 Factura Comercial'!E465</f>
        <v>0</v>
      </c>
      <c r="B461" s="274" t="str">
        <f>'🧾 Factura Comercial'!F465</f>
        <v>Unid.</v>
      </c>
      <c r="C461" s="275">
        <f>'🧾 Factura Comercial'!G465</f>
        <v>0</v>
      </c>
      <c r="D461" s="276">
        <f>'🧾 Factura Comercial'!H465</f>
        <v>0</v>
      </c>
      <c r="E461" s="276">
        <f>'🧾 Factura Comercial'!I465</f>
        <v>0</v>
      </c>
      <c r="F461" s="277">
        <f>IF('🧾 Tributos Aduana'!$F$6=0,0,'🧾 Factura Comercial'!I465/'🧾 Tributos Aduana'!$F$6)</f>
        <v>0</v>
      </c>
      <c r="G461" s="278">
        <f>'🧾 Factura Comercial'!H465*'📋 Datos Generales'!$E$19</f>
        <v>0</v>
      </c>
      <c r="H461" s="278">
        <f>TABLA_BASE[[#This Row],[FOB UNIT.
(S/.)]]*TABLA_BASE[[#This Row],[CANTIDAD
(unid.)]]</f>
        <v>0</v>
      </c>
      <c r="I461" s="280">
        <f>IF('🧾 Tributos Aduana'!$F$6=0,0,'🧾 Tributos Aduana'!$F$17*('🧾 Factura Comercial'!H465/'🧾 Tributos Aduana'!$F$6))</f>
        <v>0</v>
      </c>
      <c r="J461" s="280">
        <f>TABLA_BASE[[#This Row],[ADV UNIT.
(US$)
⚠️COSTO]]*TABLA_BASE[[#This Row],[CANTIDAD
(unid.)]]</f>
        <v>0</v>
      </c>
      <c r="K461" s="279">
        <f>IF('🧾 Tributos Aduana'!$F$6=0,0,'🧾 Tributos Aduana'!$F$18*('🧾 Factura Comercial'!H465/'🧾 Tributos Aduana'!$F$6))</f>
        <v>0</v>
      </c>
      <c r="L461" s="280">
        <f>TABLA_BASE[[#This Row],[IPM UNIT.
(US$)
✅CF]]*TABLA_BASE[[#This Row],[CANTIDAD
(unid.)]]</f>
        <v>0</v>
      </c>
      <c r="M461" s="279">
        <f>IF('🧾 Tributos Aduana'!$F$6=0,0,'🧾 Tributos Aduana'!$F$19*('🧾 Factura Comercial'!H465/'🧾 Tributos Aduana'!$F$6))</f>
        <v>0</v>
      </c>
      <c r="N461" s="280">
        <f>TABLA_BASE[[#This Row],[IGV UNIT.
(US$)
✅CF]]*TABLA_BASE[[#This Row],[CANTIDAD
(unid.)]]</f>
        <v>0</v>
      </c>
      <c r="O461" s="280">
        <f>IF('🧾 Tributos Aduana'!$F$6=0,0,'🧾 Tributos Aduana'!$F$23*('🧾 Factura Comercial'!H465/'🧾 Tributos Aduana'!$F$6))</f>
        <v>0</v>
      </c>
      <c r="P461" s="280">
        <f>TABLA_BASE[[#This Row],[PERCEP.
UNIT.(US$)
✅CF]]*TABLA_BASE[[#This Row],[CANTIDAD
(unid.)]]</f>
        <v>0</v>
      </c>
      <c r="Q461" s="279">
        <f>TABLA_BASE[[#This Row],[ADV UNIT.
(US$)
⚠️COSTO]]+TABLA_BASE[[#This Row],[IPM UNIT.
(US$)
✅CF]]+TABLA_BASE[[#This Row],[IGV UNIT.
(US$)
✅CF]]</f>
        <v>0</v>
      </c>
      <c r="R461" s="280">
        <f>TABLA_BASE[[#This Row],[DEUDA
ADUANERA
UNIT.]]*TABLA_BASE[[#This Row],[CANTIDAD
(unid.)]]</f>
        <v>0</v>
      </c>
      <c r="S461" s="278">
        <f>TABLA_BASE[[#This Row],[DEUDA
ADUANERA
UNIT.]]*'📋 Datos Generales'!$E$19</f>
        <v>0</v>
      </c>
      <c r="T461" s="278">
        <f>TABLA_BASE[[#This Row],[DEUDA
ADUANERA
TOTAL]]*'📋 Datos Generales'!$E$19</f>
        <v>0</v>
      </c>
      <c r="U461" s="281">
        <f>TABLA_BASE[[#This Row],[ADV UNIT.
(US$)
⚠️COSTO]]*'📋 Datos Generales'!$E$19</f>
        <v>0</v>
      </c>
      <c r="V461" s="281">
        <f>TABLA_BASE[[#This Row],[ADV UNIT.
(S/.)]]*TABLA_BASE[[#This Row],[CANTIDAD
(unid.)]]</f>
        <v>0</v>
      </c>
      <c r="W461" s="281">
        <f>TABLA_BASE[[#This Row],[IPM UNIT.
(US$)
✅CF]]*'📋 Datos Generales'!$E$19</f>
        <v>0</v>
      </c>
      <c r="X461" s="281">
        <f>TABLA_BASE[[#This Row],[IPM UNIT.
(S/.)]]*TABLA_BASE[[#This Row],[CANTIDAD
(unid.)]]</f>
        <v>0</v>
      </c>
      <c r="Y461" s="281">
        <f>TABLA_BASE[[#This Row],[IGV UNIT.
(US$)
✅CF]]*'📋 Datos Generales'!$E$19</f>
        <v>0</v>
      </c>
      <c r="Z461" s="281">
        <f>TABLA_BASE[[#This Row],[IGV UNIT.
(S/.)]]*TABLA_BASE[[#This Row],[CANTIDAD
(unid.)]]</f>
        <v>0</v>
      </c>
      <c r="AA461" s="281">
        <f>TABLA_BASE[[#This Row],[PERCEP.
UNIT.(US$)
✅CF]]*'📋 Datos Generales'!$E$19</f>
        <v>0</v>
      </c>
      <c r="AB461" s="281">
        <f>TABLA_BASE[[#This Row],[PERCEP.
UNIT.(S/.)]]*TABLA_BASE[[#This Row],[CANTIDAD
(unid.)]]</f>
        <v>0</v>
      </c>
      <c r="AC461" s="279">
        <f>TABLA_BASE[[#This Row],[ADV UNIT.
(US$)
⚠️COSTO]]+TABLA_BASE[[#This Row],[IPM UNIT.
(US$)
✅CF]]+TABLA_BASE[[#This Row],[IGV UNIT.
(US$)
✅CF]]+TABLA_BASE[[#This Row],[PERCEP.
UNIT.(US$)
✅CF]]</f>
        <v>0</v>
      </c>
      <c r="AD461" s="279">
        <f>TABLA_BASE[[#This Row],[TOTAL PAGO
SUNAT
UNIT.(US$)]]*TABLA_BASE[[#This Row],[CANTIDAD
(unid.)]]</f>
        <v>0</v>
      </c>
      <c r="AE461" s="281">
        <f>TABLA_BASE[[#This Row],[TOTAL PAGO
SUNAT
UNIT.(US$)]]*'📋 Datos Generales'!$E$19</f>
        <v>0</v>
      </c>
      <c r="AF461" s="281">
        <f>TABLA_BASE[[#This Row],[TOTAL TRIB.
UNIT.(S/.)]]*TABLA_BASE[[#This Row],[CANTIDAD
(unid.)]]</f>
        <v>0</v>
      </c>
      <c r="AG461" s="279">
        <f>IF('🧾 Factura Comercial'!G465=0,0,'📦 Gastos Importación'!$E$28*(IF('🧾 Tributos Aduana'!$F$6=0,0,'🧾 Factura Comercial'!I465/'🧾 Tributos Aduana'!$F$6))/'🧾 Factura Comercial'!G465)</f>
        <v>0</v>
      </c>
      <c r="AH461" s="279">
        <f>TABLA_BASE[[#This Row],[GASTOS IMP.
UNIT.(US$)]]*TABLA_BASE[[#This Row],[CANTIDAD
(unid.)]]</f>
        <v>0</v>
      </c>
      <c r="AI461" s="281">
        <f>TABLA_BASE[[#This Row],[GASTOS IMP.
UNIT.(US$)]]*'📋 Datos Generales'!$E$19</f>
        <v>0</v>
      </c>
      <c r="AJ461" s="281">
        <f>TABLA_BASE[[#This Row],[GASTOS IMP.
UNIT.(S/.)]]*TABLA_BASE[[#This Row],[CANTIDAD
(unid.)]]</f>
        <v>0</v>
      </c>
      <c r="AK461" s="280">
        <f>'🧮 Costos x Producto'!J465</f>
        <v>0</v>
      </c>
      <c r="AL461" s="278">
        <f>'🧮 Costos x Producto'!K465</f>
        <v>0</v>
      </c>
      <c r="AM461" s="278">
        <f>TABLA_BASE[[#This Row],[C/M UNIT.
(S/.)]]*TABLA_BASE[[#This Row],[CANTIDAD
(unid.)]]</f>
        <v>0</v>
      </c>
      <c r="AN461" s="279">
        <f>IF('🧾 Factura Comercial'!G465=0,0,'🧾 Tributos Aduana'!$F$17*(IF('🧾 Tributos Aduana'!$F$6=0,0,'🧾 Factura Comercial'!I465/'🧾 Tributos Aduana'!$F$6))/'🧾 Factura Comercial'!G465)</f>
        <v>0</v>
      </c>
      <c r="AO461" s="280">
        <f>IF('🧾 Factura Comercial'!G465=0,0,'🏦 Crédito Fiscal'!$C$16*(IF('🧾 Tributos Aduana'!$F$6=0,0,'🧾 Factura Comercial'!I465/'🧾 Tributos Aduana'!$F$6))/'🧾 Factura Comercial'!G465)</f>
        <v>0</v>
      </c>
      <c r="AP461" s="278">
        <f>TABLA_BASE[[#This Row],[CF UNIT.
✅RECUP.
(US$)]]*'📋 Datos Generales'!$E$19</f>
        <v>0</v>
      </c>
      <c r="AQ461" s="278">
        <f>TABLA_BASE[[#This Row],[CF UNIT.
✅RECUP.(S/.)]]*TABLA_BASE[[#This Row],[CANTIDAD
(unid.)]]</f>
        <v>0</v>
      </c>
      <c r="AR461" s="288">
        <f>'💰 Precio de Venta'!G466</f>
        <v>0.4</v>
      </c>
      <c r="AS461" s="278">
        <f>'💰 Precio de Venta'!H466</f>
        <v>0</v>
      </c>
      <c r="AT461" s="278">
        <f>TABLA_BASE[[#This Row],[VALOR VTA.
UNIT.(S/.)]]*TABLA_BASE[[#This Row],[CANTIDAD
(unid.)]]</f>
        <v>0</v>
      </c>
      <c r="AU461" s="281">
        <f>'💰 Precio de Venta'!I466</f>
        <v>0</v>
      </c>
      <c r="AV461" s="278">
        <f>'💰 Precio de Venta'!J466</f>
        <v>0</v>
      </c>
      <c r="AW461" s="278">
        <f>TABLA_BASE[[#This Row],[GANANCIA
UNIT.(S/.)]]*TABLA_BASE[[#This Row],[CANTIDAD
(unid.)]]</f>
        <v>0</v>
      </c>
      <c r="AX461" s="289">
        <f>'💰 Precio de Venta'!K466</f>
        <v>0</v>
      </c>
      <c r="AY461" s="278">
        <f>TABLA_BASE[[#This Row],[GANANCIA
UNIT.(S/.)]]*'🧾 Factura Comercial'!G465</f>
        <v>0</v>
      </c>
      <c r="AZ461" s="277">
        <f>IF(TABLA_BASE[[#This Row],[PRECIO VTA.
c/IGV(S/.)]]=0,0,TABLA_BASE[[#This Row],[GANANCIA
UNIT.(S/.)]]/TABLA_BASE[[#This Row],[PRECIO VTA.
c/IGV(S/.)]])</f>
        <v>0</v>
      </c>
      <c r="BA461" s="277">
        <f>IF(TABLA_BASE[[#This Row],[C/M UNIT.
(S/.)]]=0,0,TABLA_BASE[[#This Row],[GANANCIA
UNIT.(S/.)]]/TABLA_BASE[[#This Row],[C/M UNIT.
(S/.)]])</f>
        <v>0</v>
      </c>
      <c r="BB461" s="274" t="str">
        <f>IF(TABLA_BASE[[#This Row],[MARGEN
%]]&gt;=0.5,"🟢 ALTO",IF(TABLA_BASE[[#This Row],[MARGEN
%]]&gt;=0.3,"🟡 MEDIO","🔴 BAJO"))</f>
        <v>🟡 MEDIO</v>
      </c>
    </row>
    <row r="462" spans="1:54" ht="16.5" hidden="1" thickTop="1" thickBot="1" x14ac:dyDescent="0.3">
      <c r="A462" s="274">
        <f>'🧾 Factura Comercial'!E466</f>
        <v>0</v>
      </c>
      <c r="B462" s="274" t="str">
        <f>'🧾 Factura Comercial'!F466</f>
        <v>Unid.</v>
      </c>
      <c r="C462" s="275">
        <f>'🧾 Factura Comercial'!G466</f>
        <v>0</v>
      </c>
      <c r="D462" s="276">
        <f>'🧾 Factura Comercial'!H466</f>
        <v>0</v>
      </c>
      <c r="E462" s="276">
        <f>'🧾 Factura Comercial'!I466</f>
        <v>0</v>
      </c>
      <c r="F462" s="277">
        <f>IF('🧾 Tributos Aduana'!$F$6=0,0,'🧾 Factura Comercial'!I466/'🧾 Tributos Aduana'!$F$6)</f>
        <v>0</v>
      </c>
      <c r="G462" s="278">
        <f>'🧾 Factura Comercial'!H466*'📋 Datos Generales'!$E$19</f>
        <v>0</v>
      </c>
      <c r="H462" s="278">
        <f>TABLA_BASE[[#This Row],[FOB UNIT.
(S/.)]]*TABLA_BASE[[#This Row],[CANTIDAD
(unid.)]]</f>
        <v>0</v>
      </c>
      <c r="I462" s="280">
        <f>IF('🧾 Tributos Aduana'!$F$6=0,0,'🧾 Tributos Aduana'!$F$17*('🧾 Factura Comercial'!H466/'🧾 Tributos Aduana'!$F$6))</f>
        <v>0</v>
      </c>
      <c r="J462" s="280">
        <f>TABLA_BASE[[#This Row],[ADV UNIT.
(US$)
⚠️COSTO]]*TABLA_BASE[[#This Row],[CANTIDAD
(unid.)]]</f>
        <v>0</v>
      </c>
      <c r="K462" s="279">
        <f>IF('🧾 Tributos Aduana'!$F$6=0,0,'🧾 Tributos Aduana'!$F$18*('🧾 Factura Comercial'!H466/'🧾 Tributos Aduana'!$F$6))</f>
        <v>0</v>
      </c>
      <c r="L462" s="280">
        <f>TABLA_BASE[[#This Row],[IPM UNIT.
(US$)
✅CF]]*TABLA_BASE[[#This Row],[CANTIDAD
(unid.)]]</f>
        <v>0</v>
      </c>
      <c r="M462" s="279">
        <f>IF('🧾 Tributos Aduana'!$F$6=0,0,'🧾 Tributos Aduana'!$F$19*('🧾 Factura Comercial'!H466/'🧾 Tributos Aduana'!$F$6))</f>
        <v>0</v>
      </c>
      <c r="N462" s="280">
        <f>TABLA_BASE[[#This Row],[IGV UNIT.
(US$)
✅CF]]*TABLA_BASE[[#This Row],[CANTIDAD
(unid.)]]</f>
        <v>0</v>
      </c>
      <c r="O462" s="280">
        <f>IF('🧾 Tributos Aduana'!$F$6=0,0,'🧾 Tributos Aduana'!$F$23*('🧾 Factura Comercial'!H466/'🧾 Tributos Aduana'!$F$6))</f>
        <v>0</v>
      </c>
      <c r="P462" s="280">
        <f>TABLA_BASE[[#This Row],[PERCEP.
UNIT.(US$)
✅CF]]*TABLA_BASE[[#This Row],[CANTIDAD
(unid.)]]</f>
        <v>0</v>
      </c>
      <c r="Q462" s="279">
        <f>TABLA_BASE[[#This Row],[ADV UNIT.
(US$)
⚠️COSTO]]+TABLA_BASE[[#This Row],[IPM UNIT.
(US$)
✅CF]]+TABLA_BASE[[#This Row],[IGV UNIT.
(US$)
✅CF]]</f>
        <v>0</v>
      </c>
      <c r="R462" s="280">
        <f>TABLA_BASE[[#This Row],[DEUDA
ADUANERA
UNIT.]]*TABLA_BASE[[#This Row],[CANTIDAD
(unid.)]]</f>
        <v>0</v>
      </c>
      <c r="S462" s="278">
        <f>TABLA_BASE[[#This Row],[DEUDA
ADUANERA
UNIT.]]*'📋 Datos Generales'!$E$19</f>
        <v>0</v>
      </c>
      <c r="T462" s="278">
        <f>TABLA_BASE[[#This Row],[DEUDA
ADUANERA
TOTAL]]*'📋 Datos Generales'!$E$19</f>
        <v>0</v>
      </c>
      <c r="U462" s="281">
        <f>TABLA_BASE[[#This Row],[ADV UNIT.
(US$)
⚠️COSTO]]*'📋 Datos Generales'!$E$19</f>
        <v>0</v>
      </c>
      <c r="V462" s="281">
        <f>TABLA_BASE[[#This Row],[ADV UNIT.
(S/.)]]*TABLA_BASE[[#This Row],[CANTIDAD
(unid.)]]</f>
        <v>0</v>
      </c>
      <c r="W462" s="281">
        <f>TABLA_BASE[[#This Row],[IPM UNIT.
(US$)
✅CF]]*'📋 Datos Generales'!$E$19</f>
        <v>0</v>
      </c>
      <c r="X462" s="281">
        <f>TABLA_BASE[[#This Row],[IPM UNIT.
(S/.)]]*TABLA_BASE[[#This Row],[CANTIDAD
(unid.)]]</f>
        <v>0</v>
      </c>
      <c r="Y462" s="281">
        <f>TABLA_BASE[[#This Row],[IGV UNIT.
(US$)
✅CF]]*'📋 Datos Generales'!$E$19</f>
        <v>0</v>
      </c>
      <c r="Z462" s="281">
        <f>TABLA_BASE[[#This Row],[IGV UNIT.
(S/.)]]*TABLA_BASE[[#This Row],[CANTIDAD
(unid.)]]</f>
        <v>0</v>
      </c>
      <c r="AA462" s="281">
        <f>TABLA_BASE[[#This Row],[PERCEP.
UNIT.(US$)
✅CF]]*'📋 Datos Generales'!$E$19</f>
        <v>0</v>
      </c>
      <c r="AB462" s="281">
        <f>TABLA_BASE[[#This Row],[PERCEP.
UNIT.(S/.)]]*TABLA_BASE[[#This Row],[CANTIDAD
(unid.)]]</f>
        <v>0</v>
      </c>
      <c r="AC462" s="279">
        <f>TABLA_BASE[[#This Row],[ADV UNIT.
(US$)
⚠️COSTO]]+TABLA_BASE[[#This Row],[IPM UNIT.
(US$)
✅CF]]+TABLA_BASE[[#This Row],[IGV UNIT.
(US$)
✅CF]]+TABLA_BASE[[#This Row],[PERCEP.
UNIT.(US$)
✅CF]]</f>
        <v>0</v>
      </c>
      <c r="AD462" s="279">
        <f>TABLA_BASE[[#This Row],[TOTAL PAGO
SUNAT
UNIT.(US$)]]*TABLA_BASE[[#This Row],[CANTIDAD
(unid.)]]</f>
        <v>0</v>
      </c>
      <c r="AE462" s="281">
        <f>TABLA_BASE[[#This Row],[TOTAL PAGO
SUNAT
UNIT.(US$)]]*'📋 Datos Generales'!$E$19</f>
        <v>0</v>
      </c>
      <c r="AF462" s="281">
        <f>TABLA_BASE[[#This Row],[TOTAL TRIB.
UNIT.(S/.)]]*TABLA_BASE[[#This Row],[CANTIDAD
(unid.)]]</f>
        <v>0</v>
      </c>
      <c r="AG462" s="279">
        <f>IF('🧾 Factura Comercial'!G466=0,0,'📦 Gastos Importación'!$E$28*(IF('🧾 Tributos Aduana'!$F$6=0,0,'🧾 Factura Comercial'!I466/'🧾 Tributos Aduana'!$F$6))/'🧾 Factura Comercial'!G466)</f>
        <v>0</v>
      </c>
      <c r="AH462" s="279">
        <f>TABLA_BASE[[#This Row],[GASTOS IMP.
UNIT.(US$)]]*TABLA_BASE[[#This Row],[CANTIDAD
(unid.)]]</f>
        <v>0</v>
      </c>
      <c r="AI462" s="281">
        <f>TABLA_BASE[[#This Row],[GASTOS IMP.
UNIT.(US$)]]*'📋 Datos Generales'!$E$19</f>
        <v>0</v>
      </c>
      <c r="AJ462" s="281">
        <f>TABLA_BASE[[#This Row],[GASTOS IMP.
UNIT.(S/.)]]*TABLA_BASE[[#This Row],[CANTIDAD
(unid.)]]</f>
        <v>0</v>
      </c>
      <c r="AK462" s="280">
        <f>'🧮 Costos x Producto'!J466</f>
        <v>0</v>
      </c>
      <c r="AL462" s="278">
        <f>'🧮 Costos x Producto'!K466</f>
        <v>0</v>
      </c>
      <c r="AM462" s="278">
        <f>TABLA_BASE[[#This Row],[C/M UNIT.
(S/.)]]*TABLA_BASE[[#This Row],[CANTIDAD
(unid.)]]</f>
        <v>0</v>
      </c>
      <c r="AN462" s="279">
        <f>IF('🧾 Factura Comercial'!G466=0,0,'🧾 Tributos Aduana'!$F$17*(IF('🧾 Tributos Aduana'!$F$6=0,0,'🧾 Factura Comercial'!I466/'🧾 Tributos Aduana'!$F$6))/'🧾 Factura Comercial'!G466)</f>
        <v>0</v>
      </c>
      <c r="AO462" s="280">
        <f>IF('🧾 Factura Comercial'!G466=0,0,'🏦 Crédito Fiscal'!$C$16*(IF('🧾 Tributos Aduana'!$F$6=0,0,'🧾 Factura Comercial'!I466/'🧾 Tributos Aduana'!$F$6))/'🧾 Factura Comercial'!G466)</f>
        <v>0</v>
      </c>
      <c r="AP462" s="278">
        <f>TABLA_BASE[[#This Row],[CF UNIT.
✅RECUP.
(US$)]]*'📋 Datos Generales'!$E$19</f>
        <v>0</v>
      </c>
      <c r="AQ462" s="278">
        <f>TABLA_BASE[[#This Row],[CF UNIT.
✅RECUP.(S/.)]]*TABLA_BASE[[#This Row],[CANTIDAD
(unid.)]]</f>
        <v>0</v>
      </c>
      <c r="AR462" s="288">
        <f>'💰 Precio de Venta'!G467</f>
        <v>0.4</v>
      </c>
      <c r="AS462" s="278">
        <f>'💰 Precio de Venta'!H467</f>
        <v>0</v>
      </c>
      <c r="AT462" s="278">
        <f>TABLA_BASE[[#This Row],[VALOR VTA.
UNIT.(S/.)]]*TABLA_BASE[[#This Row],[CANTIDAD
(unid.)]]</f>
        <v>0</v>
      </c>
      <c r="AU462" s="281">
        <f>'💰 Precio de Venta'!I467</f>
        <v>0</v>
      </c>
      <c r="AV462" s="278">
        <f>'💰 Precio de Venta'!J467</f>
        <v>0</v>
      </c>
      <c r="AW462" s="278">
        <f>TABLA_BASE[[#This Row],[GANANCIA
UNIT.(S/.)]]*TABLA_BASE[[#This Row],[CANTIDAD
(unid.)]]</f>
        <v>0</v>
      </c>
      <c r="AX462" s="289">
        <f>'💰 Precio de Venta'!K467</f>
        <v>0</v>
      </c>
      <c r="AY462" s="278">
        <f>TABLA_BASE[[#This Row],[GANANCIA
UNIT.(S/.)]]*'🧾 Factura Comercial'!G466</f>
        <v>0</v>
      </c>
      <c r="AZ462" s="277">
        <f>IF(TABLA_BASE[[#This Row],[PRECIO VTA.
c/IGV(S/.)]]=0,0,TABLA_BASE[[#This Row],[GANANCIA
UNIT.(S/.)]]/TABLA_BASE[[#This Row],[PRECIO VTA.
c/IGV(S/.)]])</f>
        <v>0</v>
      </c>
      <c r="BA462" s="277">
        <f>IF(TABLA_BASE[[#This Row],[C/M UNIT.
(S/.)]]=0,0,TABLA_BASE[[#This Row],[GANANCIA
UNIT.(S/.)]]/TABLA_BASE[[#This Row],[C/M UNIT.
(S/.)]])</f>
        <v>0</v>
      </c>
      <c r="BB462" s="274" t="str">
        <f>IF(TABLA_BASE[[#This Row],[MARGEN
%]]&gt;=0.5,"🟢 ALTO",IF(TABLA_BASE[[#This Row],[MARGEN
%]]&gt;=0.3,"🟡 MEDIO","🔴 BAJO"))</f>
        <v>🟡 MEDIO</v>
      </c>
    </row>
    <row r="463" spans="1:54" ht="16.5" hidden="1" thickTop="1" thickBot="1" x14ac:dyDescent="0.3">
      <c r="A463" s="274">
        <f>'🧾 Factura Comercial'!E467</f>
        <v>0</v>
      </c>
      <c r="B463" s="274" t="str">
        <f>'🧾 Factura Comercial'!F467</f>
        <v>Unid.</v>
      </c>
      <c r="C463" s="275">
        <f>'🧾 Factura Comercial'!G467</f>
        <v>0</v>
      </c>
      <c r="D463" s="276">
        <f>'🧾 Factura Comercial'!H467</f>
        <v>0</v>
      </c>
      <c r="E463" s="276">
        <f>'🧾 Factura Comercial'!I467</f>
        <v>0</v>
      </c>
      <c r="F463" s="277">
        <f>IF('🧾 Tributos Aduana'!$F$6=0,0,'🧾 Factura Comercial'!I467/'🧾 Tributos Aduana'!$F$6)</f>
        <v>0</v>
      </c>
      <c r="G463" s="278">
        <f>'🧾 Factura Comercial'!H467*'📋 Datos Generales'!$E$19</f>
        <v>0</v>
      </c>
      <c r="H463" s="278">
        <f>TABLA_BASE[[#This Row],[FOB UNIT.
(S/.)]]*TABLA_BASE[[#This Row],[CANTIDAD
(unid.)]]</f>
        <v>0</v>
      </c>
      <c r="I463" s="280">
        <f>IF('🧾 Tributos Aduana'!$F$6=0,0,'🧾 Tributos Aduana'!$F$17*('🧾 Factura Comercial'!H467/'🧾 Tributos Aduana'!$F$6))</f>
        <v>0</v>
      </c>
      <c r="J463" s="280">
        <f>TABLA_BASE[[#This Row],[ADV UNIT.
(US$)
⚠️COSTO]]*TABLA_BASE[[#This Row],[CANTIDAD
(unid.)]]</f>
        <v>0</v>
      </c>
      <c r="K463" s="279">
        <f>IF('🧾 Tributos Aduana'!$F$6=0,0,'🧾 Tributos Aduana'!$F$18*('🧾 Factura Comercial'!H467/'🧾 Tributos Aduana'!$F$6))</f>
        <v>0</v>
      </c>
      <c r="L463" s="280">
        <f>TABLA_BASE[[#This Row],[IPM UNIT.
(US$)
✅CF]]*TABLA_BASE[[#This Row],[CANTIDAD
(unid.)]]</f>
        <v>0</v>
      </c>
      <c r="M463" s="279">
        <f>IF('🧾 Tributos Aduana'!$F$6=0,0,'🧾 Tributos Aduana'!$F$19*('🧾 Factura Comercial'!H467/'🧾 Tributos Aduana'!$F$6))</f>
        <v>0</v>
      </c>
      <c r="N463" s="280">
        <f>TABLA_BASE[[#This Row],[IGV UNIT.
(US$)
✅CF]]*TABLA_BASE[[#This Row],[CANTIDAD
(unid.)]]</f>
        <v>0</v>
      </c>
      <c r="O463" s="280">
        <f>IF('🧾 Tributos Aduana'!$F$6=0,0,'🧾 Tributos Aduana'!$F$23*('🧾 Factura Comercial'!H467/'🧾 Tributos Aduana'!$F$6))</f>
        <v>0</v>
      </c>
      <c r="P463" s="280">
        <f>TABLA_BASE[[#This Row],[PERCEP.
UNIT.(US$)
✅CF]]*TABLA_BASE[[#This Row],[CANTIDAD
(unid.)]]</f>
        <v>0</v>
      </c>
      <c r="Q463" s="279">
        <f>TABLA_BASE[[#This Row],[ADV UNIT.
(US$)
⚠️COSTO]]+TABLA_BASE[[#This Row],[IPM UNIT.
(US$)
✅CF]]+TABLA_BASE[[#This Row],[IGV UNIT.
(US$)
✅CF]]</f>
        <v>0</v>
      </c>
      <c r="R463" s="280">
        <f>TABLA_BASE[[#This Row],[DEUDA
ADUANERA
UNIT.]]*TABLA_BASE[[#This Row],[CANTIDAD
(unid.)]]</f>
        <v>0</v>
      </c>
      <c r="S463" s="278">
        <f>TABLA_BASE[[#This Row],[DEUDA
ADUANERA
UNIT.]]*'📋 Datos Generales'!$E$19</f>
        <v>0</v>
      </c>
      <c r="T463" s="278">
        <f>TABLA_BASE[[#This Row],[DEUDA
ADUANERA
TOTAL]]*'📋 Datos Generales'!$E$19</f>
        <v>0</v>
      </c>
      <c r="U463" s="281">
        <f>TABLA_BASE[[#This Row],[ADV UNIT.
(US$)
⚠️COSTO]]*'📋 Datos Generales'!$E$19</f>
        <v>0</v>
      </c>
      <c r="V463" s="281">
        <f>TABLA_BASE[[#This Row],[ADV UNIT.
(S/.)]]*TABLA_BASE[[#This Row],[CANTIDAD
(unid.)]]</f>
        <v>0</v>
      </c>
      <c r="W463" s="281">
        <f>TABLA_BASE[[#This Row],[IPM UNIT.
(US$)
✅CF]]*'📋 Datos Generales'!$E$19</f>
        <v>0</v>
      </c>
      <c r="X463" s="281">
        <f>TABLA_BASE[[#This Row],[IPM UNIT.
(S/.)]]*TABLA_BASE[[#This Row],[CANTIDAD
(unid.)]]</f>
        <v>0</v>
      </c>
      <c r="Y463" s="281">
        <f>TABLA_BASE[[#This Row],[IGV UNIT.
(US$)
✅CF]]*'📋 Datos Generales'!$E$19</f>
        <v>0</v>
      </c>
      <c r="Z463" s="281">
        <f>TABLA_BASE[[#This Row],[IGV UNIT.
(S/.)]]*TABLA_BASE[[#This Row],[CANTIDAD
(unid.)]]</f>
        <v>0</v>
      </c>
      <c r="AA463" s="281">
        <f>TABLA_BASE[[#This Row],[PERCEP.
UNIT.(US$)
✅CF]]*'📋 Datos Generales'!$E$19</f>
        <v>0</v>
      </c>
      <c r="AB463" s="281">
        <f>TABLA_BASE[[#This Row],[PERCEP.
UNIT.(S/.)]]*TABLA_BASE[[#This Row],[CANTIDAD
(unid.)]]</f>
        <v>0</v>
      </c>
      <c r="AC463" s="279">
        <f>TABLA_BASE[[#This Row],[ADV UNIT.
(US$)
⚠️COSTO]]+TABLA_BASE[[#This Row],[IPM UNIT.
(US$)
✅CF]]+TABLA_BASE[[#This Row],[IGV UNIT.
(US$)
✅CF]]+TABLA_BASE[[#This Row],[PERCEP.
UNIT.(US$)
✅CF]]</f>
        <v>0</v>
      </c>
      <c r="AD463" s="279">
        <f>TABLA_BASE[[#This Row],[TOTAL PAGO
SUNAT
UNIT.(US$)]]*TABLA_BASE[[#This Row],[CANTIDAD
(unid.)]]</f>
        <v>0</v>
      </c>
      <c r="AE463" s="281">
        <f>TABLA_BASE[[#This Row],[TOTAL PAGO
SUNAT
UNIT.(US$)]]*'📋 Datos Generales'!$E$19</f>
        <v>0</v>
      </c>
      <c r="AF463" s="281">
        <f>TABLA_BASE[[#This Row],[TOTAL TRIB.
UNIT.(S/.)]]*TABLA_BASE[[#This Row],[CANTIDAD
(unid.)]]</f>
        <v>0</v>
      </c>
      <c r="AG463" s="279">
        <f>IF('🧾 Factura Comercial'!G467=0,0,'📦 Gastos Importación'!$E$28*(IF('🧾 Tributos Aduana'!$F$6=0,0,'🧾 Factura Comercial'!I467/'🧾 Tributos Aduana'!$F$6))/'🧾 Factura Comercial'!G467)</f>
        <v>0</v>
      </c>
      <c r="AH463" s="279">
        <f>TABLA_BASE[[#This Row],[GASTOS IMP.
UNIT.(US$)]]*TABLA_BASE[[#This Row],[CANTIDAD
(unid.)]]</f>
        <v>0</v>
      </c>
      <c r="AI463" s="281">
        <f>TABLA_BASE[[#This Row],[GASTOS IMP.
UNIT.(US$)]]*'📋 Datos Generales'!$E$19</f>
        <v>0</v>
      </c>
      <c r="AJ463" s="281">
        <f>TABLA_BASE[[#This Row],[GASTOS IMP.
UNIT.(S/.)]]*TABLA_BASE[[#This Row],[CANTIDAD
(unid.)]]</f>
        <v>0</v>
      </c>
      <c r="AK463" s="280">
        <f>'🧮 Costos x Producto'!J467</f>
        <v>0</v>
      </c>
      <c r="AL463" s="278">
        <f>'🧮 Costos x Producto'!K467</f>
        <v>0</v>
      </c>
      <c r="AM463" s="278">
        <f>TABLA_BASE[[#This Row],[C/M UNIT.
(S/.)]]*TABLA_BASE[[#This Row],[CANTIDAD
(unid.)]]</f>
        <v>0</v>
      </c>
      <c r="AN463" s="279">
        <f>IF('🧾 Factura Comercial'!G467=0,0,'🧾 Tributos Aduana'!$F$17*(IF('🧾 Tributos Aduana'!$F$6=0,0,'🧾 Factura Comercial'!I467/'🧾 Tributos Aduana'!$F$6))/'🧾 Factura Comercial'!G467)</f>
        <v>0</v>
      </c>
      <c r="AO463" s="280">
        <f>IF('🧾 Factura Comercial'!G467=0,0,'🏦 Crédito Fiscal'!$C$16*(IF('🧾 Tributos Aduana'!$F$6=0,0,'🧾 Factura Comercial'!I467/'🧾 Tributos Aduana'!$F$6))/'🧾 Factura Comercial'!G467)</f>
        <v>0</v>
      </c>
      <c r="AP463" s="278">
        <f>TABLA_BASE[[#This Row],[CF UNIT.
✅RECUP.
(US$)]]*'📋 Datos Generales'!$E$19</f>
        <v>0</v>
      </c>
      <c r="AQ463" s="278">
        <f>TABLA_BASE[[#This Row],[CF UNIT.
✅RECUP.(S/.)]]*TABLA_BASE[[#This Row],[CANTIDAD
(unid.)]]</f>
        <v>0</v>
      </c>
      <c r="AR463" s="288">
        <f>'💰 Precio de Venta'!G468</f>
        <v>0.4</v>
      </c>
      <c r="AS463" s="278">
        <f>'💰 Precio de Venta'!H468</f>
        <v>0</v>
      </c>
      <c r="AT463" s="278">
        <f>TABLA_BASE[[#This Row],[VALOR VTA.
UNIT.(S/.)]]*TABLA_BASE[[#This Row],[CANTIDAD
(unid.)]]</f>
        <v>0</v>
      </c>
      <c r="AU463" s="281">
        <f>'💰 Precio de Venta'!I468</f>
        <v>0</v>
      </c>
      <c r="AV463" s="278">
        <f>'💰 Precio de Venta'!J468</f>
        <v>0</v>
      </c>
      <c r="AW463" s="278">
        <f>TABLA_BASE[[#This Row],[GANANCIA
UNIT.(S/.)]]*TABLA_BASE[[#This Row],[CANTIDAD
(unid.)]]</f>
        <v>0</v>
      </c>
      <c r="AX463" s="289">
        <f>'💰 Precio de Venta'!K468</f>
        <v>0</v>
      </c>
      <c r="AY463" s="278">
        <f>TABLA_BASE[[#This Row],[GANANCIA
UNIT.(S/.)]]*'🧾 Factura Comercial'!G467</f>
        <v>0</v>
      </c>
      <c r="AZ463" s="277">
        <f>IF(TABLA_BASE[[#This Row],[PRECIO VTA.
c/IGV(S/.)]]=0,0,TABLA_BASE[[#This Row],[GANANCIA
UNIT.(S/.)]]/TABLA_BASE[[#This Row],[PRECIO VTA.
c/IGV(S/.)]])</f>
        <v>0</v>
      </c>
      <c r="BA463" s="277">
        <f>IF(TABLA_BASE[[#This Row],[C/M UNIT.
(S/.)]]=0,0,TABLA_BASE[[#This Row],[GANANCIA
UNIT.(S/.)]]/TABLA_BASE[[#This Row],[C/M UNIT.
(S/.)]])</f>
        <v>0</v>
      </c>
      <c r="BB463" s="274" t="str">
        <f>IF(TABLA_BASE[[#This Row],[MARGEN
%]]&gt;=0.5,"🟢 ALTO",IF(TABLA_BASE[[#This Row],[MARGEN
%]]&gt;=0.3,"🟡 MEDIO","🔴 BAJO"))</f>
        <v>🟡 MEDIO</v>
      </c>
    </row>
    <row r="464" spans="1:54" ht="16.5" hidden="1" thickTop="1" thickBot="1" x14ac:dyDescent="0.3">
      <c r="A464" s="274">
        <f>'🧾 Factura Comercial'!E468</f>
        <v>0</v>
      </c>
      <c r="B464" s="274" t="str">
        <f>'🧾 Factura Comercial'!F468</f>
        <v>Unid.</v>
      </c>
      <c r="C464" s="275">
        <f>'🧾 Factura Comercial'!G468</f>
        <v>0</v>
      </c>
      <c r="D464" s="276">
        <f>'🧾 Factura Comercial'!H468</f>
        <v>0</v>
      </c>
      <c r="E464" s="276">
        <f>'🧾 Factura Comercial'!I468</f>
        <v>0</v>
      </c>
      <c r="F464" s="277">
        <f>IF('🧾 Tributos Aduana'!$F$6=0,0,'🧾 Factura Comercial'!I468/'🧾 Tributos Aduana'!$F$6)</f>
        <v>0</v>
      </c>
      <c r="G464" s="278">
        <f>'🧾 Factura Comercial'!H468*'📋 Datos Generales'!$E$19</f>
        <v>0</v>
      </c>
      <c r="H464" s="278">
        <f>TABLA_BASE[[#This Row],[FOB UNIT.
(S/.)]]*TABLA_BASE[[#This Row],[CANTIDAD
(unid.)]]</f>
        <v>0</v>
      </c>
      <c r="I464" s="280">
        <f>IF('🧾 Tributos Aduana'!$F$6=0,0,'🧾 Tributos Aduana'!$F$17*('🧾 Factura Comercial'!H468/'🧾 Tributos Aduana'!$F$6))</f>
        <v>0</v>
      </c>
      <c r="J464" s="280">
        <f>TABLA_BASE[[#This Row],[ADV UNIT.
(US$)
⚠️COSTO]]*TABLA_BASE[[#This Row],[CANTIDAD
(unid.)]]</f>
        <v>0</v>
      </c>
      <c r="K464" s="279">
        <f>IF('🧾 Tributos Aduana'!$F$6=0,0,'🧾 Tributos Aduana'!$F$18*('🧾 Factura Comercial'!H468/'🧾 Tributos Aduana'!$F$6))</f>
        <v>0</v>
      </c>
      <c r="L464" s="280">
        <f>TABLA_BASE[[#This Row],[IPM UNIT.
(US$)
✅CF]]*TABLA_BASE[[#This Row],[CANTIDAD
(unid.)]]</f>
        <v>0</v>
      </c>
      <c r="M464" s="279">
        <f>IF('🧾 Tributos Aduana'!$F$6=0,0,'🧾 Tributos Aduana'!$F$19*('🧾 Factura Comercial'!H468/'🧾 Tributos Aduana'!$F$6))</f>
        <v>0</v>
      </c>
      <c r="N464" s="280">
        <f>TABLA_BASE[[#This Row],[IGV UNIT.
(US$)
✅CF]]*TABLA_BASE[[#This Row],[CANTIDAD
(unid.)]]</f>
        <v>0</v>
      </c>
      <c r="O464" s="280">
        <f>IF('🧾 Tributos Aduana'!$F$6=0,0,'🧾 Tributos Aduana'!$F$23*('🧾 Factura Comercial'!H468/'🧾 Tributos Aduana'!$F$6))</f>
        <v>0</v>
      </c>
      <c r="P464" s="280">
        <f>TABLA_BASE[[#This Row],[PERCEP.
UNIT.(US$)
✅CF]]*TABLA_BASE[[#This Row],[CANTIDAD
(unid.)]]</f>
        <v>0</v>
      </c>
      <c r="Q464" s="279">
        <f>TABLA_BASE[[#This Row],[ADV UNIT.
(US$)
⚠️COSTO]]+TABLA_BASE[[#This Row],[IPM UNIT.
(US$)
✅CF]]+TABLA_BASE[[#This Row],[IGV UNIT.
(US$)
✅CF]]</f>
        <v>0</v>
      </c>
      <c r="R464" s="280">
        <f>TABLA_BASE[[#This Row],[DEUDA
ADUANERA
UNIT.]]*TABLA_BASE[[#This Row],[CANTIDAD
(unid.)]]</f>
        <v>0</v>
      </c>
      <c r="S464" s="278">
        <f>TABLA_BASE[[#This Row],[DEUDA
ADUANERA
UNIT.]]*'📋 Datos Generales'!$E$19</f>
        <v>0</v>
      </c>
      <c r="T464" s="278">
        <f>TABLA_BASE[[#This Row],[DEUDA
ADUANERA
TOTAL]]*'📋 Datos Generales'!$E$19</f>
        <v>0</v>
      </c>
      <c r="U464" s="281">
        <f>TABLA_BASE[[#This Row],[ADV UNIT.
(US$)
⚠️COSTO]]*'📋 Datos Generales'!$E$19</f>
        <v>0</v>
      </c>
      <c r="V464" s="281">
        <f>TABLA_BASE[[#This Row],[ADV UNIT.
(S/.)]]*TABLA_BASE[[#This Row],[CANTIDAD
(unid.)]]</f>
        <v>0</v>
      </c>
      <c r="W464" s="281">
        <f>TABLA_BASE[[#This Row],[IPM UNIT.
(US$)
✅CF]]*'📋 Datos Generales'!$E$19</f>
        <v>0</v>
      </c>
      <c r="X464" s="281">
        <f>TABLA_BASE[[#This Row],[IPM UNIT.
(S/.)]]*TABLA_BASE[[#This Row],[CANTIDAD
(unid.)]]</f>
        <v>0</v>
      </c>
      <c r="Y464" s="281">
        <f>TABLA_BASE[[#This Row],[IGV UNIT.
(US$)
✅CF]]*'📋 Datos Generales'!$E$19</f>
        <v>0</v>
      </c>
      <c r="Z464" s="281">
        <f>TABLA_BASE[[#This Row],[IGV UNIT.
(S/.)]]*TABLA_BASE[[#This Row],[CANTIDAD
(unid.)]]</f>
        <v>0</v>
      </c>
      <c r="AA464" s="281">
        <f>TABLA_BASE[[#This Row],[PERCEP.
UNIT.(US$)
✅CF]]*'📋 Datos Generales'!$E$19</f>
        <v>0</v>
      </c>
      <c r="AB464" s="281">
        <f>TABLA_BASE[[#This Row],[PERCEP.
UNIT.(S/.)]]*TABLA_BASE[[#This Row],[CANTIDAD
(unid.)]]</f>
        <v>0</v>
      </c>
      <c r="AC464" s="279">
        <f>TABLA_BASE[[#This Row],[ADV UNIT.
(US$)
⚠️COSTO]]+TABLA_BASE[[#This Row],[IPM UNIT.
(US$)
✅CF]]+TABLA_BASE[[#This Row],[IGV UNIT.
(US$)
✅CF]]+TABLA_BASE[[#This Row],[PERCEP.
UNIT.(US$)
✅CF]]</f>
        <v>0</v>
      </c>
      <c r="AD464" s="279">
        <f>TABLA_BASE[[#This Row],[TOTAL PAGO
SUNAT
UNIT.(US$)]]*TABLA_BASE[[#This Row],[CANTIDAD
(unid.)]]</f>
        <v>0</v>
      </c>
      <c r="AE464" s="281">
        <f>TABLA_BASE[[#This Row],[TOTAL PAGO
SUNAT
UNIT.(US$)]]*'📋 Datos Generales'!$E$19</f>
        <v>0</v>
      </c>
      <c r="AF464" s="281">
        <f>TABLA_BASE[[#This Row],[TOTAL TRIB.
UNIT.(S/.)]]*TABLA_BASE[[#This Row],[CANTIDAD
(unid.)]]</f>
        <v>0</v>
      </c>
      <c r="AG464" s="279">
        <f>IF('🧾 Factura Comercial'!G468=0,0,'📦 Gastos Importación'!$E$28*(IF('🧾 Tributos Aduana'!$F$6=0,0,'🧾 Factura Comercial'!I468/'🧾 Tributos Aduana'!$F$6))/'🧾 Factura Comercial'!G468)</f>
        <v>0</v>
      </c>
      <c r="AH464" s="279">
        <f>TABLA_BASE[[#This Row],[GASTOS IMP.
UNIT.(US$)]]*TABLA_BASE[[#This Row],[CANTIDAD
(unid.)]]</f>
        <v>0</v>
      </c>
      <c r="AI464" s="281">
        <f>TABLA_BASE[[#This Row],[GASTOS IMP.
UNIT.(US$)]]*'📋 Datos Generales'!$E$19</f>
        <v>0</v>
      </c>
      <c r="AJ464" s="281">
        <f>TABLA_BASE[[#This Row],[GASTOS IMP.
UNIT.(S/.)]]*TABLA_BASE[[#This Row],[CANTIDAD
(unid.)]]</f>
        <v>0</v>
      </c>
      <c r="AK464" s="280">
        <f>'🧮 Costos x Producto'!J468</f>
        <v>0</v>
      </c>
      <c r="AL464" s="278">
        <f>'🧮 Costos x Producto'!K468</f>
        <v>0</v>
      </c>
      <c r="AM464" s="278">
        <f>TABLA_BASE[[#This Row],[C/M UNIT.
(S/.)]]*TABLA_BASE[[#This Row],[CANTIDAD
(unid.)]]</f>
        <v>0</v>
      </c>
      <c r="AN464" s="279">
        <f>IF('🧾 Factura Comercial'!G468=0,0,'🧾 Tributos Aduana'!$F$17*(IF('🧾 Tributos Aduana'!$F$6=0,0,'🧾 Factura Comercial'!I468/'🧾 Tributos Aduana'!$F$6))/'🧾 Factura Comercial'!G468)</f>
        <v>0</v>
      </c>
      <c r="AO464" s="280">
        <f>IF('🧾 Factura Comercial'!G468=0,0,'🏦 Crédito Fiscal'!$C$16*(IF('🧾 Tributos Aduana'!$F$6=0,0,'🧾 Factura Comercial'!I468/'🧾 Tributos Aduana'!$F$6))/'🧾 Factura Comercial'!G468)</f>
        <v>0</v>
      </c>
      <c r="AP464" s="278">
        <f>TABLA_BASE[[#This Row],[CF UNIT.
✅RECUP.
(US$)]]*'📋 Datos Generales'!$E$19</f>
        <v>0</v>
      </c>
      <c r="AQ464" s="278">
        <f>TABLA_BASE[[#This Row],[CF UNIT.
✅RECUP.(S/.)]]*TABLA_BASE[[#This Row],[CANTIDAD
(unid.)]]</f>
        <v>0</v>
      </c>
      <c r="AR464" s="288">
        <f>'💰 Precio de Venta'!G469</f>
        <v>0.4</v>
      </c>
      <c r="AS464" s="278">
        <f>'💰 Precio de Venta'!H469</f>
        <v>0</v>
      </c>
      <c r="AT464" s="278">
        <f>TABLA_BASE[[#This Row],[VALOR VTA.
UNIT.(S/.)]]*TABLA_BASE[[#This Row],[CANTIDAD
(unid.)]]</f>
        <v>0</v>
      </c>
      <c r="AU464" s="281">
        <f>'💰 Precio de Venta'!I469</f>
        <v>0</v>
      </c>
      <c r="AV464" s="278">
        <f>'💰 Precio de Venta'!J469</f>
        <v>0</v>
      </c>
      <c r="AW464" s="278">
        <f>TABLA_BASE[[#This Row],[GANANCIA
UNIT.(S/.)]]*TABLA_BASE[[#This Row],[CANTIDAD
(unid.)]]</f>
        <v>0</v>
      </c>
      <c r="AX464" s="289">
        <f>'💰 Precio de Venta'!K469</f>
        <v>0</v>
      </c>
      <c r="AY464" s="278">
        <f>TABLA_BASE[[#This Row],[GANANCIA
UNIT.(S/.)]]*'🧾 Factura Comercial'!G468</f>
        <v>0</v>
      </c>
      <c r="AZ464" s="277">
        <f>IF(TABLA_BASE[[#This Row],[PRECIO VTA.
c/IGV(S/.)]]=0,0,TABLA_BASE[[#This Row],[GANANCIA
UNIT.(S/.)]]/TABLA_BASE[[#This Row],[PRECIO VTA.
c/IGV(S/.)]])</f>
        <v>0</v>
      </c>
      <c r="BA464" s="277">
        <f>IF(TABLA_BASE[[#This Row],[C/M UNIT.
(S/.)]]=0,0,TABLA_BASE[[#This Row],[GANANCIA
UNIT.(S/.)]]/TABLA_BASE[[#This Row],[C/M UNIT.
(S/.)]])</f>
        <v>0</v>
      </c>
      <c r="BB464" s="274" t="str">
        <f>IF(TABLA_BASE[[#This Row],[MARGEN
%]]&gt;=0.5,"🟢 ALTO",IF(TABLA_BASE[[#This Row],[MARGEN
%]]&gt;=0.3,"🟡 MEDIO","🔴 BAJO"))</f>
        <v>🟡 MEDIO</v>
      </c>
    </row>
    <row r="465" spans="1:54" ht="16.5" hidden="1" thickTop="1" thickBot="1" x14ac:dyDescent="0.3">
      <c r="A465" s="274">
        <f>'🧾 Factura Comercial'!E469</f>
        <v>0</v>
      </c>
      <c r="B465" s="274" t="str">
        <f>'🧾 Factura Comercial'!F469</f>
        <v>Unid.</v>
      </c>
      <c r="C465" s="275">
        <f>'🧾 Factura Comercial'!G469</f>
        <v>0</v>
      </c>
      <c r="D465" s="276">
        <f>'🧾 Factura Comercial'!H469</f>
        <v>0</v>
      </c>
      <c r="E465" s="276">
        <f>'🧾 Factura Comercial'!I469</f>
        <v>0</v>
      </c>
      <c r="F465" s="277">
        <f>IF('🧾 Tributos Aduana'!$F$6=0,0,'🧾 Factura Comercial'!I469/'🧾 Tributos Aduana'!$F$6)</f>
        <v>0</v>
      </c>
      <c r="G465" s="278">
        <f>'🧾 Factura Comercial'!H469*'📋 Datos Generales'!$E$19</f>
        <v>0</v>
      </c>
      <c r="H465" s="278">
        <f>TABLA_BASE[[#This Row],[FOB UNIT.
(S/.)]]*TABLA_BASE[[#This Row],[CANTIDAD
(unid.)]]</f>
        <v>0</v>
      </c>
      <c r="I465" s="280">
        <f>IF('🧾 Tributos Aduana'!$F$6=0,0,'🧾 Tributos Aduana'!$F$17*('🧾 Factura Comercial'!H469/'🧾 Tributos Aduana'!$F$6))</f>
        <v>0</v>
      </c>
      <c r="J465" s="280">
        <f>TABLA_BASE[[#This Row],[ADV UNIT.
(US$)
⚠️COSTO]]*TABLA_BASE[[#This Row],[CANTIDAD
(unid.)]]</f>
        <v>0</v>
      </c>
      <c r="K465" s="279">
        <f>IF('🧾 Tributos Aduana'!$F$6=0,0,'🧾 Tributos Aduana'!$F$18*('🧾 Factura Comercial'!H469/'🧾 Tributos Aduana'!$F$6))</f>
        <v>0</v>
      </c>
      <c r="L465" s="280">
        <f>TABLA_BASE[[#This Row],[IPM UNIT.
(US$)
✅CF]]*TABLA_BASE[[#This Row],[CANTIDAD
(unid.)]]</f>
        <v>0</v>
      </c>
      <c r="M465" s="279">
        <f>IF('🧾 Tributos Aduana'!$F$6=0,0,'🧾 Tributos Aduana'!$F$19*('🧾 Factura Comercial'!H469/'🧾 Tributos Aduana'!$F$6))</f>
        <v>0</v>
      </c>
      <c r="N465" s="280">
        <f>TABLA_BASE[[#This Row],[IGV UNIT.
(US$)
✅CF]]*TABLA_BASE[[#This Row],[CANTIDAD
(unid.)]]</f>
        <v>0</v>
      </c>
      <c r="O465" s="280">
        <f>IF('🧾 Tributos Aduana'!$F$6=0,0,'🧾 Tributos Aduana'!$F$23*('🧾 Factura Comercial'!H469/'🧾 Tributos Aduana'!$F$6))</f>
        <v>0</v>
      </c>
      <c r="P465" s="280">
        <f>TABLA_BASE[[#This Row],[PERCEP.
UNIT.(US$)
✅CF]]*TABLA_BASE[[#This Row],[CANTIDAD
(unid.)]]</f>
        <v>0</v>
      </c>
      <c r="Q465" s="279">
        <f>TABLA_BASE[[#This Row],[ADV UNIT.
(US$)
⚠️COSTO]]+TABLA_BASE[[#This Row],[IPM UNIT.
(US$)
✅CF]]+TABLA_BASE[[#This Row],[IGV UNIT.
(US$)
✅CF]]</f>
        <v>0</v>
      </c>
      <c r="R465" s="280">
        <f>TABLA_BASE[[#This Row],[DEUDA
ADUANERA
UNIT.]]*TABLA_BASE[[#This Row],[CANTIDAD
(unid.)]]</f>
        <v>0</v>
      </c>
      <c r="S465" s="278">
        <f>TABLA_BASE[[#This Row],[DEUDA
ADUANERA
UNIT.]]*'📋 Datos Generales'!$E$19</f>
        <v>0</v>
      </c>
      <c r="T465" s="278">
        <f>TABLA_BASE[[#This Row],[DEUDA
ADUANERA
TOTAL]]*'📋 Datos Generales'!$E$19</f>
        <v>0</v>
      </c>
      <c r="U465" s="281">
        <f>TABLA_BASE[[#This Row],[ADV UNIT.
(US$)
⚠️COSTO]]*'📋 Datos Generales'!$E$19</f>
        <v>0</v>
      </c>
      <c r="V465" s="281">
        <f>TABLA_BASE[[#This Row],[ADV UNIT.
(S/.)]]*TABLA_BASE[[#This Row],[CANTIDAD
(unid.)]]</f>
        <v>0</v>
      </c>
      <c r="W465" s="281">
        <f>TABLA_BASE[[#This Row],[IPM UNIT.
(US$)
✅CF]]*'📋 Datos Generales'!$E$19</f>
        <v>0</v>
      </c>
      <c r="X465" s="281">
        <f>TABLA_BASE[[#This Row],[IPM UNIT.
(S/.)]]*TABLA_BASE[[#This Row],[CANTIDAD
(unid.)]]</f>
        <v>0</v>
      </c>
      <c r="Y465" s="281">
        <f>TABLA_BASE[[#This Row],[IGV UNIT.
(US$)
✅CF]]*'📋 Datos Generales'!$E$19</f>
        <v>0</v>
      </c>
      <c r="Z465" s="281">
        <f>TABLA_BASE[[#This Row],[IGV UNIT.
(S/.)]]*TABLA_BASE[[#This Row],[CANTIDAD
(unid.)]]</f>
        <v>0</v>
      </c>
      <c r="AA465" s="281">
        <f>TABLA_BASE[[#This Row],[PERCEP.
UNIT.(US$)
✅CF]]*'📋 Datos Generales'!$E$19</f>
        <v>0</v>
      </c>
      <c r="AB465" s="281">
        <f>TABLA_BASE[[#This Row],[PERCEP.
UNIT.(S/.)]]*TABLA_BASE[[#This Row],[CANTIDAD
(unid.)]]</f>
        <v>0</v>
      </c>
      <c r="AC465" s="279">
        <f>TABLA_BASE[[#This Row],[ADV UNIT.
(US$)
⚠️COSTO]]+TABLA_BASE[[#This Row],[IPM UNIT.
(US$)
✅CF]]+TABLA_BASE[[#This Row],[IGV UNIT.
(US$)
✅CF]]+TABLA_BASE[[#This Row],[PERCEP.
UNIT.(US$)
✅CF]]</f>
        <v>0</v>
      </c>
      <c r="AD465" s="279">
        <f>TABLA_BASE[[#This Row],[TOTAL PAGO
SUNAT
UNIT.(US$)]]*TABLA_BASE[[#This Row],[CANTIDAD
(unid.)]]</f>
        <v>0</v>
      </c>
      <c r="AE465" s="281">
        <f>TABLA_BASE[[#This Row],[TOTAL PAGO
SUNAT
UNIT.(US$)]]*'📋 Datos Generales'!$E$19</f>
        <v>0</v>
      </c>
      <c r="AF465" s="281">
        <f>TABLA_BASE[[#This Row],[TOTAL TRIB.
UNIT.(S/.)]]*TABLA_BASE[[#This Row],[CANTIDAD
(unid.)]]</f>
        <v>0</v>
      </c>
      <c r="AG465" s="279">
        <f>IF('🧾 Factura Comercial'!G469=0,0,'📦 Gastos Importación'!$E$28*(IF('🧾 Tributos Aduana'!$F$6=0,0,'🧾 Factura Comercial'!I469/'🧾 Tributos Aduana'!$F$6))/'🧾 Factura Comercial'!G469)</f>
        <v>0</v>
      </c>
      <c r="AH465" s="279">
        <f>TABLA_BASE[[#This Row],[GASTOS IMP.
UNIT.(US$)]]*TABLA_BASE[[#This Row],[CANTIDAD
(unid.)]]</f>
        <v>0</v>
      </c>
      <c r="AI465" s="281">
        <f>TABLA_BASE[[#This Row],[GASTOS IMP.
UNIT.(US$)]]*'📋 Datos Generales'!$E$19</f>
        <v>0</v>
      </c>
      <c r="AJ465" s="281">
        <f>TABLA_BASE[[#This Row],[GASTOS IMP.
UNIT.(S/.)]]*TABLA_BASE[[#This Row],[CANTIDAD
(unid.)]]</f>
        <v>0</v>
      </c>
      <c r="AK465" s="280">
        <f>'🧮 Costos x Producto'!J469</f>
        <v>0</v>
      </c>
      <c r="AL465" s="278">
        <f>'🧮 Costos x Producto'!K469</f>
        <v>0</v>
      </c>
      <c r="AM465" s="278">
        <f>TABLA_BASE[[#This Row],[C/M UNIT.
(S/.)]]*TABLA_BASE[[#This Row],[CANTIDAD
(unid.)]]</f>
        <v>0</v>
      </c>
      <c r="AN465" s="279">
        <f>IF('🧾 Factura Comercial'!G469=0,0,'🧾 Tributos Aduana'!$F$17*(IF('🧾 Tributos Aduana'!$F$6=0,0,'🧾 Factura Comercial'!I469/'🧾 Tributos Aduana'!$F$6))/'🧾 Factura Comercial'!G469)</f>
        <v>0</v>
      </c>
      <c r="AO465" s="280">
        <f>IF('🧾 Factura Comercial'!G469=0,0,'🏦 Crédito Fiscal'!$C$16*(IF('🧾 Tributos Aduana'!$F$6=0,0,'🧾 Factura Comercial'!I469/'🧾 Tributos Aduana'!$F$6))/'🧾 Factura Comercial'!G469)</f>
        <v>0</v>
      </c>
      <c r="AP465" s="278">
        <f>TABLA_BASE[[#This Row],[CF UNIT.
✅RECUP.
(US$)]]*'📋 Datos Generales'!$E$19</f>
        <v>0</v>
      </c>
      <c r="AQ465" s="278">
        <f>TABLA_BASE[[#This Row],[CF UNIT.
✅RECUP.(S/.)]]*TABLA_BASE[[#This Row],[CANTIDAD
(unid.)]]</f>
        <v>0</v>
      </c>
      <c r="AR465" s="288">
        <f>'💰 Precio de Venta'!G470</f>
        <v>0.4</v>
      </c>
      <c r="AS465" s="278">
        <f>'💰 Precio de Venta'!H470</f>
        <v>0</v>
      </c>
      <c r="AT465" s="278">
        <f>TABLA_BASE[[#This Row],[VALOR VTA.
UNIT.(S/.)]]*TABLA_BASE[[#This Row],[CANTIDAD
(unid.)]]</f>
        <v>0</v>
      </c>
      <c r="AU465" s="281">
        <f>'💰 Precio de Venta'!I470</f>
        <v>0</v>
      </c>
      <c r="AV465" s="278">
        <f>'💰 Precio de Venta'!J470</f>
        <v>0</v>
      </c>
      <c r="AW465" s="278">
        <f>TABLA_BASE[[#This Row],[GANANCIA
UNIT.(S/.)]]*TABLA_BASE[[#This Row],[CANTIDAD
(unid.)]]</f>
        <v>0</v>
      </c>
      <c r="AX465" s="289">
        <f>'💰 Precio de Venta'!K470</f>
        <v>0</v>
      </c>
      <c r="AY465" s="278">
        <f>TABLA_BASE[[#This Row],[GANANCIA
UNIT.(S/.)]]*'🧾 Factura Comercial'!G469</f>
        <v>0</v>
      </c>
      <c r="AZ465" s="277">
        <f>IF(TABLA_BASE[[#This Row],[PRECIO VTA.
c/IGV(S/.)]]=0,0,TABLA_BASE[[#This Row],[GANANCIA
UNIT.(S/.)]]/TABLA_BASE[[#This Row],[PRECIO VTA.
c/IGV(S/.)]])</f>
        <v>0</v>
      </c>
      <c r="BA465" s="277">
        <f>IF(TABLA_BASE[[#This Row],[C/M UNIT.
(S/.)]]=0,0,TABLA_BASE[[#This Row],[GANANCIA
UNIT.(S/.)]]/TABLA_BASE[[#This Row],[C/M UNIT.
(S/.)]])</f>
        <v>0</v>
      </c>
      <c r="BB465" s="274" t="str">
        <f>IF(TABLA_BASE[[#This Row],[MARGEN
%]]&gt;=0.5,"🟢 ALTO",IF(TABLA_BASE[[#This Row],[MARGEN
%]]&gt;=0.3,"🟡 MEDIO","🔴 BAJO"))</f>
        <v>🟡 MEDIO</v>
      </c>
    </row>
    <row r="466" spans="1:54" ht="16.5" hidden="1" thickTop="1" thickBot="1" x14ac:dyDescent="0.3">
      <c r="A466" s="274">
        <f>'🧾 Factura Comercial'!E470</f>
        <v>0</v>
      </c>
      <c r="B466" s="274" t="str">
        <f>'🧾 Factura Comercial'!F470</f>
        <v>Unid.</v>
      </c>
      <c r="C466" s="275">
        <f>'🧾 Factura Comercial'!G470</f>
        <v>0</v>
      </c>
      <c r="D466" s="276">
        <f>'🧾 Factura Comercial'!H470</f>
        <v>0</v>
      </c>
      <c r="E466" s="276">
        <f>'🧾 Factura Comercial'!I470</f>
        <v>0</v>
      </c>
      <c r="F466" s="277">
        <f>IF('🧾 Tributos Aduana'!$F$6=0,0,'🧾 Factura Comercial'!I470/'🧾 Tributos Aduana'!$F$6)</f>
        <v>0</v>
      </c>
      <c r="G466" s="278">
        <f>'🧾 Factura Comercial'!H470*'📋 Datos Generales'!$E$19</f>
        <v>0</v>
      </c>
      <c r="H466" s="278">
        <f>TABLA_BASE[[#This Row],[FOB UNIT.
(S/.)]]*TABLA_BASE[[#This Row],[CANTIDAD
(unid.)]]</f>
        <v>0</v>
      </c>
      <c r="I466" s="280">
        <f>IF('🧾 Tributos Aduana'!$F$6=0,0,'🧾 Tributos Aduana'!$F$17*('🧾 Factura Comercial'!H470/'🧾 Tributos Aduana'!$F$6))</f>
        <v>0</v>
      </c>
      <c r="J466" s="280">
        <f>TABLA_BASE[[#This Row],[ADV UNIT.
(US$)
⚠️COSTO]]*TABLA_BASE[[#This Row],[CANTIDAD
(unid.)]]</f>
        <v>0</v>
      </c>
      <c r="K466" s="279">
        <f>IF('🧾 Tributos Aduana'!$F$6=0,0,'🧾 Tributos Aduana'!$F$18*('🧾 Factura Comercial'!H470/'🧾 Tributos Aduana'!$F$6))</f>
        <v>0</v>
      </c>
      <c r="L466" s="280">
        <f>TABLA_BASE[[#This Row],[IPM UNIT.
(US$)
✅CF]]*TABLA_BASE[[#This Row],[CANTIDAD
(unid.)]]</f>
        <v>0</v>
      </c>
      <c r="M466" s="279">
        <f>IF('🧾 Tributos Aduana'!$F$6=0,0,'🧾 Tributos Aduana'!$F$19*('🧾 Factura Comercial'!H470/'🧾 Tributos Aduana'!$F$6))</f>
        <v>0</v>
      </c>
      <c r="N466" s="280">
        <f>TABLA_BASE[[#This Row],[IGV UNIT.
(US$)
✅CF]]*TABLA_BASE[[#This Row],[CANTIDAD
(unid.)]]</f>
        <v>0</v>
      </c>
      <c r="O466" s="280">
        <f>IF('🧾 Tributos Aduana'!$F$6=0,0,'🧾 Tributos Aduana'!$F$23*('🧾 Factura Comercial'!H470/'🧾 Tributos Aduana'!$F$6))</f>
        <v>0</v>
      </c>
      <c r="P466" s="280">
        <f>TABLA_BASE[[#This Row],[PERCEP.
UNIT.(US$)
✅CF]]*TABLA_BASE[[#This Row],[CANTIDAD
(unid.)]]</f>
        <v>0</v>
      </c>
      <c r="Q466" s="279">
        <f>TABLA_BASE[[#This Row],[ADV UNIT.
(US$)
⚠️COSTO]]+TABLA_BASE[[#This Row],[IPM UNIT.
(US$)
✅CF]]+TABLA_BASE[[#This Row],[IGV UNIT.
(US$)
✅CF]]</f>
        <v>0</v>
      </c>
      <c r="R466" s="280">
        <f>TABLA_BASE[[#This Row],[DEUDA
ADUANERA
UNIT.]]*TABLA_BASE[[#This Row],[CANTIDAD
(unid.)]]</f>
        <v>0</v>
      </c>
      <c r="S466" s="278">
        <f>TABLA_BASE[[#This Row],[DEUDA
ADUANERA
UNIT.]]*'📋 Datos Generales'!$E$19</f>
        <v>0</v>
      </c>
      <c r="T466" s="278">
        <f>TABLA_BASE[[#This Row],[DEUDA
ADUANERA
TOTAL]]*'📋 Datos Generales'!$E$19</f>
        <v>0</v>
      </c>
      <c r="U466" s="281">
        <f>TABLA_BASE[[#This Row],[ADV UNIT.
(US$)
⚠️COSTO]]*'📋 Datos Generales'!$E$19</f>
        <v>0</v>
      </c>
      <c r="V466" s="281">
        <f>TABLA_BASE[[#This Row],[ADV UNIT.
(S/.)]]*TABLA_BASE[[#This Row],[CANTIDAD
(unid.)]]</f>
        <v>0</v>
      </c>
      <c r="W466" s="281">
        <f>TABLA_BASE[[#This Row],[IPM UNIT.
(US$)
✅CF]]*'📋 Datos Generales'!$E$19</f>
        <v>0</v>
      </c>
      <c r="X466" s="281">
        <f>TABLA_BASE[[#This Row],[IPM UNIT.
(S/.)]]*TABLA_BASE[[#This Row],[CANTIDAD
(unid.)]]</f>
        <v>0</v>
      </c>
      <c r="Y466" s="281">
        <f>TABLA_BASE[[#This Row],[IGV UNIT.
(US$)
✅CF]]*'📋 Datos Generales'!$E$19</f>
        <v>0</v>
      </c>
      <c r="Z466" s="281">
        <f>TABLA_BASE[[#This Row],[IGV UNIT.
(S/.)]]*TABLA_BASE[[#This Row],[CANTIDAD
(unid.)]]</f>
        <v>0</v>
      </c>
      <c r="AA466" s="281">
        <f>TABLA_BASE[[#This Row],[PERCEP.
UNIT.(US$)
✅CF]]*'📋 Datos Generales'!$E$19</f>
        <v>0</v>
      </c>
      <c r="AB466" s="281">
        <f>TABLA_BASE[[#This Row],[PERCEP.
UNIT.(S/.)]]*TABLA_BASE[[#This Row],[CANTIDAD
(unid.)]]</f>
        <v>0</v>
      </c>
      <c r="AC466" s="279">
        <f>TABLA_BASE[[#This Row],[ADV UNIT.
(US$)
⚠️COSTO]]+TABLA_BASE[[#This Row],[IPM UNIT.
(US$)
✅CF]]+TABLA_BASE[[#This Row],[IGV UNIT.
(US$)
✅CF]]+TABLA_BASE[[#This Row],[PERCEP.
UNIT.(US$)
✅CF]]</f>
        <v>0</v>
      </c>
      <c r="AD466" s="279">
        <f>TABLA_BASE[[#This Row],[TOTAL PAGO
SUNAT
UNIT.(US$)]]*TABLA_BASE[[#This Row],[CANTIDAD
(unid.)]]</f>
        <v>0</v>
      </c>
      <c r="AE466" s="281">
        <f>TABLA_BASE[[#This Row],[TOTAL PAGO
SUNAT
UNIT.(US$)]]*'📋 Datos Generales'!$E$19</f>
        <v>0</v>
      </c>
      <c r="AF466" s="281">
        <f>TABLA_BASE[[#This Row],[TOTAL TRIB.
UNIT.(S/.)]]*TABLA_BASE[[#This Row],[CANTIDAD
(unid.)]]</f>
        <v>0</v>
      </c>
      <c r="AG466" s="279">
        <f>IF('🧾 Factura Comercial'!G470=0,0,'📦 Gastos Importación'!$E$28*(IF('🧾 Tributos Aduana'!$F$6=0,0,'🧾 Factura Comercial'!I470/'🧾 Tributos Aduana'!$F$6))/'🧾 Factura Comercial'!G470)</f>
        <v>0</v>
      </c>
      <c r="AH466" s="279">
        <f>TABLA_BASE[[#This Row],[GASTOS IMP.
UNIT.(US$)]]*TABLA_BASE[[#This Row],[CANTIDAD
(unid.)]]</f>
        <v>0</v>
      </c>
      <c r="AI466" s="281">
        <f>TABLA_BASE[[#This Row],[GASTOS IMP.
UNIT.(US$)]]*'📋 Datos Generales'!$E$19</f>
        <v>0</v>
      </c>
      <c r="AJ466" s="281">
        <f>TABLA_BASE[[#This Row],[GASTOS IMP.
UNIT.(S/.)]]*TABLA_BASE[[#This Row],[CANTIDAD
(unid.)]]</f>
        <v>0</v>
      </c>
      <c r="AK466" s="280">
        <f>'🧮 Costos x Producto'!J470</f>
        <v>0</v>
      </c>
      <c r="AL466" s="278">
        <f>'🧮 Costos x Producto'!K470</f>
        <v>0</v>
      </c>
      <c r="AM466" s="278">
        <f>TABLA_BASE[[#This Row],[C/M UNIT.
(S/.)]]*TABLA_BASE[[#This Row],[CANTIDAD
(unid.)]]</f>
        <v>0</v>
      </c>
      <c r="AN466" s="279">
        <f>IF('🧾 Factura Comercial'!G470=0,0,'🧾 Tributos Aduana'!$F$17*(IF('🧾 Tributos Aduana'!$F$6=0,0,'🧾 Factura Comercial'!I470/'🧾 Tributos Aduana'!$F$6))/'🧾 Factura Comercial'!G470)</f>
        <v>0</v>
      </c>
      <c r="AO466" s="280">
        <f>IF('🧾 Factura Comercial'!G470=0,0,'🏦 Crédito Fiscal'!$C$16*(IF('🧾 Tributos Aduana'!$F$6=0,0,'🧾 Factura Comercial'!I470/'🧾 Tributos Aduana'!$F$6))/'🧾 Factura Comercial'!G470)</f>
        <v>0</v>
      </c>
      <c r="AP466" s="278">
        <f>TABLA_BASE[[#This Row],[CF UNIT.
✅RECUP.
(US$)]]*'📋 Datos Generales'!$E$19</f>
        <v>0</v>
      </c>
      <c r="AQ466" s="278">
        <f>TABLA_BASE[[#This Row],[CF UNIT.
✅RECUP.(S/.)]]*TABLA_BASE[[#This Row],[CANTIDAD
(unid.)]]</f>
        <v>0</v>
      </c>
      <c r="AR466" s="288">
        <f>'💰 Precio de Venta'!G471</f>
        <v>0.4</v>
      </c>
      <c r="AS466" s="278">
        <f>'💰 Precio de Venta'!H471</f>
        <v>0</v>
      </c>
      <c r="AT466" s="278">
        <f>TABLA_BASE[[#This Row],[VALOR VTA.
UNIT.(S/.)]]*TABLA_BASE[[#This Row],[CANTIDAD
(unid.)]]</f>
        <v>0</v>
      </c>
      <c r="AU466" s="281">
        <f>'💰 Precio de Venta'!I471</f>
        <v>0</v>
      </c>
      <c r="AV466" s="278">
        <f>'💰 Precio de Venta'!J471</f>
        <v>0</v>
      </c>
      <c r="AW466" s="278">
        <f>TABLA_BASE[[#This Row],[GANANCIA
UNIT.(S/.)]]*TABLA_BASE[[#This Row],[CANTIDAD
(unid.)]]</f>
        <v>0</v>
      </c>
      <c r="AX466" s="289">
        <f>'💰 Precio de Venta'!K471</f>
        <v>0</v>
      </c>
      <c r="AY466" s="278">
        <f>TABLA_BASE[[#This Row],[GANANCIA
UNIT.(S/.)]]*'🧾 Factura Comercial'!G470</f>
        <v>0</v>
      </c>
      <c r="AZ466" s="277">
        <f>IF(TABLA_BASE[[#This Row],[PRECIO VTA.
c/IGV(S/.)]]=0,0,TABLA_BASE[[#This Row],[GANANCIA
UNIT.(S/.)]]/TABLA_BASE[[#This Row],[PRECIO VTA.
c/IGV(S/.)]])</f>
        <v>0</v>
      </c>
      <c r="BA466" s="277">
        <f>IF(TABLA_BASE[[#This Row],[C/M UNIT.
(S/.)]]=0,0,TABLA_BASE[[#This Row],[GANANCIA
UNIT.(S/.)]]/TABLA_BASE[[#This Row],[C/M UNIT.
(S/.)]])</f>
        <v>0</v>
      </c>
      <c r="BB466" s="274" t="str">
        <f>IF(TABLA_BASE[[#This Row],[MARGEN
%]]&gt;=0.5,"🟢 ALTO",IF(TABLA_BASE[[#This Row],[MARGEN
%]]&gt;=0.3,"🟡 MEDIO","🔴 BAJO"))</f>
        <v>🟡 MEDIO</v>
      </c>
    </row>
    <row r="467" spans="1:54" ht="16.5" hidden="1" thickTop="1" thickBot="1" x14ac:dyDescent="0.3">
      <c r="A467" s="274">
        <f>'🧾 Factura Comercial'!E471</f>
        <v>0</v>
      </c>
      <c r="B467" s="274" t="str">
        <f>'🧾 Factura Comercial'!F471</f>
        <v>Unid.</v>
      </c>
      <c r="C467" s="275">
        <f>'🧾 Factura Comercial'!G471</f>
        <v>0</v>
      </c>
      <c r="D467" s="276">
        <f>'🧾 Factura Comercial'!H471</f>
        <v>0</v>
      </c>
      <c r="E467" s="276">
        <f>'🧾 Factura Comercial'!I471</f>
        <v>0</v>
      </c>
      <c r="F467" s="277">
        <f>IF('🧾 Tributos Aduana'!$F$6=0,0,'🧾 Factura Comercial'!I471/'🧾 Tributos Aduana'!$F$6)</f>
        <v>0</v>
      </c>
      <c r="G467" s="278">
        <f>'🧾 Factura Comercial'!H471*'📋 Datos Generales'!$E$19</f>
        <v>0</v>
      </c>
      <c r="H467" s="278">
        <f>TABLA_BASE[[#This Row],[FOB UNIT.
(S/.)]]*TABLA_BASE[[#This Row],[CANTIDAD
(unid.)]]</f>
        <v>0</v>
      </c>
      <c r="I467" s="280">
        <f>IF('🧾 Tributos Aduana'!$F$6=0,0,'🧾 Tributos Aduana'!$F$17*('🧾 Factura Comercial'!H471/'🧾 Tributos Aduana'!$F$6))</f>
        <v>0</v>
      </c>
      <c r="J467" s="280">
        <f>TABLA_BASE[[#This Row],[ADV UNIT.
(US$)
⚠️COSTO]]*TABLA_BASE[[#This Row],[CANTIDAD
(unid.)]]</f>
        <v>0</v>
      </c>
      <c r="K467" s="279">
        <f>IF('🧾 Tributos Aduana'!$F$6=0,0,'🧾 Tributos Aduana'!$F$18*('🧾 Factura Comercial'!H471/'🧾 Tributos Aduana'!$F$6))</f>
        <v>0</v>
      </c>
      <c r="L467" s="280">
        <f>TABLA_BASE[[#This Row],[IPM UNIT.
(US$)
✅CF]]*TABLA_BASE[[#This Row],[CANTIDAD
(unid.)]]</f>
        <v>0</v>
      </c>
      <c r="M467" s="279">
        <f>IF('🧾 Tributos Aduana'!$F$6=0,0,'🧾 Tributos Aduana'!$F$19*('🧾 Factura Comercial'!H471/'🧾 Tributos Aduana'!$F$6))</f>
        <v>0</v>
      </c>
      <c r="N467" s="280">
        <f>TABLA_BASE[[#This Row],[IGV UNIT.
(US$)
✅CF]]*TABLA_BASE[[#This Row],[CANTIDAD
(unid.)]]</f>
        <v>0</v>
      </c>
      <c r="O467" s="280">
        <f>IF('🧾 Tributos Aduana'!$F$6=0,0,'🧾 Tributos Aduana'!$F$23*('🧾 Factura Comercial'!H471/'🧾 Tributos Aduana'!$F$6))</f>
        <v>0</v>
      </c>
      <c r="P467" s="280">
        <f>TABLA_BASE[[#This Row],[PERCEP.
UNIT.(US$)
✅CF]]*TABLA_BASE[[#This Row],[CANTIDAD
(unid.)]]</f>
        <v>0</v>
      </c>
      <c r="Q467" s="279">
        <f>TABLA_BASE[[#This Row],[ADV UNIT.
(US$)
⚠️COSTO]]+TABLA_BASE[[#This Row],[IPM UNIT.
(US$)
✅CF]]+TABLA_BASE[[#This Row],[IGV UNIT.
(US$)
✅CF]]</f>
        <v>0</v>
      </c>
      <c r="R467" s="280">
        <f>TABLA_BASE[[#This Row],[DEUDA
ADUANERA
UNIT.]]*TABLA_BASE[[#This Row],[CANTIDAD
(unid.)]]</f>
        <v>0</v>
      </c>
      <c r="S467" s="278">
        <f>TABLA_BASE[[#This Row],[DEUDA
ADUANERA
UNIT.]]*'📋 Datos Generales'!$E$19</f>
        <v>0</v>
      </c>
      <c r="T467" s="278">
        <f>TABLA_BASE[[#This Row],[DEUDA
ADUANERA
TOTAL]]*'📋 Datos Generales'!$E$19</f>
        <v>0</v>
      </c>
      <c r="U467" s="281">
        <f>TABLA_BASE[[#This Row],[ADV UNIT.
(US$)
⚠️COSTO]]*'📋 Datos Generales'!$E$19</f>
        <v>0</v>
      </c>
      <c r="V467" s="281">
        <f>TABLA_BASE[[#This Row],[ADV UNIT.
(S/.)]]*TABLA_BASE[[#This Row],[CANTIDAD
(unid.)]]</f>
        <v>0</v>
      </c>
      <c r="W467" s="281">
        <f>TABLA_BASE[[#This Row],[IPM UNIT.
(US$)
✅CF]]*'📋 Datos Generales'!$E$19</f>
        <v>0</v>
      </c>
      <c r="X467" s="281">
        <f>TABLA_BASE[[#This Row],[IPM UNIT.
(S/.)]]*TABLA_BASE[[#This Row],[CANTIDAD
(unid.)]]</f>
        <v>0</v>
      </c>
      <c r="Y467" s="281">
        <f>TABLA_BASE[[#This Row],[IGV UNIT.
(US$)
✅CF]]*'📋 Datos Generales'!$E$19</f>
        <v>0</v>
      </c>
      <c r="Z467" s="281">
        <f>TABLA_BASE[[#This Row],[IGV UNIT.
(S/.)]]*TABLA_BASE[[#This Row],[CANTIDAD
(unid.)]]</f>
        <v>0</v>
      </c>
      <c r="AA467" s="281">
        <f>TABLA_BASE[[#This Row],[PERCEP.
UNIT.(US$)
✅CF]]*'📋 Datos Generales'!$E$19</f>
        <v>0</v>
      </c>
      <c r="AB467" s="281">
        <f>TABLA_BASE[[#This Row],[PERCEP.
UNIT.(S/.)]]*TABLA_BASE[[#This Row],[CANTIDAD
(unid.)]]</f>
        <v>0</v>
      </c>
      <c r="AC467" s="279">
        <f>TABLA_BASE[[#This Row],[ADV UNIT.
(US$)
⚠️COSTO]]+TABLA_BASE[[#This Row],[IPM UNIT.
(US$)
✅CF]]+TABLA_BASE[[#This Row],[IGV UNIT.
(US$)
✅CF]]+TABLA_BASE[[#This Row],[PERCEP.
UNIT.(US$)
✅CF]]</f>
        <v>0</v>
      </c>
      <c r="AD467" s="279">
        <f>TABLA_BASE[[#This Row],[TOTAL PAGO
SUNAT
UNIT.(US$)]]*TABLA_BASE[[#This Row],[CANTIDAD
(unid.)]]</f>
        <v>0</v>
      </c>
      <c r="AE467" s="281">
        <f>TABLA_BASE[[#This Row],[TOTAL PAGO
SUNAT
UNIT.(US$)]]*'📋 Datos Generales'!$E$19</f>
        <v>0</v>
      </c>
      <c r="AF467" s="281">
        <f>TABLA_BASE[[#This Row],[TOTAL TRIB.
UNIT.(S/.)]]*TABLA_BASE[[#This Row],[CANTIDAD
(unid.)]]</f>
        <v>0</v>
      </c>
      <c r="AG467" s="279">
        <f>IF('🧾 Factura Comercial'!G471=0,0,'📦 Gastos Importación'!$E$28*(IF('🧾 Tributos Aduana'!$F$6=0,0,'🧾 Factura Comercial'!I471/'🧾 Tributos Aduana'!$F$6))/'🧾 Factura Comercial'!G471)</f>
        <v>0</v>
      </c>
      <c r="AH467" s="279">
        <f>TABLA_BASE[[#This Row],[GASTOS IMP.
UNIT.(US$)]]*TABLA_BASE[[#This Row],[CANTIDAD
(unid.)]]</f>
        <v>0</v>
      </c>
      <c r="AI467" s="281">
        <f>TABLA_BASE[[#This Row],[GASTOS IMP.
UNIT.(US$)]]*'📋 Datos Generales'!$E$19</f>
        <v>0</v>
      </c>
      <c r="AJ467" s="281">
        <f>TABLA_BASE[[#This Row],[GASTOS IMP.
UNIT.(S/.)]]*TABLA_BASE[[#This Row],[CANTIDAD
(unid.)]]</f>
        <v>0</v>
      </c>
      <c r="AK467" s="280">
        <f>'🧮 Costos x Producto'!J471</f>
        <v>0</v>
      </c>
      <c r="AL467" s="278">
        <f>'🧮 Costos x Producto'!K471</f>
        <v>0</v>
      </c>
      <c r="AM467" s="278">
        <f>TABLA_BASE[[#This Row],[C/M UNIT.
(S/.)]]*TABLA_BASE[[#This Row],[CANTIDAD
(unid.)]]</f>
        <v>0</v>
      </c>
      <c r="AN467" s="279">
        <f>IF('🧾 Factura Comercial'!G471=0,0,'🧾 Tributos Aduana'!$F$17*(IF('🧾 Tributos Aduana'!$F$6=0,0,'🧾 Factura Comercial'!I471/'🧾 Tributos Aduana'!$F$6))/'🧾 Factura Comercial'!G471)</f>
        <v>0</v>
      </c>
      <c r="AO467" s="280">
        <f>IF('🧾 Factura Comercial'!G471=0,0,'🏦 Crédito Fiscal'!$C$16*(IF('🧾 Tributos Aduana'!$F$6=0,0,'🧾 Factura Comercial'!I471/'🧾 Tributos Aduana'!$F$6))/'🧾 Factura Comercial'!G471)</f>
        <v>0</v>
      </c>
      <c r="AP467" s="278">
        <f>TABLA_BASE[[#This Row],[CF UNIT.
✅RECUP.
(US$)]]*'📋 Datos Generales'!$E$19</f>
        <v>0</v>
      </c>
      <c r="AQ467" s="278">
        <f>TABLA_BASE[[#This Row],[CF UNIT.
✅RECUP.(S/.)]]*TABLA_BASE[[#This Row],[CANTIDAD
(unid.)]]</f>
        <v>0</v>
      </c>
      <c r="AR467" s="288">
        <f>'💰 Precio de Venta'!G472</f>
        <v>0.4</v>
      </c>
      <c r="AS467" s="278">
        <f>'💰 Precio de Venta'!H472</f>
        <v>0</v>
      </c>
      <c r="AT467" s="278">
        <f>TABLA_BASE[[#This Row],[VALOR VTA.
UNIT.(S/.)]]*TABLA_BASE[[#This Row],[CANTIDAD
(unid.)]]</f>
        <v>0</v>
      </c>
      <c r="AU467" s="281">
        <f>'💰 Precio de Venta'!I472</f>
        <v>0</v>
      </c>
      <c r="AV467" s="278">
        <f>'💰 Precio de Venta'!J472</f>
        <v>0</v>
      </c>
      <c r="AW467" s="278">
        <f>TABLA_BASE[[#This Row],[GANANCIA
UNIT.(S/.)]]*TABLA_BASE[[#This Row],[CANTIDAD
(unid.)]]</f>
        <v>0</v>
      </c>
      <c r="AX467" s="289">
        <f>'💰 Precio de Venta'!K472</f>
        <v>0</v>
      </c>
      <c r="AY467" s="278">
        <f>TABLA_BASE[[#This Row],[GANANCIA
UNIT.(S/.)]]*'🧾 Factura Comercial'!G471</f>
        <v>0</v>
      </c>
      <c r="AZ467" s="277">
        <f>IF(TABLA_BASE[[#This Row],[PRECIO VTA.
c/IGV(S/.)]]=0,0,TABLA_BASE[[#This Row],[GANANCIA
UNIT.(S/.)]]/TABLA_BASE[[#This Row],[PRECIO VTA.
c/IGV(S/.)]])</f>
        <v>0</v>
      </c>
      <c r="BA467" s="277">
        <f>IF(TABLA_BASE[[#This Row],[C/M UNIT.
(S/.)]]=0,0,TABLA_BASE[[#This Row],[GANANCIA
UNIT.(S/.)]]/TABLA_BASE[[#This Row],[C/M UNIT.
(S/.)]])</f>
        <v>0</v>
      </c>
      <c r="BB467" s="274" t="str">
        <f>IF(TABLA_BASE[[#This Row],[MARGEN
%]]&gt;=0.5,"🟢 ALTO",IF(TABLA_BASE[[#This Row],[MARGEN
%]]&gt;=0.3,"🟡 MEDIO","🔴 BAJO"))</f>
        <v>🟡 MEDIO</v>
      </c>
    </row>
    <row r="468" spans="1:54" ht="16.5" hidden="1" thickTop="1" thickBot="1" x14ac:dyDescent="0.3">
      <c r="A468" s="274">
        <f>'🧾 Factura Comercial'!E472</f>
        <v>0</v>
      </c>
      <c r="B468" s="274" t="str">
        <f>'🧾 Factura Comercial'!F472</f>
        <v>Unid.</v>
      </c>
      <c r="C468" s="275">
        <f>'🧾 Factura Comercial'!G472</f>
        <v>0</v>
      </c>
      <c r="D468" s="276">
        <f>'🧾 Factura Comercial'!H472</f>
        <v>0</v>
      </c>
      <c r="E468" s="276">
        <f>'🧾 Factura Comercial'!I472</f>
        <v>0</v>
      </c>
      <c r="F468" s="277">
        <f>IF('🧾 Tributos Aduana'!$F$6=0,0,'🧾 Factura Comercial'!I472/'🧾 Tributos Aduana'!$F$6)</f>
        <v>0</v>
      </c>
      <c r="G468" s="278">
        <f>'🧾 Factura Comercial'!H472*'📋 Datos Generales'!$E$19</f>
        <v>0</v>
      </c>
      <c r="H468" s="278">
        <f>TABLA_BASE[[#This Row],[FOB UNIT.
(S/.)]]*TABLA_BASE[[#This Row],[CANTIDAD
(unid.)]]</f>
        <v>0</v>
      </c>
      <c r="I468" s="280">
        <f>IF('🧾 Tributos Aduana'!$F$6=0,0,'🧾 Tributos Aduana'!$F$17*('🧾 Factura Comercial'!H472/'🧾 Tributos Aduana'!$F$6))</f>
        <v>0</v>
      </c>
      <c r="J468" s="280">
        <f>TABLA_BASE[[#This Row],[ADV UNIT.
(US$)
⚠️COSTO]]*TABLA_BASE[[#This Row],[CANTIDAD
(unid.)]]</f>
        <v>0</v>
      </c>
      <c r="K468" s="279">
        <f>IF('🧾 Tributos Aduana'!$F$6=0,0,'🧾 Tributos Aduana'!$F$18*('🧾 Factura Comercial'!H472/'🧾 Tributos Aduana'!$F$6))</f>
        <v>0</v>
      </c>
      <c r="L468" s="280">
        <f>TABLA_BASE[[#This Row],[IPM UNIT.
(US$)
✅CF]]*TABLA_BASE[[#This Row],[CANTIDAD
(unid.)]]</f>
        <v>0</v>
      </c>
      <c r="M468" s="279">
        <f>IF('🧾 Tributos Aduana'!$F$6=0,0,'🧾 Tributos Aduana'!$F$19*('🧾 Factura Comercial'!H472/'🧾 Tributos Aduana'!$F$6))</f>
        <v>0</v>
      </c>
      <c r="N468" s="280">
        <f>TABLA_BASE[[#This Row],[IGV UNIT.
(US$)
✅CF]]*TABLA_BASE[[#This Row],[CANTIDAD
(unid.)]]</f>
        <v>0</v>
      </c>
      <c r="O468" s="280">
        <f>IF('🧾 Tributos Aduana'!$F$6=0,0,'🧾 Tributos Aduana'!$F$23*('🧾 Factura Comercial'!H472/'🧾 Tributos Aduana'!$F$6))</f>
        <v>0</v>
      </c>
      <c r="P468" s="280">
        <f>TABLA_BASE[[#This Row],[PERCEP.
UNIT.(US$)
✅CF]]*TABLA_BASE[[#This Row],[CANTIDAD
(unid.)]]</f>
        <v>0</v>
      </c>
      <c r="Q468" s="279">
        <f>TABLA_BASE[[#This Row],[ADV UNIT.
(US$)
⚠️COSTO]]+TABLA_BASE[[#This Row],[IPM UNIT.
(US$)
✅CF]]+TABLA_BASE[[#This Row],[IGV UNIT.
(US$)
✅CF]]</f>
        <v>0</v>
      </c>
      <c r="R468" s="280">
        <f>TABLA_BASE[[#This Row],[DEUDA
ADUANERA
UNIT.]]*TABLA_BASE[[#This Row],[CANTIDAD
(unid.)]]</f>
        <v>0</v>
      </c>
      <c r="S468" s="278">
        <f>TABLA_BASE[[#This Row],[DEUDA
ADUANERA
UNIT.]]*'📋 Datos Generales'!$E$19</f>
        <v>0</v>
      </c>
      <c r="T468" s="278">
        <f>TABLA_BASE[[#This Row],[DEUDA
ADUANERA
TOTAL]]*'📋 Datos Generales'!$E$19</f>
        <v>0</v>
      </c>
      <c r="U468" s="281">
        <f>TABLA_BASE[[#This Row],[ADV UNIT.
(US$)
⚠️COSTO]]*'📋 Datos Generales'!$E$19</f>
        <v>0</v>
      </c>
      <c r="V468" s="281">
        <f>TABLA_BASE[[#This Row],[ADV UNIT.
(S/.)]]*TABLA_BASE[[#This Row],[CANTIDAD
(unid.)]]</f>
        <v>0</v>
      </c>
      <c r="W468" s="281">
        <f>TABLA_BASE[[#This Row],[IPM UNIT.
(US$)
✅CF]]*'📋 Datos Generales'!$E$19</f>
        <v>0</v>
      </c>
      <c r="X468" s="281">
        <f>TABLA_BASE[[#This Row],[IPM UNIT.
(S/.)]]*TABLA_BASE[[#This Row],[CANTIDAD
(unid.)]]</f>
        <v>0</v>
      </c>
      <c r="Y468" s="281">
        <f>TABLA_BASE[[#This Row],[IGV UNIT.
(US$)
✅CF]]*'📋 Datos Generales'!$E$19</f>
        <v>0</v>
      </c>
      <c r="Z468" s="281">
        <f>TABLA_BASE[[#This Row],[IGV UNIT.
(S/.)]]*TABLA_BASE[[#This Row],[CANTIDAD
(unid.)]]</f>
        <v>0</v>
      </c>
      <c r="AA468" s="281">
        <f>TABLA_BASE[[#This Row],[PERCEP.
UNIT.(US$)
✅CF]]*'📋 Datos Generales'!$E$19</f>
        <v>0</v>
      </c>
      <c r="AB468" s="281">
        <f>TABLA_BASE[[#This Row],[PERCEP.
UNIT.(S/.)]]*TABLA_BASE[[#This Row],[CANTIDAD
(unid.)]]</f>
        <v>0</v>
      </c>
      <c r="AC468" s="279">
        <f>TABLA_BASE[[#This Row],[ADV UNIT.
(US$)
⚠️COSTO]]+TABLA_BASE[[#This Row],[IPM UNIT.
(US$)
✅CF]]+TABLA_BASE[[#This Row],[IGV UNIT.
(US$)
✅CF]]+TABLA_BASE[[#This Row],[PERCEP.
UNIT.(US$)
✅CF]]</f>
        <v>0</v>
      </c>
      <c r="AD468" s="279">
        <f>TABLA_BASE[[#This Row],[TOTAL PAGO
SUNAT
UNIT.(US$)]]*TABLA_BASE[[#This Row],[CANTIDAD
(unid.)]]</f>
        <v>0</v>
      </c>
      <c r="AE468" s="281">
        <f>TABLA_BASE[[#This Row],[TOTAL PAGO
SUNAT
UNIT.(US$)]]*'📋 Datos Generales'!$E$19</f>
        <v>0</v>
      </c>
      <c r="AF468" s="281">
        <f>TABLA_BASE[[#This Row],[TOTAL TRIB.
UNIT.(S/.)]]*TABLA_BASE[[#This Row],[CANTIDAD
(unid.)]]</f>
        <v>0</v>
      </c>
      <c r="AG468" s="279">
        <f>IF('🧾 Factura Comercial'!G472=0,0,'📦 Gastos Importación'!$E$28*(IF('🧾 Tributos Aduana'!$F$6=0,0,'🧾 Factura Comercial'!I472/'🧾 Tributos Aduana'!$F$6))/'🧾 Factura Comercial'!G472)</f>
        <v>0</v>
      </c>
      <c r="AH468" s="279">
        <f>TABLA_BASE[[#This Row],[GASTOS IMP.
UNIT.(US$)]]*TABLA_BASE[[#This Row],[CANTIDAD
(unid.)]]</f>
        <v>0</v>
      </c>
      <c r="AI468" s="281">
        <f>TABLA_BASE[[#This Row],[GASTOS IMP.
UNIT.(US$)]]*'📋 Datos Generales'!$E$19</f>
        <v>0</v>
      </c>
      <c r="AJ468" s="281">
        <f>TABLA_BASE[[#This Row],[GASTOS IMP.
UNIT.(S/.)]]*TABLA_BASE[[#This Row],[CANTIDAD
(unid.)]]</f>
        <v>0</v>
      </c>
      <c r="AK468" s="280">
        <f>'🧮 Costos x Producto'!J472</f>
        <v>0</v>
      </c>
      <c r="AL468" s="278">
        <f>'🧮 Costos x Producto'!K472</f>
        <v>0</v>
      </c>
      <c r="AM468" s="278">
        <f>TABLA_BASE[[#This Row],[C/M UNIT.
(S/.)]]*TABLA_BASE[[#This Row],[CANTIDAD
(unid.)]]</f>
        <v>0</v>
      </c>
      <c r="AN468" s="279">
        <f>IF('🧾 Factura Comercial'!G472=0,0,'🧾 Tributos Aduana'!$F$17*(IF('🧾 Tributos Aduana'!$F$6=0,0,'🧾 Factura Comercial'!I472/'🧾 Tributos Aduana'!$F$6))/'🧾 Factura Comercial'!G472)</f>
        <v>0</v>
      </c>
      <c r="AO468" s="280">
        <f>IF('🧾 Factura Comercial'!G472=0,0,'🏦 Crédito Fiscal'!$C$16*(IF('🧾 Tributos Aduana'!$F$6=0,0,'🧾 Factura Comercial'!I472/'🧾 Tributos Aduana'!$F$6))/'🧾 Factura Comercial'!G472)</f>
        <v>0</v>
      </c>
      <c r="AP468" s="278">
        <f>TABLA_BASE[[#This Row],[CF UNIT.
✅RECUP.
(US$)]]*'📋 Datos Generales'!$E$19</f>
        <v>0</v>
      </c>
      <c r="AQ468" s="278">
        <f>TABLA_BASE[[#This Row],[CF UNIT.
✅RECUP.(S/.)]]*TABLA_BASE[[#This Row],[CANTIDAD
(unid.)]]</f>
        <v>0</v>
      </c>
      <c r="AR468" s="288">
        <f>'💰 Precio de Venta'!G473</f>
        <v>0.4</v>
      </c>
      <c r="AS468" s="278">
        <f>'💰 Precio de Venta'!H473</f>
        <v>0</v>
      </c>
      <c r="AT468" s="278">
        <f>TABLA_BASE[[#This Row],[VALOR VTA.
UNIT.(S/.)]]*TABLA_BASE[[#This Row],[CANTIDAD
(unid.)]]</f>
        <v>0</v>
      </c>
      <c r="AU468" s="281">
        <f>'💰 Precio de Venta'!I473</f>
        <v>0</v>
      </c>
      <c r="AV468" s="278">
        <f>'💰 Precio de Venta'!J473</f>
        <v>0</v>
      </c>
      <c r="AW468" s="278">
        <f>TABLA_BASE[[#This Row],[GANANCIA
UNIT.(S/.)]]*TABLA_BASE[[#This Row],[CANTIDAD
(unid.)]]</f>
        <v>0</v>
      </c>
      <c r="AX468" s="289">
        <f>'💰 Precio de Venta'!K473</f>
        <v>0</v>
      </c>
      <c r="AY468" s="278">
        <f>TABLA_BASE[[#This Row],[GANANCIA
UNIT.(S/.)]]*'🧾 Factura Comercial'!G472</f>
        <v>0</v>
      </c>
      <c r="AZ468" s="277">
        <f>IF(TABLA_BASE[[#This Row],[PRECIO VTA.
c/IGV(S/.)]]=0,0,TABLA_BASE[[#This Row],[GANANCIA
UNIT.(S/.)]]/TABLA_BASE[[#This Row],[PRECIO VTA.
c/IGV(S/.)]])</f>
        <v>0</v>
      </c>
      <c r="BA468" s="277">
        <f>IF(TABLA_BASE[[#This Row],[C/M UNIT.
(S/.)]]=0,0,TABLA_BASE[[#This Row],[GANANCIA
UNIT.(S/.)]]/TABLA_BASE[[#This Row],[C/M UNIT.
(S/.)]])</f>
        <v>0</v>
      </c>
      <c r="BB468" s="274" t="str">
        <f>IF(TABLA_BASE[[#This Row],[MARGEN
%]]&gt;=0.5,"🟢 ALTO",IF(TABLA_BASE[[#This Row],[MARGEN
%]]&gt;=0.3,"🟡 MEDIO","🔴 BAJO"))</f>
        <v>🟡 MEDIO</v>
      </c>
    </row>
    <row r="469" spans="1:54" ht="16.5" hidden="1" thickTop="1" thickBot="1" x14ac:dyDescent="0.3">
      <c r="A469" s="274">
        <f>'🧾 Factura Comercial'!E473</f>
        <v>0</v>
      </c>
      <c r="B469" s="274" t="str">
        <f>'🧾 Factura Comercial'!F473</f>
        <v>Unid.</v>
      </c>
      <c r="C469" s="275">
        <f>'🧾 Factura Comercial'!G473</f>
        <v>0</v>
      </c>
      <c r="D469" s="276">
        <f>'🧾 Factura Comercial'!H473</f>
        <v>0</v>
      </c>
      <c r="E469" s="276">
        <f>'🧾 Factura Comercial'!I473</f>
        <v>0</v>
      </c>
      <c r="F469" s="277">
        <f>IF('🧾 Tributos Aduana'!$F$6=0,0,'🧾 Factura Comercial'!I473/'🧾 Tributos Aduana'!$F$6)</f>
        <v>0</v>
      </c>
      <c r="G469" s="278">
        <f>'🧾 Factura Comercial'!H473*'📋 Datos Generales'!$E$19</f>
        <v>0</v>
      </c>
      <c r="H469" s="278">
        <f>TABLA_BASE[[#This Row],[FOB UNIT.
(S/.)]]*TABLA_BASE[[#This Row],[CANTIDAD
(unid.)]]</f>
        <v>0</v>
      </c>
      <c r="I469" s="280">
        <f>IF('🧾 Tributos Aduana'!$F$6=0,0,'🧾 Tributos Aduana'!$F$17*('🧾 Factura Comercial'!H473/'🧾 Tributos Aduana'!$F$6))</f>
        <v>0</v>
      </c>
      <c r="J469" s="280">
        <f>TABLA_BASE[[#This Row],[ADV UNIT.
(US$)
⚠️COSTO]]*TABLA_BASE[[#This Row],[CANTIDAD
(unid.)]]</f>
        <v>0</v>
      </c>
      <c r="K469" s="279">
        <f>IF('🧾 Tributos Aduana'!$F$6=0,0,'🧾 Tributos Aduana'!$F$18*('🧾 Factura Comercial'!H473/'🧾 Tributos Aduana'!$F$6))</f>
        <v>0</v>
      </c>
      <c r="L469" s="280">
        <f>TABLA_BASE[[#This Row],[IPM UNIT.
(US$)
✅CF]]*TABLA_BASE[[#This Row],[CANTIDAD
(unid.)]]</f>
        <v>0</v>
      </c>
      <c r="M469" s="279">
        <f>IF('🧾 Tributos Aduana'!$F$6=0,0,'🧾 Tributos Aduana'!$F$19*('🧾 Factura Comercial'!H473/'🧾 Tributos Aduana'!$F$6))</f>
        <v>0</v>
      </c>
      <c r="N469" s="280">
        <f>TABLA_BASE[[#This Row],[IGV UNIT.
(US$)
✅CF]]*TABLA_BASE[[#This Row],[CANTIDAD
(unid.)]]</f>
        <v>0</v>
      </c>
      <c r="O469" s="280">
        <f>IF('🧾 Tributos Aduana'!$F$6=0,0,'🧾 Tributos Aduana'!$F$23*('🧾 Factura Comercial'!H473/'🧾 Tributos Aduana'!$F$6))</f>
        <v>0</v>
      </c>
      <c r="P469" s="280">
        <f>TABLA_BASE[[#This Row],[PERCEP.
UNIT.(US$)
✅CF]]*TABLA_BASE[[#This Row],[CANTIDAD
(unid.)]]</f>
        <v>0</v>
      </c>
      <c r="Q469" s="279">
        <f>TABLA_BASE[[#This Row],[ADV UNIT.
(US$)
⚠️COSTO]]+TABLA_BASE[[#This Row],[IPM UNIT.
(US$)
✅CF]]+TABLA_BASE[[#This Row],[IGV UNIT.
(US$)
✅CF]]</f>
        <v>0</v>
      </c>
      <c r="R469" s="280">
        <f>TABLA_BASE[[#This Row],[DEUDA
ADUANERA
UNIT.]]*TABLA_BASE[[#This Row],[CANTIDAD
(unid.)]]</f>
        <v>0</v>
      </c>
      <c r="S469" s="278">
        <f>TABLA_BASE[[#This Row],[DEUDA
ADUANERA
UNIT.]]*'📋 Datos Generales'!$E$19</f>
        <v>0</v>
      </c>
      <c r="T469" s="278">
        <f>TABLA_BASE[[#This Row],[DEUDA
ADUANERA
TOTAL]]*'📋 Datos Generales'!$E$19</f>
        <v>0</v>
      </c>
      <c r="U469" s="281">
        <f>TABLA_BASE[[#This Row],[ADV UNIT.
(US$)
⚠️COSTO]]*'📋 Datos Generales'!$E$19</f>
        <v>0</v>
      </c>
      <c r="V469" s="281">
        <f>TABLA_BASE[[#This Row],[ADV UNIT.
(S/.)]]*TABLA_BASE[[#This Row],[CANTIDAD
(unid.)]]</f>
        <v>0</v>
      </c>
      <c r="W469" s="281">
        <f>TABLA_BASE[[#This Row],[IPM UNIT.
(US$)
✅CF]]*'📋 Datos Generales'!$E$19</f>
        <v>0</v>
      </c>
      <c r="X469" s="281">
        <f>TABLA_BASE[[#This Row],[IPM UNIT.
(S/.)]]*TABLA_BASE[[#This Row],[CANTIDAD
(unid.)]]</f>
        <v>0</v>
      </c>
      <c r="Y469" s="281">
        <f>TABLA_BASE[[#This Row],[IGV UNIT.
(US$)
✅CF]]*'📋 Datos Generales'!$E$19</f>
        <v>0</v>
      </c>
      <c r="Z469" s="281">
        <f>TABLA_BASE[[#This Row],[IGV UNIT.
(S/.)]]*TABLA_BASE[[#This Row],[CANTIDAD
(unid.)]]</f>
        <v>0</v>
      </c>
      <c r="AA469" s="281">
        <f>TABLA_BASE[[#This Row],[PERCEP.
UNIT.(US$)
✅CF]]*'📋 Datos Generales'!$E$19</f>
        <v>0</v>
      </c>
      <c r="AB469" s="281">
        <f>TABLA_BASE[[#This Row],[PERCEP.
UNIT.(S/.)]]*TABLA_BASE[[#This Row],[CANTIDAD
(unid.)]]</f>
        <v>0</v>
      </c>
      <c r="AC469" s="279">
        <f>TABLA_BASE[[#This Row],[ADV UNIT.
(US$)
⚠️COSTO]]+TABLA_BASE[[#This Row],[IPM UNIT.
(US$)
✅CF]]+TABLA_BASE[[#This Row],[IGV UNIT.
(US$)
✅CF]]+TABLA_BASE[[#This Row],[PERCEP.
UNIT.(US$)
✅CF]]</f>
        <v>0</v>
      </c>
      <c r="AD469" s="279">
        <f>TABLA_BASE[[#This Row],[TOTAL PAGO
SUNAT
UNIT.(US$)]]*TABLA_BASE[[#This Row],[CANTIDAD
(unid.)]]</f>
        <v>0</v>
      </c>
      <c r="AE469" s="281">
        <f>TABLA_BASE[[#This Row],[TOTAL PAGO
SUNAT
UNIT.(US$)]]*'📋 Datos Generales'!$E$19</f>
        <v>0</v>
      </c>
      <c r="AF469" s="281">
        <f>TABLA_BASE[[#This Row],[TOTAL TRIB.
UNIT.(S/.)]]*TABLA_BASE[[#This Row],[CANTIDAD
(unid.)]]</f>
        <v>0</v>
      </c>
      <c r="AG469" s="279">
        <f>IF('🧾 Factura Comercial'!G473=0,0,'📦 Gastos Importación'!$E$28*(IF('🧾 Tributos Aduana'!$F$6=0,0,'🧾 Factura Comercial'!I473/'🧾 Tributos Aduana'!$F$6))/'🧾 Factura Comercial'!G473)</f>
        <v>0</v>
      </c>
      <c r="AH469" s="279">
        <f>TABLA_BASE[[#This Row],[GASTOS IMP.
UNIT.(US$)]]*TABLA_BASE[[#This Row],[CANTIDAD
(unid.)]]</f>
        <v>0</v>
      </c>
      <c r="AI469" s="281">
        <f>TABLA_BASE[[#This Row],[GASTOS IMP.
UNIT.(US$)]]*'📋 Datos Generales'!$E$19</f>
        <v>0</v>
      </c>
      <c r="AJ469" s="281">
        <f>TABLA_BASE[[#This Row],[GASTOS IMP.
UNIT.(S/.)]]*TABLA_BASE[[#This Row],[CANTIDAD
(unid.)]]</f>
        <v>0</v>
      </c>
      <c r="AK469" s="280">
        <f>'🧮 Costos x Producto'!J473</f>
        <v>0</v>
      </c>
      <c r="AL469" s="278">
        <f>'🧮 Costos x Producto'!K473</f>
        <v>0</v>
      </c>
      <c r="AM469" s="278">
        <f>TABLA_BASE[[#This Row],[C/M UNIT.
(S/.)]]*TABLA_BASE[[#This Row],[CANTIDAD
(unid.)]]</f>
        <v>0</v>
      </c>
      <c r="AN469" s="279">
        <f>IF('🧾 Factura Comercial'!G473=0,0,'🧾 Tributos Aduana'!$F$17*(IF('🧾 Tributos Aduana'!$F$6=0,0,'🧾 Factura Comercial'!I473/'🧾 Tributos Aduana'!$F$6))/'🧾 Factura Comercial'!G473)</f>
        <v>0</v>
      </c>
      <c r="AO469" s="280">
        <f>IF('🧾 Factura Comercial'!G473=0,0,'🏦 Crédito Fiscal'!$C$16*(IF('🧾 Tributos Aduana'!$F$6=0,0,'🧾 Factura Comercial'!I473/'🧾 Tributos Aduana'!$F$6))/'🧾 Factura Comercial'!G473)</f>
        <v>0</v>
      </c>
      <c r="AP469" s="278">
        <f>TABLA_BASE[[#This Row],[CF UNIT.
✅RECUP.
(US$)]]*'📋 Datos Generales'!$E$19</f>
        <v>0</v>
      </c>
      <c r="AQ469" s="278">
        <f>TABLA_BASE[[#This Row],[CF UNIT.
✅RECUP.(S/.)]]*TABLA_BASE[[#This Row],[CANTIDAD
(unid.)]]</f>
        <v>0</v>
      </c>
      <c r="AR469" s="288">
        <f>'💰 Precio de Venta'!G474</f>
        <v>0.4</v>
      </c>
      <c r="AS469" s="278">
        <f>'💰 Precio de Venta'!H474</f>
        <v>0</v>
      </c>
      <c r="AT469" s="278">
        <f>TABLA_BASE[[#This Row],[VALOR VTA.
UNIT.(S/.)]]*TABLA_BASE[[#This Row],[CANTIDAD
(unid.)]]</f>
        <v>0</v>
      </c>
      <c r="AU469" s="281">
        <f>'💰 Precio de Venta'!I474</f>
        <v>0</v>
      </c>
      <c r="AV469" s="278">
        <f>'💰 Precio de Venta'!J474</f>
        <v>0</v>
      </c>
      <c r="AW469" s="278">
        <f>TABLA_BASE[[#This Row],[GANANCIA
UNIT.(S/.)]]*TABLA_BASE[[#This Row],[CANTIDAD
(unid.)]]</f>
        <v>0</v>
      </c>
      <c r="AX469" s="289">
        <f>'💰 Precio de Venta'!K474</f>
        <v>0</v>
      </c>
      <c r="AY469" s="278">
        <f>TABLA_BASE[[#This Row],[GANANCIA
UNIT.(S/.)]]*'🧾 Factura Comercial'!G473</f>
        <v>0</v>
      </c>
      <c r="AZ469" s="277">
        <f>IF(TABLA_BASE[[#This Row],[PRECIO VTA.
c/IGV(S/.)]]=0,0,TABLA_BASE[[#This Row],[GANANCIA
UNIT.(S/.)]]/TABLA_BASE[[#This Row],[PRECIO VTA.
c/IGV(S/.)]])</f>
        <v>0</v>
      </c>
      <c r="BA469" s="277">
        <f>IF(TABLA_BASE[[#This Row],[C/M UNIT.
(S/.)]]=0,0,TABLA_BASE[[#This Row],[GANANCIA
UNIT.(S/.)]]/TABLA_BASE[[#This Row],[C/M UNIT.
(S/.)]])</f>
        <v>0</v>
      </c>
      <c r="BB469" s="274" t="str">
        <f>IF(TABLA_BASE[[#This Row],[MARGEN
%]]&gt;=0.5,"🟢 ALTO",IF(TABLA_BASE[[#This Row],[MARGEN
%]]&gt;=0.3,"🟡 MEDIO","🔴 BAJO"))</f>
        <v>🟡 MEDIO</v>
      </c>
    </row>
    <row r="470" spans="1:54" ht="16.5" hidden="1" thickTop="1" thickBot="1" x14ac:dyDescent="0.3">
      <c r="A470" s="274">
        <f>'🧾 Factura Comercial'!E474</f>
        <v>0</v>
      </c>
      <c r="B470" s="274" t="str">
        <f>'🧾 Factura Comercial'!F474</f>
        <v>Unid.</v>
      </c>
      <c r="C470" s="275">
        <f>'🧾 Factura Comercial'!G474</f>
        <v>0</v>
      </c>
      <c r="D470" s="276">
        <f>'🧾 Factura Comercial'!H474</f>
        <v>0</v>
      </c>
      <c r="E470" s="276">
        <f>'🧾 Factura Comercial'!I474</f>
        <v>0</v>
      </c>
      <c r="F470" s="277">
        <f>IF('🧾 Tributos Aduana'!$F$6=0,0,'🧾 Factura Comercial'!I474/'🧾 Tributos Aduana'!$F$6)</f>
        <v>0</v>
      </c>
      <c r="G470" s="278">
        <f>'🧾 Factura Comercial'!H474*'📋 Datos Generales'!$E$19</f>
        <v>0</v>
      </c>
      <c r="H470" s="278">
        <f>TABLA_BASE[[#This Row],[FOB UNIT.
(S/.)]]*TABLA_BASE[[#This Row],[CANTIDAD
(unid.)]]</f>
        <v>0</v>
      </c>
      <c r="I470" s="280">
        <f>IF('🧾 Tributos Aduana'!$F$6=0,0,'🧾 Tributos Aduana'!$F$17*('🧾 Factura Comercial'!H474/'🧾 Tributos Aduana'!$F$6))</f>
        <v>0</v>
      </c>
      <c r="J470" s="280">
        <f>TABLA_BASE[[#This Row],[ADV UNIT.
(US$)
⚠️COSTO]]*TABLA_BASE[[#This Row],[CANTIDAD
(unid.)]]</f>
        <v>0</v>
      </c>
      <c r="K470" s="279">
        <f>IF('🧾 Tributos Aduana'!$F$6=0,0,'🧾 Tributos Aduana'!$F$18*('🧾 Factura Comercial'!H474/'🧾 Tributos Aduana'!$F$6))</f>
        <v>0</v>
      </c>
      <c r="L470" s="280">
        <f>TABLA_BASE[[#This Row],[IPM UNIT.
(US$)
✅CF]]*TABLA_BASE[[#This Row],[CANTIDAD
(unid.)]]</f>
        <v>0</v>
      </c>
      <c r="M470" s="279">
        <f>IF('🧾 Tributos Aduana'!$F$6=0,0,'🧾 Tributos Aduana'!$F$19*('🧾 Factura Comercial'!H474/'🧾 Tributos Aduana'!$F$6))</f>
        <v>0</v>
      </c>
      <c r="N470" s="280">
        <f>TABLA_BASE[[#This Row],[IGV UNIT.
(US$)
✅CF]]*TABLA_BASE[[#This Row],[CANTIDAD
(unid.)]]</f>
        <v>0</v>
      </c>
      <c r="O470" s="280">
        <f>IF('🧾 Tributos Aduana'!$F$6=0,0,'🧾 Tributos Aduana'!$F$23*('🧾 Factura Comercial'!H474/'🧾 Tributos Aduana'!$F$6))</f>
        <v>0</v>
      </c>
      <c r="P470" s="280">
        <f>TABLA_BASE[[#This Row],[PERCEP.
UNIT.(US$)
✅CF]]*TABLA_BASE[[#This Row],[CANTIDAD
(unid.)]]</f>
        <v>0</v>
      </c>
      <c r="Q470" s="279">
        <f>TABLA_BASE[[#This Row],[ADV UNIT.
(US$)
⚠️COSTO]]+TABLA_BASE[[#This Row],[IPM UNIT.
(US$)
✅CF]]+TABLA_BASE[[#This Row],[IGV UNIT.
(US$)
✅CF]]</f>
        <v>0</v>
      </c>
      <c r="R470" s="280">
        <f>TABLA_BASE[[#This Row],[DEUDA
ADUANERA
UNIT.]]*TABLA_BASE[[#This Row],[CANTIDAD
(unid.)]]</f>
        <v>0</v>
      </c>
      <c r="S470" s="278">
        <f>TABLA_BASE[[#This Row],[DEUDA
ADUANERA
UNIT.]]*'📋 Datos Generales'!$E$19</f>
        <v>0</v>
      </c>
      <c r="T470" s="278">
        <f>TABLA_BASE[[#This Row],[DEUDA
ADUANERA
TOTAL]]*'📋 Datos Generales'!$E$19</f>
        <v>0</v>
      </c>
      <c r="U470" s="281">
        <f>TABLA_BASE[[#This Row],[ADV UNIT.
(US$)
⚠️COSTO]]*'📋 Datos Generales'!$E$19</f>
        <v>0</v>
      </c>
      <c r="V470" s="281">
        <f>TABLA_BASE[[#This Row],[ADV UNIT.
(S/.)]]*TABLA_BASE[[#This Row],[CANTIDAD
(unid.)]]</f>
        <v>0</v>
      </c>
      <c r="W470" s="281">
        <f>TABLA_BASE[[#This Row],[IPM UNIT.
(US$)
✅CF]]*'📋 Datos Generales'!$E$19</f>
        <v>0</v>
      </c>
      <c r="X470" s="281">
        <f>TABLA_BASE[[#This Row],[IPM UNIT.
(S/.)]]*TABLA_BASE[[#This Row],[CANTIDAD
(unid.)]]</f>
        <v>0</v>
      </c>
      <c r="Y470" s="281">
        <f>TABLA_BASE[[#This Row],[IGV UNIT.
(US$)
✅CF]]*'📋 Datos Generales'!$E$19</f>
        <v>0</v>
      </c>
      <c r="Z470" s="281">
        <f>TABLA_BASE[[#This Row],[IGV UNIT.
(S/.)]]*TABLA_BASE[[#This Row],[CANTIDAD
(unid.)]]</f>
        <v>0</v>
      </c>
      <c r="AA470" s="281">
        <f>TABLA_BASE[[#This Row],[PERCEP.
UNIT.(US$)
✅CF]]*'📋 Datos Generales'!$E$19</f>
        <v>0</v>
      </c>
      <c r="AB470" s="281">
        <f>TABLA_BASE[[#This Row],[PERCEP.
UNIT.(S/.)]]*TABLA_BASE[[#This Row],[CANTIDAD
(unid.)]]</f>
        <v>0</v>
      </c>
      <c r="AC470" s="279">
        <f>TABLA_BASE[[#This Row],[ADV UNIT.
(US$)
⚠️COSTO]]+TABLA_BASE[[#This Row],[IPM UNIT.
(US$)
✅CF]]+TABLA_BASE[[#This Row],[IGV UNIT.
(US$)
✅CF]]+TABLA_BASE[[#This Row],[PERCEP.
UNIT.(US$)
✅CF]]</f>
        <v>0</v>
      </c>
      <c r="AD470" s="279">
        <f>TABLA_BASE[[#This Row],[TOTAL PAGO
SUNAT
UNIT.(US$)]]*TABLA_BASE[[#This Row],[CANTIDAD
(unid.)]]</f>
        <v>0</v>
      </c>
      <c r="AE470" s="281">
        <f>TABLA_BASE[[#This Row],[TOTAL PAGO
SUNAT
UNIT.(US$)]]*'📋 Datos Generales'!$E$19</f>
        <v>0</v>
      </c>
      <c r="AF470" s="281">
        <f>TABLA_BASE[[#This Row],[TOTAL TRIB.
UNIT.(S/.)]]*TABLA_BASE[[#This Row],[CANTIDAD
(unid.)]]</f>
        <v>0</v>
      </c>
      <c r="AG470" s="279">
        <f>IF('🧾 Factura Comercial'!G474=0,0,'📦 Gastos Importación'!$E$28*(IF('🧾 Tributos Aduana'!$F$6=0,0,'🧾 Factura Comercial'!I474/'🧾 Tributos Aduana'!$F$6))/'🧾 Factura Comercial'!G474)</f>
        <v>0</v>
      </c>
      <c r="AH470" s="279">
        <f>TABLA_BASE[[#This Row],[GASTOS IMP.
UNIT.(US$)]]*TABLA_BASE[[#This Row],[CANTIDAD
(unid.)]]</f>
        <v>0</v>
      </c>
      <c r="AI470" s="281">
        <f>TABLA_BASE[[#This Row],[GASTOS IMP.
UNIT.(US$)]]*'📋 Datos Generales'!$E$19</f>
        <v>0</v>
      </c>
      <c r="AJ470" s="281">
        <f>TABLA_BASE[[#This Row],[GASTOS IMP.
UNIT.(S/.)]]*TABLA_BASE[[#This Row],[CANTIDAD
(unid.)]]</f>
        <v>0</v>
      </c>
      <c r="AK470" s="280">
        <f>'🧮 Costos x Producto'!J474</f>
        <v>0</v>
      </c>
      <c r="AL470" s="278">
        <f>'🧮 Costos x Producto'!K474</f>
        <v>0</v>
      </c>
      <c r="AM470" s="278">
        <f>TABLA_BASE[[#This Row],[C/M UNIT.
(S/.)]]*TABLA_BASE[[#This Row],[CANTIDAD
(unid.)]]</f>
        <v>0</v>
      </c>
      <c r="AN470" s="279">
        <f>IF('🧾 Factura Comercial'!G474=0,0,'🧾 Tributos Aduana'!$F$17*(IF('🧾 Tributos Aduana'!$F$6=0,0,'🧾 Factura Comercial'!I474/'🧾 Tributos Aduana'!$F$6))/'🧾 Factura Comercial'!G474)</f>
        <v>0</v>
      </c>
      <c r="AO470" s="280">
        <f>IF('🧾 Factura Comercial'!G474=0,0,'🏦 Crédito Fiscal'!$C$16*(IF('🧾 Tributos Aduana'!$F$6=0,0,'🧾 Factura Comercial'!I474/'🧾 Tributos Aduana'!$F$6))/'🧾 Factura Comercial'!G474)</f>
        <v>0</v>
      </c>
      <c r="AP470" s="278">
        <f>TABLA_BASE[[#This Row],[CF UNIT.
✅RECUP.
(US$)]]*'📋 Datos Generales'!$E$19</f>
        <v>0</v>
      </c>
      <c r="AQ470" s="278">
        <f>TABLA_BASE[[#This Row],[CF UNIT.
✅RECUP.(S/.)]]*TABLA_BASE[[#This Row],[CANTIDAD
(unid.)]]</f>
        <v>0</v>
      </c>
      <c r="AR470" s="288">
        <f>'💰 Precio de Venta'!G475</f>
        <v>0.4</v>
      </c>
      <c r="AS470" s="278">
        <f>'💰 Precio de Venta'!H475</f>
        <v>0</v>
      </c>
      <c r="AT470" s="278">
        <f>TABLA_BASE[[#This Row],[VALOR VTA.
UNIT.(S/.)]]*TABLA_BASE[[#This Row],[CANTIDAD
(unid.)]]</f>
        <v>0</v>
      </c>
      <c r="AU470" s="281">
        <f>'💰 Precio de Venta'!I475</f>
        <v>0</v>
      </c>
      <c r="AV470" s="278">
        <f>'💰 Precio de Venta'!J475</f>
        <v>0</v>
      </c>
      <c r="AW470" s="278">
        <f>TABLA_BASE[[#This Row],[GANANCIA
UNIT.(S/.)]]*TABLA_BASE[[#This Row],[CANTIDAD
(unid.)]]</f>
        <v>0</v>
      </c>
      <c r="AX470" s="289">
        <f>'💰 Precio de Venta'!K475</f>
        <v>0</v>
      </c>
      <c r="AY470" s="278">
        <f>TABLA_BASE[[#This Row],[GANANCIA
UNIT.(S/.)]]*'🧾 Factura Comercial'!G474</f>
        <v>0</v>
      </c>
      <c r="AZ470" s="277">
        <f>IF(TABLA_BASE[[#This Row],[PRECIO VTA.
c/IGV(S/.)]]=0,0,TABLA_BASE[[#This Row],[GANANCIA
UNIT.(S/.)]]/TABLA_BASE[[#This Row],[PRECIO VTA.
c/IGV(S/.)]])</f>
        <v>0</v>
      </c>
      <c r="BA470" s="277">
        <f>IF(TABLA_BASE[[#This Row],[C/M UNIT.
(S/.)]]=0,0,TABLA_BASE[[#This Row],[GANANCIA
UNIT.(S/.)]]/TABLA_BASE[[#This Row],[C/M UNIT.
(S/.)]])</f>
        <v>0</v>
      </c>
      <c r="BB470" s="274" t="str">
        <f>IF(TABLA_BASE[[#This Row],[MARGEN
%]]&gt;=0.5,"🟢 ALTO",IF(TABLA_BASE[[#This Row],[MARGEN
%]]&gt;=0.3,"🟡 MEDIO","🔴 BAJO"))</f>
        <v>🟡 MEDIO</v>
      </c>
    </row>
    <row r="471" spans="1:54" ht="16.5" hidden="1" thickTop="1" thickBot="1" x14ac:dyDescent="0.3">
      <c r="A471" s="274">
        <f>'🧾 Factura Comercial'!E475</f>
        <v>0</v>
      </c>
      <c r="B471" s="274" t="str">
        <f>'🧾 Factura Comercial'!F475</f>
        <v>Unid.</v>
      </c>
      <c r="C471" s="275">
        <f>'🧾 Factura Comercial'!G475</f>
        <v>0</v>
      </c>
      <c r="D471" s="276">
        <f>'🧾 Factura Comercial'!H475</f>
        <v>0</v>
      </c>
      <c r="E471" s="276">
        <f>'🧾 Factura Comercial'!I475</f>
        <v>0</v>
      </c>
      <c r="F471" s="277">
        <f>IF('🧾 Tributos Aduana'!$F$6=0,0,'🧾 Factura Comercial'!I475/'🧾 Tributos Aduana'!$F$6)</f>
        <v>0</v>
      </c>
      <c r="G471" s="278">
        <f>'🧾 Factura Comercial'!H475*'📋 Datos Generales'!$E$19</f>
        <v>0</v>
      </c>
      <c r="H471" s="278">
        <f>TABLA_BASE[[#This Row],[FOB UNIT.
(S/.)]]*TABLA_BASE[[#This Row],[CANTIDAD
(unid.)]]</f>
        <v>0</v>
      </c>
      <c r="I471" s="280">
        <f>IF('🧾 Tributos Aduana'!$F$6=0,0,'🧾 Tributos Aduana'!$F$17*('🧾 Factura Comercial'!H475/'🧾 Tributos Aduana'!$F$6))</f>
        <v>0</v>
      </c>
      <c r="J471" s="280">
        <f>TABLA_BASE[[#This Row],[ADV UNIT.
(US$)
⚠️COSTO]]*TABLA_BASE[[#This Row],[CANTIDAD
(unid.)]]</f>
        <v>0</v>
      </c>
      <c r="K471" s="279">
        <f>IF('🧾 Tributos Aduana'!$F$6=0,0,'🧾 Tributos Aduana'!$F$18*('🧾 Factura Comercial'!H475/'🧾 Tributos Aduana'!$F$6))</f>
        <v>0</v>
      </c>
      <c r="L471" s="280">
        <f>TABLA_BASE[[#This Row],[IPM UNIT.
(US$)
✅CF]]*TABLA_BASE[[#This Row],[CANTIDAD
(unid.)]]</f>
        <v>0</v>
      </c>
      <c r="M471" s="279">
        <f>IF('🧾 Tributos Aduana'!$F$6=0,0,'🧾 Tributos Aduana'!$F$19*('🧾 Factura Comercial'!H475/'🧾 Tributos Aduana'!$F$6))</f>
        <v>0</v>
      </c>
      <c r="N471" s="280">
        <f>TABLA_BASE[[#This Row],[IGV UNIT.
(US$)
✅CF]]*TABLA_BASE[[#This Row],[CANTIDAD
(unid.)]]</f>
        <v>0</v>
      </c>
      <c r="O471" s="280">
        <f>IF('🧾 Tributos Aduana'!$F$6=0,0,'🧾 Tributos Aduana'!$F$23*('🧾 Factura Comercial'!H475/'🧾 Tributos Aduana'!$F$6))</f>
        <v>0</v>
      </c>
      <c r="P471" s="280">
        <f>TABLA_BASE[[#This Row],[PERCEP.
UNIT.(US$)
✅CF]]*TABLA_BASE[[#This Row],[CANTIDAD
(unid.)]]</f>
        <v>0</v>
      </c>
      <c r="Q471" s="279">
        <f>TABLA_BASE[[#This Row],[ADV UNIT.
(US$)
⚠️COSTO]]+TABLA_BASE[[#This Row],[IPM UNIT.
(US$)
✅CF]]+TABLA_BASE[[#This Row],[IGV UNIT.
(US$)
✅CF]]</f>
        <v>0</v>
      </c>
      <c r="R471" s="280">
        <f>TABLA_BASE[[#This Row],[DEUDA
ADUANERA
UNIT.]]*TABLA_BASE[[#This Row],[CANTIDAD
(unid.)]]</f>
        <v>0</v>
      </c>
      <c r="S471" s="278">
        <f>TABLA_BASE[[#This Row],[DEUDA
ADUANERA
UNIT.]]*'📋 Datos Generales'!$E$19</f>
        <v>0</v>
      </c>
      <c r="T471" s="278">
        <f>TABLA_BASE[[#This Row],[DEUDA
ADUANERA
TOTAL]]*'📋 Datos Generales'!$E$19</f>
        <v>0</v>
      </c>
      <c r="U471" s="281">
        <f>TABLA_BASE[[#This Row],[ADV UNIT.
(US$)
⚠️COSTO]]*'📋 Datos Generales'!$E$19</f>
        <v>0</v>
      </c>
      <c r="V471" s="281">
        <f>TABLA_BASE[[#This Row],[ADV UNIT.
(S/.)]]*TABLA_BASE[[#This Row],[CANTIDAD
(unid.)]]</f>
        <v>0</v>
      </c>
      <c r="W471" s="281">
        <f>TABLA_BASE[[#This Row],[IPM UNIT.
(US$)
✅CF]]*'📋 Datos Generales'!$E$19</f>
        <v>0</v>
      </c>
      <c r="X471" s="281">
        <f>TABLA_BASE[[#This Row],[IPM UNIT.
(S/.)]]*TABLA_BASE[[#This Row],[CANTIDAD
(unid.)]]</f>
        <v>0</v>
      </c>
      <c r="Y471" s="281">
        <f>TABLA_BASE[[#This Row],[IGV UNIT.
(US$)
✅CF]]*'📋 Datos Generales'!$E$19</f>
        <v>0</v>
      </c>
      <c r="Z471" s="281">
        <f>TABLA_BASE[[#This Row],[IGV UNIT.
(S/.)]]*TABLA_BASE[[#This Row],[CANTIDAD
(unid.)]]</f>
        <v>0</v>
      </c>
      <c r="AA471" s="281">
        <f>TABLA_BASE[[#This Row],[PERCEP.
UNIT.(US$)
✅CF]]*'📋 Datos Generales'!$E$19</f>
        <v>0</v>
      </c>
      <c r="AB471" s="281">
        <f>TABLA_BASE[[#This Row],[PERCEP.
UNIT.(S/.)]]*TABLA_BASE[[#This Row],[CANTIDAD
(unid.)]]</f>
        <v>0</v>
      </c>
      <c r="AC471" s="279">
        <f>TABLA_BASE[[#This Row],[ADV UNIT.
(US$)
⚠️COSTO]]+TABLA_BASE[[#This Row],[IPM UNIT.
(US$)
✅CF]]+TABLA_BASE[[#This Row],[IGV UNIT.
(US$)
✅CF]]+TABLA_BASE[[#This Row],[PERCEP.
UNIT.(US$)
✅CF]]</f>
        <v>0</v>
      </c>
      <c r="AD471" s="279">
        <f>TABLA_BASE[[#This Row],[TOTAL PAGO
SUNAT
UNIT.(US$)]]*TABLA_BASE[[#This Row],[CANTIDAD
(unid.)]]</f>
        <v>0</v>
      </c>
      <c r="AE471" s="281">
        <f>TABLA_BASE[[#This Row],[TOTAL PAGO
SUNAT
UNIT.(US$)]]*'📋 Datos Generales'!$E$19</f>
        <v>0</v>
      </c>
      <c r="AF471" s="281">
        <f>TABLA_BASE[[#This Row],[TOTAL TRIB.
UNIT.(S/.)]]*TABLA_BASE[[#This Row],[CANTIDAD
(unid.)]]</f>
        <v>0</v>
      </c>
      <c r="AG471" s="279">
        <f>IF('🧾 Factura Comercial'!G475=0,0,'📦 Gastos Importación'!$E$28*(IF('🧾 Tributos Aduana'!$F$6=0,0,'🧾 Factura Comercial'!I475/'🧾 Tributos Aduana'!$F$6))/'🧾 Factura Comercial'!G475)</f>
        <v>0</v>
      </c>
      <c r="AH471" s="279">
        <f>TABLA_BASE[[#This Row],[GASTOS IMP.
UNIT.(US$)]]*TABLA_BASE[[#This Row],[CANTIDAD
(unid.)]]</f>
        <v>0</v>
      </c>
      <c r="AI471" s="281">
        <f>TABLA_BASE[[#This Row],[GASTOS IMP.
UNIT.(US$)]]*'📋 Datos Generales'!$E$19</f>
        <v>0</v>
      </c>
      <c r="AJ471" s="281">
        <f>TABLA_BASE[[#This Row],[GASTOS IMP.
UNIT.(S/.)]]*TABLA_BASE[[#This Row],[CANTIDAD
(unid.)]]</f>
        <v>0</v>
      </c>
      <c r="AK471" s="280">
        <f>'🧮 Costos x Producto'!J475</f>
        <v>0</v>
      </c>
      <c r="AL471" s="278">
        <f>'🧮 Costos x Producto'!K475</f>
        <v>0</v>
      </c>
      <c r="AM471" s="278">
        <f>TABLA_BASE[[#This Row],[C/M UNIT.
(S/.)]]*TABLA_BASE[[#This Row],[CANTIDAD
(unid.)]]</f>
        <v>0</v>
      </c>
      <c r="AN471" s="279">
        <f>IF('🧾 Factura Comercial'!G475=0,0,'🧾 Tributos Aduana'!$F$17*(IF('🧾 Tributos Aduana'!$F$6=0,0,'🧾 Factura Comercial'!I475/'🧾 Tributos Aduana'!$F$6))/'🧾 Factura Comercial'!G475)</f>
        <v>0</v>
      </c>
      <c r="AO471" s="280">
        <f>IF('🧾 Factura Comercial'!G475=0,0,'🏦 Crédito Fiscal'!$C$16*(IF('🧾 Tributos Aduana'!$F$6=0,0,'🧾 Factura Comercial'!I475/'🧾 Tributos Aduana'!$F$6))/'🧾 Factura Comercial'!G475)</f>
        <v>0</v>
      </c>
      <c r="AP471" s="278">
        <f>TABLA_BASE[[#This Row],[CF UNIT.
✅RECUP.
(US$)]]*'📋 Datos Generales'!$E$19</f>
        <v>0</v>
      </c>
      <c r="AQ471" s="278">
        <f>TABLA_BASE[[#This Row],[CF UNIT.
✅RECUP.(S/.)]]*TABLA_BASE[[#This Row],[CANTIDAD
(unid.)]]</f>
        <v>0</v>
      </c>
      <c r="AR471" s="288">
        <f>'💰 Precio de Venta'!G476</f>
        <v>0.4</v>
      </c>
      <c r="AS471" s="278">
        <f>'💰 Precio de Venta'!H476</f>
        <v>0</v>
      </c>
      <c r="AT471" s="278">
        <f>TABLA_BASE[[#This Row],[VALOR VTA.
UNIT.(S/.)]]*TABLA_BASE[[#This Row],[CANTIDAD
(unid.)]]</f>
        <v>0</v>
      </c>
      <c r="AU471" s="281">
        <f>'💰 Precio de Venta'!I476</f>
        <v>0</v>
      </c>
      <c r="AV471" s="278">
        <f>'💰 Precio de Venta'!J476</f>
        <v>0</v>
      </c>
      <c r="AW471" s="278">
        <f>TABLA_BASE[[#This Row],[GANANCIA
UNIT.(S/.)]]*TABLA_BASE[[#This Row],[CANTIDAD
(unid.)]]</f>
        <v>0</v>
      </c>
      <c r="AX471" s="289">
        <f>'💰 Precio de Venta'!K476</f>
        <v>0</v>
      </c>
      <c r="AY471" s="278">
        <f>TABLA_BASE[[#This Row],[GANANCIA
UNIT.(S/.)]]*'🧾 Factura Comercial'!G475</f>
        <v>0</v>
      </c>
      <c r="AZ471" s="277">
        <f>IF(TABLA_BASE[[#This Row],[PRECIO VTA.
c/IGV(S/.)]]=0,0,TABLA_BASE[[#This Row],[GANANCIA
UNIT.(S/.)]]/TABLA_BASE[[#This Row],[PRECIO VTA.
c/IGV(S/.)]])</f>
        <v>0</v>
      </c>
      <c r="BA471" s="277">
        <f>IF(TABLA_BASE[[#This Row],[C/M UNIT.
(S/.)]]=0,0,TABLA_BASE[[#This Row],[GANANCIA
UNIT.(S/.)]]/TABLA_BASE[[#This Row],[C/M UNIT.
(S/.)]])</f>
        <v>0</v>
      </c>
      <c r="BB471" s="274" t="str">
        <f>IF(TABLA_BASE[[#This Row],[MARGEN
%]]&gt;=0.5,"🟢 ALTO",IF(TABLA_BASE[[#This Row],[MARGEN
%]]&gt;=0.3,"🟡 MEDIO","🔴 BAJO"))</f>
        <v>🟡 MEDIO</v>
      </c>
    </row>
    <row r="472" spans="1:54" ht="16.5" hidden="1" thickTop="1" thickBot="1" x14ac:dyDescent="0.3">
      <c r="A472" s="274">
        <f>'🧾 Factura Comercial'!E476</f>
        <v>0</v>
      </c>
      <c r="B472" s="274" t="str">
        <f>'🧾 Factura Comercial'!F476</f>
        <v>Unid.</v>
      </c>
      <c r="C472" s="275">
        <f>'🧾 Factura Comercial'!G476</f>
        <v>0</v>
      </c>
      <c r="D472" s="276">
        <f>'🧾 Factura Comercial'!H476</f>
        <v>0</v>
      </c>
      <c r="E472" s="276">
        <f>'🧾 Factura Comercial'!I476</f>
        <v>0</v>
      </c>
      <c r="F472" s="277">
        <f>IF('🧾 Tributos Aduana'!$F$6=0,0,'🧾 Factura Comercial'!I476/'🧾 Tributos Aduana'!$F$6)</f>
        <v>0</v>
      </c>
      <c r="G472" s="278">
        <f>'🧾 Factura Comercial'!H476*'📋 Datos Generales'!$E$19</f>
        <v>0</v>
      </c>
      <c r="H472" s="278">
        <f>TABLA_BASE[[#This Row],[FOB UNIT.
(S/.)]]*TABLA_BASE[[#This Row],[CANTIDAD
(unid.)]]</f>
        <v>0</v>
      </c>
      <c r="I472" s="280">
        <f>IF('🧾 Tributos Aduana'!$F$6=0,0,'🧾 Tributos Aduana'!$F$17*('🧾 Factura Comercial'!H476/'🧾 Tributos Aduana'!$F$6))</f>
        <v>0</v>
      </c>
      <c r="J472" s="280">
        <f>TABLA_BASE[[#This Row],[ADV UNIT.
(US$)
⚠️COSTO]]*TABLA_BASE[[#This Row],[CANTIDAD
(unid.)]]</f>
        <v>0</v>
      </c>
      <c r="K472" s="279">
        <f>IF('🧾 Tributos Aduana'!$F$6=0,0,'🧾 Tributos Aduana'!$F$18*('🧾 Factura Comercial'!H476/'🧾 Tributos Aduana'!$F$6))</f>
        <v>0</v>
      </c>
      <c r="L472" s="280">
        <f>TABLA_BASE[[#This Row],[IPM UNIT.
(US$)
✅CF]]*TABLA_BASE[[#This Row],[CANTIDAD
(unid.)]]</f>
        <v>0</v>
      </c>
      <c r="M472" s="279">
        <f>IF('🧾 Tributos Aduana'!$F$6=0,0,'🧾 Tributos Aduana'!$F$19*('🧾 Factura Comercial'!H476/'🧾 Tributos Aduana'!$F$6))</f>
        <v>0</v>
      </c>
      <c r="N472" s="280">
        <f>TABLA_BASE[[#This Row],[IGV UNIT.
(US$)
✅CF]]*TABLA_BASE[[#This Row],[CANTIDAD
(unid.)]]</f>
        <v>0</v>
      </c>
      <c r="O472" s="280">
        <f>IF('🧾 Tributos Aduana'!$F$6=0,0,'🧾 Tributos Aduana'!$F$23*('🧾 Factura Comercial'!H476/'🧾 Tributos Aduana'!$F$6))</f>
        <v>0</v>
      </c>
      <c r="P472" s="280">
        <f>TABLA_BASE[[#This Row],[PERCEP.
UNIT.(US$)
✅CF]]*TABLA_BASE[[#This Row],[CANTIDAD
(unid.)]]</f>
        <v>0</v>
      </c>
      <c r="Q472" s="279">
        <f>TABLA_BASE[[#This Row],[ADV UNIT.
(US$)
⚠️COSTO]]+TABLA_BASE[[#This Row],[IPM UNIT.
(US$)
✅CF]]+TABLA_BASE[[#This Row],[IGV UNIT.
(US$)
✅CF]]</f>
        <v>0</v>
      </c>
      <c r="R472" s="280">
        <f>TABLA_BASE[[#This Row],[DEUDA
ADUANERA
UNIT.]]*TABLA_BASE[[#This Row],[CANTIDAD
(unid.)]]</f>
        <v>0</v>
      </c>
      <c r="S472" s="278">
        <f>TABLA_BASE[[#This Row],[DEUDA
ADUANERA
UNIT.]]*'📋 Datos Generales'!$E$19</f>
        <v>0</v>
      </c>
      <c r="T472" s="278">
        <f>TABLA_BASE[[#This Row],[DEUDA
ADUANERA
TOTAL]]*'📋 Datos Generales'!$E$19</f>
        <v>0</v>
      </c>
      <c r="U472" s="281">
        <f>TABLA_BASE[[#This Row],[ADV UNIT.
(US$)
⚠️COSTO]]*'📋 Datos Generales'!$E$19</f>
        <v>0</v>
      </c>
      <c r="V472" s="281">
        <f>TABLA_BASE[[#This Row],[ADV UNIT.
(S/.)]]*TABLA_BASE[[#This Row],[CANTIDAD
(unid.)]]</f>
        <v>0</v>
      </c>
      <c r="W472" s="281">
        <f>TABLA_BASE[[#This Row],[IPM UNIT.
(US$)
✅CF]]*'📋 Datos Generales'!$E$19</f>
        <v>0</v>
      </c>
      <c r="X472" s="281">
        <f>TABLA_BASE[[#This Row],[IPM UNIT.
(S/.)]]*TABLA_BASE[[#This Row],[CANTIDAD
(unid.)]]</f>
        <v>0</v>
      </c>
      <c r="Y472" s="281">
        <f>TABLA_BASE[[#This Row],[IGV UNIT.
(US$)
✅CF]]*'📋 Datos Generales'!$E$19</f>
        <v>0</v>
      </c>
      <c r="Z472" s="281">
        <f>TABLA_BASE[[#This Row],[IGV UNIT.
(S/.)]]*TABLA_BASE[[#This Row],[CANTIDAD
(unid.)]]</f>
        <v>0</v>
      </c>
      <c r="AA472" s="281">
        <f>TABLA_BASE[[#This Row],[PERCEP.
UNIT.(US$)
✅CF]]*'📋 Datos Generales'!$E$19</f>
        <v>0</v>
      </c>
      <c r="AB472" s="281">
        <f>TABLA_BASE[[#This Row],[PERCEP.
UNIT.(S/.)]]*TABLA_BASE[[#This Row],[CANTIDAD
(unid.)]]</f>
        <v>0</v>
      </c>
      <c r="AC472" s="279">
        <f>TABLA_BASE[[#This Row],[ADV UNIT.
(US$)
⚠️COSTO]]+TABLA_BASE[[#This Row],[IPM UNIT.
(US$)
✅CF]]+TABLA_BASE[[#This Row],[IGV UNIT.
(US$)
✅CF]]+TABLA_BASE[[#This Row],[PERCEP.
UNIT.(US$)
✅CF]]</f>
        <v>0</v>
      </c>
      <c r="AD472" s="279">
        <f>TABLA_BASE[[#This Row],[TOTAL PAGO
SUNAT
UNIT.(US$)]]*TABLA_BASE[[#This Row],[CANTIDAD
(unid.)]]</f>
        <v>0</v>
      </c>
      <c r="AE472" s="281">
        <f>TABLA_BASE[[#This Row],[TOTAL PAGO
SUNAT
UNIT.(US$)]]*'📋 Datos Generales'!$E$19</f>
        <v>0</v>
      </c>
      <c r="AF472" s="281">
        <f>TABLA_BASE[[#This Row],[TOTAL TRIB.
UNIT.(S/.)]]*TABLA_BASE[[#This Row],[CANTIDAD
(unid.)]]</f>
        <v>0</v>
      </c>
      <c r="AG472" s="279">
        <f>IF('🧾 Factura Comercial'!G476=0,0,'📦 Gastos Importación'!$E$28*(IF('🧾 Tributos Aduana'!$F$6=0,0,'🧾 Factura Comercial'!I476/'🧾 Tributos Aduana'!$F$6))/'🧾 Factura Comercial'!G476)</f>
        <v>0</v>
      </c>
      <c r="AH472" s="279">
        <f>TABLA_BASE[[#This Row],[GASTOS IMP.
UNIT.(US$)]]*TABLA_BASE[[#This Row],[CANTIDAD
(unid.)]]</f>
        <v>0</v>
      </c>
      <c r="AI472" s="281">
        <f>TABLA_BASE[[#This Row],[GASTOS IMP.
UNIT.(US$)]]*'📋 Datos Generales'!$E$19</f>
        <v>0</v>
      </c>
      <c r="AJ472" s="281">
        <f>TABLA_BASE[[#This Row],[GASTOS IMP.
UNIT.(S/.)]]*TABLA_BASE[[#This Row],[CANTIDAD
(unid.)]]</f>
        <v>0</v>
      </c>
      <c r="AK472" s="280">
        <f>'🧮 Costos x Producto'!J476</f>
        <v>0</v>
      </c>
      <c r="AL472" s="278">
        <f>'🧮 Costos x Producto'!K476</f>
        <v>0</v>
      </c>
      <c r="AM472" s="278">
        <f>TABLA_BASE[[#This Row],[C/M UNIT.
(S/.)]]*TABLA_BASE[[#This Row],[CANTIDAD
(unid.)]]</f>
        <v>0</v>
      </c>
      <c r="AN472" s="279">
        <f>IF('🧾 Factura Comercial'!G476=0,0,'🧾 Tributos Aduana'!$F$17*(IF('🧾 Tributos Aduana'!$F$6=0,0,'🧾 Factura Comercial'!I476/'🧾 Tributos Aduana'!$F$6))/'🧾 Factura Comercial'!G476)</f>
        <v>0</v>
      </c>
      <c r="AO472" s="280">
        <f>IF('🧾 Factura Comercial'!G476=0,0,'🏦 Crédito Fiscal'!$C$16*(IF('🧾 Tributos Aduana'!$F$6=0,0,'🧾 Factura Comercial'!I476/'🧾 Tributos Aduana'!$F$6))/'🧾 Factura Comercial'!G476)</f>
        <v>0</v>
      </c>
      <c r="AP472" s="278">
        <f>TABLA_BASE[[#This Row],[CF UNIT.
✅RECUP.
(US$)]]*'📋 Datos Generales'!$E$19</f>
        <v>0</v>
      </c>
      <c r="AQ472" s="278">
        <f>TABLA_BASE[[#This Row],[CF UNIT.
✅RECUP.(S/.)]]*TABLA_BASE[[#This Row],[CANTIDAD
(unid.)]]</f>
        <v>0</v>
      </c>
      <c r="AR472" s="288">
        <f>'💰 Precio de Venta'!G477</f>
        <v>0.4</v>
      </c>
      <c r="AS472" s="278">
        <f>'💰 Precio de Venta'!H477</f>
        <v>0</v>
      </c>
      <c r="AT472" s="278">
        <f>TABLA_BASE[[#This Row],[VALOR VTA.
UNIT.(S/.)]]*TABLA_BASE[[#This Row],[CANTIDAD
(unid.)]]</f>
        <v>0</v>
      </c>
      <c r="AU472" s="281">
        <f>'💰 Precio de Venta'!I477</f>
        <v>0</v>
      </c>
      <c r="AV472" s="278">
        <f>'💰 Precio de Venta'!J477</f>
        <v>0</v>
      </c>
      <c r="AW472" s="278">
        <f>TABLA_BASE[[#This Row],[GANANCIA
UNIT.(S/.)]]*TABLA_BASE[[#This Row],[CANTIDAD
(unid.)]]</f>
        <v>0</v>
      </c>
      <c r="AX472" s="289">
        <f>'💰 Precio de Venta'!K477</f>
        <v>0</v>
      </c>
      <c r="AY472" s="278">
        <f>TABLA_BASE[[#This Row],[GANANCIA
UNIT.(S/.)]]*'🧾 Factura Comercial'!G476</f>
        <v>0</v>
      </c>
      <c r="AZ472" s="277">
        <f>IF(TABLA_BASE[[#This Row],[PRECIO VTA.
c/IGV(S/.)]]=0,0,TABLA_BASE[[#This Row],[GANANCIA
UNIT.(S/.)]]/TABLA_BASE[[#This Row],[PRECIO VTA.
c/IGV(S/.)]])</f>
        <v>0</v>
      </c>
      <c r="BA472" s="277">
        <f>IF(TABLA_BASE[[#This Row],[C/M UNIT.
(S/.)]]=0,0,TABLA_BASE[[#This Row],[GANANCIA
UNIT.(S/.)]]/TABLA_BASE[[#This Row],[C/M UNIT.
(S/.)]])</f>
        <v>0</v>
      </c>
      <c r="BB472" s="274" t="str">
        <f>IF(TABLA_BASE[[#This Row],[MARGEN
%]]&gt;=0.5,"🟢 ALTO",IF(TABLA_BASE[[#This Row],[MARGEN
%]]&gt;=0.3,"🟡 MEDIO","🔴 BAJO"))</f>
        <v>🟡 MEDIO</v>
      </c>
    </row>
    <row r="473" spans="1:54" ht="16.5" hidden="1" thickTop="1" thickBot="1" x14ac:dyDescent="0.3">
      <c r="A473" s="274">
        <f>'🧾 Factura Comercial'!E477</f>
        <v>0</v>
      </c>
      <c r="B473" s="274" t="str">
        <f>'🧾 Factura Comercial'!F477</f>
        <v>Unid.</v>
      </c>
      <c r="C473" s="275">
        <f>'🧾 Factura Comercial'!G477</f>
        <v>0</v>
      </c>
      <c r="D473" s="276">
        <f>'🧾 Factura Comercial'!H477</f>
        <v>0</v>
      </c>
      <c r="E473" s="276">
        <f>'🧾 Factura Comercial'!I477</f>
        <v>0</v>
      </c>
      <c r="F473" s="277">
        <f>IF('🧾 Tributos Aduana'!$F$6=0,0,'🧾 Factura Comercial'!I477/'🧾 Tributos Aduana'!$F$6)</f>
        <v>0</v>
      </c>
      <c r="G473" s="278">
        <f>'🧾 Factura Comercial'!H477*'📋 Datos Generales'!$E$19</f>
        <v>0</v>
      </c>
      <c r="H473" s="278">
        <f>TABLA_BASE[[#This Row],[FOB UNIT.
(S/.)]]*TABLA_BASE[[#This Row],[CANTIDAD
(unid.)]]</f>
        <v>0</v>
      </c>
      <c r="I473" s="280">
        <f>IF('🧾 Tributos Aduana'!$F$6=0,0,'🧾 Tributos Aduana'!$F$17*('🧾 Factura Comercial'!H477/'🧾 Tributos Aduana'!$F$6))</f>
        <v>0</v>
      </c>
      <c r="J473" s="280">
        <f>TABLA_BASE[[#This Row],[ADV UNIT.
(US$)
⚠️COSTO]]*TABLA_BASE[[#This Row],[CANTIDAD
(unid.)]]</f>
        <v>0</v>
      </c>
      <c r="K473" s="279">
        <f>IF('🧾 Tributos Aduana'!$F$6=0,0,'🧾 Tributos Aduana'!$F$18*('🧾 Factura Comercial'!H477/'🧾 Tributos Aduana'!$F$6))</f>
        <v>0</v>
      </c>
      <c r="L473" s="280">
        <f>TABLA_BASE[[#This Row],[IPM UNIT.
(US$)
✅CF]]*TABLA_BASE[[#This Row],[CANTIDAD
(unid.)]]</f>
        <v>0</v>
      </c>
      <c r="M473" s="279">
        <f>IF('🧾 Tributos Aduana'!$F$6=0,0,'🧾 Tributos Aduana'!$F$19*('🧾 Factura Comercial'!H477/'🧾 Tributos Aduana'!$F$6))</f>
        <v>0</v>
      </c>
      <c r="N473" s="280">
        <f>TABLA_BASE[[#This Row],[IGV UNIT.
(US$)
✅CF]]*TABLA_BASE[[#This Row],[CANTIDAD
(unid.)]]</f>
        <v>0</v>
      </c>
      <c r="O473" s="280">
        <f>IF('🧾 Tributos Aduana'!$F$6=0,0,'🧾 Tributos Aduana'!$F$23*('🧾 Factura Comercial'!H477/'🧾 Tributos Aduana'!$F$6))</f>
        <v>0</v>
      </c>
      <c r="P473" s="280">
        <f>TABLA_BASE[[#This Row],[PERCEP.
UNIT.(US$)
✅CF]]*TABLA_BASE[[#This Row],[CANTIDAD
(unid.)]]</f>
        <v>0</v>
      </c>
      <c r="Q473" s="279">
        <f>TABLA_BASE[[#This Row],[ADV UNIT.
(US$)
⚠️COSTO]]+TABLA_BASE[[#This Row],[IPM UNIT.
(US$)
✅CF]]+TABLA_BASE[[#This Row],[IGV UNIT.
(US$)
✅CF]]</f>
        <v>0</v>
      </c>
      <c r="R473" s="280">
        <f>TABLA_BASE[[#This Row],[DEUDA
ADUANERA
UNIT.]]*TABLA_BASE[[#This Row],[CANTIDAD
(unid.)]]</f>
        <v>0</v>
      </c>
      <c r="S473" s="278">
        <f>TABLA_BASE[[#This Row],[DEUDA
ADUANERA
UNIT.]]*'📋 Datos Generales'!$E$19</f>
        <v>0</v>
      </c>
      <c r="T473" s="278">
        <f>TABLA_BASE[[#This Row],[DEUDA
ADUANERA
TOTAL]]*'📋 Datos Generales'!$E$19</f>
        <v>0</v>
      </c>
      <c r="U473" s="281">
        <f>TABLA_BASE[[#This Row],[ADV UNIT.
(US$)
⚠️COSTO]]*'📋 Datos Generales'!$E$19</f>
        <v>0</v>
      </c>
      <c r="V473" s="281">
        <f>TABLA_BASE[[#This Row],[ADV UNIT.
(S/.)]]*TABLA_BASE[[#This Row],[CANTIDAD
(unid.)]]</f>
        <v>0</v>
      </c>
      <c r="W473" s="281">
        <f>TABLA_BASE[[#This Row],[IPM UNIT.
(US$)
✅CF]]*'📋 Datos Generales'!$E$19</f>
        <v>0</v>
      </c>
      <c r="X473" s="281">
        <f>TABLA_BASE[[#This Row],[IPM UNIT.
(S/.)]]*TABLA_BASE[[#This Row],[CANTIDAD
(unid.)]]</f>
        <v>0</v>
      </c>
      <c r="Y473" s="281">
        <f>TABLA_BASE[[#This Row],[IGV UNIT.
(US$)
✅CF]]*'📋 Datos Generales'!$E$19</f>
        <v>0</v>
      </c>
      <c r="Z473" s="281">
        <f>TABLA_BASE[[#This Row],[IGV UNIT.
(S/.)]]*TABLA_BASE[[#This Row],[CANTIDAD
(unid.)]]</f>
        <v>0</v>
      </c>
      <c r="AA473" s="281">
        <f>TABLA_BASE[[#This Row],[PERCEP.
UNIT.(US$)
✅CF]]*'📋 Datos Generales'!$E$19</f>
        <v>0</v>
      </c>
      <c r="AB473" s="281">
        <f>TABLA_BASE[[#This Row],[PERCEP.
UNIT.(S/.)]]*TABLA_BASE[[#This Row],[CANTIDAD
(unid.)]]</f>
        <v>0</v>
      </c>
      <c r="AC473" s="279">
        <f>TABLA_BASE[[#This Row],[ADV UNIT.
(US$)
⚠️COSTO]]+TABLA_BASE[[#This Row],[IPM UNIT.
(US$)
✅CF]]+TABLA_BASE[[#This Row],[IGV UNIT.
(US$)
✅CF]]+TABLA_BASE[[#This Row],[PERCEP.
UNIT.(US$)
✅CF]]</f>
        <v>0</v>
      </c>
      <c r="AD473" s="279">
        <f>TABLA_BASE[[#This Row],[TOTAL PAGO
SUNAT
UNIT.(US$)]]*TABLA_BASE[[#This Row],[CANTIDAD
(unid.)]]</f>
        <v>0</v>
      </c>
      <c r="AE473" s="281">
        <f>TABLA_BASE[[#This Row],[TOTAL PAGO
SUNAT
UNIT.(US$)]]*'📋 Datos Generales'!$E$19</f>
        <v>0</v>
      </c>
      <c r="AF473" s="281">
        <f>TABLA_BASE[[#This Row],[TOTAL TRIB.
UNIT.(S/.)]]*TABLA_BASE[[#This Row],[CANTIDAD
(unid.)]]</f>
        <v>0</v>
      </c>
      <c r="AG473" s="279">
        <f>IF('🧾 Factura Comercial'!G477=0,0,'📦 Gastos Importación'!$E$28*(IF('🧾 Tributos Aduana'!$F$6=0,0,'🧾 Factura Comercial'!I477/'🧾 Tributos Aduana'!$F$6))/'🧾 Factura Comercial'!G477)</f>
        <v>0</v>
      </c>
      <c r="AH473" s="279">
        <f>TABLA_BASE[[#This Row],[GASTOS IMP.
UNIT.(US$)]]*TABLA_BASE[[#This Row],[CANTIDAD
(unid.)]]</f>
        <v>0</v>
      </c>
      <c r="AI473" s="281">
        <f>TABLA_BASE[[#This Row],[GASTOS IMP.
UNIT.(US$)]]*'📋 Datos Generales'!$E$19</f>
        <v>0</v>
      </c>
      <c r="AJ473" s="281">
        <f>TABLA_BASE[[#This Row],[GASTOS IMP.
UNIT.(S/.)]]*TABLA_BASE[[#This Row],[CANTIDAD
(unid.)]]</f>
        <v>0</v>
      </c>
      <c r="AK473" s="280">
        <f>'🧮 Costos x Producto'!J477</f>
        <v>0</v>
      </c>
      <c r="AL473" s="278">
        <f>'🧮 Costos x Producto'!K477</f>
        <v>0</v>
      </c>
      <c r="AM473" s="278">
        <f>TABLA_BASE[[#This Row],[C/M UNIT.
(S/.)]]*TABLA_BASE[[#This Row],[CANTIDAD
(unid.)]]</f>
        <v>0</v>
      </c>
      <c r="AN473" s="279">
        <f>IF('🧾 Factura Comercial'!G477=0,0,'🧾 Tributos Aduana'!$F$17*(IF('🧾 Tributos Aduana'!$F$6=0,0,'🧾 Factura Comercial'!I477/'🧾 Tributos Aduana'!$F$6))/'🧾 Factura Comercial'!G477)</f>
        <v>0</v>
      </c>
      <c r="AO473" s="280">
        <f>IF('🧾 Factura Comercial'!G477=0,0,'🏦 Crédito Fiscal'!$C$16*(IF('🧾 Tributos Aduana'!$F$6=0,0,'🧾 Factura Comercial'!I477/'🧾 Tributos Aduana'!$F$6))/'🧾 Factura Comercial'!G477)</f>
        <v>0</v>
      </c>
      <c r="AP473" s="278">
        <f>TABLA_BASE[[#This Row],[CF UNIT.
✅RECUP.
(US$)]]*'📋 Datos Generales'!$E$19</f>
        <v>0</v>
      </c>
      <c r="AQ473" s="278">
        <f>TABLA_BASE[[#This Row],[CF UNIT.
✅RECUP.(S/.)]]*TABLA_BASE[[#This Row],[CANTIDAD
(unid.)]]</f>
        <v>0</v>
      </c>
      <c r="AR473" s="288">
        <f>'💰 Precio de Venta'!G478</f>
        <v>0.4</v>
      </c>
      <c r="AS473" s="278">
        <f>'💰 Precio de Venta'!H478</f>
        <v>0</v>
      </c>
      <c r="AT473" s="278">
        <f>TABLA_BASE[[#This Row],[VALOR VTA.
UNIT.(S/.)]]*TABLA_BASE[[#This Row],[CANTIDAD
(unid.)]]</f>
        <v>0</v>
      </c>
      <c r="AU473" s="281">
        <f>'💰 Precio de Venta'!I478</f>
        <v>0</v>
      </c>
      <c r="AV473" s="278">
        <f>'💰 Precio de Venta'!J478</f>
        <v>0</v>
      </c>
      <c r="AW473" s="278">
        <f>TABLA_BASE[[#This Row],[GANANCIA
UNIT.(S/.)]]*TABLA_BASE[[#This Row],[CANTIDAD
(unid.)]]</f>
        <v>0</v>
      </c>
      <c r="AX473" s="289">
        <f>'💰 Precio de Venta'!K478</f>
        <v>0</v>
      </c>
      <c r="AY473" s="278">
        <f>TABLA_BASE[[#This Row],[GANANCIA
UNIT.(S/.)]]*'🧾 Factura Comercial'!G477</f>
        <v>0</v>
      </c>
      <c r="AZ473" s="277">
        <f>IF(TABLA_BASE[[#This Row],[PRECIO VTA.
c/IGV(S/.)]]=0,0,TABLA_BASE[[#This Row],[GANANCIA
UNIT.(S/.)]]/TABLA_BASE[[#This Row],[PRECIO VTA.
c/IGV(S/.)]])</f>
        <v>0</v>
      </c>
      <c r="BA473" s="277">
        <f>IF(TABLA_BASE[[#This Row],[C/M UNIT.
(S/.)]]=0,0,TABLA_BASE[[#This Row],[GANANCIA
UNIT.(S/.)]]/TABLA_BASE[[#This Row],[C/M UNIT.
(S/.)]])</f>
        <v>0</v>
      </c>
      <c r="BB473" s="274" t="str">
        <f>IF(TABLA_BASE[[#This Row],[MARGEN
%]]&gt;=0.5,"🟢 ALTO",IF(TABLA_BASE[[#This Row],[MARGEN
%]]&gt;=0.3,"🟡 MEDIO","🔴 BAJO"))</f>
        <v>🟡 MEDIO</v>
      </c>
    </row>
    <row r="474" spans="1:54" ht="16.5" hidden="1" thickTop="1" thickBot="1" x14ac:dyDescent="0.3">
      <c r="A474" s="274">
        <f>'🧾 Factura Comercial'!E478</f>
        <v>0</v>
      </c>
      <c r="B474" s="274" t="str">
        <f>'🧾 Factura Comercial'!F478</f>
        <v>Unid.</v>
      </c>
      <c r="C474" s="275">
        <f>'🧾 Factura Comercial'!G478</f>
        <v>0</v>
      </c>
      <c r="D474" s="276">
        <f>'🧾 Factura Comercial'!H478</f>
        <v>0</v>
      </c>
      <c r="E474" s="276">
        <f>'🧾 Factura Comercial'!I478</f>
        <v>0</v>
      </c>
      <c r="F474" s="277">
        <f>IF('🧾 Tributos Aduana'!$F$6=0,0,'🧾 Factura Comercial'!I478/'🧾 Tributos Aduana'!$F$6)</f>
        <v>0</v>
      </c>
      <c r="G474" s="278">
        <f>'🧾 Factura Comercial'!H478*'📋 Datos Generales'!$E$19</f>
        <v>0</v>
      </c>
      <c r="H474" s="278">
        <f>TABLA_BASE[[#This Row],[FOB UNIT.
(S/.)]]*TABLA_BASE[[#This Row],[CANTIDAD
(unid.)]]</f>
        <v>0</v>
      </c>
      <c r="I474" s="280">
        <f>IF('🧾 Tributos Aduana'!$F$6=0,0,'🧾 Tributos Aduana'!$F$17*('🧾 Factura Comercial'!H478/'🧾 Tributos Aduana'!$F$6))</f>
        <v>0</v>
      </c>
      <c r="J474" s="280">
        <f>TABLA_BASE[[#This Row],[ADV UNIT.
(US$)
⚠️COSTO]]*TABLA_BASE[[#This Row],[CANTIDAD
(unid.)]]</f>
        <v>0</v>
      </c>
      <c r="K474" s="279">
        <f>IF('🧾 Tributos Aduana'!$F$6=0,0,'🧾 Tributos Aduana'!$F$18*('🧾 Factura Comercial'!H478/'🧾 Tributos Aduana'!$F$6))</f>
        <v>0</v>
      </c>
      <c r="L474" s="280">
        <f>TABLA_BASE[[#This Row],[IPM UNIT.
(US$)
✅CF]]*TABLA_BASE[[#This Row],[CANTIDAD
(unid.)]]</f>
        <v>0</v>
      </c>
      <c r="M474" s="279">
        <f>IF('🧾 Tributos Aduana'!$F$6=0,0,'🧾 Tributos Aduana'!$F$19*('🧾 Factura Comercial'!H478/'🧾 Tributos Aduana'!$F$6))</f>
        <v>0</v>
      </c>
      <c r="N474" s="280">
        <f>TABLA_BASE[[#This Row],[IGV UNIT.
(US$)
✅CF]]*TABLA_BASE[[#This Row],[CANTIDAD
(unid.)]]</f>
        <v>0</v>
      </c>
      <c r="O474" s="280">
        <f>IF('🧾 Tributos Aduana'!$F$6=0,0,'🧾 Tributos Aduana'!$F$23*('🧾 Factura Comercial'!H478/'🧾 Tributos Aduana'!$F$6))</f>
        <v>0</v>
      </c>
      <c r="P474" s="280">
        <f>TABLA_BASE[[#This Row],[PERCEP.
UNIT.(US$)
✅CF]]*TABLA_BASE[[#This Row],[CANTIDAD
(unid.)]]</f>
        <v>0</v>
      </c>
      <c r="Q474" s="279">
        <f>TABLA_BASE[[#This Row],[ADV UNIT.
(US$)
⚠️COSTO]]+TABLA_BASE[[#This Row],[IPM UNIT.
(US$)
✅CF]]+TABLA_BASE[[#This Row],[IGV UNIT.
(US$)
✅CF]]</f>
        <v>0</v>
      </c>
      <c r="R474" s="280">
        <f>TABLA_BASE[[#This Row],[DEUDA
ADUANERA
UNIT.]]*TABLA_BASE[[#This Row],[CANTIDAD
(unid.)]]</f>
        <v>0</v>
      </c>
      <c r="S474" s="278">
        <f>TABLA_BASE[[#This Row],[DEUDA
ADUANERA
UNIT.]]*'📋 Datos Generales'!$E$19</f>
        <v>0</v>
      </c>
      <c r="T474" s="278">
        <f>TABLA_BASE[[#This Row],[DEUDA
ADUANERA
TOTAL]]*'📋 Datos Generales'!$E$19</f>
        <v>0</v>
      </c>
      <c r="U474" s="281">
        <f>TABLA_BASE[[#This Row],[ADV UNIT.
(US$)
⚠️COSTO]]*'📋 Datos Generales'!$E$19</f>
        <v>0</v>
      </c>
      <c r="V474" s="281">
        <f>TABLA_BASE[[#This Row],[ADV UNIT.
(S/.)]]*TABLA_BASE[[#This Row],[CANTIDAD
(unid.)]]</f>
        <v>0</v>
      </c>
      <c r="W474" s="281">
        <f>TABLA_BASE[[#This Row],[IPM UNIT.
(US$)
✅CF]]*'📋 Datos Generales'!$E$19</f>
        <v>0</v>
      </c>
      <c r="X474" s="281">
        <f>TABLA_BASE[[#This Row],[IPM UNIT.
(S/.)]]*TABLA_BASE[[#This Row],[CANTIDAD
(unid.)]]</f>
        <v>0</v>
      </c>
      <c r="Y474" s="281">
        <f>TABLA_BASE[[#This Row],[IGV UNIT.
(US$)
✅CF]]*'📋 Datos Generales'!$E$19</f>
        <v>0</v>
      </c>
      <c r="Z474" s="281">
        <f>TABLA_BASE[[#This Row],[IGV UNIT.
(S/.)]]*TABLA_BASE[[#This Row],[CANTIDAD
(unid.)]]</f>
        <v>0</v>
      </c>
      <c r="AA474" s="281">
        <f>TABLA_BASE[[#This Row],[PERCEP.
UNIT.(US$)
✅CF]]*'📋 Datos Generales'!$E$19</f>
        <v>0</v>
      </c>
      <c r="AB474" s="281">
        <f>TABLA_BASE[[#This Row],[PERCEP.
UNIT.(S/.)]]*TABLA_BASE[[#This Row],[CANTIDAD
(unid.)]]</f>
        <v>0</v>
      </c>
      <c r="AC474" s="279">
        <f>TABLA_BASE[[#This Row],[ADV UNIT.
(US$)
⚠️COSTO]]+TABLA_BASE[[#This Row],[IPM UNIT.
(US$)
✅CF]]+TABLA_BASE[[#This Row],[IGV UNIT.
(US$)
✅CF]]+TABLA_BASE[[#This Row],[PERCEP.
UNIT.(US$)
✅CF]]</f>
        <v>0</v>
      </c>
      <c r="AD474" s="279">
        <f>TABLA_BASE[[#This Row],[TOTAL PAGO
SUNAT
UNIT.(US$)]]*TABLA_BASE[[#This Row],[CANTIDAD
(unid.)]]</f>
        <v>0</v>
      </c>
      <c r="AE474" s="281">
        <f>TABLA_BASE[[#This Row],[TOTAL PAGO
SUNAT
UNIT.(US$)]]*'📋 Datos Generales'!$E$19</f>
        <v>0</v>
      </c>
      <c r="AF474" s="281">
        <f>TABLA_BASE[[#This Row],[TOTAL TRIB.
UNIT.(S/.)]]*TABLA_BASE[[#This Row],[CANTIDAD
(unid.)]]</f>
        <v>0</v>
      </c>
      <c r="AG474" s="279">
        <f>IF('🧾 Factura Comercial'!G478=0,0,'📦 Gastos Importación'!$E$28*(IF('🧾 Tributos Aduana'!$F$6=0,0,'🧾 Factura Comercial'!I478/'🧾 Tributos Aduana'!$F$6))/'🧾 Factura Comercial'!G478)</f>
        <v>0</v>
      </c>
      <c r="AH474" s="279">
        <f>TABLA_BASE[[#This Row],[GASTOS IMP.
UNIT.(US$)]]*TABLA_BASE[[#This Row],[CANTIDAD
(unid.)]]</f>
        <v>0</v>
      </c>
      <c r="AI474" s="281">
        <f>TABLA_BASE[[#This Row],[GASTOS IMP.
UNIT.(US$)]]*'📋 Datos Generales'!$E$19</f>
        <v>0</v>
      </c>
      <c r="AJ474" s="281">
        <f>TABLA_BASE[[#This Row],[GASTOS IMP.
UNIT.(S/.)]]*TABLA_BASE[[#This Row],[CANTIDAD
(unid.)]]</f>
        <v>0</v>
      </c>
      <c r="AK474" s="280">
        <f>'🧮 Costos x Producto'!J478</f>
        <v>0</v>
      </c>
      <c r="AL474" s="278">
        <f>'🧮 Costos x Producto'!K478</f>
        <v>0</v>
      </c>
      <c r="AM474" s="278">
        <f>TABLA_BASE[[#This Row],[C/M UNIT.
(S/.)]]*TABLA_BASE[[#This Row],[CANTIDAD
(unid.)]]</f>
        <v>0</v>
      </c>
      <c r="AN474" s="279">
        <f>IF('🧾 Factura Comercial'!G478=0,0,'🧾 Tributos Aduana'!$F$17*(IF('🧾 Tributos Aduana'!$F$6=0,0,'🧾 Factura Comercial'!I478/'🧾 Tributos Aduana'!$F$6))/'🧾 Factura Comercial'!G478)</f>
        <v>0</v>
      </c>
      <c r="AO474" s="280">
        <f>IF('🧾 Factura Comercial'!G478=0,0,'🏦 Crédito Fiscal'!$C$16*(IF('🧾 Tributos Aduana'!$F$6=0,0,'🧾 Factura Comercial'!I478/'🧾 Tributos Aduana'!$F$6))/'🧾 Factura Comercial'!G478)</f>
        <v>0</v>
      </c>
      <c r="AP474" s="278">
        <f>TABLA_BASE[[#This Row],[CF UNIT.
✅RECUP.
(US$)]]*'📋 Datos Generales'!$E$19</f>
        <v>0</v>
      </c>
      <c r="AQ474" s="278">
        <f>TABLA_BASE[[#This Row],[CF UNIT.
✅RECUP.(S/.)]]*TABLA_BASE[[#This Row],[CANTIDAD
(unid.)]]</f>
        <v>0</v>
      </c>
      <c r="AR474" s="288">
        <f>'💰 Precio de Venta'!G479</f>
        <v>0.4</v>
      </c>
      <c r="AS474" s="278">
        <f>'💰 Precio de Venta'!H479</f>
        <v>0</v>
      </c>
      <c r="AT474" s="278">
        <f>TABLA_BASE[[#This Row],[VALOR VTA.
UNIT.(S/.)]]*TABLA_BASE[[#This Row],[CANTIDAD
(unid.)]]</f>
        <v>0</v>
      </c>
      <c r="AU474" s="281">
        <f>'💰 Precio de Venta'!I479</f>
        <v>0</v>
      </c>
      <c r="AV474" s="278">
        <f>'💰 Precio de Venta'!J479</f>
        <v>0</v>
      </c>
      <c r="AW474" s="278">
        <f>TABLA_BASE[[#This Row],[GANANCIA
UNIT.(S/.)]]*TABLA_BASE[[#This Row],[CANTIDAD
(unid.)]]</f>
        <v>0</v>
      </c>
      <c r="AX474" s="289">
        <f>'💰 Precio de Venta'!K479</f>
        <v>0</v>
      </c>
      <c r="AY474" s="278">
        <f>TABLA_BASE[[#This Row],[GANANCIA
UNIT.(S/.)]]*'🧾 Factura Comercial'!G478</f>
        <v>0</v>
      </c>
      <c r="AZ474" s="277">
        <f>IF(TABLA_BASE[[#This Row],[PRECIO VTA.
c/IGV(S/.)]]=0,0,TABLA_BASE[[#This Row],[GANANCIA
UNIT.(S/.)]]/TABLA_BASE[[#This Row],[PRECIO VTA.
c/IGV(S/.)]])</f>
        <v>0</v>
      </c>
      <c r="BA474" s="277">
        <f>IF(TABLA_BASE[[#This Row],[C/M UNIT.
(S/.)]]=0,0,TABLA_BASE[[#This Row],[GANANCIA
UNIT.(S/.)]]/TABLA_BASE[[#This Row],[C/M UNIT.
(S/.)]])</f>
        <v>0</v>
      </c>
      <c r="BB474" s="274" t="str">
        <f>IF(TABLA_BASE[[#This Row],[MARGEN
%]]&gt;=0.5,"🟢 ALTO",IF(TABLA_BASE[[#This Row],[MARGEN
%]]&gt;=0.3,"🟡 MEDIO","🔴 BAJO"))</f>
        <v>🟡 MEDIO</v>
      </c>
    </row>
    <row r="475" spans="1:54" ht="16.5" hidden="1" thickTop="1" thickBot="1" x14ac:dyDescent="0.3">
      <c r="A475" s="274">
        <f>'🧾 Factura Comercial'!E479</f>
        <v>0</v>
      </c>
      <c r="B475" s="274" t="str">
        <f>'🧾 Factura Comercial'!F479</f>
        <v>Unid.</v>
      </c>
      <c r="C475" s="275">
        <f>'🧾 Factura Comercial'!G479</f>
        <v>0</v>
      </c>
      <c r="D475" s="276">
        <f>'🧾 Factura Comercial'!H479</f>
        <v>0</v>
      </c>
      <c r="E475" s="276">
        <f>'🧾 Factura Comercial'!I479</f>
        <v>0</v>
      </c>
      <c r="F475" s="277">
        <f>IF('🧾 Tributos Aduana'!$F$6=0,0,'🧾 Factura Comercial'!I479/'🧾 Tributos Aduana'!$F$6)</f>
        <v>0</v>
      </c>
      <c r="G475" s="278">
        <f>'🧾 Factura Comercial'!H479*'📋 Datos Generales'!$E$19</f>
        <v>0</v>
      </c>
      <c r="H475" s="278">
        <f>TABLA_BASE[[#This Row],[FOB UNIT.
(S/.)]]*TABLA_BASE[[#This Row],[CANTIDAD
(unid.)]]</f>
        <v>0</v>
      </c>
      <c r="I475" s="280">
        <f>IF('🧾 Tributos Aduana'!$F$6=0,0,'🧾 Tributos Aduana'!$F$17*('🧾 Factura Comercial'!H479/'🧾 Tributos Aduana'!$F$6))</f>
        <v>0</v>
      </c>
      <c r="J475" s="280">
        <f>TABLA_BASE[[#This Row],[ADV UNIT.
(US$)
⚠️COSTO]]*TABLA_BASE[[#This Row],[CANTIDAD
(unid.)]]</f>
        <v>0</v>
      </c>
      <c r="K475" s="279">
        <f>IF('🧾 Tributos Aduana'!$F$6=0,0,'🧾 Tributos Aduana'!$F$18*('🧾 Factura Comercial'!H479/'🧾 Tributos Aduana'!$F$6))</f>
        <v>0</v>
      </c>
      <c r="L475" s="280">
        <f>TABLA_BASE[[#This Row],[IPM UNIT.
(US$)
✅CF]]*TABLA_BASE[[#This Row],[CANTIDAD
(unid.)]]</f>
        <v>0</v>
      </c>
      <c r="M475" s="279">
        <f>IF('🧾 Tributos Aduana'!$F$6=0,0,'🧾 Tributos Aduana'!$F$19*('🧾 Factura Comercial'!H479/'🧾 Tributos Aduana'!$F$6))</f>
        <v>0</v>
      </c>
      <c r="N475" s="280">
        <f>TABLA_BASE[[#This Row],[IGV UNIT.
(US$)
✅CF]]*TABLA_BASE[[#This Row],[CANTIDAD
(unid.)]]</f>
        <v>0</v>
      </c>
      <c r="O475" s="280">
        <f>IF('🧾 Tributos Aduana'!$F$6=0,0,'🧾 Tributos Aduana'!$F$23*('🧾 Factura Comercial'!H479/'🧾 Tributos Aduana'!$F$6))</f>
        <v>0</v>
      </c>
      <c r="P475" s="280">
        <f>TABLA_BASE[[#This Row],[PERCEP.
UNIT.(US$)
✅CF]]*TABLA_BASE[[#This Row],[CANTIDAD
(unid.)]]</f>
        <v>0</v>
      </c>
      <c r="Q475" s="279">
        <f>TABLA_BASE[[#This Row],[ADV UNIT.
(US$)
⚠️COSTO]]+TABLA_BASE[[#This Row],[IPM UNIT.
(US$)
✅CF]]+TABLA_BASE[[#This Row],[IGV UNIT.
(US$)
✅CF]]</f>
        <v>0</v>
      </c>
      <c r="R475" s="280">
        <f>TABLA_BASE[[#This Row],[DEUDA
ADUANERA
UNIT.]]*TABLA_BASE[[#This Row],[CANTIDAD
(unid.)]]</f>
        <v>0</v>
      </c>
      <c r="S475" s="278">
        <f>TABLA_BASE[[#This Row],[DEUDA
ADUANERA
UNIT.]]*'📋 Datos Generales'!$E$19</f>
        <v>0</v>
      </c>
      <c r="T475" s="278">
        <f>TABLA_BASE[[#This Row],[DEUDA
ADUANERA
TOTAL]]*'📋 Datos Generales'!$E$19</f>
        <v>0</v>
      </c>
      <c r="U475" s="281">
        <f>TABLA_BASE[[#This Row],[ADV UNIT.
(US$)
⚠️COSTO]]*'📋 Datos Generales'!$E$19</f>
        <v>0</v>
      </c>
      <c r="V475" s="281">
        <f>TABLA_BASE[[#This Row],[ADV UNIT.
(S/.)]]*TABLA_BASE[[#This Row],[CANTIDAD
(unid.)]]</f>
        <v>0</v>
      </c>
      <c r="W475" s="281">
        <f>TABLA_BASE[[#This Row],[IPM UNIT.
(US$)
✅CF]]*'📋 Datos Generales'!$E$19</f>
        <v>0</v>
      </c>
      <c r="X475" s="281">
        <f>TABLA_BASE[[#This Row],[IPM UNIT.
(S/.)]]*TABLA_BASE[[#This Row],[CANTIDAD
(unid.)]]</f>
        <v>0</v>
      </c>
      <c r="Y475" s="281">
        <f>TABLA_BASE[[#This Row],[IGV UNIT.
(US$)
✅CF]]*'📋 Datos Generales'!$E$19</f>
        <v>0</v>
      </c>
      <c r="Z475" s="281">
        <f>TABLA_BASE[[#This Row],[IGV UNIT.
(S/.)]]*TABLA_BASE[[#This Row],[CANTIDAD
(unid.)]]</f>
        <v>0</v>
      </c>
      <c r="AA475" s="281">
        <f>TABLA_BASE[[#This Row],[PERCEP.
UNIT.(US$)
✅CF]]*'📋 Datos Generales'!$E$19</f>
        <v>0</v>
      </c>
      <c r="AB475" s="281">
        <f>TABLA_BASE[[#This Row],[PERCEP.
UNIT.(S/.)]]*TABLA_BASE[[#This Row],[CANTIDAD
(unid.)]]</f>
        <v>0</v>
      </c>
      <c r="AC475" s="279">
        <f>TABLA_BASE[[#This Row],[ADV UNIT.
(US$)
⚠️COSTO]]+TABLA_BASE[[#This Row],[IPM UNIT.
(US$)
✅CF]]+TABLA_BASE[[#This Row],[IGV UNIT.
(US$)
✅CF]]+TABLA_BASE[[#This Row],[PERCEP.
UNIT.(US$)
✅CF]]</f>
        <v>0</v>
      </c>
      <c r="AD475" s="279">
        <f>TABLA_BASE[[#This Row],[TOTAL PAGO
SUNAT
UNIT.(US$)]]*TABLA_BASE[[#This Row],[CANTIDAD
(unid.)]]</f>
        <v>0</v>
      </c>
      <c r="AE475" s="281">
        <f>TABLA_BASE[[#This Row],[TOTAL PAGO
SUNAT
UNIT.(US$)]]*'📋 Datos Generales'!$E$19</f>
        <v>0</v>
      </c>
      <c r="AF475" s="281">
        <f>TABLA_BASE[[#This Row],[TOTAL TRIB.
UNIT.(S/.)]]*TABLA_BASE[[#This Row],[CANTIDAD
(unid.)]]</f>
        <v>0</v>
      </c>
      <c r="AG475" s="279">
        <f>IF('🧾 Factura Comercial'!G479=0,0,'📦 Gastos Importación'!$E$28*(IF('🧾 Tributos Aduana'!$F$6=0,0,'🧾 Factura Comercial'!I479/'🧾 Tributos Aduana'!$F$6))/'🧾 Factura Comercial'!G479)</f>
        <v>0</v>
      </c>
      <c r="AH475" s="279">
        <f>TABLA_BASE[[#This Row],[GASTOS IMP.
UNIT.(US$)]]*TABLA_BASE[[#This Row],[CANTIDAD
(unid.)]]</f>
        <v>0</v>
      </c>
      <c r="AI475" s="281">
        <f>TABLA_BASE[[#This Row],[GASTOS IMP.
UNIT.(US$)]]*'📋 Datos Generales'!$E$19</f>
        <v>0</v>
      </c>
      <c r="AJ475" s="281">
        <f>TABLA_BASE[[#This Row],[GASTOS IMP.
UNIT.(S/.)]]*TABLA_BASE[[#This Row],[CANTIDAD
(unid.)]]</f>
        <v>0</v>
      </c>
      <c r="AK475" s="280">
        <f>'🧮 Costos x Producto'!J479</f>
        <v>0</v>
      </c>
      <c r="AL475" s="278">
        <f>'🧮 Costos x Producto'!K479</f>
        <v>0</v>
      </c>
      <c r="AM475" s="278">
        <f>TABLA_BASE[[#This Row],[C/M UNIT.
(S/.)]]*TABLA_BASE[[#This Row],[CANTIDAD
(unid.)]]</f>
        <v>0</v>
      </c>
      <c r="AN475" s="279">
        <f>IF('🧾 Factura Comercial'!G479=0,0,'🧾 Tributos Aduana'!$F$17*(IF('🧾 Tributos Aduana'!$F$6=0,0,'🧾 Factura Comercial'!I479/'🧾 Tributos Aduana'!$F$6))/'🧾 Factura Comercial'!G479)</f>
        <v>0</v>
      </c>
      <c r="AO475" s="280">
        <f>IF('🧾 Factura Comercial'!G479=0,0,'🏦 Crédito Fiscal'!$C$16*(IF('🧾 Tributos Aduana'!$F$6=0,0,'🧾 Factura Comercial'!I479/'🧾 Tributos Aduana'!$F$6))/'🧾 Factura Comercial'!G479)</f>
        <v>0</v>
      </c>
      <c r="AP475" s="278">
        <f>TABLA_BASE[[#This Row],[CF UNIT.
✅RECUP.
(US$)]]*'📋 Datos Generales'!$E$19</f>
        <v>0</v>
      </c>
      <c r="AQ475" s="278">
        <f>TABLA_BASE[[#This Row],[CF UNIT.
✅RECUP.(S/.)]]*TABLA_BASE[[#This Row],[CANTIDAD
(unid.)]]</f>
        <v>0</v>
      </c>
      <c r="AR475" s="288">
        <f>'💰 Precio de Venta'!G480</f>
        <v>0.4</v>
      </c>
      <c r="AS475" s="278">
        <f>'💰 Precio de Venta'!H480</f>
        <v>0</v>
      </c>
      <c r="AT475" s="278">
        <f>TABLA_BASE[[#This Row],[VALOR VTA.
UNIT.(S/.)]]*TABLA_BASE[[#This Row],[CANTIDAD
(unid.)]]</f>
        <v>0</v>
      </c>
      <c r="AU475" s="281">
        <f>'💰 Precio de Venta'!I480</f>
        <v>0</v>
      </c>
      <c r="AV475" s="278">
        <f>'💰 Precio de Venta'!J480</f>
        <v>0</v>
      </c>
      <c r="AW475" s="278">
        <f>TABLA_BASE[[#This Row],[GANANCIA
UNIT.(S/.)]]*TABLA_BASE[[#This Row],[CANTIDAD
(unid.)]]</f>
        <v>0</v>
      </c>
      <c r="AX475" s="289">
        <f>'💰 Precio de Venta'!K480</f>
        <v>0</v>
      </c>
      <c r="AY475" s="278">
        <f>TABLA_BASE[[#This Row],[GANANCIA
UNIT.(S/.)]]*'🧾 Factura Comercial'!G479</f>
        <v>0</v>
      </c>
      <c r="AZ475" s="277">
        <f>IF(TABLA_BASE[[#This Row],[PRECIO VTA.
c/IGV(S/.)]]=0,0,TABLA_BASE[[#This Row],[GANANCIA
UNIT.(S/.)]]/TABLA_BASE[[#This Row],[PRECIO VTA.
c/IGV(S/.)]])</f>
        <v>0</v>
      </c>
      <c r="BA475" s="277">
        <f>IF(TABLA_BASE[[#This Row],[C/M UNIT.
(S/.)]]=0,0,TABLA_BASE[[#This Row],[GANANCIA
UNIT.(S/.)]]/TABLA_BASE[[#This Row],[C/M UNIT.
(S/.)]])</f>
        <v>0</v>
      </c>
      <c r="BB475" s="274" t="str">
        <f>IF(TABLA_BASE[[#This Row],[MARGEN
%]]&gt;=0.5,"🟢 ALTO",IF(TABLA_BASE[[#This Row],[MARGEN
%]]&gt;=0.3,"🟡 MEDIO","🔴 BAJO"))</f>
        <v>🟡 MEDIO</v>
      </c>
    </row>
    <row r="476" spans="1:54" ht="16.5" hidden="1" thickTop="1" thickBot="1" x14ac:dyDescent="0.3">
      <c r="A476" s="274">
        <f>'🧾 Factura Comercial'!E480</f>
        <v>0</v>
      </c>
      <c r="B476" s="274" t="str">
        <f>'🧾 Factura Comercial'!F480</f>
        <v>Unid.</v>
      </c>
      <c r="C476" s="275">
        <f>'🧾 Factura Comercial'!G480</f>
        <v>0</v>
      </c>
      <c r="D476" s="276">
        <f>'🧾 Factura Comercial'!H480</f>
        <v>0</v>
      </c>
      <c r="E476" s="276">
        <f>'🧾 Factura Comercial'!I480</f>
        <v>0</v>
      </c>
      <c r="F476" s="277">
        <f>IF('🧾 Tributos Aduana'!$F$6=0,0,'🧾 Factura Comercial'!I480/'🧾 Tributos Aduana'!$F$6)</f>
        <v>0</v>
      </c>
      <c r="G476" s="278">
        <f>'🧾 Factura Comercial'!H480*'📋 Datos Generales'!$E$19</f>
        <v>0</v>
      </c>
      <c r="H476" s="278">
        <f>TABLA_BASE[[#This Row],[FOB UNIT.
(S/.)]]*TABLA_BASE[[#This Row],[CANTIDAD
(unid.)]]</f>
        <v>0</v>
      </c>
      <c r="I476" s="280">
        <f>IF('🧾 Tributos Aduana'!$F$6=0,0,'🧾 Tributos Aduana'!$F$17*('🧾 Factura Comercial'!H480/'🧾 Tributos Aduana'!$F$6))</f>
        <v>0</v>
      </c>
      <c r="J476" s="280">
        <f>TABLA_BASE[[#This Row],[ADV UNIT.
(US$)
⚠️COSTO]]*TABLA_BASE[[#This Row],[CANTIDAD
(unid.)]]</f>
        <v>0</v>
      </c>
      <c r="K476" s="279">
        <f>IF('🧾 Tributos Aduana'!$F$6=0,0,'🧾 Tributos Aduana'!$F$18*('🧾 Factura Comercial'!H480/'🧾 Tributos Aduana'!$F$6))</f>
        <v>0</v>
      </c>
      <c r="L476" s="280">
        <f>TABLA_BASE[[#This Row],[IPM UNIT.
(US$)
✅CF]]*TABLA_BASE[[#This Row],[CANTIDAD
(unid.)]]</f>
        <v>0</v>
      </c>
      <c r="M476" s="279">
        <f>IF('🧾 Tributos Aduana'!$F$6=0,0,'🧾 Tributos Aduana'!$F$19*('🧾 Factura Comercial'!H480/'🧾 Tributos Aduana'!$F$6))</f>
        <v>0</v>
      </c>
      <c r="N476" s="280">
        <f>TABLA_BASE[[#This Row],[IGV UNIT.
(US$)
✅CF]]*TABLA_BASE[[#This Row],[CANTIDAD
(unid.)]]</f>
        <v>0</v>
      </c>
      <c r="O476" s="280">
        <f>IF('🧾 Tributos Aduana'!$F$6=0,0,'🧾 Tributos Aduana'!$F$23*('🧾 Factura Comercial'!H480/'🧾 Tributos Aduana'!$F$6))</f>
        <v>0</v>
      </c>
      <c r="P476" s="280">
        <f>TABLA_BASE[[#This Row],[PERCEP.
UNIT.(US$)
✅CF]]*TABLA_BASE[[#This Row],[CANTIDAD
(unid.)]]</f>
        <v>0</v>
      </c>
      <c r="Q476" s="279">
        <f>TABLA_BASE[[#This Row],[ADV UNIT.
(US$)
⚠️COSTO]]+TABLA_BASE[[#This Row],[IPM UNIT.
(US$)
✅CF]]+TABLA_BASE[[#This Row],[IGV UNIT.
(US$)
✅CF]]</f>
        <v>0</v>
      </c>
      <c r="R476" s="280">
        <f>TABLA_BASE[[#This Row],[DEUDA
ADUANERA
UNIT.]]*TABLA_BASE[[#This Row],[CANTIDAD
(unid.)]]</f>
        <v>0</v>
      </c>
      <c r="S476" s="278">
        <f>TABLA_BASE[[#This Row],[DEUDA
ADUANERA
UNIT.]]*'📋 Datos Generales'!$E$19</f>
        <v>0</v>
      </c>
      <c r="T476" s="278">
        <f>TABLA_BASE[[#This Row],[DEUDA
ADUANERA
TOTAL]]*'📋 Datos Generales'!$E$19</f>
        <v>0</v>
      </c>
      <c r="U476" s="281">
        <f>TABLA_BASE[[#This Row],[ADV UNIT.
(US$)
⚠️COSTO]]*'📋 Datos Generales'!$E$19</f>
        <v>0</v>
      </c>
      <c r="V476" s="281">
        <f>TABLA_BASE[[#This Row],[ADV UNIT.
(S/.)]]*TABLA_BASE[[#This Row],[CANTIDAD
(unid.)]]</f>
        <v>0</v>
      </c>
      <c r="W476" s="281">
        <f>TABLA_BASE[[#This Row],[IPM UNIT.
(US$)
✅CF]]*'📋 Datos Generales'!$E$19</f>
        <v>0</v>
      </c>
      <c r="X476" s="281">
        <f>TABLA_BASE[[#This Row],[IPM UNIT.
(S/.)]]*TABLA_BASE[[#This Row],[CANTIDAD
(unid.)]]</f>
        <v>0</v>
      </c>
      <c r="Y476" s="281">
        <f>TABLA_BASE[[#This Row],[IGV UNIT.
(US$)
✅CF]]*'📋 Datos Generales'!$E$19</f>
        <v>0</v>
      </c>
      <c r="Z476" s="281">
        <f>TABLA_BASE[[#This Row],[IGV UNIT.
(S/.)]]*TABLA_BASE[[#This Row],[CANTIDAD
(unid.)]]</f>
        <v>0</v>
      </c>
      <c r="AA476" s="281">
        <f>TABLA_BASE[[#This Row],[PERCEP.
UNIT.(US$)
✅CF]]*'📋 Datos Generales'!$E$19</f>
        <v>0</v>
      </c>
      <c r="AB476" s="281">
        <f>TABLA_BASE[[#This Row],[PERCEP.
UNIT.(S/.)]]*TABLA_BASE[[#This Row],[CANTIDAD
(unid.)]]</f>
        <v>0</v>
      </c>
      <c r="AC476" s="279">
        <f>TABLA_BASE[[#This Row],[ADV UNIT.
(US$)
⚠️COSTO]]+TABLA_BASE[[#This Row],[IPM UNIT.
(US$)
✅CF]]+TABLA_BASE[[#This Row],[IGV UNIT.
(US$)
✅CF]]+TABLA_BASE[[#This Row],[PERCEP.
UNIT.(US$)
✅CF]]</f>
        <v>0</v>
      </c>
      <c r="AD476" s="279">
        <f>TABLA_BASE[[#This Row],[TOTAL PAGO
SUNAT
UNIT.(US$)]]*TABLA_BASE[[#This Row],[CANTIDAD
(unid.)]]</f>
        <v>0</v>
      </c>
      <c r="AE476" s="281">
        <f>TABLA_BASE[[#This Row],[TOTAL PAGO
SUNAT
UNIT.(US$)]]*'📋 Datos Generales'!$E$19</f>
        <v>0</v>
      </c>
      <c r="AF476" s="281">
        <f>TABLA_BASE[[#This Row],[TOTAL TRIB.
UNIT.(S/.)]]*TABLA_BASE[[#This Row],[CANTIDAD
(unid.)]]</f>
        <v>0</v>
      </c>
      <c r="AG476" s="279">
        <f>IF('🧾 Factura Comercial'!G480=0,0,'📦 Gastos Importación'!$E$28*(IF('🧾 Tributos Aduana'!$F$6=0,0,'🧾 Factura Comercial'!I480/'🧾 Tributos Aduana'!$F$6))/'🧾 Factura Comercial'!G480)</f>
        <v>0</v>
      </c>
      <c r="AH476" s="279">
        <f>TABLA_BASE[[#This Row],[GASTOS IMP.
UNIT.(US$)]]*TABLA_BASE[[#This Row],[CANTIDAD
(unid.)]]</f>
        <v>0</v>
      </c>
      <c r="AI476" s="281">
        <f>TABLA_BASE[[#This Row],[GASTOS IMP.
UNIT.(US$)]]*'📋 Datos Generales'!$E$19</f>
        <v>0</v>
      </c>
      <c r="AJ476" s="281">
        <f>TABLA_BASE[[#This Row],[GASTOS IMP.
UNIT.(S/.)]]*TABLA_BASE[[#This Row],[CANTIDAD
(unid.)]]</f>
        <v>0</v>
      </c>
      <c r="AK476" s="280">
        <f>'🧮 Costos x Producto'!J480</f>
        <v>0</v>
      </c>
      <c r="AL476" s="278">
        <f>'🧮 Costos x Producto'!K480</f>
        <v>0</v>
      </c>
      <c r="AM476" s="278">
        <f>TABLA_BASE[[#This Row],[C/M UNIT.
(S/.)]]*TABLA_BASE[[#This Row],[CANTIDAD
(unid.)]]</f>
        <v>0</v>
      </c>
      <c r="AN476" s="279">
        <f>IF('🧾 Factura Comercial'!G480=0,0,'🧾 Tributos Aduana'!$F$17*(IF('🧾 Tributos Aduana'!$F$6=0,0,'🧾 Factura Comercial'!I480/'🧾 Tributos Aduana'!$F$6))/'🧾 Factura Comercial'!G480)</f>
        <v>0</v>
      </c>
      <c r="AO476" s="280">
        <f>IF('🧾 Factura Comercial'!G480=0,0,'🏦 Crédito Fiscal'!$C$16*(IF('🧾 Tributos Aduana'!$F$6=0,0,'🧾 Factura Comercial'!I480/'🧾 Tributos Aduana'!$F$6))/'🧾 Factura Comercial'!G480)</f>
        <v>0</v>
      </c>
      <c r="AP476" s="278">
        <f>TABLA_BASE[[#This Row],[CF UNIT.
✅RECUP.
(US$)]]*'📋 Datos Generales'!$E$19</f>
        <v>0</v>
      </c>
      <c r="AQ476" s="278">
        <f>TABLA_BASE[[#This Row],[CF UNIT.
✅RECUP.(S/.)]]*TABLA_BASE[[#This Row],[CANTIDAD
(unid.)]]</f>
        <v>0</v>
      </c>
      <c r="AR476" s="288">
        <f>'💰 Precio de Venta'!G481</f>
        <v>0.4</v>
      </c>
      <c r="AS476" s="278">
        <f>'💰 Precio de Venta'!H481</f>
        <v>0</v>
      </c>
      <c r="AT476" s="278">
        <f>TABLA_BASE[[#This Row],[VALOR VTA.
UNIT.(S/.)]]*TABLA_BASE[[#This Row],[CANTIDAD
(unid.)]]</f>
        <v>0</v>
      </c>
      <c r="AU476" s="281">
        <f>'💰 Precio de Venta'!I481</f>
        <v>0</v>
      </c>
      <c r="AV476" s="278">
        <f>'💰 Precio de Venta'!J481</f>
        <v>0</v>
      </c>
      <c r="AW476" s="278">
        <f>TABLA_BASE[[#This Row],[GANANCIA
UNIT.(S/.)]]*TABLA_BASE[[#This Row],[CANTIDAD
(unid.)]]</f>
        <v>0</v>
      </c>
      <c r="AX476" s="289">
        <f>'💰 Precio de Venta'!K481</f>
        <v>0</v>
      </c>
      <c r="AY476" s="278">
        <f>TABLA_BASE[[#This Row],[GANANCIA
UNIT.(S/.)]]*'🧾 Factura Comercial'!G480</f>
        <v>0</v>
      </c>
      <c r="AZ476" s="277">
        <f>IF(TABLA_BASE[[#This Row],[PRECIO VTA.
c/IGV(S/.)]]=0,0,TABLA_BASE[[#This Row],[GANANCIA
UNIT.(S/.)]]/TABLA_BASE[[#This Row],[PRECIO VTA.
c/IGV(S/.)]])</f>
        <v>0</v>
      </c>
      <c r="BA476" s="277">
        <f>IF(TABLA_BASE[[#This Row],[C/M UNIT.
(S/.)]]=0,0,TABLA_BASE[[#This Row],[GANANCIA
UNIT.(S/.)]]/TABLA_BASE[[#This Row],[C/M UNIT.
(S/.)]])</f>
        <v>0</v>
      </c>
      <c r="BB476" s="274" t="str">
        <f>IF(TABLA_BASE[[#This Row],[MARGEN
%]]&gt;=0.5,"🟢 ALTO",IF(TABLA_BASE[[#This Row],[MARGEN
%]]&gt;=0.3,"🟡 MEDIO","🔴 BAJO"))</f>
        <v>🟡 MEDIO</v>
      </c>
    </row>
    <row r="477" spans="1:54" ht="16.5" hidden="1" thickTop="1" thickBot="1" x14ac:dyDescent="0.3">
      <c r="A477" s="274">
        <f>'🧾 Factura Comercial'!E481</f>
        <v>0</v>
      </c>
      <c r="B477" s="274" t="str">
        <f>'🧾 Factura Comercial'!F481</f>
        <v>Unid.</v>
      </c>
      <c r="C477" s="275">
        <f>'🧾 Factura Comercial'!G481</f>
        <v>0</v>
      </c>
      <c r="D477" s="276">
        <f>'🧾 Factura Comercial'!H481</f>
        <v>0</v>
      </c>
      <c r="E477" s="276">
        <f>'🧾 Factura Comercial'!I481</f>
        <v>0</v>
      </c>
      <c r="F477" s="277">
        <f>IF('🧾 Tributos Aduana'!$F$6=0,0,'🧾 Factura Comercial'!I481/'🧾 Tributos Aduana'!$F$6)</f>
        <v>0</v>
      </c>
      <c r="G477" s="278">
        <f>'🧾 Factura Comercial'!H481*'📋 Datos Generales'!$E$19</f>
        <v>0</v>
      </c>
      <c r="H477" s="278">
        <f>TABLA_BASE[[#This Row],[FOB UNIT.
(S/.)]]*TABLA_BASE[[#This Row],[CANTIDAD
(unid.)]]</f>
        <v>0</v>
      </c>
      <c r="I477" s="280">
        <f>IF('🧾 Tributos Aduana'!$F$6=0,0,'🧾 Tributos Aduana'!$F$17*('🧾 Factura Comercial'!H481/'🧾 Tributos Aduana'!$F$6))</f>
        <v>0</v>
      </c>
      <c r="J477" s="280">
        <f>TABLA_BASE[[#This Row],[ADV UNIT.
(US$)
⚠️COSTO]]*TABLA_BASE[[#This Row],[CANTIDAD
(unid.)]]</f>
        <v>0</v>
      </c>
      <c r="K477" s="279">
        <f>IF('🧾 Tributos Aduana'!$F$6=0,0,'🧾 Tributos Aduana'!$F$18*('🧾 Factura Comercial'!H481/'🧾 Tributos Aduana'!$F$6))</f>
        <v>0</v>
      </c>
      <c r="L477" s="280">
        <f>TABLA_BASE[[#This Row],[IPM UNIT.
(US$)
✅CF]]*TABLA_BASE[[#This Row],[CANTIDAD
(unid.)]]</f>
        <v>0</v>
      </c>
      <c r="M477" s="279">
        <f>IF('🧾 Tributos Aduana'!$F$6=0,0,'🧾 Tributos Aduana'!$F$19*('🧾 Factura Comercial'!H481/'🧾 Tributos Aduana'!$F$6))</f>
        <v>0</v>
      </c>
      <c r="N477" s="280">
        <f>TABLA_BASE[[#This Row],[IGV UNIT.
(US$)
✅CF]]*TABLA_BASE[[#This Row],[CANTIDAD
(unid.)]]</f>
        <v>0</v>
      </c>
      <c r="O477" s="280">
        <f>IF('🧾 Tributos Aduana'!$F$6=0,0,'🧾 Tributos Aduana'!$F$23*('🧾 Factura Comercial'!H481/'🧾 Tributos Aduana'!$F$6))</f>
        <v>0</v>
      </c>
      <c r="P477" s="280">
        <f>TABLA_BASE[[#This Row],[PERCEP.
UNIT.(US$)
✅CF]]*TABLA_BASE[[#This Row],[CANTIDAD
(unid.)]]</f>
        <v>0</v>
      </c>
      <c r="Q477" s="279">
        <f>TABLA_BASE[[#This Row],[ADV UNIT.
(US$)
⚠️COSTO]]+TABLA_BASE[[#This Row],[IPM UNIT.
(US$)
✅CF]]+TABLA_BASE[[#This Row],[IGV UNIT.
(US$)
✅CF]]</f>
        <v>0</v>
      </c>
      <c r="R477" s="280">
        <f>TABLA_BASE[[#This Row],[DEUDA
ADUANERA
UNIT.]]*TABLA_BASE[[#This Row],[CANTIDAD
(unid.)]]</f>
        <v>0</v>
      </c>
      <c r="S477" s="278">
        <f>TABLA_BASE[[#This Row],[DEUDA
ADUANERA
UNIT.]]*'📋 Datos Generales'!$E$19</f>
        <v>0</v>
      </c>
      <c r="T477" s="278">
        <f>TABLA_BASE[[#This Row],[DEUDA
ADUANERA
TOTAL]]*'📋 Datos Generales'!$E$19</f>
        <v>0</v>
      </c>
      <c r="U477" s="281">
        <f>TABLA_BASE[[#This Row],[ADV UNIT.
(US$)
⚠️COSTO]]*'📋 Datos Generales'!$E$19</f>
        <v>0</v>
      </c>
      <c r="V477" s="281">
        <f>TABLA_BASE[[#This Row],[ADV UNIT.
(S/.)]]*TABLA_BASE[[#This Row],[CANTIDAD
(unid.)]]</f>
        <v>0</v>
      </c>
      <c r="W477" s="281">
        <f>TABLA_BASE[[#This Row],[IPM UNIT.
(US$)
✅CF]]*'📋 Datos Generales'!$E$19</f>
        <v>0</v>
      </c>
      <c r="X477" s="281">
        <f>TABLA_BASE[[#This Row],[IPM UNIT.
(S/.)]]*TABLA_BASE[[#This Row],[CANTIDAD
(unid.)]]</f>
        <v>0</v>
      </c>
      <c r="Y477" s="281">
        <f>TABLA_BASE[[#This Row],[IGV UNIT.
(US$)
✅CF]]*'📋 Datos Generales'!$E$19</f>
        <v>0</v>
      </c>
      <c r="Z477" s="281">
        <f>TABLA_BASE[[#This Row],[IGV UNIT.
(S/.)]]*TABLA_BASE[[#This Row],[CANTIDAD
(unid.)]]</f>
        <v>0</v>
      </c>
      <c r="AA477" s="281">
        <f>TABLA_BASE[[#This Row],[PERCEP.
UNIT.(US$)
✅CF]]*'📋 Datos Generales'!$E$19</f>
        <v>0</v>
      </c>
      <c r="AB477" s="281">
        <f>TABLA_BASE[[#This Row],[PERCEP.
UNIT.(S/.)]]*TABLA_BASE[[#This Row],[CANTIDAD
(unid.)]]</f>
        <v>0</v>
      </c>
      <c r="AC477" s="279">
        <f>TABLA_BASE[[#This Row],[ADV UNIT.
(US$)
⚠️COSTO]]+TABLA_BASE[[#This Row],[IPM UNIT.
(US$)
✅CF]]+TABLA_BASE[[#This Row],[IGV UNIT.
(US$)
✅CF]]+TABLA_BASE[[#This Row],[PERCEP.
UNIT.(US$)
✅CF]]</f>
        <v>0</v>
      </c>
      <c r="AD477" s="279">
        <f>TABLA_BASE[[#This Row],[TOTAL PAGO
SUNAT
UNIT.(US$)]]*TABLA_BASE[[#This Row],[CANTIDAD
(unid.)]]</f>
        <v>0</v>
      </c>
      <c r="AE477" s="281">
        <f>TABLA_BASE[[#This Row],[TOTAL PAGO
SUNAT
UNIT.(US$)]]*'📋 Datos Generales'!$E$19</f>
        <v>0</v>
      </c>
      <c r="AF477" s="281">
        <f>TABLA_BASE[[#This Row],[TOTAL TRIB.
UNIT.(S/.)]]*TABLA_BASE[[#This Row],[CANTIDAD
(unid.)]]</f>
        <v>0</v>
      </c>
      <c r="AG477" s="279">
        <f>IF('🧾 Factura Comercial'!G481=0,0,'📦 Gastos Importación'!$E$28*(IF('🧾 Tributos Aduana'!$F$6=0,0,'🧾 Factura Comercial'!I481/'🧾 Tributos Aduana'!$F$6))/'🧾 Factura Comercial'!G481)</f>
        <v>0</v>
      </c>
      <c r="AH477" s="279">
        <f>TABLA_BASE[[#This Row],[GASTOS IMP.
UNIT.(US$)]]*TABLA_BASE[[#This Row],[CANTIDAD
(unid.)]]</f>
        <v>0</v>
      </c>
      <c r="AI477" s="281">
        <f>TABLA_BASE[[#This Row],[GASTOS IMP.
UNIT.(US$)]]*'📋 Datos Generales'!$E$19</f>
        <v>0</v>
      </c>
      <c r="AJ477" s="281">
        <f>TABLA_BASE[[#This Row],[GASTOS IMP.
UNIT.(S/.)]]*TABLA_BASE[[#This Row],[CANTIDAD
(unid.)]]</f>
        <v>0</v>
      </c>
      <c r="AK477" s="280">
        <f>'🧮 Costos x Producto'!J481</f>
        <v>0</v>
      </c>
      <c r="AL477" s="278">
        <f>'🧮 Costos x Producto'!K481</f>
        <v>0</v>
      </c>
      <c r="AM477" s="278">
        <f>TABLA_BASE[[#This Row],[C/M UNIT.
(S/.)]]*TABLA_BASE[[#This Row],[CANTIDAD
(unid.)]]</f>
        <v>0</v>
      </c>
      <c r="AN477" s="279">
        <f>IF('🧾 Factura Comercial'!G481=0,0,'🧾 Tributos Aduana'!$F$17*(IF('🧾 Tributos Aduana'!$F$6=0,0,'🧾 Factura Comercial'!I481/'🧾 Tributos Aduana'!$F$6))/'🧾 Factura Comercial'!G481)</f>
        <v>0</v>
      </c>
      <c r="AO477" s="280">
        <f>IF('🧾 Factura Comercial'!G481=0,0,'🏦 Crédito Fiscal'!$C$16*(IF('🧾 Tributos Aduana'!$F$6=0,0,'🧾 Factura Comercial'!I481/'🧾 Tributos Aduana'!$F$6))/'🧾 Factura Comercial'!G481)</f>
        <v>0</v>
      </c>
      <c r="AP477" s="278">
        <f>TABLA_BASE[[#This Row],[CF UNIT.
✅RECUP.
(US$)]]*'📋 Datos Generales'!$E$19</f>
        <v>0</v>
      </c>
      <c r="AQ477" s="278">
        <f>TABLA_BASE[[#This Row],[CF UNIT.
✅RECUP.(S/.)]]*TABLA_BASE[[#This Row],[CANTIDAD
(unid.)]]</f>
        <v>0</v>
      </c>
      <c r="AR477" s="288">
        <f>'💰 Precio de Venta'!G482</f>
        <v>0.4</v>
      </c>
      <c r="AS477" s="278">
        <f>'💰 Precio de Venta'!H482</f>
        <v>0</v>
      </c>
      <c r="AT477" s="278">
        <f>TABLA_BASE[[#This Row],[VALOR VTA.
UNIT.(S/.)]]*TABLA_BASE[[#This Row],[CANTIDAD
(unid.)]]</f>
        <v>0</v>
      </c>
      <c r="AU477" s="281">
        <f>'💰 Precio de Venta'!I482</f>
        <v>0</v>
      </c>
      <c r="AV477" s="278">
        <f>'💰 Precio de Venta'!J482</f>
        <v>0</v>
      </c>
      <c r="AW477" s="278">
        <f>TABLA_BASE[[#This Row],[GANANCIA
UNIT.(S/.)]]*TABLA_BASE[[#This Row],[CANTIDAD
(unid.)]]</f>
        <v>0</v>
      </c>
      <c r="AX477" s="289">
        <f>'💰 Precio de Venta'!K482</f>
        <v>0</v>
      </c>
      <c r="AY477" s="278">
        <f>TABLA_BASE[[#This Row],[GANANCIA
UNIT.(S/.)]]*'🧾 Factura Comercial'!G481</f>
        <v>0</v>
      </c>
      <c r="AZ477" s="277">
        <f>IF(TABLA_BASE[[#This Row],[PRECIO VTA.
c/IGV(S/.)]]=0,0,TABLA_BASE[[#This Row],[GANANCIA
UNIT.(S/.)]]/TABLA_BASE[[#This Row],[PRECIO VTA.
c/IGV(S/.)]])</f>
        <v>0</v>
      </c>
      <c r="BA477" s="277">
        <f>IF(TABLA_BASE[[#This Row],[C/M UNIT.
(S/.)]]=0,0,TABLA_BASE[[#This Row],[GANANCIA
UNIT.(S/.)]]/TABLA_BASE[[#This Row],[C/M UNIT.
(S/.)]])</f>
        <v>0</v>
      </c>
      <c r="BB477" s="274" t="str">
        <f>IF(TABLA_BASE[[#This Row],[MARGEN
%]]&gt;=0.5,"🟢 ALTO",IF(TABLA_BASE[[#This Row],[MARGEN
%]]&gt;=0.3,"🟡 MEDIO","🔴 BAJO"))</f>
        <v>🟡 MEDIO</v>
      </c>
    </row>
    <row r="478" spans="1:54" ht="16.5" hidden="1" thickTop="1" thickBot="1" x14ac:dyDescent="0.3">
      <c r="A478" s="274">
        <f>'🧾 Factura Comercial'!E482</f>
        <v>0</v>
      </c>
      <c r="B478" s="274" t="str">
        <f>'🧾 Factura Comercial'!F482</f>
        <v>Unid.</v>
      </c>
      <c r="C478" s="275">
        <f>'🧾 Factura Comercial'!G482</f>
        <v>0</v>
      </c>
      <c r="D478" s="276">
        <f>'🧾 Factura Comercial'!H482</f>
        <v>0</v>
      </c>
      <c r="E478" s="276">
        <f>'🧾 Factura Comercial'!I482</f>
        <v>0</v>
      </c>
      <c r="F478" s="277">
        <f>IF('🧾 Tributos Aduana'!$F$6=0,0,'🧾 Factura Comercial'!I482/'🧾 Tributos Aduana'!$F$6)</f>
        <v>0</v>
      </c>
      <c r="G478" s="278">
        <f>'🧾 Factura Comercial'!H482*'📋 Datos Generales'!$E$19</f>
        <v>0</v>
      </c>
      <c r="H478" s="278">
        <f>TABLA_BASE[[#This Row],[FOB UNIT.
(S/.)]]*TABLA_BASE[[#This Row],[CANTIDAD
(unid.)]]</f>
        <v>0</v>
      </c>
      <c r="I478" s="280">
        <f>IF('🧾 Tributos Aduana'!$F$6=0,0,'🧾 Tributos Aduana'!$F$17*('🧾 Factura Comercial'!H482/'🧾 Tributos Aduana'!$F$6))</f>
        <v>0</v>
      </c>
      <c r="J478" s="280">
        <f>TABLA_BASE[[#This Row],[ADV UNIT.
(US$)
⚠️COSTO]]*TABLA_BASE[[#This Row],[CANTIDAD
(unid.)]]</f>
        <v>0</v>
      </c>
      <c r="K478" s="279">
        <f>IF('🧾 Tributos Aduana'!$F$6=0,0,'🧾 Tributos Aduana'!$F$18*('🧾 Factura Comercial'!H482/'🧾 Tributos Aduana'!$F$6))</f>
        <v>0</v>
      </c>
      <c r="L478" s="280">
        <f>TABLA_BASE[[#This Row],[IPM UNIT.
(US$)
✅CF]]*TABLA_BASE[[#This Row],[CANTIDAD
(unid.)]]</f>
        <v>0</v>
      </c>
      <c r="M478" s="279">
        <f>IF('🧾 Tributos Aduana'!$F$6=0,0,'🧾 Tributos Aduana'!$F$19*('🧾 Factura Comercial'!H482/'🧾 Tributos Aduana'!$F$6))</f>
        <v>0</v>
      </c>
      <c r="N478" s="280">
        <f>TABLA_BASE[[#This Row],[IGV UNIT.
(US$)
✅CF]]*TABLA_BASE[[#This Row],[CANTIDAD
(unid.)]]</f>
        <v>0</v>
      </c>
      <c r="O478" s="280">
        <f>IF('🧾 Tributos Aduana'!$F$6=0,0,'🧾 Tributos Aduana'!$F$23*('🧾 Factura Comercial'!H482/'🧾 Tributos Aduana'!$F$6))</f>
        <v>0</v>
      </c>
      <c r="P478" s="280">
        <f>TABLA_BASE[[#This Row],[PERCEP.
UNIT.(US$)
✅CF]]*TABLA_BASE[[#This Row],[CANTIDAD
(unid.)]]</f>
        <v>0</v>
      </c>
      <c r="Q478" s="279">
        <f>TABLA_BASE[[#This Row],[ADV UNIT.
(US$)
⚠️COSTO]]+TABLA_BASE[[#This Row],[IPM UNIT.
(US$)
✅CF]]+TABLA_BASE[[#This Row],[IGV UNIT.
(US$)
✅CF]]</f>
        <v>0</v>
      </c>
      <c r="R478" s="280">
        <f>TABLA_BASE[[#This Row],[DEUDA
ADUANERA
UNIT.]]*TABLA_BASE[[#This Row],[CANTIDAD
(unid.)]]</f>
        <v>0</v>
      </c>
      <c r="S478" s="278">
        <f>TABLA_BASE[[#This Row],[DEUDA
ADUANERA
UNIT.]]*'📋 Datos Generales'!$E$19</f>
        <v>0</v>
      </c>
      <c r="T478" s="278">
        <f>TABLA_BASE[[#This Row],[DEUDA
ADUANERA
TOTAL]]*'📋 Datos Generales'!$E$19</f>
        <v>0</v>
      </c>
      <c r="U478" s="281">
        <f>TABLA_BASE[[#This Row],[ADV UNIT.
(US$)
⚠️COSTO]]*'📋 Datos Generales'!$E$19</f>
        <v>0</v>
      </c>
      <c r="V478" s="281">
        <f>TABLA_BASE[[#This Row],[ADV UNIT.
(S/.)]]*TABLA_BASE[[#This Row],[CANTIDAD
(unid.)]]</f>
        <v>0</v>
      </c>
      <c r="W478" s="281">
        <f>TABLA_BASE[[#This Row],[IPM UNIT.
(US$)
✅CF]]*'📋 Datos Generales'!$E$19</f>
        <v>0</v>
      </c>
      <c r="X478" s="281">
        <f>TABLA_BASE[[#This Row],[IPM UNIT.
(S/.)]]*TABLA_BASE[[#This Row],[CANTIDAD
(unid.)]]</f>
        <v>0</v>
      </c>
      <c r="Y478" s="281">
        <f>TABLA_BASE[[#This Row],[IGV UNIT.
(US$)
✅CF]]*'📋 Datos Generales'!$E$19</f>
        <v>0</v>
      </c>
      <c r="Z478" s="281">
        <f>TABLA_BASE[[#This Row],[IGV UNIT.
(S/.)]]*TABLA_BASE[[#This Row],[CANTIDAD
(unid.)]]</f>
        <v>0</v>
      </c>
      <c r="AA478" s="281">
        <f>TABLA_BASE[[#This Row],[PERCEP.
UNIT.(US$)
✅CF]]*'📋 Datos Generales'!$E$19</f>
        <v>0</v>
      </c>
      <c r="AB478" s="281">
        <f>TABLA_BASE[[#This Row],[PERCEP.
UNIT.(S/.)]]*TABLA_BASE[[#This Row],[CANTIDAD
(unid.)]]</f>
        <v>0</v>
      </c>
      <c r="AC478" s="279">
        <f>TABLA_BASE[[#This Row],[ADV UNIT.
(US$)
⚠️COSTO]]+TABLA_BASE[[#This Row],[IPM UNIT.
(US$)
✅CF]]+TABLA_BASE[[#This Row],[IGV UNIT.
(US$)
✅CF]]+TABLA_BASE[[#This Row],[PERCEP.
UNIT.(US$)
✅CF]]</f>
        <v>0</v>
      </c>
      <c r="AD478" s="279">
        <f>TABLA_BASE[[#This Row],[TOTAL PAGO
SUNAT
UNIT.(US$)]]*TABLA_BASE[[#This Row],[CANTIDAD
(unid.)]]</f>
        <v>0</v>
      </c>
      <c r="AE478" s="281">
        <f>TABLA_BASE[[#This Row],[TOTAL PAGO
SUNAT
UNIT.(US$)]]*'📋 Datos Generales'!$E$19</f>
        <v>0</v>
      </c>
      <c r="AF478" s="281">
        <f>TABLA_BASE[[#This Row],[TOTAL TRIB.
UNIT.(S/.)]]*TABLA_BASE[[#This Row],[CANTIDAD
(unid.)]]</f>
        <v>0</v>
      </c>
      <c r="AG478" s="279">
        <f>IF('🧾 Factura Comercial'!G482=0,0,'📦 Gastos Importación'!$E$28*(IF('🧾 Tributos Aduana'!$F$6=0,0,'🧾 Factura Comercial'!I482/'🧾 Tributos Aduana'!$F$6))/'🧾 Factura Comercial'!G482)</f>
        <v>0</v>
      </c>
      <c r="AH478" s="279">
        <f>TABLA_BASE[[#This Row],[GASTOS IMP.
UNIT.(US$)]]*TABLA_BASE[[#This Row],[CANTIDAD
(unid.)]]</f>
        <v>0</v>
      </c>
      <c r="AI478" s="281">
        <f>TABLA_BASE[[#This Row],[GASTOS IMP.
UNIT.(US$)]]*'📋 Datos Generales'!$E$19</f>
        <v>0</v>
      </c>
      <c r="AJ478" s="281">
        <f>TABLA_BASE[[#This Row],[GASTOS IMP.
UNIT.(S/.)]]*TABLA_BASE[[#This Row],[CANTIDAD
(unid.)]]</f>
        <v>0</v>
      </c>
      <c r="AK478" s="280">
        <f>'🧮 Costos x Producto'!J482</f>
        <v>0</v>
      </c>
      <c r="AL478" s="278">
        <f>'🧮 Costos x Producto'!K482</f>
        <v>0</v>
      </c>
      <c r="AM478" s="278">
        <f>TABLA_BASE[[#This Row],[C/M UNIT.
(S/.)]]*TABLA_BASE[[#This Row],[CANTIDAD
(unid.)]]</f>
        <v>0</v>
      </c>
      <c r="AN478" s="279">
        <f>IF('🧾 Factura Comercial'!G482=0,0,'🧾 Tributos Aduana'!$F$17*(IF('🧾 Tributos Aduana'!$F$6=0,0,'🧾 Factura Comercial'!I482/'🧾 Tributos Aduana'!$F$6))/'🧾 Factura Comercial'!G482)</f>
        <v>0</v>
      </c>
      <c r="AO478" s="280">
        <f>IF('🧾 Factura Comercial'!G482=0,0,'🏦 Crédito Fiscal'!$C$16*(IF('🧾 Tributos Aduana'!$F$6=0,0,'🧾 Factura Comercial'!I482/'🧾 Tributos Aduana'!$F$6))/'🧾 Factura Comercial'!G482)</f>
        <v>0</v>
      </c>
      <c r="AP478" s="278">
        <f>TABLA_BASE[[#This Row],[CF UNIT.
✅RECUP.
(US$)]]*'📋 Datos Generales'!$E$19</f>
        <v>0</v>
      </c>
      <c r="AQ478" s="278">
        <f>TABLA_BASE[[#This Row],[CF UNIT.
✅RECUP.(S/.)]]*TABLA_BASE[[#This Row],[CANTIDAD
(unid.)]]</f>
        <v>0</v>
      </c>
      <c r="AR478" s="288">
        <f>'💰 Precio de Venta'!G483</f>
        <v>0.4</v>
      </c>
      <c r="AS478" s="278">
        <f>'💰 Precio de Venta'!H483</f>
        <v>0</v>
      </c>
      <c r="AT478" s="278">
        <f>TABLA_BASE[[#This Row],[VALOR VTA.
UNIT.(S/.)]]*TABLA_BASE[[#This Row],[CANTIDAD
(unid.)]]</f>
        <v>0</v>
      </c>
      <c r="AU478" s="281">
        <f>'💰 Precio de Venta'!I483</f>
        <v>0</v>
      </c>
      <c r="AV478" s="278">
        <f>'💰 Precio de Venta'!J483</f>
        <v>0</v>
      </c>
      <c r="AW478" s="278">
        <f>TABLA_BASE[[#This Row],[GANANCIA
UNIT.(S/.)]]*TABLA_BASE[[#This Row],[CANTIDAD
(unid.)]]</f>
        <v>0</v>
      </c>
      <c r="AX478" s="289">
        <f>'💰 Precio de Venta'!K483</f>
        <v>0</v>
      </c>
      <c r="AY478" s="278">
        <f>TABLA_BASE[[#This Row],[GANANCIA
UNIT.(S/.)]]*'🧾 Factura Comercial'!G482</f>
        <v>0</v>
      </c>
      <c r="AZ478" s="277">
        <f>IF(TABLA_BASE[[#This Row],[PRECIO VTA.
c/IGV(S/.)]]=0,0,TABLA_BASE[[#This Row],[GANANCIA
UNIT.(S/.)]]/TABLA_BASE[[#This Row],[PRECIO VTA.
c/IGV(S/.)]])</f>
        <v>0</v>
      </c>
      <c r="BA478" s="277">
        <f>IF(TABLA_BASE[[#This Row],[C/M UNIT.
(S/.)]]=0,0,TABLA_BASE[[#This Row],[GANANCIA
UNIT.(S/.)]]/TABLA_BASE[[#This Row],[C/M UNIT.
(S/.)]])</f>
        <v>0</v>
      </c>
      <c r="BB478" s="274" t="str">
        <f>IF(TABLA_BASE[[#This Row],[MARGEN
%]]&gt;=0.5,"🟢 ALTO",IF(TABLA_BASE[[#This Row],[MARGEN
%]]&gt;=0.3,"🟡 MEDIO","🔴 BAJO"))</f>
        <v>🟡 MEDIO</v>
      </c>
    </row>
    <row r="479" spans="1:54" ht="16.5" hidden="1" thickTop="1" thickBot="1" x14ac:dyDescent="0.3">
      <c r="A479" s="274">
        <f>'🧾 Factura Comercial'!E483</f>
        <v>0</v>
      </c>
      <c r="B479" s="274" t="str">
        <f>'🧾 Factura Comercial'!F483</f>
        <v>Unid.</v>
      </c>
      <c r="C479" s="275">
        <f>'🧾 Factura Comercial'!G483</f>
        <v>0</v>
      </c>
      <c r="D479" s="276">
        <f>'🧾 Factura Comercial'!H483</f>
        <v>0</v>
      </c>
      <c r="E479" s="276">
        <f>'🧾 Factura Comercial'!I483</f>
        <v>0</v>
      </c>
      <c r="F479" s="277">
        <f>IF('🧾 Tributos Aduana'!$F$6=0,0,'🧾 Factura Comercial'!I483/'🧾 Tributos Aduana'!$F$6)</f>
        <v>0</v>
      </c>
      <c r="G479" s="278">
        <f>'🧾 Factura Comercial'!H483*'📋 Datos Generales'!$E$19</f>
        <v>0</v>
      </c>
      <c r="H479" s="278">
        <f>TABLA_BASE[[#This Row],[FOB UNIT.
(S/.)]]*TABLA_BASE[[#This Row],[CANTIDAD
(unid.)]]</f>
        <v>0</v>
      </c>
      <c r="I479" s="280">
        <f>IF('🧾 Tributos Aduana'!$F$6=0,0,'🧾 Tributos Aduana'!$F$17*('🧾 Factura Comercial'!H483/'🧾 Tributos Aduana'!$F$6))</f>
        <v>0</v>
      </c>
      <c r="J479" s="280">
        <f>TABLA_BASE[[#This Row],[ADV UNIT.
(US$)
⚠️COSTO]]*TABLA_BASE[[#This Row],[CANTIDAD
(unid.)]]</f>
        <v>0</v>
      </c>
      <c r="K479" s="279">
        <f>IF('🧾 Tributos Aduana'!$F$6=0,0,'🧾 Tributos Aduana'!$F$18*('🧾 Factura Comercial'!H483/'🧾 Tributos Aduana'!$F$6))</f>
        <v>0</v>
      </c>
      <c r="L479" s="280">
        <f>TABLA_BASE[[#This Row],[IPM UNIT.
(US$)
✅CF]]*TABLA_BASE[[#This Row],[CANTIDAD
(unid.)]]</f>
        <v>0</v>
      </c>
      <c r="M479" s="279">
        <f>IF('🧾 Tributos Aduana'!$F$6=0,0,'🧾 Tributos Aduana'!$F$19*('🧾 Factura Comercial'!H483/'🧾 Tributos Aduana'!$F$6))</f>
        <v>0</v>
      </c>
      <c r="N479" s="280">
        <f>TABLA_BASE[[#This Row],[IGV UNIT.
(US$)
✅CF]]*TABLA_BASE[[#This Row],[CANTIDAD
(unid.)]]</f>
        <v>0</v>
      </c>
      <c r="O479" s="280">
        <f>IF('🧾 Tributos Aduana'!$F$6=0,0,'🧾 Tributos Aduana'!$F$23*('🧾 Factura Comercial'!H483/'🧾 Tributos Aduana'!$F$6))</f>
        <v>0</v>
      </c>
      <c r="P479" s="280">
        <f>TABLA_BASE[[#This Row],[PERCEP.
UNIT.(US$)
✅CF]]*TABLA_BASE[[#This Row],[CANTIDAD
(unid.)]]</f>
        <v>0</v>
      </c>
      <c r="Q479" s="279">
        <f>TABLA_BASE[[#This Row],[ADV UNIT.
(US$)
⚠️COSTO]]+TABLA_BASE[[#This Row],[IPM UNIT.
(US$)
✅CF]]+TABLA_BASE[[#This Row],[IGV UNIT.
(US$)
✅CF]]</f>
        <v>0</v>
      </c>
      <c r="R479" s="280">
        <f>TABLA_BASE[[#This Row],[DEUDA
ADUANERA
UNIT.]]*TABLA_BASE[[#This Row],[CANTIDAD
(unid.)]]</f>
        <v>0</v>
      </c>
      <c r="S479" s="278">
        <f>TABLA_BASE[[#This Row],[DEUDA
ADUANERA
UNIT.]]*'📋 Datos Generales'!$E$19</f>
        <v>0</v>
      </c>
      <c r="T479" s="278">
        <f>TABLA_BASE[[#This Row],[DEUDA
ADUANERA
TOTAL]]*'📋 Datos Generales'!$E$19</f>
        <v>0</v>
      </c>
      <c r="U479" s="281">
        <f>TABLA_BASE[[#This Row],[ADV UNIT.
(US$)
⚠️COSTO]]*'📋 Datos Generales'!$E$19</f>
        <v>0</v>
      </c>
      <c r="V479" s="281">
        <f>TABLA_BASE[[#This Row],[ADV UNIT.
(S/.)]]*TABLA_BASE[[#This Row],[CANTIDAD
(unid.)]]</f>
        <v>0</v>
      </c>
      <c r="W479" s="281">
        <f>TABLA_BASE[[#This Row],[IPM UNIT.
(US$)
✅CF]]*'📋 Datos Generales'!$E$19</f>
        <v>0</v>
      </c>
      <c r="X479" s="281">
        <f>TABLA_BASE[[#This Row],[IPM UNIT.
(S/.)]]*TABLA_BASE[[#This Row],[CANTIDAD
(unid.)]]</f>
        <v>0</v>
      </c>
      <c r="Y479" s="281">
        <f>TABLA_BASE[[#This Row],[IGV UNIT.
(US$)
✅CF]]*'📋 Datos Generales'!$E$19</f>
        <v>0</v>
      </c>
      <c r="Z479" s="281">
        <f>TABLA_BASE[[#This Row],[IGV UNIT.
(S/.)]]*TABLA_BASE[[#This Row],[CANTIDAD
(unid.)]]</f>
        <v>0</v>
      </c>
      <c r="AA479" s="281">
        <f>TABLA_BASE[[#This Row],[PERCEP.
UNIT.(US$)
✅CF]]*'📋 Datos Generales'!$E$19</f>
        <v>0</v>
      </c>
      <c r="AB479" s="281">
        <f>TABLA_BASE[[#This Row],[PERCEP.
UNIT.(S/.)]]*TABLA_BASE[[#This Row],[CANTIDAD
(unid.)]]</f>
        <v>0</v>
      </c>
      <c r="AC479" s="279">
        <f>TABLA_BASE[[#This Row],[ADV UNIT.
(US$)
⚠️COSTO]]+TABLA_BASE[[#This Row],[IPM UNIT.
(US$)
✅CF]]+TABLA_BASE[[#This Row],[IGV UNIT.
(US$)
✅CF]]+TABLA_BASE[[#This Row],[PERCEP.
UNIT.(US$)
✅CF]]</f>
        <v>0</v>
      </c>
      <c r="AD479" s="279">
        <f>TABLA_BASE[[#This Row],[TOTAL PAGO
SUNAT
UNIT.(US$)]]*TABLA_BASE[[#This Row],[CANTIDAD
(unid.)]]</f>
        <v>0</v>
      </c>
      <c r="AE479" s="281">
        <f>TABLA_BASE[[#This Row],[TOTAL PAGO
SUNAT
UNIT.(US$)]]*'📋 Datos Generales'!$E$19</f>
        <v>0</v>
      </c>
      <c r="AF479" s="281">
        <f>TABLA_BASE[[#This Row],[TOTAL TRIB.
UNIT.(S/.)]]*TABLA_BASE[[#This Row],[CANTIDAD
(unid.)]]</f>
        <v>0</v>
      </c>
      <c r="AG479" s="279">
        <f>IF('🧾 Factura Comercial'!G483=0,0,'📦 Gastos Importación'!$E$28*(IF('🧾 Tributos Aduana'!$F$6=0,0,'🧾 Factura Comercial'!I483/'🧾 Tributos Aduana'!$F$6))/'🧾 Factura Comercial'!G483)</f>
        <v>0</v>
      </c>
      <c r="AH479" s="279">
        <f>TABLA_BASE[[#This Row],[GASTOS IMP.
UNIT.(US$)]]*TABLA_BASE[[#This Row],[CANTIDAD
(unid.)]]</f>
        <v>0</v>
      </c>
      <c r="AI479" s="281">
        <f>TABLA_BASE[[#This Row],[GASTOS IMP.
UNIT.(US$)]]*'📋 Datos Generales'!$E$19</f>
        <v>0</v>
      </c>
      <c r="AJ479" s="281">
        <f>TABLA_BASE[[#This Row],[GASTOS IMP.
UNIT.(S/.)]]*TABLA_BASE[[#This Row],[CANTIDAD
(unid.)]]</f>
        <v>0</v>
      </c>
      <c r="AK479" s="280">
        <f>'🧮 Costos x Producto'!J483</f>
        <v>0</v>
      </c>
      <c r="AL479" s="278">
        <f>'🧮 Costos x Producto'!K483</f>
        <v>0</v>
      </c>
      <c r="AM479" s="278">
        <f>TABLA_BASE[[#This Row],[C/M UNIT.
(S/.)]]*TABLA_BASE[[#This Row],[CANTIDAD
(unid.)]]</f>
        <v>0</v>
      </c>
      <c r="AN479" s="279">
        <f>IF('🧾 Factura Comercial'!G483=0,0,'🧾 Tributos Aduana'!$F$17*(IF('🧾 Tributos Aduana'!$F$6=0,0,'🧾 Factura Comercial'!I483/'🧾 Tributos Aduana'!$F$6))/'🧾 Factura Comercial'!G483)</f>
        <v>0</v>
      </c>
      <c r="AO479" s="280">
        <f>IF('🧾 Factura Comercial'!G483=0,0,'🏦 Crédito Fiscal'!$C$16*(IF('🧾 Tributos Aduana'!$F$6=0,0,'🧾 Factura Comercial'!I483/'🧾 Tributos Aduana'!$F$6))/'🧾 Factura Comercial'!G483)</f>
        <v>0</v>
      </c>
      <c r="AP479" s="278">
        <f>TABLA_BASE[[#This Row],[CF UNIT.
✅RECUP.
(US$)]]*'📋 Datos Generales'!$E$19</f>
        <v>0</v>
      </c>
      <c r="AQ479" s="278">
        <f>TABLA_BASE[[#This Row],[CF UNIT.
✅RECUP.(S/.)]]*TABLA_BASE[[#This Row],[CANTIDAD
(unid.)]]</f>
        <v>0</v>
      </c>
      <c r="AR479" s="288">
        <f>'💰 Precio de Venta'!G484</f>
        <v>0.4</v>
      </c>
      <c r="AS479" s="278">
        <f>'💰 Precio de Venta'!H484</f>
        <v>0</v>
      </c>
      <c r="AT479" s="278">
        <f>TABLA_BASE[[#This Row],[VALOR VTA.
UNIT.(S/.)]]*TABLA_BASE[[#This Row],[CANTIDAD
(unid.)]]</f>
        <v>0</v>
      </c>
      <c r="AU479" s="281">
        <f>'💰 Precio de Venta'!I484</f>
        <v>0</v>
      </c>
      <c r="AV479" s="278">
        <f>'💰 Precio de Venta'!J484</f>
        <v>0</v>
      </c>
      <c r="AW479" s="278">
        <f>TABLA_BASE[[#This Row],[GANANCIA
UNIT.(S/.)]]*TABLA_BASE[[#This Row],[CANTIDAD
(unid.)]]</f>
        <v>0</v>
      </c>
      <c r="AX479" s="289">
        <f>'💰 Precio de Venta'!K484</f>
        <v>0</v>
      </c>
      <c r="AY479" s="278">
        <f>TABLA_BASE[[#This Row],[GANANCIA
UNIT.(S/.)]]*'🧾 Factura Comercial'!G483</f>
        <v>0</v>
      </c>
      <c r="AZ479" s="277">
        <f>IF(TABLA_BASE[[#This Row],[PRECIO VTA.
c/IGV(S/.)]]=0,0,TABLA_BASE[[#This Row],[GANANCIA
UNIT.(S/.)]]/TABLA_BASE[[#This Row],[PRECIO VTA.
c/IGV(S/.)]])</f>
        <v>0</v>
      </c>
      <c r="BA479" s="277">
        <f>IF(TABLA_BASE[[#This Row],[C/M UNIT.
(S/.)]]=0,0,TABLA_BASE[[#This Row],[GANANCIA
UNIT.(S/.)]]/TABLA_BASE[[#This Row],[C/M UNIT.
(S/.)]])</f>
        <v>0</v>
      </c>
      <c r="BB479" s="274" t="str">
        <f>IF(TABLA_BASE[[#This Row],[MARGEN
%]]&gt;=0.5,"🟢 ALTO",IF(TABLA_BASE[[#This Row],[MARGEN
%]]&gt;=0.3,"🟡 MEDIO","🔴 BAJO"))</f>
        <v>🟡 MEDIO</v>
      </c>
    </row>
    <row r="480" spans="1:54" ht="16.5" hidden="1" thickTop="1" thickBot="1" x14ac:dyDescent="0.3">
      <c r="A480" s="274">
        <f>'🧾 Factura Comercial'!E484</f>
        <v>0</v>
      </c>
      <c r="B480" s="274" t="str">
        <f>'🧾 Factura Comercial'!F484</f>
        <v>Unid.</v>
      </c>
      <c r="C480" s="275">
        <f>'🧾 Factura Comercial'!G484</f>
        <v>0</v>
      </c>
      <c r="D480" s="276">
        <f>'🧾 Factura Comercial'!H484</f>
        <v>0</v>
      </c>
      <c r="E480" s="276">
        <f>'🧾 Factura Comercial'!I484</f>
        <v>0</v>
      </c>
      <c r="F480" s="277">
        <f>IF('🧾 Tributos Aduana'!$F$6=0,0,'🧾 Factura Comercial'!I484/'🧾 Tributos Aduana'!$F$6)</f>
        <v>0</v>
      </c>
      <c r="G480" s="278">
        <f>'🧾 Factura Comercial'!H484*'📋 Datos Generales'!$E$19</f>
        <v>0</v>
      </c>
      <c r="H480" s="278">
        <f>TABLA_BASE[[#This Row],[FOB UNIT.
(S/.)]]*TABLA_BASE[[#This Row],[CANTIDAD
(unid.)]]</f>
        <v>0</v>
      </c>
      <c r="I480" s="280">
        <f>IF('🧾 Tributos Aduana'!$F$6=0,0,'🧾 Tributos Aduana'!$F$17*('🧾 Factura Comercial'!H484/'🧾 Tributos Aduana'!$F$6))</f>
        <v>0</v>
      </c>
      <c r="J480" s="280">
        <f>TABLA_BASE[[#This Row],[ADV UNIT.
(US$)
⚠️COSTO]]*TABLA_BASE[[#This Row],[CANTIDAD
(unid.)]]</f>
        <v>0</v>
      </c>
      <c r="K480" s="279">
        <f>IF('🧾 Tributos Aduana'!$F$6=0,0,'🧾 Tributos Aduana'!$F$18*('🧾 Factura Comercial'!H484/'🧾 Tributos Aduana'!$F$6))</f>
        <v>0</v>
      </c>
      <c r="L480" s="280">
        <f>TABLA_BASE[[#This Row],[IPM UNIT.
(US$)
✅CF]]*TABLA_BASE[[#This Row],[CANTIDAD
(unid.)]]</f>
        <v>0</v>
      </c>
      <c r="M480" s="279">
        <f>IF('🧾 Tributos Aduana'!$F$6=0,0,'🧾 Tributos Aduana'!$F$19*('🧾 Factura Comercial'!H484/'🧾 Tributos Aduana'!$F$6))</f>
        <v>0</v>
      </c>
      <c r="N480" s="280">
        <f>TABLA_BASE[[#This Row],[IGV UNIT.
(US$)
✅CF]]*TABLA_BASE[[#This Row],[CANTIDAD
(unid.)]]</f>
        <v>0</v>
      </c>
      <c r="O480" s="280">
        <f>IF('🧾 Tributos Aduana'!$F$6=0,0,'🧾 Tributos Aduana'!$F$23*('🧾 Factura Comercial'!H484/'🧾 Tributos Aduana'!$F$6))</f>
        <v>0</v>
      </c>
      <c r="P480" s="280">
        <f>TABLA_BASE[[#This Row],[PERCEP.
UNIT.(US$)
✅CF]]*TABLA_BASE[[#This Row],[CANTIDAD
(unid.)]]</f>
        <v>0</v>
      </c>
      <c r="Q480" s="279">
        <f>TABLA_BASE[[#This Row],[ADV UNIT.
(US$)
⚠️COSTO]]+TABLA_BASE[[#This Row],[IPM UNIT.
(US$)
✅CF]]+TABLA_BASE[[#This Row],[IGV UNIT.
(US$)
✅CF]]</f>
        <v>0</v>
      </c>
      <c r="R480" s="280">
        <f>TABLA_BASE[[#This Row],[DEUDA
ADUANERA
UNIT.]]*TABLA_BASE[[#This Row],[CANTIDAD
(unid.)]]</f>
        <v>0</v>
      </c>
      <c r="S480" s="278">
        <f>TABLA_BASE[[#This Row],[DEUDA
ADUANERA
UNIT.]]*'📋 Datos Generales'!$E$19</f>
        <v>0</v>
      </c>
      <c r="T480" s="278">
        <f>TABLA_BASE[[#This Row],[DEUDA
ADUANERA
TOTAL]]*'📋 Datos Generales'!$E$19</f>
        <v>0</v>
      </c>
      <c r="U480" s="281">
        <f>TABLA_BASE[[#This Row],[ADV UNIT.
(US$)
⚠️COSTO]]*'📋 Datos Generales'!$E$19</f>
        <v>0</v>
      </c>
      <c r="V480" s="281">
        <f>TABLA_BASE[[#This Row],[ADV UNIT.
(S/.)]]*TABLA_BASE[[#This Row],[CANTIDAD
(unid.)]]</f>
        <v>0</v>
      </c>
      <c r="W480" s="281">
        <f>TABLA_BASE[[#This Row],[IPM UNIT.
(US$)
✅CF]]*'📋 Datos Generales'!$E$19</f>
        <v>0</v>
      </c>
      <c r="X480" s="281">
        <f>TABLA_BASE[[#This Row],[IPM UNIT.
(S/.)]]*TABLA_BASE[[#This Row],[CANTIDAD
(unid.)]]</f>
        <v>0</v>
      </c>
      <c r="Y480" s="281">
        <f>TABLA_BASE[[#This Row],[IGV UNIT.
(US$)
✅CF]]*'📋 Datos Generales'!$E$19</f>
        <v>0</v>
      </c>
      <c r="Z480" s="281">
        <f>TABLA_BASE[[#This Row],[IGV UNIT.
(S/.)]]*TABLA_BASE[[#This Row],[CANTIDAD
(unid.)]]</f>
        <v>0</v>
      </c>
      <c r="AA480" s="281">
        <f>TABLA_BASE[[#This Row],[PERCEP.
UNIT.(US$)
✅CF]]*'📋 Datos Generales'!$E$19</f>
        <v>0</v>
      </c>
      <c r="AB480" s="281">
        <f>TABLA_BASE[[#This Row],[PERCEP.
UNIT.(S/.)]]*TABLA_BASE[[#This Row],[CANTIDAD
(unid.)]]</f>
        <v>0</v>
      </c>
      <c r="AC480" s="279">
        <f>TABLA_BASE[[#This Row],[ADV UNIT.
(US$)
⚠️COSTO]]+TABLA_BASE[[#This Row],[IPM UNIT.
(US$)
✅CF]]+TABLA_BASE[[#This Row],[IGV UNIT.
(US$)
✅CF]]+TABLA_BASE[[#This Row],[PERCEP.
UNIT.(US$)
✅CF]]</f>
        <v>0</v>
      </c>
      <c r="AD480" s="279">
        <f>TABLA_BASE[[#This Row],[TOTAL PAGO
SUNAT
UNIT.(US$)]]*TABLA_BASE[[#This Row],[CANTIDAD
(unid.)]]</f>
        <v>0</v>
      </c>
      <c r="AE480" s="281">
        <f>TABLA_BASE[[#This Row],[TOTAL PAGO
SUNAT
UNIT.(US$)]]*'📋 Datos Generales'!$E$19</f>
        <v>0</v>
      </c>
      <c r="AF480" s="281">
        <f>TABLA_BASE[[#This Row],[TOTAL TRIB.
UNIT.(S/.)]]*TABLA_BASE[[#This Row],[CANTIDAD
(unid.)]]</f>
        <v>0</v>
      </c>
      <c r="AG480" s="279">
        <f>IF('🧾 Factura Comercial'!G484=0,0,'📦 Gastos Importación'!$E$28*(IF('🧾 Tributos Aduana'!$F$6=0,0,'🧾 Factura Comercial'!I484/'🧾 Tributos Aduana'!$F$6))/'🧾 Factura Comercial'!G484)</f>
        <v>0</v>
      </c>
      <c r="AH480" s="279">
        <f>TABLA_BASE[[#This Row],[GASTOS IMP.
UNIT.(US$)]]*TABLA_BASE[[#This Row],[CANTIDAD
(unid.)]]</f>
        <v>0</v>
      </c>
      <c r="AI480" s="281">
        <f>TABLA_BASE[[#This Row],[GASTOS IMP.
UNIT.(US$)]]*'📋 Datos Generales'!$E$19</f>
        <v>0</v>
      </c>
      <c r="AJ480" s="281">
        <f>TABLA_BASE[[#This Row],[GASTOS IMP.
UNIT.(S/.)]]*TABLA_BASE[[#This Row],[CANTIDAD
(unid.)]]</f>
        <v>0</v>
      </c>
      <c r="AK480" s="280">
        <f>'🧮 Costos x Producto'!J484</f>
        <v>0</v>
      </c>
      <c r="AL480" s="278">
        <f>'🧮 Costos x Producto'!K484</f>
        <v>0</v>
      </c>
      <c r="AM480" s="278">
        <f>TABLA_BASE[[#This Row],[C/M UNIT.
(S/.)]]*TABLA_BASE[[#This Row],[CANTIDAD
(unid.)]]</f>
        <v>0</v>
      </c>
      <c r="AN480" s="279">
        <f>IF('🧾 Factura Comercial'!G484=0,0,'🧾 Tributos Aduana'!$F$17*(IF('🧾 Tributos Aduana'!$F$6=0,0,'🧾 Factura Comercial'!I484/'🧾 Tributos Aduana'!$F$6))/'🧾 Factura Comercial'!G484)</f>
        <v>0</v>
      </c>
      <c r="AO480" s="280">
        <f>IF('🧾 Factura Comercial'!G484=0,0,'🏦 Crédito Fiscal'!$C$16*(IF('🧾 Tributos Aduana'!$F$6=0,0,'🧾 Factura Comercial'!I484/'🧾 Tributos Aduana'!$F$6))/'🧾 Factura Comercial'!G484)</f>
        <v>0</v>
      </c>
      <c r="AP480" s="278">
        <f>TABLA_BASE[[#This Row],[CF UNIT.
✅RECUP.
(US$)]]*'📋 Datos Generales'!$E$19</f>
        <v>0</v>
      </c>
      <c r="AQ480" s="278">
        <f>TABLA_BASE[[#This Row],[CF UNIT.
✅RECUP.(S/.)]]*TABLA_BASE[[#This Row],[CANTIDAD
(unid.)]]</f>
        <v>0</v>
      </c>
      <c r="AR480" s="288">
        <f>'💰 Precio de Venta'!G485</f>
        <v>0.4</v>
      </c>
      <c r="AS480" s="278">
        <f>'💰 Precio de Venta'!H485</f>
        <v>0</v>
      </c>
      <c r="AT480" s="278">
        <f>TABLA_BASE[[#This Row],[VALOR VTA.
UNIT.(S/.)]]*TABLA_BASE[[#This Row],[CANTIDAD
(unid.)]]</f>
        <v>0</v>
      </c>
      <c r="AU480" s="281">
        <f>'💰 Precio de Venta'!I485</f>
        <v>0</v>
      </c>
      <c r="AV480" s="278">
        <f>'💰 Precio de Venta'!J485</f>
        <v>0</v>
      </c>
      <c r="AW480" s="278">
        <f>TABLA_BASE[[#This Row],[GANANCIA
UNIT.(S/.)]]*TABLA_BASE[[#This Row],[CANTIDAD
(unid.)]]</f>
        <v>0</v>
      </c>
      <c r="AX480" s="289">
        <f>'💰 Precio de Venta'!K485</f>
        <v>0</v>
      </c>
      <c r="AY480" s="278">
        <f>TABLA_BASE[[#This Row],[GANANCIA
UNIT.(S/.)]]*'🧾 Factura Comercial'!G484</f>
        <v>0</v>
      </c>
      <c r="AZ480" s="277">
        <f>IF(TABLA_BASE[[#This Row],[PRECIO VTA.
c/IGV(S/.)]]=0,0,TABLA_BASE[[#This Row],[GANANCIA
UNIT.(S/.)]]/TABLA_BASE[[#This Row],[PRECIO VTA.
c/IGV(S/.)]])</f>
        <v>0</v>
      </c>
      <c r="BA480" s="277">
        <f>IF(TABLA_BASE[[#This Row],[C/M UNIT.
(S/.)]]=0,0,TABLA_BASE[[#This Row],[GANANCIA
UNIT.(S/.)]]/TABLA_BASE[[#This Row],[C/M UNIT.
(S/.)]])</f>
        <v>0</v>
      </c>
      <c r="BB480" s="274" t="str">
        <f>IF(TABLA_BASE[[#This Row],[MARGEN
%]]&gt;=0.5,"🟢 ALTO",IF(TABLA_BASE[[#This Row],[MARGEN
%]]&gt;=0.3,"🟡 MEDIO","🔴 BAJO"))</f>
        <v>🟡 MEDIO</v>
      </c>
    </row>
    <row r="481" spans="1:54" ht="16.5" hidden="1" thickTop="1" thickBot="1" x14ac:dyDescent="0.3">
      <c r="A481" s="274">
        <f>'🧾 Factura Comercial'!E485</f>
        <v>0</v>
      </c>
      <c r="B481" s="274" t="str">
        <f>'🧾 Factura Comercial'!F485</f>
        <v>Unid.</v>
      </c>
      <c r="C481" s="275">
        <f>'🧾 Factura Comercial'!G485</f>
        <v>0</v>
      </c>
      <c r="D481" s="276">
        <f>'🧾 Factura Comercial'!H485</f>
        <v>0</v>
      </c>
      <c r="E481" s="276">
        <f>'🧾 Factura Comercial'!I485</f>
        <v>0</v>
      </c>
      <c r="F481" s="277">
        <f>IF('🧾 Tributos Aduana'!$F$6=0,0,'🧾 Factura Comercial'!I485/'🧾 Tributos Aduana'!$F$6)</f>
        <v>0</v>
      </c>
      <c r="G481" s="278">
        <f>'🧾 Factura Comercial'!H485*'📋 Datos Generales'!$E$19</f>
        <v>0</v>
      </c>
      <c r="H481" s="278">
        <f>TABLA_BASE[[#This Row],[FOB UNIT.
(S/.)]]*TABLA_BASE[[#This Row],[CANTIDAD
(unid.)]]</f>
        <v>0</v>
      </c>
      <c r="I481" s="280">
        <f>IF('🧾 Tributos Aduana'!$F$6=0,0,'🧾 Tributos Aduana'!$F$17*('🧾 Factura Comercial'!H485/'🧾 Tributos Aduana'!$F$6))</f>
        <v>0</v>
      </c>
      <c r="J481" s="280">
        <f>TABLA_BASE[[#This Row],[ADV UNIT.
(US$)
⚠️COSTO]]*TABLA_BASE[[#This Row],[CANTIDAD
(unid.)]]</f>
        <v>0</v>
      </c>
      <c r="K481" s="279">
        <f>IF('🧾 Tributos Aduana'!$F$6=0,0,'🧾 Tributos Aduana'!$F$18*('🧾 Factura Comercial'!H485/'🧾 Tributos Aduana'!$F$6))</f>
        <v>0</v>
      </c>
      <c r="L481" s="280">
        <f>TABLA_BASE[[#This Row],[IPM UNIT.
(US$)
✅CF]]*TABLA_BASE[[#This Row],[CANTIDAD
(unid.)]]</f>
        <v>0</v>
      </c>
      <c r="M481" s="279">
        <f>IF('🧾 Tributos Aduana'!$F$6=0,0,'🧾 Tributos Aduana'!$F$19*('🧾 Factura Comercial'!H485/'🧾 Tributos Aduana'!$F$6))</f>
        <v>0</v>
      </c>
      <c r="N481" s="280">
        <f>TABLA_BASE[[#This Row],[IGV UNIT.
(US$)
✅CF]]*TABLA_BASE[[#This Row],[CANTIDAD
(unid.)]]</f>
        <v>0</v>
      </c>
      <c r="O481" s="280">
        <f>IF('🧾 Tributos Aduana'!$F$6=0,0,'🧾 Tributos Aduana'!$F$23*('🧾 Factura Comercial'!H485/'🧾 Tributos Aduana'!$F$6))</f>
        <v>0</v>
      </c>
      <c r="P481" s="280">
        <f>TABLA_BASE[[#This Row],[PERCEP.
UNIT.(US$)
✅CF]]*TABLA_BASE[[#This Row],[CANTIDAD
(unid.)]]</f>
        <v>0</v>
      </c>
      <c r="Q481" s="279">
        <f>TABLA_BASE[[#This Row],[ADV UNIT.
(US$)
⚠️COSTO]]+TABLA_BASE[[#This Row],[IPM UNIT.
(US$)
✅CF]]+TABLA_BASE[[#This Row],[IGV UNIT.
(US$)
✅CF]]</f>
        <v>0</v>
      </c>
      <c r="R481" s="280">
        <f>TABLA_BASE[[#This Row],[DEUDA
ADUANERA
UNIT.]]*TABLA_BASE[[#This Row],[CANTIDAD
(unid.)]]</f>
        <v>0</v>
      </c>
      <c r="S481" s="278">
        <f>TABLA_BASE[[#This Row],[DEUDA
ADUANERA
UNIT.]]*'📋 Datos Generales'!$E$19</f>
        <v>0</v>
      </c>
      <c r="T481" s="278">
        <f>TABLA_BASE[[#This Row],[DEUDA
ADUANERA
TOTAL]]*'📋 Datos Generales'!$E$19</f>
        <v>0</v>
      </c>
      <c r="U481" s="281">
        <f>TABLA_BASE[[#This Row],[ADV UNIT.
(US$)
⚠️COSTO]]*'📋 Datos Generales'!$E$19</f>
        <v>0</v>
      </c>
      <c r="V481" s="281">
        <f>TABLA_BASE[[#This Row],[ADV UNIT.
(S/.)]]*TABLA_BASE[[#This Row],[CANTIDAD
(unid.)]]</f>
        <v>0</v>
      </c>
      <c r="W481" s="281">
        <f>TABLA_BASE[[#This Row],[IPM UNIT.
(US$)
✅CF]]*'📋 Datos Generales'!$E$19</f>
        <v>0</v>
      </c>
      <c r="X481" s="281">
        <f>TABLA_BASE[[#This Row],[IPM UNIT.
(S/.)]]*TABLA_BASE[[#This Row],[CANTIDAD
(unid.)]]</f>
        <v>0</v>
      </c>
      <c r="Y481" s="281">
        <f>TABLA_BASE[[#This Row],[IGV UNIT.
(US$)
✅CF]]*'📋 Datos Generales'!$E$19</f>
        <v>0</v>
      </c>
      <c r="Z481" s="281">
        <f>TABLA_BASE[[#This Row],[IGV UNIT.
(S/.)]]*TABLA_BASE[[#This Row],[CANTIDAD
(unid.)]]</f>
        <v>0</v>
      </c>
      <c r="AA481" s="281">
        <f>TABLA_BASE[[#This Row],[PERCEP.
UNIT.(US$)
✅CF]]*'📋 Datos Generales'!$E$19</f>
        <v>0</v>
      </c>
      <c r="AB481" s="281">
        <f>TABLA_BASE[[#This Row],[PERCEP.
UNIT.(S/.)]]*TABLA_BASE[[#This Row],[CANTIDAD
(unid.)]]</f>
        <v>0</v>
      </c>
      <c r="AC481" s="279">
        <f>TABLA_BASE[[#This Row],[ADV UNIT.
(US$)
⚠️COSTO]]+TABLA_BASE[[#This Row],[IPM UNIT.
(US$)
✅CF]]+TABLA_BASE[[#This Row],[IGV UNIT.
(US$)
✅CF]]+TABLA_BASE[[#This Row],[PERCEP.
UNIT.(US$)
✅CF]]</f>
        <v>0</v>
      </c>
      <c r="AD481" s="279">
        <f>TABLA_BASE[[#This Row],[TOTAL PAGO
SUNAT
UNIT.(US$)]]*TABLA_BASE[[#This Row],[CANTIDAD
(unid.)]]</f>
        <v>0</v>
      </c>
      <c r="AE481" s="281">
        <f>TABLA_BASE[[#This Row],[TOTAL PAGO
SUNAT
UNIT.(US$)]]*'📋 Datos Generales'!$E$19</f>
        <v>0</v>
      </c>
      <c r="AF481" s="281">
        <f>TABLA_BASE[[#This Row],[TOTAL TRIB.
UNIT.(S/.)]]*TABLA_BASE[[#This Row],[CANTIDAD
(unid.)]]</f>
        <v>0</v>
      </c>
      <c r="AG481" s="279">
        <f>IF('🧾 Factura Comercial'!G485=0,0,'📦 Gastos Importación'!$E$28*(IF('🧾 Tributos Aduana'!$F$6=0,0,'🧾 Factura Comercial'!I485/'🧾 Tributos Aduana'!$F$6))/'🧾 Factura Comercial'!G485)</f>
        <v>0</v>
      </c>
      <c r="AH481" s="279">
        <f>TABLA_BASE[[#This Row],[GASTOS IMP.
UNIT.(US$)]]*TABLA_BASE[[#This Row],[CANTIDAD
(unid.)]]</f>
        <v>0</v>
      </c>
      <c r="AI481" s="281">
        <f>TABLA_BASE[[#This Row],[GASTOS IMP.
UNIT.(US$)]]*'📋 Datos Generales'!$E$19</f>
        <v>0</v>
      </c>
      <c r="AJ481" s="281">
        <f>TABLA_BASE[[#This Row],[GASTOS IMP.
UNIT.(S/.)]]*TABLA_BASE[[#This Row],[CANTIDAD
(unid.)]]</f>
        <v>0</v>
      </c>
      <c r="AK481" s="280">
        <f>'🧮 Costos x Producto'!J485</f>
        <v>0</v>
      </c>
      <c r="AL481" s="278">
        <f>'🧮 Costos x Producto'!K485</f>
        <v>0</v>
      </c>
      <c r="AM481" s="278">
        <f>TABLA_BASE[[#This Row],[C/M UNIT.
(S/.)]]*TABLA_BASE[[#This Row],[CANTIDAD
(unid.)]]</f>
        <v>0</v>
      </c>
      <c r="AN481" s="279">
        <f>IF('🧾 Factura Comercial'!G485=0,0,'🧾 Tributos Aduana'!$F$17*(IF('🧾 Tributos Aduana'!$F$6=0,0,'🧾 Factura Comercial'!I485/'🧾 Tributos Aduana'!$F$6))/'🧾 Factura Comercial'!G485)</f>
        <v>0</v>
      </c>
      <c r="AO481" s="280">
        <f>IF('🧾 Factura Comercial'!G485=0,0,'🏦 Crédito Fiscal'!$C$16*(IF('🧾 Tributos Aduana'!$F$6=0,0,'🧾 Factura Comercial'!I485/'🧾 Tributos Aduana'!$F$6))/'🧾 Factura Comercial'!G485)</f>
        <v>0</v>
      </c>
      <c r="AP481" s="278">
        <f>TABLA_BASE[[#This Row],[CF UNIT.
✅RECUP.
(US$)]]*'📋 Datos Generales'!$E$19</f>
        <v>0</v>
      </c>
      <c r="AQ481" s="278">
        <f>TABLA_BASE[[#This Row],[CF UNIT.
✅RECUP.(S/.)]]*TABLA_BASE[[#This Row],[CANTIDAD
(unid.)]]</f>
        <v>0</v>
      </c>
      <c r="AR481" s="288">
        <f>'💰 Precio de Venta'!G486</f>
        <v>0.4</v>
      </c>
      <c r="AS481" s="278">
        <f>'💰 Precio de Venta'!H486</f>
        <v>0</v>
      </c>
      <c r="AT481" s="278">
        <f>TABLA_BASE[[#This Row],[VALOR VTA.
UNIT.(S/.)]]*TABLA_BASE[[#This Row],[CANTIDAD
(unid.)]]</f>
        <v>0</v>
      </c>
      <c r="AU481" s="281">
        <f>'💰 Precio de Venta'!I486</f>
        <v>0</v>
      </c>
      <c r="AV481" s="278">
        <f>'💰 Precio de Venta'!J486</f>
        <v>0</v>
      </c>
      <c r="AW481" s="278">
        <f>TABLA_BASE[[#This Row],[GANANCIA
UNIT.(S/.)]]*TABLA_BASE[[#This Row],[CANTIDAD
(unid.)]]</f>
        <v>0</v>
      </c>
      <c r="AX481" s="289">
        <f>'💰 Precio de Venta'!K486</f>
        <v>0</v>
      </c>
      <c r="AY481" s="278">
        <f>TABLA_BASE[[#This Row],[GANANCIA
UNIT.(S/.)]]*'🧾 Factura Comercial'!G485</f>
        <v>0</v>
      </c>
      <c r="AZ481" s="277">
        <f>IF(TABLA_BASE[[#This Row],[PRECIO VTA.
c/IGV(S/.)]]=0,0,TABLA_BASE[[#This Row],[GANANCIA
UNIT.(S/.)]]/TABLA_BASE[[#This Row],[PRECIO VTA.
c/IGV(S/.)]])</f>
        <v>0</v>
      </c>
      <c r="BA481" s="277">
        <f>IF(TABLA_BASE[[#This Row],[C/M UNIT.
(S/.)]]=0,0,TABLA_BASE[[#This Row],[GANANCIA
UNIT.(S/.)]]/TABLA_BASE[[#This Row],[C/M UNIT.
(S/.)]])</f>
        <v>0</v>
      </c>
      <c r="BB481" s="274" t="str">
        <f>IF(TABLA_BASE[[#This Row],[MARGEN
%]]&gt;=0.5,"🟢 ALTO",IF(TABLA_BASE[[#This Row],[MARGEN
%]]&gt;=0.3,"🟡 MEDIO","🔴 BAJO"))</f>
        <v>🟡 MEDIO</v>
      </c>
    </row>
    <row r="482" spans="1:54" ht="16.5" hidden="1" thickTop="1" thickBot="1" x14ac:dyDescent="0.3">
      <c r="A482" s="274">
        <f>'🧾 Factura Comercial'!E486</f>
        <v>0</v>
      </c>
      <c r="B482" s="274" t="str">
        <f>'🧾 Factura Comercial'!F486</f>
        <v>Unid.</v>
      </c>
      <c r="C482" s="275">
        <f>'🧾 Factura Comercial'!G486</f>
        <v>0</v>
      </c>
      <c r="D482" s="276">
        <f>'🧾 Factura Comercial'!H486</f>
        <v>0</v>
      </c>
      <c r="E482" s="276">
        <f>'🧾 Factura Comercial'!I486</f>
        <v>0</v>
      </c>
      <c r="F482" s="277">
        <f>IF('🧾 Tributos Aduana'!$F$6=0,0,'🧾 Factura Comercial'!I486/'🧾 Tributos Aduana'!$F$6)</f>
        <v>0</v>
      </c>
      <c r="G482" s="278">
        <f>'🧾 Factura Comercial'!H486*'📋 Datos Generales'!$E$19</f>
        <v>0</v>
      </c>
      <c r="H482" s="278">
        <f>TABLA_BASE[[#This Row],[FOB UNIT.
(S/.)]]*TABLA_BASE[[#This Row],[CANTIDAD
(unid.)]]</f>
        <v>0</v>
      </c>
      <c r="I482" s="280">
        <f>IF('🧾 Tributos Aduana'!$F$6=0,0,'🧾 Tributos Aduana'!$F$17*('🧾 Factura Comercial'!H486/'🧾 Tributos Aduana'!$F$6))</f>
        <v>0</v>
      </c>
      <c r="J482" s="280">
        <f>TABLA_BASE[[#This Row],[ADV UNIT.
(US$)
⚠️COSTO]]*TABLA_BASE[[#This Row],[CANTIDAD
(unid.)]]</f>
        <v>0</v>
      </c>
      <c r="K482" s="279">
        <f>IF('🧾 Tributos Aduana'!$F$6=0,0,'🧾 Tributos Aduana'!$F$18*('🧾 Factura Comercial'!H486/'🧾 Tributos Aduana'!$F$6))</f>
        <v>0</v>
      </c>
      <c r="L482" s="280">
        <f>TABLA_BASE[[#This Row],[IPM UNIT.
(US$)
✅CF]]*TABLA_BASE[[#This Row],[CANTIDAD
(unid.)]]</f>
        <v>0</v>
      </c>
      <c r="M482" s="279">
        <f>IF('🧾 Tributos Aduana'!$F$6=0,0,'🧾 Tributos Aduana'!$F$19*('🧾 Factura Comercial'!H486/'🧾 Tributos Aduana'!$F$6))</f>
        <v>0</v>
      </c>
      <c r="N482" s="280">
        <f>TABLA_BASE[[#This Row],[IGV UNIT.
(US$)
✅CF]]*TABLA_BASE[[#This Row],[CANTIDAD
(unid.)]]</f>
        <v>0</v>
      </c>
      <c r="O482" s="280">
        <f>IF('🧾 Tributos Aduana'!$F$6=0,0,'🧾 Tributos Aduana'!$F$23*('🧾 Factura Comercial'!H486/'🧾 Tributos Aduana'!$F$6))</f>
        <v>0</v>
      </c>
      <c r="P482" s="280">
        <f>TABLA_BASE[[#This Row],[PERCEP.
UNIT.(US$)
✅CF]]*TABLA_BASE[[#This Row],[CANTIDAD
(unid.)]]</f>
        <v>0</v>
      </c>
      <c r="Q482" s="279">
        <f>TABLA_BASE[[#This Row],[ADV UNIT.
(US$)
⚠️COSTO]]+TABLA_BASE[[#This Row],[IPM UNIT.
(US$)
✅CF]]+TABLA_BASE[[#This Row],[IGV UNIT.
(US$)
✅CF]]</f>
        <v>0</v>
      </c>
      <c r="R482" s="280">
        <f>TABLA_BASE[[#This Row],[DEUDA
ADUANERA
UNIT.]]*TABLA_BASE[[#This Row],[CANTIDAD
(unid.)]]</f>
        <v>0</v>
      </c>
      <c r="S482" s="278">
        <f>TABLA_BASE[[#This Row],[DEUDA
ADUANERA
UNIT.]]*'📋 Datos Generales'!$E$19</f>
        <v>0</v>
      </c>
      <c r="T482" s="278">
        <f>TABLA_BASE[[#This Row],[DEUDA
ADUANERA
TOTAL]]*'📋 Datos Generales'!$E$19</f>
        <v>0</v>
      </c>
      <c r="U482" s="281">
        <f>TABLA_BASE[[#This Row],[ADV UNIT.
(US$)
⚠️COSTO]]*'📋 Datos Generales'!$E$19</f>
        <v>0</v>
      </c>
      <c r="V482" s="281">
        <f>TABLA_BASE[[#This Row],[ADV UNIT.
(S/.)]]*TABLA_BASE[[#This Row],[CANTIDAD
(unid.)]]</f>
        <v>0</v>
      </c>
      <c r="W482" s="281">
        <f>TABLA_BASE[[#This Row],[IPM UNIT.
(US$)
✅CF]]*'📋 Datos Generales'!$E$19</f>
        <v>0</v>
      </c>
      <c r="X482" s="281">
        <f>TABLA_BASE[[#This Row],[IPM UNIT.
(S/.)]]*TABLA_BASE[[#This Row],[CANTIDAD
(unid.)]]</f>
        <v>0</v>
      </c>
      <c r="Y482" s="281">
        <f>TABLA_BASE[[#This Row],[IGV UNIT.
(US$)
✅CF]]*'📋 Datos Generales'!$E$19</f>
        <v>0</v>
      </c>
      <c r="Z482" s="281">
        <f>TABLA_BASE[[#This Row],[IGV UNIT.
(S/.)]]*TABLA_BASE[[#This Row],[CANTIDAD
(unid.)]]</f>
        <v>0</v>
      </c>
      <c r="AA482" s="281">
        <f>TABLA_BASE[[#This Row],[PERCEP.
UNIT.(US$)
✅CF]]*'📋 Datos Generales'!$E$19</f>
        <v>0</v>
      </c>
      <c r="AB482" s="281">
        <f>TABLA_BASE[[#This Row],[PERCEP.
UNIT.(S/.)]]*TABLA_BASE[[#This Row],[CANTIDAD
(unid.)]]</f>
        <v>0</v>
      </c>
      <c r="AC482" s="279">
        <f>TABLA_BASE[[#This Row],[ADV UNIT.
(US$)
⚠️COSTO]]+TABLA_BASE[[#This Row],[IPM UNIT.
(US$)
✅CF]]+TABLA_BASE[[#This Row],[IGV UNIT.
(US$)
✅CF]]+TABLA_BASE[[#This Row],[PERCEP.
UNIT.(US$)
✅CF]]</f>
        <v>0</v>
      </c>
      <c r="AD482" s="279">
        <f>TABLA_BASE[[#This Row],[TOTAL PAGO
SUNAT
UNIT.(US$)]]*TABLA_BASE[[#This Row],[CANTIDAD
(unid.)]]</f>
        <v>0</v>
      </c>
      <c r="AE482" s="281">
        <f>TABLA_BASE[[#This Row],[TOTAL PAGO
SUNAT
UNIT.(US$)]]*'📋 Datos Generales'!$E$19</f>
        <v>0</v>
      </c>
      <c r="AF482" s="281">
        <f>TABLA_BASE[[#This Row],[TOTAL TRIB.
UNIT.(S/.)]]*TABLA_BASE[[#This Row],[CANTIDAD
(unid.)]]</f>
        <v>0</v>
      </c>
      <c r="AG482" s="279">
        <f>IF('🧾 Factura Comercial'!G486=0,0,'📦 Gastos Importación'!$E$28*(IF('🧾 Tributos Aduana'!$F$6=0,0,'🧾 Factura Comercial'!I486/'🧾 Tributos Aduana'!$F$6))/'🧾 Factura Comercial'!G486)</f>
        <v>0</v>
      </c>
      <c r="AH482" s="279">
        <f>TABLA_BASE[[#This Row],[GASTOS IMP.
UNIT.(US$)]]*TABLA_BASE[[#This Row],[CANTIDAD
(unid.)]]</f>
        <v>0</v>
      </c>
      <c r="AI482" s="281">
        <f>TABLA_BASE[[#This Row],[GASTOS IMP.
UNIT.(US$)]]*'📋 Datos Generales'!$E$19</f>
        <v>0</v>
      </c>
      <c r="AJ482" s="281">
        <f>TABLA_BASE[[#This Row],[GASTOS IMP.
UNIT.(S/.)]]*TABLA_BASE[[#This Row],[CANTIDAD
(unid.)]]</f>
        <v>0</v>
      </c>
      <c r="AK482" s="280">
        <f>'🧮 Costos x Producto'!J486</f>
        <v>0</v>
      </c>
      <c r="AL482" s="278">
        <f>'🧮 Costos x Producto'!K486</f>
        <v>0</v>
      </c>
      <c r="AM482" s="278">
        <f>TABLA_BASE[[#This Row],[C/M UNIT.
(S/.)]]*TABLA_BASE[[#This Row],[CANTIDAD
(unid.)]]</f>
        <v>0</v>
      </c>
      <c r="AN482" s="279">
        <f>IF('🧾 Factura Comercial'!G486=0,0,'🧾 Tributos Aduana'!$F$17*(IF('🧾 Tributos Aduana'!$F$6=0,0,'🧾 Factura Comercial'!I486/'🧾 Tributos Aduana'!$F$6))/'🧾 Factura Comercial'!G486)</f>
        <v>0</v>
      </c>
      <c r="AO482" s="280">
        <f>IF('🧾 Factura Comercial'!G486=0,0,'🏦 Crédito Fiscal'!$C$16*(IF('🧾 Tributos Aduana'!$F$6=0,0,'🧾 Factura Comercial'!I486/'🧾 Tributos Aduana'!$F$6))/'🧾 Factura Comercial'!G486)</f>
        <v>0</v>
      </c>
      <c r="AP482" s="278">
        <f>TABLA_BASE[[#This Row],[CF UNIT.
✅RECUP.
(US$)]]*'📋 Datos Generales'!$E$19</f>
        <v>0</v>
      </c>
      <c r="AQ482" s="278">
        <f>TABLA_BASE[[#This Row],[CF UNIT.
✅RECUP.(S/.)]]*TABLA_BASE[[#This Row],[CANTIDAD
(unid.)]]</f>
        <v>0</v>
      </c>
      <c r="AR482" s="288">
        <f>'💰 Precio de Venta'!G487</f>
        <v>0.4</v>
      </c>
      <c r="AS482" s="278">
        <f>'💰 Precio de Venta'!H487</f>
        <v>0</v>
      </c>
      <c r="AT482" s="278">
        <f>TABLA_BASE[[#This Row],[VALOR VTA.
UNIT.(S/.)]]*TABLA_BASE[[#This Row],[CANTIDAD
(unid.)]]</f>
        <v>0</v>
      </c>
      <c r="AU482" s="281">
        <f>'💰 Precio de Venta'!I487</f>
        <v>0</v>
      </c>
      <c r="AV482" s="278">
        <f>'💰 Precio de Venta'!J487</f>
        <v>0</v>
      </c>
      <c r="AW482" s="278">
        <f>TABLA_BASE[[#This Row],[GANANCIA
UNIT.(S/.)]]*TABLA_BASE[[#This Row],[CANTIDAD
(unid.)]]</f>
        <v>0</v>
      </c>
      <c r="AX482" s="289">
        <f>'💰 Precio de Venta'!K487</f>
        <v>0</v>
      </c>
      <c r="AY482" s="278">
        <f>TABLA_BASE[[#This Row],[GANANCIA
UNIT.(S/.)]]*'🧾 Factura Comercial'!G486</f>
        <v>0</v>
      </c>
      <c r="AZ482" s="277">
        <f>IF(TABLA_BASE[[#This Row],[PRECIO VTA.
c/IGV(S/.)]]=0,0,TABLA_BASE[[#This Row],[GANANCIA
UNIT.(S/.)]]/TABLA_BASE[[#This Row],[PRECIO VTA.
c/IGV(S/.)]])</f>
        <v>0</v>
      </c>
      <c r="BA482" s="277">
        <f>IF(TABLA_BASE[[#This Row],[C/M UNIT.
(S/.)]]=0,0,TABLA_BASE[[#This Row],[GANANCIA
UNIT.(S/.)]]/TABLA_BASE[[#This Row],[C/M UNIT.
(S/.)]])</f>
        <v>0</v>
      </c>
      <c r="BB482" s="274" t="str">
        <f>IF(TABLA_BASE[[#This Row],[MARGEN
%]]&gt;=0.5,"🟢 ALTO",IF(TABLA_BASE[[#This Row],[MARGEN
%]]&gt;=0.3,"🟡 MEDIO","🔴 BAJO"))</f>
        <v>🟡 MEDIO</v>
      </c>
    </row>
    <row r="483" spans="1:54" ht="16.5" hidden="1" thickTop="1" thickBot="1" x14ac:dyDescent="0.3">
      <c r="A483" s="274">
        <f>'🧾 Factura Comercial'!E487</f>
        <v>0</v>
      </c>
      <c r="B483" s="274" t="str">
        <f>'🧾 Factura Comercial'!F487</f>
        <v>Unid.</v>
      </c>
      <c r="C483" s="275">
        <f>'🧾 Factura Comercial'!G487</f>
        <v>0</v>
      </c>
      <c r="D483" s="276">
        <f>'🧾 Factura Comercial'!H487</f>
        <v>0</v>
      </c>
      <c r="E483" s="276">
        <f>'🧾 Factura Comercial'!I487</f>
        <v>0</v>
      </c>
      <c r="F483" s="277">
        <f>IF('🧾 Tributos Aduana'!$F$6=0,0,'🧾 Factura Comercial'!I487/'🧾 Tributos Aduana'!$F$6)</f>
        <v>0</v>
      </c>
      <c r="G483" s="278">
        <f>'🧾 Factura Comercial'!H487*'📋 Datos Generales'!$E$19</f>
        <v>0</v>
      </c>
      <c r="H483" s="278">
        <f>TABLA_BASE[[#This Row],[FOB UNIT.
(S/.)]]*TABLA_BASE[[#This Row],[CANTIDAD
(unid.)]]</f>
        <v>0</v>
      </c>
      <c r="I483" s="280">
        <f>IF('🧾 Tributos Aduana'!$F$6=0,0,'🧾 Tributos Aduana'!$F$17*('🧾 Factura Comercial'!H487/'🧾 Tributos Aduana'!$F$6))</f>
        <v>0</v>
      </c>
      <c r="J483" s="280">
        <f>TABLA_BASE[[#This Row],[ADV UNIT.
(US$)
⚠️COSTO]]*TABLA_BASE[[#This Row],[CANTIDAD
(unid.)]]</f>
        <v>0</v>
      </c>
      <c r="K483" s="279">
        <f>IF('🧾 Tributos Aduana'!$F$6=0,0,'🧾 Tributos Aduana'!$F$18*('🧾 Factura Comercial'!H487/'🧾 Tributos Aduana'!$F$6))</f>
        <v>0</v>
      </c>
      <c r="L483" s="280">
        <f>TABLA_BASE[[#This Row],[IPM UNIT.
(US$)
✅CF]]*TABLA_BASE[[#This Row],[CANTIDAD
(unid.)]]</f>
        <v>0</v>
      </c>
      <c r="M483" s="279">
        <f>IF('🧾 Tributos Aduana'!$F$6=0,0,'🧾 Tributos Aduana'!$F$19*('🧾 Factura Comercial'!H487/'🧾 Tributos Aduana'!$F$6))</f>
        <v>0</v>
      </c>
      <c r="N483" s="280">
        <f>TABLA_BASE[[#This Row],[IGV UNIT.
(US$)
✅CF]]*TABLA_BASE[[#This Row],[CANTIDAD
(unid.)]]</f>
        <v>0</v>
      </c>
      <c r="O483" s="280">
        <f>IF('🧾 Tributos Aduana'!$F$6=0,0,'🧾 Tributos Aduana'!$F$23*('🧾 Factura Comercial'!H487/'🧾 Tributos Aduana'!$F$6))</f>
        <v>0</v>
      </c>
      <c r="P483" s="280">
        <f>TABLA_BASE[[#This Row],[PERCEP.
UNIT.(US$)
✅CF]]*TABLA_BASE[[#This Row],[CANTIDAD
(unid.)]]</f>
        <v>0</v>
      </c>
      <c r="Q483" s="279">
        <f>TABLA_BASE[[#This Row],[ADV UNIT.
(US$)
⚠️COSTO]]+TABLA_BASE[[#This Row],[IPM UNIT.
(US$)
✅CF]]+TABLA_BASE[[#This Row],[IGV UNIT.
(US$)
✅CF]]</f>
        <v>0</v>
      </c>
      <c r="R483" s="280">
        <f>TABLA_BASE[[#This Row],[DEUDA
ADUANERA
UNIT.]]*TABLA_BASE[[#This Row],[CANTIDAD
(unid.)]]</f>
        <v>0</v>
      </c>
      <c r="S483" s="278">
        <f>TABLA_BASE[[#This Row],[DEUDA
ADUANERA
UNIT.]]*'📋 Datos Generales'!$E$19</f>
        <v>0</v>
      </c>
      <c r="T483" s="278">
        <f>TABLA_BASE[[#This Row],[DEUDA
ADUANERA
TOTAL]]*'📋 Datos Generales'!$E$19</f>
        <v>0</v>
      </c>
      <c r="U483" s="281">
        <f>TABLA_BASE[[#This Row],[ADV UNIT.
(US$)
⚠️COSTO]]*'📋 Datos Generales'!$E$19</f>
        <v>0</v>
      </c>
      <c r="V483" s="281">
        <f>TABLA_BASE[[#This Row],[ADV UNIT.
(S/.)]]*TABLA_BASE[[#This Row],[CANTIDAD
(unid.)]]</f>
        <v>0</v>
      </c>
      <c r="W483" s="281">
        <f>TABLA_BASE[[#This Row],[IPM UNIT.
(US$)
✅CF]]*'📋 Datos Generales'!$E$19</f>
        <v>0</v>
      </c>
      <c r="X483" s="281">
        <f>TABLA_BASE[[#This Row],[IPM UNIT.
(S/.)]]*TABLA_BASE[[#This Row],[CANTIDAD
(unid.)]]</f>
        <v>0</v>
      </c>
      <c r="Y483" s="281">
        <f>TABLA_BASE[[#This Row],[IGV UNIT.
(US$)
✅CF]]*'📋 Datos Generales'!$E$19</f>
        <v>0</v>
      </c>
      <c r="Z483" s="281">
        <f>TABLA_BASE[[#This Row],[IGV UNIT.
(S/.)]]*TABLA_BASE[[#This Row],[CANTIDAD
(unid.)]]</f>
        <v>0</v>
      </c>
      <c r="AA483" s="281">
        <f>TABLA_BASE[[#This Row],[PERCEP.
UNIT.(US$)
✅CF]]*'📋 Datos Generales'!$E$19</f>
        <v>0</v>
      </c>
      <c r="AB483" s="281">
        <f>TABLA_BASE[[#This Row],[PERCEP.
UNIT.(S/.)]]*TABLA_BASE[[#This Row],[CANTIDAD
(unid.)]]</f>
        <v>0</v>
      </c>
      <c r="AC483" s="279">
        <f>TABLA_BASE[[#This Row],[ADV UNIT.
(US$)
⚠️COSTO]]+TABLA_BASE[[#This Row],[IPM UNIT.
(US$)
✅CF]]+TABLA_BASE[[#This Row],[IGV UNIT.
(US$)
✅CF]]+TABLA_BASE[[#This Row],[PERCEP.
UNIT.(US$)
✅CF]]</f>
        <v>0</v>
      </c>
      <c r="AD483" s="279">
        <f>TABLA_BASE[[#This Row],[TOTAL PAGO
SUNAT
UNIT.(US$)]]*TABLA_BASE[[#This Row],[CANTIDAD
(unid.)]]</f>
        <v>0</v>
      </c>
      <c r="AE483" s="281">
        <f>TABLA_BASE[[#This Row],[TOTAL PAGO
SUNAT
UNIT.(US$)]]*'📋 Datos Generales'!$E$19</f>
        <v>0</v>
      </c>
      <c r="AF483" s="281">
        <f>TABLA_BASE[[#This Row],[TOTAL TRIB.
UNIT.(S/.)]]*TABLA_BASE[[#This Row],[CANTIDAD
(unid.)]]</f>
        <v>0</v>
      </c>
      <c r="AG483" s="279">
        <f>IF('🧾 Factura Comercial'!G487=0,0,'📦 Gastos Importación'!$E$28*(IF('🧾 Tributos Aduana'!$F$6=0,0,'🧾 Factura Comercial'!I487/'🧾 Tributos Aduana'!$F$6))/'🧾 Factura Comercial'!G487)</f>
        <v>0</v>
      </c>
      <c r="AH483" s="279">
        <f>TABLA_BASE[[#This Row],[GASTOS IMP.
UNIT.(US$)]]*TABLA_BASE[[#This Row],[CANTIDAD
(unid.)]]</f>
        <v>0</v>
      </c>
      <c r="AI483" s="281">
        <f>TABLA_BASE[[#This Row],[GASTOS IMP.
UNIT.(US$)]]*'📋 Datos Generales'!$E$19</f>
        <v>0</v>
      </c>
      <c r="AJ483" s="281">
        <f>TABLA_BASE[[#This Row],[GASTOS IMP.
UNIT.(S/.)]]*TABLA_BASE[[#This Row],[CANTIDAD
(unid.)]]</f>
        <v>0</v>
      </c>
      <c r="AK483" s="280">
        <f>'🧮 Costos x Producto'!J487</f>
        <v>0</v>
      </c>
      <c r="AL483" s="278">
        <f>'🧮 Costos x Producto'!K487</f>
        <v>0</v>
      </c>
      <c r="AM483" s="278">
        <f>TABLA_BASE[[#This Row],[C/M UNIT.
(S/.)]]*TABLA_BASE[[#This Row],[CANTIDAD
(unid.)]]</f>
        <v>0</v>
      </c>
      <c r="AN483" s="279">
        <f>IF('🧾 Factura Comercial'!G487=0,0,'🧾 Tributos Aduana'!$F$17*(IF('🧾 Tributos Aduana'!$F$6=0,0,'🧾 Factura Comercial'!I487/'🧾 Tributos Aduana'!$F$6))/'🧾 Factura Comercial'!G487)</f>
        <v>0</v>
      </c>
      <c r="AO483" s="280">
        <f>IF('🧾 Factura Comercial'!G487=0,0,'🏦 Crédito Fiscal'!$C$16*(IF('🧾 Tributos Aduana'!$F$6=0,0,'🧾 Factura Comercial'!I487/'🧾 Tributos Aduana'!$F$6))/'🧾 Factura Comercial'!G487)</f>
        <v>0</v>
      </c>
      <c r="AP483" s="278">
        <f>TABLA_BASE[[#This Row],[CF UNIT.
✅RECUP.
(US$)]]*'📋 Datos Generales'!$E$19</f>
        <v>0</v>
      </c>
      <c r="AQ483" s="278">
        <f>TABLA_BASE[[#This Row],[CF UNIT.
✅RECUP.(S/.)]]*TABLA_BASE[[#This Row],[CANTIDAD
(unid.)]]</f>
        <v>0</v>
      </c>
      <c r="AR483" s="288">
        <f>'💰 Precio de Venta'!G488</f>
        <v>0.4</v>
      </c>
      <c r="AS483" s="278">
        <f>'💰 Precio de Venta'!H488</f>
        <v>0</v>
      </c>
      <c r="AT483" s="278">
        <f>TABLA_BASE[[#This Row],[VALOR VTA.
UNIT.(S/.)]]*TABLA_BASE[[#This Row],[CANTIDAD
(unid.)]]</f>
        <v>0</v>
      </c>
      <c r="AU483" s="281">
        <f>'💰 Precio de Venta'!I488</f>
        <v>0</v>
      </c>
      <c r="AV483" s="278">
        <f>'💰 Precio de Venta'!J488</f>
        <v>0</v>
      </c>
      <c r="AW483" s="278">
        <f>TABLA_BASE[[#This Row],[GANANCIA
UNIT.(S/.)]]*TABLA_BASE[[#This Row],[CANTIDAD
(unid.)]]</f>
        <v>0</v>
      </c>
      <c r="AX483" s="289">
        <f>'💰 Precio de Venta'!K488</f>
        <v>0</v>
      </c>
      <c r="AY483" s="278">
        <f>TABLA_BASE[[#This Row],[GANANCIA
UNIT.(S/.)]]*'🧾 Factura Comercial'!G487</f>
        <v>0</v>
      </c>
      <c r="AZ483" s="277">
        <f>IF(TABLA_BASE[[#This Row],[PRECIO VTA.
c/IGV(S/.)]]=0,0,TABLA_BASE[[#This Row],[GANANCIA
UNIT.(S/.)]]/TABLA_BASE[[#This Row],[PRECIO VTA.
c/IGV(S/.)]])</f>
        <v>0</v>
      </c>
      <c r="BA483" s="277">
        <f>IF(TABLA_BASE[[#This Row],[C/M UNIT.
(S/.)]]=0,0,TABLA_BASE[[#This Row],[GANANCIA
UNIT.(S/.)]]/TABLA_BASE[[#This Row],[C/M UNIT.
(S/.)]])</f>
        <v>0</v>
      </c>
      <c r="BB483" s="274" t="str">
        <f>IF(TABLA_BASE[[#This Row],[MARGEN
%]]&gt;=0.5,"🟢 ALTO",IF(TABLA_BASE[[#This Row],[MARGEN
%]]&gt;=0.3,"🟡 MEDIO","🔴 BAJO"))</f>
        <v>🟡 MEDIO</v>
      </c>
    </row>
    <row r="484" spans="1:54" ht="16.5" hidden="1" thickTop="1" thickBot="1" x14ac:dyDescent="0.3">
      <c r="A484" s="274">
        <f>'🧾 Factura Comercial'!E488</f>
        <v>0</v>
      </c>
      <c r="B484" s="274" t="str">
        <f>'🧾 Factura Comercial'!F488</f>
        <v>Unid.</v>
      </c>
      <c r="C484" s="275">
        <f>'🧾 Factura Comercial'!G488</f>
        <v>0</v>
      </c>
      <c r="D484" s="276">
        <f>'🧾 Factura Comercial'!H488</f>
        <v>0</v>
      </c>
      <c r="E484" s="276">
        <f>'🧾 Factura Comercial'!I488</f>
        <v>0</v>
      </c>
      <c r="F484" s="277">
        <f>IF('🧾 Tributos Aduana'!$F$6=0,0,'🧾 Factura Comercial'!I488/'🧾 Tributos Aduana'!$F$6)</f>
        <v>0</v>
      </c>
      <c r="G484" s="278">
        <f>'🧾 Factura Comercial'!H488*'📋 Datos Generales'!$E$19</f>
        <v>0</v>
      </c>
      <c r="H484" s="278">
        <f>TABLA_BASE[[#This Row],[FOB UNIT.
(S/.)]]*TABLA_BASE[[#This Row],[CANTIDAD
(unid.)]]</f>
        <v>0</v>
      </c>
      <c r="I484" s="280">
        <f>IF('🧾 Tributos Aduana'!$F$6=0,0,'🧾 Tributos Aduana'!$F$17*('🧾 Factura Comercial'!H488/'🧾 Tributos Aduana'!$F$6))</f>
        <v>0</v>
      </c>
      <c r="J484" s="280">
        <f>TABLA_BASE[[#This Row],[ADV UNIT.
(US$)
⚠️COSTO]]*TABLA_BASE[[#This Row],[CANTIDAD
(unid.)]]</f>
        <v>0</v>
      </c>
      <c r="K484" s="279">
        <f>IF('🧾 Tributos Aduana'!$F$6=0,0,'🧾 Tributos Aduana'!$F$18*('🧾 Factura Comercial'!H488/'🧾 Tributos Aduana'!$F$6))</f>
        <v>0</v>
      </c>
      <c r="L484" s="280">
        <f>TABLA_BASE[[#This Row],[IPM UNIT.
(US$)
✅CF]]*TABLA_BASE[[#This Row],[CANTIDAD
(unid.)]]</f>
        <v>0</v>
      </c>
      <c r="M484" s="279">
        <f>IF('🧾 Tributos Aduana'!$F$6=0,0,'🧾 Tributos Aduana'!$F$19*('🧾 Factura Comercial'!H488/'🧾 Tributos Aduana'!$F$6))</f>
        <v>0</v>
      </c>
      <c r="N484" s="280">
        <f>TABLA_BASE[[#This Row],[IGV UNIT.
(US$)
✅CF]]*TABLA_BASE[[#This Row],[CANTIDAD
(unid.)]]</f>
        <v>0</v>
      </c>
      <c r="O484" s="280">
        <f>IF('🧾 Tributos Aduana'!$F$6=0,0,'🧾 Tributos Aduana'!$F$23*('🧾 Factura Comercial'!H488/'🧾 Tributos Aduana'!$F$6))</f>
        <v>0</v>
      </c>
      <c r="P484" s="280">
        <f>TABLA_BASE[[#This Row],[PERCEP.
UNIT.(US$)
✅CF]]*TABLA_BASE[[#This Row],[CANTIDAD
(unid.)]]</f>
        <v>0</v>
      </c>
      <c r="Q484" s="279">
        <f>TABLA_BASE[[#This Row],[ADV UNIT.
(US$)
⚠️COSTO]]+TABLA_BASE[[#This Row],[IPM UNIT.
(US$)
✅CF]]+TABLA_BASE[[#This Row],[IGV UNIT.
(US$)
✅CF]]</f>
        <v>0</v>
      </c>
      <c r="R484" s="280">
        <f>TABLA_BASE[[#This Row],[DEUDA
ADUANERA
UNIT.]]*TABLA_BASE[[#This Row],[CANTIDAD
(unid.)]]</f>
        <v>0</v>
      </c>
      <c r="S484" s="278">
        <f>TABLA_BASE[[#This Row],[DEUDA
ADUANERA
UNIT.]]*'📋 Datos Generales'!$E$19</f>
        <v>0</v>
      </c>
      <c r="T484" s="278">
        <f>TABLA_BASE[[#This Row],[DEUDA
ADUANERA
TOTAL]]*'📋 Datos Generales'!$E$19</f>
        <v>0</v>
      </c>
      <c r="U484" s="281">
        <f>TABLA_BASE[[#This Row],[ADV UNIT.
(US$)
⚠️COSTO]]*'📋 Datos Generales'!$E$19</f>
        <v>0</v>
      </c>
      <c r="V484" s="281">
        <f>TABLA_BASE[[#This Row],[ADV UNIT.
(S/.)]]*TABLA_BASE[[#This Row],[CANTIDAD
(unid.)]]</f>
        <v>0</v>
      </c>
      <c r="W484" s="281">
        <f>TABLA_BASE[[#This Row],[IPM UNIT.
(US$)
✅CF]]*'📋 Datos Generales'!$E$19</f>
        <v>0</v>
      </c>
      <c r="X484" s="281">
        <f>TABLA_BASE[[#This Row],[IPM UNIT.
(S/.)]]*TABLA_BASE[[#This Row],[CANTIDAD
(unid.)]]</f>
        <v>0</v>
      </c>
      <c r="Y484" s="281">
        <f>TABLA_BASE[[#This Row],[IGV UNIT.
(US$)
✅CF]]*'📋 Datos Generales'!$E$19</f>
        <v>0</v>
      </c>
      <c r="Z484" s="281">
        <f>TABLA_BASE[[#This Row],[IGV UNIT.
(S/.)]]*TABLA_BASE[[#This Row],[CANTIDAD
(unid.)]]</f>
        <v>0</v>
      </c>
      <c r="AA484" s="281">
        <f>TABLA_BASE[[#This Row],[PERCEP.
UNIT.(US$)
✅CF]]*'📋 Datos Generales'!$E$19</f>
        <v>0</v>
      </c>
      <c r="AB484" s="281">
        <f>TABLA_BASE[[#This Row],[PERCEP.
UNIT.(S/.)]]*TABLA_BASE[[#This Row],[CANTIDAD
(unid.)]]</f>
        <v>0</v>
      </c>
      <c r="AC484" s="279">
        <f>TABLA_BASE[[#This Row],[ADV UNIT.
(US$)
⚠️COSTO]]+TABLA_BASE[[#This Row],[IPM UNIT.
(US$)
✅CF]]+TABLA_BASE[[#This Row],[IGV UNIT.
(US$)
✅CF]]+TABLA_BASE[[#This Row],[PERCEP.
UNIT.(US$)
✅CF]]</f>
        <v>0</v>
      </c>
      <c r="AD484" s="279">
        <f>TABLA_BASE[[#This Row],[TOTAL PAGO
SUNAT
UNIT.(US$)]]*TABLA_BASE[[#This Row],[CANTIDAD
(unid.)]]</f>
        <v>0</v>
      </c>
      <c r="AE484" s="281">
        <f>TABLA_BASE[[#This Row],[TOTAL PAGO
SUNAT
UNIT.(US$)]]*'📋 Datos Generales'!$E$19</f>
        <v>0</v>
      </c>
      <c r="AF484" s="281">
        <f>TABLA_BASE[[#This Row],[TOTAL TRIB.
UNIT.(S/.)]]*TABLA_BASE[[#This Row],[CANTIDAD
(unid.)]]</f>
        <v>0</v>
      </c>
      <c r="AG484" s="279">
        <f>IF('🧾 Factura Comercial'!G488=0,0,'📦 Gastos Importación'!$E$28*(IF('🧾 Tributos Aduana'!$F$6=0,0,'🧾 Factura Comercial'!I488/'🧾 Tributos Aduana'!$F$6))/'🧾 Factura Comercial'!G488)</f>
        <v>0</v>
      </c>
      <c r="AH484" s="279">
        <f>TABLA_BASE[[#This Row],[GASTOS IMP.
UNIT.(US$)]]*TABLA_BASE[[#This Row],[CANTIDAD
(unid.)]]</f>
        <v>0</v>
      </c>
      <c r="AI484" s="281">
        <f>TABLA_BASE[[#This Row],[GASTOS IMP.
UNIT.(US$)]]*'📋 Datos Generales'!$E$19</f>
        <v>0</v>
      </c>
      <c r="AJ484" s="281">
        <f>TABLA_BASE[[#This Row],[GASTOS IMP.
UNIT.(S/.)]]*TABLA_BASE[[#This Row],[CANTIDAD
(unid.)]]</f>
        <v>0</v>
      </c>
      <c r="AK484" s="280">
        <f>'🧮 Costos x Producto'!J488</f>
        <v>0</v>
      </c>
      <c r="AL484" s="278">
        <f>'🧮 Costos x Producto'!K488</f>
        <v>0</v>
      </c>
      <c r="AM484" s="278">
        <f>TABLA_BASE[[#This Row],[C/M UNIT.
(S/.)]]*TABLA_BASE[[#This Row],[CANTIDAD
(unid.)]]</f>
        <v>0</v>
      </c>
      <c r="AN484" s="279">
        <f>IF('🧾 Factura Comercial'!G488=0,0,'🧾 Tributos Aduana'!$F$17*(IF('🧾 Tributos Aduana'!$F$6=0,0,'🧾 Factura Comercial'!I488/'🧾 Tributos Aduana'!$F$6))/'🧾 Factura Comercial'!G488)</f>
        <v>0</v>
      </c>
      <c r="AO484" s="280">
        <f>IF('🧾 Factura Comercial'!G488=0,0,'🏦 Crédito Fiscal'!$C$16*(IF('🧾 Tributos Aduana'!$F$6=0,0,'🧾 Factura Comercial'!I488/'🧾 Tributos Aduana'!$F$6))/'🧾 Factura Comercial'!G488)</f>
        <v>0</v>
      </c>
      <c r="AP484" s="278">
        <f>TABLA_BASE[[#This Row],[CF UNIT.
✅RECUP.
(US$)]]*'📋 Datos Generales'!$E$19</f>
        <v>0</v>
      </c>
      <c r="AQ484" s="278">
        <f>TABLA_BASE[[#This Row],[CF UNIT.
✅RECUP.(S/.)]]*TABLA_BASE[[#This Row],[CANTIDAD
(unid.)]]</f>
        <v>0</v>
      </c>
      <c r="AR484" s="288">
        <f>'💰 Precio de Venta'!G489</f>
        <v>0.4</v>
      </c>
      <c r="AS484" s="278">
        <f>'💰 Precio de Venta'!H489</f>
        <v>0</v>
      </c>
      <c r="AT484" s="278">
        <f>TABLA_BASE[[#This Row],[VALOR VTA.
UNIT.(S/.)]]*TABLA_BASE[[#This Row],[CANTIDAD
(unid.)]]</f>
        <v>0</v>
      </c>
      <c r="AU484" s="281">
        <f>'💰 Precio de Venta'!I489</f>
        <v>0</v>
      </c>
      <c r="AV484" s="278">
        <f>'💰 Precio de Venta'!J489</f>
        <v>0</v>
      </c>
      <c r="AW484" s="278">
        <f>TABLA_BASE[[#This Row],[GANANCIA
UNIT.(S/.)]]*TABLA_BASE[[#This Row],[CANTIDAD
(unid.)]]</f>
        <v>0</v>
      </c>
      <c r="AX484" s="289">
        <f>'💰 Precio de Venta'!K489</f>
        <v>0</v>
      </c>
      <c r="AY484" s="278">
        <f>TABLA_BASE[[#This Row],[GANANCIA
UNIT.(S/.)]]*'🧾 Factura Comercial'!G488</f>
        <v>0</v>
      </c>
      <c r="AZ484" s="277">
        <f>IF(TABLA_BASE[[#This Row],[PRECIO VTA.
c/IGV(S/.)]]=0,0,TABLA_BASE[[#This Row],[GANANCIA
UNIT.(S/.)]]/TABLA_BASE[[#This Row],[PRECIO VTA.
c/IGV(S/.)]])</f>
        <v>0</v>
      </c>
      <c r="BA484" s="277">
        <f>IF(TABLA_BASE[[#This Row],[C/M UNIT.
(S/.)]]=0,0,TABLA_BASE[[#This Row],[GANANCIA
UNIT.(S/.)]]/TABLA_BASE[[#This Row],[C/M UNIT.
(S/.)]])</f>
        <v>0</v>
      </c>
      <c r="BB484" s="274" t="str">
        <f>IF(TABLA_BASE[[#This Row],[MARGEN
%]]&gt;=0.5,"🟢 ALTO",IF(TABLA_BASE[[#This Row],[MARGEN
%]]&gt;=0.3,"🟡 MEDIO","🔴 BAJO"))</f>
        <v>🟡 MEDIO</v>
      </c>
    </row>
    <row r="485" spans="1:54" ht="16.5" hidden="1" thickTop="1" thickBot="1" x14ac:dyDescent="0.3">
      <c r="A485" s="274">
        <f>'🧾 Factura Comercial'!E489</f>
        <v>0</v>
      </c>
      <c r="B485" s="274" t="str">
        <f>'🧾 Factura Comercial'!F489</f>
        <v>Unid.</v>
      </c>
      <c r="C485" s="275">
        <f>'🧾 Factura Comercial'!G489</f>
        <v>0</v>
      </c>
      <c r="D485" s="276">
        <f>'🧾 Factura Comercial'!H489</f>
        <v>0</v>
      </c>
      <c r="E485" s="276">
        <f>'🧾 Factura Comercial'!I489</f>
        <v>0</v>
      </c>
      <c r="F485" s="277">
        <f>IF('🧾 Tributos Aduana'!$F$6=0,0,'🧾 Factura Comercial'!I489/'🧾 Tributos Aduana'!$F$6)</f>
        <v>0</v>
      </c>
      <c r="G485" s="278">
        <f>'🧾 Factura Comercial'!H489*'📋 Datos Generales'!$E$19</f>
        <v>0</v>
      </c>
      <c r="H485" s="278">
        <f>TABLA_BASE[[#This Row],[FOB UNIT.
(S/.)]]*TABLA_BASE[[#This Row],[CANTIDAD
(unid.)]]</f>
        <v>0</v>
      </c>
      <c r="I485" s="280">
        <f>IF('🧾 Tributos Aduana'!$F$6=0,0,'🧾 Tributos Aduana'!$F$17*('🧾 Factura Comercial'!H489/'🧾 Tributos Aduana'!$F$6))</f>
        <v>0</v>
      </c>
      <c r="J485" s="280">
        <f>TABLA_BASE[[#This Row],[ADV UNIT.
(US$)
⚠️COSTO]]*TABLA_BASE[[#This Row],[CANTIDAD
(unid.)]]</f>
        <v>0</v>
      </c>
      <c r="K485" s="279">
        <f>IF('🧾 Tributos Aduana'!$F$6=0,0,'🧾 Tributos Aduana'!$F$18*('🧾 Factura Comercial'!H489/'🧾 Tributos Aduana'!$F$6))</f>
        <v>0</v>
      </c>
      <c r="L485" s="280">
        <f>TABLA_BASE[[#This Row],[IPM UNIT.
(US$)
✅CF]]*TABLA_BASE[[#This Row],[CANTIDAD
(unid.)]]</f>
        <v>0</v>
      </c>
      <c r="M485" s="279">
        <f>IF('🧾 Tributos Aduana'!$F$6=0,0,'🧾 Tributos Aduana'!$F$19*('🧾 Factura Comercial'!H489/'🧾 Tributos Aduana'!$F$6))</f>
        <v>0</v>
      </c>
      <c r="N485" s="280">
        <f>TABLA_BASE[[#This Row],[IGV UNIT.
(US$)
✅CF]]*TABLA_BASE[[#This Row],[CANTIDAD
(unid.)]]</f>
        <v>0</v>
      </c>
      <c r="O485" s="280">
        <f>IF('🧾 Tributos Aduana'!$F$6=0,0,'🧾 Tributos Aduana'!$F$23*('🧾 Factura Comercial'!H489/'🧾 Tributos Aduana'!$F$6))</f>
        <v>0</v>
      </c>
      <c r="P485" s="280">
        <f>TABLA_BASE[[#This Row],[PERCEP.
UNIT.(US$)
✅CF]]*TABLA_BASE[[#This Row],[CANTIDAD
(unid.)]]</f>
        <v>0</v>
      </c>
      <c r="Q485" s="279">
        <f>TABLA_BASE[[#This Row],[ADV UNIT.
(US$)
⚠️COSTO]]+TABLA_BASE[[#This Row],[IPM UNIT.
(US$)
✅CF]]+TABLA_BASE[[#This Row],[IGV UNIT.
(US$)
✅CF]]</f>
        <v>0</v>
      </c>
      <c r="R485" s="280">
        <f>TABLA_BASE[[#This Row],[DEUDA
ADUANERA
UNIT.]]*TABLA_BASE[[#This Row],[CANTIDAD
(unid.)]]</f>
        <v>0</v>
      </c>
      <c r="S485" s="278">
        <f>TABLA_BASE[[#This Row],[DEUDA
ADUANERA
UNIT.]]*'📋 Datos Generales'!$E$19</f>
        <v>0</v>
      </c>
      <c r="T485" s="278">
        <f>TABLA_BASE[[#This Row],[DEUDA
ADUANERA
TOTAL]]*'📋 Datos Generales'!$E$19</f>
        <v>0</v>
      </c>
      <c r="U485" s="281">
        <f>TABLA_BASE[[#This Row],[ADV UNIT.
(US$)
⚠️COSTO]]*'📋 Datos Generales'!$E$19</f>
        <v>0</v>
      </c>
      <c r="V485" s="281">
        <f>TABLA_BASE[[#This Row],[ADV UNIT.
(S/.)]]*TABLA_BASE[[#This Row],[CANTIDAD
(unid.)]]</f>
        <v>0</v>
      </c>
      <c r="W485" s="281">
        <f>TABLA_BASE[[#This Row],[IPM UNIT.
(US$)
✅CF]]*'📋 Datos Generales'!$E$19</f>
        <v>0</v>
      </c>
      <c r="X485" s="281">
        <f>TABLA_BASE[[#This Row],[IPM UNIT.
(S/.)]]*TABLA_BASE[[#This Row],[CANTIDAD
(unid.)]]</f>
        <v>0</v>
      </c>
      <c r="Y485" s="281">
        <f>TABLA_BASE[[#This Row],[IGV UNIT.
(US$)
✅CF]]*'📋 Datos Generales'!$E$19</f>
        <v>0</v>
      </c>
      <c r="Z485" s="281">
        <f>TABLA_BASE[[#This Row],[IGV UNIT.
(S/.)]]*TABLA_BASE[[#This Row],[CANTIDAD
(unid.)]]</f>
        <v>0</v>
      </c>
      <c r="AA485" s="281">
        <f>TABLA_BASE[[#This Row],[PERCEP.
UNIT.(US$)
✅CF]]*'📋 Datos Generales'!$E$19</f>
        <v>0</v>
      </c>
      <c r="AB485" s="281">
        <f>TABLA_BASE[[#This Row],[PERCEP.
UNIT.(S/.)]]*TABLA_BASE[[#This Row],[CANTIDAD
(unid.)]]</f>
        <v>0</v>
      </c>
      <c r="AC485" s="279">
        <f>TABLA_BASE[[#This Row],[ADV UNIT.
(US$)
⚠️COSTO]]+TABLA_BASE[[#This Row],[IPM UNIT.
(US$)
✅CF]]+TABLA_BASE[[#This Row],[IGV UNIT.
(US$)
✅CF]]+TABLA_BASE[[#This Row],[PERCEP.
UNIT.(US$)
✅CF]]</f>
        <v>0</v>
      </c>
      <c r="AD485" s="279">
        <f>TABLA_BASE[[#This Row],[TOTAL PAGO
SUNAT
UNIT.(US$)]]*TABLA_BASE[[#This Row],[CANTIDAD
(unid.)]]</f>
        <v>0</v>
      </c>
      <c r="AE485" s="281">
        <f>TABLA_BASE[[#This Row],[TOTAL PAGO
SUNAT
UNIT.(US$)]]*'📋 Datos Generales'!$E$19</f>
        <v>0</v>
      </c>
      <c r="AF485" s="281">
        <f>TABLA_BASE[[#This Row],[TOTAL TRIB.
UNIT.(S/.)]]*TABLA_BASE[[#This Row],[CANTIDAD
(unid.)]]</f>
        <v>0</v>
      </c>
      <c r="AG485" s="279">
        <f>IF('🧾 Factura Comercial'!G489=0,0,'📦 Gastos Importación'!$E$28*(IF('🧾 Tributos Aduana'!$F$6=0,0,'🧾 Factura Comercial'!I489/'🧾 Tributos Aduana'!$F$6))/'🧾 Factura Comercial'!G489)</f>
        <v>0</v>
      </c>
      <c r="AH485" s="279">
        <f>TABLA_BASE[[#This Row],[GASTOS IMP.
UNIT.(US$)]]*TABLA_BASE[[#This Row],[CANTIDAD
(unid.)]]</f>
        <v>0</v>
      </c>
      <c r="AI485" s="281">
        <f>TABLA_BASE[[#This Row],[GASTOS IMP.
UNIT.(US$)]]*'📋 Datos Generales'!$E$19</f>
        <v>0</v>
      </c>
      <c r="AJ485" s="281">
        <f>TABLA_BASE[[#This Row],[GASTOS IMP.
UNIT.(S/.)]]*TABLA_BASE[[#This Row],[CANTIDAD
(unid.)]]</f>
        <v>0</v>
      </c>
      <c r="AK485" s="280">
        <f>'🧮 Costos x Producto'!J489</f>
        <v>0</v>
      </c>
      <c r="AL485" s="278">
        <f>'🧮 Costos x Producto'!K489</f>
        <v>0</v>
      </c>
      <c r="AM485" s="278">
        <f>TABLA_BASE[[#This Row],[C/M UNIT.
(S/.)]]*TABLA_BASE[[#This Row],[CANTIDAD
(unid.)]]</f>
        <v>0</v>
      </c>
      <c r="AN485" s="279">
        <f>IF('🧾 Factura Comercial'!G489=0,0,'🧾 Tributos Aduana'!$F$17*(IF('🧾 Tributos Aduana'!$F$6=0,0,'🧾 Factura Comercial'!I489/'🧾 Tributos Aduana'!$F$6))/'🧾 Factura Comercial'!G489)</f>
        <v>0</v>
      </c>
      <c r="AO485" s="280">
        <f>IF('🧾 Factura Comercial'!G489=0,0,'🏦 Crédito Fiscal'!$C$16*(IF('🧾 Tributos Aduana'!$F$6=0,0,'🧾 Factura Comercial'!I489/'🧾 Tributos Aduana'!$F$6))/'🧾 Factura Comercial'!G489)</f>
        <v>0</v>
      </c>
      <c r="AP485" s="278">
        <f>TABLA_BASE[[#This Row],[CF UNIT.
✅RECUP.
(US$)]]*'📋 Datos Generales'!$E$19</f>
        <v>0</v>
      </c>
      <c r="AQ485" s="278">
        <f>TABLA_BASE[[#This Row],[CF UNIT.
✅RECUP.(S/.)]]*TABLA_BASE[[#This Row],[CANTIDAD
(unid.)]]</f>
        <v>0</v>
      </c>
      <c r="AR485" s="288">
        <f>'💰 Precio de Venta'!G490</f>
        <v>0.4</v>
      </c>
      <c r="AS485" s="278">
        <f>'💰 Precio de Venta'!H490</f>
        <v>0</v>
      </c>
      <c r="AT485" s="278">
        <f>TABLA_BASE[[#This Row],[VALOR VTA.
UNIT.(S/.)]]*TABLA_BASE[[#This Row],[CANTIDAD
(unid.)]]</f>
        <v>0</v>
      </c>
      <c r="AU485" s="281">
        <f>'💰 Precio de Venta'!I490</f>
        <v>0</v>
      </c>
      <c r="AV485" s="278">
        <f>'💰 Precio de Venta'!J490</f>
        <v>0</v>
      </c>
      <c r="AW485" s="278">
        <f>TABLA_BASE[[#This Row],[GANANCIA
UNIT.(S/.)]]*TABLA_BASE[[#This Row],[CANTIDAD
(unid.)]]</f>
        <v>0</v>
      </c>
      <c r="AX485" s="289">
        <f>'💰 Precio de Venta'!K490</f>
        <v>0</v>
      </c>
      <c r="AY485" s="278">
        <f>TABLA_BASE[[#This Row],[GANANCIA
UNIT.(S/.)]]*'🧾 Factura Comercial'!G489</f>
        <v>0</v>
      </c>
      <c r="AZ485" s="277">
        <f>IF(TABLA_BASE[[#This Row],[PRECIO VTA.
c/IGV(S/.)]]=0,0,TABLA_BASE[[#This Row],[GANANCIA
UNIT.(S/.)]]/TABLA_BASE[[#This Row],[PRECIO VTA.
c/IGV(S/.)]])</f>
        <v>0</v>
      </c>
      <c r="BA485" s="277">
        <f>IF(TABLA_BASE[[#This Row],[C/M UNIT.
(S/.)]]=0,0,TABLA_BASE[[#This Row],[GANANCIA
UNIT.(S/.)]]/TABLA_BASE[[#This Row],[C/M UNIT.
(S/.)]])</f>
        <v>0</v>
      </c>
      <c r="BB485" s="274" t="str">
        <f>IF(TABLA_BASE[[#This Row],[MARGEN
%]]&gt;=0.5,"🟢 ALTO",IF(TABLA_BASE[[#This Row],[MARGEN
%]]&gt;=0.3,"🟡 MEDIO","🔴 BAJO"))</f>
        <v>🟡 MEDIO</v>
      </c>
    </row>
    <row r="486" spans="1:54" ht="16.5" hidden="1" thickTop="1" thickBot="1" x14ac:dyDescent="0.3">
      <c r="A486" s="274">
        <f>'🧾 Factura Comercial'!E490</f>
        <v>0</v>
      </c>
      <c r="B486" s="274" t="str">
        <f>'🧾 Factura Comercial'!F490</f>
        <v>Unid.</v>
      </c>
      <c r="C486" s="275">
        <f>'🧾 Factura Comercial'!G490</f>
        <v>0</v>
      </c>
      <c r="D486" s="276">
        <f>'🧾 Factura Comercial'!H490</f>
        <v>0</v>
      </c>
      <c r="E486" s="276">
        <f>'🧾 Factura Comercial'!I490</f>
        <v>0</v>
      </c>
      <c r="F486" s="277">
        <f>IF('🧾 Tributos Aduana'!$F$6=0,0,'🧾 Factura Comercial'!I490/'🧾 Tributos Aduana'!$F$6)</f>
        <v>0</v>
      </c>
      <c r="G486" s="278">
        <f>'🧾 Factura Comercial'!H490*'📋 Datos Generales'!$E$19</f>
        <v>0</v>
      </c>
      <c r="H486" s="278">
        <f>TABLA_BASE[[#This Row],[FOB UNIT.
(S/.)]]*TABLA_BASE[[#This Row],[CANTIDAD
(unid.)]]</f>
        <v>0</v>
      </c>
      <c r="I486" s="280">
        <f>IF('🧾 Tributos Aduana'!$F$6=0,0,'🧾 Tributos Aduana'!$F$17*('🧾 Factura Comercial'!H490/'🧾 Tributos Aduana'!$F$6))</f>
        <v>0</v>
      </c>
      <c r="J486" s="280">
        <f>TABLA_BASE[[#This Row],[ADV UNIT.
(US$)
⚠️COSTO]]*TABLA_BASE[[#This Row],[CANTIDAD
(unid.)]]</f>
        <v>0</v>
      </c>
      <c r="K486" s="279">
        <f>IF('🧾 Tributos Aduana'!$F$6=0,0,'🧾 Tributos Aduana'!$F$18*('🧾 Factura Comercial'!H490/'🧾 Tributos Aduana'!$F$6))</f>
        <v>0</v>
      </c>
      <c r="L486" s="280">
        <f>TABLA_BASE[[#This Row],[IPM UNIT.
(US$)
✅CF]]*TABLA_BASE[[#This Row],[CANTIDAD
(unid.)]]</f>
        <v>0</v>
      </c>
      <c r="M486" s="279">
        <f>IF('🧾 Tributos Aduana'!$F$6=0,0,'🧾 Tributos Aduana'!$F$19*('🧾 Factura Comercial'!H490/'🧾 Tributos Aduana'!$F$6))</f>
        <v>0</v>
      </c>
      <c r="N486" s="280">
        <f>TABLA_BASE[[#This Row],[IGV UNIT.
(US$)
✅CF]]*TABLA_BASE[[#This Row],[CANTIDAD
(unid.)]]</f>
        <v>0</v>
      </c>
      <c r="O486" s="280">
        <f>IF('🧾 Tributos Aduana'!$F$6=0,0,'🧾 Tributos Aduana'!$F$23*('🧾 Factura Comercial'!H490/'🧾 Tributos Aduana'!$F$6))</f>
        <v>0</v>
      </c>
      <c r="P486" s="280">
        <f>TABLA_BASE[[#This Row],[PERCEP.
UNIT.(US$)
✅CF]]*TABLA_BASE[[#This Row],[CANTIDAD
(unid.)]]</f>
        <v>0</v>
      </c>
      <c r="Q486" s="279">
        <f>TABLA_BASE[[#This Row],[ADV UNIT.
(US$)
⚠️COSTO]]+TABLA_BASE[[#This Row],[IPM UNIT.
(US$)
✅CF]]+TABLA_BASE[[#This Row],[IGV UNIT.
(US$)
✅CF]]</f>
        <v>0</v>
      </c>
      <c r="R486" s="280">
        <f>TABLA_BASE[[#This Row],[DEUDA
ADUANERA
UNIT.]]*TABLA_BASE[[#This Row],[CANTIDAD
(unid.)]]</f>
        <v>0</v>
      </c>
      <c r="S486" s="278">
        <f>TABLA_BASE[[#This Row],[DEUDA
ADUANERA
UNIT.]]*'📋 Datos Generales'!$E$19</f>
        <v>0</v>
      </c>
      <c r="T486" s="278">
        <f>TABLA_BASE[[#This Row],[DEUDA
ADUANERA
TOTAL]]*'📋 Datos Generales'!$E$19</f>
        <v>0</v>
      </c>
      <c r="U486" s="281">
        <f>TABLA_BASE[[#This Row],[ADV UNIT.
(US$)
⚠️COSTO]]*'📋 Datos Generales'!$E$19</f>
        <v>0</v>
      </c>
      <c r="V486" s="281">
        <f>TABLA_BASE[[#This Row],[ADV UNIT.
(S/.)]]*TABLA_BASE[[#This Row],[CANTIDAD
(unid.)]]</f>
        <v>0</v>
      </c>
      <c r="W486" s="281">
        <f>TABLA_BASE[[#This Row],[IPM UNIT.
(US$)
✅CF]]*'📋 Datos Generales'!$E$19</f>
        <v>0</v>
      </c>
      <c r="X486" s="281">
        <f>TABLA_BASE[[#This Row],[IPM UNIT.
(S/.)]]*TABLA_BASE[[#This Row],[CANTIDAD
(unid.)]]</f>
        <v>0</v>
      </c>
      <c r="Y486" s="281">
        <f>TABLA_BASE[[#This Row],[IGV UNIT.
(US$)
✅CF]]*'📋 Datos Generales'!$E$19</f>
        <v>0</v>
      </c>
      <c r="Z486" s="281">
        <f>TABLA_BASE[[#This Row],[IGV UNIT.
(S/.)]]*TABLA_BASE[[#This Row],[CANTIDAD
(unid.)]]</f>
        <v>0</v>
      </c>
      <c r="AA486" s="281">
        <f>TABLA_BASE[[#This Row],[PERCEP.
UNIT.(US$)
✅CF]]*'📋 Datos Generales'!$E$19</f>
        <v>0</v>
      </c>
      <c r="AB486" s="281">
        <f>TABLA_BASE[[#This Row],[PERCEP.
UNIT.(S/.)]]*TABLA_BASE[[#This Row],[CANTIDAD
(unid.)]]</f>
        <v>0</v>
      </c>
      <c r="AC486" s="279">
        <f>TABLA_BASE[[#This Row],[ADV UNIT.
(US$)
⚠️COSTO]]+TABLA_BASE[[#This Row],[IPM UNIT.
(US$)
✅CF]]+TABLA_BASE[[#This Row],[IGV UNIT.
(US$)
✅CF]]+TABLA_BASE[[#This Row],[PERCEP.
UNIT.(US$)
✅CF]]</f>
        <v>0</v>
      </c>
      <c r="AD486" s="279">
        <f>TABLA_BASE[[#This Row],[TOTAL PAGO
SUNAT
UNIT.(US$)]]*TABLA_BASE[[#This Row],[CANTIDAD
(unid.)]]</f>
        <v>0</v>
      </c>
      <c r="AE486" s="281">
        <f>TABLA_BASE[[#This Row],[TOTAL PAGO
SUNAT
UNIT.(US$)]]*'📋 Datos Generales'!$E$19</f>
        <v>0</v>
      </c>
      <c r="AF486" s="281">
        <f>TABLA_BASE[[#This Row],[TOTAL TRIB.
UNIT.(S/.)]]*TABLA_BASE[[#This Row],[CANTIDAD
(unid.)]]</f>
        <v>0</v>
      </c>
      <c r="AG486" s="279">
        <f>IF('🧾 Factura Comercial'!G490=0,0,'📦 Gastos Importación'!$E$28*(IF('🧾 Tributos Aduana'!$F$6=0,0,'🧾 Factura Comercial'!I490/'🧾 Tributos Aduana'!$F$6))/'🧾 Factura Comercial'!G490)</f>
        <v>0</v>
      </c>
      <c r="AH486" s="279">
        <f>TABLA_BASE[[#This Row],[GASTOS IMP.
UNIT.(US$)]]*TABLA_BASE[[#This Row],[CANTIDAD
(unid.)]]</f>
        <v>0</v>
      </c>
      <c r="AI486" s="281">
        <f>TABLA_BASE[[#This Row],[GASTOS IMP.
UNIT.(US$)]]*'📋 Datos Generales'!$E$19</f>
        <v>0</v>
      </c>
      <c r="AJ486" s="281">
        <f>TABLA_BASE[[#This Row],[GASTOS IMP.
UNIT.(S/.)]]*TABLA_BASE[[#This Row],[CANTIDAD
(unid.)]]</f>
        <v>0</v>
      </c>
      <c r="AK486" s="280">
        <f>'🧮 Costos x Producto'!J490</f>
        <v>0</v>
      </c>
      <c r="AL486" s="278">
        <f>'🧮 Costos x Producto'!K490</f>
        <v>0</v>
      </c>
      <c r="AM486" s="278">
        <f>TABLA_BASE[[#This Row],[C/M UNIT.
(S/.)]]*TABLA_BASE[[#This Row],[CANTIDAD
(unid.)]]</f>
        <v>0</v>
      </c>
      <c r="AN486" s="279">
        <f>IF('🧾 Factura Comercial'!G490=0,0,'🧾 Tributos Aduana'!$F$17*(IF('🧾 Tributos Aduana'!$F$6=0,0,'🧾 Factura Comercial'!I490/'🧾 Tributos Aduana'!$F$6))/'🧾 Factura Comercial'!G490)</f>
        <v>0</v>
      </c>
      <c r="AO486" s="280">
        <f>IF('🧾 Factura Comercial'!G490=0,0,'🏦 Crédito Fiscal'!$C$16*(IF('🧾 Tributos Aduana'!$F$6=0,0,'🧾 Factura Comercial'!I490/'🧾 Tributos Aduana'!$F$6))/'🧾 Factura Comercial'!G490)</f>
        <v>0</v>
      </c>
      <c r="AP486" s="278">
        <f>TABLA_BASE[[#This Row],[CF UNIT.
✅RECUP.
(US$)]]*'📋 Datos Generales'!$E$19</f>
        <v>0</v>
      </c>
      <c r="AQ486" s="278">
        <f>TABLA_BASE[[#This Row],[CF UNIT.
✅RECUP.(S/.)]]*TABLA_BASE[[#This Row],[CANTIDAD
(unid.)]]</f>
        <v>0</v>
      </c>
      <c r="AR486" s="288">
        <f>'💰 Precio de Venta'!G491</f>
        <v>0.4</v>
      </c>
      <c r="AS486" s="278">
        <f>'💰 Precio de Venta'!H491</f>
        <v>0</v>
      </c>
      <c r="AT486" s="278">
        <f>TABLA_BASE[[#This Row],[VALOR VTA.
UNIT.(S/.)]]*TABLA_BASE[[#This Row],[CANTIDAD
(unid.)]]</f>
        <v>0</v>
      </c>
      <c r="AU486" s="281">
        <f>'💰 Precio de Venta'!I491</f>
        <v>0</v>
      </c>
      <c r="AV486" s="278">
        <f>'💰 Precio de Venta'!J491</f>
        <v>0</v>
      </c>
      <c r="AW486" s="278">
        <f>TABLA_BASE[[#This Row],[GANANCIA
UNIT.(S/.)]]*TABLA_BASE[[#This Row],[CANTIDAD
(unid.)]]</f>
        <v>0</v>
      </c>
      <c r="AX486" s="289">
        <f>'💰 Precio de Venta'!K491</f>
        <v>0</v>
      </c>
      <c r="AY486" s="278">
        <f>TABLA_BASE[[#This Row],[GANANCIA
UNIT.(S/.)]]*'🧾 Factura Comercial'!G490</f>
        <v>0</v>
      </c>
      <c r="AZ486" s="277">
        <f>IF(TABLA_BASE[[#This Row],[PRECIO VTA.
c/IGV(S/.)]]=0,0,TABLA_BASE[[#This Row],[GANANCIA
UNIT.(S/.)]]/TABLA_BASE[[#This Row],[PRECIO VTA.
c/IGV(S/.)]])</f>
        <v>0</v>
      </c>
      <c r="BA486" s="277">
        <f>IF(TABLA_BASE[[#This Row],[C/M UNIT.
(S/.)]]=0,0,TABLA_BASE[[#This Row],[GANANCIA
UNIT.(S/.)]]/TABLA_BASE[[#This Row],[C/M UNIT.
(S/.)]])</f>
        <v>0</v>
      </c>
      <c r="BB486" s="274" t="str">
        <f>IF(TABLA_BASE[[#This Row],[MARGEN
%]]&gt;=0.5,"🟢 ALTO",IF(TABLA_BASE[[#This Row],[MARGEN
%]]&gt;=0.3,"🟡 MEDIO","🔴 BAJO"))</f>
        <v>🟡 MEDIO</v>
      </c>
    </row>
    <row r="487" spans="1:54" ht="16.5" hidden="1" thickTop="1" thickBot="1" x14ac:dyDescent="0.3">
      <c r="A487" s="274">
        <f>'🧾 Factura Comercial'!E491</f>
        <v>0</v>
      </c>
      <c r="B487" s="274" t="str">
        <f>'🧾 Factura Comercial'!F491</f>
        <v>Unid.</v>
      </c>
      <c r="C487" s="275">
        <f>'🧾 Factura Comercial'!G491</f>
        <v>0</v>
      </c>
      <c r="D487" s="276">
        <f>'🧾 Factura Comercial'!H491</f>
        <v>0</v>
      </c>
      <c r="E487" s="276">
        <f>'🧾 Factura Comercial'!I491</f>
        <v>0</v>
      </c>
      <c r="F487" s="277">
        <f>IF('🧾 Tributos Aduana'!$F$6=0,0,'🧾 Factura Comercial'!I491/'🧾 Tributos Aduana'!$F$6)</f>
        <v>0</v>
      </c>
      <c r="G487" s="278">
        <f>'🧾 Factura Comercial'!H491*'📋 Datos Generales'!$E$19</f>
        <v>0</v>
      </c>
      <c r="H487" s="278">
        <f>TABLA_BASE[[#This Row],[FOB UNIT.
(S/.)]]*TABLA_BASE[[#This Row],[CANTIDAD
(unid.)]]</f>
        <v>0</v>
      </c>
      <c r="I487" s="280">
        <f>IF('🧾 Tributos Aduana'!$F$6=0,0,'🧾 Tributos Aduana'!$F$17*('🧾 Factura Comercial'!H491/'🧾 Tributos Aduana'!$F$6))</f>
        <v>0</v>
      </c>
      <c r="J487" s="280">
        <f>TABLA_BASE[[#This Row],[ADV UNIT.
(US$)
⚠️COSTO]]*TABLA_BASE[[#This Row],[CANTIDAD
(unid.)]]</f>
        <v>0</v>
      </c>
      <c r="K487" s="279">
        <f>IF('🧾 Tributos Aduana'!$F$6=0,0,'🧾 Tributos Aduana'!$F$18*('🧾 Factura Comercial'!H491/'🧾 Tributos Aduana'!$F$6))</f>
        <v>0</v>
      </c>
      <c r="L487" s="280">
        <f>TABLA_BASE[[#This Row],[IPM UNIT.
(US$)
✅CF]]*TABLA_BASE[[#This Row],[CANTIDAD
(unid.)]]</f>
        <v>0</v>
      </c>
      <c r="M487" s="279">
        <f>IF('🧾 Tributos Aduana'!$F$6=0,0,'🧾 Tributos Aduana'!$F$19*('🧾 Factura Comercial'!H491/'🧾 Tributos Aduana'!$F$6))</f>
        <v>0</v>
      </c>
      <c r="N487" s="280">
        <f>TABLA_BASE[[#This Row],[IGV UNIT.
(US$)
✅CF]]*TABLA_BASE[[#This Row],[CANTIDAD
(unid.)]]</f>
        <v>0</v>
      </c>
      <c r="O487" s="280">
        <f>IF('🧾 Tributos Aduana'!$F$6=0,0,'🧾 Tributos Aduana'!$F$23*('🧾 Factura Comercial'!H491/'🧾 Tributos Aduana'!$F$6))</f>
        <v>0</v>
      </c>
      <c r="P487" s="280">
        <f>TABLA_BASE[[#This Row],[PERCEP.
UNIT.(US$)
✅CF]]*TABLA_BASE[[#This Row],[CANTIDAD
(unid.)]]</f>
        <v>0</v>
      </c>
      <c r="Q487" s="279">
        <f>TABLA_BASE[[#This Row],[ADV UNIT.
(US$)
⚠️COSTO]]+TABLA_BASE[[#This Row],[IPM UNIT.
(US$)
✅CF]]+TABLA_BASE[[#This Row],[IGV UNIT.
(US$)
✅CF]]</f>
        <v>0</v>
      </c>
      <c r="R487" s="280">
        <f>TABLA_BASE[[#This Row],[DEUDA
ADUANERA
UNIT.]]*TABLA_BASE[[#This Row],[CANTIDAD
(unid.)]]</f>
        <v>0</v>
      </c>
      <c r="S487" s="278">
        <f>TABLA_BASE[[#This Row],[DEUDA
ADUANERA
UNIT.]]*'📋 Datos Generales'!$E$19</f>
        <v>0</v>
      </c>
      <c r="T487" s="278">
        <f>TABLA_BASE[[#This Row],[DEUDA
ADUANERA
TOTAL]]*'📋 Datos Generales'!$E$19</f>
        <v>0</v>
      </c>
      <c r="U487" s="281">
        <f>TABLA_BASE[[#This Row],[ADV UNIT.
(US$)
⚠️COSTO]]*'📋 Datos Generales'!$E$19</f>
        <v>0</v>
      </c>
      <c r="V487" s="281">
        <f>TABLA_BASE[[#This Row],[ADV UNIT.
(S/.)]]*TABLA_BASE[[#This Row],[CANTIDAD
(unid.)]]</f>
        <v>0</v>
      </c>
      <c r="W487" s="281">
        <f>TABLA_BASE[[#This Row],[IPM UNIT.
(US$)
✅CF]]*'📋 Datos Generales'!$E$19</f>
        <v>0</v>
      </c>
      <c r="X487" s="281">
        <f>TABLA_BASE[[#This Row],[IPM UNIT.
(S/.)]]*TABLA_BASE[[#This Row],[CANTIDAD
(unid.)]]</f>
        <v>0</v>
      </c>
      <c r="Y487" s="281">
        <f>TABLA_BASE[[#This Row],[IGV UNIT.
(US$)
✅CF]]*'📋 Datos Generales'!$E$19</f>
        <v>0</v>
      </c>
      <c r="Z487" s="281">
        <f>TABLA_BASE[[#This Row],[IGV UNIT.
(S/.)]]*TABLA_BASE[[#This Row],[CANTIDAD
(unid.)]]</f>
        <v>0</v>
      </c>
      <c r="AA487" s="281">
        <f>TABLA_BASE[[#This Row],[PERCEP.
UNIT.(US$)
✅CF]]*'📋 Datos Generales'!$E$19</f>
        <v>0</v>
      </c>
      <c r="AB487" s="281">
        <f>TABLA_BASE[[#This Row],[PERCEP.
UNIT.(S/.)]]*TABLA_BASE[[#This Row],[CANTIDAD
(unid.)]]</f>
        <v>0</v>
      </c>
      <c r="AC487" s="279">
        <f>TABLA_BASE[[#This Row],[ADV UNIT.
(US$)
⚠️COSTO]]+TABLA_BASE[[#This Row],[IPM UNIT.
(US$)
✅CF]]+TABLA_BASE[[#This Row],[IGV UNIT.
(US$)
✅CF]]+TABLA_BASE[[#This Row],[PERCEP.
UNIT.(US$)
✅CF]]</f>
        <v>0</v>
      </c>
      <c r="AD487" s="279">
        <f>TABLA_BASE[[#This Row],[TOTAL PAGO
SUNAT
UNIT.(US$)]]*TABLA_BASE[[#This Row],[CANTIDAD
(unid.)]]</f>
        <v>0</v>
      </c>
      <c r="AE487" s="281">
        <f>TABLA_BASE[[#This Row],[TOTAL PAGO
SUNAT
UNIT.(US$)]]*'📋 Datos Generales'!$E$19</f>
        <v>0</v>
      </c>
      <c r="AF487" s="281">
        <f>TABLA_BASE[[#This Row],[TOTAL TRIB.
UNIT.(S/.)]]*TABLA_BASE[[#This Row],[CANTIDAD
(unid.)]]</f>
        <v>0</v>
      </c>
      <c r="AG487" s="279">
        <f>IF('🧾 Factura Comercial'!G491=0,0,'📦 Gastos Importación'!$E$28*(IF('🧾 Tributos Aduana'!$F$6=0,0,'🧾 Factura Comercial'!I491/'🧾 Tributos Aduana'!$F$6))/'🧾 Factura Comercial'!G491)</f>
        <v>0</v>
      </c>
      <c r="AH487" s="279">
        <f>TABLA_BASE[[#This Row],[GASTOS IMP.
UNIT.(US$)]]*TABLA_BASE[[#This Row],[CANTIDAD
(unid.)]]</f>
        <v>0</v>
      </c>
      <c r="AI487" s="281">
        <f>TABLA_BASE[[#This Row],[GASTOS IMP.
UNIT.(US$)]]*'📋 Datos Generales'!$E$19</f>
        <v>0</v>
      </c>
      <c r="AJ487" s="281">
        <f>TABLA_BASE[[#This Row],[GASTOS IMP.
UNIT.(S/.)]]*TABLA_BASE[[#This Row],[CANTIDAD
(unid.)]]</f>
        <v>0</v>
      </c>
      <c r="AK487" s="280">
        <f>'🧮 Costos x Producto'!J491</f>
        <v>0</v>
      </c>
      <c r="AL487" s="278">
        <f>'🧮 Costos x Producto'!K491</f>
        <v>0</v>
      </c>
      <c r="AM487" s="278">
        <f>TABLA_BASE[[#This Row],[C/M UNIT.
(S/.)]]*TABLA_BASE[[#This Row],[CANTIDAD
(unid.)]]</f>
        <v>0</v>
      </c>
      <c r="AN487" s="279">
        <f>IF('🧾 Factura Comercial'!G491=0,0,'🧾 Tributos Aduana'!$F$17*(IF('🧾 Tributos Aduana'!$F$6=0,0,'🧾 Factura Comercial'!I491/'🧾 Tributos Aduana'!$F$6))/'🧾 Factura Comercial'!G491)</f>
        <v>0</v>
      </c>
      <c r="AO487" s="280">
        <f>IF('🧾 Factura Comercial'!G491=0,0,'🏦 Crédito Fiscal'!$C$16*(IF('🧾 Tributos Aduana'!$F$6=0,0,'🧾 Factura Comercial'!I491/'🧾 Tributos Aduana'!$F$6))/'🧾 Factura Comercial'!G491)</f>
        <v>0</v>
      </c>
      <c r="AP487" s="278">
        <f>TABLA_BASE[[#This Row],[CF UNIT.
✅RECUP.
(US$)]]*'📋 Datos Generales'!$E$19</f>
        <v>0</v>
      </c>
      <c r="AQ487" s="278">
        <f>TABLA_BASE[[#This Row],[CF UNIT.
✅RECUP.(S/.)]]*TABLA_BASE[[#This Row],[CANTIDAD
(unid.)]]</f>
        <v>0</v>
      </c>
      <c r="AR487" s="288">
        <f>'💰 Precio de Venta'!G492</f>
        <v>0.4</v>
      </c>
      <c r="AS487" s="278">
        <f>'💰 Precio de Venta'!H492</f>
        <v>0</v>
      </c>
      <c r="AT487" s="278">
        <f>TABLA_BASE[[#This Row],[VALOR VTA.
UNIT.(S/.)]]*TABLA_BASE[[#This Row],[CANTIDAD
(unid.)]]</f>
        <v>0</v>
      </c>
      <c r="AU487" s="281">
        <f>'💰 Precio de Venta'!I492</f>
        <v>0</v>
      </c>
      <c r="AV487" s="278">
        <f>'💰 Precio de Venta'!J492</f>
        <v>0</v>
      </c>
      <c r="AW487" s="278">
        <f>TABLA_BASE[[#This Row],[GANANCIA
UNIT.(S/.)]]*TABLA_BASE[[#This Row],[CANTIDAD
(unid.)]]</f>
        <v>0</v>
      </c>
      <c r="AX487" s="289">
        <f>'💰 Precio de Venta'!K492</f>
        <v>0</v>
      </c>
      <c r="AY487" s="278">
        <f>TABLA_BASE[[#This Row],[GANANCIA
UNIT.(S/.)]]*'🧾 Factura Comercial'!G491</f>
        <v>0</v>
      </c>
      <c r="AZ487" s="277">
        <f>IF(TABLA_BASE[[#This Row],[PRECIO VTA.
c/IGV(S/.)]]=0,0,TABLA_BASE[[#This Row],[GANANCIA
UNIT.(S/.)]]/TABLA_BASE[[#This Row],[PRECIO VTA.
c/IGV(S/.)]])</f>
        <v>0</v>
      </c>
      <c r="BA487" s="277">
        <f>IF(TABLA_BASE[[#This Row],[C/M UNIT.
(S/.)]]=0,0,TABLA_BASE[[#This Row],[GANANCIA
UNIT.(S/.)]]/TABLA_BASE[[#This Row],[C/M UNIT.
(S/.)]])</f>
        <v>0</v>
      </c>
      <c r="BB487" s="274" t="str">
        <f>IF(TABLA_BASE[[#This Row],[MARGEN
%]]&gt;=0.5,"🟢 ALTO",IF(TABLA_BASE[[#This Row],[MARGEN
%]]&gt;=0.3,"🟡 MEDIO","🔴 BAJO"))</f>
        <v>🟡 MEDIO</v>
      </c>
    </row>
    <row r="488" spans="1:54" ht="16.5" hidden="1" thickTop="1" thickBot="1" x14ac:dyDescent="0.3">
      <c r="A488" s="274">
        <f>'🧾 Factura Comercial'!E492</f>
        <v>0</v>
      </c>
      <c r="B488" s="274" t="str">
        <f>'🧾 Factura Comercial'!F492</f>
        <v>Unid.</v>
      </c>
      <c r="C488" s="275">
        <f>'🧾 Factura Comercial'!G492</f>
        <v>0</v>
      </c>
      <c r="D488" s="276">
        <f>'🧾 Factura Comercial'!H492</f>
        <v>0</v>
      </c>
      <c r="E488" s="276">
        <f>'🧾 Factura Comercial'!I492</f>
        <v>0</v>
      </c>
      <c r="F488" s="277">
        <f>IF('🧾 Tributos Aduana'!$F$6=0,0,'🧾 Factura Comercial'!I492/'🧾 Tributos Aduana'!$F$6)</f>
        <v>0</v>
      </c>
      <c r="G488" s="278">
        <f>'🧾 Factura Comercial'!H492*'📋 Datos Generales'!$E$19</f>
        <v>0</v>
      </c>
      <c r="H488" s="278">
        <f>TABLA_BASE[[#This Row],[FOB UNIT.
(S/.)]]*TABLA_BASE[[#This Row],[CANTIDAD
(unid.)]]</f>
        <v>0</v>
      </c>
      <c r="I488" s="280">
        <f>IF('🧾 Tributos Aduana'!$F$6=0,0,'🧾 Tributos Aduana'!$F$17*('🧾 Factura Comercial'!H492/'🧾 Tributos Aduana'!$F$6))</f>
        <v>0</v>
      </c>
      <c r="J488" s="280">
        <f>TABLA_BASE[[#This Row],[ADV UNIT.
(US$)
⚠️COSTO]]*TABLA_BASE[[#This Row],[CANTIDAD
(unid.)]]</f>
        <v>0</v>
      </c>
      <c r="K488" s="279">
        <f>IF('🧾 Tributos Aduana'!$F$6=0,0,'🧾 Tributos Aduana'!$F$18*('🧾 Factura Comercial'!H492/'🧾 Tributos Aduana'!$F$6))</f>
        <v>0</v>
      </c>
      <c r="L488" s="280">
        <f>TABLA_BASE[[#This Row],[IPM UNIT.
(US$)
✅CF]]*TABLA_BASE[[#This Row],[CANTIDAD
(unid.)]]</f>
        <v>0</v>
      </c>
      <c r="M488" s="279">
        <f>IF('🧾 Tributos Aduana'!$F$6=0,0,'🧾 Tributos Aduana'!$F$19*('🧾 Factura Comercial'!H492/'🧾 Tributos Aduana'!$F$6))</f>
        <v>0</v>
      </c>
      <c r="N488" s="280">
        <f>TABLA_BASE[[#This Row],[IGV UNIT.
(US$)
✅CF]]*TABLA_BASE[[#This Row],[CANTIDAD
(unid.)]]</f>
        <v>0</v>
      </c>
      <c r="O488" s="280">
        <f>IF('🧾 Tributos Aduana'!$F$6=0,0,'🧾 Tributos Aduana'!$F$23*('🧾 Factura Comercial'!H492/'🧾 Tributos Aduana'!$F$6))</f>
        <v>0</v>
      </c>
      <c r="P488" s="280">
        <f>TABLA_BASE[[#This Row],[PERCEP.
UNIT.(US$)
✅CF]]*TABLA_BASE[[#This Row],[CANTIDAD
(unid.)]]</f>
        <v>0</v>
      </c>
      <c r="Q488" s="279">
        <f>TABLA_BASE[[#This Row],[ADV UNIT.
(US$)
⚠️COSTO]]+TABLA_BASE[[#This Row],[IPM UNIT.
(US$)
✅CF]]+TABLA_BASE[[#This Row],[IGV UNIT.
(US$)
✅CF]]</f>
        <v>0</v>
      </c>
      <c r="R488" s="280">
        <f>TABLA_BASE[[#This Row],[DEUDA
ADUANERA
UNIT.]]*TABLA_BASE[[#This Row],[CANTIDAD
(unid.)]]</f>
        <v>0</v>
      </c>
      <c r="S488" s="278">
        <f>TABLA_BASE[[#This Row],[DEUDA
ADUANERA
UNIT.]]*'📋 Datos Generales'!$E$19</f>
        <v>0</v>
      </c>
      <c r="T488" s="278">
        <f>TABLA_BASE[[#This Row],[DEUDA
ADUANERA
TOTAL]]*'📋 Datos Generales'!$E$19</f>
        <v>0</v>
      </c>
      <c r="U488" s="281">
        <f>TABLA_BASE[[#This Row],[ADV UNIT.
(US$)
⚠️COSTO]]*'📋 Datos Generales'!$E$19</f>
        <v>0</v>
      </c>
      <c r="V488" s="281">
        <f>TABLA_BASE[[#This Row],[ADV UNIT.
(S/.)]]*TABLA_BASE[[#This Row],[CANTIDAD
(unid.)]]</f>
        <v>0</v>
      </c>
      <c r="W488" s="281">
        <f>TABLA_BASE[[#This Row],[IPM UNIT.
(US$)
✅CF]]*'📋 Datos Generales'!$E$19</f>
        <v>0</v>
      </c>
      <c r="X488" s="281">
        <f>TABLA_BASE[[#This Row],[IPM UNIT.
(S/.)]]*TABLA_BASE[[#This Row],[CANTIDAD
(unid.)]]</f>
        <v>0</v>
      </c>
      <c r="Y488" s="281">
        <f>TABLA_BASE[[#This Row],[IGV UNIT.
(US$)
✅CF]]*'📋 Datos Generales'!$E$19</f>
        <v>0</v>
      </c>
      <c r="Z488" s="281">
        <f>TABLA_BASE[[#This Row],[IGV UNIT.
(S/.)]]*TABLA_BASE[[#This Row],[CANTIDAD
(unid.)]]</f>
        <v>0</v>
      </c>
      <c r="AA488" s="281">
        <f>TABLA_BASE[[#This Row],[PERCEP.
UNIT.(US$)
✅CF]]*'📋 Datos Generales'!$E$19</f>
        <v>0</v>
      </c>
      <c r="AB488" s="281">
        <f>TABLA_BASE[[#This Row],[PERCEP.
UNIT.(S/.)]]*TABLA_BASE[[#This Row],[CANTIDAD
(unid.)]]</f>
        <v>0</v>
      </c>
      <c r="AC488" s="279">
        <f>TABLA_BASE[[#This Row],[ADV UNIT.
(US$)
⚠️COSTO]]+TABLA_BASE[[#This Row],[IPM UNIT.
(US$)
✅CF]]+TABLA_BASE[[#This Row],[IGV UNIT.
(US$)
✅CF]]+TABLA_BASE[[#This Row],[PERCEP.
UNIT.(US$)
✅CF]]</f>
        <v>0</v>
      </c>
      <c r="AD488" s="279">
        <f>TABLA_BASE[[#This Row],[TOTAL PAGO
SUNAT
UNIT.(US$)]]*TABLA_BASE[[#This Row],[CANTIDAD
(unid.)]]</f>
        <v>0</v>
      </c>
      <c r="AE488" s="281">
        <f>TABLA_BASE[[#This Row],[TOTAL PAGO
SUNAT
UNIT.(US$)]]*'📋 Datos Generales'!$E$19</f>
        <v>0</v>
      </c>
      <c r="AF488" s="281">
        <f>TABLA_BASE[[#This Row],[TOTAL TRIB.
UNIT.(S/.)]]*TABLA_BASE[[#This Row],[CANTIDAD
(unid.)]]</f>
        <v>0</v>
      </c>
      <c r="AG488" s="279">
        <f>IF('🧾 Factura Comercial'!G492=0,0,'📦 Gastos Importación'!$E$28*(IF('🧾 Tributos Aduana'!$F$6=0,0,'🧾 Factura Comercial'!I492/'🧾 Tributos Aduana'!$F$6))/'🧾 Factura Comercial'!G492)</f>
        <v>0</v>
      </c>
      <c r="AH488" s="279">
        <f>TABLA_BASE[[#This Row],[GASTOS IMP.
UNIT.(US$)]]*TABLA_BASE[[#This Row],[CANTIDAD
(unid.)]]</f>
        <v>0</v>
      </c>
      <c r="AI488" s="281">
        <f>TABLA_BASE[[#This Row],[GASTOS IMP.
UNIT.(US$)]]*'📋 Datos Generales'!$E$19</f>
        <v>0</v>
      </c>
      <c r="AJ488" s="281">
        <f>TABLA_BASE[[#This Row],[GASTOS IMP.
UNIT.(S/.)]]*TABLA_BASE[[#This Row],[CANTIDAD
(unid.)]]</f>
        <v>0</v>
      </c>
      <c r="AK488" s="280">
        <f>'🧮 Costos x Producto'!J492</f>
        <v>0</v>
      </c>
      <c r="AL488" s="278">
        <f>'🧮 Costos x Producto'!K492</f>
        <v>0</v>
      </c>
      <c r="AM488" s="278">
        <f>TABLA_BASE[[#This Row],[C/M UNIT.
(S/.)]]*TABLA_BASE[[#This Row],[CANTIDAD
(unid.)]]</f>
        <v>0</v>
      </c>
      <c r="AN488" s="279">
        <f>IF('🧾 Factura Comercial'!G492=0,0,'🧾 Tributos Aduana'!$F$17*(IF('🧾 Tributos Aduana'!$F$6=0,0,'🧾 Factura Comercial'!I492/'🧾 Tributos Aduana'!$F$6))/'🧾 Factura Comercial'!G492)</f>
        <v>0</v>
      </c>
      <c r="AO488" s="280">
        <f>IF('🧾 Factura Comercial'!G492=0,0,'🏦 Crédito Fiscal'!$C$16*(IF('🧾 Tributos Aduana'!$F$6=0,0,'🧾 Factura Comercial'!I492/'🧾 Tributos Aduana'!$F$6))/'🧾 Factura Comercial'!G492)</f>
        <v>0</v>
      </c>
      <c r="AP488" s="278">
        <f>TABLA_BASE[[#This Row],[CF UNIT.
✅RECUP.
(US$)]]*'📋 Datos Generales'!$E$19</f>
        <v>0</v>
      </c>
      <c r="AQ488" s="278">
        <f>TABLA_BASE[[#This Row],[CF UNIT.
✅RECUP.(S/.)]]*TABLA_BASE[[#This Row],[CANTIDAD
(unid.)]]</f>
        <v>0</v>
      </c>
      <c r="AR488" s="288">
        <f>'💰 Precio de Venta'!G493</f>
        <v>0.4</v>
      </c>
      <c r="AS488" s="278">
        <f>'💰 Precio de Venta'!H493</f>
        <v>0</v>
      </c>
      <c r="AT488" s="278">
        <f>TABLA_BASE[[#This Row],[VALOR VTA.
UNIT.(S/.)]]*TABLA_BASE[[#This Row],[CANTIDAD
(unid.)]]</f>
        <v>0</v>
      </c>
      <c r="AU488" s="281">
        <f>'💰 Precio de Venta'!I493</f>
        <v>0</v>
      </c>
      <c r="AV488" s="278">
        <f>'💰 Precio de Venta'!J493</f>
        <v>0</v>
      </c>
      <c r="AW488" s="278">
        <f>TABLA_BASE[[#This Row],[GANANCIA
UNIT.(S/.)]]*TABLA_BASE[[#This Row],[CANTIDAD
(unid.)]]</f>
        <v>0</v>
      </c>
      <c r="AX488" s="289">
        <f>'💰 Precio de Venta'!K493</f>
        <v>0</v>
      </c>
      <c r="AY488" s="278">
        <f>TABLA_BASE[[#This Row],[GANANCIA
UNIT.(S/.)]]*'🧾 Factura Comercial'!G492</f>
        <v>0</v>
      </c>
      <c r="AZ488" s="277">
        <f>IF(TABLA_BASE[[#This Row],[PRECIO VTA.
c/IGV(S/.)]]=0,0,TABLA_BASE[[#This Row],[GANANCIA
UNIT.(S/.)]]/TABLA_BASE[[#This Row],[PRECIO VTA.
c/IGV(S/.)]])</f>
        <v>0</v>
      </c>
      <c r="BA488" s="277">
        <f>IF(TABLA_BASE[[#This Row],[C/M UNIT.
(S/.)]]=0,0,TABLA_BASE[[#This Row],[GANANCIA
UNIT.(S/.)]]/TABLA_BASE[[#This Row],[C/M UNIT.
(S/.)]])</f>
        <v>0</v>
      </c>
      <c r="BB488" s="274" t="str">
        <f>IF(TABLA_BASE[[#This Row],[MARGEN
%]]&gt;=0.5,"🟢 ALTO",IF(TABLA_BASE[[#This Row],[MARGEN
%]]&gt;=0.3,"🟡 MEDIO","🔴 BAJO"))</f>
        <v>🟡 MEDIO</v>
      </c>
    </row>
    <row r="489" spans="1:54" ht="16.5" hidden="1" thickTop="1" thickBot="1" x14ac:dyDescent="0.3">
      <c r="A489" s="274">
        <f>'🧾 Factura Comercial'!E493</f>
        <v>0</v>
      </c>
      <c r="B489" s="274" t="str">
        <f>'🧾 Factura Comercial'!F493</f>
        <v>Unid.</v>
      </c>
      <c r="C489" s="275">
        <f>'🧾 Factura Comercial'!G493</f>
        <v>0</v>
      </c>
      <c r="D489" s="276">
        <f>'🧾 Factura Comercial'!H493</f>
        <v>0</v>
      </c>
      <c r="E489" s="276">
        <f>'🧾 Factura Comercial'!I493</f>
        <v>0</v>
      </c>
      <c r="F489" s="277">
        <f>IF('🧾 Tributos Aduana'!$F$6=0,0,'🧾 Factura Comercial'!I493/'🧾 Tributos Aduana'!$F$6)</f>
        <v>0</v>
      </c>
      <c r="G489" s="278">
        <f>'🧾 Factura Comercial'!H493*'📋 Datos Generales'!$E$19</f>
        <v>0</v>
      </c>
      <c r="H489" s="278">
        <f>TABLA_BASE[[#This Row],[FOB UNIT.
(S/.)]]*TABLA_BASE[[#This Row],[CANTIDAD
(unid.)]]</f>
        <v>0</v>
      </c>
      <c r="I489" s="280">
        <f>IF('🧾 Tributos Aduana'!$F$6=0,0,'🧾 Tributos Aduana'!$F$17*('🧾 Factura Comercial'!H493/'🧾 Tributos Aduana'!$F$6))</f>
        <v>0</v>
      </c>
      <c r="J489" s="280">
        <f>TABLA_BASE[[#This Row],[ADV UNIT.
(US$)
⚠️COSTO]]*TABLA_BASE[[#This Row],[CANTIDAD
(unid.)]]</f>
        <v>0</v>
      </c>
      <c r="K489" s="279">
        <f>IF('🧾 Tributos Aduana'!$F$6=0,0,'🧾 Tributos Aduana'!$F$18*('🧾 Factura Comercial'!H493/'🧾 Tributos Aduana'!$F$6))</f>
        <v>0</v>
      </c>
      <c r="L489" s="280">
        <f>TABLA_BASE[[#This Row],[IPM UNIT.
(US$)
✅CF]]*TABLA_BASE[[#This Row],[CANTIDAD
(unid.)]]</f>
        <v>0</v>
      </c>
      <c r="M489" s="279">
        <f>IF('🧾 Tributos Aduana'!$F$6=0,0,'🧾 Tributos Aduana'!$F$19*('🧾 Factura Comercial'!H493/'🧾 Tributos Aduana'!$F$6))</f>
        <v>0</v>
      </c>
      <c r="N489" s="280">
        <f>TABLA_BASE[[#This Row],[IGV UNIT.
(US$)
✅CF]]*TABLA_BASE[[#This Row],[CANTIDAD
(unid.)]]</f>
        <v>0</v>
      </c>
      <c r="O489" s="280">
        <f>IF('🧾 Tributos Aduana'!$F$6=0,0,'🧾 Tributos Aduana'!$F$23*('🧾 Factura Comercial'!H493/'🧾 Tributos Aduana'!$F$6))</f>
        <v>0</v>
      </c>
      <c r="P489" s="280">
        <f>TABLA_BASE[[#This Row],[PERCEP.
UNIT.(US$)
✅CF]]*TABLA_BASE[[#This Row],[CANTIDAD
(unid.)]]</f>
        <v>0</v>
      </c>
      <c r="Q489" s="279">
        <f>TABLA_BASE[[#This Row],[ADV UNIT.
(US$)
⚠️COSTO]]+TABLA_BASE[[#This Row],[IPM UNIT.
(US$)
✅CF]]+TABLA_BASE[[#This Row],[IGV UNIT.
(US$)
✅CF]]</f>
        <v>0</v>
      </c>
      <c r="R489" s="280">
        <f>TABLA_BASE[[#This Row],[DEUDA
ADUANERA
UNIT.]]*TABLA_BASE[[#This Row],[CANTIDAD
(unid.)]]</f>
        <v>0</v>
      </c>
      <c r="S489" s="278">
        <f>TABLA_BASE[[#This Row],[DEUDA
ADUANERA
UNIT.]]*'📋 Datos Generales'!$E$19</f>
        <v>0</v>
      </c>
      <c r="T489" s="278">
        <f>TABLA_BASE[[#This Row],[DEUDA
ADUANERA
TOTAL]]*'📋 Datos Generales'!$E$19</f>
        <v>0</v>
      </c>
      <c r="U489" s="281">
        <f>TABLA_BASE[[#This Row],[ADV UNIT.
(US$)
⚠️COSTO]]*'📋 Datos Generales'!$E$19</f>
        <v>0</v>
      </c>
      <c r="V489" s="281">
        <f>TABLA_BASE[[#This Row],[ADV UNIT.
(S/.)]]*TABLA_BASE[[#This Row],[CANTIDAD
(unid.)]]</f>
        <v>0</v>
      </c>
      <c r="W489" s="281">
        <f>TABLA_BASE[[#This Row],[IPM UNIT.
(US$)
✅CF]]*'📋 Datos Generales'!$E$19</f>
        <v>0</v>
      </c>
      <c r="X489" s="281">
        <f>TABLA_BASE[[#This Row],[IPM UNIT.
(S/.)]]*TABLA_BASE[[#This Row],[CANTIDAD
(unid.)]]</f>
        <v>0</v>
      </c>
      <c r="Y489" s="281">
        <f>TABLA_BASE[[#This Row],[IGV UNIT.
(US$)
✅CF]]*'📋 Datos Generales'!$E$19</f>
        <v>0</v>
      </c>
      <c r="Z489" s="281">
        <f>TABLA_BASE[[#This Row],[IGV UNIT.
(S/.)]]*TABLA_BASE[[#This Row],[CANTIDAD
(unid.)]]</f>
        <v>0</v>
      </c>
      <c r="AA489" s="281">
        <f>TABLA_BASE[[#This Row],[PERCEP.
UNIT.(US$)
✅CF]]*'📋 Datos Generales'!$E$19</f>
        <v>0</v>
      </c>
      <c r="AB489" s="281">
        <f>TABLA_BASE[[#This Row],[PERCEP.
UNIT.(S/.)]]*TABLA_BASE[[#This Row],[CANTIDAD
(unid.)]]</f>
        <v>0</v>
      </c>
      <c r="AC489" s="279">
        <f>TABLA_BASE[[#This Row],[ADV UNIT.
(US$)
⚠️COSTO]]+TABLA_BASE[[#This Row],[IPM UNIT.
(US$)
✅CF]]+TABLA_BASE[[#This Row],[IGV UNIT.
(US$)
✅CF]]+TABLA_BASE[[#This Row],[PERCEP.
UNIT.(US$)
✅CF]]</f>
        <v>0</v>
      </c>
      <c r="AD489" s="279">
        <f>TABLA_BASE[[#This Row],[TOTAL PAGO
SUNAT
UNIT.(US$)]]*TABLA_BASE[[#This Row],[CANTIDAD
(unid.)]]</f>
        <v>0</v>
      </c>
      <c r="AE489" s="281">
        <f>TABLA_BASE[[#This Row],[TOTAL PAGO
SUNAT
UNIT.(US$)]]*'📋 Datos Generales'!$E$19</f>
        <v>0</v>
      </c>
      <c r="AF489" s="281">
        <f>TABLA_BASE[[#This Row],[TOTAL TRIB.
UNIT.(S/.)]]*TABLA_BASE[[#This Row],[CANTIDAD
(unid.)]]</f>
        <v>0</v>
      </c>
      <c r="AG489" s="279">
        <f>IF('🧾 Factura Comercial'!G493=0,0,'📦 Gastos Importación'!$E$28*(IF('🧾 Tributos Aduana'!$F$6=0,0,'🧾 Factura Comercial'!I493/'🧾 Tributos Aduana'!$F$6))/'🧾 Factura Comercial'!G493)</f>
        <v>0</v>
      </c>
      <c r="AH489" s="279">
        <f>TABLA_BASE[[#This Row],[GASTOS IMP.
UNIT.(US$)]]*TABLA_BASE[[#This Row],[CANTIDAD
(unid.)]]</f>
        <v>0</v>
      </c>
      <c r="AI489" s="281">
        <f>TABLA_BASE[[#This Row],[GASTOS IMP.
UNIT.(US$)]]*'📋 Datos Generales'!$E$19</f>
        <v>0</v>
      </c>
      <c r="AJ489" s="281">
        <f>TABLA_BASE[[#This Row],[GASTOS IMP.
UNIT.(S/.)]]*TABLA_BASE[[#This Row],[CANTIDAD
(unid.)]]</f>
        <v>0</v>
      </c>
      <c r="AK489" s="280">
        <f>'🧮 Costos x Producto'!J493</f>
        <v>0</v>
      </c>
      <c r="AL489" s="278">
        <f>'🧮 Costos x Producto'!K493</f>
        <v>0</v>
      </c>
      <c r="AM489" s="278">
        <f>TABLA_BASE[[#This Row],[C/M UNIT.
(S/.)]]*TABLA_BASE[[#This Row],[CANTIDAD
(unid.)]]</f>
        <v>0</v>
      </c>
      <c r="AN489" s="279">
        <f>IF('🧾 Factura Comercial'!G493=0,0,'🧾 Tributos Aduana'!$F$17*(IF('🧾 Tributos Aduana'!$F$6=0,0,'🧾 Factura Comercial'!I493/'🧾 Tributos Aduana'!$F$6))/'🧾 Factura Comercial'!G493)</f>
        <v>0</v>
      </c>
      <c r="AO489" s="280">
        <f>IF('🧾 Factura Comercial'!G493=0,0,'🏦 Crédito Fiscal'!$C$16*(IF('🧾 Tributos Aduana'!$F$6=0,0,'🧾 Factura Comercial'!I493/'🧾 Tributos Aduana'!$F$6))/'🧾 Factura Comercial'!G493)</f>
        <v>0</v>
      </c>
      <c r="AP489" s="278">
        <f>TABLA_BASE[[#This Row],[CF UNIT.
✅RECUP.
(US$)]]*'📋 Datos Generales'!$E$19</f>
        <v>0</v>
      </c>
      <c r="AQ489" s="278">
        <f>TABLA_BASE[[#This Row],[CF UNIT.
✅RECUP.(S/.)]]*TABLA_BASE[[#This Row],[CANTIDAD
(unid.)]]</f>
        <v>0</v>
      </c>
      <c r="AR489" s="288">
        <f>'💰 Precio de Venta'!G494</f>
        <v>0.4</v>
      </c>
      <c r="AS489" s="278">
        <f>'💰 Precio de Venta'!H494</f>
        <v>0</v>
      </c>
      <c r="AT489" s="278">
        <f>TABLA_BASE[[#This Row],[VALOR VTA.
UNIT.(S/.)]]*TABLA_BASE[[#This Row],[CANTIDAD
(unid.)]]</f>
        <v>0</v>
      </c>
      <c r="AU489" s="281">
        <f>'💰 Precio de Venta'!I494</f>
        <v>0</v>
      </c>
      <c r="AV489" s="278">
        <f>'💰 Precio de Venta'!J494</f>
        <v>0</v>
      </c>
      <c r="AW489" s="278">
        <f>TABLA_BASE[[#This Row],[GANANCIA
UNIT.(S/.)]]*TABLA_BASE[[#This Row],[CANTIDAD
(unid.)]]</f>
        <v>0</v>
      </c>
      <c r="AX489" s="289">
        <f>'💰 Precio de Venta'!K494</f>
        <v>0</v>
      </c>
      <c r="AY489" s="278">
        <f>TABLA_BASE[[#This Row],[GANANCIA
UNIT.(S/.)]]*'🧾 Factura Comercial'!G493</f>
        <v>0</v>
      </c>
      <c r="AZ489" s="277">
        <f>IF(TABLA_BASE[[#This Row],[PRECIO VTA.
c/IGV(S/.)]]=0,0,TABLA_BASE[[#This Row],[GANANCIA
UNIT.(S/.)]]/TABLA_BASE[[#This Row],[PRECIO VTA.
c/IGV(S/.)]])</f>
        <v>0</v>
      </c>
      <c r="BA489" s="277">
        <f>IF(TABLA_BASE[[#This Row],[C/M UNIT.
(S/.)]]=0,0,TABLA_BASE[[#This Row],[GANANCIA
UNIT.(S/.)]]/TABLA_BASE[[#This Row],[C/M UNIT.
(S/.)]])</f>
        <v>0</v>
      </c>
      <c r="BB489" s="274" t="str">
        <f>IF(TABLA_BASE[[#This Row],[MARGEN
%]]&gt;=0.5,"🟢 ALTO",IF(TABLA_BASE[[#This Row],[MARGEN
%]]&gt;=0.3,"🟡 MEDIO","🔴 BAJO"))</f>
        <v>🟡 MEDIO</v>
      </c>
    </row>
    <row r="490" spans="1:54" ht="16.5" hidden="1" thickTop="1" thickBot="1" x14ac:dyDescent="0.3">
      <c r="A490" s="274">
        <f>'🧾 Factura Comercial'!E494</f>
        <v>0</v>
      </c>
      <c r="B490" s="274" t="str">
        <f>'🧾 Factura Comercial'!F494</f>
        <v>Unid.</v>
      </c>
      <c r="C490" s="275">
        <f>'🧾 Factura Comercial'!G494</f>
        <v>0</v>
      </c>
      <c r="D490" s="276">
        <f>'🧾 Factura Comercial'!H494</f>
        <v>0</v>
      </c>
      <c r="E490" s="276">
        <f>'🧾 Factura Comercial'!I494</f>
        <v>0</v>
      </c>
      <c r="F490" s="277">
        <f>IF('🧾 Tributos Aduana'!$F$6=0,0,'🧾 Factura Comercial'!I494/'🧾 Tributos Aduana'!$F$6)</f>
        <v>0</v>
      </c>
      <c r="G490" s="278">
        <f>'🧾 Factura Comercial'!H494*'📋 Datos Generales'!$E$19</f>
        <v>0</v>
      </c>
      <c r="H490" s="278">
        <f>TABLA_BASE[[#This Row],[FOB UNIT.
(S/.)]]*TABLA_BASE[[#This Row],[CANTIDAD
(unid.)]]</f>
        <v>0</v>
      </c>
      <c r="I490" s="280">
        <f>IF('🧾 Tributos Aduana'!$F$6=0,0,'🧾 Tributos Aduana'!$F$17*('🧾 Factura Comercial'!H494/'🧾 Tributos Aduana'!$F$6))</f>
        <v>0</v>
      </c>
      <c r="J490" s="280">
        <f>TABLA_BASE[[#This Row],[ADV UNIT.
(US$)
⚠️COSTO]]*TABLA_BASE[[#This Row],[CANTIDAD
(unid.)]]</f>
        <v>0</v>
      </c>
      <c r="K490" s="279">
        <f>IF('🧾 Tributos Aduana'!$F$6=0,0,'🧾 Tributos Aduana'!$F$18*('🧾 Factura Comercial'!H494/'🧾 Tributos Aduana'!$F$6))</f>
        <v>0</v>
      </c>
      <c r="L490" s="280">
        <f>TABLA_BASE[[#This Row],[IPM UNIT.
(US$)
✅CF]]*TABLA_BASE[[#This Row],[CANTIDAD
(unid.)]]</f>
        <v>0</v>
      </c>
      <c r="M490" s="279">
        <f>IF('🧾 Tributos Aduana'!$F$6=0,0,'🧾 Tributos Aduana'!$F$19*('🧾 Factura Comercial'!H494/'🧾 Tributos Aduana'!$F$6))</f>
        <v>0</v>
      </c>
      <c r="N490" s="280">
        <f>TABLA_BASE[[#This Row],[IGV UNIT.
(US$)
✅CF]]*TABLA_BASE[[#This Row],[CANTIDAD
(unid.)]]</f>
        <v>0</v>
      </c>
      <c r="O490" s="280">
        <f>IF('🧾 Tributos Aduana'!$F$6=0,0,'🧾 Tributos Aduana'!$F$23*('🧾 Factura Comercial'!H494/'🧾 Tributos Aduana'!$F$6))</f>
        <v>0</v>
      </c>
      <c r="P490" s="280">
        <f>TABLA_BASE[[#This Row],[PERCEP.
UNIT.(US$)
✅CF]]*TABLA_BASE[[#This Row],[CANTIDAD
(unid.)]]</f>
        <v>0</v>
      </c>
      <c r="Q490" s="279">
        <f>TABLA_BASE[[#This Row],[ADV UNIT.
(US$)
⚠️COSTO]]+TABLA_BASE[[#This Row],[IPM UNIT.
(US$)
✅CF]]+TABLA_BASE[[#This Row],[IGV UNIT.
(US$)
✅CF]]</f>
        <v>0</v>
      </c>
      <c r="R490" s="280">
        <f>TABLA_BASE[[#This Row],[DEUDA
ADUANERA
UNIT.]]*TABLA_BASE[[#This Row],[CANTIDAD
(unid.)]]</f>
        <v>0</v>
      </c>
      <c r="S490" s="278">
        <f>TABLA_BASE[[#This Row],[DEUDA
ADUANERA
UNIT.]]*'📋 Datos Generales'!$E$19</f>
        <v>0</v>
      </c>
      <c r="T490" s="278">
        <f>TABLA_BASE[[#This Row],[DEUDA
ADUANERA
TOTAL]]*'📋 Datos Generales'!$E$19</f>
        <v>0</v>
      </c>
      <c r="U490" s="281">
        <f>TABLA_BASE[[#This Row],[ADV UNIT.
(US$)
⚠️COSTO]]*'📋 Datos Generales'!$E$19</f>
        <v>0</v>
      </c>
      <c r="V490" s="281">
        <f>TABLA_BASE[[#This Row],[ADV UNIT.
(S/.)]]*TABLA_BASE[[#This Row],[CANTIDAD
(unid.)]]</f>
        <v>0</v>
      </c>
      <c r="W490" s="281">
        <f>TABLA_BASE[[#This Row],[IPM UNIT.
(US$)
✅CF]]*'📋 Datos Generales'!$E$19</f>
        <v>0</v>
      </c>
      <c r="X490" s="281">
        <f>TABLA_BASE[[#This Row],[IPM UNIT.
(S/.)]]*TABLA_BASE[[#This Row],[CANTIDAD
(unid.)]]</f>
        <v>0</v>
      </c>
      <c r="Y490" s="281">
        <f>TABLA_BASE[[#This Row],[IGV UNIT.
(US$)
✅CF]]*'📋 Datos Generales'!$E$19</f>
        <v>0</v>
      </c>
      <c r="Z490" s="281">
        <f>TABLA_BASE[[#This Row],[IGV UNIT.
(S/.)]]*TABLA_BASE[[#This Row],[CANTIDAD
(unid.)]]</f>
        <v>0</v>
      </c>
      <c r="AA490" s="281">
        <f>TABLA_BASE[[#This Row],[PERCEP.
UNIT.(US$)
✅CF]]*'📋 Datos Generales'!$E$19</f>
        <v>0</v>
      </c>
      <c r="AB490" s="281">
        <f>TABLA_BASE[[#This Row],[PERCEP.
UNIT.(S/.)]]*TABLA_BASE[[#This Row],[CANTIDAD
(unid.)]]</f>
        <v>0</v>
      </c>
      <c r="AC490" s="279">
        <f>TABLA_BASE[[#This Row],[ADV UNIT.
(US$)
⚠️COSTO]]+TABLA_BASE[[#This Row],[IPM UNIT.
(US$)
✅CF]]+TABLA_BASE[[#This Row],[IGV UNIT.
(US$)
✅CF]]+TABLA_BASE[[#This Row],[PERCEP.
UNIT.(US$)
✅CF]]</f>
        <v>0</v>
      </c>
      <c r="AD490" s="279">
        <f>TABLA_BASE[[#This Row],[TOTAL PAGO
SUNAT
UNIT.(US$)]]*TABLA_BASE[[#This Row],[CANTIDAD
(unid.)]]</f>
        <v>0</v>
      </c>
      <c r="AE490" s="281">
        <f>TABLA_BASE[[#This Row],[TOTAL PAGO
SUNAT
UNIT.(US$)]]*'📋 Datos Generales'!$E$19</f>
        <v>0</v>
      </c>
      <c r="AF490" s="281">
        <f>TABLA_BASE[[#This Row],[TOTAL TRIB.
UNIT.(S/.)]]*TABLA_BASE[[#This Row],[CANTIDAD
(unid.)]]</f>
        <v>0</v>
      </c>
      <c r="AG490" s="279">
        <f>IF('🧾 Factura Comercial'!G494=0,0,'📦 Gastos Importación'!$E$28*(IF('🧾 Tributos Aduana'!$F$6=0,0,'🧾 Factura Comercial'!I494/'🧾 Tributos Aduana'!$F$6))/'🧾 Factura Comercial'!G494)</f>
        <v>0</v>
      </c>
      <c r="AH490" s="279">
        <f>TABLA_BASE[[#This Row],[GASTOS IMP.
UNIT.(US$)]]*TABLA_BASE[[#This Row],[CANTIDAD
(unid.)]]</f>
        <v>0</v>
      </c>
      <c r="AI490" s="281">
        <f>TABLA_BASE[[#This Row],[GASTOS IMP.
UNIT.(US$)]]*'📋 Datos Generales'!$E$19</f>
        <v>0</v>
      </c>
      <c r="AJ490" s="281">
        <f>TABLA_BASE[[#This Row],[GASTOS IMP.
UNIT.(S/.)]]*TABLA_BASE[[#This Row],[CANTIDAD
(unid.)]]</f>
        <v>0</v>
      </c>
      <c r="AK490" s="280">
        <f>'🧮 Costos x Producto'!J494</f>
        <v>0</v>
      </c>
      <c r="AL490" s="278">
        <f>'🧮 Costos x Producto'!K494</f>
        <v>0</v>
      </c>
      <c r="AM490" s="278">
        <f>TABLA_BASE[[#This Row],[C/M UNIT.
(S/.)]]*TABLA_BASE[[#This Row],[CANTIDAD
(unid.)]]</f>
        <v>0</v>
      </c>
      <c r="AN490" s="279">
        <f>IF('🧾 Factura Comercial'!G494=0,0,'🧾 Tributos Aduana'!$F$17*(IF('🧾 Tributos Aduana'!$F$6=0,0,'🧾 Factura Comercial'!I494/'🧾 Tributos Aduana'!$F$6))/'🧾 Factura Comercial'!G494)</f>
        <v>0</v>
      </c>
      <c r="AO490" s="280">
        <f>IF('🧾 Factura Comercial'!G494=0,0,'🏦 Crédito Fiscal'!$C$16*(IF('🧾 Tributos Aduana'!$F$6=0,0,'🧾 Factura Comercial'!I494/'🧾 Tributos Aduana'!$F$6))/'🧾 Factura Comercial'!G494)</f>
        <v>0</v>
      </c>
      <c r="AP490" s="278">
        <f>TABLA_BASE[[#This Row],[CF UNIT.
✅RECUP.
(US$)]]*'📋 Datos Generales'!$E$19</f>
        <v>0</v>
      </c>
      <c r="AQ490" s="278">
        <f>TABLA_BASE[[#This Row],[CF UNIT.
✅RECUP.(S/.)]]*TABLA_BASE[[#This Row],[CANTIDAD
(unid.)]]</f>
        <v>0</v>
      </c>
      <c r="AR490" s="288">
        <f>'💰 Precio de Venta'!G495</f>
        <v>0.4</v>
      </c>
      <c r="AS490" s="278">
        <f>'💰 Precio de Venta'!H495</f>
        <v>0</v>
      </c>
      <c r="AT490" s="278">
        <f>TABLA_BASE[[#This Row],[VALOR VTA.
UNIT.(S/.)]]*TABLA_BASE[[#This Row],[CANTIDAD
(unid.)]]</f>
        <v>0</v>
      </c>
      <c r="AU490" s="281">
        <f>'💰 Precio de Venta'!I495</f>
        <v>0</v>
      </c>
      <c r="AV490" s="278">
        <f>'💰 Precio de Venta'!J495</f>
        <v>0</v>
      </c>
      <c r="AW490" s="278">
        <f>TABLA_BASE[[#This Row],[GANANCIA
UNIT.(S/.)]]*TABLA_BASE[[#This Row],[CANTIDAD
(unid.)]]</f>
        <v>0</v>
      </c>
      <c r="AX490" s="289">
        <f>'💰 Precio de Venta'!K495</f>
        <v>0</v>
      </c>
      <c r="AY490" s="278">
        <f>TABLA_BASE[[#This Row],[GANANCIA
UNIT.(S/.)]]*'🧾 Factura Comercial'!G494</f>
        <v>0</v>
      </c>
      <c r="AZ490" s="277">
        <f>IF(TABLA_BASE[[#This Row],[PRECIO VTA.
c/IGV(S/.)]]=0,0,TABLA_BASE[[#This Row],[GANANCIA
UNIT.(S/.)]]/TABLA_BASE[[#This Row],[PRECIO VTA.
c/IGV(S/.)]])</f>
        <v>0</v>
      </c>
      <c r="BA490" s="277">
        <f>IF(TABLA_BASE[[#This Row],[C/M UNIT.
(S/.)]]=0,0,TABLA_BASE[[#This Row],[GANANCIA
UNIT.(S/.)]]/TABLA_BASE[[#This Row],[C/M UNIT.
(S/.)]])</f>
        <v>0</v>
      </c>
      <c r="BB490" s="274" t="str">
        <f>IF(TABLA_BASE[[#This Row],[MARGEN
%]]&gt;=0.5,"🟢 ALTO",IF(TABLA_BASE[[#This Row],[MARGEN
%]]&gt;=0.3,"🟡 MEDIO","🔴 BAJO"))</f>
        <v>🟡 MEDIO</v>
      </c>
    </row>
    <row r="491" spans="1:54" ht="16.5" hidden="1" thickTop="1" thickBot="1" x14ac:dyDescent="0.3">
      <c r="A491" s="274">
        <f>'🧾 Factura Comercial'!E495</f>
        <v>0</v>
      </c>
      <c r="B491" s="274" t="str">
        <f>'🧾 Factura Comercial'!F495</f>
        <v>Unid.</v>
      </c>
      <c r="C491" s="275">
        <f>'🧾 Factura Comercial'!G495</f>
        <v>0</v>
      </c>
      <c r="D491" s="276">
        <f>'🧾 Factura Comercial'!H495</f>
        <v>0</v>
      </c>
      <c r="E491" s="276">
        <f>'🧾 Factura Comercial'!I495</f>
        <v>0</v>
      </c>
      <c r="F491" s="277">
        <f>IF('🧾 Tributos Aduana'!$F$6=0,0,'🧾 Factura Comercial'!I495/'🧾 Tributos Aduana'!$F$6)</f>
        <v>0</v>
      </c>
      <c r="G491" s="278">
        <f>'🧾 Factura Comercial'!H495*'📋 Datos Generales'!$E$19</f>
        <v>0</v>
      </c>
      <c r="H491" s="278">
        <f>TABLA_BASE[[#This Row],[FOB UNIT.
(S/.)]]*TABLA_BASE[[#This Row],[CANTIDAD
(unid.)]]</f>
        <v>0</v>
      </c>
      <c r="I491" s="280">
        <f>IF('🧾 Tributos Aduana'!$F$6=0,0,'🧾 Tributos Aduana'!$F$17*('🧾 Factura Comercial'!H495/'🧾 Tributos Aduana'!$F$6))</f>
        <v>0</v>
      </c>
      <c r="J491" s="280">
        <f>TABLA_BASE[[#This Row],[ADV UNIT.
(US$)
⚠️COSTO]]*TABLA_BASE[[#This Row],[CANTIDAD
(unid.)]]</f>
        <v>0</v>
      </c>
      <c r="K491" s="279">
        <f>IF('🧾 Tributos Aduana'!$F$6=0,0,'🧾 Tributos Aduana'!$F$18*('🧾 Factura Comercial'!H495/'🧾 Tributos Aduana'!$F$6))</f>
        <v>0</v>
      </c>
      <c r="L491" s="280">
        <f>TABLA_BASE[[#This Row],[IPM UNIT.
(US$)
✅CF]]*TABLA_BASE[[#This Row],[CANTIDAD
(unid.)]]</f>
        <v>0</v>
      </c>
      <c r="M491" s="279">
        <f>IF('🧾 Tributos Aduana'!$F$6=0,0,'🧾 Tributos Aduana'!$F$19*('🧾 Factura Comercial'!H495/'🧾 Tributos Aduana'!$F$6))</f>
        <v>0</v>
      </c>
      <c r="N491" s="280">
        <f>TABLA_BASE[[#This Row],[IGV UNIT.
(US$)
✅CF]]*TABLA_BASE[[#This Row],[CANTIDAD
(unid.)]]</f>
        <v>0</v>
      </c>
      <c r="O491" s="280">
        <f>IF('🧾 Tributos Aduana'!$F$6=0,0,'🧾 Tributos Aduana'!$F$23*('🧾 Factura Comercial'!H495/'🧾 Tributos Aduana'!$F$6))</f>
        <v>0</v>
      </c>
      <c r="P491" s="280">
        <f>TABLA_BASE[[#This Row],[PERCEP.
UNIT.(US$)
✅CF]]*TABLA_BASE[[#This Row],[CANTIDAD
(unid.)]]</f>
        <v>0</v>
      </c>
      <c r="Q491" s="279">
        <f>TABLA_BASE[[#This Row],[ADV UNIT.
(US$)
⚠️COSTO]]+TABLA_BASE[[#This Row],[IPM UNIT.
(US$)
✅CF]]+TABLA_BASE[[#This Row],[IGV UNIT.
(US$)
✅CF]]</f>
        <v>0</v>
      </c>
      <c r="R491" s="280">
        <f>TABLA_BASE[[#This Row],[DEUDA
ADUANERA
UNIT.]]*TABLA_BASE[[#This Row],[CANTIDAD
(unid.)]]</f>
        <v>0</v>
      </c>
      <c r="S491" s="278">
        <f>TABLA_BASE[[#This Row],[DEUDA
ADUANERA
UNIT.]]*'📋 Datos Generales'!$E$19</f>
        <v>0</v>
      </c>
      <c r="T491" s="278">
        <f>TABLA_BASE[[#This Row],[DEUDA
ADUANERA
TOTAL]]*'📋 Datos Generales'!$E$19</f>
        <v>0</v>
      </c>
      <c r="U491" s="281">
        <f>TABLA_BASE[[#This Row],[ADV UNIT.
(US$)
⚠️COSTO]]*'📋 Datos Generales'!$E$19</f>
        <v>0</v>
      </c>
      <c r="V491" s="281">
        <f>TABLA_BASE[[#This Row],[ADV UNIT.
(S/.)]]*TABLA_BASE[[#This Row],[CANTIDAD
(unid.)]]</f>
        <v>0</v>
      </c>
      <c r="W491" s="281">
        <f>TABLA_BASE[[#This Row],[IPM UNIT.
(US$)
✅CF]]*'📋 Datos Generales'!$E$19</f>
        <v>0</v>
      </c>
      <c r="X491" s="281">
        <f>TABLA_BASE[[#This Row],[IPM UNIT.
(S/.)]]*TABLA_BASE[[#This Row],[CANTIDAD
(unid.)]]</f>
        <v>0</v>
      </c>
      <c r="Y491" s="281">
        <f>TABLA_BASE[[#This Row],[IGV UNIT.
(US$)
✅CF]]*'📋 Datos Generales'!$E$19</f>
        <v>0</v>
      </c>
      <c r="Z491" s="281">
        <f>TABLA_BASE[[#This Row],[IGV UNIT.
(S/.)]]*TABLA_BASE[[#This Row],[CANTIDAD
(unid.)]]</f>
        <v>0</v>
      </c>
      <c r="AA491" s="281">
        <f>TABLA_BASE[[#This Row],[PERCEP.
UNIT.(US$)
✅CF]]*'📋 Datos Generales'!$E$19</f>
        <v>0</v>
      </c>
      <c r="AB491" s="281">
        <f>TABLA_BASE[[#This Row],[PERCEP.
UNIT.(S/.)]]*TABLA_BASE[[#This Row],[CANTIDAD
(unid.)]]</f>
        <v>0</v>
      </c>
      <c r="AC491" s="279">
        <f>TABLA_BASE[[#This Row],[ADV UNIT.
(US$)
⚠️COSTO]]+TABLA_BASE[[#This Row],[IPM UNIT.
(US$)
✅CF]]+TABLA_BASE[[#This Row],[IGV UNIT.
(US$)
✅CF]]+TABLA_BASE[[#This Row],[PERCEP.
UNIT.(US$)
✅CF]]</f>
        <v>0</v>
      </c>
      <c r="AD491" s="279">
        <f>TABLA_BASE[[#This Row],[TOTAL PAGO
SUNAT
UNIT.(US$)]]*TABLA_BASE[[#This Row],[CANTIDAD
(unid.)]]</f>
        <v>0</v>
      </c>
      <c r="AE491" s="281">
        <f>TABLA_BASE[[#This Row],[TOTAL PAGO
SUNAT
UNIT.(US$)]]*'📋 Datos Generales'!$E$19</f>
        <v>0</v>
      </c>
      <c r="AF491" s="281">
        <f>TABLA_BASE[[#This Row],[TOTAL TRIB.
UNIT.(S/.)]]*TABLA_BASE[[#This Row],[CANTIDAD
(unid.)]]</f>
        <v>0</v>
      </c>
      <c r="AG491" s="279">
        <f>IF('🧾 Factura Comercial'!G495=0,0,'📦 Gastos Importación'!$E$28*(IF('🧾 Tributos Aduana'!$F$6=0,0,'🧾 Factura Comercial'!I495/'🧾 Tributos Aduana'!$F$6))/'🧾 Factura Comercial'!G495)</f>
        <v>0</v>
      </c>
      <c r="AH491" s="279">
        <f>TABLA_BASE[[#This Row],[GASTOS IMP.
UNIT.(US$)]]*TABLA_BASE[[#This Row],[CANTIDAD
(unid.)]]</f>
        <v>0</v>
      </c>
      <c r="AI491" s="281">
        <f>TABLA_BASE[[#This Row],[GASTOS IMP.
UNIT.(US$)]]*'📋 Datos Generales'!$E$19</f>
        <v>0</v>
      </c>
      <c r="AJ491" s="281">
        <f>TABLA_BASE[[#This Row],[GASTOS IMP.
UNIT.(S/.)]]*TABLA_BASE[[#This Row],[CANTIDAD
(unid.)]]</f>
        <v>0</v>
      </c>
      <c r="AK491" s="280">
        <f>'🧮 Costos x Producto'!J495</f>
        <v>0</v>
      </c>
      <c r="AL491" s="278">
        <f>'🧮 Costos x Producto'!K495</f>
        <v>0</v>
      </c>
      <c r="AM491" s="278">
        <f>TABLA_BASE[[#This Row],[C/M UNIT.
(S/.)]]*TABLA_BASE[[#This Row],[CANTIDAD
(unid.)]]</f>
        <v>0</v>
      </c>
      <c r="AN491" s="279">
        <f>IF('🧾 Factura Comercial'!G495=0,0,'🧾 Tributos Aduana'!$F$17*(IF('🧾 Tributos Aduana'!$F$6=0,0,'🧾 Factura Comercial'!I495/'🧾 Tributos Aduana'!$F$6))/'🧾 Factura Comercial'!G495)</f>
        <v>0</v>
      </c>
      <c r="AO491" s="280">
        <f>IF('🧾 Factura Comercial'!G495=0,0,'🏦 Crédito Fiscal'!$C$16*(IF('🧾 Tributos Aduana'!$F$6=0,0,'🧾 Factura Comercial'!I495/'🧾 Tributos Aduana'!$F$6))/'🧾 Factura Comercial'!G495)</f>
        <v>0</v>
      </c>
      <c r="AP491" s="278">
        <f>TABLA_BASE[[#This Row],[CF UNIT.
✅RECUP.
(US$)]]*'📋 Datos Generales'!$E$19</f>
        <v>0</v>
      </c>
      <c r="AQ491" s="278">
        <f>TABLA_BASE[[#This Row],[CF UNIT.
✅RECUP.(S/.)]]*TABLA_BASE[[#This Row],[CANTIDAD
(unid.)]]</f>
        <v>0</v>
      </c>
      <c r="AR491" s="288">
        <f>'💰 Precio de Venta'!G496</f>
        <v>0.4</v>
      </c>
      <c r="AS491" s="278">
        <f>'💰 Precio de Venta'!H496</f>
        <v>0</v>
      </c>
      <c r="AT491" s="278">
        <f>TABLA_BASE[[#This Row],[VALOR VTA.
UNIT.(S/.)]]*TABLA_BASE[[#This Row],[CANTIDAD
(unid.)]]</f>
        <v>0</v>
      </c>
      <c r="AU491" s="281">
        <f>'💰 Precio de Venta'!I496</f>
        <v>0</v>
      </c>
      <c r="AV491" s="278">
        <f>'💰 Precio de Venta'!J496</f>
        <v>0</v>
      </c>
      <c r="AW491" s="278">
        <f>TABLA_BASE[[#This Row],[GANANCIA
UNIT.(S/.)]]*TABLA_BASE[[#This Row],[CANTIDAD
(unid.)]]</f>
        <v>0</v>
      </c>
      <c r="AX491" s="289">
        <f>'💰 Precio de Venta'!K496</f>
        <v>0</v>
      </c>
      <c r="AY491" s="278">
        <f>TABLA_BASE[[#This Row],[GANANCIA
UNIT.(S/.)]]*'🧾 Factura Comercial'!G495</f>
        <v>0</v>
      </c>
      <c r="AZ491" s="277">
        <f>IF(TABLA_BASE[[#This Row],[PRECIO VTA.
c/IGV(S/.)]]=0,0,TABLA_BASE[[#This Row],[GANANCIA
UNIT.(S/.)]]/TABLA_BASE[[#This Row],[PRECIO VTA.
c/IGV(S/.)]])</f>
        <v>0</v>
      </c>
      <c r="BA491" s="277">
        <f>IF(TABLA_BASE[[#This Row],[C/M UNIT.
(S/.)]]=0,0,TABLA_BASE[[#This Row],[GANANCIA
UNIT.(S/.)]]/TABLA_BASE[[#This Row],[C/M UNIT.
(S/.)]])</f>
        <v>0</v>
      </c>
      <c r="BB491" s="274" t="str">
        <f>IF(TABLA_BASE[[#This Row],[MARGEN
%]]&gt;=0.5,"🟢 ALTO",IF(TABLA_BASE[[#This Row],[MARGEN
%]]&gt;=0.3,"🟡 MEDIO","🔴 BAJO"))</f>
        <v>🟡 MEDIO</v>
      </c>
    </row>
    <row r="492" spans="1:54" ht="16.5" hidden="1" thickTop="1" thickBot="1" x14ac:dyDescent="0.3">
      <c r="A492" s="274">
        <f>'🧾 Factura Comercial'!E496</f>
        <v>0</v>
      </c>
      <c r="B492" s="274" t="str">
        <f>'🧾 Factura Comercial'!F496</f>
        <v>Unid.</v>
      </c>
      <c r="C492" s="275">
        <f>'🧾 Factura Comercial'!G496</f>
        <v>0</v>
      </c>
      <c r="D492" s="276">
        <f>'🧾 Factura Comercial'!H496</f>
        <v>0</v>
      </c>
      <c r="E492" s="276">
        <f>'🧾 Factura Comercial'!I496</f>
        <v>0</v>
      </c>
      <c r="F492" s="277">
        <f>IF('🧾 Tributos Aduana'!$F$6=0,0,'🧾 Factura Comercial'!I496/'🧾 Tributos Aduana'!$F$6)</f>
        <v>0</v>
      </c>
      <c r="G492" s="278">
        <f>'🧾 Factura Comercial'!H496*'📋 Datos Generales'!$E$19</f>
        <v>0</v>
      </c>
      <c r="H492" s="278">
        <f>TABLA_BASE[[#This Row],[FOB UNIT.
(S/.)]]*TABLA_BASE[[#This Row],[CANTIDAD
(unid.)]]</f>
        <v>0</v>
      </c>
      <c r="I492" s="280">
        <f>IF('🧾 Tributos Aduana'!$F$6=0,0,'🧾 Tributos Aduana'!$F$17*('🧾 Factura Comercial'!H496/'🧾 Tributos Aduana'!$F$6))</f>
        <v>0</v>
      </c>
      <c r="J492" s="280">
        <f>TABLA_BASE[[#This Row],[ADV UNIT.
(US$)
⚠️COSTO]]*TABLA_BASE[[#This Row],[CANTIDAD
(unid.)]]</f>
        <v>0</v>
      </c>
      <c r="K492" s="279">
        <f>IF('🧾 Tributos Aduana'!$F$6=0,0,'🧾 Tributos Aduana'!$F$18*('🧾 Factura Comercial'!H496/'🧾 Tributos Aduana'!$F$6))</f>
        <v>0</v>
      </c>
      <c r="L492" s="280">
        <f>TABLA_BASE[[#This Row],[IPM UNIT.
(US$)
✅CF]]*TABLA_BASE[[#This Row],[CANTIDAD
(unid.)]]</f>
        <v>0</v>
      </c>
      <c r="M492" s="279">
        <f>IF('🧾 Tributos Aduana'!$F$6=0,0,'🧾 Tributos Aduana'!$F$19*('🧾 Factura Comercial'!H496/'🧾 Tributos Aduana'!$F$6))</f>
        <v>0</v>
      </c>
      <c r="N492" s="280">
        <f>TABLA_BASE[[#This Row],[IGV UNIT.
(US$)
✅CF]]*TABLA_BASE[[#This Row],[CANTIDAD
(unid.)]]</f>
        <v>0</v>
      </c>
      <c r="O492" s="280">
        <f>IF('🧾 Tributos Aduana'!$F$6=0,0,'🧾 Tributos Aduana'!$F$23*('🧾 Factura Comercial'!H496/'🧾 Tributos Aduana'!$F$6))</f>
        <v>0</v>
      </c>
      <c r="P492" s="280">
        <f>TABLA_BASE[[#This Row],[PERCEP.
UNIT.(US$)
✅CF]]*TABLA_BASE[[#This Row],[CANTIDAD
(unid.)]]</f>
        <v>0</v>
      </c>
      <c r="Q492" s="279">
        <f>TABLA_BASE[[#This Row],[ADV UNIT.
(US$)
⚠️COSTO]]+TABLA_BASE[[#This Row],[IPM UNIT.
(US$)
✅CF]]+TABLA_BASE[[#This Row],[IGV UNIT.
(US$)
✅CF]]</f>
        <v>0</v>
      </c>
      <c r="R492" s="280">
        <f>TABLA_BASE[[#This Row],[DEUDA
ADUANERA
UNIT.]]*TABLA_BASE[[#This Row],[CANTIDAD
(unid.)]]</f>
        <v>0</v>
      </c>
      <c r="S492" s="278">
        <f>TABLA_BASE[[#This Row],[DEUDA
ADUANERA
UNIT.]]*'📋 Datos Generales'!$E$19</f>
        <v>0</v>
      </c>
      <c r="T492" s="278">
        <f>TABLA_BASE[[#This Row],[DEUDA
ADUANERA
TOTAL]]*'📋 Datos Generales'!$E$19</f>
        <v>0</v>
      </c>
      <c r="U492" s="281">
        <f>TABLA_BASE[[#This Row],[ADV UNIT.
(US$)
⚠️COSTO]]*'📋 Datos Generales'!$E$19</f>
        <v>0</v>
      </c>
      <c r="V492" s="281">
        <f>TABLA_BASE[[#This Row],[ADV UNIT.
(S/.)]]*TABLA_BASE[[#This Row],[CANTIDAD
(unid.)]]</f>
        <v>0</v>
      </c>
      <c r="W492" s="281">
        <f>TABLA_BASE[[#This Row],[IPM UNIT.
(US$)
✅CF]]*'📋 Datos Generales'!$E$19</f>
        <v>0</v>
      </c>
      <c r="X492" s="281">
        <f>TABLA_BASE[[#This Row],[IPM UNIT.
(S/.)]]*TABLA_BASE[[#This Row],[CANTIDAD
(unid.)]]</f>
        <v>0</v>
      </c>
      <c r="Y492" s="281">
        <f>TABLA_BASE[[#This Row],[IGV UNIT.
(US$)
✅CF]]*'📋 Datos Generales'!$E$19</f>
        <v>0</v>
      </c>
      <c r="Z492" s="281">
        <f>TABLA_BASE[[#This Row],[IGV UNIT.
(S/.)]]*TABLA_BASE[[#This Row],[CANTIDAD
(unid.)]]</f>
        <v>0</v>
      </c>
      <c r="AA492" s="281">
        <f>TABLA_BASE[[#This Row],[PERCEP.
UNIT.(US$)
✅CF]]*'📋 Datos Generales'!$E$19</f>
        <v>0</v>
      </c>
      <c r="AB492" s="281">
        <f>TABLA_BASE[[#This Row],[PERCEP.
UNIT.(S/.)]]*TABLA_BASE[[#This Row],[CANTIDAD
(unid.)]]</f>
        <v>0</v>
      </c>
      <c r="AC492" s="279">
        <f>TABLA_BASE[[#This Row],[ADV UNIT.
(US$)
⚠️COSTO]]+TABLA_BASE[[#This Row],[IPM UNIT.
(US$)
✅CF]]+TABLA_BASE[[#This Row],[IGV UNIT.
(US$)
✅CF]]+TABLA_BASE[[#This Row],[PERCEP.
UNIT.(US$)
✅CF]]</f>
        <v>0</v>
      </c>
      <c r="AD492" s="279">
        <f>TABLA_BASE[[#This Row],[TOTAL PAGO
SUNAT
UNIT.(US$)]]*TABLA_BASE[[#This Row],[CANTIDAD
(unid.)]]</f>
        <v>0</v>
      </c>
      <c r="AE492" s="281">
        <f>TABLA_BASE[[#This Row],[TOTAL PAGO
SUNAT
UNIT.(US$)]]*'📋 Datos Generales'!$E$19</f>
        <v>0</v>
      </c>
      <c r="AF492" s="281">
        <f>TABLA_BASE[[#This Row],[TOTAL TRIB.
UNIT.(S/.)]]*TABLA_BASE[[#This Row],[CANTIDAD
(unid.)]]</f>
        <v>0</v>
      </c>
      <c r="AG492" s="279">
        <f>IF('🧾 Factura Comercial'!G496=0,0,'📦 Gastos Importación'!$E$28*(IF('🧾 Tributos Aduana'!$F$6=0,0,'🧾 Factura Comercial'!I496/'🧾 Tributos Aduana'!$F$6))/'🧾 Factura Comercial'!G496)</f>
        <v>0</v>
      </c>
      <c r="AH492" s="279">
        <f>TABLA_BASE[[#This Row],[GASTOS IMP.
UNIT.(US$)]]*TABLA_BASE[[#This Row],[CANTIDAD
(unid.)]]</f>
        <v>0</v>
      </c>
      <c r="AI492" s="281">
        <f>TABLA_BASE[[#This Row],[GASTOS IMP.
UNIT.(US$)]]*'📋 Datos Generales'!$E$19</f>
        <v>0</v>
      </c>
      <c r="AJ492" s="281">
        <f>TABLA_BASE[[#This Row],[GASTOS IMP.
UNIT.(S/.)]]*TABLA_BASE[[#This Row],[CANTIDAD
(unid.)]]</f>
        <v>0</v>
      </c>
      <c r="AK492" s="280">
        <f>'🧮 Costos x Producto'!J496</f>
        <v>0</v>
      </c>
      <c r="AL492" s="278">
        <f>'🧮 Costos x Producto'!K496</f>
        <v>0</v>
      </c>
      <c r="AM492" s="278">
        <f>TABLA_BASE[[#This Row],[C/M UNIT.
(S/.)]]*TABLA_BASE[[#This Row],[CANTIDAD
(unid.)]]</f>
        <v>0</v>
      </c>
      <c r="AN492" s="279">
        <f>IF('🧾 Factura Comercial'!G496=0,0,'🧾 Tributos Aduana'!$F$17*(IF('🧾 Tributos Aduana'!$F$6=0,0,'🧾 Factura Comercial'!I496/'🧾 Tributos Aduana'!$F$6))/'🧾 Factura Comercial'!G496)</f>
        <v>0</v>
      </c>
      <c r="AO492" s="280">
        <f>IF('🧾 Factura Comercial'!G496=0,0,'🏦 Crédito Fiscal'!$C$16*(IF('🧾 Tributos Aduana'!$F$6=0,0,'🧾 Factura Comercial'!I496/'🧾 Tributos Aduana'!$F$6))/'🧾 Factura Comercial'!G496)</f>
        <v>0</v>
      </c>
      <c r="AP492" s="278">
        <f>TABLA_BASE[[#This Row],[CF UNIT.
✅RECUP.
(US$)]]*'📋 Datos Generales'!$E$19</f>
        <v>0</v>
      </c>
      <c r="AQ492" s="278">
        <f>TABLA_BASE[[#This Row],[CF UNIT.
✅RECUP.(S/.)]]*TABLA_BASE[[#This Row],[CANTIDAD
(unid.)]]</f>
        <v>0</v>
      </c>
      <c r="AR492" s="288">
        <f>'💰 Precio de Venta'!G497</f>
        <v>0.4</v>
      </c>
      <c r="AS492" s="278">
        <f>'💰 Precio de Venta'!H497</f>
        <v>0</v>
      </c>
      <c r="AT492" s="278">
        <f>TABLA_BASE[[#This Row],[VALOR VTA.
UNIT.(S/.)]]*TABLA_BASE[[#This Row],[CANTIDAD
(unid.)]]</f>
        <v>0</v>
      </c>
      <c r="AU492" s="281">
        <f>'💰 Precio de Venta'!I497</f>
        <v>0</v>
      </c>
      <c r="AV492" s="278">
        <f>'💰 Precio de Venta'!J497</f>
        <v>0</v>
      </c>
      <c r="AW492" s="278">
        <f>TABLA_BASE[[#This Row],[GANANCIA
UNIT.(S/.)]]*TABLA_BASE[[#This Row],[CANTIDAD
(unid.)]]</f>
        <v>0</v>
      </c>
      <c r="AX492" s="289">
        <f>'💰 Precio de Venta'!K497</f>
        <v>0</v>
      </c>
      <c r="AY492" s="278">
        <f>TABLA_BASE[[#This Row],[GANANCIA
UNIT.(S/.)]]*'🧾 Factura Comercial'!G496</f>
        <v>0</v>
      </c>
      <c r="AZ492" s="277">
        <f>IF(TABLA_BASE[[#This Row],[PRECIO VTA.
c/IGV(S/.)]]=0,0,TABLA_BASE[[#This Row],[GANANCIA
UNIT.(S/.)]]/TABLA_BASE[[#This Row],[PRECIO VTA.
c/IGV(S/.)]])</f>
        <v>0</v>
      </c>
      <c r="BA492" s="277">
        <f>IF(TABLA_BASE[[#This Row],[C/M UNIT.
(S/.)]]=0,0,TABLA_BASE[[#This Row],[GANANCIA
UNIT.(S/.)]]/TABLA_BASE[[#This Row],[C/M UNIT.
(S/.)]])</f>
        <v>0</v>
      </c>
      <c r="BB492" s="274" t="str">
        <f>IF(TABLA_BASE[[#This Row],[MARGEN
%]]&gt;=0.5,"🟢 ALTO",IF(TABLA_BASE[[#This Row],[MARGEN
%]]&gt;=0.3,"🟡 MEDIO","🔴 BAJO"))</f>
        <v>🟡 MEDIO</v>
      </c>
    </row>
    <row r="493" spans="1:54" ht="16.5" hidden="1" thickTop="1" thickBot="1" x14ac:dyDescent="0.3">
      <c r="A493" s="274">
        <f>'🧾 Factura Comercial'!E497</f>
        <v>0</v>
      </c>
      <c r="B493" s="274" t="str">
        <f>'🧾 Factura Comercial'!F497</f>
        <v>Unid.</v>
      </c>
      <c r="C493" s="275">
        <f>'🧾 Factura Comercial'!G497</f>
        <v>0</v>
      </c>
      <c r="D493" s="276">
        <f>'🧾 Factura Comercial'!H497</f>
        <v>0</v>
      </c>
      <c r="E493" s="276">
        <f>'🧾 Factura Comercial'!I497</f>
        <v>0</v>
      </c>
      <c r="F493" s="277">
        <f>IF('🧾 Tributos Aduana'!$F$6=0,0,'🧾 Factura Comercial'!I497/'🧾 Tributos Aduana'!$F$6)</f>
        <v>0</v>
      </c>
      <c r="G493" s="278">
        <f>'🧾 Factura Comercial'!H497*'📋 Datos Generales'!$E$19</f>
        <v>0</v>
      </c>
      <c r="H493" s="278">
        <f>TABLA_BASE[[#This Row],[FOB UNIT.
(S/.)]]*TABLA_BASE[[#This Row],[CANTIDAD
(unid.)]]</f>
        <v>0</v>
      </c>
      <c r="I493" s="280">
        <f>IF('🧾 Tributos Aduana'!$F$6=0,0,'🧾 Tributos Aduana'!$F$17*('🧾 Factura Comercial'!H497/'🧾 Tributos Aduana'!$F$6))</f>
        <v>0</v>
      </c>
      <c r="J493" s="280">
        <f>TABLA_BASE[[#This Row],[ADV UNIT.
(US$)
⚠️COSTO]]*TABLA_BASE[[#This Row],[CANTIDAD
(unid.)]]</f>
        <v>0</v>
      </c>
      <c r="K493" s="279">
        <f>IF('🧾 Tributos Aduana'!$F$6=0,0,'🧾 Tributos Aduana'!$F$18*('🧾 Factura Comercial'!H497/'🧾 Tributos Aduana'!$F$6))</f>
        <v>0</v>
      </c>
      <c r="L493" s="280">
        <f>TABLA_BASE[[#This Row],[IPM UNIT.
(US$)
✅CF]]*TABLA_BASE[[#This Row],[CANTIDAD
(unid.)]]</f>
        <v>0</v>
      </c>
      <c r="M493" s="279">
        <f>IF('🧾 Tributos Aduana'!$F$6=0,0,'🧾 Tributos Aduana'!$F$19*('🧾 Factura Comercial'!H497/'🧾 Tributos Aduana'!$F$6))</f>
        <v>0</v>
      </c>
      <c r="N493" s="280">
        <f>TABLA_BASE[[#This Row],[IGV UNIT.
(US$)
✅CF]]*TABLA_BASE[[#This Row],[CANTIDAD
(unid.)]]</f>
        <v>0</v>
      </c>
      <c r="O493" s="280">
        <f>IF('🧾 Tributos Aduana'!$F$6=0,0,'🧾 Tributos Aduana'!$F$23*('🧾 Factura Comercial'!H497/'🧾 Tributos Aduana'!$F$6))</f>
        <v>0</v>
      </c>
      <c r="P493" s="280">
        <f>TABLA_BASE[[#This Row],[PERCEP.
UNIT.(US$)
✅CF]]*TABLA_BASE[[#This Row],[CANTIDAD
(unid.)]]</f>
        <v>0</v>
      </c>
      <c r="Q493" s="279">
        <f>TABLA_BASE[[#This Row],[ADV UNIT.
(US$)
⚠️COSTO]]+TABLA_BASE[[#This Row],[IPM UNIT.
(US$)
✅CF]]+TABLA_BASE[[#This Row],[IGV UNIT.
(US$)
✅CF]]</f>
        <v>0</v>
      </c>
      <c r="R493" s="280">
        <f>TABLA_BASE[[#This Row],[DEUDA
ADUANERA
UNIT.]]*TABLA_BASE[[#This Row],[CANTIDAD
(unid.)]]</f>
        <v>0</v>
      </c>
      <c r="S493" s="278">
        <f>TABLA_BASE[[#This Row],[DEUDA
ADUANERA
UNIT.]]*'📋 Datos Generales'!$E$19</f>
        <v>0</v>
      </c>
      <c r="T493" s="278">
        <f>TABLA_BASE[[#This Row],[DEUDA
ADUANERA
TOTAL]]*'📋 Datos Generales'!$E$19</f>
        <v>0</v>
      </c>
      <c r="U493" s="281">
        <f>TABLA_BASE[[#This Row],[ADV UNIT.
(US$)
⚠️COSTO]]*'📋 Datos Generales'!$E$19</f>
        <v>0</v>
      </c>
      <c r="V493" s="281">
        <f>TABLA_BASE[[#This Row],[ADV UNIT.
(S/.)]]*TABLA_BASE[[#This Row],[CANTIDAD
(unid.)]]</f>
        <v>0</v>
      </c>
      <c r="W493" s="281">
        <f>TABLA_BASE[[#This Row],[IPM UNIT.
(US$)
✅CF]]*'📋 Datos Generales'!$E$19</f>
        <v>0</v>
      </c>
      <c r="X493" s="281">
        <f>TABLA_BASE[[#This Row],[IPM UNIT.
(S/.)]]*TABLA_BASE[[#This Row],[CANTIDAD
(unid.)]]</f>
        <v>0</v>
      </c>
      <c r="Y493" s="281">
        <f>TABLA_BASE[[#This Row],[IGV UNIT.
(US$)
✅CF]]*'📋 Datos Generales'!$E$19</f>
        <v>0</v>
      </c>
      <c r="Z493" s="281">
        <f>TABLA_BASE[[#This Row],[IGV UNIT.
(S/.)]]*TABLA_BASE[[#This Row],[CANTIDAD
(unid.)]]</f>
        <v>0</v>
      </c>
      <c r="AA493" s="281">
        <f>TABLA_BASE[[#This Row],[PERCEP.
UNIT.(US$)
✅CF]]*'📋 Datos Generales'!$E$19</f>
        <v>0</v>
      </c>
      <c r="AB493" s="281">
        <f>TABLA_BASE[[#This Row],[PERCEP.
UNIT.(S/.)]]*TABLA_BASE[[#This Row],[CANTIDAD
(unid.)]]</f>
        <v>0</v>
      </c>
      <c r="AC493" s="279">
        <f>TABLA_BASE[[#This Row],[ADV UNIT.
(US$)
⚠️COSTO]]+TABLA_BASE[[#This Row],[IPM UNIT.
(US$)
✅CF]]+TABLA_BASE[[#This Row],[IGV UNIT.
(US$)
✅CF]]+TABLA_BASE[[#This Row],[PERCEP.
UNIT.(US$)
✅CF]]</f>
        <v>0</v>
      </c>
      <c r="AD493" s="279">
        <f>TABLA_BASE[[#This Row],[TOTAL PAGO
SUNAT
UNIT.(US$)]]*TABLA_BASE[[#This Row],[CANTIDAD
(unid.)]]</f>
        <v>0</v>
      </c>
      <c r="AE493" s="281">
        <f>TABLA_BASE[[#This Row],[TOTAL PAGO
SUNAT
UNIT.(US$)]]*'📋 Datos Generales'!$E$19</f>
        <v>0</v>
      </c>
      <c r="AF493" s="281">
        <f>TABLA_BASE[[#This Row],[TOTAL TRIB.
UNIT.(S/.)]]*TABLA_BASE[[#This Row],[CANTIDAD
(unid.)]]</f>
        <v>0</v>
      </c>
      <c r="AG493" s="279">
        <f>IF('🧾 Factura Comercial'!G497=0,0,'📦 Gastos Importación'!$E$28*(IF('🧾 Tributos Aduana'!$F$6=0,0,'🧾 Factura Comercial'!I497/'🧾 Tributos Aduana'!$F$6))/'🧾 Factura Comercial'!G497)</f>
        <v>0</v>
      </c>
      <c r="AH493" s="279">
        <f>TABLA_BASE[[#This Row],[GASTOS IMP.
UNIT.(US$)]]*TABLA_BASE[[#This Row],[CANTIDAD
(unid.)]]</f>
        <v>0</v>
      </c>
      <c r="AI493" s="281">
        <f>TABLA_BASE[[#This Row],[GASTOS IMP.
UNIT.(US$)]]*'📋 Datos Generales'!$E$19</f>
        <v>0</v>
      </c>
      <c r="AJ493" s="281">
        <f>TABLA_BASE[[#This Row],[GASTOS IMP.
UNIT.(S/.)]]*TABLA_BASE[[#This Row],[CANTIDAD
(unid.)]]</f>
        <v>0</v>
      </c>
      <c r="AK493" s="280">
        <f>'🧮 Costos x Producto'!J497</f>
        <v>0</v>
      </c>
      <c r="AL493" s="278">
        <f>'🧮 Costos x Producto'!K497</f>
        <v>0</v>
      </c>
      <c r="AM493" s="278">
        <f>TABLA_BASE[[#This Row],[C/M UNIT.
(S/.)]]*TABLA_BASE[[#This Row],[CANTIDAD
(unid.)]]</f>
        <v>0</v>
      </c>
      <c r="AN493" s="279">
        <f>IF('🧾 Factura Comercial'!G497=0,0,'🧾 Tributos Aduana'!$F$17*(IF('🧾 Tributos Aduana'!$F$6=0,0,'🧾 Factura Comercial'!I497/'🧾 Tributos Aduana'!$F$6))/'🧾 Factura Comercial'!G497)</f>
        <v>0</v>
      </c>
      <c r="AO493" s="280">
        <f>IF('🧾 Factura Comercial'!G497=0,0,'🏦 Crédito Fiscal'!$C$16*(IF('🧾 Tributos Aduana'!$F$6=0,0,'🧾 Factura Comercial'!I497/'🧾 Tributos Aduana'!$F$6))/'🧾 Factura Comercial'!G497)</f>
        <v>0</v>
      </c>
      <c r="AP493" s="278">
        <f>TABLA_BASE[[#This Row],[CF UNIT.
✅RECUP.
(US$)]]*'📋 Datos Generales'!$E$19</f>
        <v>0</v>
      </c>
      <c r="AQ493" s="278">
        <f>TABLA_BASE[[#This Row],[CF UNIT.
✅RECUP.(S/.)]]*TABLA_BASE[[#This Row],[CANTIDAD
(unid.)]]</f>
        <v>0</v>
      </c>
      <c r="AR493" s="288">
        <f>'💰 Precio de Venta'!G498</f>
        <v>0.4</v>
      </c>
      <c r="AS493" s="278">
        <f>'💰 Precio de Venta'!H498</f>
        <v>0</v>
      </c>
      <c r="AT493" s="278">
        <f>TABLA_BASE[[#This Row],[VALOR VTA.
UNIT.(S/.)]]*TABLA_BASE[[#This Row],[CANTIDAD
(unid.)]]</f>
        <v>0</v>
      </c>
      <c r="AU493" s="281">
        <f>'💰 Precio de Venta'!I498</f>
        <v>0</v>
      </c>
      <c r="AV493" s="278">
        <f>'💰 Precio de Venta'!J498</f>
        <v>0</v>
      </c>
      <c r="AW493" s="278">
        <f>TABLA_BASE[[#This Row],[GANANCIA
UNIT.(S/.)]]*TABLA_BASE[[#This Row],[CANTIDAD
(unid.)]]</f>
        <v>0</v>
      </c>
      <c r="AX493" s="289">
        <f>'💰 Precio de Venta'!K498</f>
        <v>0</v>
      </c>
      <c r="AY493" s="278">
        <f>TABLA_BASE[[#This Row],[GANANCIA
UNIT.(S/.)]]*'🧾 Factura Comercial'!G497</f>
        <v>0</v>
      </c>
      <c r="AZ493" s="277">
        <f>IF(TABLA_BASE[[#This Row],[PRECIO VTA.
c/IGV(S/.)]]=0,0,TABLA_BASE[[#This Row],[GANANCIA
UNIT.(S/.)]]/TABLA_BASE[[#This Row],[PRECIO VTA.
c/IGV(S/.)]])</f>
        <v>0</v>
      </c>
      <c r="BA493" s="277">
        <f>IF(TABLA_BASE[[#This Row],[C/M UNIT.
(S/.)]]=0,0,TABLA_BASE[[#This Row],[GANANCIA
UNIT.(S/.)]]/TABLA_BASE[[#This Row],[C/M UNIT.
(S/.)]])</f>
        <v>0</v>
      </c>
      <c r="BB493" s="274" t="str">
        <f>IF(TABLA_BASE[[#This Row],[MARGEN
%]]&gt;=0.5,"🟢 ALTO",IF(TABLA_BASE[[#This Row],[MARGEN
%]]&gt;=0.3,"🟡 MEDIO","🔴 BAJO"))</f>
        <v>🟡 MEDIO</v>
      </c>
    </row>
    <row r="494" spans="1:54" ht="16.5" hidden="1" thickTop="1" thickBot="1" x14ac:dyDescent="0.3">
      <c r="A494" s="274">
        <f>'🧾 Factura Comercial'!E498</f>
        <v>0</v>
      </c>
      <c r="B494" s="274" t="str">
        <f>'🧾 Factura Comercial'!F498</f>
        <v>Unid.</v>
      </c>
      <c r="C494" s="275">
        <f>'🧾 Factura Comercial'!G498</f>
        <v>0</v>
      </c>
      <c r="D494" s="276">
        <f>'🧾 Factura Comercial'!H498</f>
        <v>0</v>
      </c>
      <c r="E494" s="276">
        <f>'🧾 Factura Comercial'!I498</f>
        <v>0</v>
      </c>
      <c r="F494" s="277">
        <f>IF('🧾 Tributos Aduana'!$F$6=0,0,'🧾 Factura Comercial'!I498/'🧾 Tributos Aduana'!$F$6)</f>
        <v>0</v>
      </c>
      <c r="G494" s="278">
        <f>'🧾 Factura Comercial'!H498*'📋 Datos Generales'!$E$19</f>
        <v>0</v>
      </c>
      <c r="H494" s="278">
        <f>TABLA_BASE[[#This Row],[FOB UNIT.
(S/.)]]*TABLA_BASE[[#This Row],[CANTIDAD
(unid.)]]</f>
        <v>0</v>
      </c>
      <c r="I494" s="280">
        <f>IF('🧾 Tributos Aduana'!$F$6=0,0,'🧾 Tributos Aduana'!$F$17*('🧾 Factura Comercial'!H498/'🧾 Tributos Aduana'!$F$6))</f>
        <v>0</v>
      </c>
      <c r="J494" s="280">
        <f>TABLA_BASE[[#This Row],[ADV UNIT.
(US$)
⚠️COSTO]]*TABLA_BASE[[#This Row],[CANTIDAD
(unid.)]]</f>
        <v>0</v>
      </c>
      <c r="K494" s="279">
        <f>IF('🧾 Tributos Aduana'!$F$6=0,0,'🧾 Tributos Aduana'!$F$18*('🧾 Factura Comercial'!H498/'🧾 Tributos Aduana'!$F$6))</f>
        <v>0</v>
      </c>
      <c r="L494" s="280">
        <f>TABLA_BASE[[#This Row],[IPM UNIT.
(US$)
✅CF]]*TABLA_BASE[[#This Row],[CANTIDAD
(unid.)]]</f>
        <v>0</v>
      </c>
      <c r="M494" s="279">
        <f>IF('🧾 Tributos Aduana'!$F$6=0,0,'🧾 Tributos Aduana'!$F$19*('🧾 Factura Comercial'!H498/'🧾 Tributos Aduana'!$F$6))</f>
        <v>0</v>
      </c>
      <c r="N494" s="280">
        <f>TABLA_BASE[[#This Row],[IGV UNIT.
(US$)
✅CF]]*TABLA_BASE[[#This Row],[CANTIDAD
(unid.)]]</f>
        <v>0</v>
      </c>
      <c r="O494" s="280">
        <f>IF('🧾 Tributos Aduana'!$F$6=0,0,'🧾 Tributos Aduana'!$F$23*('🧾 Factura Comercial'!H498/'🧾 Tributos Aduana'!$F$6))</f>
        <v>0</v>
      </c>
      <c r="P494" s="280">
        <f>TABLA_BASE[[#This Row],[PERCEP.
UNIT.(US$)
✅CF]]*TABLA_BASE[[#This Row],[CANTIDAD
(unid.)]]</f>
        <v>0</v>
      </c>
      <c r="Q494" s="279">
        <f>TABLA_BASE[[#This Row],[ADV UNIT.
(US$)
⚠️COSTO]]+TABLA_BASE[[#This Row],[IPM UNIT.
(US$)
✅CF]]+TABLA_BASE[[#This Row],[IGV UNIT.
(US$)
✅CF]]</f>
        <v>0</v>
      </c>
      <c r="R494" s="280">
        <f>TABLA_BASE[[#This Row],[DEUDA
ADUANERA
UNIT.]]*TABLA_BASE[[#This Row],[CANTIDAD
(unid.)]]</f>
        <v>0</v>
      </c>
      <c r="S494" s="278">
        <f>TABLA_BASE[[#This Row],[DEUDA
ADUANERA
UNIT.]]*'📋 Datos Generales'!$E$19</f>
        <v>0</v>
      </c>
      <c r="T494" s="278">
        <f>TABLA_BASE[[#This Row],[DEUDA
ADUANERA
TOTAL]]*'📋 Datos Generales'!$E$19</f>
        <v>0</v>
      </c>
      <c r="U494" s="281">
        <f>TABLA_BASE[[#This Row],[ADV UNIT.
(US$)
⚠️COSTO]]*'📋 Datos Generales'!$E$19</f>
        <v>0</v>
      </c>
      <c r="V494" s="281">
        <f>TABLA_BASE[[#This Row],[ADV UNIT.
(S/.)]]*TABLA_BASE[[#This Row],[CANTIDAD
(unid.)]]</f>
        <v>0</v>
      </c>
      <c r="W494" s="281">
        <f>TABLA_BASE[[#This Row],[IPM UNIT.
(US$)
✅CF]]*'📋 Datos Generales'!$E$19</f>
        <v>0</v>
      </c>
      <c r="X494" s="281">
        <f>TABLA_BASE[[#This Row],[IPM UNIT.
(S/.)]]*TABLA_BASE[[#This Row],[CANTIDAD
(unid.)]]</f>
        <v>0</v>
      </c>
      <c r="Y494" s="281">
        <f>TABLA_BASE[[#This Row],[IGV UNIT.
(US$)
✅CF]]*'📋 Datos Generales'!$E$19</f>
        <v>0</v>
      </c>
      <c r="Z494" s="281">
        <f>TABLA_BASE[[#This Row],[IGV UNIT.
(S/.)]]*TABLA_BASE[[#This Row],[CANTIDAD
(unid.)]]</f>
        <v>0</v>
      </c>
      <c r="AA494" s="281">
        <f>TABLA_BASE[[#This Row],[PERCEP.
UNIT.(US$)
✅CF]]*'📋 Datos Generales'!$E$19</f>
        <v>0</v>
      </c>
      <c r="AB494" s="281">
        <f>TABLA_BASE[[#This Row],[PERCEP.
UNIT.(S/.)]]*TABLA_BASE[[#This Row],[CANTIDAD
(unid.)]]</f>
        <v>0</v>
      </c>
      <c r="AC494" s="279">
        <f>TABLA_BASE[[#This Row],[ADV UNIT.
(US$)
⚠️COSTO]]+TABLA_BASE[[#This Row],[IPM UNIT.
(US$)
✅CF]]+TABLA_BASE[[#This Row],[IGV UNIT.
(US$)
✅CF]]+TABLA_BASE[[#This Row],[PERCEP.
UNIT.(US$)
✅CF]]</f>
        <v>0</v>
      </c>
      <c r="AD494" s="279">
        <f>TABLA_BASE[[#This Row],[TOTAL PAGO
SUNAT
UNIT.(US$)]]*TABLA_BASE[[#This Row],[CANTIDAD
(unid.)]]</f>
        <v>0</v>
      </c>
      <c r="AE494" s="281">
        <f>TABLA_BASE[[#This Row],[TOTAL PAGO
SUNAT
UNIT.(US$)]]*'📋 Datos Generales'!$E$19</f>
        <v>0</v>
      </c>
      <c r="AF494" s="281">
        <f>TABLA_BASE[[#This Row],[TOTAL TRIB.
UNIT.(S/.)]]*TABLA_BASE[[#This Row],[CANTIDAD
(unid.)]]</f>
        <v>0</v>
      </c>
      <c r="AG494" s="279">
        <f>IF('🧾 Factura Comercial'!G498=0,0,'📦 Gastos Importación'!$E$28*(IF('🧾 Tributos Aduana'!$F$6=0,0,'🧾 Factura Comercial'!I498/'🧾 Tributos Aduana'!$F$6))/'🧾 Factura Comercial'!G498)</f>
        <v>0</v>
      </c>
      <c r="AH494" s="279">
        <f>TABLA_BASE[[#This Row],[GASTOS IMP.
UNIT.(US$)]]*TABLA_BASE[[#This Row],[CANTIDAD
(unid.)]]</f>
        <v>0</v>
      </c>
      <c r="AI494" s="281">
        <f>TABLA_BASE[[#This Row],[GASTOS IMP.
UNIT.(US$)]]*'📋 Datos Generales'!$E$19</f>
        <v>0</v>
      </c>
      <c r="AJ494" s="281">
        <f>TABLA_BASE[[#This Row],[GASTOS IMP.
UNIT.(S/.)]]*TABLA_BASE[[#This Row],[CANTIDAD
(unid.)]]</f>
        <v>0</v>
      </c>
      <c r="AK494" s="280">
        <f>'🧮 Costos x Producto'!J498</f>
        <v>0</v>
      </c>
      <c r="AL494" s="278">
        <f>'🧮 Costos x Producto'!K498</f>
        <v>0</v>
      </c>
      <c r="AM494" s="278">
        <f>TABLA_BASE[[#This Row],[C/M UNIT.
(S/.)]]*TABLA_BASE[[#This Row],[CANTIDAD
(unid.)]]</f>
        <v>0</v>
      </c>
      <c r="AN494" s="279">
        <f>IF('🧾 Factura Comercial'!G498=0,0,'🧾 Tributos Aduana'!$F$17*(IF('🧾 Tributos Aduana'!$F$6=0,0,'🧾 Factura Comercial'!I498/'🧾 Tributos Aduana'!$F$6))/'🧾 Factura Comercial'!G498)</f>
        <v>0</v>
      </c>
      <c r="AO494" s="280">
        <f>IF('🧾 Factura Comercial'!G498=0,0,'🏦 Crédito Fiscal'!$C$16*(IF('🧾 Tributos Aduana'!$F$6=0,0,'🧾 Factura Comercial'!I498/'🧾 Tributos Aduana'!$F$6))/'🧾 Factura Comercial'!G498)</f>
        <v>0</v>
      </c>
      <c r="AP494" s="278">
        <f>TABLA_BASE[[#This Row],[CF UNIT.
✅RECUP.
(US$)]]*'📋 Datos Generales'!$E$19</f>
        <v>0</v>
      </c>
      <c r="AQ494" s="278">
        <f>TABLA_BASE[[#This Row],[CF UNIT.
✅RECUP.(S/.)]]*TABLA_BASE[[#This Row],[CANTIDAD
(unid.)]]</f>
        <v>0</v>
      </c>
      <c r="AR494" s="288">
        <f>'💰 Precio de Venta'!G499</f>
        <v>0.4</v>
      </c>
      <c r="AS494" s="278">
        <f>'💰 Precio de Venta'!H499</f>
        <v>0</v>
      </c>
      <c r="AT494" s="278">
        <f>TABLA_BASE[[#This Row],[VALOR VTA.
UNIT.(S/.)]]*TABLA_BASE[[#This Row],[CANTIDAD
(unid.)]]</f>
        <v>0</v>
      </c>
      <c r="AU494" s="281">
        <f>'💰 Precio de Venta'!I499</f>
        <v>0</v>
      </c>
      <c r="AV494" s="278">
        <f>'💰 Precio de Venta'!J499</f>
        <v>0</v>
      </c>
      <c r="AW494" s="278">
        <f>TABLA_BASE[[#This Row],[GANANCIA
UNIT.(S/.)]]*TABLA_BASE[[#This Row],[CANTIDAD
(unid.)]]</f>
        <v>0</v>
      </c>
      <c r="AX494" s="289">
        <f>'💰 Precio de Venta'!K499</f>
        <v>0</v>
      </c>
      <c r="AY494" s="278">
        <f>TABLA_BASE[[#This Row],[GANANCIA
UNIT.(S/.)]]*'🧾 Factura Comercial'!G498</f>
        <v>0</v>
      </c>
      <c r="AZ494" s="277">
        <f>IF(TABLA_BASE[[#This Row],[PRECIO VTA.
c/IGV(S/.)]]=0,0,TABLA_BASE[[#This Row],[GANANCIA
UNIT.(S/.)]]/TABLA_BASE[[#This Row],[PRECIO VTA.
c/IGV(S/.)]])</f>
        <v>0</v>
      </c>
      <c r="BA494" s="277">
        <f>IF(TABLA_BASE[[#This Row],[C/M UNIT.
(S/.)]]=0,0,TABLA_BASE[[#This Row],[GANANCIA
UNIT.(S/.)]]/TABLA_BASE[[#This Row],[C/M UNIT.
(S/.)]])</f>
        <v>0</v>
      </c>
      <c r="BB494" s="274" t="str">
        <f>IF(TABLA_BASE[[#This Row],[MARGEN
%]]&gt;=0.5,"🟢 ALTO",IF(TABLA_BASE[[#This Row],[MARGEN
%]]&gt;=0.3,"🟡 MEDIO","🔴 BAJO"))</f>
        <v>🟡 MEDIO</v>
      </c>
    </row>
    <row r="495" spans="1:54" ht="16.5" hidden="1" thickTop="1" thickBot="1" x14ac:dyDescent="0.3">
      <c r="A495" s="274">
        <f>'🧾 Factura Comercial'!E499</f>
        <v>0</v>
      </c>
      <c r="B495" s="274" t="str">
        <f>'🧾 Factura Comercial'!F499</f>
        <v>Unid.</v>
      </c>
      <c r="C495" s="275">
        <f>'🧾 Factura Comercial'!G499</f>
        <v>0</v>
      </c>
      <c r="D495" s="276">
        <f>'🧾 Factura Comercial'!H499</f>
        <v>0</v>
      </c>
      <c r="E495" s="276">
        <f>'🧾 Factura Comercial'!I499</f>
        <v>0</v>
      </c>
      <c r="F495" s="277">
        <f>IF('🧾 Tributos Aduana'!$F$6=0,0,'🧾 Factura Comercial'!I499/'🧾 Tributos Aduana'!$F$6)</f>
        <v>0</v>
      </c>
      <c r="G495" s="278">
        <f>'🧾 Factura Comercial'!H499*'📋 Datos Generales'!$E$19</f>
        <v>0</v>
      </c>
      <c r="H495" s="278">
        <f>TABLA_BASE[[#This Row],[FOB UNIT.
(S/.)]]*TABLA_BASE[[#This Row],[CANTIDAD
(unid.)]]</f>
        <v>0</v>
      </c>
      <c r="I495" s="280">
        <f>IF('🧾 Tributos Aduana'!$F$6=0,0,'🧾 Tributos Aduana'!$F$17*('🧾 Factura Comercial'!H499/'🧾 Tributos Aduana'!$F$6))</f>
        <v>0</v>
      </c>
      <c r="J495" s="280">
        <f>TABLA_BASE[[#This Row],[ADV UNIT.
(US$)
⚠️COSTO]]*TABLA_BASE[[#This Row],[CANTIDAD
(unid.)]]</f>
        <v>0</v>
      </c>
      <c r="K495" s="279">
        <f>IF('🧾 Tributos Aduana'!$F$6=0,0,'🧾 Tributos Aduana'!$F$18*('🧾 Factura Comercial'!H499/'🧾 Tributos Aduana'!$F$6))</f>
        <v>0</v>
      </c>
      <c r="L495" s="280">
        <f>TABLA_BASE[[#This Row],[IPM UNIT.
(US$)
✅CF]]*TABLA_BASE[[#This Row],[CANTIDAD
(unid.)]]</f>
        <v>0</v>
      </c>
      <c r="M495" s="279">
        <f>IF('🧾 Tributos Aduana'!$F$6=0,0,'🧾 Tributos Aduana'!$F$19*('🧾 Factura Comercial'!H499/'🧾 Tributos Aduana'!$F$6))</f>
        <v>0</v>
      </c>
      <c r="N495" s="280">
        <f>TABLA_BASE[[#This Row],[IGV UNIT.
(US$)
✅CF]]*TABLA_BASE[[#This Row],[CANTIDAD
(unid.)]]</f>
        <v>0</v>
      </c>
      <c r="O495" s="280">
        <f>IF('🧾 Tributos Aduana'!$F$6=0,0,'🧾 Tributos Aduana'!$F$23*('🧾 Factura Comercial'!H499/'🧾 Tributos Aduana'!$F$6))</f>
        <v>0</v>
      </c>
      <c r="P495" s="280">
        <f>TABLA_BASE[[#This Row],[PERCEP.
UNIT.(US$)
✅CF]]*TABLA_BASE[[#This Row],[CANTIDAD
(unid.)]]</f>
        <v>0</v>
      </c>
      <c r="Q495" s="279">
        <f>TABLA_BASE[[#This Row],[ADV UNIT.
(US$)
⚠️COSTO]]+TABLA_BASE[[#This Row],[IPM UNIT.
(US$)
✅CF]]+TABLA_BASE[[#This Row],[IGV UNIT.
(US$)
✅CF]]</f>
        <v>0</v>
      </c>
      <c r="R495" s="280">
        <f>TABLA_BASE[[#This Row],[DEUDA
ADUANERA
UNIT.]]*TABLA_BASE[[#This Row],[CANTIDAD
(unid.)]]</f>
        <v>0</v>
      </c>
      <c r="S495" s="278">
        <f>TABLA_BASE[[#This Row],[DEUDA
ADUANERA
UNIT.]]*'📋 Datos Generales'!$E$19</f>
        <v>0</v>
      </c>
      <c r="T495" s="278">
        <f>TABLA_BASE[[#This Row],[DEUDA
ADUANERA
TOTAL]]*'📋 Datos Generales'!$E$19</f>
        <v>0</v>
      </c>
      <c r="U495" s="281">
        <f>TABLA_BASE[[#This Row],[ADV UNIT.
(US$)
⚠️COSTO]]*'📋 Datos Generales'!$E$19</f>
        <v>0</v>
      </c>
      <c r="V495" s="281">
        <f>TABLA_BASE[[#This Row],[ADV UNIT.
(S/.)]]*TABLA_BASE[[#This Row],[CANTIDAD
(unid.)]]</f>
        <v>0</v>
      </c>
      <c r="W495" s="281">
        <f>TABLA_BASE[[#This Row],[IPM UNIT.
(US$)
✅CF]]*'📋 Datos Generales'!$E$19</f>
        <v>0</v>
      </c>
      <c r="X495" s="281">
        <f>TABLA_BASE[[#This Row],[IPM UNIT.
(S/.)]]*TABLA_BASE[[#This Row],[CANTIDAD
(unid.)]]</f>
        <v>0</v>
      </c>
      <c r="Y495" s="281">
        <f>TABLA_BASE[[#This Row],[IGV UNIT.
(US$)
✅CF]]*'📋 Datos Generales'!$E$19</f>
        <v>0</v>
      </c>
      <c r="Z495" s="281">
        <f>TABLA_BASE[[#This Row],[IGV UNIT.
(S/.)]]*TABLA_BASE[[#This Row],[CANTIDAD
(unid.)]]</f>
        <v>0</v>
      </c>
      <c r="AA495" s="281">
        <f>TABLA_BASE[[#This Row],[PERCEP.
UNIT.(US$)
✅CF]]*'📋 Datos Generales'!$E$19</f>
        <v>0</v>
      </c>
      <c r="AB495" s="281">
        <f>TABLA_BASE[[#This Row],[PERCEP.
UNIT.(S/.)]]*TABLA_BASE[[#This Row],[CANTIDAD
(unid.)]]</f>
        <v>0</v>
      </c>
      <c r="AC495" s="279">
        <f>TABLA_BASE[[#This Row],[ADV UNIT.
(US$)
⚠️COSTO]]+TABLA_BASE[[#This Row],[IPM UNIT.
(US$)
✅CF]]+TABLA_BASE[[#This Row],[IGV UNIT.
(US$)
✅CF]]+TABLA_BASE[[#This Row],[PERCEP.
UNIT.(US$)
✅CF]]</f>
        <v>0</v>
      </c>
      <c r="AD495" s="279">
        <f>TABLA_BASE[[#This Row],[TOTAL PAGO
SUNAT
UNIT.(US$)]]*TABLA_BASE[[#This Row],[CANTIDAD
(unid.)]]</f>
        <v>0</v>
      </c>
      <c r="AE495" s="281">
        <f>TABLA_BASE[[#This Row],[TOTAL PAGO
SUNAT
UNIT.(US$)]]*'📋 Datos Generales'!$E$19</f>
        <v>0</v>
      </c>
      <c r="AF495" s="281">
        <f>TABLA_BASE[[#This Row],[TOTAL TRIB.
UNIT.(S/.)]]*TABLA_BASE[[#This Row],[CANTIDAD
(unid.)]]</f>
        <v>0</v>
      </c>
      <c r="AG495" s="279">
        <f>IF('🧾 Factura Comercial'!G499=0,0,'📦 Gastos Importación'!$E$28*(IF('🧾 Tributos Aduana'!$F$6=0,0,'🧾 Factura Comercial'!I499/'🧾 Tributos Aduana'!$F$6))/'🧾 Factura Comercial'!G499)</f>
        <v>0</v>
      </c>
      <c r="AH495" s="279">
        <f>TABLA_BASE[[#This Row],[GASTOS IMP.
UNIT.(US$)]]*TABLA_BASE[[#This Row],[CANTIDAD
(unid.)]]</f>
        <v>0</v>
      </c>
      <c r="AI495" s="281">
        <f>TABLA_BASE[[#This Row],[GASTOS IMP.
UNIT.(US$)]]*'📋 Datos Generales'!$E$19</f>
        <v>0</v>
      </c>
      <c r="AJ495" s="281">
        <f>TABLA_BASE[[#This Row],[GASTOS IMP.
UNIT.(S/.)]]*TABLA_BASE[[#This Row],[CANTIDAD
(unid.)]]</f>
        <v>0</v>
      </c>
      <c r="AK495" s="280">
        <f>'🧮 Costos x Producto'!J499</f>
        <v>0</v>
      </c>
      <c r="AL495" s="278">
        <f>'🧮 Costos x Producto'!K499</f>
        <v>0</v>
      </c>
      <c r="AM495" s="278">
        <f>TABLA_BASE[[#This Row],[C/M UNIT.
(S/.)]]*TABLA_BASE[[#This Row],[CANTIDAD
(unid.)]]</f>
        <v>0</v>
      </c>
      <c r="AN495" s="279">
        <f>IF('🧾 Factura Comercial'!G499=0,0,'🧾 Tributos Aduana'!$F$17*(IF('🧾 Tributos Aduana'!$F$6=0,0,'🧾 Factura Comercial'!I499/'🧾 Tributos Aduana'!$F$6))/'🧾 Factura Comercial'!G499)</f>
        <v>0</v>
      </c>
      <c r="AO495" s="280">
        <f>IF('🧾 Factura Comercial'!G499=0,0,'🏦 Crédito Fiscal'!$C$16*(IF('🧾 Tributos Aduana'!$F$6=0,0,'🧾 Factura Comercial'!I499/'🧾 Tributos Aduana'!$F$6))/'🧾 Factura Comercial'!G499)</f>
        <v>0</v>
      </c>
      <c r="AP495" s="278">
        <f>TABLA_BASE[[#This Row],[CF UNIT.
✅RECUP.
(US$)]]*'📋 Datos Generales'!$E$19</f>
        <v>0</v>
      </c>
      <c r="AQ495" s="278">
        <f>TABLA_BASE[[#This Row],[CF UNIT.
✅RECUP.(S/.)]]*TABLA_BASE[[#This Row],[CANTIDAD
(unid.)]]</f>
        <v>0</v>
      </c>
      <c r="AR495" s="288">
        <f>'💰 Precio de Venta'!G500</f>
        <v>0.4</v>
      </c>
      <c r="AS495" s="278">
        <f>'💰 Precio de Venta'!H500</f>
        <v>0</v>
      </c>
      <c r="AT495" s="278">
        <f>TABLA_BASE[[#This Row],[VALOR VTA.
UNIT.(S/.)]]*TABLA_BASE[[#This Row],[CANTIDAD
(unid.)]]</f>
        <v>0</v>
      </c>
      <c r="AU495" s="281">
        <f>'💰 Precio de Venta'!I500</f>
        <v>0</v>
      </c>
      <c r="AV495" s="278">
        <f>'💰 Precio de Venta'!J500</f>
        <v>0</v>
      </c>
      <c r="AW495" s="278">
        <f>TABLA_BASE[[#This Row],[GANANCIA
UNIT.(S/.)]]*TABLA_BASE[[#This Row],[CANTIDAD
(unid.)]]</f>
        <v>0</v>
      </c>
      <c r="AX495" s="289">
        <f>'💰 Precio de Venta'!K500</f>
        <v>0</v>
      </c>
      <c r="AY495" s="278">
        <f>TABLA_BASE[[#This Row],[GANANCIA
UNIT.(S/.)]]*'🧾 Factura Comercial'!G499</f>
        <v>0</v>
      </c>
      <c r="AZ495" s="277">
        <f>IF(TABLA_BASE[[#This Row],[PRECIO VTA.
c/IGV(S/.)]]=0,0,TABLA_BASE[[#This Row],[GANANCIA
UNIT.(S/.)]]/TABLA_BASE[[#This Row],[PRECIO VTA.
c/IGV(S/.)]])</f>
        <v>0</v>
      </c>
      <c r="BA495" s="277">
        <f>IF(TABLA_BASE[[#This Row],[C/M UNIT.
(S/.)]]=0,0,TABLA_BASE[[#This Row],[GANANCIA
UNIT.(S/.)]]/TABLA_BASE[[#This Row],[C/M UNIT.
(S/.)]])</f>
        <v>0</v>
      </c>
      <c r="BB495" s="274" t="str">
        <f>IF(TABLA_BASE[[#This Row],[MARGEN
%]]&gt;=0.5,"🟢 ALTO",IF(TABLA_BASE[[#This Row],[MARGEN
%]]&gt;=0.3,"🟡 MEDIO","🔴 BAJO"))</f>
        <v>🟡 MEDIO</v>
      </c>
    </row>
    <row r="496" spans="1:54" ht="16.5" hidden="1" thickTop="1" thickBot="1" x14ac:dyDescent="0.3">
      <c r="A496" s="274">
        <f>'🧾 Factura Comercial'!E500</f>
        <v>0</v>
      </c>
      <c r="B496" s="274" t="str">
        <f>'🧾 Factura Comercial'!F500</f>
        <v>Unid.</v>
      </c>
      <c r="C496" s="275">
        <f>'🧾 Factura Comercial'!G500</f>
        <v>0</v>
      </c>
      <c r="D496" s="276">
        <f>'🧾 Factura Comercial'!H500</f>
        <v>0</v>
      </c>
      <c r="E496" s="276">
        <f>'🧾 Factura Comercial'!I500</f>
        <v>0</v>
      </c>
      <c r="F496" s="277">
        <f>IF('🧾 Tributos Aduana'!$F$6=0,0,'🧾 Factura Comercial'!I500/'🧾 Tributos Aduana'!$F$6)</f>
        <v>0</v>
      </c>
      <c r="G496" s="278">
        <f>'🧾 Factura Comercial'!H500*'📋 Datos Generales'!$E$19</f>
        <v>0</v>
      </c>
      <c r="H496" s="278">
        <f>TABLA_BASE[[#This Row],[FOB UNIT.
(S/.)]]*TABLA_BASE[[#This Row],[CANTIDAD
(unid.)]]</f>
        <v>0</v>
      </c>
      <c r="I496" s="280">
        <f>IF('🧾 Tributos Aduana'!$F$6=0,0,'🧾 Tributos Aduana'!$F$17*('🧾 Factura Comercial'!H500/'🧾 Tributos Aduana'!$F$6))</f>
        <v>0</v>
      </c>
      <c r="J496" s="280">
        <f>TABLA_BASE[[#This Row],[ADV UNIT.
(US$)
⚠️COSTO]]*TABLA_BASE[[#This Row],[CANTIDAD
(unid.)]]</f>
        <v>0</v>
      </c>
      <c r="K496" s="279">
        <f>IF('🧾 Tributos Aduana'!$F$6=0,0,'🧾 Tributos Aduana'!$F$18*('🧾 Factura Comercial'!H500/'🧾 Tributos Aduana'!$F$6))</f>
        <v>0</v>
      </c>
      <c r="L496" s="280">
        <f>TABLA_BASE[[#This Row],[IPM UNIT.
(US$)
✅CF]]*TABLA_BASE[[#This Row],[CANTIDAD
(unid.)]]</f>
        <v>0</v>
      </c>
      <c r="M496" s="279">
        <f>IF('🧾 Tributos Aduana'!$F$6=0,0,'🧾 Tributos Aduana'!$F$19*('🧾 Factura Comercial'!H500/'🧾 Tributos Aduana'!$F$6))</f>
        <v>0</v>
      </c>
      <c r="N496" s="280">
        <f>TABLA_BASE[[#This Row],[IGV UNIT.
(US$)
✅CF]]*TABLA_BASE[[#This Row],[CANTIDAD
(unid.)]]</f>
        <v>0</v>
      </c>
      <c r="O496" s="280">
        <f>IF('🧾 Tributos Aduana'!$F$6=0,0,'🧾 Tributos Aduana'!$F$23*('🧾 Factura Comercial'!H500/'🧾 Tributos Aduana'!$F$6))</f>
        <v>0</v>
      </c>
      <c r="P496" s="280">
        <f>TABLA_BASE[[#This Row],[PERCEP.
UNIT.(US$)
✅CF]]*TABLA_BASE[[#This Row],[CANTIDAD
(unid.)]]</f>
        <v>0</v>
      </c>
      <c r="Q496" s="279">
        <f>TABLA_BASE[[#This Row],[ADV UNIT.
(US$)
⚠️COSTO]]+TABLA_BASE[[#This Row],[IPM UNIT.
(US$)
✅CF]]+TABLA_BASE[[#This Row],[IGV UNIT.
(US$)
✅CF]]</f>
        <v>0</v>
      </c>
      <c r="R496" s="280">
        <f>TABLA_BASE[[#This Row],[DEUDA
ADUANERA
UNIT.]]*TABLA_BASE[[#This Row],[CANTIDAD
(unid.)]]</f>
        <v>0</v>
      </c>
      <c r="S496" s="278">
        <f>TABLA_BASE[[#This Row],[DEUDA
ADUANERA
UNIT.]]*'📋 Datos Generales'!$E$19</f>
        <v>0</v>
      </c>
      <c r="T496" s="278">
        <f>TABLA_BASE[[#This Row],[DEUDA
ADUANERA
TOTAL]]*'📋 Datos Generales'!$E$19</f>
        <v>0</v>
      </c>
      <c r="U496" s="281">
        <f>TABLA_BASE[[#This Row],[ADV UNIT.
(US$)
⚠️COSTO]]*'📋 Datos Generales'!$E$19</f>
        <v>0</v>
      </c>
      <c r="V496" s="281">
        <f>TABLA_BASE[[#This Row],[ADV UNIT.
(S/.)]]*TABLA_BASE[[#This Row],[CANTIDAD
(unid.)]]</f>
        <v>0</v>
      </c>
      <c r="W496" s="281">
        <f>TABLA_BASE[[#This Row],[IPM UNIT.
(US$)
✅CF]]*'📋 Datos Generales'!$E$19</f>
        <v>0</v>
      </c>
      <c r="X496" s="281">
        <f>TABLA_BASE[[#This Row],[IPM UNIT.
(S/.)]]*TABLA_BASE[[#This Row],[CANTIDAD
(unid.)]]</f>
        <v>0</v>
      </c>
      <c r="Y496" s="281">
        <f>TABLA_BASE[[#This Row],[IGV UNIT.
(US$)
✅CF]]*'📋 Datos Generales'!$E$19</f>
        <v>0</v>
      </c>
      <c r="Z496" s="281">
        <f>TABLA_BASE[[#This Row],[IGV UNIT.
(S/.)]]*TABLA_BASE[[#This Row],[CANTIDAD
(unid.)]]</f>
        <v>0</v>
      </c>
      <c r="AA496" s="281">
        <f>TABLA_BASE[[#This Row],[PERCEP.
UNIT.(US$)
✅CF]]*'📋 Datos Generales'!$E$19</f>
        <v>0</v>
      </c>
      <c r="AB496" s="281">
        <f>TABLA_BASE[[#This Row],[PERCEP.
UNIT.(S/.)]]*TABLA_BASE[[#This Row],[CANTIDAD
(unid.)]]</f>
        <v>0</v>
      </c>
      <c r="AC496" s="279">
        <f>TABLA_BASE[[#This Row],[ADV UNIT.
(US$)
⚠️COSTO]]+TABLA_BASE[[#This Row],[IPM UNIT.
(US$)
✅CF]]+TABLA_BASE[[#This Row],[IGV UNIT.
(US$)
✅CF]]+TABLA_BASE[[#This Row],[PERCEP.
UNIT.(US$)
✅CF]]</f>
        <v>0</v>
      </c>
      <c r="AD496" s="279">
        <f>TABLA_BASE[[#This Row],[TOTAL PAGO
SUNAT
UNIT.(US$)]]*TABLA_BASE[[#This Row],[CANTIDAD
(unid.)]]</f>
        <v>0</v>
      </c>
      <c r="AE496" s="281">
        <f>TABLA_BASE[[#This Row],[TOTAL PAGO
SUNAT
UNIT.(US$)]]*'📋 Datos Generales'!$E$19</f>
        <v>0</v>
      </c>
      <c r="AF496" s="281">
        <f>TABLA_BASE[[#This Row],[TOTAL TRIB.
UNIT.(S/.)]]*TABLA_BASE[[#This Row],[CANTIDAD
(unid.)]]</f>
        <v>0</v>
      </c>
      <c r="AG496" s="279">
        <f>IF('🧾 Factura Comercial'!G500=0,0,'📦 Gastos Importación'!$E$28*(IF('🧾 Tributos Aduana'!$F$6=0,0,'🧾 Factura Comercial'!I500/'🧾 Tributos Aduana'!$F$6))/'🧾 Factura Comercial'!G500)</f>
        <v>0</v>
      </c>
      <c r="AH496" s="279">
        <f>TABLA_BASE[[#This Row],[GASTOS IMP.
UNIT.(US$)]]*TABLA_BASE[[#This Row],[CANTIDAD
(unid.)]]</f>
        <v>0</v>
      </c>
      <c r="AI496" s="281">
        <f>TABLA_BASE[[#This Row],[GASTOS IMP.
UNIT.(US$)]]*'📋 Datos Generales'!$E$19</f>
        <v>0</v>
      </c>
      <c r="AJ496" s="281">
        <f>TABLA_BASE[[#This Row],[GASTOS IMP.
UNIT.(S/.)]]*TABLA_BASE[[#This Row],[CANTIDAD
(unid.)]]</f>
        <v>0</v>
      </c>
      <c r="AK496" s="280">
        <f>'🧮 Costos x Producto'!J500</f>
        <v>0</v>
      </c>
      <c r="AL496" s="278">
        <f>'🧮 Costos x Producto'!K500</f>
        <v>0</v>
      </c>
      <c r="AM496" s="278">
        <f>TABLA_BASE[[#This Row],[C/M UNIT.
(S/.)]]*TABLA_BASE[[#This Row],[CANTIDAD
(unid.)]]</f>
        <v>0</v>
      </c>
      <c r="AN496" s="279">
        <f>IF('🧾 Factura Comercial'!G500=0,0,'🧾 Tributos Aduana'!$F$17*(IF('🧾 Tributos Aduana'!$F$6=0,0,'🧾 Factura Comercial'!I500/'🧾 Tributos Aduana'!$F$6))/'🧾 Factura Comercial'!G500)</f>
        <v>0</v>
      </c>
      <c r="AO496" s="280">
        <f>IF('🧾 Factura Comercial'!G500=0,0,'🏦 Crédito Fiscal'!$C$16*(IF('🧾 Tributos Aduana'!$F$6=0,0,'🧾 Factura Comercial'!I500/'🧾 Tributos Aduana'!$F$6))/'🧾 Factura Comercial'!G500)</f>
        <v>0</v>
      </c>
      <c r="AP496" s="278">
        <f>TABLA_BASE[[#This Row],[CF UNIT.
✅RECUP.
(US$)]]*'📋 Datos Generales'!$E$19</f>
        <v>0</v>
      </c>
      <c r="AQ496" s="278">
        <f>TABLA_BASE[[#This Row],[CF UNIT.
✅RECUP.(S/.)]]*TABLA_BASE[[#This Row],[CANTIDAD
(unid.)]]</f>
        <v>0</v>
      </c>
      <c r="AR496" s="288">
        <f>'💰 Precio de Venta'!G501</f>
        <v>0.4</v>
      </c>
      <c r="AS496" s="278">
        <f>'💰 Precio de Venta'!H501</f>
        <v>0</v>
      </c>
      <c r="AT496" s="278">
        <f>TABLA_BASE[[#This Row],[VALOR VTA.
UNIT.(S/.)]]*TABLA_BASE[[#This Row],[CANTIDAD
(unid.)]]</f>
        <v>0</v>
      </c>
      <c r="AU496" s="281">
        <f>'💰 Precio de Venta'!I501</f>
        <v>0</v>
      </c>
      <c r="AV496" s="278">
        <f>'💰 Precio de Venta'!J501</f>
        <v>0</v>
      </c>
      <c r="AW496" s="278">
        <f>TABLA_BASE[[#This Row],[GANANCIA
UNIT.(S/.)]]*TABLA_BASE[[#This Row],[CANTIDAD
(unid.)]]</f>
        <v>0</v>
      </c>
      <c r="AX496" s="289">
        <f>'💰 Precio de Venta'!K501</f>
        <v>0</v>
      </c>
      <c r="AY496" s="278">
        <f>TABLA_BASE[[#This Row],[GANANCIA
UNIT.(S/.)]]*'🧾 Factura Comercial'!G500</f>
        <v>0</v>
      </c>
      <c r="AZ496" s="277">
        <f>IF(TABLA_BASE[[#This Row],[PRECIO VTA.
c/IGV(S/.)]]=0,0,TABLA_BASE[[#This Row],[GANANCIA
UNIT.(S/.)]]/TABLA_BASE[[#This Row],[PRECIO VTA.
c/IGV(S/.)]])</f>
        <v>0</v>
      </c>
      <c r="BA496" s="277">
        <f>IF(TABLA_BASE[[#This Row],[C/M UNIT.
(S/.)]]=0,0,TABLA_BASE[[#This Row],[GANANCIA
UNIT.(S/.)]]/TABLA_BASE[[#This Row],[C/M UNIT.
(S/.)]])</f>
        <v>0</v>
      </c>
      <c r="BB496" s="274" t="str">
        <f>IF(TABLA_BASE[[#This Row],[MARGEN
%]]&gt;=0.5,"🟢 ALTO",IF(TABLA_BASE[[#This Row],[MARGEN
%]]&gt;=0.3,"🟡 MEDIO","🔴 BAJO"))</f>
        <v>🟡 MEDIO</v>
      </c>
    </row>
    <row r="497" spans="1:54" ht="16.5" hidden="1" thickTop="1" thickBot="1" x14ac:dyDescent="0.3">
      <c r="A497" s="274">
        <f>'🧾 Factura Comercial'!E501</f>
        <v>0</v>
      </c>
      <c r="B497" s="274" t="str">
        <f>'🧾 Factura Comercial'!F501</f>
        <v>Unid.</v>
      </c>
      <c r="C497" s="275">
        <f>'🧾 Factura Comercial'!G501</f>
        <v>0</v>
      </c>
      <c r="D497" s="276">
        <f>'🧾 Factura Comercial'!H501</f>
        <v>0</v>
      </c>
      <c r="E497" s="276">
        <f>'🧾 Factura Comercial'!I501</f>
        <v>0</v>
      </c>
      <c r="F497" s="277">
        <f>IF('🧾 Tributos Aduana'!$F$6=0,0,'🧾 Factura Comercial'!I501/'🧾 Tributos Aduana'!$F$6)</f>
        <v>0</v>
      </c>
      <c r="G497" s="278">
        <f>'🧾 Factura Comercial'!H501*'📋 Datos Generales'!$E$19</f>
        <v>0</v>
      </c>
      <c r="H497" s="278">
        <f>TABLA_BASE[[#This Row],[FOB UNIT.
(S/.)]]*TABLA_BASE[[#This Row],[CANTIDAD
(unid.)]]</f>
        <v>0</v>
      </c>
      <c r="I497" s="280">
        <f>IF('🧾 Tributos Aduana'!$F$6=0,0,'🧾 Tributos Aduana'!$F$17*('🧾 Factura Comercial'!H501/'🧾 Tributos Aduana'!$F$6))</f>
        <v>0</v>
      </c>
      <c r="J497" s="280">
        <f>TABLA_BASE[[#This Row],[ADV UNIT.
(US$)
⚠️COSTO]]*TABLA_BASE[[#This Row],[CANTIDAD
(unid.)]]</f>
        <v>0</v>
      </c>
      <c r="K497" s="279">
        <f>IF('🧾 Tributos Aduana'!$F$6=0,0,'🧾 Tributos Aduana'!$F$18*('🧾 Factura Comercial'!H501/'🧾 Tributos Aduana'!$F$6))</f>
        <v>0</v>
      </c>
      <c r="L497" s="280">
        <f>TABLA_BASE[[#This Row],[IPM UNIT.
(US$)
✅CF]]*TABLA_BASE[[#This Row],[CANTIDAD
(unid.)]]</f>
        <v>0</v>
      </c>
      <c r="M497" s="279">
        <f>IF('🧾 Tributos Aduana'!$F$6=0,0,'🧾 Tributos Aduana'!$F$19*('🧾 Factura Comercial'!H501/'🧾 Tributos Aduana'!$F$6))</f>
        <v>0</v>
      </c>
      <c r="N497" s="280">
        <f>TABLA_BASE[[#This Row],[IGV UNIT.
(US$)
✅CF]]*TABLA_BASE[[#This Row],[CANTIDAD
(unid.)]]</f>
        <v>0</v>
      </c>
      <c r="O497" s="280">
        <f>IF('🧾 Tributos Aduana'!$F$6=0,0,'🧾 Tributos Aduana'!$F$23*('🧾 Factura Comercial'!H501/'🧾 Tributos Aduana'!$F$6))</f>
        <v>0</v>
      </c>
      <c r="P497" s="280">
        <f>TABLA_BASE[[#This Row],[PERCEP.
UNIT.(US$)
✅CF]]*TABLA_BASE[[#This Row],[CANTIDAD
(unid.)]]</f>
        <v>0</v>
      </c>
      <c r="Q497" s="279">
        <f>TABLA_BASE[[#This Row],[ADV UNIT.
(US$)
⚠️COSTO]]+TABLA_BASE[[#This Row],[IPM UNIT.
(US$)
✅CF]]+TABLA_BASE[[#This Row],[IGV UNIT.
(US$)
✅CF]]</f>
        <v>0</v>
      </c>
      <c r="R497" s="280">
        <f>TABLA_BASE[[#This Row],[DEUDA
ADUANERA
UNIT.]]*TABLA_BASE[[#This Row],[CANTIDAD
(unid.)]]</f>
        <v>0</v>
      </c>
      <c r="S497" s="278">
        <f>TABLA_BASE[[#This Row],[DEUDA
ADUANERA
UNIT.]]*'📋 Datos Generales'!$E$19</f>
        <v>0</v>
      </c>
      <c r="T497" s="278">
        <f>TABLA_BASE[[#This Row],[DEUDA
ADUANERA
TOTAL]]*'📋 Datos Generales'!$E$19</f>
        <v>0</v>
      </c>
      <c r="U497" s="281">
        <f>TABLA_BASE[[#This Row],[ADV UNIT.
(US$)
⚠️COSTO]]*'📋 Datos Generales'!$E$19</f>
        <v>0</v>
      </c>
      <c r="V497" s="281">
        <f>TABLA_BASE[[#This Row],[ADV UNIT.
(S/.)]]*TABLA_BASE[[#This Row],[CANTIDAD
(unid.)]]</f>
        <v>0</v>
      </c>
      <c r="W497" s="281">
        <f>TABLA_BASE[[#This Row],[IPM UNIT.
(US$)
✅CF]]*'📋 Datos Generales'!$E$19</f>
        <v>0</v>
      </c>
      <c r="X497" s="281">
        <f>TABLA_BASE[[#This Row],[IPM UNIT.
(S/.)]]*TABLA_BASE[[#This Row],[CANTIDAD
(unid.)]]</f>
        <v>0</v>
      </c>
      <c r="Y497" s="281">
        <f>TABLA_BASE[[#This Row],[IGV UNIT.
(US$)
✅CF]]*'📋 Datos Generales'!$E$19</f>
        <v>0</v>
      </c>
      <c r="Z497" s="281">
        <f>TABLA_BASE[[#This Row],[IGV UNIT.
(S/.)]]*TABLA_BASE[[#This Row],[CANTIDAD
(unid.)]]</f>
        <v>0</v>
      </c>
      <c r="AA497" s="281">
        <f>TABLA_BASE[[#This Row],[PERCEP.
UNIT.(US$)
✅CF]]*'📋 Datos Generales'!$E$19</f>
        <v>0</v>
      </c>
      <c r="AB497" s="281">
        <f>TABLA_BASE[[#This Row],[PERCEP.
UNIT.(S/.)]]*TABLA_BASE[[#This Row],[CANTIDAD
(unid.)]]</f>
        <v>0</v>
      </c>
      <c r="AC497" s="279">
        <f>TABLA_BASE[[#This Row],[ADV UNIT.
(US$)
⚠️COSTO]]+TABLA_BASE[[#This Row],[IPM UNIT.
(US$)
✅CF]]+TABLA_BASE[[#This Row],[IGV UNIT.
(US$)
✅CF]]+TABLA_BASE[[#This Row],[PERCEP.
UNIT.(US$)
✅CF]]</f>
        <v>0</v>
      </c>
      <c r="AD497" s="279">
        <f>TABLA_BASE[[#This Row],[TOTAL PAGO
SUNAT
UNIT.(US$)]]*TABLA_BASE[[#This Row],[CANTIDAD
(unid.)]]</f>
        <v>0</v>
      </c>
      <c r="AE497" s="281">
        <f>TABLA_BASE[[#This Row],[TOTAL PAGO
SUNAT
UNIT.(US$)]]*'📋 Datos Generales'!$E$19</f>
        <v>0</v>
      </c>
      <c r="AF497" s="281">
        <f>TABLA_BASE[[#This Row],[TOTAL TRIB.
UNIT.(S/.)]]*TABLA_BASE[[#This Row],[CANTIDAD
(unid.)]]</f>
        <v>0</v>
      </c>
      <c r="AG497" s="279">
        <f>IF('🧾 Factura Comercial'!G501=0,0,'📦 Gastos Importación'!$E$28*(IF('🧾 Tributos Aduana'!$F$6=0,0,'🧾 Factura Comercial'!I501/'🧾 Tributos Aduana'!$F$6))/'🧾 Factura Comercial'!G501)</f>
        <v>0</v>
      </c>
      <c r="AH497" s="279">
        <f>TABLA_BASE[[#This Row],[GASTOS IMP.
UNIT.(US$)]]*TABLA_BASE[[#This Row],[CANTIDAD
(unid.)]]</f>
        <v>0</v>
      </c>
      <c r="AI497" s="281">
        <f>TABLA_BASE[[#This Row],[GASTOS IMP.
UNIT.(US$)]]*'📋 Datos Generales'!$E$19</f>
        <v>0</v>
      </c>
      <c r="AJ497" s="281">
        <f>TABLA_BASE[[#This Row],[GASTOS IMP.
UNIT.(S/.)]]*TABLA_BASE[[#This Row],[CANTIDAD
(unid.)]]</f>
        <v>0</v>
      </c>
      <c r="AK497" s="280">
        <f>'🧮 Costos x Producto'!J501</f>
        <v>0</v>
      </c>
      <c r="AL497" s="278">
        <f>'🧮 Costos x Producto'!K501</f>
        <v>0</v>
      </c>
      <c r="AM497" s="278">
        <f>TABLA_BASE[[#This Row],[C/M UNIT.
(S/.)]]*TABLA_BASE[[#This Row],[CANTIDAD
(unid.)]]</f>
        <v>0</v>
      </c>
      <c r="AN497" s="279">
        <f>IF('🧾 Factura Comercial'!G501=0,0,'🧾 Tributos Aduana'!$F$17*(IF('🧾 Tributos Aduana'!$F$6=0,0,'🧾 Factura Comercial'!I501/'🧾 Tributos Aduana'!$F$6))/'🧾 Factura Comercial'!G501)</f>
        <v>0</v>
      </c>
      <c r="AO497" s="280">
        <f>IF('🧾 Factura Comercial'!G501=0,0,'🏦 Crédito Fiscal'!$C$16*(IF('🧾 Tributos Aduana'!$F$6=0,0,'🧾 Factura Comercial'!I501/'🧾 Tributos Aduana'!$F$6))/'🧾 Factura Comercial'!G501)</f>
        <v>0</v>
      </c>
      <c r="AP497" s="278">
        <f>TABLA_BASE[[#This Row],[CF UNIT.
✅RECUP.
(US$)]]*'📋 Datos Generales'!$E$19</f>
        <v>0</v>
      </c>
      <c r="AQ497" s="278">
        <f>TABLA_BASE[[#This Row],[CF UNIT.
✅RECUP.(S/.)]]*TABLA_BASE[[#This Row],[CANTIDAD
(unid.)]]</f>
        <v>0</v>
      </c>
      <c r="AR497" s="288">
        <f>'💰 Precio de Venta'!G502</f>
        <v>0.4</v>
      </c>
      <c r="AS497" s="278">
        <f>'💰 Precio de Venta'!H502</f>
        <v>0</v>
      </c>
      <c r="AT497" s="278">
        <f>TABLA_BASE[[#This Row],[VALOR VTA.
UNIT.(S/.)]]*TABLA_BASE[[#This Row],[CANTIDAD
(unid.)]]</f>
        <v>0</v>
      </c>
      <c r="AU497" s="281">
        <f>'💰 Precio de Venta'!I502</f>
        <v>0</v>
      </c>
      <c r="AV497" s="278">
        <f>'💰 Precio de Venta'!J502</f>
        <v>0</v>
      </c>
      <c r="AW497" s="278">
        <f>TABLA_BASE[[#This Row],[GANANCIA
UNIT.(S/.)]]*TABLA_BASE[[#This Row],[CANTIDAD
(unid.)]]</f>
        <v>0</v>
      </c>
      <c r="AX497" s="289">
        <f>'💰 Precio de Venta'!K502</f>
        <v>0</v>
      </c>
      <c r="AY497" s="278">
        <f>TABLA_BASE[[#This Row],[GANANCIA
UNIT.(S/.)]]*'🧾 Factura Comercial'!G501</f>
        <v>0</v>
      </c>
      <c r="AZ497" s="277">
        <f>IF(TABLA_BASE[[#This Row],[PRECIO VTA.
c/IGV(S/.)]]=0,0,TABLA_BASE[[#This Row],[GANANCIA
UNIT.(S/.)]]/TABLA_BASE[[#This Row],[PRECIO VTA.
c/IGV(S/.)]])</f>
        <v>0</v>
      </c>
      <c r="BA497" s="277">
        <f>IF(TABLA_BASE[[#This Row],[C/M UNIT.
(S/.)]]=0,0,TABLA_BASE[[#This Row],[GANANCIA
UNIT.(S/.)]]/TABLA_BASE[[#This Row],[C/M UNIT.
(S/.)]])</f>
        <v>0</v>
      </c>
      <c r="BB497" s="274" t="str">
        <f>IF(TABLA_BASE[[#This Row],[MARGEN
%]]&gt;=0.5,"🟢 ALTO",IF(TABLA_BASE[[#This Row],[MARGEN
%]]&gt;=0.3,"🟡 MEDIO","🔴 BAJO"))</f>
        <v>🟡 MEDIO</v>
      </c>
    </row>
    <row r="498" spans="1:54" ht="16.5" hidden="1" thickTop="1" thickBot="1" x14ac:dyDescent="0.3">
      <c r="A498" s="274">
        <f>'🧾 Factura Comercial'!E502</f>
        <v>0</v>
      </c>
      <c r="B498" s="274" t="str">
        <f>'🧾 Factura Comercial'!F502</f>
        <v>Unid.</v>
      </c>
      <c r="C498" s="275">
        <f>'🧾 Factura Comercial'!G502</f>
        <v>0</v>
      </c>
      <c r="D498" s="276">
        <f>'🧾 Factura Comercial'!H502</f>
        <v>0</v>
      </c>
      <c r="E498" s="276">
        <f>'🧾 Factura Comercial'!I502</f>
        <v>0</v>
      </c>
      <c r="F498" s="277">
        <f>IF('🧾 Tributos Aduana'!$F$6=0,0,'🧾 Factura Comercial'!I502/'🧾 Tributos Aduana'!$F$6)</f>
        <v>0</v>
      </c>
      <c r="G498" s="278">
        <f>'🧾 Factura Comercial'!H502*'📋 Datos Generales'!$E$19</f>
        <v>0</v>
      </c>
      <c r="H498" s="278">
        <f>TABLA_BASE[[#This Row],[FOB UNIT.
(S/.)]]*TABLA_BASE[[#This Row],[CANTIDAD
(unid.)]]</f>
        <v>0</v>
      </c>
      <c r="I498" s="280">
        <f>IF('🧾 Tributos Aduana'!$F$6=0,0,'🧾 Tributos Aduana'!$F$17*('🧾 Factura Comercial'!H502/'🧾 Tributos Aduana'!$F$6))</f>
        <v>0</v>
      </c>
      <c r="J498" s="280">
        <f>TABLA_BASE[[#This Row],[ADV UNIT.
(US$)
⚠️COSTO]]*TABLA_BASE[[#This Row],[CANTIDAD
(unid.)]]</f>
        <v>0</v>
      </c>
      <c r="K498" s="279">
        <f>IF('🧾 Tributos Aduana'!$F$6=0,0,'🧾 Tributos Aduana'!$F$18*('🧾 Factura Comercial'!H502/'🧾 Tributos Aduana'!$F$6))</f>
        <v>0</v>
      </c>
      <c r="L498" s="280">
        <f>TABLA_BASE[[#This Row],[IPM UNIT.
(US$)
✅CF]]*TABLA_BASE[[#This Row],[CANTIDAD
(unid.)]]</f>
        <v>0</v>
      </c>
      <c r="M498" s="279">
        <f>IF('🧾 Tributos Aduana'!$F$6=0,0,'🧾 Tributos Aduana'!$F$19*('🧾 Factura Comercial'!H502/'🧾 Tributos Aduana'!$F$6))</f>
        <v>0</v>
      </c>
      <c r="N498" s="280">
        <f>TABLA_BASE[[#This Row],[IGV UNIT.
(US$)
✅CF]]*TABLA_BASE[[#This Row],[CANTIDAD
(unid.)]]</f>
        <v>0</v>
      </c>
      <c r="O498" s="280">
        <f>IF('🧾 Tributos Aduana'!$F$6=0,0,'🧾 Tributos Aduana'!$F$23*('🧾 Factura Comercial'!H502/'🧾 Tributos Aduana'!$F$6))</f>
        <v>0</v>
      </c>
      <c r="P498" s="280">
        <f>TABLA_BASE[[#This Row],[PERCEP.
UNIT.(US$)
✅CF]]*TABLA_BASE[[#This Row],[CANTIDAD
(unid.)]]</f>
        <v>0</v>
      </c>
      <c r="Q498" s="279">
        <f>TABLA_BASE[[#This Row],[ADV UNIT.
(US$)
⚠️COSTO]]+TABLA_BASE[[#This Row],[IPM UNIT.
(US$)
✅CF]]+TABLA_BASE[[#This Row],[IGV UNIT.
(US$)
✅CF]]</f>
        <v>0</v>
      </c>
      <c r="R498" s="280">
        <f>TABLA_BASE[[#This Row],[DEUDA
ADUANERA
UNIT.]]*TABLA_BASE[[#This Row],[CANTIDAD
(unid.)]]</f>
        <v>0</v>
      </c>
      <c r="S498" s="278">
        <f>TABLA_BASE[[#This Row],[DEUDA
ADUANERA
UNIT.]]*'📋 Datos Generales'!$E$19</f>
        <v>0</v>
      </c>
      <c r="T498" s="278">
        <f>TABLA_BASE[[#This Row],[DEUDA
ADUANERA
TOTAL]]*'📋 Datos Generales'!$E$19</f>
        <v>0</v>
      </c>
      <c r="U498" s="281">
        <f>TABLA_BASE[[#This Row],[ADV UNIT.
(US$)
⚠️COSTO]]*'📋 Datos Generales'!$E$19</f>
        <v>0</v>
      </c>
      <c r="V498" s="281">
        <f>TABLA_BASE[[#This Row],[ADV UNIT.
(S/.)]]*TABLA_BASE[[#This Row],[CANTIDAD
(unid.)]]</f>
        <v>0</v>
      </c>
      <c r="W498" s="281">
        <f>TABLA_BASE[[#This Row],[IPM UNIT.
(US$)
✅CF]]*'📋 Datos Generales'!$E$19</f>
        <v>0</v>
      </c>
      <c r="X498" s="281">
        <f>TABLA_BASE[[#This Row],[IPM UNIT.
(S/.)]]*TABLA_BASE[[#This Row],[CANTIDAD
(unid.)]]</f>
        <v>0</v>
      </c>
      <c r="Y498" s="281">
        <f>TABLA_BASE[[#This Row],[IGV UNIT.
(US$)
✅CF]]*'📋 Datos Generales'!$E$19</f>
        <v>0</v>
      </c>
      <c r="Z498" s="281">
        <f>TABLA_BASE[[#This Row],[IGV UNIT.
(S/.)]]*TABLA_BASE[[#This Row],[CANTIDAD
(unid.)]]</f>
        <v>0</v>
      </c>
      <c r="AA498" s="281">
        <f>TABLA_BASE[[#This Row],[PERCEP.
UNIT.(US$)
✅CF]]*'📋 Datos Generales'!$E$19</f>
        <v>0</v>
      </c>
      <c r="AB498" s="281">
        <f>TABLA_BASE[[#This Row],[PERCEP.
UNIT.(S/.)]]*TABLA_BASE[[#This Row],[CANTIDAD
(unid.)]]</f>
        <v>0</v>
      </c>
      <c r="AC498" s="279">
        <f>TABLA_BASE[[#This Row],[ADV UNIT.
(US$)
⚠️COSTO]]+TABLA_BASE[[#This Row],[IPM UNIT.
(US$)
✅CF]]+TABLA_BASE[[#This Row],[IGV UNIT.
(US$)
✅CF]]+TABLA_BASE[[#This Row],[PERCEP.
UNIT.(US$)
✅CF]]</f>
        <v>0</v>
      </c>
      <c r="AD498" s="279">
        <f>TABLA_BASE[[#This Row],[TOTAL PAGO
SUNAT
UNIT.(US$)]]*TABLA_BASE[[#This Row],[CANTIDAD
(unid.)]]</f>
        <v>0</v>
      </c>
      <c r="AE498" s="281">
        <f>TABLA_BASE[[#This Row],[TOTAL PAGO
SUNAT
UNIT.(US$)]]*'📋 Datos Generales'!$E$19</f>
        <v>0</v>
      </c>
      <c r="AF498" s="281">
        <f>TABLA_BASE[[#This Row],[TOTAL TRIB.
UNIT.(S/.)]]*TABLA_BASE[[#This Row],[CANTIDAD
(unid.)]]</f>
        <v>0</v>
      </c>
      <c r="AG498" s="279">
        <f>IF('🧾 Factura Comercial'!G502=0,0,'📦 Gastos Importación'!$E$28*(IF('🧾 Tributos Aduana'!$F$6=0,0,'🧾 Factura Comercial'!I502/'🧾 Tributos Aduana'!$F$6))/'🧾 Factura Comercial'!G502)</f>
        <v>0</v>
      </c>
      <c r="AH498" s="279">
        <f>TABLA_BASE[[#This Row],[GASTOS IMP.
UNIT.(US$)]]*TABLA_BASE[[#This Row],[CANTIDAD
(unid.)]]</f>
        <v>0</v>
      </c>
      <c r="AI498" s="281">
        <f>TABLA_BASE[[#This Row],[GASTOS IMP.
UNIT.(US$)]]*'📋 Datos Generales'!$E$19</f>
        <v>0</v>
      </c>
      <c r="AJ498" s="281">
        <f>TABLA_BASE[[#This Row],[GASTOS IMP.
UNIT.(S/.)]]*TABLA_BASE[[#This Row],[CANTIDAD
(unid.)]]</f>
        <v>0</v>
      </c>
      <c r="AK498" s="280">
        <f>'🧮 Costos x Producto'!J502</f>
        <v>0</v>
      </c>
      <c r="AL498" s="278">
        <f>'🧮 Costos x Producto'!K502</f>
        <v>0</v>
      </c>
      <c r="AM498" s="278">
        <f>TABLA_BASE[[#This Row],[C/M UNIT.
(S/.)]]*TABLA_BASE[[#This Row],[CANTIDAD
(unid.)]]</f>
        <v>0</v>
      </c>
      <c r="AN498" s="279">
        <f>IF('🧾 Factura Comercial'!G502=0,0,'🧾 Tributos Aduana'!$F$17*(IF('🧾 Tributos Aduana'!$F$6=0,0,'🧾 Factura Comercial'!I502/'🧾 Tributos Aduana'!$F$6))/'🧾 Factura Comercial'!G502)</f>
        <v>0</v>
      </c>
      <c r="AO498" s="280">
        <f>IF('🧾 Factura Comercial'!G502=0,0,'🏦 Crédito Fiscal'!$C$16*(IF('🧾 Tributos Aduana'!$F$6=0,0,'🧾 Factura Comercial'!I502/'🧾 Tributos Aduana'!$F$6))/'🧾 Factura Comercial'!G502)</f>
        <v>0</v>
      </c>
      <c r="AP498" s="278">
        <f>TABLA_BASE[[#This Row],[CF UNIT.
✅RECUP.
(US$)]]*'📋 Datos Generales'!$E$19</f>
        <v>0</v>
      </c>
      <c r="AQ498" s="278">
        <f>TABLA_BASE[[#This Row],[CF UNIT.
✅RECUP.(S/.)]]*TABLA_BASE[[#This Row],[CANTIDAD
(unid.)]]</f>
        <v>0</v>
      </c>
      <c r="AR498" s="288">
        <f>'💰 Precio de Venta'!G503</f>
        <v>0.4</v>
      </c>
      <c r="AS498" s="278">
        <f>'💰 Precio de Venta'!H503</f>
        <v>0</v>
      </c>
      <c r="AT498" s="278">
        <f>TABLA_BASE[[#This Row],[VALOR VTA.
UNIT.(S/.)]]*TABLA_BASE[[#This Row],[CANTIDAD
(unid.)]]</f>
        <v>0</v>
      </c>
      <c r="AU498" s="281">
        <f>'💰 Precio de Venta'!I503</f>
        <v>0</v>
      </c>
      <c r="AV498" s="278">
        <f>'💰 Precio de Venta'!J503</f>
        <v>0</v>
      </c>
      <c r="AW498" s="278">
        <f>TABLA_BASE[[#This Row],[GANANCIA
UNIT.(S/.)]]*TABLA_BASE[[#This Row],[CANTIDAD
(unid.)]]</f>
        <v>0</v>
      </c>
      <c r="AX498" s="289">
        <f>'💰 Precio de Venta'!K503</f>
        <v>0</v>
      </c>
      <c r="AY498" s="278">
        <f>TABLA_BASE[[#This Row],[GANANCIA
UNIT.(S/.)]]*'🧾 Factura Comercial'!G502</f>
        <v>0</v>
      </c>
      <c r="AZ498" s="277">
        <f>IF(TABLA_BASE[[#This Row],[PRECIO VTA.
c/IGV(S/.)]]=0,0,TABLA_BASE[[#This Row],[GANANCIA
UNIT.(S/.)]]/TABLA_BASE[[#This Row],[PRECIO VTA.
c/IGV(S/.)]])</f>
        <v>0</v>
      </c>
      <c r="BA498" s="277">
        <f>IF(TABLA_BASE[[#This Row],[C/M UNIT.
(S/.)]]=0,0,TABLA_BASE[[#This Row],[GANANCIA
UNIT.(S/.)]]/TABLA_BASE[[#This Row],[C/M UNIT.
(S/.)]])</f>
        <v>0</v>
      </c>
      <c r="BB498" s="274" t="str">
        <f>IF(TABLA_BASE[[#This Row],[MARGEN
%]]&gt;=0.5,"🟢 ALTO",IF(TABLA_BASE[[#This Row],[MARGEN
%]]&gt;=0.3,"🟡 MEDIO","🔴 BAJO"))</f>
        <v>🟡 MEDIO</v>
      </c>
    </row>
    <row r="499" spans="1:54" ht="16.5" hidden="1" thickTop="1" thickBot="1" x14ac:dyDescent="0.3">
      <c r="A499" s="274">
        <f>'🧾 Factura Comercial'!E503</f>
        <v>0</v>
      </c>
      <c r="B499" s="274" t="str">
        <f>'🧾 Factura Comercial'!F503</f>
        <v>Unid.</v>
      </c>
      <c r="C499" s="275">
        <f>'🧾 Factura Comercial'!G503</f>
        <v>0</v>
      </c>
      <c r="D499" s="276">
        <f>'🧾 Factura Comercial'!H503</f>
        <v>0</v>
      </c>
      <c r="E499" s="276">
        <f>'🧾 Factura Comercial'!I503</f>
        <v>0</v>
      </c>
      <c r="F499" s="277">
        <f>IF('🧾 Tributos Aduana'!$F$6=0,0,'🧾 Factura Comercial'!I503/'🧾 Tributos Aduana'!$F$6)</f>
        <v>0</v>
      </c>
      <c r="G499" s="278">
        <f>'🧾 Factura Comercial'!H503*'📋 Datos Generales'!$E$19</f>
        <v>0</v>
      </c>
      <c r="H499" s="278">
        <f>TABLA_BASE[[#This Row],[FOB UNIT.
(S/.)]]*TABLA_BASE[[#This Row],[CANTIDAD
(unid.)]]</f>
        <v>0</v>
      </c>
      <c r="I499" s="280">
        <f>IF('🧾 Tributos Aduana'!$F$6=0,0,'🧾 Tributos Aduana'!$F$17*('🧾 Factura Comercial'!H503/'🧾 Tributos Aduana'!$F$6))</f>
        <v>0</v>
      </c>
      <c r="J499" s="280">
        <f>TABLA_BASE[[#This Row],[ADV UNIT.
(US$)
⚠️COSTO]]*TABLA_BASE[[#This Row],[CANTIDAD
(unid.)]]</f>
        <v>0</v>
      </c>
      <c r="K499" s="279">
        <f>IF('🧾 Tributos Aduana'!$F$6=0,0,'🧾 Tributos Aduana'!$F$18*('🧾 Factura Comercial'!H503/'🧾 Tributos Aduana'!$F$6))</f>
        <v>0</v>
      </c>
      <c r="L499" s="280">
        <f>TABLA_BASE[[#This Row],[IPM UNIT.
(US$)
✅CF]]*TABLA_BASE[[#This Row],[CANTIDAD
(unid.)]]</f>
        <v>0</v>
      </c>
      <c r="M499" s="279">
        <f>IF('🧾 Tributos Aduana'!$F$6=0,0,'🧾 Tributos Aduana'!$F$19*('🧾 Factura Comercial'!H503/'🧾 Tributos Aduana'!$F$6))</f>
        <v>0</v>
      </c>
      <c r="N499" s="280">
        <f>TABLA_BASE[[#This Row],[IGV UNIT.
(US$)
✅CF]]*TABLA_BASE[[#This Row],[CANTIDAD
(unid.)]]</f>
        <v>0</v>
      </c>
      <c r="O499" s="280">
        <f>IF('🧾 Tributos Aduana'!$F$6=0,0,'🧾 Tributos Aduana'!$F$23*('🧾 Factura Comercial'!H503/'🧾 Tributos Aduana'!$F$6))</f>
        <v>0</v>
      </c>
      <c r="P499" s="280">
        <f>TABLA_BASE[[#This Row],[PERCEP.
UNIT.(US$)
✅CF]]*TABLA_BASE[[#This Row],[CANTIDAD
(unid.)]]</f>
        <v>0</v>
      </c>
      <c r="Q499" s="279">
        <f>TABLA_BASE[[#This Row],[ADV UNIT.
(US$)
⚠️COSTO]]+TABLA_BASE[[#This Row],[IPM UNIT.
(US$)
✅CF]]+TABLA_BASE[[#This Row],[IGV UNIT.
(US$)
✅CF]]</f>
        <v>0</v>
      </c>
      <c r="R499" s="280">
        <f>TABLA_BASE[[#This Row],[DEUDA
ADUANERA
UNIT.]]*TABLA_BASE[[#This Row],[CANTIDAD
(unid.)]]</f>
        <v>0</v>
      </c>
      <c r="S499" s="278">
        <f>TABLA_BASE[[#This Row],[DEUDA
ADUANERA
UNIT.]]*'📋 Datos Generales'!$E$19</f>
        <v>0</v>
      </c>
      <c r="T499" s="278">
        <f>TABLA_BASE[[#This Row],[DEUDA
ADUANERA
TOTAL]]*'📋 Datos Generales'!$E$19</f>
        <v>0</v>
      </c>
      <c r="U499" s="281">
        <f>TABLA_BASE[[#This Row],[ADV UNIT.
(US$)
⚠️COSTO]]*'📋 Datos Generales'!$E$19</f>
        <v>0</v>
      </c>
      <c r="V499" s="281">
        <f>TABLA_BASE[[#This Row],[ADV UNIT.
(S/.)]]*TABLA_BASE[[#This Row],[CANTIDAD
(unid.)]]</f>
        <v>0</v>
      </c>
      <c r="W499" s="281">
        <f>TABLA_BASE[[#This Row],[IPM UNIT.
(US$)
✅CF]]*'📋 Datos Generales'!$E$19</f>
        <v>0</v>
      </c>
      <c r="X499" s="281">
        <f>TABLA_BASE[[#This Row],[IPM UNIT.
(S/.)]]*TABLA_BASE[[#This Row],[CANTIDAD
(unid.)]]</f>
        <v>0</v>
      </c>
      <c r="Y499" s="281">
        <f>TABLA_BASE[[#This Row],[IGV UNIT.
(US$)
✅CF]]*'📋 Datos Generales'!$E$19</f>
        <v>0</v>
      </c>
      <c r="Z499" s="281">
        <f>TABLA_BASE[[#This Row],[IGV UNIT.
(S/.)]]*TABLA_BASE[[#This Row],[CANTIDAD
(unid.)]]</f>
        <v>0</v>
      </c>
      <c r="AA499" s="281">
        <f>TABLA_BASE[[#This Row],[PERCEP.
UNIT.(US$)
✅CF]]*'📋 Datos Generales'!$E$19</f>
        <v>0</v>
      </c>
      <c r="AB499" s="281">
        <f>TABLA_BASE[[#This Row],[PERCEP.
UNIT.(S/.)]]*TABLA_BASE[[#This Row],[CANTIDAD
(unid.)]]</f>
        <v>0</v>
      </c>
      <c r="AC499" s="279">
        <f>TABLA_BASE[[#This Row],[ADV UNIT.
(US$)
⚠️COSTO]]+TABLA_BASE[[#This Row],[IPM UNIT.
(US$)
✅CF]]+TABLA_BASE[[#This Row],[IGV UNIT.
(US$)
✅CF]]+TABLA_BASE[[#This Row],[PERCEP.
UNIT.(US$)
✅CF]]</f>
        <v>0</v>
      </c>
      <c r="AD499" s="279">
        <f>TABLA_BASE[[#This Row],[TOTAL PAGO
SUNAT
UNIT.(US$)]]*TABLA_BASE[[#This Row],[CANTIDAD
(unid.)]]</f>
        <v>0</v>
      </c>
      <c r="AE499" s="281">
        <f>TABLA_BASE[[#This Row],[TOTAL PAGO
SUNAT
UNIT.(US$)]]*'📋 Datos Generales'!$E$19</f>
        <v>0</v>
      </c>
      <c r="AF499" s="281">
        <f>TABLA_BASE[[#This Row],[TOTAL TRIB.
UNIT.(S/.)]]*TABLA_BASE[[#This Row],[CANTIDAD
(unid.)]]</f>
        <v>0</v>
      </c>
      <c r="AG499" s="279">
        <f>IF('🧾 Factura Comercial'!G503=0,0,'📦 Gastos Importación'!$E$28*(IF('🧾 Tributos Aduana'!$F$6=0,0,'🧾 Factura Comercial'!I503/'🧾 Tributos Aduana'!$F$6))/'🧾 Factura Comercial'!G503)</f>
        <v>0</v>
      </c>
      <c r="AH499" s="279">
        <f>TABLA_BASE[[#This Row],[GASTOS IMP.
UNIT.(US$)]]*TABLA_BASE[[#This Row],[CANTIDAD
(unid.)]]</f>
        <v>0</v>
      </c>
      <c r="AI499" s="281">
        <f>TABLA_BASE[[#This Row],[GASTOS IMP.
UNIT.(US$)]]*'📋 Datos Generales'!$E$19</f>
        <v>0</v>
      </c>
      <c r="AJ499" s="281">
        <f>TABLA_BASE[[#This Row],[GASTOS IMP.
UNIT.(S/.)]]*TABLA_BASE[[#This Row],[CANTIDAD
(unid.)]]</f>
        <v>0</v>
      </c>
      <c r="AK499" s="280">
        <f>'🧮 Costos x Producto'!J503</f>
        <v>0</v>
      </c>
      <c r="AL499" s="278">
        <f>'🧮 Costos x Producto'!K503</f>
        <v>0</v>
      </c>
      <c r="AM499" s="278">
        <f>TABLA_BASE[[#This Row],[C/M UNIT.
(S/.)]]*TABLA_BASE[[#This Row],[CANTIDAD
(unid.)]]</f>
        <v>0</v>
      </c>
      <c r="AN499" s="279">
        <f>IF('🧾 Factura Comercial'!G503=0,0,'🧾 Tributos Aduana'!$F$17*(IF('🧾 Tributos Aduana'!$F$6=0,0,'🧾 Factura Comercial'!I503/'🧾 Tributos Aduana'!$F$6))/'🧾 Factura Comercial'!G503)</f>
        <v>0</v>
      </c>
      <c r="AO499" s="280">
        <f>IF('🧾 Factura Comercial'!G503=0,0,'🏦 Crédito Fiscal'!$C$16*(IF('🧾 Tributos Aduana'!$F$6=0,0,'🧾 Factura Comercial'!I503/'🧾 Tributos Aduana'!$F$6))/'🧾 Factura Comercial'!G503)</f>
        <v>0</v>
      </c>
      <c r="AP499" s="278">
        <f>TABLA_BASE[[#This Row],[CF UNIT.
✅RECUP.
(US$)]]*'📋 Datos Generales'!$E$19</f>
        <v>0</v>
      </c>
      <c r="AQ499" s="278">
        <f>TABLA_BASE[[#This Row],[CF UNIT.
✅RECUP.(S/.)]]*TABLA_BASE[[#This Row],[CANTIDAD
(unid.)]]</f>
        <v>0</v>
      </c>
      <c r="AR499" s="288">
        <f>'💰 Precio de Venta'!G504</f>
        <v>0.4</v>
      </c>
      <c r="AS499" s="278">
        <f>'💰 Precio de Venta'!H504</f>
        <v>0</v>
      </c>
      <c r="AT499" s="278">
        <f>TABLA_BASE[[#This Row],[VALOR VTA.
UNIT.(S/.)]]*TABLA_BASE[[#This Row],[CANTIDAD
(unid.)]]</f>
        <v>0</v>
      </c>
      <c r="AU499" s="281">
        <f>'💰 Precio de Venta'!I504</f>
        <v>0</v>
      </c>
      <c r="AV499" s="278">
        <f>'💰 Precio de Venta'!J504</f>
        <v>0</v>
      </c>
      <c r="AW499" s="278">
        <f>TABLA_BASE[[#This Row],[GANANCIA
UNIT.(S/.)]]*TABLA_BASE[[#This Row],[CANTIDAD
(unid.)]]</f>
        <v>0</v>
      </c>
      <c r="AX499" s="289">
        <f>'💰 Precio de Venta'!K504</f>
        <v>0</v>
      </c>
      <c r="AY499" s="278">
        <f>TABLA_BASE[[#This Row],[GANANCIA
UNIT.(S/.)]]*'🧾 Factura Comercial'!G503</f>
        <v>0</v>
      </c>
      <c r="AZ499" s="277">
        <f>IF(TABLA_BASE[[#This Row],[PRECIO VTA.
c/IGV(S/.)]]=0,0,TABLA_BASE[[#This Row],[GANANCIA
UNIT.(S/.)]]/TABLA_BASE[[#This Row],[PRECIO VTA.
c/IGV(S/.)]])</f>
        <v>0</v>
      </c>
      <c r="BA499" s="277">
        <f>IF(TABLA_BASE[[#This Row],[C/M UNIT.
(S/.)]]=0,0,TABLA_BASE[[#This Row],[GANANCIA
UNIT.(S/.)]]/TABLA_BASE[[#This Row],[C/M UNIT.
(S/.)]])</f>
        <v>0</v>
      </c>
      <c r="BB499" s="274" t="str">
        <f>IF(TABLA_BASE[[#This Row],[MARGEN
%]]&gt;=0.5,"🟢 ALTO",IF(TABLA_BASE[[#This Row],[MARGEN
%]]&gt;=0.3,"🟡 MEDIO","🔴 BAJO"))</f>
        <v>🟡 MEDIO</v>
      </c>
    </row>
    <row r="500" spans="1:54" ht="16.5" hidden="1" thickTop="1" thickBot="1" x14ac:dyDescent="0.3">
      <c r="A500" s="274">
        <f>'🧾 Factura Comercial'!E504</f>
        <v>0</v>
      </c>
      <c r="B500" s="274" t="str">
        <f>'🧾 Factura Comercial'!F504</f>
        <v>Unid.</v>
      </c>
      <c r="C500" s="275">
        <f>'🧾 Factura Comercial'!G504</f>
        <v>0</v>
      </c>
      <c r="D500" s="276">
        <f>'🧾 Factura Comercial'!H504</f>
        <v>0</v>
      </c>
      <c r="E500" s="276">
        <f>'🧾 Factura Comercial'!I504</f>
        <v>0</v>
      </c>
      <c r="F500" s="277">
        <f>IF('🧾 Tributos Aduana'!$F$6=0,0,'🧾 Factura Comercial'!I504/'🧾 Tributos Aduana'!$F$6)</f>
        <v>0</v>
      </c>
      <c r="G500" s="278">
        <f>'🧾 Factura Comercial'!H504*'📋 Datos Generales'!$E$19</f>
        <v>0</v>
      </c>
      <c r="H500" s="278">
        <f>TABLA_BASE[[#This Row],[FOB UNIT.
(S/.)]]*TABLA_BASE[[#This Row],[CANTIDAD
(unid.)]]</f>
        <v>0</v>
      </c>
      <c r="I500" s="280">
        <f>IF('🧾 Tributos Aduana'!$F$6=0,0,'🧾 Tributos Aduana'!$F$17*('🧾 Factura Comercial'!H504/'🧾 Tributos Aduana'!$F$6))</f>
        <v>0</v>
      </c>
      <c r="J500" s="280">
        <f>TABLA_BASE[[#This Row],[ADV UNIT.
(US$)
⚠️COSTO]]*TABLA_BASE[[#This Row],[CANTIDAD
(unid.)]]</f>
        <v>0</v>
      </c>
      <c r="K500" s="279">
        <f>IF('🧾 Tributos Aduana'!$F$6=0,0,'🧾 Tributos Aduana'!$F$18*('🧾 Factura Comercial'!H504/'🧾 Tributos Aduana'!$F$6))</f>
        <v>0</v>
      </c>
      <c r="L500" s="280">
        <f>TABLA_BASE[[#This Row],[IPM UNIT.
(US$)
✅CF]]*TABLA_BASE[[#This Row],[CANTIDAD
(unid.)]]</f>
        <v>0</v>
      </c>
      <c r="M500" s="279">
        <f>IF('🧾 Tributos Aduana'!$F$6=0,0,'🧾 Tributos Aduana'!$F$19*('🧾 Factura Comercial'!H504/'🧾 Tributos Aduana'!$F$6))</f>
        <v>0</v>
      </c>
      <c r="N500" s="280">
        <f>TABLA_BASE[[#This Row],[IGV UNIT.
(US$)
✅CF]]*TABLA_BASE[[#This Row],[CANTIDAD
(unid.)]]</f>
        <v>0</v>
      </c>
      <c r="O500" s="280">
        <f>IF('🧾 Tributos Aduana'!$F$6=0,0,'🧾 Tributos Aduana'!$F$23*('🧾 Factura Comercial'!H504/'🧾 Tributos Aduana'!$F$6))</f>
        <v>0</v>
      </c>
      <c r="P500" s="280">
        <f>TABLA_BASE[[#This Row],[PERCEP.
UNIT.(US$)
✅CF]]*TABLA_BASE[[#This Row],[CANTIDAD
(unid.)]]</f>
        <v>0</v>
      </c>
      <c r="Q500" s="279">
        <f>TABLA_BASE[[#This Row],[ADV UNIT.
(US$)
⚠️COSTO]]+TABLA_BASE[[#This Row],[IPM UNIT.
(US$)
✅CF]]+TABLA_BASE[[#This Row],[IGV UNIT.
(US$)
✅CF]]</f>
        <v>0</v>
      </c>
      <c r="R500" s="280">
        <f>TABLA_BASE[[#This Row],[DEUDA
ADUANERA
UNIT.]]*TABLA_BASE[[#This Row],[CANTIDAD
(unid.)]]</f>
        <v>0</v>
      </c>
      <c r="S500" s="278">
        <f>TABLA_BASE[[#This Row],[DEUDA
ADUANERA
UNIT.]]*'📋 Datos Generales'!$E$19</f>
        <v>0</v>
      </c>
      <c r="T500" s="278">
        <f>TABLA_BASE[[#This Row],[DEUDA
ADUANERA
TOTAL]]*'📋 Datos Generales'!$E$19</f>
        <v>0</v>
      </c>
      <c r="U500" s="281">
        <f>TABLA_BASE[[#This Row],[ADV UNIT.
(US$)
⚠️COSTO]]*'📋 Datos Generales'!$E$19</f>
        <v>0</v>
      </c>
      <c r="V500" s="281">
        <f>TABLA_BASE[[#This Row],[ADV UNIT.
(S/.)]]*TABLA_BASE[[#This Row],[CANTIDAD
(unid.)]]</f>
        <v>0</v>
      </c>
      <c r="W500" s="281">
        <f>TABLA_BASE[[#This Row],[IPM UNIT.
(US$)
✅CF]]*'📋 Datos Generales'!$E$19</f>
        <v>0</v>
      </c>
      <c r="X500" s="281">
        <f>TABLA_BASE[[#This Row],[IPM UNIT.
(S/.)]]*TABLA_BASE[[#This Row],[CANTIDAD
(unid.)]]</f>
        <v>0</v>
      </c>
      <c r="Y500" s="281">
        <f>TABLA_BASE[[#This Row],[IGV UNIT.
(US$)
✅CF]]*'📋 Datos Generales'!$E$19</f>
        <v>0</v>
      </c>
      <c r="Z500" s="281">
        <f>TABLA_BASE[[#This Row],[IGV UNIT.
(S/.)]]*TABLA_BASE[[#This Row],[CANTIDAD
(unid.)]]</f>
        <v>0</v>
      </c>
      <c r="AA500" s="281">
        <f>TABLA_BASE[[#This Row],[PERCEP.
UNIT.(US$)
✅CF]]*'📋 Datos Generales'!$E$19</f>
        <v>0</v>
      </c>
      <c r="AB500" s="281">
        <f>TABLA_BASE[[#This Row],[PERCEP.
UNIT.(S/.)]]*TABLA_BASE[[#This Row],[CANTIDAD
(unid.)]]</f>
        <v>0</v>
      </c>
      <c r="AC500" s="279">
        <f>TABLA_BASE[[#This Row],[ADV UNIT.
(US$)
⚠️COSTO]]+TABLA_BASE[[#This Row],[IPM UNIT.
(US$)
✅CF]]+TABLA_BASE[[#This Row],[IGV UNIT.
(US$)
✅CF]]+TABLA_BASE[[#This Row],[PERCEP.
UNIT.(US$)
✅CF]]</f>
        <v>0</v>
      </c>
      <c r="AD500" s="279">
        <f>TABLA_BASE[[#This Row],[TOTAL PAGO
SUNAT
UNIT.(US$)]]*TABLA_BASE[[#This Row],[CANTIDAD
(unid.)]]</f>
        <v>0</v>
      </c>
      <c r="AE500" s="281">
        <f>TABLA_BASE[[#This Row],[TOTAL PAGO
SUNAT
UNIT.(US$)]]*'📋 Datos Generales'!$E$19</f>
        <v>0</v>
      </c>
      <c r="AF500" s="281">
        <f>TABLA_BASE[[#This Row],[TOTAL TRIB.
UNIT.(S/.)]]*TABLA_BASE[[#This Row],[CANTIDAD
(unid.)]]</f>
        <v>0</v>
      </c>
      <c r="AG500" s="279">
        <f>IF('🧾 Factura Comercial'!G504=0,0,'📦 Gastos Importación'!$E$28*(IF('🧾 Tributos Aduana'!$F$6=0,0,'🧾 Factura Comercial'!I504/'🧾 Tributos Aduana'!$F$6))/'🧾 Factura Comercial'!G504)</f>
        <v>0</v>
      </c>
      <c r="AH500" s="279">
        <f>TABLA_BASE[[#This Row],[GASTOS IMP.
UNIT.(US$)]]*TABLA_BASE[[#This Row],[CANTIDAD
(unid.)]]</f>
        <v>0</v>
      </c>
      <c r="AI500" s="281">
        <f>TABLA_BASE[[#This Row],[GASTOS IMP.
UNIT.(US$)]]*'📋 Datos Generales'!$E$19</f>
        <v>0</v>
      </c>
      <c r="AJ500" s="281">
        <f>TABLA_BASE[[#This Row],[GASTOS IMP.
UNIT.(S/.)]]*TABLA_BASE[[#This Row],[CANTIDAD
(unid.)]]</f>
        <v>0</v>
      </c>
      <c r="AK500" s="280">
        <f>'🧮 Costos x Producto'!J504</f>
        <v>0</v>
      </c>
      <c r="AL500" s="278">
        <f>'🧮 Costos x Producto'!K504</f>
        <v>0</v>
      </c>
      <c r="AM500" s="278">
        <f>TABLA_BASE[[#This Row],[C/M UNIT.
(S/.)]]*TABLA_BASE[[#This Row],[CANTIDAD
(unid.)]]</f>
        <v>0</v>
      </c>
      <c r="AN500" s="279">
        <f>IF('🧾 Factura Comercial'!G504=0,0,'🧾 Tributos Aduana'!$F$17*(IF('🧾 Tributos Aduana'!$F$6=0,0,'🧾 Factura Comercial'!I504/'🧾 Tributos Aduana'!$F$6))/'🧾 Factura Comercial'!G504)</f>
        <v>0</v>
      </c>
      <c r="AO500" s="280">
        <f>IF('🧾 Factura Comercial'!G504=0,0,'🏦 Crédito Fiscal'!$C$16*(IF('🧾 Tributos Aduana'!$F$6=0,0,'🧾 Factura Comercial'!I504/'🧾 Tributos Aduana'!$F$6))/'🧾 Factura Comercial'!G504)</f>
        <v>0</v>
      </c>
      <c r="AP500" s="278">
        <f>TABLA_BASE[[#This Row],[CF UNIT.
✅RECUP.
(US$)]]*'📋 Datos Generales'!$E$19</f>
        <v>0</v>
      </c>
      <c r="AQ500" s="278">
        <f>TABLA_BASE[[#This Row],[CF UNIT.
✅RECUP.(S/.)]]*TABLA_BASE[[#This Row],[CANTIDAD
(unid.)]]</f>
        <v>0</v>
      </c>
      <c r="AR500" s="288">
        <f>'💰 Precio de Venta'!G505</f>
        <v>0.4</v>
      </c>
      <c r="AS500" s="278">
        <f>'💰 Precio de Venta'!H505</f>
        <v>0</v>
      </c>
      <c r="AT500" s="278">
        <f>TABLA_BASE[[#This Row],[VALOR VTA.
UNIT.(S/.)]]*TABLA_BASE[[#This Row],[CANTIDAD
(unid.)]]</f>
        <v>0</v>
      </c>
      <c r="AU500" s="281">
        <f>'💰 Precio de Venta'!I505</f>
        <v>0</v>
      </c>
      <c r="AV500" s="278">
        <f>'💰 Precio de Venta'!J505</f>
        <v>0</v>
      </c>
      <c r="AW500" s="278">
        <f>TABLA_BASE[[#This Row],[GANANCIA
UNIT.(S/.)]]*TABLA_BASE[[#This Row],[CANTIDAD
(unid.)]]</f>
        <v>0</v>
      </c>
      <c r="AX500" s="289">
        <f>'💰 Precio de Venta'!K505</f>
        <v>0</v>
      </c>
      <c r="AY500" s="278">
        <f>TABLA_BASE[[#This Row],[GANANCIA
UNIT.(S/.)]]*'🧾 Factura Comercial'!G504</f>
        <v>0</v>
      </c>
      <c r="AZ500" s="277">
        <f>IF(TABLA_BASE[[#This Row],[PRECIO VTA.
c/IGV(S/.)]]=0,0,TABLA_BASE[[#This Row],[GANANCIA
UNIT.(S/.)]]/TABLA_BASE[[#This Row],[PRECIO VTA.
c/IGV(S/.)]])</f>
        <v>0</v>
      </c>
      <c r="BA500" s="277">
        <f>IF(TABLA_BASE[[#This Row],[C/M UNIT.
(S/.)]]=0,0,TABLA_BASE[[#This Row],[GANANCIA
UNIT.(S/.)]]/TABLA_BASE[[#This Row],[C/M UNIT.
(S/.)]])</f>
        <v>0</v>
      </c>
      <c r="BB500" s="274" t="str">
        <f>IF(TABLA_BASE[[#This Row],[MARGEN
%]]&gt;=0.5,"🟢 ALTO",IF(TABLA_BASE[[#This Row],[MARGEN
%]]&gt;=0.3,"🟡 MEDIO","🔴 BAJO"))</f>
        <v>🟡 MEDIO</v>
      </c>
    </row>
    <row r="501" spans="1:54" ht="16.5" hidden="1" thickTop="1" thickBot="1" x14ac:dyDescent="0.3">
      <c r="A501" s="274">
        <f>'🧾 Factura Comercial'!E505</f>
        <v>0</v>
      </c>
      <c r="B501" s="274" t="str">
        <f>'🧾 Factura Comercial'!F505</f>
        <v>Unid.</v>
      </c>
      <c r="C501" s="275">
        <f>'🧾 Factura Comercial'!G505</f>
        <v>0</v>
      </c>
      <c r="D501" s="276">
        <f>'🧾 Factura Comercial'!H505</f>
        <v>0</v>
      </c>
      <c r="E501" s="276">
        <f>'🧾 Factura Comercial'!I505</f>
        <v>0</v>
      </c>
      <c r="F501" s="277">
        <f>IF('🧾 Tributos Aduana'!$F$6=0,0,'🧾 Factura Comercial'!I505/'🧾 Tributos Aduana'!$F$6)</f>
        <v>0</v>
      </c>
      <c r="G501" s="278">
        <f>'🧾 Factura Comercial'!H505*'📋 Datos Generales'!$E$19</f>
        <v>0</v>
      </c>
      <c r="H501" s="278">
        <f>TABLA_BASE[[#This Row],[FOB UNIT.
(S/.)]]*TABLA_BASE[[#This Row],[CANTIDAD
(unid.)]]</f>
        <v>0</v>
      </c>
      <c r="I501" s="280">
        <f>IF('🧾 Tributos Aduana'!$F$6=0,0,'🧾 Tributos Aduana'!$F$17*('🧾 Factura Comercial'!H505/'🧾 Tributos Aduana'!$F$6))</f>
        <v>0</v>
      </c>
      <c r="J501" s="280">
        <f>TABLA_BASE[[#This Row],[ADV UNIT.
(US$)
⚠️COSTO]]*TABLA_BASE[[#This Row],[CANTIDAD
(unid.)]]</f>
        <v>0</v>
      </c>
      <c r="K501" s="279">
        <f>IF('🧾 Tributos Aduana'!$F$6=0,0,'🧾 Tributos Aduana'!$F$18*('🧾 Factura Comercial'!H505/'🧾 Tributos Aduana'!$F$6))</f>
        <v>0</v>
      </c>
      <c r="L501" s="280">
        <f>TABLA_BASE[[#This Row],[IPM UNIT.
(US$)
✅CF]]*TABLA_BASE[[#This Row],[CANTIDAD
(unid.)]]</f>
        <v>0</v>
      </c>
      <c r="M501" s="279">
        <f>IF('🧾 Tributos Aduana'!$F$6=0,0,'🧾 Tributos Aduana'!$F$19*('🧾 Factura Comercial'!H505/'🧾 Tributos Aduana'!$F$6))</f>
        <v>0</v>
      </c>
      <c r="N501" s="280">
        <f>TABLA_BASE[[#This Row],[IGV UNIT.
(US$)
✅CF]]*TABLA_BASE[[#This Row],[CANTIDAD
(unid.)]]</f>
        <v>0</v>
      </c>
      <c r="O501" s="280">
        <f>IF('🧾 Tributos Aduana'!$F$6=0,0,'🧾 Tributos Aduana'!$F$23*('🧾 Factura Comercial'!H505/'🧾 Tributos Aduana'!$F$6))</f>
        <v>0</v>
      </c>
      <c r="P501" s="280">
        <f>TABLA_BASE[[#This Row],[PERCEP.
UNIT.(US$)
✅CF]]*TABLA_BASE[[#This Row],[CANTIDAD
(unid.)]]</f>
        <v>0</v>
      </c>
      <c r="Q501" s="279">
        <f>TABLA_BASE[[#This Row],[ADV UNIT.
(US$)
⚠️COSTO]]+TABLA_BASE[[#This Row],[IPM UNIT.
(US$)
✅CF]]+TABLA_BASE[[#This Row],[IGV UNIT.
(US$)
✅CF]]</f>
        <v>0</v>
      </c>
      <c r="R501" s="280">
        <f>TABLA_BASE[[#This Row],[DEUDA
ADUANERA
UNIT.]]*TABLA_BASE[[#This Row],[CANTIDAD
(unid.)]]</f>
        <v>0</v>
      </c>
      <c r="S501" s="278">
        <f>TABLA_BASE[[#This Row],[DEUDA
ADUANERA
UNIT.]]*'📋 Datos Generales'!$E$19</f>
        <v>0</v>
      </c>
      <c r="T501" s="278">
        <f>TABLA_BASE[[#This Row],[DEUDA
ADUANERA
TOTAL]]*'📋 Datos Generales'!$E$19</f>
        <v>0</v>
      </c>
      <c r="U501" s="281">
        <f>TABLA_BASE[[#This Row],[ADV UNIT.
(US$)
⚠️COSTO]]*'📋 Datos Generales'!$E$19</f>
        <v>0</v>
      </c>
      <c r="V501" s="281">
        <f>TABLA_BASE[[#This Row],[ADV UNIT.
(S/.)]]*TABLA_BASE[[#This Row],[CANTIDAD
(unid.)]]</f>
        <v>0</v>
      </c>
      <c r="W501" s="281">
        <f>TABLA_BASE[[#This Row],[IPM UNIT.
(US$)
✅CF]]*'📋 Datos Generales'!$E$19</f>
        <v>0</v>
      </c>
      <c r="X501" s="281">
        <f>TABLA_BASE[[#This Row],[IPM UNIT.
(S/.)]]*TABLA_BASE[[#This Row],[CANTIDAD
(unid.)]]</f>
        <v>0</v>
      </c>
      <c r="Y501" s="281">
        <f>TABLA_BASE[[#This Row],[IGV UNIT.
(US$)
✅CF]]*'📋 Datos Generales'!$E$19</f>
        <v>0</v>
      </c>
      <c r="Z501" s="281">
        <f>TABLA_BASE[[#This Row],[IGV UNIT.
(S/.)]]*TABLA_BASE[[#This Row],[CANTIDAD
(unid.)]]</f>
        <v>0</v>
      </c>
      <c r="AA501" s="281">
        <f>TABLA_BASE[[#This Row],[PERCEP.
UNIT.(US$)
✅CF]]*'📋 Datos Generales'!$E$19</f>
        <v>0</v>
      </c>
      <c r="AB501" s="281">
        <f>TABLA_BASE[[#This Row],[PERCEP.
UNIT.(S/.)]]*TABLA_BASE[[#This Row],[CANTIDAD
(unid.)]]</f>
        <v>0</v>
      </c>
      <c r="AC501" s="279">
        <f>TABLA_BASE[[#This Row],[ADV UNIT.
(US$)
⚠️COSTO]]+TABLA_BASE[[#This Row],[IPM UNIT.
(US$)
✅CF]]+TABLA_BASE[[#This Row],[IGV UNIT.
(US$)
✅CF]]+TABLA_BASE[[#This Row],[PERCEP.
UNIT.(US$)
✅CF]]</f>
        <v>0</v>
      </c>
      <c r="AD501" s="279">
        <f>TABLA_BASE[[#This Row],[TOTAL PAGO
SUNAT
UNIT.(US$)]]*TABLA_BASE[[#This Row],[CANTIDAD
(unid.)]]</f>
        <v>0</v>
      </c>
      <c r="AE501" s="281">
        <f>TABLA_BASE[[#This Row],[TOTAL PAGO
SUNAT
UNIT.(US$)]]*'📋 Datos Generales'!$E$19</f>
        <v>0</v>
      </c>
      <c r="AF501" s="281">
        <f>TABLA_BASE[[#This Row],[TOTAL TRIB.
UNIT.(S/.)]]*TABLA_BASE[[#This Row],[CANTIDAD
(unid.)]]</f>
        <v>0</v>
      </c>
      <c r="AG501" s="279">
        <f>IF('🧾 Factura Comercial'!G505=0,0,'📦 Gastos Importación'!$E$28*(IF('🧾 Tributos Aduana'!$F$6=0,0,'🧾 Factura Comercial'!I505/'🧾 Tributos Aduana'!$F$6))/'🧾 Factura Comercial'!G505)</f>
        <v>0</v>
      </c>
      <c r="AH501" s="279">
        <f>TABLA_BASE[[#This Row],[GASTOS IMP.
UNIT.(US$)]]*TABLA_BASE[[#This Row],[CANTIDAD
(unid.)]]</f>
        <v>0</v>
      </c>
      <c r="AI501" s="281">
        <f>TABLA_BASE[[#This Row],[GASTOS IMP.
UNIT.(US$)]]*'📋 Datos Generales'!$E$19</f>
        <v>0</v>
      </c>
      <c r="AJ501" s="281">
        <f>TABLA_BASE[[#This Row],[GASTOS IMP.
UNIT.(S/.)]]*TABLA_BASE[[#This Row],[CANTIDAD
(unid.)]]</f>
        <v>0</v>
      </c>
      <c r="AK501" s="280">
        <f>'🧮 Costos x Producto'!J505</f>
        <v>0</v>
      </c>
      <c r="AL501" s="278">
        <f>'🧮 Costos x Producto'!K505</f>
        <v>0</v>
      </c>
      <c r="AM501" s="278">
        <f>TABLA_BASE[[#This Row],[C/M UNIT.
(S/.)]]*TABLA_BASE[[#This Row],[CANTIDAD
(unid.)]]</f>
        <v>0</v>
      </c>
      <c r="AN501" s="279">
        <f>IF('🧾 Factura Comercial'!G505=0,0,'🧾 Tributos Aduana'!$F$17*(IF('🧾 Tributos Aduana'!$F$6=0,0,'🧾 Factura Comercial'!I505/'🧾 Tributos Aduana'!$F$6))/'🧾 Factura Comercial'!G505)</f>
        <v>0</v>
      </c>
      <c r="AO501" s="280">
        <f>IF('🧾 Factura Comercial'!G505=0,0,'🏦 Crédito Fiscal'!$C$16*(IF('🧾 Tributos Aduana'!$F$6=0,0,'🧾 Factura Comercial'!I505/'🧾 Tributos Aduana'!$F$6))/'🧾 Factura Comercial'!G505)</f>
        <v>0</v>
      </c>
      <c r="AP501" s="278">
        <f>TABLA_BASE[[#This Row],[CF UNIT.
✅RECUP.
(US$)]]*'📋 Datos Generales'!$E$19</f>
        <v>0</v>
      </c>
      <c r="AQ501" s="278">
        <f>TABLA_BASE[[#This Row],[CF UNIT.
✅RECUP.(S/.)]]*TABLA_BASE[[#This Row],[CANTIDAD
(unid.)]]</f>
        <v>0</v>
      </c>
      <c r="AR501" s="288">
        <f>'💰 Precio de Venta'!G506</f>
        <v>0.4</v>
      </c>
      <c r="AS501" s="278">
        <f>'💰 Precio de Venta'!H506</f>
        <v>0</v>
      </c>
      <c r="AT501" s="278">
        <f>TABLA_BASE[[#This Row],[VALOR VTA.
UNIT.(S/.)]]*TABLA_BASE[[#This Row],[CANTIDAD
(unid.)]]</f>
        <v>0</v>
      </c>
      <c r="AU501" s="281">
        <f>'💰 Precio de Venta'!I506</f>
        <v>0</v>
      </c>
      <c r="AV501" s="278">
        <f>'💰 Precio de Venta'!J506</f>
        <v>0</v>
      </c>
      <c r="AW501" s="278">
        <f>TABLA_BASE[[#This Row],[GANANCIA
UNIT.(S/.)]]*TABLA_BASE[[#This Row],[CANTIDAD
(unid.)]]</f>
        <v>0</v>
      </c>
      <c r="AX501" s="289">
        <f>'💰 Precio de Venta'!K506</f>
        <v>0</v>
      </c>
      <c r="AY501" s="278">
        <f>TABLA_BASE[[#This Row],[GANANCIA
UNIT.(S/.)]]*'🧾 Factura Comercial'!G505</f>
        <v>0</v>
      </c>
      <c r="AZ501" s="277">
        <f>IF(TABLA_BASE[[#This Row],[PRECIO VTA.
c/IGV(S/.)]]=0,0,TABLA_BASE[[#This Row],[GANANCIA
UNIT.(S/.)]]/TABLA_BASE[[#This Row],[PRECIO VTA.
c/IGV(S/.)]])</f>
        <v>0</v>
      </c>
      <c r="BA501" s="277">
        <f>IF(TABLA_BASE[[#This Row],[C/M UNIT.
(S/.)]]=0,0,TABLA_BASE[[#This Row],[GANANCIA
UNIT.(S/.)]]/TABLA_BASE[[#This Row],[C/M UNIT.
(S/.)]])</f>
        <v>0</v>
      </c>
      <c r="BB501" s="274" t="str">
        <f>IF(TABLA_BASE[[#This Row],[MARGEN
%]]&gt;=0.5,"🟢 ALTO",IF(TABLA_BASE[[#This Row],[MARGEN
%]]&gt;=0.3,"🟡 MEDIO","🔴 BAJO"))</f>
        <v>🟡 MEDIO</v>
      </c>
    </row>
    <row r="502" spans="1:54" ht="16.5" hidden="1" thickTop="1" thickBot="1" x14ac:dyDescent="0.3">
      <c r="A502" s="274">
        <f>'🧾 Factura Comercial'!E506</f>
        <v>0</v>
      </c>
      <c r="B502" s="274" t="str">
        <f>'🧾 Factura Comercial'!F506</f>
        <v>Unid.</v>
      </c>
      <c r="C502" s="275">
        <f>'🧾 Factura Comercial'!G506</f>
        <v>0</v>
      </c>
      <c r="D502" s="276">
        <f>'🧾 Factura Comercial'!H506</f>
        <v>0</v>
      </c>
      <c r="E502" s="276">
        <f>'🧾 Factura Comercial'!I506</f>
        <v>0</v>
      </c>
      <c r="F502" s="277">
        <f>IF('🧾 Tributos Aduana'!$F$6=0,0,'🧾 Factura Comercial'!I506/'🧾 Tributos Aduana'!$F$6)</f>
        <v>0</v>
      </c>
      <c r="G502" s="278">
        <f>'🧾 Factura Comercial'!H506*'📋 Datos Generales'!$E$19</f>
        <v>0</v>
      </c>
      <c r="H502" s="278">
        <f>TABLA_BASE[[#This Row],[FOB UNIT.
(S/.)]]*TABLA_BASE[[#This Row],[CANTIDAD
(unid.)]]</f>
        <v>0</v>
      </c>
      <c r="I502" s="280">
        <f>IF('🧾 Tributos Aduana'!$F$6=0,0,'🧾 Tributos Aduana'!$F$17*('🧾 Factura Comercial'!H506/'🧾 Tributos Aduana'!$F$6))</f>
        <v>0</v>
      </c>
      <c r="J502" s="280">
        <f>TABLA_BASE[[#This Row],[ADV UNIT.
(US$)
⚠️COSTO]]*TABLA_BASE[[#This Row],[CANTIDAD
(unid.)]]</f>
        <v>0</v>
      </c>
      <c r="K502" s="279">
        <f>IF('🧾 Tributos Aduana'!$F$6=0,0,'🧾 Tributos Aduana'!$F$18*('🧾 Factura Comercial'!H506/'🧾 Tributos Aduana'!$F$6))</f>
        <v>0</v>
      </c>
      <c r="L502" s="280">
        <f>TABLA_BASE[[#This Row],[IPM UNIT.
(US$)
✅CF]]*TABLA_BASE[[#This Row],[CANTIDAD
(unid.)]]</f>
        <v>0</v>
      </c>
      <c r="M502" s="279">
        <f>IF('🧾 Tributos Aduana'!$F$6=0,0,'🧾 Tributos Aduana'!$F$19*('🧾 Factura Comercial'!H506/'🧾 Tributos Aduana'!$F$6))</f>
        <v>0</v>
      </c>
      <c r="N502" s="280">
        <f>TABLA_BASE[[#This Row],[IGV UNIT.
(US$)
✅CF]]*TABLA_BASE[[#This Row],[CANTIDAD
(unid.)]]</f>
        <v>0</v>
      </c>
      <c r="O502" s="280">
        <f>IF('🧾 Tributos Aduana'!$F$6=0,0,'🧾 Tributos Aduana'!$F$23*('🧾 Factura Comercial'!H506/'🧾 Tributos Aduana'!$F$6))</f>
        <v>0</v>
      </c>
      <c r="P502" s="280">
        <f>TABLA_BASE[[#This Row],[PERCEP.
UNIT.(US$)
✅CF]]*TABLA_BASE[[#This Row],[CANTIDAD
(unid.)]]</f>
        <v>0</v>
      </c>
      <c r="Q502" s="279">
        <f>TABLA_BASE[[#This Row],[ADV UNIT.
(US$)
⚠️COSTO]]+TABLA_BASE[[#This Row],[IPM UNIT.
(US$)
✅CF]]+TABLA_BASE[[#This Row],[IGV UNIT.
(US$)
✅CF]]</f>
        <v>0</v>
      </c>
      <c r="R502" s="280">
        <f>TABLA_BASE[[#This Row],[DEUDA
ADUANERA
UNIT.]]*TABLA_BASE[[#This Row],[CANTIDAD
(unid.)]]</f>
        <v>0</v>
      </c>
      <c r="S502" s="278">
        <f>TABLA_BASE[[#This Row],[DEUDA
ADUANERA
UNIT.]]*'📋 Datos Generales'!$E$19</f>
        <v>0</v>
      </c>
      <c r="T502" s="278">
        <f>TABLA_BASE[[#This Row],[DEUDA
ADUANERA
TOTAL]]*'📋 Datos Generales'!$E$19</f>
        <v>0</v>
      </c>
      <c r="U502" s="281">
        <f>TABLA_BASE[[#This Row],[ADV UNIT.
(US$)
⚠️COSTO]]*'📋 Datos Generales'!$E$19</f>
        <v>0</v>
      </c>
      <c r="V502" s="281">
        <f>TABLA_BASE[[#This Row],[ADV UNIT.
(S/.)]]*TABLA_BASE[[#This Row],[CANTIDAD
(unid.)]]</f>
        <v>0</v>
      </c>
      <c r="W502" s="281">
        <f>TABLA_BASE[[#This Row],[IPM UNIT.
(US$)
✅CF]]*'📋 Datos Generales'!$E$19</f>
        <v>0</v>
      </c>
      <c r="X502" s="281">
        <f>TABLA_BASE[[#This Row],[IPM UNIT.
(S/.)]]*TABLA_BASE[[#This Row],[CANTIDAD
(unid.)]]</f>
        <v>0</v>
      </c>
      <c r="Y502" s="281">
        <f>TABLA_BASE[[#This Row],[IGV UNIT.
(US$)
✅CF]]*'📋 Datos Generales'!$E$19</f>
        <v>0</v>
      </c>
      <c r="Z502" s="281">
        <f>TABLA_BASE[[#This Row],[IGV UNIT.
(S/.)]]*TABLA_BASE[[#This Row],[CANTIDAD
(unid.)]]</f>
        <v>0</v>
      </c>
      <c r="AA502" s="281">
        <f>TABLA_BASE[[#This Row],[PERCEP.
UNIT.(US$)
✅CF]]*'📋 Datos Generales'!$E$19</f>
        <v>0</v>
      </c>
      <c r="AB502" s="281">
        <f>TABLA_BASE[[#This Row],[PERCEP.
UNIT.(S/.)]]*TABLA_BASE[[#This Row],[CANTIDAD
(unid.)]]</f>
        <v>0</v>
      </c>
      <c r="AC502" s="279">
        <f>TABLA_BASE[[#This Row],[ADV UNIT.
(US$)
⚠️COSTO]]+TABLA_BASE[[#This Row],[IPM UNIT.
(US$)
✅CF]]+TABLA_BASE[[#This Row],[IGV UNIT.
(US$)
✅CF]]+TABLA_BASE[[#This Row],[PERCEP.
UNIT.(US$)
✅CF]]</f>
        <v>0</v>
      </c>
      <c r="AD502" s="279">
        <f>TABLA_BASE[[#This Row],[TOTAL PAGO
SUNAT
UNIT.(US$)]]*TABLA_BASE[[#This Row],[CANTIDAD
(unid.)]]</f>
        <v>0</v>
      </c>
      <c r="AE502" s="281">
        <f>TABLA_BASE[[#This Row],[TOTAL PAGO
SUNAT
UNIT.(US$)]]*'📋 Datos Generales'!$E$19</f>
        <v>0</v>
      </c>
      <c r="AF502" s="281">
        <f>TABLA_BASE[[#This Row],[TOTAL TRIB.
UNIT.(S/.)]]*TABLA_BASE[[#This Row],[CANTIDAD
(unid.)]]</f>
        <v>0</v>
      </c>
      <c r="AG502" s="279">
        <f>IF('🧾 Factura Comercial'!G506=0,0,'📦 Gastos Importación'!$E$28*(IF('🧾 Tributos Aduana'!$F$6=0,0,'🧾 Factura Comercial'!I506/'🧾 Tributos Aduana'!$F$6))/'🧾 Factura Comercial'!G506)</f>
        <v>0</v>
      </c>
      <c r="AH502" s="279">
        <f>TABLA_BASE[[#This Row],[GASTOS IMP.
UNIT.(US$)]]*TABLA_BASE[[#This Row],[CANTIDAD
(unid.)]]</f>
        <v>0</v>
      </c>
      <c r="AI502" s="281">
        <f>TABLA_BASE[[#This Row],[GASTOS IMP.
UNIT.(US$)]]*'📋 Datos Generales'!$E$19</f>
        <v>0</v>
      </c>
      <c r="AJ502" s="281">
        <f>TABLA_BASE[[#This Row],[GASTOS IMP.
UNIT.(S/.)]]*TABLA_BASE[[#This Row],[CANTIDAD
(unid.)]]</f>
        <v>0</v>
      </c>
      <c r="AK502" s="280">
        <f>'🧮 Costos x Producto'!J506</f>
        <v>0</v>
      </c>
      <c r="AL502" s="278">
        <f>'🧮 Costos x Producto'!K506</f>
        <v>0</v>
      </c>
      <c r="AM502" s="278">
        <f>TABLA_BASE[[#This Row],[C/M UNIT.
(S/.)]]*TABLA_BASE[[#This Row],[CANTIDAD
(unid.)]]</f>
        <v>0</v>
      </c>
      <c r="AN502" s="279">
        <f>IF('🧾 Factura Comercial'!G506=0,0,'🧾 Tributos Aduana'!$F$17*(IF('🧾 Tributos Aduana'!$F$6=0,0,'🧾 Factura Comercial'!I506/'🧾 Tributos Aduana'!$F$6))/'🧾 Factura Comercial'!G506)</f>
        <v>0</v>
      </c>
      <c r="AO502" s="280">
        <f>IF('🧾 Factura Comercial'!G506=0,0,'🏦 Crédito Fiscal'!$C$16*(IF('🧾 Tributos Aduana'!$F$6=0,0,'🧾 Factura Comercial'!I506/'🧾 Tributos Aduana'!$F$6))/'🧾 Factura Comercial'!G506)</f>
        <v>0</v>
      </c>
      <c r="AP502" s="278">
        <f>TABLA_BASE[[#This Row],[CF UNIT.
✅RECUP.
(US$)]]*'📋 Datos Generales'!$E$19</f>
        <v>0</v>
      </c>
      <c r="AQ502" s="278">
        <f>TABLA_BASE[[#This Row],[CF UNIT.
✅RECUP.(S/.)]]*TABLA_BASE[[#This Row],[CANTIDAD
(unid.)]]</f>
        <v>0</v>
      </c>
      <c r="AR502" s="288">
        <f>'💰 Precio de Venta'!G507</f>
        <v>0.4</v>
      </c>
      <c r="AS502" s="278">
        <f>'💰 Precio de Venta'!H507</f>
        <v>0</v>
      </c>
      <c r="AT502" s="278">
        <f>TABLA_BASE[[#This Row],[VALOR VTA.
UNIT.(S/.)]]*TABLA_BASE[[#This Row],[CANTIDAD
(unid.)]]</f>
        <v>0</v>
      </c>
      <c r="AU502" s="281">
        <f>'💰 Precio de Venta'!I507</f>
        <v>0</v>
      </c>
      <c r="AV502" s="278">
        <f>'💰 Precio de Venta'!J507</f>
        <v>0</v>
      </c>
      <c r="AW502" s="278">
        <f>TABLA_BASE[[#This Row],[GANANCIA
UNIT.(S/.)]]*TABLA_BASE[[#This Row],[CANTIDAD
(unid.)]]</f>
        <v>0</v>
      </c>
      <c r="AX502" s="289">
        <f>'💰 Precio de Venta'!K507</f>
        <v>0</v>
      </c>
      <c r="AY502" s="278">
        <f>TABLA_BASE[[#This Row],[GANANCIA
UNIT.(S/.)]]*'🧾 Factura Comercial'!G506</f>
        <v>0</v>
      </c>
      <c r="AZ502" s="277">
        <f>IF(TABLA_BASE[[#This Row],[PRECIO VTA.
c/IGV(S/.)]]=0,0,TABLA_BASE[[#This Row],[GANANCIA
UNIT.(S/.)]]/TABLA_BASE[[#This Row],[PRECIO VTA.
c/IGV(S/.)]])</f>
        <v>0</v>
      </c>
      <c r="BA502" s="277">
        <f>IF(TABLA_BASE[[#This Row],[C/M UNIT.
(S/.)]]=0,0,TABLA_BASE[[#This Row],[GANANCIA
UNIT.(S/.)]]/TABLA_BASE[[#This Row],[C/M UNIT.
(S/.)]])</f>
        <v>0</v>
      </c>
      <c r="BB502" s="274" t="str">
        <f>IF(TABLA_BASE[[#This Row],[MARGEN
%]]&gt;=0.5,"🟢 ALTO",IF(TABLA_BASE[[#This Row],[MARGEN
%]]&gt;=0.3,"🟡 MEDIO","🔴 BAJO"))</f>
        <v>🟡 MEDIO</v>
      </c>
    </row>
    <row r="503" spans="1:54" x14ac:dyDescent="0.25">
      <c r="A503" s="282"/>
      <c r="B503" s="282"/>
      <c r="C503" s="283">
        <f>SUM(TABLA_BASE[CANTIDAD
(unid.)])</f>
        <v>104672</v>
      </c>
      <c r="D503" s="284">
        <f>SUM(TABLA_BASE[FOB UNIT. 
(US$)])</f>
        <v>30.290000000000006</v>
      </c>
      <c r="E503" s="284">
        <f>SUM(TABLA_BASE[FOB TOTAL
(US$)])</f>
        <v>43641.280000000006</v>
      </c>
      <c r="G503" s="285">
        <f>SUM(TABLA_BASE[FOB UNIT.
(S/.)])</f>
        <v>112.67880000000002</v>
      </c>
      <c r="H503" s="285">
        <f>SUM(TABLA_BASE[FOB TOTAL
(S/.)])</f>
        <v>162345.56160000002</v>
      </c>
      <c r="I503" s="284">
        <f>SUM(TABLA_BASE[ADV UNIT.
(US$)
⚠️COSTO])</f>
        <v>1.9100741316478336</v>
      </c>
      <c r="J503" s="300">
        <f>SUM(TABLA_BASE[ADV TOTAL
(US$)
⚠️COSTO])</f>
        <v>2751.9999999999995</v>
      </c>
      <c r="K503" s="287">
        <f>SUM(TABLA_BASE[IPM UNIT.
(US$)
✅CF])</f>
        <v>0.67463374126515052</v>
      </c>
      <c r="L503" s="300">
        <f>SUM(TABLA_BASE[IPM TOTAL
(US$)
✅CF])</f>
        <v>971.99999999999989</v>
      </c>
      <c r="M503" s="287">
        <f>SUM(TABLA_BASE[IGV UNIT.
(US$)
✅CF])</f>
        <v>5.3991521330263437</v>
      </c>
      <c r="N503" s="300">
        <f>SUM(TABLA_BASE[IGV  TOTAL
(US$)
✅CF])</f>
        <v>7778.9999999999991</v>
      </c>
      <c r="O503" s="284">
        <f>SUM(TABLA_BASE[PERCEP.
UNIT.(US$)
✅CF])</f>
        <v>1.3936184044097701</v>
      </c>
      <c r="P503" s="300">
        <f>SUM(TABLA_BASE[PERCEP.
TOTAL.(US$)
✅CF])</f>
        <v>2007.8999999999996</v>
      </c>
      <c r="Q503" s="287">
        <f>SUM(TABLA_BASE[DEUDA
ADUANERA
UNIT.])</f>
        <v>7.9838600059393299</v>
      </c>
      <c r="R503" s="299">
        <f>SUM(TABLA_BASE[DEUDA
ADUANERA
TOTAL])</f>
        <v>11503</v>
      </c>
      <c r="S503" s="302">
        <f>SUM(TABLA_BASE[DEUDA
ADUANERA
UNIT. /S/.)])</f>
        <v>29.699959222094307</v>
      </c>
      <c r="T503" s="302">
        <f>SUM(TABLA_BASE[DEUDA
ADUANERA
TOTAL (s/.)2])</f>
        <v>42791.159999999989</v>
      </c>
      <c r="U503" s="285">
        <f>SUM(TABLA_BASE[ADV UNIT.
(S/.)])</f>
        <v>7.1054757697299431</v>
      </c>
      <c r="V503" s="301">
        <f>SUM(TABLA_BASE[ADV  TOTAL.
(S/.)])</f>
        <v>10237.44</v>
      </c>
      <c r="W503" s="285">
        <f>SUM(TABLA_BASE[IPM UNIT.
(S/.)])</f>
        <v>2.5096375175063601</v>
      </c>
      <c r="X503" s="301">
        <f>SUM(TABLA_BASE[IPM TOTAL
(S/.)2])</f>
        <v>3615.8399999999997</v>
      </c>
      <c r="Y503" s="285">
        <f>SUM(TABLA_BASE[IGV UNIT.
(S/.)])</f>
        <v>20.084845934858002</v>
      </c>
      <c r="Z503" s="301">
        <f>SUM(TABLA_BASE[IGV TOTAL
(S/.)2])</f>
        <v>28937.879999999994</v>
      </c>
      <c r="AA503" s="285">
        <f>SUM(TABLA_BASE[PERCEP.
UNIT.(S/.)])</f>
        <v>5.1842604644043435</v>
      </c>
      <c r="AB503" s="301">
        <f>SUM(TABLA_BASE[PERCEP.
TOTAL.(S/.)2])</f>
        <v>7469.3879999999999</v>
      </c>
      <c r="AC503" s="284">
        <f>SUM(TABLA_BASE[TOTAL PAGO
SUNAT
UNIT.(US$)])</f>
        <v>9.3774784103491005</v>
      </c>
      <c r="AD503" s="299">
        <f>SUM(TABLA_BASE[TOTAL PAGO
SUNAT
TOTAL(US$)])</f>
        <v>13510.9</v>
      </c>
      <c r="AE503" s="285">
        <f>SUM(TABLA_BASE[TOTAL TRIB.
UNIT.(S/.)])</f>
        <v>34.88421968649866</v>
      </c>
      <c r="AF503" s="302">
        <f>SUM(TABLA_BASE[TOTAL TRIB.
TOTAL .(S/.)])</f>
        <v>50260.548000000003</v>
      </c>
      <c r="AG503" s="287">
        <f>SUM(TABLA_BASE[GASTOS IMP.
UNIT.(US$)])</f>
        <v>34.552276287496611</v>
      </c>
      <c r="AH503" s="300">
        <f>SUM(TABLA_BASE[GASTOS IMP.
TOTAL.(US$)2])</f>
        <v>49782.289999999994</v>
      </c>
      <c r="AI503" s="285">
        <f>SUM(TABLA_BASE[GASTOS IMP.
UNIT.(S/.)])</f>
        <v>128.53446778948737</v>
      </c>
      <c r="AJ503" s="301">
        <f>SUM(TABLA_BASE[GASTOS IMP.
TOTAL.(S/.)2])</f>
        <v>185190.1188</v>
      </c>
      <c r="AK503" s="287">
        <f>SUM(TABLA_BASE[C/M UNIT.
(US$)])</f>
        <v>34.552276287496611</v>
      </c>
      <c r="AL503" s="285">
        <f>SUM(TABLA_BASE[C/M UNIT.
(S/.)])</f>
        <v>128.53446778948739</v>
      </c>
      <c r="AM503" s="285">
        <f>SUM(TABLA_BASE[C/M TOTAL
(S/.)2])</f>
        <v>185190.1188</v>
      </c>
      <c r="AN503" s="287">
        <f>SUM(TABLA_BASE[ADV UNIT.
⚠️COSTO
(US$)])</f>
        <v>1.9100741316478336</v>
      </c>
      <c r="AO503" s="287">
        <f>SUM(TABLA_BASE[CF UNIT.
✅RECUP.
(US$)])</f>
        <v>7.6087662832529199</v>
      </c>
      <c r="AP503" s="285">
        <f>SUM(TABLA_BASE[CF UNIT.
✅RECUP.(S/.)])</f>
        <v>28.304610573700863</v>
      </c>
      <c r="AQ503" s="301">
        <f>SUM(TABLA_BASE[TOTAL CREDITO FISCAL POR PRODUCTO])</f>
        <v>40780.767095999996</v>
      </c>
      <c r="AR503" s="301">
        <f>SUM(TABLA_BASE[MARGEN
%])</f>
        <v>200.00000000000176</v>
      </c>
      <c r="AT503" s="301">
        <f>SUM(TABLA_BASE[VALOR VTA.
TOTAL (S/.)])</f>
        <v>308650.19799999997</v>
      </c>
      <c r="AW503" s="301">
        <f>SUM(TABLA_BASE[GANANCIA
TOTAL.(S/.)])</f>
        <v>123460.07919999999</v>
      </c>
      <c r="AY503" s="301">
        <f>SUM(TABLA_BASE[GANANCIA
TOTAL(S/.)])</f>
        <v>123460.07919999999</v>
      </c>
      <c r="BA503" s="287">
        <f>SUM(TABLA_BASE[ROI
UNIT.])</f>
        <v>18.666666666666664</v>
      </c>
      <c r="BB503" s="287">
        <f>SUM(TABLA_BASE[CLASIF.
MARGEN])</f>
        <v>0</v>
      </c>
    </row>
  </sheetData>
  <mergeCells count="3">
    <mergeCell ref="B1:H1"/>
    <mergeCell ref="AG1:BB1"/>
    <mergeCell ref="I1:AF1"/>
  </mergeCells>
  <phoneticPr fontId="105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E1:R102"/>
  <sheetViews>
    <sheetView showGridLines="0" topLeftCell="G68" zoomScale="130" zoomScaleNormal="130" workbookViewId="0">
      <selection activeCell="I74" sqref="I74"/>
    </sheetView>
  </sheetViews>
  <sheetFormatPr baseColWidth="10" defaultColWidth="8.7109375" defaultRowHeight="15" x14ac:dyDescent="0.25"/>
  <cols>
    <col min="4" max="4" width="2" customWidth="1"/>
    <col min="5" max="12" width="22" customWidth="1"/>
    <col min="13" max="13" width="2" customWidth="1"/>
    <col min="14" max="14" width="33.5703125" bestFit="1" customWidth="1"/>
    <col min="15" max="15" width="15.85546875" bestFit="1" customWidth="1"/>
    <col min="16" max="16" width="13.42578125" bestFit="1" customWidth="1"/>
    <col min="17" max="17" width="11.7109375" bestFit="1" customWidth="1"/>
    <col min="18" max="18" width="17.28515625" bestFit="1" customWidth="1"/>
  </cols>
  <sheetData>
    <row r="1" spans="5:12" ht="51.75" customHeight="1" x14ac:dyDescent="0.25">
      <c r="E1" s="478" t="s">
        <v>278</v>
      </c>
      <c r="F1" s="478"/>
      <c r="G1" s="478"/>
      <c r="H1" s="478"/>
      <c r="I1" s="478"/>
      <c r="J1" s="478"/>
      <c r="K1" s="478"/>
      <c r="L1" s="478"/>
    </row>
    <row r="2" spans="5:12" ht="19.5" customHeight="1" x14ac:dyDescent="0.25">
      <c r="E2" s="479" t="str">
        <f>'📋 Datos Generales'!E6&amp;"   |   DUA: "&amp;'📋 Datos Generales'!E5&amp;"   |   País: "&amp;'📋 Datos Generales'!E9&amp;"   |   Proveedor: "&amp;'📋 Datos Generales'!E10&amp;"   |   Incoterm: "&amp;'📋 Datos Generales'!E11&amp;"   |   TC: S/."&amp;TEXT('📋 Datos Generales'!E19,"0.000")</f>
        <v>EMPRESA IMPORTADORA S.A.C.   |   DUA: DAM-2025-000001   |   País: China   |   Proveedor: HWPI Co. Ltd.   |   Incoterm: FOB   |   TC: S/.3.720</v>
      </c>
      <c r="F2" s="479"/>
      <c r="G2" s="479"/>
      <c r="H2" s="479"/>
      <c r="I2" s="479"/>
      <c r="J2" s="479"/>
      <c r="K2" s="479"/>
      <c r="L2" s="479"/>
    </row>
    <row r="3" spans="5:12" ht="7.5" customHeight="1" x14ac:dyDescent="0.25"/>
    <row r="4" spans="5:12" ht="42" customHeight="1" x14ac:dyDescent="0.25">
      <c r="E4" s="122" t="s">
        <v>279</v>
      </c>
      <c r="F4" s="123" t="s">
        <v>280</v>
      </c>
      <c r="G4" s="124" t="s">
        <v>281</v>
      </c>
      <c r="H4" s="125" t="s">
        <v>282</v>
      </c>
      <c r="I4" s="126" t="s">
        <v>283</v>
      </c>
      <c r="J4" s="127" t="s">
        <v>284</v>
      </c>
      <c r="K4" s="128" t="s">
        <v>285</v>
      </c>
      <c r="L4" s="129" t="s">
        <v>286</v>
      </c>
    </row>
    <row r="5" spans="5:12" ht="37.5" customHeight="1" x14ac:dyDescent="0.25">
      <c r="E5" s="37">
        <f>'🧮 Costos x Producto'!I4</f>
        <v>185190.11880000003</v>
      </c>
      <c r="F5" s="38">
        <f>'🧾 Tributos Aduana'!F14</f>
        <v>45865.55</v>
      </c>
      <c r="G5" s="39">
        <f>'🧾 Tributos Aduana'!F17</f>
        <v>2752</v>
      </c>
      <c r="H5" s="40">
        <f>'🧾 Tributos Aduana'!F20</f>
        <v>11503</v>
      </c>
      <c r="I5" s="41">
        <f>SUMPRODUCT('🧾 Factura Comercial'!G7:G36,'💰 Precio de Venta'!H8:H37)</f>
        <v>308650.19799999997</v>
      </c>
      <c r="J5" s="42">
        <f>'🏦 Crédito Fiscal'!C16</f>
        <v>10962.5718</v>
      </c>
      <c r="K5" s="43">
        <f>IF(SUMPRODUCT('🧾 Factura Comercial'!G7:G36,'💰 Precio de Venta'!H8:H37)=0,0,(SUMPRODUCT('🧾 Factura Comercial'!G7:G36,'💰 Precio de Venta'!H8:H37)-'🧮 Costos x Producto'!I4)/SUMPRODUCT('🧾 Factura Comercial'!G7:G36,'💰 Precio de Venta'!H8:H37))</f>
        <v>0.39999999999999986</v>
      </c>
      <c r="L5" s="44">
        <f>'🧾 Tributos Aduana'!F23</f>
        <v>2007.9</v>
      </c>
    </row>
    <row r="6" spans="5:12" ht="7.5" customHeight="1" x14ac:dyDescent="0.25"/>
    <row r="8" spans="5:12" ht="37.5" customHeight="1" x14ac:dyDescent="0.25">
      <c r="E8" s="45" t="s">
        <v>287</v>
      </c>
      <c r="F8" s="130" t="s">
        <v>288</v>
      </c>
      <c r="G8" s="131" t="s">
        <v>289</v>
      </c>
      <c r="H8" s="132" t="s">
        <v>290</v>
      </c>
      <c r="I8" s="133" t="s">
        <v>291</v>
      </c>
    </row>
    <row r="9" spans="5:12" ht="31.5" customHeight="1" x14ac:dyDescent="0.25">
      <c r="E9" s="46">
        <f>'🧾 Tributos Aduana'!F23</f>
        <v>2007.9</v>
      </c>
      <c r="F9" s="47">
        <f>'📋 Datos Generales'!E19</f>
        <v>3.72</v>
      </c>
      <c r="G9" s="48">
        <f>'📋 Datos Generales'!E20</f>
        <v>0.06</v>
      </c>
      <c r="H9" s="49">
        <f>'📋 Datos Generales'!E23</f>
        <v>3.5000000000000003E-2</v>
      </c>
      <c r="I9" s="50">
        <f>'🧾 Tributos Aduana'!F14</f>
        <v>45865.55</v>
      </c>
    </row>
    <row r="12" spans="5:12" ht="19.5" customHeight="1" x14ac:dyDescent="0.25">
      <c r="E12" s="480" t="s">
        <v>292</v>
      </c>
      <c r="F12" s="480"/>
      <c r="G12" s="480"/>
      <c r="H12" s="480"/>
      <c r="I12" s="480"/>
      <c r="J12" s="480"/>
    </row>
    <row r="13" spans="5:12" ht="15" customHeight="1" x14ac:dyDescent="0.25">
      <c r="E13" s="51" t="s">
        <v>293</v>
      </c>
      <c r="F13" s="51" t="s">
        <v>294</v>
      </c>
      <c r="G13" s="51" t="s">
        <v>295</v>
      </c>
      <c r="H13" s="51" t="s">
        <v>296</v>
      </c>
    </row>
    <row r="14" spans="5:12" ht="19.5" customHeight="1" x14ac:dyDescent="0.25">
      <c r="E14" s="52" t="s">
        <v>297</v>
      </c>
      <c r="F14" s="53">
        <f>'🧾 Tributos Aduana'!F6</f>
        <v>43641.280000000006</v>
      </c>
      <c r="G14" s="54">
        <f>F14*'📋 Datos Generales'!E19</f>
        <v>162345.56160000004</v>
      </c>
      <c r="H14" s="55">
        <f>IF('🧮 Costos x Producto'!G4=0,0,F14/'🧮 Costos x Producto'!G4)</f>
        <v>0.87664267754657343</v>
      </c>
    </row>
    <row r="15" spans="5:12" ht="19.5" customHeight="1" x14ac:dyDescent="0.25">
      <c r="E15" s="56" t="s">
        <v>298</v>
      </c>
      <c r="F15" s="57">
        <f>'🧾 Tributos Aduana'!F7</f>
        <v>2090</v>
      </c>
      <c r="G15" s="58">
        <f>F15*'📋 Datos Generales'!E19</f>
        <v>7774.8</v>
      </c>
      <c r="H15" s="59">
        <f>IF('🧮 Costos x Producto'!G4=0,0,F15/'🧮 Costos x Producto'!G4)</f>
        <v>4.1982801514353796E-2</v>
      </c>
    </row>
    <row r="16" spans="5:12" ht="19.5" customHeight="1" x14ac:dyDescent="0.25">
      <c r="E16" s="52" t="s">
        <v>299</v>
      </c>
      <c r="F16" s="53">
        <f>'🧾 Tributos Aduana'!F10</f>
        <v>134.27000000000001</v>
      </c>
      <c r="G16" s="54">
        <f>F16*'📋 Datos Generales'!E19</f>
        <v>499.48440000000005</v>
      </c>
      <c r="H16" s="55">
        <f>IF('🧮 Costos x Producto'!G4=0,0,F16/'🧮 Costos x Producto'!G4)</f>
        <v>2.6971439039867391E-3</v>
      </c>
    </row>
    <row r="17" spans="5:12" ht="19.5" customHeight="1" x14ac:dyDescent="0.25">
      <c r="E17" s="56" t="s">
        <v>300</v>
      </c>
      <c r="F17" s="57">
        <f>'🧾 Tributos Aduana'!F17</f>
        <v>2752</v>
      </c>
      <c r="G17" s="58">
        <f>F17*'📋 Datos Generales'!E19</f>
        <v>10237.44</v>
      </c>
      <c r="H17" s="59">
        <f>IF('🧮 Costos x Producto'!G4=0,0,F17/'🧮 Costos x Producto'!G4)</f>
        <v>5.5280703238039068E-2</v>
      </c>
    </row>
    <row r="18" spans="5:12" ht="19.5" customHeight="1" x14ac:dyDescent="0.25">
      <c r="E18" s="52" t="s">
        <v>301</v>
      </c>
      <c r="F18" s="53">
        <f>'🧾 Tributos Aduana'!F19+'🧾 Tributos Aduana'!F18</f>
        <v>8751</v>
      </c>
      <c r="G18" s="54">
        <f>F18*'📋 Datos Generales'!E19</f>
        <v>32553.72</v>
      </c>
      <c r="H18" s="55">
        <f>IF('🧮 Costos x Producto'!G4=0,0,F18/'🧮 Costos x Producto'!G4)</f>
        <v>0.17578540480962204</v>
      </c>
    </row>
    <row r="19" spans="5:12" ht="19.5" customHeight="1" x14ac:dyDescent="0.25">
      <c r="E19" s="56" t="s">
        <v>302</v>
      </c>
      <c r="F19" s="57">
        <f>'🧾 Tributos Aduana'!F23</f>
        <v>2007.9</v>
      </c>
      <c r="G19" s="58">
        <f>F19*'📋 Datos Generales'!E19</f>
        <v>7469.3880000000008</v>
      </c>
      <c r="H19" s="59">
        <f>IF('🧮 Costos x Producto'!G4=0,0,F19/'🧮 Costos x Producto'!G4)</f>
        <v>4.0333620651038751E-2</v>
      </c>
    </row>
    <row r="20" spans="5:12" ht="19.5" customHeight="1" x14ac:dyDescent="0.25">
      <c r="E20" s="52" t="s">
        <v>303</v>
      </c>
      <c r="F20" s="53">
        <f>'📦 Gastos Importación'!E28</f>
        <v>49782.29</v>
      </c>
      <c r="G20" s="54">
        <f>F20*'📋 Datos Generales'!E19</f>
        <v>185190.11880000003</v>
      </c>
      <c r="H20" s="55">
        <f>IF('🧮 Costos x Producto'!G4=0,0,F20/'🧮 Costos x Producto'!G4)</f>
        <v>1</v>
      </c>
    </row>
    <row r="22" spans="5:12" ht="19.5" customHeight="1" x14ac:dyDescent="0.25">
      <c r="E22" s="481" t="s">
        <v>304</v>
      </c>
      <c r="F22" s="481"/>
      <c r="G22" s="481"/>
      <c r="H22" s="481"/>
      <c r="I22" s="481"/>
      <c r="J22" s="481"/>
    </row>
    <row r="23" spans="5:12" ht="21.75" customHeight="1" x14ac:dyDescent="0.25">
      <c r="E23" s="60" t="s">
        <v>305</v>
      </c>
      <c r="F23" s="61">
        <f>'🧮 Costos x Producto'!I4</f>
        <v>185190.11880000003</v>
      </c>
      <c r="G23" s="60" t="s">
        <v>306</v>
      </c>
      <c r="H23" s="61">
        <f>SUMPRODUCT('🧾 Factura Comercial'!G7:G36,'💰 Precio de Venta'!H8:H37)</f>
        <v>308650.19799999997</v>
      </c>
    </row>
    <row r="24" spans="5:12" ht="24" customHeight="1" x14ac:dyDescent="0.25">
      <c r="E24" s="60" t="s">
        <v>307</v>
      </c>
      <c r="F24" s="62">
        <f>H23-F23</f>
        <v>123460.07919999995</v>
      </c>
      <c r="G24" s="60" t="s">
        <v>308</v>
      </c>
      <c r="H24" s="63">
        <f>IF(H23=0,0,(H23-F23)/H23)</f>
        <v>0.39999999999999986</v>
      </c>
      <c r="I24" s="64">
        <f>IF(H23=0,0,(H23-F23)/H23)</f>
        <v>0.39999999999999986</v>
      </c>
    </row>
    <row r="25" spans="5:12" ht="25.5" customHeight="1" x14ac:dyDescent="0.25">
      <c r="E25" s="60" t="s">
        <v>309</v>
      </c>
      <c r="F25" s="65">
        <f>'🏦 Crédito Fiscal'!C16</f>
        <v>10962.5718</v>
      </c>
      <c r="G25" s="60" t="s">
        <v>310</v>
      </c>
      <c r="H25" s="66">
        <f>'🏦 Crédito Fiscal'!C17</f>
        <v>40780.767096000003</v>
      </c>
    </row>
    <row r="26" spans="5:12" ht="21.75" customHeight="1" x14ac:dyDescent="0.25">
      <c r="E26" s="482" t="s">
        <v>311</v>
      </c>
      <c r="F26" s="482"/>
      <c r="G26" s="482"/>
      <c r="H26" s="482"/>
      <c r="I26" s="482"/>
      <c r="J26" s="482"/>
      <c r="K26" s="482"/>
      <c r="L26" s="482"/>
    </row>
    <row r="27" spans="5:12" ht="39.75" customHeight="1" x14ac:dyDescent="0.25">
      <c r="E27" s="33" t="s">
        <v>312</v>
      </c>
      <c r="F27" s="29" t="s">
        <v>313</v>
      </c>
      <c r="G27" s="31" t="s">
        <v>314</v>
      </c>
      <c r="H27" s="32" t="s">
        <v>315</v>
      </c>
      <c r="I27" s="34" t="s">
        <v>316</v>
      </c>
      <c r="J27" s="30" t="s">
        <v>317</v>
      </c>
      <c r="K27" s="36" t="s">
        <v>318</v>
      </c>
      <c r="L27" s="35" t="s">
        <v>319</v>
      </c>
    </row>
    <row r="28" spans="5:12" ht="37.5" customHeight="1" x14ac:dyDescent="0.25">
      <c r="E28" s="67">
        <f>SUMPRODUCT('🧾 Factura Comercial'!G7:G36,'💰 Precio de Venta'!H8:H37)</f>
        <v>308650.19799999997</v>
      </c>
      <c r="F28" s="68">
        <f>'🧮 Costos x Producto'!I4</f>
        <v>185190.11880000003</v>
      </c>
      <c r="G28" s="69">
        <f>E28-F28</f>
        <v>123460.07919999995</v>
      </c>
      <c r="H28" s="70">
        <f>IF(E28=0,0,G28/E28)</f>
        <v>0.39999999999999986</v>
      </c>
      <c r="I28" s="71">
        <f>'🏦 Crédito Fiscal'!C16</f>
        <v>10962.5718</v>
      </c>
      <c r="J28" s="72">
        <f>'🏦 Crédito Fiscal'!C17</f>
        <v>40780.767096000003</v>
      </c>
      <c r="K28" s="73">
        <f>COUNTIF('🧾 Factura Comercial'!E7:E36,"?*")</f>
        <v>28</v>
      </c>
      <c r="L28" s="74">
        <f>IF(K28=0,0,'🧾 Factura Comercial'!I507/K28)</f>
        <v>1558.6171428571431</v>
      </c>
    </row>
    <row r="47" spans="5:12" ht="7.5" customHeight="1" x14ac:dyDescent="0.25"/>
    <row r="48" spans="5:12" ht="21.75" customHeight="1" x14ac:dyDescent="0.25">
      <c r="E48" s="477" t="s">
        <v>320</v>
      </c>
      <c r="F48" s="477"/>
      <c r="G48" s="477"/>
      <c r="H48" s="477"/>
      <c r="I48" s="477"/>
      <c r="J48" s="477"/>
      <c r="K48" s="477"/>
      <c r="L48" s="477"/>
    </row>
    <row r="49" spans="5:16" ht="19.5" customHeight="1" x14ac:dyDescent="0.25">
      <c r="E49" s="75" t="s">
        <v>293</v>
      </c>
      <c r="F49" s="75" t="s">
        <v>294</v>
      </c>
      <c r="G49" s="75" t="s">
        <v>295</v>
      </c>
      <c r="H49" s="75" t="s">
        <v>321</v>
      </c>
    </row>
    <row r="50" spans="5:16" ht="18" customHeight="1" x14ac:dyDescent="0.25">
      <c r="E50" s="52" t="s">
        <v>322</v>
      </c>
      <c r="F50" s="76">
        <f>'🧾 Tributos Aduana'!F17</f>
        <v>2752</v>
      </c>
      <c r="G50" s="54">
        <f>F50*'📋 Datos Generales'!E19</f>
        <v>10237.44</v>
      </c>
      <c r="H50" s="77" t="s">
        <v>323</v>
      </c>
    </row>
    <row r="51" spans="5:16" ht="18" customHeight="1" x14ac:dyDescent="0.25">
      <c r="E51" s="56" t="s">
        <v>324</v>
      </c>
      <c r="F51" s="78">
        <f>'🧾 Tributos Aduana'!F18</f>
        <v>972</v>
      </c>
      <c r="G51" s="58">
        <f>F51*'📋 Datos Generales'!E19</f>
        <v>3615.84</v>
      </c>
      <c r="H51" s="79" t="s">
        <v>325</v>
      </c>
    </row>
    <row r="52" spans="5:16" ht="18" customHeight="1" x14ac:dyDescent="0.25">
      <c r="E52" s="52" t="s">
        <v>326</v>
      </c>
      <c r="F52" s="80">
        <f>'🧾 Tributos Aduana'!F19</f>
        <v>7779</v>
      </c>
      <c r="G52" s="54">
        <f>F52*'📋 Datos Generales'!E19</f>
        <v>28937.88</v>
      </c>
      <c r="H52" s="79" t="s">
        <v>325</v>
      </c>
    </row>
    <row r="53" spans="5:16" ht="18" customHeight="1" x14ac:dyDescent="0.25">
      <c r="E53" s="56" t="s">
        <v>327</v>
      </c>
      <c r="F53" s="78">
        <f>'🧾 Tributos Aduana'!F23</f>
        <v>2007.9</v>
      </c>
      <c r="G53" s="58">
        <f>F53*'📋 Datos Generales'!E19</f>
        <v>7469.3880000000008</v>
      </c>
      <c r="H53" s="79" t="s">
        <v>325</v>
      </c>
    </row>
    <row r="54" spans="5:16" ht="18" customHeight="1" x14ac:dyDescent="0.25">
      <c r="E54" s="52" t="s">
        <v>328</v>
      </c>
      <c r="F54" s="80">
        <f>'🧾 Tributos Aduana'!F12</f>
        <v>24.168600000000001</v>
      </c>
      <c r="G54" s="54">
        <f>F54*'📋 Datos Generales'!E19</f>
        <v>89.907192000000009</v>
      </c>
      <c r="H54" s="79" t="s">
        <v>325</v>
      </c>
    </row>
    <row r="55" spans="5:16" ht="18" customHeight="1" x14ac:dyDescent="0.25">
      <c r="E55" s="56" t="s">
        <v>329</v>
      </c>
      <c r="F55" s="78">
        <f>'📦 Gastos Importación'!F26</f>
        <v>179.50319999999996</v>
      </c>
      <c r="G55" s="58">
        <f>F55*'📋 Datos Generales'!E19</f>
        <v>667.75190399999985</v>
      </c>
      <c r="H55" s="79" t="s">
        <v>325</v>
      </c>
    </row>
    <row r="56" spans="5:16" ht="24" customHeight="1" x14ac:dyDescent="0.25">
      <c r="E56" s="1" t="s">
        <v>330</v>
      </c>
      <c r="F56" s="23">
        <f>'🏦 Crédito Fiscal'!C16</f>
        <v>10962.5718</v>
      </c>
      <c r="G56" s="81">
        <f>'🏦 Crédito Fiscal'!C17</f>
        <v>40780.767096000003</v>
      </c>
      <c r="H56" s="82" t="s">
        <v>331</v>
      </c>
    </row>
    <row r="60" spans="5:16" ht="15" customHeight="1" x14ac:dyDescent="0.25">
      <c r="N60" t="s">
        <v>207</v>
      </c>
      <c r="O60" t="s">
        <v>199</v>
      </c>
      <c r="P60" t="s">
        <v>332</v>
      </c>
    </row>
    <row r="61" spans="5:16" ht="15" customHeight="1" x14ac:dyDescent="0.25">
      <c r="N61" t="s">
        <v>333</v>
      </c>
      <c r="O61" s="292">
        <f>'🧾 Tributos Aduana'!F6</f>
        <v>43641.280000000006</v>
      </c>
      <c r="P61" s="291">
        <f>O61*'📋 Datos Generales'!E19</f>
        <v>162345.56160000004</v>
      </c>
    </row>
    <row r="62" spans="5:16" ht="15" customHeight="1" x14ac:dyDescent="0.25">
      <c r="N62" t="s">
        <v>236</v>
      </c>
      <c r="O62" s="292">
        <f>'🧾 Tributos Aduana'!F7</f>
        <v>2090</v>
      </c>
      <c r="P62" s="291">
        <f>O62*'📋 Datos Generales'!E19</f>
        <v>7774.8</v>
      </c>
    </row>
    <row r="63" spans="5:16" ht="15" customHeight="1" x14ac:dyDescent="0.25">
      <c r="N63" t="s">
        <v>239</v>
      </c>
      <c r="O63" s="292">
        <f>'🧾 Tributos Aduana'!F10</f>
        <v>134.27000000000001</v>
      </c>
      <c r="P63" s="291">
        <f>O63*'📋 Datos Generales'!E19</f>
        <v>499.48440000000005</v>
      </c>
    </row>
    <row r="64" spans="5:16" ht="15" customHeight="1" x14ac:dyDescent="0.25">
      <c r="N64" t="s">
        <v>300</v>
      </c>
      <c r="O64" s="292">
        <f>'🧾 Tributos Aduana'!F17</f>
        <v>2752</v>
      </c>
      <c r="P64" s="291">
        <f>O64*'📋 Datos Generales'!E19</f>
        <v>10237.44</v>
      </c>
    </row>
    <row r="65" spans="14:18" ht="15" customHeight="1" x14ac:dyDescent="0.25">
      <c r="N65" t="s">
        <v>334</v>
      </c>
      <c r="O65" s="292">
        <f>'📦 Gastos Importación'!E26</f>
        <v>997.2399999999999</v>
      </c>
      <c r="P65" s="291">
        <f>O65*'📋 Datos Generales'!E19</f>
        <v>3709.7327999999998</v>
      </c>
    </row>
    <row r="66" spans="14:18" ht="15" customHeight="1" x14ac:dyDescent="0.25">
      <c r="N66" t="s">
        <v>335</v>
      </c>
      <c r="O66" s="292">
        <f>'📦 Gastos Importación'!E27</f>
        <v>167.5</v>
      </c>
      <c r="P66" s="291">
        <f>O66*'📋 Datos Generales'!E19</f>
        <v>623.1</v>
      </c>
    </row>
    <row r="70" spans="14:18" ht="15" customHeight="1" x14ac:dyDescent="0.25">
      <c r="N70" t="s">
        <v>336</v>
      </c>
      <c r="O70" t="s">
        <v>208</v>
      </c>
    </row>
    <row r="71" spans="14:18" ht="15" customHeight="1" x14ac:dyDescent="0.25">
      <c r="N71" t="s">
        <v>211</v>
      </c>
      <c r="O71" s="292">
        <f>'🧾 Tributos Aduana'!F17</f>
        <v>2752</v>
      </c>
    </row>
    <row r="72" spans="14:18" ht="15" customHeight="1" x14ac:dyDescent="0.25">
      <c r="N72" t="s">
        <v>214</v>
      </c>
      <c r="O72" s="292">
        <f>'🧾 Tributos Aduana'!F18</f>
        <v>972</v>
      </c>
    </row>
    <row r="73" spans="14:18" ht="15" customHeight="1" x14ac:dyDescent="0.25">
      <c r="N73" t="s">
        <v>217</v>
      </c>
      <c r="O73" s="292">
        <f>'🧾 Tributos Aduana'!F19</f>
        <v>7779</v>
      </c>
    </row>
    <row r="74" spans="14:18" ht="15" customHeight="1" x14ac:dyDescent="0.25">
      <c r="N74" t="s">
        <v>220</v>
      </c>
      <c r="O74" s="292">
        <f>'🧾 Tributos Aduana'!F23</f>
        <v>2007.9</v>
      </c>
    </row>
    <row r="75" spans="14:18" ht="15" customHeight="1" x14ac:dyDescent="0.25">
      <c r="N75" t="s">
        <v>337</v>
      </c>
      <c r="O75" s="292">
        <f>'🧾 Tributos Aduana'!F12</f>
        <v>24.168600000000001</v>
      </c>
    </row>
    <row r="80" spans="14:18" ht="15" customHeight="1" x14ac:dyDescent="0.25">
      <c r="N80" t="s">
        <v>338</v>
      </c>
      <c r="O80" t="s">
        <v>339</v>
      </c>
      <c r="P80" t="s">
        <v>340</v>
      </c>
      <c r="Q80" t="s">
        <v>341</v>
      </c>
      <c r="R80" t="s">
        <v>342</v>
      </c>
    </row>
    <row r="81" spans="14:18" ht="15" customHeight="1" x14ac:dyDescent="0.25">
      <c r="N81" t="str">
        <f>'🧾 Factura Comercial'!E7</f>
        <v>Case Transparente TPU iPhone 15</v>
      </c>
      <c r="O81" s="294">
        <f>'🧾 Factura Comercial'!I7</f>
        <v>580.79999999999995</v>
      </c>
      <c r="P81" s="83">
        <f>'🧮 Costos x Producto'!K7</f>
        <v>5.1345891721782673</v>
      </c>
      <c r="Q81" s="83">
        <f>'💰 Precio de Venta'!H8</f>
        <v>8.5576486202971118</v>
      </c>
      <c r="R81" s="293">
        <f>'💰 Precio de Venta'!J8</f>
        <v>3.4230594481188445</v>
      </c>
    </row>
    <row r="82" spans="14:18" ht="15" customHeight="1" x14ac:dyDescent="0.25">
      <c r="N82" t="str">
        <f>'🧾 Factura Comercial'!E8</f>
        <v>Cable USB-C Trenzado 1m</v>
      </c>
      <c r="O82" s="294">
        <f>'🧾 Factura Comercial'!I8</f>
        <v>1958.4</v>
      </c>
      <c r="P82" s="83">
        <f>'🧮 Costos x Producto'!K8</f>
        <v>2.8855542455216714</v>
      </c>
      <c r="Q82" s="83">
        <f>'💰 Precio de Venta'!H9</f>
        <v>4.8092570758694526</v>
      </c>
      <c r="R82" s="293">
        <f>'💰 Precio de Venta'!J9</f>
        <v>1.9237028303477812</v>
      </c>
    </row>
    <row r="83" spans="14:18" ht="15" customHeight="1" x14ac:dyDescent="0.25">
      <c r="N83" t="str">
        <f>'🧾 Factura Comercial'!E9</f>
        <v>Protector Pantalla Vidrio Templado</v>
      </c>
      <c r="O83" s="294">
        <f>'🧾 Factura Comercial'!I9</f>
        <v>1152</v>
      </c>
      <c r="P83" s="83">
        <f>'🧮 Costos x Producto'!K9</f>
        <v>1.6973848503068654</v>
      </c>
      <c r="Q83" s="83">
        <f>'💰 Precio de Venta'!H10</f>
        <v>2.8289747505114424</v>
      </c>
      <c r="R83" s="293">
        <f>'💰 Precio de Venta'!J10</f>
        <v>1.1315899002045771</v>
      </c>
    </row>
    <row r="84" spans="14:18" ht="15" customHeight="1" x14ac:dyDescent="0.25">
      <c r="N84" t="str">
        <f>'🧾 Factura Comercial'!E10</f>
        <v>Audífonos In-Ear con Micrófono</v>
      </c>
      <c r="O84" s="294">
        <f>'🧾 Factura Comercial'!I10</f>
        <v>3476.1600000000003</v>
      </c>
      <c r="P84" s="83">
        <f>'🧮 Costos x Producto'!K10</f>
        <v>1.4427771227608357</v>
      </c>
      <c r="Q84" s="83">
        <f>'💰 Precio de Venta'!H11</f>
        <v>2.4046285379347263</v>
      </c>
      <c r="R84" s="293">
        <f>'💰 Precio de Venta'!J11</f>
        <v>0.96185141517389061</v>
      </c>
    </row>
    <row r="85" spans="14:18" ht="15" customHeight="1" x14ac:dyDescent="0.25">
      <c r="N85" t="str">
        <f>'🧾 Factura Comercial'!E11</f>
        <v>Cable Micro USB 2m Nylon</v>
      </c>
      <c r="O85" s="294">
        <f>'🧾 Factura Comercial'!I11</f>
        <v>2246.4</v>
      </c>
      <c r="P85" s="83">
        <f>'🧮 Costos x Producto'!K11</f>
        <v>1.1033001526994626</v>
      </c>
      <c r="Q85" s="83">
        <f>'💰 Precio de Venta'!H12</f>
        <v>1.8388335878324378</v>
      </c>
      <c r="R85" s="293">
        <f>'💰 Precio de Venta'!J12</f>
        <v>0.7355334351329752</v>
      </c>
    </row>
    <row r="86" spans="14:18" ht="15" customHeight="1" x14ac:dyDescent="0.25">
      <c r="N86" t="str">
        <f>'🧾 Factura Comercial'!E12</f>
        <v>Soporte Anillo Pop Socket Metálico</v>
      </c>
      <c r="O86" s="294">
        <f>'🧾 Factura Comercial'!I12</f>
        <v>626.4</v>
      </c>
      <c r="P86" s="83">
        <f>'🧮 Costos x Producto'!K12</f>
        <v>1.2306040164724774</v>
      </c>
      <c r="Q86" s="83">
        <f>'💰 Precio de Venta'!H13</f>
        <v>2.0510066941207956</v>
      </c>
      <c r="R86" s="293">
        <f>'💰 Precio de Venta'!J13</f>
        <v>0.8204026776483182</v>
      </c>
    </row>
    <row r="87" spans="14:18" ht="15" customHeight="1" x14ac:dyDescent="0.25">
      <c r="N87" t="str">
        <f>'🧾 Factura Comercial'!E13</f>
        <v>Cargador Inalámbrico 15W Qi</v>
      </c>
      <c r="O87" s="294">
        <f>'🧾 Factura Comercial'!I13</f>
        <v>1370.4</v>
      </c>
      <c r="P87" s="83">
        <f>'🧮 Costos x Producto'!K13</f>
        <v>24.230168738130505</v>
      </c>
      <c r="Q87" s="83">
        <f>'💰 Precio de Venta'!H14</f>
        <v>40.383614563550843</v>
      </c>
      <c r="R87" s="293">
        <f>'💰 Precio de Venta'!J14</f>
        <v>16.153445825420338</v>
      </c>
    </row>
    <row r="88" spans="14:18" ht="15" customHeight="1" x14ac:dyDescent="0.25">
      <c r="N88" t="str">
        <f>'🧾 Factura Comercial'!E14</f>
        <v>Case Wallet Cuero PU Samsung S24</v>
      </c>
      <c r="O88" s="294">
        <f>'🧾 Factura Comercial'!I14</f>
        <v>1459.2</v>
      </c>
      <c r="P88" s="83">
        <f>'🧮 Costos x Producto'!K14</f>
        <v>3.2250312155830443</v>
      </c>
      <c r="Q88" s="83">
        <f>'💰 Precio de Venta'!H15</f>
        <v>5.3750520259717405</v>
      </c>
      <c r="R88" s="293">
        <f>'💰 Precio de Venta'!J15</f>
        <v>2.1500208103886962</v>
      </c>
    </row>
    <row r="89" spans="14:18" ht="15" customHeight="1" x14ac:dyDescent="0.25">
      <c r="N89" t="str">
        <f>'🧾 Factura Comercial'!E15</f>
        <v>Adaptador USB-C a Jack 3.5mm</v>
      </c>
      <c r="O89" s="294">
        <f>'🧾 Factura Comercial'!I15</f>
        <v>1344.0000000000002</v>
      </c>
      <c r="P89" s="83">
        <f>'🧮 Costos x Producto'!K15</f>
        <v>1.1881693952148058</v>
      </c>
      <c r="Q89" s="83">
        <f>'💰 Precio de Venta'!H16</f>
        <v>1.9802823253580097</v>
      </c>
      <c r="R89" s="293">
        <f>'💰 Precio de Venta'!J16</f>
        <v>0.79211293014320394</v>
      </c>
    </row>
    <row r="90" spans="14:18" ht="15" customHeight="1" x14ac:dyDescent="0.25">
      <c r="N90" t="s">
        <v>343</v>
      </c>
      <c r="O90" t="s">
        <v>208</v>
      </c>
      <c r="P90" t="s">
        <v>198</v>
      </c>
    </row>
    <row r="91" spans="14:18" ht="15" customHeight="1" x14ac:dyDescent="0.25">
      <c r="N91" t="s">
        <v>211</v>
      </c>
      <c r="O91" s="292">
        <f>'🧾 Tributos Aduana'!F17</f>
        <v>2752</v>
      </c>
    </row>
    <row r="92" spans="14:18" ht="15" customHeight="1" x14ac:dyDescent="0.25">
      <c r="N92" t="s">
        <v>214</v>
      </c>
      <c r="O92" s="292">
        <f>'🧾 Tributos Aduana'!F18</f>
        <v>972</v>
      </c>
    </row>
    <row r="93" spans="14:18" ht="15" customHeight="1" x14ac:dyDescent="0.25">
      <c r="N93" t="s">
        <v>217</v>
      </c>
      <c r="O93" s="292">
        <f>'🧾 Tributos Aduana'!F19</f>
        <v>7779</v>
      </c>
    </row>
    <row r="94" spans="14:18" ht="15" customHeight="1" x14ac:dyDescent="0.25">
      <c r="N94" t="s">
        <v>220</v>
      </c>
      <c r="O94" s="292">
        <f>'🧾 Tributos Aduana'!F23</f>
        <v>2007.9</v>
      </c>
    </row>
    <row r="95" spans="14:18" ht="15" customHeight="1" x14ac:dyDescent="0.25">
      <c r="N95" t="s">
        <v>337</v>
      </c>
      <c r="O95" s="292">
        <f>'🧾 Tributos Aduana'!F12</f>
        <v>24.168600000000001</v>
      </c>
    </row>
    <row r="96" spans="14:18" ht="15" customHeight="1" x14ac:dyDescent="0.25">
      <c r="N96" t="s">
        <v>344</v>
      </c>
      <c r="O96" s="292">
        <f>'📦 Gastos Importación'!F26</f>
        <v>179.50319999999996</v>
      </c>
    </row>
    <row r="100" spans="14:15" ht="15" customHeight="1" x14ac:dyDescent="0.25">
      <c r="N100" t="s">
        <v>343</v>
      </c>
      <c r="O100" t="s">
        <v>199</v>
      </c>
    </row>
    <row r="101" spans="14:15" ht="15" customHeight="1" x14ac:dyDescent="0.25">
      <c r="N101" t="s">
        <v>345</v>
      </c>
      <c r="O101" s="25">
        <f>'🧾 Tributos Aduana'!F17</f>
        <v>2752</v>
      </c>
    </row>
    <row r="102" spans="14:15" ht="15" customHeight="1" x14ac:dyDescent="0.25">
      <c r="N102" t="s">
        <v>346</v>
      </c>
      <c r="O102" s="25">
        <f>'🏦 Crédito Fiscal'!C16</f>
        <v>10962.5718</v>
      </c>
    </row>
  </sheetData>
  <mergeCells count="6">
    <mergeCell ref="E48:L48"/>
    <mergeCell ref="E1:L1"/>
    <mergeCell ref="E2:L2"/>
    <mergeCell ref="E12:J12"/>
    <mergeCell ref="E22:J22"/>
    <mergeCell ref="E26:L2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8E1F-8F6B-421F-8386-86EF4E7C2F69}">
  <sheetPr>
    <tabColor rgb="FF0070C0"/>
  </sheetPr>
  <dimension ref="A1:AK64"/>
  <sheetViews>
    <sheetView showGridLines="0" showRowColHeaders="0" topLeftCell="D1" zoomScale="44" zoomScaleNormal="44" workbookViewId="0">
      <selection activeCell="AK9" sqref="AK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7.28515625" customWidth="1"/>
    <col min="3" max="3" width="4.85546875" customWidth="1"/>
    <col min="5" max="5" width="2.7109375" customWidth="1"/>
    <col min="6" max="6" width="1.28515625" customWidth="1"/>
    <col min="7" max="7" width="13.7109375" customWidth="1"/>
  </cols>
  <sheetData>
    <row r="1" spans="3:32" s="139" customFormat="1" x14ac:dyDescent="0.25"/>
    <row r="2" spans="3:32" s="139" customFormat="1" x14ac:dyDescent="0.25"/>
    <row r="3" spans="3:32" s="139" customFormat="1" x14ac:dyDescent="0.25"/>
    <row r="4" spans="3:32" s="139" customFormat="1" x14ac:dyDescent="0.25"/>
    <row r="5" spans="3:32" s="93" customFormat="1" x14ac:dyDescent="0.25"/>
    <row r="6" spans="3:32" s="93" customFormat="1" ht="11.25" customHeight="1" x14ac:dyDescent="0.25"/>
    <row r="7" spans="3:32" s="93" customFormat="1" ht="9.75" customHeight="1" x14ac:dyDescent="0.25"/>
    <row r="8" spans="3:32" s="93" customFormat="1" x14ac:dyDescent="0.25"/>
    <row r="9" spans="3:32" s="93" customFormat="1" x14ac:dyDescent="0.25"/>
    <row r="10" spans="3:32" s="93" customFormat="1" x14ac:dyDescent="0.25"/>
    <row r="11" spans="3:32" s="93" customFormat="1" x14ac:dyDescent="0.25"/>
    <row r="12" spans="3:32" s="93" customFormat="1" x14ac:dyDescent="0.25"/>
    <row r="13" spans="3:32" s="93" customFormat="1" ht="36.75" customHeight="1" x14ac:dyDescent="0.25">
      <c r="C13" s="353" t="str">
        <f>'📋 Datos Generales'!E6&amp;"   |   DUA: "&amp;'📋 Datos Generales'!E5&amp;"   |   País: "&amp;'📋 Datos Generales'!E9&amp;"   |   Proveedor: "&amp;'📋 Datos Generales'!E10&amp;"   |   Incoterm: "&amp;'📋 Datos Generales'!E11&amp;"   |   TC: S/."&amp;TEXT('📋 Datos Generales'!E19,"0.000")</f>
        <v>EMPRESA IMPORTADORA S.A.C.   |   DUA: DAM-2025-000001   |   País: China   |   Proveedor: HWPI Co. Ltd.   |   Incoterm: FOB   |   TC: S/.3.720</v>
      </c>
      <c r="D13" s="353"/>
      <c r="E13" s="353"/>
      <c r="F13" s="353"/>
      <c r="G13" s="353"/>
      <c r="H13" s="353"/>
      <c r="I13" s="353"/>
      <c r="J13" s="353"/>
      <c r="K13" s="353"/>
      <c r="L13" s="353"/>
      <c r="M13" s="353"/>
      <c r="N13" s="353"/>
      <c r="O13" s="353"/>
      <c r="P13" s="353"/>
      <c r="Q13" s="353"/>
      <c r="R13" s="353"/>
      <c r="S13" s="353"/>
      <c r="T13" s="353"/>
      <c r="U13" s="353"/>
      <c r="V13" s="353"/>
      <c r="W13" s="353"/>
      <c r="X13" s="353"/>
      <c r="Y13" s="353"/>
      <c r="Z13" s="353"/>
      <c r="AA13" s="353"/>
      <c r="AB13" s="353"/>
      <c r="AC13" s="353"/>
      <c r="AD13" s="353"/>
      <c r="AE13" s="353"/>
      <c r="AF13" s="353"/>
    </row>
    <row r="14" spans="3:32" s="134" customFormat="1" ht="11.25" customHeight="1" x14ac:dyDescent="0.25">
      <c r="D14" s="352"/>
      <c r="E14" s="352"/>
      <c r="F14" s="352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</row>
    <row r="15" spans="3:32" s="134" customFormat="1" ht="30" customHeight="1" x14ac:dyDescent="0.25">
      <c r="D15" s="352"/>
      <c r="E15" s="352"/>
      <c r="F15" s="352"/>
      <c r="G15" s="543"/>
      <c r="H15" s="543"/>
      <c r="I15" s="543"/>
      <c r="J15" s="543"/>
      <c r="K15" s="543"/>
      <c r="L15" s="543"/>
      <c r="M15" s="543"/>
      <c r="N15" s="543"/>
      <c r="O15" s="543"/>
      <c r="P15" s="543"/>
      <c r="Q15" s="543"/>
      <c r="R15" s="543"/>
      <c r="S15" s="543"/>
      <c r="T15" s="543"/>
      <c r="U15" s="543"/>
      <c r="V15" s="543"/>
      <c r="W15" s="543"/>
      <c r="X15" s="543"/>
      <c r="Y15" s="543"/>
      <c r="Z15" s="543"/>
      <c r="AA15" s="543"/>
      <c r="AB15" s="135"/>
      <c r="AC15" s="135"/>
      <c r="AD15" s="135"/>
      <c r="AE15" s="135"/>
    </row>
    <row r="16" spans="3:32" s="134" customFormat="1" ht="30" customHeight="1" x14ac:dyDescent="0.25">
      <c r="D16" s="135"/>
      <c r="E16" s="135"/>
      <c r="F16" s="135"/>
      <c r="G16" s="543"/>
      <c r="H16" s="543"/>
      <c r="I16" s="543"/>
      <c r="J16" s="543"/>
      <c r="K16" s="543"/>
      <c r="L16" s="543"/>
      <c r="M16" s="543"/>
      <c r="N16" s="543"/>
      <c r="O16" s="543"/>
      <c r="P16" s="543"/>
      <c r="Q16" s="543"/>
      <c r="R16" s="543"/>
      <c r="S16" s="543"/>
      <c r="T16" s="543"/>
      <c r="U16" s="543"/>
      <c r="V16" s="543"/>
      <c r="W16" s="543"/>
      <c r="X16" s="543"/>
      <c r="Y16" s="543"/>
      <c r="Z16" s="543"/>
      <c r="AA16" s="543"/>
      <c r="AB16" s="135"/>
      <c r="AC16" s="135"/>
      <c r="AD16" s="135"/>
      <c r="AE16" s="135"/>
    </row>
    <row r="17" spans="4:37" s="137" customFormat="1" ht="30" customHeight="1" x14ac:dyDescent="0.25">
      <c r="D17" s="136"/>
      <c r="E17" s="136"/>
      <c r="F17" s="136"/>
      <c r="G17" s="517"/>
      <c r="H17" s="517"/>
      <c r="I17" s="517"/>
      <c r="J17" s="517"/>
      <c r="K17" s="517"/>
      <c r="L17" s="517"/>
      <c r="M17" s="517"/>
      <c r="N17" s="517"/>
      <c r="O17" s="517"/>
      <c r="P17" s="517"/>
      <c r="Q17" s="517"/>
      <c r="R17" s="517"/>
      <c r="S17" s="517"/>
      <c r="T17" s="517"/>
      <c r="U17" s="517"/>
      <c r="V17" s="517"/>
      <c r="W17" s="517"/>
      <c r="X17" s="517"/>
      <c r="Y17" s="517"/>
      <c r="Z17" s="517"/>
      <c r="AA17" s="517"/>
      <c r="AB17" s="136"/>
      <c r="AC17" s="136"/>
      <c r="AD17" s="136"/>
      <c r="AE17" s="136"/>
    </row>
    <row r="18" spans="4:37" s="137" customFormat="1" ht="30" customHeight="1" x14ac:dyDescent="0.25">
      <c r="D18" s="136"/>
      <c r="E18" s="136"/>
      <c r="F18" s="136"/>
      <c r="G18" s="517"/>
      <c r="H18" s="517"/>
      <c r="I18" s="517"/>
      <c r="J18" s="517"/>
      <c r="K18" s="517"/>
      <c r="L18" s="517"/>
      <c r="M18" s="517"/>
      <c r="N18" s="517"/>
      <c r="O18" s="517"/>
      <c r="P18" s="517"/>
      <c r="Q18" s="517"/>
      <c r="R18" s="517"/>
      <c r="S18" s="517"/>
      <c r="T18" s="517"/>
      <c r="U18" s="517"/>
      <c r="V18" s="517"/>
      <c r="W18" s="517"/>
      <c r="X18" s="517"/>
      <c r="Y18" s="517"/>
      <c r="Z18" s="517"/>
      <c r="AA18" s="517"/>
      <c r="AB18" s="136"/>
      <c r="AC18" s="136"/>
      <c r="AD18" s="136"/>
      <c r="AE18" s="136"/>
    </row>
    <row r="19" spans="4:37" s="137" customFormat="1" ht="30" customHeight="1" x14ac:dyDescent="0.25">
      <c r="D19" s="136"/>
      <c r="E19" s="136"/>
      <c r="F19" s="136"/>
      <c r="G19" s="517"/>
      <c r="H19" s="517"/>
      <c r="I19" s="517"/>
      <c r="J19" s="517"/>
      <c r="K19" s="517"/>
      <c r="L19" s="517"/>
      <c r="M19" s="517"/>
      <c r="N19" s="517"/>
      <c r="O19" s="517"/>
      <c r="P19" s="517"/>
      <c r="Q19" s="517"/>
      <c r="R19" s="517"/>
      <c r="S19" s="517"/>
      <c r="T19" s="517"/>
      <c r="U19" s="517"/>
      <c r="V19" s="517"/>
      <c r="W19" s="545"/>
      <c r="X19" s="517"/>
      <c r="Y19" s="517"/>
      <c r="Z19" s="517"/>
      <c r="AA19" s="517"/>
      <c r="AB19" s="136"/>
      <c r="AC19" s="136"/>
      <c r="AD19" s="136"/>
      <c r="AE19" s="136"/>
      <c r="AK19" s="87"/>
    </row>
    <row r="20" spans="4:37" s="86" customFormat="1" x14ac:dyDescent="0.25"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314"/>
      <c r="AK20" s="87" t="s">
        <v>412</v>
      </c>
    </row>
    <row r="21" spans="4:37" s="86" customFormat="1" x14ac:dyDescent="0.25"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</row>
    <row r="22" spans="4:37" s="86" customFormat="1" x14ac:dyDescent="0.25">
      <c r="G22" s="314"/>
      <c r="H22" s="314"/>
      <c r="I22" s="314"/>
      <c r="J22" s="314"/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</row>
    <row r="23" spans="4:37" s="86" customFormat="1" x14ac:dyDescent="0.25">
      <c r="G23" s="314"/>
      <c r="H23" s="314"/>
      <c r="I23" s="314"/>
      <c r="J23" s="314"/>
      <c r="K23" s="314"/>
      <c r="L23" s="314"/>
      <c r="M23" s="314"/>
      <c r="N23" s="314"/>
      <c r="O23" s="314"/>
      <c r="P23" s="314"/>
      <c r="Q23" s="314"/>
      <c r="R23" s="314"/>
      <c r="S23" s="314"/>
      <c r="T23" s="314"/>
      <c r="U23" s="314"/>
      <c r="V23" s="314"/>
      <c r="W23" s="314"/>
      <c r="X23" s="314"/>
      <c r="Y23" s="314"/>
      <c r="Z23" s="314"/>
      <c r="AA23" s="314"/>
      <c r="AH23" s="138"/>
    </row>
    <row r="24" spans="4:37" s="86" customFormat="1" x14ac:dyDescent="0.25">
      <c r="G24" s="314"/>
      <c r="H24" s="314"/>
      <c r="I24" s="314"/>
      <c r="J24" s="314"/>
      <c r="K24" s="314"/>
      <c r="L24" s="314"/>
      <c r="M24" s="314"/>
      <c r="N24" s="519"/>
      <c r="O24" s="314"/>
      <c r="P24" s="314"/>
      <c r="Q24" s="314"/>
      <c r="R24" s="314"/>
      <c r="S24" s="314"/>
      <c r="T24" s="314"/>
      <c r="U24" s="314"/>
      <c r="V24" s="314"/>
      <c r="W24" s="314"/>
      <c r="X24" s="314"/>
      <c r="Y24" s="314"/>
      <c r="Z24" s="314"/>
      <c r="AA24" s="314"/>
    </row>
    <row r="25" spans="4:37" s="86" customFormat="1" ht="8.25" customHeight="1" x14ac:dyDescent="0.25">
      <c r="G25" s="314"/>
      <c r="H25" s="314"/>
      <c r="I25" s="314"/>
      <c r="J25" s="314"/>
      <c r="K25" s="314"/>
      <c r="L25" s="314"/>
      <c r="M25" s="314"/>
      <c r="N25" s="519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Y25" s="314"/>
      <c r="Z25" s="314"/>
      <c r="AA25" s="314"/>
    </row>
    <row r="26" spans="4:37" s="86" customFormat="1" ht="19.5" customHeight="1" x14ac:dyDescent="0.25">
      <c r="G26" s="314"/>
      <c r="H26" s="314"/>
      <c r="I26" s="314"/>
      <c r="J26" s="314"/>
      <c r="K26" s="314"/>
      <c r="L26" s="314"/>
      <c r="M26" s="314"/>
      <c r="N26" s="519"/>
      <c r="O26" s="314"/>
      <c r="P26" s="314"/>
      <c r="Q26" s="314"/>
      <c r="R26" s="314"/>
      <c r="S26" s="314"/>
      <c r="T26" s="314"/>
      <c r="U26" s="314"/>
      <c r="V26" s="314"/>
      <c r="W26" s="314"/>
      <c r="X26" s="314"/>
      <c r="Y26" s="314"/>
      <c r="Z26" s="314"/>
      <c r="AA26" s="314"/>
    </row>
    <row r="27" spans="4:37" s="86" customFormat="1" ht="22.5" customHeight="1" x14ac:dyDescent="0.25">
      <c r="G27" s="546"/>
      <c r="H27" s="546"/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Y27" s="546"/>
      <c r="Z27" s="544"/>
      <c r="AA27" s="544"/>
    </row>
    <row r="28" spans="4:37" s="86" customFormat="1" x14ac:dyDescent="0.25">
      <c r="G28" s="314"/>
      <c r="H28" s="314"/>
      <c r="I28" s="314"/>
      <c r="J28" s="314"/>
      <c r="K28" s="314"/>
      <c r="L28" s="314"/>
      <c r="M28" s="314"/>
      <c r="N28" s="314"/>
      <c r="O28" s="314"/>
      <c r="P28" s="314"/>
      <c r="Q28" s="314"/>
      <c r="R28" s="314"/>
      <c r="S28" s="314"/>
      <c r="T28" s="314"/>
      <c r="U28" s="314"/>
      <c r="V28" s="314"/>
      <c r="W28" s="314"/>
      <c r="X28" s="314"/>
      <c r="Y28" s="314"/>
      <c r="Z28" s="314"/>
      <c r="AA28" s="314"/>
    </row>
    <row r="29" spans="4:37" s="86" customFormat="1" x14ac:dyDescent="0.25">
      <c r="G29" s="314"/>
      <c r="H29" s="314"/>
      <c r="I29" s="314"/>
      <c r="J29" s="314"/>
      <c r="K29" s="314"/>
      <c r="L29" s="314"/>
      <c r="M29" s="314"/>
      <c r="N29" s="314"/>
      <c r="O29" s="314"/>
      <c r="P29" s="314"/>
      <c r="Q29" s="314"/>
      <c r="R29" s="314"/>
      <c r="S29" s="314"/>
      <c r="T29" s="314"/>
      <c r="U29" s="314"/>
      <c r="V29" s="314"/>
      <c r="W29" s="314"/>
      <c r="X29" s="314"/>
      <c r="Y29" s="314"/>
      <c r="Z29" s="314"/>
      <c r="AA29" s="314"/>
    </row>
    <row r="30" spans="4:37" s="86" customFormat="1" x14ac:dyDescent="0.25">
      <c r="G30" s="314"/>
      <c r="H30" s="314"/>
      <c r="I30" s="314"/>
      <c r="J30" s="314"/>
      <c r="K30" s="314"/>
      <c r="L30" s="314"/>
      <c r="M30" s="314"/>
      <c r="N30" s="314"/>
      <c r="O30" s="314"/>
      <c r="P30" s="314"/>
      <c r="Q30" s="314"/>
      <c r="R30" s="314"/>
      <c r="S30" s="314"/>
      <c r="T30" s="314"/>
      <c r="U30" s="314"/>
      <c r="V30" s="314"/>
      <c r="W30" s="314"/>
      <c r="X30" s="314"/>
      <c r="Y30" s="314"/>
      <c r="Z30" s="314"/>
      <c r="AA30" s="314"/>
    </row>
    <row r="31" spans="4:37" s="86" customFormat="1" x14ac:dyDescent="0.25">
      <c r="G31" s="314"/>
      <c r="H31" s="314"/>
      <c r="I31" s="314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314"/>
      <c r="V31" s="314"/>
      <c r="W31" s="314"/>
      <c r="X31" s="314"/>
      <c r="Y31" s="314"/>
      <c r="Z31" s="314"/>
      <c r="AA31" s="314"/>
    </row>
    <row r="32" spans="4:37" s="86" customFormat="1" x14ac:dyDescent="0.25"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314"/>
    </row>
    <row r="33" spans="7:28" s="86" customFormat="1" x14ac:dyDescent="0.25">
      <c r="G33" s="314"/>
      <c r="H33" s="314"/>
      <c r="I33" s="314"/>
      <c r="J33" s="314"/>
      <c r="K33" s="314"/>
      <c r="L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314"/>
    </row>
    <row r="34" spans="7:28" s="86" customFormat="1" x14ac:dyDescent="0.25"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14"/>
      <c r="W34" s="314"/>
      <c r="X34" s="314"/>
      <c r="Y34" s="314"/>
      <c r="Z34" s="314"/>
    </row>
    <row r="35" spans="7:28" s="86" customFormat="1" x14ac:dyDescent="0.25"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</row>
    <row r="36" spans="7:28" s="86" customFormat="1" x14ac:dyDescent="0.25"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314"/>
      <c r="X36" s="314"/>
      <c r="Y36" s="314"/>
      <c r="Z36" s="314"/>
      <c r="AA36" s="314"/>
    </row>
    <row r="37" spans="7:28" s="86" customFormat="1" x14ac:dyDescent="0.25">
      <c r="G37" s="314"/>
      <c r="H37" s="314"/>
      <c r="I37" s="314"/>
      <c r="J37" s="314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  <c r="AA37" s="314"/>
    </row>
    <row r="38" spans="7:28" s="86" customFormat="1" x14ac:dyDescent="0.25"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</row>
    <row r="39" spans="7:28" s="86" customFormat="1" x14ac:dyDescent="0.25"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314"/>
      <c r="AB39" s="314"/>
    </row>
    <row r="40" spans="7:28" s="86" customFormat="1" x14ac:dyDescent="0.25"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314"/>
      <c r="AB40" s="314"/>
    </row>
    <row r="41" spans="7:28" s="86" customFormat="1" x14ac:dyDescent="0.25">
      <c r="H41" s="314"/>
      <c r="I41" s="314"/>
      <c r="J41" s="314"/>
      <c r="K41" s="314"/>
      <c r="L41" s="314"/>
      <c r="M41" s="314"/>
      <c r="N41" s="314"/>
      <c r="O41" s="314"/>
      <c r="P41" s="314"/>
      <c r="Q41" s="314"/>
      <c r="R41" s="314"/>
      <c r="S41" s="314"/>
      <c r="T41" s="314"/>
      <c r="U41" s="314"/>
      <c r="V41" s="314"/>
      <c r="W41" s="314"/>
      <c r="X41" s="314"/>
      <c r="Y41" s="314"/>
      <c r="Z41" s="314"/>
      <c r="AA41" s="314"/>
      <c r="AB41" s="314"/>
    </row>
    <row r="42" spans="7:28" s="86" customFormat="1" x14ac:dyDescent="0.25">
      <c r="H42" s="314"/>
      <c r="I42" s="314"/>
      <c r="J42" s="314"/>
      <c r="K42" s="314"/>
      <c r="L42" s="314"/>
      <c r="M42" s="314"/>
      <c r="N42" s="314"/>
      <c r="O42" s="314"/>
      <c r="P42" s="314"/>
      <c r="Q42" s="314"/>
      <c r="R42" s="314"/>
      <c r="S42" s="314"/>
      <c r="T42" s="314"/>
      <c r="U42" s="314"/>
      <c r="V42" s="314"/>
      <c r="W42" s="314"/>
      <c r="X42" s="314"/>
      <c r="Y42" s="314"/>
      <c r="Z42" s="314"/>
      <c r="AA42" s="314"/>
      <c r="AB42" s="314"/>
    </row>
    <row r="43" spans="7:28" s="86" customFormat="1" x14ac:dyDescent="0.25">
      <c r="H43" s="314"/>
      <c r="I43" s="314"/>
      <c r="J43" s="314"/>
      <c r="K43" s="314"/>
      <c r="L43" s="314"/>
      <c r="M43" s="314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</row>
    <row r="44" spans="7:28" s="86" customFormat="1" x14ac:dyDescent="0.25">
      <c r="H44" s="314"/>
      <c r="I44" s="314"/>
      <c r="J44" s="314"/>
      <c r="K44" s="314"/>
      <c r="L44" s="314"/>
      <c r="M44" s="314"/>
      <c r="N44" s="314"/>
      <c r="O44" s="314"/>
      <c r="P44" s="314"/>
      <c r="Q44" s="314"/>
      <c r="R44" s="314"/>
      <c r="S44" s="314"/>
      <c r="T44" s="314"/>
      <c r="U44" s="314"/>
      <c r="V44" s="314"/>
      <c r="W44" s="314"/>
      <c r="X44" s="314"/>
      <c r="Y44" s="314"/>
      <c r="Z44" s="314"/>
      <c r="AA44" s="314"/>
      <c r="AB44" s="314"/>
    </row>
    <row r="45" spans="7:28" s="86" customFormat="1" x14ac:dyDescent="0.25"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314"/>
      <c r="AB45" s="314"/>
    </row>
    <row r="46" spans="7:28" s="86" customFormat="1" x14ac:dyDescent="0.25"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</row>
    <row r="47" spans="7:28" s="86" customFormat="1" x14ac:dyDescent="0.25">
      <c r="H47" s="314"/>
      <c r="I47" s="314"/>
      <c r="J47" s="314"/>
      <c r="K47" s="314"/>
      <c r="L47" s="314"/>
      <c r="M47" s="314"/>
      <c r="N47" s="314"/>
      <c r="O47" s="314"/>
      <c r="P47" s="314"/>
      <c r="Q47" s="314"/>
      <c r="R47" s="314"/>
      <c r="S47" s="314"/>
      <c r="T47" s="314"/>
      <c r="U47" s="314"/>
      <c r="V47" s="314"/>
      <c r="W47" s="314"/>
      <c r="X47" s="314"/>
      <c r="Y47" s="314"/>
      <c r="Z47" s="314"/>
      <c r="AA47" s="314"/>
      <c r="AB47" s="314"/>
    </row>
    <row r="48" spans="7:28" s="86" customFormat="1" x14ac:dyDescent="0.25">
      <c r="H48" s="314"/>
      <c r="I48" s="314"/>
      <c r="J48" s="314"/>
      <c r="K48" s="314"/>
      <c r="L48" s="314"/>
      <c r="M48" s="314"/>
      <c r="N48" s="314"/>
      <c r="O48" s="314"/>
      <c r="P48" s="314"/>
      <c r="Q48" s="314"/>
      <c r="R48" s="314"/>
      <c r="S48" s="314"/>
      <c r="T48" s="314"/>
      <c r="U48" s="314"/>
      <c r="V48" s="314"/>
      <c r="W48" s="314"/>
      <c r="X48" s="314"/>
      <c r="Y48" s="314"/>
      <c r="Z48" s="314"/>
      <c r="AA48" s="314"/>
      <c r="AB48" s="314"/>
    </row>
    <row r="49" spans="1:31" s="86" customFormat="1" x14ac:dyDescent="0.25">
      <c r="H49" s="314"/>
      <c r="I49" s="314"/>
      <c r="J49" s="314"/>
      <c r="K49" s="314"/>
      <c r="L49" s="314"/>
      <c r="M49" s="314"/>
      <c r="N49" s="314"/>
      <c r="O49" s="314"/>
      <c r="P49" s="314"/>
      <c r="Q49" s="314"/>
      <c r="R49" s="314"/>
      <c r="S49" s="314"/>
      <c r="T49" s="314"/>
      <c r="U49" s="314"/>
      <c r="V49" s="314"/>
      <c r="W49" s="314"/>
      <c r="X49" s="314"/>
      <c r="Y49" s="314"/>
      <c r="Z49" s="314"/>
      <c r="AA49" s="314"/>
      <c r="AB49" s="314"/>
    </row>
    <row r="50" spans="1:31" s="86" customFormat="1" x14ac:dyDescent="0.25"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14"/>
      <c r="V50" s="314"/>
      <c r="W50" s="314"/>
      <c r="X50" s="314"/>
      <c r="Y50" s="314"/>
      <c r="Z50" s="314"/>
      <c r="AA50" s="314"/>
      <c r="AB50" s="314"/>
    </row>
    <row r="51" spans="1:31" s="86" customFormat="1" x14ac:dyDescent="0.25"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314"/>
      <c r="AB51" s="314"/>
    </row>
    <row r="52" spans="1:31" s="86" customFormat="1" x14ac:dyDescent="0.25"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  <c r="AA52" s="314"/>
      <c r="AB52" s="314"/>
    </row>
    <row r="53" spans="1:31" s="86" customFormat="1" x14ac:dyDescent="0.25"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  <c r="V53" s="314"/>
      <c r="W53" s="314"/>
      <c r="X53" s="314"/>
      <c r="Y53" s="314"/>
      <c r="Z53" s="314"/>
      <c r="AA53" s="314"/>
      <c r="AB53" s="314"/>
    </row>
    <row r="54" spans="1:31" s="86" customFormat="1" x14ac:dyDescent="0.25"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  <c r="V54" s="314"/>
      <c r="W54" s="314"/>
      <c r="X54" s="314"/>
      <c r="Y54" s="314"/>
      <c r="Z54" s="314"/>
      <c r="AA54" s="314"/>
      <c r="AB54" s="314"/>
    </row>
    <row r="55" spans="1:31" s="86" customFormat="1" x14ac:dyDescent="0.25"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4"/>
      <c r="Y55" s="314"/>
      <c r="Z55" s="314"/>
      <c r="AA55" s="314"/>
      <c r="AB55" s="314"/>
    </row>
    <row r="56" spans="1:31" s="86" customFormat="1" x14ac:dyDescent="0.25"/>
    <row r="57" spans="1:31" s="86" customFormat="1" x14ac:dyDescent="0.25"/>
    <row r="58" spans="1:31" s="296" customFormat="1" ht="312" customHeight="1" x14ac:dyDescent="0.25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  <c r="AC58" s="295"/>
      <c r="AD58" s="295"/>
      <c r="AE58" s="295"/>
    </row>
    <row r="59" spans="1:31" s="86" customFormat="1" x14ac:dyDescent="0.25"/>
    <row r="60" spans="1:31" s="86" customFormat="1" x14ac:dyDescent="0.25"/>
    <row r="61" spans="1:31" s="86" customFormat="1" x14ac:dyDescent="0.25"/>
    <row r="62" spans="1:31" s="86" customFormat="1" x14ac:dyDescent="0.25"/>
    <row r="63" spans="1:31" s="86" customFormat="1" x14ac:dyDescent="0.25"/>
    <row r="64" spans="1:31" s="86" customFormat="1" x14ac:dyDescent="0.25"/>
  </sheetData>
  <mergeCells count="3">
    <mergeCell ref="G27:Y27"/>
    <mergeCell ref="D14:F15"/>
    <mergeCell ref="C13:AF13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C870-2223-4AEF-AC18-75F38D8C96A2}">
  <dimension ref="A1:T209"/>
  <sheetViews>
    <sheetView showGridLines="0" workbookViewId="0">
      <selection activeCell="E10" sqref="E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7109375" defaultRowHeight="15" x14ac:dyDescent="0.25"/>
  <cols>
    <col min="1" max="1" width="1.5703125" style="141" customWidth="1"/>
    <col min="2" max="2" width="31.85546875" style="141" bestFit="1" customWidth="1"/>
    <col min="3" max="3" width="28.42578125" style="141" bestFit="1" customWidth="1"/>
    <col min="4" max="19" width="11" style="141" customWidth="1"/>
    <col min="20" max="20" width="1.5703125" style="141" customWidth="1"/>
    <col min="21" max="16384" width="8.7109375" style="141"/>
  </cols>
  <sheetData>
    <row r="1" spans="1:20" ht="4.5" customHeight="1" x14ac:dyDescent="0.2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</row>
    <row r="2" spans="1:20" ht="49.5" customHeight="1" x14ac:dyDescent="0.25">
      <c r="A2" s="142"/>
      <c r="B2" s="484" t="s">
        <v>349</v>
      </c>
      <c r="C2" s="484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4"/>
      <c r="T2" s="142"/>
    </row>
    <row r="3" spans="1:20" ht="4.5" customHeight="1" x14ac:dyDescent="0.2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</row>
    <row r="4" spans="1:20" s="155" customFormat="1" ht="13.5" customHeight="1" x14ac:dyDescent="0.25">
      <c r="A4" s="156"/>
      <c r="B4" s="154" t="s">
        <v>350</v>
      </c>
      <c r="C4" s="485">
        <f>'[1]🧾 Tributos Aduana'!C5</f>
        <v>14213.76</v>
      </c>
      <c r="D4" s="485"/>
      <c r="E4" s="154" t="s">
        <v>351</v>
      </c>
      <c r="F4" s="485">
        <f>'[1]🧾 Tributos Aduana'!C13</f>
        <v>14687.5582105263</v>
      </c>
      <c r="G4" s="485"/>
      <c r="H4" s="154" t="s">
        <v>352</v>
      </c>
      <c r="I4" s="486">
        <f>'[1]🧮 Costos x Producto'!D4</f>
        <v>0</v>
      </c>
      <c r="J4" s="486"/>
      <c r="K4" s="154" t="s">
        <v>353</v>
      </c>
      <c r="L4" s="487">
        <f>'[1]📋 Datos Generales'!C19</f>
        <v>3.72</v>
      </c>
      <c r="M4" s="487"/>
      <c r="N4" s="154" t="s">
        <v>354</v>
      </c>
      <c r="O4" s="485">
        <f>'[1]🧮 Costos x Producto'!D3</f>
        <v>0</v>
      </c>
      <c r="P4" s="485"/>
      <c r="Q4" s="154" t="s">
        <v>355</v>
      </c>
      <c r="R4" s="485">
        <f>'[1]🏦 Crédito Fiscal'!C10</f>
        <v>6341.0972926315799</v>
      </c>
      <c r="S4" s="485"/>
      <c r="T4" s="153"/>
    </row>
    <row r="5" spans="1:20" ht="3.75" customHeight="1" x14ac:dyDescent="0.25">
      <c r="A5" s="142"/>
      <c r="B5" s="143"/>
      <c r="C5" s="144"/>
      <c r="D5" s="145"/>
      <c r="E5" s="146"/>
      <c r="F5" s="144"/>
      <c r="G5" s="147"/>
      <c r="H5" s="148"/>
      <c r="I5" s="149"/>
      <c r="J5" s="150"/>
      <c r="K5" s="150"/>
      <c r="L5" s="149"/>
      <c r="M5" s="148"/>
      <c r="N5" s="147"/>
      <c r="O5" s="144"/>
      <c r="P5" s="146"/>
      <c r="Q5" s="145"/>
      <c r="R5" s="144"/>
      <c r="S5" s="143"/>
      <c r="T5" s="142"/>
    </row>
    <row r="6" spans="1:20" ht="21.75" customHeight="1" x14ac:dyDescent="0.25">
      <c r="A6" s="142"/>
      <c r="B6" s="488" t="s">
        <v>356</v>
      </c>
      <c r="C6" s="488"/>
      <c r="D6" s="488"/>
      <c r="E6" s="488"/>
      <c r="F6" s="488"/>
      <c r="G6" s="488"/>
      <c r="H6" s="488"/>
      <c r="I6" s="488"/>
      <c r="J6" s="488"/>
      <c r="K6" s="488"/>
      <c r="L6" s="488"/>
      <c r="M6" s="488"/>
      <c r="N6" s="488"/>
      <c r="O6" s="488"/>
      <c r="P6" s="488"/>
      <c r="Q6" s="488"/>
      <c r="R6" s="488"/>
      <c r="S6" s="488"/>
      <c r="T6" s="142"/>
    </row>
    <row r="7" spans="1:20" ht="36" customHeight="1" x14ac:dyDescent="0.25">
      <c r="A7" s="142"/>
      <c r="B7" s="157" t="s">
        <v>133</v>
      </c>
      <c r="C7" s="157" t="s">
        <v>134</v>
      </c>
      <c r="D7" s="157" t="s">
        <v>357</v>
      </c>
      <c r="E7" s="157" t="s">
        <v>136</v>
      </c>
      <c r="F7" s="157" t="s">
        <v>358</v>
      </c>
      <c r="G7" s="157" t="s">
        <v>359</v>
      </c>
      <c r="H7" s="157" t="s">
        <v>360</v>
      </c>
      <c r="I7" s="157" t="s">
        <v>361</v>
      </c>
      <c r="J7" s="157" t="s">
        <v>362</v>
      </c>
      <c r="K7" s="142"/>
      <c r="L7" s="142"/>
      <c r="M7" s="142"/>
      <c r="N7" s="142"/>
      <c r="O7" s="142"/>
      <c r="P7" s="142"/>
      <c r="Q7" s="142"/>
      <c r="R7" s="142"/>
      <c r="S7" s="142"/>
      <c r="T7" s="142"/>
    </row>
    <row r="8" spans="1:20" ht="21.75" customHeight="1" thickBot="1" x14ac:dyDescent="0.3">
      <c r="A8" s="142"/>
      <c r="B8" s="161">
        <f>1</f>
        <v>1</v>
      </c>
      <c r="C8" s="162" t="s">
        <v>422</v>
      </c>
      <c r="D8" s="163" t="str">
        <f>'[1]🧾 Factura Comercial'!D4</f>
        <v>Unid.</v>
      </c>
      <c r="E8" s="164">
        <f>'[1]🧾 Factura Comercial'!E4</f>
        <v>480</v>
      </c>
      <c r="F8" s="165">
        <f>'[1]🧾 Factura Comercial'!F4</f>
        <v>1.21</v>
      </c>
      <c r="G8" s="165">
        <f>'[1]🧾 Factura Comercial'!G4</f>
        <v>580.79999999999995</v>
      </c>
      <c r="H8" s="166">
        <f>IF('[1]🧾 Tributos Aduana'!C5=0,0,'[1]🧾 Factura Comercial'!G4/'[1]🧾 Tributos Aduana'!C5)</f>
        <v>4.0861812778603263E-2</v>
      </c>
      <c r="I8" s="167">
        <f>'[1]🧾 Factura Comercial'!F4*'[1]📋 Datos Generales'!C19</f>
        <v>4.5011999999999999</v>
      </c>
      <c r="J8" s="167">
        <f>'[1]🧾 Factura Comercial'!G4*'[1]📋 Datos Generales'!C19</f>
        <v>2160.576</v>
      </c>
      <c r="K8" s="142"/>
      <c r="L8" s="142"/>
      <c r="M8" s="142"/>
      <c r="N8" s="142"/>
      <c r="O8" s="142"/>
      <c r="P8" s="142"/>
      <c r="Q8" s="142"/>
      <c r="R8" s="142"/>
      <c r="S8" s="142"/>
      <c r="T8" s="142"/>
    </row>
    <row r="9" spans="1:20" ht="21.75" customHeight="1" thickTop="1" thickBot="1" x14ac:dyDescent="0.3">
      <c r="A9" s="142"/>
      <c r="B9" s="168">
        <f>2</f>
        <v>2</v>
      </c>
      <c r="C9" s="169" t="str">
        <f>'[1]🧾 Factura Comercial'!C5</f>
        <v>Friction Cars OPP Bag 23cm</v>
      </c>
      <c r="D9" s="170" t="str">
        <f>'[1]🧾 Factura Comercial'!D5</f>
        <v>Unid.</v>
      </c>
      <c r="E9" s="171">
        <f>'[1]🧾 Factura Comercial'!E5</f>
        <v>2880</v>
      </c>
      <c r="F9" s="172">
        <f>'[1]🧾 Factura Comercial'!F5</f>
        <v>0.68</v>
      </c>
      <c r="G9" s="172">
        <f>'[1]🧾 Factura Comercial'!G5</f>
        <v>1958.4</v>
      </c>
      <c r="H9" s="173">
        <f>IF('[1]🧾 Tributos Aduana'!C5=0,0,'[1]🧾 Factura Comercial'!G5/'[1]🧾 Tributos Aduana'!C5)</f>
        <v>0.13778198027826558</v>
      </c>
      <c r="I9" s="174">
        <f>'[1]🧾 Factura Comercial'!F5*'[1]📋 Datos Generales'!C19</f>
        <v>2.5296000000000003</v>
      </c>
      <c r="J9" s="174">
        <f>'[1]🧾 Factura Comercial'!G5*'[1]📋 Datos Generales'!C19</f>
        <v>7285.2480000000005</v>
      </c>
      <c r="K9" s="142"/>
      <c r="L9" s="142" t="s">
        <v>143</v>
      </c>
      <c r="M9" s="142"/>
      <c r="N9" s="142"/>
      <c r="O9" s="142"/>
      <c r="P9" s="142"/>
      <c r="Q9" s="142"/>
      <c r="R9" s="142"/>
      <c r="S9" s="142"/>
      <c r="T9" s="142"/>
    </row>
    <row r="10" spans="1:20" ht="21.75" customHeight="1" thickTop="1" thickBot="1" x14ac:dyDescent="0.3">
      <c r="A10" s="142"/>
      <c r="B10" s="175">
        <f>3</f>
        <v>3</v>
      </c>
      <c r="C10" s="176" t="str">
        <f>'[1]🧾 Factura Comercial'!C6</f>
        <v>Free Wheel Motor OPP Bag 21cm</v>
      </c>
      <c r="D10" s="177" t="str">
        <f>'[1]🧾 Factura Comercial'!D6</f>
        <v>Unid.</v>
      </c>
      <c r="E10" s="178">
        <f>'[1]🧾 Factura Comercial'!E6</f>
        <v>2880</v>
      </c>
      <c r="F10" s="179">
        <f>'[1]🧾 Factura Comercial'!F6</f>
        <v>0.4</v>
      </c>
      <c r="G10" s="179">
        <f>'[1]🧾 Factura Comercial'!G6</f>
        <v>1152</v>
      </c>
      <c r="H10" s="180">
        <f>IF('[1]🧾 Tributos Aduana'!C5=0,0,'[1]🧾 Factura Comercial'!G6/'[1]🧾 Tributos Aduana'!C5)</f>
        <v>8.1048223693097388E-2</v>
      </c>
      <c r="I10" s="181">
        <f>'[1]🧾 Factura Comercial'!F6*'[1]📋 Datos Generales'!C19</f>
        <v>1.4880000000000002</v>
      </c>
      <c r="J10" s="181">
        <f>'[1]🧾 Factura Comercial'!G6*'[1]📋 Datos Generales'!C19</f>
        <v>4285.4400000000005</v>
      </c>
      <c r="K10" s="142"/>
      <c r="L10" s="142"/>
      <c r="M10" s="142"/>
      <c r="N10" s="142"/>
      <c r="O10" s="142"/>
      <c r="P10" s="142"/>
      <c r="Q10" s="142"/>
      <c r="R10" s="142"/>
      <c r="S10" s="142"/>
      <c r="T10" s="142"/>
    </row>
    <row r="11" spans="1:20" ht="21.75" customHeight="1" thickTop="1" thickBot="1" x14ac:dyDescent="0.3">
      <c r="A11" s="142"/>
      <c r="B11" s="168">
        <f>4</f>
        <v>4</v>
      </c>
      <c r="C11" s="169" t="str">
        <f>'[1]🧾 Factura Comercial'!C7</f>
        <v>Friction Cars OPP Bag 22cm</v>
      </c>
      <c r="D11" s="170" t="str">
        <f>'[1]🧾 Factura Comercial'!D7</f>
        <v>Unid.</v>
      </c>
      <c r="E11" s="171">
        <f>'[1]🧾 Factura Comercial'!E7</f>
        <v>10224</v>
      </c>
      <c r="F11" s="172">
        <f>'[1]🧾 Factura Comercial'!F7</f>
        <v>0.34</v>
      </c>
      <c r="G11" s="172">
        <f>'[1]🧾 Factura Comercial'!G7</f>
        <v>3476.16</v>
      </c>
      <c r="H11" s="173">
        <f>IF('[1]🧾 Tributos Aduana'!C5=0,0,'[1]🧾 Factura Comercial'!G7/'[1]🧾 Tributos Aduana'!C5)</f>
        <v>0.24456301499392136</v>
      </c>
      <c r="I11" s="174">
        <f>'[1]🧾 Factura Comercial'!F7*'[1]📋 Datos Generales'!C19</f>
        <v>1.2648000000000001</v>
      </c>
      <c r="J11" s="174">
        <f>'[1]🧾 Factura Comercial'!G7*'[1]📋 Datos Generales'!C19</f>
        <v>12931.315200000001</v>
      </c>
      <c r="K11" s="142"/>
      <c r="L11" s="142"/>
      <c r="M11" s="142"/>
      <c r="N11" s="142"/>
      <c r="O11" s="142"/>
      <c r="P11" s="142"/>
      <c r="Q11" s="142"/>
      <c r="R11" s="142"/>
      <c r="S11" s="142"/>
      <c r="T11" s="142"/>
    </row>
    <row r="12" spans="1:20" ht="21.75" customHeight="1" thickTop="1" thickBot="1" x14ac:dyDescent="0.3">
      <c r="A12" s="142"/>
      <c r="B12" s="175">
        <f>5</f>
        <v>5</v>
      </c>
      <c r="C12" s="176" t="str">
        <f>'[1]🧾 Factura Comercial'!C8</f>
        <v>Pull Line Friction Car OPP Bag</v>
      </c>
      <c r="D12" s="177" t="str">
        <f>'[1]🧾 Factura Comercial'!D8</f>
        <v>Unid.</v>
      </c>
      <c r="E12" s="178">
        <f>'[1]🧾 Factura Comercial'!E8</f>
        <v>8640</v>
      </c>
      <c r="F12" s="179">
        <f>'[1]🧾 Factura Comercial'!F8</f>
        <v>0.26</v>
      </c>
      <c r="G12" s="179">
        <f>'[1]🧾 Factura Comercial'!G8</f>
        <v>2246.4</v>
      </c>
      <c r="H12" s="180">
        <f>IF('[1]🧾 Tributos Aduana'!C5=0,0,'[1]🧾 Factura Comercial'!G8/'[1]🧾 Tributos Aduana'!C5)</f>
        <v>0.15804403620153992</v>
      </c>
      <c r="I12" s="181">
        <f>'[1]🧾 Factura Comercial'!F8*'[1]📋 Datos Generales'!C19</f>
        <v>0.96720000000000006</v>
      </c>
      <c r="J12" s="181">
        <f>'[1]🧾 Factura Comercial'!G8*'[1]📋 Datos Generales'!C19</f>
        <v>8356.6080000000002</v>
      </c>
      <c r="K12" s="142"/>
      <c r="L12" s="142"/>
      <c r="M12" s="142"/>
      <c r="N12" s="142"/>
      <c r="O12" s="142"/>
      <c r="P12" s="142"/>
      <c r="Q12" s="142"/>
      <c r="R12" s="142"/>
      <c r="S12" s="142"/>
      <c r="T12" s="142"/>
    </row>
    <row r="13" spans="1:20" ht="21.75" customHeight="1" thickTop="1" thickBot="1" x14ac:dyDescent="0.3">
      <c r="A13" s="142"/>
      <c r="B13" s="168">
        <f>6</f>
        <v>6</v>
      </c>
      <c r="C13" s="169" t="str">
        <f>'[1]🧾 Factura Comercial'!C9</f>
        <v>Friction Car OPP Bag</v>
      </c>
      <c r="D13" s="170" t="str">
        <f>'[1]🧾 Factura Comercial'!D9</f>
        <v>Unid.</v>
      </c>
      <c r="E13" s="171">
        <f>'[1]🧾 Factura Comercial'!E9</f>
        <v>2160</v>
      </c>
      <c r="F13" s="172">
        <f>'[1]🧾 Factura Comercial'!F9</f>
        <v>0.28999999999999998</v>
      </c>
      <c r="G13" s="172">
        <f>'[1]🧾 Factura Comercial'!G9</f>
        <v>626.4</v>
      </c>
      <c r="H13" s="173">
        <f>IF('[1]🧾 Tributos Aduana'!C5=0,0,'[1]🧾 Factura Comercial'!G9/'[1]🧾 Tributos Aduana'!C5)</f>
        <v>4.4069971633121707E-2</v>
      </c>
      <c r="I13" s="174">
        <f>'[1]🧾 Factura Comercial'!F9*'[1]📋 Datos Generales'!C19</f>
        <v>1.0788</v>
      </c>
      <c r="J13" s="174">
        <f>'[1]🧾 Factura Comercial'!G9*'[1]📋 Datos Generales'!C19</f>
        <v>2330.2080000000001</v>
      </c>
      <c r="K13" s="142"/>
      <c r="L13" s="142"/>
      <c r="M13" s="142"/>
      <c r="N13" s="142"/>
      <c r="O13" s="142"/>
      <c r="P13" s="142"/>
      <c r="Q13" s="142"/>
      <c r="R13" s="142"/>
      <c r="S13" s="142"/>
      <c r="T13" s="142"/>
    </row>
    <row r="14" spans="1:20" ht="21.75" customHeight="1" thickTop="1" thickBot="1" x14ac:dyDescent="0.3">
      <c r="A14" s="142"/>
      <c r="B14" s="175">
        <f>7</f>
        <v>7</v>
      </c>
      <c r="C14" s="176" t="str">
        <f>'[1]🧾 Factura Comercial'!C10</f>
        <v>Free Wheel Ride on Digger Handle</v>
      </c>
      <c r="D14" s="177" t="str">
        <f>'[1]🧾 Factura Comercial'!D10</f>
        <v>Unid.</v>
      </c>
      <c r="E14" s="178">
        <f>'[1]🧾 Factura Comercial'!E10</f>
        <v>240</v>
      </c>
      <c r="F14" s="179">
        <f>'[1]🧾 Factura Comercial'!F10</f>
        <v>5.71</v>
      </c>
      <c r="G14" s="179">
        <f>'[1]🧾 Factura Comercial'!G10</f>
        <v>1370.4</v>
      </c>
      <c r="H14" s="180">
        <f>IF('[1]🧾 Tributos Aduana'!C5=0,0,'[1]🧾 Factura Comercial'!G10/'[1]🧾 Tributos Aduana'!C5)</f>
        <v>9.6413616101580446E-2</v>
      </c>
      <c r="I14" s="181">
        <f>'[1]🧾 Factura Comercial'!F10*'[1]📋 Datos Generales'!C19</f>
        <v>21.241200000000003</v>
      </c>
      <c r="J14" s="181">
        <f>'[1]🧾 Factura Comercial'!G10*'[1]📋 Datos Generales'!C19</f>
        <v>5097.8880000000008</v>
      </c>
      <c r="K14" s="142"/>
      <c r="L14" s="142"/>
      <c r="M14" s="142"/>
      <c r="N14" s="142"/>
      <c r="O14" s="142"/>
      <c r="P14" s="142"/>
      <c r="Q14" s="142"/>
      <c r="R14" s="142"/>
      <c r="S14" s="142"/>
      <c r="T14" s="142"/>
    </row>
    <row r="15" spans="1:20" ht="21.75" customHeight="1" thickTop="1" thickBot="1" x14ac:dyDescent="0.3">
      <c r="A15" s="142"/>
      <c r="B15" s="168">
        <f>8</f>
        <v>8</v>
      </c>
      <c r="C15" s="169" t="str">
        <f>'[1]🧾 Factura Comercial'!C11</f>
        <v>Friction Car with Music and Light</v>
      </c>
      <c r="D15" s="170" t="str">
        <f>'[1]🧾 Factura Comercial'!D11</f>
        <v>Unid.</v>
      </c>
      <c r="E15" s="171">
        <f>'[1]🧾 Factura Comercial'!E11</f>
        <v>1920</v>
      </c>
      <c r="F15" s="172">
        <f>'[1]🧾 Factura Comercial'!F11</f>
        <v>0.76</v>
      </c>
      <c r="G15" s="172">
        <f>'[1]🧾 Factura Comercial'!G11</f>
        <v>1459.2</v>
      </c>
      <c r="H15" s="173">
        <f>IF('[1]🧾 Tributos Aduana'!C5=0,0,'[1]🧾 Factura Comercial'!G11/'[1]🧾 Tributos Aduana'!C5)</f>
        <v>0.10266108334459004</v>
      </c>
      <c r="I15" s="174">
        <f>'[1]🧾 Factura Comercial'!F11*'[1]📋 Datos Generales'!C19</f>
        <v>2.8272000000000004</v>
      </c>
      <c r="J15" s="174">
        <f>'[1]🧾 Factura Comercial'!G11*'[1]📋 Datos Generales'!C19</f>
        <v>5428.2240000000002</v>
      </c>
      <c r="K15" s="142"/>
      <c r="L15" s="142"/>
      <c r="M15" s="142"/>
      <c r="N15" s="142"/>
      <c r="O15" s="142"/>
      <c r="P15" s="142"/>
      <c r="Q15" s="142"/>
      <c r="R15" s="142"/>
      <c r="S15" s="142"/>
      <c r="T15" s="142"/>
    </row>
    <row r="16" spans="1:20" ht="21.75" customHeight="1" thickTop="1" thickBot="1" x14ac:dyDescent="0.3">
      <c r="A16" s="142"/>
      <c r="B16" s="175">
        <f>9</f>
        <v>9</v>
      </c>
      <c r="C16" s="176" t="str">
        <f>'[1]🧾 Factura Comercial'!C12</f>
        <v>Pull Line Function Car OPP Bag</v>
      </c>
      <c r="D16" s="177" t="str">
        <f>'[1]🧾 Factura Comercial'!D12</f>
        <v>Unid.</v>
      </c>
      <c r="E16" s="178">
        <f>'[1]🧾 Factura Comercial'!E12</f>
        <v>4800</v>
      </c>
      <c r="F16" s="179">
        <f>'[1]🧾 Factura Comercial'!F12</f>
        <v>0.28000000000000003</v>
      </c>
      <c r="G16" s="179">
        <f>'[1]🧾 Factura Comercial'!G12</f>
        <v>1344</v>
      </c>
      <c r="H16" s="180">
        <f>IF('[1]🧾 Tributos Aduana'!C5=0,0,'[1]🧾 Factura Comercial'!G12/'[1]🧾 Tributos Aduana'!C5)</f>
        <v>9.455626097528029E-2</v>
      </c>
      <c r="I16" s="181">
        <f>'[1]🧾 Factura Comercial'!F12*'[1]📋 Datos Generales'!C19</f>
        <v>1.0416000000000001</v>
      </c>
      <c r="J16" s="181">
        <f>'[1]🧾 Factura Comercial'!G12*'[1]📋 Datos Generales'!C19</f>
        <v>4999.68</v>
      </c>
      <c r="K16" s="142"/>
      <c r="L16" s="142"/>
      <c r="M16" s="142"/>
      <c r="N16" s="142"/>
      <c r="O16" s="142"/>
      <c r="P16" s="142"/>
      <c r="Q16" s="142"/>
      <c r="R16" s="142"/>
      <c r="S16" s="142"/>
      <c r="T16" s="142"/>
    </row>
    <row r="17" spans="1:20" s="159" customFormat="1" ht="21.75" customHeight="1" thickTop="1" thickBot="1" x14ac:dyDescent="0.3">
      <c r="A17" s="158"/>
      <c r="B17" s="182"/>
      <c r="C17" s="483" t="s">
        <v>363</v>
      </c>
      <c r="D17" s="483"/>
      <c r="E17" s="183">
        <f>SUM('[1]🧾 Factura Comercial'!E4:E12)</f>
        <v>34224</v>
      </c>
      <c r="F17" s="184"/>
      <c r="G17" s="185">
        <f>'[1]🧾 Tributos Aduana'!C5</f>
        <v>14213.76</v>
      </c>
      <c r="H17" s="186">
        <f>1</f>
        <v>1</v>
      </c>
      <c r="I17" s="184"/>
      <c r="J17" s="187">
        <f>'[1]🧾 Tributos Aduana'!C5*'[1]📋 Datos Generales'!C19</f>
        <v>52875.1872</v>
      </c>
      <c r="K17" s="158"/>
      <c r="L17" s="158"/>
      <c r="M17" s="158"/>
      <c r="N17" s="158"/>
      <c r="O17" s="158"/>
      <c r="P17" s="158"/>
      <c r="Q17" s="158"/>
      <c r="R17" s="158"/>
      <c r="S17" s="158"/>
      <c r="T17" s="158"/>
    </row>
    <row r="18" spans="1:20" ht="7.5" customHeight="1" thickTop="1" x14ac:dyDescent="0.25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</row>
    <row r="19" spans="1:20" ht="21.75" customHeight="1" x14ac:dyDescent="0.25">
      <c r="A19" s="142"/>
      <c r="B19" s="489" t="s">
        <v>364</v>
      </c>
      <c r="C19" s="489"/>
      <c r="D19" s="489"/>
      <c r="E19" s="489"/>
      <c r="F19" s="489"/>
      <c r="G19" s="489"/>
      <c r="H19" s="489"/>
      <c r="I19" s="489"/>
      <c r="J19" s="489"/>
      <c r="K19" s="489"/>
      <c r="L19" s="489"/>
      <c r="M19" s="489"/>
      <c r="N19" s="489"/>
      <c r="O19" s="489"/>
      <c r="P19" s="489"/>
      <c r="Q19" s="489"/>
      <c r="R19" s="489"/>
      <c r="S19" s="489"/>
      <c r="T19" s="142"/>
    </row>
    <row r="20" spans="1:20" ht="39.75" customHeight="1" thickBot="1" x14ac:dyDescent="0.3">
      <c r="A20" s="142"/>
      <c r="B20" s="160" t="s">
        <v>133</v>
      </c>
      <c r="C20" s="160" t="s">
        <v>251</v>
      </c>
      <c r="D20" s="160" t="s">
        <v>139</v>
      </c>
      <c r="E20" s="160" t="s">
        <v>365</v>
      </c>
      <c r="F20" s="160" t="s">
        <v>366</v>
      </c>
      <c r="G20" s="160" t="s">
        <v>367</v>
      </c>
      <c r="H20" s="160" t="s">
        <v>368</v>
      </c>
      <c r="I20" s="160" t="s">
        <v>369</v>
      </c>
      <c r="J20" s="160" t="s">
        <v>370</v>
      </c>
      <c r="K20" s="160" t="s">
        <v>371</v>
      </c>
      <c r="L20" s="160" t="s">
        <v>372</v>
      </c>
      <c r="M20" s="160" t="s">
        <v>373</v>
      </c>
      <c r="N20" s="160" t="s">
        <v>374</v>
      </c>
      <c r="O20" s="160" t="s">
        <v>375</v>
      </c>
      <c r="P20" s="142"/>
      <c r="Q20" s="142"/>
      <c r="R20" s="142"/>
      <c r="S20" s="142"/>
      <c r="T20" s="142"/>
    </row>
    <row r="21" spans="1:20" ht="21.75" customHeight="1" thickTop="1" thickBot="1" x14ac:dyDescent="0.3">
      <c r="A21" s="142"/>
      <c r="B21" s="189">
        <f>1</f>
        <v>1</v>
      </c>
      <c r="C21" s="190" t="str">
        <f>'[1]🧾 Factura Comercial'!C4</f>
        <v>Friction Car Platform Cover</v>
      </c>
      <c r="D21" s="191">
        <f>'[1]🧮 Costos x Producto'!F6</f>
        <v>580.79999999999995</v>
      </c>
      <c r="E21" s="192">
        <f>IF('[1]🧾 Tributos Aduana'!C5=0,0,'[1]🧾 Tributos Aduana'!C16*('[1]🧾 Factura Comercial'!F4/'[1]🧾 Tributos Aduana'!C5))</f>
        <v>7.4998452204061414E-2</v>
      </c>
      <c r="F21" s="192">
        <f>IF('[1]🧾 Tributos Aduana'!C5=0,0,'[1]🧾 Tributos Aduana'!C17*('[1]🧾 Factura Comercial'!F4/'[1]🧾 Tributos Aduana'!C5))</f>
        <v>2.6475049529470034E-2</v>
      </c>
      <c r="G21" s="192">
        <f>IF('[1]🧾 Tributos Aduana'!C5=0,0,'[1]🧾 Tributos Aduana'!C18*('[1]🧾 Factura Comercial'!F4/'[1]🧾 Tributos Aduana'!C5))</f>
        <v>0.21205578256562654</v>
      </c>
      <c r="H21" s="192">
        <f>IF('[1]🧾 Tributos Aduana'!C5=0,0,'[1]🧾 Tributos Aduana'!C22*('[1]🧾 Factura Comercial'!F4/'[1]🧾 Tributos Aduana'!C5))</f>
        <v>5.4735249504705298E-2</v>
      </c>
      <c r="I21" s="192">
        <f t="shared" ref="I21:I29" si="0">D21+E21+F21+G21</f>
        <v>581.11352928429915</v>
      </c>
      <c r="J21" s="193">
        <f>D21*'[1]📋 Datos Generales'!C19</f>
        <v>2160.576</v>
      </c>
      <c r="K21" s="193">
        <f>E21*'[1]📋 Datos Generales'!C19</f>
        <v>0.27899424219910846</v>
      </c>
      <c r="L21" s="193">
        <f>F21*'[1]📋 Datos Generales'!C19</f>
        <v>9.8487184249628532E-2</v>
      </c>
      <c r="M21" s="193">
        <f>G21*'[1]📋 Datos Generales'!C19</f>
        <v>0.78884751114413076</v>
      </c>
      <c r="N21" s="194">
        <f t="shared" ref="N21:N29" si="1">D21+E21+F21+G21</f>
        <v>581.11352928429915</v>
      </c>
      <c r="O21" s="193">
        <f>N21*'[1]📋 Datos Generales'!C19</f>
        <v>2161.7423289375929</v>
      </c>
      <c r="P21" s="142"/>
      <c r="Q21" s="142"/>
      <c r="R21" s="142"/>
      <c r="S21" s="142"/>
      <c r="T21" s="142"/>
    </row>
    <row r="22" spans="1:20" ht="21.75" customHeight="1" thickTop="1" thickBot="1" x14ac:dyDescent="0.3">
      <c r="A22" s="142"/>
      <c r="B22" s="195">
        <f>2</f>
        <v>2</v>
      </c>
      <c r="C22" s="196" t="str">
        <f>'[1]🧾 Factura Comercial'!C5</f>
        <v>Friction Cars OPP Bag 23cm</v>
      </c>
      <c r="D22" s="197">
        <f>'[1]🧮 Costos x Producto'!F7</f>
        <v>1958.4</v>
      </c>
      <c r="E22" s="198">
        <f>IF('[1]🧾 Tributos Aduana'!C5=0,0,'[1]🧾 Tributos Aduana'!C16*('[1]🧾 Factura Comercial'!F5/'[1]🧾 Tributos Aduana'!C5))</f>
        <v>4.214789049484443E-2</v>
      </c>
      <c r="F22" s="198">
        <f>IF('[1]🧾 Tributos Aduana'!C5=0,0,'[1]🧾 Tributos Aduana'!C17*('[1]🧾 Factura Comercial'!F5/'[1]🧾 Tributos Aduana'!C5))</f>
        <v>1.4878540231437705E-2</v>
      </c>
      <c r="G22" s="198">
        <f>IF('[1]🧾 Tributos Aduana'!C5=0,0,'[1]🧾 Tributos Aduana'!C18*('[1]🧾 Factura Comercial'!F5/'[1]🧾 Tributos Aduana'!C5))</f>
        <v>0.11917184474762484</v>
      </c>
      <c r="H22" s="198">
        <f>IF('[1]🧾 Tributos Aduana'!C5=0,0,'[1]🧾 Tributos Aduana'!C22*('[1]🧾 Factura Comercial'!F5/'[1]🧾 Tributos Aduana'!C5))</f>
        <v>3.0760305506776532E-2</v>
      </c>
      <c r="I22" s="198">
        <f t="shared" si="0"/>
        <v>1958.5761982754739</v>
      </c>
      <c r="J22" s="199">
        <f>D22*'[1]📋 Datos Generales'!C19</f>
        <v>7285.2480000000005</v>
      </c>
      <c r="K22" s="199">
        <f>E22*'[1]📋 Datos Generales'!C19</f>
        <v>0.15679015264082127</v>
      </c>
      <c r="L22" s="199">
        <f>F22*'[1]📋 Datos Generales'!C19</f>
        <v>5.5348169660948264E-2</v>
      </c>
      <c r="M22" s="199">
        <f>G22*'[1]📋 Datos Generales'!C19</f>
        <v>0.44331926246116443</v>
      </c>
      <c r="N22" s="200">
        <f t="shared" si="1"/>
        <v>1958.5761982754739</v>
      </c>
      <c r="O22" s="199">
        <f>N22*'[1]📋 Datos Generales'!C19</f>
        <v>7285.9034575847636</v>
      </c>
      <c r="P22" s="142"/>
      <c r="Q22" s="142"/>
      <c r="R22" s="142"/>
      <c r="S22" s="142"/>
      <c r="T22" s="142"/>
    </row>
    <row r="23" spans="1:20" ht="21.75" customHeight="1" thickTop="1" thickBot="1" x14ac:dyDescent="0.3">
      <c r="A23" s="142"/>
      <c r="B23" s="189">
        <f>3</f>
        <v>3</v>
      </c>
      <c r="C23" s="190" t="str">
        <f>'[1]🧾 Factura Comercial'!C6</f>
        <v>Free Wheel Motor OPP Bag 21cm</v>
      </c>
      <c r="D23" s="191">
        <f>'[1]🧮 Costos x Producto'!F8</f>
        <v>1152</v>
      </c>
      <c r="E23" s="192">
        <f>IF('[1]🧾 Tributos Aduana'!C5=0,0,'[1]🧾 Tributos Aduana'!C16*('[1]🧾 Factura Comercial'!F6/'[1]🧾 Tributos Aduana'!C5))</f>
        <v>2.4792876761673199E-2</v>
      </c>
      <c r="F23" s="192">
        <f>IF('[1]🧾 Tributos Aduana'!C5=0,0,'[1]🧾 Tributos Aduana'!C17*('[1]🧾 Factura Comercial'!F6/'[1]🧾 Tributos Aduana'!C5))</f>
        <v>8.7520824890810044E-3</v>
      </c>
      <c r="G23" s="192">
        <f>IF('[1]🧾 Tributos Aduana'!C5=0,0,'[1]🧾 Tributos Aduana'!C18*('[1]🧾 Factura Comercial'!F6/'[1]🧾 Tributos Aduana'!C5))</f>
        <v>7.0101085145661671E-2</v>
      </c>
      <c r="H23" s="192">
        <f>IF('[1]🧾 Tributos Aduana'!C5=0,0,'[1]🧾 Tributos Aduana'!C22*('[1]🧾 Factura Comercial'!F6/'[1]🧾 Tributos Aduana'!C5))</f>
        <v>1.8094297356927375E-2</v>
      </c>
      <c r="I23" s="192">
        <f t="shared" si="0"/>
        <v>1152.1036460443963</v>
      </c>
      <c r="J23" s="193">
        <f>D23*'[1]📋 Datos Generales'!C19</f>
        <v>4285.4400000000005</v>
      </c>
      <c r="K23" s="193">
        <f>E23*'[1]📋 Datos Generales'!C19</f>
        <v>9.2229501553424298E-2</v>
      </c>
      <c r="L23" s="193">
        <f>F23*'[1]📋 Datos Generales'!C19</f>
        <v>3.2557746859381335E-2</v>
      </c>
      <c r="M23" s="193">
        <f>G23*'[1]📋 Datos Generales'!C19</f>
        <v>0.26077603674186145</v>
      </c>
      <c r="N23" s="194">
        <f t="shared" si="1"/>
        <v>1152.1036460443963</v>
      </c>
      <c r="O23" s="193">
        <f>N23*'[1]📋 Datos Generales'!C19</f>
        <v>4285.8255632851542</v>
      </c>
      <c r="P23" s="142"/>
      <c r="Q23" s="142"/>
      <c r="R23" s="142"/>
      <c r="S23" s="142"/>
      <c r="T23" s="142"/>
    </row>
    <row r="24" spans="1:20" ht="21.75" customHeight="1" thickTop="1" thickBot="1" x14ac:dyDescent="0.3">
      <c r="A24" s="142"/>
      <c r="B24" s="195">
        <f>4</f>
        <v>4</v>
      </c>
      <c r="C24" s="196" t="str">
        <f>'[1]🧾 Factura Comercial'!C7</f>
        <v>Friction Cars OPP Bag 22cm</v>
      </c>
      <c r="D24" s="197">
        <f>'[1]🧮 Costos x Producto'!F9</f>
        <v>3476.16</v>
      </c>
      <c r="E24" s="198">
        <f>IF('[1]🧾 Tributos Aduana'!C5=0,0,'[1]🧾 Tributos Aduana'!C16*('[1]🧾 Factura Comercial'!F7/'[1]🧾 Tributos Aduana'!C5))</f>
        <v>2.1073945247422215E-2</v>
      </c>
      <c r="F24" s="198">
        <f>IF('[1]🧾 Tributos Aduana'!C5=0,0,'[1]🧾 Tributos Aduana'!C17*('[1]🧾 Factura Comercial'!F7/'[1]🧾 Tributos Aduana'!C5))</f>
        <v>7.4392701157188525E-3</v>
      </c>
      <c r="G24" s="198">
        <f>IF('[1]🧾 Tributos Aduana'!C5=0,0,'[1]🧾 Tributos Aduana'!C18*('[1]🧾 Factura Comercial'!F7/'[1]🧾 Tributos Aduana'!C5))</f>
        <v>5.9585922373812418E-2</v>
      </c>
      <c r="H24" s="198">
        <f>IF('[1]🧾 Tributos Aduana'!C5=0,0,'[1]🧾 Tributos Aduana'!C22*('[1]🧾 Factura Comercial'!F7/'[1]🧾 Tributos Aduana'!C5))</f>
        <v>1.5380152753388266E-2</v>
      </c>
      <c r="I24" s="198">
        <f t="shared" si="0"/>
        <v>3476.248099137737</v>
      </c>
      <c r="J24" s="199">
        <f>D24*'[1]📋 Datos Generales'!C19</f>
        <v>12931.315200000001</v>
      </c>
      <c r="K24" s="199">
        <f>E24*'[1]📋 Datos Generales'!C19</f>
        <v>7.8395076320410637E-2</v>
      </c>
      <c r="L24" s="199">
        <f>F24*'[1]📋 Datos Generales'!C19</f>
        <v>2.7674084830474132E-2</v>
      </c>
      <c r="M24" s="199">
        <f>G24*'[1]📋 Datos Generales'!C19</f>
        <v>0.22165963123058222</v>
      </c>
      <c r="N24" s="200">
        <f t="shared" si="1"/>
        <v>3476.248099137737</v>
      </c>
      <c r="O24" s="199">
        <f>N24*'[1]📋 Datos Generales'!C19</f>
        <v>12931.642928792382</v>
      </c>
      <c r="P24" s="142"/>
      <c r="Q24" s="142"/>
      <c r="R24" s="142"/>
      <c r="S24" s="142"/>
      <c r="T24" s="142"/>
    </row>
    <row r="25" spans="1:20" ht="21.75" customHeight="1" thickTop="1" thickBot="1" x14ac:dyDescent="0.3">
      <c r="A25" s="142"/>
      <c r="B25" s="189">
        <f>5</f>
        <v>5</v>
      </c>
      <c r="C25" s="190" t="str">
        <f>'[1]🧾 Factura Comercial'!C8</f>
        <v>Pull Line Friction Car OPP Bag</v>
      </c>
      <c r="D25" s="191">
        <f>'[1]🧮 Costos x Producto'!F10</f>
        <v>2246.4</v>
      </c>
      <c r="E25" s="192">
        <f>IF('[1]🧾 Tributos Aduana'!C5=0,0,'[1]🧾 Tributos Aduana'!C16*('[1]🧾 Factura Comercial'!F8/'[1]🧾 Tributos Aduana'!C5))</f>
        <v>1.6115369895087578E-2</v>
      </c>
      <c r="F25" s="192">
        <f>IF('[1]🧾 Tributos Aduana'!C5=0,0,'[1]🧾 Tributos Aduana'!C17*('[1]🧾 Factura Comercial'!F8/'[1]🧾 Tributos Aduana'!C5))</f>
        <v>5.6888536179026524E-3</v>
      </c>
      <c r="G25" s="192">
        <f>IF('[1]🧾 Tributos Aduana'!C5=0,0,'[1]🧾 Tributos Aduana'!C18*('[1]🧾 Factura Comercial'!F8/'[1]🧾 Tributos Aduana'!C5))</f>
        <v>4.5565705344680088E-2</v>
      </c>
      <c r="H25" s="192">
        <f>IF('[1]🧾 Tributos Aduana'!C5=0,0,'[1]🧾 Tributos Aduana'!C22*('[1]🧾 Factura Comercial'!F8/'[1]🧾 Tributos Aduana'!C5))</f>
        <v>1.1761293282002793E-2</v>
      </c>
      <c r="I25" s="192">
        <f t="shared" si="0"/>
        <v>2246.4673699288578</v>
      </c>
      <c r="J25" s="193">
        <f>D25*'[1]📋 Datos Generales'!C19</f>
        <v>8356.6080000000002</v>
      </c>
      <c r="K25" s="193">
        <f>E25*'[1]📋 Datos Generales'!C19</f>
        <v>5.9949176009725789E-2</v>
      </c>
      <c r="L25" s="193">
        <f>F25*'[1]📋 Datos Generales'!C19</f>
        <v>2.1162535458597868E-2</v>
      </c>
      <c r="M25" s="193">
        <f>G25*'[1]📋 Datos Generales'!C19</f>
        <v>0.16950442388220993</v>
      </c>
      <c r="N25" s="194">
        <f t="shared" si="1"/>
        <v>2246.4673699288578</v>
      </c>
      <c r="O25" s="193">
        <f>N25*'[1]📋 Datos Generales'!C19</f>
        <v>8356.8586161353523</v>
      </c>
      <c r="P25" s="142"/>
      <c r="Q25" s="142"/>
      <c r="R25" s="142"/>
      <c r="S25" s="142"/>
      <c r="T25" s="142"/>
    </row>
    <row r="26" spans="1:20" ht="21.75" customHeight="1" thickTop="1" thickBot="1" x14ac:dyDescent="0.3">
      <c r="A26" s="142"/>
      <c r="B26" s="195">
        <f>6</f>
        <v>6</v>
      </c>
      <c r="C26" s="196" t="str">
        <f>'[1]🧾 Factura Comercial'!C9</f>
        <v>Friction Car OPP Bag</v>
      </c>
      <c r="D26" s="197">
        <f>'[1]🧮 Costos x Producto'!F11</f>
        <v>626.4</v>
      </c>
      <c r="E26" s="198">
        <f>IF('[1]🧾 Tributos Aduana'!C5=0,0,'[1]🧾 Tributos Aduana'!C16*('[1]🧾 Factura Comercial'!F9/'[1]🧾 Tributos Aduana'!C5))</f>
        <v>1.7974835652213066E-2</v>
      </c>
      <c r="F26" s="198">
        <f>IF('[1]🧾 Tributos Aduana'!C5=0,0,'[1]🧾 Tributos Aduana'!C17*('[1]🧾 Factura Comercial'!F9/'[1]🧾 Tributos Aduana'!C5))</f>
        <v>6.3452598045837276E-3</v>
      </c>
      <c r="G26" s="198">
        <f>IF('[1]🧾 Tributos Aduana'!C5=0,0,'[1]🧾 Tributos Aduana'!C18*('[1]🧾 Factura Comercial'!F9/'[1]🧾 Tributos Aduana'!C5))</f>
        <v>5.0823286730604711E-2</v>
      </c>
      <c r="H26" s="198">
        <f>IF('[1]🧾 Tributos Aduana'!C5=0,0,'[1]🧾 Tributos Aduana'!C22*('[1]🧾 Factura Comercial'!F9/'[1]🧾 Tributos Aduana'!C5))</f>
        <v>1.3118365583772345E-2</v>
      </c>
      <c r="I26" s="198">
        <f t="shared" si="0"/>
        <v>626.47514338218741</v>
      </c>
      <c r="J26" s="199">
        <f>D26*'[1]📋 Datos Generales'!C19</f>
        <v>2330.2080000000001</v>
      </c>
      <c r="K26" s="199">
        <f>E26*'[1]📋 Datos Generales'!C19</f>
        <v>6.6866388626232606E-2</v>
      </c>
      <c r="L26" s="199">
        <f>F26*'[1]📋 Datos Generales'!C19</f>
        <v>2.3604366473051468E-2</v>
      </c>
      <c r="M26" s="199">
        <f>G26*'[1]📋 Datos Generales'!C19</f>
        <v>0.18906262663784953</v>
      </c>
      <c r="N26" s="200">
        <f t="shared" si="1"/>
        <v>626.47514338218741</v>
      </c>
      <c r="O26" s="199">
        <f>N26*'[1]📋 Datos Generales'!C19</f>
        <v>2330.4875333817372</v>
      </c>
      <c r="P26" s="142"/>
      <c r="Q26" s="142"/>
      <c r="R26" s="142"/>
      <c r="S26" s="142"/>
      <c r="T26" s="142"/>
    </row>
    <row r="27" spans="1:20" ht="21.75" customHeight="1" thickTop="1" thickBot="1" x14ac:dyDescent="0.3">
      <c r="A27" s="142"/>
      <c r="B27" s="189">
        <f>7</f>
        <v>7</v>
      </c>
      <c r="C27" s="190" t="str">
        <f>'[1]🧾 Factura Comercial'!C10</f>
        <v>Free Wheel Ride on Digger Handle</v>
      </c>
      <c r="D27" s="191">
        <f>'[1]🧮 Costos x Producto'!F12</f>
        <v>1370.4</v>
      </c>
      <c r="E27" s="192">
        <f>IF('[1]🧾 Tributos Aduana'!C5=0,0,'[1]🧾 Tributos Aduana'!C16*('[1]🧾 Factura Comercial'!F10/'[1]🧾 Tributos Aduana'!C5))</f>
        <v>0.35391831577288485</v>
      </c>
      <c r="F27" s="192">
        <f>IF('[1]🧾 Tributos Aduana'!C5=0,0,'[1]🧾 Tributos Aduana'!C17*('[1]🧾 Factura Comercial'!F10/'[1]🧾 Tributos Aduana'!C5))</f>
        <v>0.12493597753163133</v>
      </c>
      <c r="G27" s="192">
        <f>IF('[1]🧾 Tributos Aduana'!C5=0,0,'[1]🧾 Tributos Aduana'!C18*('[1]🧾 Factura Comercial'!F10/'[1]🧾 Tributos Aduana'!C5))</f>
        <v>1.0006929904543203</v>
      </c>
      <c r="H27" s="192">
        <f>IF('[1]🧾 Tributos Aduana'!C5=0,0,'[1]🧾 Tributos Aduana'!C22*('[1]🧾 Factura Comercial'!F10/'[1]🧾 Tributos Aduana'!C5))</f>
        <v>0.25829609477013826</v>
      </c>
      <c r="I27" s="192">
        <f t="shared" si="0"/>
        <v>1371.8795472837589</v>
      </c>
      <c r="J27" s="193">
        <f>D27*'[1]📋 Datos Generales'!C19</f>
        <v>5097.8880000000008</v>
      </c>
      <c r="K27" s="193">
        <f>E27*'[1]📋 Datos Generales'!C19</f>
        <v>1.3165761346751317</v>
      </c>
      <c r="L27" s="193">
        <f>F27*'[1]📋 Datos Generales'!C19</f>
        <v>0.46476183641766855</v>
      </c>
      <c r="M27" s="193">
        <f>G27*'[1]📋 Datos Generales'!C19</f>
        <v>3.7225779244900714</v>
      </c>
      <c r="N27" s="194">
        <f t="shared" si="1"/>
        <v>1371.8795472837589</v>
      </c>
      <c r="O27" s="193">
        <f>N27*'[1]📋 Datos Generales'!C19</f>
        <v>5103.3919158955832</v>
      </c>
      <c r="P27" s="142"/>
      <c r="Q27" s="142"/>
      <c r="R27" s="142"/>
      <c r="S27" s="142"/>
      <c r="T27" s="142"/>
    </row>
    <row r="28" spans="1:20" ht="21.75" customHeight="1" thickTop="1" thickBot="1" x14ac:dyDescent="0.3">
      <c r="A28" s="142"/>
      <c r="B28" s="195">
        <f>8</f>
        <v>8</v>
      </c>
      <c r="C28" s="196" t="str">
        <f>'[1]🧾 Factura Comercial'!C11</f>
        <v>Friction Car with Music and Light</v>
      </c>
      <c r="D28" s="197">
        <f>'[1]🧮 Costos x Producto'!F13</f>
        <v>1459.2</v>
      </c>
      <c r="E28" s="198">
        <f>IF('[1]🧾 Tributos Aduana'!C5=0,0,'[1]🧾 Tributos Aduana'!C16*('[1]🧾 Factura Comercial'!F11/'[1]🧾 Tributos Aduana'!C5))</f>
        <v>4.710646584717907E-2</v>
      </c>
      <c r="F28" s="198">
        <f>IF('[1]🧾 Tributos Aduana'!C5=0,0,'[1]🧾 Tributos Aduana'!C17*('[1]🧾 Factura Comercial'!F11/'[1]🧾 Tributos Aduana'!C5))</f>
        <v>1.6628956729253904E-2</v>
      </c>
      <c r="G28" s="198">
        <f>IF('[1]🧾 Tributos Aduana'!C5=0,0,'[1]🧾 Tributos Aduana'!C18*('[1]🧾 Factura Comercial'!F11/'[1]🧾 Tributos Aduana'!C5))</f>
        <v>0.13319206177675716</v>
      </c>
      <c r="H28" s="198">
        <f>IF('[1]🧾 Tributos Aduana'!C5=0,0,'[1]🧾 Tributos Aduana'!C22*('[1]🧾 Factura Comercial'!F11/'[1]🧾 Tributos Aduana'!C5))</f>
        <v>3.4379164978162007E-2</v>
      </c>
      <c r="I28" s="198">
        <f t="shared" si="0"/>
        <v>1459.3969274843532</v>
      </c>
      <c r="J28" s="199">
        <f>D28*'[1]📋 Datos Generales'!C19</f>
        <v>5428.2240000000002</v>
      </c>
      <c r="K28" s="199">
        <f>E28*'[1]📋 Datos Generales'!C19</f>
        <v>0.17523605295150615</v>
      </c>
      <c r="L28" s="199">
        <f>F28*'[1]📋 Datos Generales'!C19</f>
        <v>6.1859719032824528E-2</v>
      </c>
      <c r="M28" s="199">
        <f>G28*'[1]📋 Datos Generales'!C19</f>
        <v>0.49547446980953663</v>
      </c>
      <c r="N28" s="200">
        <f t="shared" si="1"/>
        <v>1459.3969274843532</v>
      </c>
      <c r="O28" s="199">
        <f>N28*'[1]📋 Datos Generales'!C19</f>
        <v>5428.956570241794</v>
      </c>
      <c r="P28" s="142"/>
      <c r="Q28" s="142"/>
      <c r="R28" s="142"/>
      <c r="S28" s="142"/>
      <c r="T28" s="142"/>
    </row>
    <row r="29" spans="1:20" ht="21.75" customHeight="1" thickTop="1" thickBot="1" x14ac:dyDescent="0.3">
      <c r="A29" s="142"/>
      <c r="B29" s="189">
        <f>9</f>
        <v>9</v>
      </c>
      <c r="C29" s="190" t="str">
        <f>'[1]🧾 Factura Comercial'!C12</f>
        <v>Pull Line Function Car OPP Bag</v>
      </c>
      <c r="D29" s="191">
        <f>'[1]🧮 Costos x Producto'!F14</f>
        <v>1344</v>
      </c>
      <c r="E29" s="192">
        <f>IF('[1]🧾 Tributos Aduana'!C5=0,0,'[1]🧾 Tributos Aduana'!C16*('[1]🧾 Factura Comercial'!F12/'[1]🧾 Tributos Aduana'!C5))</f>
        <v>1.7355013733171238E-2</v>
      </c>
      <c r="F29" s="192">
        <f>IF('[1]🧾 Tributos Aduana'!C5=0,0,'[1]🧾 Tributos Aduana'!C17*('[1]🧾 Factura Comercial'!F12/'[1]🧾 Tributos Aduana'!C5))</f>
        <v>6.1264577423567031E-3</v>
      </c>
      <c r="G29" s="192">
        <f>IF('[1]🧾 Tributos Aduana'!C5=0,0,'[1]🧾 Tributos Aduana'!C18*('[1]🧾 Factura Comercial'!F12/'[1]🧾 Tributos Aduana'!C5))</f>
        <v>4.9070759601963172E-2</v>
      </c>
      <c r="H29" s="192">
        <f>IF('[1]🧾 Tributos Aduana'!C5=0,0,'[1]🧾 Tributos Aduana'!C22*('[1]🧾 Factura Comercial'!F12/'[1]🧾 Tributos Aduana'!C5))</f>
        <v>1.2666008149849162E-2</v>
      </c>
      <c r="I29" s="192">
        <f t="shared" si="0"/>
        <v>1344.0725522310775</v>
      </c>
      <c r="J29" s="193">
        <f>D29*'[1]📋 Datos Generales'!C19</f>
        <v>4999.68</v>
      </c>
      <c r="K29" s="193">
        <f>E29*'[1]📋 Datos Generales'!C19</f>
        <v>6.4560651087397003E-2</v>
      </c>
      <c r="L29" s="193">
        <f>F29*'[1]📋 Datos Generales'!C19</f>
        <v>2.2790422801566936E-2</v>
      </c>
      <c r="M29" s="193">
        <f>G29*'[1]📋 Datos Generales'!C19</f>
        <v>0.18254322571930301</v>
      </c>
      <c r="N29" s="194">
        <f t="shared" si="1"/>
        <v>1344.0725522310775</v>
      </c>
      <c r="O29" s="193">
        <f>N29*'[1]📋 Datos Generales'!C19</f>
        <v>4999.9498942996088</v>
      </c>
      <c r="P29" s="142"/>
      <c r="Q29" s="142"/>
      <c r="R29" s="142"/>
      <c r="S29" s="142"/>
      <c r="T29" s="142"/>
    </row>
    <row r="30" spans="1:20" ht="21.75" customHeight="1" thickTop="1" thickBot="1" x14ac:dyDescent="0.3">
      <c r="A30" s="142"/>
      <c r="B30" s="182"/>
      <c r="C30" s="483" t="s">
        <v>363</v>
      </c>
      <c r="D30" s="483"/>
      <c r="E30" s="185">
        <f>'[1]🧾 Tributos Aduana'!C16</f>
        <v>881</v>
      </c>
      <c r="F30" s="185">
        <f>'[1]🧾 Tributos Aduana'!C17</f>
        <v>311</v>
      </c>
      <c r="G30" s="185">
        <f>'[1]🧾 Tributos Aduana'!C18</f>
        <v>2491</v>
      </c>
      <c r="H30" s="185">
        <f>'[1]🧾 Tributos Aduana'!C22</f>
        <v>642.97</v>
      </c>
      <c r="I30" s="185">
        <f>'[1]🧾 Tributos Aduana'!C19+'[1]🧾 Tributos Aduana'!C22</f>
        <v>4325.97</v>
      </c>
      <c r="J30" s="188"/>
      <c r="K30" s="188"/>
      <c r="L30" s="188"/>
      <c r="M30" s="188"/>
      <c r="N30" s="185">
        <f>'[1]🧾 Tributos Aduana'!C19</f>
        <v>3683</v>
      </c>
      <c r="O30" s="187">
        <f>'[1]🧾 Tributos Aduana'!C19*'[1]📋 Datos Generales'!C19</f>
        <v>13700.76</v>
      </c>
      <c r="P30" s="142"/>
      <c r="Q30" s="142"/>
      <c r="R30" s="142"/>
      <c r="S30" s="142"/>
      <c r="T30" s="142"/>
    </row>
    <row r="31" spans="1:20" ht="7.5" customHeight="1" thickTop="1" x14ac:dyDescent="0.25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</row>
    <row r="32" spans="1:20" ht="21.75" customHeight="1" x14ac:dyDescent="0.25">
      <c r="A32" s="142"/>
      <c r="B32" s="490" t="s">
        <v>376</v>
      </c>
      <c r="C32" s="490"/>
      <c r="D32" s="490"/>
      <c r="E32" s="490"/>
      <c r="F32" s="490"/>
      <c r="G32" s="490"/>
      <c r="H32" s="490"/>
      <c r="I32" s="490"/>
      <c r="J32" s="490"/>
      <c r="K32" s="490"/>
      <c r="L32" s="490"/>
      <c r="M32" s="490"/>
      <c r="N32" s="490"/>
      <c r="O32" s="490"/>
      <c r="P32" s="490"/>
      <c r="Q32" s="490"/>
      <c r="R32" s="490"/>
      <c r="S32" s="490"/>
      <c r="T32" s="142"/>
    </row>
    <row r="33" spans="1:20" ht="42" customHeight="1" thickBot="1" x14ac:dyDescent="0.3">
      <c r="A33" s="142"/>
      <c r="B33" s="201" t="s">
        <v>133</v>
      </c>
      <c r="C33" s="201" t="s">
        <v>251</v>
      </c>
      <c r="D33" s="201" t="s">
        <v>377</v>
      </c>
      <c r="E33" s="201" t="s">
        <v>378</v>
      </c>
      <c r="F33" s="201" t="s">
        <v>379</v>
      </c>
      <c r="G33" s="201" t="s">
        <v>380</v>
      </c>
      <c r="H33" s="201" t="s">
        <v>381</v>
      </c>
      <c r="I33" s="201" t="s">
        <v>382</v>
      </c>
      <c r="J33" s="201" t="s">
        <v>383</v>
      </c>
      <c r="K33" s="201" t="s">
        <v>257</v>
      </c>
      <c r="L33" s="201" t="s">
        <v>384</v>
      </c>
      <c r="M33" s="201" t="s">
        <v>385</v>
      </c>
      <c r="N33" s="201" t="s">
        <v>386</v>
      </c>
      <c r="O33" s="201" t="s">
        <v>261</v>
      </c>
      <c r="P33" s="201" t="s">
        <v>387</v>
      </c>
      <c r="Q33" s="201" t="s">
        <v>388</v>
      </c>
      <c r="R33" s="201" t="s">
        <v>389</v>
      </c>
      <c r="S33" s="201" t="s">
        <v>390</v>
      </c>
      <c r="T33" s="142"/>
    </row>
    <row r="34" spans="1:20" ht="21.75" customHeight="1" thickBot="1" x14ac:dyDescent="0.3">
      <c r="A34" s="142"/>
      <c r="B34" s="234">
        <f>1</f>
        <v>1</v>
      </c>
      <c r="C34" s="235" t="str">
        <f>'[1]🧾 Factura Comercial'!C4</f>
        <v>Friction Car Platform Cover</v>
      </c>
      <c r="D34" s="236">
        <f>IF('[1]🧾 Factura Comercial'!E4=0,0,'[1]📦 Gastos Importación'!C27*(IF('[1]🧾 Tributos Aduana'!C5=0,0,'[1]🧾 Factura Comercial'!F4/'[1]🧾 Tributos Aduana'!C5))/'[1]🧾 Factura Comercial'!E4)</f>
        <v>2.8601924806444115E-3</v>
      </c>
      <c r="E34" s="237">
        <f>D34*'[1]📋 Datos Generales'!C19</f>
        <v>1.0639916027997211E-2</v>
      </c>
      <c r="F34" s="238">
        <f>'[1]🧮 Costos x Producto'!H6</f>
        <v>2.6982247049412198</v>
      </c>
      <c r="G34" s="239">
        <f>'[1]🧮 Costos x Producto'!I6</f>
        <v>10.0373959023813</v>
      </c>
      <c r="H34" s="236">
        <f>IF('[1]🧾 Factura Comercial'!E4=0,0,'[1]🧾 Tributos Aduana'!C16*(IF('[1]🧾 Tributos Aduana'!C5=0,0,'[1]🧾 Factura Comercial'!F4/'[1]🧾 Tributos Aduana'!C5))/'[1]🧾 Factura Comercial'!E4)</f>
        <v>1.5624677542512794E-4</v>
      </c>
      <c r="I34" s="236">
        <f>IF('[1]🧾 Factura Comercial'!E4=0,0,'[1]🏦 Crédito Fiscal'!C10*(IF('[1]🧾 Tributos Aduana'!C5=0,0,'[1]🧾 Factura Comercial'!F4/'[1]🧾 Tributos Aduana'!C5))/'[1]🧾 Factura Comercial'!E4)</f>
        <v>1.1246038645070298E-3</v>
      </c>
      <c r="J34" s="237">
        <f>I34*'[1]📋 Datos Generales'!C19</f>
        <v>4.1835263759661514E-3</v>
      </c>
      <c r="K34" s="240">
        <f>'[1]💰 Precio de Venta'!E5</f>
        <v>0.4</v>
      </c>
      <c r="L34" s="239">
        <f>'[1]💰 Precio de Venta'!F5</f>
        <v>16.728993170635501</v>
      </c>
      <c r="M34" s="239">
        <f>'[1]💰 Precio de Venta'!G5</f>
        <v>19.740211941349902</v>
      </c>
      <c r="N34" s="239">
        <f>'[1]💰 Precio de Venta'!H5</f>
        <v>6.6915972682542204</v>
      </c>
      <c r="O34" s="241">
        <f>'[1]💰 Precio de Venta'!I5</f>
        <v>66</v>
      </c>
      <c r="P34" s="242">
        <f>N34*'[1]🧾 Factura Comercial'!E4</f>
        <v>3211.966688762026</v>
      </c>
      <c r="Q34" s="240">
        <f t="shared" ref="Q34:Q42" si="2">IF(M34=0,0,N34/M34)</f>
        <v>0.33898305084745844</v>
      </c>
      <c r="R34" s="240">
        <f t="shared" ref="R34:R42" si="3">IF(G34=0,0,N34/G34)</f>
        <v>0.66666666666666863</v>
      </c>
      <c r="S34" s="243" t="str">
        <f t="shared" ref="S34:S42" si="4">IF(K34&gt;=0.5,"🟢 ALTO",IF(K34&gt;=0.3,"🟡 MEDIO","🔴 BAJO"))</f>
        <v>🟡 MEDIO</v>
      </c>
      <c r="T34" s="142"/>
    </row>
    <row r="35" spans="1:20" ht="21.75" customHeight="1" thickBot="1" x14ac:dyDescent="0.3">
      <c r="A35" s="142"/>
      <c r="B35" s="234">
        <f>2</f>
        <v>2</v>
      </c>
      <c r="C35" s="235" t="str">
        <f>'[1]🧾 Factura Comercial'!C5</f>
        <v>Friction Cars OPP Bag 23cm</v>
      </c>
      <c r="D35" s="236">
        <f>IF('[1]🧾 Factura Comercial'!E5=0,0,'[1]📦 Gastos Importación'!C27*(IF('[1]🧾 Tributos Aduana'!C5=0,0,'[1]🧾 Factura Comercial'!F5/'[1]🧾 Tributos Aduana'!C5))/'[1]🧾 Factura Comercial'!E5)</f>
        <v>2.678968163688981E-4</v>
      </c>
      <c r="E35" s="237">
        <f>D35*'[1]📋 Datos Generales'!C19</f>
        <v>9.965761568923009E-4</v>
      </c>
      <c r="F35" s="238">
        <f>'[1]🧮 Costos x Producto'!H7</f>
        <v>1.5163576854215099</v>
      </c>
      <c r="G35" s="239">
        <f>'[1]🧮 Costos x Producto'!I7</f>
        <v>5.6408505897680197</v>
      </c>
      <c r="H35" s="236">
        <f>IF('[1]🧾 Factura Comercial'!E5=0,0,'[1]🧾 Tributos Aduana'!C16*(IF('[1]🧾 Tributos Aduana'!C5=0,0,'[1]🧾 Factura Comercial'!F5/'[1]🧾 Tributos Aduana'!C5))/'[1]🧾 Factura Comercial'!E5)</f>
        <v>1.4634684199598761E-5</v>
      </c>
      <c r="I35" s="236">
        <f>IF('[1]🧾 Factura Comercial'!E5=0,0,'[1]🏦 Crédito Fiscal'!C10*(IF('[1]🧾 Tributos Aduana'!C5=0,0,'[1]🧾 Factura Comercial'!F5/'[1]🧾 Tributos Aduana'!C5))/'[1]🧾 Factura Comercial'!E5)</f>
        <v>1.0533479722655375E-4</v>
      </c>
      <c r="J35" s="237">
        <f>I35*'[1]📋 Datos Generales'!C19</f>
        <v>3.9184544568278E-4</v>
      </c>
      <c r="K35" s="240">
        <f>'[1]💰 Precio de Venta'!E6</f>
        <v>0.4</v>
      </c>
      <c r="L35" s="239">
        <f>'[1]💰 Precio de Venta'!F6</f>
        <v>9.4014176496133608</v>
      </c>
      <c r="M35" s="239">
        <f>'[1]💰 Precio de Venta'!G6</f>
        <v>11.0936728265438</v>
      </c>
      <c r="N35" s="239">
        <f>'[1]💰 Precio de Venta'!H6</f>
        <v>3.76056705984535</v>
      </c>
      <c r="O35" s="241">
        <f>'[1]💰 Precio de Venta'!I6</f>
        <v>394</v>
      </c>
      <c r="P35" s="242">
        <f>N35*'[1]🧾 Factura Comercial'!E5</f>
        <v>10830.433132354608</v>
      </c>
      <c r="Q35" s="240">
        <f t="shared" si="2"/>
        <v>0.33898305084745706</v>
      </c>
      <c r="R35" s="240">
        <f t="shared" si="3"/>
        <v>0.6666666666666673</v>
      </c>
      <c r="S35" s="243" t="str">
        <f t="shared" si="4"/>
        <v>🟡 MEDIO</v>
      </c>
      <c r="T35" s="142"/>
    </row>
    <row r="36" spans="1:20" ht="21.75" customHeight="1" thickBot="1" x14ac:dyDescent="0.3">
      <c r="B36" s="234">
        <f>3</f>
        <v>3</v>
      </c>
      <c r="C36" s="235" t="str">
        <f>'[1]🧾 Factura Comercial'!C6</f>
        <v>Free Wheel Motor OPP Bag 21cm</v>
      </c>
      <c r="D36" s="236">
        <f>IF('[1]🧾 Factura Comercial'!E6=0,0,'[1]📦 Gastos Importación'!C27*(IF('[1]🧾 Tributos Aduana'!C5=0,0,'[1]🧾 Factura Comercial'!F6/'[1]🧾 Tributos Aduana'!C5))/'[1]🧾 Factura Comercial'!E6)</f>
        <v>1.5758636256994009E-4</v>
      </c>
      <c r="E36" s="237">
        <f>D36*'[1]📋 Datos Generales'!C19</f>
        <v>5.8622126876017714E-4</v>
      </c>
      <c r="F36" s="238">
        <f>'[1]🧮 Costos x Producto'!H8</f>
        <v>0.89197510907147604</v>
      </c>
      <c r="G36" s="239">
        <f>'[1]🧮 Costos x Producto'!I8</f>
        <v>3.31814740574589</v>
      </c>
      <c r="H36" s="236">
        <f>IF('[1]🧾 Factura Comercial'!E6=0,0,'[1]🧾 Tributos Aduana'!C16*(IF('[1]🧾 Tributos Aduana'!C5=0,0,'[1]🧾 Factura Comercial'!F6/'[1]🧾 Tributos Aduana'!C5))/'[1]🧾 Factura Comercial'!E6)</f>
        <v>8.6086377644698613E-6</v>
      </c>
      <c r="I36" s="236">
        <f>IF('[1]🧾 Factura Comercial'!E6=0,0,'[1]🏦 Crédito Fiscal'!C10*(IF('[1]🧾 Tributos Aduana'!C5=0,0,'[1]🧾 Factura Comercial'!F6/'[1]🧾 Tributos Aduana'!C5))/'[1]🧾 Factura Comercial'!E6)</f>
        <v>6.1961645427384564E-5</v>
      </c>
      <c r="J36" s="237">
        <f>I36*'[1]📋 Datos Generales'!C19</f>
        <v>2.3049732098987059E-4</v>
      </c>
      <c r="K36" s="240">
        <f>'[1]💰 Precio de Venta'!E7</f>
        <v>0.4</v>
      </c>
      <c r="L36" s="239">
        <f>'[1]💰 Precio de Venta'!F7</f>
        <v>5.5302456762431502</v>
      </c>
      <c r="M36" s="239">
        <f>'[1]💰 Precio de Venta'!G7</f>
        <v>6.5256898979669202</v>
      </c>
      <c r="N36" s="239">
        <f>'[1]💰 Precio de Venta'!H7</f>
        <v>2.2120982704972598</v>
      </c>
      <c r="O36" s="241">
        <f>'[1]💰 Precio de Venta'!I7</f>
        <v>394</v>
      </c>
      <c r="P36" s="242">
        <f>N36*'[1]🧾 Factura Comercial'!E6</f>
        <v>6370.8430190321087</v>
      </c>
      <c r="Q36" s="240">
        <f t="shared" si="2"/>
        <v>0.33898305084745745</v>
      </c>
      <c r="R36" s="240">
        <f t="shared" si="3"/>
        <v>0.66666666666666663</v>
      </c>
      <c r="S36" s="243" t="str">
        <f t="shared" si="4"/>
        <v>🟡 MEDIO</v>
      </c>
    </row>
    <row r="37" spans="1:20" ht="21.75" customHeight="1" thickBot="1" x14ac:dyDescent="0.3">
      <c r="B37" s="234">
        <f>4</f>
        <v>4</v>
      </c>
      <c r="C37" s="235" t="str">
        <f>'[1]🧾 Factura Comercial'!C7</f>
        <v>Friction Cars OPP Bag 22cm</v>
      </c>
      <c r="D37" s="236">
        <f>IF('[1]🧾 Factura Comercial'!E7=0,0,'[1]📦 Gastos Importación'!C27*(IF('[1]🧾 Tributos Aduana'!C5=0,0,'[1]🧾 Factura Comercial'!F7/'[1]🧾 Tributos Aduana'!C5))/'[1]🧾 Factura Comercial'!E7)</f>
        <v>3.7731945967450438E-5</v>
      </c>
      <c r="E37" s="237">
        <f>D37*'[1]📋 Datos Generales'!C19</f>
        <v>1.4036283899891564E-4</v>
      </c>
      <c r="F37" s="238">
        <f>'[1]🧮 Costos x Producto'!H9</f>
        <v>0.75817884271075497</v>
      </c>
      <c r="G37" s="239">
        <f>'[1]🧮 Costos x Producto'!I9</f>
        <v>2.8204252948840098</v>
      </c>
      <c r="H37" s="236">
        <f>IF('[1]🧾 Factura Comercial'!E7=0,0,'[1]🧾 Tributos Aduana'!C16*(IF('[1]🧾 Tributos Aduana'!C5=0,0,'[1]🧾 Factura Comercial'!F7/'[1]🧾 Tributos Aduana'!C5))/'[1]🧾 Factura Comercial'!E7)</f>
        <v>2.0612231267040509E-6</v>
      </c>
      <c r="I37" s="236">
        <f>IF('[1]🧾 Factura Comercial'!E7=0,0,'[1]🏦 Crédito Fiscal'!C10*(IF('[1]🧾 Tributos Aduana'!C5=0,0,'[1]🧾 Factura Comercial'!F7/'[1]🧾 Tributos Aduana'!C5))/'[1]🧾 Factura Comercial'!E7)</f>
        <v>1.483588693331743E-5</v>
      </c>
      <c r="J37" s="237">
        <f>I37*'[1]📋 Datos Generales'!C19</f>
        <v>5.5189499391940842E-5</v>
      </c>
      <c r="K37" s="240">
        <f>'[1]💰 Precio de Venta'!E8</f>
        <v>0.4</v>
      </c>
      <c r="L37" s="239">
        <f>'[1]💰 Precio de Venta'!F8</f>
        <v>4.7007088248066804</v>
      </c>
      <c r="M37" s="239">
        <f>'[1]💰 Precio de Venta'!G8</f>
        <v>5.5468364132718797</v>
      </c>
      <c r="N37" s="239">
        <f>'[1]💰 Precio de Venta'!H8</f>
        <v>1.8802835299226699</v>
      </c>
      <c r="O37" s="241">
        <f>'[1]💰 Precio de Venta'!I8</f>
        <v>1398</v>
      </c>
      <c r="P37" s="242">
        <f>N37*'[1]🧾 Factura Comercial'!E7</f>
        <v>19224.018809929377</v>
      </c>
      <c r="Q37" s="240">
        <f t="shared" si="2"/>
        <v>0.33898305084745739</v>
      </c>
      <c r="R37" s="240">
        <f t="shared" si="3"/>
        <v>0.66666666666666552</v>
      </c>
      <c r="S37" s="243" t="str">
        <f t="shared" si="4"/>
        <v>🟡 MEDIO</v>
      </c>
    </row>
    <row r="38" spans="1:20" ht="21.75" customHeight="1" thickBot="1" x14ac:dyDescent="0.3">
      <c r="B38" s="234">
        <f>5</f>
        <v>5</v>
      </c>
      <c r="C38" s="235" t="str">
        <f>'[1]🧾 Factura Comercial'!C8</f>
        <v>Pull Line Friction Car OPP Bag</v>
      </c>
      <c r="D38" s="236">
        <f>IF('[1]🧾 Factura Comercial'!E8=0,0,'[1]📦 Gastos Importación'!C27*(IF('[1]🧾 Tributos Aduana'!C5=0,0,'[1]🧾 Factura Comercial'!F8/'[1]🧾 Tributos Aduana'!C5))/'[1]🧾 Factura Comercial'!E8)</f>
        <v>3.414371189015368E-5</v>
      </c>
      <c r="E38" s="237">
        <f>D38*'[1]📋 Datos Generales'!C19</f>
        <v>1.2701460823137171E-4</v>
      </c>
      <c r="F38" s="238">
        <f>'[1]🧮 Costos x Producto'!H10</f>
        <v>0.57978382089645997</v>
      </c>
      <c r="G38" s="239">
        <f>'[1]🧮 Costos x Producto'!I10</f>
        <v>2.15679581373483</v>
      </c>
      <c r="H38" s="236">
        <f>IF('[1]🧾 Factura Comercial'!E8=0,0,'[1]🧾 Tributos Aduana'!C16*(IF('[1]🧾 Tributos Aduana'!C5=0,0,'[1]🧾 Factura Comercial'!F8/'[1]🧾 Tributos Aduana'!C5))/'[1]🧾 Factura Comercial'!E8)</f>
        <v>1.8652048489684697E-6</v>
      </c>
      <c r="I38" s="236">
        <f>IF('[1]🧾 Factura Comercial'!E8=0,0,'[1]🏦 Crédito Fiscal'!C10*(IF('[1]🧾 Tributos Aduana'!C5=0,0,'[1]🧾 Factura Comercial'!F8/'[1]🧾 Tributos Aduana'!C5))/'[1]🧾 Factura Comercial'!E8)</f>
        <v>1.3425023175933325E-5</v>
      </c>
      <c r="J38" s="237">
        <f>I38*'[1]📋 Datos Generales'!C19</f>
        <v>4.9941086214471971E-5</v>
      </c>
      <c r="K38" s="240">
        <f>'[1]💰 Precio de Venta'!E9</f>
        <v>0.4</v>
      </c>
      <c r="L38" s="239">
        <f>'[1]💰 Precio de Venta'!F9</f>
        <v>3.5946596895580498</v>
      </c>
      <c r="M38" s="239">
        <f>'[1]💰 Precio de Venta'!G9</f>
        <v>4.2416984336784997</v>
      </c>
      <c r="N38" s="239">
        <f>'[1]💰 Precio de Venta'!H9</f>
        <v>1.4378638758232201</v>
      </c>
      <c r="O38" s="241">
        <f>'[1]💰 Precio de Venta'!I9</f>
        <v>1181</v>
      </c>
      <c r="P38" s="242">
        <f>N38*'[1]🧾 Factura Comercial'!E8</f>
        <v>12423.143887112621</v>
      </c>
      <c r="Q38" s="240">
        <f t="shared" si="2"/>
        <v>0.33898305084745756</v>
      </c>
      <c r="R38" s="240">
        <f t="shared" si="3"/>
        <v>0.66666666666666674</v>
      </c>
      <c r="S38" s="243" t="str">
        <f t="shared" si="4"/>
        <v>🟡 MEDIO</v>
      </c>
    </row>
    <row r="39" spans="1:20" ht="21.75" customHeight="1" thickBot="1" x14ac:dyDescent="0.3">
      <c r="B39" s="234">
        <f>6</f>
        <v>6</v>
      </c>
      <c r="C39" s="235" t="str">
        <f>'[1]🧾 Factura Comercial'!C9</f>
        <v>Friction Car OPP Bag</v>
      </c>
      <c r="D39" s="236">
        <f>IF('[1]🧾 Factura Comercial'!E9=0,0,'[1]📦 Gastos Importación'!C27*(IF('[1]🧾 Tributos Aduana'!C5=0,0,'[1]🧾 Factura Comercial'!F9/'[1]🧾 Tributos Aduana'!C5))/'[1]🧾 Factura Comercial'!E9)</f>
        <v>1.5233348381760872E-4</v>
      </c>
      <c r="E39" s="237">
        <f>D39*'[1]📋 Datos Generales'!C19</f>
        <v>5.6668055980150448E-4</v>
      </c>
      <c r="F39" s="238">
        <f>'[1]🧮 Costos x Producto'!H11</f>
        <v>0.64668195407682005</v>
      </c>
      <c r="G39" s="239">
        <f>'[1]🧮 Costos x Producto'!I11</f>
        <v>2.40565686916577</v>
      </c>
      <c r="H39" s="236">
        <f>IF('[1]🧾 Factura Comercial'!E9=0,0,'[1]🧾 Tributos Aduana'!C16*(IF('[1]🧾 Tributos Aduana'!C5=0,0,'[1]🧾 Factura Comercial'!F9/'[1]🧾 Tributos Aduana'!C5))/'[1]🧾 Factura Comercial'!E9)</f>
        <v>8.3216831723208644E-6</v>
      </c>
      <c r="I39" s="236">
        <f>IF('[1]🧾 Factura Comercial'!E9=0,0,'[1]🏦 Crédito Fiscal'!C10*(IF('[1]🧾 Tributos Aduana'!C5=0,0,'[1]🧾 Factura Comercial'!F9/'[1]🧾 Tributos Aduana'!C5))/'[1]🧾 Factura Comercial'!E9)</f>
        <v>5.9896257246471741E-5</v>
      </c>
      <c r="J39" s="237">
        <f>I39*'[1]📋 Datos Generales'!C19</f>
        <v>2.228140769568749E-4</v>
      </c>
      <c r="K39" s="240">
        <f>'[1]💰 Precio de Venta'!E10</f>
        <v>0.4</v>
      </c>
      <c r="L39" s="239">
        <f>'[1]💰 Precio de Venta'!F10</f>
        <v>4.0094281152762896</v>
      </c>
      <c r="M39" s="239">
        <f>'[1]💰 Precio de Venta'!G10</f>
        <v>4.73112517602602</v>
      </c>
      <c r="N39" s="239">
        <f>'[1]💰 Precio de Venta'!H10</f>
        <v>1.60377124611051</v>
      </c>
      <c r="O39" s="241">
        <f>'[1]💰 Precio de Venta'!I10</f>
        <v>296</v>
      </c>
      <c r="P39" s="242">
        <f>N39*'[1]🧾 Factura Comercial'!E9</f>
        <v>3464.1458915987018</v>
      </c>
      <c r="Q39" s="240">
        <f t="shared" si="2"/>
        <v>0.3389830508474565</v>
      </c>
      <c r="R39" s="240">
        <f t="shared" si="3"/>
        <v>0.6666666666666653</v>
      </c>
      <c r="S39" s="243" t="str">
        <f t="shared" si="4"/>
        <v>🟡 MEDIO</v>
      </c>
    </row>
    <row r="40" spans="1:20" ht="21.75" customHeight="1" thickBot="1" x14ac:dyDescent="0.3">
      <c r="B40" s="234">
        <f>7</f>
        <v>7</v>
      </c>
      <c r="C40" s="235" t="str">
        <f>'[1]🧾 Factura Comercial'!C10</f>
        <v>Free Wheel Ride on Digger Handle</v>
      </c>
      <c r="D40" s="236">
        <f>IF('[1]🧾 Factura Comercial'!E10=0,0,'[1]📦 Gastos Importación'!C27*(IF('[1]🧾 Tributos Aduana'!C5=0,0,'[1]🧾 Factura Comercial'!F10/'[1]🧾 Tributos Aduana'!C5))/'[1]🧾 Factura Comercial'!E10)</f>
        <v>2.6994543908230733E-2</v>
      </c>
      <c r="E40" s="237">
        <f>D40*'[1]📋 Datos Generales'!C19</f>
        <v>0.10041970333861833</v>
      </c>
      <c r="F40" s="238">
        <f>'[1]🧮 Costos x Producto'!H12</f>
        <v>12.732944681995299</v>
      </c>
      <c r="G40" s="239">
        <f>'[1]🧮 Costos x Producto'!I12</f>
        <v>47.366554217022603</v>
      </c>
      <c r="H40" s="236">
        <f>IF('[1]🧾 Factura Comercial'!E10=0,0,'[1]🧾 Tributos Aduana'!C16*(IF('[1]🧾 Tributos Aduana'!C5=0,0,'[1]🧾 Factura Comercial'!F10/'[1]🧾 Tributos Aduana'!C5))/'[1]🧾 Factura Comercial'!E10)</f>
        <v>1.4746596490536868E-3</v>
      </c>
      <c r="I40" s="236">
        <f>IF('[1]🧾 Factura Comercial'!E10=0,0,'[1]🏦 Crédito Fiscal'!C10*(IF('[1]🧾 Tributos Aduana'!C5=0,0,'[1]🧾 Factura Comercial'!F10/'[1]🧾 Tributos Aduana'!C5))/'[1]🧾 Factura Comercial'!E10)</f>
        <v>1.0614029861710976E-2</v>
      </c>
      <c r="J40" s="237">
        <f>I40*'[1]📋 Datos Generales'!C19</f>
        <v>3.9484191085564835E-2</v>
      </c>
      <c r="K40" s="240">
        <f>'[1]💰 Precio de Venta'!E11</f>
        <v>0.4</v>
      </c>
      <c r="L40" s="239">
        <f>'[1]💰 Precio de Venta'!F11</f>
        <v>78.944257028370998</v>
      </c>
      <c r="M40" s="239">
        <f>'[1]💰 Precio de Venta'!G11</f>
        <v>93.154223293477799</v>
      </c>
      <c r="N40" s="239">
        <f>'[1]💰 Precio de Venta'!H11</f>
        <v>31.577702811348399</v>
      </c>
      <c r="O40" s="241">
        <f>'[1]💰 Precio de Venta'!I11</f>
        <v>33</v>
      </c>
      <c r="P40" s="242">
        <f>N40*'[1]🧾 Factura Comercial'!E10</f>
        <v>7578.6486747236158</v>
      </c>
      <c r="Q40" s="240">
        <f t="shared" si="2"/>
        <v>0.33898305084745756</v>
      </c>
      <c r="R40" s="240">
        <f t="shared" si="3"/>
        <v>0.66666666666666663</v>
      </c>
      <c r="S40" s="243" t="str">
        <f t="shared" si="4"/>
        <v>🟡 MEDIO</v>
      </c>
    </row>
    <row r="41" spans="1:20" ht="21.75" customHeight="1" thickBot="1" x14ac:dyDescent="0.3">
      <c r="B41" s="234">
        <f>8</f>
        <v>8</v>
      </c>
      <c r="C41" s="235" t="str">
        <f>'[1]🧾 Factura Comercial'!C11</f>
        <v>Friction Car with Music and Light</v>
      </c>
      <c r="D41" s="236">
        <f>IF('[1]🧾 Factura Comercial'!E11=0,0,'[1]📦 Gastos Importación'!C27*(IF('[1]🧾 Tributos Aduana'!C5=0,0,'[1]🧾 Factura Comercial'!F11/'[1]🧾 Tributos Aduana'!C5))/'[1]🧾 Factura Comercial'!E11)</f>
        <v>4.4912113332432914E-4</v>
      </c>
      <c r="E41" s="237">
        <f>D41*'[1]📋 Datos Generales'!C19</f>
        <v>1.6707306159665044E-3</v>
      </c>
      <c r="F41" s="238">
        <f>'[1]🧮 Costos x Producto'!H13</f>
        <v>1.69475270723581</v>
      </c>
      <c r="G41" s="239">
        <f>'[1]🧮 Costos x Producto'!I13</f>
        <v>6.3044800709172</v>
      </c>
      <c r="H41" s="236">
        <f>IF('[1]🧾 Factura Comercial'!E11=0,0,'[1]🧾 Tributos Aduana'!C16*(IF('[1]🧾 Tributos Aduana'!C5=0,0,'[1]🧾 Factura Comercial'!F11/'[1]🧾 Tributos Aduana'!C5))/'[1]🧾 Factura Comercial'!E11)</f>
        <v>2.4534617628739099E-5</v>
      </c>
      <c r="I41" s="236">
        <f>IF('[1]🧾 Factura Comercial'!E11=0,0,'[1]🏦 Crédito Fiscal'!C10*(IF('[1]🧾 Tributos Aduana'!C5=0,0,'[1]🧾 Factura Comercial'!F11/'[1]🧾 Tributos Aduana'!C5))/'[1]🧾 Factura Comercial'!E11)</f>
        <v>1.7659068946804601E-4</v>
      </c>
      <c r="J41" s="237">
        <f>I41*'[1]📋 Datos Generales'!C19</f>
        <v>6.5691736482113123E-4</v>
      </c>
      <c r="K41" s="240">
        <f>'[1]💰 Precio de Venta'!E12</f>
        <v>0.4</v>
      </c>
      <c r="L41" s="239">
        <f>'[1]💰 Precio de Venta'!F12</f>
        <v>10.507466784862</v>
      </c>
      <c r="M41" s="239">
        <f>'[1]💰 Precio de Venta'!G12</f>
        <v>12.398810806137201</v>
      </c>
      <c r="N41" s="239">
        <f>'[1]💰 Precio de Venta'!H12</f>
        <v>4.2029867139448003</v>
      </c>
      <c r="O41" s="241">
        <f>'[1]💰 Precio de Venta'!I12</f>
        <v>263</v>
      </c>
      <c r="P41" s="242">
        <f>N41*'[1]🧾 Factura Comercial'!E11</f>
        <v>8069.7344907740162</v>
      </c>
      <c r="Q41" s="240">
        <f t="shared" si="2"/>
        <v>0.33898305084745656</v>
      </c>
      <c r="R41" s="240">
        <f t="shared" si="3"/>
        <v>0.66666666666666674</v>
      </c>
      <c r="S41" s="243" t="str">
        <f t="shared" si="4"/>
        <v>🟡 MEDIO</v>
      </c>
    </row>
    <row r="42" spans="1:20" ht="21.75" customHeight="1" thickBot="1" x14ac:dyDescent="0.3">
      <c r="B42" s="234">
        <f>9</f>
        <v>9</v>
      </c>
      <c r="C42" s="235" t="str">
        <f>'[1]🧾 Factura Comercial'!C12</f>
        <v>Pull Line Function Car OPP Bag</v>
      </c>
      <c r="D42" s="236">
        <f>IF('[1]🧾 Factura Comercial'!E12=0,0,'[1]📦 Gastos Importación'!C27*(IF('[1]🧾 Tributos Aduana'!C5=0,0,'[1]🧾 Factura Comercial'!F12/'[1]🧾 Tributos Aduana'!C5))/'[1]🧾 Factura Comercial'!E12)</f>
        <v>6.6186272279374821E-5</v>
      </c>
      <c r="E42" s="237">
        <f>D42*'[1]📋 Datos Generales'!C19</f>
        <v>2.4621293287927436E-4</v>
      </c>
      <c r="F42" s="238">
        <f>'[1]🧮 Costos x Producto'!H14</f>
        <v>0.62438257635003402</v>
      </c>
      <c r="G42" s="239">
        <f>'[1]🧮 Costos x Producto'!I14</f>
        <v>2.3227031840221302</v>
      </c>
      <c r="H42" s="236">
        <f>IF('[1]🧾 Factura Comercial'!E12=0,0,'[1]🧾 Tributos Aduana'!C16*(IF('[1]🧾 Tributos Aduana'!C5=0,0,'[1]🧾 Factura Comercial'!F12/'[1]🧾 Tributos Aduana'!C5))/'[1]🧾 Factura Comercial'!E12)</f>
        <v>3.6156278610773412E-6</v>
      </c>
      <c r="I42" s="236">
        <f>IF('[1]🧾 Factura Comercial'!E12=0,0,'[1]🏦 Crédito Fiscal'!C10*(IF('[1]🧾 Tributos Aduana'!C5=0,0,'[1]🧾 Factura Comercial'!F12/'[1]🧾 Tributos Aduana'!C5))/'[1]🧾 Factura Comercial'!E12)</f>
        <v>2.6023891079501522E-5</v>
      </c>
      <c r="J42" s="237">
        <f>I42*'[1]📋 Datos Generales'!C19</f>
        <v>9.6808874815745667E-5</v>
      </c>
      <c r="K42" s="240">
        <f>'[1]💰 Precio de Venta'!E13</f>
        <v>0.4</v>
      </c>
      <c r="L42" s="239">
        <f>'[1]💰 Precio de Venta'!F13</f>
        <v>3.8711719733702101</v>
      </c>
      <c r="M42" s="239">
        <f>'[1]💰 Precio de Venta'!G13</f>
        <v>4.5679829285768498</v>
      </c>
      <c r="N42" s="239">
        <f>'[1]💰 Precio de Venta'!H13</f>
        <v>1.54846878934808</v>
      </c>
      <c r="O42" s="241">
        <f>'[1]💰 Precio de Venta'!I13</f>
        <v>657</v>
      </c>
      <c r="P42" s="242">
        <f>N42*'[1]🧾 Factura Comercial'!E12</f>
        <v>7432.6501888707835</v>
      </c>
      <c r="Q42" s="240">
        <f t="shared" si="2"/>
        <v>0.33898305084745661</v>
      </c>
      <c r="R42" s="240">
        <f t="shared" si="3"/>
        <v>0.66666666666666374</v>
      </c>
      <c r="S42" s="243" t="str">
        <f t="shared" si="4"/>
        <v>🟡 MEDIO</v>
      </c>
    </row>
    <row r="43" spans="1:20" ht="24" customHeight="1" thickBot="1" x14ac:dyDescent="0.3">
      <c r="B43" s="151"/>
      <c r="C43" s="483" t="s">
        <v>391</v>
      </c>
      <c r="D43" s="483"/>
      <c r="E43" s="483"/>
      <c r="F43" s="231">
        <f>'[1]🧮 Costos x Producto'!D3</f>
        <v>0</v>
      </c>
      <c r="G43" s="232">
        <f>'[1]🧮 Costos x Producto'!F3</f>
        <v>0</v>
      </c>
      <c r="H43" s="231">
        <f>'[1]🧾 Tributos Aduana'!C16</f>
        <v>881</v>
      </c>
      <c r="I43" s="231">
        <f>'[1]🏦 Crédito Fiscal'!C10</f>
        <v>6341.0972926315799</v>
      </c>
      <c r="J43" s="232">
        <f>'[1]🏦 Crédito Fiscal'!C11</f>
        <v>23588.881928589501</v>
      </c>
      <c r="K43" s="233">
        <f>AVERAGE('[1]💰 Precio de Venta'!E5:E13)</f>
        <v>0.39999999999999997</v>
      </c>
      <c r="L43" s="188"/>
      <c r="M43" s="188"/>
      <c r="N43" s="232">
        <f>SUM(N34:N42)</f>
        <v>54.915339565094506</v>
      </c>
      <c r="O43" s="188"/>
      <c r="P43" s="232">
        <f>SUM(P34:P42)</f>
        <v>78605.584783157858</v>
      </c>
      <c r="Q43" s="233">
        <f>AVERAGE(Q34:Q42)</f>
        <v>0.33898305084745728</v>
      </c>
      <c r="R43" s="202">
        <f>AVERAGE(R34:R42)</f>
        <v>0.66666666666666641</v>
      </c>
      <c r="S43" s="188"/>
    </row>
    <row r="44" spans="1:20" ht="7.5" customHeight="1" thickTop="1" x14ac:dyDescent="0.25"/>
    <row r="45" spans="1:20" ht="21.75" customHeight="1" x14ac:dyDescent="0.25">
      <c r="B45" s="491" t="s">
        <v>392</v>
      </c>
      <c r="C45" s="491"/>
      <c r="D45" s="491"/>
      <c r="E45" s="491"/>
      <c r="F45" s="491"/>
      <c r="G45" s="491"/>
      <c r="H45" s="491"/>
      <c r="I45" s="491"/>
      <c r="J45" s="491"/>
      <c r="K45" s="491"/>
      <c r="L45" s="491"/>
      <c r="M45" s="491"/>
      <c r="N45" s="491"/>
      <c r="O45" s="491"/>
      <c r="P45" s="491"/>
      <c r="Q45" s="491"/>
      <c r="R45" s="491"/>
      <c r="S45" s="491"/>
    </row>
    <row r="46" spans="1:20" ht="18" customHeight="1" x14ac:dyDescent="0.25">
      <c r="B46" s="492" t="s">
        <v>393</v>
      </c>
      <c r="C46" s="492"/>
      <c r="D46" s="493" t="s">
        <v>394</v>
      </c>
      <c r="E46" s="493"/>
      <c r="F46" s="494" t="s">
        <v>395</v>
      </c>
      <c r="G46" s="494"/>
      <c r="H46" s="495" t="s">
        <v>396</v>
      </c>
      <c r="I46" s="495"/>
      <c r="J46" s="496" t="s">
        <v>397</v>
      </c>
      <c r="K46" s="496"/>
      <c r="L46" s="497" t="s">
        <v>398</v>
      </c>
      <c r="M46" s="497"/>
      <c r="N46" s="497" t="s">
        <v>399</v>
      </c>
      <c r="O46" s="497"/>
      <c r="P46" s="498" t="s">
        <v>400</v>
      </c>
      <c r="Q46" s="498"/>
      <c r="R46" s="499" t="s">
        <v>401</v>
      </c>
      <c r="S46" s="499"/>
    </row>
    <row r="47" spans="1:20" ht="18" customHeight="1" x14ac:dyDescent="0.25">
      <c r="B47" s="504" t="str">
        <f>'[1]🧾 Factura Comercial'!C4</f>
        <v>Friction Car Platform Cover</v>
      </c>
      <c r="C47" s="504"/>
      <c r="D47" s="505" t="str">
        <f>'[1]🧾 Factura Comercial'!C5</f>
        <v>Friction Cars OPP Bag 23cm</v>
      </c>
      <c r="E47" s="505"/>
      <c r="F47" s="506" t="str">
        <f>'[1]🧾 Factura Comercial'!C6</f>
        <v>Free Wheel Motor OPP Bag 21cm</v>
      </c>
      <c r="G47" s="506"/>
      <c r="H47" s="507" t="str">
        <f>'[1]🧾 Factura Comercial'!C7</f>
        <v>Friction Cars OPP Bag 22cm</v>
      </c>
      <c r="I47" s="507"/>
      <c r="J47" s="508" t="str">
        <f>'[1]🧾 Factura Comercial'!C8</f>
        <v>Pull Line Friction Car OPP Bag</v>
      </c>
      <c r="K47" s="508"/>
      <c r="L47" s="500" t="str">
        <f>'[1]🧾 Factura Comercial'!C9</f>
        <v>Friction Car OPP Bag</v>
      </c>
      <c r="M47" s="500"/>
      <c r="N47" s="500" t="str">
        <f>'[1]🧾 Factura Comercial'!C10</f>
        <v>Free Wheel Ride on Digger Handle</v>
      </c>
      <c r="O47" s="500"/>
      <c r="P47" s="501" t="str">
        <f>'[1]🧾 Factura Comercial'!C11</f>
        <v>Friction Car with Music and Light</v>
      </c>
      <c r="Q47" s="501"/>
      <c r="R47" s="502" t="str">
        <f>'[1]🧾 Factura Comercial'!C12</f>
        <v>Pull Line Function Car OPP Bag</v>
      </c>
      <c r="S47" s="502"/>
    </row>
    <row r="48" spans="1:20" ht="19.5" customHeight="1" x14ac:dyDescent="0.25">
      <c r="B48" s="203" t="s">
        <v>402</v>
      </c>
      <c r="C48" s="204">
        <f>'[1]🧮 Costos x Producto'!I6</f>
        <v>10.0373959023813</v>
      </c>
      <c r="D48" s="205" t="s">
        <v>402</v>
      </c>
      <c r="E48" s="206">
        <f>'[1]🧮 Costos x Producto'!I7</f>
        <v>5.6408505897680197</v>
      </c>
      <c r="F48" s="207" t="s">
        <v>402</v>
      </c>
      <c r="G48" s="208">
        <f>'[1]🧮 Costos x Producto'!I8</f>
        <v>3.31814740574589</v>
      </c>
      <c r="H48" s="209" t="s">
        <v>402</v>
      </c>
      <c r="I48" s="210">
        <f>'[1]🧮 Costos x Producto'!I9</f>
        <v>2.8204252948840098</v>
      </c>
      <c r="J48" s="211" t="s">
        <v>402</v>
      </c>
      <c r="K48" s="212">
        <f>'[1]🧮 Costos x Producto'!I10</f>
        <v>2.15679581373483</v>
      </c>
      <c r="L48" s="213" t="s">
        <v>402</v>
      </c>
      <c r="M48" s="214">
        <f>'[1]🧮 Costos x Producto'!I11</f>
        <v>2.40565686916577</v>
      </c>
      <c r="N48" s="213" t="s">
        <v>402</v>
      </c>
      <c r="O48" s="214">
        <f>'[1]🧮 Costos x Producto'!I12</f>
        <v>47.366554217022603</v>
      </c>
      <c r="P48" s="215" t="s">
        <v>402</v>
      </c>
      <c r="Q48" s="216">
        <f>'[1]🧮 Costos x Producto'!I13</f>
        <v>6.3044800709172</v>
      </c>
      <c r="R48" s="203" t="s">
        <v>402</v>
      </c>
      <c r="S48" s="204">
        <f>'[1]🧮 Costos x Producto'!I14</f>
        <v>2.3227031840221302</v>
      </c>
    </row>
    <row r="49" spans="2:19" ht="19.5" customHeight="1" x14ac:dyDescent="0.25">
      <c r="B49" s="203" t="s">
        <v>403</v>
      </c>
      <c r="C49" s="204">
        <f>'[1]💰 Precio de Venta'!G5</f>
        <v>19.740211941349902</v>
      </c>
      <c r="D49" s="205" t="s">
        <v>403</v>
      </c>
      <c r="E49" s="206">
        <f>'[1]💰 Precio de Venta'!G6</f>
        <v>11.0936728265438</v>
      </c>
      <c r="F49" s="207" t="s">
        <v>403</v>
      </c>
      <c r="G49" s="208">
        <f>'[1]💰 Precio de Venta'!G7</f>
        <v>6.5256898979669202</v>
      </c>
      <c r="H49" s="209" t="s">
        <v>403</v>
      </c>
      <c r="I49" s="210">
        <f>'[1]💰 Precio de Venta'!G8</f>
        <v>5.5468364132718797</v>
      </c>
      <c r="J49" s="211" t="s">
        <v>403</v>
      </c>
      <c r="K49" s="212">
        <f>'[1]💰 Precio de Venta'!G9</f>
        <v>4.2416984336784997</v>
      </c>
      <c r="L49" s="213" t="s">
        <v>403</v>
      </c>
      <c r="M49" s="214">
        <f>'[1]💰 Precio de Venta'!G10</f>
        <v>4.73112517602602</v>
      </c>
      <c r="N49" s="213" t="s">
        <v>403</v>
      </c>
      <c r="O49" s="214">
        <f>'[1]💰 Precio de Venta'!G11</f>
        <v>93.154223293477799</v>
      </c>
      <c r="P49" s="215" t="s">
        <v>403</v>
      </c>
      <c r="Q49" s="216">
        <f>'[1]💰 Precio de Venta'!G12</f>
        <v>12.398810806137201</v>
      </c>
      <c r="R49" s="203" t="s">
        <v>403</v>
      </c>
      <c r="S49" s="204">
        <f>'[1]💰 Precio de Venta'!G13</f>
        <v>4.5679829285768498</v>
      </c>
    </row>
    <row r="50" spans="2:19" ht="19.5" customHeight="1" x14ac:dyDescent="0.25">
      <c r="B50" s="203" t="s">
        <v>404</v>
      </c>
      <c r="C50" s="204">
        <f>'[1]💰 Precio de Venta'!H5</f>
        <v>6.6915972682542204</v>
      </c>
      <c r="D50" s="205" t="s">
        <v>404</v>
      </c>
      <c r="E50" s="206">
        <f>'[1]💰 Precio de Venta'!H6</f>
        <v>3.76056705984535</v>
      </c>
      <c r="F50" s="207" t="s">
        <v>404</v>
      </c>
      <c r="G50" s="208">
        <f>'[1]💰 Precio de Venta'!H7</f>
        <v>2.2120982704972598</v>
      </c>
      <c r="H50" s="209" t="s">
        <v>404</v>
      </c>
      <c r="I50" s="210">
        <f>'[1]💰 Precio de Venta'!H8</f>
        <v>1.8802835299226699</v>
      </c>
      <c r="J50" s="211" t="s">
        <v>404</v>
      </c>
      <c r="K50" s="212">
        <f>'[1]💰 Precio de Venta'!H9</f>
        <v>1.4378638758232201</v>
      </c>
      <c r="L50" s="213" t="s">
        <v>404</v>
      </c>
      <c r="M50" s="214">
        <f>'[1]💰 Precio de Venta'!H10</f>
        <v>1.60377124611051</v>
      </c>
      <c r="N50" s="213" t="s">
        <v>404</v>
      </c>
      <c r="O50" s="214">
        <f>'[1]💰 Precio de Venta'!H11</f>
        <v>31.577702811348399</v>
      </c>
      <c r="P50" s="215" t="s">
        <v>404</v>
      </c>
      <c r="Q50" s="216">
        <f>'[1]💰 Precio de Venta'!H12</f>
        <v>4.2029867139448003</v>
      </c>
      <c r="R50" s="203" t="s">
        <v>404</v>
      </c>
      <c r="S50" s="204">
        <f>'[1]💰 Precio de Venta'!H13</f>
        <v>1.54846878934808</v>
      </c>
    </row>
    <row r="51" spans="2:19" ht="19.5" customHeight="1" x14ac:dyDescent="0.25">
      <c r="B51" s="203" t="s">
        <v>405</v>
      </c>
      <c r="C51" s="217">
        <f>'[1]💰 Precio de Venta'!E5</f>
        <v>0.4</v>
      </c>
      <c r="D51" s="205" t="s">
        <v>405</v>
      </c>
      <c r="E51" s="218">
        <f>'[1]💰 Precio de Venta'!E6</f>
        <v>0.4</v>
      </c>
      <c r="F51" s="207" t="s">
        <v>405</v>
      </c>
      <c r="G51" s="219">
        <f>'[1]💰 Precio de Venta'!E7</f>
        <v>0.4</v>
      </c>
      <c r="H51" s="209" t="s">
        <v>405</v>
      </c>
      <c r="I51" s="220">
        <f>'[1]💰 Precio de Venta'!E8</f>
        <v>0.4</v>
      </c>
      <c r="J51" s="211" t="s">
        <v>405</v>
      </c>
      <c r="K51" s="221">
        <f>'[1]💰 Precio de Venta'!E9</f>
        <v>0.4</v>
      </c>
      <c r="L51" s="213" t="s">
        <v>405</v>
      </c>
      <c r="M51" s="222">
        <f>'[1]💰 Precio de Venta'!E10</f>
        <v>0.4</v>
      </c>
      <c r="N51" s="213" t="s">
        <v>405</v>
      </c>
      <c r="O51" s="222">
        <f>'[1]💰 Precio de Venta'!E11</f>
        <v>0.4</v>
      </c>
      <c r="P51" s="215" t="s">
        <v>405</v>
      </c>
      <c r="Q51" s="223">
        <f>'[1]💰 Precio de Venta'!E12</f>
        <v>0.4</v>
      </c>
      <c r="R51" s="203" t="s">
        <v>405</v>
      </c>
      <c r="S51" s="217">
        <f>'[1]💰 Precio de Venta'!E13</f>
        <v>0.4</v>
      </c>
    </row>
    <row r="52" spans="2:19" ht="19.5" customHeight="1" x14ac:dyDescent="0.25">
      <c r="B52" s="203" t="s">
        <v>406</v>
      </c>
      <c r="C52" s="217">
        <f>IF('[1]🧮 Costos x Producto'!I6=0,0,'[1]💰 Precio de Venta'!H5/'[1]🧮 Costos x Producto'!I6)</f>
        <v>0.66666666666666863</v>
      </c>
      <c r="D52" s="205" t="s">
        <v>406</v>
      </c>
      <c r="E52" s="218">
        <f>IF('[1]🧮 Costos x Producto'!I7=0,0,'[1]💰 Precio de Venta'!H6/'[1]🧮 Costos x Producto'!I7)</f>
        <v>0.6666666666666673</v>
      </c>
      <c r="F52" s="207" t="s">
        <v>406</v>
      </c>
      <c r="G52" s="219">
        <f>IF('[1]🧮 Costos x Producto'!I8=0,0,'[1]💰 Precio de Venta'!H7/'[1]🧮 Costos x Producto'!I8)</f>
        <v>0.66666666666666663</v>
      </c>
      <c r="H52" s="209" t="s">
        <v>406</v>
      </c>
      <c r="I52" s="220">
        <f>IF('[1]🧮 Costos x Producto'!I9=0,0,'[1]💰 Precio de Venta'!H8/'[1]🧮 Costos x Producto'!I9)</f>
        <v>0.66666666666666552</v>
      </c>
      <c r="J52" s="211" t="s">
        <v>406</v>
      </c>
      <c r="K52" s="221">
        <f>IF('[1]🧮 Costos x Producto'!I10=0,0,'[1]💰 Precio de Venta'!H9/'[1]🧮 Costos x Producto'!I10)</f>
        <v>0.66666666666666674</v>
      </c>
      <c r="L52" s="213" t="s">
        <v>406</v>
      </c>
      <c r="M52" s="222">
        <f>IF('[1]🧮 Costos x Producto'!I11=0,0,'[1]💰 Precio de Venta'!H10/'[1]🧮 Costos x Producto'!I11)</f>
        <v>0.6666666666666653</v>
      </c>
      <c r="N52" s="213" t="s">
        <v>406</v>
      </c>
      <c r="O52" s="222">
        <f>IF('[1]🧮 Costos x Producto'!I12=0,0,'[1]💰 Precio de Venta'!H11/'[1]🧮 Costos x Producto'!I12)</f>
        <v>0.66666666666666663</v>
      </c>
      <c r="P52" s="215" t="s">
        <v>406</v>
      </c>
      <c r="Q52" s="223">
        <f>IF('[1]🧮 Costos x Producto'!I13=0,0,'[1]💰 Precio de Venta'!H12/'[1]🧮 Costos x Producto'!I13)</f>
        <v>0.66666666666666674</v>
      </c>
      <c r="R52" s="203" t="s">
        <v>406</v>
      </c>
      <c r="S52" s="217">
        <f>IF('[1]🧮 Costos x Producto'!I14=0,0,'[1]💰 Precio de Venta'!H13/'[1]🧮 Costos x Producto'!I14)</f>
        <v>0.66666666666666374</v>
      </c>
    </row>
    <row r="53" spans="2:19" ht="3.75" customHeight="1" x14ac:dyDescent="0.25">
      <c r="B53" s="224"/>
      <c r="C53" s="224"/>
      <c r="D53" s="225"/>
      <c r="E53" s="225"/>
      <c r="F53" s="226"/>
      <c r="G53" s="226"/>
      <c r="H53" s="227"/>
      <c r="I53" s="227"/>
      <c r="J53" s="228"/>
      <c r="K53" s="228"/>
      <c r="L53" s="229"/>
      <c r="M53" s="229"/>
      <c r="N53" s="230"/>
      <c r="O53" s="230"/>
      <c r="P53" s="224"/>
      <c r="Q53" s="224"/>
      <c r="R53" s="225"/>
      <c r="S53" s="225"/>
    </row>
    <row r="71" spans="2:19" ht="3.75" customHeight="1" x14ac:dyDescent="0.25">
      <c r="B71" s="143"/>
      <c r="C71" s="144"/>
      <c r="D71" s="145"/>
      <c r="E71" s="146"/>
      <c r="F71" s="144"/>
      <c r="G71" s="147"/>
      <c r="H71" s="148"/>
      <c r="I71" s="149"/>
      <c r="J71" s="150"/>
      <c r="K71" s="150"/>
      <c r="L71" s="149"/>
      <c r="M71" s="148"/>
      <c r="N71" s="147"/>
      <c r="O71" s="144"/>
      <c r="P71" s="146"/>
      <c r="Q71" s="145"/>
      <c r="R71" s="144"/>
      <c r="S71" s="143"/>
    </row>
    <row r="72" spans="2:19" ht="15.75" customHeight="1" x14ac:dyDescent="0.25">
      <c r="B72" s="503" t="s">
        <v>407</v>
      </c>
      <c r="C72" s="503"/>
      <c r="D72" s="503"/>
      <c r="E72" s="503"/>
      <c r="F72" s="503"/>
      <c r="G72" s="503"/>
      <c r="H72" s="503"/>
      <c r="I72" s="503"/>
      <c r="J72" s="503"/>
      <c r="K72" s="503"/>
      <c r="L72" s="503"/>
      <c r="M72" s="503"/>
      <c r="N72" s="503"/>
      <c r="O72" s="503"/>
      <c r="P72" s="503"/>
      <c r="Q72" s="503"/>
      <c r="R72" s="503"/>
      <c r="S72" s="503"/>
    </row>
    <row r="200" spans="2:5" ht="15" customHeight="1" x14ac:dyDescent="0.25">
      <c r="B200" s="141" t="s">
        <v>338</v>
      </c>
      <c r="C200" s="141" t="s">
        <v>408</v>
      </c>
      <c r="D200" s="141" t="s">
        <v>409</v>
      </c>
      <c r="E200" s="141" t="s">
        <v>410</v>
      </c>
    </row>
    <row r="201" spans="2:5" ht="15" customHeight="1" x14ac:dyDescent="0.25">
      <c r="B201" s="141" t="str">
        <f>'[1]🧾 Factura Comercial'!C4</f>
        <v>Friction Car Platform Cover</v>
      </c>
      <c r="C201" s="152">
        <f t="shared" ref="C201:C209" si="5">P34</f>
        <v>3211.966688762026</v>
      </c>
      <c r="D201" s="152">
        <f>'[1]🧮 Costos x Producto'!I6</f>
        <v>10.0373959023813</v>
      </c>
      <c r="E201" s="152">
        <f>'[1]💰 Precio de Venta'!G5</f>
        <v>19.740211941349902</v>
      </c>
    </row>
    <row r="202" spans="2:5" ht="15" customHeight="1" x14ac:dyDescent="0.25">
      <c r="B202" s="141" t="str">
        <f>'[1]🧾 Factura Comercial'!C5</f>
        <v>Friction Cars OPP Bag 23cm</v>
      </c>
      <c r="C202" s="152">
        <f t="shared" si="5"/>
        <v>10830.433132354608</v>
      </c>
      <c r="D202" s="152">
        <f>'[1]🧮 Costos x Producto'!I7</f>
        <v>5.6408505897680197</v>
      </c>
      <c r="E202" s="152">
        <f>'[1]💰 Precio de Venta'!G6</f>
        <v>11.0936728265438</v>
      </c>
    </row>
    <row r="203" spans="2:5" ht="15" customHeight="1" x14ac:dyDescent="0.25">
      <c r="B203" s="141" t="str">
        <f>'[1]🧾 Factura Comercial'!C6</f>
        <v>Free Wheel Motor OPP Bag 21cm</v>
      </c>
      <c r="C203" s="152">
        <f t="shared" si="5"/>
        <v>6370.8430190321087</v>
      </c>
      <c r="D203" s="152">
        <f>'[1]🧮 Costos x Producto'!I8</f>
        <v>3.31814740574589</v>
      </c>
      <c r="E203" s="152">
        <f>'[1]💰 Precio de Venta'!G7</f>
        <v>6.5256898979669202</v>
      </c>
    </row>
    <row r="204" spans="2:5" ht="15" customHeight="1" x14ac:dyDescent="0.25">
      <c r="B204" s="141" t="str">
        <f>'[1]🧾 Factura Comercial'!C7</f>
        <v>Friction Cars OPP Bag 22cm</v>
      </c>
      <c r="C204" s="152">
        <f t="shared" si="5"/>
        <v>19224.018809929377</v>
      </c>
      <c r="D204" s="152">
        <f>'[1]🧮 Costos x Producto'!I9</f>
        <v>2.8204252948840098</v>
      </c>
      <c r="E204" s="152">
        <f>'[1]💰 Precio de Venta'!G8</f>
        <v>5.5468364132718797</v>
      </c>
    </row>
    <row r="205" spans="2:5" ht="15" customHeight="1" x14ac:dyDescent="0.25">
      <c r="B205" s="141" t="str">
        <f>'[1]🧾 Factura Comercial'!C8</f>
        <v>Pull Line Friction Car OPP Bag</v>
      </c>
      <c r="C205" s="152">
        <f t="shared" si="5"/>
        <v>12423.143887112621</v>
      </c>
      <c r="D205" s="152">
        <f>'[1]🧮 Costos x Producto'!I10</f>
        <v>2.15679581373483</v>
      </c>
      <c r="E205" s="152">
        <f>'[1]💰 Precio de Venta'!G9</f>
        <v>4.2416984336784997</v>
      </c>
    </row>
    <row r="206" spans="2:5" ht="15" customHeight="1" x14ac:dyDescent="0.25">
      <c r="B206" s="141" t="str">
        <f>'[1]🧾 Factura Comercial'!C9</f>
        <v>Friction Car OPP Bag</v>
      </c>
      <c r="C206" s="152">
        <f t="shared" si="5"/>
        <v>3464.1458915987018</v>
      </c>
      <c r="D206" s="152">
        <f>'[1]🧮 Costos x Producto'!I11</f>
        <v>2.40565686916577</v>
      </c>
      <c r="E206" s="152">
        <f>'[1]💰 Precio de Venta'!G10</f>
        <v>4.73112517602602</v>
      </c>
    </row>
    <row r="207" spans="2:5" ht="15" customHeight="1" x14ac:dyDescent="0.25">
      <c r="B207" s="141" t="str">
        <f>'[1]🧾 Factura Comercial'!C10</f>
        <v>Free Wheel Ride on Digger Handle</v>
      </c>
      <c r="C207" s="152">
        <f t="shared" si="5"/>
        <v>7578.6486747236158</v>
      </c>
      <c r="D207" s="152">
        <f>'[1]🧮 Costos x Producto'!I12</f>
        <v>47.366554217022603</v>
      </c>
      <c r="E207" s="152">
        <f>'[1]💰 Precio de Venta'!G11</f>
        <v>93.154223293477799</v>
      </c>
    </row>
    <row r="208" spans="2:5" ht="15" customHeight="1" x14ac:dyDescent="0.25">
      <c r="B208" s="141" t="str">
        <f>'[1]🧾 Factura Comercial'!C11</f>
        <v>Friction Car with Music and Light</v>
      </c>
      <c r="C208" s="152">
        <f t="shared" si="5"/>
        <v>8069.7344907740162</v>
      </c>
      <c r="D208" s="152">
        <f>'[1]🧮 Costos x Producto'!I13</f>
        <v>6.3044800709172</v>
      </c>
      <c r="E208" s="152">
        <f>'[1]💰 Precio de Venta'!G12</f>
        <v>12.398810806137201</v>
      </c>
    </row>
    <row r="209" spans="2:5" ht="15" customHeight="1" x14ac:dyDescent="0.25">
      <c r="B209" s="141" t="str">
        <f>'[1]🧾 Factura Comercial'!C12</f>
        <v>Pull Line Function Car OPP Bag</v>
      </c>
      <c r="C209" s="152">
        <f t="shared" si="5"/>
        <v>7432.6501888707835</v>
      </c>
      <c r="D209" s="152">
        <f>'[1]🧮 Costos x Producto'!I14</f>
        <v>2.3227031840221302</v>
      </c>
      <c r="E209" s="152">
        <f>'[1]💰 Precio de Venta'!G13</f>
        <v>4.5679829285768498</v>
      </c>
    </row>
  </sheetData>
  <mergeCells count="33">
    <mergeCell ref="N47:O47"/>
    <mergeCell ref="P47:Q47"/>
    <mergeCell ref="R47:S47"/>
    <mergeCell ref="B72:S72"/>
    <mergeCell ref="B47:C47"/>
    <mergeCell ref="D47:E47"/>
    <mergeCell ref="F47:G47"/>
    <mergeCell ref="H47:I47"/>
    <mergeCell ref="J47:K47"/>
    <mergeCell ref="L47:M47"/>
    <mergeCell ref="B45:S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C43:E43"/>
    <mergeCell ref="B2:S2"/>
    <mergeCell ref="C4:D4"/>
    <mergeCell ref="F4:G4"/>
    <mergeCell ref="I4:J4"/>
    <mergeCell ref="L4:M4"/>
    <mergeCell ref="O4:P4"/>
    <mergeCell ref="R4:S4"/>
    <mergeCell ref="B6:S6"/>
    <mergeCell ref="C17:D17"/>
    <mergeCell ref="B19:S19"/>
    <mergeCell ref="C30:D30"/>
    <mergeCell ref="B32:S3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D992-9DFE-48D4-AD77-ADC3D3CFB008}">
  <sheetPr>
    <tabColor rgb="FF0070C0"/>
  </sheetPr>
  <dimension ref="A1:AW71"/>
  <sheetViews>
    <sheetView showGridLines="0" showRowColHeaders="0" zoomScale="30" zoomScaleNormal="30" workbookViewId="0">
      <selection activeCell="AT14" sqref="AT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3.85546875" customWidth="1"/>
    <col min="2" max="2" width="4.85546875" customWidth="1"/>
    <col min="4" max="4" width="2.7109375" customWidth="1"/>
    <col min="5" max="5" width="1.28515625" customWidth="1"/>
    <col min="6" max="6" width="13.7109375" customWidth="1"/>
    <col min="7" max="7" width="3.7109375" customWidth="1"/>
    <col min="8" max="8" width="19" bestFit="1" customWidth="1"/>
    <col min="9" max="9" width="26.42578125" bestFit="1" customWidth="1"/>
    <col min="10" max="10" width="11.85546875" customWidth="1"/>
    <col min="11" max="11" width="24.7109375" bestFit="1" customWidth="1"/>
    <col min="13" max="13" width="20.140625" bestFit="1" customWidth="1"/>
    <col min="14" max="14" width="12.5703125" bestFit="1" customWidth="1"/>
    <col min="15" max="15" width="24.7109375" bestFit="1" customWidth="1"/>
    <col min="17" max="17" width="21.7109375" bestFit="1" customWidth="1"/>
    <col min="19" max="19" width="22.42578125" bestFit="1" customWidth="1"/>
    <col min="20" max="20" width="27.5703125" bestFit="1" customWidth="1"/>
    <col min="21" max="21" width="7.85546875" customWidth="1"/>
    <col min="22" max="22" width="24.7109375" bestFit="1" customWidth="1"/>
    <col min="24" max="24" width="26.42578125" bestFit="1" customWidth="1"/>
    <col min="27" max="27" width="14.140625" bestFit="1" customWidth="1"/>
    <col min="28" max="28" width="11.5703125" bestFit="1" customWidth="1"/>
    <col min="30" max="30" width="19.7109375" bestFit="1" customWidth="1"/>
    <col min="32" max="32" width="21.7109375" bestFit="1" customWidth="1"/>
    <col min="42" max="42" width="2" customWidth="1"/>
    <col min="44" max="44" width="19.85546875" bestFit="1" customWidth="1"/>
  </cols>
  <sheetData>
    <row r="1" spans="2:43" s="139" customFormat="1" x14ac:dyDescent="0.25"/>
    <row r="2" spans="2:43" s="139" customFormat="1" x14ac:dyDescent="0.25"/>
    <row r="3" spans="2:43" s="139" customFormat="1" x14ac:dyDescent="0.25"/>
    <row r="4" spans="2:43" s="139" customFormat="1" x14ac:dyDescent="0.25"/>
    <row r="5" spans="2:43" s="93" customFormat="1" x14ac:dyDescent="0.25"/>
    <row r="6" spans="2:43" s="93" customFormat="1" ht="11.25" customHeight="1" x14ac:dyDescent="0.25"/>
    <row r="7" spans="2:43" s="93" customFormat="1" ht="9.75" customHeight="1" x14ac:dyDescent="0.25"/>
    <row r="8" spans="2:43" s="93" customFormat="1" x14ac:dyDescent="0.25"/>
    <row r="9" spans="2:43" s="93" customFormat="1" x14ac:dyDescent="0.25"/>
    <row r="10" spans="2:43" s="93" customFormat="1" x14ac:dyDescent="0.25"/>
    <row r="11" spans="2:43" s="93" customFormat="1" x14ac:dyDescent="0.25"/>
    <row r="12" spans="2:43" s="93" customFormat="1" x14ac:dyDescent="0.25"/>
    <row r="13" spans="2:43" s="93" customFormat="1" ht="33.75" customHeight="1" thickBot="1" x14ac:dyDescent="0.3">
      <c r="B13" s="509" t="str">
        <f>'📋 Datos Generales'!E6&amp;"   |   DUA: "&amp;'📋 Datos Generales'!E5&amp;"   |   País: "&amp;'📋 Datos Generales'!E9&amp;"   |   Proveedor: "&amp;'📋 Datos Generales'!E10&amp;"   |   Incoterm: "&amp;'📋 Datos Generales'!E11&amp;"   |   TC: S/."&amp;TEXT('📋 Datos Generales'!E19,"0.000")</f>
        <v>EMPRESA IMPORTADORA S.A.C.   |   DUA: DAM-2025-000001   |   País: China   |   Proveedor: HWPI Co. Ltd.   |   Incoterm: FOB   |   TC: S/.3.720</v>
      </c>
      <c r="C13" s="509"/>
      <c r="D13" s="509"/>
      <c r="E13" s="509"/>
      <c r="F13" s="509"/>
      <c r="G13" s="509"/>
      <c r="H13" s="509"/>
      <c r="I13" s="509"/>
      <c r="J13" s="509"/>
      <c r="K13" s="509"/>
      <c r="L13" s="509"/>
      <c r="M13" s="509"/>
      <c r="N13" s="509"/>
      <c r="O13" s="509"/>
      <c r="P13" s="509"/>
      <c r="Q13" s="509"/>
      <c r="R13" s="509"/>
      <c r="S13" s="509"/>
      <c r="T13" s="509"/>
      <c r="U13" s="509"/>
      <c r="V13" s="509"/>
      <c r="W13" s="509"/>
      <c r="X13" s="509"/>
      <c r="Y13" s="509"/>
      <c r="Z13" s="509"/>
      <c r="AA13" s="509"/>
      <c r="AB13" s="509"/>
      <c r="AC13" s="509"/>
      <c r="AD13" s="509"/>
      <c r="AE13" s="509"/>
      <c r="AF13" s="509"/>
      <c r="AG13" s="509"/>
      <c r="AH13" s="510" t="s">
        <v>411</v>
      </c>
      <c r="AI13" s="510"/>
      <c r="AJ13" s="510"/>
      <c r="AK13" s="510"/>
      <c r="AL13" s="510"/>
      <c r="AM13" s="510"/>
      <c r="AN13" s="510"/>
      <c r="AO13" s="510"/>
      <c r="AP13" s="511"/>
    </row>
    <row r="14" spans="2:43" s="93" customFormat="1" ht="51" customHeight="1" thickBot="1" x14ac:dyDescent="0.3"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512" t="s">
        <v>413</v>
      </c>
      <c r="AI14" s="513"/>
      <c r="AJ14" s="513"/>
      <c r="AK14" s="513"/>
      <c r="AL14" s="513"/>
      <c r="AM14" s="513"/>
      <c r="AN14" s="513"/>
      <c r="AO14" s="513"/>
      <c r="AP14" s="514"/>
    </row>
    <row r="15" spans="2:43" s="93" customFormat="1" ht="36" customHeight="1" x14ac:dyDescent="0.25"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</row>
    <row r="16" spans="2:43" s="134" customFormat="1" ht="11.25" customHeight="1" x14ac:dyDescent="0.25">
      <c r="C16" s="352"/>
      <c r="D16" s="352"/>
      <c r="E16" s="352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</row>
    <row r="17" spans="3:49" s="134" customFormat="1" ht="11.25" customHeight="1" x14ac:dyDescent="0.25">
      <c r="C17" s="352"/>
      <c r="D17" s="352"/>
      <c r="E17" s="352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</row>
    <row r="18" spans="3:49" s="134" customFormat="1" ht="30" customHeight="1" x14ac:dyDescent="0.25">
      <c r="C18" s="352"/>
      <c r="D18" s="352"/>
      <c r="E18" s="352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</row>
    <row r="19" spans="3:49" s="134" customFormat="1" ht="30" customHeight="1" x14ac:dyDescent="0.25"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</row>
    <row r="20" spans="3:49" s="137" customFormat="1" ht="30" customHeight="1" x14ac:dyDescent="0.25">
      <c r="C20" s="136"/>
      <c r="D20" s="136"/>
      <c r="E20" s="136"/>
      <c r="F20" s="533"/>
      <c r="G20" s="533"/>
      <c r="H20" s="517"/>
      <c r="I20" s="517"/>
      <c r="J20" s="517"/>
      <c r="K20" s="517"/>
      <c r="L20" s="517"/>
      <c r="M20" s="517"/>
      <c r="N20" s="517"/>
      <c r="O20" s="517"/>
      <c r="P20" s="517"/>
      <c r="Q20" s="518"/>
      <c r="R20" s="517"/>
      <c r="S20" s="517"/>
      <c r="T20" s="517"/>
      <c r="U20" s="517"/>
      <c r="V20" s="517"/>
      <c r="W20" s="517"/>
      <c r="X20" s="517"/>
      <c r="Y20" s="533"/>
      <c r="Z20" s="533"/>
      <c r="AA20" s="533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</row>
    <row r="21" spans="3:49" s="137" customFormat="1" ht="30" customHeight="1" x14ac:dyDescent="0.25">
      <c r="C21" s="136"/>
      <c r="D21" s="136"/>
      <c r="E21" s="136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522">
        <f>VLOOKUP($AH$14,TABLA_BASE[#All],6,FALSE)</f>
        <v>1.3308500575601812E-2</v>
      </c>
      <c r="Y21" s="517"/>
      <c r="Z21" s="517"/>
      <c r="AA21" s="308"/>
      <c r="AB21" s="308"/>
      <c r="AC21" s="308"/>
      <c r="AD21" s="308"/>
      <c r="AE21" s="308"/>
      <c r="AF21" s="308"/>
      <c r="AG21" s="308"/>
      <c r="AH21" s="308"/>
      <c r="AI21" s="308"/>
      <c r="AJ21" s="308"/>
      <c r="AK21" s="308"/>
      <c r="AL21" s="87"/>
      <c r="AM21" s="87"/>
      <c r="AN21" s="87"/>
      <c r="AO21" s="314"/>
      <c r="AP21" s="314"/>
      <c r="AQ21" s="314"/>
      <c r="AR21" s="87"/>
      <c r="AS21" s="314"/>
      <c r="AT21" s="314"/>
      <c r="AU21" s="314"/>
      <c r="AV21" s="314"/>
      <c r="AW21" s="314"/>
    </row>
    <row r="22" spans="3:49" s="137" customFormat="1" ht="30" customHeight="1" x14ac:dyDescent="0.5">
      <c r="C22" s="136"/>
      <c r="D22" s="136"/>
      <c r="E22" s="136"/>
      <c r="F22" s="308"/>
      <c r="G22" s="308"/>
      <c r="H22" s="306">
        <f>VLOOKUP($AH$14,TABLA_BASE[#All],3,FALSE)</f>
        <v>480</v>
      </c>
      <c r="I22" s="307"/>
      <c r="J22" s="308"/>
      <c r="K22" s="309">
        <f>VLOOKUP($AH$14,TABLA_BASE[#All],4,FALSE)</f>
        <v>1.21</v>
      </c>
      <c r="L22" s="310"/>
      <c r="M22" s="309"/>
      <c r="N22" s="312">
        <f>VLOOKUP($AH$14,TABLA_BASE[#All],7,FALSE)</f>
        <v>4.5011999999999999</v>
      </c>
      <c r="O22" s="311"/>
      <c r="P22" s="308"/>
      <c r="Q22" s="312"/>
      <c r="R22" s="313"/>
      <c r="S22" s="313"/>
      <c r="T22" s="312">
        <f>VLOOKUP($AH$14,TABLA_BASE[#All],8,FALSE)</f>
        <v>2160.576</v>
      </c>
      <c r="U22" s="308"/>
      <c r="V22" s="308"/>
      <c r="W22" s="308"/>
      <c r="X22" s="308"/>
      <c r="Y22" s="517"/>
      <c r="Z22" s="517"/>
      <c r="AA22" s="308"/>
      <c r="AB22" s="308"/>
      <c r="AC22" s="308"/>
      <c r="AD22" s="308"/>
      <c r="AE22" s="308"/>
      <c r="AF22" s="308"/>
      <c r="AG22" s="308"/>
      <c r="AH22" s="308"/>
      <c r="AI22" s="308"/>
      <c r="AJ22" s="308"/>
      <c r="AK22" s="308"/>
      <c r="AL22" s="87"/>
      <c r="AM22" s="87"/>
      <c r="AN22" s="87"/>
      <c r="AO22" s="314"/>
      <c r="AP22" s="314"/>
      <c r="AQ22" s="314"/>
      <c r="AR22" s="551">
        <f>VLOOKUP($AH$14,TABLA_BASE[#All],50,FALSE)</f>
        <v>66</v>
      </c>
      <c r="AS22" s="314"/>
      <c r="AT22" s="314"/>
      <c r="AU22" s="314"/>
      <c r="AV22" s="314"/>
      <c r="AW22" s="314"/>
    </row>
    <row r="23" spans="3:49" s="86" customFormat="1" ht="31.5" x14ac:dyDescent="0.5">
      <c r="F23" s="87"/>
      <c r="G23" s="87"/>
      <c r="H23" s="314"/>
      <c r="I23" s="314"/>
      <c r="J23" s="314"/>
      <c r="K23" s="314"/>
      <c r="L23" s="314"/>
      <c r="M23" s="314"/>
      <c r="N23" s="314"/>
      <c r="O23" s="314"/>
      <c r="P23" s="314"/>
      <c r="Q23" s="314"/>
      <c r="R23" s="314"/>
      <c r="S23" s="314"/>
      <c r="T23" s="521">
        <f>VLOOKUP($AH$14,TABLA_BASE[#All],5,FALSE)</f>
        <v>580.79999999999995</v>
      </c>
      <c r="U23" s="314"/>
      <c r="V23" s="314"/>
      <c r="W23" s="314"/>
      <c r="X23" s="518"/>
      <c r="Y23" s="314"/>
      <c r="Z23" s="314"/>
      <c r="AA23" s="87"/>
      <c r="AB23" s="539">
        <f>VLOOKUP($AH$14,TABLA_BASE[#All],44,FALSE)</f>
        <v>0.4</v>
      </c>
      <c r="AC23" s="87"/>
      <c r="AD23" s="304">
        <f>'Detallado por producto'!AS3</f>
        <v>8.5576486202971118</v>
      </c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314"/>
      <c r="AP23" s="314"/>
      <c r="AQ23" s="314"/>
      <c r="AR23" s="304">
        <f>VLOOKUP($AH$14,TABLA_BASE[#All],41,FALSE)</f>
        <v>0.30394873564661701</v>
      </c>
      <c r="AS23" s="314"/>
      <c r="AT23" s="314"/>
      <c r="AU23" s="314"/>
      <c r="AV23" s="314"/>
      <c r="AW23" s="314"/>
    </row>
    <row r="24" spans="3:49" s="86" customFormat="1" x14ac:dyDescent="0.25">
      <c r="F24" s="87"/>
      <c r="G24" s="87"/>
      <c r="H24" s="314"/>
      <c r="I24" s="314"/>
      <c r="J24" s="314"/>
      <c r="K24" s="314"/>
      <c r="L24" s="314"/>
      <c r="M24" s="314"/>
      <c r="N24" s="314"/>
      <c r="O24" s="314"/>
      <c r="P24" s="314"/>
      <c r="Q24" s="314"/>
      <c r="R24" s="314"/>
      <c r="S24" s="314"/>
      <c r="T24" s="314"/>
      <c r="U24" s="314"/>
      <c r="V24" s="314"/>
      <c r="W24" s="314"/>
      <c r="X24" s="314"/>
      <c r="Y24" s="314"/>
      <c r="Z24" s="314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314"/>
      <c r="AP24" s="314"/>
      <c r="AQ24" s="314"/>
      <c r="AR24" s="87"/>
      <c r="AS24" s="314"/>
      <c r="AT24" s="314"/>
      <c r="AU24" s="314"/>
      <c r="AV24" s="314"/>
      <c r="AW24" s="314"/>
    </row>
    <row r="25" spans="3:49" s="86" customFormat="1" ht="23.25" x14ac:dyDescent="0.35"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314"/>
      <c r="Z25" s="314"/>
      <c r="AA25" s="87"/>
      <c r="AB25" s="87"/>
      <c r="AC25" s="87"/>
      <c r="AD25" s="304">
        <f>VLOOKUP($AH$14,TABLA_BASE[#All],45,FALSE)</f>
        <v>8.5576486202971118</v>
      </c>
      <c r="AE25" s="87"/>
      <c r="AF25" s="304">
        <f>VLOOKUP($AH$14,TABLA_BASE[#All],46,FALSE)</f>
        <v>4107.671337742614</v>
      </c>
      <c r="AG25" s="87"/>
      <c r="AH25" s="87"/>
      <c r="AI25" s="87"/>
      <c r="AJ25" s="87"/>
      <c r="AK25" s="87"/>
      <c r="AL25" s="87"/>
      <c r="AM25" s="87"/>
      <c r="AN25" s="87"/>
      <c r="AO25" s="314"/>
      <c r="AP25" s="314"/>
      <c r="AQ25" s="314"/>
      <c r="AR25" s="87"/>
      <c r="AS25" s="314"/>
      <c r="AT25" s="314"/>
      <c r="AU25" s="314"/>
      <c r="AV25" s="314"/>
      <c r="AW25" s="314"/>
    </row>
    <row r="26" spans="3:49" s="86" customFormat="1" x14ac:dyDescent="0.25">
      <c r="F26" s="87"/>
      <c r="G26" s="87"/>
      <c r="H26" s="87"/>
      <c r="I26" s="87"/>
      <c r="J26" s="87"/>
      <c r="K26" s="534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314"/>
      <c r="Z26" s="314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549"/>
      <c r="AO26" s="314"/>
      <c r="AP26" s="314"/>
      <c r="AQ26" s="314"/>
      <c r="AR26" s="87"/>
      <c r="AS26" s="314"/>
      <c r="AT26" s="314"/>
      <c r="AU26" s="314"/>
      <c r="AV26" s="314"/>
      <c r="AW26" s="314"/>
    </row>
    <row r="27" spans="3:49" s="86" customFormat="1" ht="23.25" x14ac:dyDescent="0.35">
      <c r="F27" s="87"/>
      <c r="G27" s="87"/>
      <c r="H27" s="87"/>
      <c r="I27" s="87"/>
      <c r="J27" s="87"/>
      <c r="K27" s="87"/>
      <c r="L27" s="87"/>
      <c r="M27" s="535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314"/>
      <c r="Z27" s="314"/>
      <c r="AA27" s="87"/>
      <c r="AB27" s="87"/>
      <c r="AC27" s="87"/>
      <c r="AD27" s="304">
        <f>VLOOKUP($AH$14,TABLA_BASE[#All],44,FALSE)</f>
        <v>0.4</v>
      </c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314"/>
      <c r="AP27" s="314"/>
      <c r="AQ27" s="314"/>
      <c r="AR27" s="314"/>
      <c r="AS27" s="314"/>
      <c r="AT27" s="314"/>
      <c r="AU27" s="314"/>
      <c r="AV27" s="314"/>
      <c r="AW27" s="314"/>
    </row>
    <row r="28" spans="3:49" s="86" customFormat="1" ht="8.25" customHeight="1" x14ac:dyDescent="0.25">
      <c r="F28" s="314"/>
      <c r="G28" s="314"/>
      <c r="H28" s="314"/>
      <c r="I28" s="314"/>
      <c r="J28" s="314"/>
      <c r="K28" s="314"/>
      <c r="L28" s="314"/>
      <c r="M28" s="519"/>
      <c r="N28" s="314"/>
      <c r="O28" s="314"/>
      <c r="P28" s="314"/>
      <c r="Q28" s="314"/>
      <c r="R28" s="314"/>
      <c r="S28" s="314"/>
      <c r="T28" s="314"/>
      <c r="U28" s="314"/>
      <c r="V28" s="314"/>
      <c r="W28" s="314"/>
      <c r="X28" s="314"/>
      <c r="Y28" s="314"/>
      <c r="Z28" s="314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314"/>
      <c r="AP28" s="314"/>
      <c r="AQ28" s="314"/>
      <c r="AR28" s="314"/>
      <c r="AS28" s="314"/>
      <c r="AT28" s="314"/>
      <c r="AU28" s="314"/>
      <c r="AV28" s="314"/>
      <c r="AW28" s="314"/>
    </row>
    <row r="29" spans="3:49" s="86" customFormat="1" ht="19.5" customHeight="1" x14ac:dyDescent="0.25">
      <c r="F29" s="314"/>
      <c r="G29" s="314"/>
      <c r="H29" s="314"/>
      <c r="I29" s="314"/>
      <c r="J29" s="314"/>
      <c r="K29" s="314"/>
      <c r="L29" s="314"/>
      <c r="M29" s="519"/>
      <c r="N29" s="314"/>
      <c r="O29" s="314"/>
      <c r="P29" s="314"/>
      <c r="Q29" s="314"/>
      <c r="R29" s="314"/>
      <c r="S29" s="314"/>
      <c r="T29" s="314"/>
      <c r="U29" s="314"/>
      <c r="V29" s="314"/>
      <c r="W29" s="314"/>
      <c r="X29" s="518"/>
      <c r="Y29" s="314"/>
      <c r="Z29" s="314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314"/>
      <c r="AP29" s="314"/>
      <c r="AQ29" s="314"/>
      <c r="AR29" s="314"/>
      <c r="AS29" s="314"/>
      <c r="AT29" s="314"/>
      <c r="AU29" s="314"/>
      <c r="AV29" s="314"/>
      <c r="AW29" s="314"/>
    </row>
    <row r="30" spans="3:49" s="86" customFormat="1" ht="22.5" customHeight="1" x14ac:dyDescent="0.35">
      <c r="F30" s="523"/>
      <c r="G30" s="523"/>
      <c r="H30" s="523"/>
      <c r="I30" s="523"/>
      <c r="J30" s="523"/>
      <c r="K30" s="523"/>
      <c r="L30" s="523"/>
      <c r="M30" s="523"/>
      <c r="N30" s="523"/>
      <c r="O30" s="523"/>
      <c r="P30" s="523"/>
      <c r="Q30" s="523"/>
      <c r="R30" s="523"/>
      <c r="S30" s="523"/>
      <c r="T30" s="523"/>
      <c r="U30" s="523"/>
      <c r="V30" s="523"/>
      <c r="W30" s="523"/>
      <c r="X30" s="523"/>
      <c r="Y30" s="524"/>
      <c r="Z30" s="524"/>
      <c r="AA30" s="536"/>
      <c r="AB30" s="536"/>
      <c r="AC30" s="536"/>
      <c r="AD30" s="304">
        <f>'Detallado por producto'!AY3</f>
        <v>1643.0685350970455</v>
      </c>
      <c r="AE30" s="536"/>
      <c r="AF30" s="540"/>
      <c r="AG30" s="540"/>
      <c r="AH30" s="87"/>
      <c r="AI30" s="87"/>
      <c r="AJ30" s="87"/>
      <c r="AK30" s="87"/>
      <c r="AL30" s="87"/>
      <c r="AM30" s="87"/>
      <c r="AN30" s="87"/>
      <c r="AO30" s="314"/>
      <c r="AP30" s="314"/>
      <c r="AQ30" s="314"/>
      <c r="AR30" s="314"/>
      <c r="AS30" s="314"/>
      <c r="AT30" s="314"/>
      <c r="AU30" s="314"/>
      <c r="AV30" s="314"/>
      <c r="AW30" s="314"/>
    </row>
    <row r="31" spans="3:49" s="86" customFormat="1" x14ac:dyDescent="0.25">
      <c r="F31" s="314"/>
      <c r="G31" s="314"/>
      <c r="H31" s="314"/>
      <c r="I31" s="314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314"/>
      <c r="V31" s="314"/>
      <c r="W31" s="314"/>
      <c r="X31" s="314"/>
      <c r="Y31" s="314"/>
      <c r="Z31" s="314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314"/>
      <c r="AP31" s="314"/>
      <c r="AQ31" s="314"/>
      <c r="AR31" s="314"/>
      <c r="AS31" s="314"/>
      <c r="AT31" s="314"/>
      <c r="AU31" s="314"/>
      <c r="AV31" s="314"/>
      <c r="AW31" s="314"/>
    </row>
    <row r="32" spans="3:49" s="86" customFormat="1" ht="26.25" x14ac:dyDescent="0.4">
      <c r="F32" s="314"/>
      <c r="G32" s="314"/>
      <c r="H32" s="520"/>
      <c r="I32" s="520"/>
      <c r="J32" s="520"/>
      <c r="K32" s="520"/>
      <c r="L32" s="520"/>
      <c r="M32" s="520"/>
      <c r="N32" s="520"/>
      <c r="O32" s="520"/>
      <c r="P32" s="520"/>
      <c r="Q32" s="520"/>
      <c r="R32" s="520"/>
      <c r="S32" s="520"/>
      <c r="T32" s="520"/>
      <c r="U32" s="314"/>
      <c r="V32" s="314"/>
      <c r="W32" s="314"/>
      <c r="X32" s="314"/>
      <c r="Y32" s="314"/>
      <c r="Z32" s="314"/>
      <c r="AA32" s="87"/>
      <c r="AB32" s="87"/>
      <c r="AC32" s="87"/>
      <c r="AD32" s="304">
        <f>VLOOKUP($AH$14,TABLA_BASE[#All],48,FALSE)</f>
        <v>3.4230594481188445</v>
      </c>
      <c r="AE32" s="87"/>
      <c r="AF32" s="304">
        <f>VLOOKUP($AH$14,TABLA_BASE[#All],49,FALSE)</f>
        <v>1643.0685350970455</v>
      </c>
      <c r="AG32" s="87"/>
      <c r="AH32" s="87"/>
      <c r="AI32" s="87"/>
      <c r="AJ32" s="87"/>
      <c r="AK32" s="87"/>
      <c r="AL32" s="87"/>
      <c r="AM32" s="87"/>
      <c r="AN32" s="87"/>
      <c r="AO32" s="314"/>
      <c r="AP32" s="314"/>
      <c r="AQ32" s="314"/>
      <c r="AR32" s="314"/>
      <c r="AS32" s="314"/>
      <c r="AT32" s="314"/>
      <c r="AU32" s="314"/>
      <c r="AV32" s="314"/>
      <c r="AW32" s="314"/>
    </row>
    <row r="33" spans="6:49" s="86" customFormat="1" ht="26.25" x14ac:dyDescent="0.4">
      <c r="F33" s="314"/>
      <c r="G33" s="314"/>
      <c r="H33" s="314"/>
      <c r="I33" s="520"/>
      <c r="J33" s="520"/>
      <c r="K33" s="525"/>
      <c r="L33" s="520"/>
      <c r="M33" s="525"/>
      <c r="N33" s="520"/>
      <c r="O33" s="525"/>
      <c r="P33" s="520"/>
      <c r="Q33" s="525"/>
      <c r="R33" s="520"/>
      <c r="S33" s="520"/>
      <c r="T33" s="526"/>
      <c r="U33" s="314"/>
      <c r="V33" s="314"/>
      <c r="W33" s="314"/>
      <c r="X33" s="314"/>
      <c r="Y33" s="314"/>
      <c r="Z33" s="314"/>
      <c r="AA33" s="87"/>
      <c r="AB33" s="87"/>
      <c r="AC33" s="87"/>
      <c r="AD33" s="304">
        <f>VLOOKUP($AH$14,TABLA_BASE[#All],38,FALSE)</f>
        <v>5.1345891721782673</v>
      </c>
      <c r="AE33" s="87"/>
      <c r="AF33" s="304">
        <f>VLOOKUP($AH$14,TABLA_BASE[#All],39,FALSE)</f>
        <v>2464.6028026455683</v>
      </c>
      <c r="AG33" s="87"/>
      <c r="AH33" s="87"/>
      <c r="AI33" s="87"/>
      <c r="AJ33" s="87"/>
      <c r="AK33" s="87"/>
      <c r="AL33" s="87"/>
      <c r="AM33" s="87"/>
      <c r="AN33" s="87"/>
      <c r="AO33" s="314"/>
      <c r="AP33" s="314"/>
      <c r="AQ33" s="314"/>
      <c r="AR33" s="314"/>
      <c r="AS33" s="314"/>
      <c r="AT33" s="314"/>
      <c r="AU33" s="314"/>
      <c r="AV33" s="314"/>
      <c r="AW33" s="314"/>
    </row>
    <row r="34" spans="6:49" s="86" customFormat="1" ht="26.25" x14ac:dyDescent="0.4">
      <c r="F34" s="87"/>
      <c r="G34" s="87"/>
      <c r="H34" s="303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314"/>
      <c r="Z34" s="314"/>
      <c r="AA34" s="87"/>
      <c r="AB34" s="87"/>
      <c r="AC34" s="87"/>
      <c r="AD34" s="541">
        <f>VLOOKUP($AH$14,TABLA_BASE[#All],45,FALSE)</f>
        <v>8.5576486202971118</v>
      </c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314"/>
      <c r="AP34" s="314"/>
      <c r="AQ34" s="314"/>
      <c r="AR34" s="314"/>
      <c r="AS34" s="314"/>
      <c r="AT34" s="314"/>
      <c r="AU34" s="314"/>
      <c r="AV34" s="314"/>
      <c r="AW34" s="314"/>
    </row>
    <row r="35" spans="6:49" s="86" customFormat="1" ht="31.5" x14ac:dyDescent="0.5"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314"/>
      <c r="Z35" s="314"/>
      <c r="AA35" s="550"/>
      <c r="AB35" s="87"/>
      <c r="AC35" s="87"/>
      <c r="AD35" s="303">
        <f>VLOOKUP($AH$14,TABLA_BASE[#All],42,FALSE)</f>
        <v>1.1306892966054154</v>
      </c>
      <c r="AE35" s="542"/>
      <c r="AF35" s="303">
        <f>VLOOKUP($AH$14,TABLA_BASE[#All],43,FALSE)</f>
        <v>542.73086237059943</v>
      </c>
      <c r="AG35" s="87"/>
      <c r="AH35" s="87"/>
      <c r="AI35" s="87"/>
      <c r="AJ35" s="87"/>
      <c r="AK35" s="87"/>
      <c r="AL35" s="87"/>
      <c r="AM35" s="87"/>
      <c r="AN35" s="87"/>
      <c r="AO35" s="314"/>
      <c r="AP35" s="314"/>
      <c r="AQ35" s="314"/>
      <c r="AR35" s="314"/>
      <c r="AS35" s="314"/>
      <c r="AT35" s="314"/>
      <c r="AU35" s="314"/>
      <c r="AV35" s="314"/>
      <c r="AW35" s="314"/>
    </row>
    <row r="36" spans="6:49" s="86" customFormat="1" ht="21" x14ac:dyDescent="0.35"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314"/>
      <c r="Z36" s="314"/>
      <c r="AA36" s="87"/>
      <c r="AB36" s="87"/>
      <c r="AC36" s="87"/>
      <c r="AD36" s="317">
        <f>VLOOKUP($AH$14,TABLA_BASE[#All],42,FALSE)</f>
        <v>1.1306892966054154</v>
      </c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314"/>
      <c r="AP36" s="314"/>
      <c r="AQ36" s="314"/>
      <c r="AR36" s="314"/>
      <c r="AS36" s="314"/>
      <c r="AT36" s="314"/>
      <c r="AU36" s="314"/>
      <c r="AV36" s="314"/>
      <c r="AW36" s="314"/>
    </row>
    <row r="37" spans="6:49" s="86" customFormat="1" x14ac:dyDescent="0.25"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314"/>
      <c r="Z37" s="314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314"/>
      <c r="AP37" s="314"/>
      <c r="AQ37" s="314"/>
      <c r="AR37" s="314"/>
      <c r="AS37" s="314"/>
      <c r="AT37" s="314"/>
      <c r="AU37" s="314"/>
      <c r="AV37" s="314"/>
      <c r="AW37" s="314"/>
    </row>
    <row r="38" spans="6:49" s="86" customFormat="1" x14ac:dyDescent="0.25"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L38" s="314"/>
      <c r="AM38" s="314"/>
      <c r="AN38" s="314"/>
      <c r="AO38" s="314"/>
      <c r="AP38" s="314"/>
      <c r="AQ38" s="314"/>
      <c r="AR38" s="314"/>
      <c r="AS38" s="314"/>
      <c r="AT38" s="314"/>
      <c r="AU38" s="314"/>
      <c r="AV38" s="314"/>
      <c r="AW38" s="314"/>
    </row>
    <row r="39" spans="6:49" s="86" customFormat="1" x14ac:dyDescent="0.25"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314"/>
      <c r="Z39" s="314"/>
      <c r="AA39" s="314"/>
      <c r="AB39" s="314"/>
      <c r="AC39" s="314"/>
      <c r="AD39" s="314"/>
      <c r="AE39" s="314"/>
      <c r="AF39" s="314"/>
      <c r="AG39" s="314"/>
      <c r="AH39" s="314"/>
      <c r="AI39" s="314"/>
      <c r="AJ39" s="314"/>
      <c r="AK39" s="314"/>
      <c r="AL39" s="314"/>
      <c r="AM39" s="314"/>
      <c r="AN39" s="314"/>
      <c r="AO39" s="314"/>
      <c r="AP39" s="314"/>
      <c r="AQ39" s="314"/>
      <c r="AR39" s="314"/>
      <c r="AS39" s="314"/>
      <c r="AT39" s="314"/>
      <c r="AU39" s="314"/>
      <c r="AV39" s="314"/>
      <c r="AW39" s="314"/>
    </row>
    <row r="40" spans="6:49" s="86" customFormat="1" ht="23.25" x14ac:dyDescent="0.35">
      <c r="F40" s="87"/>
      <c r="G40" s="87"/>
      <c r="H40" s="304"/>
      <c r="I40" s="305"/>
      <c r="J40" s="305"/>
      <c r="K40" s="304"/>
      <c r="L40" s="305"/>
      <c r="M40" s="304"/>
      <c r="N40" s="305"/>
      <c r="O40" s="305"/>
      <c r="P40" s="305"/>
      <c r="Q40" s="304"/>
      <c r="R40" s="305"/>
      <c r="S40" s="305"/>
      <c r="T40" s="305"/>
      <c r="U40" s="87"/>
      <c r="V40" s="87"/>
      <c r="W40" s="87"/>
      <c r="X40" s="87"/>
      <c r="Y40" s="314"/>
      <c r="Z40" s="314"/>
      <c r="AA40" s="314"/>
      <c r="AB40" s="314"/>
      <c r="AC40" s="314"/>
      <c r="AD40" s="314"/>
      <c r="AE40" s="314"/>
      <c r="AF40" s="314"/>
      <c r="AG40" s="314"/>
      <c r="AH40" s="314"/>
      <c r="AI40" s="314"/>
      <c r="AJ40" s="314"/>
      <c r="AK40" s="314"/>
      <c r="AL40" s="314"/>
      <c r="AM40" s="314"/>
      <c r="AN40" s="314"/>
      <c r="AO40" s="314"/>
      <c r="AP40" s="314"/>
      <c r="AQ40" s="314"/>
      <c r="AR40" s="314"/>
      <c r="AS40" s="314"/>
      <c r="AT40" s="314"/>
      <c r="AU40" s="314"/>
      <c r="AV40" s="314"/>
      <c r="AW40" s="314"/>
    </row>
    <row r="41" spans="6:49" s="86" customFormat="1" x14ac:dyDescent="0.25"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314"/>
      <c r="Z41" s="314"/>
      <c r="AA41" s="314"/>
      <c r="AB41" s="314"/>
      <c r="AC41" s="314"/>
      <c r="AD41" s="314"/>
      <c r="AE41" s="314"/>
      <c r="AF41" s="314"/>
      <c r="AG41" s="314"/>
      <c r="AH41" s="314"/>
      <c r="AI41" s="314"/>
      <c r="AJ41" s="314"/>
      <c r="AK41" s="314"/>
      <c r="AL41" s="314"/>
      <c r="AM41" s="314"/>
      <c r="AN41" s="314"/>
      <c r="AO41" s="314"/>
      <c r="AP41" s="314"/>
      <c r="AQ41" s="314"/>
      <c r="AR41" s="314"/>
      <c r="AS41" s="314"/>
      <c r="AT41" s="314"/>
      <c r="AU41" s="314"/>
      <c r="AV41" s="314"/>
      <c r="AW41" s="314"/>
    </row>
    <row r="42" spans="6:49" s="86" customFormat="1" x14ac:dyDescent="0.25"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314"/>
      <c r="Z42" s="314"/>
      <c r="AA42" s="314"/>
      <c r="AB42" s="314"/>
      <c r="AC42" s="314"/>
      <c r="AD42" s="314"/>
      <c r="AE42" s="314"/>
      <c r="AF42" s="314"/>
      <c r="AG42" s="314"/>
      <c r="AH42" s="314"/>
      <c r="AI42" s="314"/>
      <c r="AJ42" s="314"/>
      <c r="AK42" s="314"/>
      <c r="AL42" s="314"/>
      <c r="AM42" s="314"/>
      <c r="AN42" s="314"/>
      <c r="AO42" s="314"/>
      <c r="AP42" s="314"/>
      <c r="AQ42" s="314"/>
      <c r="AR42" s="314"/>
      <c r="AS42" s="314"/>
      <c r="AT42" s="314"/>
      <c r="AU42" s="314"/>
      <c r="AV42" s="314"/>
      <c r="AW42" s="314"/>
    </row>
    <row r="43" spans="6:49" s="86" customFormat="1" x14ac:dyDescent="0.25">
      <c r="F43" s="87"/>
      <c r="G43" s="87"/>
      <c r="H43" s="314"/>
      <c r="I43" s="314"/>
      <c r="J43" s="314"/>
      <c r="K43" s="314"/>
      <c r="L43" s="314"/>
      <c r="M43" s="314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M43" s="314"/>
      <c r="AN43" s="314"/>
      <c r="AO43" s="314"/>
      <c r="AP43" s="314"/>
      <c r="AQ43" s="314"/>
      <c r="AR43" s="314"/>
      <c r="AS43" s="314"/>
      <c r="AT43" s="314"/>
      <c r="AU43" s="314"/>
      <c r="AV43" s="314"/>
      <c r="AW43" s="314"/>
    </row>
    <row r="44" spans="6:49" s="86" customFormat="1" x14ac:dyDescent="0.25">
      <c r="F44" s="87"/>
      <c r="G44" s="87"/>
      <c r="H44" s="314"/>
      <c r="I44" s="314"/>
      <c r="J44" s="314"/>
      <c r="K44" s="314"/>
      <c r="L44" s="314"/>
      <c r="M44" s="314"/>
      <c r="N44" s="314"/>
      <c r="O44" s="314"/>
      <c r="P44" s="314"/>
      <c r="Q44" s="314"/>
      <c r="R44" s="314"/>
      <c r="S44" s="314"/>
      <c r="T44" s="314"/>
      <c r="U44" s="314"/>
      <c r="V44" s="314"/>
      <c r="W44" s="314"/>
      <c r="X44" s="314"/>
      <c r="Y44" s="314"/>
      <c r="Z44" s="314"/>
      <c r="AA44" s="314"/>
      <c r="AB44" s="314"/>
      <c r="AC44" s="314"/>
      <c r="AD44" s="314"/>
      <c r="AE44" s="314"/>
      <c r="AF44" s="314"/>
      <c r="AG44" s="314"/>
      <c r="AH44" s="314"/>
      <c r="AI44" s="314"/>
      <c r="AJ44" s="314"/>
      <c r="AK44" s="314"/>
      <c r="AL44" s="314"/>
      <c r="AM44" s="314"/>
      <c r="AN44" s="314"/>
      <c r="AO44" s="314"/>
      <c r="AP44" s="314"/>
      <c r="AQ44" s="314"/>
      <c r="AR44" s="314"/>
      <c r="AS44" s="314"/>
      <c r="AT44" s="314"/>
      <c r="AU44" s="314"/>
      <c r="AV44" s="314"/>
      <c r="AW44" s="314"/>
    </row>
    <row r="45" spans="6:49" s="86" customFormat="1" x14ac:dyDescent="0.25">
      <c r="F45" s="87"/>
      <c r="G45" s="87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314"/>
      <c r="AB45" s="314"/>
      <c r="AC45" s="314"/>
      <c r="AD45" s="314"/>
      <c r="AE45" s="314"/>
      <c r="AF45" s="314"/>
      <c r="AG45" s="314"/>
      <c r="AH45" s="314"/>
      <c r="AI45" s="314"/>
      <c r="AJ45" s="314"/>
      <c r="AK45" s="314"/>
      <c r="AL45" s="314"/>
      <c r="AM45" s="314"/>
      <c r="AN45" s="314"/>
      <c r="AO45" s="314"/>
      <c r="AP45" s="314"/>
      <c r="AQ45" s="314"/>
      <c r="AR45" s="314"/>
      <c r="AS45" s="314"/>
      <c r="AT45" s="314"/>
      <c r="AU45" s="314"/>
      <c r="AV45" s="314"/>
      <c r="AW45" s="314"/>
    </row>
    <row r="46" spans="6:49" s="86" customFormat="1" x14ac:dyDescent="0.25">
      <c r="F46" s="87"/>
      <c r="G46" s="87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4"/>
      <c r="AE46" s="314"/>
      <c r="AF46" s="314"/>
      <c r="AG46" s="314"/>
      <c r="AH46" s="314"/>
      <c r="AI46" s="314"/>
      <c r="AJ46" s="314"/>
      <c r="AK46" s="314"/>
      <c r="AL46" s="314"/>
      <c r="AM46" s="314"/>
      <c r="AN46" s="314"/>
      <c r="AO46" s="314"/>
      <c r="AP46" s="314"/>
      <c r="AQ46" s="314"/>
      <c r="AR46" s="314"/>
      <c r="AS46" s="314"/>
      <c r="AT46" s="314"/>
      <c r="AU46" s="314"/>
      <c r="AV46" s="314"/>
      <c r="AW46" s="314"/>
    </row>
    <row r="47" spans="6:49" s="86" customFormat="1" x14ac:dyDescent="0.25">
      <c r="F47" s="87"/>
      <c r="G47" s="87"/>
      <c r="H47" s="314"/>
      <c r="I47" s="314"/>
      <c r="J47" s="314"/>
      <c r="K47" s="314"/>
      <c r="L47" s="314"/>
      <c r="M47" s="314"/>
      <c r="N47" s="314"/>
      <c r="O47" s="314"/>
      <c r="P47" s="314"/>
      <c r="Q47" s="314"/>
      <c r="R47" s="314"/>
      <c r="S47" s="314"/>
      <c r="T47" s="314"/>
      <c r="U47" s="314"/>
      <c r="V47" s="314"/>
      <c r="W47" s="314"/>
      <c r="X47" s="314"/>
      <c r="Y47" s="314"/>
      <c r="Z47" s="314"/>
      <c r="AA47" s="314"/>
      <c r="AB47" s="314"/>
      <c r="AC47" s="314"/>
      <c r="AD47" s="314"/>
      <c r="AE47" s="314"/>
      <c r="AF47" s="314"/>
      <c r="AG47" s="314"/>
      <c r="AH47" s="314"/>
      <c r="AI47" s="314"/>
      <c r="AJ47" s="314"/>
      <c r="AK47" s="314"/>
      <c r="AL47" s="314"/>
      <c r="AM47" s="314"/>
      <c r="AN47" s="314"/>
      <c r="AO47" s="314"/>
      <c r="AP47" s="314"/>
      <c r="AQ47" s="314"/>
      <c r="AR47" s="314"/>
      <c r="AS47" s="314"/>
      <c r="AT47" s="314"/>
      <c r="AU47" s="314"/>
      <c r="AV47" s="314"/>
      <c r="AW47" s="314"/>
    </row>
    <row r="48" spans="6:49" s="86" customFormat="1" x14ac:dyDescent="0.25">
      <c r="F48" s="87"/>
      <c r="G48" s="87"/>
      <c r="H48" s="314"/>
      <c r="I48" s="314"/>
      <c r="J48" s="314"/>
      <c r="K48" s="314"/>
      <c r="L48" s="314"/>
      <c r="M48" s="527"/>
      <c r="N48" s="314"/>
      <c r="O48" s="314"/>
      <c r="P48" s="314"/>
      <c r="Q48" s="314"/>
      <c r="R48" s="314"/>
      <c r="S48" s="314"/>
      <c r="T48" s="314"/>
      <c r="U48" s="314"/>
      <c r="V48" s="314"/>
      <c r="W48" s="314"/>
      <c r="X48" s="314"/>
      <c r="Y48" s="314"/>
      <c r="Z48" s="314"/>
      <c r="AA48" s="314"/>
      <c r="AB48" s="314"/>
      <c r="AC48" s="314"/>
      <c r="AD48" s="314"/>
      <c r="AE48" s="314"/>
      <c r="AF48" s="314"/>
      <c r="AG48" s="314"/>
      <c r="AH48" s="314"/>
      <c r="AI48" s="314"/>
      <c r="AJ48" s="314"/>
      <c r="AK48" s="314"/>
      <c r="AL48" s="314"/>
      <c r="AM48" s="314"/>
      <c r="AN48" s="314"/>
      <c r="AO48" s="314"/>
      <c r="AP48" s="314"/>
      <c r="AQ48" s="314"/>
      <c r="AR48" s="314"/>
      <c r="AS48" s="314"/>
      <c r="AT48" s="314"/>
      <c r="AU48" s="314"/>
      <c r="AV48" s="314"/>
      <c r="AW48" s="314"/>
    </row>
    <row r="49" spans="6:49" s="86" customFormat="1" x14ac:dyDescent="0.25">
      <c r="F49" s="87"/>
      <c r="G49" s="87"/>
      <c r="H49" s="314"/>
      <c r="I49" s="314"/>
      <c r="J49" s="314"/>
      <c r="K49" s="314"/>
      <c r="L49" s="314"/>
      <c r="M49" s="314"/>
      <c r="N49" s="314"/>
      <c r="O49" s="314"/>
      <c r="P49" s="314"/>
      <c r="Q49" s="314"/>
      <c r="R49" s="314"/>
      <c r="S49" s="314"/>
      <c r="T49" s="314"/>
      <c r="U49" s="314"/>
      <c r="V49" s="314"/>
      <c r="W49" s="314"/>
      <c r="X49" s="314"/>
      <c r="Y49" s="314"/>
      <c r="Z49" s="314"/>
      <c r="AA49" s="314"/>
      <c r="AB49" s="314"/>
      <c r="AC49" s="314"/>
      <c r="AD49" s="314"/>
      <c r="AE49" s="314"/>
      <c r="AF49" s="314"/>
      <c r="AG49" s="314"/>
      <c r="AH49" s="314"/>
      <c r="AI49" s="314"/>
      <c r="AJ49" s="314"/>
      <c r="AK49" s="314"/>
      <c r="AL49" s="314"/>
      <c r="AM49" s="314"/>
      <c r="AN49" s="314"/>
      <c r="AO49" s="314"/>
      <c r="AP49" s="314"/>
      <c r="AQ49" s="314"/>
      <c r="AR49" s="314"/>
      <c r="AS49" s="314"/>
      <c r="AT49" s="314"/>
      <c r="AU49" s="314"/>
      <c r="AV49" s="314"/>
      <c r="AW49" s="314"/>
    </row>
    <row r="50" spans="6:49" s="86" customFormat="1" x14ac:dyDescent="0.25">
      <c r="F50" s="87"/>
      <c r="G50" s="87"/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14"/>
      <c r="V50" s="314"/>
      <c r="W50" s="314"/>
      <c r="X50" s="314"/>
      <c r="Y50" s="314"/>
      <c r="Z50" s="314"/>
      <c r="AA50" s="314"/>
      <c r="AB50" s="314"/>
      <c r="AC50" s="314"/>
      <c r="AD50" s="314"/>
      <c r="AE50" s="314"/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14"/>
      <c r="AR50" s="314"/>
      <c r="AS50" s="314"/>
      <c r="AT50" s="314"/>
      <c r="AU50" s="314"/>
      <c r="AV50" s="314"/>
      <c r="AW50" s="314"/>
    </row>
    <row r="51" spans="6:49" s="86" customFormat="1" ht="21" x14ac:dyDescent="0.35">
      <c r="F51" s="87"/>
      <c r="G51" s="87"/>
      <c r="H51" s="528"/>
      <c r="I51" s="528"/>
      <c r="J51" s="315"/>
      <c r="K51" s="529"/>
      <c r="L51" s="528"/>
      <c r="M51" s="530"/>
      <c r="N51" s="528"/>
      <c r="O51" s="528"/>
      <c r="P51" s="528"/>
      <c r="Q51" s="528"/>
      <c r="R51" s="528"/>
      <c r="S51" s="528"/>
      <c r="T51" s="528"/>
      <c r="U51" s="314"/>
      <c r="V51" s="314"/>
      <c r="W51" s="314"/>
      <c r="X51" s="314"/>
      <c r="Y51" s="314"/>
      <c r="Z51" s="314"/>
      <c r="AA51" s="314"/>
      <c r="AB51" s="314"/>
      <c r="AC51" s="314"/>
      <c r="AD51" s="314"/>
      <c r="AE51" s="314"/>
      <c r="AF51" s="314"/>
      <c r="AG51" s="314"/>
      <c r="AH51" s="314"/>
      <c r="AI51" s="314"/>
      <c r="AJ51" s="314"/>
      <c r="AK51" s="314"/>
      <c r="AL51" s="314"/>
      <c r="AM51" s="314"/>
      <c r="AN51" s="314"/>
      <c r="AO51" s="314"/>
      <c r="AP51" s="314"/>
      <c r="AQ51" s="314"/>
      <c r="AR51" s="314"/>
      <c r="AS51" s="314"/>
      <c r="AT51" s="314"/>
      <c r="AU51" s="314"/>
      <c r="AV51" s="314"/>
      <c r="AW51" s="314"/>
    </row>
    <row r="52" spans="6:49" s="86" customFormat="1" x14ac:dyDescent="0.25">
      <c r="F52" s="87"/>
      <c r="G52" s="87"/>
      <c r="H52" s="527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  <c r="AA52" s="314"/>
      <c r="AB52" s="314"/>
      <c r="AC52" s="314"/>
      <c r="AD52" s="314"/>
      <c r="AE52" s="314"/>
      <c r="AF52" s="314"/>
      <c r="AG52" s="314"/>
      <c r="AH52" s="314"/>
      <c r="AI52" s="314"/>
      <c r="AJ52" s="314"/>
      <c r="AK52" s="314"/>
      <c r="AL52" s="314"/>
      <c r="AM52" s="314"/>
      <c r="AN52" s="314"/>
      <c r="AO52" s="314"/>
      <c r="AP52" s="314"/>
      <c r="AQ52" s="314"/>
      <c r="AR52" s="314"/>
      <c r="AS52" s="314"/>
      <c r="AT52" s="314"/>
      <c r="AU52" s="314"/>
      <c r="AV52" s="314"/>
      <c r="AW52" s="314"/>
    </row>
    <row r="53" spans="6:49" s="86" customFormat="1" x14ac:dyDescent="0.25">
      <c r="F53" s="87"/>
      <c r="G53" s="87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  <c r="V53" s="314"/>
      <c r="W53" s="314"/>
      <c r="X53" s="314"/>
      <c r="Y53" s="314"/>
      <c r="Z53" s="314"/>
      <c r="AA53" s="314"/>
      <c r="AB53" s="314"/>
      <c r="AC53" s="314"/>
      <c r="AD53" s="314"/>
      <c r="AE53" s="314"/>
      <c r="AF53" s="314"/>
      <c r="AG53" s="314"/>
      <c r="AH53" s="314"/>
      <c r="AI53" s="314"/>
      <c r="AJ53" s="314"/>
      <c r="AK53" s="314"/>
      <c r="AL53" s="314"/>
      <c r="AM53" s="314"/>
      <c r="AN53" s="314"/>
      <c r="AO53" s="314"/>
      <c r="AP53" s="314"/>
      <c r="AQ53" s="314"/>
      <c r="AR53" s="314"/>
      <c r="AS53" s="314"/>
      <c r="AT53" s="314"/>
      <c r="AU53" s="314"/>
      <c r="AV53" s="314"/>
      <c r="AW53" s="314"/>
    </row>
    <row r="54" spans="6:49" s="86" customFormat="1" ht="21" x14ac:dyDescent="0.35">
      <c r="F54" s="87"/>
      <c r="G54" s="87"/>
      <c r="H54" s="314"/>
      <c r="I54" s="314"/>
      <c r="J54" s="314"/>
      <c r="K54" s="314"/>
      <c r="L54" s="314"/>
      <c r="M54" s="314"/>
      <c r="N54" s="314"/>
      <c r="O54" s="529"/>
      <c r="P54" s="314"/>
      <c r="Q54" s="314"/>
      <c r="R54" s="314"/>
      <c r="S54" s="314"/>
      <c r="T54" s="314"/>
      <c r="U54" s="314"/>
      <c r="V54" s="314"/>
      <c r="W54" s="314"/>
      <c r="X54" s="314"/>
      <c r="Y54" s="314"/>
      <c r="Z54" s="314"/>
      <c r="AA54" s="314"/>
      <c r="AB54" s="314"/>
      <c r="AC54" s="314"/>
      <c r="AD54" s="314"/>
      <c r="AE54" s="314"/>
      <c r="AF54" s="314"/>
      <c r="AG54" s="314"/>
      <c r="AH54" s="314"/>
      <c r="AI54" s="314"/>
      <c r="AJ54" s="314"/>
      <c r="AK54" s="314"/>
      <c r="AL54" s="314"/>
      <c r="AM54" s="314"/>
      <c r="AN54" s="314"/>
      <c r="AO54" s="314"/>
      <c r="AP54" s="314"/>
      <c r="AQ54" s="314"/>
      <c r="AR54" s="314"/>
      <c r="AS54" s="314"/>
      <c r="AT54" s="314"/>
      <c r="AU54" s="314"/>
      <c r="AV54" s="314"/>
      <c r="AW54" s="314"/>
    </row>
    <row r="55" spans="6:49" s="86" customFormat="1" x14ac:dyDescent="0.25">
      <c r="F55" s="87"/>
      <c r="G55" s="87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4"/>
      <c r="Y55" s="314"/>
      <c r="Z55" s="314"/>
      <c r="AA55" s="314"/>
      <c r="AB55" s="314"/>
      <c r="AC55" s="314"/>
      <c r="AD55" s="314"/>
      <c r="AE55" s="314"/>
      <c r="AF55" s="314"/>
      <c r="AG55" s="314"/>
      <c r="AH55" s="314"/>
      <c r="AI55" s="314"/>
      <c r="AJ55" s="314"/>
      <c r="AK55" s="314"/>
      <c r="AL55" s="314"/>
      <c r="AM55" s="314"/>
      <c r="AN55" s="314"/>
      <c r="AO55" s="314"/>
      <c r="AP55" s="314"/>
      <c r="AQ55" s="314"/>
      <c r="AR55" s="314"/>
      <c r="AS55" s="314"/>
      <c r="AT55" s="314"/>
      <c r="AU55" s="314"/>
      <c r="AV55" s="314"/>
      <c r="AW55" s="314"/>
    </row>
    <row r="56" spans="6:49" s="86" customFormat="1" x14ac:dyDescent="0.25">
      <c r="F56" s="87"/>
      <c r="G56" s="87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4"/>
      <c r="AA56" s="314"/>
      <c r="AB56" s="314"/>
      <c r="AC56" s="314"/>
      <c r="AD56" s="314"/>
      <c r="AE56" s="314"/>
      <c r="AF56" s="314"/>
      <c r="AG56" s="314"/>
      <c r="AH56" s="314"/>
      <c r="AI56" s="314"/>
      <c r="AJ56" s="314"/>
      <c r="AK56" s="314"/>
      <c r="AL56" s="314"/>
      <c r="AM56" s="314"/>
      <c r="AN56" s="314"/>
      <c r="AO56" s="314"/>
      <c r="AP56" s="314"/>
      <c r="AQ56" s="314"/>
      <c r="AR56" s="314"/>
      <c r="AS56" s="314"/>
      <c r="AT56" s="314"/>
      <c r="AU56" s="314"/>
      <c r="AV56" s="314"/>
      <c r="AW56" s="314"/>
    </row>
    <row r="57" spans="6:49" s="86" customFormat="1" x14ac:dyDescent="0.25">
      <c r="F57" s="87"/>
      <c r="G57" s="87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4"/>
      <c r="X57" s="314"/>
      <c r="Y57" s="314"/>
      <c r="Z57" s="314"/>
      <c r="AA57" s="314"/>
      <c r="AB57" s="314"/>
      <c r="AC57" s="314"/>
      <c r="AD57" s="314"/>
      <c r="AE57" s="314"/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4"/>
      <c r="AS57" s="314"/>
      <c r="AT57" s="314"/>
      <c r="AU57" s="314"/>
      <c r="AV57" s="314"/>
      <c r="AW57" s="314"/>
    </row>
    <row r="58" spans="6:49" s="290" customFormat="1" ht="21" x14ac:dyDescent="0.35">
      <c r="F58" s="316"/>
      <c r="G58" s="316"/>
      <c r="H58" s="531"/>
      <c r="I58" s="315"/>
      <c r="J58" s="315"/>
      <c r="K58" s="532"/>
      <c r="L58" s="315"/>
      <c r="M58" s="531"/>
      <c r="N58" s="531"/>
      <c r="O58" s="531"/>
      <c r="P58" s="531"/>
      <c r="Q58" s="529"/>
      <c r="R58" s="315"/>
      <c r="S58" s="315"/>
      <c r="T58" s="315"/>
      <c r="U58" s="315"/>
      <c r="V58" s="315"/>
      <c r="W58" s="315"/>
      <c r="X58" s="315"/>
      <c r="Y58" s="315"/>
      <c r="Z58" s="315"/>
      <c r="AA58" s="315"/>
      <c r="AB58" s="315"/>
      <c r="AC58" s="315"/>
      <c r="AD58" s="315"/>
      <c r="AE58" s="315"/>
      <c r="AF58" s="315"/>
      <c r="AG58" s="315"/>
      <c r="AH58" s="315"/>
      <c r="AI58" s="315"/>
      <c r="AJ58" s="315"/>
      <c r="AK58" s="315"/>
      <c r="AL58" s="315"/>
      <c r="AM58" s="315"/>
      <c r="AN58" s="315"/>
      <c r="AO58" s="315"/>
      <c r="AP58" s="315"/>
      <c r="AQ58" s="315"/>
      <c r="AR58" s="315"/>
      <c r="AS58" s="315"/>
      <c r="AT58" s="315"/>
      <c r="AU58" s="315"/>
      <c r="AV58" s="315"/>
      <c r="AW58" s="315"/>
    </row>
    <row r="59" spans="6:49" s="86" customFormat="1" x14ac:dyDescent="0.25">
      <c r="F59" s="87"/>
      <c r="G59" s="87"/>
      <c r="H59" s="527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14"/>
      <c r="AI59" s="314"/>
      <c r="AJ59" s="314"/>
      <c r="AK59" s="314"/>
      <c r="AL59" s="314"/>
      <c r="AM59" s="314"/>
      <c r="AN59" s="314"/>
      <c r="AO59" s="314"/>
      <c r="AP59" s="314"/>
      <c r="AQ59" s="314"/>
      <c r="AR59" s="314"/>
      <c r="AS59" s="314"/>
      <c r="AT59" s="314"/>
      <c r="AU59" s="314"/>
      <c r="AV59" s="314"/>
      <c r="AW59" s="314"/>
    </row>
    <row r="60" spans="6:49" s="86" customFormat="1" x14ac:dyDescent="0.25">
      <c r="F60" s="87"/>
      <c r="G60" s="87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  <c r="AA60" s="314"/>
      <c r="AB60" s="314"/>
      <c r="AC60" s="314"/>
      <c r="AD60" s="314"/>
      <c r="AE60" s="314"/>
      <c r="AF60" s="314"/>
      <c r="AG60" s="314"/>
      <c r="AH60" s="314"/>
      <c r="AI60" s="314"/>
      <c r="AJ60" s="314"/>
      <c r="AK60" s="314"/>
      <c r="AL60" s="314"/>
      <c r="AM60" s="314"/>
      <c r="AN60" s="314"/>
      <c r="AO60" s="314"/>
      <c r="AP60" s="314"/>
      <c r="AQ60" s="314"/>
      <c r="AR60" s="314"/>
      <c r="AS60" s="314"/>
      <c r="AT60" s="314"/>
      <c r="AU60" s="314"/>
      <c r="AV60" s="314"/>
      <c r="AW60" s="314"/>
    </row>
    <row r="61" spans="6:49" s="86" customFormat="1" x14ac:dyDescent="0.25">
      <c r="F61" s="87"/>
      <c r="G61" s="87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4"/>
      <c r="S61" s="314"/>
      <c r="T61" s="314"/>
      <c r="U61" s="314"/>
      <c r="V61" s="314"/>
      <c r="W61" s="314"/>
      <c r="X61" s="314"/>
      <c r="Y61" s="314"/>
      <c r="Z61" s="314"/>
      <c r="AA61" s="314"/>
      <c r="AB61" s="314"/>
      <c r="AC61" s="314"/>
      <c r="AD61" s="314"/>
      <c r="AE61" s="314"/>
      <c r="AF61" s="314"/>
      <c r="AG61" s="314"/>
      <c r="AH61" s="314"/>
      <c r="AI61" s="314"/>
      <c r="AJ61" s="314"/>
      <c r="AK61" s="314"/>
      <c r="AL61" s="314"/>
      <c r="AM61" s="314"/>
      <c r="AN61" s="314"/>
      <c r="AO61" s="314"/>
      <c r="AP61" s="314"/>
      <c r="AQ61" s="314"/>
      <c r="AR61" s="314"/>
      <c r="AS61" s="314"/>
      <c r="AT61" s="314"/>
      <c r="AU61" s="314"/>
      <c r="AV61" s="314"/>
      <c r="AW61" s="314"/>
    </row>
    <row r="62" spans="6:49" s="86" customFormat="1" ht="26.25" x14ac:dyDescent="0.4">
      <c r="F62" s="87"/>
      <c r="G62" s="87"/>
      <c r="H62" s="314"/>
      <c r="I62" s="537">
        <f>VLOOKUP($AH$14,TABLA_BASE[#All],21,FALSE)</f>
        <v>0.28384370027643552</v>
      </c>
      <c r="J62" s="87"/>
      <c r="K62" s="538">
        <f>VLOOKUP($AH$14,TABLA_BASE[#All],22,FALSE)</f>
        <v>136.24497613268906</v>
      </c>
      <c r="L62" s="87"/>
      <c r="M62" s="537">
        <f>VLOOKUP($AH$14,TABLA_BASE[#All],23,FALSE)</f>
        <v>0.10025293483600847</v>
      </c>
      <c r="N62" s="87"/>
      <c r="O62" s="538">
        <f>VLOOKUP($AH$14,TABLA_BASE[#All],24,FALSE)</f>
        <v>48.12140872128407</v>
      </c>
      <c r="P62" s="87"/>
      <c r="Q62" s="537">
        <f>VLOOKUP($AH$14,TABLA_BASE[#All],25,FALSE)</f>
        <v>0.80233290132645052</v>
      </c>
      <c r="R62" s="87"/>
      <c r="S62" s="538">
        <f>VLOOKUP($AH$14,TABLA_BASE[#All],26,FALSE)</f>
        <v>385.11979263669627</v>
      </c>
      <c r="T62" s="538">
        <f>VLOOKUP($AH$14,TABLA_BASE[#All],27,FALSE)</f>
        <v>0.20709657186956937</v>
      </c>
      <c r="U62" s="87"/>
      <c r="V62" s="538">
        <f>VLOOKUP($AH$14,TABLA_BASE[#All],28,FALSE)</f>
        <v>99.406354497393295</v>
      </c>
      <c r="W62" s="87"/>
      <c r="X62" s="537">
        <f>VLOOKUP($AH$14,TABLA_BASE[#All],19,FALSE)</f>
        <v>1.1864295364388946</v>
      </c>
      <c r="Y62" s="314"/>
      <c r="Z62" s="314"/>
      <c r="AA62" s="314"/>
      <c r="AB62" s="314"/>
      <c r="AC62" s="314"/>
      <c r="AD62" s="314"/>
      <c r="AE62" s="314"/>
      <c r="AF62" s="314"/>
      <c r="AG62" s="314"/>
      <c r="AH62" s="314"/>
      <c r="AI62" s="314"/>
      <c r="AJ62" s="314"/>
      <c r="AK62" s="314"/>
      <c r="AL62" s="314"/>
      <c r="AM62" s="314"/>
      <c r="AN62" s="314"/>
      <c r="AO62" s="314"/>
      <c r="AP62" s="314"/>
      <c r="AQ62" s="314"/>
      <c r="AR62" s="314"/>
      <c r="AS62" s="314"/>
      <c r="AT62" s="314"/>
      <c r="AU62" s="314"/>
      <c r="AV62" s="314"/>
      <c r="AW62" s="314"/>
    </row>
    <row r="63" spans="6:49" s="86" customFormat="1" x14ac:dyDescent="0.25">
      <c r="F63" s="87"/>
      <c r="G63" s="87"/>
      <c r="H63" s="314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314"/>
      <c r="Z63" s="314"/>
      <c r="AA63" s="314"/>
      <c r="AB63" s="314"/>
      <c r="AC63" s="314"/>
      <c r="AD63" s="314"/>
      <c r="AE63" s="314"/>
      <c r="AF63" s="314"/>
      <c r="AG63" s="314"/>
      <c r="AH63" s="314"/>
      <c r="AI63" s="314"/>
      <c r="AJ63" s="314"/>
      <c r="AK63" s="314"/>
      <c r="AL63" s="314"/>
      <c r="AM63" s="314"/>
      <c r="AN63" s="314"/>
      <c r="AO63" s="314"/>
      <c r="AP63" s="314"/>
      <c r="AQ63" s="314"/>
      <c r="AR63" s="314"/>
      <c r="AS63" s="314"/>
      <c r="AT63" s="314"/>
      <c r="AU63" s="314"/>
      <c r="AV63" s="314"/>
      <c r="AW63" s="314"/>
    </row>
    <row r="64" spans="6:49" s="86" customFormat="1" x14ac:dyDescent="0.25">
      <c r="F64" s="87"/>
      <c r="G64" s="87"/>
      <c r="H64" s="314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314"/>
      <c r="Z64" s="314"/>
      <c r="AA64" s="314"/>
      <c r="AB64" s="314"/>
      <c r="AC64" s="314"/>
      <c r="AD64" s="314"/>
      <c r="AE64" s="314"/>
      <c r="AF64" s="314"/>
      <c r="AG64" s="314"/>
      <c r="AH64" s="314"/>
      <c r="AI64" s="314"/>
      <c r="AJ64" s="314"/>
      <c r="AK64" s="314"/>
      <c r="AL64" s="314"/>
      <c r="AM64" s="314"/>
      <c r="AN64" s="314"/>
      <c r="AO64" s="314"/>
      <c r="AP64" s="314"/>
      <c r="AQ64" s="314"/>
      <c r="AR64" s="314"/>
      <c r="AS64" s="314"/>
      <c r="AT64" s="314"/>
      <c r="AU64" s="314"/>
      <c r="AV64" s="314"/>
      <c r="AW64" s="314"/>
    </row>
    <row r="65" spans="1:49" s="290" customFormat="1" ht="26.25" x14ac:dyDescent="0.4">
      <c r="F65" s="316"/>
      <c r="G65" s="316"/>
      <c r="H65" s="529"/>
      <c r="I65" s="538">
        <f>VLOOKUP($AH$14,TABLA_BASE[#All],20,FALSE)</f>
        <v>569.48617749066943</v>
      </c>
      <c r="J65" s="316"/>
      <c r="K65" s="318"/>
      <c r="L65" s="316"/>
      <c r="M65" s="319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5"/>
      <c r="Z65" s="315"/>
      <c r="AA65" s="315"/>
      <c r="AB65" s="315"/>
      <c r="AC65" s="315"/>
      <c r="AD65" s="315"/>
      <c r="AE65" s="315"/>
      <c r="AF65" s="315"/>
      <c r="AG65" s="315"/>
      <c r="AH65" s="315"/>
      <c r="AI65" s="315"/>
      <c r="AJ65" s="315"/>
      <c r="AK65" s="315"/>
      <c r="AL65" s="315"/>
      <c r="AM65" s="315"/>
      <c r="AN65" s="315"/>
      <c r="AO65" s="315"/>
      <c r="AP65" s="315"/>
      <c r="AQ65" s="315"/>
      <c r="AR65" s="315"/>
      <c r="AS65" s="315"/>
      <c r="AT65" s="315"/>
      <c r="AU65" s="315"/>
      <c r="AV65" s="315"/>
      <c r="AW65" s="315"/>
    </row>
    <row r="66" spans="1:49" s="86" customFormat="1" x14ac:dyDescent="0.25">
      <c r="F66" s="87"/>
      <c r="G66" s="87"/>
      <c r="H66" s="314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314"/>
      <c r="Z66" s="314"/>
      <c r="AA66" s="314"/>
      <c r="AB66" s="314"/>
      <c r="AC66" s="314"/>
      <c r="AD66" s="314"/>
      <c r="AE66" s="314"/>
      <c r="AF66" s="314"/>
      <c r="AG66" s="314"/>
      <c r="AH66" s="314"/>
      <c r="AI66" s="314"/>
      <c r="AJ66" s="314"/>
      <c r="AK66" s="314"/>
      <c r="AL66" s="314"/>
      <c r="AM66" s="314"/>
      <c r="AN66" s="314"/>
      <c r="AO66" s="314"/>
      <c r="AP66" s="314"/>
      <c r="AQ66" s="314"/>
      <c r="AR66" s="314"/>
      <c r="AS66" s="314"/>
      <c r="AT66" s="314"/>
      <c r="AU66" s="314"/>
      <c r="AV66" s="314"/>
      <c r="AW66" s="314"/>
    </row>
    <row r="67" spans="1:49" s="86" customFormat="1" x14ac:dyDescent="0.25"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14"/>
      <c r="AN67" s="314"/>
      <c r="AO67" s="314"/>
      <c r="AP67" s="314"/>
      <c r="AQ67" s="314"/>
      <c r="AR67" s="314"/>
      <c r="AS67" s="314"/>
      <c r="AT67" s="314"/>
      <c r="AU67" s="314"/>
      <c r="AV67" s="314"/>
      <c r="AW67" s="314"/>
    </row>
    <row r="68" spans="1:49" s="86" customFormat="1" x14ac:dyDescent="0.25"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14"/>
      <c r="W68" s="314"/>
      <c r="X68" s="314"/>
      <c r="Y68" s="314"/>
      <c r="Z68" s="314"/>
      <c r="AA68" s="314"/>
      <c r="AB68" s="314"/>
      <c r="AC68" s="314"/>
      <c r="AD68" s="314"/>
      <c r="AE68" s="314"/>
      <c r="AF68" s="314"/>
      <c r="AG68" s="314"/>
      <c r="AH68" s="314"/>
      <c r="AI68" s="314"/>
      <c r="AJ68" s="314"/>
      <c r="AK68" s="314"/>
      <c r="AL68" s="314"/>
      <c r="AM68" s="314"/>
      <c r="AN68" s="314"/>
      <c r="AO68" s="314"/>
      <c r="AP68" s="314"/>
      <c r="AQ68" s="314"/>
      <c r="AR68" s="314"/>
      <c r="AS68" s="314"/>
      <c r="AT68" s="314"/>
      <c r="AU68" s="314"/>
      <c r="AV68" s="314"/>
      <c r="AW68" s="314"/>
    </row>
    <row r="69" spans="1:49" s="86" customFormat="1" x14ac:dyDescent="0.25"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314"/>
      <c r="AB69" s="314"/>
      <c r="AC69" s="314"/>
      <c r="AD69" s="314"/>
      <c r="AE69" s="314"/>
      <c r="AF69" s="314"/>
      <c r="AG69" s="314"/>
      <c r="AH69" s="314"/>
      <c r="AI69" s="314"/>
      <c r="AJ69" s="314"/>
      <c r="AK69" s="314"/>
      <c r="AL69" s="314"/>
      <c r="AM69" s="314"/>
      <c r="AN69" s="314"/>
      <c r="AO69" s="314"/>
      <c r="AP69" s="314"/>
      <c r="AQ69" s="314"/>
      <c r="AR69" s="314"/>
      <c r="AS69" s="314"/>
      <c r="AT69" s="314"/>
      <c r="AU69" s="314"/>
      <c r="AV69" s="314"/>
      <c r="AW69" s="314"/>
    </row>
    <row r="70" spans="1:49" s="86" customFormat="1" x14ac:dyDescent="0.25"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  <c r="AA70" s="314"/>
      <c r="AB70" s="314"/>
      <c r="AC70" s="314"/>
      <c r="AD70" s="314"/>
      <c r="AE70" s="314"/>
      <c r="AF70" s="314"/>
      <c r="AG70" s="314"/>
      <c r="AH70" s="314"/>
      <c r="AI70" s="314"/>
      <c r="AJ70" s="314"/>
      <c r="AK70" s="314"/>
      <c r="AL70" s="314"/>
      <c r="AM70" s="314"/>
      <c r="AN70" s="314"/>
      <c r="AO70" s="314"/>
      <c r="AP70" s="314"/>
      <c r="AQ70" s="314"/>
      <c r="AR70" s="314"/>
      <c r="AS70" s="314"/>
      <c r="AT70" s="314"/>
      <c r="AU70" s="314"/>
      <c r="AV70" s="314"/>
      <c r="AW70" s="314"/>
    </row>
    <row r="71" spans="1:49" s="296" customFormat="1" ht="312" customHeight="1" x14ac:dyDescent="0.25">
      <c r="A71" s="295"/>
      <c r="B71" s="295"/>
      <c r="C71" s="295"/>
      <c r="D71" s="295"/>
      <c r="E71" s="295"/>
      <c r="F71" s="547"/>
      <c r="G71" s="547"/>
      <c r="H71" s="547"/>
      <c r="I71" s="547"/>
      <c r="J71" s="547"/>
      <c r="K71" s="547"/>
      <c r="L71" s="547"/>
      <c r="M71" s="547"/>
      <c r="N71" s="548"/>
      <c r="O71" s="548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  <c r="AA71" s="547"/>
      <c r="AB71" s="547"/>
      <c r="AC71" s="547"/>
      <c r="AD71" s="547"/>
      <c r="AE71" s="547"/>
      <c r="AF71" s="548"/>
      <c r="AG71" s="548"/>
      <c r="AH71" s="548"/>
      <c r="AI71" s="548"/>
      <c r="AJ71" s="548"/>
      <c r="AK71" s="548"/>
      <c r="AL71" s="548"/>
      <c r="AM71" s="548"/>
      <c r="AN71" s="548"/>
      <c r="AO71" s="548"/>
      <c r="AP71" s="548"/>
      <c r="AQ71" s="548"/>
      <c r="AR71" s="548"/>
      <c r="AS71" s="548"/>
      <c r="AT71" s="548"/>
      <c r="AU71" s="548"/>
      <c r="AV71" s="548"/>
      <c r="AW71" s="548"/>
    </row>
  </sheetData>
  <mergeCells count="5">
    <mergeCell ref="B13:AG13"/>
    <mergeCell ref="AH13:AP13"/>
    <mergeCell ref="AH14:AP14"/>
    <mergeCell ref="C16:E18"/>
    <mergeCell ref="F30:X30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37350BF-F27C-4F51-8A3A-346C73BAC3CF}">
          <x14:formula1>
            <xm:f>'Detallado por producto'!$A$3:$A$11</xm:f>
          </x14:formula1>
          <xm:sqref>AF20:AN20</xm:sqref>
        </x14:dataValidation>
        <x14:dataValidation type="list" showInputMessage="1" showErrorMessage="1" xr:uid="{366032B7-9751-4C20-A6DE-1030C3EB70C5}">
          <x14:formula1>
            <xm:f>'Detallado por producto'!$A$3:$A$502</xm:f>
          </x14:formula1>
          <xm:sqref>AH14:AP14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🏠 PORTADA</vt:lpstr>
      <vt:lpstr>📖 Instrucciones</vt:lpstr>
      <vt:lpstr>Doc. Necesarios</vt:lpstr>
      <vt:lpstr>📋 Datos Generales</vt:lpstr>
      <vt:lpstr>🧾 Factura Comercial</vt:lpstr>
      <vt:lpstr>📦 Gastos Importación</vt:lpstr>
      <vt:lpstr>🧾 Tributos Aduana</vt:lpstr>
      <vt:lpstr>🧮 Costos x Producto</vt:lpstr>
      <vt:lpstr>💰 Precio de Venta</vt:lpstr>
      <vt:lpstr>🏦 Crédito Fiscal</vt:lpstr>
      <vt:lpstr>Detallado por producto</vt:lpstr>
      <vt:lpstr>📊 Dashboard</vt:lpstr>
      <vt:lpstr>📊 Dashboard General</vt:lpstr>
      <vt:lpstr>🏦Detallado por Producto</vt:lpstr>
      <vt:lpstr>📊 KPI x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Rosalinda Jimenez Espinoza</cp:lastModifiedBy>
  <cp:revision>5</cp:revision>
  <dcterms:created xsi:type="dcterms:W3CDTF">2026-02-24T16:55:53Z</dcterms:created>
  <dcterms:modified xsi:type="dcterms:W3CDTF">2026-04-06T17:43:37Z</dcterms:modified>
  <dc:language>en-US</dc:language>
</cp:coreProperties>
</file>